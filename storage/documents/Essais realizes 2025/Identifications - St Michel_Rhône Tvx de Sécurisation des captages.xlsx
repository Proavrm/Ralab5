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85D  St Michel sur Rhône - Tvx de sécurisation des captages\Essais de laboratoire\Sondages\"/>
    </mc:Choice>
  </mc:AlternateContent>
  <xr:revisionPtr revIDLastSave="0" documentId="13_ncr:1_{94E7982A-7AFA-489D-A95F-E797FEBD78FE}" xr6:coauthVersionLast="47" xr6:coauthVersionMax="47" xr10:uidLastSave="{00000000-0000-0000-0000-000000000000}"/>
  <bookViews>
    <workbookView xWindow="57480" yWindow="-120" windowWidth="29040" windowHeight="15720" activeTab="7" xr2:uid="{00000000-000D-0000-FFFF-FFFF00000000}"/>
  </bookViews>
  <sheets>
    <sheet name="S5E2" sheetId="10" r:id="rId1"/>
    <sheet name="S3E2" sheetId="9" r:id="rId2"/>
    <sheet name="S2E3" sheetId="8" r:id="rId3"/>
    <sheet name="S2E2" sheetId="7" r:id="rId4"/>
    <sheet name="S2E1" sheetId="6" r:id="rId5"/>
    <sheet name="S1E3" sheetId="5" r:id="rId6"/>
    <sheet name="S1E2" sheetId="4" r:id="rId7"/>
    <sheet name="S1E1" sheetId="3" r:id="rId8"/>
  </sheets>
  <definedNames>
    <definedName name="_xlnm.Print_Area" localSheetId="7">S1E1!$A$1:$Z$76</definedName>
    <definedName name="_xlnm.Print_Area" localSheetId="6">S1E2!$A$1:$Z$76</definedName>
    <definedName name="_xlnm.Print_Area" localSheetId="5">S1E3!$A$1:$Z$76</definedName>
    <definedName name="_xlnm.Print_Area" localSheetId="4">S2E1!$A$1:$Z$76</definedName>
    <definedName name="_xlnm.Print_Area" localSheetId="3">S2E2!$A$1:$Z$76</definedName>
    <definedName name="_xlnm.Print_Area" localSheetId="2">S2E3!$A$1:$Z$76</definedName>
    <definedName name="_xlnm.Print_Area" localSheetId="1">S3E2!$A$1:$Z$76</definedName>
    <definedName name="_xlnm.Print_Area" localSheetId="0">S5E2!$A$1:$Z$76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10" l="1"/>
  <c r="U63" i="9"/>
  <c r="U63" i="8"/>
  <c r="U63" i="7"/>
  <c r="U63" i="6"/>
  <c r="U63" i="5"/>
  <c r="U63" i="4"/>
  <c r="U63" i="3"/>
</calcChain>
</file>

<file path=xl/sharedStrings.xml><?xml version="1.0" encoding="utf-8"?>
<sst xmlns="http://schemas.openxmlformats.org/spreadsheetml/2006/main" count="528" uniqueCount="83">
  <si>
    <t>RENSEIGNEMENTS GENERAUX</t>
  </si>
  <si>
    <t>Nature du matériau :</t>
  </si>
  <si>
    <t>Provenance :</t>
  </si>
  <si>
    <t>Destination :</t>
  </si>
  <si>
    <t>Tamis (mm)</t>
  </si>
  <si>
    <t>PARAMETRES D'IDENTIFICATION</t>
  </si>
  <si>
    <t>Classe :</t>
  </si>
  <si>
    <t>Dénomination :</t>
  </si>
  <si>
    <t>VBs</t>
  </si>
  <si>
    <t>IPI</t>
  </si>
  <si>
    <t>Es</t>
  </si>
  <si>
    <t>Etat :</t>
  </si>
  <si>
    <t>CLASSIFICATION GTR</t>
  </si>
  <si>
    <t>Wn (%)</t>
  </si>
  <si>
    <t>LA</t>
  </si>
  <si>
    <t>MDE</t>
  </si>
  <si>
    <t>FR (%)</t>
  </si>
  <si>
    <t>DG (%)</t>
  </si>
  <si>
    <t>ρd (t/m3)</t>
  </si>
  <si>
    <t>ρdOPN (t/m3)</t>
  </si>
  <si>
    <t>Passants (%)</t>
  </si>
  <si>
    <t>Date de(s) prélèvement(s) :</t>
  </si>
  <si>
    <t>WOPN (%)</t>
  </si>
  <si>
    <t>Ic</t>
  </si>
  <si>
    <t>Ip</t>
  </si>
  <si>
    <t>1/</t>
  </si>
  <si>
    <t>2/</t>
  </si>
  <si>
    <t>3/</t>
  </si>
  <si>
    <t>5/</t>
  </si>
  <si>
    <t>4/</t>
  </si>
  <si>
    <t>COMMENTAIRES</t>
  </si>
  <si>
    <t>Date de(s) essai(s) :</t>
  </si>
  <si>
    <t>N° Ech.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</si>
  <si>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</si>
  <si>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</si>
  <si>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</si>
  <si>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</si>
  <si>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</si>
  <si>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</si>
  <si>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</si>
  <si>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6/</t>
  </si>
  <si>
    <t>CONCLUSIONS</t>
  </si>
  <si>
    <t>7/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</si>
  <si>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</si>
  <si>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</si>
  <si>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</si>
  <si>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</si>
  <si>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</si>
  <si>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</si>
  <si>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ID</t>
  </si>
  <si>
    <t>ANALYSE GRANULOMETRIQUE (NF P 94-056 de mars 1996 ou NF EN 933-1 de mai 2012)</t>
  </si>
  <si>
    <t>et/ou NF EN 13285</t>
  </si>
  <si>
    <r>
      <t>D</t>
    </r>
    <r>
      <rPr>
        <b/>
        <vertAlign val="subscript"/>
        <sz val="10"/>
        <rFont val="Century Gothic"/>
        <family val="2"/>
      </rPr>
      <t>max</t>
    </r>
    <r>
      <rPr>
        <b/>
        <sz val="10"/>
        <rFont val="Century Gothic"/>
        <family val="2"/>
      </rPr>
      <t xml:space="preserve"> (mm)</t>
    </r>
  </si>
  <si>
    <t>IDENTIFICATION DE MATERIAU
(NF P 11-300 de septembre 1992 et GTR 1992)</t>
  </si>
  <si>
    <t>Contrôle :</t>
  </si>
  <si>
    <t>F. MONTET</t>
  </si>
  <si>
    <t>Technicien de laboratoire</t>
  </si>
  <si>
    <t>Pour Information</t>
  </si>
  <si>
    <t>RA O85D</t>
  </si>
  <si>
    <t>F. Montet</t>
  </si>
  <si>
    <t>S1E1</t>
  </si>
  <si>
    <t>B5</t>
  </si>
  <si>
    <t>m</t>
  </si>
  <si>
    <t>S1E2</t>
  </si>
  <si>
    <t>S1E3</t>
  </si>
  <si>
    <t>A1</t>
  </si>
  <si>
    <t>th</t>
  </si>
  <si>
    <t>Limon sableux gris bleu</t>
  </si>
  <si>
    <t>Limon sableux beige marron</t>
  </si>
  <si>
    <t>S2E1</t>
  </si>
  <si>
    <t>h</t>
  </si>
  <si>
    <t>Grave limono sableuse marron avec blocs</t>
  </si>
  <si>
    <t>S2E2</t>
  </si>
  <si>
    <t>C1B5</t>
  </si>
  <si>
    <t>S2E3</t>
  </si>
  <si>
    <t>S3E2</t>
  </si>
  <si>
    <t>S5E2</t>
  </si>
  <si>
    <t>Limon sableux marron</t>
  </si>
  <si>
    <t>St Michel sur Rhône
Tvx de sécurisation des captages</t>
  </si>
  <si>
    <t>Sable limoneux beige marron avec blocs</t>
  </si>
  <si>
    <t>Sable limono graveleux beige marron</t>
  </si>
  <si>
    <t>Grave limono sableuse marron</t>
  </si>
  <si>
    <t>Grave limono sableuse beige marron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</si>
</sst>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4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9"/>
      <name val="Century Gothic"/>
      <family val="2"/>
    </font>
    <font>
      <i/>
      <sz val="10"/>
      <name val="Century Gothic"/>
      <family val="2"/>
    </font>
    <font>
      <b/>
      <vertAlign val="subscript"/>
      <sz val="1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  <family val="2"/>
    </font>
    <font>
      <sz val="10"/>
      <color rgb="FF000000"/>
      <name val="Arial"/>
    </font>
    <font>
      <sz val="10"/>
      <color rgb="FF000000"/>
      <name val="Century Gothic"/>
    </font>
    <font>
      <sz val="9"/>
      <color rgb="FF000000"/>
      <name val="Century Gothic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5" fillId="0" borderId="0"/>
    <xf numFmtId="0" fontId="21" fillId="0" borderId="0"/>
  </cellStyleXfs>
  <cellXfs count="23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horizontal="left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14" fontId="10" fillId="0" borderId="0" xfId="0" applyNumberFormat="1" applyFont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4" fillId="0" borderId="0" xfId="0" applyFont="1" applyProtection="1">
      <protection hidden="1"/>
    </xf>
    <xf numFmtId="0" fontId="1" fillId="0" borderId="11" xfId="0" applyFont="1" applyBorder="1" applyProtection="1">
      <protection hidden="1"/>
    </xf>
    <xf numFmtId="0" fontId="6" fillId="0" borderId="11" xfId="0" applyFont="1" applyBorder="1" applyAlignment="1" applyProtection="1">
      <alignment horizontal="left"/>
      <protection hidden="1"/>
    </xf>
    <xf numFmtId="0" fontId="1" fillId="0" borderId="9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12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164" fontId="12" fillId="0" borderId="2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hidden="1"/>
    </xf>
    <xf numFmtId="0" fontId="13" fillId="0" borderId="8" xfId="0" quotePrefix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164" fontId="17" fillId="0" borderId="27" xfId="1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164" fontId="23" fillId="0" borderId="27" xfId="2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8" fillId="0" borderId="30" xfId="0" applyFont="1" applyBorder="1" applyAlignment="1" applyProtection="1">
      <alignment vertical="center"/>
      <protection locked="0"/>
    </xf>
    <xf numFmtId="0" fontId="18" fillId="0" borderId="31" xfId="0" applyFont="1" applyBorder="1" applyAlignment="1" applyProtection="1">
      <alignment vertical="center"/>
      <protection locked="0"/>
    </xf>
    <xf numFmtId="0" fontId="18" fillId="0" borderId="32" xfId="0" applyFont="1" applyBorder="1" applyAlignment="1" applyProtection="1">
      <alignment vertical="center"/>
      <protection locked="0"/>
    </xf>
    <xf numFmtId="0" fontId="18" fillId="0" borderId="33" xfId="0" applyFont="1" applyBorder="1" applyAlignment="1" applyProtection="1">
      <alignment vertical="center"/>
      <protection locked="0"/>
    </xf>
    <xf numFmtId="0" fontId="18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vertical="center"/>
      <protection locked="0"/>
    </xf>
    <xf numFmtId="0" fontId="18" fillId="0" borderId="36" xfId="0" applyFont="1" applyBorder="1" applyAlignment="1" applyProtection="1">
      <alignment vertical="center"/>
      <protection locked="0"/>
    </xf>
    <xf numFmtId="0" fontId="18" fillId="0" borderId="37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0" fillId="0" borderId="30" xfId="1" applyFont="1" applyBorder="1" applyAlignment="1" applyProtection="1">
      <alignment horizontal="center" vertical="center" wrapText="1"/>
      <protection locked="0"/>
    </xf>
    <xf numFmtId="0" fontId="20" fillId="0" borderId="31" xfId="1" applyFont="1" applyBorder="1" applyAlignment="1" applyProtection="1">
      <alignment horizontal="center" vertical="center" wrapText="1"/>
      <protection locked="0"/>
    </xf>
    <xf numFmtId="0" fontId="20" fillId="0" borderId="32" xfId="1" applyFont="1" applyBorder="1" applyAlignment="1" applyProtection="1">
      <alignment horizontal="center" vertical="center" wrapText="1"/>
      <protection locked="0"/>
    </xf>
    <xf numFmtId="0" fontId="20" fillId="0" borderId="33" xfId="1" applyFont="1" applyBorder="1" applyAlignment="1" applyProtection="1">
      <alignment horizontal="center" vertical="center" wrapText="1"/>
      <protection locked="0"/>
    </xf>
    <xf numFmtId="0" fontId="20" fillId="0" borderId="0" xfId="1" applyFont="1" applyAlignment="1" applyProtection="1">
      <alignment horizontal="center" vertical="center" wrapText="1"/>
      <protection locked="0"/>
    </xf>
    <xf numFmtId="0" fontId="20" fillId="0" borderId="34" xfId="1" applyFont="1" applyBorder="1" applyAlignment="1" applyProtection="1">
      <alignment horizontal="center" vertical="center" wrapText="1"/>
      <protection locked="0"/>
    </xf>
    <xf numFmtId="0" fontId="20" fillId="0" borderId="35" xfId="1" applyFont="1" applyBorder="1" applyAlignment="1" applyProtection="1">
      <alignment horizontal="center" vertical="center" wrapText="1"/>
      <protection locked="0"/>
    </xf>
    <xf numFmtId="0" fontId="20" fillId="0" borderId="36" xfId="1" applyFont="1" applyBorder="1" applyAlignment="1" applyProtection="1">
      <alignment horizontal="center" vertical="center" wrapText="1"/>
      <protection locked="0"/>
    </xf>
    <xf numFmtId="0" fontId="20" fillId="0" borderId="37" xfId="1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9" fillId="0" borderId="33" xfId="0" applyFont="1" applyBorder="1" applyAlignment="1" applyProtection="1">
      <alignment horizontal="center" vertical="center"/>
      <protection hidden="1"/>
    </xf>
    <xf numFmtId="0" fontId="19" fillId="0" borderId="34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14" fontId="19" fillId="0" borderId="33" xfId="0" applyNumberFormat="1" applyFont="1" applyBorder="1" applyAlignment="1" applyProtection="1">
      <alignment horizontal="center" vertical="center"/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14" fontId="19" fillId="0" borderId="34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textRotation="90" wrapText="1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1" fillId="0" borderId="9" xfId="0" applyFont="1" applyBorder="1" applyAlignment="1" applyProtection="1">
      <alignment horizontal="center" vertical="center" textRotation="90" wrapText="1"/>
      <protection hidden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165" fontId="1" fillId="0" borderId="19" xfId="0" applyNumberFormat="1" applyFont="1" applyBorder="1" applyAlignment="1" applyProtection="1">
      <alignment horizontal="center" vertical="center"/>
      <protection locked="0"/>
    </xf>
    <xf numFmtId="165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 applyProtection="1">
      <alignment horizontal="center" vertical="center"/>
      <protection locked="0"/>
    </xf>
    <xf numFmtId="165" fontId="1" fillId="0" borderId="9" xfId="0" applyNumberFormat="1" applyFont="1" applyBorder="1" applyAlignment="1" applyProtection="1">
      <alignment horizontal="center" vertical="center"/>
      <protection locked="0"/>
    </xf>
    <xf numFmtId="165" fontId="1" fillId="0" borderId="12" xfId="0" applyNumberFormat="1" applyFont="1" applyBorder="1" applyAlignment="1" applyProtection="1">
      <alignment horizontal="center" vertical="center"/>
      <protection locked="0"/>
    </xf>
    <xf numFmtId="1" fontId="1" fillId="0" borderId="9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1" fontId="1" fillId="0" borderId="3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 applyProtection="1">
      <alignment horizontal="center" vertical="center"/>
      <protection locked="0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vertical="center"/>
      <protection locked="0"/>
    </xf>
    <xf numFmtId="2" fontId="1" fillId="0" borderId="4" xfId="0" applyNumberFormat="1" applyFont="1" applyBorder="1" applyAlignment="1" applyProtection="1">
      <alignment vertical="center"/>
      <protection locked="0"/>
    </xf>
    <xf numFmtId="2" fontId="1" fillId="0" borderId="10" xfId="0" applyNumberFormat="1" applyFont="1" applyBorder="1" applyAlignment="1" applyProtection="1">
      <alignment vertical="center"/>
      <protection locked="0"/>
    </xf>
    <xf numFmtId="2" fontId="1" fillId="0" borderId="8" xfId="0" applyNumberFormat="1" applyFont="1" applyBorder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1" fillId="0" borderId="11" xfId="0" applyNumberFormat="1" applyFont="1" applyBorder="1" applyAlignment="1" applyProtection="1">
      <alignment vertical="center"/>
      <protection locked="0"/>
    </xf>
    <xf numFmtId="2" fontId="1" fillId="0" borderId="9" xfId="0" applyNumberFormat="1" applyFont="1" applyBorder="1" applyAlignment="1" applyProtection="1">
      <alignment vertical="center"/>
      <protection locked="0"/>
    </xf>
    <xf numFmtId="2" fontId="1" fillId="0" borderId="5" xfId="0" applyNumberFormat="1" applyFont="1" applyBorder="1" applyAlignment="1" applyProtection="1">
      <alignment vertical="center"/>
      <protection locked="0"/>
    </xf>
    <xf numFmtId="2" fontId="1" fillId="0" borderId="12" xfId="0" applyNumberFormat="1" applyFont="1" applyBorder="1" applyAlignment="1" applyProtection="1">
      <alignment vertical="center"/>
      <protection locked="0"/>
    </xf>
    <xf numFmtId="165" fontId="1" fillId="0" borderId="3" xfId="0" applyNumberFormat="1" applyFont="1" applyBorder="1" applyAlignment="1" applyProtection="1">
      <alignment vertical="center"/>
      <protection locked="0"/>
    </xf>
    <xf numFmtId="165" fontId="1" fillId="0" borderId="4" xfId="0" applyNumberFormat="1" applyFont="1" applyBorder="1" applyAlignment="1" applyProtection="1">
      <alignment vertical="center"/>
      <protection locked="0"/>
    </xf>
    <xf numFmtId="165" fontId="1" fillId="0" borderId="10" xfId="0" applyNumberFormat="1" applyFont="1" applyBorder="1" applyAlignment="1" applyProtection="1">
      <alignment vertical="center"/>
      <protection locked="0"/>
    </xf>
    <xf numFmtId="165" fontId="1" fillId="0" borderId="8" xfId="0" applyNumberFormat="1" applyFont="1" applyBorder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165" fontId="1" fillId="0" borderId="11" xfId="0" applyNumberFormat="1" applyFont="1" applyBorder="1" applyAlignment="1" applyProtection="1">
      <alignment vertical="center"/>
      <protection locked="0"/>
    </xf>
    <xf numFmtId="165" fontId="1" fillId="0" borderId="9" xfId="0" applyNumberFormat="1" applyFont="1" applyBorder="1" applyAlignment="1" applyProtection="1">
      <alignment vertical="center"/>
      <protection locked="0"/>
    </xf>
    <xf numFmtId="165" fontId="1" fillId="0" borderId="5" xfId="0" applyNumberFormat="1" applyFont="1" applyBorder="1" applyAlignment="1" applyProtection="1">
      <alignment vertical="center"/>
      <protection locked="0"/>
    </xf>
    <xf numFmtId="165" fontId="1" fillId="0" borderId="12" xfId="0" applyNumberFormat="1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18" fillId="0" borderId="30" xfId="0" applyFont="1" applyBorder="1" applyAlignment="1" applyProtection="1">
      <alignment horizontal="center" vertical="center" wrapText="1"/>
      <protection locked="0"/>
    </xf>
    <xf numFmtId="0" fontId="18" fillId="0" borderId="31" xfId="0" applyFont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 applyProtection="1">
      <alignment horizontal="center" vertical="center" wrapText="1"/>
      <protection locked="0"/>
    </xf>
    <xf numFmtId="0" fontId="18" fillId="0" borderId="33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locked="0"/>
    </xf>
    <xf numFmtId="2" fontId="16" fillId="0" borderId="28" xfId="1" applyNumberFormat="1" applyFont="1" applyBorder="1" applyAlignment="1" applyProtection="1">
      <alignment horizontal="center" vertical="center"/>
      <protection locked="0"/>
    </xf>
    <xf numFmtId="2" fontId="16" fillId="0" borderId="29" xfId="1" applyNumberFormat="1" applyFont="1" applyBorder="1" applyAlignment="1" applyProtection="1">
      <alignment horizontal="center" vertical="center"/>
      <protection locked="0"/>
    </xf>
    <xf numFmtId="164" fontId="16" fillId="0" borderId="28" xfId="1" applyNumberFormat="1" applyFont="1" applyBorder="1" applyAlignment="1" applyProtection="1">
      <alignment horizontal="center" vertical="center"/>
      <protection locked="0"/>
    </xf>
    <xf numFmtId="164" fontId="16" fillId="0" borderId="29" xfId="1" applyNumberFormat="1" applyFont="1" applyBorder="1" applyAlignment="1" applyProtection="1">
      <alignment horizontal="center" vertical="center"/>
      <protection locked="0"/>
    </xf>
    <xf numFmtId="1" fontId="16" fillId="0" borderId="28" xfId="1" applyNumberFormat="1" applyFont="1" applyBorder="1" applyAlignment="1" applyProtection="1">
      <alignment horizontal="center" vertical="center"/>
      <protection locked="0"/>
    </xf>
    <xf numFmtId="1" fontId="16" fillId="0" borderId="29" xfId="1" applyNumberFormat="1" applyFont="1" applyBorder="1" applyAlignment="1" applyProtection="1">
      <alignment horizontal="center" vertical="center"/>
      <protection locked="0"/>
    </xf>
    <xf numFmtId="165" fontId="16" fillId="0" borderId="28" xfId="1" applyNumberFormat="1" applyFont="1" applyBorder="1" applyAlignment="1" applyProtection="1">
      <alignment horizontal="center" vertical="center"/>
      <protection locked="0"/>
    </xf>
    <xf numFmtId="165" fontId="16" fillId="0" borderId="29" xfId="1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18" fillId="0" borderId="30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3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8" fillId="0" borderId="5" xfId="0" applyFont="1" applyBorder="1" applyAlignment="1" applyProtection="1">
      <alignment horizontal="center" vertical="top" wrapText="1"/>
      <protection locked="0"/>
    </xf>
    <xf numFmtId="2" fontId="22" fillId="0" borderId="28" xfId="2" applyNumberFormat="1" applyFont="1" applyBorder="1" applyAlignment="1" applyProtection="1">
      <alignment horizontal="center" vertical="center"/>
      <protection locked="0"/>
    </xf>
    <xf numFmtId="2" fontId="22" fillId="0" borderId="29" xfId="2" applyNumberFormat="1" applyFont="1" applyBorder="1" applyAlignment="1" applyProtection="1">
      <alignment horizontal="center" vertical="center"/>
      <protection locked="0"/>
    </xf>
    <xf numFmtId="164" fontId="22" fillId="0" borderId="28" xfId="2" applyNumberFormat="1" applyFont="1" applyBorder="1" applyAlignment="1" applyProtection="1">
      <alignment horizontal="center" vertical="center"/>
      <protection locked="0"/>
    </xf>
    <xf numFmtId="164" fontId="22" fillId="0" borderId="29" xfId="2" applyNumberFormat="1" applyFont="1" applyBorder="1" applyAlignment="1" applyProtection="1">
      <alignment horizontal="center" vertical="center"/>
      <protection locked="0"/>
    </xf>
    <xf numFmtId="1" fontId="22" fillId="0" borderId="28" xfId="2" applyNumberFormat="1" applyFont="1" applyBorder="1" applyAlignment="1" applyProtection="1">
      <alignment horizontal="center" vertical="center"/>
      <protection locked="0"/>
    </xf>
    <xf numFmtId="1" fontId="22" fillId="0" borderId="29" xfId="2" applyNumberFormat="1" applyFont="1" applyBorder="1" applyAlignment="1" applyProtection="1">
      <alignment horizontal="center" vertical="center"/>
      <protection locked="0"/>
    </xf>
    <xf numFmtId="165" fontId="22" fillId="0" borderId="28" xfId="2" applyNumberFormat="1" applyFont="1" applyBorder="1" applyAlignment="1" applyProtection="1">
      <alignment horizontal="center" vertical="center"/>
      <protection locked="0"/>
    </xf>
    <xf numFmtId="165" fontId="22" fillId="0" borderId="29" xfId="2" applyNumberFormat="1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 xr:uid="{1D63E5D7-CFB8-4D65-A23A-C6BA4EF6FA8D}"/>
    <cellStyle name="Normal 3" xfId="2" xr:uid="{E7167E64-BED1-4522-8209-50FD3275A6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S5E2!$D$47:$Y$47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S5E2!$D$48:$Y$48</c:f>
              <c:numCache>
                <c:formatCode>0.0</c:formatCode>
                <c:ptCount val="22"/>
                <c:pt idx="0">
                  <c:v>50.2</c:v>
                </c:pt>
                <c:pt idx="1">
                  <c:v>87.6</c:v>
                </c:pt>
                <c:pt idx="2">
                  <c:v>98.6</c:v>
                </c:pt>
                <c:pt idx="3">
                  <c:v>99.1</c:v>
                </c:pt>
                <c:pt idx="4">
                  <c:v>99.3</c:v>
                </c:pt>
                <c:pt idx="5">
                  <c:v>99.4</c:v>
                </c:pt>
                <c:pt idx="6">
                  <c:v>99.6</c:v>
                </c:pt>
                <c:pt idx="7">
                  <c:v>99.7</c:v>
                </c:pt>
                <c:pt idx="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BB-4638-B564-570DFB232EA0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S5E2!$D$47:$Z$47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S5E2!$D$49:$Z$49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BB-4638-B564-570DFB232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S3E2!$D$47:$Y$47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S3E2!$D$48:$Y$48</c:f>
              <c:numCache>
                <c:formatCode>0.0</c:formatCode>
                <c:ptCount val="22"/>
                <c:pt idx="0">
                  <c:v>25.7</c:v>
                </c:pt>
                <c:pt idx="1">
                  <c:v>40.9</c:v>
                </c:pt>
                <c:pt idx="2">
                  <c:v>53.9</c:v>
                </c:pt>
                <c:pt idx="3">
                  <c:v>55.3</c:v>
                </c:pt>
                <c:pt idx="4">
                  <c:v>56.8</c:v>
                </c:pt>
                <c:pt idx="5">
                  <c:v>58.9</c:v>
                </c:pt>
                <c:pt idx="6">
                  <c:v>63.9</c:v>
                </c:pt>
                <c:pt idx="7">
                  <c:v>71.5</c:v>
                </c:pt>
                <c:pt idx="8">
                  <c:v>74.8</c:v>
                </c:pt>
                <c:pt idx="9">
                  <c:v>78</c:v>
                </c:pt>
                <c:pt idx="10">
                  <c:v>80.900000000000006</c:v>
                </c:pt>
                <c:pt idx="11">
                  <c:v>85.6</c:v>
                </c:pt>
                <c:pt idx="12">
                  <c:v>87.3</c:v>
                </c:pt>
                <c:pt idx="13">
                  <c:v>88.7</c:v>
                </c:pt>
                <c:pt idx="14">
                  <c:v>93.7</c:v>
                </c:pt>
                <c:pt idx="1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BC-4C67-AE2B-1A4725B53D1C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S3E2!$D$47:$Z$47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S3E2!$D$49:$Z$49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BC-4C67-AE2B-1A4725B53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S2E3!$D$47:$Y$47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S2E3!$D$48:$Y$48</c:f>
              <c:numCache>
                <c:formatCode>0.0</c:formatCode>
                <c:ptCount val="22"/>
                <c:pt idx="0">
                  <c:v>12.7</c:v>
                </c:pt>
                <c:pt idx="1">
                  <c:v>24.2</c:v>
                </c:pt>
                <c:pt idx="2">
                  <c:v>35.200000000000003</c:v>
                </c:pt>
                <c:pt idx="3">
                  <c:v>36.1</c:v>
                </c:pt>
                <c:pt idx="4">
                  <c:v>36.9</c:v>
                </c:pt>
                <c:pt idx="5">
                  <c:v>37.6</c:v>
                </c:pt>
                <c:pt idx="6">
                  <c:v>39.5</c:v>
                </c:pt>
                <c:pt idx="7">
                  <c:v>46.5</c:v>
                </c:pt>
                <c:pt idx="8">
                  <c:v>50.6</c:v>
                </c:pt>
                <c:pt idx="9">
                  <c:v>56.6</c:v>
                </c:pt>
                <c:pt idx="10">
                  <c:v>62.9</c:v>
                </c:pt>
                <c:pt idx="11">
                  <c:v>76.3</c:v>
                </c:pt>
                <c:pt idx="12">
                  <c:v>83.8</c:v>
                </c:pt>
                <c:pt idx="13">
                  <c:v>90.8</c:v>
                </c:pt>
                <c:pt idx="1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FC-445B-BB50-54C3361C410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S2E3!$D$47:$Z$47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S2E3!$D$49:$Z$49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FC-445B-BB50-54C3361C4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S2E2!$D$47:$Y$47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S2E2!$D$48:$Y$48</c:f>
              <c:numCache>
                <c:formatCode>0.0</c:formatCode>
                <c:ptCount val="22"/>
                <c:pt idx="0">
                  <c:v>28.5</c:v>
                </c:pt>
                <c:pt idx="1">
                  <c:v>66.599999999999994</c:v>
                </c:pt>
                <c:pt idx="2">
                  <c:v>92.2</c:v>
                </c:pt>
                <c:pt idx="3">
                  <c:v>92.9</c:v>
                </c:pt>
                <c:pt idx="4">
                  <c:v>93.7</c:v>
                </c:pt>
                <c:pt idx="5">
                  <c:v>94.4</c:v>
                </c:pt>
                <c:pt idx="6">
                  <c:v>94.6</c:v>
                </c:pt>
                <c:pt idx="7">
                  <c:v>94.9</c:v>
                </c:pt>
                <c:pt idx="8">
                  <c:v>95.5</c:v>
                </c:pt>
                <c:pt idx="9">
                  <c:v>95.8</c:v>
                </c:pt>
                <c:pt idx="10">
                  <c:v>96.2</c:v>
                </c:pt>
                <c:pt idx="11">
                  <c:v>96.2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69-40BF-8406-0783FF022D08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S2E2!$D$47:$Z$47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S2E2!$D$49:$Z$49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69-40BF-8406-0783FF022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S2E1!$D$47:$Y$47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S2E1!$D$48:$Y$48</c:f>
              <c:numCache>
                <c:formatCode>0.0</c:formatCode>
                <c:ptCount val="22"/>
                <c:pt idx="0">
                  <c:v>12.4</c:v>
                </c:pt>
                <c:pt idx="1">
                  <c:v>19.100000000000001</c:v>
                </c:pt>
                <c:pt idx="2">
                  <c:v>26.2</c:v>
                </c:pt>
                <c:pt idx="3">
                  <c:v>30.5</c:v>
                </c:pt>
                <c:pt idx="4">
                  <c:v>37.1</c:v>
                </c:pt>
                <c:pt idx="5">
                  <c:v>42.7</c:v>
                </c:pt>
                <c:pt idx="6">
                  <c:v>46.7</c:v>
                </c:pt>
                <c:pt idx="7">
                  <c:v>52.6</c:v>
                </c:pt>
                <c:pt idx="8">
                  <c:v>56</c:v>
                </c:pt>
                <c:pt idx="9">
                  <c:v>58.9</c:v>
                </c:pt>
                <c:pt idx="10">
                  <c:v>62</c:v>
                </c:pt>
                <c:pt idx="11">
                  <c:v>65.7</c:v>
                </c:pt>
                <c:pt idx="12">
                  <c:v>69.900000000000006</c:v>
                </c:pt>
                <c:pt idx="13">
                  <c:v>77.5</c:v>
                </c:pt>
                <c:pt idx="14">
                  <c:v>90.7</c:v>
                </c:pt>
                <c:pt idx="1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27-42EE-92E6-C5CA7FD867E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S2E1!$D$47:$Z$47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S2E1!$D$49:$Z$49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27-42EE-92E6-C5CA7FD8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S1E3!$D$47:$Y$47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S1E3!$D$48:$Y$48</c:f>
              <c:numCache>
                <c:formatCode>0.0</c:formatCode>
                <c:ptCount val="22"/>
                <c:pt idx="0">
                  <c:v>65.8</c:v>
                </c:pt>
                <c:pt idx="1">
                  <c:v>93.9</c:v>
                </c:pt>
                <c:pt idx="2">
                  <c:v>99.4</c:v>
                </c:pt>
                <c:pt idx="3">
                  <c:v>99.8</c:v>
                </c:pt>
                <c:pt idx="4">
                  <c:v>99.9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9E-4CA4-A7EB-F48C416F5F5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S1E3!$D$47:$Z$47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S1E3!$D$49:$Z$49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9E-4CA4-A7EB-F48C416F5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S1E2!$D$47:$Y$47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S1E2!$D$48:$Y$48</c:f>
              <c:numCache>
                <c:formatCode>0.0</c:formatCode>
                <c:ptCount val="22"/>
                <c:pt idx="0">
                  <c:v>41.6</c:v>
                </c:pt>
                <c:pt idx="1">
                  <c:v>89.6</c:v>
                </c:pt>
                <c:pt idx="2">
                  <c:v>99.3</c:v>
                </c:pt>
                <c:pt idx="3">
                  <c:v>99.5</c:v>
                </c:pt>
                <c:pt idx="4">
                  <c:v>99.8</c:v>
                </c:pt>
                <c:pt idx="5">
                  <c:v>99.9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3-43C6-BD67-E639FCAF5422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S1E2!$D$47:$Z$47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S1E2!$D$49:$Z$49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D3-43C6-BD67-E639FCAF5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S1E1!$D$47:$Y$47</c:f>
              <c:numCache>
                <c:formatCode>General</c:formatCode>
                <c:ptCount val="22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S1E1!$D$48:$Y$48</c:f>
              <c:numCache>
                <c:formatCode>0.0</c:formatCode>
                <c:ptCount val="22"/>
                <c:pt idx="0">
                  <c:v>22.4</c:v>
                </c:pt>
                <c:pt idx="1">
                  <c:v>62.9</c:v>
                </c:pt>
                <c:pt idx="2">
                  <c:v>88.9</c:v>
                </c:pt>
                <c:pt idx="3">
                  <c:v>89.1</c:v>
                </c:pt>
                <c:pt idx="4">
                  <c:v>89.2</c:v>
                </c:pt>
                <c:pt idx="5">
                  <c:v>89.4</c:v>
                </c:pt>
                <c:pt idx="6">
                  <c:v>89.4</c:v>
                </c:pt>
                <c:pt idx="7">
                  <c:v>89.4</c:v>
                </c:pt>
                <c:pt idx="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F-405B-874B-9E4AB2B061D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S1E1!$D$47:$Z$47</c:f>
              <c:numCache>
                <c:formatCode>General</c:formatCode>
                <c:ptCount val="23"/>
                <c:pt idx="0" formatCode="0.0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S1E1!$D$49:$Z$49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EF-405B-874B-9E4AB2B06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C384EB1-5990-4AE5-90C3-09042E05E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38EA9A97-0D2E-4A35-8BC2-628531B1E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8260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F3C8CD6-7FB0-48AA-ADD3-6A46EED17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9217" name="CommandButton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A80C65EB-30C6-4421-A4DD-60CBAC93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4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590D413-D059-4EB6-A1FF-E4BFC01C1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AE0F0698-072E-46D9-8B8B-C1C505A4E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8260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EAC9B43-92AD-41CF-8834-0DD8C8D1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7169" name="CommandButton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A41C93B3-C90B-41EC-A60E-8BB5904D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8260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9777235-366B-48F2-8D70-F7ABD29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6145" name="CommandButton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A12B37B7-6CC9-49DD-A4EB-B7376AC9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445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5360948-E358-469E-B0F0-EE6C73A6D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5121" name="Command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C74BF2F7-ECC6-4F3F-9FA9-D66AB2CB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8260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79EE517-0FC1-4677-AAD5-72A2A3A09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75</xdr:row>
          <xdr:rowOff>0</xdr:rowOff>
        </xdr:to>
        <xdr:sp macro="" textlink="">
          <xdr:nvSpPr>
            <xdr:cNvPr id="4097" name="CommandButton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DF90E0E4-9452-4C82-B71D-3F5CB993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35280"/>
          <a:ext cx="1318260" cy="331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571500</xdr:colOff>
          <xdr:row>72</xdr:row>
          <xdr:rowOff>144780</xdr:rowOff>
        </xdr:from>
        <xdr:to>
          <xdr:col>28</xdr:col>
          <xdr:colOff>556260</xdr:colOff>
          <xdr:row>74</xdr:row>
          <xdr:rowOff>190500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9525</xdr:rowOff>
    </xdr:from>
    <xdr:to>
      <xdr:col>4</xdr:col>
      <xdr:colOff>287655</xdr:colOff>
      <xdr:row>4</xdr:row>
      <xdr:rowOff>19050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33375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6.emf"/><Relationship Id="rId4" Type="http://schemas.openxmlformats.org/officeDocument/2006/relationships/control" Target="../activeX/activeX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7.emf"/><Relationship Id="rId4" Type="http://schemas.openxmlformats.org/officeDocument/2006/relationships/control" Target="../activeX/activeX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8.emf"/><Relationship Id="rId4" Type="http://schemas.openxmlformats.org/officeDocument/2006/relationships/control" Target="../activeX/activeX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9.emf"/><Relationship Id="rId4" Type="http://schemas.openxmlformats.org/officeDocument/2006/relationships/control" Target="../activeX/activeX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CEFD-1055-435B-B58B-2C39C7A8A2F6}">
  <sheetPr codeName="Feuil10">
    <pageSetUpPr fitToPage="1"/>
  </sheetPr>
  <dimension ref="A1:Z76"/>
  <sheetViews>
    <sheetView topLeftCell="A50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8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69" t="s">
        <v>77</v>
      </c>
      <c r="T10" s="68"/>
      <c r="U10" s="68"/>
      <c r="V10" s="68"/>
      <c r="W10" s="68"/>
      <c r="X10" s="68"/>
      <c r="Y10" s="68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76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5">
        <v>50.2</v>
      </c>
      <c r="E48" s="65">
        <v>87.6</v>
      </c>
      <c r="F48" s="65">
        <v>98.6</v>
      </c>
      <c r="G48" s="65">
        <v>99.1</v>
      </c>
      <c r="H48" s="65">
        <v>99.3</v>
      </c>
      <c r="I48" s="65">
        <v>99.4</v>
      </c>
      <c r="J48" s="65">
        <v>99.6</v>
      </c>
      <c r="K48" s="65">
        <v>99.7</v>
      </c>
      <c r="L48" s="65">
        <v>100</v>
      </c>
      <c r="M48" s="65"/>
      <c r="N48" s="65"/>
      <c r="O48" s="65"/>
      <c r="P48" s="65"/>
      <c r="Q48" s="65"/>
      <c r="R48" s="65"/>
      <c r="S48" s="65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10">
        <v>17.3</v>
      </c>
      <c r="E57" s="211"/>
      <c r="F57" s="210">
        <v>20</v>
      </c>
      <c r="G57" s="211"/>
      <c r="H57" s="208"/>
      <c r="I57" s="209"/>
      <c r="J57" s="214"/>
      <c r="K57" s="215"/>
      <c r="L57" s="208">
        <v>0.85</v>
      </c>
      <c r="M57" s="209"/>
      <c r="N57" s="210"/>
      <c r="O57" s="211"/>
      <c r="P57" s="212">
        <v>6</v>
      </c>
      <c r="Q57" s="213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65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70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Limon sableux marron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L57:M57"/>
    <mergeCell ref="N57:O57"/>
    <mergeCell ref="P57:Q57"/>
    <mergeCell ref="D57:E57"/>
    <mergeCell ref="F57:G57"/>
    <mergeCell ref="H57:I57"/>
    <mergeCell ref="J57:K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10241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10241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B293-F0C4-4DB9-8080-C7A5D15D8059}">
  <sheetPr codeName="Feuil9">
    <pageSetUpPr fitToPage="1"/>
  </sheetPr>
  <dimension ref="A1:Z76"/>
  <sheetViews>
    <sheetView topLeftCell="A54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7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69" t="s">
        <v>82</v>
      </c>
      <c r="T10" s="68"/>
      <c r="U10" s="68"/>
      <c r="V10" s="68"/>
      <c r="W10" s="68"/>
      <c r="X10" s="68"/>
      <c r="Y10" s="68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75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5">
        <v>25.7</v>
      </c>
      <c r="E48" s="65">
        <v>40.9</v>
      </c>
      <c r="F48" s="65">
        <v>53.9</v>
      </c>
      <c r="G48" s="65">
        <v>55.3</v>
      </c>
      <c r="H48" s="65">
        <v>56.8</v>
      </c>
      <c r="I48" s="65">
        <v>58.9</v>
      </c>
      <c r="J48" s="65">
        <v>63.9</v>
      </c>
      <c r="K48" s="65">
        <v>71.5</v>
      </c>
      <c r="L48" s="65">
        <v>74.8</v>
      </c>
      <c r="M48" s="65">
        <v>78</v>
      </c>
      <c r="N48" s="65">
        <v>80.900000000000006</v>
      </c>
      <c r="O48" s="65">
        <v>85.6</v>
      </c>
      <c r="P48" s="65">
        <v>87.3</v>
      </c>
      <c r="Q48" s="65">
        <v>88.7</v>
      </c>
      <c r="R48" s="65">
        <v>93.7</v>
      </c>
      <c r="S48" s="65">
        <v>100</v>
      </c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10">
        <v>12.7</v>
      </c>
      <c r="E57" s="211"/>
      <c r="F57" s="210">
        <v>100</v>
      </c>
      <c r="G57" s="211"/>
      <c r="H57" s="208"/>
      <c r="I57" s="209"/>
      <c r="J57" s="214"/>
      <c r="K57" s="215"/>
      <c r="L57" s="208">
        <v>0.39</v>
      </c>
      <c r="M57" s="209"/>
      <c r="N57" s="210"/>
      <c r="O57" s="211"/>
      <c r="P57" s="212">
        <v>11</v>
      </c>
      <c r="Q57" s="213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73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70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Grave limono sableuse beige marron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D57:E57"/>
    <mergeCell ref="F57:G57"/>
    <mergeCell ref="H57:I57"/>
    <mergeCell ref="J57:K57"/>
    <mergeCell ref="L57:M57"/>
    <mergeCell ref="N57:O57"/>
    <mergeCell ref="P57:Q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9217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9217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B1EC-A2BD-4111-9973-8906B38606F5}">
  <sheetPr codeName="Feuil8">
    <pageSetUpPr fitToPage="1"/>
  </sheetPr>
  <dimension ref="A1:Z76"/>
  <sheetViews>
    <sheetView topLeftCell="A48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6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69" t="s">
        <v>81</v>
      </c>
      <c r="T10" s="68"/>
      <c r="U10" s="68"/>
      <c r="V10" s="68"/>
      <c r="W10" s="68"/>
      <c r="X10" s="68"/>
      <c r="Y10" s="68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74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5">
        <v>12.7</v>
      </c>
      <c r="E48" s="65">
        <v>24.2</v>
      </c>
      <c r="F48" s="65">
        <v>35.200000000000003</v>
      </c>
      <c r="G48" s="65">
        <v>36.1</v>
      </c>
      <c r="H48" s="65">
        <v>36.9</v>
      </c>
      <c r="I48" s="65">
        <v>37.6</v>
      </c>
      <c r="J48" s="65">
        <v>39.5</v>
      </c>
      <c r="K48" s="65">
        <v>46.5</v>
      </c>
      <c r="L48" s="65">
        <v>50.6</v>
      </c>
      <c r="M48" s="65">
        <v>56.6</v>
      </c>
      <c r="N48" s="65">
        <v>62.9</v>
      </c>
      <c r="O48" s="65">
        <v>76.3</v>
      </c>
      <c r="P48" s="65">
        <v>83.8</v>
      </c>
      <c r="Q48" s="65">
        <v>90.8</v>
      </c>
      <c r="R48" s="65">
        <v>100</v>
      </c>
      <c r="S48" s="67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10">
        <v>14.6</v>
      </c>
      <c r="E57" s="211"/>
      <c r="F57" s="210">
        <v>80</v>
      </c>
      <c r="G57" s="211"/>
      <c r="H57" s="208"/>
      <c r="I57" s="209"/>
      <c r="J57" s="214"/>
      <c r="K57" s="215"/>
      <c r="L57" s="208">
        <v>0.19</v>
      </c>
      <c r="M57" s="209"/>
      <c r="N57" s="210"/>
      <c r="O57" s="211"/>
      <c r="P57" s="212">
        <v>3</v>
      </c>
      <c r="Q57" s="213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73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66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Grave limono sableuse marron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L57:M57"/>
    <mergeCell ref="N57:O57"/>
    <mergeCell ref="P57:Q57"/>
    <mergeCell ref="D57:E57"/>
    <mergeCell ref="F57:G57"/>
    <mergeCell ref="H57:I57"/>
    <mergeCell ref="J57:K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3BC2-6FB7-41AD-B1FD-7B7051A26E8E}">
  <sheetPr codeName="Feuil7">
    <pageSetUpPr fitToPage="1"/>
  </sheetPr>
  <dimension ref="A1:Z76"/>
  <sheetViews>
    <sheetView topLeftCell="A45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5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69" t="s">
        <v>80</v>
      </c>
      <c r="T10" s="68"/>
      <c r="U10" s="68"/>
      <c r="V10" s="68"/>
      <c r="W10" s="68"/>
      <c r="X10" s="68"/>
      <c r="Y10" s="68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72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5">
        <v>28.5</v>
      </c>
      <c r="E48" s="65">
        <v>66.599999999999994</v>
      </c>
      <c r="F48" s="65">
        <v>92.2</v>
      </c>
      <c r="G48" s="65">
        <v>92.9</v>
      </c>
      <c r="H48" s="65">
        <v>93.7</v>
      </c>
      <c r="I48" s="65">
        <v>94.4</v>
      </c>
      <c r="J48" s="65">
        <v>94.6</v>
      </c>
      <c r="K48" s="65">
        <v>94.9</v>
      </c>
      <c r="L48" s="65">
        <v>95.5</v>
      </c>
      <c r="M48" s="65">
        <v>95.8</v>
      </c>
      <c r="N48" s="65">
        <v>96.2</v>
      </c>
      <c r="O48" s="65">
        <v>96.2</v>
      </c>
      <c r="P48" s="65">
        <v>100</v>
      </c>
      <c r="Q48" s="67"/>
      <c r="R48" s="67"/>
      <c r="S48" s="67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10">
        <v>12.3</v>
      </c>
      <c r="E57" s="211"/>
      <c r="F57" s="210">
        <v>50</v>
      </c>
      <c r="G57" s="211"/>
      <c r="H57" s="208"/>
      <c r="I57" s="209"/>
      <c r="J57" s="214"/>
      <c r="K57" s="215"/>
      <c r="L57" s="208">
        <v>0.38</v>
      </c>
      <c r="M57" s="209"/>
      <c r="N57" s="210"/>
      <c r="O57" s="211"/>
      <c r="P57" s="212">
        <v>20</v>
      </c>
      <c r="Q57" s="213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61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62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Sable limono graveleux beige marron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D57:E57"/>
    <mergeCell ref="F57:G57"/>
    <mergeCell ref="H57:I57"/>
    <mergeCell ref="J57:K57"/>
    <mergeCell ref="L57:M57"/>
    <mergeCell ref="N57:O57"/>
    <mergeCell ref="P57:Q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7169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7169" r:id="rId4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639-0354-4339-ACCC-ACCE61CB5A00}">
  <sheetPr codeName="Feuil6">
    <pageSetUpPr fitToPage="1"/>
  </sheetPr>
  <dimension ref="A1:Z76"/>
  <sheetViews>
    <sheetView topLeftCell="A50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4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68" t="s">
        <v>71</v>
      </c>
      <c r="T10" s="68"/>
      <c r="U10" s="68"/>
      <c r="V10" s="68"/>
      <c r="W10" s="68"/>
      <c r="X10" s="68"/>
      <c r="Y10" s="68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69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7">
        <v>12.4</v>
      </c>
      <c r="E48" s="67">
        <v>19.100000000000001</v>
      </c>
      <c r="F48" s="67">
        <v>26.2</v>
      </c>
      <c r="G48" s="67">
        <v>30.5</v>
      </c>
      <c r="H48" s="67">
        <v>37.1</v>
      </c>
      <c r="I48" s="67">
        <v>42.7</v>
      </c>
      <c r="J48" s="67">
        <v>46.7</v>
      </c>
      <c r="K48" s="67">
        <v>52.6</v>
      </c>
      <c r="L48" s="67">
        <v>56</v>
      </c>
      <c r="M48" s="67">
        <v>58.9</v>
      </c>
      <c r="N48" s="67">
        <v>62</v>
      </c>
      <c r="O48" s="67">
        <v>65.7</v>
      </c>
      <c r="P48" s="67">
        <v>69.900000000000006</v>
      </c>
      <c r="Q48" s="67">
        <v>77.5</v>
      </c>
      <c r="R48" s="67">
        <v>90.7</v>
      </c>
      <c r="S48" s="67">
        <v>100</v>
      </c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29">
        <v>10.4</v>
      </c>
      <c r="E57" s="230"/>
      <c r="F57" s="229">
        <v>100</v>
      </c>
      <c r="G57" s="230"/>
      <c r="H57" s="227"/>
      <c r="I57" s="228"/>
      <c r="J57" s="233"/>
      <c r="K57" s="234"/>
      <c r="L57" s="227">
        <v>0.35</v>
      </c>
      <c r="M57" s="228"/>
      <c r="N57" s="229"/>
      <c r="O57" s="230"/>
      <c r="P57" s="231">
        <v>12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73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70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Grave limono sableuse marron avec blocs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7">
    <mergeCell ref="A71:Q71"/>
    <mergeCell ref="R71:T72"/>
    <mergeCell ref="U71:Z72"/>
    <mergeCell ref="A73:Q76"/>
    <mergeCell ref="R73:T76"/>
    <mergeCell ref="V74:Y75"/>
    <mergeCell ref="L57:M57"/>
    <mergeCell ref="N57:O57"/>
    <mergeCell ref="P57:Q57"/>
    <mergeCell ref="D57:E57"/>
    <mergeCell ref="F57:G57"/>
    <mergeCell ref="H57:I57"/>
    <mergeCell ref="J57:K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6145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6145" r:id="rId4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264F-EF5F-46E4-A33C-603E51953DB7}">
  <sheetPr codeName="Feuil5">
    <pageSetUpPr fitToPage="1"/>
  </sheetPr>
  <dimension ref="A1:Z76"/>
  <sheetViews>
    <sheetView topLeftCell="A48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3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123" t="s">
        <v>67</v>
      </c>
      <c r="T10" s="123"/>
      <c r="U10" s="123"/>
      <c r="V10" s="123"/>
      <c r="W10" s="123"/>
      <c r="X10" s="123"/>
      <c r="Y10" s="123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64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7">
        <v>65.8</v>
      </c>
      <c r="E48" s="67">
        <v>93.9</v>
      </c>
      <c r="F48" s="67">
        <v>99.4</v>
      </c>
      <c r="G48" s="67">
        <v>99.8</v>
      </c>
      <c r="H48" s="67">
        <v>99.9</v>
      </c>
      <c r="I48" s="67">
        <v>100</v>
      </c>
      <c r="J48" s="67"/>
      <c r="K48" s="67"/>
      <c r="L48" s="67"/>
      <c r="M48" s="65"/>
      <c r="N48" s="65"/>
      <c r="O48" s="65"/>
      <c r="P48" s="65"/>
      <c r="Q48" s="65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29">
        <v>31.3</v>
      </c>
      <c r="E57" s="230"/>
      <c r="F57" s="229">
        <v>2</v>
      </c>
      <c r="G57" s="230"/>
      <c r="H57" s="227"/>
      <c r="I57" s="228"/>
      <c r="J57" s="233"/>
      <c r="K57" s="234"/>
      <c r="L57" s="227">
        <v>0.69</v>
      </c>
      <c r="M57" s="228"/>
      <c r="N57" s="229"/>
      <c r="O57" s="230"/>
      <c r="P57" s="231">
        <v>0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65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66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Limon sableux gris bleu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8">
    <mergeCell ref="A71:Q71"/>
    <mergeCell ref="R71:T72"/>
    <mergeCell ref="U71:Z72"/>
    <mergeCell ref="A73:Q76"/>
    <mergeCell ref="R73:T76"/>
    <mergeCell ref="V74:Y75"/>
    <mergeCell ref="D57:E57"/>
    <mergeCell ref="F57:G57"/>
    <mergeCell ref="H57:I57"/>
    <mergeCell ref="J57:K57"/>
    <mergeCell ref="L57:M57"/>
    <mergeCell ref="N57:O57"/>
    <mergeCell ref="P57:Q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5121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5121" r:id="rId4" name="Command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45FD-970B-47A4-9661-F8C3995F5121}">
  <sheetPr codeName="Feuil4">
    <pageSetUpPr fitToPage="1"/>
  </sheetPr>
  <dimension ref="A1:Z76"/>
  <sheetViews>
    <sheetView topLeftCell="A45" workbookViewId="0">
      <selection activeCell="U70" sqref="U70:Z7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2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123" t="s">
        <v>68</v>
      </c>
      <c r="T10" s="123"/>
      <c r="U10" s="123"/>
      <c r="V10" s="123"/>
      <c r="W10" s="123"/>
      <c r="X10" s="123"/>
      <c r="Y10" s="123"/>
      <c r="Z10" s="14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63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7">
        <v>41.6</v>
      </c>
      <c r="E48" s="67">
        <v>89.6</v>
      </c>
      <c r="F48" s="67">
        <v>99.3</v>
      </c>
      <c r="G48" s="67">
        <v>99.5</v>
      </c>
      <c r="H48" s="67">
        <v>99.8</v>
      </c>
      <c r="I48" s="67">
        <v>99.9</v>
      </c>
      <c r="J48" s="67">
        <v>100</v>
      </c>
      <c r="K48" s="67"/>
      <c r="L48" s="67"/>
      <c r="M48" s="65"/>
      <c r="N48" s="65"/>
      <c r="O48" s="65"/>
      <c r="P48" s="65"/>
      <c r="Q48" s="65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29">
        <v>13.1</v>
      </c>
      <c r="E57" s="230"/>
      <c r="F57" s="229">
        <v>5</v>
      </c>
      <c r="G57" s="230"/>
      <c r="H57" s="227"/>
      <c r="I57" s="228"/>
      <c r="J57" s="233"/>
      <c r="K57" s="234"/>
      <c r="L57" s="227">
        <v>0.37</v>
      </c>
      <c r="M57" s="228"/>
      <c r="N57" s="229"/>
      <c r="O57" s="230"/>
      <c r="P57" s="231">
        <v>17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65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62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Limon sableux beige marron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8">
    <mergeCell ref="A71:Q71"/>
    <mergeCell ref="R71:T72"/>
    <mergeCell ref="U71:Z72"/>
    <mergeCell ref="A73:Q76"/>
    <mergeCell ref="R73:T76"/>
    <mergeCell ref="V74:Y75"/>
    <mergeCell ref="L57:M57"/>
    <mergeCell ref="N57:O57"/>
    <mergeCell ref="P57:Q57"/>
    <mergeCell ref="D57:E57"/>
    <mergeCell ref="F57:G57"/>
    <mergeCell ref="H57:I57"/>
    <mergeCell ref="J57:K57"/>
    <mergeCell ref="D66:E66"/>
    <mergeCell ref="F66:G66"/>
    <mergeCell ref="H66:I66"/>
    <mergeCell ref="J66:K66"/>
    <mergeCell ref="U69:Z69"/>
    <mergeCell ref="A70:Q70"/>
    <mergeCell ref="R70:T70"/>
    <mergeCell ref="U70:Z70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P56:Q56"/>
    <mergeCell ref="B57:C57"/>
    <mergeCell ref="D56:E56"/>
    <mergeCell ref="F56:G56"/>
    <mergeCell ref="H56:I56"/>
    <mergeCell ref="J56:K56"/>
    <mergeCell ref="L56:M56"/>
    <mergeCell ref="N56:O5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4097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75</xdr:row>
                <xdr:rowOff>0</xdr:rowOff>
              </to>
            </anchor>
          </controlPr>
        </control>
      </mc:Choice>
      <mc:Fallback>
        <control shapeId="4097" r:id="rId4" name="CommandButton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Z76"/>
  <sheetViews>
    <sheetView tabSelected="1" workbookViewId="0">
      <selection activeCell="AE67" sqref="AE67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16384" width="11.44140625" style="1"/>
  </cols>
  <sheetData>
    <row r="1" spans="1:26" ht="12.75" customHeight="1" x14ac:dyDescent="0.25">
      <c r="A1" s="84"/>
      <c r="B1" s="85"/>
      <c r="C1" s="85"/>
      <c r="D1" s="85"/>
      <c r="E1" s="85"/>
      <c r="F1" s="86"/>
      <c r="G1" s="93" t="s">
        <v>44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96" t="s">
        <v>78</v>
      </c>
      <c r="V1" s="97"/>
      <c r="W1" s="97"/>
      <c r="X1" s="97"/>
      <c r="Y1" s="97"/>
      <c r="Z1" s="98"/>
    </row>
    <row r="2" spans="1:26" ht="12.75" customHeight="1" x14ac:dyDescent="0.25">
      <c r="A2" s="87"/>
      <c r="B2" s="88"/>
      <c r="C2" s="88"/>
      <c r="D2" s="88"/>
      <c r="E2" s="88"/>
      <c r="F2" s="89"/>
      <c r="G2" s="105" t="s">
        <v>53</v>
      </c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99"/>
      <c r="V2" s="100"/>
      <c r="W2" s="100"/>
      <c r="X2" s="100"/>
      <c r="Y2" s="100"/>
      <c r="Z2" s="101"/>
    </row>
    <row r="3" spans="1:26" ht="12.75" customHeight="1" x14ac:dyDescent="0.25">
      <c r="A3" s="87"/>
      <c r="B3" s="88"/>
      <c r="C3" s="88"/>
      <c r="D3" s="88"/>
      <c r="E3" s="88"/>
      <c r="F3" s="89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9"/>
      <c r="V3" s="100"/>
      <c r="W3" s="100"/>
      <c r="X3" s="100"/>
      <c r="Y3" s="100"/>
      <c r="Z3" s="101"/>
    </row>
    <row r="4" spans="1:26" ht="12.75" customHeight="1" x14ac:dyDescent="0.25">
      <c r="A4" s="87"/>
      <c r="B4" s="88"/>
      <c r="C4" s="88"/>
      <c r="D4" s="88"/>
      <c r="E4" s="88"/>
      <c r="F4" s="89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99"/>
      <c r="V4" s="100"/>
      <c r="W4" s="100"/>
      <c r="X4" s="100"/>
      <c r="Y4" s="100"/>
      <c r="Z4" s="101"/>
    </row>
    <row r="5" spans="1:26" ht="12.75" customHeight="1" x14ac:dyDescent="0.25">
      <c r="A5" s="87"/>
      <c r="B5" s="88"/>
      <c r="C5" s="88"/>
      <c r="D5" s="88"/>
      <c r="E5" s="88"/>
      <c r="F5" s="89"/>
      <c r="G5" s="108" t="s">
        <v>49</v>
      </c>
      <c r="H5" s="109"/>
      <c r="I5" s="2" t="s">
        <v>45</v>
      </c>
      <c r="J5" s="110">
        <v>1</v>
      </c>
      <c r="K5" s="111"/>
      <c r="L5" s="112" t="s">
        <v>58</v>
      </c>
      <c r="M5" s="112"/>
      <c r="N5" s="112"/>
      <c r="O5" s="113"/>
      <c r="P5" s="114">
        <v>45730</v>
      </c>
      <c r="Q5" s="115"/>
      <c r="R5" s="115"/>
      <c r="S5" s="115"/>
      <c r="T5" s="116"/>
      <c r="U5" s="99"/>
      <c r="V5" s="100"/>
      <c r="W5" s="100"/>
      <c r="X5" s="100"/>
      <c r="Y5" s="100"/>
      <c r="Z5" s="101"/>
    </row>
    <row r="6" spans="1:26" ht="12.75" customHeight="1" x14ac:dyDescent="0.25">
      <c r="A6" s="90"/>
      <c r="B6" s="91"/>
      <c r="C6" s="91"/>
      <c r="D6" s="91"/>
      <c r="E6" s="91"/>
      <c r="F6" s="92"/>
      <c r="G6" s="3"/>
      <c r="H6" s="4"/>
      <c r="I6" s="4"/>
      <c r="J6" s="78" t="s">
        <v>46</v>
      </c>
      <c r="K6" s="78"/>
      <c r="L6" s="78" t="s">
        <v>47</v>
      </c>
      <c r="M6" s="78"/>
      <c r="N6" s="78"/>
      <c r="O6" s="78"/>
      <c r="P6" s="78" t="s">
        <v>48</v>
      </c>
      <c r="Q6" s="78"/>
      <c r="R6" s="78"/>
      <c r="S6" s="78"/>
      <c r="T6" s="79"/>
      <c r="U6" s="102"/>
      <c r="V6" s="103"/>
      <c r="W6" s="103"/>
      <c r="X6" s="103"/>
      <c r="Y6" s="103"/>
      <c r="Z6" s="104"/>
    </row>
    <row r="7" spans="1:26" ht="36.6" customHeight="1" x14ac:dyDescent="0.25">
      <c r="A7" s="80" t="s">
        <v>34</v>
      </c>
      <c r="B7" s="80"/>
      <c r="C7" s="80"/>
      <c r="D7" s="80"/>
      <c r="E7" s="80"/>
      <c r="F7" s="80"/>
      <c r="G7" s="81" t="s">
        <v>43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.6" customHeight="1" x14ac:dyDescent="0.25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2" t="s">
        <v>33</v>
      </c>
      <c r="C10" s="82"/>
      <c r="D10" s="82"/>
      <c r="E10" s="82"/>
      <c r="F10" s="82"/>
      <c r="G10" s="82"/>
      <c r="H10" s="83" t="s">
        <v>59</v>
      </c>
      <c r="I10" s="83"/>
      <c r="J10" s="83"/>
      <c r="K10" s="83"/>
      <c r="L10" s="83"/>
      <c r="M10" s="83"/>
      <c r="N10" s="82" t="s">
        <v>1</v>
      </c>
      <c r="O10" s="82"/>
      <c r="P10" s="82"/>
      <c r="Q10" s="82"/>
      <c r="R10" s="82"/>
      <c r="S10" s="123" t="s">
        <v>79</v>
      </c>
      <c r="T10" s="123"/>
      <c r="U10" s="123"/>
      <c r="V10" s="123"/>
      <c r="W10" s="123"/>
      <c r="X10" s="123"/>
      <c r="Y10" s="123"/>
      <c r="Z10" s="235"/>
    </row>
    <row r="11" spans="1:26" ht="15.9" customHeight="1" x14ac:dyDescent="0.25">
      <c r="A11" s="10"/>
      <c r="B11" s="82" t="s">
        <v>21</v>
      </c>
      <c r="C11" s="82"/>
      <c r="D11" s="82"/>
      <c r="E11" s="82"/>
      <c r="F11" s="82"/>
      <c r="G11" s="82"/>
      <c r="H11" s="83">
        <v>45716</v>
      </c>
      <c r="I11" s="83"/>
      <c r="J11" s="83"/>
      <c r="K11" s="83"/>
      <c r="L11" s="83"/>
      <c r="M11" s="83"/>
      <c r="N11" s="82" t="s">
        <v>2</v>
      </c>
      <c r="O11" s="82"/>
      <c r="P11" s="82"/>
      <c r="Q11" s="82"/>
      <c r="R11" s="82"/>
      <c r="S11" s="123" t="s">
        <v>60</v>
      </c>
      <c r="T11" s="123"/>
      <c r="U11" s="123"/>
      <c r="V11" s="123"/>
      <c r="W11" s="123"/>
      <c r="X11" s="123"/>
      <c r="Y11" s="123"/>
      <c r="Z11" s="14"/>
    </row>
    <row r="12" spans="1:26" ht="15.9" customHeight="1" x14ac:dyDescent="0.25">
      <c r="A12" s="10"/>
      <c r="B12" s="82" t="s">
        <v>31</v>
      </c>
      <c r="C12" s="82"/>
      <c r="D12" s="82"/>
      <c r="E12" s="82"/>
      <c r="F12" s="82"/>
      <c r="G12" s="82"/>
      <c r="H12" s="83">
        <v>45729</v>
      </c>
      <c r="I12" s="83"/>
      <c r="J12" s="83"/>
      <c r="K12" s="83"/>
      <c r="L12" s="83"/>
      <c r="M12" s="83"/>
      <c r="N12" s="82" t="s">
        <v>3</v>
      </c>
      <c r="O12" s="82"/>
      <c r="P12" s="82"/>
      <c r="Q12" s="82"/>
      <c r="R12" s="82"/>
      <c r="S12" s="123"/>
      <c r="T12" s="123"/>
      <c r="U12" s="123"/>
      <c r="V12" s="123"/>
      <c r="W12" s="123"/>
      <c r="X12" s="123"/>
      <c r="Y12" s="123"/>
      <c r="Z12" s="14"/>
    </row>
    <row r="13" spans="1:26" ht="8.25" customHeight="1" x14ac:dyDescent="0.25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" x14ac:dyDescent="0.25">
      <c r="A16" s="26"/>
      <c r="B16" s="27"/>
      <c r="Z16" s="28"/>
    </row>
    <row r="17" spans="1:26" s="19" customFormat="1" ht="15" x14ac:dyDescent="0.25">
      <c r="A17" s="26"/>
      <c r="B17" s="117" t="s">
        <v>38</v>
      </c>
      <c r="C17" s="117"/>
      <c r="D17" s="117"/>
      <c r="E17" s="117"/>
      <c r="F17" s="117"/>
      <c r="G17" s="117"/>
      <c r="H17" s="11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9"/>
    </row>
    <row r="18" spans="1:26" s="19" customFormat="1" ht="15" x14ac:dyDescent="0.25">
      <c r="A18" s="26"/>
      <c r="B18" s="117" t="s">
        <v>39</v>
      </c>
      <c r="C18" s="117"/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29"/>
    </row>
    <row r="19" spans="1:26" s="19" customFormat="1" ht="13.2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5">
      <c r="D20" s="11"/>
      <c r="E20" s="11"/>
      <c r="F20" s="11"/>
      <c r="G20" s="11"/>
      <c r="N20" s="33"/>
    </row>
    <row r="21" spans="1:26" ht="15.6" customHeight="1" x14ac:dyDescent="0.25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Z24" s="12"/>
    </row>
    <row r="25" spans="1:26" ht="12.75" customHeight="1" x14ac:dyDescent="0.25">
      <c r="A25" s="10"/>
      <c r="Z25" s="12"/>
    </row>
    <row r="26" spans="1:26" ht="12.75" customHeight="1" x14ac:dyDescent="0.25">
      <c r="A26" s="10"/>
      <c r="Z26" s="12"/>
    </row>
    <row r="27" spans="1:26" ht="12.75" customHeight="1" x14ac:dyDescent="0.25">
      <c r="A27" s="10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0"/>
      <c r="Z29" s="12"/>
    </row>
    <row r="30" spans="1:26" ht="12.75" customHeight="1" x14ac:dyDescent="0.25">
      <c r="A30" s="10"/>
      <c r="Z30" s="12"/>
    </row>
    <row r="31" spans="1:26" ht="12.75" customHeight="1" x14ac:dyDescent="0.25">
      <c r="A31" s="10"/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Z34" s="12"/>
    </row>
    <row r="35" spans="1:26" ht="12.75" customHeight="1" x14ac:dyDescent="0.25">
      <c r="A35" s="10"/>
      <c r="Z35" s="12"/>
    </row>
    <row r="36" spans="1:26" ht="12.75" customHeight="1" x14ac:dyDescent="0.25">
      <c r="A36" s="10"/>
      <c r="Z36" s="12"/>
    </row>
    <row r="37" spans="1:26" ht="12.75" customHeight="1" x14ac:dyDescent="0.25">
      <c r="A37" s="10"/>
      <c r="Z37" s="12"/>
    </row>
    <row r="38" spans="1:26" ht="12.75" customHeight="1" x14ac:dyDescent="0.25">
      <c r="A38" s="10"/>
      <c r="Z38" s="12"/>
    </row>
    <row r="39" spans="1:26" ht="12.75" customHeight="1" x14ac:dyDescent="0.25">
      <c r="A39" s="10"/>
      <c r="Z39" s="12"/>
    </row>
    <row r="40" spans="1:26" ht="12.75" customHeight="1" x14ac:dyDescent="0.25">
      <c r="A40" s="10"/>
      <c r="Z40" s="12"/>
    </row>
    <row r="41" spans="1:26" ht="12.75" customHeight="1" x14ac:dyDescent="0.25">
      <c r="A41" s="10"/>
      <c r="Z41" s="12"/>
    </row>
    <row r="42" spans="1:26" ht="12.75" customHeight="1" x14ac:dyDescent="0.25">
      <c r="A42" s="10"/>
      <c r="Z42" s="12"/>
    </row>
    <row r="43" spans="1:26" ht="12.75" customHeight="1" x14ac:dyDescent="0.25">
      <c r="A43" s="10"/>
      <c r="Z43" s="12"/>
    </row>
    <row r="44" spans="1:26" ht="12.75" customHeight="1" x14ac:dyDescent="0.25">
      <c r="A44" s="10"/>
      <c r="Z44" s="12"/>
    </row>
    <row r="45" spans="1:26" ht="12.75" customHeight="1" x14ac:dyDescent="0.25">
      <c r="A45" s="10"/>
      <c r="Z45" s="12"/>
    </row>
    <row r="46" spans="1:26" ht="18" customHeight="1" x14ac:dyDescent="0.25">
      <c r="A46" s="36"/>
      <c r="B46" s="119" t="s">
        <v>4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120"/>
      <c r="V46" s="37"/>
      <c r="W46" s="37"/>
      <c r="X46" s="37"/>
      <c r="Y46" s="37"/>
      <c r="Z46" s="38"/>
    </row>
    <row r="47" spans="1:26" ht="15.9" customHeight="1" x14ac:dyDescent="0.25">
      <c r="A47" s="39"/>
      <c r="B47" s="121" t="s">
        <v>32</v>
      </c>
      <c r="C47" s="122"/>
      <c r="D47" s="66">
        <v>0.08</v>
      </c>
      <c r="E47" s="40">
        <v>0.2</v>
      </c>
      <c r="F47" s="40">
        <v>0.5</v>
      </c>
      <c r="G47" s="40">
        <v>1</v>
      </c>
      <c r="H47" s="40">
        <v>2</v>
      </c>
      <c r="I47" s="40">
        <v>5</v>
      </c>
      <c r="J47" s="40">
        <v>10</v>
      </c>
      <c r="K47" s="40">
        <v>20</v>
      </c>
      <c r="L47" s="40">
        <v>25</v>
      </c>
      <c r="M47" s="40">
        <v>31.5</v>
      </c>
      <c r="N47" s="40">
        <v>40</v>
      </c>
      <c r="O47" s="40">
        <v>50</v>
      </c>
      <c r="P47" s="40">
        <v>63</v>
      </c>
      <c r="Q47" s="40">
        <v>80</v>
      </c>
      <c r="R47" s="40">
        <v>100</v>
      </c>
      <c r="S47" s="40">
        <v>125</v>
      </c>
      <c r="T47" s="40">
        <v>150</v>
      </c>
      <c r="U47" s="40">
        <v>200</v>
      </c>
      <c r="V47" s="19"/>
      <c r="W47" s="19"/>
      <c r="X47" s="19"/>
      <c r="Y47" s="19"/>
      <c r="Z47" s="28"/>
    </row>
    <row r="48" spans="1:26" ht="15.9" customHeight="1" x14ac:dyDescent="0.25">
      <c r="A48" s="127" t="s">
        <v>20</v>
      </c>
      <c r="B48" s="130"/>
      <c r="C48" s="131"/>
      <c r="D48" s="67">
        <v>22.4</v>
      </c>
      <c r="E48" s="67">
        <v>62.9</v>
      </c>
      <c r="F48" s="67">
        <v>88.9</v>
      </c>
      <c r="G48" s="67">
        <v>89.1</v>
      </c>
      <c r="H48" s="67">
        <v>89.2</v>
      </c>
      <c r="I48" s="67">
        <v>89.4</v>
      </c>
      <c r="J48" s="67">
        <v>89.4</v>
      </c>
      <c r="K48" s="67">
        <v>89.4</v>
      </c>
      <c r="L48" s="67">
        <v>100</v>
      </c>
      <c r="M48" s="65"/>
      <c r="N48" s="65"/>
      <c r="O48" s="65"/>
      <c r="P48" s="65"/>
      <c r="Q48" s="65"/>
      <c r="R48" s="42"/>
      <c r="S48" s="42"/>
      <c r="T48" s="42"/>
      <c r="U48" s="42"/>
      <c r="V48" s="19"/>
      <c r="W48" s="19"/>
      <c r="X48" s="19"/>
      <c r="Y48" s="19"/>
      <c r="Z48" s="28"/>
    </row>
    <row r="49" spans="1:26" ht="15.9" customHeight="1" x14ac:dyDescent="0.25">
      <c r="A49" s="128"/>
      <c r="B49" s="132"/>
      <c r="C49" s="133"/>
      <c r="D49" s="41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19"/>
      <c r="W49" s="19"/>
      <c r="X49" s="19"/>
      <c r="Y49" s="19"/>
      <c r="Z49" s="28"/>
    </row>
    <row r="50" spans="1:26" ht="15.9" customHeight="1" x14ac:dyDescent="0.25">
      <c r="A50" s="128"/>
      <c r="B50" s="132"/>
      <c r="C50" s="133"/>
      <c r="D50" s="41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19"/>
      <c r="W50" s="19"/>
      <c r="X50" s="19"/>
      <c r="Y50" s="19"/>
      <c r="Z50" s="28"/>
    </row>
    <row r="51" spans="1:26" ht="15.9" customHeight="1" x14ac:dyDescent="0.25">
      <c r="A51" s="129"/>
      <c r="B51" s="132"/>
      <c r="C51" s="133"/>
      <c r="D51" s="41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19"/>
      <c r="W51" s="19"/>
      <c r="X51" s="19"/>
      <c r="Y51" s="19"/>
      <c r="Z51" s="28"/>
    </row>
    <row r="52" spans="1:26" ht="15.9" customHeight="1" x14ac:dyDescent="0.25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5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3"/>
      <c r="U54" s="44"/>
    </row>
    <row r="55" spans="1:26" ht="15.9" customHeight="1" x14ac:dyDescent="0.25">
      <c r="A55" s="10"/>
      <c r="R55" s="12"/>
      <c r="T55" s="43"/>
      <c r="U55" s="44"/>
      <c r="V55" s="43"/>
    </row>
    <row r="56" spans="1:26" ht="15.9" customHeight="1" x14ac:dyDescent="0.25">
      <c r="A56" s="45"/>
      <c r="B56" s="124" t="s">
        <v>32</v>
      </c>
      <c r="C56" s="124"/>
      <c r="D56" s="124" t="s">
        <v>13</v>
      </c>
      <c r="E56" s="124"/>
      <c r="F56" s="121" t="s">
        <v>52</v>
      </c>
      <c r="G56" s="122"/>
      <c r="H56" s="124" t="s">
        <v>24</v>
      </c>
      <c r="I56" s="124"/>
      <c r="J56" s="124" t="s">
        <v>23</v>
      </c>
      <c r="K56" s="124"/>
      <c r="L56" s="124" t="s">
        <v>8</v>
      </c>
      <c r="M56" s="124"/>
      <c r="N56" s="124" t="s">
        <v>10</v>
      </c>
      <c r="O56" s="124"/>
      <c r="P56" s="124" t="s">
        <v>9</v>
      </c>
      <c r="Q56" s="124"/>
      <c r="R56" s="12"/>
      <c r="T56" s="5" t="s">
        <v>28</v>
      </c>
      <c r="U56" s="6" t="s">
        <v>12</v>
      </c>
      <c r="V56" s="34"/>
      <c r="W56" s="34"/>
      <c r="X56" s="34"/>
      <c r="Y56" s="34"/>
      <c r="Z56" s="46"/>
    </row>
    <row r="57" spans="1:26" ht="15.9" customHeight="1" x14ac:dyDescent="0.25">
      <c r="A57" s="45"/>
      <c r="B57" s="125"/>
      <c r="C57" s="126"/>
      <c r="D57" s="229">
        <v>10.5</v>
      </c>
      <c r="E57" s="230"/>
      <c r="F57" s="229">
        <v>100</v>
      </c>
      <c r="G57" s="230"/>
      <c r="H57" s="227"/>
      <c r="I57" s="228"/>
      <c r="J57" s="233"/>
      <c r="K57" s="234"/>
      <c r="L57" s="227">
        <v>0.31</v>
      </c>
      <c r="M57" s="228"/>
      <c r="N57" s="229"/>
      <c r="O57" s="230"/>
      <c r="P57" s="231">
        <v>21</v>
      </c>
      <c r="Q57" s="232"/>
      <c r="R57" s="12"/>
      <c r="T57" s="47"/>
      <c r="U57" s="48" t="s">
        <v>51</v>
      </c>
      <c r="Z57" s="12"/>
    </row>
    <row r="58" spans="1:26" ht="15.9" customHeight="1" x14ac:dyDescent="0.25">
      <c r="A58" s="45"/>
      <c r="B58" s="144"/>
      <c r="C58" s="145"/>
      <c r="D58" s="134"/>
      <c r="E58" s="135"/>
      <c r="F58" s="134"/>
      <c r="G58" s="135"/>
      <c r="H58" s="140"/>
      <c r="I58" s="141"/>
      <c r="J58" s="142"/>
      <c r="K58" s="143"/>
      <c r="L58" s="140"/>
      <c r="M58" s="141"/>
      <c r="N58" s="134"/>
      <c r="O58" s="135"/>
      <c r="P58" s="136"/>
      <c r="Q58" s="137"/>
      <c r="R58" s="12"/>
      <c r="T58" s="47"/>
      <c r="W58" s="49"/>
      <c r="X58" s="49"/>
      <c r="Y58" s="49"/>
      <c r="Z58" s="50"/>
    </row>
    <row r="59" spans="1:26" ht="15.9" customHeight="1" x14ac:dyDescent="0.25">
      <c r="A59" s="45"/>
      <c r="B59" s="138"/>
      <c r="C59" s="139"/>
      <c r="D59" s="134"/>
      <c r="E59" s="135"/>
      <c r="F59" s="134"/>
      <c r="G59" s="135"/>
      <c r="H59" s="140"/>
      <c r="I59" s="141"/>
      <c r="J59" s="142"/>
      <c r="K59" s="143"/>
      <c r="L59" s="140"/>
      <c r="M59" s="141"/>
      <c r="N59" s="134"/>
      <c r="O59" s="135"/>
      <c r="P59" s="136"/>
      <c r="Q59" s="137"/>
      <c r="R59" s="12"/>
      <c r="T59" s="47"/>
      <c r="U59" s="13" t="s">
        <v>6</v>
      </c>
      <c r="V59" s="64"/>
      <c r="W59" s="146" t="s">
        <v>61</v>
      </c>
      <c r="X59" s="146"/>
      <c r="Y59" s="146"/>
      <c r="Z59" s="12"/>
    </row>
    <row r="60" spans="1:26" ht="15.9" customHeight="1" x14ac:dyDescent="0.25">
      <c r="A60" s="51"/>
      <c r="B60" s="147"/>
      <c r="C60" s="148"/>
      <c r="D60" s="149"/>
      <c r="E60" s="150"/>
      <c r="F60" s="149"/>
      <c r="G60" s="150"/>
      <c r="H60" s="151"/>
      <c r="I60" s="152"/>
      <c r="J60" s="153"/>
      <c r="K60" s="154"/>
      <c r="L60" s="151"/>
      <c r="M60" s="152"/>
      <c r="N60" s="149"/>
      <c r="O60" s="150"/>
      <c r="P60" s="155"/>
      <c r="Q60" s="156"/>
      <c r="R60" s="12"/>
      <c r="T60" s="47"/>
      <c r="U60" s="64" t="s">
        <v>11</v>
      </c>
      <c r="V60" s="64"/>
      <c r="W60" s="157" t="s">
        <v>62</v>
      </c>
      <c r="X60" s="157"/>
      <c r="Y60" s="157"/>
      <c r="Z60" s="50"/>
    </row>
    <row r="61" spans="1:26" ht="15.9" customHeight="1" x14ac:dyDescent="0.25">
      <c r="A61" s="10"/>
      <c r="R61" s="12"/>
      <c r="T61" s="47"/>
      <c r="U61" s="64"/>
      <c r="V61" s="64"/>
      <c r="W61" s="64"/>
      <c r="X61" s="64"/>
      <c r="Y61" s="64"/>
      <c r="Z61" s="12"/>
    </row>
    <row r="62" spans="1:26" ht="15.9" customHeight="1" x14ac:dyDescent="0.25">
      <c r="A62" s="10"/>
      <c r="B62" s="184" t="s">
        <v>14</v>
      </c>
      <c r="C62" s="184"/>
      <c r="D62" s="184" t="s">
        <v>15</v>
      </c>
      <c r="E62" s="184"/>
      <c r="F62" s="184" t="s">
        <v>16</v>
      </c>
      <c r="G62" s="184"/>
      <c r="H62" s="184" t="s">
        <v>17</v>
      </c>
      <c r="I62" s="184"/>
      <c r="J62" s="93" t="s">
        <v>18</v>
      </c>
      <c r="K62" s="95"/>
      <c r="L62" s="121" t="s">
        <v>22</v>
      </c>
      <c r="M62" s="185"/>
      <c r="N62" s="159"/>
      <c r="O62" s="121" t="s">
        <v>19</v>
      </c>
      <c r="P62" s="158"/>
      <c r="Q62" s="159"/>
      <c r="R62" s="12"/>
      <c r="T62" s="47"/>
      <c r="U62" s="64" t="s">
        <v>7</v>
      </c>
      <c r="V62" s="64"/>
      <c r="W62" s="64"/>
      <c r="X62" s="64"/>
      <c r="Y62" s="64"/>
      <c r="Z62" s="50"/>
    </row>
    <row r="63" spans="1:26" ht="15.9" customHeight="1" x14ac:dyDescent="0.25">
      <c r="A63" s="45"/>
      <c r="B63" s="160"/>
      <c r="C63" s="161"/>
      <c r="D63" s="160"/>
      <c r="E63" s="161"/>
      <c r="F63" s="162"/>
      <c r="G63" s="163"/>
      <c r="H63" s="162"/>
      <c r="I63" s="163"/>
      <c r="J63" s="164"/>
      <c r="K63" s="165"/>
      <c r="L63" s="166"/>
      <c r="M63" s="167"/>
      <c r="N63" s="168"/>
      <c r="O63" s="175"/>
      <c r="P63" s="176"/>
      <c r="Q63" s="177"/>
      <c r="R63" s="12"/>
      <c r="T63" s="47"/>
      <c r="U63" s="225" t="str">
        <f>IF(S10&lt;&gt;"",S10,"")</f>
        <v>Sable limoneux beige marron avec blocs</v>
      </c>
      <c r="V63" s="225"/>
      <c r="W63" s="225"/>
      <c r="X63" s="225"/>
      <c r="Y63" s="225"/>
      <c r="Z63" s="50"/>
    </row>
    <row r="64" spans="1:26" ht="15.9" customHeight="1" x14ac:dyDescent="0.25">
      <c r="A64" s="45"/>
      <c r="B64" s="136"/>
      <c r="C64" s="137"/>
      <c r="D64" s="136"/>
      <c r="E64" s="137"/>
      <c r="F64" s="134"/>
      <c r="G64" s="135"/>
      <c r="H64" s="134"/>
      <c r="I64" s="135"/>
      <c r="J64" s="142"/>
      <c r="K64" s="143"/>
      <c r="L64" s="169"/>
      <c r="M64" s="170"/>
      <c r="N64" s="171"/>
      <c r="O64" s="178"/>
      <c r="P64" s="179"/>
      <c r="Q64" s="180"/>
      <c r="R64" s="12"/>
      <c r="T64" s="47"/>
      <c r="U64" s="225"/>
      <c r="V64" s="225"/>
      <c r="W64" s="225"/>
      <c r="X64" s="225"/>
      <c r="Y64" s="225"/>
      <c r="Z64" s="50"/>
    </row>
    <row r="65" spans="1:26" ht="15.9" customHeight="1" x14ac:dyDescent="0.25">
      <c r="A65" s="45"/>
      <c r="B65" s="136"/>
      <c r="C65" s="137"/>
      <c r="D65" s="136"/>
      <c r="E65" s="137"/>
      <c r="F65" s="134"/>
      <c r="G65" s="135"/>
      <c r="H65" s="134"/>
      <c r="I65" s="135"/>
      <c r="J65" s="142"/>
      <c r="K65" s="143"/>
      <c r="L65" s="169"/>
      <c r="M65" s="170"/>
      <c r="N65" s="171"/>
      <c r="O65" s="178"/>
      <c r="P65" s="179"/>
      <c r="Q65" s="180"/>
      <c r="R65" s="12"/>
      <c r="T65" s="3"/>
      <c r="U65" s="226"/>
      <c r="V65" s="226"/>
      <c r="W65" s="226"/>
      <c r="X65" s="226"/>
      <c r="Y65" s="226"/>
      <c r="Z65" s="53"/>
    </row>
    <row r="66" spans="1:26" ht="15.9" customHeight="1" x14ac:dyDescent="0.25">
      <c r="A66" s="45"/>
      <c r="B66" s="155"/>
      <c r="C66" s="156"/>
      <c r="D66" s="155"/>
      <c r="E66" s="156"/>
      <c r="F66" s="149"/>
      <c r="G66" s="150"/>
      <c r="H66" s="149"/>
      <c r="I66" s="150"/>
      <c r="J66" s="153"/>
      <c r="K66" s="154"/>
      <c r="L66" s="172"/>
      <c r="M66" s="173"/>
      <c r="N66" s="174"/>
      <c r="O66" s="181"/>
      <c r="P66" s="182"/>
      <c r="Q66" s="183"/>
      <c r="R66" s="12"/>
    </row>
    <row r="67" spans="1:26" ht="15.9" customHeight="1" x14ac:dyDescent="0.25">
      <c r="A67" s="54"/>
      <c r="B67" s="5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5">
      <c r="A68" s="56"/>
      <c r="B68" s="57"/>
    </row>
    <row r="69" spans="1:26" s="19" customFormat="1" ht="15.6" customHeight="1" x14ac:dyDescent="0.25">
      <c r="A69" s="58" t="s">
        <v>40</v>
      </c>
      <c r="B69" s="59" t="s">
        <v>41</v>
      </c>
      <c r="C69" s="60"/>
      <c r="D69" s="60"/>
      <c r="E69" s="60"/>
      <c r="F69" s="61"/>
      <c r="G69" s="61"/>
      <c r="H69" s="61"/>
      <c r="I69" s="7"/>
      <c r="J69" s="7"/>
      <c r="K69" s="7"/>
      <c r="L69" s="7"/>
      <c r="M69" s="7"/>
      <c r="N69" s="7"/>
      <c r="O69" s="7"/>
      <c r="P69" s="7"/>
      <c r="Q69" s="61"/>
      <c r="R69" s="7"/>
      <c r="S69" s="7"/>
      <c r="T69" s="7"/>
      <c r="U69" s="216"/>
      <c r="V69" s="216"/>
      <c r="W69" s="216"/>
      <c r="X69" s="217"/>
      <c r="Y69" s="217"/>
      <c r="Z69" s="218"/>
    </row>
    <row r="70" spans="1:26" s="19" customFormat="1" ht="26.4" customHeight="1" x14ac:dyDescent="0.25">
      <c r="A70" s="219" t="s">
        <v>54</v>
      </c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1"/>
      <c r="R70" s="189" t="s">
        <v>35</v>
      </c>
      <c r="S70" s="190"/>
      <c r="T70" s="191"/>
      <c r="U70" s="222" t="s">
        <v>55</v>
      </c>
      <c r="V70" s="223"/>
      <c r="W70" s="223"/>
      <c r="X70" s="223"/>
      <c r="Y70" s="223"/>
      <c r="Z70" s="224"/>
    </row>
    <row r="71" spans="1:26" s="19" customFormat="1" ht="26.4" customHeight="1" x14ac:dyDescent="0.25">
      <c r="A71" s="186" t="s">
        <v>57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8"/>
      <c r="R71" s="189"/>
      <c r="S71" s="190"/>
      <c r="T71" s="191"/>
      <c r="U71" s="192" t="s">
        <v>56</v>
      </c>
      <c r="V71" s="193"/>
      <c r="W71" s="193"/>
      <c r="X71" s="193"/>
      <c r="Y71" s="193"/>
      <c r="Z71" s="194"/>
    </row>
    <row r="72" spans="1:26" s="19" customFormat="1" ht="15.6" customHeight="1" x14ac:dyDescent="0.25">
      <c r="A72" s="62" t="s">
        <v>42</v>
      </c>
      <c r="B72" s="63" t="s">
        <v>30</v>
      </c>
      <c r="C72" s="1"/>
      <c r="D72" s="1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0"/>
      <c r="R72" s="189"/>
      <c r="S72" s="190"/>
      <c r="T72" s="191"/>
      <c r="U72" s="195"/>
      <c r="V72" s="196"/>
      <c r="W72" s="196"/>
      <c r="X72" s="196"/>
      <c r="Y72" s="196"/>
      <c r="Z72" s="197"/>
    </row>
    <row r="73" spans="1:26" s="19" customFormat="1" ht="15.6" customHeight="1" x14ac:dyDescent="0.25">
      <c r="A73" s="198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200"/>
      <c r="R73" s="189" t="s">
        <v>36</v>
      </c>
      <c r="S73" s="190"/>
      <c r="T73" s="191"/>
      <c r="U73" s="70"/>
      <c r="V73" s="71"/>
      <c r="W73" s="71"/>
      <c r="X73" s="71"/>
      <c r="Y73" s="71"/>
      <c r="Z73" s="72"/>
    </row>
    <row r="74" spans="1:26" s="19" customFormat="1" ht="15.6" customHeight="1" x14ac:dyDescent="0.25">
      <c r="A74" s="198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200"/>
      <c r="R74" s="189"/>
      <c r="S74" s="190"/>
      <c r="T74" s="191"/>
      <c r="U74" s="73"/>
      <c r="V74" s="207"/>
      <c r="W74" s="207"/>
      <c r="X74" s="207"/>
      <c r="Y74" s="207"/>
      <c r="Z74" s="74"/>
    </row>
    <row r="75" spans="1:26" s="19" customFormat="1" ht="15.6" customHeight="1" x14ac:dyDescent="0.25">
      <c r="A75" s="198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200"/>
      <c r="R75" s="189"/>
      <c r="S75" s="190"/>
      <c r="T75" s="191"/>
      <c r="U75" s="73"/>
      <c r="V75" s="207"/>
      <c r="W75" s="207"/>
      <c r="X75" s="207"/>
      <c r="Y75" s="207"/>
      <c r="Z75" s="74"/>
    </row>
    <row r="76" spans="1:26" s="19" customFormat="1" ht="15.6" customHeight="1" x14ac:dyDescent="0.25">
      <c r="A76" s="201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3"/>
      <c r="R76" s="204"/>
      <c r="S76" s="205"/>
      <c r="T76" s="206"/>
      <c r="U76" s="75"/>
      <c r="V76" s="76"/>
      <c r="W76" s="76"/>
      <c r="X76" s="76"/>
      <c r="Y76" s="76"/>
      <c r="Z76" s="77"/>
    </row>
  </sheetData>
  <sheetProtection selectLockedCells="1"/>
  <mergeCells count="118"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0:Z10"/>
    <mergeCell ref="B46:U46"/>
    <mergeCell ref="B47:C47"/>
    <mergeCell ref="P56:Q56"/>
    <mergeCell ref="S11:Y11"/>
    <mergeCell ref="B12:G12"/>
    <mergeCell ref="H12:M12"/>
    <mergeCell ref="N12:R12"/>
    <mergeCell ref="S12:Y12"/>
    <mergeCell ref="B11:G11"/>
    <mergeCell ref="H11:M11"/>
    <mergeCell ref="N11:R11"/>
    <mergeCell ref="D56:E56"/>
    <mergeCell ref="F56:G56"/>
    <mergeCell ref="H56:I56"/>
    <mergeCell ref="J56:K56"/>
    <mergeCell ref="L56:M56"/>
    <mergeCell ref="N56:O56"/>
    <mergeCell ref="B17:H17"/>
    <mergeCell ref="I17:Y17"/>
    <mergeCell ref="B18:H18"/>
    <mergeCell ref="I18:Y18"/>
    <mergeCell ref="A48:A51"/>
    <mergeCell ref="B48:C48"/>
    <mergeCell ref="B49:C49"/>
    <mergeCell ref="B50:C50"/>
    <mergeCell ref="B51:C51"/>
    <mergeCell ref="B56:C56"/>
    <mergeCell ref="B57:C57"/>
    <mergeCell ref="N57:O57"/>
    <mergeCell ref="P57:Q57"/>
    <mergeCell ref="D57:E57"/>
    <mergeCell ref="F57:G57"/>
    <mergeCell ref="H57:I57"/>
    <mergeCell ref="J57:K57"/>
    <mergeCell ref="L57:M57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R71:T72"/>
    <mergeCell ref="U71:Z72"/>
    <mergeCell ref="A73:Q76"/>
    <mergeCell ref="R73:T76"/>
    <mergeCell ref="D66:E66"/>
    <mergeCell ref="F66:G66"/>
    <mergeCell ref="H66:I66"/>
    <mergeCell ref="J66:K66"/>
    <mergeCell ref="U69:Z69"/>
    <mergeCell ref="R70:T70"/>
    <mergeCell ref="U70:Z70"/>
    <mergeCell ref="V74:Y75"/>
    <mergeCell ref="A70:Q70"/>
    <mergeCell ref="A71:Q71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ID du 17/07/2012</oddFooter>
  </headerFooter>
  <drawing r:id="rId2"/>
  <legacyDrawing r:id="rId3"/>
  <controls>
    <mc:AlternateContent xmlns:mc="http://schemas.openxmlformats.org/markup-compatibility/2006">
      <mc:Choice Requires="x14">
        <control shapeId="3076" r:id="rId4" name="CommandButton1">
          <controlPr defaultSize="0" autoLine="0" r:id="rId5">
            <anchor moveWithCells="1">
              <from>
                <xdr:col>26</xdr:col>
                <xdr:colOff>571500</xdr:colOff>
                <xdr:row>72</xdr:row>
                <xdr:rowOff>144780</xdr:rowOff>
              </from>
              <to>
                <xdr:col>28</xdr:col>
                <xdr:colOff>556260</xdr:colOff>
                <xdr:row>74</xdr:row>
                <xdr:rowOff>190500</xdr:rowOff>
              </to>
            </anchor>
          </controlPr>
        </control>
      </mc:Choice>
      <mc:Fallback>
        <control shapeId="3076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S5E2</vt:lpstr>
      <vt:lpstr>S3E2</vt:lpstr>
      <vt:lpstr>S2E3</vt:lpstr>
      <vt:lpstr>S2E2</vt:lpstr>
      <vt:lpstr>S2E1</vt:lpstr>
      <vt:lpstr>S1E3</vt:lpstr>
      <vt:lpstr>S1E2</vt:lpstr>
      <vt:lpstr>S1E1</vt:lpstr>
      <vt:lpstr>S1E1!Zone_d_impression</vt:lpstr>
      <vt:lpstr>S1E2!Zone_d_impression</vt:lpstr>
      <vt:lpstr>S1E3!Zone_d_impression</vt:lpstr>
      <vt:lpstr>S2E1!Zone_d_impression</vt:lpstr>
      <vt:lpstr>S2E2!Zone_d_impression</vt:lpstr>
      <vt:lpstr>S2E3!Zone_d_impression</vt:lpstr>
      <vt:lpstr>S3E2!Zone_d_impression</vt:lpstr>
      <vt:lpstr>S5E2!Zone_d_impression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LHOPITAL Sylvain</cp:lastModifiedBy>
  <cp:lastPrinted>2025-03-18T07:39:08Z</cp:lastPrinted>
  <dcterms:created xsi:type="dcterms:W3CDTF">2004-11-13T18:13:05Z</dcterms:created>
  <dcterms:modified xsi:type="dcterms:W3CDTF">2025-03-18T07:39:28Z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