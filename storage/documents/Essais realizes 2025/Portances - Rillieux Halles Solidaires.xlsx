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4\69\RA O73T  Rillieux - Halles Solidaires\Essais de Laboratoire\Portances\"/>
    </mc:Choice>
  </mc:AlternateContent>
  <xr:revisionPtr revIDLastSave="0" documentId="13_ncr:1_{F79A5283-B014-4AED-B80E-9ECD0DA07F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31224 CdR" sheetId="2" r:id="rId1"/>
    <sheet name="280324" sheetId="1" r:id="rId2"/>
  </sheets>
  <definedNames>
    <definedName name="_xlnm.Print_Area" localSheetId="0">'031224 CdR'!$A$1:$Z$76</definedName>
    <definedName name="_xlnm.Print_Area" localSheetId="1">'280324'!$A$1:$Z$60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H63" i="2"/>
  <c r="H64" i="2"/>
  <c r="H48" i="1"/>
  <c r="H47" i="1"/>
  <c r="H46" i="1"/>
</calcChain>
</file>

<file path=xl/sharedStrings.xml><?xml version="1.0" encoding="utf-8"?>
<sst xmlns="http://schemas.openxmlformats.org/spreadsheetml/2006/main" count="111" uniqueCount="65">
  <si>
    <t>COMPTE RENDU D'ESSAIS</t>
  </si>
  <si>
    <t>Recyclerie - Rillieux la Pape</t>
  </si>
  <si>
    <t>PORTANCES DES PLATES-FORMES DYNAPLAQUE 
(NF P 94-117-2 d'octobre 2004)</t>
  </si>
  <si>
    <t>PLD N°</t>
  </si>
  <si>
    <t>RA ALYR</t>
  </si>
  <si>
    <t>28/03/2024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</si>
  <si>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</si>
  <si>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</si>
  <si>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</si>
  <si>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</si>
  <si>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</si>
  <si>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</si>
  <si>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</si>
  <si>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</si>
  <si>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</si>
  <si>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</si>
  <si>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Matériaux du site</t>
  </si>
  <si>
    <t>Date de(s) essai(s) :</t>
  </si>
  <si>
    <t>Météo :</t>
  </si>
  <si>
    <t>Beau</t>
  </si>
  <si>
    <t>Partie de l'ouvrage :</t>
  </si>
  <si>
    <t>Plan de situation :</t>
  </si>
  <si>
    <t>Oui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</si>
  <si>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</si>
  <si>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</si>
  <si>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</si>
  <si>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</si>
  <si>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</si>
  <si>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</si>
  <si>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</si>
  <si>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</si>
  <si>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</si>
  <si>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</si>
  <si>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</si>
  <si>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</si>
  <si>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</si>
  <si>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</si>
  <si>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</si>
  <si>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</si>
  <si>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</si>
  <si>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</si>
  <si>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</si>
  <si>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</si>
  <si>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</si>
  <si>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</si>
  <si>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</si>
  <si>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</si>
  <si>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</si>
  <si>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</si>
  <si>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</si>
  <si>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</si>
  <si>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</si>
  <si>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Parkings</t>
  </si>
  <si>
    <t>Mesures du n°1 au n°35 réalisées au même emplacement que l'intervention du 21/11/24.
Le n°36 est situé dans la rampe d'accès.</t>
  </si>
  <si>
    <t>Chef de Section Laboratoire</t>
  </si>
  <si>
    <t>Sylvain LHOPITAL</t>
  </si>
  <si>
    <t xml:space="preserve"> 38.89</t>
  </si>
  <si>
    <t>Plateforme</t>
  </si>
  <si>
    <t>Couvert</t>
  </si>
  <si>
    <t>03/12/2024</t>
  </si>
  <si>
    <t>GDNT 0/31,5</t>
  </si>
  <si>
    <t>RA O73T</t>
  </si>
  <si>
    <t>Rillieux La Pape
Les Halles solidaires
Recyclerie</t>
  </si>
  <si>
    <t>Intervention 21/11 :</t>
  </si>
  <si>
    <t>Non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</si>
</sst>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sz val="10"/>
      <color rgb="FF000000"/>
      <name val="Arial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208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/>
      <protection locked="0"/>
    </xf>
    <xf numFmtId="0" fontId="6" fillId="0" borderId="3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23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/>
      <protection locked="0"/>
    </xf>
    <xf numFmtId="164" fontId="6" fillId="0" borderId="25" xfId="0" applyNumberFormat="1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164" fontId="6" fillId="0" borderId="28" xfId="0" applyNumberFormat="1" applyFont="1" applyBorder="1" applyAlignment="1">
      <alignment horizontal="center" vertical="top"/>
    </xf>
    <xf numFmtId="0" fontId="7" fillId="0" borderId="29" xfId="0" applyFont="1" applyBorder="1" applyAlignment="1">
      <alignment vertical="top"/>
    </xf>
    <xf numFmtId="0" fontId="7" fillId="0" borderId="30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164" fontId="13" fillId="0" borderId="0" xfId="1" applyNumberFormat="1" applyFont="1" applyBorder="1" applyAlignment="1">
      <alignment vertical="center"/>
    </xf>
    <xf numFmtId="0" fontId="13" fillId="0" borderId="0" xfId="1" applyFont="1" applyBorder="1" applyAlignment="1">
      <alignment vertical="center"/>
    </xf>
  </cellXfs>
  <cellStyles count="2">
    <cellStyle name="Normal" xfId="0" builtinId="0"/>
    <cellStyle name="Normal 2" xfId="1" xr:uid="{058745DF-1353-43EF-9F31-86A2AE8F00CF}"/>
  </cellStyles>
  <dxfs count="1">
    <dxf>
      <font>
        <b/>
        <i val="0"/>
        <strike val="0"/>
        <color rgb="FFFF000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3E917E2-BB78-4F79-A138-8D4B1A9A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129540</xdr:colOff>
      <xdr:row>71</xdr:row>
      <xdr:rowOff>60960</xdr:rowOff>
    </xdr:from>
    <xdr:ext cx="1752600" cy="691816"/>
    <xdr:pic>
      <xdr:nvPicPr>
        <xdr:cNvPr id="3" name="Image 2">
          <a:extLst>
            <a:ext uri="{FF2B5EF4-FFF2-40B4-BE49-F238E27FC236}">
              <a16:creationId xmlns:a16="http://schemas.microsoft.com/office/drawing/2014/main" id="{A8C05629-9B2E-4A43-A740-FB83F482C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6740" y="11963400"/>
          <a:ext cx="1752600" cy="69181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6818-8906-4844-A53F-FD29BAA8F9A0}">
  <sheetPr>
    <pageSetUpPr fitToPage="1"/>
  </sheetPr>
  <dimension ref="A1:AA83"/>
  <sheetViews>
    <sheetView tabSelected="1" topLeftCell="A50" workbookViewId="0">
      <selection activeCell="A71" sqref="A7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43" t="s">
        <v>62</v>
      </c>
      <c r="V1" s="144"/>
      <c r="W1" s="144"/>
      <c r="X1" s="144"/>
      <c r="Y1" s="144"/>
      <c r="Z1" s="145"/>
    </row>
    <row r="2" spans="1:26" ht="12.75" customHeight="1" x14ac:dyDescent="0.25">
      <c r="A2" s="116"/>
      <c r="B2" s="117"/>
      <c r="C2" s="117"/>
      <c r="D2" s="117"/>
      <c r="E2" s="117"/>
      <c r="F2" s="118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146"/>
      <c r="V2" s="147"/>
      <c r="W2" s="147"/>
      <c r="X2" s="147"/>
      <c r="Y2" s="147"/>
      <c r="Z2" s="148"/>
    </row>
    <row r="3" spans="1:26" ht="12.75" customHeight="1" x14ac:dyDescent="0.25">
      <c r="A3" s="116"/>
      <c r="B3" s="117"/>
      <c r="C3" s="117"/>
      <c r="D3" s="117"/>
      <c r="E3" s="117"/>
      <c r="F3" s="118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146"/>
      <c r="V3" s="147"/>
      <c r="W3" s="147"/>
      <c r="X3" s="147"/>
      <c r="Y3" s="147"/>
      <c r="Z3" s="148"/>
    </row>
    <row r="4" spans="1:26" ht="12.75" customHeight="1" x14ac:dyDescent="0.25">
      <c r="A4" s="116"/>
      <c r="B4" s="117"/>
      <c r="C4" s="117"/>
      <c r="D4" s="117"/>
      <c r="E4" s="117"/>
      <c r="F4" s="118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46"/>
      <c r="V4" s="147"/>
      <c r="W4" s="147"/>
      <c r="X4" s="147"/>
      <c r="Y4" s="147"/>
      <c r="Z4" s="148"/>
    </row>
    <row r="5" spans="1:26" ht="12.75" customHeight="1" x14ac:dyDescent="0.25">
      <c r="A5" s="116"/>
      <c r="B5" s="117"/>
      <c r="C5" s="117"/>
      <c r="D5" s="117"/>
      <c r="E5" s="117"/>
      <c r="F5" s="118"/>
      <c r="G5" s="129" t="s">
        <v>3</v>
      </c>
      <c r="H5" s="130"/>
      <c r="I5" s="133">
        <v>2</v>
      </c>
      <c r="J5" s="133"/>
      <c r="K5" s="134"/>
      <c r="L5" s="136" t="s">
        <v>61</v>
      </c>
      <c r="M5" s="137"/>
      <c r="N5" s="137"/>
      <c r="O5" s="138"/>
      <c r="P5" s="139" t="s">
        <v>59</v>
      </c>
      <c r="Q5" s="140"/>
      <c r="R5" s="140"/>
      <c r="S5" s="140"/>
      <c r="T5" s="141"/>
      <c r="U5" s="146"/>
      <c r="V5" s="147"/>
      <c r="W5" s="147"/>
      <c r="X5" s="147"/>
      <c r="Y5" s="147"/>
      <c r="Z5" s="148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6</v>
      </c>
      <c r="J6" s="135"/>
      <c r="K6" s="135"/>
      <c r="L6" s="135" t="s">
        <v>7</v>
      </c>
      <c r="M6" s="135"/>
      <c r="N6" s="135"/>
      <c r="O6" s="135"/>
      <c r="P6" s="135" t="s">
        <v>8</v>
      </c>
      <c r="Q6" s="135"/>
      <c r="R6" s="135"/>
      <c r="S6" s="135"/>
      <c r="T6" s="142"/>
      <c r="U6" s="149"/>
      <c r="V6" s="150"/>
      <c r="W6" s="150"/>
      <c r="X6" s="150"/>
      <c r="Y6" s="150"/>
      <c r="Z6" s="151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99" t="s">
        <v>13</v>
      </c>
      <c r="C10" s="99"/>
      <c r="D10" s="99"/>
      <c r="E10" s="99"/>
      <c r="F10" s="99"/>
      <c r="G10" s="99"/>
      <c r="H10" s="100" t="s">
        <v>55</v>
      </c>
      <c r="I10" s="100"/>
      <c r="J10" s="100"/>
      <c r="K10" s="100"/>
      <c r="L10" s="100"/>
      <c r="M10" s="100"/>
      <c r="N10" s="99" t="s">
        <v>15</v>
      </c>
      <c r="O10" s="99"/>
      <c r="P10" s="99"/>
      <c r="Q10" s="99"/>
      <c r="R10" s="99"/>
      <c r="S10" s="125" t="s">
        <v>60</v>
      </c>
      <c r="T10" s="125"/>
      <c r="U10" s="125"/>
      <c r="V10" s="125"/>
      <c r="W10" s="125"/>
      <c r="X10" s="125"/>
      <c r="Y10" s="125"/>
      <c r="Z10" s="12"/>
    </row>
    <row r="11" spans="1:26" ht="15.9" customHeight="1" x14ac:dyDescent="0.25">
      <c r="A11" s="9"/>
      <c r="B11" s="99" t="s">
        <v>17</v>
      </c>
      <c r="C11" s="99"/>
      <c r="D11" s="99"/>
      <c r="E11" s="99"/>
      <c r="F11" s="99"/>
      <c r="G11" s="99"/>
      <c r="H11" s="100" t="s">
        <v>59</v>
      </c>
      <c r="I11" s="100"/>
      <c r="J11" s="100"/>
      <c r="K11" s="100"/>
      <c r="L11" s="100"/>
      <c r="M11" s="100"/>
      <c r="N11" s="99" t="s">
        <v>18</v>
      </c>
      <c r="O11" s="99"/>
      <c r="P11" s="99"/>
      <c r="Q11" s="99"/>
      <c r="R11" s="99"/>
      <c r="S11" s="125" t="s">
        <v>58</v>
      </c>
      <c r="T11" s="125"/>
      <c r="U11" s="125"/>
      <c r="V11" s="125"/>
      <c r="W11" s="125"/>
      <c r="X11" s="125"/>
      <c r="Y11" s="125"/>
      <c r="Z11" s="12"/>
    </row>
    <row r="12" spans="1:26" ht="15.9" customHeight="1" x14ac:dyDescent="0.25">
      <c r="A12" s="9"/>
      <c r="B12" s="99" t="s">
        <v>20</v>
      </c>
      <c r="C12" s="99"/>
      <c r="D12" s="99"/>
      <c r="E12" s="99"/>
      <c r="F12" s="99"/>
      <c r="G12" s="99"/>
      <c r="H12" s="100" t="s">
        <v>57</v>
      </c>
      <c r="I12" s="100"/>
      <c r="J12" s="100"/>
      <c r="K12" s="100"/>
      <c r="L12" s="100"/>
      <c r="M12" s="100"/>
      <c r="N12" s="99" t="s">
        <v>21</v>
      </c>
      <c r="O12" s="99"/>
      <c r="P12" s="99"/>
      <c r="Q12" s="99"/>
      <c r="R12" s="99"/>
      <c r="S12" s="125" t="s">
        <v>22</v>
      </c>
      <c r="T12" s="125"/>
      <c r="U12" s="125"/>
      <c r="V12" s="125"/>
      <c r="W12" s="125"/>
      <c r="X12" s="125"/>
      <c r="Y12" s="12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0" t="s">
        <v>25</v>
      </c>
      <c r="C17" s="80"/>
      <c r="D17" s="80"/>
      <c r="E17" s="80"/>
      <c r="F17" s="80"/>
      <c r="G17" s="80"/>
      <c r="H17" s="80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28"/>
    </row>
    <row r="18" spans="1:26" s="17" customFormat="1" ht="15" customHeight="1" x14ac:dyDescent="0.25">
      <c r="A18" s="24"/>
      <c r="B18" s="80" t="s">
        <v>26</v>
      </c>
      <c r="C18" s="80"/>
      <c r="D18" s="80"/>
      <c r="E18" s="80"/>
      <c r="F18" s="80"/>
      <c r="G18" s="80"/>
      <c r="H18" s="80"/>
      <c r="I18" s="73" t="s">
        <v>27</v>
      </c>
      <c r="J18" s="73"/>
      <c r="K18" s="27">
        <v>50</v>
      </c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87" t="s">
        <v>31</v>
      </c>
      <c r="K21" s="87"/>
      <c r="L21" s="87"/>
      <c r="M21" s="87"/>
      <c r="N21" s="87"/>
      <c r="O21" s="87"/>
      <c r="P21" s="8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1" t="s">
        <v>32</v>
      </c>
      <c r="C23" s="83" t="s">
        <v>33</v>
      </c>
      <c r="D23" s="83"/>
      <c r="E23" s="83"/>
      <c r="F23" s="83"/>
      <c r="G23" s="84"/>
      <c r="H23" s="77" t="s">
        <v>34</v>
      </c>
      <c r="I23" s="78"/>
      <c r="J23" s="79"/>
      <c r="K23" s="83" t="s">
        <v>35</v>
      </c>
      <c r="L23" s="83"/>
      <c r="M23" s="83"/>
      <c r="N23" s="83"/>
      <c r="O23" s="83"/>
      <c r="P23" s="84"/>
      <c r="Z23" s="11"/>
    </row>
    <row r="24" spans="1:26" ht="15.75" customHeight="1" x14ac:dyDescent="0.25">
      <c r="A24" s="9"/>
      <c r="B24" s="82"/>
      <c r="C24" s="85"/>
      <c r="D24" s="85"/>
      <c r="E24" s="85"/>
      <c r="F24" s="85"/>
      <c r="G24" s="86"/>
      <c r="H24" s="74" t="s">
        <v>36</v>
      </c>
      <c r="I24" s="75"/>
      <c r="J24" s="76"/>
      <c r="K24" s="85"/>
      <c r="L24" s="85"/>
      <c r="M24" s="85"/>
      <c r="N24" s="85"/>
      <c r="O24" s="85"/>
      <c r="P24" s="86"/>
      <c r="Z24" s="11"/>
    </row>
    <row r="25" spans="1:26" ht="19.5" customHeight="1" x14ac:dyDescent="0.25">
      <c r="A25" s="9"/>
      <c r="B25" s="45">
        <v>1</v>
      </c>
      <c r="C25" s="66"/>
      <c r="D25" s="67"/>
      <c r="E25" s="67"/>
      <c r="F25" s="67"/>
      <c r="G25" s="68"/>
      <c r="H25" s="69">
        <v>31</v>
      </c>
      <c r="I25" s="70"/>
      <c r="J25" s="71"/>
      <c r="K25" s="201" t="s">
        <v>63</v>
      </c>
      <c r="L25" s="202"/>
      <c r="M25" s="202"/>
      <c r="N25" s="202"/>
      <c r="O25" s="67">
        <v>24</v>
      </c>
      <c r="P25" s="68"/>
      <c r="S25" s="206"/>
      <c r="T25" s="207"/>
      <c r="U25" s="207"/>
      <c r="Z25" s="11"/>
    </row>
    <row r="26" spans="1:26" ht="19.5" customHeight="1" x14ac:dyDescent="0.25">
      <c r="A26" s="9"/>
      <c r="B26" s="45">
        <v>2</v>
      </c>
      <c r="C26" s="66"/>
      <c r="D26" s="67"/>
      <c r="E26" s="67"/>
      <c r="F26" s="67"/>
      <c r="G26" s="68"/>
      <c r="H26" s="69">
        <v>38</v>
      </c>
      <c r="I26" s="70"/>
      <c r="J26" s="71"/>
      <c r="K26" s="159"/>
      <c r="L26" s="203"/>
      <c r="M26" s="203"/>
      <c r="N26" s="203"/>
      <c r="O26" s="67">
        <v>36</v>
      </c>
      <c r="P26" s="68"/>
      <c r="S26" s="206"/>
      <c r="T26" s="207"/>
      <c r="U26" s="207"/>
      <c r="Z26" s="11"/>
    </row>
    <row r="27" spans="1:26" ht="19.5" customHeight="1" x14ac:dyDescent="0.25">
      <c r="A27" s="9"/>
      <c r="B27" s="45">
        <v>3</v>
      </c>
      <c r="C27" s="66"/>
      <c r="D27" s="67"/>
      <c r="E27" s="67"/>
      <c r="F27" s="67"/>
      <c r="G27" s="68"/>
      <c r="H27" s="69">
        <v>31</v>
      </c>
      <c r="I27" s="70"/>
      <c r="J27" s="71"/>
      <c r="K27" s="159"/>
      <c r="L27" s="203"/>
      <c r="M27" s="203"/>
      <c r="N27" s="203"/>
      <c r="O27" s="67">
        <v>37</v>
      </c>
      <c r="P27" s="68"/>
      <c r="S27" s="206"/>
      <c r="T27" s="207"/>
      <c r="U27" s="207"/>
      <c r="Z27" s="11"/>
    </row>
    <row r="28" spans="1:26" ht="19.5" customHeight="1" x14ac:dyDescent="0.25">
      <c r="A28" s="9"/>
      <c r="B28" s="45">
        <v>4</v>
      </c>
      <c r="C28" s="66"/>
      <c r="D28" s="67"/>
      <c r="E28" s="67"/>
      <c r="F28" s="67"/>
      <c r="G28" s="68"/>
      <c r="H28" s="69">
        <v>51</v>
      </c>
      <c r="I28" s="70"/>
      <c r="J28" s="71"/>
      <c r="K28" s="159"/>
      <c r="L28" s="203"/>
      <c r="M28" s="203"/>
      <c r="N28" s="203"/>
      <c r="O28" s="67">
        <v>46</v>
      </c>
      <c r="P28" s="68"/>
      <c r="S28" s="206"/>
      <c r="T28" s="207"/>
      <c r="U28" s="207"/>
      <c r="Z28" s="11"/>
    </row>
    <row r="29" spans="1:26" ht="19.5" customHeight="1" x14ac:dyDescent="0.25">
      <c r="A29" s="9"/>
      <c r="B29" s="45">
        <v>5</v>
      </c>
      <c r="C29" s="66"/>
      <c r="D29" s="67"/>
      <c r="E29" s="67"/>
      <c r="F29" s="67"/>
      <c r="G29" s="68"/>
      <c r="H29" s="69">
        <v>52</v>
      </c>
      <c r="I29" s="70"/>
      <c r="J29" s="71"/>
      <c r="K29" s="159"/>
      <c r="L29" s="203"/>
      <c r="M29" s="203"/>
      <c r="N29" s="203"/>
      <c r="O29" s="67">
        <v>51</v>
      </c>
      <c r="P29" s="68"/>
      <c r="S29" s="206"/>
      <c r="T29" s="207"/>
      <c r="U29" s="207"/>
      <c r="Z29" s="11"/>
    </row>
    <row r="30" spans="1:26" ht="19.5" customHeight="1" x14ac:dyDescent="0.25">
      <c r="A30" s="9"/>
      <c r="B30" s="45">
        <v>6</v>
      </c>
      <c r="C30" s="66"/>
      <c r="D30" s="67"/>
      <c r="E30" s="67"/>
      <c r="F30" s="67"/>
      <c r="G30" s="68"/>
      <c r="H30" s="69">
        <v>78</v>
      </c>
      <c r="I30" s="70"/>
      <c r="J30" s="71"/>
      <c r="K30" s="159"/>
      <c r="L30" s="203"/>
      <c r="M30" s="203"/>
      <c r="N30" s="203"/>
      <c r="O30" s="67">
        <v>49</v>
      </c>
      <c r="P30" s="68"/>
      <c r="S30" s="206"/>
      <c r="T30" s="207"/>
      <c r="U30" s="207"/>
      <c r="Z30" s="11"/>
    </row>
    <row r="31" spans="1:26" ht="19.5" customHeight="1" x14ac:dyDescent="0.25">
      <c r="A31" s="9"/>
      <c r="B31" s="45">
        <v>7</v>
      </c>
      <c r="C31" s="66"/>
      <c r="D31" s="67"/>
      <c r="E31" s="67"/>
      <c r="F31" s="67"/>
      <c r="G31" s="68"/>
      <c r="H31" s="69">
        <v>63</v>
      </c>
      <c r="I31" s="70"/>
      <c r="J31" s="71"/>
      <c r="K31" s="159"/>
      <c r="L31" s="203"/>
      <c r="M31" s="203"/>
      <c r="N31" s="203"/>
      <c r="O31" s="67">
        <v>48</v>
      </c>
      <c r="P31" s="68"/>
      <c r="S31" s="206"/>
      <c r="T31" s="207"/>
      <c r="U31" s="207"/>
      <c r="Z31" s="11"/>
    </row>
    <row r="32" spans="1:26" ht="19.5" customHeight="1" x14ac:dyDescent="0.25">
      <c r="A32" s="9"/>
      <c r="B32" s="45">
        <v>8</v>
      </c>
      <c r="C32" s="66"/>
      <c r="D32" s="67"/>
      <c r="E32" s="67"/>
      <c r="F32" s="67"/>
      <c r="G32" s="68"/>
      <c r="H32" s="69">
        <v>65</v>
      </c>
      <c r="I32" s="70"/>
      <c r="J32" s="71"/>
      <c r="K32" s="159"/>
      <c r="L32" s="203"/>
      <c r="M32" s="203"/>
      <c r="N32" s="203"/>
      <c r="O32" s="67">
        <v>44</v>
      </c>
      <c r="P32" s="68"/>
      <c r="S32" s="206"/>
      <c r="T32" s="207"/>
      <c r="U32" s="207"/>
      <c r="Z32" s="11"/>
    </row>
    <row r="33" spans="1:26" ht="19.5" customHeight="1" x14ac:dyDescent="0.25">
      <c r="A33" s="9"/>
      <c r="B33" s="45">
        <v>9</v>
      </c>
      <c r="C33" s="66"/>
      <c r="D33" s="67"/>
      <c r="E33" s="67"/>
      <c r="F33" s="67"/>
      <c r="G33" s="68"/>
      <c r="H33" s="69">
        <v>56</v>
      </c>
      <c r="I33" s="70"/>
      <c r="J33" s="71"/>
      <c r="K33" s="159"/>
      <c r="L33" s="203"/>
      <c r="M33" s="203"/>
      <c r="N33" s="203"/>
      <c r="O33" s="67">
        <v>55</v>
      </c>
      <c r="P33" s="68"/>
      <c r="S33" s="206"/>
      <c r="T33" s="207"/>
      <c r="U33" s="207"/>
      <c r="Z33" s="11"/>
    </row>
    <row r="34" spans="1:26" ht="19.5" customHeight="1" x14ac:dyDescent="0.25">
      <c r="A34" s="9"/>
      <c r="B34" s="45">
        <v>10</v>
      </c>
      <c r="C34" s="66"/>
      <c r="D34" s="67"/>
      <c r="E34" s="67"/>
      <c r="F34" s="67"/>
      <c r="G34" s="68"/>
      <c r="H34" s="69">
        <v>65</v>
      </c>
      <c r="I34" s="70"/>
      <c r="J34" s="71"/>
      <c r="K34" s="159"/>
      <c r="L34" s="203"/>
      <c r="M34" s="203"/>
      <c r="N34" s="203"/>
      <c r="O34" s="67">
        <v>62</v>
      </c>
      <c r="P34" s="68"/>
      <c r="S34" s="206"/>
      <c r="T34" s="207"/>
      <c r="U34" s="207"/>
      <c r="Z34" s="11"/>
    </row>
    <row r="35" spans="1:26" ht="19.5" customHeight="1" x14ac:dyDescent="0.25">
      <c r="A35" s="9"/>
      <c r="B35" s="45">
        <v>11</v>
      </c>
      <c r="C35" s="66"/>
      <c r="D35" s="67"/>
      <c r="E35" s="67"/>
      <c r="F35" s="67"/>
      <c r="G35" s="68"/>
      <c r="H35" s="69">
        <v>58</v>
      </c>
      <c r="I35" s="70"/>
      <c r="J35" s="71"/>
      <c r="K35" s="159"/>
      <c r="L35" s="203"/>
      <c r="M35" s="203"/>
      <c r="N35" s="203"/>
      <c r="O35" s="67">
        <v>47</v>
      </c>
      <c r="P35" s="68"/>
      <c r="S35" s="206"/>
      <c r="T35" s="207"/>
      <c r="U35" s="207"/>
      <c r="Z35" s="11"/>
    </row>
    <row r="36" spans="1:26" ht="19.5" customHeight="1" x14ac:dyDescent="0.25">
      <c r="A36" s="9"/>
      <c r="B36" s="45">
        <v>12</v>
      </c>
      <c r="C36" s="66"/>
      <c r="D36" s="67"/>
      <c r="E36" s="67"/>
      <c r="F36" s="67"/>
      <c r="G36" s="68"/>
      <c r="H36" s="69">
        <v>42</v>
      </c>
      <c r="I36" s="70"/>
      <c r="J36" s="71"/>
      <c r="K36" s="159"/>
      <c r="L36" s="203"/>
      <c r="M36" s="203"/>
      <c r="N36" s="203"/>
      <c r="O36" s="67">
        <v>44</v>
      </c>
      <c r="P36" s="68"/>
      <c r="S36" s="206"/>
      <c r="T36" s="207"/>
      <c r="U36" s="207"/>
      <c r="Z36" s="11"/>
    </row>
    <row r="37" spans="1:26" ht="19.5" customHeight="1" x14ac:dyDescent="0.25">
      <c r="A37" s="9"/>
      <c r="B37" s="45">
        <v>13</v>
      </c>
      <c r="C37" s="66"/>
      <c r="D37" s="67"/>
      <c r="E37" s="67"/>
      <c r="F37" s="67"/>
      <c r="G37" s="68"/>
      <c r="H37" s="69">
        <v>49</v>
      </c>
      <c r="I37" s="70"/>
      <c r="J37" s="71"/>
      <c r="K37" s="159"/>
      <c r="L37" s="203"/>
      <c r="M37" s="203"/>
      <c r="N37" s="203"/>
      <c r="O37" s="67">
        <v>49</v>
      </c>
      <c r="P37" s="68"/>
      <c r="S37" s="206"/>
      <c r="T37" s="207"/>
      <c r="U37" s="207"/>
      <c r="Z37" s="11"/>
    </row>
    <row r="38" spans="1:26" ht="19.5" customHeight="1" x14ac:dyDescent="0.25">
      <c r="A38" s="9"/>
      <c r="B38" s="45">
        <v>14</v>
      </c>
      <c r="C38" s="66"/>
      <c r="D38" s="67"/>
      <c r="E38" s="67"/>
      <c r="F38" s="67"/>
      <c r="G38" s="68"/>
      <c r="H38" s="69">
        <v>47</v>
      </c>
      <c r="I38" s="70"/>
      <c r="J38" s="71"/>
      <c r="K38" s="159"/>
      <c r="L38" s="203"/>
      <c r="M38" s="203"/>
      <c r="N38" s="203"/>
      <c r="O38" s="67">
        <v>42</v>
      </c>
      <c r="P38" s="68"/>
      <c r="S38" s="206"/>
      <c r="T38" s="207"/>
      <c r="U38" s="207"/>
      <c r="Z38" s="11"/>
    </row>
    <row r="39" spans="1:26" ht="19.5" customHeight="1" x14ac:dyDescent="0.25">
      <c r="A39" s="9"/>
      <c r="B39" s="45">
        <v>15</v>
      </c>
      <c r="C39" s="66"/>
      <c r="D39" s="67"/>
      <c r="E39" s="67"/>
      <c r="F39" s="67"/>
      <c r="G39" s="68"/>
      <c r="H39" s="69">
        <v>52</v>
      </c>
      <c r="I39" s="70"/>
      <c r="J39" s="71"/>
      <c r="K39" s="159"/>
      <c r="L39" s="203"/>
      <c r="M39" s="203"/>
      <c r="N39" s="203"/>
      <c r="O39" s="67">
        <v>34</v>
      </c>
      <c r="P39" s="68"/>
      <c r="S39" s="206"/>
      <c r="T39" s="207"/>
      <c r="U39" s="207"/>
      <c r="Z39" s="11"/>
    </row>
    <row r="40" spans="1:26" ht="19.5" customHeight="1" x14ac:dyDescent="0.25">
      <c r="A40" s="9"/>
      <c r="B40" s="45">
        <v>16</v>
      </c>
      <c r="C40" s="66"/>
      <c r="D40" s="67"/>
      <c r="E40" s="67"/>
      <c r="F40" s="67"/>
      <c r="G40" s="68"/>
      <c r="H40" s="69">
        <v>38</v>
      </c>
      <c r="I40" s="70"/>
      <c r="J40" s="71"/>
      <c r="K40" s="159"/>
      <c r="L40" s="203"/>
      <c r="M40" s="203"/>
      <c r="N40" s="203"/>
      <c r="O40" s="67">
        <v>42</v>
      </c>
      <c r="P40" s="68"/>
      <c r="S40" s="206"/>
      <c r="T40" s="207"/>
      <c r="U40" s="207"/>
      <c r="Z40" s="11"/>
    </row>
    <row r="41" spans="1:26" ht="19.5" customHeight="1" x14ac:dyDescent="0.25">
      <c r="A41" s="9"/>
      <c r="B41" s="45">
        <v>17</v>
      </c>
      <c r="C41" s="66"/>
      <c r="D41" s="67"/>
      <c r="E41" s="67"/>
      <c r="F41" s="67"/>
      <c r="G41" s="68"/>
      <c r="H41" s="69">
        <v>44</v>
      </c>
      <c r="I41" s="70"/>
      <c r="J41" s="71"/>
      <c r="K41" s="159"/>
      <c r="L41" s="203"/>
      <c r="M41" s="203"/>
      <c r="N41" s="203"/>
      <c r="O41" s="67">
        <v>37</v>
      </c>
      <c r="P41" s="68"/>
      <c r="S41" s="206"/>
      <c r="T41" s="207"/>
      <c r="U41" s="207"/>
      <c r="Z41" s="11"/>
    </row>
    <row r="42" spans="1:26" ht="19.5" customHeight="1" x14ac:dyDescent="0.25">
      <c r="A42" s="9"/>
      <c r="B42" s="45">
        <v>18</v>
      </c>
      <c r="C42" s="66"/>
      <c r="D42" s="67"/>
      <c r="E42" s="67"/>
      <c r="F42" s="67"/>
      <c r="G42" s="68"/>
      <c r="H42" s="69">
        <v>58</v>
      </c>
      <c r="I42" s="70"/>
      <c r="J42" s="71"/>
      <c r="K42" s="159"/>
      <c r="L42" s="203"/>
      <c r="M42" s="203"/>
      <c r="N42" s="203"/>
      <c r="O42" s="67">
        <v>45</v>
      </c>
      <c r="P42" s="68"/>
      <c r="S42" s="206"/>
      <c r="T42" s="207"/>
      <c r="U42" s="207"/>
      <c r="Z42" s="11"/>
    </row>
    <row r="43" spans="1:26" ht="19.5" customHeight="1" x14ac:dyDescent="0.25">
      <c r="A43" s="9"/>
      <c r="B43" s="45">
        <v>19</v>
      </c>
      <c r="C43" s="66"/>
      <c r="D43" s="67"/>
      <c r="E43" s="67"/>
      <c r="F43" s="67"/>
      <c r="G43" s="68"/>
      <c r="H43" s="69">
        <v>46</v>
      </c>
      <c r="I43" s="70"/>
      <c r="J43" s="71"/>
      <c r="K43" s="159"/>
      <c r="L43" s="203"/>
      <c r="M43" s="203"/>
      <c r="N43" s="203"/>
      <c r="O43" s="67">
        <v>49</v>
      </c>
      <c r="P43" s="68"/>
      <c r="S43" s="206"/>
      <c r="T43" s="207"/>
      <c r="U43" s="207"/>
      <c r="Z43" s="11"/>
    </row>
    <row r="44" spans="1:26" ht="19.5" customHeight="1" x14ac:dyDescent="0.25">
      <c r="A44" s="9"/>
      <c r="B44" s="45">
        <v>20</v>
      </c>
      <c r="C44" s="66"/>
      <c r="D44" s="67"/>
      <c r="E44" s="67"/>
      <c r="F44" s="67"/>
      <c r="G44" s="68"/>
      <c r="H44" s="69">
        <v>36</v>
      </c>
      <c r="I44" s="70"/>
      <c r="J44" s="71"/>
      <c r="K44" s="159"/>
      <c r="L44" s="203"/>
      <c r="M44" s="203"/>
      <c r="N44" s="203"/>
      <c r="O44" s="67">
        <v>53</v>
      </c>
      <c r="P44" s="68"/>
      <c r="S44" s="206"/>
      <c r="T44" s="207"/>
      <c r="U44" s="207"/>
      <c r="Z44" s="11"/>
    </row>
    <row r="45" spans="1:26" ht="19.5" customHeight="1" x14ac:dyDescent="0.25">
      <c r="A45" s="9"/>
      <c r="B45" s="45">
        <v>21</v>
      </c>
      <c r="C45" s="66"/>
      <c r="D45" s="67"/>
      <c r="E45" s="67"/>
      <c r="F45" s="67"/>
      <c r="G45" s="68"/>
      <c r="H45" s="69">
        <v>31</v>
      </c>
      <c r="I45" s="70"/>
      <c r="J45" s="71"/>
      <c r="K45" s="159"/>
      <c r="L45" s="203"/>
      <c r="M45" s="203"/>
      <c r="N45" s="203"/>
      <c r="O45" s="67">
        <v>45</v>
      </c>
      <c r="P45" s="68"/>
      <c r="S45" s="206"/>
      <c r="T45" s="207"/>
      <c r="U45" s="207"/>
      <c r="Z45" s="11"/>
    </row>
    <row r="46" spans="1:26" ht="19.5" customHeight="1" x14ac:dyDescent="0.25">
      <c r="A46" s="9"/>
      <c r="B46" s="45">
        <v>22</v>
      </c>
      <c r="C46" s="66"/>
      <c r="D46" s="67"/>
      <c r="E46" s="67"/>
      <c r="F46" s="67"/>
      <c r="G46" s="68"/>
      <c r="H46" s="69">
        <v>55</v>
      </c>
      <c r="I46" s="70"/>
      <c r="J46" s="71"/>
      <c r="K46" s="159"/>
      <c r="L46" s="203"/>
      <c r="M46" s="203"/>
      <c r="N46" s="203"/>
      <c r="O46" s="67">
        <v>37</v>
      </c>
      <c r="P46" s="68"/>
      <c r="S46" s="206"/>
      <c r="T46" s="207"/>
      <c r="U46" s="207"/>
      <c r="Z46" s="11"/>
    </row>
    <row r="47" spans="1:26" ht="19.5" customHeight="1" x14ac:dyDescent="0.25">
      <c r="A47" s="9"/>
      <c r="B47" s="45">
        <v>23</v>
      </c>
      <c r="C47" s="66"/>
      <c r="D47" s="67"/>
      <c r="E47" s="67"/>
      <c r="F47" s="67"/>
      <c r="G47" s="68"/>
      <c r="H47" s="69">
        <v>49</v>
      </c>
      <c r="I47" s="70"/>
      <c r="J47" s="71"/>
      <c r="K47" s="159"/>
      <c r="L47" s="203"/>
      <c r="M47" s="203"/>
      <c r="N47" s="203"/>
      <c r="O47" s="67">
        <v>42</v>
      </c>
      <c r="P47" s="68"/>
      <c r="S47" s="206"/>
      <c r="T47" s="207"/>
      <c r="U47" s="207"/>
      <c r="Z47" s="11"/>
    </row>
    <row r="48" spans="1:26" ht="19.5" customHeight="1" x14ac:dyDescent="0.25">
      <c r="A48" s="9"/>
      <c r="B48" s="45">
        <v>24</v>
      </c>
      <c r="C48" s="66"/>
      <c r="D48" s="67"/>
      <c r="E48" s="67"/>
      <c r="F48" s="67"/>
      <c r="G48" s="68"/>
      <c r="H48" s="69">
        <v>36</v>
      </c>
      <c r="I48" s="70"/>
      <c r="J48" s="71"/>
      <c r="K48" s="159"/>
      <c r="L48" s="203"/>
      <c r="M48" s="203"/>
      <c r="N48" s="203"/>
      <c r="O48" s="67">
        <v>35</v>
      </c>
      <c r="P48" s="68"/>
      <c r="S48" s="206"/>
      <c r="T48" s="207"/>
      <c r="U48" s="207"/>
      <c r="Z48" s="11"/>
    </row>
    <row r="49" spans="1:26" ht="19.5" customHeight="1" x14ac:dyDescent="0.25">
      <c r="A49" s="9"/>
      <c r="B49" s="45">
        <v>25</v>
      </c>
      <c r="C49" s="66"/>
      <c r="D49" s="67"/>
      <c r="E49" s="67"/>
      <c r="F49" s="67"/>
      <c r="G49" s="68"/>
      <c r="H49" s="69">
        <v>42</v>
      </c>
      <c r="I49" s="70"/>
      <c r="J49" s="71"/>
      <c r="K49" s="159"/>
      <c r="L49" s="203"/>
      <c r="M49" s="203"/>
      <c r="N49" s="203"/>
      <c r="O49" s="67">
        <v>46</v>
      </c>
      <c r="P49" s="68"/>
      <c r="S49" s="206"/>
      <c r="T49" s="207"/>
      <c r="U49" s="207"/>
      <c r="Z49" s="11"/>
    </row>
    <row r="50" spans="1:26" ht="19.5" customHeight="1" x14ac:dyDescent="0.25">
      <c r="A50" s="9"/>
      <c r="B50" s="45">
        <v>26</v>
      </c>
      <c r="C50" s="66"/>
      <c r="D50" s="67"/>
      <c r="E50" s="67"/>
      <c r="F50" s="67"/>
      <c r="G50" s="68"/>
      <c r="H50" s="69">
        <v>50</v>
      </c>
      <c r="I50" s="70"/>
      <c r="J50" s="71"/>
      <c r="K50" s="159"/>
      <c r="L50" s="203"/>
      <c r="M50" s="203"/>
      <c r="N50" s="203"/>
      <c r="O50" s="67">
        <v>35</v>
      </c>
      <c r="P50" s="68"/>
      <c r="S50" s="206"/>
      <c r="T50" s="207"/>
      <c r="U50" s="207"/>
      <c r="Z50" s="11"/>
    </row>
    <row r="51" spans="1:26" ht="19.5" customHeight="1" x14ac:dyDescent="0.25">
      <c r="A51" s="9"/>
      <c r="B51" s="45">
        <v>27</v>
      </c>
      <c r="C51" s="66"/>
      <c r="D51" s="67"/>
      <c r="E51" s="67"/>
      <c r="F51" s="67"/>
      <c r="G51" s="68"/>
      <c r="H51" s="69">
        <v>51</v>
      </c>
      <c r="I51" s="70"/>
      <c r="J51" s="71"/>
      <c r="K51" s="159"/>
      <c r="L51" s="203"/>
      <c r="M51" s="203"/>
      <c r="N51" s="203"/>
      <c r="O51" s="67">
        <v>32</v>
      </c>
      <c r="P51" s="68"/>
      <c r="S51" s="206"/>
      <c r="T51" s="207"/>
      <c r="U51" s="207"/>
      <c r="Z51" s="11"/>
    </row>
    <row r="52" spans="1:26" ht="19.5" customHeight="1" x14ac:dyDescent="0.25">
      <c r="A52" s="9"/>
      <c r="B52" s="45">
        <v>28</v>
      </c>
      <c r="C52" s="66"/>
      <c r="D52" s="67"/>
      <c r="E52" s="67"/>
      <c r="F52" s="67"/>
      <c r="G52" s="68"/>
      <c r="H52" s="69">
        <v>42</v>
      </c>
      <c r="I52" s="70"/>
      <c r="J52" s="71"/>
      <c r="K52" s="159"/>
      <c r="L52" s="203"/>
      <c r="M52" s="203"/>
      <c r="N52" s="203"/>
      <c r="O52" s="67">
        <v>50</v>
      </c>
      <c r="P52" s="68"/>
      <c r="S52" s="206"/>
      <c r="T52" s="207"/>
      <c r="U52" s="207"/>
      <c r="Z52" s="11"/>
    </row>
    <row r="53" spans="1:26" ht="19.5" customHeight="1" x14ac:dyDescent="0.25">
      <c r="A53" s="9"/>
      <c r="B53" s="45">
        <v>29</v>
      </c>
      <c r="C53" s="66"/>
      <c r="D53" s="67"/>
      <c r="E53" s="67"/>
      <c r="F53" s="67"/>
      <c r="G53" s="68"/>
      <c r="H53" s="69">
        <v>42</v>
      </c>
      <c r="I53" s="70"/>
      <c r="J53" s="71"/>
      <c r="K53" s="159"/>
      <c r="L53" s="203"/>
      <c r="M53" s="203"/>
      <c r="N53" s="203"/>
      <c r="O53" s="67">
        <v>40</v>
      </c>
      <c r="P53" s="68"/>
      <c r="S53" s="206"/>
      <c r="T53" s="207"/>
      <c r="U53" s="207"/>
      <c r="Z53" s="11"/>
    </row>
    <row r="54" spans="1:26" ht="19.5" customHeight="1" x14ac:dyDescent="0.25">
      <c r="A54" s="9"/>
      <c r="B54" s="45">
        <v>30</v>
      </c>
      <c r="C54" s="66"/>
      <c r="D54" s="67"/>
      <c r="E54" s="67"/>
      <c r="F54" s="67"/>
      <c r="G54" s="68"/>
      <c r="H54" s="69">
        <v>41</v>
      </c>
      <c r="I54" s="70"/>
      <c r="J54" s="71"/>
      <c r="K54" s="159"/>
      <c r="L54" s="203"/>
      <c r="M54" s="203"/>
      <c r="N54" s="203"/>
      <c r="O54" s="67">
        <v>55</v>
      </c>
      <c r="P54" s="68"/>
      <c r="S54" s="206"/>
      <c r="T54" s="207"/>
      <c r="U54" s="207"/>
      <c r="Z54" s="11"/>
    </row>
    <row r="55" spans="1:26" ht="19.5" customHeight="1" x14ac:dyDescent="0.25">
      <c r="A55" s="9"/>
      <c r="B55" s="45">
        <v>31</v>
      </c>
      <c r="C55" s="66"/>
      <c r="D55" s="67"/>
      <c r="E55" s="67"/>
      <c r="F55" s="67"/>
      <c r="G55" s="68"/>
      <c r="H55" s="69">
        <v>42</v>
      </c>
      <c r="I55" s="70"/>
      <c r="J55" s="71"/>
      <c r="K55" s="159"/>
      <c r="L55" s="203"/>
      <c r="M55" s="203"/>
      <c r="N55" s="203"/>
      <c r="O55" s="67">
        <v>42</v>
      </c>
      <c r="P55" s="68"/>
      <c r="S55" s="206"/>
      <c r="T55" s="207"/>
      <c r="U55" s="207"/>
      <c r="Z55" s="11"/>
    </row>
    <row r="56" spans="1:26" ht="19.5" customHeight="1" x14ac:dyDescent="0.25">
      <c r="A56" s="9"/>
      <c r="B56" s="45">
        <v>32</v>
      </c>
      <c r="C56" s="66"/>
      <c r="D56" s="67"/>
      <c r="E56" s="67"/>
      <c r="F56" s="67"/>
      <c r="G56" s="68"/>
      <c r="H56" s="69">
        <v>47</v>
      </c>
      <c r="I56" s="70"/>
      <c r="J56" s="71"/>
      <c r="K56" s="159"/>
      <c r="L56" s="203"/>
      <c r="M56" s="203"/>
      <c r="N56" s="203"/>
      <c r="O56" s="67">
        <v>58</v>
      </c>
      <c r="P56" s="68"/>
      <c r="S56" s="206"/>
      <c r="T56" s="207"/>
      <c r="U56" s="207"/>
      <c r="Z56" s="11"/>
    </row>
    <row r="57" spans="1:26" ht="19.5" customHeight="1" x14ac:dyDescent="0.25">
      <c r="A57" s="9"/>
      <c r="B57" s="45">
        <v>33</v>
      </c>
      <c r="C57" s="66"/>
      <c r="D57" s="67"/>
      <c r="E57" s="67"/>
      <c r="F57" s="67"/>
      <c r="G57" s="68"/>
      <c r="H57" s="69">
        <v>46</v>
      </c>
      <c r="I57" s="70"/>
      <c r="J57" s="71"/>
      <c r="K57" s="159"/>
      <c r="L57" s="203"/>
      <c r="M57" s="203"/>
      <c r="N57" s="203"/>
      <c r="O57" s="67">
        <v>60</v>
      </c>
      <c r="P57" s="68"/>
      <c r="S57" s="206"/>
      <c r="T57" s="207"/>
      <c r="U57" s="207"/>
      <c r="Z57" s="11"/>
    </row>
    <row r="58" spans="1:26" ht="19.5" customHeight="1" x14ac:dyDescent="0.25">
      <c r="A58" s="9"/>
      <c r="B58" s="45">
        <v>34</v>
      </c>
      <c r="C58" s="66"/>
      <c r="D58" s="67"/>
      <c r="E58" s="67"/>
      <c r="F58" s="67"/>
      <c r="G58" s="68"/>
      <c r="H58" s="69">
        <v>42</v>
      </c>
      <c r="I58" s="70"/>
      <c r="J58" s="71"/>
      <c r="K58" s="159"/>
      <c r="L58" s="203"/>
      <c r="M58" s="203"/>
      <c r="N58" s="203"/>
      <c r="O58" s="67">
        <v>54</v>
      </c>
      <c r="P58" s="68"/>
      <c r="S58" s="206"/>
      <c r="T58" s="207"/>
      <c r="U58" s="207"/>
      <c r="Z58" s="11"/>
    </row>
    <row r="59" spans="1:26" ht="19.5" customHeight="1" x14ac:dyDescent="0.25">
      <c r="A59" s="9"/>
      <c r="B59" s="45">
        <v>35</v>
      </c>
      <c r="C59" s="66"/>
      <c r="D59" s="67"/>
      <c r="E59" s="67"/>
      <c r="F59" s="67"/>
      <c r="G59" s="68"/>
      <c r="H59" s="69">
        <v>43</v>
      </c>
      <c r="I59" s="70"/>
      <c r="J59" s="71"/>
      <c r="K59" s="204"/>
      <c r="L59" s="205"/>
      <c r="M59" s="205"/>
      <c r="N59" s="205"/>
      <c r="O59" s="67">
        <v>55</v>
      </c>
      <c r="P59" s="68"/>
      <c r="S59" s="206"/>
      <c r="T59" s="207"/>
      <c r="U59" s="207"/>
      <c r="Z59" s="11"/>
    </row>
    <row r="60" spans="1:26" ht="19.5" customHeight="1" x14ac:dyDescent="0.25">
      <c r="A60" s="9"/>
      <c r="B60" s="45">
        <v>36</v>
      </c>
      <c r="C60" s="66"/>
      <c r="D60" s="67"/>
      <c r="E60" s="67"/>
      <c r="F60" s="67"/>
      <c r="G60" s="68"/>
      <c r="H60" s="69">
        <v>98</v>
      </c>
      <c r="I60" s="70"/>
      <c r="J60" s="71"/>
      <c r="K60" s="66"/>
      <c r="L60" s="67"/>
      <c r="M60" s="67"/>
      <c r="N60" s="67"/>
      <c r="O60" s="67"/>
      <c r="P60" s="68"/>
      <c r="Z60" s="11"/>
    </row>
    <row r="61" spans="1:26" ht="19.5" customHeight="1" thickBot="1" x14ac:dyDescent="0.3">
      <c r="A61" s="9"/>
      <c r="B61" s="46"/>
      <c r="C61" s="88"/>
      <c r="D61" s="88"/>
      <c r="E61" s="88"/>
      <c r="F61" s="88"/>
      <c r="G61" s="89"/>
      <c r="H61" s="164"/>
      <c r="I61" s="165"/>
      <c r="J61" s="166"/>
      <c r="K61" s="167"/>
      <c r="L61" s="88"/>
      <c r="M61" s="88"/>
      <c r="N61" s="88"/>
      <c r="O61" s="88"/>
      <c r="P61" s="89"/>
      <c r="Z61" s="11"/>
    </row>
    <row r="62" spans="1:26" ht="15.75" customHeight="1" x14ac:dyDescent="0.25">
      <c r="A62" s="9"/>
      <c r="B62" s="96" t="s">
        <v>37</v>
      </c>
      <c r="C62" s="97"/>
      <c r="D62" s="97"/>
      <c r="E62" s="97"/>
      <c r="F62" s="97"/>
      <c r="G62" s="98"/>
      <c r="H62" s="171">
        <f>AVERAGE(H25:J61)</f>
        <v>48.805555555555557</v>
      </c>
      <c r="I62" s="172"/>
      <c r="J62" s="173"/>
      <c r="K62" s="157" t="s">
        <v>56</v>
      </c>
      <c r="L62" s="158"/>
      <c r="M62" s="152" t="s">
        <v>38</v>
      </c>
      <c r="N62" s="152"/>
      <c r="O62" s="152"/>
      <c r="P62" s="153"/>
      <c r="Z62" s="11"/>
    </row>
    <row r="63" spans="1:26" ht="15.75" customHeight="1" x14ac:dyDescent="0.25">
      <c r="A63" s="9"/>
      <c r="B63" s="90" t="s">
        <v>39</v>
      </c>
      <c r="C63" s="91"/>
      <c r="D63" s="91"/>
      <c r="E63" s="91"/>
      <c r="F63" s="91"/>
      <c r="G63" s="92"/>
      <c r="H63" s="174">
        <f>IF(COUNTIF(H25:J61,"*&lt;20*"),"&lt;20",MIN(H25:J61))</f>
        <v>31</v>
      </c>
      <c r="I63" s="175"/>
      <c r="J63" s="176"/>
      <c r="K63" s="159"/>
      <c r="L63" s="160"/>
      <c r="M63" s="72"/>
      <c r="N63" s="72"/>
      <c r="O63" s="72"/>
      <c r="P63" s="154"/>
      <c r="Z63" s="11"/>
    </row>
    <row r="64" spans="1:26" ht="15.75" customHeight="1" thickBot="1" x14ac:dyDescent="0.3">
      <c r="A64" s="9"/>
      <c r="B64" s="93" t="s">
        <v>40</v>
      </c>
      <c r="C64" s="94"/>
      <c r="D64" s="94"/>
      <c r="E64" s="94"/>
      <c r="F64" s="94"/>
      <c r="G64" s="95"/>
      <c r="H64" s="168">
        <f>IF(COUNTIF(H25:J61,"*&gt;250*"),"&gt;250",MAX(H25:J61))</f>
        <v>98</v>
      </c>
      <c r="I64" s="169"/>
      <c r="J64" s="170"/>
      <c r="K64" s="161"/>
      <c r="L64" s="162"/>
      <c r="M64" s="155"/>
      <c r="N64" s="155"/>
      <c r="O64" s="155"/>
      <c r="P64" s="156"/>
      <c r="Z64" s="11"/>
    </row>
    <row r="65" spans="1:26" ht="15.9" customHeight="1" x14ac:dyDescent="0.25">
      <c r="A65" s="35"/>
      <c r="B65" s="4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16"/>
    </row>
    <row r="66" spans="1:26" ht="12.75" customHeight="1" x14ac:dyDescent="0.25">
      <c r="A66" s="36"/>
      <c r="B66" s="37"/>
    </row>
    <row r="67" spans="1:26" s="17" customFormat="1" ht="15.6" customHeight="1" x14ac:dyDescent="0.25">
      <c r="A67" s="48" t="s">
        <v>41</v>
      </c>
      <c r="B67" s="5" t="s">
        <v>42</v>
      </c>
      <c r="C67" s="49"/>
      <c r="D67" s="49"/>
      <c r="E67" s="49"/>
      <c r="F67" s="50"/>
      <c r="G67" s="50"/>
      <c r="H67" s="50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51"/>
      <c r="V67" s="52"/>
      <c r="W67" s="52"/>
      <c r="X67" s="42"/>
      <c r="Y67" s="42"/>
      <c r="Z67" s="43"/>
    </row>
    <row r="68" spans="1:26" s="17" customFormat="1" ht="28.5" customHeight="1" x14ac:dyDescent="0.25">
      <c r="A68" s="177" t="s">
        <v>43</v>
      </c>
      <c r="B68" s="178"/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9"/>
      <c r="R68" s="107" t="s">
        <v>44</v>
      </c>
      <c r="S68" s="108"/>
      <c r="T68" s="109"/>
      <c r="U68" s="180" t="s">
        <v>55</v>
      </c>
      <c r="V68" s="181"/>
      <c r="W68" s="181"/>
      <c r="X68" s="182"/>
      <c r="Y68" s="182"/>
      <c r="Z68" s="183"/>
    </row>
    <row r="69" spans="1:26" s="17" customFormat="1" ht="15.6" customHeight="1" x14ac:dyDescent="0.25">
      <c r="A69" s="184" t="s">
        <v>64</v>
      </c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6"/>
      <c r="R69" s="107" t="s">
        <v>47</v>
      </c>
      <c r="S69" s="108"/>
      <c r="T69" s="109"/>
      <c r="U69" s="190" t="s">
        <v>54</v>
      </c>
      <c r="V69" s="191"/>
      <c r="W69" s="191"/>
      <c r="X69" s="192"/>
      <c r="Y69" s="192"/>
      <c r="Z69" s="193"/>
    </row>
    <row r="70" spans="1:26" s="17" customFormat="1" ht="15.6" customHeight="1" x14ac:dyDescent="0.25">
      <c r="A70" s="187"/>
      <c r="B70" s="188"/>
      <c r="C70" s="188"/>
      <c r="D70" s="188"/>
      <c r="E70" s="188"/>
      <c r="F70" s="188"/>
      <c r="G70" s="188"/>
      <c r="H70" s="188"/>
      <c r="I70" s="188"/>
      <c r="J70" s="188"/>
      <c r="K70" s="188"/>
      <c r="L70" s="188"/>
      <c r="M70" s="188"/>
      <c r="N70" s="188"/>
      <c r="O70" s="188"/>
      <c r="P70" s="188"/>
      <c r="Q70" s="189"/>
      <c r="R70" s="107"/>
      <c r="S70" s="108"/>
      <c r="T70" s="109"/>
      <c r="U70" s="194"/>
      <c r="V70" s="72"/>
      <c r="W70" s="72"/>
      <c r="X70" s="195"/>
      <c r="Y70" s="195"/>
      <c r="Z70" s="196"/>
    </row>
    <row r="71" spans="1:26" s="17" customFormat="1" ht="15.6" customHeight="1" x14ac:dyDescent="0.25">
      <c r="A71" s="55" t="s">
        <v>49</v>
      </c>
      <c r="B71" s="56" t="s">
        <v>50</v>
      </c>
      <c r="C71" s="1"/>
      <c r="D71" s="1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7"/>
      <c r="R71" s="107"/>
      <c r="S71" s="108"/>
      <c r="T71" s="109"/>
      <c r="U71" s="197"/>
      <c r="V71" s="198"/>
      <c r="W71" s="198"/>
      <c r="X71" s="199"/>
      <c r="Y71" s="199"/>
      <c r="Z71" s="200"/>
    </row>
    <row r="72" spans="1:26" s="17" customFormat="1" ht="15.6" customHeight="1" x14ac:dyDescent="0.25">
      <c r="A72" s="101" t="s">
        <v>53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3"/>
      <c r="R72" s="107" t="s">
        <v>51</v>
      </c>
      <c r="S72" s="108"/>
      <c r="T72" s="109"/>
      <c r="U72" s="58"/>
      <c r="V72" s="59"/>
      <c r="W72" s="59"/>
      <c r="X72" s="59"/>
      <c r="Y72" s="59"/>
      <c r="Z72" s="60"/>
    </row>
    <row r="73" spans="1:26" s="17" customFormat="1" ht="15.6" customHeight="1" x14ac:dyDescent="0.25">
      <c r="A73" s="101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3"/>
      <c r="R73" s="107"/>
      <c r="S73" s="108"/>
      <c r="T73" s="109"/>
      <c r="U73" s="61"/>
      <c r="V73" s="72"/>
      <c r="W73" s="72"/>
      <c r="X73" s="72"/>
      <c r="Y73" s="72"/>
      <c r="Z73" s="62"/>
    </row>
    <row r="74" spans="1:26" s="17" customFormat="1" ht="15.6" customHeight="1" x14ac:dyDescent="0.25">
      <c r="A74" s="101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3"/>
      <c r="R74" s="107"/>
      <c r="S74" s="108"/>
      <c r="T74" s="109"/>
      <c r="U74" s="61"/>
      <c r="V74" s="72"/>
      <c r="W74" s="72"/>
      <c r="X74" s="72"/>
      <c r="Y74" s="72"/>
      <c r="Z74" s="62"/>
    </row>
    <row r="75" spans="1:26" s="17" customFormat="1" ht="15.6" customHeight="1" x14ac:dyDescent="0.25">
      <c r="A75" s="104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6"/>
      <c r="R75" s="110"/>
      <c r="S75" s="111"/>
      <c r="T75" s="112"/>
      <c r="U75" s="63"/>
      <c r="V75" s="64"/>
      <c r="W75" s="64"/>
      <c r="X75" s="64"/>
      <c r="Y75" s="64"/>
      <c r="Z75" s="65"/>
    </row>
    <row r="76" spans="1:26" s="17" customFormat="1" ht="15" customHeight="1" x14ac:dyDescent="0.25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54"/>
      <c r="S76" s="54"/>
      <c r="T76" s="54"/>
      <c r="U76" s="41"/>
      <c r="V76" s="41"/>
      <c r="W76" s="41"/>
      <c r="X76" s="41"/>
      <c r="Y76" s="41"/>
      <c r="Z76" s="41"/>
    </row>
    <row r="78" spans="1:26" ht="12.75" customHeight="1" x14ac:dyDescent="0.25">
      <c r="A78" s="1"/>
    </row>
    <row r="79" spans="1:26" ht="12.75" customHeight="1" x14ac:dyDescent="0.25">
      <c r="A79" s="1"/>
    </row>
    <row r="80" spans="1:26" ht="12.75" customHeight="1" x14ac:dyDescent="0.25">
      <c r="A80" s="1"/>
    </row>
    <row r="81" spans="1:1" ht="12.75" customHeight="1" x14ac:dyDescent="0.25">
      <c r="A81" s="1"/>
    </row>
    <row r="82" spans="1:1" ht="12.75" customHeight="1" x14ac:dyDescent="0.25">
      <c r="A82" s="1"/>
    </row>
    <row r="83" spans="1:1" ht="12.75" customHeight="1" x14ac:dyDescent="0.25">
      <c r="A83" s="1"/>
    </row>
  </sheetData>
  <sheetProtection formatCells="0" formatColumns="0" formatRows="0" insertColumns="0" insertRows="0" insertHyperlinks="0" deleteColumns="0" deleteRows="0" selectLockedCells="1" sort="0" autoFilter="0" pivotTables="0"/>
  <mergeCells count="164">
    <mergeCell ref="O58:P58"/>
    <mergeCell ref="O59:P59"/>
    <mergeCell ref="K25:N59"/>
    <mergeCell ref="U68:Z68"/>
    <mergeCell ref="A69:Q70"/>
    <mergeCell ref="R69:T71"/>
    <mergeCell ref="U69:Z71"/>
    <mergeCell ref="O25:P25"/>
    <mergeCell ref="O26:P26"/>
    <mergeCell ref="O27:P27"/>
    <mergeCell ref="H63:J63"/>
    <mergeCell ref="B17:H17"/>
    <mergeCell ref="B12:G12"/>
    <mergeCell ref="B11:G11"/>
    <mergeCell ref="A68:Q68"/>
    <mergeCell ref="R68:T68"/>
    <mergeCell ref="O28:P28"/>
    <mergeCell ref="O29:P29"/>
    <mergeCell ref="U1:Z6"/>
    <mergeCell ref="M62:P64"/>
    <mergeCell ref="K62:L64"/>
    <mergeCell ref="S12:Y12"/>
    <mergeCell ref="K23:P24"/>
    <mergeCell ref="I17:Y17"/>
    <mergeCell ref="S11:Y11"/>
    <mergeCell ref="H61:J61"/>
    <mergeCell ref="K61:P61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C29:G29"/>
    <mergeCell ref="H29:J29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A72:Q75"/>
    <mergeCell ref="R72:T75"/>
    <mergeCell ref="C27:G27"/>
    <mergeCell ref="H27:J27"/>
    <mergeCell ref="C61:G61"/>
    <mergeCell ref="B63:G63"/>
    <mergeCell ref="B64:G64"/>
    <mergeCell ref="B62:G62"/>
    <mergeCell ref="C26:G26"/>
    <mergeCell ref="H26:J26"/>
    <mergeCell ref="C28:G28"/>
    <mergeCell ref="H28:J28"/>
    <mergeCell ref="H64:J64"/>
    <mergeCell ref="H62:J62"/>
    <mergeCell ref="V73:Y74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C31:G31"/>
    <mergeCell ref="H31:J31"/>
    <mergeCell ref="O30:P30"/>
    <mergeCell ref="O31:P31"/>
    <mergeCell ref="C32:G32"/>
    <mergeCell ref="H32:J32"/>
    <mergeCell ref="C33:G33"/>
    <mergeCell ref="H33:J33"/>
    <mergeCell ref="O32:P32"/>
    <mergeCell ref="O33:P33"/>
    <mergeCell ref="C34:G34"/>
    <mergeCell ref="H34:J34"/>
    <mergeCell ref="C35:G35"/>
    <mergeCell ref="H35:J35"/>
    <mergeCell ref="O34:P34"/>
    <mergeCell ref="O35:P35"/>
    <mergeCell ref="C36:G36"/>
    <mergeCell ref="H36:J36"/>
    <mergeCell ref="C37:G37"/>
    <mergeCell ref="H37:J37"/>
    <mergeCell ref="O36:P36"/>
    <mergeCell ref="O37:P37"/>
    <mergeCell ref="C38:G38"/>
    <mergeCell ref="H38:J38"/>
    <mergeCell ref="C39:G39"/>
    <mergeCell ref="H39:J39"/>
    <mergeCell ref="O38:P38"/>
    <mergeCell ref="O39:P39"/>
    <mergeCell ref="C40:G40"/>
    <mergeCell ref="H40:J40"/>
    <mergeCell ref="C41:G41"/>
    <mergeCell ref="H41:J41"/>
    <mergeCell ref="O40:P40"/>
    <mergeCell ref="O41:P41"/>
    <mergeCell ref="C42:G42"/>
    <mergeCell ref="H42:J42"/>
    <mergeCell ref="C43:G43"/>
    <mergeCell ref="H43:J43"/>
    <mergeCell ref="O42:P42"/>
    <mergeCell ref="O43:P43"/>
    <mergeCell ref="C44:G44"/>
    <mergeCell ref="H44:J44"/>
    <mergeCell ref="C45:G45"/>
    <mergeCell ref="H45:J45"/>
    <mergeCell ref="O44:P44"/>
    <mergeCell ref="O45:P45"/>
    <mergeCell ref="C46:G46"/>
    <mergeCell ref="H46:J46"/>
    <mergeCell ref="C47:G47"/>
    <mergeCell ref="H47:J47"/>
    <mergeCell ref="O46:P46"/>
    <mergeCell ref="O47:P47"/>
    <mergeCell ref="C48:G48"/>
    <mergeCell ref="H48:J48"/>
    <mergeCell ref="C49:G49"/>
    <mergeCell ref="H49:J49"/>
    <mergeCell ref="O48:P48"/>
    <mergeCell ref="O49:P49"/>
    <mergeCell ref="C50:G50"/>
    <mergeCell ref="H50:J50"/>
    <mergeCell ref="C51:G51"/>
    <mergeCell ref="H51:J51"/>
    <mergeCell ref="O50:P50"/>
    <mergeCell ref="O51:P51"/>
    <mergeCell ref="C52:G52"/>
    <mergeCell ref="H52:J52"/>
    <mergeCell ref="C53:G53"/>
    <mergeCell ref="H53:J53"/>
    <mergeCell ref="O52:P52"/>
    <mergeCell ref="O53:P53"/>
    <mergeCell ref="C54:G54"/>
    <mergeCell ref="H54:J54"/>
    <mergeCell ref="C55:G55"/>
    <mergeCell ref="H55:J55"/>
    <mergeCell ref="O54:P54"/>
    <mergeCell ref="O55:P55"/>
    <mergeCell ref="C56:G56"/>
    <mergeCell ref="H56:J56"/>
    <mergeCell ref="C57:G57"/>
    <mergeCell ref="H57:J57"/>
    <mergeCell ref="O56:P56"/>
    <mergeCell ref="O57:P57"/>
    <mergeCell ref="C60:G60"/>
    <mergeCell ref="H60:J60"/>
    <mergeCell ref="K60:P60"/>
    <mergeCell ref="C58:G58"/>
    <mergeCell ref="H58:J58"/>
    <mergeCell ref="C59:G59"/>
    <mergeCell ref="H59:J59"/>
  </mergeCells>
  <conditionalFormatting sqref="S25:U59">
    <cfRule type="cellIs" dxfId="0" priority="1" operator="lessThan">
      <formula>$K$18</formula>
    </cfRule>
  </conditionalFormatting>
  <printOptions horizontalCentered="1"/>
  <pageMargins left="0.39370078740157" right="0.39370078740157" top="0.39370078740157" bottom="0.39370078740157" header="0" footer="0.19685039370078999"/>
  <pageSetup paperSize="9" scale="6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workbookViewId="0">
      <selection activeCell="H25" sqref="H25:J2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143" t="s">
        <v>1</v>
      </c>
      <c r="V1" s="144"/>
      <c r="W1" s="144"/>
      <c r="X1" s="144"/>
      <c r="Y1" s="144"/>
      <c r="Z1" s="145"/>
    </row>
    <row r="2" spans="1:26" ht="12.75" customHeight="1" x14ac:dyDescent="0.25">
      <c r="A2" s="116"/>
      <c r="B2" s="117"/>
      <c r="C2" s="117"/>
      <c r="D2" s="117"/>
      <c r="E2" s="117"/>
      <c r="F2" s="118"/>
      <c r="G2" s="126" t="s">
        <v>2</v>
      </c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146"/>
      <c r="V2" s="147"/>
      <c r="W2" s="147"/>
      <c r="X2" s="147"/>
      <c r="Y2" s="147"/>
      <c r="Z2" s="148"/>
    </row>
    <row r="3" spans="1:26" ht="12.75" customHeight="1" x14ac:dyDescent="0.25">
      <c r="A3" s="116"/>
      <c r="B3" s="117"/>
      <c r="C3" s="117"/>
      <c r="D3" s="117"/>
      <c r="E3" s="117"/>
      <c r="F3" s="118"/>
      <c r="G3" s="126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8"/>
      <c r="U3" s="146"/>
      <c r="V3" s="147"/>
      <c r="W3" s="147"/>
      <c r="X3" s="147"/>
      <c r="Y3" s="147"/>
      <c r="Z3" s="148"/>
    </row>
    <row r="4" spans="1:26" ht="12.75" customHeight="1" x14ac:dyDescent="0.25">
      <c r="A4" s="116"/>
      <c r="B4" s="117"/>
      <c r="C4" s="117"/>
      <c r="D4" s="117"/>
      <c r="E4" s="117"/>
      <c r="F4" s="118"/>
      <c r="G4" s="126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8"/>
      <c r="U4" s="146"/>
      <c r="V4" s="147"/>
      <c r="W4" s="147"/>
      <c r="X4" s="147"/>
      <c r="Y4" s="147"/>
      <c r="Z4" s="148"/>
    </row>
    <row r="5" spans="1:26" ht="12.75" customHeight="1" x14ac:dyDescent="0.25">
      <c r="A5" s="116"/>
      <c r="B5" s="117"/>
      <c r="C5" s="117"/>
      <c r="D5" s="117"/>
      <c r="E5" s="117"/>
      <c r="F5" s="118"/>
      <c r="G5" s="129" t="s">
        <v>3</v>
      </c>
      <c r="H5" s="130"/>
      <c r="I5" s="133">
        <v>1</v>
      </c>
      <c r="J5" s="133"/>
      <c r="K5" s="134"/>
      <c r="L5" s="136" t="s">
        <v>4</v>
      </c>
      <c r="M5" s="137"/>
      <c r="N5" s="137"/>
      <c r="O5" s="138"/>
      <c r="P5" s="139" t="s">
        <v>5</v>
      </c>
      <c r="Q5" s="140"/>
      <c r="R5" s="140"/>
      <c r="S5" s="140"/>
      <c r="T5" s="141"/>
      <c r="U5" s="146"/>
      <c r="V5" s="147"/>
      <c r="W5" s="147"/>
      <c r="X5" s="147"/>
      <c r="Y5" s="147"/>
      <c r="Z5" s="148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6</v>
      </c>
      <c r="J6" s="135"/>
      <c r="K6" s="135"/>
      <c r="L6" s="135" t="s">
        <v>7</v>
      </c>
      <c r="M6" s="135"/>
      <c r="N6" s="135"/>
      <c r="O6" s="135"/>
      <c r="P6" s="135" t="s">
        <v>8</v>
      </c>
      <c r="Q6" s="135"/>
      <c r="R6" s="135"/>
      <c r="S6" s="135"/>
      <c r="T6" s="142"/>
      <c r="U6" s="149"/>
      <c r="V6" s="150"/>
      <c r="W6" s="150"/>
      <c r="X6" s="150"/>
      <c r="Y6" s="150"/>
      <c r="Z6" s="151"/>
    </row>
    <row r="7" spans="1:26" ht="36.6" customHeight="1" x14ac:dyDescent="0.25">
      <c r="A7" s="131" t="s">
        <v>9</v>
      </c>
      <c r="B7" s="131"/>
      <c r="C7" s="131"/>
      <c r="D7" s="131"/>
      <c r="E7" s="131"/>
      <c r="F7" s="131"/>
      <c r="G7" s="132" t="s">
        <v>10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99" t="s">
        <v>13</v>
      </c>
      <c r="C10" s="99"/>
      <c r="D10" s="99"/>
      <c r="E10" s="99"/>
      <c r="F10" s="99"/>
      <c r="G10" s="99"/>
      <c r="H10" s="100" t="s">
        <v>14</v>
      </c>
      <c r="I10" s="100"/>
      <c r="J10" s="100"/>
      <c r="K10" s="100"/>
      <c r="L10" s="100"/>
      <c r="M10" s="100"/>
      <c r="N10" s="99" t="s">
        <v>15</v>
      </c>
      <c r="O10" s="99"/>
      <c r="P10" s="99"/>
      <c r="Q10" s="99"/>
      <c r="R10" s="99"/>
      <c r="S10" s="125" t="s">
        <v>16</v>
      </c>
      <c r="T10" s="125"/>
      <c r="U10" s="125"/>
      <c r="V10" s="125"/>
      <c r="W10" s="125"/>
      <c r="X10" s="125"/>
      <c r="Y10" s="125"/>
      <c r="Z10" s="12"/>
    </row>
    <row r="11" spans="1:26" ht="15.9" customHeight="1" x14ac:dyDescent="0.25">
      <c r="A11" s="9"/>
      <c r="B11" s="99" t="s">
        <v>17</v>
      </c>
      <c r="C11" s="99"/>
      <c r="D11" s="99"/>
      <c r="E11" s="99"/>
      <c r="F11" s="99"/>
      <c r="G11" s="99"/>
      <c r="H11" s="100" t="s">
        <v>5</v>
      </c>
      <c r="I11" s="100"/>
      <c r="J11" s="100"/>
      <c r="K11" s="100"/>
      <c r="L11" s="100"/>
      <c r="M11" s="100"/>
      <c r="N11" s="99" t="s">
        <v>18</v>
      </c>
      <c r="O11" s="99"/>
      <c r="P11" s="99"/>
      <c r="Q11" s="99"/>
      <c r="R11" s="99"/>
      <c r="S11" s="125" t="s">
        <v>19</v>
      </c>
      <c r="T11" s="125"/>
      <c r="U11" s="125"/>
      <c r="V11" s="125"/>
      <c r="W11" s="125"/>
      <c r="X11" s="125"/>
      <c r="Y11" s="125"/>
      <c r="Z11" s="12"/>
    </row>
    <row r="12" spans="1:26" ht="15.9" customHeight="1" x14ac:dyDescent="0.25">
      <c r="A12" s="9"/>
      <c r="B12" s="99" t="s">
        <v>20</v>
      </c>
      <c r="C12" s="99"/>
      <c r="D12" s="99"/>
      <c r="E12" s="99"/>
      <c r="F12" s="99"/>
      <c r="G12" s="99"/>
      <c r="H12" s="100" t="s">
        <v>52</v>
      </c>
      <c r="I12" s="100"/>
      <c r="J12" s="100"/>
      <c r="K12" s="100"/>
      <c r="L12" s="100"/>
      <c r="M12" s="100"/>
      <c r="N12" s="99" t="s">
        <v>21</v>
      </c>
      <c r="O12" s="99"/>
      <c r="P12" s="99"/>
      <c r="Q12" s="99"/>
      <c r="R12" s="99"/>
      <c r="S12" s="125" t="s">
        <v>22</v>
      </c>
      <c r="T12" s="125"/>
      <c r="U12" s="125"/>
      <c r="V12" s="125"/>
      <c r="W12" s="125"/>
      <c r="X12" s="125"/>
      <c r="Y12" s="12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0" t="s">
        <v>25</v>
      </c>
      <c r="C17" s="80"/>
      <c r="D17" s="80"/>
      <c r="E17" s="80"/>
      <c r="F17" s="80"/>
      <c r="G17" s="80"/>
      <c r="H17" s="80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28"/>
    </row>
    <row r="18" spans="1:26" s="17" customFormat="1" ht="15" customHeight="1" x14ac:dyDescent="0.25">
      <c r="A18" s="24"/>
      <c r="B18" s="80" t="s">
        <v>26</v>
      </c>
      <c r="C18" s="80"/>
      <c r="D18" s="80"/>
      <c r="E18" s="80"/>
      <c r="F18" s="80"/>
      <c r="G18" s="80"/>
      <c r="H18" s="80"/>
      <c r="I18" s="73" t="s">
        <v>27</v>
      </c>
      <c r="J18" s="73"/>
      <c r="K18" s="27"/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87" t="s">
        <v>31</v>
      </c>
      <c r="K21" s="87"/>
      <c r="L21" s="87"/>
      <c r="M21" s="87"/>
      <c r="N21" s="87"/>
      <c r="O21" s="87"/>
      <c r="P21" s="87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81" t="s">
        <v>32</v>
      </c>
      <c r="C23" s="83" t="s">
        <v>33</v>
      </c>
      <c r="D23" s="83"/>
      <c r="E23" s="83"/>
      <c r="F23" s="83"/>
      <c r="G23" s="84"/>
      <c r="H23" s="77" t="s">
        <v>34</v>
      </c>
      <c r="I23" s="78"/>
      <c r="J23" s="79"/>
      <c r="K23" s="83" t="s">
        <v>35</v>
      </c>
      <c r="L23" s="83"/>
      <c r="M23" s="83"/>
      <c r="N23" s="83"/>
      <c r="O23" s="83"/>
      <c r="P23" s="84"/>
      <c r="Z23" s="11"/>
    </row>
    <row r="24" spans="1:26" ht="15.75" customHeight="1" x14ac:dyDescent="0.25">
      <c r="A24" s="9"/>
      <c r="B24" s="82"/>
      <c r="C24" s="85"/>
      <c r="D24" s="85"/>
      <c r="E24" s="85"/>
      <c r="F24" s="85"/>
      <c r="G24" s="86"/>
      <c r="H24" s="74" t="s">
        <v>36</v>
      </c>
      <c r="I24" s="75"/>
      <c r="J24" s="76"/>
      <c r="K24" s="85"/>
      <c r="L24" s="85"/>
      <c r="M24" s="85"/>
      <c r="N24" s="85"/>
      <c r="O24" s="85"/>
      <c r="P24" s="86"/>
      <c r="Z24" s="11"/>
    </row>
    <row r="25" spans="1:26" ht="19.5" customHeight="1" x14ac:dyDescent="0.25">
      <c r="A25" s="9"/>
      <c r="B25" s="45">
        <v>1</v>
      </c>
      <c r="C25" s="66"/>
      <c r="D25" s="67"/>
      <c r="E25" s="67"/>
      <c r="F25" s="67"/>
      <c r="G25" s="68"/>
      <c r="H25" s="69">
        <v>112</v>
      </c>
      <c r="I25" s="70"/>
      <c r="J25" s="71"/>
      <c r="K25" s="66"/>
      <c r="L25" s="67"/>
      <c r="M25" s="67"/>
      <c r="N25" s="67"/>
      <c r="O25" s="67"/>
      <c r="P25" s="68"/>
      <c r="Z25" s="11"/>
    </row>
    <row r="26" spans="1:26" ht="19.5" customHeight="1" x14ac:dyDescent="0.25">
      <c r="A26" s="9"/>
      <c r="B26" s="45">
        <v>2</v>
      </c>
      <c r="C26" s="66"/>
      <c r="D26" s="67"/>
      <c r="E26" s="67"/>
      <c r="F26" s="67"/>
      <c r="G26" s="68"/>
      <c r="H26" s="69">
        <v>172</v>
      </c>
      <c r="I26" s="70"/>
      <c r="J26" s="71"/>
      <c r="K26" s="66"/>
      <c r="L26" s="67"/>
      <c r="M26" s="67"/>
      <c r="N26" s="67"/>
      <c r="O26" s="67"/>
      <c r="P26" s="68"/>
      <c r="Z26" s="11"/>
    </row>
    <row r="27" spans="1:26" ht="19.5" customHeight="1" x14ac:dyDescent="0.25">
      <c r="A27" s="9"/>
      <c r="B27" s="45">
        <v>3</v>
      </c>
      <c r="C27" s="66"/>
      <c r="D27" s="67"/>
      <c r="E27" s="67"/>
      <c r="F27" s="67"/>
      <c r="G27" s="68"/>
      <c r="H27" s="69">
        <v>69</v>
      </c>
      <c r="I27" s="70"/>
      <c r="J27" s="71"/>
      <c r="K27" s="66"/>
      <c r="L27" s="67"/>
      <c r="M27" s="67"/>
      <c r="N27" s="67"/>
      <c r="O27" s="67"/>
      <c r="P27" s="68"/>
      <c r="Z27" s="11"/>
    </row>
    <row r="28" spans="1:26" ht="19.5" customHeight="1" x14ac:dyDescent="0.25">
      <c r="A28" s="9"/>
      <c r="B28" s="45">
        <v>4</v>
      </c>
      <c r="C28" s="66"/>
      <c r="D28" s="67"/>
      <c r="E28" s="67"/>
      <c r="F28" s="67"/>
      <c r="G28" s="68"/>
      <c r="H28" s="69">
        <v>85</v>
      </c>
      <c r="I28" s="70"/>
      <c r="J28" s="71"/>
      <c r="K28" s="66"/>
      <c r="L28" s="67"/>
      <c r="M28" s="67"/>
      <c r="N28" s="67"/>
      <c r="O28" s="67"/>
      <c r="P28" s="68"/>
      <c r="Z28" s="11"/>
    </row>
    <row r="29" spans="1:26" ht="19.5" customHeight="1" x14ac:dyDescent="0.25">
      <c r="A29" s="9"/>
      <c r="B29" s="45">
        <v>5</v>
      </c>
      <c r="C29" s="66"/>
      <c r="D29" s="67"/>
      <c r="E29" s="67"/>
      <c r="F29" s="67"/>
      <c r="G29" s="68"/>
      <c r="H29" s="69">
        <v>84</v>
      </c>
      <c r="I29" s="70"/>
      <c r="J29" s="71"/>
      <c r="K29" s="66"/>
      <c r="L29" s="67"/>
      <c r="M29" s="67"/>
      <c r="N29" s="67"/>
      <c r="O29" s="67"/>
      <c r="P29" s="68"/>
      <c r="Z29" s="11"/>
    </row>
    <row r="30" spans="1:26" ht="19.5" customHeight="1" x14ac:dyDescent="0.25">
      <c r="A30" s="9"/>
      <c r="B30" s="45">
        <v>6</v>
      </c>
      <c r="C30" s="66"/>
      <c r="D30" s="67"/>
      <c r="E30" s="67"/>
      <c r="F30" s="67"/>
      <c r="G30" s="68"/>
      <c r="H30" s="69">
        <v>84</v>
      </c>
      <c r="I30" s="70"/>
      <c r="J30" s="71"/>
      <c r="K30" s="66"/>
      <c r="L30" s="67"/>
      <c r="M30" s="67"/>
      <c r="N30" s="67"/>
      <c r="O30" s="67"/>
      <c r="P30" s="68"/>
      <c r="Z30" s="11"/>
    </row>
    <row r="31" spans="1:26" ht="19.5" customHeight="1" x14ac:dyDescent="0.25">
      <c r="A31" s="9"/>
      <c r="B31" s="45">
        <v>7</v>
      </c>
      <c r="C31" s="66"/>
      <c r="D31" s="67"/>
      <c r="E31" s="67"/>
      <c r="F31" s="67"/>
      <c r="G31" s="68"/>
      <c r="H31" s="69">
        <v>54</v>
      </c>
      <c r="I31" s="70"/>
      <c r="J31" s="71"/>
      <c r="K31" s="66"/>
      <c r="L31" s="67"/>
      <c r="M31" s="67"/>
      <c r="N31" s="67"/>
      <c r="O31" s="67"/>
      <c r="P31" s="68"/>
      <c r="Z31" s="11"/>
    </row>
    <row r="32" spans="1:26" ht="19.5" customHeight="1" x14ac:dyDescent="0.25">
      <c r="A32" s="9"/>
      <c r="B32" s="45">
        <v>8</v>
      </c>
      <c r="C32" s="66"/>
      <c r="D32" s="67"/>
      <c r="E32" s="67"/>
      <c r="F32" s="67"/>
      <c r="G32" s="68"/>
      <c r="H32" s="69">
        <v>62</v>
      </c>
      <c r="I32" s="70"/>
      <c r="J32" s="71"/>
      <c r="K32" s="66"/>
      <c r="L32" s="67"/>
      <c r="M32" s="67"/>
      <c r="N32" s="67"/>
      <c r="O32" s="67"/>
      <c r="P32" s="68"/>
      <c r="Z32" s="11"/>
    </row>
    <row r="33" spans="1:26" ht="19.5" customHeight="1" x14ac:dyDescent="0.25">
      <c r="A33" s="9"/>
      <c r="B33" s="45">
        <v>9</v>
      </c>
      <c r="C33" s="66"/>
      <c r="D33" s="67"/>
      <c r="E33" s="67"/>
      <c r="F33" s="67"/>
      <c r="G33" s="68"/>
      <c r="H33" s="69">
        <v>88</v>
      </c>
      <c r="I33" s="70"/>
      <c r="J33" s="71"/>
      <c r="K33" s="66"/>
      <c r="L33" s="67"/>
      <c r="M33" s="67"/>
      <c r="N33" s="67"/>
      <c r="O33" s="67"/>
      <c r="P33" s="68"/>
      <c r="Z33" s="11"/>
    </row>
    <row r="34" spans="1:26" ht="19.5" customHeight="1" x14ac:dyDescent="0.25">
      <c r="A34" s="9"/>
      <c r="B34" s="45">
        <v>10</v>
      </c>
      <c r="C34" s="66"/>
      <c r="D34" s="67"/>
      <c r="E34" s="67"/>
      <c r="F34" s="67"/>
      <c r="G34" s="68"/>
      <c r="H34" s="69">
        <v>89</v>
      </c>
      <c r="I34" s="70"/>
      <c r="J34" s="71"/>
      <c r="K34" s="66"/>
      <c r="L34" s="67"/>
      <c r="M34" s="67"/>
      <c r="N34" s="67"/>
      <c r="O34" s="67"/>
      <c r="P34" s="68"/>
      <c r="Z34" s="11"/>
    </row>
    <row r="35" spans="1:26" ht="19.5" customHeight="1" x14ac:dyDescent="0.25">
      <c r="A35" s="9"/>
      <c r="B35" s="45">
        <v>11</v>
      </c>
      <c r="C35" s="66"/>
      <c r="D35" s="67"/>
      <c r="E35" s="67"/>
      <c r="F35" s="67"/>
      <c r="G35" s="68"/>
      <c r="H35" s="69">
        <v>77</v>
      </c>
      <c r="I35" s="70"/>
      <c r="J35" s="71"/>
      <c r="K35" s="66"/>
      <c r="L35" s="67"/>
      <c r="M35" s="67"/>
      <c r="N35" s="67"/>
      <c r="O35" s="67"/>
      <c r="P35" s="68"/>
      <c r="Z35" s="11"/>
    </row>
    <row r="36" spans="1:26" ht="19.5" customHeight="1" x14ac:dyDescent="0.25">
      <c r="A36" s="9"/>
      <c r="B36" s="45">
        <v>12</v>
      </c>
      <c r="C36" s="66"/>
      <c r="D36" s="67"/>
      <c r="E36" s="67"/>
      <c r="F36" s="67"/>
      <c r="G36" s="68"/>
      <c r="H36" s="69">
        <v>60</v>
      </c>
      <c r="I36" s="70"/>
      <c r="J36" s="71"/>
      <c r="K36" s="66"/>
      <c r="L36" s="67"/>
      <c r="M36" s="67"/>
      <c r="N36" s="67"/>
      <c r="O36" s="67"/>
      <c r="P36" s="68"/>
      <c r="Z36" s="11"/>
    </row>
    <row r="37" spans="1:26" ht="19.5" customHeight="1" x14ac:dyDescent="0.25">
      <c r="A37" s="9"/>
      <c r="B37" s="45">
        <v>13</v>
      </c>
      <c r="C37" s="66"/>
      <c r="D37" s="67"/>
      <c r="E37" s="67"/>
      <c r="F37" s="67"/>
      <c r="G37" s="68"/>
      <c r="H37" s="69">
        <v>72</v>
      </c>
      <c r="I37" s="70"/>
      <c r="J37" s="71"/>
      <c r="K37" s="66"/>
      <c r="L37" s="67"/>
      <c r="M37" s="67"/>
      <c r="N37" s="67"/>
      <c r="O37" s="67"/>
      <c r="P37" s="68"/>
      <c r="Z37" s="11"/>
    </row>
    <row r="38" spans="1:26" ht="19.5" customHeight="1" x14ac:dyDescent="0.25">
      <c r="A38" s="9"/>
      <c r="B38" s="45">
        <v>14</v>
      </c>
      <c r="C38" s="66"/>
      <c r="D38" s="67"/>
      <c r="E38" s="67"/>
      <c r="F38" s="67"/>
      <c r="G38" s="68"/>
      <c r="H38" s="69">
        <v>62</v>
      </c>
      <c r="I38" s="70"/>
      <c r="J38" s="71"/>
      <c r="K38" s="66"/>
      <c r="L38" s="67"/>
      <c r="M38" s="67"/>
      <c r="N38" s="67"/>
      <c r="O38" s="67"/>
      <c r="P38" s="68"/>
      <c r="Z38" s="11"/>
    </row>
    <row r="39" spans="1:26" ht="19.5" customHeight="1" x14ac:dyDescent="0.25">
      <c r="A39" s="9"/>
      <c r="B39" s="45">
        <v>15</v>
      </c>
      <c r="C39" s="66"/>
      <c r="D39" s="67"/>
      <c r="E39" s="67"/>
      <c r="F39" s="67"/>
      <c r="G39" s="68"/>
      <c r="H39" s="69">
        <v>82</v>
      </c>
      <c r="I39" s="70"/>
      <c r="J39" s="71"/>
      <c r="K39" s="66"/>
      <c r="L39" s="67"/>
      <c r="M39" s="67"/>
      <c r="N39" s="67"/>
      <c r="O39" s="67"/>
      <c r="P39" s="68"/>
      <c r="Z39" s="11"/>
    </row>
    <row r="40" spans="1:26" ht="19.5" customHeight="1" x14ac:dyDescent="0.25">
      <c r="A40" s="9"/>
      <c r="B40" s="45">
        <v>16</v>
      </c>
      <c r="C40" s="66"/>
      <c r="D40" s="67"/>
      <c r="E40" s="67"/>
      <c r="F40" s="67"/>
      <c r="G40" s="68"/>
      <c r="H40" s="69">
        <v>79</v>
      </c>
      <c r="I40" s="70"/>
      <c r="J40" s="71"/>
      <c r="K40" s="66"/>
      <c r="L40" s="67"/>
      <c r="M40" s="67"/>
      <c r="N40" s="67"/>
      <c r="O40" s="67"/>
      <c r="P40" s="68"/>
      <c r="Z40" s="11"/>
    </row>
    <row r="41" spans="1:26" ht="19.5" customHeight="1" x14ac:dyDescent="0.25">
      <c r="A41" s="9"/>
      <c r="B41" s="45"/>
      <c r="C41" s="66"/>
      <c r="D41" s="67"/>
      <c r="E41" s="67"/>
      <c r="F41" s="67"/>
      <c r="G41" s="68"/>
      <c r="H41" s="69"/>
      <c r="I41" s="70"/>
      <c r="J41" s="71"/>
      <c r="K41" s="66"/>
      <c r="L41" s="67"/>
      <c r="M41" s="67"/>
      <c r="N41" s="67"/>
      <c r="O41" s="67"/>
      <c r="P41" s="68"/>
      <c r="Z41" s="11"/>
    </row>
    <row r="42" spans="1:26" ht="19.5" customHeight="1" x14ac:dyDescent="0.25">
      <c r="A42" s="9"/>
      <c r="B42" s="45"/>
      <c r="C42" s="66"/>
      <c r="D42" s="67"/>
      <c r="E42" s="67"/>
      <c r="F42" s="67"/>
      <c r="G42" s="68"/>
      <c r="H42" s="69"/>
      <c r="I42" s="70"/>
      <c r="J42" s="71"/>
      <c r="K42" s="66"/>
      <c r="L42" s="67"/>
      <c r="M42" s="67"/>
      <c r="N42" s="67"/>
      <c r="O42" s="67"/>
      <c r="P42" s="68"/>
      <c r="Z42" s="11"/>
    </row>
    <row r="43" spans="1:26" ht="19.5" customHeight="1" x14ac:dyDescent="0.25">
      <c r="A43" s="9"/>
      <c r="B43" s="45"/>
      <c r="C43" s="66"/>
      <c r="D43" s="67"/>
      <c r="E43" s="67"/>
      <c r="F43" s="67"/>
      <c r="G43" s="68"/>
      <c r="H43" s="69"/>
      <c r="I43" s="70"/>
      <c r="J43" s="71"/>
      <c r="K43" s="66"/>
      <c r="L43" s="67"/>
      <c r="M43" s="67"/>
      <c r="N43" s="67"/>
      <c r="O43" s="67"/>
      <c r="P43" s="68"/>
      <c r="Z43" s="11"/>
    </row>
    <row r="44" spans="1:26" ht="19.5" customHeight="1" x14ac:dyDescent="0.25">
      <c r="A44" s="9"/>
      <c r="B44" s="45"/>
      <c r="C44" s="66"/>
      <c r="D44" s="67"/>
      <c r="E44" s="67"/>
      <c r="F44" s="67"/>
      <c r="G44" s="68"/>
      <c r="H44" s="69"/>
      <c r="I44" s="70"/>
      <c r="J44" s="71"/>
      <c r="K44" s="66"/>
      <c r="L44" s="67"/>
      <c r="M44" s="67"/>
      <c r="N44" s="67"/>
      <c r="O44" s="67"/>
      <c r="P44" s="68"/>
      <c r="Z44" s="11"/>
    </row>
    <row r="45" spans="1:26" ht="19.5" customHeight="1" x14ac:dyDescent="0.25">
      <c r="A45" s="9"/>
      <c r="B45" s="46"/>
      <c r="C45" s="88"/>
      <c r="D45" s="88"/>
      <c r="E45" s="88"/>
      <c r="F45" s="88"/>
      <c r="G45" s="89"/>
      <c r="H45" s="164"/>
      <c r="I45" s="165"/>
      <c r="J45" s="166"/>
      <c r="K45" s="167"/>
      <c r="L45" s="88"/>
      <c r="M45" s="88"/>
      <c r="N45" s="88"/>
      <c r="O45" s="88"/>
      <c r="P45" s="89"/>
      <c r="Z45" s="11"/>
    </row>
    <row r="46" spans="1:26" ht="15.75" customHeight="1" x14ac:dyDescent="0.25">
      <c r="A46" s="9"/>
      <c r="B46" s="96" t="s">
        <v>37</v>
      </c>
      <c r="C46" s="97"/>
      <c r="D46" s="97"/>
      <c r="E46" s="97"/>
      <c r="F46" s="97"/>
      <c r="G46" s="98"/>
      <c r="H46" s="171">
        <f>AVERAGE(H25:J45)</f>
        <v>83.1875</v>
      </c>
      <c r="I46" s="172"/>
      <c r="J46" s="173"/>
      <c r="K46" s="157"/>
      <c r="L46" s="158"/>
      <c r="M46" s="152" t="s">
        <v>38</v>
      </c>
      <c r="N46" s="152"/>
      <c r="O46" s="152"/>
      <c r="P46" s="153"/>
      <c r="Z46" s="11"/>
    </row>
    <row r="47" spans="1:26" ht="15.75" customHeight="1" x14ac:dyDescent="0.25">
      <c r="A47" s="9"/>
      <c r="B47" s="90" t="s">
        <v>39</v>
      </c>
      <c r="C47" s="91"/>
      <c r="D47" s="91"/>
      <c r="E47" s="91"/>
      <c r="F47" s="91"/>
      <c r="G47" s="92"/>
      <c r="H47" s="174">
        <f>IF(COUNTIF(H25:J45,"*&lt;20*"),"&lt;20",MIN(H25:J45))</f>
        <v>54</v>
      </c>
      <c r="I47" s="175"/>
      <c r="J47" s="176"/>
      <c r="K47" s="159"/>
      <c r="L47" s="160"/>
      <c r="M47" s="72"/>
      <c r="N47" s="72"/>
      <c r="O47" s="72"/>
      <c r="P47" s="154"/>
      <c r="Z47" s="11"/>
    </row>
    <row r="48" spans="1:26" ht="15.75" customHeight="1" x14ac:dyDescent="0.25">
      <c r="A48" s="9"/>
      <c r="B48" s="93" t="s">
        <v>40</v>
      </c>
      <c r="C48" s="94"/>
      <c r="D48" s="94"/>
      <c r="E48" s="94"/>
      <c r="F48" s="94"/>
      <c r="G48" s="95"/>
      <c r="H48" s="168">
        <f>IF(COUNTIF(H25:J45,"*&gt;250*"),"&gt;250",MAX(H25:J45))</f>
        <v>172</v>
      </c>
      <c r="I48" s="169"/>
      <c r="J48" s="170"/>
      <c r="K48" s="161"/>
      <c r="L48" s="162"/>
      <c r="M48" s="155"/>
      <c r="N48" s="155"/>
      <c r="O48" s="155"/>
      <c r="P48" s="156"/>
      <c r="Z48" s="11"/>
    </row>
    <row r="49" spans="1:26" ht="15.9" customHeight="1" x14ac:dyDescent="0.25">
      <c r="A49" s="35"/>
      <c r="B49" s="4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15.6" customHeight="1" x14ac:dyDescent="0.25">
      <c r="A51" s="48" t="s">
        <v>41</v>
      </c>
      <c r="B51" s="5" t="s">
        <v>42</v>
      </c>
      <c r="C51" s="49"/>
      <c r="D51" s="49"/>
      <c r="E51" s="49"/>
      <c r="F51" s="50"/>
      <c r="G51" s="50"/>
      <c r="H51" s="50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51"/>
      <c r="V51" s="52"/>
      <c r="W51" s="52"/>
      <c r="X51" s="42"/>
      <c r="Y51" s="42"/>
      <c r="Z51" s="43"/>
    </row>
    <row r="52" spans="1:26" s="17" customFormat="1" ht="28.5" customHeight="1" x14ac:dyDescent="0.25">
      <c r="A52" s="177" t="s">
        <v>43</v>
      </c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9"/>
      <c r="R52" s="107" t="s">
        <v>44</v>
      </c>
      <c r="S52" s="108"/>
      <c r="T52" s="109"/>
      <c r="U52" s="180" t="s">
        <v>45</v>
      </c>
      <c r="V52" s="181"/>
      <c r="W52" s="181"/>
      <c r="X52" s="182"/>
      <c r="Y52" s="182"/>
      <c r="Z52" s="183"/>
    </row>
    <row r="53" spans="1:26" s="17" customFormat="1" ht="15.6" customHeight="1" x14ac:dyDescent="0.25">
      <c r="A53" s="184" t="s">
        <v>46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6"/>
      <c r="R53" s="107" t="s">
        <v>47</v>
      </c>
      <c r="S53" s="108"/>
      <c r="T53" s="109"/>
      <c r="U53" s="190" t="s">
        <v>48</v>
      </c>
      <c r="V53" s="191"/>
      <c r="W53" s="191"/>
      <c r="X53" s="192"/>
      <c r="Y53" s="192"/>
      <c r="Z53" s="193"/>
    </row>
    <row r="54" spans="1:26" s="17" customFormat="1" ht="15.6" customHeight="1" x14ac:dyDescent="0.25">
      <c r="A54" s="187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9"/>
      <c r="R54" s="107"/>
      <c r="S54" s="108"/>
      <c r="T54" s="109"/>
      <c r="U54" s="194"/>
      <c r="V54" s="72"/>
      <c r="W54" s="72"/>
      <c r="X54" s="195"/>
      <c r="Y54" s="195"/>
      <c r="Z54" s="196"/>
    </row>
    <row r="55" spans="1:26" s="17" customFormat="1" ht="15.6" customHeight="1" x14ac:dyDescent="0.25">
      <c r="A55" s="55" t="s">
        <v>49</v>
      </c>
      <c r="B55" s="56" t="s">
        <v>50</v>
      </c>
      <c r="C55" s="1"/>
      <c r="D55" s="1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7"/>
      <c r="R55" s="107"/>
      <c r="S55" s="108"/>
      <c r="T55" s="109"/>
      <c r="U55" s="197"/>
      <c r="V55" s="198"/>
      <c r="W55" s="198"/>
      <c r="X55" s="199"/>
      <c r="Y55" s="199"/>
      <c r="Z55" s="200"/>
    </row>
    <row r="56" spans="1:26" s="17" customFormat="1" ht="15.6" customHeight="1" x14ac:dyDescent="0.25">
      <c r="A56" s="101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3"/>
      <c r="R56" s="107" t="s">
        <v>51</v>
      </c>
      <c r="S56" s="108"/>
      <c r="T56" s="109"/>
      <c r="U56" s="58"/>
      <c r="V56" s="59"/>
      <c r="W56" s="59"/>
      <c r="X56" s="59"/>
      <c r="Y56" s="59"/>
      <c r="Z56" s="60"/>
    </row>
    <row r="57" spans="1:26" s="17" customFormat="1" ht="15.6" customHeight="1" x14ac:dyDescent="0.25">
      <c r="A57" s="101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3"/>
      <c r="R57" s="107"/>
      <c r="S57" s="108"/>
      <c r="T57" s="109"/>
      <c r="U57" s="61"/>
      <c r="V57" s="72"/>
      <c r="W57" s="72"/>
      <c r="X57" s="72"/>
      <c r="Y57" s="72"/>
      <c r="Z57" s="62"/>
    </row>
    <row r="58" spans="1:26" s="17" customFormat="1" ht="15.6" customHeight="1" x14ac:dyDescent="0.25">
      <c r="A58" s="101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3"/>
      <c r="R58" s="107"/>
      <c r="S58" s="108"/>
      <c r="T58" s="109"/>
      <c r="U58" s="61"/>
      <c r="V58" s="72"/>
      <c r="W58" s="72"/>
      <c r="X58" s="72"/>
      <c r="Y58" s="72"/>
      <c r="Z58" s="62"/>
    </row>
    <row r="59" spans="1:26" s="17" customFormat="1" ht="15.6" customHeight="1" x14ac:dyDescent="0.25">
      <c r="A59" s="104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10"/>
      <c r="S59" s="111"/>
      <c r="T59" s="112"/>
      <c r="U59" s="63"/>
      <c r="V59" s="64"/>
      <c r="W59" s="64"/>
      <c r="X59" s="64"/>
      <c r="Y59" s="64"/>
      <c r="Z59" s="65"/>
    </row>
    <row r="60" spans="1:26" s="17" customFormat="1" ht="15" customHeight="1" x14ac:dyDescent="0.25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54"/>
      <c r="S60" s="54"/>
      <c r="T60" s="54"/>
      <c r="U60" s="41"/>
      <c r="V60" s="41"/>
      <c r="W60" s="41"/>
      <c r="X60" s="41"/>
      <c r="Y60" s="41"/>
      <c r="Z60" s="41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B17:H17"/>
    <mergeCell ref="B12:G12"/>
    <mergeCell ref="B11:G11"/>
    <mergeCell ref="A52:Q52"/>
    <mergeCell ref="R52:T52"/>
    <mergeCell ref="U52:Z52"/>
    <mergeCell ref="A53:Q54"/>
    <mergeCell ref="R53:T55"/>
    <mergeCell ref="U53:Z55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N12:R12"/>
    <mergeCell ref="H12:M12"/>
    <mergeCell ref="H11:M11"/>
    <mergeCell ref="N11:R11"/>
    <mergeCell ref="A56:Q59"/>
    <mergeCell ref="R56:T59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K25:P25"/>
    <mergeCell ref="M46:P48"/>
    <mergeCell ref="K46:L48"/>
    <mergeCell ref="S12:Y12"/>
    <mergeCell ref="K23:P24"/>
    <mergeCell ref="I17:Y17"/>
    <mergeCell ref="S11:Y11"/>
    <mergeCell ref="H45:J45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5:G45"/>
    <mergeCell ref="B47:G47"/>
    <mergeCell ref="B48:G48"/>
    <mergeCell ref="B46:G46"/>
    <mergeCell ref="C26:G26"/>
    <mergeCell ref="H26:J26"/>
    <mergeCell ref="K45:P45"/>
    <mergeCell ref="H48:J48"/>
    <mergeCell ref="H46:J46"/>
    <mergeCell ref="H47:J47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031224 CdR</vt:lpstr>
      <vt:lpstr>280324</vt:lpstr>
      <vt:lpstr>'031224 CdR'!Zone_d_impression</vt:lpstr>
      <vt:lpstr>'280324'!Zone_d_impression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2024-12-03T17:39:54Z</cp:lastPrinted>
  <dcterms:created xsi:type="dcterms:W3CDTF">2004-11-13T18:13:05Z</dcterms:created>
  <dcterms:modified xsi:type="dcterms:W3CDTF">2024-12-03T17:48:46Z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