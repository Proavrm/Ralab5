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4\01\RA O03A Viriat chemin de la gare giratoire\Essais de laboratoire\Portances\"/>
    </mc:Choice>
  </mc:AlternateContent>
  <xr:revisionPtr revIDLastSave="0" documentId="13_ncr:1_{0292B943-CCE9-463B-9534-84E184B0AF16}" xr6:coauthVersionLast="47" xr6:coauthVersionMax="47" xr10:uidLastSave="{00000000-0000-0000-0000-000000000000}"/>
  <bookViews>
    <workbookView xWindow="28680" yWindow="270" windowWidth="19440" windowHeight="15600" xr2:uid="{00000000-000D-0000-FFFF-FFFF00000000}"/>
  </bookViews>
  <sheets>
    <sheet name="090724" sheetId="1" r:id="rId1"/>
  </sheets>
  <definedNames>
    <definedName name="_xlnm.Print_Area" localSheetId="0">'090724'!$A$1:$Z$60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</calcChain>
</file>

<file path=xl/sharedStrings.xml><?xml version="1.0" encoding="utf-8"?>
<sst xmlns="http://schemas.openxmlformats.org/spreadsheetml/2006/main" count="55" uniqueCount="54">
  <si>
    <t>COMPTE RENDU D'ESSAIS</t>
  </si>
  <si>
    <t>PORTANCES DES PLATES-FORMES DYNAPLAQUE 
(NF P 94-117-2 d'octobre 2004)</t>
  </si>
  <si>
    <t>PLD N°</t>
  </si>
  <si>
    <t>09/07/2024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</si>
  <si>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</si>
  <si>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</si>
  <si>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</si>
  <si>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</si>
  <si>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</si>
  <si>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</si>
  <si>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</si>
  <si>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</si>
  <si>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</si>
  <si>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</si>
  <si>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Matériau en place</t>
  </si>
  <si>
    <t>Date de(s) essai(s) :</t>
  </si>
  <si>
    <t>Météo :</t>
  </si>
  <si>
    <t>Beau</t>
  </si>
  <si>
    <t>Partie de l'ouvrage :</t>
  </si>
  <si>
    <t>CDF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</si>
  <si>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</si>
  <si>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</si>
  <si>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</si>
  <si>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</si>
  <si>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</si>
  <si>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</si>
  <si>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</si>
  <si>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</si>
  <si>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</si>
  <si>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</si>
  <si>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</si>
  <si>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</si>
  <si>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</si>
  <si>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</si>
  <si>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</si>
  <si>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</si>
  <si>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</si>
  <si>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</si>
  <si>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</si>
  <si>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</si>
  <si>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</si>
  <si>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</si>
  <si>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</si>
  <si>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</si>
  <si>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</si>
  <si>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</si>
  <si>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</si>
  <si>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</si>
  <si>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</si>
  <si>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</si>
  <si>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</si>
  <si>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</si>
  <si>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RA O03A</t>
  </si>
  <si>
    <t>Viriat chemin de la gare - Giratoire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</si>
</sst>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164" fontId="6" fillId="0" borderId="25" xfId="0" applyNumberFormat="1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164" fontId="6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20</xdr:col>
      <xdr:colOff>9525</xdr:colOff>
      <xdr:row>35</xdr:row>
      <xdr:rowOff>0</xdr:rowOff>
    </xdr:from>
    <xdr:to>
      <xdr:col>20</xdr:col>
      <xdr:colOff>9525</xdr:colOff>
      <xdr:row>38</xdr:row>
      <xdr:rowOff>9525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AFF019A0-5D83-5290-3B50-463493B7ABAA}"/>
            </a:ext>
          </a:extLst>
        </xdr:cNvPr>
        <xdr:cNvCxnSpPr/>
      </xdr:nvCxnSpPr>
      <xdr:spPr>
        <a:xfrm>
          <a:off x="7058025" y="7210425"/>
          <a:ext cx="0" cy="752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35</xdr:row>
      <xdr:rowOff>0</xdr:rowOff>
    </xdr:from>
    <xdr:to>
      <xdr:col>21</xdr:col>
      <xdr:colOff>190500</xdr:colOff>
      <xdr:row>38</xdr:row>
      <xdr:rowOff>15240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C85A5BEA-414F-4D93-9230-1DEC8DA914AF}"/>
            </a:ext>
          </a:extLst>
        </xdr:cNvPr>
        <xdr:cNvCxnSpPr/>
      </xdr:nvCxnSpPr>
      <xdr:spPr>
        <a:xfrm>
          <a:off x="7591425" y="7210425"/>
          <a:ext cx="0" cy="7581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28</xdr:row>
      <xdr:rowOff>0</xdr:rowOff>
    </xdr:from>
    <xdr:to>
      <xdr:col>20</xdr:col>
      <xdr:colOff>0</xdr:colOff>
      <xdr:row>31</xdr:row>
      <xdr:rowOff>11430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6729C0A4-16EF-46D2-AA11-7072BEAAFE20}"/>
            </a:ext>
          </a:extLst>
        </xdr:cNvPr>
        <xdr:cNvCxnSpPr/>
      </xdr:nvCxnSpPr>
      <xdr:spPr>
        <a:xfrm>
          <a:off x="7048500" y="5476875"/>
          <a:ext cx="0" cy="754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27</xdr:row>
      <xdr:rowOff>238125</xdr:rowOff>
    </xdr:from>
    <xdr:to>
      <xdr:col>21</xdr:col>
      <xdr:colOff>238125</xdr:colOff>
      <xdr:row>31</xdr:row>
      <xdr:rowOff>5715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89027F43-3166-489C-95EA-D4AC680FDF7C}"/>
            </a:ext>
          </a:extLst>
        </xdr:cNvPr>
        <xdr:cNvCxnSpPr/>
      </xdr:nvCxnSpPr>
      <xdr:spPr>
        <a:xfrm>
          <a:off x="7639050" y="5467350"/>
          <a:ext cx="0" cy="7581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</xdr:colOff>
      <xdr:row>34</xdr:row>
      <xdr:rowOff>238125</xdr:rowOff>
    </xdr:from>
    <xdr:to>
      <xdr:col>19</xdr:col>
      <xdr:colOff>348615</xdr:colOff>
      <xdr:row>34</xdr:row>
      <xdr:rowOff>238125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B85963A3-BED9-4C05-9012-D155B6A70ACE}"/>
            </a:ext>
          </a:extLst>
        </xdr:cNvPr>
        <xdr:cNvCxnSpPr/>
      </xdr:nvCxnSpPr>
      <xdr:spPr>
        <a:xfrm flipH="1">
          <a:off x="6048375" y="7200900"/>
          <a:ext cx="9963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19</xdr:col>
      <xdr:colOff>297180</xdr:colOff>
      <xdr:row>31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9875A0F7-B1BD-4261-A26E-625105EBBE6F}"/>
            </a:ext>
          </a:extLst>
        </xdr:cNvPr>
        <xdr:cNvCxnSpPr/>
      </xdr:nvCxnSpPr>
      <xdr:spPr>
        <a:xfrm flipH="1">
          <a:off x="5991225" y="6219825"/>
          <a:ext cx="1002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257175</xdr:colOff>
      <xdr:row>31</xdr:row>
      <xdr:rowOff>0</xdr:rowOff>
    </xdr:from>
    <xdr:to>
      <xdr:col>24</xdr:col>
      <xdr:colOff>200025</xdr:colOff>
      <xdr:row>31</xdr:row>
      <xdr:rowOff>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57E7750E-D058-42BD-9EE2-72BF7F58A9B7}"/>
            </a:ext>
          </a:extLst>
        </xdr:cNvPr>
        <xdr:cNvCxnSpPr/>
      </xdr:nvCxnSpPr>
      <xdr:spPr>
        <a:xfrm flipH="1">
          <a:off x="7658100" y="621982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200025</xdr:colOff>
      <xdr:row>34</xdr:row>
      <xdr:rowOff>238125</xdr:rowOff>
    </xdr:from>
    <xdr:to>
      <xdr:col>24</xdr:col>
      <xdr:colOff>142875</xdr:colOff>
      <xdr:row>34</xdr:row>
      <xdr:rowOff>238125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CB3DD379-3A07-4F79-82BC-243A55B64FEB}"/>
            </a:ext>
          </a:extLst>
        </xdr:cNvPr>
        <xdr:cNvCxnSpPr/>
      </xdr:nvCxnSpPr>
      <xdr:spPr>
        <a:xfrm flipH="1">
          <a:off x="7600950" y="720090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333375</xdr:colOff>
      <xdr:row>32</xdr:row>
      <xdr:rowOff>19050</xdr:rowOff>
    </xdr:from>
    <xdr:ext cx="485967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A1993A09-CEC1-2342-1C04-856E4F985B23}"/>
            </a:ext>
          </a:extLst>
        </xdr:cNvPr>
        <xdr:cNvSpPr txBox="1"/>
      </xdr:nvSpPr>
      <xdr:spPr>
        <a:xfrm>
          <a:off x="5972175" y="6486525"/>
          <a:ext cx="4859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D975</a:t>
          </a:r>
        </a:p>
      </xdr:txBody>
    </xdr:sp>
    <xdr:clientData/>
  </xdr:oneCellAnchor>
  <xdr:oneCellAnchor>
    <xdr:from>
      <xdr:col>20</xdr:col>
      <xdr:colOff>0</xdr:colOff>
      <xdr:row>36</xdr:row>
      <xdr:rowOff>0</xdr:rowOff>
    </xdr:from>
    <xdr:ext cx="623376" cy="609013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F033586-9F1F-48C8-A707-0617B9DCD3C8}"/>
            </a:ext>
          </a:extLst>
        </xdr:cNvPr>
        <xdr:cNvSpPr txBox="1"/>
      </xdr:nvSpPr>
      <xdr:spPr>
        <a:xfrm>
          <a:off x="7048500" y="7458075"/>
          <a:ext cx="623376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Chemin</a:t>
          </a:r>
        </a:p>
        <a:p>
          <a:r>
            <a:rPr lang="fr-FR" sz="1100"/>
            <a:t>de</a:t>
          </a:r>
          <a:r>
            <a:rPr lang="fr-FR" sz="1100" baseline="0"/>
            <a:t> la </a:t>
          </a:r>
        </a:p>
        <a:p>
          <a:r>
            <a:rPr lang="fr-FR" sz="1100" baseline="0"/>
            <a:t>gare</a:t>
          </a:r>
          <a:endParaRPr lang="fr-FR" sz="1100"/>
        </a:p>
      </xdr:txBody>
    </xdr:sp>
    <xdr:clientData/>
  </xdr:oneCellAnchor>
  <xdr:oneCellAnchor>
    <xdr:from>
      <xdr:col>20</xdr:col>
      <xdr:colOff>0</xdr:colOff>
      <xdr:row>28</xdr:row>
      <xdr:rowOff>0</xdr:rowOff>
    </xdr:from>
    <xdr:ext cx="651717" cy="609013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3221380C-7774-4B26-A89A-AA43298173A8}"/>
            </a:ext>
          </a:extLst>
        </xdr:cNvPr>
        <xdr:cNvSpPr txBox="1"/>
      </xdr:nvSpPr>
      <xdr:spPr>
        <a:xfrm>
          <a:off x="7048500" y="5476875"/>
          <a:ext cx="651717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Route</a:t>
          </a:r>
        </a:p>
        <a:p>
          <a:r>
            <a:rPr lang="fr-FR" sz="1100"/>
            <a:t>des</a:t>
          </a:r>
        </a:p>
        <a:p>
          <a:r>
            <a:rPr lang="fr-FR" sz="1100"/>
            <a:t>Greffets</a:t>
          </a:r>
        </a:p>
      </xdr:txBody>
    </xdr:sp>
    <xdr:clientData/>
  </xdr:oneCellAnchor>
  <xdr:oneCellAnchor>
    <xdr:from>
      <xdr:col>22</xdr:col>
      <xdr:colOff>95250</xdr:colOff>
      <xdr:row>35</xdr:row>
      <xdr:rowOff>0</xdr:rowOff>
    </xdr:from>
    <xdr:ext cx="256160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38BD2771-5AB2-4C01-AFEA-2CA67825990F}"/>
            </a:ext>
          </a:extLst>
        </xdr:cNvPr>
        <xdr:cNvSpPr txBox="1"/>
      </xdr:nvSpPr>
      <xdr:spPr>
        <a:xfrm>
          <a:off x="7848600" y="72104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1</a:t>
          </a:r>
        </a:p>
      </xdr:txBody>
    </xdr:sp>
    <xdr:clientData/>
  </xdr:oneCellAnchor>
  <xdr:oneCellAnchor>
    <xdr:from>
      <xdr:col>22</xdr:col>
      <xdr:colOff>0</xdr:colOff>
      <xdr:row>36</xdr:row>
      <xdr:rowOff>0</xdr:rowOff>
    </xdr:from>
    <xdr:ext cx="256160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21E79C2B-4D9A-4781-9189-D3778BE67B4B}"/>
            </a:ext>
          </a:extLst>
        </xdr:cNvPr>
        <xdr:cNvSpPr txBox="1"/>
      </xdr:nvSpPr>
      <xdr:spPr>
        <a:xfrm>
          <a:off x="7753350" y="74580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2</a:t>
          </a:r>
        </a:p>
      </xdr:txBody>
    </xdr:sp>
    <xdr:clientData/>
  </xdr:oneCellAnchor>
  <xdr:oneCellAnchor>
    <xdr:from>
      <xdr:col>17</xdr:col>
      <xdr:colOff>0</xdr:colOff>
      <xdr:row>35</xdr:row>
      <xdr:rowOff>0</xdr:rowOff>
    </xdr:from>
    <xdr:ext cx="256160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E9303CEB-030B-4F2D-A7DB-1FFB21ED34CC}"/>
            </a:ext>
          </a:extLst>
        </xdr:cNvPr>
        <xdr:cNvSpPr txBox="1"/>
      </xdr:nvSpPr>
      <xdr:spPr>
        <a:xfrm>
          <a:off x="5991225" y="72104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3</a:t>
          </a:r>
        </a:p>
      </xdr:txBody>
    </xdr:sp>
    <xdr:clientData/>
  </xdr:oneCellAnchor>
  <xdr:oneCellAnchor>
    <xdr:from>
      <xdr:col>18</xdr:col>
      <xdr:colOff>38100</xdr:colOff>
      <xdr:row>35</xdr:row>
      <xdr:rowOff>47625</xdr:rowOff>
    </xdr:from>
    <xdr:ext cx="256160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2485605F-5F28-4F0F-AF64-FD8B0E69F848}"/>
            </a:ext>
          </a:extLst>
        </xdr:cNvPr>
        <xdr:cNvSpPr txBox="1"/>
      </xdr:nvSpPr>
      <xdr:spPr>
        <a:xfrm>
          <a:off x="6381750" y="72580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4</a:t>
          </a:r>
        </a:p>
      </xdr:txBody>
    </xdr:sp>
    <xdr:clientData/>
  </xdr:oneCellAnchor>
  <xdr:oneCellAnchor>
    <xdr:from>
      <xdr:col>19</xdr:col>
      <xdr:colOff>9525</xdr:colOff>
      <xdr:row>35</xdr:row>
      <xdr:rowOff>161925</xdr:rowOff>
    </xdr:from>
    <xdr:ext cx="256160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5035937E-62AF-411C-AC70-65C8050C00A2}"/>
            </a:ext>
          </a:extLst>
        </xdr:cNvPr>
        <xdr:cNvSpPr txBox="1"/>
      </xdr:nvSpPr>
      <xdr:spPr>
        <a:xfrm>
          <a:off x="6705600" y="7372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5</a:t>
          </a:r>
        </a:p>
      </xdr:txBody>
    </xdr:sp>
    <xdr:clientData/>
  </xdr:oneCellAnchor>
  <xdr:oneCellAnchor>
    <xdr:from>
      <xdr:col>19</xdr:col>
      <xdr:colOff>0</xdr:colOff>
      <xdr:row>27</xdr:row>
      <xdr:rowOff>0</xdr:rowOff>
    </xdr:from>
    <xdr:ext cx="256160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7454D74B-BD4D-41B6-944E-1568E8778F3A}"/>
            </a:ext>
          </a:extLst>
        </xdr:cNvPr>
        <xdr:cNvSpPr txBox="1"/>
      </xdr:nvSpPr>
      <xdr:spPr>
        <a:xfrm>
          <a:off x="6696075" y="52292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6</a:t>
          </a:r>
        </a:p>
      </xdr:txBody>
    </xdr:sp>
    <xdr:clientData/>
  </xdr:oneCellAnchor>
  <xdr:oneCellAnchor>
    <xdr:from>
      <xdr:col>19</xdr:col>
      <xdr:colOff>0</xdr:colOff>
      <xdr:row>28</xdr:row>
      <xdr:rowOff>0</xdr:rowOff>
    </xdr:from>
    <xdr:ext cx="256160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CEFDDF43-4679-4E12-90EC-AA856DFC0D11}"/>
            </a:ext>
          </a:extLst>
        </xdr:cNvPr>
        <xdr:cNvSpPr txBox="1"/>
      </xdr:nvSpPr>
      <xdr:spPr>
        <a:xfrm>
          <a:off x="6696075" y="54768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7</a:t>
          </a:r>
        </a:p>
      </xdr:txBody>
    </xdr:sp>
    <xdr:clientData/>
  </xdr:oneCellAnchor>
  <xdr:oneCellAnchor>
    <xdr:from>
      <xdr:col>18</xdr:col>
      <xdr:colOff>57150</xdr:colOff>
      <xdr:row>29</xdr:row>
      <xdr:rowOff>238125</xdr:rowOff>
    </xdr:from>
    <xdr:ext cx="256160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C72F9BF3-3469-4552-A8DA-957B9E884FD5}"/>
            </a:ext>
          </a:extLst>
        </xdr:cNvPr>
        <xdr:cNvSpPr txBox="1"/>
      </xdr:nvSpPr>
      <xdr:spPr>
        <a:xfrm>
          <a:off x="6400800" y="59626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9</a:t>
          </a:r>
        </a:p>
      </xdr:txBody>
    </xdr:sp>
    <xdr:clientData/>
  </xdr:oneCellAnchor>
  <xdr:oneCellAnchor>
    <xdr:from>
      <xdr:col>19</xdr:col>
      <xdr:colOff>76200</xdr:colOff>
      <xdr:row>29</xdr:row>
      <xdr:rowOff>123825</xdr:rowOff>
    </xdr:from>
    <xdr:ext cx="256160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162B2DE5-E1CA-4EE0-865A-F9807BBF4705}"/>
            </a:ext>
          </a:extLst>
        </xdr:cNvPr>
        <xdr:cNvSpPr txBox="1"/>
      </xdr:nvSpPr>
      <xdr:spPr>
        <a:xfrm>
          <a:off x="6772275" y="5848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8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abSelected="1" topLeftCell="A36" workbookViewId="0">
      <selection activeCell="E67" sqref="E6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8"/>
      <c r="B1" s="139"/>
      <c r="C1" s="139"/>
      <c r="D1" s="139"/>
      <c r="E1" s="139"/>
      <c r="F1" s="140"/>
      <c r="G1" s="147" t="s">
        <v>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9"/>
      <c r="U1" s="94" t="s">
        <v>53</v>
      </c>
      <c r="V1" s="95"/>
      <c r="W1" s="95"/>
      <c r="X1" s="95"/>
      <c r="Y1" s="95"/>
      <c r="Z1" s="96"/>
    </row>
    <row r="2" spans="1:26" ht="12.75" customHeight="1" x14ac:dyDescent="0.25">
      <c r="A2" s="141"/>
      <c r="B2" s="142"/>
      <c r="C2" s="142"/>
      <c r="D2" s="142"/>
      <c r="E2" s="142"/>
      <c r="F2" s="143"/>
      <c r="G2" s="151" t="s">
        <v>1</v>
      </c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97"/>
      <c r="V2" s="98"/>
      <c r="W2" s="98"/>
      <c r="X2" s="98"/>
      <c r="Y2" s="98"/>
      <c r="Z2" s="99"/>
    </row>
    <row r="3" spans="1:26" ht="12.75" customHeight="1" x14ac:dyDescent="0.25">
      <c r="A3" s="141"/>
      <c r="B3" s="142"/>
      <c r="C3" s="142"/>
      <c r="D3" s="142"/>
      <c r="E3" s="142"/>
      <c r="F3" s="143"/>
      <c r="G3" s="151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3"/>
      <c r="U3" s="97"/>
      <c r="V3" s="98"/>
      <c r="W3" s="98"/>
      <c r="X3" s="98"/>
      <c r="Y3" s="98"/>
      <c r="Z3" s="99"/>
    </row>
    <row r="4" spans="1:26" ht="12.75" customHeight="1" x14ac:dyDescent="0.25">
      <c r="A4" s="141"/>
      <c r="B4" s="142"/>
      <c r="C4" s="142"/>
      <c r="D4" s="142"/>
      <c r="E4" s="142"/>
      <c r="F4" s="143"/>
      <c r="G4" s="151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97"/>
      <c r="V4" s="98"/>
      <c r="W4" s="98"/>
      <c r="X4" s="98"/>
      <c r="Y4" s="98"/>
      <c r="Z4" s="99"/>
    </row>
    <row r="5" spans="1:26" ht="12.75" customHeight="1" x14ac:dyDescent="0.25">
      <c r="A5" s="141"/>
      <c r="B5" s="142"/>
      <c r="C5" s="142"/>
      <c r="D5" s="142"/>
      <c r="E5" s="142"/>
      <c r="F5" s="143"/>
      <c r="G5" s="154" t="s">
        <v>2</v>
      </c>
      <c r="H5" s="155"/>
      <c r="I5" s="159">
        <v>1</v>
      </c>
      <c r="J5" s="159"/>
      <c r="K5" s="160"/>
      <c r="L5" s="162" t="s">
        <v>52</v>
      </c>
      <c r="M5" s="163"/>
      <c r="N5" s="163"/>
      <c r="O5" s="164"/>
      <c r="P5" s="165" t="s">
        <v>3</v>
      </c>
      <c r="Q5" s="166"/>
      <c r="R5" s="166"/>
      <c r="S5" s="166"/>
      <c r="T5" s="167"/>
      <c r="U5" s="97"/>
      <c r="V5" s="98"/>
      <c r="W5" s="98"/>
      <c r="X5" s="98"/>
      <c r="Y5" s="98"/>
      <c r="Z5" s="99"/>
    </row>
    <row r="6" spans="1:26" ht="12.75" customHeight="1" x14ac:dyDescent="0.25">
      <c r="A6" s="144"/>
      <c r="B6" s="145"/>
      <c r="C6" s="145"/>
      <c r="D6" s="145"/>
      <c r="E6" s="145"/>
      <c r="F6" s="146"/>
      <c r="G6" s="2"/>
      <c r="H6" s="3"/>
      <c r="I6" s="161" t="s">
        <v>4</v>
      </c>
      <c r="J6" s="161"/>
      <c r="K6" s="161"/>
      <c r="L6" s="161" t="s">
        <v>5</v>
      </c>
      <c r="M6" s="161"/>
      <c r="N6" s="161"/>
      <c r="O6" s="161"/>
      <c r="P6" s="161" t="s">
        <v>6</v>
      </c>
      <c r="Q6" s="161"/>
      <c r="R6" s="161"/>
      <c r="S6" s="161"/>
      <c r="T6" s="168"/>
      <c r="U6" s="100"/>
      <c r="V6" s="101"/>
      <c r="W6" s="101"/>
      <c r="X6" s="101"/>
      <c r="Y6" s="101"/>
      <c r="Z6" s="102"/>
    </row>
    <row r="7" spans="1:26" ht="36.6" customHeight="1" x14ac:dyDescent="0.25">
      <c r="A7" s="156" t="s">
        <v>7</v>
      </c>
      <c r="B7" s="156"/>
      <c r="C7" s="156"/>
      <c r="D7" s="156"/>
      <c r="E7" s="156"/>
      <c r="F7" s="156"/>
      <c r="G7" s="157" t="s">
        <v>8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0" t="s">
        <v>11</v>
      </c>
      <c r="C10" s="150"/>
      <c r="D10" s="150"/>
      <c r="E10" s="150"/>
      <c r="F10" s="150"/>
      <c r="G10" s="150"/>
      <c r="H10" s="158" t="s">
        <v>12</v>
      </c>
      <c r="I10" s="158"/>
      <c r="J10" s="158"/>
      <c r="K10" s="158"/>
      <c r="L10" s="158"/>
      <c r="M10" s="158"/>
      <c r="N10" s="150" t="s">
        <v>13</v>
      </c>
      <c r="O10" s="150"/>
      <c r="P10" s="150"/>
      <c r="Q10" s="150"/>
      <c r="R10" s="150"/>
      <c r="S10" s="117" t="s">
        <v>14</v>
      </c>
      <c r="T10" s="117"/>
      <c r="U10" s="117"/>
      <c r="V10" s="117"/>
      <c r="W10" s="117"/>
      <c r="X10" s="117"/>
      <c r="Y10" s="117"/>
      <c r="Z10" s="12"/>
    </row>
    <row r="11" spans="1:26" ht="15.9" customHeight="1" x14ac:dyDescent="0.25">
      <c r="A11" s="9"/>
      <c r="B11" s="150" t="s">
        <v>15</v>
      </c>
      <c r="C11" s="150"/>
      <c r="D11" s="150"/>
      <c r="E11" s="150"/>
      <c r="F11" s="150"/>
      <c r="G11" s="150"/>
      <c r="H11" s="158" t="s">
        <v>3</v>
      </c>
      <c r="I11" s="158"/>
      <c r="J11" s="158"/>
      <c r="K11" s="158"/>
      <c r="L11" s="158"/>
      <c r="M11" s="158"/>
      <c r="N11" s="150" t="s">
        <v>16</v>
      </c>
      <c r="O11" s="150"/>
      <c r="P11" s="150"/>
      <c r="Q11" s="150"/>
      <c r="R11" s="150"/>
      <c r="S11" s="117" t="s">
        <v>17</v>
      </c>
      <c r="T11" s="117"/>
      <c r="U11" s="117"/>
      <c r="V11" s="117"/>
      <c r="W11" s="117"/>
      <c r="X11" s="117"/>
      <c r="Y11" s="117"/>
      <c r="Z11" s="12"/>
    </row>
    <row r="12" spans="1:26" ht="15.9" customHeight="1" x14ac:dyDescent="0.25">
      <c r="A12" s="9"/>
      <c r="B12" s="150" t="s">
        <v>18</v>
      </c>
      <c r="C12" s="150"/>
      <c r="D12" s="150"/>
      <c r="E12" s="150"/>
      <c r="F12" s="150"/>
      <c r="G12" s="150"/>
      <c r="H12" s="158" t="s">
        <v>19</v>
      </c>
      <c r="I12" s="158"/>
      <c r="J12" s="158"/>
      <c r="K12" s="158"/>
      <c r="L12" s="158"/>
      <c r="M12" s="158"/>
      <c r="N12" s="150" t="s">
        <v>20</v>
      </c>
      <c r="O12" s="150"/>
      <c r="P12" s="150"/>
      <c r="Q12" s="150"/>
      <c r="R12" s="150"/>
      <c r="S12" s="117" t="s">
        <v>21</v>
      </c>
      <c r="T12" s="117"/>
      <c r="U12" s="117"/>
      <c r="V12" s="117"/>
      <c r="W12" s="117"/>
      <c r="X12" s="117"/>
      <c r="Y12" s="117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69" t="s">
        <v>24</v>
      </c>
      <c r="C17" s="169"/>
      <c r="D17" s="169"/>
      <c r="E17" s="169"/>
      <c r="F17" s="169"/>
      <c r="G17" s="169"/>
      <c r="H17" s="169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28"/>
    </row>
    <row r="18" spans="1:26" s="17" customFormat="1" ht="15" customHeight="1" x14ac:dyDescent="0.25">
      <c r="A18" s="24"/>
      <c r="B18" s="169" t="s">
        <v>25</v>
      </c>
      <c r="C18" s="169"/>
      <c r="D18" s="169"/>
      <c r="E18" s="169"/>
      <c r="F18" s="169"/>
      <c r="G18" s="169"/>
      <c r="H18" s="169"/>
      <c r="I18" s="179" t="s">
        <v>26</v>
      </c>
      <c r="J18" s="179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91" t="s">
        <v>30</v>
      </c>
      <c r="K21" s="191"/>
      <c r="L21" s="191"/>
      <c r="M21" s="191"/>
      <c r="N21" s="191"/>
      <c r="O21" s="191"/>
      <c r="P21" s="19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89" t="s">
        <v>31</v>
      </c>
      <c r="C23" s="118" t="s">
        <v>32</v>
      </c>
      <c r="D23" s="118"/>
      <c r="E23" s="118"/>
      <c r="F23" s="118"/>
      <c r="G23" s="119"/>
      <c r="H23" s="186" t="s">
        <v>33</v>
      </c>
      <c r="I23" s="187"/>
      <c r="J23" s="188"/>
      <c r="K23" s="118" t="s">
        <v>34</v>
      </c>
      <c r="L23" s="118"/>
      <c r="M23" s="118"/>
      <c r="N23" s="118"/>
      <c r="O23" s="118"/>
      <c r="P23" s="119"/>
      <c r="Z23" s="11"/>
    </row>
    <row r="24" spans="1:26" ht="15.75" customHeight="1" x14ac:dyDescent="0.25">
      <c r="A24" s="9"/>
      <c r="B24" s="190"/>
      <c r="C24" s="120"/>
      <c r="D24" s="120"/>
      <c r="E24" s="120"/>
      <c r="F24" s="120"/>
      <c r="G24" s="121"/>
      <c r="H24" s="183" t="s">
        <v>35</v>
      </c>
      <c r="I24" s="184"/>
      <c r="J24" s="185"/>
      <c r="K24" s="120"/>
      <c r="L24" s="120"/>
      <c r="M24" s="120"/>
      <c r="N24" s="120"/>
      <c r="O24" s="120"/>
      <c r="P24" s="121"/>
      <c r="Z24" s="11"/>
    </row>
    <row r="25" spans="1:26" ht="19.5" customHeight="1" x14ac:dyDescent="0.25">
      <c r="A25" s="9"/>
      <c r="B25" s="45">
        <v>1</v>
      </c>
      <c r="C25" s="103"/>
      <c r="D25" s="104"/>
      <c r="E25" s="104"/>
      <c r="F25" s="104"/>
      <c r="G25" s="105"/>
      <c r="H25" s="180">
        <v>76</v>
      </c>
      <c r="I25" s="181"/>
      <c r="J25" s="182"/>
      <c r="K25" s="103"/>
      <c r="L25" s="104"/>
      <c r="M25" s="104"/>
      <c r="N25" s="104"/>
      <c r="O25" s="104"/>
      <c r="P25" s="105"/>
      <c r="Z25" s="11"/>
    </row>
    <row r="26" spans="1:26" ht="19.5" customHeight="1" x14ac:dyDescent="0.25">
      <c r="A26" s="9"/>
      <c r="B26" s="45">
        <v>2</v>
      </c>
      <c r="C26" s="103"/>
      <c r="D26" s="104"/>
      <c r="E26" s="104"/>
      <c r="F26" s="104"/>
      <c r="G26" s="105"/>
      <c r="H26" s="180">
        <v>94</v>
      </c>
      <c r="I26" s="181"/>
      <c r="J26" s="182"/>
      <c r="K26" s="103"/>
      <c r="L26" s="104"/>
      <c r="M26" s="104"/>
      <c r="N26" s="104"/>
      <c r="O26" s="104"/>
      <c r="P26" s="105"/>
      <c r="Z26" s="11"/>
    </row>
    <row r="27" spans="1:26" ht="19.5" customHeight="1" x14ac:dyDescent="0.25">
      <c r="A27" s="9"/>
      <c r="B27" s="45">
        <v>3</v>
      </c>
      <c r="C27" s="103"/>
      <c r="D27" s="104"/>
      <c r="E27" s="104"/>
      <c r="F27" s="104"/>
      <c r="G27" s="105"/>
      <c r="H27" s="180">
        <v>94</v>
      </c>
      <c r="I27" s="181"/>
      <c r="J27" s="182"/>
      <c r="K27" s="103"/>
      <c r="L27" s="104"/>
      <c r="M27" s="104"/>
      <c r="N27" s="104"/>
      <c r="O27" s="104"/>
      <c r="P27" s="105"/>
      <c r="Z27" s="11"/>
    </row>
    <row r="28" spans="1:26" ht="19.5" customHeight="1" x14ac:dyDescent="0.25">
      <c r="A28" s="9"/>
      <c r="B28" s="45">
        <v>4</v>
      </c>
      <c r="C28" s="103"/>
      <c r="D28" s="104"/>
      <c r="E28" s="104"/>
      <c r="F28" s="104"/>
      <c r="G28" s="105"/>
      <c r="H28" s="180">
        <v>104</v>
      </c>
      <c r="I28" s="181"/>
      <c r="J28" s="182"/>
      <c r="K28" s="103"/>
      <c r="L28" s="104"/>
      <c r="M28" s="104"/>
      <c r="N28" s="104"/>
      <c r="O28" s="104"/>
      <c r="P28" s="105"/>
      <c r="Z28" s="11"/>
    </row>
    <row r="29" spans="1:26" ht="19.5" customHeight="1" x14ac:dyDescent="0.25">
      <c r="A29" s="9"/>
      <c r="B29" s="45">
        <v>5</v>
      </c>
      <c r="C29" s="103"/>
      <c r="D29" s="104"/>
      <c r="E29" s="104"/>
      <c r="F29" s="104"/>
      <c r="G29" s="105"/>
      <c r="H29" s="180">
        <v>70</v>
      </c>
      <c r="I29" s="181"/>
      <c r="J29" s="182"/>
      <c r="K29" s="103"/>
      <c r="L29" s="104"/>
      <c r="M29" s="104"/>
      <c r="N29" s="104"/>
      <c r="O29" s="104"/>
      <c r="P29" s="105"/>
      <c r="Z29" s="11"/>
    </row>
    <row r="30" spans="1:26" ht="19.5" customHeight="1" x14ac:dyDescent="0.25">
      <c r="A30" s="9"/>
      <c r="B30" s="45">
        <v>6</v>
      </c>
      <c r="C30" s="103"/>
      <c r="D30" s="104"/>
      <c r="E30" s="104"/>
      <c r="F30" s="104"/>
      <c r="G30" s="105"/>
      <c r="H30" s="180">
        <v>54</v>
      </c>
      <c r="I30" s="181"/>
      <c r="J30" s="182"/>
      <c r="K30" s="103"/>
      <c r="L30" s="104"/>
      <c r="M30" s="104"/>
      <c r="N30" s="104"/>
      <c r="O30" s="104"/>
      <c r="P30" s="105"/>
      <c r="Z30" s="11"/>
    </row>
    <row r="31" spans="1:26" ht="19.5" customHeight="1" x14ac:dyDescent="0.25">
      <c r="A31" s="9"/>
      <c r="B31" s="45">
        <v>7</v>
      </c>
      <c r="C31" s="103"/>
      <c r="D31" s="104"/>
      <c r="E31" s="104"/>
      <c r="F31" s="104"/>
      <c r="G31" s="105"/>
      <c r="H31" s="180">
        <v>53</v>
      </c>
      <c r="I31" s="181"/>
      <c r="J31" s="182"/>
      <c r="K31" s="103"/>
      <c r="L31" s="104"/>
      <c r="M31" s="104"/>
      <c r="N31" s="104"/>
      <c r="O31" s="104"/>
      <c r="P31" s="105"/>
      <c r="Z31" s="11"/>
    </row>
    <row r="32" spans="1:26" ht="19.5" customHeight="1" x14ac:dyDescent="0.25">
      <c r="A32" s="9"/>
      <c r="B32" s="45">
        <v>8</v>
      </c>
      <c r="C32" s="103"/>
      <c r="D32" s="104"/>
      <c r="E32" s="104"/>
      <c r="F32" s="104"/>
      <c r="G32" s="105"/>
      <c r="H32" s="180">
        <v>59</v>
      </c>
      <c r="I32" s="181"/>
      <c r="J32" s="182"/>
      <c r="K32" s="103"/>
      <c r="L32" s="104"/>
      <c r="M32" s="104"/>
      <c r="N32" s="104"/>
      <c r="O32" s="104"/>
      <c r="P32" s="105"/>
      <c r="Z32" s="11"/>
    </row>
    <row r="33" spans="1:26" ht="19.5" customHeight="1" x14ac:dyDescent="0.25">
      <c r="A33" s="9"/>
      <c r="B33" s="45">
        <v>9</v>
      </c>
      <c r="C33" s="103"/>
      <c r="D33" s="104"/>
      <c r="E33" s="104"/>
      <c r="F33" s="104"/>
      <c r="G33" s="105"/>
      <c r="H33" s="180">
        <v>83</v>
      </c>
      <c r="I33" s="181"/>
      <c r="J33" s="182"/>
      <c r="K33" s="103"/>
      <c r="L33" s="104"/>
      <c r="M33" s="104"/>
      <c r="N33" s="104"/>
      <c r="O33" s="104"/>
      <c r="P33" s="105"/>
      <c r="Z33" s="11"/>
    </row>
    <row r="34" spans="1:26" ht="19.5" customHeight="1" x14ac:dyDescent="0.25">
      <c r="A34" s="9"/>
      <c r="B34" s="45">
        <v>9</v>
      </c>
      <c r="C34" s="103"/>
      <c r="D34" s="104"/>
      <c r="E34" s="104"/>
      <c r="F34" s="104"/>
      <c r="G34" s="105"/>
      <c r="H34" s="180"/>
      <c r="I34" s="181"/>
      <c r="J34" s="182"/>
      <c r="K34" s="103"/>
      <c r="L34" s="104"/>
      <c r="M34" s="104"/>
      <c r="N34" s="104"/>
      <c r="O34" s="104"/>
      <c r="P34" s="105"/>
      <c r="Z34" s="11"/>
    </row>
    <row r="35" spans="1:26" ht="19.5" customHeight="1" x14ac:dyDescent="0.25">
      <c r="A35" s="9"/>
      <c r="B35" s="45">
        <v>9</v>
      </c>
      <c r="C35" s="103"/>
      <c r="D35" s="104"/>
      <c r="E35" s="104"/>
      <c r="F35" s="104"/>
      <c r="G35" s="105"/>
      <c r="H35" s="180"/>
      <c r="I35" s="181"/>
      <c r="J35" s="182"/>
      <c r="K35" s="103"/>
      <c r="L35" s="104"/>
      <c r="M35" s="104"/>
      <c r="N35" s="104"/>
      <c r="O35" s="104"/>
      <c r="P35" s="105"/>
      <c r="Z35" s="11"/>
    </row>
    <row r="36" spans="1:26" ht="19.5" customHeight="1" x14ac:dyDescent="0.25">
      <c r="A36" s="9"/>
      <c r="B36" s="45">
        <v>9</v>
      </c>
      <c r="C36" s="103"/>
      <c r="D36" s="104"/>
      <c r="E36" s="104"/>
      <c r="F36" s="104"/>
      <c r="G36" s="105"/>
      <c r="H36" s="180"/>
      <c r="I36" s="181"/>
      <c r="J36" s="182"/>
      <c r="K36" s="103"/>
      <c r="L36" s="104"/>
      <c r="M36" s="104"/>
      <c r="N36" s="104"/>
      <c r="O36" s="104"/>
      <c r="P36" s="105"/>
      <c r="Z36" s="11"/>
    </row>
    <row r="37" spans="1:26" ht="19.5" customHeight="1" x14ac:dyDescent="0.25">
      <c r="A37" s="9"/>
      <c r="B37" s="45">
        <v>9</v>
      </c>
      <c r="C37" s="103"/>
      <c r="D37" s="104"/>
      <c r="E37" s="104"/>
      <c r="F37" s="104"/>
      <c r="G37" s="105"/>
      <c r="H37" s="180"/>
      <c r="I37" s="181"/>
      <c r="J37" s="182"/>
      <c r="K37" s="103"/>
      <c r="L37" s="104"/>
      <c r="M37" s="104"/>
      <c r="N37" s="104"/>
      <c r="O37" s="104"/>
      <c r="P37" s="105"/>
      <c r="Z37" s="11"/>
    </row>
    <row r="38" spans="1:26" ht="19.5" customHeight="1" x14ac:dyDescent="0.25">
      <c r="A38" s="9"/>
      <c r="B38" s="45">
        <v>9</v>
      </c>
      <c r="C38" s="103"/>
      <c r="D38" s="104"/>
      <c r="E38" s="104"/>
      <c r="F38" s="104"/>
      <c r="G38" s="105"/>
      <c r="H38" s="180"/>
      <c r="I38" s="181"/>
      <c r="J38" s="182"/>
      <c r="K38" s="103"/>
      <c r="L38" s="104"/>
      <c r="M38" s="104"/>
      <c r="N38" s="104"/>
      <c r="O38" s="104"/>
      <c r="P38" s="105"/>
      <c r="Z38" s="11"/>
    </row>
    <row r="39" spans="1:26" ht="19.5" customHeight="1" x14ac:dyDescent="0.25">
      <c r="A39" s="9"/>
      <c r="B39" s="45">
        <v>9</v>
      </c>
      <c r="C39" s="103"/>
      <c r="D39" s="104"/>
      <c r="E39" s="104"/>
      <c r="F39" s="104"/>
      <c r="G39" s="105"/>
      <c r="H39" s="180"/>
      <c r="I39" s="181"/>
      <c r="J39" s="182"/>
      <c r="K39" s="103"/>
      <c r="L39" s="104"/>
      <c r="M39" s="104"/>
      <c r="N39" s="104"/>
      <c r="O39" s="104"/>
      <c r="P39" s="105"/>
      <c r="Z39" s="11"/>
    </row>
    <row r="40" spans="1:26" ht="19.5" customHeight="1" x14ac:dyDescent="0.25">
      <c r="A40" s="9"/>
      <c r="B40" s="45">
        <v>9</v>
      </c>
      <c r="C40" s="103"/>
      <c r="D40" s="104"/>
      <c r="E40" s="104"/>
      <c r="F40" s="104"/>
      <c r="G40" s="105"/>
      <c r="H40" s="180"/>
      <c r="I40" s="181"/>
      <c r="J40" s="182"/>
      <c r="K40" s="103"/>
      <c r="L40" s="104"/>
      <c r="M40" s="104"/>
      <c r="N40" s="104"/>
      <c r="O40" s="104"/>
      <c r="P40" s="105"/>
      <c r="Z40" s="11"/>
    </row>
    <row r="41" spans="1:26" ht="19.5" customHeight="1" x14ac:dyDescent="0.25">
      <c r="A41" s="9"/>
      <c r="B41" s="45">
        <v>9</v>
      </c>
      <c r="C41" s="103"/>
      <c r="D41" s="104"/>
      <c r="E41" s="104"/>
      <c r="F41" s="104"/>
      <c r="G41" s="105"/>
      <c r="H41" s="180"/>
      <c r="I41" s="181"/>
      <c r="J41" s="182"/>
      <c r="K41" s="103"/>
      <c r="L41" s="104"/>
      <c r="M41" s="104"/>
      <c r="N41" s="104"/>
      <c r="O41" s="104"/>
      <c r="P41" s="105"/>
      <c r="Z41" s="11"/>
    </row>
    <row r="42" spans="1:26" ht="19.5" customHeight="1" x14ac:dyDescent="0.25">
      <c r="A42" s="9"/>
      <c r="B42" s="45">
        <v>9</v>
      </c>
      <c r="C42" s="103"/>
      <c r="D42" s="104"/>
      <c r="E42" s="104"/>
      <c r="F42" s="104"/>
      <c r="G42" s="105"/>
      <c r="H42" s="180"/>
      <c r="I42" s="181"/>
      <c r="J42" s="182"/>
      <c r="K42" s="103"/>
      <c r="L42" s="104"/>
      <c r="M42" s="104"/>
      <c r="N42" s="104"/>
      <c r="O42" s="104"/>
      <c r="P42" s="105"/>
      <c r="Z42" s="11"/>
    </row>
    <row r="43" spans="1:26" ht="19.5" customHeight="1" x14ac:dyDescent="0.25">
      <c r="A43" s="9"/>
      <c r="B43" s="45">
        <v>9</v>
      </c>
      <c r="C43" s="103"/>
      <c r="D43" s="104"/>
      <c r="E43" s="104"/>
      <c r="F43" s="104"/>
      <c r="G43" s="105"/>
      <c r="H43" s="180"/>
      <c r="I43" s="181"/>
      <c r="J43" s="182"/>
      <c r="K43" s="103"/>
      <c r="L43" s="104"/>
      <c r="M43" s="104"/>
      <c r="N43" s="104"/>
      <c r="O43" s="104"/>
      <c r="P43" s="105"/>
      <c r="Z43" s="11"/>
    </row>
    <row r="44" spans="1:26" ht="19.5" customHeight="1" x14ac:dyDescent="0.25">
      <c r="A44" s="9"/>
      <c r="B44" s="45">
        <v>9</v>
      </c>
      <c r="C44" s="103"/>
      <c r="D44" s="104"/>
      <c r="E44" s="104"/>
      <c r="F44" s="104"/>
      <c r="G44" s="105"/>
      <c r="H44" s="180"/>
      <c r="I44" s="181"/>
      <c r="J44" s="182"/>
      <c r="K44" s="103"/>
      <c r="L44" s="104"/>
      <c r="M44" s="104"/>
      <c r="N44" s="104"/>
      <c r="O44" s="104"/>
      <c r="P44" s="105"/>
      <c r="Z44" s="11"/>
    </row>
    <row r="45" spans="1:26" ht="19.5" customHeight="1" x14ac:dyDescent="0.25">
      <c r="A45" s="9"/>
      <c r="B45" s="46"/>
      <c r="C45" s="127"/>
      <c r="D45" s="127"/>
      <c r="E45" s="127"/>
      <c r="F45" s="127"/>
      <c r="G45" s="128"/>
      <c r="H45" s="123"/>
      <c r="I45" s="124"/>
      <c r="J45" s="125"/>
      <c r="K45" s="126"/>
      <c r="L45" s="127"/>
      <c r="M45" s="127"/>
      <c r="N45" s="127"/>
      <c r="O45" s="127"/>
      <c r="P45" s="128"/>
      <c r="Z45" s="11"/>
    </row>
    <row r="46" spans="1:26" ht="15.75" customHeight="1" x14ac:dyDescent="0.25">
      <c r="A46" s="9"/>
      <c r="B46" s="198" t="s">
        <v>36</v>
      </c>
      <c r="C46" s="199"/>
      <c r="D46" s="199"/>
      <c r="E46" s="199"/>
      <c r="F46" s="199"/>
      <c r="G46" s="200"/>
      <c r="H46" s="132">
        <f>AVERAGE(H25:J45)</f>
        <v>76.333333333333329</v>
      </c>
      <c r="I46" s="133"/>
      <c r="J46" s="134"/>
      <c r="K46" s="111" t="s">
        <v>37</v>
      </c>
      <c r="L46" s="112"/>
      <c r="M46" s="106" t="s">
        <v>38</v>
      </c>
      <c r="N46" s="106"/>
      <c r="O46" s="106"/>
      <c r="P46" s="107"/>
      <c r="Z46" s="11"/>
    </row>
    <row r="47" spans="1:26" ht="15.75" customHeight="1" x14ac:dyDescent="0.25">
      <c r="A47" s="9"/>
      <c r="B47" s="192" t="s">
        <v>39</v>
      </c>
      <c r="C47" s="193"/>
      <c r="D47" s="193"/>
      <c r="E47" s="193"/>
      <c r="F47" s="193"/>
      <c r="G47" s="194"/>
      <c r="H47" s="135">
        <f>IF(COUNTIF(H25:J45,"*&lt;20*"),"&lt;20",MIN(H25:J45))</f>
        <v>53</v>
      </c>
      <c r="I47" s="136"/>
      <c r="J47" s="137"/>
      <c r="K47" s="113"/>
      <c r="L47" s="114"/>
      <c r="M47" s="87"/>
      <c r="N47" s="87"/>
      <c r="O47" s="87"/>
      <c r="P47" s="108"/>
      <c r="Z47" s="11"/>
    </row>
    <row r="48" spans="1:26" ht="15.75" customHeight="1" x14ac:dyDescent="0.25">
      <c r="A48" s="9"/>
      <c r="B48" s="195" t="s">
        <v>40</v>
      </c>
      <c r="C48" s="196"/>
      <c r="D48" s="196"/>
      <c r="E48" s="196"/>
      <c r="F48" s="196"/>
      <c r="G48" s="197"/>
      <c r="H48" s="129">
        <f>IF(COUNTIF(H25:J45,"*&gt;250*"),"&gt;250",MAX(H25:J45))</f>
        <v>104</v>
      </c>
      <c r="I48" s="130"/>
      <c r="J48" s="131"/>
      <c r="K48" s="115"/>
      <c r="L48" s="116"/>
      <c r="M48" s="109"/>
      <c r="N48" s="109"/>
      <c r="O48" s="109"/>
      <c r="P48" s="110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41</v>
      </c>
      <c r="B51" s="5" t="s">
        <v>42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66" t="s">
        <v>43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8"/>
      <c r="R52" s="69" t="s">
        <v>44</v>
      </c>
      <c r="S52" s="70"/>
      <c r="T52" s="71"/>
      <c r="U52" s="72" t="s">
        <v>45</v>
      </c>
      <c r="V52" s="73"/>
      <c r="W52" s="73"/>
      <c r="X52" s="74"/>
      <c r="Y52" s="74"/>
      <c r="Z52" s="75"/>
    </row>
    <row r="53" spans="1:26" s="17" customFormat="1" ht="15.6" customHeight="1" x14ac:dyDescent="0.25">
      <c r="A53" s="76" t="s">
        <v>46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  <c r="R53" s="69" t="s">
        <v>47</v>
      </c>
      <c r="S53" s="70"/>
      <c r="T53" s="71"/>
      <c r="U53" s="82" t="s">
        <v>48</v>
      </c>
      <c r="V53" s="83"/>
      <c r="W53" s="83"/>
      <c r="X53" s="84"/>
      <c r="Y53" s="84"/>
      <c r="Z53" s="85"/>
    </row>
    <row r="54" spans="1:26" s="17" customFormat="1" ht="15.6" customHeight="1" x14ac:dyDescent="0.25">
      <c r="A54" s="79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1"/>
      <c r="R54" s="69"/>
      <c r="S54" s="70"/>
      <c r="T54" s="71"/>
      <c r="U54" s="86"/>
      <c r="V54" s="87"/>
      <c r="W54" s="87"/>
      <c r="X54" s="88"/>
      <c r="Y54" s="88"/>
      <c r="Z54" s="89"/>
    </row>
    <row r="55" spans="1:26" s="17" customFormat="1" ht="15.6" customHeight="1" x14ac:dyDescent="0.25">
      <c r="A55" s="55" t="s">
        <v>49</v>
      </c>
      <c r="B55" s="56" t="s">
        <v>50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69"/>
      <c r="S55" s="70"/>
      <c r="T55" s="71"/>
      <c r="U55" s="90"/>
      <c r="V55" s="91"/>
      <c r="W55" s="91"/>
      <c r="X55" s="92"/>
      <c r="Y55" s="92"/>
      <c r="Z55" s="93"/>
    </row>
    <row r="56" spans="1:26" s="17" customFormat="1" ht="15.6" customHeight="1" x14ac:dyDescent="0.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2"/>
      <c r="R56" s="69" t="s">
        <v>51</v>
      </c>
      <c r="S56" s="70"/>
      <c r="T56" s="71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70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2"/>
      <c r="R57" s="69"/>
      <c r="S57" s="70"/>
      <c r="T57" s="71"/>
      <c r="U57" s="61"/>
      <c r="V57" s="87"/>
      <c r="W57" s="87"/>
      <c r="X57" s="87"/>
      <c r="Y57" s="87"/>
      <c r="Z57" s="62"/>
    </row>
    <row r="58" spans="1:26" s="17" customFormat="1" ht="15.6" customHeight="1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2"/>
      <c r="R58" s="69"/>
      <c r="S58" s="70"/>
      <c r="T58" s="71"/>
      <c r="U58" s="61"/>
      <c r="V58" s="87"/>
      <c r="W58" s="87"/>
      <c r="X58" s="87"/>
      <c r="Y58" s="87"/>
      <c r="Z58" s="62"/>
    </row>
    <row r="59" spans="1:26" s="17" customFormat="1" ht="15.6" customHeight="1" x14ac:dyDescent="0.25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5"/>
      <c r="R59" s="176"/>
      <c r="S59" s="177"/>
      <c r="T59" s="178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C26:G26"/>
    <mergeCell ref="H26:J26"/>
    <mergeCell ref="N12:R12"/>
    <mergeCell ref="H12:M12"/>
    <mergeCell ref="H11:M11"/>
    <mergeCell ref="N11:R11"/>
    <mergeCell ref="A56:Q59"/>
    <mergeCell ref="R56:T59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H48:J48"/>
    <mergeCell ref="H46:J46"/>
    <mergeCell ref="H47:J47"/>
    <mergeCell ref="B17:H17"/>
    <mergeCell ref="B12:G12"/>
    <mergeCell ref="B11:G11"/>
    <mergeCell ref="A52:Q52"/>
    <mergeCell ref="R52:T52"/>
    <mergeCell ref="U52:Z52"/>
    <mergeCell ref="A53:Q54"/>
    <mergeCell ref="R53:T55"/>
    <mergeCell ref="U53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090724</vt:lpstr>
      <vt:lpstr>'090724'!Zone_d_impression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LABO ST PRIEST</cp:lastModifiedBy>
  <cp:lastPrinted>2024-07-09T13:05:00Z</cp:lastPrinted>
  <dcterms:created xsi:type="dcterms:W3CDTF">2004-11-13T18:13:05Z</dcterms:created>
  <dcterms:modified xsi:type="dcterms:W3CDTF">2024-07-09T13:05:05Z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