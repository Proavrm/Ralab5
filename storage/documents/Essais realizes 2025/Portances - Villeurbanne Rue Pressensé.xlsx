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\\fs-ragsa\Services\Labo\St Priest\Chantiers 2025\69\RA M37C  Villeurbanne - MBDC enrobés lot 6\Essais de laboratoire\Portances\"/>
    </mc:Choice>
  </mc:AlternateContent>
  <xr:revisionPtr revIDLastSave="0" documentId="13_ncr:1_{BA2DA6F9-031E-4FAC-BDDA-3D5A0C6DC6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50725 CDF exis Lacassagne" sheetId="5" r:id="rId1"/>
    <sheet name="070725 CDF exis" sheetId="4" r:id="rId2"/>
    <sheet name="260722" sheetId="2" r:id="rId3"/>
    <sheet name="250722" sheetId="1" r:id="rId4"/>
  </sheets>
  <definedNames>
    <definedName name="_xlnm.Print_Area" localSheetId="1">'070725 CDF exis'!$A$1:$Z$71</definedName>
    <definedName name="_xlnm.Print_Area" localSheetId="0">'150725 CDF exis Lacassagne'!$A$1:$Z$61</definedName>
    <definedName name="_xlnm.Print_Area" localSheetId="3">'250722'!$A$1:$Z$60</definedName>
    <definedName name="_xlnm.Print_Area" localSheetId="2">'260722'!$A$1:$Z$60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7" i="5" l="1"/>
  <c r="H48" i="5"/>
  <c r="H49" i="5"/>
  <c r="H57" i="4"/>
  <c r="H58" i="4"/>
  <c r="H59" i="4"/>
  <c r="H46" i="2"/>
  <c r="H47" i="2"/>
  <c r="H48" i="2"/>
  <c r="H48" i="1"/>
  <c r="H47" i="1"/>
  <c r="H46" i="1"/>
</calcChain>
</file>

<file path=xl/sharedStrings.xml><?xml version="1.0" encoding="utf-8"?>
<sst xmlns="http://schemas.openxmlformats.org/spreadsheetml/2006/main" count="301" uniqueCount="114">
  <si>
    <t>COMPTE RENDU D'ESSAIS</t>
  </si>
  <si>
    <t>Villeurbanne - Rue Pressensé</t>
  </si>
  <si>
    <t>PORTANCES DES PLATES-FORMES DYNAPLAQUE 
(NF P 94-117-2 d'octobre 2004)</t>
  </si>
  <si>
    <t>PLD N°</t>
  </si>
  <si>
    <t>RA M37C</t>
  </si>
  <si>
    <t>25/07/2022</t>
  </si>
  <si>
    <t>Chrono</t>
  </si>
  <si>
    <t>N° d'affaire</t>
  </si>
  <si>
    <t>Date de rédaction</t>
  </si>
  <si>
    <t>Laboratoire :</t>
  </si>
  <si>
    <t>Laboratoire Rhône-Alpes - 29-31 rue des tâches - ZI mi-plaine - 69800 SAINT PRIEST</t>
  </si>
  <si>
    <t>1/</t>
  </si>
  <si>
    <t>RENSEIGNEMENTS GENERAUX</t>
  </si>
  <si>
    <t>Opérateur :</t>
  </si>
  <si>
    <t>F. Montet</t>
  </si>
  <si>
    <t>Nature du matériau :</t>
  </si>
  <si>
    <t>Grave en place</t>
  </si>
  <si>
    <t>Date de(s) essai(s) :</t>
  </si>
  <si>
    <t>Météo :</t>
  </si>
  <si>
    <t>Beau</t>
  </si>
  <si>
    <t>Partie de l'ouvrage :</t>
  </si>
  <si>
    <t>CDF</t>
  </si>
  <si>
    <t>Plan de situation :</t>
  </si>
  <si>
    <t>Non</t>
  </si>
  <si>
    <t>2/</t>
  </si>
  <si>
    <t>CRITERES DE CONFORMITE</t>
  </si>
  <si>
    <t>Source des critères :</t>
  </si>
  <si>
    <t>Définition des critères / objectifs :</t>
  </si>
  <si>
    <t>EV2 ≥</t>
  </si>
  <si>
    <t>Mpa</t>
  </si>
  <si>
    <t>3/</t>
  </si>
  <si>
    <t>RESULTATS DES ESSAIS</t>
  </si>
  <si>
    <t>Diametre de la plaque pour Kw:</t>
  </si>
  <si>
    <t>N°</t>
  </si>
  <si>
    <t>Localisation de l'essai</t>
  </si>
  <si>
    <t>Module EV2</t>
  </si>
  <si>
    <t>Observations</t>
  </si>
  <si>
    <t>MPa</t>
  </si>
  <si>
    <t>Devant 312</t>
  </si>
  <si>
    <t>Devant 308</t>
  </si>
  <si>
    <t>Devant 304</t>
  </si>
  <si>
    <t>Devant 295</t>
  </si>
  <si>
    <t>Devant 302</t>
  </si>
  <si>
    <t>Devant traiteur côté droit</t>
  </si>
  <si>
    <t>Devant 300</t>
  </si>
  <si>
    <t>Devant 298 côté droit</t>
  </si>
  <si>
    <t>Devant 294</t>
  </si>
  <si>
    <t>Devant entrée collège</t>
  </si>
  <si>
    <t>Dans croisement</t>
  </si>
  <si>
    <t>Devant passage surélevé rue du 8 Mai</t>
  </si>
  <si>
    <t>Devant 292</t>
  </si>
  <si>
    <t>Devant 290</t>
  </si>
  <si>
    <t>Moyenne</t>
  </si>
  <si>
    <t>% de valeurs ≥ au seuil requis</t>
  </si>
  <si>
    <t>Valeur mini</t>
  </si>
  <si>
    <t>Valeur maxi</t>
  </si>
  <si>
    <t>6/</t>
  </si>
  <si>
    <t>CONCLUSIONS</t>
  </si>
  <si>
    <t>Contrôle :</t>
  </si>
  <si>
    <t>Conforme</t>
  </si>
  <si>
    <t>Nom</t>
  </si>
  <si>
    <t>F. MONTET</t>
  </si>
  <si>
    <t>Fonction</t>
  </si>
  <si>
    <t>Technicien de laboratoire</t>
  </si>
  <si>
    <t>7/</t>
  </si>
  <si>
    <t>COMMENTAIRES</t>
  </si>
  <si>
    <t>Visa</t>
  </si>
  <si>
    <t xml:space="preserve"> </t>
  </si>
  <si>
    <t>Avant passage surélevé côté gauche</t>
  </si>
  <si>
    <t xml:space="preserve"> 100.00</t>
  </si>
  <si>
    <t>Devant bar du cinéma</t>
  </si>
  <si>
    <t>Devant 332 côté droit</t>
  </si>
  <si>
    <t>Devant 330 côté gauche</t>
  </si>
  <si>
    <t>Devant 328 côté gauche</t>
  </si>
  <si>
    <t>Devant 326 côté droit</t>
  </si>
  <si>
    <t>Devant 322 côté gauche</t>
  </si>
  <si>
    <t>Devant 320 côté droit</t>
  </si>
  <si>
    <t>Devant 316 côté droit</t>
  </si>
  <si>
    <t>26/07/2022</t>
  </si>
  <si>
    <t>Contrôle</t>
  </si>
  <si>
    <t xml:space="preserve">CONCLUSION </t>
  </si>
  <si>
    <t>4/</t>
  </si>
  <si>
    <t>D</t>
  </si>
  <si>
    <t>G</t>
  </si>
  <si>
    <t>N°26</t>
  </si>
  <si>
    <t>croisement rue kimmerling</t>
  </si>
  <si>
    <t>N°24 bis</t>
  </si>
  <si>
    <t>N°25</t>
  </si>
  <si>
    <t>N°21</t>
  </si>
  <si>
    <t>N°17</t>
  </si>
  <si>
    <t>N°15</t>
  </si>
  <si>
    <t>croisement rue moissonier</t>
  </si>
  <si>
    <t>N°11</t>
  </si>
  <si>
    <t>N°9</t>
  </si>
  <si>
    <t>N°7</t>
  </si>
  <si>
    <t>N°5</t>
  </si>
  <si>
    <t>N°3</t>
  </si>
  <si>
    <t>CDF existante voie bus</t>
  </si>
  <si>
    <t>07/07/2025</t>
  </si>
  <si>
    <t>Matériau en place</t>
  </si>
  <si>
    <t>Laboratoire Rhône Auvergne - 29-31 rue des tâches - ZI mi-plaine - 69800 SAINT PRIEST</t>
  </si>
  <si>
    <t>Avenue Lacassagne - Lyon 3ème</t>
  </si>
  <si>
    <t>&gt;250</t>
  </si>
  <si>
    <t>Arrêt bus Villette</t>
  </si>
  <si>
    <t>15/07/2025</t>
  </si>
  <si>
    <t>N°2</t>
  </si>
  <si>
    <t>N°6</t>
  </si>
  <si>
    <t>N°10</t>
  </si>
  <si>
    <t>N°14</t>
  </si>
  <si>
    <t>N°16</t>
  </si>
  <si>
    <t>N°20</t>
  </si>
  <si>
    <t>N°22</t>
  </si>
  <si>
    <t>N°24</t>
  </si>
  <si>
    <t>CDF existante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</si>
</sst>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4" x14ac:knownFonts="1">
    <font>
      <sz val="10"/>
      <color rgb="FF000000"/>
      <name val="Arial"/>
    </font>
    <font>
      <sz val="10"/>
      <color rgb="FF000000"/>
      <name val="Century Gothic"/>
    </font>
    <font>
      <b/>
      <sz val="12"/>
      <color rgb="FF000000"/>
      <name val="Century Gothic"/>
    </font>
    <font>
      <b/>
      <u/>
      <sz val="12"/>
      <color rgb="FF000000"/>
      <name val="Century Gothic"/>
    </font>
    <font>
      <sz val="12"/>
      <color rgb="FF000000"/>
      <name val="Century Gothic"/>
    </font>
    <font>
      <b/>
      <u/>
      <sz val="11"/>
      <color rgb="FF000000"/>
      <name val="Century Gothic"/>
    </font>
    <font>
      <b/>
      <sz val="11"/>
      <color rgb="FF000000"/>
      <name val="Century Gothic"/>
    </font>
    <font>
      <sz val="11"/>
      <color rgb="FF000000"/>
      <name val="Century Gothic"/>
    </font>
    <font>
      <u/>
      <sz val="10"/>
      <color rgb="FF000000"/>
      <name val="Century Gothic"/>
    </font>
    <font>
      <b/>
      <sz val="10"/>
      <color rgb="FF000000"/>
      <name val="Century Gothic"/>
    </font>
    <font>
      <sz val="8"/>
      <color rgb="FF000000"/>
      <name val="Century Gothic"/>
    </font>
    <font>
      <b/>
      <sz val="14"/>
      <color rgb="FF000000"/>
      <name val="Century Gothic"/>
    </font>
    <font>
      <sz val="9"/>
      <color rgb="FF000000"/>
      <name val="Century Gothic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42"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ashed">
        <color rgb="FF000000"/>
      </bottom>
      <diagonal/>
    </border>
    <border>
      <left/>
      <right/>
      <top style="thin">
        <color rgb="FF000000"/>
      </top>
      <bottom style="dashed">
        <color rgb="FF000000"/>
      </bottom>
      <diagonal/>
    </border>
    <border>
      <left/>
      <right style="dashed">
        <color rgb="FF000000"/>
      </right>
      <top/>
      <bottom/>
      <diagonal/>
    </border>
    <border>
      <left/>
      <right style="dashed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 style="dashed">
        <color rgb="FF000000"/>
      </top>
      <bottom/>
      <diagonal/>
    </border>
    <border>
      <left/>
      <right/>
      <top style="dashed">
        <color rgb="FF000000"/>
      </top>
      <bottom/>
      <diagonal/>
    </border>
    <border>
      <left/>
      <right style="dashed">
        <color rgb="FF000000"/>
      </right>
      <top style="dashed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ashed">
        <color rgb="FF000000"/>
      </left>
      <right/>
      <top style="dashed">
        <color rgb="FF000000"/>
      </top>
      <bottom/>
      <diagonal/>
    </border>
    <border>
      <left/>
      <right style="thin">
        <color rgb="FF000000"/>
      </right>
      <top style="dashed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5">
    <xf numFmtId="0" fontId="0" fillId="0" borderId="0" xfId="0"/>
    <xf numFmtId="0" fontId="1" fillId="0" borderId="0" xfId="0" applyFont="1" applyAlignment="1" applyProtection="1">
      <alignment vertical="center"/>
      <protection hidden="1"/>
    </xf>
    <xf numFmtId="0" fontId="1" fillId="0" borderId="1" xfId="0" applyFont="1" applyBorder="1" applyAlignment="1" applyProtection="1">
      <alignment vertical="center"/>
      <protection hidden="1"/>
    </xf>
    <xf numFmtId="0" fontId="1" fillId="0" borderId="2" xfId="0" applyFont="1" applyBorder="1" applyAlignment="1" applyProtection="1">
      <alignment vertical="center"/>
      <protection hidden="1"/>
    </xf>
    <xf numFmtId="0" fontId="2" fillId="0" borderId="3" xfId="0" applyFont="1" applyBorder="1" applyAlignment="1" applyProtection="1">
      <alignment horizontal="center" vertical="center"/>
      <protection hidden="1"/>
    </xf>
    <xf numFmtId="0" fontId="3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vertical="center"/>
      <protection hidden="1"/>
    </xf>
    <xf numFmtId="0" fontId="1" fillId="0" borderId="4" xfId="0" applyFont="1" applyBorder="1" applyAlignment="1" applyProtection="1">
      <alignment horizontal="center" vertical="center"/>
      <protection hidden="1"/>
    </xf>
    <xf numFmtId="0" fontId="1" fillId="0" borderId="5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horizontal="center" vertical="center"/>
      <protection hidden="1"/>
    </xf>
    <xf numFmtId="0" fontId="1" fillId="0" borderId="0" xfId="0" applyFont="1" applyAlignment="1" applyProtection="1">
      <alignment horizontal="center" vertical="center"/>
      <protection hidden="1"/>
    </xf>
    <xf numFmtId="0" fontId="1" fillId="0" borderId="7" xfId="0" applyFont="1" applyBorder="1" applyAlignment="1" applyProtection="1">
      <alignment vertical="center"/>
      <protection hidden="1"/>
    </xf>
    <xf numFmtId="0" fontId="4" fillId="0" borderId="7" xfId="0" applyFont="1" applyBorder="1" applyAlignment="1" applyProtection="1">
      <alignment horizontal="left" vertical="center"/>
      <protection hidden="1"/>
    </xf>
    <xf numFmtId="0" fontId="1" fillId="0" borderId="1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left" vertical="center"/>
      <protection hidden="1"/>
    </xf>
    <xf numFmtId="0" fontId="1" fillId="0" borderId="8" xfId="0" applyFont="1" applyBorder="1" applyAlignment="1" applyProtection="1">
      <alignment vertical="center"/>
      <protection hidden="1"/>
    </xf>
    <xf numFmtId="0" fontId="1" fillId="0" borderId="0" xfId="0" applyFont="1" applyProtection="1">
      <protection hidden="1"/>
    </xf>
    <xf numFmtId="0" fontId="5" fillId="0" borderId="0" xfId="0" applyFont="1" applyAlignment="1" applyProtection="1">
      <alignment horizontal="right"/>
      <protection hidden="1"/>
    </xf>
    <xf numFmtId="0" fontId="3" fillId="0" borderId="0" xfId="0" applyFont="1" applyAlignment="1" applyProtection="1">
      <alignment horizontal="right"/>
      <protection hidden="1"/>
    </xf>
    <xf numFmtId="14" fontId="6" fillId="0" borderId="0" xfId="0" applyNumberFormat="1" applyFont="1" applyAlignment="1" applyProtection="1">
      <alignment horizontal="center"/>
      <protection hidden="1"/>
    </xf>
    <xf numFmtId="0" fontId="3" fillId="0" borderId="4" xfId="0" applyFont="1" applyBorder="1" applyProtection="1">
      <protection hidden="1"/>
    </xf>
    <xf numFmtId="0" fontId="1" fillId="0" borderId="4" xfId="0" applyFont="1" applyBorder="1" applyProtection="1">
      <protection hidden="1"/>
    </xf>
    <xf numFmtId="0" fontId="1" fillId="0" borderId="5" xfId="0" applyFont="1" applyBorder="1" applyProtection="1">
      <protection hidden="1"/>
    </xf>
    <xf numFmtId="0" fontId="1" fillId="0" borderId="6" xfId="0" applyFont="1" applyBorder="1" applyProtection="1">
      <protection hidden="1"/>
    </xf>
    <xf numFmtId="0" fontId="2" fillId="0" borderId="0" xfId="0" applyFont="1" applyProtection="1">
      <protection hidden="1"/>
    </xf>
    <xf numFmtId="0" fontId="1" fillId="0" borderId="7" xfId="0" applyFont="1" applyBorder="1" applyProtection="1">
      <protection hidden="1"/>
    </xf>
    <xf numFmtId="0" fontId="7" fillId="0" borderId="0" xfId="0" applyFont="1" applyAlignment="1" applyProtection="1">
      <alignment horizontal="left"/>
      <protection locked="0"/>
    </xf>
    <xf numFmtId="0" fontId="4" fillId="0" borderId="7" xfId="0" applyFont="1" applyBorder="1" applyAlignment="1" applyProtection="1">
      <alignment horizontal="left"/>
      <protection hidden="1"/>
    </xf>
    <xf numFmtId="0" fontId="1" fillId="0" borderId="1" xfId="0" applyFont="1" applyBorder="1" applyProtection="1">
      <protection hidden="1"/>
    </xf>
    <xf numFmtId="0" fontId="1" fillId="0" borderId="2" xfId="0" applyFont="1" applyBorder="1" applyProtection="1">
      <protection hidden="1"/>
    </xf>
    <xf numFmtId="0" fontId="1" fillId="0" borderId="8" xfId="0" applyFont="1" applyBorder="1" applyProtection="1">
      <protection hidden="1"/>
    </xf>
    <xf numFmtId="0" fontId="1" fillId="0" borderId="0" xfId="0" applyFont="1" applyAlignment="1" applyProtection="1">
      <alignment horizontal="left" vertical="center"/>
      <protection hidden="1"/>
    </xf>
    <xf numFmtId="0" fontId="8" fillId="0" borderId="4" xfId="0" applyFont="1" applyBorder="1" applyAlignment="1" applyProtection="1">
      <alignment vertical="center"/>
      <protection hidden="1"/>
    </xf>
    <xf numFmtId="0" fontId="8" fillId="0" borderId="4" xfId="0" applyFont="1" applyBorder="1" applyAlignment="1" applyProtection="1">
      <alignment horizontal="center" vertical="center"/>
      <protection hidden="1"/>
    </xf>
    <xf numFmtId="0" fontId="9" fillId="0" borderId="1" xfId="0" applyFont="1" applyBorder="1" applyAlignment="1" applyProtection="1">
      <alignment horizontal="center" vertical="center"/>
      <protection hidden="1"/>
    </xf>
    <xf numFmtId="0" fontId="9" fillId="0" borderId="0" xfId="0" applyFont="1" applyAlignment="1" applyProtection="1">
      <alignment horizontal="center" vertical="center"/>
      <protection hidden="1"/>
    </xf>
    <xf numFmtId="0" fontId="9" fillId="0" borderId="0" xfId="0" applyFont="1" applyAlignment="1" applyProtection="1">
      <alignment vertical="center"/>
      <protection hidden="1"/>
    </xf>
    <xf numFmtId="0" fontId="2" fillId="0" borderId="9" xfId="0" applyFont="1" applyBorder="1" applyAlignment="1" applyProtection="1">
      <alignment horizontal="center" vertical="center"/>
      <protection hidden="1"/>
    </xf>
    <xf numFmtId="0" fontId="3" fillId="0" borderId="10" xfId="0" applyFont="1" applyBorder="1" applyAlignment="1" applyProtection="1">
      <alignment vertical="center"/>
      <protection hidden="1"/>
    </xf>
    <xf numFmtId="0" fontId="8" fillId="0" borderId="10" xfId="0" applyFont="1" applyBorder="1" applyAlignment="1" applyProtection="1">
      <alignment vertical="center"/>
      <protection hidden="1"/>
    </xf>
    <xf numFmtId="0" fontId="1" fillId="0" borderId="10" xfId="0" applyFont="1" applyBorder="1" applyAlignment="1" applyProtection="1">
      <alignment vertical="center"/>
      <protection hidden="1"/>
    </xf>
    <xf numFmtId="0" fontId="2" fillId="0" borderId="0" xfId="0" applyFont="1" applyAlignment="1" applyProtection="1">
      <alignment vertical="center"/>
      <protection hidden="1"/>
    </xf>
    <xf numFmtId="0" fontId="1" fillId="0" borderId="11" xfId="0" applyFont="1" applyBorder="1" applyAlignment="1" applyProtection="1">
      <alignment vertical="center"/>
      <protection hidden="1"/>
    </xf>
    <xf numFmtId="0" fontId="1" fillId="0" borderId="12" xfId="0" applyFont="1" applyBorder="1" applyAlignment="1" applyProtection="1">
      <alignment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3" fillId="0" borderId="0" xfId="0" applyFont="1" applyAlignment="1" applyProtection="1">
      <alignment vertical="center"/>
      <protection hidden="1"/>
    </xf>
    <xf numFmtId="0" fontId="4" fillId="0" borderId="0" xfId="0" applyFont="1" applyAlignment="1" applyProtection="1">
      <alignment vertical="center"/>
      <protection hidden="1"/>
    </xf>
    <xf numFmtId="0" fontId="4" fillId="0" borderId="7" xfId="0" applyFont="1" applyBorder="1" applyAlignment="1" applyProtection="1">
      <alignment vertical="center"/>
      <protection hidden="1"/>
    </xf>
    <xf numFmtId="0" fontId="1" fillId="0" borderId="4" xfId="0" applyFont="1" applyBorder="1"/>
    <xf numFmtId="0" fontId="3" fillId="0" borderId="3" xfId="0" applyFont="1" applyBorder="1" applyAlignment="1" applyProtection="1">
      <alignment vertical="center"/>
      <protection hidden="1"/>
    </xf>
    <xf numFmtId="0" fontId="1" fillId="0" borderId="6" xfId="0" applyFont="1" applyBorder="1" applyAlignment="1" applyProtection="1">
      <alignment vertical="center"/>
      <protection hidden="1"/>
    </xf>
    <xf numFmtId="0" fontId="9" fillId="0" borderId="1" xfId="0" applyFont="1" applyBorder="1" applyAlignment="1" applyProtection="1">
      <alignment vertical="center"/>
      <protection hidden="1"/>
    </xf>
    <xf numFmtId="0" fontId="7" fillId="0" borderId="3" xfId="0" applyFont="1" applyBorder="1" applyAlignment="1" applyProtection="1">
      <alignment vertical="center"/>
      <protection locked="0"/>
    </xf>
    <xf numFmtId="0" fontId="7" fillId="0" borderId="4" xfId="0" applyFont="1" applyBorder="1" applyAlignment="1" applyProtection="1">
      <alignment vertical="center"/>
      <protection locked="0"/>
    </xf>
    <xf numFmtId="0" fontId="7" fillId="0" borderId="5" xfId="0" applyFont="1" applyBorder="1" applyAlignment="1" applyProtection="1">
      <alignment vertical="center"/>
      <protection locked="0"/>
    </xf>
    <xf numFmtId="0" fontId="7" fillId="0" borderId="6" xfId="0" applyFont="1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vertical="center"/>
      <protection locked="0"/>
    </xf>
    <xf numFmtId="0" fontId="7" fillId="0" borderId="1" xfId="0" applyFont="1" applyBorder="1" applyAlignment="1" applyProtection="1">
      <alignment vertical="center"/>
      <protection locked="0"/>
    </xf>
    <xf numFmtId="0" fontId="7" fillId="0" borderId="2" xfId="0" applyFont="1" applyBorder="1" applyAlignment="1" applyProtection="1">
      <alignment vertical="center"/>
      <protection locked="0"/>
    </xf>
    <xf numFmtId="0" fontId="7" fillId="0" borderId="8" xfId="0" applyFont="1" applyBorder="1" applyAlignment="1" applyProtection="1">
      <alignment vertical="center"/>
      <protection locked="0"/>
    </xf>
    <xf numFmtId="0" fontId="9" fillId="0" borderId="13" xfId="0" applyFont="1" applyBorder="1" applyAlignment="1">
      <alignment horizontal="center"/>
    </xf>
    <xf numFmtId="0" fontId="9" fillId="0" borderId="14" xfId="0" applyFont="1" applyBorder="1" applyAlignment="1">
      <alignment horizontal="center"/>
    </xf>
    <xf numFmtId="0" fontId="5" fillId="0" borderId="28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5" fillId="0" borderId="4" xfId="0" applyFont="1" applyBorder="1" applyAlignment="1" applyProtection="1">
      <alignment vertical="center"/>
      <protection hidden="1"/>
    </xf>
    <xf numFmtId="0" fontId="7" fillId="0" borderId="4" xfId="0" applyFont="1" applyBorder="1" applyAlignment="1" applyProtection="1">
      <alignment vertical="center" wrapText="1"/>
      <protection locked="0"/>
    </xf>
    <xf numFmtId="0" fontId="1" fillId="0" borderId="8" xfId="0" applyFont="1" applyBorder="1" applyAlignment="1" applyProtection="1">
      <alignment vertical="center" wrapText="1"/>
      <protection locked="0"/>
    </xf>
    <xf numFmtId="0" fontId="1" fillId="0" borderId="2" xfId="0" applyFont="1" applyBorder="1" applyAlignment="1" applyProtection="1">
      <alignment vertical="center" wrapText="1"/>
      <protection locked="0"/>
    </xf>
    <xf numFmtId="0" fontId="1" fillId="0" borderId="1" xfId="0" applyFont="1" applyBorder="1" applyAlignment="1" applyProtection="1">
      <alignment vertical="center" wrapText="1"/>
      <protection locked="0"/>
    </xf>
    <xf numFmtId="0" fontId="1" fillId="0" borderId="7" xfId="0" applyFont="1" applyBorder="1" applyAlignment="1" applyProtection="1">
      <alignment vertical="center" wrapText="1"/>
      <protection locked="0"/>
    </xf>
    <xf numFmtId="0" fontId="1" fillId="0" borderId="6" xfId="0" applyFont="1" applyBorder="1" applyAlignment="1" applyProtection="1">
      <alignment vertical="center" wrapText="1"/>
      <protection locked="0"/>
    </xf>
    <xf numFmtId="0" fontId="1" fillId="0" borderId="5" xfId="0" applyFont="1" applyBorder="1" applyAlignment="1" applyProtection="1">
      <alignment vertical="center" wrapText="1"/>
      <protection locked="0"/>
    </xf>
    <xf numFmtId="0" fontId="1" fillId="0" borderId="4" xfId="0" applyFont="1" applyBorder="1" applyAlignment="1" applyProtection="1">
      <alignment vertical="center" wrapText="1"/>
      <protection locked="0"/>
    </xf>
    <xf numFmtId="0" fontId="1" fillId="0" borderId="3" xfId="0" applyFont="1" applyBorder="1" applyAlignment="1" applyProtection="1">
      <alignment vertical="center" wrapText="1"/>
      <protection locked="0"/>
    </xf>
    <xf numFmtId="0" fontId="5" fillId="0" borderId="4" xfId="0" applyFont="1" applyBorder="1" applyAlignment="1" applyProtection="1">
      <alignment horizontal="center" vertical="center" wrapText="1"/>
      <protection hidden="1"/>
    </xf>
    <xf numFmtId="0" fontId="2" fillId="0" borderId="3" xfId="0" applyFont="1" applyBorder="1" applyAlignment="1" applyProtection="1">
      <alignment vertical="center"/>
      <protection hidden="1"/>
    </xf>
    <xf numFmtId="0" fontId="6" fillId="0" borderId="14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7" fillId="0" borderId="4" xfId="0" applyFont="1" applyBorder="1"/>
    <xf numFmtId="164" fontId="6" fillId="0" borderId="24" xfId="0" applyNumberFormat="1" applyFont="1" applyBorder="1" applyAlignment="1">
      <alignment horizontal="center" vertical="top"/>
    </xf>
    <xf numFmtId="0" fontId="7" fillId="0" borderId="25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64" fontId="6" fillId="0" borderId="27" xfId="0" applyNumberFormat="1" applyFont="1" applyBorder="1" applyAlignment="1">
      <alignment horizontal="center" vertical="center"/>
    </xf>
    <xf numFmtId="0" fontId="7" fillId="0" borderId="28" xfId="0" applyFont="1" applyBorder="1"/>
    <xf numFmtId="0" fontId="7" fillId="0" borderId="29" xfId="0" applyFont="1" applyBorder="1"/>
    <xf numFmtId="0" fontId="7" fillId="0" borderId="0" xfId="0" applyFont="1" applyAlignment="1" applyProtection="1">
      <alignment horizontal="left"/>
      <protection hidden="1"/>
    </xf>
    <xf numFmtId="0" fontId="7" fillId="0" borderId="0" xfId="0" applyFont="1" applyAlignment="1" applyProtection="1">
      <alignment horizontal="left" vertical="center"/>
      <protection hidden="1"/>
    </xf>
    <xf numFmtId="0" fontId="11" fillId="0" borderId="3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11" fillId="0" borderId="0" xfId="0" applyFont="1" applyAlignment="1" applyProtection="1">
      <alignment horizontal="center" vertical="center" wrapText="1"/>
      <protection locked="0"/>
    </xf>
    <xf numFmtId="0" fontId="11" fillId="0" borderId="7" xfId="0" applyFont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1" fillId="0" borderId="2" xfId="0" applyFont="1" applyBorder="1" applyAlignment="1" applyProtection="1">
      <alignment horizontal="center" vertical="center" wrapText="1"/>
      <protection locked="0"/>
    </xf>
    <xf numFmtId="0" fontId="11" fillId="0" borderId="8" xfId="0" applyFont="1" applyBorder="1" applyAlignment="1" applyProtection="1">
      <alignment horizontal="center" vertical="center" wrapText="1"/>
      <protection locked="0"/>
    </xf>
    <xf numFmtId="0" fontId="7" fillId="0" borderId="27" xfId="0" applyFont="1" applyBorder="1" applyAlignment="1" applyProtection="1">
      <alignment horizontal="center"/>
      <protection locked="0"/>
    </xf>
    <xf numFmtId="0" fontId="7" fillId="0" borderId="28" xfId="0" applyFont="1" applyBorder="1" applyAlignment="1" applyProtection="1">
      <alignment horizontal="center"/>
      <protection locked="0"/>
    </xf>
    <xf numFmtId="0" fontId="7" fillId="0" borderId="29" xfId="0" applyFont="1" applyBorder="1" applyAlignment="1" applyProtection="1">
      <alignment horizontal="center"/>
      <protection locked="0"/>
    </xf>
    <xf numFmtId="0" fontId="7" fillId="0" borderId="35" xfId="0" applyFont="1" applyBorder="1" applyAlignment="1" applyProtection="1">
      <alignment horizontal="center" vertical="center" wrapText="1"/>
      <protection locked="0"/>
    </xf>
    <xf numFmtId="0" fontId="7" fillId="0" borderId="36" xfId="0" applyFont="1" applyBorder="1" applyAlignment="1" applyProtection="1">
      <alignment horizontal="center" vertical="center" wrapText="1"/>
      <protection locked="0"/>
    </xf>
    <xf numFmtId="0" fontId="7" fillId="0" borderId="0" xfId="0" applyFont="1" applyAlignment="1" applyProtection="1">
      <alignment horizontal="center" vertical="center" wrapText="1"/>
      <protection locked="0"/>
    </xf>
    <xf numFmtId="0" fontId="7" fillId="0" borderId="37" xfId="0" applyFont="1" applyBorder="1" applyAlignment="1" applyProtection="1">
      <alignment horizontal="center" vertical="center" wrapText="1"/>
      <protection locked="0"/>
    </xf>
    <xf numFmtId="0" fontId="7" fillId="0" borderId="15" xfId="0" applyFont="1" applyBorder="1" applyAlignment="1" applyProtection="1">
      <alignment horizontal="center" vertical="center" wrapText="1"/>
      <protection locked="0"/>
    </xf>
    <xf numFmtId="0" fontId="7" fillId="0" borderId="38" xfId="0" applyFont="1" applyBorder="1" applyAlignment="1" applyProtection="1">
      <alignment horizontal="center" vertical="center" wrapText="1"/>
      <protection locked="0"/>
    </xf>
    <xf numFmtId="0" fontId="7" fillId="0" borderId="39" xfId="0" applyFont="1" applyBorder="1" applyAlignment="1" applyProtection="1">
      <alignment horizontal="center" vertical="center"/>
      <protection locked="0"/>
    </xf>
    <xf numFmtId="0" fontId="7" fillId="0" borderId="35" xfId="0" applyFont="1" applyBorder="1" applyAlignment="1" applyProtection="1">
      <alignment horizontal="center" vertical="center"/>
      <protection locked="0"/>
    </xf>
    <xf numFmtId="0" fontId="7" fillId="0" borderId="6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7" fillId="0" borderId="17" xfId="0" applyFont="1" applyBorder="1" applyAlignment="1" applyProtection="1">
      <alignment horizontal="center" vertical="center"/>
      <protection locked="0"/>
    </xf>
    <xf numFmtId="0" fontId="7" fillId="0" borderId="15" xfId="0" applyFont="1" applyBorder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left" vertical="center"/>
      <protection locked="0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7" fillId="0" borderId="0" xfId="0" applyFont="1" applyAlignment="1" applyProtection="1">
      <alignment horizontal="left"/>
      <protection locked="0"/>
    </xf>
    <xf numFmtId="164" fontId="7" fillId="0" borderId="17" xfId="0" applyNumberFormat="1" applyFont="1" applyBorder="1" applyAlignment="1">
      <alignment horizontal="center" vertical="center"/>
    </xf>
    <xf numFmtId="164" fontId="7" fillId="0" borderId="15" xfId="0" applyNumberFormat="1" applyFont="1" applyBorder="1" applyAlignment="1">
      <alignment horizontal="center" vertical="center"/>
    </xf>
    <xf numFmtId="164" fontId="7" fillId="0" borderId="16" xfId="0" applyNumberFormat="1" applyFont="1" applyBorder="1" applyAlignment="1">
      <alignment horizontal="center" vertical="center"/>
    </xf>
    <xf numFmtId="0" fontId="7" fillId="0" borderId="17" xfId="0" applyFont="1" applyBorder="1" applyAlignment="1" applyProtection="1">
      <alignment horizontal="center"/>
      <protection locked="0"/>
    </xf>
    <xf numFmtId="0" fontId="7" fillId="0" borderId="15" xfId="0" applyFont="1" applyBorder="1" applyAlignment="1" applyProtection="1">
      <alignment horizontal="center"/>
      <protection locked="0"/>
    </xf>
    <xf numFmtId="0" fontId="7" fillId="0" borderId="16" xfId="0" applyFont="1" applyBorder="1" applyAlignment="1" applyProtection="1">
      <alignment horizontal="center"/>
      <protection locked="0"/>
    </xf>
    <xf numFmtId="0" fontId="6" fillId="0" borderId="0" xfId="0" applyFont="1" applyAlignment="1" applyProtection="1">
      <alignment horizontal="center" vertical="center"/>
      <protection hidden="1"/>
    </xf>
    <xf numFmtId="0" fontId="6" fillId="0" borderId="7" xfId="0" applyFont="1" applyBorder="1" applyAlignment="1" applyProtection="1">
      <alignment horizontal="center" vertical="center"/>
      <protection hidden="1"/>
    </xf>
    <xf numFmtId="0" fontId="10" fillId="0" borderId="2" xfId="0" applyFont="1" applyBorder="1" applyAlignment="1" applyProtection="1">
      <alignment horizontal="center" vertical="center"/>
      <protection hidden="1"/>
    </xf>
    <xf numFmtId="0" fontId="6" fillId="0" borderId="6" xfId="0" applyFont="1" applyBorder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14" fontId="6" fillId="0" borderId="6" xfId="0" applyNumberFormat="1" applyFont="1" applyBorder="1" applyAlignment="1" applyProtection="1">
      <alignment horizontal="center" vertical="center"/>
      <protection locked="0"/>
    </xf>
    <xf numFmtId="14" fontId="6" fillId="0" borderId="0" xfId="0" applyNumberFormat="1" applyFont="1" applyAlignment="1" applyProtection="1">
      <alignment horizontal="center" vertical="center"/>
      <protection locked="0"/>
    </xf>
    <xf numFmtId="14" fontId="6" fillId="0" borderId="7" xfId="0" applyNumberFormat="1" applyFont="1" applyBorder="1" applyAlignment="1" applyProtection="1">
      <alignment horizontal="center" vertical="center"/>
      <protection locked="0"/>
    </xf>
    <xf numFmtId="0" fontId="10" fillId="0" borderId="8" xfId="0" applyFont="1" applyBorder="1" applyAlignment="1" applyProtection="1">
      <alignment horizontal="center" vertical="center"/>
      <protection hidden="1"/>
    </xf>
    <xf numFmtId="0" fontId="1" fillId="0" borderId="3" xfId="0" applyFont="1" applyBorder="1" applyAlignment="1" applyProtection="1">
      <alignment horizontal="center" vertical="center" wrapText="1"/>
      <protection hidden="1"/>
    </xf>
    <xf numFmtId="0" fontId="1" fillId="0" borderId="4" xfId="0" applyFont="1" applyBorder="1" applyAlignment="1" applyProtection="1">
      <alignment horizontal="center" vertical="center" wrapText="1"/>
      <protection hidden="1"/>
    </xf>
    <xf numFmtId="0" fontId="1" fillId="0" borderId="5" xfId="0" applyFont="1" applyBorder="1" applyAlignment="1" applyProtection="1">
      <alignment horizontal="center" vertical="center" wrapText="1"/>
      <protection hidden="1"/>
    </xf>
    <xf numFmtId="0" fontId="1" fillId="0" borderId="6" xfId="0" applyFont="1" applyBorder="1" applyAlignment="1" applyProtection="1">
      <alignment horizontal="center" vertical="center" wrapText="1"/>
      <protection hidden="1"/>
    </xf>
    <xf numFmtId="0" fontId="1" fillId="0" borderId="0" xfId="0" applyFont="1" applyAlignment="1" applyProtection="1">
      <alignment horizontal="center" vertical="center" wrapText="1"/>
      <protection hidden="1"/>
    </xf>
    <xf numFmtId="0" fontId="1" fillId="0" borderId="7" xfId="0" applyFont="1" applyBorder="1" applyAlignment="1" applyProtection="1">
      <alignment horizontal="center" vertical="center" wrapText="1"/>
      <protection hidden="1"/>
    </xf>
    <xf numFmtId="0" fontId="1" fillId="0" borderId="1" xfId="0" applyFont="1" applyBorder="1" applyAlignment="1" applyProtection="1">
      <alignment horizontal="center" vertical="center" wrapText="1"/>
      <protection hidden="1"/>
    </xf>
    <xf numFmtId="0" fontId="1" fillId="0" borderId="2" xfId="0" applyFont="1" applyBorder="1" applyAlignment="1" applyProtection="1">
      <alignment horizontal="center" vertical="center" wrapText="1"/>
      <protection hidden="1"/>
    </xf>
    <xf numFmtId="0" fontId="1" fillId="0" borderId="8" xfId="0" applyFont="1" applyBorder="1" applyAlignment="1" applyProtection="1">
      <alignment horizontal="center" vertical="center" wrapText="1"/>
      <protection hidden="1"/>
    </xf>
    <xf numFmtId="0" fontId="9" fillId="0" borderId="3" xfId="0" applyFont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11" fillId="0" borderId="6" xfId="0" applyFont="1" applyBorder="1" applyAlignment="1" applyProtection="1">
      <alignment horizontal="center" vertical="center" wrapText="1"/>
      <protection hidden="1"/>
    </xf>
    <xf numFmtId="0" fontId="11" fillId="0" borderId="0" xfId="0" applyFont="1" applyAlignment="1" applyProtection="1">
      <alignment horizontal="center" vertical="center" wrapText="1"/>
      <protection hidden="1"/>
    </xf>
    <xf numFmtId="0" fontId="11" fillId="0" borderId="7" xfId="0" applyFont="1" applyBorder="1" applyAlignment="1" applyProtection="1">
      <alignment horizontal="center" vertical="center" wrapText="1"/>
      <protection hidden="1"/>
    </xf>
    <xf numFmtId="0" fontId="6" fillId="0" borderId="6" xfId="0" applyFont="1" applyBorder="1" applyAlignment="1" applyProtection="1">
      <alignment horizontal="center" vertical="center" wrapText="1"/>
      <protection hidden="1"/>
    </xf>
    <xf numFmtId="0" fontId="6" fillId="0" borderId="0" xfId="0" applyFont="1" applyAlignment="1" applyProtection="1">
      <alignment horizontal="center" vertical="center" wrapText="1"/>
      <protection hidden="1"/>
    </xf>
    <xf numFmtId="0" fontId="2" fillId="0" borderId="28" xfId="0" applyFont="1" applyBorder="1" applyAlignment="1" applyProtection="1">
      <alignment horizontal="center" vertical="center"/>
      <protection hidden="1"/>
    </xf>
    <xf numFmtId="0" fontId="4" fillId="0" borderId="28" xfId="0" applyFont="1" applyBorder="1" applyAlignment="1" applyProtection="1">
      <alignment horizontal="center" vertical="center"/>
      <protection hidden="1"/>
    </xf>
    <xf numFmtId="14" fontId="7" fillId="0" borderId="0" xfId="0" applyNumberFormat="1" applyFont="1" applyAlignment="1" applyProtection="1">
      <alignment horizontal="left" vertical="center"/>
      <protection locked="0"/>
    </xf>
    <xf numFmtId="0" fontId="7" fillId="0" borderId="6" xfId="0" applyFont="1" applyBorder="1" applyAlignment="1" applyProtection="1">
      <alignment horizontal="left" vertical="center" wrapText="1"/>
      <protection locked="0"/>
    </xf>
    <xf numFmtId="0" fontId="7" fillId="0" borderId="0" xfId="0" applyFont="1" applyAlignment="1" applyProtection="1">
      <alignment horizontal="left" vertical="center" wrapText="1"/>
      <protection locked="0"/>
    </xf>
    <xf numFmtId="0" fontId="7" fillId="0" borderId="7" xfId="0" applyFont="1" applyBorder="1" applyAlignment="1" applyProtection="1">
      <alignment horizontal="left" vertical="center" wrapText="1"/>
      <protection locked="0"/>
    </xf>
    <xf numFmtId="0" fontId="7" fillId="0" borderId="1" xfId="0" applyFont="1" applyBorder="1" applyAlignment="1" applyProtection="1">
      <alignment horizontal="left" vertical="center" wrapText="1"/>
      <protection locked="0"/>
    </xf>
    <xf numFmtId="0" fontId="7" fillId="0" borderId="2" xfId="0" applyFont="1" applyBorder="1" applyAlignment="1" applyProtection="1">
      <alignment horizontal="left" vertical="center" wrapText="1"/>
      <protection locked="0"/>
    </xf>
    <xf numFmtId="0" fontId="7" fillId="0" borderId="8" xfId="0" applyFont="1" applyBorder="1" applyAlignment="1" applyProtection="1">
      <alignment horizontal="left" vertical="center" wrapText="1"/>
      <protection locked="0"/>
    </xf>
    <xf numFmtId="0" fontId="5" fillId="0" borderId="6" xfId="0" applyFont="1" applyBorder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7" xfId="0" applyFont="1" applyBorder="1" applyAlignment="1" applyProtection="1">
      <alignment horizontal="center" vertical="center"/>
      <protection hidden="1"/>
    </xf>
    <xf numFmtId="0" fontId="5" fillId="0" borderId="1" xfId="0" applyFont="1" applyBorder="1" applyAlignment="1" applyProtection="1">
      <alignment horizontal="center" vertical="center"/>
      <protection hidden="1"/>
    </xf>
    <xf numFmtId="0" fontId="5" fillId="0" borderId="2" xfId="0" applyFont="1" applyBorder="1" applyAlignment="1" applyProtection="1">
      <alignment horizontal="center" vertical="center"/>
      <protection hidden="1"/>
    </xf>
    <xf numFmtId="0" fontId="5" fillId="0" borderId="8" xfId="0" applyFont="1" applyBorder="1" applyAlignment="1" applyProtection="1">
      <alignment horizontal="center" vertical="center"/>
      <protection hidden="1"/>
    </xf>
    <xf numFmtId="0" fontId="2" fillId="0" borderId="18" xfId="0" applyFont="1" applyBorder="1" applyAlignment="1" applyProtection="1">
      <alignment horizontal="center" vertical="center"/>
      <protection hidden="1"/>
    </xf>
    <xf numFmtId="0" fontId="2" fillId="0" borderId="19" xfId="0" applyFont="1" applyBorder="1" applyAlignment="1" applyProtection="1">
      <alignment horizontal="center" vertical="center"/>
      <protection hidden="1"/>
    </xf>
    <xf numFmtId="0" fontId="2" fillId="0" borderId="31" xfId="0" applyFont="1" applyBorder="1" applyAlignment="1" applyProtection="1">
      <alignment horizontal="center" vertical="center"/>
      <protection hidden="1"/>
    </xf>
    <xf numFmtId="0" fontId="2" fillId="0" borderId="6" xfId="0" applyFont="1" applyBorder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7" xfId="0" applyFont="1" applyBorder="1" applyAlignment="1" applyProtection="1">
      <alignment horizontal="center" vertical="center"/>
      <protection hidden="1"/>
    </xf>
    <xf numFmtId="0" fontId="2" fillId="0" borderId="1" xfId="0" applyFont="1" applyBorder="1" applyAlignment="1" applyProtection="1">
      <alignment horizontal="center" vertical="center"/>
      <protection hidden="1"/>
    </xf>
    <xf numFmtId="0" fontId="2" fillId="0" borderId="2" xfId="0" applyFont="1" applyBorder="1" applyAlignment="1" applyProtection="1">
      <alignment horizontal="center" vertical="center"/>
      <protection hidden="1"/>
    </xf>
    <xf numFmtId="0" fontId="2" fillId="0" borderId="8" xfId="0" applyFont="1" applyBorder="1" applyAlignment="1" applyProtection="1">
      <alignment horizontal="center" vertical="center"/>
      <protection hidden="1"/>
    </xf>
    <xf numFmtId="164" fontId="7" fillId="0" borderId="27" xfId="0" applyNumberFormat="1" applyFont="1" applyBorder="1" applyAlignment="1">
      <alignment horizontal="center" vertical="center"/>
    </xf>
    <xf numFmtId="0" fontId="7" fillId="0" borderId="28" xfId="0" applyFont="1" applyBorder="1" applyAlignment="1">
      <alignment vertical="center"/>
    </xf>
    <xf numFmtId="0" fontId="7" fillId="0" borderId="29" xfId="0" applyFont="1" applyBorder="1" applyAlignment="1">
      <alignment vertical="center"/>
    </xf>
    <xf numFmtId="0" fontId="6" fillId="0" borderId="32" xfId="0" applyFont="1" applyBorder="1" applyAlignment="1">
      <alignment horizontal="center" vertical="center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34" xfId="0" applyFont="1" applyBorder="1" applyAlignment="1">
      <alignment horizontal="center" vertical="center"/>
    </xf>
    <xf numFmtId="0" fontId="6" fillId="0" borderId="25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7" fillId="0" borderId="27" xfId="0" applyFont="1" applyBorder="1" applyAlignment="1" applyProtection="1">
      <alignment horizontal="center" vertical="center" wrapText="1"/>
      <protection locked="0"/>
    </xf>
    <xf numFmtId="0" fontId="7" fillId="0" borderId="28" xfId="0" applyFont="1" applyBorder="1" applyAlignment="1" applyProtection="1">
      <alignment horizontal="center" vertical="center" wrapText="1"/>
      <protection locked="0"/>
    </xf>
    <xf numFmtId="0" fontId="1" fillId="0" borderId="28" xfId="0" applyFont="1" applyBorder="1" applyAlignment="1" applyProtection="1">
      <alignment horizontal="center" vertical="center" wrapText="1"/>
      <protection locked="0"/>
    </xf>
    <xf numFmtId="0" fontId="1" fillId="0" borderId="29" xfId="0" applyFont="1" applyBorder="1" applyAlignment="1" applyProtection="1">
      <alignment horizontal="center"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1" fillId="0" borderId="4" xfId="0" applyFont="1" applyBorder="1" applyAlignment="1" applyProtection="1">
      <alignment horizontal="center" vertical="center" wrapText="1"/>
      <protection locked="0"/>
    </xf>
    <xf numFmtId="0" fontId="1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" fillId="0" borderId="0" xfId="0" applyFont="1" applyAlignment="1" applyProtection="1">
      <alignment horizontal="center" vertical="center" wrapText="1"/>
      <protection locked="0"/>
    </xf>
    <xf numFmtId="0" fontId="1" fillId="0" borderId="7" xfId="0" applyFont="1" applyBorder="1" applyAlignment="1" applyProtection="1">
      <alignment horizontal="center" vertical="center" wrapText="1"/>
      <protection locked="0"/>
    </xf>
    <xf numFmtId="0" fontId="7" fillId="0" borderId="1" xfId="0" applyFont="1" applyBorder="1" applyAlignment="1" applyProtection="1">
      <alignment horizontal="center" vertical="center" wrapTex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1" fillId="0" borderId="2" xfId="0" applyFont="1" applyBorder="1" applyAlignment="1" applyProtection="1">
      <alignment horizontal="center" vertical="center" wrapText="1"/>
      <protection locked="0"/>
    </xf>
    <xf numFmtId="0" fontId="1" fillId="0" borderId="8" xfId="0" applyFont="1" applyBorder="1" applyAlignment="1" applyProtection="1">
      <alignment horizontal="center" vertical="center" wrapText="1"/>
      <protection locked="0"/>
    </xf>
    <xf numFmtId="164" fontId="6" fillId="0" borderId="21" xfId="0" applyNumberFormat="1" applyFont="1" applyBorder="1" applyAlignment="1">
      <alignment horizontal="center" vertical="center"/>
    </xf>
    <xf numFmtId="0" fontId="7" fillId="0" borderId="22" xfId="0" applyFont="1" applyBorder="1"/>
    <xf numFmtId="0" fontId="7" fillId="0" borderId="23" xfId="0" applyFont="1" applyBorder="1"/>
    <xf numFmtId="0" fontId="7" fillId="0" borderId="0" xfId="0" applyFont="1" applyAlignment="1" applyProtection="1">
      <alignment horizontal="center"/>
      <protection locked="0"/>
    </xf>
    <xf numFmtId="0" fontId="6" fillId="0" borderId="1" xfId="0" applyFont="1" applyBorder="1" applyAlignment="1">
      <alignment horizontal="center" vertical="center"/>
    </xf>
    <xf numFmtId="0" fontId="7" fillId="0" borderId="2" xfId="0" applyFont="1" applyBorder="1"/>
    <xf numFmtId="0" fontId="7" fillId="0" borderId="8" xfId="0" applyFont="1" applyBorder="1"/>
    <xf numFmtId="0" fontId="6" fillId="0" borderId="3" xfId="0" applyFont="1" applyBorder="1" applyAlignment="1">
      <alignment horizontal="center" vertical="center"/>
    </xf>
    <xf numFmtId="0" fontId="7" fillId="0" borderId="4" xfId="0" applyFont="1" applyBorder="1"/>
    <xf numFmtId="0" fontId="7" fillId="0" borderId="5" xfId="0" applyFont="1" applyBorder="1"/>
    <xf numFmtId="0" fontId="7" fillId="0" borderId="40" xfId="0" applyFont="1" applyBorder="1" applyAlignment="1" applyProtection="1">
      <alignment horizontal="center" vertical="center"/>
      <protection hidden="1"/>
    </xf>
    <xf numFmtId="0" fontId="7" fillId="0" borderId="41" xfId="0" applyFont="1" applyBorder="1" applyAlignment="1" applyProtection="1">
      <alignment horizontal="center" vertical="center"/>
      <protection hidden="1"/>
    </xf>
    <xf numFmtId="0" fontId="7" fillId="0" borderId="4" xfId="0" applyFont="1" applyBorder="1" applyAlignment="1">
      <alignment horizontal="center"/>
    </xf>
    <xf numFmtId="0" fontId="7" fillId="0" borderId="28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hidden="1"/>
    </xf>
    <xf numFmtId="0" fontId="2" fillId="0" borderId="11" xfId="0" applyFont="1" applyBorder="1" applyAlignment="1" applyProtection="1">
      <alignment horizontal="center" vertical="center"/>
      <protection hidden="1"/>
    </xf>
    <xf numFmtId="164" fontId="9" fillId="0" borderId="21" xfId="0" applyNumberFormat="1" applyFont="1" applyBorder="1" applyAlignment="1">
      <alignment horizontal="center" vertical="center"/>
    </xf>
    <xf numFmtId="0" fontId="1" fillId="0" borderId="22" xfId="0" applyFont="1" applyBorder="1"/>
    <xf numFmtId="0" fontId="1" fillId="0" borderId="23" xfId="0" applyFont="1" applyBorder="1"/>
    <xf numFmtId="164" fontId="9" fillId="0" borderId="27" xfId="0" applyNumberFormat="1" applyFont="1" applyBorder="1" applyAlignment="1">
      <alignment horizontal="center" vertical="center"/>
    </xf>
    <xf numFmtId="0" fontId="1" fillId="0" borderId="28" xfId="0" applyFont="1" applyBorder="1"/>
    <xf numFmtId="0" fontId="1" fillId="0" borderId="29" xfId="0" applyFont="1" applyBorder="1"/>
    <xf numFmtId="0" fontId="6" fillId="0" borderId="30" xfId="0" applyFont="1" applyBorder="1" applyAlignment="1" applyProtection="1">
      <alignment horizontal="center" vertical="center"/>
      <protection hidden="1"/>
    </xf>
    <xf numFmtId="0" fontId="6" fillId="0" borderId="19" xfId="0" applyFont="1" applyBorder="1" applyAlignment="1" applyProtection="1">
      <alignment horizontal="center" vertical="center"/>
      <protection hidden="1"/>
    </xf>
    <xf numFmtId="0" fontId="6" fillId="0" borderId="31" xfId="0" applyFont="1" applyBorder="1" applyAlignment="1" applyProtection="1">
      <alignment horizontal="center" vertical="center"/>
      <protection hidden="1"/>
    </xf>
    <xf numFmtId="0" fontId="9" fillId="0" borderId="32" xfId="0" applyFont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9" fillId="0" borderId="22" xfId="0" applyFont="1" applyBorder="1" applyAlignment="1">
      <alignment horizontal="center" vertical="center"/>
    </xf>
    <xf numFmtId="0" fontId="9" fillId="0" borderId="23" xfId="0" applyFont="1" applyBorder="1" applyAlignment="1">
      <alignment horizontal="center" vertical="center"/>
    </xf>
    <xf numFmtId="0" fontId="9" fillId="0" borderId="34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/>
    </xf>
    <xf numFmtId="0" fontId="9" fillId="0" borderId="26" xfId="0" applyFont="1" applyBorder="1" applyAlignment="1">
      <alignment horizontal="center" vertical="center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7" xfId="0" applyFont="1" applyBorder="1" applyAlignment="1" applyProtection="1">
      <alignment horizontal="center" vertical="center" wrapText="1"/>
      <protection locked="0"/>
    </xf>
    <xf numFmtId="0" fontId="5" fillId="0" borderId="28" xfId="0" applyFont="1" applyBorder="1" applyAlignment="1" applyProtection="1">
      <alignment horizontal="center" vertical="center" wrapText="1"/>
      <protection hidden="1"/>
    </xf>
    <xf numFmtId="0" fontId="1" fillId="0" borderId="28" xfId="0" applyFont="1" applyBorder="1" applyAlignment="1" applyProtection="1">
      <alignment horizontal="center" vertical="center" wrapText="1"/>
      <protection hidden="1"/>
    </xf>
    <xf numFmtId="0" fontId="1" fillId="0" borderId="29" xfId="0" applyFont="1" applyBorder="1" applyAlignment="1" applyProtection="1">
      <alignment horizontal="center" vertical="center" wrapText="1"/>
      <protection hidden="1"/>
    </xf>
    <xf numFmtId="0" fontId="4" fillId="0" borderId="35" xfId="0" applyFont="1" applyBorder="1" applyAlignment="1" applyProtection="1">
      <alignment horizontal="center" vertical="center" wrapText="1"/>
      <protection locked="0"/>
    </xf>
    <xf numFmtId="0" fontId="4" fillId="0" borderId="36" xfId="0" applyFont="1" applyBorder="1" applyAlignment="1" applyProtection="1">
      <alignment horizontal="center" vertical="center" wrapText="1"/>
      <protection locked="0"/>
    </xf>
    <xf numFmtId="0" fontId="4" fillId="0" borderId="0" xfId="0" applyFont="1" applyAlignment="1" applyProtection="1">
      <alignment horizontal="center" vertical="center" wrapText="1"/>
      <protection locked="0"/>
    </xf>
    <xf numFmtId="0" fontId="4" fillId="0" borderId="37" xfId="0" applyFont="1" applyBorder="1" applyAlignment="1" applyProtection="1">
      <alignment horizontal="center" vertical="center" wrapText="1"/>
      <protection locked="0"/>
    </xf>
    <xf numFmtId="0" fontId="4" fillId="0" borderId="15" xfId="0" applyFont="1" applyBorder="1" applyAlignment="1" applyProtection="1">
      <alignment horizontal="center" vertical="center" wrapText="1"/>
      <protection locked="0"/>
    </xf>
    <xf numFmtId="0" fontId="4" fillId="0" borderId="38" xfId="0" applyFont="1" applyBorder="1" applyAlignment="1" applyProtection="1">
      <alignment horizontal="center" vertical="center" wrapText="1"/>
      <protection locked="0"/>
    </xf>
    <xf numFmtId="0" fontId="4" fillId="0" borderId="39" xfId="0" applyFont="1" applyBorder="1" applyAlignment="1" applyProtection="1">
      <alignment horizontal="center" vertical="center"/>
      <protection locked="0"/>
    </xf>
    <xf numFmtId="0" fontId="4" fillId="0" borderId="35" xfId="0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 applyProtection="1">
      <alignment horizontal="center" vertical="center"/>
      <protection locked="0"/>
    </xf>
    <xf numFmtId="0" fontId="4" fillId="0" borderId="0" xfId="0" applyFont="1" applyAlignment="1" applyProtection="1">
      <alignment horizontal="center" vertical="center"/>
      <protection locked="0"/>
    </xf>
    <xf numFmtId="0" fontId="4" fillId="0" borderId="17" xfId="0" applyFont="1" applyBorder="1" applyAlignment="1" applyProtection="1">
      <alignment horizontal="center" vertical="center"/>
      <protection locked="0"/>
    </xf>
    <xf numFmtId="0" fontId="4" fillId="0" borderId="15" xfId="0" applyFont="1" applyBorder="1" applyAlignment="1" applyProtection="1">
      <alignment horizontal="center" vertical="center"/>
      <protection locked="0"/>
    </xf>
    <xf numFmtId="0" fontId="9" fillId="0" borderId="4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" fillId="0" borderId="2" xfId="0" applyFont="1" applyBorder="1"/>
    <xf numFmtId="0" fontId="1" fillId="0" borderId="8" xfId="0" applyFont="1" applyBorder="1"/>
    <xf numFmtId="0" fontId="9" fillId="0" borderId="3" xfId="0" applyFont="1" applyBorder="1" applyAlignment="1">
      <alignment horizontal="center" vertical="center"/>
    </xf>
    <xf numFmtId="0" fontId="1" fillId="0" borderId="4" xfId="0" applyFont="1" applyBorder="1"/>
    <xf numFmtId="0" fontId="1" fillId="0" borderId="5" xfId="0" applyFont="1" applyBorder="1"/>
    <xf numFmtId="0" fontId="1" fillId="0" borderId="40" xfId="0" applyFont="1" applyBorder="1" applyAlignment="1" applyProtection="1">
      <alignment horizontal="center" vertical="center"/>
      <protection hidden="1"/>
    </xf>
    <xf numFmtId="0" fontId="1" fillId="0" borderId="41" xfId="0" applyFont="1" applyBorder="1" applyAlignment="1" applyProtection="1">
      <alignment horizontal="center" vertical="center"/>
      <protection hidden="1"/>
    </xf>
    <xf numFmtId="0" fontId="12" fillId="0" borderId="27" xfId="0" applyFont="1" applyBorder="1" applyAlignment="1" applyProtection="1">
      <alignment horizontal="center" vertical="center"/>
      <protection locked="0"/>
    </xf>
    <xf numFmtId="0" fontId="12" fillId="0" borderId="28" xfId="0" applyFont="1" applyBorder="1" applyAlignment="1" applyProtection="1">
      <alignment horizontal="center" vertical="center"/>
      <protection locked="0"/>
    </xf>
    <xf numFmtId="0" fontId="12" fillId="0" borderId="29" xfId="0" applyFont="1" applyBorder="1" applyAlignment="1" applyProtection="1">
      <alignment horizontal="center" vertical="center"/>
      <protection locked="0"/>
    </xf>
    <xf numFmtId="0" fontId="7" fillId="0" borderId="29" xfId="0" applyFont="1" applyBorder="1" applyAlignment="1" applyProtection="1">
      <alignment horizontal="center" vertical="center" wrapText="1"/>
      <protection locked="0"/>
    </xf>
    <xf numFmtId="0" fontId="12" fillId="0" borderId="27" xfId="0" applyFont="1" applyBorder="1" applyAlignment="1" applyProtection="1">
      <alignment horizontal="center" vertical="center" wrapText="1"/>
      <protection locked="0"/>
    </xf>
    <xf numFmtId="0" fontId="12" fillId="0" borderId="28" xfId="0" applyFont="1" applyBorder="1" applyAlignment="1" applyProtection="1">
      <alignment horizontal="center" vertical="center" wrapText="1"/>
      <protection locked="0"/>
    </xf>
    <xf numFmtId="0" fontId="12" fillId="0" borderId="29" xfId="0" applyFont="1" applyBorder="1" applyAlignment="1" applyProtection="1">
      <alignment horizontal="center" vertical="center" wrapText="1"/>
      <protection locked="0"/>
    </xf>
    <xf numFmtId="0" fontId="6" fillId="0" borderId="4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4545B657-9D15-4D32-96F6-3C3F704514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3E81F751-3361-43DD-BBB1-B81B658CD3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68680" y="312420"/>
          <a:ext cx="1295400" cy="32385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6AFDA0FC-C8D4-410F-9450-A41A3415B0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70585" y="310515"/>
          <a:ext cx="1295400" cy="32385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85725</xdr:colOff>
      <xdr:row>1</xdr:row>
      <xdr:rowOff>142875</xdr:rowOff>
    </xdr:from>
    <xdr:ext cx="1295400" cy="323850"/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3D476-3BF5-4191-88EE-23CDE28F9F7D}">
  <sheetPr>
    <pageSetUpPr fitToPage="1"/>
  </sheetPr>
  <dimension ref="A1:AA68"/>
  <sheetViews>
    <sheetView tabSelected="1" topLeftCell="A50" workbookViewId="0">
      <selection activeCell="R16" sqref="R1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0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89" t="s">
        <v>101</v>
      </c>
      <c r="V1" s="90"/>
      <c r="W1" s="90"/>
      <c r="X1" s="90"/>
      <c r="Y1" s="90"/>
      <c r="Z1" s="9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92"/>
      <c r="V2" s="93"/>
      <c r="W2" s="93"/>
      <c r="X2" s="93"/>
      <c r="Y2" s="93"/>
      <c r="Z2" s="9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92"/>
      <c r="V3" s="93"/>
      <c r="W3" s="93"/>
      <c r="X3" s="93"/>
      <c r="Y3" s="93"/>
      <c r="Z3" s="9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92"/>
      <c r="V4" s="93"/>
      <c r="W4" s="93"/>
      <c r="X4" s="93"/>
      <c r="Y4" s="93"/>
      <c r="Z4" s="9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</v>
      </c>
      <c r="H5" s="151"/>
      <c r="I5" s="125">
        <v>4</v>
      </c>
      <c r="J5" s="125"/>
      <c r="K5" s="126"/>
      <c r="L5" s="128" t="s">
        <v>4</v>
      </c>
      <c r="M5" s="129"/>
      <c r="N5" s="129"/>
      <c r="O5" s="130"/>
      <c r="P5" s="131" t="s">
        <v>104</v>
      </c>
      <c r="Q5" s="132"/>
      <c r="R5" s="132"/>
      <c r="S5" s="132"/>
      <c r="T5" s="133"/>
      <c r="U5" s="92"/>
      <c r="V5" s="93"/>
      <c r="W5" s="93"/>
      <c r="X5" s="93"/>
      <c r="Y5" s="93"/>
      <c r="Z5" s="94"/>
    </row>
    <row r="6" spans="1:26" ht="12.75" customHeight="1" x14ac:dyDescent="0.25">
      <c r="A6" s="141"/>
      <c r="B6" s="142"/>
      <c r="C6" s="142"/>
      <c r="D6" s="142"/>
      <c r="E6" s="142"/>
      <c r="F6" s="143"/>
      <c r="G6" s="2"/>
      <c r="H6" s="3"/>
      <c r="I6" s="127" t="s">
        <v>6</v>
      </c>
      <c r="J6" s="127"/>
      <c r="K6" s="127"/>
      <c r="L6" s="127" t="s">
        <v>7</v>
      </c>
      <c r="M6" s="127"/>
      <c r="N6" s="127"/>
      <c r="O6" s="127"/>
      <c r="P6" s="127" t="s">
        <v>8</v>
      </c>
      <c r="Q6" s="127"/>
      <c r="R6" s="127"/>
      <c r="S6" s="127"/>
      <c r="T6" s="134"/>
      <c r="U6" s="95"/>
      <c r="V6" s="96"/>
      <c r="W6" s="96"/>
      <c r="X6" s="96"/>
      <c r="Y6" s="96"/>
      <c r="Z6" s="97"/>
    </row>
    <row r="7" spans="1:26" ht="36.6" customHeight="1" x14ac:dyDescent="0.25">
      <c r="A7" s="152" t="s">
        <v>9</v>
      </c>
      <c r="B7" s="152"/>
      <c r="C7" s="152"/>
      <c r="D7" s="152"/>
      <c r="E7" s="152"/>
      <c r="F7" s="152"/>
      <c r="G7" s="153" t="s">
        <v>100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88" t="s">
        <v>13</v>
      </c>
      <c r="C10" s="88"/>
      <c r="D10" s="88"/>
      <c r="E10" s="88"/>
      <c r="F10" s="88"/>
      <c r="G10" s="88"/>
      <c r="H10" s="154" t="s">
        <v>14</v>
      </c>
      <c r="I10" s="154"/>
      <c r="J10" s="154"/>
      <c r="K10" s="154"/>
      <c r="L10" s="154"/>
      <c r="M10" s="154"/>
      <c r="N10" s="88" t="s">
        <v>15</v>
      </c>
      <c r="O10" s="88"/>
      <c r="P10" s="88"/>
      <c r="Q10" s="88"/>
      <c r="R10" s="88"/>
      <c r="S10" s="113" t="s">
        <v>99</v>
      </c>
      <c r="T10" s="113"/>
      <c r="U10" s="113"/>
      <c r="V10" s="113"/>
      <c r="W10" s="113"/>
      <c r="X10" s="113"/>
      <c r="Y10" s="113"/>
      <c r="Z10" s="12"/>
    </row>
    <row r="11" spans="1:26" ht="15.9" customHeight="1" x14ac:dyDescent="0.25">
      <c r="A11" s="9"/>
      <c r="B11" s="88" t="s">
        <v>17</v>
      </c>
      <c r="C11" s="88"/>
      <c r="D11" s="88"/>
      <c r="E11" s="88"/>
      <c r="F11" s="88"/>
      <c r="G11" s="88"/>
      <c r="H11" s="154" t="s">
        <v>104</v>
      </c>
      <c r="I11" s="154"/>
      <c r="J11" s="154"/>
      <c r="K11" s="154"/>
      <c r="L11" s="154"/>
      <c r="M11" s="154"/>
      <c r="N11" s="88" t="s">
        <v>18</v>
      </c>
      <c r="O11" s="88"/>
      <c r="P11" s="88"/>
      <c r="Q11" s="88"/>
      <c r="R11" s="88"/>
      <c r="S11" s="113" t="s">
        <v>19</v>
      </c>
      <c r="T11" s="113"/>
      <c r="U11" s="113"/>
      <c r="V11" s="113"/>
      <c r="W11" s="113"/>
      <c r="X11" s="113"/>
      <c r="Y11" s="113"/>
      <c r="Z11" s="12"/>
    </row>
    <row r="12" spans="1:26" ht="15.9" customHeight="1" x14ac:dyDescent="0.25">
      <c r="A12" s="9"/>
      <c r="B12" s="88" t="s">
        <v>20</v>
      </c>
      <c r="C12" s="88"/>
      <c r="D12" s="88"/>
      <c r="E12" s="88"/>
      <c r="F12" s="88"/>
      <c r="G12" s="88"/>
      <c r="H12" s="154" t="s">
        <v>113</v>
      </c>
      <c r="I12" s="154"/>
      <c r="J12" s="154"/>
      <c r="K12" s="154"/>
      <c r="L12" s="154"/>
      <c r="M12" s="154"/>
      <c r="N12" s="88" t="s">
        <v>22</v>
      </c>
      <c r="O12" s="88"/>
      <c r="P12" s="88"/>
      <c r="Q12" s="88"/>
      <c r="R12" s="88"/>
      <c r="S12" s="113" t="s">
        <v>23</v>
      </c>
      <c r="T12" s="113"/>
      <c r="U12" s="113"/>
      <c r="V12" s="113"/>
      <c r="W12" s="113"/>
      <c r="X12" s="113"/>
      <c r="Y12" s="11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26</v>
      </c>
      <c r="C17" s="87"/>
      <c r="D17" s="87"/>
      <c r="E17" s="87"/>
      <c r="F17" s="87"/>
      <c r="G17" s="87"/>
      <c r="H17" s="8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8"/>
    </row>
    <row r="18" spans="1:26" s="17" customFormat="1" ht="15" customHeight="1" x14ac:dyDescent="0.25">
      <c r="A18" s="24"/>
      <c r="B18" s="87" t="s">
        <v>27</v>
      </c>
      <c r="C18" s="87"/>
      <c r="D18" s="87"/>
      <c r="E18" s="87"/>
      <c r="F18" s="87"/>
      <c r="G18" s="87"/>
      <c r="H18" s="87"/>
      <c r="I18" s="206" t="s">
        <v>28</v>
      </c>
      <c r="J18" s="206"/>
      <c r="K18" s="27">
        <v>80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50" t="s">
        <v>31</v>
      </c>
      <c r="C21" s="33"/>
      <c r="D21" s="34"/>
      <c r="E21" s="34"/>
      <c r="F21" s="34"/>
      <c r="G21" s="34"/>
      <c r="H21" s="33"/>
      <c r="I21" s="33"/>
      <c r="J21" s="215" t="s">
        <v>32</v>
      </c>
      <c r="K21" s="215"/>
      <c r="L21" s="215"/>
      <c r="M21" s="215"/>
      <c r="N21" s="215"/>
      <c r="O21" s="215"/>
      <c r="P21" s="215"/>
      <c r="Q21" s="80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51"/>
      <c r="Z22" s="11"/>
    </row>
    <row r="23" spans="1:26" ht="15.75" customHeight="1" x14ac:dyDescent="0.25">
      <c r="A23" s="9"/>
      <c r="B23" s="213" t="s">
        <v>33</v>
      </c>
      <c r="C23" s="114" t="s">
        <v>34</v>
      </c>
      <c r="D23" s="114"/>
      <c r="E23" s="114"/>
      <c r="F23" s="114"/>
      <c r="G23" s="115"/>
      <c r="H23" s="210" t="s">
        <v>35</v>
      </c>
      <c r="I23" s="211"/>
      <c r="J23" s="212"/>
      <c r="K23" s="114" t="s">
        <v>36</v>
      </c>
      <c r="L23" s="114"/>
      <c r="M23" s="114"/>
      <c r="N23" s="114"/>
      <c r="O23" s="114"/>
      <c r="P23" s="115"/>
      <c r="Z23" s="11"/>
    </row>
    <row r="24" spans="1:26" ht="15.75" customHeight="1" x14ac:dyDescent="0.25">
      <c r="A24" s="9"/>
      <c r="B24" s="214"/>
      <c r="C24" s="116"/>
      <c r="D24" s="116"/>
      <c r="E24" s="116"/>
      <c r="F24" s="116"/>
      <c r="G24" s="117"/>
      <c r="H24" s="207" t="s">
        <v>37</v>
      </c>
      <c r="I24" s="208"/>
      <c r="J24" s="209"/>
      <c r="K24" s="116"/>
      <c r="L24" s="116"/>
      <c r="M24" s="116"/>
      <c r="N24" s="116"/>
      <c r="O24" s="116"/>
      <c r="P24" s="117"/>
      <c r="Z24" s="11"/>
    </row>
    <row r="25" spans="1:26" ht="19.5" customHeight="1" x14ac:dyDescent="0.25">
      <c r="A25" s="9"/>
      <c r="B25" s="79">
        <v>1</v>
      </c>
      <c r="C25" s="98" t="s">
        <v>105</v>
      </c>
      <c r="D25" s="99"/>
      <c r="E25" s="99"/>
      <c r="F25" s="99"/>
      <c r="G25" s="100"/>
      <c r="H25" s="176">
        <v>191</v>
      </c>
      <c r="I25" s="177"/>
      <c r="J25" s="178"/>
      <c r="K25" s="98"/>
      <c r="L25" s="99"/>
      <c r="M25" s="99"/>
      <c r="N25" s="99"/>
      <c r="O25" s="99"/>
      <c r="P25" s="100"/>
      <c r="Z25" s="11"/>
    </row>
    <row r="26" spans="1:26" ht="19.5" customHeight="1" x14ac:dyDescent="0.25">
      <c r="A26" s="9"/>
      <c r="B26" s="79">
        <v>2</v>
      </c>
      <c r="C26" s="98"/>
      <c r="D26" s="99"/>
      <c r="E26" s="99"/>
      <c r="F26" s="99"/>
      <c r="G26" s="100"/>
      <c r="H26" s="176">
        <v>246</v>
      </c>
      <c r="I26" s="177"/>
      <c r="J26" s="178"/>
      <c r="K26" s="98"/>
      <c r="L26" s="99"/>
      <c r="M26" s="99"/>
      <c r="N26" s="99"/>
      <c r="O26" s="99"/>
      <c r="P26" s="100"/>
      <c r="Z26" s="11"/>
    </row>
    <row r="27" spans="1:26" ht="19.5" customHeight="1" x14ac:dyDescent="0.25">
      <c r="A27" s="9"/>
      <c r="B27" s="79">
        <v>3</v>
      </c>
      <c r="C27" s="98" t="s">
        <v>103</v>
      </c>
      <c r="D27" s="99"/>
      <c r="E27" s="99"/>
      <c r="F27" s="99"/>
      <c r="G27" s="100"/>
      <c r="H27" s="176" t="s">
        <v>102</v>
      </c>
      <c r="I27" s="177"/>
      <c r="J27" s="178"/>
      <c r="K27" s="98"/>
      <c r="L27" s="99"/>
      <c r="M27" s="99"/>
      <c r="N27" s="99"/>
      <c r="O27" s="99"/>
      <c r="P27" s="100"/>
      <c r="Z27" s="11"/>
    </row>
    <row r="28" spans="1:26" ht="19.5" customHeight="1" x14ac:dyDescent="0.25">
      <c r="A28" s="9"/>
      <c r="B28" s="79">
        <v>4</v>
      </c>
      <c r="C28" s="98" t="s">
        <v>106</v>
      </c>
      <c r="D28" s="99"/>
      <c r="E28" s="99"/>
      <c r="F28" s="99"/>
      <c r="G28" s="100"/>
      <c r="H28" s="176" t="s">
        <v>102</v>
      </c>
      <c r="I28" s="177"/>
      <c r="J28" s="178"/>
      <c r="K28" s="98"/>
      <c r="L28" s="99"/>
      <c r="M28" s="99"/>
      <c r="N28" s="99"/>
      <c r="O28" s="99"/>
      <c r="P28" s="100"/>
      <c r="Z28" s="11"/>
    </row>
    <row r="29" spans="1:26" ht="19.5" customHeight="1" x14ac:dyDescent="0.25">
      <c r="A29" s="9"/>
      <c r="B29" s="79">
        <v>5</v>
      </c>
      <c r="C29" s="98" t="s">
        <v>107</v>
      </c>
      <c r="D29" s="99"/>
      <c r="E29" s="99"/>
      <c r="F29" s="99"/>
      <c r="G29" s="100"/>
      <c r="H29" s="176">
        <v>199</v>
      </c>
      <c r="I29" s="177"/>
      <c r="J29" s="178"/>
      <c r="K29" s="98"/>
      <c r="L29" s="99"/>
      <c r="M29" s="99"/>
      <c r="N29" s="99"/>
      <c r="O29" s="99"/>
      <c r="P29" s="100"/>
      <c r="Z29" s="11"/>
    </row>
    <row r="30" spans="1:26" ht="19.5" customHeight="1" x14ac:dyDescent="0.25">
      <c r="A30" s="9"/>
      <c r="B30" s="79">
        <v>6</v>
      </c>
      <c r="C30" s="98"/>
      <c r="D30" s="99"/>
      <c r="E30" s="99"/>
      <c r="F30" s="99"/>
      <c r="G30" s="100"/>
      <c r="H30" s="176">
        <v>132</v>
      </c>
      <c r="I30" s="177"/>
      <c r="J30" s="178"/>
      <c r="K30" s="98"/>
      <c r="L30" s="99"/>
      <c r="M30" s="99"/>
      <c r="N30" s="99"/>
      <c r="O30" s="99"/>
      <c r="P30" s="100"/>
      <c r="Z30" s="11"/>
    </row>
    <row r="31" spans="1:26" ht="19.5" customHeight="1" x14ac:dyDescent="0.25">
      <c r="A31" s="9"/>
      <c r="B31" s="79">
        <v>7</v>
      </c>
      <c r="C31" s="98" t="s">
        <v>108</v>
      </c>
      <c r="D31" s="99"/>
      <c r="E31" s="99"/>
      <c r="F31" s="99"/>
      <c r="G31" s="100"/>
      <c r="H31" s="176">
        <v>175</v>
      </c>
      <c r="I31" s="177"/>
      <c r="J31" s="178"/>
      <c r="K31" s="98"/>
      <c r="L31" s="99"/>
      <c r="M31" s="99"/>
      <c r="N31" s="99"/>
      <c r="O31" s="99"/>
      <c r="P31" s="100"/>
      <c r="Z31" s="11"/>
    </row>
    <row r="32" spans="1:26" ht="19.5" customHeight="1" x14ac:dyDescent="0.25">
      <c r="A32" s="9"/>
      <c r="B32" s="79">
        <v>8</v>
      </c>
      <c r="C32" s="98" t="s">
        <v>109</v>
      </c>
      <c r="D32" s="99"/>
      <c r="E32" s="99"/>
      <c r="F32" s="99"/>
      <c r="G32" s="100"/>
      <c r="H32" s="176">
        <v>205</v>
      </c>
      <c r="I32" s="177"/>
      <c r="J32" s="178"/>
      <c r="K32" s="98"/>
      <c r="L32" s="99"/>
      <c r="M32" s="99"/>
      <c r="N32" s="99"/>
      <c r="O32" s="99"/>
      <c r="P32" s="100"/>
      <c r="Z32" s="11"/>
    </row>
    <row r="33" spans="1:26" ht="19.5" customHeight="1" x14ac:dyDescent="0.25">
      <c r="A33" s="9"/>
      <c r="B33" s="79">
        <v>9</v>
      </c>
      <c r="C33" s="98"/>
      <c r="D33" s="99"/>
      <c r="E33" s="99"/>
      <c r="F33" s="99"/>
      <c r="G33" s="100"/>
      <c r="H33" s="176">
        <v>176</v>
      </c>
      <c r="I33" s="177"/>
      <c r="J33" s="178"/>
      <c r="K33" s="98"/>
      <c r="L33" s="99"/>
      <c r="M33" s="99"/>
      <c r="N33" s="99"/>
      <c r="O33" s="99"/>
      <c r="P33" s="100"/>
      <c r="Z33" s="11"/>
    </row>
    <row r="34" spans="1:26" ht="19.5" customHeight="1" x14ac:dyDescent="0.25">
      <c r="A34" s="9"/>
      <c r="B34" s="79">
        <v>10</v>
      </c>
      <c r="C34" s="98" t="s">
        <v>110</v>
      </c>
      <c r="D34" s="99"/>
      <c r="E34" s="99"/>
      <c r="F34" s="99"/>
      <c r="G34" s="100"/>
      <c r="H34" s="176">
        <v>150</v>
      </c>
      <c r="I34" s="177"/>
      <c r="J34" s="178"/>
      <c r="K34" s="98"/>
      <c r="L34" s="99"/>
      <c r="M34" s="99"/>
      <c r="N34" s="99"/>
      <c r="O34" s="99"/>
      <c r="P34" s="100"/>
      <c r="Z34" s="11"/>
    </row>
    <row r="35" spans="1:26" ht="19.5" customHeight="1" x14ac:dyDescent="0.25">
      <c r="A35" s="9"/>
      <c r="B35" s="79">
        <v>11</v>
      </c>
      <c r="C35" s="98"/>
      <c r="D35" s="99"/>
      <c r="E35" s="99"/>
      <c r="F35" s="99"/>
      <c r="G35" s="100"/>
      <c r="H35" s="176">
        <v>178</v>
      </c>
      <c r="I35" s="177"/>
      <c r="J35" s="178"/>
      <c r="K35" s="98"/>
      <c r="L35" s="99"/>
      <c r="M35" s="99"/>
      <c r="N35" s="99"/>
      <c r="O35" s="99"/>
      <c r="P35" s="100"/>
      <c r="Z35" s="11"/>
    </row>
    <row r="36" spans="1:26" ht="19.5" customHeight="1" x14ac:dyDescent="0.25">
      <c r="A36" s="9"/>
      <c r="B36" s="79">
        <v>12</v>
      </c>
      <c r="C36" s="98" t="s">
        <v>111</v>
      </c>
      <c r="D36" s="99"/>
      <c r="E36" s="99"/>
      <c r="F36" s="99"/>
      <c r="G36" s="100"/>
      <c r="H36" s="176">
        <v>87</v>
      </c>
      <c r="I36" s="177"/>
      <c r="J36" s="178"/>
      <c r="K36" s="98"/>
      <c r="L36" s="99"/>
      <c r="M36" s="99"/>
      <c r="N36" s="99"/>
      <c r="O36" s="99"/>
      <c r="P36" s="100"/>
      <c r="Z36" s="11"/>
    </row>
    <row r="37" spans="1:26" ht="19.5" customHeight="1" x14ac:dyDescent="0.25">
      <c r="A37" s="9"/>
      <c r="B37" s="79">
        <v>13</v>
      </c>
      <c r="C37" s="98" t="s">
        <v>112</v>
      </c>
      <c r="D37" s="99"/>
      <c r="E37" s="99"/>
      <c r="F37" s="99"/>
      <c r="G37" s="100"/>
      <c r="H37" s="176">
        <v>137</v>
      </c>
      <c r="I37" s="177"/>
      <c r="J37" s="178"/>
      <c r="K37" s="98"/>
      <c r="L37" s="99"/>
      <c r="M37" s="99"/>
      <c r="N37" s="99"/>
      <c r="O37" s="99"/>
      <c r="P37" s="100"/>
      <c r="Z37" s="11"/>
    </row>
    <row r="38" spans="1:26" ht="19.5" customHeight="1" x14ac:dyDescent="0.25">
      <c r="A38" s="9"/>
      <c r="B38" s="79">
        <v>14</v>
      </c>
      <c r="C38" s="98" t="s">
        <v>86</v>
      </c>
      <c r="D38" s="99"/>
      <c r="E38" s="99"/>
      <c r="F38" s="99"/>
      <c r="G38" s="100"/>
      <c r="H38" s="176">
        <v>125</v>
      </c>
      <c r="I38" s="177"/>
      <c r="J38" s="178"/>
      <c r="K38" s="98"/>
      <c r="L38" s="99"/>
      <c r="M38" s="99"/>
      <c r="N38" s="99"/>
      <c r="O38" s="99"/>
      <c r="P38" s="100"/>
      <c r="Z38" s="11"/>
    </row>
    <row r="39" spans="1:26" ht="19.5" customHeight="1" x14ac:dyDescent="0.25">
      <c r="A39" s="9"/>
      <c r="B39" s="79">
        <v>15</v>
      </c>
      <c r="C39" s="98"/>
      <c r="D39" s="99"/>
      <c r="E39" s="99"/>
      <c r="F39" s="99"/>
      <c r="G39" s="100"/>
      <c r="H39" s="176">
        <v>126</v>
      </c>
      <c r="I39" s="177"/>
      <c r="J39" s="178"/>
      <c r="K39" s="98"/>
      <c r="L39" s="99"/>
      <c r="M39" s="99"/>
      <c r="N39" s="99"/>
      <c r="O39" s="99"/>
      <c r="P39" s="100"/>
      <c r="Z39" s="11"/>
    </row>
    <row r="40" spans="1:26" ht="19.5" customHeight="1" x14ac:dyDescent="0.25">
      <c r="A40" s="9"/>
      <c r="B40" s="274"/>
      <c r="C40" s="98"/>
      <c r="D40" s="99"/>
      <c r="E40" s="99"/>
      <c r="F40" s="99"/>
      <c r="G40" s="100"/>
      <c r="H40" s="176"/>
      <c r="I40" s="177"/>
      <c r="J40" s="178"/>
      <c r="K40" s="98"/>
      <c r="L40" s="99"/>
      <c r="M40" s="99"/>
      <c r="N40" s="99"/>
      <c r="O40" s="99"/>
      <c r="P40" s="100"/>
      <c r="Z40" s="11"/>
    </row>
    <row r="41" spans="1:26" ht="19.5" customHeight="1" x14ac:dyDescent="0.25">
      <c r="A41" s="9"/>
      <c r="B41" s="274"/>
      <c r="C41" s="98"/>
      <c r="D41" s="99"/>
      <c r="E41" s="99"/>
      <c r="F41" s="99"/>
      <c r="G41" s="100"/>
      <c r="H41" s="176"/>
      <c r="I41" s="177"/>
      <c r="J41" s="178"/>
      <c r="K41" s="98"/>
      <c r="L41" s="99"/>
      <c r="M41" s="99"/>
      <c r="N41" s="99"/>
      <c r="O41" s="99"/>
      <c r="P41" s="100"/>
      <c r="Z41" s="11"/>
    </row>
    <row r="42" spans="1:26" ht="19.5" customHeight="1" x14ac:dyDescent="0.25">
      <c r="A42" s="9"/>
      <c r="B42" s="274"/>
      <c r="C42" s="98"/>
      <c r="D42" s="99"/>
      <c r="E42" s="99"/>
      <c r="F42" s="99"/>
      <c r="G42" s="100"/>
      <c r="H42" s="176"/>
      <c r="I42" s="177"/>
      <c r="J42" s="178"/>
      <c r="K42" s="98"/>
      <c r="L42" s="99"/>
      <c r="M42" s="99"/>
      <c r="N42" s="99"/>
      <c r="O42" s="99"/>
      <c r="P42" s="100"/>
      <c r="Z42" s="11"/>
    </row>
    <row r="43" spans="1:26" ht="19.5" customHeight="1" x14ac:dyDescent="0.25">
      <c r="A43" s="9"/>
      <c r="B43" s="274"/>
      <c r="C43" s="98"/>
      <c r="D43" s="99"/>
      <c r="E43" s="99"/>
      <c r="F43" s="99"/>
      <c r="G43" s="100"/>
      <c r="H43" s="176"/>
      <c r="I43" s="177"/>
      <c r="J43" s="178"/>
      <c r="K43" s="98"/>
      <c r="L43" s="99"/>
      <c r="M43" s="99"/>
      <c r="N43" s="99"/>
      <c r="O43" s="99"/>
      <c r="P43" s="100"/>
      <c r="Z43" s="11"/>
    </row>
    <row r="44" spans="1:26" ht="19.5" customHeight="1" x14ac:dyDescent="0.25">
      <c r="A44" s="9"/>
      <c r="B44" s="274"/>
      <c r="C44" s="98"/>
      <c r="D44" s="99"/>
      <c r="E44" s="99"/>
      <c r="F44" s="99"/>
      <c r="G44" s="100"/>
      <c r="H44" s="176"/>
      <c r="I44" s="177"/>
      <c r="J44" s="178"/>
      <c r="K44" s="98"/>
      <c r="L44" s="99"/>
      <c r="M44" s="99"/>
      <c r="N44" s="99"/>
      <c r="O44" s="99"/>
      <c r="P44" s="100"/>
      <c r="Z44" s="11"/>
    </row>
    <row r="45" spans="1:26" ht="19.5" customHeight="1" x14ac:dyDescent="0.25">
      <c r="A45" s="9"/>
      <c r="B45" s="274"/>
      <c r="C45" s="98"/>
      <c r="D45" s="99"/>
      <c r="E45" s="99"/>
      <c r="F45" s="99"/>
      <c r="G45" s="100"/>
      <c r="H45" s="176"/>
      <c r="I45" s="177"/>
      <c r="J45" s="178"/>
      <c r="K45" s="98"/>
      <c r="L45" s="99"/>
      <c r="M45" s="99"/>
      <c r="N45" s="99"/>
      <c r="O45" s="99"/>
      <c r="P45" s="100"/>
      <c r="Z45" s="11"/>
    </row>
    <row r="46" spans="1:26" ht="19.5" customHeight="1" thickBot="1" x14ac:dyDescent="0.3">
      <c r="A46" s="9"/>
      <c r="B46" s="78"/>
      <c r="C46" s="123"/>
      <c r="D46" s="123"/>
      <c r="E46" s="123"/>
      <c r="F46" s="123"/>
      <c r="G46" s="124"/>
      <c r="H46" s="119"/>
      <c r="I46" s="120"/>
      <c r="J46" s="121"/>
      <c r="K46" s="122"/>
      <c r="L46" s="123"/>
      <c r="M46" s="123"/>
      <c r="N46" s="123"/>
      <c r="O46" s="123"/>
      <c r="P46" s="124"/>
      <c r="Z46" s="11"/>
    </row>
    <row r="47" spans="1:26" ht="15.75" customHeight="1" x14ac:dyDescent="0.25">
      <c r="A47" s="9"/>
      <c r="B47" s="185" t="s">
        <v>52</v>
      </c>
      <c r="C47" s="186"/>
      <c r="D47" s="186"/>
      <c r="E47" s="186"/>
      <c r="F47" s="186"/>
      <c r="G47" s="187"/>
      <c r="H47" s="81">
        <f>AVERAGE(H25:J46)</f>
        <v>163.61538461538461</v>
      </c>
      <c r="I47" s="82"/>
      <c r="J47" s="83"/>
      <c r="K47" s="107">
        <v>100</v>
      </c>
      <c r="L47" s="108"/>
      <c r="M47" s="101" t="s">
        <v>53</v>
      </c>
      <c r="N47" s="101"/>
      <c r="O47" s="101"/>
      <c r="P47" s="102"/>
      <c r="Z47" s="11"/>
    </row>
    <row r="48" spans="1:26" ht="15.75" customHeight="1" x14ac:dyDescent="0.25">
      <c r="A48" s="9"/>
      <c r="B48" s="179" t="s">
        <v>54</v>
      </c>
      <c r="C48" s="180"/>
      <c r="D48" s="180"/>
      <c r="E48" s="180"/>
      <c r="F48" s="180"/>
      <c r="G48" s="181"/>
      <c r="H48" s="84">
        <f>IF(COUNTIF(H25:J46,"*&lt;20*"),"&lt;20",MIN(H25:J46))</f>
        <v>87</v>
      </c>
      <c r="I48" s="85"/>
      <c r="J48" s="86"/>
      <c r="K48" s="109"/>
      <c r="L48" s="110"/>
      <c r="M48" s="103"/>
      <c r="N48" s="103"/>
      <c r="O48" s="103"/>
      <c r="P48" s="104"/>
      <c r="Z48" s="11"/>
    </row>
    <row r="49" spans="1:26" ht="15.75" customHeight="1" thickBot="1" x14ac:dyDescent="0.3">
      <c r="A49" s="9"/>
      <c r="B49" s="182" t="s">
        <v>55</v>
      </c>
      <c r="C49" s="183"/>
      <c r="D49" s="183"/>
      <c r="E49" s="183"/>
      <c r="F49" s="183"/>
      <c r="G49" s="184"/>
      <c r="H49" s="203" t="str">
        <f>IF(COUNTIF(H25:J46,"*&gt;250*"),"&gt;250",MAX(H25:J46))</f>
        <v>&gt;250</v>
      </c>
      <c r="I49" s="204"/>
      <c r="J49" s="205"/>
      <c r="K49" s="111"/>
      <c r="L49" s="112"/>
      <c r="M49" s="105"/>
      <c r="N49" s="105"/>
      <c r="O49" s="105"/>
      <c r="P49" s="106"/>
      <c r="Z49" s="11"/>
    </row>
    <row r="50" spans="1:26" ht="15.9" customHeight="1" x14ac:dyDescent="0.25">
      <c r="A50" s="35"/>
      <c r="B50" s="52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16"/>
    </row>
    <row r="51" spans="1:26" ht="12.75" customHeight="1" x14ac:dyDescent="0.25">
      <c r="A51" s="36"/>
      <c r="B51" s="37"/>
    </row>
    <row r="52" spans="1:26" s="17" customFormat="1" ht="15.6" customHeight="1" x14ac:dyDescent="0.25">
      <c r="A52" s="77" t="s">
        <v>81</v>
      </c>
      <c r="B52" s="5" t="s">
        <v>80</v>
      </c>
      <c r="C52" s="40"/>
      <c r="D52" s="40"/>
      <c r="E52" s="40"/>
      <c r="F52" s="41"/>
      <c r="G52" s="41"/>
      <c r="H52" s="41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76"/>
      <c r="V52" s="63"/>
      <c r="W52" s="63"/>
      <c r="X52" s="64"/>
      <c r="Y52" s="64"/>
      <c r="Z52" s="65"/>
    </row>
    <row r="53" spans="1:26" s="17" customFormat="1" ht="28.5" customHeight="1" x14ac:dyDescent="0.25">
      <c r="A53" s="167" t="s">
        <v>79</v>
      </c>
      <c r="B53" s="168"/>
      <c r="C53" s="168"/>
      <c r="D53" s="168"/>
      <c r="E53" s="168"/>
      <c r="F53" s="168"/>
      <c r="G53" s="168"/>
      <c r="H53" s="168"/>
      <c r="I53" s="168"/>
      <c r="J53" s="168"/>
      <c r="K53" s="168"/>
      <c r="L53" s="168"/>
      <c r="M53" s="168"/>
      <c r="N53" s="168"/>
      <c r="O53" s="168"/>
      <c r="P53" s="168"/>
      <c r="Q53" s="169"/>
      <c r="R53" s="161" t="s">
        <v>60</v>
      </c>
      <c r="S53" s="162"/>
      <c r="T53" s="163"/>
      <c r="U53" s="188" t="s">
        <v>61</v>
      </c>
      <c r="V53" s="189"/>
      <c r="W53" s="189"/>
      <c r="X53" s="190"/>
      <c r="Y53" s="190"/>
      <c r="Z53" s="191"/>
    </row>
    <row r="54" spans="1:26" s="17" customFormat="1" ht="15.6" customHeight="1" x14ac:dyDescent="0.25">
      <c r="A54" s="170" t="s">
        <v>59</v>
      </c>
      <c r="B54" s="171"/>
      <c r="C54" s="171"/>
      <c r="D54" s="171"/>
      <c r="E54" s="171"/>
      <c r="F54" s="171"/>
      <c r="G54" s="171"/>
      <c r="H54" s="171"/>
      <c r="I54" s="171"/>
      <c r="J54" s="171"/>
      <c r="K54" s="171"/>
      <c r="L54" s="171"/>
      <c r="M54" s="171"/>
      <c r="N54" s="171"/>
      <c r="O54" s="171"/>
      <c r="P54" s="171"/>
      <c r="Q54" s="172"/>
      <c r="R54" s="161" t="s">
        <v>62</v>
      </c>
      <c r="S54" s="162"/>
      <c r="T54" s="163"/>
      <c r="U54" s="192" t="s">
        <v>63</v>
      </c>
      <c r="V54" s="193"/>
      <c r="W54" s="193"/>
      <c r="X54" s="194"/>
      <c r="Y54" s="194"/>
      <c r="Z54" s="195"/>
    </row>
    <row r="55" spans="1:26" s="17" customFormat="1" ht="15.6" customHeight="1" x14ac:dyDescent="0.25">
      <c r="A55" s="173"/>
      <c r="B55" s="174"/>
      <c r="C55" s="174"/>
      <c r="D55" s="174"/>
      <c r="E55" s="174"/>
      <c r="F55" s="174"/>
      <c r="G55" s="174"/>
      <c r="H55" s="174"/>
      <c r="I55" s="174"/>
      <c r="J55" s="174"/>
      <c r="K55" s="174"/>
      <c r="L55" s="174"/>
      <c r="M55" s="174"/>
      <c r="N55" s="174"/>
      <c r="O55" s="174"/>
      <c r="P55" s="174"/>
      <c r="Q55" s="175"/>
      <c r="R55" s="161"/>
      <c r="S55" s="162"/>
      <c r="T55" s="163"/>
      <c r="U55" s="196"/>
      <c r="V55" s="103"/>
      <c r="W55" s="103"/>
      <c r="X55" s="197"/>
      <c r="Y55" s="197"/>
      <c r="Z55" s="198"/>
    </row>
    <row r="56" spans="1:26" s="17" customFormat="1" ht="15.6" customHeight="1" x14ac:dyDescent="0.25">
      <c r="A56" s="45" t="s">
        <v>56</v>
      </c>
      <c r="B56" s="46" t="s">
        <v>65</v>
      </c>
      <c r="C56" s="1"/>
      <c r="D56" s="1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8"/>
      <c r="R56" s="161"/>
      <c r="S56" s="162"/>
      <c r="T56" s="163"/>
      <c r="U56" s="199"/>
      <c r="V56" s="200"/>
      <c r="W56" s="200"/>
      <c r="X56" s="201"/>
      <c r="Y56" s="201"/>
      <c r="Z56" s="202"/>
    </row>
    <row r="57" spans="1:26" s="17" customFormat="1" ht="15.6" customHeight="1" x14ac:dyDescent="0.25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7"/>
      <c r="R57" s="161" t="s">
        <v>66</v>
      </c>
      <c r="S57" s="162"/>
      <c r="T57" s="163"/>
      <c r="U57" s="75"/>
      <c r="V57" s="74"/>
      <c r="W57" s="74"/>
      <c r="X57" s="74"/>
      <c r="Y57" s="74"/>
      <c r="Z57" s="73"/>
    </row>
    <row r="58" spans="1:26" s="17" customFormat="1" ht="15.6" customHeight="1" x14ac:dyDescent="0.25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7"/>
      <c r="R58" s="161"/>
      <c r="S58" s="162"/>
      <c r="T58" s="163"/>
      <c r="U58" s="72"/>
      <c r="V58" s="103"/>
      <c r="W58" s="103"/>
      <c r="X58" s="103"/>
      <c r="Y58" s="103"/>
      <c r="Z58" s="71"/>
    </row>
    <row r="59" spans="1:26" s="17" customFormat="1" ht="15.6" customHeight="1" x14ac:dyDescent="0.25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7"/>
      <c r="R59" s="161"/>
      <c r="S59" s="162"/>
      <c r="T59" s="163"/>
      <c r="U59" s="72"/>
      <c r="V59" s="103"/>
      <c r="W59" s="103"/>
      <c r="X59" s="103"/>
      <c r="Y59" s="103"/>
      <c r="Z59" s="71"/>
    </row>
    <row r="60" spans="1:26" s="17" customFormat="1" ht="15.6" customHeight="1" x14ac:dyDescent="0.25">
      <c r="A60" s="158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60"/>
      <c r="R60" s="164"/>
      <c r="S60" s="165"/>
      <c r="T60" s="166"/>
      <c r="U60" s="70"/>
      <c r="V60" s="69"/>
      <c r="W60" s="69"/>
      <c r="X60" s="69"/>
      <c r="Y60" s="69"/>
      <c r="Z60" s="68"/>
    </row>
    <row r="61" spans="1:26" s="17" customFormat="1" ht="15" customHeight="1" x14ac:dyDescent="0.25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  <c r="L61" s="67"/>
      <c r="M61" s="67"/>
      <c r="N61" s="67"/>
      <c r="O61" s="67"/>
      <c r="P61" s="67"/>
      <c r="Q61" s="67"/>
      <c r="R61" s="66"/>
      <c r="S61" s="66"/>
      <c r="T61" s="66"/>
      <c r="U61" s="54"/>
      <c r="V61" s="54"/>
      <c r="W61" s="54"/>
      <c r="X61" s="54"/>
      <c r="Y61" s="54"/>
      <c r="Z61" s="54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  <row r="68" spans="1:1" ht="12.75" customHeight="1" x14ac:dyDescent="0.25">
      <c r="A68" s="1"/>
    </row>
  </sheetData>
  <sheetProtection formatCells="0" formatColumns="0" formatRows="0" insertColumns="0" insertRows="0" insertHyperlinks="0" deleteColumns="0" deleteRows="0" selectLockedCells="1" sort="0" autoFilter="0" pivotTables="0"/>
  <mergeCells count="118">
    <mergeCell ref="C45:G45"/>
    <mergeCell ref="H45:J45"/>
    <mergeCell ref="K45:P45"/>
    <mergeCell ref="C43:G43"/>
    <mergeCell ref="H43:J43"/>
    <mergeCell ref="K43:P43"/>
    <mergeCell ref="C44:G44"/>
    <mergeCell ref="H44:J44"/>
    <mergeCell ref="K44:P44"/>
    <mergeCell ref="C41:G41"/>
    <mergeCell ref="H41:J41"/>
    <mergeCell ref="K41:P41"/>
    <mergeCell ref="C42:G42"/>
    <mergeCell ref="H42:J42"/>
    <mergeCell ref="K42:P42"/>
    <mergeCell ref="B17:H17"/>
    <mergeCell ref="B12:G12"/>
    <mergeCell ref="B11:G11"/>
    <mergeCell ref="C40:G40"/>
    <mergeCell ref="H40:J40"/>
    <mergeCell ref="K40:P40"/>
    <mergeCell ref="U1:Z6"/>
    <mergeCell ref="K25:P25"/>
    <mergeCell ref="M47:P49"/>
    <mergeCell ref="K47:L49"/>
    <mergeCell ref="S12:Y12"/>
    <mergeCell ref="K23:P24"/>
    <mergeCell ref="I17:Y17"/>
    <mergeCell ref="S11:Y11"/>
    <mergeCell ref="H46:J46"/>
    <mergeCell ref="K46:P46"/>
    <mergeCell ref="I5:K5"/>
    <mergeCell ref="I6:K6"/>
    <mergeCell ref="L5:O5"/>
    <mergeCell ref="P5:T5"/>
    <mergeCell ref="L6:O6"/>
    <mergeCell ref="P6:T6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C26:G26"/>
    <mergeCell ref="H26:J26"/>
    <mergeCell ref="K26:P26"/>
    <mergeCell ref="C27:G27"/>
    <mergeCell ref="H27:J27"/>
    <mergeCell ref="K27:P27"/>
    <mergeCell ref="N12:R12"/>
    <mergeCell ref="H12:M12"/>
    <mergeCell ref="H11:M11"/>
    <mergeCell ref="N11:R11"/>
    <mergeCell ref="A57:Q60"/>
    <mergeCell ref="R57:T60"/>
    <mergeCell ref="A53:Q53"/>
    <mergeCell ref="R53:T53"/>
    <mergeCell ref="A54:Q55"/>
    <mergeCell ref="R54:T56"/>
    <mergeCell ref="C46:G46"/>
    <mergeCell ref="B48:G48"/>
    <mergeCell ref="B49:G49"/>
    <mergeCell ref="B47:G47"/>
    <mergeCell ref="U53:Z53"/>
    <mergeCell ref="U54:Z56"/>
    <mergeCell ref="H49:J49"/>
    <mergeCell ref="H47:J47"/>
    <mergeCell ref="H48:J48"/>
    <mergeCell ref="V58:Y59"/>
    <mergeCell ref="I18:J18"/>
    <mergeCell ref="H25:J25"/>
    <mergeCell ref="C25:G25"/>
    <mergeCell ref="H24:J24"/>
    <mergeCell ref="H23:J23"/>
    <mergeCell ref="B18:H18"/>
    <mergeCell ref="B23:B24"/>
    <mergeCell ref="C23:G24"/>
    <mergeCell ref="J21:P21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2DD368-8E5C-4997-83CE-ED4085550079}">
  <sheetPr>
    <pageSetUpPr fitToPage="1"/>
  </sheetPr>
  <dimension ref="A1:AA78"/>
  <sheetViews>
    <sheetView workbookViewId="0">
      <selection activeCell="U1" sqref="U1:Z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0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89" t="s">
        <v>101</v>
      </c>
      <c r="V1" s="90"/>
      <c r="W1" s="90"/>
      <c r="X1" s="90"/>
      <c r="Y1" s="90"/>
      <c r="Z1" s="9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92"/>
      <c r="V2" s="93"/>
      <c r="W2" s="93"/>
      <c r="X2" s="93"/>
      <c r="Y2" s="93"/>
      <c r="Z2" s="9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92"/>
      <c r="V3" s="93"/>
      <c r="W3" s="93"/>
      <c r="X3" s="93"/>
      <c r="Y3" s="93"/>
      <c r="Z3" s="9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92"/>
      <c r="V4" s="93"/>
      <c r="W4" s="93"/>
      <c r="X4" s="93"/>
      <c r="Y4" s="93"/>
      <c r="Z4" s="9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</v>
      </c>
      <c r="H5" s="151"/>
      <c r="I5" s="125">
        <v>3</v>
      </c>
      <c r="J5" s="125"/>
      <c r="K5" s="126"/>
      <c r="L5" s="128" t="s">
        <v>4</v>
      </c>
      <c r="M5" s="129"/>
      <c r="N5" s="129"/>
      <c r="O5" s="130"/>
      <c r="P5" s="131" t="s">
        <v>98</v>
      </c>
      <c r="Q5" s="132"/>
      <c r="R5" s="132"/>
      <c r="S5" s="132"/>
      <c r="T5" s="133"/>
      <c r="U5" s="92"/>
      <c r="V5" s="93"/>
      <c r="W5" s="93"/>
      <c r="X5" s="93"/>
      <c r="Y5" s="93"/>
      <c r="Z5" s="94"/>
    </row>
    <row r="6" spans="1:26" ht="12.75" customHeight="1" x14ac:dyDescent="0.25">
      <c r="A6" s="141"/>
      <c r="B6" s="142"/>
      <c r="C6" s="142"/>
      <c r="D6" s="142"/>
      <c r="E6" s="142"/>
      <c r="F6" s="143"/>
      <c r="G6" s="2"/>
      <c r="H6" s="3"/>
      <c r="I6" s="127" t="s">
        <v>6</v>
      </c>
      <c r="J6" s="127"/>
      <c r="K6" s="127"/>
      <c r="L6" s="127" t="s">
        <v>7</v>
      </c>
      <c r="M6" s="127"/>
      <c r="N6" s="127"/>
      <c r="O6" s="127"/>
      <c r="P6" s="127" t="s">
        <v>8</v>
      </c>
      <c r="Q6" s="127"/>
      <c r="R6" s="127"/>
      <c r="S6" s="127"/>
      <c r="T6" s="134"/>
      <c r="U6" s="95"/>
      <c r="V6" s="96"/>
      <c r="W6" s="96"/>
      <c r="X6" s="96"/>
      <c r="Y6" s="96"/>
      <c r="Z6" s="97"/>
    </row>
    <row r="7" spans="1:26" ht="36.6" customHeight="1" x14ac:dyDescent="0.25">
      <c r="A7" s="152" t="s">
        <v>9</v>
      </c>
      <c r="B7" s="152"/>
      <c r="C7" s="152"/>
      <c r="D7" s="152"/>
      <c r="E7" s="152"/>
      <c r="F7" s="152"/>
      <c r="G7" s="153" t="s">
        <v>100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88" t="s">
        <v>13</v>
      </c>
      <c r="C10" s="88"/>
      <c r="D10" s="88"/>
      <c r="E10" s="88"/>
      <c r="F10" s="88"/>
      <c r="G10" s="88"/>
      <c r="H10" s="154" t="s">
        <v>14</v>
      </c>
      <c r="I10" s="154"/>
      <c r="J10" s="154"/>
      <c r="K10" s="154"/>
      <c r="L10" s="154"/>
      <c r="M10" s="154"/>
      <c r="N10" s="88" t="s">
        <v>15</v>
      </c>
      <c r="O10" s="88"/>
      <c r="P10" s="88"/>
      <c r="Q10" s="88"/>
      <c r="R10" s="88"/>
      <c r="S10" s="113" t="s">
        <v>99</v>
      </c>
      <c r="T10" s="113"/>
      <c r="U10" s="113"/>
      <c r="V10" s="113"/>
      <c r="W10" s="113"/>
      <c r="X10" s="113"/>
      <c r="Y10" s="113"/>
      <c r="Z10" s="12"/>
    </row>
    <row r="11" spans="1:26" ht="15.9" customHeight="1" x14ac:dyDescent="0.25">
      <c r="A11" s="9"/>
      <c r="B11" s="88" t="s">
        <v>17</v>
      </c>
      <c r="C11" s="88"/>
      <c r="D11" s="88"/>
      <c r="E11" s="88"/>
      <c r="F11" s="88"/>
      <c r="G11" s="88"/>
      <c r="H11" s="154" t="s">
        <v>98</v>
      </c>
      <c r="I11" s="154"/>
      <c r="J11" s="154"/>
      <c r="K11" s="154"/>
      <c r="L11" s="154"/>
      <c r="M11" s="154"/>
      <c r="N11" s="88" t="s">
        <v>18</v>
      </c>
      <c r="O11" s="88"/>
      <c r="P11" s="88"/>
      <c r="Q11" s="88"/>
      <c r="R11" s="88"/>
      <c r="S11" s="113" t="s">
        <v>19</v>
      </c>
      <c r="T11" s="113"/>
      <c r="U11" s="113"/>
      <c r="V11" s="113"/>
      <c r="W11" s="113"/>
      <c r="X11" s="113"/>
      <c r="Y11" s="113"/>
      <c r="Z11" s="12"/>
    </row>
    <row r="12" spans="1:26" ht="15.9" customHeight="1" x14ac:dyDescent="0.25">
      <c r="A12" s="9"/>
      <c r="B12" s="88" t="s">
        <v>20</v>
      </c>
      <c r="C12" s="88"/>
      <c r="D12" s="88"/>
      <c r="E12" s="88"/>
      <c r="F12" s="88"/>
      <c r="G12" s="88"/>
      <c r="H12" s="154" t="s">
        <v>97</v>
      </c>
      <c r="I12" s="154"/>
      <c r="J12" s="154"/>
      <c r="K12" s="154"/>
      <c r="L12" s="154"/>
      <c r="M12" s="154"/>
      <c r="N12" s="88" t="s">
        <v>22</v>
      </c>
      <c r="O12" s="88"/>
      <c r="P12" s="88"/>
      <c r="Q12" s="88"/>
      <c r="R12" s="88"/>
      <c r="S12" s="113" t="s">
        <v>23</v>
      </c>
      <c r="T12" s="113"/>
      <c r="U12" s="113"/>
      <c r="V12" s="113"/>
      <c r="W12" s="113"/>
      <c r="X12" s="113"/>
      <c r="Y12" s="11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.6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26</v>
      </c>
      <c r="C17" s="87"/>
      <c r="D17" s="87"/>
      <c r="E17" s="87"/>
      <c r="F17" s="87"/>
      <c r="G17" s="87"/>
      <c r="H17" s="8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8"/>
    </row>
    <row r="18" spans="1:26" s="17" customFormat="1" ht="15" customHeight="1" x14ac:dyDescent="0.25">
      <c r="A18" s="24"/>
      <c r="B18" s="87" t="s">
        <v>27</v>
      </c>
      <c r="C18" s="87"/>
      <c r="D18" s="87"/>
      <c r="E18" s="87"/>
      <c r="F18" s="87"/>
      <c r="G18" s="87"/>
      <c r="H18" s="87"/>
      <c r="I18" s="206" t="s">
        <v>28</v>
      </c>
      <c r="J18" s="206"/>
      <c r="K18" s="27">
        <v>80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50" t="s">
        <v>31</v>
      </c>
      <c r="C21" s="33"/>
      <c r="D21" s="34"/>
      <c r="E21" s="34"/>
      <c r="F21" s="34"/>
      <c r="G21" s="34"/>
      <c r="H21" s="33"/>
      <c r="I21" s="33"/>
      <c r="J21" s="215" t="s">
        <v>32</v>
      </c>
      <c r="K21" s="215"/>
      <c r="L21" s="215"/>
      <c r="M21" s="215"/>
      <c r="N21" s="215"/>
      <c r="O21" s="215"/>
      <c r="P21" s="215"/>
      <c r="Q21" s="80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51"/>
      <c r="Z22" s="11"/>
    </row>
    <row r="23" spans="1:26" ht="15.75" customHeight="1" x14ac:dyDescent="0.25">
      <c r="A23" s="9"/>
      <c r="B23" s="213" t="s">
        <v>33</v>
      </c>
      <c r="C23" s="114" t="s">
        <v>34</v>
      </c>
      <c r="D23" s="114"/>
      <c r="E23" s="114"/>
      <c r="F23" s="114"/>
      <c r="G23" s="115"/>
      <c r="H23" s="210" t="s">
        <v>35</v>
      </c>
      <c r="I23" s="211"/>
      <c r="J23" s="212"/>
      <c r="K23" s="114" t="s">
        <v>36</v>
      </c>
      <c r="L23" s="114"/>
      <c r="M23" s="114"/>
      <c r="N23" s="114"/>
      <c r="O23" s="114"/>
      <c r="P23" s="115"/>
      <c r="Z23" s="11"/>
    </row>
    <row r="24" spans="1:26" ht="15.75" customHeight="1" x14ac:dyDescent="0.25">
      <c r="A24" s="9"/>
      <c r="B24" s="214"/>
      <c r="C24" s="116"/>
      <c r="D24" s="116"/>
      <c r="E24" s="116"/>
      <c r="F24" s="116"/>
      <c r="G24" s="117"/>
      <c r="H24" s="207" t="s">
        <v>37</v>
      </c>
      <c r="I24" s="208"/>
      <c r="J24" s="209"/>
      <c r="K24" s="116"/>
      <c r="L24" s="116"/>
      <c r="M24" s="116"/>
      <c r="N24" s="116"/>
      <c r="O24" s="116"/>
      <c r="P24" s="117"/>
      <c r="Z24" s="11"/>
    </row>
    <row r="25" spans="1:26" ht="19.5" customHeight="1" x14ac:dyDescent="0.25">
      <c r="A25" s="9"/>
      <c r="B25" s="79">
        <v>1</v>
      </c>
      <c r="C25" s="98"/>
      <c r="D25" s="99"/>
      <c r="E25" s="99"/>
      <c r="F25" s="99" t="s">
        <v>82</v>
      </c>
      <c r="G25" s="100"/>
      <c r="H25" s="176">
        <v>113</v>
      </c>
      <c r="I25" s="177"/>
      <c r="J25" s="178"/>
      <c r="K25" s="98"/>
      <c r="L25" s="99"/>
      <c r="M25" s="99"/>
      <c r="N25" s="99"/>
      <c r="O25" s="99"/>
      <c r="P25" s="100"/>
      <c r="Z25" s="11"/>
    </row>
    <row r="26" spans="1:26" ht="19.5" customHeight="1" x14ac:dyDescent="0.25">
      <c r="A26" s="9"/>
      <c r="B26" s="79">
        <v>2</v>
      </c>
      <c r="C26" s="98"/>
      <c r="D26" s="99"/>
      <c r="E26" s="99"/>
      <c r="F26" s="99" t="s">
        <v>83</v>
      </c>
      <c r="G26" s="100"/>
      <c r="H26" s="176">
        <v>168</v>
      </c>
      <c r="I26" s="177"/>
      <c r="J26" s="178"/>
      <c r="K26" s="98"/>
      <c r="L26" s="99"/>
      <c r="M26" s="99"/>
      <c r="N26" s="99"/>
      <c r="O26" s="99"/>
      <c r="P26" s="100"/>
      <c r="Z26" s="11"/>
    </row>
    <row r="27" spans="1:26" ht="19.5" customHeight="1" x14ac:dyDescent="0.25">
      <c r="A27" s="9"/>
      <c r="B27" s="79">
        <v>3</v>
      </c>
      <c r="C27" s="98" t="s">
        <v>96</v>
      </c>
      <c r="D27" s="99"/>
      <c r="E27" s="99"/>
      <c r="F27" s="99" t="s">
        <v>82</v>
      </c>
      <c r="G27" s="100"/>
      <c r="H27" s="176">
        <v>91</v>
      </c>
      <c r="I27" s="177"/>
      <c r="J27" s="178"/>
      <c r="K27" s="98"/>
      <c r="L27" s="99"/>
      <c r="M27" s="99"/>
      <c r="N27" s="99"/>
      <c r="O27" s="99"/>
      <c r="P27" s="100"/>
      <c r="Z27" s="11"/>
    </row>
    <row r="28" spans="1:26" ht="19.5" customHeight="1" x14ac:dyDescent="0.25">
      <c r="A28" s="9"/>
      <c r="B28" s="79">
        <v>4</v>
      </c>
      <c r="C28" s="98"/>
      <c r="D28" s="99"/>
      <c r="E28" s="99"/>
      <c r="F28" s="99" t="s">
        <v>83</v>
      </c>
      <c r="G28" s="100"/>
      <c r="H28" s="176">
        <v>141</v>
      </c>
      <c r="I28" s="177"/>
      <c r="J28" s="178"/>
      <c r="K28" s="98"/>
      <c r="L28" s="99"/>
      <c r="M28" s="99"/>
      <c r="N28" s="99"/>
      <c r="O28" s="99"/>
      <c r="P28" s="100"/>
      <c r="Z28" s="11"/>
    </row>
    <row r="29" spans="1:26" ht="19.5" customHeight="1" x14ac:dyDescent="0.25">
      <c r="A29" s="9"/>
      <c r="B29" s="79">
        <v>5</v>
      </c>
      <c r="C29" s="98"/>
      <c r="D29" s="99"/>
      <c r="E29" s="99"/>
      <c r="F29" s="99" t="s">
        <v>82</v>
      </c>
      <c r="G29" s="100"/>
      <c r="H29" s="176">
        <v>105</v>
      </c>
      <c r="I29" s="177"/>
      <c r="J29" s="178"/>
      <c r="K29" s="98"/>
      <c r="L29" s="99"/>
      <c r="M29" s="99"/>
      <c r="N29" s="99"/>
      <c r="O29" s="99"/>
      <c r="P29" s="100"/>
      <c r="Z29" s="11"/>
    </row>
    <row r="30" spans="1:26" ht="19.5" customHeight="1" x14ac:dyDescent="0.25">
      <c r="A30" s="9"/>
      <c r="B30" s="79">
        <v>6</v>
      </c>
      <c r="C30" s="98" t="s">
        <v>95</v>
      </c>
      <c r="D30" s="99"/>
      <c r="E30" s="99"/>
      <c r="F30" s="99" t="s">
        <v>83</v>
      </c>
      <c r="G30" s="100"/>
      <c r="H30" s="176">
        <v>134</v>
      </c>
      <c r="I30" s="177"/>
      <c r="J30" s="178"/>
      <c r="K30" s="98"/>
      <c r="L30" s="99"/>
      <c r="M30" s="99"/>
      <c r="N30" s="99"/>
      <c r="O30" s="99"/>
      <c r="P30" s="100"/>
      <c r="Z30" s="11"/>
    </row>
    <row r="31" spans="1:26" ht="19.5" customHeight="1" x14ac:dyDescent="0.25">
      <c r="A31" s="9"/>
      <c r="B31" s="79">
        <v>7</v>
      </c>
      <c r="C31" s="98"/>
      <c r="D31" s="99"/>
      <c r="E31" s="99"/>
      <c r="F31" s="99" t="s">
        <v>82</v>
      </c>
      <c r="G31" s="100"/>
      <c r="H31" s="176">
        <v>144</v>
      </c>
      <c r="I31" s="177"/>
      <c r="J31" s="178"/>
      <c r="K31" s="98"/>
      <c r="L31" s="99"/>
      <c r="M31" s="99"/>
      <c r="N31" s="99"/>
      <c r="O31" s="99"/>
      <c r="P31" s="100"/>
      <c r="Z31" s="11"/>
    </row>
    <row r="32" spans="1:26" ht="19.5" customHeight="1" x14ac:dyDescent="0.25">
      <c r="A32" s="9"/>
      <c r="B32" s="79">
        <v>8</v>
      </c>
      <c r="C32" s="98" t="s">
        <v>94</v>
      </c>
      <c r="D32" s="99"/>
      <c r="E32" s="99"/>
      <c r="F32" s="99" t="s">
        <v>83</v>
      </c>
      <c r="G32" s="100"/>
      <c r="H32" s="176">
        <v>160</v>
      </c>
      <c r="I32" s="177"/>
      <c r="J32" s="178"/>
      <c r="K32" s="98"/>
      <c r="L32" s="99"/>
      <c r="M32" s="99"/>
      <c r="N32" s="99"/>
      <c r="O32" s="99"/>
      <c r="P32" s="100"/>
      <c r="Z32" s="11"/>
    </row>
    <row r="33" spans="1:26" ht="19.5" customHeight="1" x14ac:dyDescent="0.25">
      <c r="A33" s="9"/>
      <c r="B33" s="79">
        <v>9</v>
      </c>
      <c r="C33" s="98"/>
      <c r="D33" s="99"/>
      <c r="E33" s="99"/>
      <c r="F33" s="99" t="s">
        <v>82</v>
      </c>
      <c r="G33" s="100"/>
      <c r="H33" s="176">
        <v>127</v>
      </c>
      <c r="I33" s="177"/>
      <c r="J33" s="178"/>
      <c r="K33" s="98"/>
      <c r="L33" s="99"/>
      <c r="M33" s="99"/>
      <c r="N33" s="99"/>
      <c r="O33" s="99"/>
      <c r="P33" s="100"/>
      <c r="Z33" s="11"/>
    </row>
    <row r="34" spans="1:26" ht="19.5" customHeight="1" x14ac:dyDescent="0.25">
      <c r="A34" s="9"/>
      <c r="B34" s="79">
        <v>10</v>
      </c>
      <c r="C34" s="98" t="s">
        <v>93</v>
      </c>
      <c r="D34" s="99"/>
      <c r="E34" s="99"/>
      <c r="F34" s="99" t="s">
        <v>83</v>
      </c>
      <c r="G34" s="100"/>
      <c r="H34" s="176">
        <v>95</v>
      </c>
      <c r="I34" s="177"/>
      <c r="J34" s="178"/>
      <c r="K34" s="98"/>
      <c r="L34" s="99"/>
      <c r="M34" s="99"/>
      <c r="N34" s="99"/>
      <c r="O34" s="99"/>
      <c r="P34" s="100"/>
      <c r="Z34" s="11"/>
    </row>
    <row r="35" spans="1:26" ht="19.5" customHeight="1" x14ac:dyDescent="0.25">
      <c r="A35" s="9"/>
      <c r="B35" s="79">
        <v>11</v>
      </c>
      <c r="C35" s="98"/>
      <c r="D35" s="99"/>
      <c r="E35" s="99"/>
      <c r="F35" s="99" t="s">
        <v>82</v>
      </c>
      <c r="G35" s="100"/>
      <c r="H35" s="176">
        <v>122</v>
      </c>
      <c r="I35" s="177"/>
      <c r="J35" s="178"/>
      <c r="K35" s="98"/>
      <c r="L35" s="99"/>
      <c r="M35" s="99"/>
      <c r="N35" s="99"/>
      <c r="O35" s="99"/>
      <c r="P35" s="100"/>
      <c r="Z35" s="11"/>
    </row>
    <row r="36" spans="1:26" ht="19.5" customHeight="1" x14ac:dyDescent="0.25">
      <c r="A36" s="9"/>
      <c r="B36" s="79">
        <v>12</v>
      </c>
      <c r="C36" s="98"/>
      <c r="D36" s="99"/>
      <c r="E36" s="99"/>
      <c r="F36" s="99" t="s">
        <v>83</v>
      </c>
      <c r="G36" s="100"/>
      <c r="H36" s="176">
        <v>144</v>
      </c>
      <c r="I36" s="177"/>
      <c r="J36" s="178"/>
      <c r="K36" s="98"/>
      <c r="L36" s="99"/>
      <c r="M36" s="99"/>
      <c r="N36" s="99"/>
      <c r="O36" s="99"/>
      <c r="P36" s="100"/>
      <c r="Z36" s="11"/>
    </row>
    <row r="37" spans="1:26" ht="19.5" customHeight="1" x14ac:dyDescent="0.25">
      <c r="A37" s="9"/>
      <c r="B37" s="79">
        <v>13</v>
      </c>
      <c r="C37" s="98" t="s">
        <v>92</v>
      </c>
      <c r="D37" s="99"/>
      <c r="E37" s="99"/>
      <c r="F37" s="99" t="s">
        <v>82</v>
      </c>
      <c r="G37" s="100"/>
      <c r="H37" s="176">
        <v>133</v>
      </c>
      <c r="I37" s="177"/>
      <c r="J37" s="178"/>
      <c r="K37" s="98"/>
      <c r="L37" s="99"/>
      <c r="M37" s="99"/>
      <c r="N37" s="99"/>
      <c r="O37" s="99"/>
      <c r="P37" s="100"/>
      <c r="Z37" s="11"/>
    </row>
    <row r="38" spans="1:26" ht="31.2" customHeight="1" x14ac:dyDescent="0.25">
      <c r="A38" s="9"/>
      <c r="B38" s="79">
        <v>14</v>
      </c>
      <c r="C38" s="188" t="s">
        <v>91</v>
      </c>
      <c r="D38" s="189"/>
      <c r="E38" s="189"/>
      <c r="F38" s="216" t="s">
        <v>83</v>
      </c>
      <c r="G38" s="217"/>
      <c r="H38" s="176">
        <v>117</v>
      </c>
      <c r="I38" s="177"/>
      <c r="J38" s="178"/>
      <c r="K38" s="98"/>
      <c r="L38" s="99"/>
      <c r="M38" s="99"/>
      <c r="N38" s="99"/>
      <c r="O38" s="99"/>
      <c r="P38" s="100"/>
      <c r="Z38" s="11"/>
    </row>
    <row r="39" spans="1:26" ht="19.5" customHeight="1" x14ac:dyDescent="0.25">
      <c r="A39" s="9"/>
      <c r="B39" s="79">
        <v>15</v>
      </c>
      <c r="C39" s="98" t="s">
        <v>90</v>
      </c>
      <c r="D39" s="99"/>
      <c r="E39" s="99"/>
      <c r="F39" s="99" t="s">
        <v>82</v>
      </c>
      <c r="G39" s="100"/>
      <c r="H39" s="176">
        <v>101</v>
      </c>
      <c r="I39" s="177"/>
      <c r="J39" s="178"/>
      <c r="K39" s="98"/>
      <c r="L39" s="99"/>
      <c r="M39" s="99"/>
      <c r="N39" s="99"/>
      <c r="O39" s="99"/>
      <c r="P39" s="100"/>
      <c r="Z39" s="11"/>
    </row>
    <row r="40" spans="1:26" ht="19.5" customHeight="1" x14ac:dyDescent="0.25">
      <c r="A40" s="9"/>
      <c r="B40" s="79">
        <v>16</v>
      </c>
      <c r="C40" s="98"/>
      <c r="D40" s="99"/>
      <c r="E40" s="99"/>
      <c r="F40" s="99" t="s">
        <v>83</v>
      </c>
      <c r="G40" s="100"/>
      <c r="H40" s="176">
        <v>158</v>
      </c>
      <c r="I40" s="177"/>
      <c r="J40" s="178"/>
      <c r="K40" s="98"/>
      <c r="L40" s="99"/>
      <c r="M40" s="99"/>
      <c r="N40" s="99"/>
      <c r="O40" s="99"/>
      <c r="P40" s="100"/>
      <c r="Z40" s="11"/>
    </row>
    <row r="41" spans="1:26" ht="19.5" customHeight="1" x14ac:dyDescent="0.25">
      <c r="A41" s="9"/>
      <c r="B41" s="79">
        <v>17</v>
      </c>
      <c r="C41" s="98"/>
      <c r="D41" s="99"/>
      <c r="E41" s="99"/>
      <c r="F41" s="99" t="s">
        <v>82</v>
      </c>
      <c r="G41" s="100"/>
      <c r="H41" s="176">
        <v>164</v>
      </c>
      <c r="I41" s="177"/>
      <c r="J41" s="178"/>
      <c r="K41" s="98"/>
      <c r="L41" s="99"/>
      <c r="M41" s="99"/>
      <c r="N41" s="99"/>
      <c r="O41" s="99"/>
      <c r="P41" s="100"/>
      <c r="Z41" s="11"/>
    </row>
    <row r="42" spans="1:26" ht="19.5" customHeight="1" x14ac:dyDescent="0.25">
      <c r="A42" s="9"/>
      <c r="B42" s="79">
        <v>18</v>
      </c>
      <c r="C42" s="98" t="s">
        <v>89</v>
      </c>
      <c r="D42" s="99"/>
      <c r="E42" s="99"/>
      <c r="F42" s="99" t="s">
        <v>83</v>
      </c>
      <c r="G42" s="100"/>
      <c r="H42" s="176">
        <v>216</v>
      </c>
      <c r="I42" s="177"/>
      <c r="J42" s="178"/>
      <c r="K42" s="98"/>
      <c r="L42" s="99"/>
      <c r="M42" s="99"/>
      <c r="N42" s="99"/>
      <c r="O42" s="99"/>
      <c r="P42" s="100"/>
      <c r="Z42" s="11"/>
    </row>
    <row r="43" spans="1:26" ht="19.5" customHeight="1" x14ac:dyDescent="0.25">
      <c r="A43" s="9"/>
      <c r="B43" s="79">
        <v>19</v>
      </c>
      <c r="C43" s="98"/>
      <c r="D43" s="99"/>
      <c r="E43" s="99"/>
      <c r="F43" s="99" t="s">
        <v>82</v>
      </c>
      <c r="G43" s="100"/>
      <c r="H43" s="176">
        <v>198</v>
      </c>
      <c r="I43" s="177"/>
      <c r="J43" s="178"/>
      <c r="K43" s="98"/>
      <c r="L43" s="99"/>
      <c r="M43" s="99"/>
      <c r="N43" s="99"/>
      <c r="O43" s="99"/>
      <c r="P43" s="100"/>
      <c r="Z43" s="11"/>
    </row>
    <row r="44" spans="1:26" ht="19.5" customHeight="1" x14ac:dyDescent="0.25">
      <c r="A44" s="9"/>
      <c r="B44" s="79">
        <v>20</v>
      </c>
      <c r="C44" s="98" t="s">
        <v>88</v>
      </c>
      <c r="D44" s="99"/>
      <c r="E44" s="99"/>
      <c r="F44" s="99" t="s">
        <v>83</v>
      </c>
      <c r="G44" s="100"/>
      <c r="H44" s="176">
        <v>172</v>
      </c>
      <c r="I44" s="177"/>
      <c r="J44" s="178"/>
      <c r="K44" s="98"/>
      <c r="L44" s="99"/>
      <c r="M44" s="99"/>
      <c r="N44" s="99"/>
      <c r="O44" s="99"/>
      <c r="P44" s="100"/>
      <c r="Z44" s="11"/>
    </row>
    <row r="45" spans="1:26" ht="19.5" customHeight="1" x14ac:dyDescent="0.25">
      <c r="A45" s="9"/>
      <c r="B45" s="79">
        <v>21</v>
      </c>
      <c r="C45" s="98"/>
      <c r="D45" s="99"/>
      <c r="E45" s="99"/>
      <c r="F45" s="99" t="s">
        <v>82</v>
      </c>
      <c r="G45" s="100"/>
      <c r="H45" s="176">
        <v>189</v>
      </c>
      <c r="I45" s="177"/>
      <c r="J45" s="178"/>
      <c r="K45" s="98"/>
      <c r="L45" s="99"/>
      <c r="M45" s="99"/>
      <c r="N45" s="99"/>
      <c r="O45" s="99"/>
      <c r="P45" s="100"/>
      <c r="Z45" s="11"/>
    </row>
    <row r="46" spans="1:26" ht="19.5" customHeight="1" x14ac:dyDescent="0.25">
      <c r="A46" s="9"/>
      <c r="B46" s="79">
        <v>22</v>
      </c>
      <c r="C46" s="98" t="s">
        <v>87</v>
      </c>
      <c r="D46" s="99"/>
      <c r="E46" s="99"/>
      <c r="F46" s="99" t="s">
        <v>83</v>
      </c>
      <c r="G46" s="100"/>
      <c r="H46" s="176">
        <v>188</v>
      </c>
      <c r="I46" s="177"/>
      <c r="J46" s="178"/>
      <c r="K46" s="98"/>
      <c r="L46" s="99"/>
      <c r="M46" s="99"/>
      <c r="N46" s="99"/>
      <c r="O46" s="99"/>
      <c r="P46" s="100"/>
      <c r="Z46" s="11"/>
    </row>
    <row r="47" spans="1:26" ht="19.5" customHeight="1" x14ac:dyDescent="0.25">
      <c r="A47" s="9"/>
      <c r="B47" s="79">
        <v>23</v>
      </c>
      <c r="C47" s="98"/>
      <c r="D47" s="99"/>
      <c r="E47" s="99"/>
      <c r="F47" s="99" t="s">
        <v>82</v>
      </c>
      <c r="G47" s="100"/>
      <c r="H47" s="176">
        <v>185</v>
      </c>
      <c r="I47" s="177"/>
      <c r="J47" s="178"/>
      <c r="K47" s="98"/>
      <c r="L47" s="99"/>
      <c r="M47" s="99"/>
      <c r="N47" s="99"/>
      <c r="O47" s="99"/>
      <c r="P47" s="100"/>
      <c r="Z47" s="11"/>
    </row>
    <row r="48" spans="1:26" ht="19.5" customHeight="1" x14ac:dyDescent="0.25">
      <c r="A48" s="9"/>
      <c r="B48" s="79">
        <v>24</v>
      </c>
      <c r="C48" s="98" t="s">
        <v>86</v>
      </c>
      <c r="D48" s="99"/>
      <c r="E48" s="99"/>
      <c r="F48" s="99" t="s">
        <v>83</v>
      </c>
      <c r="G48" s="100"/>
      <c r="H48" s="176">
        <v>145</v>
      </c>
      <c r="I48" s="177"/>
      <c r="J48" s="178"/>
      <c r="K48" s="98"/>
      <c r="L48" s="99"/>
      <c r="M48" s="99"/>
      <c r="N48" s="99"/>
      <c r="O48" s="99"/>
      <c r="P48" s="100"/>
      <c r="Z48" s="11"/>
    </row>
    <row r="49" spans="1:26" ht="19.5" customHeight="1" x14ac:dyDescent="0.25">
      <c r="A49" s="9"/>
      <c r="B49" s="79">
        <v>25</v>
      </c>
      <c r="C49" s="98" t="s">
        <v>86</v>
      </c>
      <c r="D49" s="99"/>
      <c r="E49" s="99"/>
      <c r="F49" s="99" t="s">
        <v>82</v>
      </c>
      <c r="G49" s="100"/>
      <c r="H49" s="176">
        <v>137</v>
      </c>
      <c r="I49" s="177"/>
      <c r="J49" s="178"/>
      <c r="K49" s="98"/>
      <c r="L49" s="99"/>
      <c r="M49" s="99"/>
      <c r="N49" s="99"/>
      <c r="O49" s="99"/>
      <c r="P49" s="100"/>
      <c r="Z49" s="11"/>
    </row>
    <row r="50" spans="1:26" ht="19.5" customHeight="1" x14ac:dyDescent="0.25">
      <c r="A50" s="9"/>
      <c r="B50" s="79">
        <v>26</v>
      </c>
      <c r="C50" s="98"/>
      <c r="D50" s="99"/>
      <c r="E50" s="99"/>
      <c r="F50" s="99" t="s">
        <v>83</v>
      </c>
      <c r="G50" s="100"/>
      <c r="H50" s="176">
        <v>137</v>
      </c>
      <c r="I50" s="177"/>
      <c r="J50" s="178"/>
      <c r="K50" s="98"/>
      <c r="L50" s="99"/>
      <c r="M50" s="99"/>
      <c r="N50" s="99"/>
      <c r="O50" s="99"/>
      <c r="P50" s="100"/>
      <c r="Z50" s="11"/>
    </row>
    <row r="51" spans="1:26" ht="19.5" customHeight="1" x14ac:dyDescent="0.25">
      <c r="A51" s="9"/>
      <c r="B51" s="79">
        <v>27</v>
      </c>
      <c r="C51" s="98"/>
      <c r="D51" s="99"/>
      <c r="E51" s="99"/>
      <c r="F51" s="99" t="s">
        <v>82</v>
      </c>
      <c r="G51" s="100"/>
      <c r="H51" s="176">
        <v>187</v>
      </c>
      <c r="I51" s="177"/>
      <c r="J51" s="178"/>
      <c r="K51" s="98"/>
      <c r="L51" s="99"/>
      <c r="M51" s="99"/>
      <c r="N51" s="99"/>
      <c r="O51" s="99"/>
      <c r="P51" s="100"/>
      <c r="Z51" s="11"/>
    </row>
    <row r="52" spans="1:26" ht="36.6" customHeight="1" x14ac:dyDescent="0.25">
      <c r="A52" s="9"/>
      <c r="B52" s="79">
        <v>28</v>
      </c>
      <c r="C52" s="188" t="s">
        <v>85</v>
      </c>
      <c r="D52" s="189"/>
      <c r="E52" s="189"/>
      <c r="F52" s="216" t="s">
        <v>83</v>
      </c>
      <c r="G52" s="217"/>
      <c r="H52" s="176">
        <v>105</v>
      </c>
      <c r="I52" s="177"/>
      <c r="J52" s="178"/>
      <c r="K52" s="98"/>
      <c r="L52" s="99"/>
      <c r="M52" s="99"/>
      <c r="N52" s="99"/>
      <c r="O52" s="99"/>
      <c r="P52" s="100"/>
      <c r="Z52" s="11"/>
    </row>
    <row r="53" spans="1:26" ht="19.5" customHeight="1" x14ac:dyDescent="0.25">
      <c r="A53" s="9"/>
      <c r="B53" s="79">
        <v>29</v>
      </c>
      <c r="C53" s="98" t="s">
        <v>84</v>
      </c>
      <c r="D53" s="99"/>
      <c r="E53" s="99"/>
      <c r="F53" s="99" t="s">
        <v>82</v>
      </c>
      <c r="G53" s="100"/>
      <c r="H53" s="176">
        <v>130</v>
      </c>
      <c r="I53" s="177"/>
      <c r="J53" s="178"/>
      <c r="K53" s="98"/>
      <c r="L53" s="99"/>
      <c r="M53" s="99"/>
      <c r="N53" s="99"/>
      <c r="O53" s="99"/>
      <c r="P53" s="100"/>
      <c r="Z53" s="11"/>
    </row>
    <row r="54" spans="1:26" ht="19.5" customHeight="1" x14ac:dyDescent="0.25">
      <c r="A54" s="9"/>
      <c r="B54" s="79">
        <v>30</v>
      </c>
      <c r="C54" s="98"/>
      <c r="D54" s="99"/>
      <c r="E54" s="99"/>
      <c r="F54" s="99" t="s">
        <v>83</v>
      </c>
      <c r="G54" s="100"/>
      <c r="H54" s="176">
        <v>85</v>
      </c>
      <c r="I54" s="177"/>
      <c r="J54" s="178"/>
      <c r="K54" s="98"/>
      <c r="L54" s="99"/>
      <c r="M54" s="99"/>
      <c r="N54" s="99"/>
      <c r="O54" s="99"/>
      <c r="P54" s="100"/>
      <c r="Z54" s="11"/>
    </row>
    <row r="55" spans="1:26" ht="19.5" customHeight="1" x14ac:dyDescent="0.25">
      <c r="A55" s="9"/>
      <c r="B55" s="79">
        <v>31</v>
      </c>
      <c r="C55" s="98"/>
      <c r="D55" s="99"/>
      <c r="E55" s="99"/>
      <c r="F55" s="99" t="s">
        <v>82</v>
      </c>
      <c r="G55" s="100"/>
      <c r="H55" s="176">
        <v>116</v>
      </c>
      <c r="I55" s="177"/>
      <c r="J55" s="178"/>
      <c r="K55" s="98"/>
      <c r="L55" s="99"/>
      <c r="M55" s="99"/>
      <c r="N55" s="99"/>
      <c r="O55" s="99"/>
      <c r="P55" s="100"/>
      <c r="Z55" s="11"/>
    </row>
    <row r="56" spans="1:26" ht="19.5" customHeight="1" thickBot="1" x14ac:dyDescent="0.3">
      <c r="A56" s="9"/>
      <c r="B56" s="78"/>
      <c r="C56" s="123"/>
      <c r="D56" s="123"/>
      <c r="E56" s="123"/>
      <c r="F56" s="123"/>
      <c r="G56" s="124"/>
      <c r="H56" s="119"/>
      <c r="I56" s="120"/>
      <c r="J56" s="121"/>
      <c r="K56" s="122"/>
      <c r="L56" s="123"/>
      <c r="M56" s="123"/>
      <c r="N56" s="123"/>
      <c r="O56" s="123"/>
      <c r="P56" s="124"/>
      <c r="Z56" s="11"/>
    </row>
    <row r="57" spans="1:26" ht="15.75" customHeight="1" x14ac:dyDescent="0.25">
      <c r="A57" s="9"/>
      <c r="B57" s="185" t="s">
        <v>52</v>
      </c>
      <c r="C57" s="186"/>
      <c r="D57" s="186"/>
      <c r="E57" s="186"/>
      <c r="F57" s="186"/>
      <c r="G57" s="187"/>
      <c r="H57" s="81">
        <f>AVERAGE(H25:J56)</f>
        <v>142.16129032258064</v>
      </c>
      <c r="I57" s="82"/>
      <c r="J57" s="83"/>
      <c r="K57" s="107" t="s">
        <v>69</v>
      </c>
      <c r="L57" s="108"/>
      <c r="M57" s="101" t="s">
        <v>53</v>
      </c>
      <c r="N57" s="101"/>
      <c r="O57" s="101"/>
      <c r="P57" s="102"/>
      <c r="Z57" s="11"/>
    </row>
    <row r="58" spans="1:26" ht="15.75" customHeight="1" x14ac:dyDescent="0.25">
      <c r="A58" s="9"/>
      <c r="B58" s="179" t="s">
        <v>54</v>
      </c>
      <c r="C58" s="180"/>
      <c r="D58" s="180"/>
      <c r="E58" s="180"/>
      <c r="F58" s="180"/>
      <c r="G58" s="181"/>
      <c r="H58" s="84">
        <f>IF(COUNTIF(H25:J56,"*&lt;20*"),"&lt;20",MIN(H25:J56))</f>
        <v>85</v>
      </c>
      <c r="I58" s="85"/>
      <c r="J58" s="86"/>
      <c r="K58" s="109"/>
      <c r="L58" s="110"/>
      <c r="M58" s="103"/>
      <c r="N58" s="103"/>
      <c r="O58" s="103"/>
      <c r="P58" s="104"/>
      <c r="Z58" s="11"/>
    </row>
    <row r="59" spans="1:26" ht="15.75" customHeight="1" thickBot="1" x14ac:dyDescent="0.3">
      <c r="A59" s="9"/>
      <c r="B59" s="182" t="s">
        <v>55</v>
      </c>
      <c r="C59" s="183"/>
      <c r="D59" s="183"/>
      <c r="E59" s="183"/>
      <c r="F59" s="183"/>
      <c r="G59" s="184"/>
      <c r="H59" s="203">
        <f>IF(COUNTIF(H25:J56,"*&gt;250*"),"&gt;250",MAX(H25:J56))</f>
        <v>216</v>
      </c>
      <c r="I59" s="204"/>
      <c r="J59" s="205"/>
      <c r="K59" s="111"/>
      <c r="L59" s="112"/>
      <c r="M59" s="105"/>
      <c r="N59" s="105"/>
      <c r="O59" s="105"/>
      <c r="P59" s="106"/>
      <c r="Z59" s="11"/>
    </row>
    <row r="60" spans="1:26" ht="15.9" customHeight="1" x14ac:dyDescent="0.25">
      <c r="A60" s="35"/>
      <c r="B60" s="52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16"/>
    </row>
    <row r="61" spans="1:26" ht="12.75" customHeight="1" x14ac:dyDescent="0.25">
      <c r="A61" s="36"/>
      <c r="B61" s="37"/>
    </row>
    <row r="62" spans="1:26" s="17" customFormat="1" ht="15.6" customHeight="1" x14ac:dyDescent="0.25">
      <c r="A62" s="77" t="s">
        <v>81</v>
      </c>
      <c r="B62" s="5" t="s">
        <v>80</v>
      </c>
      <c r="C62" s="40"/>
      <c r="D62" s="40"/>
      <c r="E62" s="40"/>
      <c r="F62" s="41"/>
      <c r="G62" s="41"/>
      <c r="H62" s="41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76"/>
      <c r="V62" s="63"/>
      <c r="W62" s="63"/>
      <c r="X62" s="64"/>
      <c r="Y62" s="64"/>
      <c r="Z62" s="65"/>
    </row>
    <row r="63" spans="1:26" s="17" customFormat="1" ht="28.5" customHeight="1" x14ac:dyDescent="0.25">
      <c r="A63" s="167" t="s">
        <v>79</v>
      </c>
      <c r="B63" s="168"/>
      <c r="C63" s="168"/>
      <c r="D63" s="168"/>
      <c r="E63" s="168"/>
      <c r="F63" s="168"/>
      <c r="G63" s="168"/>
      <c r="H63" s="168"/>
      <c r="I63" s="168"/>
      <c r="J63" s="168"/>
      <c r="K63" s="168"/>
      <c r="L63" s="168"/>
      <c r="M63" s="168"/>
      <c r="N63" s="168"/>
      <c r="O63" s="168"/>
      <c r="P63" s="168"/>
      <c r="Q63" s="169"/>
      <c r="R63" s="161" t="s">
        <v>60</v>
      </c>
      <c r="S63" s="162"/>
      <c r="T63" s="163"/>
      <c r="U63" s="188" t="s">
        <v>61</v>
      </c>
      <c r="V63" s="189"/>
      <c r="W63" s="189"/>
      <c r="X63" s="190"/>
      <c r="Y63" s="190"/>
      <c r="Z63" s="191"/>
    </row>
    <row r="64" spans="1:26" s="17" customFormat="1" ht="15.6" customHeight="1" x14ac:dyDescent="0.25">
      <c r="A64" s="170" t="s">
        <v>59</v>
      </c>
      <c r="B64" s="171"/>
      <c r="C64" s="171"/>
      <c r="D64" s="171"/>
      <c r="E64" s="171"/>
      <c r="F64" s="171"/>
      <c r="G64" s="171"/>
      <c r="H64" s="171"/>
      <c r="I64" s="171"/>
      <c r="J64" s="171"/>
      <c r="K64" s="171"/>
      <c r="L64" s="171"/>
      <c r="M64" s="171"/>
      <c r="N64" s="171"/>
      <c r="O64" s="171"/>
      <c r="P64" s="171"/>
      <c r="Q64" s="172"/>
      <c r="R64" s="161" t="s">
        <v>62</v>
      </c>
      <c r="S64" s="162"/>
      <c r="T64" s="163"/>
      <c r="U64" s="192" t="s">
        <v>63</v>
      </c>
      <c r="V64" s="193"/>
      <c r="W64" s="193"/>
      <c r="X64" s="194"/>
      <c r="Y64" s="194"/>
      <c r="Z64" s="195"/>
    </row>
    <row r="65" spans="1:26" s="17" customFormat="1" ht="15.6" customHeight="1" x14ac:dyDescent="0.25">
      <c r="A65" s="173"/>
      <c r="B65" s="174"/>
      <c r="C65" s="174"/>
      <c r="D65" s="174"/>
      <c r="E65" s="174"/>
      <c r="F65" s="174"/>
      <c r="G65" s="174"/>
      <c r="H65" s="174"/>
      <c r="I65" s="174"/>
      <c r="J65" s="174"/>
      <c r="K65" s="174"/>
      <c r="L65" s="174"/>
      <c r="M65" s="174"/>
      <c r="N65" s="174"/>
      <c r="O65" s="174"/>
      <c r="P65" s="174"/>
      <c r="Q65" s="175"/>
      <c r="R65" s="161"/>
      <c r="S65" s="162"/>
      <c r="T65" s="163"/>
      <c r="U65" s="196"/>
      <c r="V65" s="103"/>
      <c r="W65" s="103"/>
      <c r="X65" s="197"/>
      <c r="Y65" s="197"/>
      <c r="Z65" s="198"/>
    </row>
    <row r="66" spans="1:26" s="17" customFormat="1" ht="15.6" customHeight="1" x14ac:dyDescent="0.25">
      <c r="A66" s="45" t="s">
        <v>56</v>
      </c>
      <c r="B66" s="46" t="s">
        <v>65</v>
      </c>
      <c r="C66" s="1"/>
      <c r="D66" s="1"/>
      <c r="E66" s="47"/>
      <c r="F66" s="47"/>
      <c r="G66" s="47"/>
      <c r="H66" s="47"/>
      <c r="I66" s="47"/>
      <c r="J66" s="47"/>
      <c r="K66" s="47"/>
      <c r="L66" s="47"/>
      <c r="M66" s="47"/>
      <c r="N66" s="47"/>
      <c r="O66" s="47"/>
      <c r="P66" s="47"/>
      <c r="Q66" s="48"/>
      <c r="R66" s="161"/>
      <c r="S66" s="162"/>
      <c r="T66" s="163"/>
      <c r="U66" s="199"/>
      <c r="V66" s="200"/>
      <c r="W66" s="200"/>
      <c r="X66" s="201"/>
      <c r="Y66" s="201"/>
      <c r="Z66" s="202"/>
    </row>
    <row r="67" spans="1:26" s="17" customFormat="1" ht="15.6" customHeight="1" x14ac:dyDescent="0.25">
      <c r="A67" s="155"/>
      <c r="B67" s="156"/>
      <c r="C67" s="156"/>
      <c r="D67" s="156"/>
      <c r="E67" s="156"/>
      <c r="F67" s="156"/>
      <c r="G67" s="156"/>
      <c r="H67" s="156"/>
      <c r="I67" s="156"/>
      <c r="J67" s="156"/>
      <c r="K67" s="156"/>
      <c r="L67" s="156"/>
      <c r="M67" s="156"/>
      <c r="N67" s="156"/>
      <c r="O67" s="156"/>
      <c r="P67" s="156"/>
      <c r="Q67" s="157"/>
      <c r="R67" s="161" t="s">
        <v>66</v>
      </c>
      <c r="S67" s="162"/>
      <c r="T67" s="163"/>
      <c r="U67" s="75"/>
      <c r="V67" s="74"/>
      <c r="W67" s="74"/>
      <c r="X67" s="74"/>
      <c r="Y67" s="74"/>
      <c r="Z67" s="73"/>
    </row>
    <row r="68" spans="1:26" s="17" customFormat="1" ht="15.6" customHeight="1" x14ac:dyDescent="0.25">
      <c r="A68" s="155"/>
      <c r="B68" s="156"/>
      <c r="C68" s="156"/>
      <c r="D68" s="156"/>
      <c r="E68" s="156"/>
      <c r="F68" s="156"/>
      <c r="G68" s="156"/>
      <c r="H68" s="156"/>
      <c r="I68" s="156"/>
      <c r="J68" s="156"/>
      <c r="K68" s="156"/>
      <c r="L68" s="156"/>
      <c r="M68" s="156"/>
      <c r="N68" s="156"/>
      <c r="O68" s="156"/>
      <c r="P68" s="156"/>
      <c r="Q68" s="157"/>
      <c r="R68" s="161"/>
      <c r="S68" s="162"/>
      <c r="T68" s="163"/>
      <c r="U68" s="72"/>
      <c r="V68" s="103"/>
      <c r="W68" s="103"/>
      <c r="X68" s="103"/>
      <c r="Y68" s="103"/>
      <c r="Z68" s="71"/>
    </row>
    <row r="69" spans="1:26" s="17" customFormat="1" ht="15.6" customHeight="1" x14ac:dyDescent="0.25">
      <c r="A69" s="155"/>
      <c r="B69" s="156"/>
      <c r="C69" s="156"/>
      <c r="D69" s="156"/>
      <c r="E69" s="156"/>
      <c r="F69" s="156"/>
      <c r="G69" s="156"/>
      <c r="H69" s="156"/>
      <c r="I69" s="156"/>
      <c r="J69" s="156"/>
      <c r="K69" s="156"/>
      <c r="L69" s="156"/>
      <c r="M69" s="156"/>
      <c r="N69" s="156"/>
      <c r="O69" s="156"/>
      <c r="P69" s="156"/>
      <c r="Q69" s="157"/>
      <c r="R69" s="161"/>
      <c r="S69" s="162"/>
      <c r="T69" s="163"/>
      <c r="U69" s="72"/>
      <c r="V69" s="103"/>
      <c r="W69" s="103"/>
      <c r="X69" s="103"/>
      <c r="Y69" s="103"/>
      <c r="Z69" s="71"/>
    </row>
    <row r="70" spans="1:26" s="17" customFormat="1" ht="15.6" customHeight="1" x14ac:dyDescent="0.25">
      <c r="A70" s="158"/>
      <c r="B70" s="159"/>
      <c r="C70" s="159"/>
      <c r="D70" s="159"/>
      <c r="E70" s="159"/>
      <c r="F70" s="159"/>
      <c r="G70" s="159"/>
      <c r="H70" s="159"/>
      <c r="I70" s="159"/>
      <c r="J70" s="159"/>
      <c r="K70" s="159"/>
      <c r="L70" s="159"/>
      <c r="M70" s="159"/>
      <c r="N70" s="159"/>
      <c r="O70" s="159"/>
      <c r="P70" s="159"/>
      <c r="Q70" s="160"/>
      <c r="R70" s="164"/>
      <c r="S70" s="165"/>
      <c r="T70" s="166"/>
      <c r="U70" s="70"/>
      <c r="V70" s="69"/>
      <c r="W70" s="69"/>
      <c r="X70" s="69"/>
      <c r="Y70" s="69"/>
      <c r="Z70" s="68"/>
    </row>
    <row r="71" spans="1:26" s="17" customFormat="1" ht="15" customHeight="1" x14ac:dyDescent="0.25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  <c r="L71" s="67"/>
      <c r="M71" s="67"/>
      <c r="N71" s="67"/>
      <c r="O71" s="67"/>
      <c r="P71" s="67"/>
      <c r="Q71" s="67"/>
      <c r="R71" s="66"/>
      <c r="S71" s="66"/>
      <c r="T71" s="66"/>
      <c r="U71" s="54"/>
      <c r="V71" s="54"/>
      <c r="W71" s="54"/>
      <c r="X71" s="54"/>
      <c r="Y71" s="54"/>
      <c r="Z71" s="54"/>
    </row>
    <row r="73" spans="1:26" ht="12.75" customHeight="1" x14ac:dyDescent="0.25">
      <c r="A73" s="1"/>
    </row>
    <row r="74" spans="1:26" ht="12.75" customHeight="1" x14ac:dyDescent="0.25">
      <c r="A74" s="1"/>
    </row>
    <row r="75" spans="1:26" ht="12.75" customHeight="1" x14ac:dyDescent="0.25">
      <c r="A75" s="1"/>
    </row>
    <row r="76" spans="1:26" ht="12.75" customHeight="1" x14ac:dyDescent="0.25">
      <c r="A76" s="1"/>
    </row>
    <row r="77" spans="1:26" ht="12.75" customHeight="1" x14ac:dyDescent="0.25">
      <c r="A77" s="1"/>
    </row>
    <row r="78" spans="1:26" ht="12.75" customHeight="1" x14ac:dyDescent="0.25">
      <c r="A78" s="1"/>
    </row>
  </sheetData>
  <sheetProtection formatCells="0" formatColumns="0" formatRows="0" insertColumns="0" insertRows="0" insertHyperlinks="0" deleteColumns="0" deleteRows="0" selectLockedCells="1" sort="0" autoFilter="0" pivotTables="0"/>
  <mergeCells count="179">
    <mergeCell ref="F29:G29"/>
    <mergeCell ref="C30:E30"/>
    <mergeCell ref="F30:G30"/>
    <mergeCell ref="C31:E31"/>
    <mergeCell ref="F31:G31"/>
    <mergeCell ref="C32:E32"/>
    <mergeCell ref="C25:E25"/>
    <mergeCell ref="F25:G25"/>
    <mergeCell ref="C26:E26"/>
    <mergeCell ref="F26:G26"/>
    <mergeCell ref="C27:E27"/>
    <mergeCell ref="F27:G27"/>
    <mergeCell ref="C28:E28"/>
    <mergeCell ref="F28:G28"/>
    <mergeCell ref="C29:E29"/>
    <mergeCell ref="H53:J53"/>
    <mergeCell ref="K53:P53"/>
    <mergeCell ref="C52:E52"/>
    <mergeCell ref="F52:G52"/>
    <mergeCell ref="C53:E53"/>
    <mergeCell ref="F53:G53"/>
    <mergeCell ref="H54:J54"/>
    <mergeCell ref="K54:P54"/>
    <mergeCell ref="H55:J55"/>
    <mergeCell ref="K55:P55"/>
    <mergeCell ref="C54:E54"/>
    <mergeCell ref="F54:G54"/>
    <mergeCell ref="C55:E55"/>
    <mergeCell ref="F55:G55"/>
    <mergeCell ref="H50:J50"/>
    <mergeCell ref="K50:P50"/>
    <mergeCell ref="H51:J51"/>
    <mergeCell ref="K51:P51"/>
    <mergeCell ref="C50:E50"/>
    <mergeCell ref="F50:G50"/>
    <mergeCell ref="C51:E51"/>
    <mergeCell ref="F51:G51"/>
    <mergeCell ref="H52:J52"/>
    <mergeCell ref="K52:P52"/>
    <mergeCell ref="H47:J47"/>
    <mergeCell ref="K47:P47"/>
    <mergeCell ref="C46:E46"/>
    <mergeCell ref="F46:G46"/>
    <mergeCell ref="C47:E47"/>
    <mergeCell ref="F47:G47"/>
    <mergeCell ref="H48:J48"/>
    <mergeCell ref="K48:P48"/>
    <mergeCell ref="H49:J49"/>
    <mergeCell ref="K49:P49"/>
    <mergeCell ref="C48:E48"/>
    <mergeCell ref="F48:G48"/>
    <mergeCell ref="C49:E49"/>
    <mergeCell ref="F49:G49"/>
    <mergeCell ref="H44:J44"/>
    <mergeCell ref="K44:P44"/>
    <mergeCell ref="H45:J45"/>
    <mergeCell ref="K45:P45"/>
    <mergeCell ref="C44:E44"/>
    <mergeCell ref="F44:G44"/>
    <mergeCell ref="C45:E45"/>
    <mergeCell ref="F45:G45"/>
    <mergeCell ref="H46:J46"/>
    <mergeCell ref="K46:P46"/>
    <mergeCell ref="H41:J41"/>
    <mergeCell ref="K41:P41"/>
    <mergeCell ref="C40:E40"/>
    <mergeCell ref="F40:G40"/>
    <mergeCell ref="C41:E41"/>
    <mergeCell ref="F41:G41"/>
    <mergeCell ref="H42:J42"/>
    <mergeCell ref="K42:P42"/>
    <mergeCell ref="H43:J43"/>
    <mergeCell ref="K43:P43"/>
    <mergeCell ref="C42:E42"/>
    <mergeCell ref="F42:G42"/>
    <mergeCell ref="C43:E43"/>
    <mergeCell ref="F43:G43"/>
    <mergeCell ref="H38:J38"/>
    <mergeCell ref="K38:P38"/>
    <mergeCell ref="H39:J39"/>
    <mergeCell ref="K39:P39"/>
    <mergeCell ref="C38:E38"/>
    <mergeCell ref="F38:G38"/>
    <mergeCell ref="C39:E39"/>
    <mergeCell ref="F39:G39"/>
    <mergeCell ref="H40:J40"/>
    <mergeCell ref="K40:P40"/>
    <mergeCell ref="F34:G34"/>
    <mergeCell ref="C35:E35"/>
    <mergeCell ref="F35:G35"/>
    <mergeCell ref="H36:J36"/>
    <mergeCell ref="K36:P36"/>
    <mergeCell ref="H37:J37"/>
    <mergeCell ref="K37:P37"/>
    <mergeCell ref="C36:E36"/>
    <mergeCell ref="F36:G36"/>
    <mergeCell ref="C37:E37"/>
    <mergeCell ref="F37:G37"/>
    <mergeCell ref="U63:Z63"/>
    <mergeCell ref="U64:Z66"/>
    <mergeCell ref="N12:R12"/>
    <mergeCell ref="H12:M12"/>
    <mergeCell ref="H27:J27"/>
    <mergeCell ref="K27:P27"/>
    <mergeCell ref="H59:J59"/>
    <mergeCell ref="V68:Y69"/>
    <mergeCell ref="I18:J18"/>
    <mergeCell ref="H25:J25"/>
    <mergeCell ref="H24:J24"/>
    <mergeCell ref="H23:J23"/>
    <mergeCell ref="B18:H18"/>
    <mergeCell ref="B23:B24"/>
    <mergeCell ref="C23:G24"/>
    <mergeCell ref="J21:P21"/>
    <mergeCell ref="C56:G56"/>
    <mergeCell ref="H30:J30"/>
    <mergeCell ref="K30:P30"/>
    <mergeCell ref="H31:J31"/>
    <mergeCell ref="K31:P31"/>
    <mergeCell ref="H28:J28"/>
    <mergeCell ref="K28:P28"/>
    <mergeCell ref="H29:J29"/>
    <mergeCell ref="A67:Q70"/>
    <mergeCell ref="R67:T70"/>
    <mergeCell ref="A63:Q63"/>
    <mergeCell ref="R63:T63"/>
    <mergeCell ref="A64:Q65"/>
    <mergeCell ref="R64:T66"/>
    <mergeCell ref="H26:J26"/>
    <mergeCell ref="K26:P26"/>
    <mergeCell ref="B58:G58"/>
    <mergeCell ref="B59:G59"/>
    <mergeCell ref="B57:G57"/>
    <mergeCell ref="K29:P29"/>
    <mergeCell ref="H32:J32"/>
    <mergeCell ref="K32:P32"/>
    <mergeCell ref="H33:J33"/>
    <mergeCell ref="K33:P33"/>
    <mergeCell ref="F32:G32"/>
    <mergeCell ref="C33:E33"/>
    <mergeCell ref="F33:G33"/>
    <mergeCell ref="H34:J34"/>
    <mergeCell ref="K34:P34"/>
    <mergeCell ref="H35:J35"/>
    <mergeCell ref="K35:P35"/>
    <mergeCell ref="C34:E34"/>
    <mergeCell ref="S10:Y10"/>
    <mergeCell ref="N10:R10"/>
    <mergeCell ref="G2:T4"/>
    <mergeCell ref="G5:H5"/>
    <mergeCell ref="A7:F7"/>
    <mergeCell ref="G7:Z7"/>
    <mergeCell ref="H10:M10"/>
    <mergeCell ref="H11:M11"/>
    <mergeCell ref="N11:R11"/>
    <mergeCell ref="H57:J57"/>
    <mergeCell ref="H58:J58"/>
    <mergeCell ref="B17:H17"/>
    <mergeCell ref="B12:G12"/>
    <mergeCell ref="B11:G11"/>
    <mergeCell ref="U1:Z6"/>
    <mergeCell ref="K25:P25"/>
    <mergeCell ref="M57:P59"/>
    <mergeCell ref="K57:L59"/>
    <mergeCell ref="S12:Y12"/>
    <mergeCell ref="K23:P24"/>
    <mergeCell ref="I17:Y17"/>
    <mergeCell ref="S11:Y11"/>
    <mergeCell ref="H56:J56"/>
    <mergeCell ref="K56:P56"/>
    <mergeCell ref="I5:K5"/>
    <mergeCell ref="I6:K6"/>
    <mergeCell ref="L5:O5"/>
    <mergeCell ref="P5:T5"/>
    <mergeCell ref="L6:O6"/>
    <mergeCell ref="P6:T6"/>
    <mergeCell ref="A1:F6"/>
    <mergeCell ref="G1:T1"/>
    <mergeCell ref="B10:G10"/>
  </mergeCells>
  <printOptions horizontalCentered="1"/>
  <pageMargins left="0.39370078740157" right="0.39370078740157" top="0.39370078740157" bottom="0.39370078740157" header="0" footer="0.19685039370078999"/>
  <pageSetup paperSize="9" scale="67" orientation="portrait" r:id="rId1"/>
  <headerFooter alignWithMargins="0">
    <oddFooter>&amp;RDG-Q / CRE PLW12 du 06/04/2011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95F57-6B39-4879-AC72-3A712DF5102F}">
  <sheetPr>
    <pageSetUpPr fitToPage="1"/>
  </sheetPr>
  <dimension ref="A1:AA67"/>
  <sheetViews>
    <sheetView workbookViewId="0">
      <selection activeCell="K26" sqref="K26:P26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0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89" t="s">
        <v>1</v>
      </c>
      <c r="V1" s="90"/>
      <c r="W1" s="90"/>
      <c r="X1" s="90"/>
      <c r="Y1" s="90"/>
      <c r="Z1" s="9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92"/>
      <c r="V2" s="93"/>
      <c r="W2" s="93"/>
      <c r="X2" s="93"/>
      <c r="Y2" s="93"/>
      <c r="Z2" s="9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92"/>
      <c r="V3" s="93"/>
      <c r="W3" s="93"/>
      <c r="X3" s="93"/>
      <c r="Y3" s="93"/>
      <c r="Z3" s="9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92"/>
      <c r="V4" s="93"/>
      <c r="W4" s="93"/>
      <c r="X4" s="93"/>
      <c r="Y4" s="93"/>
      <c r="Z4" s="9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</v>
      </c>
      <c r="H5" s="151"/>
      <c r="I5" s="125">
        <v>2</v>
      </c>
      <c r="J5" s="125"/>
      <c r="K5" s="126"/>
      <c r="L5" s="128" t="s">
        <v>4</v>
      </c>
      <c r="M5" s="129"/>
      <c r="N5" s="129"/>
      <c r="O5" s="130"/>
      <c r="P5" s="131" t="s">
        <v>78</v>
      </c>
      <c r="Q5" s="132"/>
      <c r="R5" s="132"/>
      <c r="S5" s="132"/>
      <c r="T5" s="133"/>
      <c r="U5" s="92"/>
      <c r="V5" s="93"/>
      <c r="W5" s="93"/>
      <c r="X5" s="93"/>
      <c r="Y5" s="93"/>
      <c r="Z5" s="94"/>
    </row>
    <row r="6" spans="1:26" ht="12.75" customHeight="1" x14ac:dyDescent="0.25">
      <c r="A6" s="141"/>
      <c r="B6" s="142"/>
      <c r="C6" s="142"/>
      <c r="D6" s="142"/>
      <c r="E6" s="142"/>
      <c r="F6" s="143"/>
      <c r="G6" s="2"/>
      <c r="H6" s="3"/>
      <c r="I6" s="127" t="s">
        <v>6</v>
      </c>
      <c r="J6" s="127"/>
      <c r="K6" s="127"/>
      <c r="L6" s="127" t="s">
        <v>7</v>
      </c>
      <c r="M6" s="127"/>
      <c r="N6" s="127"/>
      <c r="O6" s="127"/>
      <c r="P6" s="127" t="s">
        <v>8</v>
      </c>
      <c r="Q6" s="127"/>
      <c r="R6" s="127"/>
      <c r="S6" s="127"/>
      <c r="T6" s="134"/>
      <c r="U6" s="95"/>
      <c r="V6" s="96"/>
      <c r="W6" s="96"/>
      <c r="X6" s="96"/>
      <c r="Y6" s="96"/>
      <c r="Z6" s="97"/>
    </row>
    <row r="7" spans="1:26" ht="37.5" customHeight="1" x14ac:dyDescent="0.25">
      <c r="A7" s="152" t="s">
        <v>9</v>
      </c>
      <c r="B7" s="152"/>
      <c r="C7" s="152"/>
      <c r="D7" s="152"/>
      <c r="E7" s="152"/>
      <c r="F7" s="152"/>
      <c r="G7" s="153" t="s">
        <v>10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88" t="s">
        <v>13</v>
      </c>
      <c r="C10" s="88"/>
      <c r="D10" s="88"/>
      <c r="E10" s="88"/>
      <c r="F10" s="88"/>
      <c r="G10" s="88"/>
      <c r="H10" s="154" t="s">
        <v>14</v>
      </c>
      <c r="I10" s="154"/>
      <c r="J10" s="154"/>
      <c r="K10" s="154"/>
      <c r="L10" s="154"/>
      <c r="M10" s="154"/>
      <c r="N10" s="88" t="s">
        <v>15</v>
      </c>
      <c r="O10" s="88"/>
      <c r="P10" s="88"/>
      <c r="Q10" s="88"/>
      <c r="R10" s="88"/>
      <c r="S10" s="113" t="s">
        <v>16</v>
      </c>
      <c r="T10" s="113"/>
      <c r="U10" s="113"/>
      <c r="V10" s="113"/>
      <c r="W10" s="113"/>
      <c r="X10" s="113"/>
      <c r="Y10" s="113"/>
      <c r="Z10" s="12"/>
    </row>
    <row r="11" spans="1:26" ht="15.9" customHeight="1" x14ac:dyDescent="0.25">
      <c r="A11" s="9"/>
      <c r="B11" s="88" t="s">
        <v>17</v>
      </c>
      <c r="C11" s="88"/>
      <c r="D11" s="88"/>
      <c r="E11" s="88"/>
      <c r="F11" s="88"/>
      <c r="G11" s="88"/>
      <c r="H11" s="154" t="s">
        <v>78</v>
      </c>
      <c r="I11" s="154"/>
      <c r="J11" s="154"/>
      <c r="K11" s="154"/>
      <c r="L11" s="154"/>
      <c r="M11" s="154"/>
      <c r="N11" s="88" t="s">
        <v>18</v>
      </c>
      <c r="O11" s="88"/>
      <c r="P11" s="88"/>
      <c r="Q11" s="88"/>
      <c r="R11" s="88"/>
      <c r="S11" s="113" t="s">
        <v>19</v>
      </c>
      <c r="T11" s="113"/>
      <c r="U11" s="113"/>
      <c r="V11" s="113"/>
      <c r="W11" s="113"/>
      <c r="X11" s="113"/>
      <c r="Y11" s="113"/>
      <c r="Z11" s="12"/>
    </row>
    <row r="12" spans="1:26" ht="15.9" customHeight="1" x14ac:dyDescent="0.25">
      <c r="A12" s="9"/>
      <c r="B12" s="88" t="s">
        <v>20</v>
      </c>
      <c r="C12" s="88"/>
      <c r="D12" s="88"/>
      <c r="E12" s="88"/>
      <c r="F12" s="88"/>
      <c r="G12" s="88"/>
      <c r="H12" s="154" t="s">
        <v>21</v>
      </c>
      <c r="I12" s="154"/>
      <c r="J12" s="154"/>
      <c r="K12" s="154"/>
      <c r="L12" s="154"/>
      <c r="M12" s="154"/>
      <c r="N12" s="88" t="s">
        <v>22</v>
      </c>
      <c r="O12" s="88"/>
      <c r="P12" s="88"/>
      <c r="Q12" s="88"/>
      <c r="R12" s="88"/>
      <c r="S12" s="113" t="s">
        <v>23</v>
      </c>
      <c r="T12" s="113"/>
      <c r="U12" s="113"/>
      <c r="V12" s="113"/>
      <c r="W12" s="113"/>
      <c r="X12" s="113"/>
      <c r="Y12" s="11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26</v>
      </c>
      <c r="C17" s="87"/>
      <c r="D17" s="87"/>
      <c r="E17" s="87"/>
      <c r="F17" s="87"/>
      <c r="G17" s="87"/>
      <c r="H17" s="8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8"/>
    </row>
    <row r="18" spans="1:26" s="17" customFormat="1" ht="15" customHeight="1" x14ac:dyDescent="0.25">
      <c r="A18" s="24"/>
      <c r="B18" s="87" t="s">
        <v>27</v>
      </c>
      <c r="C18" s="87"/>
      <c r="D18" s="87"/>
      <c r="E18" s="87"/>
      <c r="F18" s="87"/>
      <c r="G18" s="87"/>
      <c r="H18" s="87"/>
      <c r="I18" s="206" t="s">
        <v>28</v>
      </c>
      <c r="J18" s="206"/>
      <c r="K18" s="27">
        <v>50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50" t="s">
        <v>31</v>
      </c>
      <c r="C21" s="33"/>
      <c r="D21" s="34"/>
      <c r="E21" s="34"/>
      <c r="F21" s="34"/>
      <c r="G21" s="34"/>
      <c r="H21" s="33"/>
      <c r="I21" s="33"/>
      <c r="J21" s="33"/>
      <c r="K21" s="49" t="s">
        <v>32</v>
      </c>
      <c r="L21" s="33"/>
      <c r="M21" s="6"/>
      <c r="N21" s="6"/>
      <c r="O21" s="6"/>
      <c r="P21" s="6"/>
      <c r="Q21" s="49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51"/>
      <c r="Z22" s="11"/>
    </row>
    <row r="23" spans="1:26" ht="15.75" customHeight="1" x14ac:dyDescent="0.25">
      <c r="A23" s="9"/>
      <c r="B23" s="265" t="s">
        <v>33</v>
      </c>
      <c r="C23" s="255" t="s">
        <v>34</v>
      </c>
      <c r="D23" s="255"/>
      <c r="E23" s="255"/>
      <c r="F23" s="255"/>
      <c r="G23" s="256"/>
      <c r="H23" s="262" t="s">
        <v>35</v>
      </c>
      <c r="I23" s="263"/>
      <c r="J23" s="264"/>
      <c r="K23" s="255" t="s">
        <v>36</v>
      </c>
      <c r="L23" s="255"/>
      <c r="M23" s="255"/>
      <c r="N23" s="255"/>
      <c r="O23" s="255"/>
      <c r="P23" s="256"/>
      <c r="Z23" s="11"/>
    </row>
    <row r="24" spans="1:26" ht="15.75" customHeight="1" x14ac:dyDescent="0.25">
      <c r="A24" s="9"/>
      <c r="B24" s="266"/>
      <c r="C24" s="257"/>
      <c r="D24" s="257"/>
      <c r="E24" s="257"/>
      <c r="F24" s="257"/>
      <c r="G24" s="258"/>
      <c r="H24" s="259" t="s">
        <v>37</v>
      </c>
      <c r="I24" s="260"/>
      <c r="J24" s="261"/>
      <c r="K24" s="257"/>
      <c r="L24" s="257"/>
      <c r="M24" s="257"/>
      <c r="N24" s="257"/>
      <c r="O24" s="257"/>
      <c r="P24" s="258"/>
      <c r="Z24" s="11"/>
    </row>
    <row r="25" spans="1:26" ht="19.5" customHeight="1" x14ac:dyDescent="0.25">
      <c r="A25" s="9"/>
      <c r="B25" s="61">
        <v>1</v>
      </c>
      <c r="C25" s="98" t="s">
        <v>77</v>
      </c>
      <c r="D25" s="99"/>
      <c r="E25" s="99"/>
      <c r="F25" s="99"/>
      <c r="G25" s="100"/>
      <c r="H25" s="176">
        <v>128</v>
      </c>
      <c r="I25" s="177"/>
      <c r="J25" s="178"/>
      <c r="K25" s="98"/>
      <c r="L25" s="99"/>
      <c r="M25" s="99"/>
      <c r="N25" s="99"/>
      <c r="O25" s="99"/>
      <c r="P25" s="100"/>
      <c r="Z25" s="11"/>
    </row>
    <row r="26" spans="1:26" ht="19.5" customHeight="1" x14ac:dyDescent="0.25">
      <c r="A26" s="9"/>
      <c r="B26" s="61">
        <v>2</v>
      </c>
      <c r="C26" s="98" t="s">
        <v>76</v>
      </c>
      <c r="D26" s="99"/>
      <c r="E26" s="99"/>
      <c r="F26" s="99"/>
      <c r="G26" s="100"/>
      <c r="H26" s="176">
        <v>132</v>
      </c>
      <c r="I26" s="177"/>
      <c r="J26" s="178"/>
      <c r="K26" s="98"/>
      <c r="L26" s="99"/>
      <c r="M26" s="99"/>
      <c r="N26" s="99"/>
      <c r="O26" s="99"/>
      <c r="P26" s="100"/>
      <c r="Z26" s="11"/>
    </row>
    <row r="27" spans="1:26" ht="19.5" customHeight="1" x14ac:dyDescent="0.25">
      <c r="A27" s="9"/>
      <c r="B27" s="61">
        <v>3</v>
      </c>
      <c r="C27" s="98" t="s">
        <v>75</v>
      </c>
      <c r="D27" s="99"/>
      <c r="E27" s="99"/>
      <c r="F27" s="99"/>
      <c r="G27" s="100"/>
      <c r="H27" s="176">
        <v>147</v>
      </c>
      <c r="I27" s="177"/>
      <c r="J27" s="178"/>
      <c r="K27" s="98"/>
      <c r="L27" s="99"/>
      <c r="M27" s="99"/>
      <c r="N27" s="99"/>
      <c r="O27" s="99"/>
      <c r="P27" s="100"/>
      <c r="Z27" s="11"/>
    </row>
    <row r="28" spans="1:26" ht="19.5" customHeight="1" x14ac:dyDescent="0.25">
      <c r="A28" s="9"/>
      <c r="B28" s="61">
        <v>4</v>
      </c>
      <c r="C28" s="98" t="s">
        <v>74</v>
      </c>
      <c r="D28" s="99"/>
      <c r="E28" s="99"/>
      <c r="F28" s="99"/>
      <c r="G28" s="100"/>
      <c r="H28" s="176">
        <v>138</v>
      </c>
      <c r="I28" s="177"/>
      <c r="J28" s="178"/>
      <c r="K28" s="98"/>
      <c r="L28" s="99"/>
      <c r="M28" s="99"/>
      <c r="N28" s="99"/>
      <c r="O28" s="99"/>
      <c r="P28" s="100"/>
      <c r="Z28" s="11"/>
    </row>
    <row r="29" spans="1:26" ht="19.5" customHeight="1" x14ac:dyDescent="0.25">
      <c r="A29" s="9"/>
      <c r="B29" s="61">
        <v>5</v>
      </c>
      <c r="C29" s="98" t="s">
        <v>73</v>
      </c>
      <c r="D29" s="99"/>
      <c r="E29" s="99"/>
      <c r="F29" s="99"/>
      <c r="G29" s="100"/>
      <c r="H29" s="176">
        <v>129</v>
      </c>
      <c r="I29" s="177"/>
      <c r="J29" s="178"/>
      <c r="K29" s="98"/>
      <c r="L29" s="99"/>
      <c r="M29" s="99"/>
      <c r="N29" s="99"/>
      <c r="O29" s="99"/>
      <c r="P29" s="100"/>
      <c r="Z29" s="11"/>
    </row>
    <row r="30" spans="1:26" ht="19.5" customHeight="1" x14ac:dyDescent="0.25">
      <c r="A30" s="9"/>
      <c r="B30" s="61">
        <v>6</v>
      </c>
      <c r="C30" s="98"/>
      <c r="D30" s="99"/>
      <c r="E30" s="99"/>
      <c r="F30" s="99"/>
      <c r="G30" s="100"/>
      <c r="H30" s="176">
        <v>121</v>
      </c>
      <c r="I30" s="177"/>
      <c r="J30" s="178"/>
      <c r="K30" s="98"/>
      <c r="L30" s="99"/>
      <c r="M30" s="99"/>
      <c r="N30" s="99"/>
      <c r="O30" s="99"/>
      <c r="P30" s="100"/>
      <c r="Z30" s="11"/>
    </row>
    <row r="31" spans="1:26" ht="19.5" customHeight="1" x14ac:dyDescent="0.25">
      <c r="A31" s="9"/>
      <c r="B31" s="61">
        <v>7</v>
      </c>
      <c r="C31" s="98" t="s">
        <v>72</v>
      </c>
      <c r="D31" s="99"/>
      <c r="E31" s="99"/>
      <c r="F31" s="99"/>
      <c r="G31" s="100"/>
      <c r="H31" s="176">
        <v>89</v>
      </c>
      <c r="I31" s="177"/>
      <c r="J31" s="178"/>
      <c r="K31" s="98"/>
      <c r="L31" s="99"/>
      <c r="M31" s="99"/>
      <c r="N31" s="99"/>
      <c r="O31" s="99"/>
      <c r="P31" s="100"/>
      <c r="Z31" s="11"/>
    </row>
    <row r="32" spans="1:26" ht="19.5" customHeight="1" x14ac:dyDescent="0.25">
      <c r="A32" s="9"/>
      <c r="B32" s="61">
        <v>8</v>
      </c>
      <c r="C32" s="98" t="s">
        <v>71</v>
      </c>
      <c r="D32" s="99"/>
      <c r="E32" s="99"/>
      <c r="F32" s="99"/>
      <c r="G32" s="100"/>
      <c r="H32" s="176">
        <v>118</v>
      </c>
      <c r="I32" s="177"/>
      <c r="J32" s="178"/>
      <c r="K32" s="98"/>
      <c r="L32" s="99"/>
      <c r="M32" s="99"/>
      <c r="N32" s="99"/>
      <c r="O32" s="99"/>
      <c r="P32" s="100"/>
      <c r="Z32" s="11"/>
    </row>
    <row r="33" spans="1:26" ht="19.5" customHeight="1" x14ac:dyDescent="0.25">
      <c r="A33" s="9"/>
      <c r="B33" s="61">
        <v>9</v>
      </c>
      <c r="C33" s="98" t="s">
        <v>70</v>
      </c>
      <c r="D33" s="99"/>
      <c r="E33" s="99"/>
      <c r="F33" s="99"/>
      <c r="G33" s="100"/>
      <c r="H33" s="176">
        <v>119</v>
      </c>
      <c r="I33" s="177"/>
      <c r="J33" s="178"/>
      <c r="K33" s="98"/>
      <c r="L33" s="99"/>
      <c r="M33" s="99"/>
      <c r="N33" s="99"/>
      <c r="O33" s="99"/>
      <c r="P33" s="100"/>
      <c r="Z33" s="11"/>
    </row>
    <row r="34" spans="1:26" ht="19.5" customHeight="1" x14ac:dyDescent="0.25">
      <c r="A34" s="9"/>
      <c r="B34" s="61">
        <v>10</v>
      </c>
      <c r="C34" s="98"/>
      <c r="D34" s="99"/>
      <c r="E34" s="99"/>
      <c r="F34" s="99"/>
      <c r="G34" s="100"/>
      <c r="H34" s="176">
        <v>105</v>
      </c>
      <c r="I34" s="177"/>
      <c r="J34" s="178"/>
      <c r="K34" s="98"/>
      <c r="L34" s="99"/>
      <c r="M34" s="99"/>
      <c r="N34" s="99"/>
      <c r="O34" s="99"/>
      <c r="P34" s="100"/>
      <c r="Z34" s="11"/>
    </row>
    <row r="35" spans="1:26" ht="19.5" customHeight="1" x14ac:dyDescent="0.25">
      <c r="A35" s="9"/>
      <c r="B35" s="61"/>
      <c r="C35" s="98"/>
      <c r="D35" s="99"/>
      <c r="E35" s="99"/>
      <c r="F35" s="99"/>
      <c r="G35" s="100"/>
      <c r="H35" s="176"/>
      <c r="I35" s="177"/>
      <c r="J35" s="178"/>
      <c r="K35" s="98"/>
      <c r="L35" s="99"/>
      <c r="M35" s="99"/>
      <c r="N35" s="99"/>
      <c r="O35" s="99"/>
      <c r="P35" s="100"/>
      <c r="Z35" s="11"/>
    </row>
    <row r="36" spans="1:26" ht="19.5" customHeight="1" x14ac:dyDescent="0.25">
      <c r="A36" s="9"/>
      <c r="B36" s="61"/>
      <c r="C36" s="98"/>
      <c r="D36" s="99"/>
      <c r="E36" s="99"/>
      <c r="F36" s="99"/>
      <c r="G36" s="100"/>
      <c r="H36" s="176"/>
      <c r="I36" s="177"/>
      <c r="J36" s="178"/>
      <c r="K36" s="98"/>
      <c r="L36" s="99"/>
      <c r="M36" s="99"/>
      <c r="N36" s="99"/>
      <c r="O36" s="99"/>
      <c r="P36" s="100"/>
      <c r="Z36" s="11"/>
    </row>
    <row r="37" spans="1:26" ht="19.5" customHeight="1" x14ac:dyDescent="0.25">
      <c r="A37" s="9"/>
      <c r="B37" s="61"/>
      <c r="C37" s="98"/>
      <c r="D37" s="99"/>
      <c r="E37" s="99"/>
      <c r="F37" s="99"/>
      <c r="G37" s="100"/>
      <c r="H37" s="176"/>
      <c r="I37" s="177"/>
      <c r="J37" s="178"/>
      <c r="K37" s="98"/>
      <c r="L37" s="99"/>
      <c r="M37" s="99"/>
      <c r="N37" s="99"/>
      <c r="O37" s="99"/>
      <c r="P37" s="100"/>
      <c r="Z37" s="11"/>
    </row>
    <row r="38" spans="1:26" ht="19.5" customHeight="1" x14ac:dyDescent="0.25">
      <c r="A38" s="9"/>
      <c r="B38" s="61"/>
      <c r="C38" s="98"/>
      <c r="D38" s="99"/>
      <c r="E38" s="99"/>
      <c r="F38" s="99"/>
      <c r="G38" s="100"/>
      <c r="H38" s="176"/>
      <c r="I38" s="177"/>
      <c r="J38" s="178"/>
      <c r="K38" s="98"/>
      <c r="L38" s="99"/>
      <c r="M38" s="99"/>
      <c r="N38" s="99"/>
      <c r="O38" s="99"/>
      <c r="P38" s="100"/>
      <c r="Z38" s="11"/>
    </row>
    <row r="39" spans="1:26" ht="19.5" customHeight="1" x14ac:dyDescent="0.25">
      <c r="A39" s="9"/>
      <c r="B39" s="61"/>
      <c r="C39" s="98"/>
      <c r="D39" s="99"/>
      <c r="E39" s="99"/>
      <c r="F39" s="99"/>
      <c r="G39" s="100"/>
      <c r="H39" s="176"/>
      <c r="I39" s="177"/>
      <c r="J39" s="178"/>
      <c r="K39" s="98"/>
      <c r="L39" s="99"/>
      <c r="M39" s="99"/>
      <c r="N39" s="99"/>
      <c r="O39" s="99"/>
      <c r="P39" s="100"/>
      <c r="Z39" s="11"/>
    </row>
    <row r="40" spans="1:26" ht="19.5" customHeight="1" x14ac:dyDescent="0.25">
      <c r="A40" s="9"/>
      <c r="B40" s="61"/>
      <c r="C40" s="98"/>
      <c r="D40" s="99"/>
      <c r="E40" s="99"/>
      <c r="F40" s="99"/>
      <c r="G40" s="100"/>
      <c r="H40" s="176"/>
      <c r="I40" s="177"/>
      <c r="J40" s="178"/>
      <c r="K40" s="98"/>
      <c r="L40" s="99"/>
      <c r="M40" s="99"/>
      <c r="N40" s="99"/>
      <c r="O40" s="99"/>
      <c r="P40" s="100"/>
      <c r="Z40" s="11"/>
    </row>
    <row r="41" spans="1:26" ht="19.5" customHeight="1" x14ac:dyDescent="0.25">
      <c r="A41" s="9"/>
      <c r="B41" s="61"/>
      <c r="C41" s="98"/>
      <c r="D41" s="99"/>
      <c r="E41" s="99"/>
      <c r="F41" s="99"/>
      <c r="G41" s="100"/>
      <c r="H41" s="176"/>
      <c r="I41" s="177"/>
      <c r="J41" s="178"/>
      <c r="K41" s="98"/>
      <c r="L41" s="99"/>
      <c r="M41" s="99"/>
      <c r="N41" s="99"/>
      <c r="O41" s="99"/>
      <c r="P41" s="100"/>
      <c r="Z41" s="11"/>
    </row>
    <row r="42" spans="1:26" ht="19.5" customHeight="1" x14ac:dyDescent="0.25">
      <c r="A42" s="9"/>
      <c r="B42" s="61"/>
      <c r="C42" s="98"/>
      <c r="D42" s="99"/>
      <c r="E42" s="99"/>
      <c r="F42" s="99"/>
      <c r="G42" s="100"/>
      <c r="H42" s="176"/>
      <c r="I42" s="177"/>
      <c r="J42" s="178"/>
      <c r="K42" s="98"/>
      <c r="L42" s="99"/>
      <c r="M42" s="99"/>
      <c r="N42" s="99"/>
      <c r="O42" s="99"/>
      <c r="P42" s="100"/>
      <c r="Z42" s="11"/>
    </row>
    <row r="43" spans="1:26" ht="19.5" customHeight="1" x14ac:dyDescent="0.25">
      <c r="A43" s="9"/>
      <c r="B43" s="61"/>
      <c r="C43" s="98"/>
      <c r="D43" s="99"/>
      <c r="E43" s="99"/>
      <c r="F43" s="99"/>
      <c r="G43" s="100"/>
      <c r="H43" s="176"/>
      <c r="I43" s="177"/>
      <c r="J43" s="178"/>
      <c r="K43" s="98"/>
      <c r="L43" s="99"/>
      <c r="M43" s="99"/>
      <c r="N43" s="99"/>
      <c r="O43" s="99"/>
      <c r="P43" s="100"/>
      <c r="Z43" s="11"/>
    </row>
    <row r="44" spans="1:26" ht="19.5" customHeight="1" x14ac:dyDescent="0.25">
      <c r="A44" s="9"/>
      <c r="B44" s="61"/>
      <c r="C44" s="98"/>
      <c r="D44" s="99"/>
      <c r="E44" s="99"/>
      <c r="F44" s="99"/>
      <c r="G44" s="100"/>
      <c r="H44" s="176"/>
      <c r="I44" s="177"/>
      <c r="J44" s="178"/>
      <c r="K44" s="98"/>
      <c r="L44" s="99"/>
      <c r="M44" s="99"/>
      <c r="N44" s="99"/>
      <c r="O44" s="99"/>
      <c r="P44" s="100"/>
      <c r="Z44" s="11"/>
    </row>
    <row r="45" spans="1:26" ht="19.5" customHeight="1" thickBot="1" x14ac:dyDescent="0.3">
      <c r="A45" s="9"/>
      <c r="B45" s="62"/>
      <c r="C45" s="123"/>
      <c r="D45" s="123"/>
      <c r="E45" s="123"/>
      <c r="F45" s="123"/>
      <c r="G45" s="124"/>
      <c r="H45" s="119"/>
      <c r="I45" s="120"/>
      <c r="J45" s="121"/>
      <c r="K45" s="122"/>
      <c r="L45" s="123"/>
      <c r="M45" s="123"/>
      <c r="N45" s="123"/>
      <c r="O45" s="123"/>
      <c r="P45" s="124"/>
      <c r="Z45" s="11"/>
    </row>
    <row r="46" spans="1:26" ht="15.75" customHeight="1" x14ac:dyDescent="0.25">
      <c r="A46" s="9"/>
      <c r="B46" s="235" t="s">
        <v>52</v>
      </c>
      <c r="C46" s="236"/>
      <c r="D46" s="236"/>
      <c r="E46" s="236"/>
      <c r="F46" s="236"/>
      <c r="G46" s="237"/>
      <c r="H46" s="81">
        <f>AVERAGE(H25:J45)</f>
        <v>122.6</v>
      </c>
      <c r="I46" s="82"/>
      <c r="J46" s="83"/>
      <c r="K46" s="249" t="s">
        <v>69</v>
      </c>
      <c r="L46" s="250"/>
      <c r="M46" s="243" t="s">
        <v>53</v>
      </c>
      <c r="N46" s="243"/>
      <c r="O46" s="243"/>
      <c r="P46" s="244"/>
      <c r="Z46" s="11"/>
    </row>
    <row r="47" spans="1:26" ht="15.75" customHeight="1" x14ac:dyDescent="0.25">
      <c r="A47" s="9"/>
      <c r="B47" s="229" t="s">
        <v>54</v>
      </c>
      <c r="C47" s="230"/>
      <c r="D47" s="230"/>
      <c r="E47" s="230"/>
      <c r="F47" s="230"/>
      <c r="G47" s="231"/>
      <c r="H47" s="223">
        <f>IF(COUNTIF(H25:J45,"*&lt;20*"),"&lt;20",MIN(H25:J45))</f>
        <v>89</v>
      </c>
      <c r="I47" s="224"/>
      <c r="J47" s="225"/>
      <c r="K47" s="251"/>
      <c r="L47" s="252"/>
      <c r="M47" s="245"/>
      <c r="N47" s="245"/>
      <c r="O47" s="245"/>
      <c r="P47" s="246"/>
      <c r="Z47" s="11"/>
    </row>
    <row r="48" spans="1:26" ht="15.75" customHeight="1" thickBot="1" x14ac:dyDescent="0.3">
      <c r="A48" s="9"/>
      <c r="B48" s="232" t="s">
        <v>55</v>
      </c>
      <c r="C48" s="233"/>
      <c r="D48" s="233"/>
      <c r="E48" s="233"/>
      <c r="F48" s="233"/>
      <c r="G48" s="234"/>
      <c r="H48" s="220">
        <f>IF(COUNTIF(H25:J45,"*&gt;250*"),"&gt;250",MAX(H25:J45))</f>
        <v>147</v>
      </c>
      <c r="I48" s="221"/>
      <c r="J48" s="222"/>
      <c r="K48" s="253"/>
      <c r="L48" s="254"/>
      <c r="M48" s="247"/>
      <c r="N48" s="247"/>
      <c r="O48" s="247"/>
      <c r="P48" s="248"/>
      <c r="Z48" s="11"/>
    </row>
    <row r="49" spans="1:26" ht="15.9" customHeight="1" x14ac:dyDescent="0.25">
      <c r="A49" s="35"/>
      <c r="B49" s="5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30.75" customHeight="1" x14ac:dyDescent="0.25">
      <c r="A51" s="38" t="s">
        <v>56</v>
      </c>
      <c r="B51" s="39" t="s">
        <v>57</v>
      </c>
      <c r="C51" s="40"/>
      <c r="D51" s="40"/>
      <c r="E51" s="40"/>
      <c r="F51" s="41"/>
      <c r="G51" s="41"/>
      <c r="H51" s="41"/>
      <c r="I51" s="6"/>
      <c r="J51" s="6"/>
      <c r="K51" s="6"/>
      <c r="L51" s="6"/>
      <c r="M51" s="6"/>
      <c r="N51" s="6"/>
      <c r="O51" s="6"/>
      <c r="P51" s="6"/>
      <c r="Q51" s="41"/>
      <c r="R51" s="6"/>
      <c r="S51" s="6"/>
      <c r="T51" s="6"/>
      <c r="U51" s="240"/>
      <c r="V51" s="240"/>
      <c r="W51" s="240"/>
      <c r="X51" s="241"/>
      <c r="Y51" s="241"/>
      <c r="Z51" s="242"/>
    </row>
    <row r="52" spans="1:26" s="17" customFormat="1" ht="28.5" customHeight="1" x14ac:dyDescent="0.25">
      <c r="A52" s="167" t="s">
        <v>58</v>
      </c>
      <c r="B52" s="168"/>
      <c r="C52" s="168"/>
      <c r="D52" s="168"/>
      <c r="E52" s="168"/>
      <c r="F52" s="168"/>
      <c r="G52" s="168"/>
      <c r="H52" s="168"/>
      <c r="I52" s="168"/>
      <c r="J52" s="168"/>
      <c r="K52" s="218"/>
      <c r="L52" s="226" t="s">
        <v>59</v>
      </c>
      <c r="M52" s="227"/>
      <c r="N52" s="227"/>
      <c r="O52" s="227"/>
      <c r="P52" s="227"/>
      <c r="Q52" s="228"/>
      <c r="R52" s="161" t="s">
        <v>60</v>
      </c>
      <c r="S52" s="162"/>
      <c r="T52" s="163"/>
      <c r="U52" s="188" t="s">
        <v>61</v>
      </c>
      <c r="V52" s="189"/>
      <c r="W52" s="189"/>
      <c r="X52" s="190"/>
      <c r="Y52" s="190"/>
      <c r="Z52" s="191"/>
    </row>
    <row r="53" spans="1:26" s="17" customFormat="1" ht="14.25" customHeight="1" x14ac:dyDescent="0.25">
      <c r="A53" s="9"/>
      <c r="B53" s="1"/>
      <c r="C53" s="42"/>
      <c r="D53" s="1"/>
      <c r="E53" s="1"/>
      <c r="F53" s="1"/>
      <c r="G53" s="1"/>
      <c r="H53" s="171"/>
      <c r="I53" s="171"/>
      <c r="J53" s="171"/>
      <c r="K53" s="219"/>
      <c r="L53" s="1"/>
      <c r="M53" s="171"/>
      <c r="N53" s="171"/>
      <c r="O53" s="171"/>
      <c r="P53" s="171"/>
      <c r="Q53" s="172"/>
      <c r="R53" s="161" t="s">
        <v>62</v>
      </c>
      <c r="S53" s="162"/>
      <c r="T53" s="163"/>
      <c r="U53" s="192" t="s">
        <v>63</v>
      </c>
      <c r="V53" s="193"/>
      <c r="W53" s="193"/>
      <c r="X53" s="193"/>
      <c r="Y53" s="193"/>
      <c r="Z53" s="238"/>
    </row>
    <row r="54" spans="1:26" s="17" customFormat="1" ht="9" customHeight="1" x14ac:dyDescent="0.25">
      <c r="A54" s="9"/>
      <c r="B54" s="1"/>
      <c r="C54" s="1"/>
      <c r="D54" s="1"/>
      <c r="E54" s="1"/>
      <c r="F54" s="1"/>
      <c r="G54" s="1"/>
      <c r="H54" s="1"/>
      <c r="I54" s="1"/>
      <c r="J54" s="1"/>
      <c r="K54" s="43"/>
      <c r="L54" s="1"/>
      <c r="M54" s="1"/>
      <c r="N54" s="1"/>
      <c r="O54" s="1"/>
      <c r="P54" s="1"/>
      <c r="Q54" s="11"/>
      <c r="R54" s="161"/>
      <c r="S54" s="162"/>
      <c r="T54" s="163"/>
      <c r="U54" s="196"/>
      <c r="V54" s="103"/>
      <c r="W54" s="103"/>
      <c r="X54" s="103"/>
      <c r="Y54" s="103"/>
      <c r="Z54" s="239"/>
    </row>
    <row r="55" spans="1:26" s="17" customFormat="1" ht="12.75" customHeight="1" x14ac:dyDescent="0.25">
      <c r="A55" s="13"/>
      <c r="B55" s="3"/>
      <c r="C55" s="3"/>
      <c r="D55" s="3"/>
      <c r="E55" s="3"/>
      <c r="F55" s="3"/>
      <c r="G55" s="3"/>
      <c r="H55" s="3"/>
      <c r="I55" s="3"/>
      <c r="J55" s="3"/>
      <c r="K55" s="44"/>
      <c r="L55" s="3"/>
      <c r="M55" s="3"/>
      <c r="N55" s="3"/>
      <c r="O55" s="3"/>
      <c r="P55" s="3"/>
      <c r="Q55" s="16"/>
      <c r="R55" s="161"/>
      <c r="S55" s="162"/>
      <c r="T55" s="163"/>
      <c r="U55" s="196"/>
      <c r="V55" s="103"/>
      <c r="W55" s="103"/>
      <c r="X55" s="103"/>
      <c r="Y55" s="103"/>
      <c r="Z55" s="239"/>
    </row>
    <row r="56" spans="1:26" s="17" customFormat="1" ht="14.25" customHeight="1" x14ac:dyDescent="0.25">
      <c r="A56" s="45" t="s">
        <v>64</v>
      </c>
      <c r="B56" s="46" t="s">
        <v>65</v>
      </c>
      <c r="C56" s="1"/>
      <c r="D56" s="1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8"/>
      <c r="R56" s="161" t="s">
        <v>66</v>
      </c>
      <c r="S56" s="162"/>
      <c r="T56" s="163"/>
      <c r="U56" s="53"/>
      <c r="V56" s="54"/>
      <c r="W56" s="54"/>
      <c r="X56" s="54"/>
      <c r="Y56" s="54"/>
      <c r="Z56" s="55"/>
    </row>
    <row r="57" spans="1:26" s="17" customFormat="1" ht="12.75" customHeight="1" x14ac:dyDescent="0.25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7"/>
      <c r="R57" s="161"/>
      <c r="S57" s="162"/>
      <c r="T57" s="163"/>
      <c r="U57" s="56"/>
      <c r="V57" s="110" t="s">
        <v>67</v>
      </c>
      <c r="W57" s="110"/>
      <c r="X57" s="110"/>
      <c r="Y57" s="110"/>
      <c r="Z57" s="57"/>
    </row>
    <row r="58" spans="1:26" s="17" customFormat="1" ht="16.5" customHeight="1" x14ac:dyDescent="0.25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7"/>
      <c r="R58" s="161"/>
      <c r="S58" s="162"/>
      <c r="T58" s="163"/>
      <c r="U58" s="56"/>
      <c r="V58" s="110"/>
      <c r="W58" s="110"/>
      <c r="X58" s="110"/>
      <c r="Y58" s="110"/>
      <c r="Z58" s="57"/>
    </row>
    <row r="59" spans="1:26" s="17" customFormat="1" ht="15.6" customHeight="1" x14ac:dyDescent="0.25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7"/>
      <c r="R59" s="161"/>
      <c r="S59" s="162"/>
      <c r="T59" s="163"/>
      <c r="U59" s="56"/>
      <c r="V59" s="110"/>
      <c r="W59" s="110"/>
      <c r="X59" s="110"/>
      <c r="Y59" s="110"/>
      <c r="Z59" s="57"/>
    </row>
    <row r="60" spans="1:26" s="17" customFormat="1" ht="15" customHeight="1" x14ac:dyDescent="0.25">
      <c r="A60" s="158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60"/>
      <c r="R60" s="164"/>
      <c r="S60" s="165"/>
      <c r="T60" s="166"/>
      <c r="U60" s="58"/>
      <c r="V60" s="59"/>
      <c r="W60" s="59"/>
      <c r="X60" s="59"/>
      <c r="Y60" s="59"/>
      <c r="Z60" s="60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7">
    <mergeCell ref="C25:G25"/>
    <mergeCell ref="H24:J24"/>
    <mergeCell ref="H23:J23"/>
    <mergeCell ref="B18:H18"/>
    <mergeCell ref="B23:B24"/>
    <mergeCell ref="C23:G24"/>
    <mergeCell ref="I5:K5"/>
    <mergeCell ref="I6:K6"/>
    <mergeCell ref="B17:H17"/>
    <mergeCell ref="B12:G12"/>
    <mergeCell ref="B11:G11"/>
    <mergeCell ref="K25:P25"/>
    <mergeCell ref="A1:F6"/>
    <mergeCell ref="G1:T1"/>
    <mergeCell ref="B10:G10"/>
    <mergeCell ref="S10:Y10"/>
    <mergeCell ref="N10:R10"/>
    <mergeCell ref="G2:T4"/>
    <mergeCell ref="G5:H5"/>
    <mergeCell ref="A7:F7"/>
    <mergeCell ref="G7:Z7"/>
    <mergeCell ref="H10:M10"/>
    <mergeCell ref="S12:Y12"/>
    <mergeCell ref="K23:P24"/>
    <mergeCell ref="I17:Y17"/>
    <mergeCell ref="I18:J18"/>
    <mergeCell ref="H25:J25"/>
    <mergeCell ref="L5:O5"/>
    <mergeCell ref="P5:T5"/>
    <mergeCell ref="L6:O6"/>
    <mergeCell ref="P6:T6"/>
    <mergeCell ref="N11:R11"/>
    <mergeCell ref="U1:Z6"/>
    <mergeCell ref="S11:Y11"/>
    <mergeCell ref="N12:R12"/>
    <mergeCell ref="H12:M12"/>
    <mergeCell ref="H11:M11"/>
    <mergeCell ref="A57:Q60"/>
    <mergeCell ref="R53:T55"/>
    <mergeCell ref="U53:Z55"/>
    <mergeCell ref="R56:T60"/>
    <mergeCell ref="V57:Y59"/>
    <mergeCell ref="U51:Z51"/>
    <mergeCell ref="U52:Z52"/>
    <mergeCell ref="R52:T52"/>
    <mergeCell ref="M46:P48"/>
    <mergeCell ref="K46:L48"/>
    <mergeCell ref="C45:G45"/>
    <mergeCell ref="H45:J45"/>
    <mergeCell ref="K45:P45"/>
    <mergeCell ref="A52:K52"/>
    <mergeCell ref="H53:K53"/>
    <mergeCell ref="M53:Q53"/>
    <mergeCell ref="H48:J48"/>
    <mergeCell ref="H46:J46"/>
    <mergeCell ref="H47:J47"/>
    <mergeCell ref="L52:Q52"/>
    <mergeCell ref="B47:G47"/>
    <mergeCell ref="B48:G48"/>
    <mergeCell ref="B46:G46"/>
    <mergeCell ref="C26:G26"/>
    <mergeCell ref="H26:J26"/>
    <mergeCell ref="K26:P26"/>
    <mergeCell ref="C27:G27"/>
    <mergeCell ref="H27:J27"/>
    <mergeCell ref="K27:P27"/>
    <mergeCell ref="C28:G28"/>
    <mergeCell ref="H28:J28"/>
    <mergeCell ref="K28:P28"/>
    <mergeCell ref="C29:G29"/>
    <mergeCell ref="H29:J29"/>
    <mergeCell ref="K29:P29"/>
    <mergeCell ref="C30:G30"/>
    <mergeCell ref="H30:J30"/>
    <mergeCell ref="K30:P30"/>
    <mergeCell ref="C31:G31"/>
    <mergeCell ref="H31:J31"/>
    <mergeCell ref="K31:P31"/>
    <mergeCell ref="C32:G32"/>
    <mergeCell ref="H32:J32"/>
    <mergeCell ref="K32:P32"/>
    <mergeCell ref="C33:G33"/>
    <mergeCell ref="H33:J33"/>
    <mergeCell ref="K33:P33"/>
    <mergeCell ref="C34:G34"/>
    <mergeCell ref="H34:J34"/>
    <mergeCell ref="K34:P34"/>
    <mergeCell ref="C35:G35"/>
    <mergeCell ref="H35:J35"/>
    <mergeCell ref="K35:P35"/>
    <mergeCell ref="C36:G36"/>
    <mergeCell ref="H36:J36"/>
    <mergeCell ref="K36:P36"/>
    <mergeCell ref="C37:G37"/>
    <mergeCell ref="H37:J37"/>
    <mergeCell ref="K37:P37"/>
    <mergeCell ref="C38:G38"/>
    <mergeCell ref="H38:J38"/>
    <mergeCell ref="K38:P38"/>
    <mergeCell ref="C39:G39"/>
    <mergeCell ref="H39:J39"/>
    <mergeCell ref="K39:P39"/>
    <mergeCell ref="C40:G40"/>
    <mergeCell ref="H40:J40"/>
    <mergeCell ref="K40:P40"/>
    <mergeCell ref="C41:G41"/>
    <mergeCell ref="H41:J41"/>
    <mergeCell ref="K41:P41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67"/>
  <sheetViews>
    <sheetView topLeftCell="A22" workbookViewId="0">
      <selection activeCell="S44" sqref="S44"/>
    </sheetView>
  </sheetViews>
  <sheetFormatPr baseColWidth="10" defaultColWidth="11.44140625" defaultRowHeight="12.75" customHeight="1" x14ac:dyDescent="0.25"/>
  <cols>
    <col min="1" max="1" width="5.109375" style="10" customWidth="1"/>
    <col min="2" max="26" width="5.109375" style="1" customWidth="1"/>
    <col min="27" max="27" width="11.44140625" style="1"/>
  </cols>
  <sheetData>
    <row r="1" spans="1:26" ht="12.75" customHeight="1" x14ac:dyDescent="0.25">
      <c r="A1" s="135"/>
      <c r="B1" s="136"/>
      <c r="C1" s="136"/>
      <c r="D1" s="136"/>
      <c r="E1" s="136"/>
      <c r="F1" s="137"/>
      <c r="G1" s="144" t="s">
        <v>0</v>
      </c>
      <c r="H1" s="145"/>
      <c r="I1" s="145"/>
      <c r="J1" s="145"/>
      <c r="K1" s="145"/>
      <c r="L1" s="145"/>
      <c r="M1" s="145"/>
      <c r="N1" s="145"/>
      <c r="O1" s="145"/>
      <c r="P1" s="145"/>
      <c r="Q1" s="145"/>
      <c r="R1" s="145"/>
      <c r="S1" s="145"/>
      <c r="T1" s="146"/>
      <c r="U1" s="89" t="s">
        <v>1</v>
      </c>
      <c r="V1" s="90"/>
      <c r="W1" s="90"/>
      <c r="X1" s="90"/>
      <c r="Y1" s="90"/>
      <c r="Z1" s="91"/>
    </row>
    <row r="2" spans="1:26" ht="12.75" customHeight="1" x14ac:dyDescent="0.25">
      <c r="A2" s="138"/>
      <c r="B2" s="139"/>
      <c r="C2" s="139"/>
      <c r="D2" s="139"/>
      <c r="E2" s="139"/>
      <c r="F2" s="140"/>
      <c r="G2" s="147" t="s">
        <v>2</v>
      </c>
      <c r="H2" s="148"/>
      <c r="I2" s="148"/>
      <c r="J2" s="148"/>
      <c r="K2" s="148"/>
      <c r="L2" s="148"/>
      <c r="M2" s="148"/>
      <c r="N2" s="148"/>
      <c r="O2" s="148"/>
      <c r="P2" s="148"/>
      <c r="Q2" s="148"/>
      <c r="R2" s="148"/>
      <c r="S2" s="148"/>
      <c r="T2" s="149"/>
      <c r="U2" s="92"/>
      <c r="V2" s="93"/>
      <c r="W2" s="93"/>
      <c r="X2" s="93"/>
      <c r="Y2" s="93"/>
      <c r="Z2" s="94"/>
    </row>
    <row r="3" spans="1:26" ht="12.75" customHeight="1" x14ac:dyDescent="0.25">
      <c r="A3" s="138"/>
      <c r="B3" s="139"/>
      <c r="C3" s="139"/>
      <c r="D3" s="139"/>
      <c r="E3" s="139"/>
      <c r="F3" s="140"/>
      <c r="G3" s="147"/>
      <c r="H3" s="148"/>
      <c r="I3" s="148"/>
      <c r="J3" s="148"/>
      <c r="K3" s="148"/>
      <c r="L3" s="148"/>
      <c r="M3" s="148"/>
      <c r="N3" s="148"/>
      <c r="O3" s="148"/>
      <c r="P3" s="148"/>
      <c r="Q3" s="148"/>
      <c r="R3" s="148"/>
      <c r="S3" s="148"/>
      <c r="T3" s="149"/>
      <c r="U3" s="92"/>
      <c r="V3" s="93"/>
      <c r="W3" s="93"/>
      <c r="X3" s="93"/>
      <c r="Y3" s="93"/>
      <c r="Z3" s="94"/>
    </row>
    <row r="4" spans="1:26" ht="12.75" customHeight="1" x14ac:dyDescent="0.25">
      <c r="A4" s="138"/>
      <c r="B4" s="139"/>
      <c r="C4" s="139"/>
      <c r="D4" s="139"/>
      <c r="E4" s="139"/>
      <c r="F4" s="140"/>
      <c r="G4" s="147"/>
      <c r="H4" s="148"/>
      <c r="I4" s="148"/>
      <c r="J4" s="148"/>
      <c r="K4" s="148"/>
      <c r="L4" s="148"/>
      <c r="M4" s="148"/>
      <c r="N4" s="148"/>
      <c r="O4" s="148"/>
      <c r="P4" s="148"/>
      <c r="Q4" s="148"/>
      <c r="R4" s="148"/>
      <c r="S4" s="148"/>
      <c r="T4" s="149"/>
      <c r="U4" s="92"/>
      <c r="V4" s="93"/>
      <c r="W4" s="93"/>
      <c r="X4" s="93"/>
      <c r="Y4" s="93"/>
      <c r="Z4" s="94"/>
    </row>
    <row r="5" spans="1:26" ht="12.75" customHeight="1" x14ac:dyDescent="0.25">
      <c r="A5" s="138"/>
      <c r="B5" s="139"/>
      <c r="C5" s="139"/>
      <c r="D5" s="139"/>
      <c r="E5" s="139"/>
      <c r="F5" s="140"/>
      <c r="G5" s="150" t="s">
        <v>3</v>
      </c>
      <c r="H5" s="151"/>
      <c r="I5" s="125">
        <v>1</v>
      </c>
      <c r="J5" s="125"/>
      <c r="K5" s="126"/>
      <c r="L5" s="128" t="s">
        <v>4</v>
      </c>
      <c r="M5" s="129"/>
      <c r="N5" s="129"/>
      <c r="O5" s="130"/>
      <c r="P5" s="131" t="s">
        <v>5</v>
      </c>
      <c r="Q5" s="132"/>
      <c r="R5" s="132"/>
      <c r="S5" s="132"/>
      <c r="T5" s="133"/>
      <c r="U5" s="92"/>
      <c r="V5" s="93"/>
      <c r="W5" s="93"/>
      <c r="X5" s="93"/>
      <c r="Y5" s="93"/>
      <c r="Z5" s="94"/>
    </row>
    <row r="6" spans="1:26" ht="12.75" customHeight="1" x14ac:dyDescent="0.25">
      <c r="A6" s="141"/>
      <c r="B6" s="142"/>
      <c r="C6" s="142"/>
      <c r="D6" s="142"/>
      <c r="E6" s="142"/>
      <c r="F6" s="143"/>
      <c r="G6" s="2"/>
      <c r="H6" s="3"/>
      <c r="I6" s="127" t="s">
        <v>6</v>
      </c>
      <c r="J6" s="127"/>
      <c r="K6" s="127"/>
      <c r="L6" s="127" t="s">
        <v>7</v>
      </c>
      <c r="M6" s="127"/>
      <c r="N6" s="127"/>
      <c r="O6" s="127"/>
      <c r="P6" s="127" t="s">
        <v>8</v>
      </c>
      <c r="Q6" s="127"/>
      <c r="R6" s="127"/>
      <c r="S6" s="127"/>
      <c r="T6" s="134"/>
      <c r="U6" s="95"/>
      <c r="V6" s="96"/>
      <c r="W6" s="96"/>
      <c r="X6" s="96"/>
      <c r="Y6" s="96"/>
      <c r="Z6" s="97"/>
    </row>
    <row r="7" spans="1:26" ht="37.5" customHeight="1" x14ac:dyDescent="0.25">
      <c r="A7" s="152" t="s">
        <v>9</v>
      </c>
      <c r="B7" s="152"/>
      <c r="C7" s="152"/>
      <c r="D7" s="152"/>
      <c r="E7" s="152"/>
      <c r="F7" s="152"/>
      <c r="G7" s="153" t="s">
        <v>10</v>
      </c>
      <c r="H7" s="153"/>
      <c r="I7" s="153"/>
      <c r="J7" s="153"/>
      <c r="K7" s="153"/>
      <c r="L7" s="153"/>
      <c r="M7" s="153"/>
      <c r="N7" s="153"/>
      <c r="O7" s="153"/>
      <c r="P7" s="153"/>
      <c r="Q7" s="153"/>
      <c r="R7" s="153"/>
      <c r="S7" s="153"/>
      <c r="T7" s="153"/>
      <c r="U7" s="153"/>
      <c r="V7" s="153"/>
      <c r="W7" s="153"/>
      <c r="X7" s="153"/>
      <c r="Y7" s="153"/>
      <c r="Z7" s="153"/>
    </row>
    <row r="8" spans="1:26" ht="15.9" customHeight="1" x14ac:dyDescent="0.25">
      <c r="A8" s="4" t="s">
        <v>11</v>
      </c>
      <c r="B8" s="5" t="s">
        <v>12</v>
      </c>
      <c r="C8" s="6"/>
      <c r="D8" s="7"/>
      <c r="E8" s="7"/>
      <c r="F8" s="7"/>
      <c r="G8" s="7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8"/>
    </row>
    <row r="9" spans="1:26" ht="8.25" customHeight="1" x14ac:dyDescent="0.25">
      <c r="A9" s="9"/>
      <c r="D9" s="10"/>
      <c r="E9" s="10"/>
      <c r="F9" s="10"/>
      <c r="G9" s="10"/>
      <c r="Z9" s="11"/>
    </row>
    <row r="10" spans="1:26" ht="15.9" customHeight="1" x14ac:dyDescent="0.25">
      <c r="A10" s="9"/>
      <c r="B10" s="88" t="s">
        <v>13</v>
      </c>
      <c r="C10" s="88"/>
      <c r="D10" s="88"/>
      <c r="E10" s="88"/>
      <c r="F10" s="88"/>
      <c r="G10" s="88"/>
      <c r="H10" s="154" t="s">
        <v>14</v>
      </c>
      <c r="I10" s="154"/>
      <c r="J10" s="154"/>
      <c r="K10" s="154"/>
      <c r="L10" s="154"/>
      <c r="M10" s="154"/>
      <c r="N10" s="88" t="s">
        <v>15</v>
      </c>
      <c r="O10" s="88"/>
      <c r="P10" s="88"/>
      <c r="Q10" s="88"/>
      <c r="R10" s="88"/>
      <c r="S10" s="113" t="s">
        <v>16</v>
      </c>
      <c r="T10" s="113"/>
      <c r="U10" s="113"/>
      <c r="V10" s="113"/>
      <c r="W10" s="113"/>
      <c r="X10" s="113"/>
      <c r="Y10" s="113"/>
      <c r="Z10" s="12"/>
    </row>
    <row r="11" spans="1:26" ht="15.9" customHeight="1" x14ac:dyDescent="0.25">
      <c r="A11" s="9"/>
      <c r="B11" s="88" t="s">
        <v>17</v>
      </c>
      <c r="C11" s="88"/>
      <c r="D11" s="88"/>
      <c r="E11" s="88"/>
      <c r="F11" s="88"/>
      <c r="G11" s="88"/>
      <c r="H11" s="154" t="s">
        <v>5</v>
      </c>
      <c r="I11" s="154"/>
      <c r="J11" s="154"/>
      <c r="K11" s="154"/>
      <c r="L11" s="154"/>
      <c r="M11" s="154"/>
      <c r="N11" s="88" t="s">
        <v>18</v>
      </c>
      <c r="O11" s="88"/>
      <c r="P11" s="88"/>
      <c r="Q11" s="88"/>
      <c r="R11" s="88"/>
      <c r="S11" s="113" t="s">
        <v>19</v>
      </c>
      <c r="T11" s="113"/>
      <c r="U11" s="113"/>
      <c r="V11" s="113"/>
      <c r="W11" s="113"/>
      <c r="X11" s="113"/>
      <c r="Y11" s="113"/>
      <c r="Z11" s="12"/>
    </row>
    <row r="12" spans="1:26" ht="15.9" customHeight="1" x14ac:dyDescent="0.25">
      <c r="A12" s="9"/>
      <c r="B12" s="88" t="s">
        <v>20</v>
      </c>
      <c r="C12" s="88"/>
      <c r="D12" s="88"/>
      <c r="E12" s="88"/>
      <c r="F12" s="88"/>
      <c r="G12" s="88"/>
      <c r="H12" s="154" t="s">
        <v>21</v>
      </c>
      <c r="I12" s="154"/>
      <c r="J12" s="154"/>
      <c r="K12" s="154"/>
      <c r="L12" s="154"/>
      <c r="M12" s="154"/>
      <c r="N12" s="88" t="s">
        <v>22</v>
      </c>
      <c r="O12" s="88"/>
      <c r="P12" s="88"/>
      <c r="Q12" s="88"/>
      <c r="R12" s="88"/>
      <c r="S12" s="113" t="s">
        <v>23</v>
      </c>
      <c r="T12" s="113"/>
      <c r="U12" s="113"/>
      <c r="V12" s="113"/>
      <c r="W12" s="113"/>
      <c r="X12" s="113"/>
      <c r="Y12" s="113"/>
      <c r="Z12" s="12"/>
    </row>
    <row r="13" spans="1:26" ht="8.25" customHeight="1" x14ac:dyDescent="0.25">
      <c r="A13" s="13"/>
      <c r="B13" s="3"/>
      <c r="C13" s="3"/>
      <c r="D13" s="14"/>
      <c r="E13" s="14"/>
      <c r="F13" s="14"/>
      <c r="G13" s="14"/>
      <c r="H13" s="3"/>
      <c r="I13" s="3"/>
      <c r="J13" s="3"/>
      <c r="K13" s="3"/>
      <c r="L13" s="3"/>
      <c r="M13" s="3"/>
      <c r="N13" s="15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16"/>
    </row>
    <row r="14" spans="1:26" s="17" customFormat="1" ht="15" customHeight="1" x14ac:dyDescent="0.25">
      <c r="B14" s="18"/>
      <c r="C14" s="18"/>
      <c r="K14" s="19"/>
      <c r="L14" s="18"/>
      <c r="M14" s="20"/>
    </row>
    <row r="15" spans="1:26" s="17" customFormat="1" ht="15" customHeight="1" x14ac:dyDescent="0.25">
      <c r="A15" s="4" t="s">
        <v>24</v>
      </c>
      <c r="B15" s="21" t="s">
        <v>25</v>
      </c>
      <c r="C15" s="22"/>
      <c r="D15" s="22"/>
      <c r="E15" s="22"/>
      <c r="F15" s="22"/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3"/>
    </row>
    <row r="16" spans="1:26" s="17" customFormat="1" ht="15" customHeight="1" x14ac:dyDescent="0.25">
      <c r="A16" s="24"/>
      <c r="B16" s="25"/>
      <c r="Z16" s="26"/>
    </row>
    <row r="17" spans="1:26" s="17" customFormat="1" ht="15" customHeight="1" x14ac:dyDescent="0.25">
      <c r="A17" s="24"/>
      <c r="B17" s="87" t="s">
        <v>26</v>
      </c>
      <c r="C17" s="87"/>
      <c r="D17" s="87"/>
      <c r="E17" s="87"/>
      <c r="F17" s="87"/>
      <c r="G17" s="87"/>
      <c r="H17" s="87"/>
      <c r="I17" s="118"/>
      <c r="J17" s="118"/>
      <c r="K17" s="118"/>
      <c r="L17" s="118"/>
      <c r="M17" s="118"/>
      <c r="N17" s="118"/>
      <c r="O17" s="118"/>
      <c r="P17" s="118"/>
      <c r="Q17" s="118"/>
      <c r="R17" s="118"/>
      <c r="S17" s="118"/>
      <c r="T17" s="118"/>
      <c r="U17" s="118"/>
      <c r="V17" s="118"/>
      <c r="W17" s="118"/>
      <c r="X17" s="118"/>
      <c r="Y17" s="118"/>
      <c r="Z17" s="28"/>
    </row>
    <row r="18" spans="1:26" s="17" customFormat="1" ht="15" customHeight="1" x14ac:dyDescent="0.25">
      <c r="A18" s="24"/>
      <c r="B18" s="87" t="s">
        <v>27</v>
      </c>
      <c r="C18" s="87"/>
      <c r="D18" s="87"/>
      <c r="E18" s="87"/>
      <c r="F18" s="87"/>
      <c r="G18" s="87"/>
      <c r="H18" s="87"/>
      <c r="I18" s="206" t="s">
        <v>28</v>
      </c>
      <c r="J18" s="206"/>
      <c r="K18" s="27">
        <v>50</v>
      </c>
      <c r="L18" s="27" t="s">
        <v>29</v>
      </c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8"/>
    </row>
    <row r="19" spans="1:26" s="17" customFormat="1" ht="13.2" customHeight="1" x14ac:dyDescent="0.25">
      <c r="A19" s="29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1"/>
    </row>
    <row r="20" spans="1:26" ht="12.75" customHeight="1" x14ac:dyDescent="0.25">
      <c r="D20" s="10"/>
      <c r="E20" s="10"/>
      <c r="F20" s="10"/>
      <c r="G20" s="10"/>
      <c r="N20" s="32"/>
    </row>
    <row r="21" spans="1:26" ht="15.9" customHeight="1" x14ac:dyDescent="0.25">
      <c r="A21" s="4" t="s">
        <v>30</v>
      </c>
      <c r="B21" s="50" t="s">
        <v>31</v>
      </c>
      <c r="C21" s="33"/>
      <c r="D21" s="34"/>
      <c r="E21" s="34"/>
      <c r="F21" s="34"/>
      <c r="G21" s="34"/>
      <c r="H21" s="33"/>
      <c r="I21" s="33"/>
      <c r="J21" s="33"/>
      <c r="K21" s="49" t="s">
        <v>32</v>
      </c>
      <c r="L21" s="33"/>
      <c r="M21" s="6"/>
      <c r="N21" s="6"/>
      <c r="O21" s="6"/>
      <c r="P21" s="6"/>
      <c r="Q21" s="49">
        <v>600</v>
      </c>
      <c r="R21" s="6"/>
      <c r="S21" s="6"/>
      <c r="T21" s="6"/>
      <c r="U21" s="6"/>
      <c r="V21" s="6"/>
      <c r="W21" s="6"/>
      <c r="X21" s="6"/>
      <c r="Y21" s="6"/>
      <c r="Z21" s="8"/>
    </row>
    <row r="22" spans="1:26" ht="12.75" customHeight="1" x14ac:dyDescent="0.25">
      <c r="A22" s="9"/>
      <c r="B22" s="51"/>
      <c r="Z22" s="11"/>
    </row>
    <row r="23" spans="1:26" ht="15.75" customHeight="1" x14ac:dyDescent="0.25">
      <c r="A23" s="9"/>
      <c r="B23" s="265" t="s">
        <v>33</v>
      </c>
      <c r="C23" s="255" t="s">
        <v>34</v>
      </c>
      <c r="D23" s="255"/>
      <c r="E23" s="255"/>
      <c r="F23" s="255"/>
      <c r="G23" s="256"/>
      <c r="H23" s="262" t="s">
        <v>35</v>
      </c>
      <c r="I23" s="263"/>
      <c r="J23" s="264"/>
      <c r="K23" s="255" t="s">
        <v>36</v>
      </c>
      <c r="L23" s="255"/>
      <c r="M23" s="255"/>
      <c r="N23" s="255"/>
      <c r="O23" s="255"/>
      <c r="P23" s="256"/>
      <c r="Z23" s="11"/>
    </row>
    <row r="24" spans="1:26" ht="15.75" customHeight="1" x14ac:dyDescent="0.25">
      <c r="A24" s="9"/>
      <c r="B24" s="266"/>
      <c r="C24" s="257"/>
      <c r="D24" s="257"/>
      <c r="E24" s="257"/>
      <c r="F24" s="257"/>
      <c r="G24" s="258"/>
      <c r="H24" s="259" t="s">
        <v>37</v>
      </c>
      <c r="I24" s="260"/>
      <c r="J24" s="261"/>
      <c r="K24" s="257"/>
      <c r="L24" s="257"/>
      <c r="M24" s="257"/>
      <c r="N24" s="257"/>
      <c r="O24" s="257"/>
      <c r="P24" s="258"/>
      <c r="Z24" s="11"/>
    </row>
    <row r="25" spans="1:26" ht="19.5" customHeight="1" x14ac:dyDescent="0.25">
      <c r="A25" s="9"/>
      <c r="B25" s="61">
        <v>1</v>
      </c>
      <c r="C25" s="267" t="s">
        <v>38</v>
      </c>
      <c r="D25" s="268"/>
      <c r="E25" s="268"/>
      <c r="F25" s="268"/>
      <c r="G25" s="269"/>
      <c r="H25" s="176">
        <v>85</v>
      </c>
      <c r="I25" s="177"/>
      <c r="J25" s="178"/>
      <c r="K25" s="98"/>
      <c r="L25" s="99"/>
      <c r="M25" s="99"/>
      <c r="N25" s="99"/>
      <c r="O25" s="99"/>
      <c r="P25" s="100"/>
      <c r="Z25" s="11"/>
    </row>
    <row r="26" spans="1:26" ht="19.5" customHeight="1" x14ac:dyDescent="0.25">
      <c r="A26" s="9"/>
      <c r="B26" s="61">
        <v>2</v>
      </c>
      <c r="C26" s="267" t="s">
        <v>39</v>
      </c>
      <c r="D26" s="268"/>
      <c r="E26" s="268"/>
      <c r="F26" s="268"/>
      <c r="G26" s="269"/>
      <c r="H26" s="176">
        <v>125</v>
      </c>
      <c r="I26" s="177"/>
      <c r="J26" s="178"/>
      <c r="K26" s="98"/>
      <c r="L26" s="99"/>
      <c r="M26" s="99"/>
      <c r="N26" s="99"/>
      <c r="O26" s="99"/>
      <c r="P26" s="100"/>
      <c r="Z26" s="11"/>
    </row>
    <row r="27" spans="1:26" ht="19.5" customHeight="1" x14ac:dyDescent="0.25">
      <c r="A27" s="9"/>
      <c r="B27" s="61">
        <v>3</v>
      </c>
      <c r="C27" s="267" t="s">
        <v>40</v>
      </c>
      <c r="D27" s="268"/>
      <c r="E27" s="268"/>
      <c r="F27" s="268"/>
      <c r="G27" s="269"/>
      <c r="H27" s="176">
        <v>128</v>
      </c>
      <c r="I27" s="177"/>
      <c r="J27" s="178"/>
      <c r="K27" s="98"/>
      <c r="L27" s="99"/>
      <c r="M27" s="99"/>
      <c r="N27" s="99"/>
      <c r="O27" s="99"/>
      <c r="P27" s="100"/>
      <c r="Z27" s="11"/>
    </row>
    <row r="28" spans="1:26" ht="19.5" customHeight="1" x14ac:dyDescent="0.25">
      <c r="A28" s="9"/>
      <c r="B28" s="61">
        <v>4</v>
      </c>
      <c r="C28" s="267" t="s">
        <v>41</v>
      </c>
      <c r="D28" s="268"/>
      <c r="E28" s="268"/>
      <c r="F28" s="268"/>
      <c r="G28" s="269"/>
      <c r="H28" s="176">
        <v>112</v>
      </c>
      <c r="I28" s="177"/>
      <c r="J28" s="178"/>
      <c r="K28" s="98"/>
      <c r="L28" s="99"/>
      <c r="M28" s="99"/>
      <c r="N28" s="99"/>
      <c r="O28" s="99"/>
      <c r="P28" s="100"/>
      <c r="Z28" s="11"/>
    </row>
    <row r="29" spans="1:26" ht="19.5" customHeight="1" x14ac:dyDescent="0.25">
      <c r="A29" s="9"/>
      <c r="B29" s="61">
        <v>5</v>
      </c>
      <c r="C29" s="267" t="s">
        <v>42</v>
      </c>
      <c r="D29" s="268"/>
      <c r="E29" s="268"/>
      <c r="F29" s="268"/>
      <c r="G29" s="269"/>
      <c r="H29" s="176">
        <v>140</v>
      </c>
      <c r="I29" s="177"/>
      <c r="J29" s="178"/>
      <c r="K29" s="98"/>
      <c r="L29" s="99"/>
      <c r="M29" s="99"/>
      <c r="N29" s="99"/>
      <c r="O29" s="99"/>
      <c r="P29" s="100"/>
      <c r="Z29" s="11"/>
    </row>
    <row r="30" spans="1:26" ht="19.5" customHeight="1" x14ac:dyDescent="0.25">
      <c r="A30" s="9"/>
      <c r="B30" s="61">
        <v>6</v>
      </c>
      <c r="C30" s="267" t="s">
        <v>43</v>
      </c>
      <c r="D30" s="268"/>
      <c r="E30" s="268"/>
      <c r="F30" s="268"/>
      <c r="G30" s="269"/>
      <c r="H30" s="176">
        <v>173</v>
      </c>
      <c r="I30" s="177"/>
      <c r="J30" s="178"/>
      <c r="K30" s="98"/>
      <c r="L30" s="99"/>
      <c r="M30" s="99"/>
      <c r="N30" s="99"/>
      <c r="O30" s="99"/>
      <c r="P30" s="100"/>
      <c r="Z30" s="11"/>
    </row>
    <row r="31" spans="1:26" ht="19.5" customHeight="1" x14ac:dyDescent="0.25">
      <c r="A31" s="9"/>
      <c r="B31" s="61">
        <v>7</v>
      </c>
      <c r="C31" s="267" t="s">
        <v>44</v>
      </c>
      <c r="D31" s="268"/>
      <c r="E31" s="268"/>
      <c r="F31" s="268"/>
      <c r="G31" s="269"/>
      <c r="H31" s="176">
        <v>103</v>
      </c>
      <c r="I31" s="177"/>
      <c r="J31" s="178"/>
      <c r="K31" s="98"/>
      <c r="L31" s="99"/>
      <c r="M31" s="99"/>
      <c r="N31" s="99"/>
      <c r="O31" s="99"/>
      <c r="P31" s="100"/>
      <c r="Z31" s="11"/>
    </row>
    <row r="32" spans="1:26" ht="19.5" customHeight="1" x14ac:dyDescent="0.25">
      <c r="A32" s="9"/>
      <c r="B32" s="61">
        <v>8</v>
      </c>
      <c r="C32" s="267" t="s">
        <v>45</v>
      </c>
      <c r="D32" s="268"/>
      <c r="E32" s="268"/>
      <c r="F32" s="268"/>
      <c r="G32" s="269"/>
      <c r="H32" s="176">
        <v>104</v>
      </c>
      <c r="I32" s="177"/>
      <c r="J32" s="178"/>
      <c r="K32" s="98"/>
      <c r="L32" s="99"/>
      <c r="M32" s="99"/>
      <c r="N32" s="99"/>
      <c r="O32" s="99"/>
      <c r="P32" s="100"/>
      <c r="Z32" s="11"/>
    </row>
    <row r="33" spans="1:26" ht="19.5" customHeight="1" x14ac:dyDescent="0.25">
      <c r="A33" s="9"/>
      <c r="B33" s="61">
        <v>9</v>
      </c>
      <c r="C33" s="267" t="s">
        <v>46</v>
      </c>
      <c r="D33" s="268"/>
      <c r="E33" s="268"/>
      <c r="F33" s="268"/>
      <c r="G33" s="269"/>
      <c r="H33" s="176">
        <v>70</v>
      </c>
      <c r="I33" s="177"/>
      <c r="J33" s="178"/>
      <c r="K33" s="98"/>
      <c r="L33" s="99"/>
      <c r="M33" s="99"/>
      <c r="N33" s="99"/>
      <c r="O33" s="99"/>
      <c r="P33" s="100"/>
      <c r="Z33" s="11"/>
    </row>
    <row r="34" spans="1:26" ht="19.5" customHeight="1" x14ac:dyDescent="0.25">
      <c r="A34" s="9"/>
      <c r="B34" s="61">
        <v>10</v>
      </c>
      <c r="C34" s="267" t="s">
        <v>47</v>
      </c>
      <c r="D34" s="268"/>
      <c r="E34" s="268"/>
      <c r="F34" s="268"/>
      <c r="G34" s="269"/>
      <c r="H34" s="176">
        <v>65</v>
      </c>
      <c r="I34" s="177"/>
      <c r="J34" s="178"/>
      <c r="K34" s="98"/>
      <c r="L34" s="99"/>
      <c r="M34" s="99"/>
      <c r="N34" s="99"/>
      <c r="O34" s="99"/>
      <c r="P34" s="100"/>
      <c r="Z34" s="11"/>
    </row>
    <row r="35" spans="1:26" ht="25.8" customHeight="1" x14ac:dyDescent="0.25">
      <c r="A35" s="9"/>
      <c r="B35" s="61">
        <v>11</v>
      </c>
      <c r="C35" s="271" t="s">
        <v>68</v>
      </c>
      <c r="D35" s="272"/>
      <c r="E35" s="272"/>
      <c r="F35" s="272"/>
      <c r="G35" s="273"/>
      <c r="H35" s="176">
        <v>60</v>
      </c>
      <c r="I35" s="177"/>
      <c r="J35" s="178"/>
      <c r="K35" s="98"/>
      <c r="L35" s="99"/>
      <c r="M35" s="99"/>
      <c r="N35" s="99"/>
      <c r="O35" s="99"/>
      <c r="P35" s="100"/>
      <c r="Z35" s="11"/>
    </row>
    <row r="36" spans="1:26" ht="19.5" customHeight="1" x14ac:dyDescent="0.25">
      <c r="A36" s="9"/>
      <c r="B36" s="61">
        <v>12</v>
      </c>
      <c r="C36" s="267" t="s">
        <v>48</v>
      </c>
      <c r="D36" s="268"/>
      <c r="E36" s="268"/>
      <c r="F36" s="268"/>
      <c r="G36" s="269"/>
      <c r="H36" s="176">
        <v>82</v>
      </c>
      <c r="I36" s="177"/>
      <c r="J36" s="178"/>
      <c r="K36" s="98"/>
      <c r="L36" s="99"/>
      <c r="M36" s="99"/>
      <c r="N36" s="99"/>
      <c r="O36" s="99"/>
      <c r="P36" s="100"/>
      <c r="Z36" s="11"/>
    </row>
    <row r="37" spans="1:26" ht="28.2" customHeight="1" x14ac:dyDescent="0.25">
      <c r="A37" s="9"/>
      <c r="B37" s="61">
        <v>13</v>
      </c>
      <c r="C37" s="271" t="s">
        <v>49</v>
      </c>
      <c r="D37" s="272"/>
      <c r="E37" s="272"/>
      <c r="F37" s="272"/>
      <c r="G37" s="273"/>
      <c r="H37" s="176">
        <v>116</v>
      </c>
      <c r="I37" s="177"/>
      <c r="J37" s="178"/>
      <c r="K37" s="98"/>
      <c r="L37" s="99"/>
      <c r="M37" s="99"/>
      <c r="N37" s="99"/>
      <c r="O37" s="99"/>
      <c r="P37" s="100"/>
      <c r="Z37" s="11"/>
    </row>
    <row r="38" spans="1:26" ht="19.5" customHeight="1" x14ac:dyDescent="0.25">
      <c r="A38" s="9"/>
      <c r="B38" s="61">
        <v>14</v>
      </c>
      <c r="C38" s="267" t="s">
        <v>48</v>
      </c>
      <c r="D38" s="268"/>
      <c r="E38" s="268"/>
      <c r="F38" s="268"/>
      <c r="G38" s="269"/>
      <c r="H38" s="176">
        <v>107</v>
      </c>
      <c r="I38" s="177"/>
      <c r="J38" s="178"/>
      <c r="K38" s="98"/>
      <c r="L38" s="99"/>
      <c r="M38" s="99"/>
      <c r="N38" s="99"/>
      <c r="O38" s="99"/>
      <c r="P38" s="100"/>
      <c r="Z38" s="11"/>
    </row>
    <row r="39" spans="1:26" ht="19.5" customHeight="1" x14ac:dyDescent="0.25">
      <c r="A39" s="9"/>
      <c r="B39" s="61">
        <v>15</v>
      </c>
      <c r="C39" s="267" t="s">
        <v>50</v>
      </c>
      <c r="D39" s="268"/>
      <c r="E39" s="268"/>
      <c r="F39" s="268"/>
      <c r="G39" s="269"/>
      <c r="H39" s="176">
        <v>123</v>
      </c>
      <c r="I39" s="177"/>
      <c r="J39" s="178"/>
      <c r="K39" s="188"/>
      <c r="L39" s="189"/>
      <c r="M39" s="189"/>
      <c r="N39" s="189"/>
      <c r="O39" s="189"/>
      <c r="P39" s="270"/>
      <c r="Z39" s="11"/>
    </row>
    <row r="40" spans="1:26" ht="19.5" customHeight="1" x14ac:dyDescent="0.25">
      <c r="A40" s="9"/>
      <c r="B40" s="61">
        <v>16</v>
      </c>
      <c r="C40" s="267" t="s">
        <v>51</v>
      </c>
      <c r="D40" s="268"/>
      <c r="E40" s="268"/>
      <c r="F40" s="268"/>
      <c r="G40" s="269"/>
      <c r="H40" s="176">
        <v>102</v>
      </c>
      <c r="I40" s="177"/>
      <c r="J40" s="178"/>
      <c r="K40" s="98"/>
      <c r="L40" s="99"/>
      <c r="M40" s="99"/>
      <c r="N40" s="99"/>
      <c r="O40" s="99"/>
      <c r="P40" s="100"/>
      <c r="Z40" s="11"/>
    </row>
    <row r="41" spans="1:26" ht="19.5" customHeight="1" x14ac:dyDescent="0.25">
      <c r="A41" s="9"/>
      <c r="B41" s="61"/>
      <c r="C41" s="267"/>
      <c r="D41" s="268"/>
      <c r="E41" s="268"/>
      <c r="F41" s="268"/>
      <c r="G41" s="269"/>
      <c r="H41" s="176"/>
      <c r="I41" s="177"/>
      <c r="J41" s="178"/>
      <c r="K41" s="98"/>
      <c r="L41" s="99"/>
      <c r="M41" s="99"/>
      <c r="N41" s="99"/>
      <c r="O41" s="99"/>
      <c r="P41" s="100"/>
      <c r="Z41" s="11"/>
    </row>
    <row r="42" spans="1:26" ht="19.5" customHeight="1" x14ac:dyDescent="0.25">
      <c r="A42" s="9"/>
      <c r="B42" s="61"/>
      <c r="C42" s="267"/>
      <c r="D42" s="268"/>
      <c r="E42" s="268"/>
      <c r="F42" s="268"/>
      <c r="G42" s="269"/>
      <c r="H42" s="176"/>
      <c r="I42" s="177"/>
      <c r="J42" s="178"/>
      <c r="K42" s="98"/>
      <c r="L42" s="99"/>
      <c r="M42" s="99"/>
      <c r="N42" s="99"/>
      <c r="O42" s="99"/>
      <c r="P42" s="100"/>
      <c r="Z42" s="11"/>
    </row>
    <row r="43" spans="1:26" ht="19.5" customHeight="1" x14ac:dyDescent="0.25">
      <c r="A43" s="9"/>
      <c r="B43" s="61"/>
      <c r="C43" s="267"/>
      <c r="D43" s="268"/>
      <c r="E43" s="268"/>
      <c r="F43" s="268"/>
      <c r="G43" s="269"/>
      <c r="H43" s="176"/>
      <c r="I43" s="177"/>
      <c r="J43" s="178"/>
      <c r="K43" s="98"/>
      <c r="L43" s="99"/>
      <c r="M43" s="99"/>
      <c r="N43" s="99"/>
      <c r="O43" s="99"/>
      <c r="P43" s="100"/>
      <c r="Z43" s="11"/>
    </row>
    <row r="44" spans="1:26" ht="19.5" customHeight="1" x14ac:dyDescent="0.25">
      <c r="A44" s="9"/>
      <c r="B44" s="61"/>
      <c r="C44" s="267"/>
      <c r="D44" s="268"/>
      <c r="E44" s="268"/>
      <c r="F44" s="268"/>
      <c r="G44" s="269"/>
      <c r="H44" s="176"/>
      <c r="I44" s="177"/>
      <c r="J44" s="178"/>
      <c r="K44" s="98"/>
      <c r="L44" s="99"/>
      <c r="M44" s="99"/>
      <c r="N44" s="99"/>
      <c r="O44" s="99"/>
      <c r="P44" s="100"/>
      <c r="Z44" s="11"/>
    </row>
    <row r="45" spans="1:26" ht="19.5" customHeight="1" x14ac:dyDescent="0.25">
      <c r="A45" s="9"/>
      <c r="B45" s="62"/>
      <c r="C45" s="123"/>
      <c r="D45" s="123"/>
      <c r="E45" s="123"/>
      <c r="F45" s="123"/>
      <c r="G45" s="124"/>
      <c r="H45" s="119"/>
      <c r="I45" s="120"/>
      <c r="J45" s="121"/>
      <c r="K45" s="122"/>
      <c r="L45" s="123"/>
      <c r="M45" s="123"/>
      <c r="N45" s="123"/>
      <c r="O45" s="123"/>
      <c r="P45" s="124"/>
      <c r="Z45" s="11"/>
    </row>
    <row r="46" spans="1:26" ht="15.75" customHeight="1" x14ac:dyDescent="0.25">
      <c r="A46" s="9"/>
      <c r="B46" s="235" t="s">
        <v>52</v>
      </c>
      <c r="C46" s="236"/>
      <c r="D46" s="236"/>
      <c r="E46" s="236"/>
      <c r="F46" s="236"/>
      <c r="G46" s="237"/>
      <c r="H46" s="81">
        <f>AVERAGE(H25:J45)</f>
        <v>105.9375</v>
      </c>
      <c r="I46" s="82"/>
      <c r="J46" s="83"/>
      <c r="K46" s="249">
        <v>100</v>
      </c>
      <c r="L46" s="250"/>
      <c r="M46" s="243" t="s">
        <v>53</v>
      </c>
      <c r="N46" s="243"/>
      <c r="O46" s="243"/>
      <c r="P46" s="244"/>
      <c r="Z46" s="11"/>
    </row>
    <row r="47" spans="1:26" ht="15.75" customHeight="1" x14ac:dyDescent="0.25">
      <c r="A47" s="9"/>
      <c r="B47" s="229" t="s">
        <v>54</v>
      </c>
      <c r="C47" s="230"/>
      <c r="D47" s="230"/>
      <c r="E47" s="230"/>
      <c r="F47" s="230"/>
      <c r="G47" s="231"/>
      <c r="H47" s="223">
        <f>IF(COUNTIF(H25:J45,"*&lt;20*"),"&lt;20",MIN(H25:J45))</f>
        <v>60</v>
      </c>
      <c r="I47" s="224"/>
      <c r="J47" s="225"/>
      <c r="K47" s="251"/>
      <c r="L47" s="252"/>
      <c r="M47" s="245"/>
      <c r="N47" s="245"/>
      <c r="O47" s="245"/>
      <c r="P47" s="246"/>
      <c r="Z47" s="11"/>
    </row>
    <row r="48" spans="1:26" ht="15.75" customHeight="1" x14ac:dyDescent="0.25">
      <c r="A48" s="9"/>
      <c r="B48" s="232" t="s">
        <v>55</v>
      </c>
      <c r="C48" s="233"/>
      <c r="D48" s="233"/>
      <c r="E48" s="233"/>
      <c r="F48" s="233"/>
      <c r="G48" s="234"/>
      <c r="H48" s="220">
        <f>IF(COUNTIF(H25:J45,"*&gt;250*"),"&gt;250",MAX(H25:J45))</f>
        <v>173</v>
      </c>
      <c r="I48" s="221"/>
      <c r="J48" s="222"/>
      <c r="K48" s="253"/>
      <c r="L48" s="254"/>
      <c r="M48" s="247"/>
      <c r="N48" s="247"/>
      <c r="O48" s="247"/>
      <c r="P48" s="248"/>
      <c r="Z48" s="11"/>
    </row>
    <row r="49" spans="1:26" ht="15.9" customHeight="1" x14ac:dyDescent="0.25">
      <c r="A49" s="35"/>
      <c r="B49" s="52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16"/>
    </row>
    <row r="50" spans="1:26" ht="12.75" customHeight="1" x14ac:dyDescent="0.25">
      <c r="A50" s="36"/>
      <c r="B50" s="37"/>
    </row>
    <row r="51" spans="1:26" s="17" customFormat="1" ht="30.75" customHeight="1" x14ac:dyDescent="0.25">
      <c r="A51" s="38" t="s">
        <v>56</v>
      </c>
      <c r="B51" s="39" t="s">
        <v>57</v>
      </c>
      <c r="C51" s="40"/>
      <c r="D51" s="40"/>
      <c r="E51" s="40"/>
      <c r="F51" s="41"/>
      <c r="G51" s="41"/>
      <c r="H51" s="41"/>
      <c r="I51" s="6"/>
      <c r="J51" s="6"/>
      <c r="K51" s="6"/>
      <c r="L51" s="6"/>
      <c r="M51" s="6"/>
      <c r="N51" s="6"/>
      <c r="O51" s="6"/>
      <c r="P51" s="6"/>
      <c r="Q51" s="41"/>
      <c r="R51" s="6"/>
      <c r="S51" s="6"/>
      <c r="T51" s="6"/>
      <c r="U51" s="240"/>
      <c r="V51" s="240"/>
      <c r="W51" s="240"/>
      <c r="X51" s="241"/>
      <c r="Y51" s="241"/>
      <c r="Z51" s="242"/>
    </row>
    <row r="52" spans="1:26" s="17" customFormat="1" ht="28.5" customHeight="1" x14ac:dyDescent="0.25">
      <c r="A52" s="167" t="s">
        <v>58</v>
      </c>
      <c r="B52" s="168"/>
      <c r="C52" s="168"/>
      <c r="D52" s="168"/>
      <c r="E52" s="168"/>
      <c r="F52" s="168"/>
      <c r="G52" s="168"/>
      <c r="H52" s="168"/>
      <c r="I52" s="168"/>
      <c r="J52" s="168"/>
      <c r="K52" s="218"/>
      <c r="L52" s="226" t="s">
        <v>59</v>
      </c>
      <c r="M52" s="227"/>
      <c r="N52" s="227"/>
      <c r="O52" s="227"/>
      <c r="P52" s="227"/>
      <c r="Q52" s="228"/>
      <c r="R52" s="161" t="s">
        <v>60</v>
      </c>
      <c r="S52" s="162"/>
      <c r="T52" s="163"/>
      <c r="U52" s="188" t="s">
        <v>61</v>
      </c>
      <c r="V52" s="189"/>
      <c r="W52" s="189"/>
      <c r="X52" s="190"/>
      <c r="Y52" s="190"/>
      <c r="Z52" s="191"/>
    </row>
    <row r="53" spans="1:26" s="17" customFormat="1" ht="14.25" customHeight="1" x14ac:dyDescent="0.25">
      <c r="A53" s="9"/>
      <c r="B53" s="1"/>
      <c r="C53" s="42"/>
      <c r="D53" s="1"/>
      <c r="E53" s="1"/>
      <c r="F53" s="1"/>
      <c r="G53" s="1"/>
      <c r="H53" s="171"/>
      <c r="I53" s="171"/>
      <c r="J53" s="171"/>
      <c r="K53" s="219"/>
      <c r="L53" s="1"/>
      <c r="M53" s="171"/>
      <c r="N53" s="171"/>
      <c r="O53" s="171"/>
      <c r="P53" s="171"/>
      <c r="Q53" s="172"/>
      <c r="R53" s="161" t="s">
        <v>62</v>
      </c>
      <c r="S53" s="162"/>
      <c r="T53" s="163"/>
      <c r="U53" s="192" t="s">
        <v>63</v>
      </c>
      <c r="V53" s="193"/>
      <c r="W53" s="193"/>
      <c r="X53" s="193"/>
      <c r="Y53" s="193"/>
      <c r="Z53" s="238"/>
    </row>
    <row r="54" spans="1:26" s="17" customFormat="1" ht="9" customHeight="1" x14ac:dyDescent="0.25">
      <c r="A54" s="9"/>
      <c r="B54" s="1"/>
      <c r="C54" s="1"/>
      <c r="D54" s="1"/>
      <c r="E54" s="1"/>
      <c r="F54" s="1"/>
      <c r="G54" s="1"/>
      <c r="H54" s="1"/>
      <c r="I54" s="1"/>
      <c r="J54" s="1"/>
      <c r="K54" s="43"/>
      <c r="L54" s="1"/>
      <c r="M54" s="1"/>
      <c r="N54" s="1"/>
      <c r="O54" s="1"/>
      <c r="P54" s="1"/>
      <c r="Q54" s="11"/>
      <c r="R54" s="161"/>
      <c r="S54" s="162"/>
      <c r="T54" s="163"/>
      <c r="U54" s="196"/>
      <c r="V54" s="103"/>
      <c r="W54" s="103"/>
      <c r="X54" s="103"/>
      <c r="Y54" s="103"/>
      <c r="Z54" s="239"/>
    </row>
    <row r="55" spans="1:26" s="17" customFormat="1" ht="12.75" customHeight="1" x14ac:dyDescent="0.25">
      <c r="A55" s="13"/>
      <c r="B55" s="3"/>
      <c r="C55" s="3"/>
      <c r="D55" s="3"/>
      <c r="E55" s="3"/>
      <c r="F55" s="3"/>
      <c r="G55" s="3"/>
      <c r="H55" s="3"/>
      <c r="I55" s="3"/>
      <c r="J55" s="3"/>
      <c r="K55" s="44"/>
      <c r="L55" s="3"/>
      <c r="M55" s="3"/>
      <c r="N55" s="3"/>
      <c r="O55" s="3"/>
      <c r="P55" s="3"/>
      <c r="Q55" s="16"/>
      <c r="R55" s="161"/>
      <c r="S55" s="162"/>
      <c r="T55" s="163"/>
      <c r="U55" s="196"/>
      <c r="V55" s="103"/>
      <c r="W55" s="103"/>
      <c r="X55" s="103"/>
      <c r="Y55" s="103"/>
      <c r="Z55" s="239"/>
    </row>
    <row r="56" spans="1:26" s="17" customFormat="1" ht="14.25" customHeight="1" x14ac:dyDescent="0.25">
      <c r="A56" s="45" t="s">
        <v>64</v>
      </c>
      <c r="B56" s="46" t="s">
        <v>65</v>
      </c>
      <c r="C56" s="1"/>
      <c r="D56" s="1"/>
      <c r="E56" s="47"/>
      <c r="F56" s="47"/>
      <c r="G56" s="47"/>
      <c r="H56" s="47"/>
      <c r="I56" s="47"/>
      <c r="J56" s="47"/>
      <c r="K56" s="47"/>
      <c r="L56" s="47"/>
      <c r="M56" s="47"/>
      <c r="N56" s="47"/>
      <c r="O56" s="47"/>
      <c r="P56" s="47"/>
      <c r="Q56" s="48"/>
      <c r="R56" s="161" t="s">
        <v>66</v>
      </c>
      <c r="S56" s="162"/>
      <c r="T56" s="163"/>
      <c r="U56" s="53"/>
      <c r="V56" s="54"/>
      <c r="W56" s="54"/>
      <c r="X56" s="54"/>
      <c r="Y56" s="54"/>
      <c r="Z56" s="55"/>
    </row>
    <row r="57" spans="1:26" s="17" customFormat="1" ht="12.75" customHeight="1" x14ac:dyDescent="0.25">
      <c r="A57" s="155"/>
      <c r="B57" s="156"/>
      <c r="C57" s="156"/>
      <c r="D57" s="156"/>
      <c r="E57" s="156"/>
      <c r="F57" s="156"/>
      <c r="G57" s="156"/>
      <c r="H57" s="156"/>
      <c r="I57" s="156"/>
      <c r="J57" s="156"/>
      <c r="K57" s="156"/>
      <c r="L57" s="156"/>
      <c r="M57" s="156"/>
      <c r="N57" s="156"/>
      <c r="O57" s="156"/>
      <c r="P57" s="156"/>
      <c r="Q57" s="157"/>
      <c r="R57" s="161"/>
      <c r="S57" s="162"/>
      <c r="T57" s="163"/>
      <c r="U57" s="56"/>
      <c r="V57" s="110" t="s">
        <v>67</v>
      </c>
      <c r="W57" s="110"/>
      <c r="X57" s="110"/>
      <c r="Y57" s="110"/>
      <c r="Z57" s="57"/>
    </row>
    <row r="58" spans="1:26" s="17" customFormat="1" ht="16.5" customHeight="1" x14ac:dyDescent="0.25">
      <c r="A58" s="155"/>
      <c r="B58" s="156"/>
      <c r="C58" s="156"/>
      <c r="D58" s="156"/>
      <c r="E58" s="156"/>
      <c r="F58" s="156"/>
      <c r="G58" s="156"/>
      <c r="H58" s="156"/>
      <c r="I58" s="156"/>
      <c r="J58" s="156"/>
      <c r="K58" s="156"/>
      <c r="L58" s="156"/>
      <c r="M58" s="156"/>
      <c r="N58" s="156"/>
      <c r="O58" s="156"/>
      <c r="P58" s="156"/>
      <c r="Q58" s="157"/>
      <c r="R58" s="161"/>
      <c r="S58" s="162"/>
      <c r="T58" s="163"/>
      <c r="U58" s="56"/>
      <c r="V58" s="110"/>
      <c r="W58" s="110"/>
      <c r="X58" s="110"/>
      <c r="Y58" s="110"/>
      <c r="Z58" s="57"/>
    </row>
    <row r="59" spans="1:26" s="17" customFormat="1" ht="15.6" customHeight="1" x14ac:dyDescent="0.25">
      <c r="A59" s="155"/>
      <c r="B59" s="156"/>
      <c r="C59" s="156"/>
      <c r="D59" s="156"/>
      <c r="E59" s="156"/>
      <c r="F59" s="156"/>
      <c r="G59" s="156"/>
      <c r="H59" s="156"/>
      <c r="I59" s="156"/>
      <c r="J59" s="156"/>
      <c r="K59" s="156"/>
      <c r="L59" s="156"/>
      <c r="M59" s="156"/>
      <c r="N59" s="156"/>
      <c r="O59" s="156"/>
      <c r="P59" s="156"/>
      <c r="Q59" s="157"/>
      <c r="R59" s="161"/>
      <c r="S59" s="162"/>
      <c r="T59" s="163"/>
      <c r="U59" s="56"/>
      <c r="V59" s="110"/>
      <c r="W59" s="110"/>
      <c r="X59" s="110"/>
      <c r="Y59" s="110"/>
      <c r="Z59" s="57"/>
    </row>
    <row r="60" spans="1:26" s="17" customFormat="1" ht="15" customHeight="1" x14ac:dyDescent="0.25">
      <c r="A60" s="158"/>
      <c r="B60" s="159"/>
      <c r="C60" s="159"/>
      <c r="D60" s="159"/>
      <c r="E60" s="159"/>
      <c r="F60" s="159"/>
      <c r="G60" s="159"/>
      <c r="H60" s="159"/>
      <c r="I60" s="159"/>
      <c r="J60" s="159"/>
      <c r="K60" s="159"/>
      <c r="L60" s="159"/>
      <c r="M60" s="159"/>
      <c r="N60" s="159"/>
      <c r="O60" s="159"/>
      <c r="P60" s="159"/>
      <c r="Q60" s="160"/>
      <c r="R60" s="164"/>
      <c r="S60" s="165"/>
      <c r="T60" s="166"/>
      <c r="U60" s="58"/>
      <c r="V60" s="59"/>
      <c r="W60" s="59"/>
      <c r="X60" s="59"/>
      <c r="Y60" s="59"/>
      <c r="Z60" s="60"/>
    </row>
    <row r="62" spans="1:26" ht="12.75" customHeight="1" x14ac:dyDescent="0.25">
      <c r="A62" s="1"/>
    </row>
    <row r="63" spans="1:26" ht="12.75" customHeight="1" x14ac:dyDescent="0.25">
      <c r="A63" s="1"/>
    </row>
    <row r="64" spans="1:26" ht="12.75" customHeight="1" x14ac:dyDescent="0.25">
      <c r="A64" s="1"/>
    </row>
    <row r="65" spans="1:1" ht="12.75" customHeight="1" x14ac:dyDescent="0.25">
      <c r="A65" s="1"/>
    </row>
    <row r="66" spans="1:1" ht="12.75" customHeight="1" x14ac:dyDescent="0.25">
      <c r="A66" s="1"/>
    </row>
    <row r="67" spans="1:1" ht="12.75" customHeight="1" x14ac:dyDescent="0.25">
      <c r="A67" s="1"/>
    </row>
  </sheetData>
  <sheetProtection formatCells="0" formatColumns="0" formatRows="0" insertColumns="0" insertRows="0" insertHyperlinks="0" deleteColumns="0" deleteRows="0" selectLockedCells="1" sort="0" autoFilter="0" pivotTables="0"/>
  <mergeCells count="117">
    <mergeCell ref="B17:H17"/>
    <mergeCell ref="B12:G12"/>
    <mergeCell ref="B11:G11"/>
    <mergeCell ref="N12:R12"/>
    <mergeCell ref="H12:M12"/>
    <mergeCell ref="H11:M11"/>
    <mergeCell ref="I18:J18"/>
    <mergeCell ref="H25:J25"/>
    <mergeCell ref="C25:G25"/>
    <mergeCell ref="H24:J24"/>
    <mergeCell ref="H23:J23"/>
    <mergeCell ref="B18:H18"/>
    <mergeCell ref="B23:B24"/>
    <mergeCell ref="C23:G24"/>
    <mergeCell ref="S10:Y10"/>
    <mergeCell ref="N10:R10"/>
    <mergeCell ref="G2:T4"/>
    <mergeCell ref="G5:H5"/>
    <mergeCell ref="A7:F7"/>
    <mergeCell ref="G7:Z7"/>
    <mergeCell ref="H10:M10"/>
    <mergeCell ref="I5:K5"/>
    <mergeCell ref="I6:K6"/>
    <mergeCell ref="A57:Q60"/>
    <mergeCell ref="R53:T55"/>
    <mergeCell ref="U53:Z55"/>
    <mergeCell ref="R56:T60"/>
    <mergeCell ref="V57:Y59"/>
    <mergeCell ref="U51:Z51"/>
    <mergeCell ref="U52:Z52"/>
    <mergeCell ref="L5:O5"/>
    <mergeCell ref="P5:T5"/>
    <mergeCell ref="L6:O6"/>
    <mergeCell ref="P6:T6"/>
    <mergeCell ref="N11:R11"/>
    <mergeCell ref="U1:Z6"/>
    <mergeCell ref="K25:P25"/>
    <mergeCell ref="R52:T52"/>
    <mergeCell ref="M46:P48"/>
    <mergeCell ref="K46:L48"/>
    <mergeCell ref="S12:Y12"/>
    <mergeCell ref="K23:P24"/>
    <mergeCell ref="I17:Y17"/>
    <mergeCell ref="S11:Y11"/>
    <mergeCell ref="A1:F6"/>
    <mergeCell ref="G1:T1"/>
    <mergeCell ref="B10:G10"/>
    <mergeCell ref="C45:G45"/>
    <mergeCell ref="H45:J45"/>
    <mergeCell ref="K45:P45"/>
    <mergeCell ref="A52:K52"/>
    <mergeCell ref="H53:K53"/>
    <mergeCell ref="M53:Q53"/>
    <mergeCell ref="H48:J48"/>
    <mergeCell ref="H46:J46"/>
    <mergeCell ref="H47:J47"/>
    <mergeCell ref="L52:Q52"/>
    <mergeCell ref="B47:G47"/>
    <mergeCell ref="B48:G48"/>
    <mergeCell ref="B46:G46"/>
    <mergeCell ref="C28:G28"/>
    <mergeCell ref="H28:J28"/>
    <mergeCell ref="K28:P28"/>
    <mergeCell ref="C29:G29"/>
    <mergeCell ref="H29:J29"/>
    <mergeCell ref="K29:P29"/>
    <mergeCell ref="C26:G26"/>
    <mergeCell ref="H26:J26"/>
    <mergeCell ref="K26:P26"/>
    <mergeCell ref="C27:G27"/>
    <mergeCell ref="H27:J27"/>
    <mergeCell ref="K27:P27"/>
    <mergeCell ref="C32:G32"/>
    <mergeCell ref="H32:J32"/>
    <mergeCell ref="K32:P32"/>
    <mergeCell ref="C33:G33"/>
    <mergeCell ref="H33:J33"/>
    <mergeCell ref="K33:P33"/>
    <mergeCell ref="C30:G30"/>
    <mergeCell ref="H30:J30"/>
    <mergeCell ref="K30:P30"/>
    <mergeCell ref="C31:G31"/>
    <mergeCell ref="H31:J31"/>
    <mergeCell ref="K31:P31"/>
    <mergeCell ref="C36:G36"/>
    <mergeCell ref="H36:J36"/>
    <mergeCell ref="K36:P36"/>
    <mergeCell ref="C37:G37"/>
    <mergeCell ref="H37:J37"/>
    <mergeCell ref="K37:P37"/>
    <mergeCell ref="C34:G34"/>
    <mergeCell ref="H34:J34"/>
    <mergeCell ref="K34:P34"/>
    <mergeCell ref="C35:G35"/>
    <mergeCell ref="H35:J35"/>
    <mergeCell ref="K35:P35"/>
    <mergeCell ref="C40:G40"/>
    <mergeCell ref="H40:J40"/>
    <mergeCell ref="K40:P40"/>
    <mergeCell ref="C41:G41"/>
    <mergeCell ref="H41:J41"/>
    <mergeCell ref="K41:P41"/>
    <mergeCell ref="C38:G38"/>
    <mergeCell ref="H38:J38"/>
    <mergeCell ref="K38:P38"/>
    <mergeCell ref="C39:G39"/>
    <mergeCell ref="H39:J39"/>
    <mergeCell ref="K39:P39"/>
    <mergeCell ref="C44:G44"/>
    <mergeCell ref="H44:J44"/>
    <mergeCell ref="K44:P44"/>
    <mergeCell ref="C42:G42"/>
    <mergeCell ref="H42:J42"/>
    <mergeCell ref="K42:P42"/>
    <mergeCell ref="C43:G43"/>
    <mergeCell ref="H43:J43"/>
    <mergeCell ref="K43:P43"/>
  </mergeCells>
  <phoneticPr fontId="13" type="noConversion"/>
  <printOptions horizontalCentered="1"/>
  <pageMargins left="0.39370078740157" right="0.39370078740157" top="0.39370078740157" bottom="0.39370078740157" header="0" footer="0.19685039370078999"/>
  <pageSetup paperSize="9" scale="73" orientation="portrait" r:id="rId1"/>
  <headerFooter alignWithMargins="0">
    <oddFooter>&amp;RDG-Q / CRE PLW12 du 06/04/2011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4</vt:i4>
      </vt:variant>
      <vt:variant>
        <vt:lpstr>Plages nommées</vt:lpstr>
      </vt:variant>
      <vt:variant>
        <vt:i4>4</vt:i4>
      </vt:variant>
    </vt:vector>
  </HeadingPairs>
  <TitlesOfParts>
    <vt:vector size="8" baseType="lpstr">
      <vt:lpstr>150725 CDF exis Lacassagne</vt:lpstr>
      <vt:lpstr>070725 CDF exis</vt:lpstr>
      <vt:lpstr>260722</vt:lpstr>
      <vt:lpstr>250722</vt:lpstr>
      <vt:lpstr>'070725 CDF exis'!Zone_d_impression</vt:lpstr>
      <vt:lpstr>'150725 CDF exis Lacassagne'!Zone_d_impression</vt:lpstr>
      <vt:lpstr>'250722'!Zone_d_impression</vt:lpstr>
      <vt:lpstr>'260722'!Zone_d_impression</vt:lpstr>
    </vt:vector>
  </TitlesOfParts>
  <Manager/>
  <Company>AB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MONTET F.</dc:creator>
  <cp:keywords/>
  <dc:description/>
  <cp:lastModifiedBy>Frédéric MONTET</cp:lastModifiedBy>
  <cp:lastPrinted>2025-07-15T09:54:50Z</cp:lastPrinted>
  <dcterms:created xsi:type="dcterms:W3CDTF">2004-11-13T18:13:05Z</dcterms:created>
  <dcterms:modified xsi:type="dcterms:W3CDTF">2025-07-15T09:54:56Z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2001353798</vt:i4>
  </property>
  <property fmtid="{D5CDD505-2E9C-101B-9397-08002B2CF9AE}" pid="3" name="_EmailSubject">
    <vt:lpwstr>Groupe de Travail Procédures et Essais</vt:lpwstr>
  </property>
  <property fmtid="{D5CDD505-2E9C-101B-9397-08002B2CF9AE}" pid="4" name="_AuthorEmail">
    <vt:lpwstr>fchartier@guintoli.fr</vt:lpwstr>
  </property>
  <property fmtid="{D5CDD505-2E9C-101B-9397-08002B2CF9AE}" pid="5" name="_AuthorEmailDisplayName">
    <vt:lpwstr>François CHARTIER</vt:lpwstr>
  </property>
  <property fmtid="{D5CDD505-2E9C-101B-9397-08002B2CF9AE}" pid="6" name="_ReviewingToolsShownOnce">
    <vt:lpwstr/>
  </property>
</Properties>
</file>