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abo\St Priest\Chantiers 2025\69\RA L11C  CCDSV - Trx Entretien &amp; VRD\Essais de laboratoire\Enrobés\"/>
    </mc:Choice>
  </mc:AlternateContent>
  <xr:revisionPtr revIDLastSave="0" documentId="13_ncr:1_{99955412-9791-4C01-B969-09D38F668F5B}" xr6:coauthVersionLast="47" xr6:coauthVersionMax="47" xr10:uidLastSave="{00000000-0000-0000-0000-000000000000}"/>
  <bookViews>
    <workbookView xWindow="-108" yWindow="-108" windowWidth="23256" windowHeight="12456" activeTab="1" xr2:uid="{002F1237-494A-4633-AD44-CDF2159C8F38}"/>
  </bookViews>
  <sheets>
    <sheet name="Nuit 24-250325 BBSG Trévoux" sheetId="9" r:id="rId1"/>
    <sheet name="Nuit 24-250325 GB Trévoux" sheetId="8" r:id="rId2"/>
    <sheet name="nuit 27-280624 Civrieux curie" sheetId="7" r:id="rId3"/>
    <sheet name="nuit 26-270624 Civrieux curie" sheetId="6" r:id="rId4"/>
    <sheet name="25_260624 Civrieux Copernic" sheetId="5" r:id="rId5"/>
    <sheet name="24_250624 Civrieux Copernic" sheetId="4" r:id="rId6"/>
    <sheet name="13_140624 Reyrieux Communaux" sheetId="3" r:id="rId7"/>
    <sheet name="12_130624 Reyrieux Communaux" sheetId="1" r:id="rId8"/>
  </sheets>
  <definedNames>
    <definedName name="_xlnm.Print_Area" localSheetId="7">'12_130624 Reyrieux Communaux'!$A$1:$Z$72</definedName>
    <definedName name="_xlnm.Print_Area" localSheetId="6">'13_140624 Reyrieux Communaux'!$A$1:$Z$72</definedName>
    <definedName name="_xlnm.Print_Area" localSheetId="5">'24_250624 Civrieux Copernic'!$A$1:$Z$76</definedName>
    <definedName name="_xlnm.Print_Area" localSheetId="4">'25_260624 Civrieux Copernic'!$A$1:$Z$76</definedName>
    <definedName name="_xlnm.Print_Area" localSheetId="0">'Nuit 24-250325 BBSG Trévoux'!$A$1:$Z$76</definedName>
    <definedName name="_xlnm.Print_Area" localSheetId="1">'Nuit 24-250325 GB Trévoux'!$A$1:$Z$76</definedName>
    <definedName name="_xlnm.Print_Area" localSheetId="3">'nuit 26-270624 Civrieux curie'!$A$1:$Z$76</definedName>
    <definedName name="_xlnm.Print_Area" localSheetId="2">'nuit 27-280624 Civrieux curie'!$A$1:$Z$76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4" i="9" l="1"/>
  <c r="L64" i="9"/>
  <c r="J64" i="9"/>
  <c r="E64" i="9"/>
  <c r="W63" i="9"/>
  <c r="L63" i="9"/>
  <c r="J63" i="9"/>
  <c r="E63" i="9"/>
  <c r="AD62" i="9"/>
  <c r="AB62" i="9"/>
  <c r="W61" i="9"/>
  <c r="AB61" i="9" s="1"/>
  <c r="U61" i="9"/>
  <c r="T61" i="9"/>
  <c r="S61" i="9"/>
  <c r="O61" i="9"/>
  <c r="N61" i="9"/>
  <c r="M61" i="9"/>
  <c r="L61" i="9"/>
  <c r="K61" i="9"/>
  <c r="J61" i="9"/>
  <c r="I61" i="9"/>
  <c r="H61" i="9"/>
  <c r="G61" i="9"/>
  <c r="F61" i="9"/>
  <c r="E61" i="9"/>
  <c r="AD60" i="9"/>
  <c r="AE60" i="9" s="1"/>
  <c r="AD58" i="9"/>
  <c r="AB58" i="9"/>
  <c r="Y58" i="9"/>
  <c r="AD57" i="9"/>
  <c r="AB57" i="9"/>
  <c r="Y57" i="9"/>
  <c r="AD56" i="9"/>
  <c r="AB56" i="9"/>
  <c r="AD55" i="9"/>
  <c r="AB55" i="9"/>
  <c r="P61" i="8"/>
  <c r="Q61" i="8"/>
  <c r="W64" i="8"/>
  <c r="L64" i="8"/>
  <c r="J64" i="8"/>
  <c r="E64" i="8"/>
  <c r="W63" i="8"/>
  <c r="L63" i="8"/>
  <c r="J63" i="8"/>
  <c r="E63" i="8"/>
  <c r="AD62" i="8"/>
  <c r="AB62" i="8"/>
  <c r="W61" i="8"/>
  <c r="AB61" i="8" s="1"/>
  <c r="U61" i="8"/>
  <c r="T61" i="8"/>
  <c r="S61" i="8"/>
  <c r="O61" i="8"/>
  <c r="N61" i="8"/>
  <c r="M61" i="8"/>
  <c r="L61" i="8"/>
  <c r="K61" i="8"/>
  <c r="J61" i="8"/>
  <c r="I61" i="8"/>
  <c r="H61" i="8"/>
  <c r="G61" i="8"/>
  <c r="F61" i="8"/>
  <c r="E61" i="8"/>
  <c r="AD60" i="8"/>
  <c r="AE60" i="8" s="1"/>
  <c r="AD58" i="8"/>
  <c r="AB58" i="8"/>
  <c r="Y58" i="8"/>
  <c r="AD57" i="8"/>
  <c r="AB57" i="8"/>
  <c r="Y57" i="8"/>
  <c r="AD56" i="8"/>
  <c r="AB56" i="8"/>
  <c r="AD55" i="8"/>
  <c r="AB55" i="8"/>
  <c r="W64" i="7"/>
  <c r="L64" i="7"/>
  <c r="J64" i="7"/>
  <c r="E64" i="7"/>
  <c r="W63" i="7"/>
  <c r="L63" i="7"/>
  <c r="J63" i="7"/>
  <c r="E63" i="7"/>
  <c r="AD62" i="7"/>
  <c r="AB62" i="7"/>
  <c r="W61" i="7"/>
  <c r="AB61" i="7" s="1"/>
  <c r="U61" i="7"/>
  <c r="T61" i="7"/>
  <c r="S61" i="7"/>
  <c r="O61" i="7"/>
  <c r="N61" i="7"/>
  <c r="M61" i="7"/>
  <c r="L61" i="7"/>
  <c r="K61" i="7"/>
  <c r="J61" i="7"/>
  <c r="I61" i="7"/>
  <c r="H61" i="7"/>
  <c r="G61" i="7"/>
  <c r="F61" i="7"/>
  <c r="E61" i="7"/>
  <c r="AD60" i="7"/>
  <c r="AE60" i="7" s="1"/>
  <c r="AD58" i="7"/>
  <c r="AB58" i="7"/>
  <c r="Y58" i="7"/>
  <c r="AD57" i="7"/>
  <c r="AB57" i="7"/>
  <c r="Y57" i="7"/>
  <c r="AD56" i="7"/>
  <c r="AB56" i="7"/>
  <c r="AD55" i="7"/>
  <c r="AB55" i="7"/>
  <c r="W64" i="6"/>
  <c r="L64" i="6"/>
  <c r="J64" i="6"/>
  <c r="E64" i="6"/>
  <c r="W63" i="6"/>
  <c r="L63" i="6"/>
  <c r="J63" i="6"/>
  <c r="E63" i="6"/>
  <c r="AD62" i="6"/>
  <c r="AB62" i="6"/>
  <c r="W61" i="6"/>
  <c r="AB61" i="6" s="1"/>
  <c r="U61" i="6"/>
  <c r="T61" i="6"/>
  <c r="S61" i="6"/>
  <c r="O61" i="6"/>
  <c r="N61" i="6"/>
  <c r="M61" i="6"/>
  <c r="L61" i="6"/>
  <c r="K61" i="6"/>
  <c r="J61" i="6"/>
  <c r="I61" i="6"/>
  <c r="H61" i="6"/>
  <c r="G61" i="6"/>
  <c r="F61" i="6"/>
  <c r="E61" i="6"/>
  <c r="AD60" i="6"/>
  <c r="AE60" i="6" s="1"/>
  <c r="AD58" i="6"/>
  <c r="AB58" i="6"/>
  <c r="Y58" i="6"/>
  <c r="AD57" i="6"/>
  <c r="AB57" i="6"/>
  <c r="Y57" i="6"/>
  <c r="AD56" i="6"/>
  <c r="AB56" i="6"/>
  <c r="AD55" i="6"/>
  <c r="AB55" i="6"/>
  <c r="AE57" i="9" l="1"/>
  <c r="AE58" i="9"/>
  <c r="AE56" i="9"/>
  <c r="Y56" i="9" s="1"/>
  <c r="AE62" i="9"/>
  <c r="Y62" i="9" s="1"/>
  <c r="AE55" i="9"/>
  <c r="Y55" i="9" s="1"/>
  <c r="AD61" i="9"/>
  <c r="AE61" i="9" s="1"/>
  <c r="AE57" i="8"/>
  <c r="AE62" i="8"/>
  <c r="Y62" i="8" s="1"/>
  <c r="AD61" i="8"/>
  <c r="AE61" i="8" s="1"/>
  <c r="AE56" i="8"/>
  <c r="Y56" i="8" s="1"/>
  <c r="AE58" i="8"/>
  <c r="AE55" i="8"/>
  <c r="Y55" i="8" s="1"/>
  <c r="AE56" i="7"/>
  <c r="Y56" i="7" s="1"/>
  <c r="AE57" i="7"/>
  <c r="AD61" i="7"/>
  <c r="AE61" i="7" s="1"/>
  <c r="AE62" i="7"/>
  <c r="Y62" i="7" s="1"/>
  <c r="AE55" i="7"/>
  <c r="Y55" i="7" s="1"/>
  <c r="AE58" i="7"/>
  <c r="AE55" i="6"/>
  <c r="Y55" i="6" s="1"/>
  <c r="AE58" i="6"/>
  <c r="AD61" i="6"/>
  <c r="AE61" i="6" s="1"/>
  <c r="AE57" i="6"/>
  <c r="AE56" i="6"/>
  <c r="Y56" i="6" s="1"/>
  <c r="AE62" i="6"/>
  <c r="Y62" i="6" s="1"/>
  <c r="W64" i="5"/>
  <c r="L64" i="5"/>
  <c r="J64" i="5"/>
  <c r="E64" i="5"/>
  <c r="W63" i="5"/>
  <c r="L63" i="5"/>
  <c r="J63" i="5"/>
  <c r="E63" i="5"/>
  <c r="AD62" i="5"/>
  <c r="AB62" i="5"/>
  <c r="W61" i="5"/>
  <c r="AB61" i="5" s="1"/>
  <c r="U61" i="5"/>
  <c r="T61" i="5"/>
  <c r="S61" i="5"/>
  <c r="O61" i="5"/>
  <c r="N61" i="5"/>
  <c r="M61" i="5"/>
  <c r="L61" i="5"/>
  <c r="K61" i="5"/>
  <c r="J61" i="5"/>
  <c r="I61" i="5"/>
  <c r="H61" i="5"/>
  <c r="G61" i="5"/>
  <c r="F61" i="5"/>
  <c r="E61" i="5"/>
  <c r="AD60" i="5"/>
  <c r="AE60" i="5" s="1"/>
  <c r="AD58" i="5"/>
  <c r="AB58" i="5"/>
  <c r="Y58" i="5"/>
  <c r="AD57" i="5"/>
  <c r="AB57" i="5"/>
  <c r="Y57" i="5"/>
  <c r="AD56" i="5"/>
  <c r="AB56" i="5"/>
  <c r="AD55" i="5"/>
  <c r="AB55" i="5"/>
  <c r="W64" i="4"/>
  <c r="L64" i="4"/>
  <c r="J64" i="4"/>
  <c r="E64" i="4"/>
  <c r="W63" i="4"/>
  <c r="L63" i="4"/>
  <c r="J63" i="4"/>
  <c r="E63" i="4"/>
  <c r="AD62" i="4"/>
  <c r="AB62" i="4"/>
  <c r="W61" i="4"/>
  <c r="AB61" i="4" s="1"/>
  <c r="U61" i="4"/>
  <c r="T61" i="4"/>
  <c r="S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AD60" i="4"/>
  <c r="AE60" i="4" s="1"/>
  <c r="AD58" i="4"/>
  <c r="AB58" i="4"/>
  <c r="Y58" i="4"/>
  <c r="AD57" i="4"/>
  <c r="AB57" i="4"/>
  <c r="Y57" i="4"/>
  <c r="AD56" i="4"/>
  <c r="AB56" i="4"/>
  <c r="AD55" i="4"/>
  <c r="AB55" i="4"/>
  <c r="O57" i="3"/>
  <c r="W60" i="3"/>
  <c r="L60" i="3"/>
  <c r="J60" i="3"/>
  <c r="E60" i="3"/>
  <c r="W59" i="3"/>
  <c r="L59" i="3"/>
  <c r="J59" i="3"/>
  <c r="E59" i="3"/>
  <c r="AD58" i="3"/>
  <c r="AB58" i="3"/>
  <c r="W57" i="3"/>
  <c r="AB57" i="3" s="1"/>
  <c r="U57" i="3"/>
  <c r="T57" i="3"/>
  <c r="S57" i="3"/>
  <c r="N57" i="3"/>
  <c r="M57" i="3"/>
  <c r="L57" i="3"/>
  <c r="K57" i="3"/>
  <c r="J57" i="3"/>
  <c r="I57" i="3"/>
  <c r="H57" i="3"/>
  <c r="G57" i="3"/>
  <c r="F57" i="3"/>
  <c r="E57" i="3"/>
  <c r="AD56" i="3"/>
  <c r="AE56" i="3" s="1"/>
  <c r="AD54" i="3"/>
  <c r="AB54" i="3"/>
  <c r="Y54" i="3"/>
  <c r="AD53" i="3"/>
  <c r="AB53" i="3"/>
  <c r="Y53" i="3"/>
  <c r="AD52" i="3"/>
  <c r="AB52" i="3"/>
  <c r="AD51" i="3"/>
  <c r="AB51" i="3"/>
  <c r="P57" i="1"/>
  <c r="Q57" i="1"/>
  <c r="W60" i="1"/>
  <c r="L60" i="1"/>
  <c r="J60" i="1"/>
  <c r="E60" i="1"/>
  <c r="W59" i="1"/>
  <c r="L59" i="1"/>
  <c r="J59" i="1"/>
  <c r="E59" i="1"/>
  <c r="AD58" i="1"/>
  <c r="AB58" i="1"/>
  <c r="W57" i="1"/>
  <c r="AB57" i="1" s="1"/>
  <c r="U57" i="1"/>
  <c r="T57" i="1"/>
  <c r="S57" i="1"/>
  <c r="O57" i="1"/>
  <c r="N57" i="1"/>
  <c r="M57" i="1"/>
  <c r="L57" i="1"/>
  <c r="K57" i="1"/>
  <c r="J57" i="1"/>
  <c r="I57" i="1"/>
  <c r="H57" i="1"/>
  <c r="G57" i="1"/>
  <c r="F57" i="1"/>
  <c r="E57" i="1"/>
  <c r="AD56" i="1"/>
  <c r="AE56" i="1" s="1"/>
  <c r="AD54" i="1"/>
  <c r="AB54" i="1"/>
  <c r="Y54" i="1"/>
  <c r="AD53" i="1"/>
  <c r="AB53" i="1"/>
  <c r="Y53" i="1"/>
  <c r="AD52" i="1"/>
  <c r="AB52" i="1"/>
  <c r="AD51" i="1"/>
  <c r="AB51" i="1"/>
  <c r="Y61" i="9" l="1"/>
  <c r="Y61" i="8"/>
  <c r="Y61" i="7"/>
  <c r="Y61" i="6"/>
  <c r="AE57" i="5"/>
  <c r="AE62" i="5"/>
  <c r="Y62" i="5" s="1"/>
  <c r="AE55" i="5"/>
  <c r="Y55" i="5" s="1"/>
  <c r="AE58" i="5"/>
  <c r="AD61" i="5"/>
  <c r="AE61" i="5" s="1"/>
  <c r="AE56" i="5"/>
  <c r="Y56" i="5" s="1"/>
  <c r="AE62" i="4"/>
  <c r="Y62" i="4" s="1"/>
  <c r="AE57" i="4"/>
  <c r="AD61" i="4"/>
  <c r="AE61" i="4" s="1"/>
  <c r="AE55" i="4"/>
  <c r="Y55" i="4" s="1"/>
  <c r="AE58" i="4"/>
  <c r="AE56" i="4"/>
  <c r="Y56" i="4" s="1"/>
  <c r="AE58" i="3"/>
  <c r="Y58" i="3" s="1"/>
  <c r="AE51" i="3"/>
  <c r="Y51" i="3" s="1"/>
  <c r="AE54" i="3"/>
  <c r="AE53" i="3"/>
  <c r="AE52" i="3"/>
  <c r="Y52" i="3" s="1"/>
  <c r="AD57" i="3"/>
  <c r="AE57" i="3" s="1"/>
  <c r="AE52" i="1"/>
  <c r="Y52" i="1" s="1"/>
  <c r="AE58" i="1"/>
  <c r="Y58" i="1" s="1"/>
  <c r="AE53" i="1"/>
  <c r="AD57" i="1"/>
  <c r="AE57" i="1" s="1"/>
  <c r="AE54" i="1"/>
  <c r="AE51" i="1"/>
  <c r="Y51" i="1" s="1"/>
  <c r="Y61" i="5" l="1"/>
  <c r="Y61" i="4"/>
  <c r="Y57" i="3"/>
  <c r="Y57" i="1"/>
</calcChain>
</file>

<file path=xl/sharedStrings.xml><?xml version="1.0" encoding="utf-8"?>
<sst xmlns="http://schemas.openxmlformats.org/spreadsheetml/2006/main" count="526" uniqueCount="94">
  <si>
    <t>COMPTE RENDU D'ESSAIS</t>
  </si>
  <si>
    <t>CONTRÔLE DE FABRICATION DES ENROBES
 (NF EN 12697-1/ NF EN 12697-2)</t>
  </si>
  <si>
    <t>CFE</t>
  </si>
  <si>
    <t>n°</t>
  </si>
  <si>
    <t>Chrono</t>
  </si>
  <si>
    <t>N° d'affaire</t>
  </si>
  <si>
    <t>Date de rédaction</t>
  </si>
  <si>
    <t>Laboratoire :</t>
  </si>
  <si>
    <t>Région Rhône Alpes - 29-31 rue des Tâches - ZI Mi-Plaine - 69800 SAINT PRIEST</t>
  </si>
  <si>
    <t>1/</t>
  </si>
  <si>
    <t>RENSEIGNEMENTS GENERAUX</t>
  </si>
  <si>
    <t>Opérateur :</t>
  </si>
  <si>
    <t>Lieu de fabrication :</t>
  </si>
  <si>
    <t>P2R</t>
  </si>
  <si>
    <t>Date de l'essai :</t>
  </si>
  <si>
    <t>Destination du produit</t>
  </si>
  <si>
    <t>Date de mise en œuvre :</t>
  </si>
  <si>
    <t xml:space="preserve">Code formule : </t>
  </si>
  <si>
    <t>Appellation européenne :</t>
  </si>
  <si>
    <t>Couche de :</t>
  </si>
  <si>
    <t>Appellation française :</t>
  </si>
  <si>
    <t>Méthode d'essai :</t>
  </si>
  <si>
    <t>Extracteur automatique - NEBA</t>
  </si>
  <si>
    <t>2/</t>
  </si>
  <si>
    <t>CRITERES DE CONFORMITE</t>
  </si>
  <si>
    <t>Source des critères :</t>
  </si>
  <si>
    <t>Définition des critères / objectifs :</t>
  </si>
  <si>
    <t>RESULTATS DES ESSAIS</t>
  </si>
  <si>
    <t>MVR granulats:</t>
  </si>
  <si>
    <t>Analyse granulométrique</t>
  </si>
  <si>
    <t>température mesurée</t>
  </si>
  <si>
    <t>teneur en liant</t>
  </si>
  <si>
    <t>Module  richesse</t>
  </si>
  <si>
    <t>Teneur en liant ext</t>
  </si>
  <si>
    <t>surface spécifique</t>
  </si>
  <si>
    <t>module de richesse</t>
  </si>
  <si>
    <t xml:space="preserve">N° </t>
  </si>
  <si>
    <t>Heure</t>
  </si>
  <si>
    <t>Mini</t>
  </si>
  <si>
    <t>Moyenne</t>
  </si>
  <si>
    <t>Théorique</t>
  </si>
  <si>
    <t>Seuil maxi</t>
  </si>
  <si>
    <t>&gt; 3,4</t>
  </si>
  <si>
    <t>Seuil mini</t>
  </si>
  <si>
    <t>4/</t>
  </si>
  <si>
    <t>CONCLUSIONS</t>
  </si>
  <si>
    <t>Contrôle :</t>
  </si>
  <si>
    <t>Nom</t>
  </si>
  <si>
    <t>Conforme</t>
  </si>
  <si>
    <t>Fonction</t>
  </si>
  <si>
    <t>5/</t>
  </si>
  <si>
    <t>COMMENTAIRES</t>
  </si>
  <si>
    <t>Visa</t>
  </si>
  <si>
    <t>RA L11C</t>
  </si>
  <si>
    <t xml:space="preserve">EB 14 ASSISE 35/50 </t>
  </si>
  <si>
    <t>GB 0/14 Cl3 30% AE</t>
  </si>
  <si>
    <t>EB 10 ROUL 35/50</t>
  </si>
  <si>
    <t xml:space="preserve">BBSG 0/10 Cl3 </t>
  </si>
  <si>
    <t>Roulement</t>
  </si>
  <si>
    <t>CCDSV
Accord cadre Réhabilitation
Trx Entretien VRD</t>
  </si>
  <si>
    <t>Sylvain LHOPITAL</t>
  </si>
  <si>
    <t>12-13/06/24</t>
  </si>
  <si>
    <t>Reyrieux - rue des Communaux</t>
  </si>
  <si>
    <t>Fondation</t>
  </si>
  <si>
    <t xml:space="preserve"> Sylvain LHOPITAL</t>
  </si>
  <si>
    <t>Chef de section laboratoire</t>
  </si>
  <si>
    <t>13-14/06/24</t>
  </si>
  <si>
    <t>23:00</t>
  </si>
  <si>
    <t>21:25</t>
  </si>
  <si>
    <t>22:35</t>
  </si>
  <si>
    <t>Civrieux - rue Copernic</t>
  </si>
  <si>
    <t>23:10</t>
  </si>
  <si>
    <t>24-25/06/2024</t>
  </si>
  <si>
    <t>25-26/06/2024</t>
  </si>
  <si>
    <t>20:45</t>
  </si>
  <si>
    <t>00:10</t>
  </si>
  <si>
    <t>Nuit 26-27/06/2024</t>
  </si>
  <si>
    <t xml:space="preserve">Civrieux - rue Marie Curie </t>
  </si>
  <si>
    <t>F. MONTET</t>
  </si>
  <si>
    <t>Technicien de laboratoire</t>
  </si>
  <si>
    <t>20H50</t>
  </si>
  <si>
    <t>23H10</t>
  </si>
  <si>
    <t>F. Montet</t>
  </si>
  <si>
    <t>Nuit 27-28/06/2024</t>
  </si>
  <si>
    <t>20H20</t>
  </si>
  <si>
    <t>22H30</t>
  </si>
  <si>
    <t>Nuit 24-25/03/2025</t>
  </si>
  <si>
    <t>EOL</t>
  </si>
  <si>
    <t>Allée des peupliers - Trévoux</t>
  </si>
  <si>
    <t>Chantier</t>
  </si>
  <si>
    <t>21:00</t>
  </si>
  <si>
    <t>22:15</t>
  </si>
  <si>
    <t>02:00</t>
  </si>
  <si>
    <t>03:15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</si>
</sst>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7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color rgb="FF000000"/>
      <name val="Century Gothic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b/>
      <u/>
      <sz val="12"/>
      <name val="Century Gothic"/>
      <family val="2"/>
    </font>
    <font>
      <u/>
      <sz val="10"/>
      <name val="Century Gothic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0"/>
      <color indexed="10"/>
      <name val="Century Gothic"/>
      <family val="2"/>
    </font>
    <font>
      <b/>
      <sz val="8"/>
      <name val="Century Gothic"/>
      <family val="2"/>
    </font>
    <font>
      <sz val="10"/>
      <color rgb="FF000000"/>
      <name val="Century Gothic"/>
      <family val="2"/>
    </font>
    <font>
      <sz val="8"/>
      <color rgb="FF000000"/>
      <name val="Century Gothic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u/>
      <sz val="11"/>
      <name val="Century Gothic"/>
      <family val="2"/>
    </font>
    <font>
      <b/>
      <sz val="12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Arial"/>
    </font>
    <font>
      <sz val="8"/>
      <color rgb="FF000000"/>
      <name val="Century Gothic"/>
    </font>
    <font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4">
    <xf numFmtId="0" fontId="0" fillId="0" borderId="0"/>
    <xf numFmtId="0" fontId="12" fillId="0" borderId="0"/>
    <xf numFmtId="0" fontId="20" fillId="0" borderId="0"/>
    <xf numFmtId="0" fontId="24" fillId="0" borderId="0"/>
  </cellStyleXfs>
  <cellXfs count="324">
    <xf numFmtId="0" fontId="0" fillId="0" borderId="0" xfId="0"/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>
      <alignment vertical="center"/>
    </xf>
    <xf numFmtId="0" fontId="6" fillId="0" borderId="1" xfId="0" applyFont="1" applyBorder="1" applyAlignment="1" applyProtection="1">
      <alignment horizontal="center"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9" fillId="0" borderId="8" xfId="0" applyFont="1" applyBorder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0" borderId="7" xfId="0" applyFont="1" applyBorder="1" applyAlignment="1">
      <alignment horizontal="center" vertical="center"/>
    </xf>
    <xf numFmtId="0" fontId="8" fillId="0" borderId="8" xfId="0" applyFont="1" applyBorder="1" applyAlignment="1" applyProtection="1">
      <alignment vertical="center"/>
      <protection locked="0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6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9" xfId="0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164" fontId="16" fillId="0" borderId="30" xfId="0" applyNumberFormat="1" applyFont="1" applyBorder="1" applyAlignment="1" applyProtection="1">
      <alignment horizontal="center" vertical="center"/>
      <protection locked="0"/>
    </xf>
    <xf numFmtId="0" fontId="16" fillId="0" borderId="31" xfId="0" applyFont="1" applyBorder="1" applyAlignment="1" applyProtection="1">
      <alignment horizontal="center" vertical="center"/>
      <protection locked="0"/>
    </xf>
    <xf numFmtId="0" fontId="16" fillId="0" borderId="29" xfId="0" applyFont="1" applyBorder="1" applyAlignment="1" applyProtection="1">
      <alignment horizontal="center" vertical="center"/>
      <protection locked="0"/>
    </xf>
    <xf numFmtId="0" fontId="2" fillId="0" borderId="37" xfId="0" applyFont="1" applyBorder="1" applyAlignment="1">
      <alignment horizontal="center" vertical="center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19" fillId="2" borderId="44" xfId="1" applyFont="1" applyFill="1" applyBorder="1" applyAlignment="1" applyProtection="1">
      <alignment horizontal="center" vertical="center"/>
      <protection hidden="1"/>
    </xf>
    <xf numFmtId="2" fontId="19" fillId="2" borderId="45" xfId="1" applyNumberFormat="1" applyFont="1" applyFill="1" applyBorder="1" applyAlignment="1" applyProtection="1">
      <alignment horizontal="center" vertical="center"/>
      <protection hidden="1"/>
    </xf>
    <xf numFmtId="2" fontId="1" fillId="0" borderId="0" xfId="0" applyNumberFormat="1" applyFont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65" fontId="1" fillId="0" borderId="49" xfId="0" applyNumberFormat="1" applyFont="1" applyBorder="1" applyAlignment="1">
      <alignment horizontal="center" vertical="center" wrapText="1"/>
    </xf>
    <xf numFmtId="165" fontId="1" fillId="0" borderId="43" xfId="0" applyNumberFormat="1" applyFont="1" applyBorder="1" applyAlignment="1" applyProtection="1">
      <alignment horizontal="center" vertical="center"/>
      <protection locked="0"/>
    </xf>
    <xf numFmtId="165" fontId="1" fillId="0" borderId="49" xfId="0" applyNumberFormat="1" applyFont="1" applyBorder="1" applyAlignment="1" applyProtection="1">
      <alignment horizontal="center" vertical="center"/>
      <protection locked="0"/>
    </xf>
    <xf numFmtId="1" fontId="1" fillId="0" borderId="49" xfId="0" applyNumberFormat="1" applyFont="1" applyBorder="1" applyAlignment="1" applyProtection="1">
      <alignment horizontal="center" vertical="center"/>
      <protection locked="0"/>
    </xf>
    <xf numFmtId="165" fontId="1" fillId="0" borderId="47" xfId="0" applyNumberFormat="1" applyFont="1" applyBorder="1" applyAlignment="1" applyProtection="1">
      <alignment horizontal="center" vertical="center"/>
      <protection locked="0"/>
    </xf>
    <xf numFmtId="0" fontId="2" fillId="0" borderId="50" xfId="0" applyFont="1" applyBorder="1" applyAlignment="1">
      <alignment horizontal="center" vertical="center"/>
    </xf>
    <xf numFmtId="165" fontId="1" fillId="0" borderId="53" xfId="0" applyNumberFormat="1" applyFont="1" applyBorder="1" applyAlignment="1">
      <alignment horizontal="center" vertical="center" wrapText="1"/>
    </xf>
    <xf numFmtId="165" fontId="1" fillId="0" borderId="52" xfId="0" applyNumberFormat="1" applyFont="1" applyBorder="1" applyAlignment="1" applyProtection="1">
      <alignment horizontal="center" vertical="center"/>
      <protection locked="0"/>
    </xf>
    <xf numFmtId="165" fontId="1" fillId="0" borderId="53" xfId="0" applyNumberFormat="1" applyFont="1" applyBorder="1" applyAlignment="1" applyProtection="1">
      <alignment horizontal="center" vertical="center"/>
      <protection locked="0"/>
    </xf>
    <xf numFmtId="1" fontId="1" fillId="0" borderId="53" xfId="0" applyNumberFormat="1" applyFont="1" applyBorder="1" applyAlignment="1" applyProtection="1">
      <alignment horizontal="center" vertical="center"/>
      <protection locked="0"/>
    </xf>
    <xf numFmtId="165" fontId="1" fillId="0" borderId="51" xfId="0" applyNumberFormat="1" applyFont="1" applyBorder="1" applyAlignment="1" applyProtection="1">
      <alignment horizontal="center" vertical="center"/>
      <protection locked="0"/>
    </xf>
    <xf numFmtId="165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5" fontId="7" fillId="0" borderId="33" xfId="0" applyNumberFormat="1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9" fillId="2" borderId="56" xfId="1" applyFont="1" applyFill="1" applyBorder="1" applyAlignment="1" applyProtection="1">
      <alignment vertical="center"/>
      <protection locked="0"/>
    </xf>
    <xf numFmtId="0" fontId="19" fillId="2" borderId="0" xfId="1" applyFont="1" applyFill="1" applyAlignment="1" applyProtection="1">
      <alignment vertical="center"/>
      <protection locked="0"/>
    </xf>
    <xf numFmtId="165" fontId="16" fillId="0" borderId="57" xfId="0" applyNumberFormat="1" applyFont="1" applyBorder="1" applyAlignment="1">
      <alignment horizontal="center" vertical="center"/>
    </xf>
    <xf numFmtId="1" fontId="16" fillId="0" borderId="57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65" fontId="2" fillId="0" borderId="61" xfId="0" applyNumberFormat="1" applyFont="1" applyBorder="1" applyAlignment="1">
      <alignment horizontal="center" vertical="center"/>
    </xf>
    <xf numFmtId="1" fontId="2" fillId="0" borderId="61" xfId="0" applyNumberFormat="1" applyFont="1" applyBorder="1" applyAlignment="1">
      <alignment horizontal="center" vertical="center"/>
    </xf>
    <xf numFmtId="165" fontId="2" fillId="0" borderId="40" xfId="0" applyNumberFormat="1" applyFont="1" applyBorder="1" applyAlignment="1">
      <alignment horizontal="center" vertical="center"/>
    </xf>
    <xf numFmtId="165" fontId="15" fillId="0" borderId="62" xfId="0" applyNumberFormat="1" applyFont="1" applyBorder="1" applyAlignment="1">
      <alignment horizontal="center" vertical="center"/>
    </xf>
    <xf numFmtId="1" fontId="15" fillId="0" borderId="62" xfId="0" applyNumberFormat="1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19" fillId="2" borderId="42" xfId="1" applyFont="1" applyFill="1" applyBorder="1" applyAlignment="1" applyProtection="1">
      <alignment vertical="center"/>
      <protection hidden="1"/>
    </xf>
    <xf numFmtId="0" fontId="19" fillId="2" borderId="43" xfId="1" applyFont="1" applyFill="1" applyBorder="1" applyAlignment="1" applyProtection="1">
      <alignment vertical="center"/>
      <protection hidden="1"/>
    </xf>
    <xf numFmtId="165" fontId="1" fillId="0" borderId="64" xfId="0" applyNumberFormat="1" applyFont="1" applyBorder="1" applyAlignment="1" applyProtection="1">
      <alignment horizontal="center" vertical="center"/>
      <protection locked="0"/>
    </xf>
    <xf numFmtId="0" fontId="1" fillId="0" borderId="64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0" fontId="19" fillId="2" borderId="50" xfId="1" applyFont="1" applyFill="1" applyBorder="1" applyAlignment="1" applyProtection="1">
      <alignment vertical="center"/>
      <protection hidden="1"/>
    </xf>
    <xf numFmtId="0" fontId="19" fillId="2" borderId="52" xfId="1" applyFont="1" applyFill="1" applyBorder="1" applyAlignment="1" applyProtection="1">
      <alignment vertical="center"/>
      <protection hidden="1"/>
    </xf>
    <xf numFmtId="0" fontId="1" fillId="0" borderId="60" xfId="0" applyFont="1" applyBorder="1" applyAlignment="1">
      <alignment vertical="center"/>
    </xf>
    <xf numFmtId="0" fontId="6" fillId="0" borderId="65" xfId="0" applyFont="1" applyBorder="1" applyAlignment="1" applyProtection="1">
      <alignment horizontal="center" vertical="center"/>
      <protection hidden="1"/>
    </xf>
    <xf numFmtId="0" fontId="10" fillId="0" borderId="66" xfId="0" applyFont="1" applyBorder="1" applyAlignment="1" applyProtection="1">
      <alignment vertical="center"/>
      <protection hidden="1"/>
    </xf>
    <xf numFmtId="0" fontId="11" fillId="0" borderId="66" xfId="0" applyFont="1" applyBorder="1" applyAlignment="1" applyProtection="1">
      <alignment vertical="center"/>
      <protection hidden="1"/>
    </xf>
    <xf numFmtId="0" fontId="1" fillId="0" borderId="66" xfId="0" applyFont="1" applyBorder="1" applyAlignment="1" applyProtection="1">
      <alignment vertical="center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21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6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8" fillId="0" borderId="8" xfId="0" applyFont="1" applyBorder="1" applyAlignment="1" applyProtection="1">
      <alignment vertical="center"/>
      <protection hidden="1"/>
    </xf>
    <xf numFmtId="0" fontId="23" fillId="0" borderId="4" xfId="0" applyFont="1" applyBorder="1" applyAlignment="1" applyProtection="1">
      <alignment vertical="center"/>
      <protection locked="0"/>
    </xf>
    <xf numFmtId="0" fontId="23" fillId="0" borderId="5" xfId="0" applyFont="1" applyBorder="1" applyAlignment="1" applyProtection="1">
      <alignment vertical="center"/>
      <protection locked="0"/>
    </xf>
    <xf numFmtId="0" fontId="23" fillId="0" borderId="6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3" fillId="0" borderId="9" xfId="0" applyFont="1" applyBorder="1" applyAlignment="1" applyProtection="1">
      <alignment vertical="center"/>
      <protection locked="0"/>
    </xf>
    <xf numFmtId="0" fontId="23" fillId="0" borderId="10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5" xfId="0" applyFont="1" applyBorder="1" applyAlignment="1" applyProtection="1">
      <alignment vertical="center"/>
      <protection locked="0"/>
    </xf>
    <xf numFmtId="0" fontId="23" fillId="0" borderId="16" xfId="0" applyFont="1" applyBorder="1" applyAlignment="1" applyProtection="1">
      <alignment vertical="center"/>
      <protection locked="0"/>
    </xf>
    <xf numFmtId="165" fontId="18" fillId="0" borderId="38" xfId="2" applyNumberFormat="1" applyFont="1" applyBorder="1" applyAlignment="1">
      <alignment horizontal="center" vertical="center" wrapText="1"/>
    </xf>
    <xf numFmtId="165" fontId="18" fillId="0" borderId="16" xfId="2" applyNumberFormat="1" applyFont="1" applyBorder="1" applyAlignment="1" applyProtection="1">
      <alignment horizontal="center" vertical="center"/>
      <protection locked="0"/>
    </xf>
    <xf numFmtId="165" fontId="18" fillId="0" borderId="38" xfId="2" applyNumberFormat="1" applyFont="1" applyBorder="1" applyAlignment="1" applyProtection="1">
      <alignment horizontal="center" vertical="center"/>
      <protection locked="0"/>
    </xf>
    <xf numFmtId="165" fontId="18" fillId="0" borderId="14" xfId="2" applyNumberFormat="1" applyFont="1" applyBorder="1" applyAlignment="1" applyProtection="1">
      <alignment horizontal="center" vertical="center"/>
      <protection locked="0"/>
    </xf>
    <xf numFmtId="1" fontId="18" fillId="0" borderId="38" xfId="2" applyNumberFormat="1" applyFont="1" applyBorder="1" applyAlignment="1" applyProtection="1">
      <alignment horizontal="center" vertical="center"/>
      <protection locked="0"/>
    </xf>
    <xf numFmtId="165" fontId="18" fillId="0" borderId="38" xfId="0" applyNumberFormat="1" applyFont="1" applyBorder="1" applyAlignment="1">
      <alignment horizontal="center" vertical="center" wrapText="1"/>
    </xf>
    <xf numFmtId="165" fontId="18" fillId="0" borderId="16" xfId="0" applyNumberFormat="1" applyFont="1" applyBorder="1" applyAlignment="1" applyProtection="1">
      <alignment horizontal="center" vertical="center"/>
      <protection locked="0"/>
    </xf>
    <xf numFmtId="165" fontId="18" fillId="0" borderId="38" xfId="0" applyNumberFormat="1" applyFont="1" applyBorder="1" applyAlignment="1" applyProtection="1">
      <alignment horizontal="center" vertical="center"/>
      <protection locked="0"/>
    </xf>
    <xf numFmtId="165" fontId="18" fillId="0" borderId="14" xfId="0" applyNumberFormat="1" applyFont="1" applyBorder="1" applyAlignment="1" applyProtection="1">
      <alignment horizontal="center" vertical="center"/>
      <protection locked="0"/>
    </xf>
    <xf numFmtId="165" fontId="25" fillId="0" borderId="38" xfId="3" applyNumberFormat="1" applyFont="1" applyBorder="1" applyAlignment="1">
      <alignment horizontal="center" vertical="center" wrapText="1"/>
    </xf>
    <xf numFmtId="165" fontId="25" fillId="0" borderId="16" xfId="3" applyNumberFormat="1" applyFont="1" applyBorder="1" applyAlignment="1" applyProtection="1">
      <alignment horizontal="center" vertical="center"/>
      <protection locked="0"/>
    </xf>
    <xf numFmtId="165" fontId="25" fillId="0" borderId="38" xfId="3" applyNumberFormat="1" applyFont="1" applyBorder="1" applyAlignment="1" applyProtection="1">
      <alignment horizontal="center" vertical="center"/>
      <protection locked="0"/>
    </xf>
    <xf numFmtId="165" fontId="25" fillId="0" borderId="14" xfId="3" applyNumberFormat="1" applyFont="1" applyBorder="1" applyAlignment="1" applyProtection="1">
      <alignment horizontal="center" vertical="center"/>
      <protection locked="0"/>
    </xf>
    <xf numFmtId="165" fontId="25" fillId="0" borderId="39" xfId="3" applyNumberFormat="1" applyFont="1" applyBorder="1" applyAlignment="1" applyProtection="1">
      <alignment horizontal="center" vertical="center"/>
      <protection locked="0"/>
    </xf>
    <xf numFmtId="165" fontId="25" fillId="0" borderId="16" xfId="3" applyNumberFormat="1" applyFont="1" applyBorder="1" applyAlignment="1" applyProtection="1">
      <alignment horizontal="center" vertical="center"/>
      <protection locked="0"/>
    </xf>
    <xf numFmtId="2" fontId="25" fillId="0" borderId="14" xfId="3" applyNumberFormat="1" applyFont="1" applyBorder="1" applyAlignment="1" applyProtection="1">
      <alignment horizontal="center" vertical="center"/>
      <protection locked="0"/>
    </xf>
    <xf numFmtId="2" fontId="25" fillId="0" borderId="16" xfId="3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hidden="1"/>
    </xf>
    <xf numFmtId="0" fontId="6" fillId="0" borderId="17" xfId="0" applyFont="1" applyBorder="1" applyAlignment="1" applyProtection="1">
      <alignment horizontal="center" vertical="center"/>
      <protection hidden="1"/>
    </xf>
    <xf numFmtId="0" fontId="8" fillId="0" borderId="17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14" fontId="23" fillId="0" borderId="0" xfId="0" applyNumberFormat="1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1" fillId="0" borderId="12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7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14" fontId="5" fillId="0" borderId="7" xfId="0" applyNumberFormat="1" applyFont="1" applyBorder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14" fontId="5" fillId="0" borderId="8" xfId="0" applyNumberFormat="1" applyFont="1" applyBorder="1" applyAlignment="1" applyProtection="1">
      <alignment horizontal="center" vertical="center"/>
      <protection locked="0"/>
    </xf>
    <xf numFmtId="14" fontId="9" fillId="0" borderId="0" xfId="0" applyNumberFormat="1" applyFont="1" applyAlignment="1" applyProtection="1">
      <alignment horizontal="left" vertical="center"/>
      <protection locked="0"/>
    </xf>
    <xf numFmtId="0" fontId="9" fillId="0" borderId="0" xfId="0" applyFont="1" applyAlignment="1">
      <alignment horizontal="left" vertical="center"/>
    </xf>
    <xf numFmtId="0" fontId="23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center" vertical="center"/>
      <protection locked="0"/>
    </xf>
    <xf numFmtId="0" fontId="13" fillId="2" borderId="18" xfId="1" applyFont="1" applyFill="1" applyBorder="1" applyAlignment="1" applyProtection="1">
      <alignment horizontal="center" vertical="center" wrapText="1"/>
      <protection locked="0"/>
    </xf>
    <xf numFmtId="0" fontId="13" fillId="2" borderId="20" xfId="1" applyFont="1" applyFill="1" applyBorder="1" applyAlignment="1" applyProtection="1">
      <alignment horizontal="center" vertical="center" wrapText="1"/>
      <protection locked="0"/>
    </xf>
    <xf numFmtId="0" fontId="14" fillId="2" borderId="18" xfId="1" applyFont="1" applyFill="1" applyBorder="1" applyAlignment="1" applyProtection="1">
      <alignment horizontal="center" vertical="center" wrapText="1"/>
      <protection locked="0"/>
    </xf>
    <xf numFmtId="0" fontId="14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13" fillId="2" borderId="23" xfId="1" applyFont="1" applyFill="1" applyBorder="1" applyAlignment="1" applyProtection="1">
      <alignment horizontal="center" vertical="center" wrapText="1"/>
      <protection locked="0"/>
    </xf>
    <xf numFmtId="0" fontId="13" fillId="2" borderId="27" xfId="1" applyFont="1" applyFill="1" applyBorder="1" applyAlignment="1" applyProtection="1">
      <alignment horizontal="center" vertical="center" wrapText="1"/>
      <protection locked="0"/>
    </xf>
    <xf numFmtId="0" fontId="13" fillId="2" borderId="32" xfId="1" applyFont="1" applyFill="1" applyBorder="1" applyAlignment="1" applyProtection="1">
      <alignment horizontal="center" vertical="center" wrapText="1"/>
      <protection locked="0"/>
    </xf>
    <xf numFmtId="0" fontId="13" fillId="2" borderId="35" xfId="1" applyFont="1" applyFill="1" applyBorder="1" applyAlignment="1" applyProtection="1">
      <alignment horizontal="center" vertical="center" wrapText="1"/>
      <protection locked="0"/>
    </xf>
    <xf numFmtId="0" fontId="13" fillId="2" borderId="24" xfId="1" applyFont="1" applyFill="1" applyBorder="1" applyAlignment="1" applyProtection="1">
      <alignment horizontal="center" vertical="center" wrapText="1"/>
      <protection locked="0"/>
    </xf>
    <xf numFmtId="0" fontId="13" fillId="0" borderId="19" xfId="1" applyFont="1" applyBorder="1" applyAlignment="1" applyProtection="1">
      <alignment vertical="center" wrapText="1"/>
      <protection locked="0"/>
    </xf>
    <xf numFmtId="0" fontId="13" fillId="2" borderId="28" xfId="1" applyFont="1" applyFill="1" applyBorder="1" applyAlignment="1" applyProtection="1">
      <alignment horizontal="center" vertical="center" wrapText="1"/>
      <protection locked="0"/>
    </xf>
    <xf numFmtId="0" fontId="13" fillId="2" borderId="36" xfId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165" fontId="18" fillId="0" borderId="39" xfId="0" applyNumberFormat="1" applyFont="1" applyBorder="1" applyAlignment="1" applyProtection="1">
      <alignment horizontal="center" vertical="center"/>
      <protection locked="0"/>
    </xf>
    <xf numFmtId="165" fontId="18" fillId="0" borderId="16" xfId="0" applyNumberFormat="1" applyFont="1" applyBorder="1" applyAlignment="1" applyProtection="1">
      <alignment horizontal="center" vertical="center"/>
      <protection locked="0"/>
    </xf>
    <xf numFmtId="2" fontId="18" fillId="0" borderId="14" xfId="0" applyNumberFormat="1" applyFont="1" applyBorder="1" applyAlignment="1" applyProtection="1">
      <alignment horizontal="center" vertical="center"/>
      <protection locked="0"/>
    </xf>
    <xf numFmtId="2" fontId="18" fillId="0" borderId="16" xfId="0" applyNumberFormat="1" applyFont="1" applyBorder="1" applyAlignment="1" applyProtection="1">
      <alignment horizontal="center" vertical="center"/>
      <protection locked="0"/>
    </xf>
    <xf numFmtId="2" fontId="1" fillId="0" borderId="40" xfId="0" applyNumberFormat="1" applyFont="1" applyBorder="1" applyAlignment="1" applyProtection="1">
      <alignment horizontal="center" vertical="center"/>
      <protection locked="0"/>
    </xf>
    <xf numFmtId="2" fontId="1" fillId="0" borderId="41" xfId="0" applyNumberFormat="1" applyFont="1" applyBorder="1" applyAlignment="1" applyProtection="1">
      <alignment horizontal="center" vertical="center"/>
      <protection locked="0"/>
    </xf>
    <xf numFmtId="2" fontId="19" fillId="2" borderId="42" xfId="1" applyNumberFormat="1" applyFont="1" applyFill="1" applyBorder="1" applyAlignment="1" applyProtection="1">
      <alignment horizontal="center" vertical="center"/>
      <protection hidden="1"/>
    </xf>
    <xf numFmtId="2" fontId="19" fillId="2" borderId="43" xfId="1" applyNumberFormat="1" applyFont="1" applyFill="1" applyBorder="1" applyAlignment="1" applyProtection="1">
      <alignment horizontal="center" vertical="center"/>
      <protection hidden="1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165" fontId="1" fillId="0" borderId="50" xfId="0" applyNumberFormat="1" applyFont="1" applyBorder="1" applyAlignment="1" applyProtection="1">
      <alignment horizontal="center" vertical="center"/>
      <protection locked="0"/>
    </xf>
    <xf numFmtId="165" fontId="1" fillId="0" borderId="52" xfId="0" applyNumberFormat="1" applyFont="1" applyBorder="1" applyAlignment="1" applyProtection="1">
      <alignment horizontal="center" vertical="center"/>
      <protection locked="0"/>
    </xf>
    <xf numFmtId="2" fontId="1" fillId="0" borderId="54" xfId="0" applyNumberFormat="1" applyFont="1" applyBorder="1" applyAlignment="1" applyProtection="1">
      <alignment horizontal="center" vertical="center"/>
      <protection locked="0"/>
    </xf>
    <xf numFmtId="2" fontId="1" fillId="0" borderId="52" xfId="0" applyNumberFormat="1" applyFont="1" applyBorder="1" applyAlignment="1" applyProtection="1">
      <alignment horizontal="center" vertical="center"/>
      <protection locked="0"/>
    </xf>
    <xf numFmtId="2" fontId="1" fillId="0" borderId="51" xfId="0" applyNumberFormat="1" applyFont="1" applyBorder="1" applyAlignment="1" applyProtection="1">
      <alignment horizontal="center" vertical="center"/>
      <protection locked="0"/>
    </xf>
    <xf numFmtId="2" fontId="1" fillId="0" borderId="55" xfId="0" applyNumberFormat="1" applyFont="1" applyBorder="1" applyAlignment="1" applyProtection="1">
      <alignment horizontal="center" vertical="center"/>
      <protection locked="0"/>
    </xf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2" fontId="1" fillId="0" borderId="47" xfId="0" applyNumberFormat="1" applyFont="1" applyBorder="1" applyAlignment="1" applyProtection="1">
      <alignment horizontal="center" vertical="center"/>
      <protection locked="0"/>
    </xf>
    <xf numFmtId="2" fontId="1" fillId="0" borderId="48" xfId="0" applyNumberFormat="1" applyFont="1" applyBorder="1" applyAlignment="1" applyProtection="1">
      <alignment horizontal="center" vertical="center"/>
      <protection locked="0"/>
    </xf>
    <xf numFmtId="0" fontId="1" fillId="0" borderId="47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165" fontId="1" fillId="0" borderId="42" xfId="0" applyNumberFormat="1" applyFont="1" applyBorder="1" applyAlignment="1" applyProtection="1">
      <alignment horizontal="center" vertical="center"/>
      <protection locked="0"/>
    </xf>
    <xf numFmtId="165" fontId="1" fillId="0" borderId="43" xfId="0" applyNumberFormat="1" applyFont="1" applyBorder="1" applyAlignment="1" applyProtection="1">
      <alignment horizontal="center" vertical="center"/>
      <protection locked="0"/>
    </xf>
    <xf numFmtId="2" fontId="1" fillId="0" borderId="17" xfId="0" applyNumberFormat="1" applyFont="1" applyBorder="1" applyAlignment="1" applyProtection="1">
      <alignment horizontal="center" vertical="center"/>
      <protection locked="0"/>
    </xf>
    <xf numFmtId="2" fontId="1" fillId="0" borderId="43" xfId="0" applyNumberFormat="1" applyFont="1" applyBorder="1" applyAlignment="1" applyProtection="1">
      <alignment horizontal="center" vertical="center"/>
      <protection locked="0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165" fontId="1" fillId="0" borderId="58" xfId="0" applyNumberFormat="1" applyFont="1" applyBorder="1" applyAlignment="1">
      <alignment horizontal="center" vertical="center"/>
    </xf>
    <xf numFmtId="165" fontId="1" fillId="0" borderId="59" xfId="0" applyNumberFormat="1" applyFont="1" applyBorder="1" applyAlignment="1">
      <alignment horizontal="center" vertical="center"/>
    </xf>
    <xf numFmtId="2" fontId="1" fillId="0" borderId="40" xfId="0" applyNumberFormat="1" applyFont="1" applyBorder="1" applyAlignment="1">
      <alignment horizontal="center" vertical="center"/>
    </xf>
    <xf numFmtId="2" fontId="1" fillId="0" borderId="59" xfId="0" applyNumberFormat="1" applyFont="1" applyBorder="1" applyAlignment="1">
      <alignment horizontal="center" vertical="center"/>
    </xf>
    <xf numFmtId="165" fontId="1" fillId="0" borderId="40" xfId="0" applyNumberFormat="1" applyFont="1" applyBorder="1" applyAlignment="1">
      <alignment horizontal="center" vertical="center"/>
    </xf>
    <xf numFmtId="165" fontId="1" fillId="0" borderId="41" xfId="0" applyNumberFormat="1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15" fillId="0" borderId="42" xfId="0" applyNumberFormat="1" applyFont="1" applyBorder="1" applyAlignment="1">
      <alignment horizontal="center" vertical="center"/>
    </xf>
    <xf numFmtId="165" fontId="15" fillId="0" borderId="43" xfId="0" applyNumberFormat="1" applyFont="1" applyBorder="1" applyAlignment="1">
      <alignment horizontal="center" vertical="center"/>
    </xf>
    <xf numFmtId="2" fontId="15" fillId="0" borderId="47" xfId="0" applyNumberFormat="1" applyFont="1" applyBorder="1" applyAlignment="1">
      <alignment horizontal="center" vertical="center"/>
    </xf>
    <xf numFmtId="2" fontId="15" fillId="0" borderId="43" xfId="0" applyNumberFormat="1" applyFont="1" applyBorder="1" applyAlignment="1">
      <alignment horizontal="center" vertical="center"/>
    </xf>
    <xf numFmtId="2" fontId="1" fillId="0" borderId="47" xfId="0" applyNumberFormat="1" applyFont="1" applyBorder="1" applyAlignment="1">
      <alignment horizontal="center" vertical="center"/>
    </xf>
    <xf numFmtId="2" fontId="1" fillId="0" borderId="48" xfId="0" applyNumberFormat="1" applyFont="1" applyBorder="1" applyAlignment="1">
      <alignment horizontal="center" vertical="center"/>
    </xf>
    <xf numFmtId="165" fontId="1" fillId="0" borderId="47" xfId="0" applyNumberFormat="1" applyFont="1" applyBorder="1" applyAlignment="1" applyProtection="1">
      <alignment horizontal="center" vertical="center"/>
      <protection locked="0"/>
    </xf>
    <xf numFmtId="0" fontId="1" fillId="0" borderId="48" xfId="0" applyFont="1" applyBorder="1" applyAlignment="1">
      <alignment horizontal="center" vertical="center"/>
    </xf>
    <xf numFmtId="0" fontId="19" fillId="2" borderId="62" xfId="1" applyFont="1" applyFill="1" applyBorder="1" applyAlignment="1" applyProtection="1">
      <alignment horizontal="center" vertical="center"/>
      <protection hidden="1"/>
    </xf>
    <xf numFmtId="0" fontId="19" fillId="2" borderId="64" xfId="1" applyFont="1" applyFill="1" applyBorder="1" applyAlignment="1" applyProtection="1">
      <alignment horizontal="center" vertical="center"/>
      <protection hidden="1"/>
    </xf>
    <xf numFmtId="2" fontId="19" fillId="2" borderId="63" xfId="1" applyNumberFormat="1" applyFont="1" applyFill="1" applyBorder="1" applyAlignment="1" applyProtection="1">
      <alignment horizontal="center" vertical="center"/>
      <protection hidden="1"/>
    </xf>
    <xf numFmtId="2" fontId="19" fillId="2" borderId="36" xfId="1" applyNumberFormat="1" applyFont="1" applyFill="1" applyBorder="1" applyAlignment="1" applyProtection="1">
      <alignment horizontal="center" vertical="center"/>
      <protection hidden="1"/>
    </xf>
    <xf numFmtId="0" fontId="1" fillId="0" borderId="50" xfId="0" applyFont="1" applyBorder="1" applyAlignment="1" applyProtection="1">
      <alignment horizontal="center" vertical="center"/>
      <protection locked="0"/>
    </xf>
    <xf numFmtId="0" fontId="1" fillId="0" borderId="52" xfId="0" applyFont="1" applyBorder="1" applyAlignment="1" applyProtection="1">
      <alignment horizontal="center" vertical="center"/>
      <protection locked="0"/>
    </xf>
    <xf numFmtId="165" fontId="1" fillId="0" borderId="51" xfId="0" applyNumberFormat="1" applyFont="1" applyBorder="1" applyAlignment="1" applyProtection="1">
      <alignment horizontal="center" vertical="center"/>
      <protection locked="0"/>
    </xf>
    <xf numFmtId="0" fontId="1" fillId="0" borderId="55" xfId="0" applyFont="1" applyBorder="1" applyAlignment="1">
      <alignment horizontal="center" vertical="center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11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0" borderId="13" xfId="0" applyFont="1" applyBorder="1" applyAlignment="1" applyProtection="1">
      <alignment horizontal="left" vertical="center" wrapText="1"/>
      <protection locked="0"/>
    </xf>
    <xf numFmtId="0" fontId="21" fillId="0" borderId="7" xfId="0" applyFont="1" applyBorder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21" fillId="0" borderId="8" xfId="0" applyFont="1" applyBorder="1" applyAlignment="1" applyProtection="1">
      <alignment horizontal="center" vertical="center"/>
      <protection hidden="1"/>
    </xf>
    <xf numFmtId="0" fontId="21" fillId="0" borderId="11" xfId="0" applyFont="1" applyBorder="1" applyAlignment="1" applyProtection="1">
      <alignment horizontal="center" vertical="center"/>
      <protection hidden="1"/>
    </xf>
    <xf numFmtId="0" fontId="21" fillId="0" borderId="12" xfId="0" applyFont="1" applyBorder="1" applyAlignment="1" applyProtection="1">
      <alignment horizontal="center" vertical="center"/>
      <protection hidden="1"/>
    </xf>
    <xf numFmtId="0" fontId="21" fillId="0" borderId="13" xfId="0" applyFont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center"/>
      <protection locked="0"/>
    </xf>
    <xf numFmtId="0" fontId="21" fillId="0" borderId="17" xfId="0" applyFont="1" applyBorder="1" applyAlignment="1" applyProtection="1">
      <alignment horizontal="center" vertical="center" wrapText="1"/>
      <protection hidden="1"/>
    </xf>
    <xf numFmtId="0" fontId="21" fillId="0" borderId="43" xfId="0" applyFont="1" applyBorder="1" applyAlignment="1" applyProtection="1">
      <alignment horizontal="center" vertical="center" wrapText="1"/>
      <protection hidden="1"/>
    </xf>
    <xf numFmtId="0" fontId="22" fillId="0" borderId="67" xfId="0" applyFont="1" applyBorder="1" applyAlignment="1" applyProtection="1">
      <alignment horizontal="center" vertical="center"/>
      <protection hidden="1"/>
    </xf>
    <xf numFmtId="0" fontId="22" fillId="0" borderId="68" xfId="0" applyFont="1" applyBorder="1" applyAlignment="1" applyProtection="1">
      <alignment horizontal="center" vertical="center"/>
      <protection hidden="1"/>
    </xf>
    <xf numFmtId="0" fontId="22" fillId="0" borderId="69" xfId="0" applyFont="1" applyBorder="1" applyAlignment="1" applyProtection="1">
      <alignment horizontal="center" vertical="center"/>
      <protection hidden="1"/>
    </xf>
    <xf numFmtId="0" fontId="23" fillId="0" borderId="70" xfId="0" applyFont="1" applyBorder="1" applyAlignment="1" applyProtection="1">
      <alignment horizontal="center" vertical="center" wrapText="1"/>
      <protection locked="0"/>
    </xf>
    <xf numFmtId="0" fontId="23" fillId="0" borderId="71" xfId="0" applyFont="1" applyBorder="1" applyAlignment="1" applyProtection="1">
      <alignment horizontal="center" vertical="center" wrapText="1"/>
      <protection locked="0"/>
    </xf>
    <xf numFmtId="0" fontId="17" fillId="0" borderId="71" xfId="0" applyFont="1" applyBorder="1" applyAlignment="1" applyProtection="1">
      <alignment horizontal="center" vertical="center" wrapText="1"/>
      <protection locked="0"/>
    </xf>
    <xf numFmtId="0" fontId="17" fillId="0" borderId="72" xfId="0" applyFont="1" applyBorder="1" applyAlignment="1" applyProtection="1">
      <alignment horizontal="center" vertical="center" wrapText="1"/>
      <protection locked="0"/>
    </xf>
    <xf numFmtId="0" fontId="22" fillId="0" borderId="9" xfId="0" applyFont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 vertical="center"/>
      <protection hidden="1"/>
    </xf>
    <xf numFmtId="0" fontId="22" fillId="0" borderId="10" xfId="0" applyFont="1" applyBorder="1" applyAlignment="1" applyProtection="1">
      <alignment horizontal="center" vertical="center"/>
      <protection hidden="1"/>
    </xf>
    <xf numFmtId="0" fontId="22" fillId="0" borderId="14" xfId="0" applyFont="1" applyBorder="1" applyAlignment="1" applyProtection="1">
      <alignment horizontal="center" vertical="center"/>
      <protection hidden="1"/>
    </xf>
    <xf numFmtId="0" fontId="22" fillId="0" borderId="15" xfId="0" applyFont="1" applyBorder="1" applyAlignment="1" applyProtection="1">
      <alignment horizontal="center" vertical="center"/>
      <protection hidden="1"/>
    </xf>
    <xf numFmtId="0" fontId="22" fillId="0" borderId="16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73" xfId="0" applyFont="1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0" fontId="9" fillId="0" borderId="74" xfId="0" applyFont="1" applyBorder="1" applyAlignment="1" applyProtection="1">
      <alignment horizontal="center" vertical="center"/>
      <protection locked="0"/>
    </xf>
    <xf numFmtId="165" fontId="18" fillId="0" borderId="39" xfId="2" applyNumberFormat="1" applyFont="1" applyBorder="1" applyAlignment="1" applyProtection="1">
      <alignment horizontal="center" vertical="center"/>
      <protection locked="0"/>
    </xf>
    <xf numFmtId="165" fontId="18" fillId="0" borderId="16" xfId="2" applyNumberFormat="1" applyFont="1" applyBorder="1" applyAlignment="1" applyProtection="1">
      <alignment horizontal="center" vertical="center"/>
      <protection locked="0"/>
    </xf>
    <xf numFmtId="2" fontId="18" fillId="0" borderId="14" xfId="2" applyNumberFormat="1" applyFont="1" applyBorder="1" applyAlignment="1" applyProtection="1">
      <alignment horizontal="center" vertical="center"/>
      <protection locked="0"/>
    </xf>
    <xf numFmtId="2" fontId="18" fillId="0" borderId="16" xfId="2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8" xfId="0" applyNumberFormat="1" applyFont="1" applyBorder="1" applyAlignment="1" applyProtection="1">
      <alignment horizontal="center" vertical="center"/>
      <protection locked="0"/>
    </xf>
    <xf numFmtId="20" fontId="17" fillId="0" borderId="14" xfId="2" applyNumberFormat="1" applyFont="1" applyBorder="1" applyAlignment="1">
      <alignment horizontal="center" vertical="center" wrapText="1"/>
    </xf>
    <xf numFmtId="0" fontId="17" fillId="0" borderId="16" xfId="2" applyFont="1" applyBorder="1" applyAlignment="1">
      <alignment horizontal="center" vertical="center" wrapText="1"/>
    </xf>
    <xf numFmtId="14" fontId="26" fillId="0" borderId="0" xfId="0" applyNumberFormat="1" applyFont="1" applyAlignment="1" applyProtection="1">
      <alignment horizontal="left" vertical="center"/>
      <protection locked="0"/>
    </xf>
    <xf numFmtId="0" fontId="17" fillId="0" borderId="14" xfId="2" applyFont="1" applyBorder="1" applyAlignment="1">
      <alignment horizontal="center" vertical="center" wrapText="1"/>
    </xf>
    <xf numFmtId="165" fontId="18" fillId="0" borderId="38" xfId="2" applyNumberFormat="1" applyFont="1" applyBorder="1" applyAlignment="1">
      <alignment horizontal="center" vertical="center" wrapText="1"/>
    </xf>
    <xf numFmtId="165" fontId="18" fillId="0" borderId="16" xfId="2" applyNumberFormat="1" applyFont="1" applyBorder="1" applyAlignment="1" applyProtection="1">
      <alignment horizontal="center" vertical="center"/>
      <protection locked="0"/>
    </xf>
    <xf numFmtId="165" fontId="18" fillId="0" borderId="38" xfId="2" applyNumberFormat="1" applyFont="1" applyBorder="1" applyAlignment="1" applyProtection="1">
      <alignment horizontal="center" vertical="center"/>
      <protection locked="0"/>
    </xf>
    <xf numFmtId="165" fontId="18" fillId="0" borderId="14" xfId="2" applyNumberFormat="1" applyFont="1" applyBorder="1" applyAlignment="1" applyProtection="1">
      <alignment horizontal="center" vertical="center"/>
      <protection locked="0"/>
    </xf>
    <xf numFmtId="165" fontId="18" fillId="0" borderId="38" xfId="2" applyNumberFormat="1" applyFont="1" applyBorder="1" applyAlignment="1">
      <alignment horizontal="center" vertical="center" wrapText="1"/>
    </xf>
    <xf numFmtId="165" fontId="18" fillId="0" borderId="16" xfId="2" applyNumberFormat="1" applyFont="1" applyBorder="1" applyAlignment="1" applyProtection="1">
      <alignment horizontal="center" vertical="center"/>
      <protection locked="0"/>
    </xf>
    <xf numFmtId="165" fontId="18" fillId="0" borderId="38" xfId="2" applyNumberFormat="1" applyFont="1" applyBorder="1" applyAlignment="1" applyProtection="1">
      <alignment horizontal="center" vertical="center"/>
      <protection locked="0"/>
    </xf>
    <xf numFmtId="165" fontId="18" fillId="0" borderId="14" xfId="2" applyNumberFormat="1" applyFont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" xfId="1" xr:uid="{74F159DF-DCB5-4BD9-ADA2-097B657A268F}"/>
    <cellStyle name="Normal 3" xfId="2" xr:uid="{BA435293-7BCD-42CC-BAA1-105F192DDCA2}"/>
    <cellStyle name="Normal 4" xfId="3" xr:uid="{687A964E-C138-4C0F-AB73-008AAA1B6F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24-250325 BBSG Trévoux'!$E$54:$W$54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24-250325 BBSG Trévoux'!$E$61:$W$61</c:f>
              <c:numCache>
                <c:formatCode>0.0</c:formatCode>
                <c:ptCount val="19"/>
                <c:pt idx="0">
                  <c:v>7</c:v>
                </c:pt>
                <c:pt idx="1">
                  <c:v>8.8500000000000014</c:v>
                </c:pt>
                <c:pt idx="2">
                  <c:v>11.7</c:v>
                </c:pt>
                <c:pt idx="3">
                  <c:v>15.3</c:v>
                </c:pt>
                <c:pt idx="4">
                  <c:v>20.65</c:v>
                </c:pt>
                <c:pt idx="5">
                  <c:v>30.45</c:v>
                </c:pt>
                <c:pt idx="6">
                  <c:v>46.7</c:v>
                </c:pt>
                <c:pt idx="7">
                  <c:v>71.300000000000011</c:v>
                </c:pt>
                <c:pt idx="8">
                  <c:v>86.1</c:v>
                </c:pt>
                <c:pt idx="9">
                  <c:v>96.550000000000011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161</c:v>
                </c:pt>
                <c:pt idx="18" formatCode="0.00">
                  <c:v>5.4700000000000006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7-4002-ACFE-A4F18584531D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24-250325 BBSG Trévoux'!$E$54:$W$54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24-250325 BBSG Trévoux'!$E$62:$W$62</c:f>
              <c:numCache>
                <c:formatCode>0.0</c:formatCode>
                <c:ptCount val="19"/>
                <c:pt idx="0">
                  <c:v>7.1</c:v>
                </c:pt>
                <c:pt idx="1">
                  <c:v>9</c:v>
                </c:pt>
                <c:pt idx="2">
                  <c:v>13</c:v>
                </c:pt>
                <c:pt idx="3">
                  <c:v>17</c:v>
                </c:pt>
                <c:pt idx="4">
                  <c:v>24</c:v>
                </c:pt>
                <c:pt idx="5">
                  <c:v>31</c:v>
                </c:pt>
                <c:pt idx="6">
                  <c:v>44</c:v>
                </c:pt>
                <c:pt idx="7">
                  <c:v>65</c:v>
                </c:pt>
                <c:pt idx="8">
                  <c:v>81</c:v>
                </c:pt>
                <c:pt idx="9">
                  <c:v>96</c:v>
                </c:pt>
                <c:pt idx="10" formatCode="0">
                  <c:v>100</c:v>
                </c:pt>
                <c:pt idx="18" formatCode="0.00">
                  <c:v>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37-4002-ACFE-A4F18584531D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24-250325 BBSG Trévoux'!$E$54:$W$54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24-250325 BBSG Trévoux'!$E$64:$W$64</c:f>
              <c:numCache>
                <c:formatCode>0.0</c:formatCode>
                <c:ptCount val="19"/>
                <c:pt idx="0">
                  <c:v>5.0999999999999996</c:v>
                </c:pt>
                <c:pt idx="5">
                  <c:v>25</c:v>
                </c:pt>
                <c:pt idx="7">
                  <c:v>58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37-4002-ACFE-A4F18584531D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24-250325 BBSG Trévoux'!$E$54:$W$54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24-250325 BBSG Trévoux'!$E$63:$W$63</c:f>
              <c:numCache>
                <c:formatCode>0.0</c:formatCode>
                <c:ptCount val="19"/>
                <c:pt idx="0">
                  <c:v>9.1</c:v>
                </c:pt>
                <c:pt idx="5">
                  <c:v>37</c:v>
                </c:pt>
                <c:pt idx="7">
                  <c:v>72</c:v>
                </c:pt>
                <c:pt idx="18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37-4002-ACFE-A4F185845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24-250325 GB Trévoux'!$E$54:$W$54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24-250325 GB Trévoux'!$E$61:$W$61</c:f>
              <c:numCache>
                <c:formatCode>0.0</c:formatCode>
                <c:ptCount val="19"/>
                <c:pt idx="0">
                  <c:v>6.9499999999999993</c:v>
                </c:pt>
                <c:pt idx="1">
                  <c:v>8.8999999999999986</c:v>
                </c:pt>
                <c:pt idx="2">
                  <c:v>11.65</c:v>
                </c:pt>
                <c:pt idx="3">
                  <c:v>15.2</c:v>
                </c:pt>
                <c:pt idx="4">
                  <c:v>20.05</c:v>
                </c:pt>
                <c:pt idx="5">
                  <c:v>28.799999999999997</c:v>
                </c:pt>
                <c:pt idx="6">
                  <c:v>42.5</c:v>
                </c:pt>
                <c:pt idx="7">
                  <c:v>57.95</c:v>
                </c:pt>
                <c:pt idx="8">
                  <c:v>70.2</c:v>
                </c:pt>
                <c:pt idx="9">
                  <c:v>84.25</c:v>
                </c:pt>
                <c:pt idx="10" formatCode="0">
                  <c:v>92.550000000000011</c:v>
                </c:pt>
                <c:pt idx="11" formatCode="0">
                  <c:v>97.15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169</c:v>
                </c:pt>
                <c:pt idx="18" formatCode="0.00">
                  <c:v>4.53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AA-40CA-A8F5-27B41266046F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24-250325 GB Trévoux'!$E$54:$W$54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24-250325 GB Trévoux'!$E$62:$W$62</c:f>
              <c:numCache>
                <c:formatCode>0.0</c:formatCode>
                <c:ptCount val="19"/>
                <c:pt idx="0">
                  <c:v>7.5</c:v>
                </c:pt>
                <c:pt idx="1">
                  <c:v>10</c:v>
                </c:pt>
                <c:pt idx="2">
                  <c:v>13</c:v>
                </c:pt>
                <c:pt idx="3">
                  <c:v>18</c:v>
                </c:pt>
                <c:pt idx="4">
                  <c:v>23</c:v>
                </c:pt>
                <c:pt idx="5">
                  <c:v>31</c:v>
                </c:pt>
                <c:pt idx="6">
                  <c:v>43</c:v>
                </c:pt>
                <c:pt idx="7">
                  <c:v>53</c:v>
                </c:pt>
                <c:pt idx="8">
                  <c:v>65</c:v>
                </c:pt>
                <c:pt idx="9">
                  <c:v>80</c:v>
                </c:pt>
                <c:pt idx="10" formatCode="0">
                  <c:v>93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AA-40CA-A8F5-27B41266046F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24-250325 GB Trévoux'!$E$54:$W$54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24-250325 GB Trévoux'!$E$64:$W$64</c:f>
              <c:numCache>
                <c:formatCode>0.0</c:formatCode>
                <c:ptCount val="19"/>
                <c:pt idx="0">
                  <c:v>5.5</c:v>
                </c:pt>
                <c:pt idx="5">
                  <c:v>25</c:v>
                </c:pt>
                <c:pt idx="7">
                  <c:v>46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AA-40CA-A8F5-27B41266046F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24-250325 GB Trévoux'!$E$54:$W$54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24-250325 GB Trévoux'!$E$63:$W$63</c:f>
              <c:numCache>
                <c:formatCode>0.0</c:formatCode>
                <c:ptCount val="19"/>
                <c:pt idx="0">
                  <c:v>9.5</c:v>
                </c:pt>
                <c:pt idx="5">
                  <c:v>37</c:v>
                </c:pt>
                <c:pt idx="7">
                  <c:v>60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AA-40CA-A8F5-27B412660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27-280624 Civrieux curie'!$E$54:$W$54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27-280624 Civrieux curie'!$E$61:$W$61</c:f>
              <c:numCache>
                <c:formatCode>0.0</c:formatCode>
                <c:ptCount val="19"/>
                <c:pt idx="0">
                  <c:v>6.85</c:v>
                </c:pt>
                <c:pt idx="1">
                  <c:v>8.75</c:v>
                </c:pt>
                <c:pt idx="2">
                  <c:v>11.8</c:v>
                </c:pt>
                <c:pt idx="3">
                  <c:v>15.3</c:v>
                </c:pt>
                <c:pt idx="4">
                  <c:v>20.149999999999999</c:v>
                </c:pt>
                <c:pt idx="5">
                  <c:v>28.1</c:v>
                </c:pt>
                <c:pt idx="6">
                  <c:v>40.35</c:v>
                </c:pt>
                <c:pt idx="7">
                  <c:v>56.2</c:v>
                </c:pt>
                <c:pt idx="8">
                  <c:v>74.599999999999994</c:v>
                </c:pt>
                <c:pt idx="9">
                  <c:v>93.75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168</c:v>
                </c:pt>
                <c:pt idx="18" formatCode="0.00">
                  <c:v>5.12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60-46CD-9413-D01830025B38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27-280624 Civrieux curie'!$E$54:$W$54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27-280624 Civrieux curie'!$E$62:$W$62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60-46CD-9413-D01830025B38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27-280624 Civrieux curie'!$E$54:$W$54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27-280624 Civrieux curie'!$E$64:$W$64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60-46CD-9413-D01830025B38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27-280624 Civrieux curie'!$E$54:$W$54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27-280624 Civrieux curie'!$E$63:$W$63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760-46CD-9413-D01830025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26-270624 Civrieux curie'!$E$54:$W$54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26-270624 Civrieux curie'!$E$61:$W$61</c:f>
              <c:numCache>
                <c:formatCode>0.0</c:formatCode>
                <c:ptCount val="19"/>
                <c:pt idx="0">
                  <c:v>7.3</c:v>
                </c:pt>
                <c:pt idx="1">
                  <c:v>9.4499999999999993</c:v>
                </c:pt>
                <c:pt idx="2">
                  <c:v>12.15</c:v>
                </c:pt>
                <c:pt idx="3">
                  <c:v>16.05</c:v>
                </c:pt>
                <c:pt idx="4">
                  <c:v>21.049999999999997</c:v>
                </c:pt>
                <c:pt idx="5">
                  <c:v>29</c:v>
                </c:pt>
                <c:pt idx="6">
                  <c:v>44.95</c:v>
                </c:pt>
                <c:pt idx="7">
                  <c:v>62.099999999999994</c:v>
                </c:pt>
                <c:pt idx="8">
                  <c:v>77.900000000000006</c:v>
                </c:pt>
                <c:pt idx="9">
                  <c:v>93.95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169.5</c:v>
                </c:pt>
                <c:pt idx="18" formatCode="0.00">
                  <c:v>5.18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0B-4854-B558-C60AFBB1AA8B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26-270624 Civrieux curie'!$E$54:$W$54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26-270624 Civrieux curie'!$E$62:$W$62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0B-4854-B558-C60AFBB1AA8B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26-270624 Civrieux curie'!$E$54:$W$54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26-270624 Civrieux curie'!$E$64:$W$64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0B-4854-B558-C60AFBB1AA8B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26-270624 Civrieux curie'!$E$54:$W$54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26-270624 Civrieux curie'!$E$63:$W$63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0B-4854-B558-C60AFBB1A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'25_260624 Civrieux Copernic'!$E$54:$W$54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'25_260624 Civrieux Copernic'!$E$61:$W$61</c:f>
              <c:numCache>
                <c:formatCode>0.0</c:formatCode>
                <c:ptCount val="19"/>
                <c:pt idx="0">
                  <c:v>6.45</c:v>
                </c:pt>
                <c:pt idx="1">
                  <c:v>8.4</c:v>
                </c:pt>
                <c:pt idx="2">
                  <c:v>11.4</c:v>
                </c:pt>
                <c:pt idx="3">
                  <c:v>14.95</c:v>
                </c:pt>
                <c:pt idx="4">
                  <c:v>19.649999999999999</c:v>
                </c:pt>
                <c:pt idx="5">
                  <c:v>27.549999999999997</c:v>
                </c:pt>
                <c:pt idx="6">
                  <c:v>40.25</c:v>
                </c:pt>
                <c:pt idx="7">
                  <c:v>56.1</c:v>
                </c:pt>
                <c:pt idx="8">
                  <c:v>73.5</c:v>
                </c:pt>
                <c:pt idx="9">
                  <c:v>93.25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161.5</c:v>
                </c:pt>
                <c:pt idx="18" formatCode="0.00">
                  <c:v>4.9700000000000006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0C-48AA-8438-EAA304586AD2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'25_260624 Civrieux Copernic'!$E$54:$W$54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'25_260624 Civrieux Copernic'!$E$62:$W$62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0C-48AA-8438-EAA304586AD2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'25_260624 Civrieux Copernic'!$E$54:$W$54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'25_260624 Civrieux Copernic'!$E$64:$W$64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30C-48AA-8438-EAA304586AD2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'25_260624 Civrieux Copernic'!$E$54:$W$54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'25_260624 Civrieux Copernic'!$E$63:$W$63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30C-48AA-8438-EAA304586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'24_250624 Civrieux Copernic'!$E$54:$W$54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'24_250624 Civrieux Copernic'!$E$61:$W$61</c:f>
              <c:numCache>
                <c:formatCode>0.0</c:formatCode>
                <c:ptCount val="19"/>
                <c:pt idx="0">
                  <c:v>8.1999999999999993</c:v>
                </c:pt>
                <c:pt idx="1">
                  <c:v>10.3</c:v>
                </c:pt>
                <c:pt idx="2">
                  <c:v>12.9</c:v>
                </c:pt>
                <c:pt idx="3">
                  <c:v>16.5</c:v>
                </c:pt>
                <c:pt idx="4">
                  <c:v>21.7</c:v>
                </c:pt>
                <c:pt idx="5">
                  <c:v>30.8</c:v>
                </c:pt>
                <c:pt idx="6">
                  <c:v>46.2</c:v>
                </c:pt>
                <c:pt idx="7">
                  <c:v>60.3</c:v>
                </c:pt>
                <c:pt idx="8">
                  <c:v>70.400000000000006</c:v>
                </c:pt>
                <c:pt idx="9">
                  <c:v>79.3</c:v>
                </c:pt>
                <c:pt idx="10" formatCode="0">
                  <c:v>91.5</c:v>
                </c:pt>
                <c:pt idx="11" formatCode="0">
                  <c:v>97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155</c:v>
                </c:pt>
                <c:pt idx="18" formatCode="0.00">
                  <c:v>4.2300000000000004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1E-457B-8A13-DA7886A506C5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'24_250624 Civrieux Copernic'!$E$54:$W$54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'24_250624 Civrieux Copernic'!$E$62:$W$62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1E-457B-8A13-DA7886A506C5}"/>
            </c:ext>
          </c:extLst>
        </c:ser>
        <c:ser>
          <c:idx val="3"/>
          <c:order val="3"/>
          <c:tx>
            <c:v>Seuil mini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'24_250624 Civrieux Copernic'!$E$54:$W$54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'24_250624 Civrieux Copernic'!$E$64:$W$64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1E-457B-8A13-DA7886A506C5}"/>
            </c:ext>
          </c:extLst>
        </c:ser>
        <c:ser>
          <c:idx val="4"/>
          <c:order val="4"/>
          <c:tx>
            <c:v>Seuil maxi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'24_250624 Civrieux Copernic'!$E$54:$W$54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'24_250624 Civrieux Copernic'!$E$63:$W$63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1E-457B-8A13-DA7886A50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Valeur mini</c:v>
                </c:tx>
                <c:xVal>
                  <c:numLit>
                    <c:formatCode>General</c:formatCode>
                    <c:ptCount val="19"/>
                    <c:pt idx="0">
                      <c:v>6.3E-2</c:v>
                    </c:pt>
                    <c:pt idx="1">
                      <c:v>0.125</c:v>
                    </c:pt>
                    <c:pt idx="2">
                      <c:v>0.25</c:v>
                    </c:pt>
                    <c:pt idx="3">
                      <c:v>0.5</c:v>
                    </c:pt>
                    <c:pt idx="4">
                      <c:v>1</c:v>
                    </c:pt>
                    <c:pt idx="5">
                      <c:v>2</c:v>
                    </c:pt>
                    <c:pt idx="6">
                      <c:v>4</c:v>
                    </c:pt>
                    <c:pt idx="7">
                      <c:v>6.3</c:v>
                    </c:pt>
                    <c:pt idx="8">
                      <c:v>8</c:v>
                    </c:pt>
                    <c:pt idx="9">
                      <c:v>10</c:v>
                    </c:pt>
                    <c:pt idx="10">
                      <c:v>12.5</c:v>
                    </c:pt>
                    <c:pt idx="11">
                      <c:v>14</c:v>
                    </c:pt>
                    <c:pt idx="12">
                      <c:v>16</c:v>
                    </c:pt>
                    <c:pt idx="13">
                      <c:v>20</c:v>
                    </c:pt>
                  </c:numLit>
                </c:xVal>
                <c:yVal>
                  <c:numLit>
                    <c:formatCode>General</c:formatCode>
                    <c:ptCount val="19"/>
                    <c:pt idx="8">
                      <c:v>10</c:v>
                    </c:pt>
                    <c:pt idx="9">
                      <c:v>10</c:v>
                    </c:pt>
                    <c:pt idx="12">
                      <c:v>50</c:v>
                    </c:pt>
                    <c:pt idx="14">
                      <c:v>70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4-5B1E-457B-8A13-DA7886A506C5}"/>
                  </c:ext>
                </c:extLst>
              </c15:ser>
            </c15:filteredScatterSeries>
          </c:ext>
        </c:extLst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'13_140624 Reyrieux Communaux'!$E$50:$W$50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'13_140624 Reyrieux Communaux'!$E$57:$W$57</c:f>
              <c:numCache>
                <c:formatCode>0.0</c:formatCode>
                <c:ptCount val="19"/>
                <c:pt idx="0">
                  <c:v>6.9</c:v>
                </c:pt>
                <c:pt idx="1">
                  <c:v>8.9</c:v>
                </c:pt>
                <c:pt idx="2">
                  <c:v>11.75</c:v>
                </c:pt>
                <c:pt idx="3">
                  <c:v>15.3</c:v>
                </c:pt>
                <c:pt idx="4">
                  <c:v>20.25</c:v>
                </c:pt>
                <c:pt idx="5">
                  <c:v>28.95</c:v>
                </c:pt>
                <c:pt idx="6">
                  <c:v>43.7</c:v>
                </c:pt>
                <c:pt idx="7">
                  <c:v>61.400000000000006</c:v>
                </c:pt>
                <c:pt idx="8">
                  <c:v>77.7</c:v>
                </c:pt>
                <c:pt idx="9">
                  <c:v>95.5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165</c:v>
                </c:pt>
                <c:pt idx="18" formatCode="0.00">
                  <c:v>5.0749999999999993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C4-46BC-B4A0-C0D6FFABC4F5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'13_140624 Reyrieux Communaux'!$E$50:$W$50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'13_140624 Reyrieux Communaux'!$E$58:$W$58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C4-46BC-B4A0-C0D6FFABC4F5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'13_140624 Reyrieux Communaux'!$E$50:$W$50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'13_140624 Reyrieux Communaux'!$E$60:$W$60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C4-46BC-B4A0-C0D6FFABC4F5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'13_140624 Reyrieux Communaux'!$E$50:$W$50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'13_140624 Reyrieux Communaux'!$E$59:$W$59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C4-46BC-B4A0-C0D6FFABC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'12_130624 Reyrieux Communaux'!$E$50:$W$50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'12_130624 Reyrieux Communaux'!$E$57:$W$57</c:f>
              <c:numCache>
                <c:formatCode>0.0</c:formatCode>
                <c:ptCount val="19"/>
                <c:pt idx="0">
                  <c:v>7.1999999999999993</c:v>
                </c:pt>
                <c:pt idx="1">
                  <c:v>9.3500000000000014</c:v>
                </c:pt>
                <c:pt idx="2">
                  <c:v>12.2</c:v>
                </c:pt>
                <c:pt idx="3">
                  <c:v>15.950000000000001</c:v>
                </c:pt>
                <c:pt idx="4">
                  <c:v>21.450000000000003</c:v>
                </c:pt>
                <c:pt idx="5">
                  <c:v>30.549999999999997</c:v>
                </c:pt>
                <c:pt idx="6">
                  <c:v>44.349999999999994</c:v>
                </c:pt>
                <c:pt idx="7">
                  <c:v>56.25</c:v>
                </c:pt>
                <c:pt idx="8">
                  <c:v>62.9</c:v>
                </c:pt>
                <c:pt idx="9">
                  <c:v>73.400000000000006</c:v>
                </c:pt>
                <c:pt idx="10" formatCode="0">
                  <c:v>90.15</c:v>
                </c:pt>
                <c:pt idx="11" formatCode="0">
                  <c:v>97.8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173.5</c:v>
                </c:pt>
                <c:pt idx="18" formatCode="0.00">
                  <c:v>4.0250000000000004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2A-4D91-A474-A280A1C51877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'12_130624 Reyrieux Communaux'!$E$50:$W$50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'12_130624 Reyrieux Communaux'!$E$58:$W$58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2A-4D91-A474-A280A1C51877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'12_130624 Reyrieux Communaux'!$E$50:$W$50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'12_130624 Reyrieux Communaux'!$E$60:$W$60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2A-4D91-A474-A280A1C51877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'12_130624 Reyrieux Communaux'!$E$50:$W$50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'12_130624 Reyrieux Communaux'!$E$59:$W$59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F2A-4D91-A474-A280A1C51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Valeur mini</c:v>
                </c:tx>
                <c:xVal>
                  <c:numLit>
                    <c:formatCode>General</c:formatCode>
                    <c:ptCount val="19"/>
                    <c:pt idx="0">
                      <c:v>6.3E-2</c:v>
                    </c:pt>
                    <c:pt idx="1">
                      <c:v>0.125</c:v>
                    </c:pt>
                    <c:pt idx="2">
                      <c:v>0.25</c:v>
                    </c:pt>
                    <c:pt idx="3">
                      <c:v>0.5</c:v>
                    </c:pt>
                    <c:pt idx="4">
                      <c:v>1</c:v>
                    </c:pt>
                    <c:pt idx="5">
                      <c:v>2</c:v>
                    </c:pt>
                    <c:pt idx="6">
                      <c:v>4</c:v>
                    </c:pt>
                    <c:pt idx="7">
                      <c:v>6.3</c:v>
                    </c:pt>
                    <c:pt idx="8">
                      <c:v>8</c:v>
                    </c:pt>
                    <c:pt idx="9">
                      <c:v>10</c:v>
                    </c:pt>
                    <c:pt idx="10">
                      <c:v>12.5</c:v>
                    </c:pt>
                    <c:pt idx="11">
                      <c:v>14</c:v>
                    </c:pt>
                    <c:pt idx="12">
                      <c:v>16</c:v>
                    </c:pt>
                    <c:pt idx="13">
                      <c:v>20</c:v>
                    </c:pt>
                  </c:numLit>
                </c:xVal>
                <c:yVal>
                  <c:numLit>
                    <c:formatCode>General</c:formatCode>
                    <c:ptCount val="19"/>
                    <c:pt idx="8">
                      <c:v>10</c:v>
                    </c:pt>
                    <c:pt idx="9">
                      <c:v>10</c:v>
                    </c:pt>
                    <c:pt idx="12">
                      <c:v>50</c:v>
                    </c:pt>
                    <c:pt idx="14">
                      <c:v>70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2-FF2A-4D91-A474-A280A1C51877}"/>
                  </c:ext>
                </c:extLst>
              </c15:ser>
            </c15:filteredScatterSeries>
          </c:ext>
        </c:extLst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.xml"/><Relationship Id="rId4" Type="http://schemas.openxmlformats.org/officeDocument/2006/relationships/image" Target="../media/image3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6.xml"/><Relationship Id="rId4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7.xml"/><Relationship Id="rId4" Type="http://schemas.openxmlformats.org/officeDocument/2006/relationships/image" Target="../media/image3.jp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8.xml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26</xdr:row>
      <xdr:rowOff>123825</xdr:rowOff>
    </xdr:from>
    <xdr:to>
      <xdr:col>25</xdr:col>
      <xdr:colOff>171450</xdr:colOff>
      <xdr:row>50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24D028E-2086-4457-969F-3909A4DCE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66</xdr:row>
      <xdr:rowOff>0</xdr:rowOff>
    </xdr:from>
    <xdr:to>
      <xdr:col>24</xdr:col>
      <xdr:colOff>104775</xdr:colOff>
      <xdr:row>66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B514C189-D98F-4D1D-A442-7957BD4B21FF}"/>
            </a:ext>
          </a:extLst>
        </xdr:cNvPr>
        <xdr:cNvSpPr>
          <a:spLocks noChangeShapeType="1"/>
        </xdr:cNvSpPr>
      </xdr:nvSpPr>
      <xdr:spPr bwMode="auto">
        <a:xfrm>
          <a:off x="8517255" y="11391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44</xdr:row>
      <xdr:rowOff>66675</xdr:rowOff>
    </xdr:from>
    <xdr:to>
      <xdr:col>30</xdr:col>
      <xdr:colOff>171450</xdr:colOff>
      <xdr:row>49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0858AEAE-ED99-4555-85BF-48B4E720E1BA}"/>
            </a:ext>
          </a:extLst>
        </xdr:cNvPr>
        <xdr:cNvSpPr txBox="1">
          <a:spLocks noChangeArrowheads="1"/>
        </xdr:cNvSpPr>
      </xdr:nvSpPr>
      <xdr:spPr bwMode="auto">
        <a:xfrm>
          <a:off x="8745855" y="7305675"/>
          <a:ext cx="3244215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45</xdr:row>
      <xdr:rowOff>28576</xdr:rowOff>
    </xdr:from>
    <xdr:to>
      <xdr:col>30</xdr:col>
      <xdr:colOff>533400</xdr:colOff>
      <xdr:row>49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936B9E4A-846A-4DA6-8597-146EFFEF4042}"/>
            </a:ext>
          </a:extLst>
        </xdr:cNvPr>
        <xdr:cNvSpPr>
          <a:spLocks noChangeShapeType="1"/>
        </xdr:cNvSpPr>
      </xdr:nvSpPr>
      <xdr:spPr bwMode="auto">
        <a:xfrm>
          <a:off x="11999595" y="7427596"/>
          <a:ext cx="352425" cy="69723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49</xdr:row>
      <xdr:rowOff>104775</xdr:rowOff>
    </xdr:from>
    <xdr:to>
      <xdr:col>25</xdr:col>
      <xdr:colOff>295275</xdr:colOff>
      <xdr:row>51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1404D83-32C0-4663-A698-ABA25A316D09}"/>
            </a:ext>
          </a:extLst>
        </xdr:cNvPr>
        <xdr:cNvSpPr>
          <a:spLocks noChangeShapeType="1"/>
        </xdr:cNvSpPr>
      </xdr:nvSpPr>
      <xdr:spPr bwMode="auto">
        <a:xfrm flipH="1">
          <a:off x="9039225" y="814387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BD569F8D-A085-4050-A7F1-DA1F080B4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66</xdr:row>
      <xdr:rowOff>152400</xdr:rowOff>
    </xdr:from>
    <xdr:to>
      <xdr:col>32</xdr:col>
      <xdr:colOff>400050</xdr:colOff>
      <xdr:row>67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D075F0C7-922A-41EA-A1E6-C869B404C5F0}"/>
            </a:ext>
          </a:extLst>
        </xdr:cNvPr>
        <xdr:cNvSpPr txBox="1">
          <a:spLocks noChangeArrowheads="1"/>
        </xdr:cNvSpPr>
      </xdr:nvSpPr>
      <xdr:spPr bwMode="auto">
        <a:xfrm>
          <a:off x="11300460" y="1154430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119</xdr:row>
      <xdr:rowOff>57150</xdr:rowOff>
    </xdr:from>
    <xdr:to>
      <xdr:col>41</xdr:col>
      <xdr:colOff>323850</xdr:colOff>
      <xdr:row>120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63CF4B73-94D9-4DB9-A6EC-1C5BC421E2CA}"/>
            </a:ext>
          </a:extLst>
        </xdr:cNvPr>
        <xdr:cNvSpPr>
          <a:spLocks noChangeShapeType="1"/>
        </xdr:cNvSpPr>
      </xdr:nvSpPr>
      <xdr:spPr bwMode="auto">
        <a:xfrm flipH="1">
          <a:off x="20775930" y="206082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63</xdr:row>
      <xdr:rowOff>19049</xdr:rowOff>
    </xdr:from>
    <xdr:to>
      <xdr:col>29</xdr:col>
      <xdr:colOff>257175</xdr:colOff>
      <xdr:row>66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0F594E60-B639-4771-89CF-3A90470584FB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06042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90C9370C-924B-42C9-B85B-5496769D2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26</xdr:row>
      <xdr:rowOff>123825</xdr:rowOff>
    </xdr:from>
    <xdr:to>
      <xdr:col>25</xdr:col>
      <xdr:colOff>171450</xdr:colOff>
      <xdr:row>50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61462BE-2F90-46CD-84D5-9B27F13CD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66</xdr:row>
      <xdr:rowOff>0</xdr:rowOff>
    </xdr:from>
    <xdr:to>
      <xdr:col>24</xdr:col>
      <xdr:colOff>104775</xdr:colOff>
      <xdr:row>66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A8D5F508-CBDF-4C73-B063-BFF63E69F450}"/>
            </a:ext>
          </a:extLst>
        </xdr:cNvPr>
        <xdr:cNvSpPr>
          <a:spLocks noChangeShapeType="1"/>
        </xdr:cNvSpPr>
      </xdr:nvSpPr>
      <xdr:spPr bwMode="auto">
        <a:xfrm>
          <a:off x="8517255" y="11391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44</xdr:row>
      <xdr:rowOff>66675</xdr:rowOff>
    </xdr:from>
    <xdr:to>
      <xdr:col>30</xdr:col>
      <xdr:colOff>171450</xdr:colOff>
      <xdr:row>49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238235EA-9713-469B-B3B7-1BEAA62F0EB1}"/>
            </a:ext>
          </a:extLst>
        </xdr:cNvPr>
        <xdr:cNvSpPr txBox="1">
          <a:spLocks noChangeArrowheads="1"/>
        </xdr:cNvSpPr>
      </xdr:nvSpPr>
      <xdr:spPr bwMode="auto">
        <a:xfrm>
          <a:off x="8745855" y="7305675"/>
          <a:ext cx="3244215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45</xdr:row>
      <xdr:rowOff>28576</xdr:rowOff>
    </xdr:from>
    <xdr:to>
      <xdr:col>30</xdr:col>
      <xdr:colOff>533400</xdr:colOff>
      <xdr:row>49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64118ADF-002E-40CD-82A0-1DCEDDAC3D60}"/>
            </a:ext>
          </a:extLst>
        </xdr:cNvPr>
        <xdr:cNvSpPr>
          <a:spLocks noChangeShapeType="1"/>
        </xdr:cNvSpPr>
      </xdr:nvSpPr>
      <xdr:spPr bwMode="auto">
        <a:xfrm>
          <a:off x="11999595" y="7427596"/>
          <a:ext cx="352425" cy="69723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49</xdr:row>
      <xdr:rowOff>104775</xdr:rowOff>
    </xdr:from>
    <xdr:to>
      <xdr:col>25</xdr:col>
      <xdr:colOff>295275</xdr:colOff>
      <xdr:row>51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88AA1A9E-23C8-4D09-A003-A2361A1EE60A}"/>
            </a:ext>
          </a:extLst>
        </xdr:cNvPr>
        <xdr:cNvSpPr>
          <a:spLocks noChangeShapeType="1"/>
        </xdr:cNvSpPr>
      </xdr:nvSpPr>
      <xdr:spPr bwMode="auto">
        <a:xfrm flipH="1">
          <a:off x="9039225" y="814387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A4EFBD5D-04E8-4202-9F56-A1A90D729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66</xdr:row>
      <xdr:rowOff>152400</xdr:rowOff>
    </xdr:from>
    <xdr:to>
      <xdr:col>32</xdr:col>
      <xdr:colOff>400050</xdr:colOff>
      <xdr:row>67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F82E75AD-BEDE-4BA0-8C0E-820AE7E6280D}"/>
            </a:ext>
          </a:extLst>
        </xdr:cNvPr>
        <xdr:cNvSpPr txBox="1">
          <a:spLocks noChangeArrowheads="1"/>
        </xdr:cNvSpPr>
      </xdr:nvSpPr>
      <xdr:spPr bwMode="auto">
        <a:xfrm>
          <a:off x="11300460" y="1154430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119</xdr:row>
      <xdr:rowOff>57150</xdr:rowOff>
    </xdr:from>
    <xdr:to>
      <xdr:col>41</xdr:col>
      <xdr:colOff>323850</xdr:colOff>
      <xdr:row>120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FA07AA6A-6105-4FEE-B3AC-82303F9EDF30}"/>
            </a:ext>
          </a:extLst>
        </xdr:cNvPr>
        <xdr:cNvSpPr>
          <a:spLocks noChangeShapeType="1"/>
        </xdr:cNvSpPr>
      </xdr:nvSpPr>
      <xdr:spPr bwMode="auto">
        <a:xfrm flipH="1">
          <a:off x="20775930" y="206082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63</xdr:row>
      <xdr:rowOff>19049</xdr:rowOff>
    </xdr:from>
    <xdr:to>
      <xdr:col>29</xdr:col>
      <xdr:colOff>257175</xdr:colOff>
      <xdr:row>66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3AA5D43B-2820-4A17-95AD-50A3DE482782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06042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141FE4E9-69E0-4BF7-9299-2416FBF16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26</xdr:row>
      <xdr:rowOff>123825</xdr:rowOff>
    </xdr:from>
    <xdr:to>
      <xdr:col>25</xdr:col>
      <xdr:colOff>171450</xdr:colOff>
      <xdr:row>50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B0947D4-9727-4AF8-9B10-C3117646F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66</xdr:row>
      <xdr:rowOff>0</xdr:rowOff>
    </xdr:from>
    <xdr:to>
      <xdr:col>24</xdr:col>
      <xdr:colOff>104775</xdr:colOff>
      <xdr:row>66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881420A5-22DC-4951-86FF-6F6D84137145}"/>
            </a:ext>
          </a:extLst>
        </xdr:cNvPr>
        <xdr:cNvSpPr>
          <a:spLocks noChangeShapeType="1"/>
        </xdr:cNvSpPr>
      </xdr:nvSpPr>
      <xdr:spPr bwMode="auto">
        <a:xfrm>
          <a:off x="8561070" y="114966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44</xdr:row>
      <xdr:rowOff>66675</xdr:rowOff>
    </xdr:from>
    <xdr:to>
      <xdr:col>30</xdr:col>
      <xdr:colOff>171450</xdr:colOff>
      <xdr:row>49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0955DAC9-A606-4013-937B-D17378AE23D0}"/>
            </a:ext>
          </a:extLst>
        </xdr:cNvPr>
        <xdr:cNvSpPr txBox="1">
          <a:spLocks noChangeArrowheads="1"/>
        </xdr:cNvSpPr>
      </xdr:nvSpPr>
      <xdr:spPr bwMode="auto">
        <a:xfrm>
          <a:off x="8789670" y="7370445"/>
          <a:ext cx="3236595" cy="8362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45</xdr:row>
      <xdr:rowOff>28576</xdr:rowOff>
    </xdr:from>
    <xdr:to>
      <xdr:col>30</xdr:col>
      <xdr:colOff>533400</xdr:colOff>
      <xdr:row>49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BCB64053-B9B7-4198-B059-77973FB75A96}"/>
            </a:ext>
          </a:extLst>
        </xdr:cNvPr>
        <xdr:cNvSpPr>
          <a:spLocks noChangeShapeType="1"/>
        </xdr:cNvSpPr>
      </xdr:nvSpPr>
      <xdr:spPr bwMode="auto">
        <a:xfrm>
          <a:off x="12037695" y="7494271"/>
          <a:ext cx="354330" cy="7086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49</xdr:row>
      <xdr:rowOff>104775</xdr:rowOff>
    </xdr:from>
    <xdr:to>
      <xdr:col>25</xdr:col>
      <xdr:colOff>295275</xdr:colOff>
      <xdr:row>51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2A5F94EC-756E-4CA4-AA37-20D66A693199}"/>
            </a:ext>
          </a:extLst>
        </xdr:cNvPr>
        <xdr:cNvSpPr>
          <a:spLocks noChangeShapeType="1"/>
        </xdr:cNvSpPr>
      </xdr:nvSpPr>
      <xdr:spPr bwMode="auto">
        <a:xfrm flipH="1">
          <a:off x="9088755" y="821817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ED5DBB8A-6A4A-4995-80DF-EDCDC85B1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66</xdr:row>
      <xdr:rowOff>152400</xdr:rowOff>
    </xdr:from>
    <xdr:to>
      <xdr:col>32</xdr:col>
      <xdr:colOff>400050</xdr:colOff>
      <xdr:row>67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B46E1F57-8879-4BD3-AC72-DB837383513C}"/>
            </a:ext>
          </a:extLst>
        </xdr:cNvPr>
        <xdr:cNvSpPr txBox="1">
          <a:spLocks noChangeArrowheads="1"/>
        </xdr:cNvSpPr>
      </xdr:nvSpPr>
      <xdr:spPr bwMode="auto">
        <a:xfrm>
          <a:off x="11344275" y="1164907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119</xdr:row>
      <xdr:rowOff>57150</xdr:rowOff>
    </xdr:from>
    <xdr:to>
      <xdr:col>41</xdr:col>
      <xdr:colOff>323850</xdr:colOff>
      <xdr:row>120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AF97CB50-F9A5-4AC2-ABBF-7416D967EFD8}"/>
            </a:ext>
          </a:extLst>
        </xdr:cNvPr>
        <xdr:cNvSpPr>
          <a:spLocks noChangeShapeType="1"/>
        </xdr:cNvSpPr>
      </xdr:nvSpPr>
      <xdr:spPr bwMode="auto">
        <a:xfrm flipH="1">
          <a:off x="20770215" y="2080831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63</xdr:row>
      <xdr:rowOff>19049</xdr:rowOff>
    </xdr:from>
    <xdr:to>
      <xdr:col>29</xdr:col>
      <xdr:colOff>257175</xdr:colOff>
      <xdr:row>66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186A961F-2FE0-47D7-98F8-BE76A8433F57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16710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33A5E577-9954-4417-9D24-C0FDF290E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26</xdr:row>
      <xdr:rowOff>123825</xdr:rowOff>
    </xdr:from>
    <xdr:to>
      <xdr:col>25</xdr:col>
      <xdr:colOff>171450</xdr:colOff>
      <xdr:row>50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8C458D6-9337-4797-A99A-CAFD5A856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66</xdr:row>
      <xdr:rowOff>0</xdr:rowOff>
    </xdr:from>
    <xdr:to>
      <xdr:col>24</xdr:col>
      <xdr:colOff>104775</xdr:colOff>
      <xdr:row>66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8595A74F-36EF-41C7-8677-ECADAC2ACE00}"/>
            </a:ext>
          </a:extLst>
        </xdr:cNvPr>
        <xdr:cNvSpPr>
          <a:spLocks noChangeShapeType="1"/>
        </xdr:cNvSpPr>
      </xdr:nvSpPr>
      <xdr:spPr bwMode="auto">
        <a:xfrm>
          <a:off x="8561070" y="114966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44</xdr:row>
      <xdr:rowOff>66675</xdr:rowOff>
    </xdr:from>
    <xdr:to>
      <xdr:col>30</xdr:col>
      <xdr:colOff>171450</xdr:colOff>
      <xdr:row>49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69E4A565-1DEB-4650-B88A-8B9FB11A684C}"/>
            </a:ext>
          </a:extLst>
        </xdr:cNvPr>
        <xdr:cNvSpPr txBox="1">
          <a:spLocks noChangeArrowheads="1"/>
        </xdr:cNvSpPr>
      </xdr:nvSpPr>
      <xdr:spPr bwMode="auto">
        <a:xfrm>
          <a:off x="8789670" y="7370445"/>
          <a:ext cx="3236595" cy="8362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45</xdr:row>
      <xdr:rowOff>28576</xdr:rowOff>
    </xdr:from>
    <xdr:to>
      <xdr:col>30</xdr:col>
      <xdr:colOff>533400</xdr:colOff>
      <xdr:row>49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77D25589-6D59-458E-9A92-5176D2A97183}"/>
            </a:ext>
          </a:extLst>
        </xdr:cNvPr>
        <xdr:cNvSpPr>
          <a:spLocks noChangeShapeType="1"/>
        </xdr:cNvSpPr>
      </xdr:nvSpPr>
      <xdr:spPr bwMode="auto">
        <a:xfrm>
          <a:off x="12037695" y="7494271"/>
          <a:ext cx="354330" cy="7086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49</xdr:row>
      <xdr:rowOff>104775</xdr:rowOff>
    </xdr:from>
    <xdr:to>
      <xdr:col>25</xdr:col>
      <xdr:colOff>295275</xdr:colOff>
      <xdr:row>51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6E6E67A5-2F5A-4A6B-979D-4FEE74E93150}"/>
            </a:ext>
          </a:extLst>
        </xdr:cNvPr>
        <xdr:cNvSpPr>
          <a:spLocks noChangeShapeType="1"/>
        </xdr:cNvSpPr>
      </xdr:nvSpPr>
      <xdr:spPr bwMode="auto">
        <a:xfrm flipH="1">
          <a:off x="9088755" y="821817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CF1028CD-A4DD-4456-B681-5B108D8CB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66</xdr:row>
      <xdr:rowOff>152400</xdr:rowOff>
    </xdr:from>
    <xdr:to>
      <xdr:col>32</xdr:col>
      <xdr:colOff>400050</xdr:colOff>
      <xdr:row>67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E20C82DA-607D-41A3-8159-8716AF6DD424}"/>
            </a:ext>
          </a:extLst>
        </xdr:cNvPr>
        <xdr:cNvSpPr txBox="1">
          <a:spLocks noChangeArrowheads="1"/>
        </xdr:cNvSpPr>
      </xdr:nvSpPr>
      <xdr:spPr bwMode="auto">
        <a:xfrm>
          <a:off x="11344275" y="1164907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119</xdr:row>
      <xdr:rowOff>57150</xdr:rowOff>
    </xdr:from>
    <xdr:to>
      <xdr:col>41</xdr:col>
      <xdr:colOff>323850</xdr:colOff>
      <xdr:row>120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16FF0084-3182-4313-A69F-BF34B5D83319}"/>
            </a:ext>
          </a:extLst>
        </xdr:cNvPr>
        <xdr:cNvSpPr>
          <a:spLocks noChangeShapeType="1"/>
        </xdr:cNvSpPr>
      </xdr:nvSpPr>
      <xdr:spPr bwMode="auto">
        <a:xfrm flipH="1">
          <a:off x="20770215" y="2080831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63</xdr:row>
      <xdr:rowOff>19049</xdr:rowOff>
    </xdr:from>
    <xdr:to>
      <xdr:col>29</xdr:col>
      <xdr:colOff>257175</xdr:colOff>
      <xdr:row>66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8215A389-82C6-4026-9106-DA77BAA30596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16710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424D8961-B540-4488-A09E-45F11A7D0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26</xdr:row>
      <xdr:rowOff>123825</xdr:rowOff>
    </xdr:from>
    <xdr:to>
      <xdr:col>25</xdr:col>
      <xdr:colOff>171450</xdr:colOff>
      <xdr:row>50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17F6358-2693-4C3C-B186-5A86C2BC0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66</xdr:row>
      <xdr:rowOff>0</xdr:rowOff>
    </xdr:from>
    <xdr:to>
      <xdr:col>24</xdr:col>
      <xdr:colOff>104775</xdr:colOff>
      <xdr:row>66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3A42286E-FC86-4882-BAFB-EE256A18CB88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44</xdr:row>
      <xdr:rowOff>66675</xdr:rowOff>
    </xdr:from>
    <xdr:to>
      <xdr:col>30</xdr:col>
      <xdr:colOff>171450</xdr:colOff>
      <xdr:row>49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173BB60B-030D-4346-AD8B-221EFF7AA4F5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45</xdr:row>
      <xdr:rowOff>28576</xdr:rowOff>
    </xdr:from>
    <xdr:to>
      <xdr:col>30</xdr:col>
      <xdr:colOff>533400</xdr:colOff>
      <xdr:row>49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95FA8070-9E19-41B0-B30E-D8923F0A750C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49</xdr:row>
      <xdr:rowOff>104775</xdr:rowOff>
    </xdr:from>
    <xdr:to>
      <xdr:col>25</xdr:col>
      <xdr:colOff>295275</xdr:colOff>
      <xdr:row>51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BA618F19-DCE6-44DB-9378-BB1AD4866B4E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C438F8FA-642F-4333-A33C-590B1A07D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66</xdr:row>
      <xdr:rowOff>152400</xdr:rowOff>
    </xdr:from>
    <xdr:to>
      <xdr:col>32</xdr:col>
      <xdr:colOff>400050</xdr:colOff>
      <xdr:row>67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1A7FED06-9149-48F7-8175-E0C407FEED31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119</xdr:row>
      <xdr:rowOff>57150</xdr:rowOff>
    </xdr:from>
    <xdr:to>
      <xdr:col>41</xdr:col>
      <xdr:colOff>323850</xdr:colOff>
      <xdr:row>120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CB42DC3E-48A5-4D5F-9402-7D9E0C179D1B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63</xdr:row>
      <xdr:rowOff>19049</xdr:rowOff>
    </xdr:from>
    <xdr:to>
      <xdr:col>29</xdr:col>
      <xdr:colOff>257175</xdr:colOff>
      <xdr:row>66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2F1B0C90-2B9F-4001-9AA3-E1ADBAF3EF14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4FA59E09-2137-43EB-A85E-FE2AE8924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95250</xdr:colOff>
      <xdr:row>72</xdr:row>
      <xdr:rowOff>47625</xdr:rowOff>
    </xdr:from>
    <xdr:to>
      <xdr:col>25</xdr:col>
      <xdr:colOff>133350</xdr:colOff>
      <xdr:row>75</xdr:row>
      <xdr:rowOff>154178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A758328E-AC15-4DF3-BF3A-B46751CB7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9940" y="12489180"/>
          <a:ext cx="1800225" cy="7047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26</xdr:row>
      <xdr:rowOff>123825</xdr:rowOff>
    </xdr:from>
    <xdr:to>
      <xdr:col>25</xdr:col>
      <xdr:colOff>171450</xdr:colOff>
      <xdr:row>50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805ED98-4601-4E09-AE6C-9618376F3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66</xdr:row>
      <xdr:rowOff>0</xdr:rowOff>
    </xdr:from>
    <xdr:to>
      <xdr:col>24</xdr:col>
      <xdr:colOff>104775</xdr:colOff>
      <xdr:row>66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141BF187-1537-48A4-A194-549A0A21C4F9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44</xdr:row>
      <xdr:rowOff>66675</xdr:rowOff>
    </xdr:from>
    <xdr:to>
      <xdr:col>30</xdr:col>
      <xdr:colOff>171450</xdr:colOff>
      <xdr:row>49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8C42555F-5C1C-4E88-8DE0-5BC25EC40421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45</xdr:row>
      <xdr:rowOff>28576</xdr:rowOff>
    </xdr:from>
    <xdr:to>
      <xdr:col>30</xdr:col>
      <xdr:colOff>533400</xdr:colOff>
      <xdr:row>49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FA125F83-ABB7-4D9F-8F46-17F851C9FAE8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49</xdr:row>
      <xdr:rowOff>104775</xdr:rowOff>
    </xdr:from>
    <xdr:to>
      <xdr:col>25</xdr:col>
      <xdr:colOff>295275</xdr:colOff>
      <xdr:row>51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83F4DB31-B0C0-447F-AA09-43C79623ADEF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E5F7BC8C-E63E-4C54-9099-4BB251D25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66</xdr:row>
      <xdr:rowOff>152400</xdr:rowOff>
    </xdr:from>
    <xdr:to>
      <xdr:col>32</xdr:col>
      <xdr:colOff>400050</xdr:colOff>
      <xdr:row>67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7F10D771-625A-4875-AB8B-C5C6343876FA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119</xdr:row>
      <xdr:rowOff>57150</xdr:rowOff>
    </xdr:from>
    <xdr:to>
      <xdr:col>41</xdr:col>
      <xdr:colOff>323850</xdr:colOff>
      <xdr:row>120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F1E83B0F-339E-4598-81B4-3B6715C010C7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63</xdr:row>
      <xdr:rowOff>19049</xdr:rowOff>
    </xdr:from>
    <xdr:to>
      <xdr:col>29</xdr:col>
      <xdr:colOff>257175</xdr:colOff>
      <xdr:row>66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39D1E050-ADBD-466E-B97F-FAB0A5B60F5A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FCA38027-39AF-4F6D-9FAC-1C71DBB15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95250</xdr:colOff>
      <xdr:row>72</xdr:row>
      <xdr:rowOff>47625</xdr:rowOff>
    </xdr:from>
    <xdr:to>
      <xdr:col>25</xdr:col>
      <xdr:colOff>133350</xdr:colOff>
      <xdr:row>75</xdr:row>
      <xdr:rowOff>154178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D375E1DC-FDEE-4DCF-8179-E0361E16B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9940" y="12489180"/>
          <a:ext cx="1800225" cy="7047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3A941FF-8B38-4F88-BDD4-DEFED283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C68472CE-94B8-4D17-B067-BCB65D77B59A}"/>
            </a:ext>
          </a:extLst>
        </xdr:cNvPr>
        <xdr:cNvSpPr>
          <a:spLocks noChangeShapeType="1"/>
        </xdr:cNvSpPr>
      </xdr:nvSpPr>
      <xdr:spPr bwMode="auto">
        <a:xfrm>
          <a:off x="8517255" y="108432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F715B6AD-B954-431C-93D6-8ECEA65E9E64}"/>
            </a:ext>
          </a:extLst>
        </xdr:cNvPr>
        <xdr:cNvSpPr txBox="1">
          <a:spLocks noChangeArrowheads="1"/>
        </xdr:cNvSpPr>
      </xdr:nvSpPr>
      <xdr:spPr bwMode="auto">
        <a:xfrm>
          <a:off x="8745855" y="707707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87DBF2EA-7686-43FD-B8E4-E6A975DF2B2E}"/>
            </a:ext>
          </a:extLst>
        </xdr:cNvPr>
        <xdr:cNvSpPr>
          <a:spLocks noChangeShapeType="1"/>
        </xdr:cNvSpPr>
      </xdr:nvSpPr>
      <xdr:spPr bwMode="auto">
        <a:xfrm>
          <a:off x="11999595" y="719899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2F297842-8A9B-43C4-86AD-E4A5F3718B55}"/>
            </a:ext>
          </a:extLst>
        </xdr:cNvPr>
        <xdr:cNvSpPr>
          <a:spLocks noChangeShapeType="1"/>
        </xdr:cNvSpPr>
      </xdr:nvSpPr>
      <xdr:spPr bwMode="auto">
        <a:xfrm flipH="1">
          <a:off x="9039225" y="759523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0C94BA79-FD22-4E5F-9CC3-A33A5F4D5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D42E5FA0-E761-4E63-83EC-46112037BDF5}"/>
            </a:ext>
          </a:extLst>
        </xdr:cNvPr>
        <xdr:cNvSpPr txBox="1">
          <a:spLocks noChangeArrowheads="1"/>
        </xdr:cNvSpPr>
      </xdr:nvSpPr>
      <xdr:spPr bwMode="auto">
        <a:xfrm>
          <a:off x="11300460" y="1099566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9EFCC8C3-F26F-441C-91EB-3E74E79738AD}"/>
            </a:ext>
          </a:extLst>
        </xdr:cNvPr>
        <xdr:cNvSpPr>
          <a:spLocks noChangeShapeType="1"/>
        </xdr:cNvSpPr>
      </xdr:nvSpPr>
      <xdr:spPr bwMode="auto">
        <a:xfrm flipH="1">
          <a:off x="20775930" y="20059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0FDFFD3D-64B3-4819-B2CE-9FA76AF97003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51178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BE9AFC49-1732-4779-8F48-480E93929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95250</xdr:colOff>
      <xdr:row>68</xdr:row>
      <xdr:rowOff>47625</xdr:rowOff>
    </xdr:from>
    <xdr:to>
      <xdr:col>25</xdr:col>
      <xdr:colOff>125730</xdr:colOff>
      <xdr:row>71</xdr:row>
      <xdr:rowOff>154178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3909663E-DA30-4C51-855A-8A2DAE2B2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9940" y="12489180"/>
          <a:ext cx="1792605" cy="7047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40AAD18-7225-4794-8169-FE87D2A46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88FCE8A5-BD7E-41C4-AD37-1E6E9FF29762}"/>
            </a:ext>
          </a:extLst>
        </xdr:cNvPr>
        <xdr:cNvSpPr>
          <a:spLocks noChangeShapeType="1"/>
        </xdr:cNvSpPr>
      </xdr:nvSpPr>
      <xdr:spPr bwMode="auto">
        <a:xfrm>
          <a:off x="8517255" y="108432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82386C7A-3406-4A22-9CFA-851CF70C6E25}"/>
            </a:ext>
          </a:extLst>
        </xdr:cNvPr>
        <xdr:cNvSpPr txBox="1">
          <a:spLocks noChangeArrowheads="1"/>
        </xdr:cNvSpPr>
      </xdr:nvSpPr>
      <xdr:spPr bwMode="auto">
        <a:xfrm>
          <a:off x="8745855" y="707707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1FBAF1D6-8F47-4A43-AE11-A62DDD2CC9C8}"/>
            </a:ext>
          </a:extLst>
        </xdr:cNvPr>
        <xdr:cNvSpPr>
          <a:spLocks noChangeShapeType="1"/>
        </xdr:cNvSpPr>
      </xdr:nvSpPr>
      <xdr:spPr bwMode="auto">
        <a:xfrm>
          <a:off x="11999595" y="719899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E4F0089F-DEC2-4FB2-B4DF-AF4EB9F48689}"/>
            </a:ext>
          </a:extLst>
        </xdr:cNvPr>
        <xdr:cNvSpPr>
          <a:spLocks noChangeShapeType="1"/>
        </xdr:cNvSpPr>
      </xdr:nvSpPr>
      <xdr:spPr bwMode="auto">
        <a:xfrm flipH="1">
          <a:off x="9039225" y="759523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B91DFD0D-C0C1-4A70-A542-542BA8256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E9622985-1DDA-4BDB-BC41-B284A98DB9C6}"/>
            </a:ext>
          </a:extLst>
        </xdr:cNvPr>
        <xdr:cNvSpPr txBox="1">
          <a:spLocks noChangeArrowheads="1"/>
        </xdr:cNvSpPr>
      </xdr:nvSpPr>
      <xdr:spPr bwMode="auto">
        <a:xfrm>
          <a:off x="11300460" y="1099566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963F2920-94CB-4357-A987-8C61C2EB9CA6}"/>
            </a:ext>
          </a:extLst>
        </xdr:cNvPr>
        <xdr:cNvSpPr>
          <a:spLocks noChangeShapeType="1"/>
        </xdr:cNvSpPr>
      </xdr:nvSpPr>
      <xdr:spPr bwMode="auto">
        <a:xfrm flipH="1">
          <a:off x="20775930" y="20059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B29F4763-CF06-475E-A5F9-03FC3B64921A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51178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DD3E8622-C26D-4505-B663-B50FF3BEC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95250</xdr:colOff>
      <xdr:row>68</xdr:row>
      <xdr:rowOff>47625</xdr:rowOff>
    </xdr:from>
    <xdr:to>
      <xdr:col>25</xdr:col>
      <xdr:colOff>133350</xdr:colOff>
      <xdr:row>71</xdr:row>
      <xdr:rowOff>154178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50298AA8-4B87-4DCF-8C80-1EF99DD90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0" y="12487275"/>
          <a:ext cx="1786890" cy="7066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E342-75D7-4E6D-856F-F62CC3FE6688}">
  <sheetPr>
    <pageSetUpPr fitToPage="1"/>
  </sheetPr>
  <dimension ref="A1:AN76"/>
  <sheetViews>
    <sheetView topLeftCell="A55" zoomScaleNormal="100" workbookViewId="0">
      <selection activeCell="AF55" sqref="AF55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75" customHeight="1" x14ac:dyDescent="0.25">
      <c r="A1" s="144"/>
      <c r="B1" s="145"/>
      <c r="C1" s="145"/>
      <c r="D1" s="145"/>
      <c r="E1" s="145"/>
      <c r="F1" s="146"/>
      <c r="G1" s="153" t="s">
        <v>0</v>
      </c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5"/>
      <c r="U1" s="156" t="s">
        <v>88</v>
      </c>
      <c r="V1" s="157"/>
      <c r="W1" s="157"/>
      <c r="X1" s="157"/>
      <c r="Y1" s="157"/>
      <c r="Z1" s="158"/>
      <c r="AA1" s="1"/>
    </row>
    <row r="2" spans="1:36" ht="12.75" customHeight="1" x14ac:dyDescent="0.25">
      <c r="A2" s="147"/>
      <c r="B2" s="148"/>
      <c r="C2" s="148"/>
      <c r="D2" s="148"/>
      <c r="E2" s="148"/>
      <c r="F2" s="149"/>
      <c r="G2" s="165" t="s">
        <v>1</v>
      </c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7"/>
      <c r="U2" s="159"/>
      <c r="V2" s="160"/>
      <c r="W2" s="160"/>
      <c r="X2" s="160"/>
      <c r="Y2" s="160"/>
      <c r="Z2" s="161"/>
      <c r="AA2" s="1"/>
    </row>
    <row r="3" spans="1:36" ht="12.75" customHeight="1" x14ac:dyDescent="0.25">
      <c r="A3" s="147"/>
      <c r="B3" s="148"/>
      <c r="C3" s="148"/>
      <c r="D3" s="148"/>
      <c r="E3" s="148"/>
      <c r="F3" s="149"/>
      <c r="G3" s="168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159"/>
      <c r="V3" s="160"/>
      <c r="W3" s="160"/>
      <c r="X3" s="160"/>
      <c r="Y3" s="160"/>
      <c r="Z3" s="161"/>
      <c r="AA3" s="1"/>
    </row>
    <row r="4" spans="1:36" ht="12.75" customHeight="1" x14ac:dyDescent="0.25">
      <c r="A4" s="147"/>
      <c r="B4" s="148"/>
      <c r="C4" s="148"/>
      <c r="D4" s="148"/>
      <c r="E4" s="148"/>
      <c r="F4" s="149"/>
      <c r="G4" s="168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59"/>
      <c r="V4" s="160"/>
      <c r="W4" s="160"/>
      <c r="X4" s="160"/>
      <c r="Y4" s="160"/>
      <c r="Z4" s="161"/>
      <c r="AA4" s="1"/>
    </row>
    <row r="5" spans="1:36" ht="12.75" customHeight="1" x14ac:dyDescent="0.25">
      <c r="A5" s="147"/>
      <c r="B5" s="148"/>
      <c r="C5" s="148"/>
      <c r="D5" s="148"/>
      <c r="E5" s="148"/>
      <c r="F5" s="149"/>
      <c r="G5" s="168" t="s">
        <v>2</v>
      </c>
      <c r="H5" s="166"/>
      <c r="I5" s="3" t="s">
        <v>3</v>
      </c>
      <c r="J5" s="169">
        <v>11</v>
      </c>
      <c r="K5" s="170"/>
      <c r="L5" s="171" t="s">
        <v>53</v>
      </c>
      <c r="M5" s="169"/>
      <c r="N5" s="169"/>
      <c r="O5" s="170"/>
      <c r="P5" s="172">
        <v>45742</v>
      </c>
      <c r="Q5" s="173"/>
      <c r="R5" s="173"/>
      <c r="S5" s="173"/>
      <c r="T5" s="174"/>
      <c r="U5" s="159"/>
      <c r="V5" s="160"/>
      <c r="W5" s="160"/>
      <c r="X5" s="160"/>
      <c r="Y5" s="160"/>
      <c r="Z5" s="161"/>
      <c r="AA5" s="1"/>
    </row>
    <row r="6" spans="1:36" ht="12.75" customHeight="1" x14ac:dyDescent="0.25">
      <c r="A6" s="150"/>
      <c r="B6" s="151"/>
      <c r="C6" s="151"/>
      <c r="D6" s="151"/>
      <c r="E6" s="151"/>
      <c r="F6" s="152"/>
      <c r="G6" s="4"/>
      <c r="H6" s="5"/>
      <c r="I6" s="5"/>
      <c r="J6" s="137" t="s">
        <v>4</v>
      </c>
      <c r="K6" s="137"/>
      <c r="L6" s="137" t="s">
        <v>5</v>
      </c>
      <c r="M6" s="137"/>
      <c r="N6" s="137"/>
      <c r="O6" s="137"/>
      <c r="P6" s="137" t="s">
        <v>6</v>
      </c>
      <c r="Q6" s="137"/>
      <c r="R6" s="137"/>
      <c r="S6" s="137"/>
      <c r="T6" s="138"/>
      <c r="U6" s="162"/>
      <c r="V6" s="163"/>
      <c r="W6" s="163"/>
      <c r="X6" s="163"/>
      <c r="Y6" s="163"/>
      <c r="Z6" s="164"/>
      <c r="AA6" s="1"/>
    </row>
    <row r="7" spans="1:36" ht="37.5" customHeight="1" x14ac:dyDescent="0.25">
      <c r="A7" s="139" t="s">
        <v>7</v>
      </c>
      <c r="B7" s="139"/>
      <c r="C7" s="139"/>
      <c r="D7" s="139"/>
      <c r="E7" s="139"/>
      <c r="F7" s="139"/>
      <c r="G7" s="140" t="s">
        <v>8</v>
      </c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15.9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141" t="s">
        <v>11</v>
      </c>
      <c r="C10" s="141"/>
      <c r="D10" s="141"/>
      <c r="E10" s="141"/>
      <c r="F10" s="141"/>
      <c r="G10" s="142" t="s">
        <v>82</v>
      </c>
      <c r="H10" s="142"/>
      <c r="I10" s="142"/>
      <c r="J10" s="142"/>
      <c r="K10" s="142"/>
      <c r="L10" s="142"/>
      <c r="M10" s="141" t="s">
        <v>12</v>
      </c>
      <c r="N10" s="141"/>
      <c r="O10" s="141"/>
      <c r="P10" s="141"/>
      <c r="Q10" s="141"/>
      <c r="R10" s="141"/>
      <c r="S10" s="143" t="s">
        <v>87</v>
      </c>
      <c r="T10" s="143"/>
      <c r="U10" s="143"/>
      <c r="V10" s="143"/>
      <c r="W10" s="143"/>
      <c r="X10" s="143"/>
      <c r="Y10" s="143"/>
      <c r="Z10" s="18"/>
      <c r="AA10" s="19"/>
      <c r="AB10" s="14"/>
      <c r="AC10" s="14"/>
      <c r="AD10" s="14"/>
      <c r="AE10" s="141"/>
      <c r="AF10" s="141"/>
      <c r="AG10" s="141"/>
      <c r="AH10" s="141"/>
      <c r="AI10" s="141"/>
    </row>
    <row r="11" spans="1:36" ht="15.9" customHeight="1" x14ac:dyDescent="0.25">
      <c r="A11" s="15"/>
      <c r="B11" s="141" t="s">
        <v>14</v>
      </c>
      <c r="C11" s="141"/>
      <c r="D11" s="141"/>
      <c r="E11" s="141"/>
      <c r="F11" s="141"/>
      <c r="G11" s="142">
        <v>45742</v>
      </c>
      <c r="H11" s="142"/>
      <c r="I11" s="142"/>
      <c r="J11" s="142"/>
      <c r="K11" s="142"/>
      <c r="L11" s="142"/>
      <c r="M11" s="141" t="s">
        <v>15</v>
      </c>
      <c r="N11" s="141"/>
      <c r="O11" s="141"/>
      <c r="P11" s="141"/>
      <c r="Q11" s="141"/>
      <c r="R11" s="141"/>
      <c r="S11" s="177" t="s">
        <v>89</v>
      </c>
      <c r="T11" s="177"/>
      <c r="U11" s="177"/>
      <c r="V11" s="177"/>
      <c r="W11" s="177"/>
      <c r="X11" s="177"/>
      <c r="Y11" s="177"/>
      <c r="Z11" s="18"/>
      <c r="AA11" s="19"/>
      <c r="AB11" s="14"/>
      <c r="AC11" s="14"/>
      <c r="AD11" s="14"/>
      <c r="AE11" s="141"/>
      <c r="AF11" s="141"/>
      <c r="AG11" s="141"/>
      <c r="AH11" s="141"/>
      <c r="AI11" s="141"/>
    </row>
    <row r="12" spans="1:36" ht="15.9" customHeight="1" x14ac:dyDescent="0.25">
      <c r="A12" s="15"/>
      <c r="B12" s="141" t="s">
        <v>16</v>
      </c>
      <c r="C12" s="141"/>
      <c r="D12" s="141"/>
      <c r="E12" s="141"/>
      <c r="F12" s="141"/>
      <c r="G12" s="314" t="s">
        <v>86</v>
      </c>
      <c r="H12" s="314"/>
      <c r="I12" s="314"/>
      <c r="J12" s="314"/>
      <c r="K12" s="314"/>
      <c r="L12" s="314"/>
      <c r="M12" s="176" t="s">
        <v>17</v>
      </c>
      <c r="N12" s="176"/>
      <c r="O12" s="176"/>
      <c r="P12" s="176"/>
      <c r="Q12" s="176"/>
      <c r="R12" s="176"/>
      <c r="S12" s="143">
        <v>134</v>
      </c>
      <c r="T12" s="143"/>
      <c r="U12" s="143"/>
      <c r="V12" s="143"/>
      <c r="W12" s="143"/>
      <c r="X12" s="143"/>
      <c r="Y12" s="143"/>
      <c r="Z12" s="18"/>
      <c r="AA12" s="19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0" t="s">
        <v>18</v>
      </c>
      <c r="C13" s="20"/>
      <c r="D13" s="20"/>
      <c r="E13" s="20"/>
      <c r="F13" s="20"/>
      <c r="G13" s="175" t="s">
        <v>56</v>
      </c>
      <c r="H13" s="175"/>
      <c r="I13" s="175"/>
      <c r="J13" s="175"/>
      <c r="K13" s="175"/>
      <c r="L13" s="175"/>
      <c r="M13" s="141" t="s">
        <v>19</v>
      </c>
      <c r="N13" s="141"/>
      <c r="O13" s="141"/>
      <c r="P13" s="141"/>
      <c r="Q13" s="141"/>
      <c r="R13" s="141"/>
      <c r="S13" s="175" t="s">
        <v>58</v>
      </c>
      <c r="T13" s="175"/>
      <c r="U13" s="175"/>
      <c r="V13" s="175"/>
      <c r="W13" s="175"/>
      <c r="X13" s="175"/>
      <c r="Y13" s="175"/>
      <c r="Z13" s="18"/>
      <c r="AA13" s="19"/>
      <c r="AB13" s="14"/>
      <c r="AC13" s="14"/>
      <c r="AD13" s="14"/>
      <c r="AE13" s="141"/>
      <c r="AF13" s="141"/>
      <c r="AG13" s="141"/>
      <c r="AH13" s="141"/>
      <c r="AI13" s="141"/>
      <c r="AJ13" s="141"/>
    </row>
    <row r="14" spans="1:36" ht="15.9" customHeight="1" x14ac:dyDescent="0.25">
      <c r="A14" s="21"/>
      <c r="B14" s="141" t="s">
        <v>20</v>
      </c>
      <c r="C14" s="141"/>
      <c r="D14" s="141"/>
      <c r="E14" s="141"/>
      <c r="F14" s="141"/>
      <c r="G14" s="175" t="s">
        <v>57</v>
      </c>
      <c r="H14" s="175"/>
      <c r="I14" s="175"/>
      <c r="J14" s="175"/>
      <c r="K14" s="175"/>
      <c r="L14" s="175"/>
      <c r="M14" s="143" t="s">
        <v>21</v>
      </c>
      <c r="N14" s="143"/>
      <c r="O14" s="143"/>
      <c r="P14" s="143"/>
      <c r="Q14" s="143"/>
      <c r="R14" s="143"/>
      <c r="S14" s="143" t="s">
        <v>22</v>
      </c>
      <c r="T14" s="143"/>
      <c r="U14" s="143"/>
      <c r="V14" s="143"/>
      <c r="W14" s="143"/>
      <c r="X14" s="143"/>
      <c r="Y14" s="143"/>
      <c r="Z14" s="22"/>
      <c r="AA14" s="14"/>
      <c r="AB14" s="14"/>
      <c r="AC14" s="14"/>
      <c r="AD14" s="14"/>
      <c r="AE14" s="141"/>
      <c r="AF14" s="141"/>
      <c r="AG14" s="141"/>
      <c r="AH14" s="141"/>
      <c r="AI14" s="141"/>
      <c r="AJ14" s="141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141"/>
      <c r="AF15" s="141"/>
      <c r="AG15" s="141"/>
      <c r="AH15" s="141"/>
      <c r="AI15" s="141"/>
      <c r="AJ15" s="141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141"/>
      <c r="AF16" s="141"/>
      <c r="AG16" s="141"/>
      <c r="AH16" s="141"/>
      <c r="AI16" s="141"/>
      <c r="AJ16" s="141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141" t="s">
        <v>25</v>
      </c>
      <c r="C19" s="141"/>
      <c r="D19" s="141"/>
      <c r="E19" s="141"/>
      <c r="F19" s="141"/>
      <c r="G19" s="141"/>
      <c r="H19" s="141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8"/>
      <c r="AA19" s="19"/>
      <c r="AE19" s="30"/>
      <c r="AI19" s="30"/>
    </row>
    <row r="20" spans="1:40" ht="15.9" customHeight="1" x14ac:dyDescent="0.25">
      <c r="A20" s="15"/>
      <c r="B20" s="141" t="s">
        <v>26</v>
      </c>
      <c r="C20" s="141"/>
      <c r="D20" s="141"/>
      <c r="E20" s="141"/>
      <c r="F20" s="141"/>
      <c r="G20" s="141"/>
      <c r="H20" s="141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8"/>
      <c r="AA20" s="19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2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3" t="s">
        <v>23</v>
      </c>
      <c r="B23" s="34" t="s">
        <v>27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39"/>
      <c r="AN23" s="40"/>
    </row>
    <row r="24" spans="1:40" ht="9" customHeight="1" x14ac:dyDescent="0.25">
      <c r="A24" s="21"/>
      <c r="Z24" s="41"/>
    </row>
    <row r="25" spans="1:40" ht="9" customHeight="1" x14ac:dyDescent="0.25">
      <c r="A25" s="21"/>
      <c r="Z25" s="41"/>
    </row>
    <row r="26" spans="1:40" ht="9" customHeight="1" x14ac:dyDescent="0.25">
      <c r="A26" s="21"/>
      <c r="Z26" s="41"/>
    </row>
    <row r="27" spans="1:40" ht="12.75" customHeight="1" x14ac:dyDescent="0.25">
      <c r="A27" s="21"/>
      <c r="Z27" s="41"/>
    </row>
    <row r="28" spans="1:40" ht="12.75" customHeight="1" x14ac:dyDescent="0.25">
      <c r="A28" s="21"/>
      <c r="Z28" s="41"/>
    </row>
    <row r="29" spans="1:40" ht="12.75" customHeight="1" x14ac:dyDescent="0.25">
      <c r="A29" s="21"/>
      <c r="Z29" s="41"/>
    </row>
    <row r="30" spans="1:40" ht="12.75" customHeight="1" x14ac:dyDescent="0.25">
      <c r="A30" s="21"/>
      <c r="Z30" s="41"/>
    </row>
    <row r="31" spans="1:40" ht="12.75" customHeight="1" x14ac:dyDescent="0.25">
      <c r="A31" s="21"/>
      <c r="Z31" s="41"/>
    </row>
    <row r="32" spans="1:40" ht="12.75" customHeight="1" x14ac:dyDescent="0.25">
      <c r="A32" s="21"/>
      <c r="Z32" s="41"/>
    </row>
    <row r="33" spans="1:26" ht="12.75" customHeight="1" x14ac:dyDescent="0.25">
      <c r="A33" s="21"/>
      <c r="Z33" s="41"/>
    </row>
    <row r="34" spans="1:26" ht="12.75" customHeight="1" x14ac:dyDescent="0.25">
      <c r="A34" s="21"/>
      <c r="Z34" s="41"/>
    </row>
    <row r="35" spans="1:26" ht="12.75" customHeight="1" x14ac:dyDescent="0.25">
      <c r="A35" s="21"/>
      <c r="Z35" s="41"/>
    </row>
    <row r="36" spans="1:26" ht="12.75" customHeight="1" x14ac:dyDescent="0.25">
      <c r="A36" s="21"/>
      <c r="Z36" s="41"/>
    </row>
    <row r="37" spans="1:26" ht="12.75" customHeight="1" x14ac:dyDescent="0.25">
      <c r="A37" s="21"/>
      <c r="Z37" s="41"/>
    </row>
    <row r="38" spans="1:26" ht="12.75" customHeight="1" x14ac:dyDescent="0.25">
      <c r="A38" s="21"/>
      <c r="Z38" s="41"/>
    </row>
    <row r="39" spans="1:26" ht="12.75" customHeight="1" x14ac:dyDescent="0.25">
      <c r="A39" s="21"/>
      <c r="Z39" s="41"/>
    </row>
    <row r="40" spans="1:26" ht="12.75" customHeight="1" x14ac:dyDescent="0.25">
      <c r="A40" s="21"/>
      <c r="Z40" s="41"/>
    </row>
    <row r="41" spans="1:26" ht="12.75" customHeight="1" x14ac:dyDescent="0.25">
      <c r="A41" s="21"/>
      <c r="Z41" s="41"/>
    </row>
    <row r="42" spans="1:26" ht="12.75" customHeight="1" x14ac:dyDescent="0.25">
      <c r="A42" s="21"/>
      <c r="Z42" s="41"/>
    </row>
    <row r="43" spans="1:26" ht="12.75" customHeight="1" x14ac:dyDescent="0.25">
      <c r="A43" s="21"/>
      <c r="Z43" s="41"/>
    </row>
    <row r="44" spans="1:26" ht="12.75" customHeight="1" x14ac:dyDescent="0.25">
      <c r="A44" s="21"/>
      <c r="Z44" s="41"/>
    </row>
    <row r="45" spans="1:26" ht="12.75" customHeight="1" x14ac:dyDescent="0.25">
      <c r="A45" s="21"/>
      <c r="Z45" s="41"/>
    </row>
    <row r="46" spans="1:26" ht="12.75" customHeight="1" x14ac:dyDescent="0.25">
      <c r="A46" s="21"/>
      <c r="Z46" s="41"/>
    </row>
    <row r="47" spans="1:26" ht="12.75" customHeight="1" x14ac:dyDescent="0.25">
      <c r="A47" s="21"/>
      <c r="Z47" s="41"/>
    </row>
    <row r="48" spans="1:26" ht="12.75" customHeight="1" x14ac:dyDescent="0.25">
      <c r="A48" s="21"/>
      <c r="Z48" s="41"/>
    </row>
    <row r="49" spans="1:34" ht="12.75" customHeight="1" x14ac:dyDescent="0.25">
      <c r="A49" s="21"/>
      <c r="Z49" s="41"/>
    </row>
    <row r="50" spans="1:34" ht="9.75" customHeight="1" thickBot="1" x14ac:dyDescent="0.3">
      <c r="A50" s="21"/>
      <c r="Z50" s="41"/>
    </row>
    <row r="51" spans="1:34" ht="9.75" customHeight="1" x14ac:dyDescent="0.25">
      <c r="A51" s="21"/>
      <c r="Z51" s="41"/>
      <c r="AD51" s="179" t="s">
        <v>28</v>
      </c>
      <c r="AE51" s="181">
        <v>2.6709999999999998</v>
      </c>
      <c r="AF51" s="183"/>
      <c r="AG51" s="185"/>
      <c r="AH51" s="42"/>
    </row>
    <row r="52" spans="1:34" ht="12.75" customHeight="1" thickBot="1" x14ac:dyDescent="0.3">
      <c r="A52" s="21"/>
      <c r="Z52" s="43"/>
      <c r="AD52" s="180"/>
      <c r="AE52" s="182"/>
      <c r="AF52" s="184"/>
      <c r="AG52" s="185"/>
    </row>
    <row r="53" spans="1:34" ht="18.75" customHeight="1" thickBot="1" x14ac:dyDescent="0.3">
      <c r="A53" s="21"/>
      <c r="E53" s="186" t="s">
        <v>29</v>
      </c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8" t="s">
        <v>30</v>
      </c>
      <c r="V53" s="189"/>
      <c r="W53" s="192" t="s">
        <v>31</v>
      </c>
      <c r="X53" s="189"/>
      <c r="Y53" s="194" t="s">
        <v>32</v>
      </c>
      <c r="Z53" s="195"/>
      <c r="AA53" s="44"/>
      <c r="AB53" s="198" t="s">
        <v>33</v>
      </c>
      <c r="AC53" s="199"/>
      <c r="AD53" s="202" t="s">
        <v>34</v>
      </c>
      <c r="AE53" s="204" t="s">
        <v>35</v>
      </c>
      <c r="AF53" s="183"/>
      <c r="AG53" s="183"/>
      <c r="AH53" s="45"/>
    </row>
    <row r="54" spans="1:34" ht="24.9" customHeight="1" thickBot="1" x14ac:dyDescent="0.3">
      <c r="A54" s="46"/>
      <c r="B54" s="47" t="s">
        <v>36</v>
      </c>
      <c r="C54" s="207" t="s">
        <v>37</v>
      </c>
      <c r="D54" s="208"/>
      <c r="E54" s="48">
        <v>6.3E-2</v>
      </c>
      <c r="F54" s="48">
        <v>0.125</v>
      </c>
      <c r="G54" s="49">
        <v>0.25</v>
      </c>
      <c r="H54" s="49">
        <v>0.5</v>
      </c>
      <c r="I54" s="49">
        <v>1</v>
      </c>
      <c r="J54" s="49">
        <v>2</v>
      </c>
      <c r="K54" s="49">
        <v>4</v>
      </c>
      <c r="L54" s="49">
        <v>6.3</v>
      </c>
      <c r="M54" s="49">
        <v>8</v>
      </c>
      <c r="N54" s="49">
        <v>10</v>
      </c>
      <c r="O54" s="49">
        <v>12.5</v>
      </c>
      <c r="P54" s="49">
        <v>14</v>
      </c>
      <c r="Q54" s="50">
        <v>16</v>
      </c>
      <c r="R54" s="50">
        <v>20</v>
      </c>
      <c r="S54" s="49"/>
      <c r="T54" s="50"/>
      <c r="U54" s="190"/>
      <c r="V54" s="191"/>
      <c r="W54" s="193"/>
      <c r="X54" s="191"/>
      <c r="Y54" s="196"/>
      <c r="Z54" s="197"/>
      <c r="AA54" s="44"/>
      <c r="AB54" s="200"/>
      <c r="AC54" s="201"/>
      <c r="AD54" s="203"/>
      <c r="AE54" s="205"/>
      <c r="AF54" s="206"/>
      <c r="AG54" s="183"/>
    </row>
    <row r="55" spans="1:34" ht="24.9" customHeight="1" x14ac:dyDescent="0.25">
      <c r="A55" s="46"/>
      <c r="B55" s="51">
        <v>1</v>
      </c>
      <c r="C55" s="315" t="s">
        <v>92</v>
      </c>
      <c r="D55" s="313"/>
      <c r="E55" s="320">
        <v>7.2</v>
      </c>
      <c r="F55" s="321">
        <v>8.9</v>
      </c>
      <c r="G55" s="322">
        <v>12</v>
      </c>
      <c r="H55" s="322">
        <v>15.6</v>
      </c>
      <c r="I55" s="322">
        <v>21</v>
      </c>
      <c r="J55" s="322">
        <v>31</v>
      </c>
      <c r="K55" s="322">
        <v>47.2</v>
      </c>
      <c r="L55" s="322">
        <v>71.2</v>
      </c>
      <c r="M55" s="322">
        <v>87.2</v>
      </c>
      <c r="N55" s="322">
        <v>96.2</v>
      </c>
      <c r="O55" s="322">
        <v>100</v>
      </c>
      <c r="P55" s="322"/>
      <c r="Q55" s="322"/>
      <c r="R55" s="322"/>
      <c r="S55" s="323"/>
      <c r="T55" s="323"/>
      <c r="U55" s="302">
        <v>162</v>
      </c>
      <c r="V55" s="303"/>
      <c r="W55" s="304">
        <v>5.28</v>
      </c>
      <c r="X55" s="305"/>
      <c r="Y55" s="215">
        <f>IF(W55&lt;&gt;0,AE55,"")</f>
        <v>3.3263256240519761</v>
      </c>
      <c r="Z55" s="216"/>
      <c r="AA55" s="52"/>
      <c r="AB55" s="217">
        <f>(100*W55)/(100-W55)</f>
        <v>5.5743243243243246</v>
      </c>
      <c r="AC55" s="218"/>
      <c r="AD55" s="53">
        <f>(0.25*(100-O55)+2.3*(O55-H55)+12*(H55-E55)+150*(E55))/100</f>
        <v>13.7492</v>
      </c>
      <c r="AE55" s="54">
        <f>(AB55*$AE$51)/(2.65*(AD55)^(1/5))</f>
        <v>3.3263256240519761</v>
      </c>
      <c r="AF55" s="28"/>
      <c r="AG55" s="55"/>
    </row>
    <row r="56" spans="1:34" ht="24.9" customHeight="1" x14ac:dyDescent="0.25">
      <c r="A56" s="46"/>
      <c r="B56" s="56">
        <v>2</v>
      </c>
      <c r="C56" s="315" t="s">
        <v>93</v>
      </c>
      <c r="D56" s="313"/>
      <c r="E56" s="320">
        <v>6.8</v>
      </c>
      <c r="F56" s="321">
        <v>8.8000000000000007</v>
      </c>
      <c r="G56" s="322">
        <v>11.4</v>
      </c>
      <c r="H56" s="322">
        <v>15</v>
      </c>
      <c r="I56" s="322">
        <v>20.3</v>
      </c>
      <c r="J56" s="322">
        <v>29.9</v>
      </c>
      <c r="K56" s="322">
        <v>46.2</v>
      </c>
      <c r="L56" s="322">
        <v>71.400000000000006</v>
      </c>
      <c r="M56" s="322">
        <v>85</v>
      </c>
      <c r="N56" s="322">
        <v>96.9</v>
      </c>
      <c r="O56" s="322">
        <v>100</v>
      </c>
      <c r="P56" s="322"/>
      <c r="Q56" s="322"/>
      <c r="R56" s="322"/>
      <c r="S56" s="323"/>
      <c r="T56" s="323"/>
      <c r="U56" s="302">
        <v>160</v>
      </c>
      <c r="V56" s="303"/>
      <c r="W56" s="304">
        <v>5.66</v>
      </c>
      <c r="X56" s="305"/>
      <c r="Y56" s="230">
        <f>IF(W56&lt;&gt;0,AE56,"")</f>
        <v>3.6127350358345081</v>
      </c>
      <c r="Z56" s="231"/>
      <c r="AA56" s="52"/>
      <c r="AB56" s="217">
        <f>(100*W56)/(100-W56)</f>
        <v>5.9995760016959929</v>
      </c>
      <c r="AC56" s="218"/>
      <c r="AD56" s="53">
        <f t="shared" ref="AD56:AD62" si="0">(0.25*(100-O56)+2.3*(O56-H56)+12*(H56-E56)+150*(E56))/100</f>
        <v>13.139000000000001</v>
      </c>
      <c r="AE56" s="54">
        <f t="shared" ref="AE56:AE62" si="1">(AB56*$AE$51)/(2.65*(AD56)^(1/5))</f>
        <v>3.6127350358345081</v>
      </c>
      <c r="AF56" s="28"/>
      <c r="AG56" s="55"/>
    </row>
    <row r="57" spans="1:34" ht="24.9" customHeight="1" x14ac:dyDescent="0.25">
      <c r="A57" s="46"/>
      <c r="B57" s="56">
        <v>3</v>
      </c>
      <c r="C57" s="232"/>
      <c r="D57" s="233"/>
      <c r="E57" s="57"/>
      <c r="F57" s="58"/>
      <c r="G57" s="58"/>
      <c r="H57" s="59"/>
      <c r="I57" s="59"/>
      <c r="J57" s="59"/>
      <c r="K57" s="59"/>
      <c r="L57" s="59"/>
      <c r="M57" s="59"/>
      <c r="N57" s="59"/>
      <c r="O57" s="60"/>
      <c r="P57" s="59"/>
      <c r="Q57" s="60"/>
      <c r="R57" s="59"/>
      <c r="S57" s="59"/>
      <c r="T57" s="61"/>
      <c r="U57" s="234"/>
      <c r="V57" s="235"/>
      <c r="W57" s="236"/>
      <c r="X57" s="237"/>
      <c r="Y57" s="230" t="str">
        <f t="shared" ref="Y57:Y58" si="2">IF(W57&lt;&gt;0,AE57,"")</f>
        <v/>
      </c>
      <c r="Z57" s="231"/>
      <c r="AA57" s="52"/>
      <c r="AB57" s="217">
        <f>(100*W57)/(100-W57)</f>
        <v>0</v>
      </c>
      <c r="AC57" s="218"/>
      <c r="AD57" s="53">
        <f t="shared" si="0"/>
        <v>0.25</v>
      </c>
      <c r="AE57" s="54">
        <f t="shared" si="1"/>
        <v>0</v>
      </c>
      <c r="AF57" s="28"/>
      <c r="AG57" s="55"/>
    </row>
    <row r="58" spans="1:34" ht="24.9" customHeight="1" thickBot="1" x14ac:dyDescent="0.3">
      <c r="A58" s="46"/>
      <c r="B58" s="62">
        <v>4</v>
      </c>
      <c r="C58" s="219"/>
      <c r="D58" s="220"/>
      <c r="E58" s="63"/>
      <c r="F58" s="64"/>
      <c r="G58" s="64"/>
      <c r="H58" s="65"/>
      <c r="I58" s="65"/>
      <c r="J58" s="65"/>
      <c r="K58" s="65"/>
      <c r="L58" s="65"/>
      <c r="M58" s="65"/>
      <c r="N58" s="65"/>
      <c r="O58" s="66"/>
      <c r="P58" s="65"/>
      <c r="Q58" s="66"/>
      <c r="R58" s="65"/>
      <c r="S58" s="65"/>
      <c r="T58" s="67"/>
      <c r="U58" s="221"/>
      <c r="V58" s="222"/>
      <c r="W58" s="223"/>
      <c r="X58" s="224"/>
      <c r="Y58" s="225" t="str">
        <f t="shared" si="2"/>
        <v/>
      </c>
      <c r="Z58" s="226"/>
      <c r="AA58" s="52"/>
      <c r="AB58" s="217">
        <f>(100*W58)/(100-W58)</f>
        <v>0</v>
      </c>
      <c r="AC58" s="218"/>
      <c r="AD58" s="53">
        <f t="shared" si="0"/>
        <v>0.25</v>
      </c>
      <c r="AE58" s="54">
        <f t="shared" si="1"/>
        <v>0</v>
      </c>
      <c r="AF58" s="28"/>
      <c r="AG58" s="55"/>
    </row>
    <row r="59" spans="1:34" ht="10.5" customHeight="1" thickBot="1" x14ac:dyDescent="0.3">
      <c r="A59" s="46"/>
      <c r="B59" s="2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9"/>
      <c r="P59" s="68"/>
      <c r="Q59" s="69"/>
      <c r="R59" s="68"/>
      <c r="S59" s="68"/>
      <c r="T59" s="68"/>
      <c r="U59" s="68"/>
      <c r="V59" s="68"/>
      <c r="W59" s="70"/>
      <c r="Z59" s="71"/>
      <c r="AB59" s="72"/>
      <c r="AC59" s="73"/>
      <c r="AD59" s="53"/>
      <c r="AE59" s="54"/>
      <c r="AF59" s="28"/>
      <c r="AG59" s="55"/>
    </row>
    <row r="60" spans="1:34" ht="24.75" hidden="1" customHeight="1" x14ac:dyDescent="0.25">
      <c r="A60" s="46"/>
      <c r="B60" s="227" t="s">
        <v>38</v>
      </c>
      <c r="C60" s="228"/>
      <c r="D60" s="229"/>
      <c r="E60" s="74"/>
      <c r="F60" s="74"/>
      <c r="G60" s="74"/>
      <c r="H60" s="74"/>
      <c r="I60" s="74"/>
      <c r="J60" s="74"/>
      <c r="K60" s="74"/>
      <c r="L60" s="74"/>
      <c r="M60" s="74">
        <v>10</v>
      </c>
      <c r="N60" s="74">
        <v>10</v>
      </c>
      <c r="O60" s="75"/>
      <c r="P60" s="74"/>
      <c r="Q60" s="75">
        <v>50</v>
      </c>
      <c r="R60" s="74"/>
      <c r="S60" s="74">
        <v>70</v>
      </c>
      <c r="T60" s="74"/>
      <c r="U60" s="74"/>
      <c r="V60" s="74"/>
      <c r="W60" s="74"/>
      <c r="X60" s="76"/>
      <c r="Y60" s="77">
        <v>4.5</v>
      </c>
      <c r="Z60" s="77"/>
      <c r="AA60" s="28"/>
      <c r="AB60" s="72"/>
      <c r="AC60" s="73"/>
      <c r="AD60" s="53">
        <f t="shared" si="0"/>
        <v>0.25</v>
      </c>
      <c r="AE60" s="54">
        <f t="shared" si="1"/>
        <v>0</v>
      </c>
      <c r="AF60" s="28"/>
      <c r="AG60" s="55"/>
    </row>
    <row r="61" spans="1:34" ht="18.75" customHeight="1" x14ac:dyDescent="0.25">
      <c r="A61" s="46"/>
      <c r="B61" s="238" t="s">
        <v>39</v>
      </c>
      <c r="C61" s="239"/>
      <c r="D61" s="240"/>
      <c r="E61" s="78">
        <f>IF(E55&lt;&gt;0,AVERAGE(E55:E58),"")</f>
        <v>7</v>
      </c>
      <c r="F61" s="78">
        <f t="shared" ref="F61:L61" si="3">IF(F55&lt;&gt;0,AVERAGE(F55:F58),"")</f>
        <v>8.8500000000000014</v>
      </c>
      <c r="G61" s="78">
        <f t="shared" si="3"/>
        <v>11.7</v>
      </c>
      <c r="H61" s="78">
        <f t="shared" si="3"/>
        <v>15.3</v>
      </c>
      <c r="I61" s="78">
        <f t="shared" si="3"/>
        <v>20.65</v>
      </c>
      <c r="J61" s="78">
        <f t="shared" si="3"/>
        <v>30.45</v>
      </c>
      <c r="K61" s="78">
        <f t="shared" si="3"/>
        <v>46.7</v>
      </c>
      <c r="L61" s="78">
        <f t="shared" si="3"/>
        <v>71.300000000000011</v>
      </c>
      <c r="M61" s="78">
        <f>IF(M55&lt;&gt;0,AVERAGE(M55:M58),"")</f>
        <v>86.1</v>
      </c>
      <c r="N61" s="78">
        <f>IF(N55&lt;&gt;0,AVERAGE(N55:N58),"")</f>
        <v>96.550000000000011</v>
      </c>
      <c r="O61" s="79">
        <f>IF(O55&lt;&gt;0,AVERAGE(O55:O58),"")</f>
        <v>100</v>
      </c>
      <c r="P61" s="79"/>
      <c r="Q61" s="79"/>
      <c r="R61" s="78"/>
      <c r="S61" s="78" t="str">
        <f t="shared" ref="S61:T61" si="4">IF(S55&lt;&gt;0,AVERAGE(S55:S58),"")</f>
        <v/>
      </c>
      <c r="T61" s="80" t="str">
        <f t="shared" si="4"/>
        <v/>
      </c>
      <c r="U61" s="241">
        <f>IF(U55&lt;&gt;0,AVERAGE(U55:V58),"")</f>
        <v>161</v>
      </c>
      <c r="V61" s="242"/>
      <c r="W61" s="243">
        <f>IF(W55&lt;&gt;0,AVERAGE(W55:X58),"")</f>
        <v>5.4700000000000006</v>
      </c>
      <c r="X61" s="244"/>
      <c r="Y61" s="245">
        <f>IF(W55&lt;&gt;0,AVERAGE(Y55:Z58),"")</f>
        <v>3.4695303299432423</v>
      </c>
      <c r="Z61" s="246"/>
      <c r="AA61" s="55"/>
      <c r="AB61" s="217">
        <f>(100*W61)/(100-W61)</f>
        <v>5.7865227969956639</v>
      </c>
      <c r="AC61" s="218"/>
      <c r="AD61" s="53">
        <f t="shared" si="0"/>
        <v>13.444100000000001</v>
      </c>
      <c r="AE61" s="54">
        <f t="shared" si="1"/>
        <v>3.4684811267345581</v>
      </c>
      <c r="AF61" s="28"/>
      <c r="AG61" s="55"/>
    </row>
    <row r="62" spans="1:34" ht="21" customHeight="1" x14ac:dyDescent="0.25">
      <c r="A62" s="46"/>
      <c r="B62" s="247" t="s">
        <v>40</v>
      </c>
      <c r="C62" s="248"/>
      <c r="D62" s="249"/>
      <c r="E62" s="81">
        <v>7.1</v>
      </c>
      <c r="F62" s="81">
        <v>9</v>
      </c>
      <c r="G62" s="81">
        <v>13</v>
      </c>
      <c r="H62" s="81">
        <v>17</v>
      </c>
      <c r="I62" s="81">
        <v>24</v>
      </c>
      <c r="J62" s="81">
        <v>31</v>
      </c>
      <c r="K62" s="81">
        <v>44</v>
      </c>
      <c r="L62" s="81">
        <v>65</v>
      </c>
      <c r="M62" s="81">
        <v>81</v>
      </c>
      <c r="N62" s="81">
        <v>96</v>
      </c>
      <c r="O62" s="82">
        <v>100</v>
      </c>
      <c r="P62" s="81"/>
      <c r="Q62" s="82"/>
      <c r="R62" s="81"/>
      <c r="S62" s="81"/>
      <c r="T62" s="83"/>
      <c r="U62" s="250"/>
      <c r="V62" s="251"/>
      <c r="W62" s="252">
        <v>5.3</v>
      </c>
      <c r="X62" s="253"/>
      <c r="Y62" s="254">
        <f>AE62</f>
        <v>3.3397373854480432</v>
      </c>
      <c r="Z62" s="255"/>
      <c r="AA62" s="55"/>
      <c r="AB62" s="217">
        <f>(100*W62)/(100-W62)</f>
        <v>5.5966209081309399</v>
      </c>
      <c r="AC62" s="218"/>
      <c r="AD62" s="53">
        <f t="shared" si="0"/>
        <v>13.747</v>
      </c>
      <c r="AE62" s="54">
        <f t="shared" si="1"/>
        <v>3.3397373854480432</v>
      </c>
      <c r="AF62" s="28"/>
      <c r="AG62" s="55"/>
    </row>
    <row r="63" spans="1:34" ht="13.5" customHeight="1" x14ac:dyDescent="0.25">
      <c r="A63" s="46"/>
      <c r="B63" s="84"/>
      <c r="C63" s="85" t="s">
        <v>41</v>
      </c>
      <c r="D63" s="86"/>
      <c r="E63" s="59">
        <f>E62+2</f>
        <v>9.1</v>
      </c>
      <c r="F63" s="59"/>
      <c r="G63" s="59"/>
      <c r="H63" s="59"/>
      <c r="I63" s="59"/>
      <c r="J63" s="59">
        <f>J62+6</f>
        <v>37</v>
      </c>
      <c r="K63" s="59"/>
      <c r="L63" s="59">
        <f>L62+7</f>
        <v>72</v>
      </c>
      <c r="M63" s="59"/>
      <c r="N63" s="59"/>
      <c r="O63" s="59"/>
      <c r="P63" s="59"/>
      <c r="Q63" s="60"/>
      <c r="R63" s="59"/>
      <c r="S63" s="59"/>
      <c r="T63" s="61"/>
      <c r="U63" s="234"/>
      <c r="V63" s="235"/>
      <c r="W63" s="256">
        <f>W62+0.5</f>
        <v>5.8</v>
      </c>
      <c r="X63" s="235"/>
      <c r="Y63" s="232"/>
      <c r="Z63" s="257"/>
      <c r="AA63" s="87"/>
      <c r="AB63" s="88"/>
      <c r="AC63" s="89"/>
      <c r="AD63" s="258"/>
      <c r="AE63" s="260" t="s">
        <v>42</v>
      </c>
      <c r="AF63" s="28"/>
      <c r="AG63" s="55"/>
    </row>
    <row r="64" spans="1:34" ht="13.5" customHeight="1" thickBot="1" x14ac:dyDescent="0.3">
      <c r="A64" s="46"/>
      <c r="B64" s="190" t="s">
        <v>43</v>
      </c>
      <c r="C64" s="193"/>
      <c r="D64" s="191"/>
      <c r="E64" s="90">
        <f>E62-2</f>
        <v>5.0999999999999996</v>
      </c>
      <c r="F64" s="90"/>
      <c r="G64" s="91"/>
      <c r="H64" s="91"/>
      <c r="I64" s="91"/>
      <c r="J64" s="90">
        <f>J62-6</f>
        <v>25</v>
      </c>
      <c r="K64" s="91"/>
      <c r="L64" s="90">
        <f>L62-7</f>
        <v>58</v>
      </c>
      <c r="M64" s="90"/>
      <c r="N64" s="91"/>
      <c r="O64" s="91"/>
      <c r="P64" s="91"/>
      <c r="Q64" s="90"/>
      <c r="R64" s="91"/>
      <c r="S64" s="91"/>
      <c r="T64" s="92"/>
      <c r="U64" s="262"/>
      <c r="V64" s="263"/>
      <c r="W64" s="264">
        <f>W62-0.5</f>
        <v>4.8</v>
      </c>
      <c r="X64" s="263"/>
      <c r="Y64" s="219"/>
      <c r="Z64" s="265"/>
      <c r="AA64" s="93"/>
      <c r="AB64" s="94"/>
      <c r="AC64" s="95"/>
      <c r="AD64" s="259"/>
      <c r="AE64" s="261"/>
      <c r="AF64" s="28"/>
      <c r="AG64" s="55"/>
    </row>
    <row r="65" spans="1:30" ht="6.75" customHeigh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96"/>
    </row>
    <row r="66" spans="1:30" ht="8.25" customHeight="1" x14ac:dyDescent="0.25"/>
    <row r="67" spans="1:30" ht="34.5" customHeight="1" x14ac:dyDescent="0.25">
      <c r="A67" s="97" t="s">
        <v>44</v>
      </c>
      <c r="B67" s="98" t="s">
        <v>45</v>
      </c>
      <c r="C67" s="99"/>
      <c r="D67" s="99"/>
      <c r="E67" s="99"/>
      <c r="F67" s="100"/>
      <c r="G67" s="100"/>
      <c r="H67" s="100"/>
      <c r="I67" s="10"/>
      <c r="J67" s="10"/>
      <c r="K67" s="10"/>
      <c r="L67" s="10"/>
      <c r="M67" s="10"/>
      <c r="N67" s="10"/>
      <c r="O67" s="10"/>
      <c r="P67" s="10"/>
      <c r="Q67" s="100"/>
      <c r="R67" s="10"/>
      <c r="S67" s="10"/>
      <c r="T67" s="10"/>
      <c r="U67" s="279"/>
      <c r="V67" s="279"/>
      <c r="W67" s="279"/>
      <c r="X67" s="279"/>
      <c r="Y67" s="279"/>
      <c r="Z67" s="280"/>
      <c r="AA67" s="101"/>
      <c r="AB67" s="102"/>
      <c r="AC67" s="102"/>
      <c r="AD67" s="103"/>
    </row>
    <row r="68" spans="1:30" ht="27" customHeight="1" x14ac:dyDescent="0.25">
      <c r="A68" s="281" t="s">
        <v>46</v>
      </c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3"/>
      <c r="R68" s="272" t="s">
        <v>47</v>
      </c>
      <c r="S68" s="273"/>
      <c r="T68" s="274"/>
      <c r="U68" s="284" t="s">
        <v>78</v>
      </c>
      <c r="V68" s="285"/>
      <c r="W68" s="285"/>
      <c r="X68" s="286"/>
      <c r="Y68" s="286"/>
      <c r="Z68" s="287"/>
      <c r="AA68" s="104"/>
      <c r="AB68" s="105"/>
      <c r="AC68" s="105"/>
      <c r="AD68" s="103"/>
    </row>
    <row r="69" spans="1:30" ht="15.75" customHeight="1" x14ac:dyDescent="0.25">
      <c r="A69" s="288" t="s">
        <v>48</v>
      </c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90"/>
      <c r="R69" s="272" t="s">
        <v>49</v>
      </c>
      <c r="S69" s="273"/>
      <c r="T69" s="274"/>
      <c r="U69" s="294" t="s">
        <v>79</v>
      </c>
      <c r="V69" s="295"/>
      <c r="W69" s="295"/>
      <c r="X69" s="295"/>
      <c r="Y69" s="295"/>
      <c r="Z69" s="296"/>
      <c r="AA69" s="104"/>
      <c r="AB69" s="105"/>
      <c r="AC69" s="105"/>
      <c r="AD69" s="103"/>
    </row>
    <row r="70" spans="1:30" ht="9" customHeight="1" x14ac:dyDescent="0.25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90"/>
      <c r="R70" s="272"/>
      <c r="S70" s="273"/>
      <c r="T70" s="274"/>
      <c r="U70" s="297"/>
      <c r="V70" s="178"/>
      <c r="W70" s="178"/>
      <c r="X70" s="178"/>
      <c r="Y70" s="178"/>
      <c r="Z70" s="298"/>
      <c r="AA70" s="104"/>
      <c r="AB70" s="105"/>
      <c r="AC70" s="105"/>
      <c r="AD70" s="103"/>
    </row>
    <row r="71" spans="1:30" ht="15.9" customHeight="1" x14ac:dyDescent="0.25">
      <c r="A71" s="291"/>
      <c r="B71" s="292"/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93"/>
      <c r="R71" s="272"/>
      <c r="S71" s="273"/>
      <c r="T71" s="274"/>
      <c r="U71" s="297"/>
      <c r="V71" s="178"/>
      <c r="W71" s="178"/>
      <c r="X71" s="178"/>
      <c r="Y71" s="178"/>
      <c r="Z71" s="298"/>
      <c r="AA71" s="104"/>
      <c r="AB71" s="105"/>
      <c r="AC71" s="105"/>
      <c r="AD71" s="103"/>
    </row>
    <row r="72" spans="1:30" ht="15.9" customHeight="1" x14ac:dyDescent="0.25">
      <c r="A72" s="106" t="s">
        <v>50</v>
      </c>
      <c r="B72" s="107" t="s">
        <v>51</v>
      </c>
      <c r="C72" s="13"/>
      <c r="D72" s="13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9"/>
      <c r="R72" s="272"/>
      <c r="S72" s="273"/>
      <c r="T72" s="274"/>
      <c r="U72" s="299"/>
      <c r="V72" s="300"/>
      <c r="W72" s="300"/>
      <c r="X72" s="300"/>
      <c r="Y72" s="300"/>
      <c r="Z72" s="301"/>
      <c r="AA72" s="104"/>
      <c r="AB72" s="105"/>
      <c r="AC72" s="105"/>
      <c r="AD72" s="103"/>
    </row>
    <row r="73" spans="1:30" ht="15.75" customHeight="1" x14ac:dyDescent="0.25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7"/>
      <c r="Q73" s="268"/>
      <c r="R73" s="272" t="s">
        <v>52</v>
      </c>
      <c r="S73" s="273"/>
      <c r="T73" s="274"/>
      <c r="U73" s="110"/>
      <c r="V73" s="111"/>
      <c r="W73" s="111"/>
      <c r="X73" s="111"/>
      <c r="Y73" s="111"/>
      <c r="Z73" s="112"/>
      <c r="AA73" s="113"/>
      <c r="AB73" s="114"/>
      <c r="AC73" s="114"/>
      <c r="AD73" s="103"/>
    </row>
    <row r="74" spans="1:30" ht="15.9" customHeight="1" x14ac:dyDescent="0.25">
      <c r="A74" s="266"/>
      <c r="B74" s="267"/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8"/>
      <c r="R74" s="272"/>
      <c r="S74" s="273"/>
      <c r="T74" s="274"/>
      <c r="U74" s="115"/>
      <c r="V74" s="278"/>
      <c r="W74" s="278"/>
      <c r="X74" s="278"/>
      <c r="Y74" s="278"/>
      <c r="Z74" s="116"/>
      <c r="AA74" s="113"/>
      <c r="AB74" s="114"/>
      <c r="AC74" s="114"/>
      <c r="AD74" s="103"/>
    </row>
    <row r="75" spans="1:30" ht="15.9" customHeight="1" x14ac:dyDescent="0.25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7"/>
      <c r="Q75" s="268"/>
      <c r="R75" s="272"/>
      <c r="S75" s="273"/>
      <c r="T75" s="274"/>
      <c r="U75" s="115"/>
      <c r="V75" s="278"/>
      <c r="W75" s="278"/>
      <c r="X75" s="278"/>
      <c r="Y75" s="278"/>
      <c r="Z75" s="116"/>
      <c r="AA75" s="113"/>
      <c r="AB75" s="114"/>
      <c r="AC75" s="114"/>
      <c r="AD75" s="103"/>
    </row>
    <row r="76" spans="1:30" ht="15.75" customHeight="1" x14ac:dyDescent="0.25">
      <c r="A76" s="269"/>
      <c r="B76" s="270"/>
      <c r="C76" s="270"/>
      <c r="D76" s="270"/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O76" s="270"/>
      <c r="P76" s="270"/>
      <c r="Q76" s="271"/>
      <c r="R76" s="275"/>
      <c r="S76" s="276"/>
      <c r="T76" s="277"/>
      <c r="U76" s="117"/>
      <c r="V76" s="118"/>
      <c r="W76" s="118"/>
      <c r="X76" s="118"/>
      <c r="Y76" s="118"/>
      <c r="Z76" s="119"/>
      <c r="AA76" s="113"/>
      <c r="AB76" s="114"/>
      <c r="AC76" s="114"/>
      <c r="AD76" s="103"/>
    </row>
  </sheetData>
  <mergeCells count="106">
    <mergeCell ref="A73:Q76"/>
    <mergeCell ref="R73:T76"/>
    <mergeCell ref="V74:Y75"/>
    <mergeCell ref="U55:V55"/>
    <mergeCell ref="W55:X55"/>
    <mergeCell ref="C56:D56"/>
    <mergeCell ref="U56:V56"/>
    <mergeCell ref="W56:X56"/>
    <mergeCell ref="C55:D55"/>
    <mergeCell ref="U67:Z67"/>
    <mergeCell ref="A68:Q68"/>
    <mergeCell ref="R68:T68"/>
    <mergeCell ref="U68:Z68"/>
    <mergeCell ref="A69:Q71"/>
    <mergeCell ref="R69:T72"/>
    <mergeCell ref="U69:Z72"/>
    <mergeCell ref="U63:V63"/>
    <mergeCell ref="W63:X63"/>
    <mergeCell ref="Y63:Z63"/>
    <mergeCell ref="AD63:AD64"/>
    <mergeCell ref="AE63:AE64"/>
    <mergeCell ref="B64:D64"/>
    <mergeCell ref="U64:V64"/>
    <mergeCell ref="W64:X64"/>
    <mergeCell ref="Y64:Z64"/>
    <mergeCell ref="B61:D61"/>
    <mergeCell ref="U61:V61"/>
    <mergeCell ref="W61:X61"/>
    <mergeCell ref="Y61:Z61"/>
    <mergeCell ref="AB61:AC61"/>
    <mergeCell ref="B62:D62"/>
    <mergeCell ref="U62:V62"/>
    <mergeCell ref="W62:X62"/>
    <mergeCell ref="Y62:Z62"/>
    <mergeCell ref="AB62:AC62"/>
    <mergeCell ref="C58:D58"/>
    <mergeCell ref="U58:V58"/>
    <mergeCell ref="W58:X58"/>
    <mergeCell ref="Y58:Z58"/>
    <mergeCell ref="AB58:AC58"/>
    <mergeCell ref="B60:D60"/>
    <mergeCell ref="Y56:Z56"/>
    <mergeCell ref="AB56:AC56"/>
    <mergeCell ref="C57:D57"/>
    <mergeCell ref="U57:V57"/>
    <mergeCell ref="W57:X57"/>
    <mergeCell ref="Y57:Z57"/>
    <mergeCell ref="AB57:AC57"/>
    <mergeCell ref="AE53:AE54"/>
    <mergeCell ref="AF53:AF54"/>
    <mergeCell ref="AG53:AG54"/>
    <mergeCell ref="C54:D54"/>
    <mergeCell ref="Y55:Z55"/>
    <mergeCell ref="AB55:AC55"/>
    <mergeCell ref="AD51:AD52"/>
    <mergeCell ref="AE51:AE52"/>
    <mergeCell ref="AF51:AF52"/>
    <mergeCell ref="AG51:AG52"/>
    <mergeCell ref="E53:T53"/>
    <mergeCell ref="U53:V54"/>
    <mergeCell ref="W53:X54"/>
    <mergeCell ref="Y53:Z54"/>
    <mergeCell ref="AB53:AC54"/>
    <mergeCell ref="AD53:AD54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872F-300E-4D07-A636-D995EAEF64F0}">
  <sheetPr>
    <pageSetUpPr fitToPage="1"/>
  </sheetPr>
  <dimension ref="A1:AN76"/>
  <sheetViews>
    <sheetView tabSelected="1" topLeftCell="A64" zoomScaleNormal="100" workbookViewId="0">
      <selection activeCell="AE53" sqref="AE53:AE54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75" customHeight="1" x14ac:dyDescent="0.25">
      <c r="A1" s="144"/>
      <c r="B1" s="145"/>
      <c r="C1" s="145"/>
      <c r="D1" s="145"/>
      <c r="E1" s="145"/>
      <c r="F1" s="146"/>
      <c r="G1" s="153" t="s">
        <v>0</v>
      </c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5"/>
      <c r="U1" s="156" t="s">
        <v>88</v>
      </c>
      <c r="V1" s="157"/>
      <c r="W1" s="157"/>
      <c r="X1" s="157"/>
      <c r="Y1" s="157"/>
      <c r="Z1" s="158"/>
      <c r="AA1" s="1"/>
    </row>
    <row r="2" spans="1:36" ht="12.75" customHeight="1" x14ac:dyDescent="0.25">
      <c r="A2" s="147"/>
      <c r="B2" s="148"/>
      <c r="C2" s="148"/>
      <c r="D2" s="148"/>
      <c r="E2" s="148"/>
      <c r="F2" s="149"/>
      <c r="G2" s="165" t="s">
        <v>1</v>
      </c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7"/>
      <c r="U2" s="159"/>
      <c r="V2" s="160"/>
      <c r="W2" s="160"/>
      <c r="X2" s="160"/>
      <c r="Y2" s="160"/>
      <c r="Z2" s="161"/>
      <c r="AA2" s="1"/>
    </row>
    <row r="3" spans="1:36" ht="12.75" customHeight="1" x14ac:dyDescent="0.25">
      <c r="A3" s="147"/>
      <c r="B3" s="148"/>
      <c r="C3" s="148"/>
      <c r="D3" s="148"/>
      <c r="E3" s="148"/>
      <c r="F3" s="149"/>
      <c r="G3" s="168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159"/>
      <c r="V3" s="160"/>
      <c r="W3" s="160"/>
      <c r="X3" s="160"/>
      <c r="Y3" s="160"/>
      <c r="Z3" s="161"/>
      <c r="AA3" s="1"/>
    </row>
    <row r="4" spans="1:36" ht="12.75" customHeight="1" x14ac:dyDescent="0.25">
      <c r="A4" s="147"/>
      <c r="B4" s="148"/>
      <c r="C4" s="148"/>
      <c r="D4" s="148"/>
      <c r="E4" s="148"/>
      <c r="F4" s="149"/>
      <c r="G4" s="168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59"/>
      <c r="V4" s="160"/>
      <c r="W4" s="160"/>
      <c r="X4" s="160"/>
      <c r="Y4" s="160"/>
      <c r="Z4" s="161"/>
      <c r="AA4" s="1"/>
    </row>
    <row r="5" spans="1:36" ht="12.75" customHeight="1" x14ac:dyDescent="0.25">
      <c r="A5" s="147"/>
      <c r="B5" s="148"/>
      <c r="C5" s="148"/>
      <c r="D5" s="148"/>
      <c r="E5" s="148"/>
      <c r="F5" s="149"/>
      <c r="G5" s="168" t="s">
        <v>2</v>
      </c>
      <c r="H5" s="166"/>
      <c r="I5" s="3" t="s">
        <v>3</v>
      </c>
      <c r="J5" s="169">
        <v>10</v>
      </c>
      <c r="K5" s="170"/>
      <c r="L5" s="171" t="s">
        <v>53</v>
      </c>
      <c r="M5" s="169"/>
      <c r="N5" s="169"/>
      <c r="O5" s="170"/>
      <c r="P5" s="172">
        <v>45742</v>
      </c>
      <c r="Q5" s="173"/>
      <c r="R5" s="173"/>
      <c r="S5" s="173"/>
      <c r="T5" s="174"/>
      <c r="U5" s="159"/>
      <c r="V5" s="160"/>
      <c r="W5" s="160"/>
      <c r="X5" s="160"/>
      <c r="Y5" s="160"/>
      <c r="Z5" s="161"/>
      <c r="AA5" s="1"/>
    </row>
    <row r="6" spans="1:36" ht="12.75" customHeight="1" x14ac:dyDescent="0.25">
      <c r="A6" s="150"/>
      <c r="B6" s="151"/>
      <c r="C6" s="151"/>
      <c r="D6" s="151"/>
      <c r="E6" s="151"/>
      <c r="F6" s="152"/>
      <c r="G6" s="4"/>
      <c r="H6" s="5"/>
      <c r="I6" s="5"/>
      <c r="J6" s="137" t="s">
        <v>4</v>
      </c>
      <c r="K6" s="137"/>
      <c r="L6" s="137" t="s">
        <v>5</v>
      </c>
      <c r="M6" s="137"/>
      <c r="N6" s="137"/>
      <c r="O6" s="137"/>
      <c r="P6" s="137" t="s">
        <v>6</v>
      </c>
      <c r="Q6" s="137"/>
      <c r="R6" s="137"/>
      <c r="S6" s="137"/>
      <c r="T6" s="138"/>
      <c r="U6" s="162"/>
      <c r="V6" s="163"/>
      <c r="W6" s="163"/>
      <c r="X6" s="163"/>
      <c r="Y6" s="163"/>
      <c r="Z6" s="164"/>
      <c r="AA6" s="1"/>
    </row>
    <row r="7" spans="1:36" ht="37.5" customHeight="1" x14ac:dyDescent="0.25">
      <c r="A7" s="139" t="s">
        <v>7</v>
      </c>
      <c r="B7" s="139"/>
      <c r="C7" s="139"/>
      <c r="D7" s="139"/>
      <c r="E7" s="139"/>
      <c r="F7" s="139"/>
      <c r="G7" s="140" t="s">
        <v>8</v>
      </c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15.9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141" t="s">
        <v>11</v>
      </c>
      <c r="C10" s="141"/>
      <c r="D10" s="141"/>
      <c r="E10" s="141"/>
      <c r="F10" s="141"/>
      <c r="G10" s="142" t="s">
        <v>82</v>
      </c>
      <c r="H10" s="142"/>
      <c r="I10" s="142"/>
      <c r="J10" s="142"/>
      <c r="K10" s="142"/>
      <c r="L10" s="142"/>
      <c r="M10" s="141" t="s">
        <v>12</v>
      </c>
      <c r="N10" s="141"/>
      <c r="O10" s="141"/>
      <c r="P10" s="141"/>
      <c r="Q10" s="141"/>
      <c r="R10" s="141"/>
      <c r="S10" s="143" t="s">
        <v>87</v>
      </c>
      <c r="T10" s="143"/>
      <c r="U10" s="143"/>
      <c r="V10" s="143"/>
      <c r="W10" s="143"/>
      <c r="X10" s="143"/>
      <c r="Y10" s="143"/>
      <c r="Z10" s="18"/>
      <c r="AA10" s="19"/>
      <c r="AB10" s="14"/>
      <c r="AC10" s="14"/>
      <c r="AD10" s="14"/>
      <c r="AE10" s="141"/>
      <c r="AF10" s="141"/>
      <c r="AG10" s="141"/>
      <c r="AH10" s="141"/>
      <c r="AI10" s="141"/>
    </row>
    <row r="11" spans="1:36" ht="15.9" customHeight="1" x14ac:dyDescent="0.25">
      <c r="A11" s="15"/>
      <c r="B11" s="141" t="s">
        <v>14</v>
      </c>
      <c r="C11" s="141"/>
      <c r="D11" s="141"/>
      <c r="E11" s="141"/>
      <c r="F11" s="141"/>
      <c r="G11" s="142">
        <v>45742</v>
      </c>
      <c r="H11" s="142"/>
      <c r="I11" s="142"/>
      <c r="J11" s="142"/>
      <c r="K11" s="142"/>
      <c r="L11" s="142"/>
      <c r="M11" s="141" t="s">
        <v>15</v>
      </c>
      <c r="N11" s="141"/>
      <c r="O11" s="141"/>
      <c r="P11" s="141"/>
      <c r="Q11" s="141"/>
      <c r="R11" s="141"/>
      <c r="S11" s="177" t="s">
        <v>89</v>
      </c>
      <c r="T11" s="177"/>
      <c r="U11" s="177"/>
      <c r="V11" s="177"/>
      <c r="W11" s="177"/>
      <c r="X11" s="177"/>
      <c r="Y11" s="177"/>
      <c r="Z11" s="18"/>
      <c r="AA11" s="19"/>
      <c r="AB11" s="14"/>
      <c r="AC11" s="14"/>
      <c r="AD11" s="14"/>
      <c r="AE11" s="141"/>
      <c r="AF11" s="141"/>
      <c r="AG11" s="141"/>
      <c r="AH11" s="141"/>
      <c r="AI11" s="141"/>
    </row>
    <row r="12" spans="1:36" ht="15.9" customHeight="1" x14ac:dyDescent="0.25">
      <c r="A12" s="15"/>
      <c r="B12" s="141" t="s">
        <v>16</v>
      </c>
      <c r="C12" s="141"/>
      <c r="D12" s="141"/>
      <c r="E12" s="141"/>
      <c r="F12" s="141"/>
      <c r="G12" s="314" t="s">
        <v>86</v>
      </c>
      <c r="H12" s="314"/>
      <c r="I12" s="314"/>
      <c r="J12" s="314"/>
      <c r="K12" s="314"/>
      <c r="L12" s="314"/>
      <c r="M12" s="176" t="s">
        <v>17</v>
      </c>
      <c r="N12" s="176"/>
      <c r="O12" s="176"/>
      <c r="P12" s="176"/>
      <c r="Q12" s="176"/>
      <c r="R12" s="176"/>
      <c r="S12" s="143">
        <v>231</v>
      </c>
      <c r="T12" s="143"/>
      <c r="U12" s="143"/>
      <c r="V12" s="143"/>
      <c r="W12" s="143"/>
      <c r="X12" s="143"/>
      <c r="Y12" s="143"/>
      <c r="Z12" s="18"/>
      <c r="AA12" s="19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0" t="s">
        <v>18</v>
      </c>
      <c r="C13" s="20"/>
      <c r="D13" s="20"/>
      <c r="E13" s="20"/>
      <c r="F13" s="20"/>
      <c r="G13" s="175" t="s">
        <v>54</v>
      </c>
      <c r="H13" s="175"/>
      <c r="I13" s="175"/>
      <c r="J13" s="175"/>
      <c r="K13" s="175"/>
      <c r="L13" s="175"/>
      <c r="M13" s="141" t="s">
        <v>19</v>
      </c>
      <c r="N13" s="141"/>
      <c r="O13" s="141"/>
      <c r="P13" s="141"/>
      <c r="Q13" s="141"/>
      <c r="R13" s="141"/>
      <c r="S13" s="175" t="s">
        <v>58</v>
      </c>
      <c r="T13" s="175"/>
      <c r="U13" s="175"/>
      <c r="V13" s="175"/>
      <c r="W13" s="175"/>
      <c r="X13" s="175"/>
      <c r="Y13" s="175"/>
      <c r="Z13" s="18"/>
      <c r="AA13" s="19"/>
      <c r="AB13" s="14"/>
      <c r="AC13" s="14"/>
      <c r="AD13" s="14"/>
      <c r="AE13" s="141"/>
      <c r="AF13" s="141"/>
      <c r="AG13" s="141"/>
      <c r="AH13" s="141"/>
      <c r="AI13" s="141"/>
      <c r="AJ13" s="141"/>
    </row>
    <row r="14" spans="1:36" ht="15.9" customHeight="1" x14ac:dyDescent="0.25">
      <c r="A14" s="21"/>
      <c r="B14" s="141" t="s">
        <v>20</v>
      </c>
      <c r="C14" s="141"/>
      <c r="D14" s="141"/>
      <c r="E14" s="141"/>
      <c r="F14" s="141"/>
      <c r="G14" s="175" t="s">
        <v>55</v>
      </c>
      <c r="H14" s="175"/>
      <c r="I14" s="175"/>
      <c r="J14" s="175"/>
      <c r="K14" s="175"/>
      <c r="L14" s="175"/>
      <c r="M14" s="143" t="s">
        <v>21</v>
      </c>
      <c r="N14" s="143"/>
      <c r="O14" s="143"/>
      <c r="P14" s="143"/>
      <c r="Q14" s="143"/>
      <c r="R14" s="143"/>
      <c r="S14" s="143" t="s">
        <v>22</v>
      </c>
      <c r="T14" s="143"/>
      <c r="U14" s="143"/>
      <c r="V14" s="143"/>
      <c r="W14" s="143"/>
      <c r="X14" s="143"/>
      <c r="Y14" s="143"/>
      <c r="Z14" s="22"/>
      <c r="AA14" s="14"/>
      <c r="AB14" s="14"/>
      <c r="AC14" s="14"/>
      <c r="AD14" s="14"/>
      <c r="AE14" s="141"/>
      <c r="AF14" s="141"/>
      <c r="AG14" s="141"/>
      <c r="AH14" s="141"/>
      <c r="AI14" s="141"/>
      <c r="AJ14" s="141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141"/>
      <c r="AF15" s="141"/>
      <c r="AG15" s="141"/>
      <c r="AH15" s="141"/>
      <c r="AI15" s="141"/>
      <c r="AJ15" s="141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141"/>
      <c r="AF16" s="141"/>
      <c r="AG16" s="141"/>
      <c r="AH16" s="141"/>
      <c r="AI16" s="141"/>
      <c r="AJ16" s="141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141" t="s">
        <v>25</v>
      </c>
      <c r="C19" s="141"/>
      <c r="D19" s="141"/>
      <c r="E19" s="141"/>
      <c r="F19" s="141"/>
      <c r="G19" s="141"/>
      <c r="H19" s="141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8"/>
      <c r="AA19" s="19"/>
      <c r="AE19" s="30"/>
      <c r="AI19" s="30"/>
    </row>
    <row r="20" spans="1:40" ht="15.9" customHeight="1" x14ac:dyDescent="0.25">
      <c r="A20" s="15"/>
      <c r="B20" s="141" t="s">
        <v>26</v>
      </c>
      <c r="C20" s="141"/>
      <c r="D20" s="141"/>
      <c r="E20" s="141"/>
      <c r="F20" s="141"/>
      <c r="G20" s="141"/>
      <c r="H20" s="141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8"/>
      <c r="AA20" s="19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2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3" t="s">
        <v>23</v>
      </c>
      <c r="B23" s="34" t="s">
        <v>27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39"/>
      <c r="AN23" s="40"/>
    </row>
    <row r="24" spans="1:40" ht="9" customHeight="1" x14ac:dyDescent="0.25">
      <c r="A24" s="21"/>
      <c r="Z24" s="41"/>
    </row>
    <row r="25" spans="1:40" ht="9" customHeight="1" x14ac:dyDescent="0.25">
      <c r="A25" s="21"/>
      <c r="Z25" s="41"/>
    </row>
    <row r="26" spans="1:40" ht="9" customHeight="1" x14ac:dyDescent="0.25">
      <c r="A26" s="21"/>
      <c r="Z26" s="41"/>
    </row>
    <row r="27" spans="1:40" ht="12.75" customHeight="1" x14ac:dyDescent="0.25">
      <c r="A27" s="21"/>
      <c r="Z27" s="41"/>
    </row>
    <row r="28" spans="1:40" ht="12.75" customHeight="1" x14ac:dyDescent="0.25">
      <c r="A28" s="21"/>
      <c r="Z28" s="41"/>
    </row>
    <row r="29" spans="1:40" ht="12.75" customHeight="1" x14ac:dyDescent="0.25">
      <c r="A29" s="21"/>
      <c r="Z29" s="41"/>
    </row>
    <row r="30" spans="1:40" ht="12.75" customHeight="1" x14ac:dyDescent="0.25">
      <c r="A30" s="21"/>
      <c r="Z30" s="41"/>
    </row>
    <row r="31" spans="1:40" ht="12.75" customHeight="1" x14ac:dyDescent="0.25">
      <c r="A31" s="21"/>
      <c r="Z31" s="41"/>
    </row>
    <row r="32" spans="1:40" ht="12.75" customHeight="1" x14ac:dyDescent="0.25">
      <c r="A32" s="21"/>
      <c r="Z32" s="41"/>
    </row>
    <row r="33" spans="1:26" ht="12.75" customHeight="1" x14ac:dyDescent="0.25">
      <c r="A33" s="21"/>
      <c r="Z33" s="41"/>
    </row>
    <row r="34" spans="1:26" ht="12.75" customHeight="1" x14ac:dyDescent="0.25">
      <c r="A34" s="21"/>
      <c r="Z34" s="41"/>
    </row>
    <row r="35" spans="1:26" ht="12.75" customHeight="1" x14ac:dyDescent="0.25">
      <c r="A35" s="21"/>
      <c r="Z35" s="41"/>
    </row>
    <row r="36" spans="1:26" ht="12.75" customHeight="1" x14ac:dyDescent="0.25">
      <c r="A36" s="21"/>
      <c r="Z36" s="41"/>
    </row>
    <row r="37" spans="1:26" ht="12.75" customHeight="1" x14ac:dyDescent="0.25">
      <c r="A37" s="21"/>
      <c r="Z37" s="41"/>
    </row>
    <row r="38" spans="1:26" ht="12.75" customHeight="1" x14ac:dyDescent="0.25">
      <c r="A38" s="21"/>
      <c r="Z38" s="41"/>
    </row>
    <row r="39" spans="1:26" ht="12.75" customHeight="1" x14ac:dyDescent="0.25">
      <c r="A39" s="21"/>
      <c r="Z39" s="41"/>
    </row>
    <row r="40" spans="1:26" ht="12.75" customHeight="1" x14ac:dyDescent="0.25">
      <c r="A40" s="21"/>
      <c r="Z40" s="41"/>
    </row>
    <row r="41" spans="1:26" ht="12.75" customHeight="1" x14ac:dyDescent="0.25">
      <c r="A41" s="21"/>
      <c r="Z41" s="41"/>
    </row>
    <row r="42" spans="1:26" ht="12.75" customHeight="1" x14ac:dyDescent="0.25">
      <c r="A42" s="21"/>
      <c r="Z42" s="41"/>
    </row>
    <row r="43" spans="1:26" ht="12.75" customHeight="1" x14ac:dyDescent="0.25">
      <c r="A43" s="21"/>
      <c r="Z43" s="41"/>
    </row>
    <row r="44" spans="1:26" ht="12.75" customHeight="1" x14ac:dyDescent="0.25">
      <c r="A44" s="21"/>
      <c r="Z44" s="41"/>
    </row>
    <row r="45" spans="1:26" ht="12.75" customHeight="1" x14ac:dyDescent="0.25">
      <c r="A45" s="21"/>
      <c r="Z45" s="41"/>
    </row>
    <row r="46" spans="1:26" ht="12.75" customHeight="1" x14ac:dyDescent="0.25">
      <c r="A46" s="21"/>
      <c r="Z46" s="41"/>
    </row>
    <row r="47" spans="1:26" ht="12.75" customHeight="1" x14ac:dyDescent="0.25">
      <c r="A47" s="21"/>
      <c r="Z47" s="41"/>
    </row>
    <row r="48" spans="1:26" ht="12.75" customHeight="1" x14ac:dyDescent="0.25">
      <c r="A48" s="21"/>
      <c r="Z48" s="41"/>
    </row>
    <row r="49" spans="1:34" ht="12.75" customHeight="1" x14ac:dyDescent="0.25">
      <c r="A49" s="21"/>
      <c r="Z49" s="41"/>
    </row>
    <row r="50" spans="1:34" ht="9.75" customHeight="1" thickBot="1" x14ac:dyDescent="0.3">
      <c r="A50" s="21"/>
      <c r="Z50" s="41"/>
    </row>
    <row r="51" spans="1:34" ht="9.75" customHeight="1" x14ac:dyDescent="0.25">
      <c r="A51" s="21"/>
      <c r="Z51" s="41"/>
      <c r="AD51" s="179" t="s">
        <v>28</v>
      </c>
      <c r="AE51" s="181">
        <v>2.694</v>
      </c>
      <c r="AF51" s="183"/>
      <c r="AG51" s="185"/>
      <c r="AH51" s="42"/>
    </row>
    <row r="52" spans="1:34" ht="12.75" customHeight="1" thickBot="1" x14ac:dyDescent="0.3">
      <c r="A52" s="21"/>
      <c r="Z52" s="43"/>
      <c r="AD52" s="180"/>
      <c r="AE52" s="182"/>
      <c r="AF52" s="184"/>
      <c r="AG52" s="185"/>
    </row>
    <row r="53" spans="1:34" ht="18.75" customHeight="1" thickBot="1" x14ac:dyDescent="0.3">
      <c r="A53" s="21"/>
      <c r="E53" s="186" t="s">
        <v>29</v>
      </c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8" t="s">
        <v>30</v>
      </c>
      <c r="V53" s="189"/>
      <c r="W53" s="192" t="s">
        <v>31</v>
      </c>
      <c r="X53" s="189"/>
      <c r="Y53" s="194" t="s">
        <v>32</v>
      </c>
      <c r="Z53" s="195"/>
      <c r="AA53" s="44"/>
      <c r="AB53" s="198" t="s">
        <v>33</v>
      </c>
      <c r="AC53" s="199"/>
      <c r="AD53" s="202" t="s">
        <v>34</v>
      </c>
      <c r="AE53" s="204" t="s">
        <v>35</v>
      </c>
      <c r="AF53" s="183"/>
      <c r="AG53" s="183"/>
      <c r="AH53" s="45"/>
    </row>
    <row r="54" spans="1:34" ht="24.9" customHeight="1" thickBot="1" x14ac:dyDescent="0.3">
      <c r="A54" s="46"/>
      <c r="B54" s="47" t="s">
        <v>36</v>
      </c>
      <c r="C54" s="207" t="s">
        <v>37</v>
      </c>
      <c r="D54" s="208"/>
      <c r="E54" s="48">
        <v>6.3E-2</v>
      </c>
      <c r="F54" s="48">
        <v>0.125</v>
      </c>
      <c r="G54" s="49">
        <v>0.25</v>
      </c>
      <c r="H54" s="49">
        <v>0.5</v>
      </c>
      <c r="I54" s="49">
        <v>1</v>
      </c>
      <c r="J54" s="49">
        <v>2</v>
      </c>
      <c r="K54" s="49">
        <v>4</v>
      </c>
      <c r="L54" s="49">
        <v>6.3</v>
      </c>
      <c r="M54" s="49">
        <v>8</v>
      </c>
      <c r="N54" s="49">
        <v>10</v>
      </c>
      <c r="O54" s="49">
        <v>12.5</v>
      </c>
      <c r="P54" s="49">
        <v>14</v>
      </c>
      <c r="Q54" s="50">
        <v>16</v>
      </c>
      <c r="R54" s="50">
        <v>20</v>
      </c>
      <c r="S54" s="49"/>
      <c r="T54" s="50"/>
      <c r="U54" s="190"/>
      <c r="V54" s="191"/>
      <c r="W54" s="193"/>
      <c r="X54" s="191"/>
      <c r="Y54" s="196"/>
      <c r="Z54" s="197"/>
      <c r="AA54" s="44"/>
      <c r="AB54" s="200"/>
      <c r="AC54" s="201"/>
      <c r="AD54" s="203"/>
      <c r="AE54" s="205"/>
      <c r="AF54" s="206"/>
      <c r="AG54" s="183"/>
    </row>
    <row r="55" spans="1:34" ht="24.9" customHeight="1" x14ac:dyDescent="0.25">
      <c r="A55" s="46"/>
      <c r="B55" s="51">
        <v>1</v>
      </c>
      <c r="C55" s="315" t="s">
        <v>90</v>
      </c>
      <c r="D55" s="313"/>
      <c r="E55" s="316">
        <v>6.8</v>
      </c>
      <c r="F55" s="317">
        <v>8.6999999999999993</v>
      </c>
      <c r="G55" s="318">
        <v>11.4</v>
      </c>
      <c r="H55" s="318">
        <v>14.8</v>
      </c>
      <c r="I55" s="318">
        <v>19.5</v>
      </c>
      <c r="J55" s="318">
        <v>27.7</v>
      </c>
      <c r="K55" s="318">
        <v>40.5</v>
      </c>
      <c r="L55" s="318">
        <v>56.2</v>
      </c>
      <c r="M55" s="318">
        <v>68.5</v>
      </c>
      <c r="N55" s="318">
        <v>85.3</v>
      </c>
      <c r="O55" s="318">
        <v>92.7</v>
      </c>
      <c r="P55" s="318">
        <v>96.5</v>
      </c>
      <c r="Q55" s="318">
        <v>100</v>
      </c>
      <c r="R55" s="318"/>
      <c r="S55" s="319"/>
      <c r="T55" s="319"/>
      <c r="U55" s="302">
        <v>168</v>
      </c>
      <c r="V55" s="303"/>
      <c r="W55" s="304">
        <v>4.4800000000000004</v>
      </c>
      <c r="X55" s="305"/>
      <c r="Y55" s="215">
        <f>IF(W55&lt;&gt;0,AE55,"")</f>
        <v>2.8559313072552119</v>
      </c>
      <c r="Z55" s="216"/>
      <c r="AA55" s="52"/>
      <c r="AB55" s="217">
        <f>(100*W55)/(100-W55)</f>
        <v>4.6901172529313238</v>
      </c>
      <c r="AC55" s="218"/>
      <c r="AD55" s="53">
        <f>(0.25*(100-O55)+2.3*(O55-H55)+12*(H55-E55)+150*(E55))/100</f>
        <v>12.969949999999999</v>
      </c>
      <c r="AE55" s="54">
        <f>(AB55*$AE$51)/(2.65*(AD55)^(1/5))</f>
        <v>2.8559313072552119</v>
      </c>
      <c r="AF55" s="28"/>
      <c r="AG55" s="55"/>
    </row>
    <row r="56" spans="1:34" ht="24.9" customHeight="1" x14ac:dyDescent="0.25">
      <c r="A56" s="46"/>
      <c r="B56" s="56">
        <v>2</v>
      </c>
      <c r="C56" s="315" t="s">
        <v>91</v>
      </c>
      <c r="D56" s="313"/>
      <c r="E56" s="316">
        <v>7.1</v>
      </c>
      <c r="F56" s="317">
        <v>9.1</v>
      </c>
      <c r="G56" s="318">
        <v>11.9</v>
      </c>
      <c r="H56" s="318">
        <v>15.6</v>
      </c>
      <c r="I56" s="318">
        <v>20.6</v>
      </c>
      <c r="J56" s="318">
        <v>29.9</v>
      </c>
      <c r="K56" s="318">
        <v>44.5</v>
      </c>
      <c r="L56" s="318">
        <v>59.7</v>
      </c>
      <c r="M56" s="318">
        <v>71.900000000000006</v>
      </c>
      <c r="N56" s="318">
        <v>83.2</v>
      </c>
      <c r="O56" s="318">
        <v>92.4</v>
      </c>
      <c r="P56" s="318">
        <v>97.8</v>
      </c>
      <c r="Q56" s="318">
        <v>100</v>
      </c>
      <c r="R56" s="318"/>
      <c r="S56" s="319"/>
      <c r="T56" s="319"/>
      <c r="U56" s="302">
        <v>170</v>
      </c>
      <c r="V56" s="303"/>
      <c r="W56" s="304">
        <v>4.58</v>
      </c>
      <c r="X56" s="305"/>
      <c r="Y56" s="230">
        <f>IF(W56&lt;&gt;0,AE56,"")</f>
        <v>2.9013388983232251</v>
      </c>
      <c r="Z56" s="231"/>
      <c r="AA56" s="52"/>
      <c r="AB56" s="217">
        <f>(100*W56)/(100-W56)</f>
        <v>4.7998323202682878</v>
      </c>
      <c r="AC56" s="218"/>
      <c r="AD56" s="53">
        <f t="shared" ref="AD56:AD62" si="0">(0.25*(100-O56)+2.3*(O56-H56)+12*(H56-E56)+150*(E56))/100</f>
        <v>13.455399999999999</v>
      </c>
      <c r="AE56" s="54">
        <f t="shared" ref="AE56:AE62" si="1">(AB56*$AE$51)/(2.65*(AD56)^(1/5))</f>
        <v>2.9013388983232251</v>
      </c>
      <c r="AF56" s="28"/>
      <c r="AG56" s="55"/>
    </row>
    <row r="57" spans="1:34" ht="24.9" customHeight="1" x14ac:dyDescent="0.25">
      <c r="A57" s="46"/>
      <c r="B57" s="56">
        <v>3</v>
      </c>
      <c r="C57" s="232"/>
      <c r="D57" s="233"/>
      <c r="E57" s="57"/>
      <c r="F57" s="58"/>
      <c r="G57" s="58"/>
      <c r="H57" s="59"/>
      <c r="I57" s="59"/>
      <c r="J57" s="59"/>
      <c r="K57" s="59"/>
      <c r="L57" s="59"/>
      <c r="M57" s="59"/>
      <c r="N57" s="59"/>
      <c r="O57" s="60"/>
      <c r="P57" s="59"/>
      <c r="Q57" s="60"/>
      <c r="R57" s="59"/>
      <c r="S57" s="59"/>
      <c r="T57" s="61"/>
      <c r="U57" s="234"/>
      <c r="V57" s="235"/>
      <c r="W57" s="236"/>
      <c r="X57" s="237"/>
      <c r="Y57" s="230" t="str">
        <f t="shared" ref="Y57:Y58" si="2">IF(W57&lt;&gt;0,AE57,"")</f>
        <v/>
      </c>
      <c r="Z57" s="231"/>
      <c r="AA57" s="52"/>
      <c r="AB57" s="217">
        <f>(100*W57)/(100-W57)</f>
        <v>0</v>
      </c>
      <c r="AC57" s="218"/>
      <c r="AD57" s="53">
        <f t="shared" si="0"/>
        <v>0.25</v>
      </c>
      <c r="AE57" s="54">
        <f t="shared" si="1"/>
        <v>0</v>
      </c>
      <c r="AF57" s="28"/>
      <c r="AG57" s="55"/>
    </row>
    <row r="58" spans="1:34" ht="24.9" customHeight="1" thickBot="1" x14ac:dyDescent="0.3">
      <c r="A58" s="46"/>
      <c r="B58" s="62">
        <v>4</v>
      </c>
      <c r="C58" s="219"/>
      <c r="D58" s="220"/>
      <c r="E58" s="63"/>
      <c r="F58" s="64"/>
      <c r="G58" s="64"/>
      <c r="H58" s="65"/>
      <c r="I58" s="65"/>
      <c r="J58" s="65"/>
      <c r="K58" s="65"/>
      <c r="L58" s="65"/>
      <c r="M58" s="65"/>
      <c r="N58" s="65"/>
      <c r="O58" s="66"/>
      <c r="P58" s="65"/>
      <c r="Q58" s="66"/>
      <c r="R58" s="65"/>
      <c r="S58" s="65"/>
      <c r="T58" s="67"/>
      <c r="U58" s="221"/>
      <c r="V58" s="222"/>
      <c r="W58" s="223"/>
      <c r="X58" s="224"/>
      <c r="Y58" s="225" t="str">
        <f t="shared" si="2"/>
        <v/>
      </c>
      <c r="Z58" s="226"/>
      <c r="AA58" s="52"/>
      <c r="AB58" s="217">
        <f>(100*W58)/(100-W58)</f>
        <v>0</v>
      </c>
      <c r="AC58" s="218"/>
      <c r="AD58" s="53">
        <f t="shared" si="0"/>
        <v>0.25</v>
      </c>
      <c r="AE58" s="54">
        <f t="shared" si="1"/>
        <v>0</v>
      </c>
      <c r="AF58" s="28"/>
      <c r="AG58" s="55"/>
    </row>
    <row r="59" spans="1:34" ht="10.5" customHeight="1" thickBot="1" x14ac:dyDescent="0.3">
      <c r="A59" s="46"/>
      <c r="B59" s="2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9"/>
      <c r="P59" s="68"/>
      <c r="Q59" s="69"/>
      <c r="R59" s="68"/>
      <c r="S59" s="68"/>
      <c r="T59" s="68"/>
      <c r="U59" s="68"/>
      <c r="V59" s="68"/>
      <c r="W59" s="70"/>
      <c r="Z59" s="71"/>
      <c r="AB59" s="72"/>
      <c r="AC59" s="73"/>
      <c r="AD59" s="53"/>
      <c r="AE59" s="54"/>
      <c r="AF59" s="28"/>
      <c r="AG59" s="55"/>
    </row>
    <row r="60" spans="1:34" ht="24.75" hidden="1" customHeight="1" x14ac:dyDescent="0.25">
      <c r="A60" s="46"/>
      <c r="B60" s="227" t="s">
        <v>38</v>
      </c>
      <c r="C60" s="228"/>
      <c r="D60" s="229"/>
      <c r="E60" s="74"/>
      <c r="F60" s="74"/>
      <c r="G60" s="74"/>
      <c r="H60" s="74"/>
      <c r="I60" s="74"/>
      <c r="J60" s="74"/>
      <c r="K60" s="74"/>
      <c r="L60" s="74"/>
      <c r="M60" s="74">
        <v>10</v>
      </c>
      <c r="N60" s="74">
        <v>10</v>
      </c>
      <c r="O60" s="75"/>
      <c r="P60" s="74"/>
      <c r="Q60" s="75">
        <v>50</v>
      </c>
      <c r="R60" s="74"/>
      <c r="S60" s="74">
        <v>70</v>
      </c>
      <c r="T60" s="74"/>
      <c r="U60" s="74"/>
      <c r="V60" s="74"/>
      <c r="W60" s="74"/>
      <c r="X60" s="76"/>
      <c r="Y60" s="77">
        <v>4.5</v>
      </c>
      <c r="Z60" s="77"/>
      <c r="AA60" s="28"/>
      <c r="AB60" s="72"/>
      <c r="AC60" s="73"/>
      <c r="AD60" s="53">
        <f t="shared" si="0"/>
        <v>0.25</v>
      </c>
      <c r="AE60" s="54">
        <f t="shared" si="1"/>
        <v>0</v>
      </c>
      <c r="AF60" s="28"/>
      <c r="AG60" s="55"/>
    </row>
    <row r="61" spans="1:34" ht="18.75" customHeight="1" x14ac:dyDescent="0.25">
      <c r="A61" s="46"/>
      <c r="B61" s="238" t="s">
        <v>39</v>
      </c>
      <c r="C61" s="239"/>
      <c r="D61" s="240"/>
      <c r="E61" s="78">
        <f>IF(E55&lt;&gt;0,AVERAGE(E55:E58),"")</f>
        <v>6.9499999999999993</v>
      </c>
      <c r="F61" s="78">
        <f t="shared" ref="F61:L61" si="3">IF(F55&lt;&gt;0,AVERAGE(F55:F58),"")</f>
        <v>8.8999999999999986</v>
      </c>
      <c r="G61" s="78">
        <f t="shared" si="3"/>
        <v>11.65</v>
      </c>
      <c r="H61" s="78">
        <f t="shared" si="3"/>
        <v>15.2</v>
      </c>
      <c r="I61" s="78">
        <f t="shared" si="3"/>
        <v>20.05</v>
      </c>
      <c r="J61" s="78">
        <f t="shared" si="3"/>
        <v>28.799999999999997</v>
      </c>
      <c r="K61" s="78">
        <f t="shared" si="3"/>
        <v>42.5</v>
      </c>
      <c r="L61" s="78">
        <f t="shared" si="3"/>
        <v>57.95</v>
      </c>
      <c r="M61" s="78">
        <f>IF(M55&lt;&gt;0,AVERAGE(M55:M58),"")</f>
        <v>70.2</v>
      </c>
      <c r="N61" s="78">
        <f>IF(N55&lt;&gt;0,AVERAGE(N55:N58),"")</f>
        <v>84.25</v>
      </c>
      <c r="O61" s="79">
        <f>IF(O55&lt;&gt;0,AVERAGE(O55:O58),"")</f>
        <v>92.550000000000011</v>
      </c>
      <c r="P61" s="79">
        <f t="shared" ref="P61:Q61" si="4">IF(P55&lt;&gt;0,AVERAGE(P55:P58),"")</f>
        <v>97.15</v>
      </c>
      <c r="Q61" s="79">
        <f t="shared" si="4"/>
        <v>100</v>
      </c>
      <c r="R61" s="78"/>
      <c r="S61" s="78" t="str">
        <f t="shared" ref="S61:T61" si="5">IF(S55&lt;&gt;0,AVERAGE(S55:S58),"")</f>
        <v/>
      </c>
      <c r="T61" s="80" t="str">
        <f t="shared" si="5"/>
        <v/>
      </c>
      <c r="U61" s="241">
        <f>IF(U55&lt;&gt;0,AVERAGE(U55:V58),"")</f>
        <v>169</v>
      </c>
      <c r="V61" s="242"/>
      <c r="W61" s="243">
        <f>IF(W55&lt;&gt;0,AVERAGE(W55:X58),"")</f>
        <v>4.53</v>
      </c>
      <c r="X61" s="244"/>
      <c r="Y61" s="245">
        <f>IF(W55&lt;&gt;0,AVERAGE(Y55:Z58),"")</f>
        <v>2.8786351027892185</v>
      </c>
      <c r="Z61" s="246"/>
      <c r="AA61" s="55"/>
      <c r="AB61" s="217">
        <f>(100*W61)/(100-W61)</f>
        <v>4.7449460563527808</v>
      </c>
      <c r="AC61" s="218"/>
      <c r="AD61" s="53">
        <f t="shared" si="0"/>
        <v>13.212674999999999</v>
      </c>
      <c r="AE61" s="54">
        <f t="shared" si="1"/>
        <v>2.8786233668089412</v>
      </c>
      <c r="AF61" s="28"/>
      <c r="AG61" s="55"/>
    </row>
    <row r="62" spans="1:34" ht="21" customHeight="1" x14ac:dyDescent="0.25">
      <c r="A62" s="46"/>
      <c r="B62" s="247" t="s">
        <v>40</v>
      </c>
      <c r="C62" s="248"/>
      <c r="D62" s="249"/>
      <c r="E62" s="81">
        <v>7.5</v>
      </c>
      <c r="F62" s="81">
        <v>10</v>
      </c>
      <c r="G62" s="81">
        <v>13</v>
      </c>
      <c r="H62" s="81">
        <v>18</v>
      </c>
      <c r="I62" s="81">
        <v>23</v>
      </c>
      <c r="J62" s="81">
        <v>31</v>
      </c>
      <c r="K62" s="81">
        <v>43</v>
      </c>
      <c r="L62" s="81">
        <v>53</v>
      </c>
      <c r="M62" s="81">
        <v>65</v>
      </c>
      <c r="N62" s="81">
        <v>80</v>
      </c>
      <c r="O62" s="82">
        <v>93</v>
      </c>
      <c r="P62" s="81">
        <v>97</v>
      </c>
      <c r="Q62" s="82">
        <v>100</v>
      </c>
      <c r="R62" s="81"/>
      <c r="S62" s="81"/>
      <c r="T62" s="83"/>
      <c r="U62" s="250"/>
      <c r="V62" s="251"/>
      <c r="W62" s="252">
        <v>4.4000000000000004</v>
      </c>
      <c r="X62" s="253"/>
      <c r="Y62" s="254">
        <f>AE62</f>
        <v>2.750225418988284</v>
      </c>
      <c r="Z62" s="255"/>
      <c r="AA62" s="55"/>
      <c r="AB62" s="217">
        <f>(100*W62)/(100-W62)</f>
        <v>4.6025104602510467</v>
      </c>
      <c r="AC62" s="218"/>
      <c r="AD62" s="53">
        <f t="shared" si="0"/>
        <v>14.2525</v>
      </c>
      <c r="AE62" s="54">
        <f t="shared" si="1"/>
        <v>2.750225418988284</v>
      </c>
      <c r="AF62" s="28"/>
      <c r="AG62" s="55"/>
    </row>
    <row r="63" spans="1:34" ht="13.5" customHeight="1" x14ac:dyDescent="0.25">
      <c r="A63" s="46"/>
      <c r="B63" s="84"/>
      <c r="C63" s="85" t="s">
        <v>41</v>
      </c>
      <c r="D63" s="86"/>
      <c r="E63" s="59">
        <f>E62+2</f>
        <v>9.5</v>
      </c>
      <c r="F63" s="59"/>
      <c r="G63" s="59"/>
      <c r="H63" s="59"/>
      <c r="I63" s="59"/>
      <c r="J63" s="59">
        <f>J62+6</f>
        <v>37</v>
      </c>
      <c r="K63" s="59"/>
      <c r="L63" s="59">
        <f>L62+7</f>
        <v>60</v>
      </c>
      <c r="M63" s="59"/>
      <c r="N63" s="59"/>
      <c r="O63" s="59"/>
      <c r="P63" s="59"/>
      <c r="Q63" s="60"/>
      <c r="R63" s="59"/>
      <c r="S63" s="59"/>
      <c r="T63" s="61"/>
      <c r="U63" s="234"/>
      <c r="V63" s="235"/>
      <c r="W63" s="256">
        <f>W62+0.5</f>
        <v>4.9000000000000004</v>
      </c>
      <c r="X63" s="235"/>
      <c r="Y63" s="232"/>
      <c r="Z63" s="257"/>
      <c r="AA63" s="87"/>
      <c r="AB63" s="88"/>
      <c r="AC63" s="89"/>
      <c r="AD63" s="258"/>
      <c r="AE63" s="260" t="s">
        <v>42</v>
      </c>
      <c r="AF63" s="28"/>
      <c r="AG63" s="55"/>
    </row>
    <row r="64" spans="1:34" ht="13.5" customHeight="1" thickBot="1" x14ac:dyDescent="0.3">
      <c r="A64" s="46"/>
      <c r="B64" s="190" t="s">
        <v>43</v>
      </c>
      <c r="C64" s="193"/>
      <c r="D64" s="191"/>
      <c r="E64" s="90">
        <f>E62-2</f>
        <v>5.5</v>
      </c>
      <c r="F64" s="90"/>
      <c r="G64" s="91"/>
      <c r="H64" s="91"/>
      <c r="I64" s="91"/>
      <c r="J64" s="90">
        <f>J62-6</f>
        <v>25</v>
      </c>
      <c r="K64" s="91"/>
      <c r="L64" s="90">
        <f>L62-7</f>
        <v>46</v>
      </c>
      <c r="M64" s="90"/>
      <c r="N64" s="91"/>
      <c r="O64" s="91"/>
      <c r="P64" s="91"/>
      <c r="Q64" s="90"/>
      <c r="R64" s="91"/>
      <c r="S64" s="91"/>
      <c r="T64" s="92"/>
      <c r="U64" s="262"/>
      <c r="V64" s="263"/>
      <c r="W64" s="264">
        <f>W62-0.5</f>
        <v>3.9000000000000004</v>
      </c>
      <c r="X64" s="263"/>
      <c r="Y64" s="219"/>
      <c r="Z64" s="265"/>
      <c r="AA64" s="93"/>
      <c r="AB64" s="94"/>
      <c r="AC64" s="95"/>
      <c r="AD64" s="259"/>
      <c r="AE64" s="261"/>
      <c r="AF64" s="28"/>
      <c r="AG64" s="55"/>
    </row>
    <row r="65" spans="1:30" ht="6.75" customHeigh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96"/>
    </row>
    <row r="66" spans="1:30" ht="8.25" customHeight="1" x14ac:dyDescent="0.25"/>
    <row r="67" spans="1:30" ht="34.5" customHeight="1" x14ac:dyDescent="0.25">
      <c r="A67" s="97" t="s">
        <v>44</v>
      </c>
      <c r="B67" s="98" t="s">
        <v>45</v>
      </c>
      <c r="C67" s="99"/>
      <c r="D67" s="99"/>
      <c r="E67" s="99"/>
      <c r="F67" s="100"/>
      <c r="G67" s="100"/>
      <c r="H67" s="100"/>
      <c r="I67" s="10"/>
      <c r="J67" s="10"/>
      <c r="K67" s="10"/>
      <c r="L67" s="10"/>
      <c r="M67" s="10"/>
      <c r="N67" s="10"/>
      <c r="O67" s="10"/>
      <c r="P67" s="10"/>
      <c r="Q67" s="100"/>
      <c r="R67" s="10"/>
      <c r="S67" s="10"/>
      <c r="T67" s="10"/>
      <c r="U67" s="279"/>
      <c r="V67" s="279"/>
      <c r="W67" s="279"/>
      <c r="X67" s="279"/>
      <c r="Y67" s="279"/>
      <c r="Z67" s="280"/>
      <c r="AA67" s="101"/>
      <c r="AB67" s="102"/>
      <c r="AC67" s="102"/>
      <c r="AD67" s="103"/>
    </row>
    <row r="68" spans="1:30" ht="27" customHeight="1" x14ac:dyDescent="0.25">
      <c r="A68" s="281" t="s">
        <v>46</v>
      </c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3"/>
      <c r="R68" s="272" t="s">
        <v>47</v>
      </c>
      <c r="S68" s="273"/>
      <c r="T68" s="274"/>
      <c r="U68" s="284" t="s">
        <v>78</v>
      </c>
      <c r="V68" s="285"/>
      <c r="W68" s="285"/>
      <c r="X68" s="286"/>
      <c r="Y68" s="286"/>
      <c r="Z68" s="287"/>
      <c r="AA68" s="104"/>
      <c r="AB68" s="105"/>
      <c r="AC68" s="105"/>
      <c r="AD68" s="103"/>
    </row>
    <row r="69" spans="1:30" ht="15.75" customHeight="1" x14ac:dyDescent="0.25">
      <c r="A69" s="288" t="s">
        <v>48</v>
      </c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90"/>
      <c r="R69" s="272" t="s">
        <v>49</v>
      </c>
      <c r="S69" s="273"/>
      <c r="T69" s="274"/>
      <c r="U69" s="294" t="s">
        <v>79</v>
      </c>
      <c r="V69" s="295"/>
      <c r="W69" s="295"/>
      <c r="X69" s="295"/>
      <c r="Y69" s="295"/>
      <c r="Z69" s="296"/>
      <c r="AA69" s="104"/>
      <c r="AB69" s="105"/>
      <c r="AC69" s="105"/>
      <c r="AD69" s="103"/>
    </row>
    <row r="70" spans="1:30" ht="9" customHeight="1" x14ac:dyDescent="0.25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90"/>
      <c r="R70" s="272"/>
      <c r="S70" s="273"/>
      <c r="T70" s="274"/>
      <c r="U70" s="297"/>
      <c r="V70" s="178"/>
      <c r="W70" s="178"/>
      <c r="X70" s="178"/>
      <c r="Y70" s="178"/>
      <c r="Z70" s="298"/>
      <c r="AA70" s="104"/>
      <c r="AB70" s="105"/>
      <c r="AC70" s="105"/>
      <c r="AD70" s="103"/>
    </row>
    <row r="71" spans="1:30" ht="15.9" customHeight="1" x14ac:dyDescent="0.25">
      <c r="A71" s="291"/>
      <c r="B71" s="292"/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93"/>
      <c r="R71" s="272"/>
      <c r="S71" s="273"/>
      <c r="T71" s="274"/>
      <c r="U71" s="297"/>
      <c r="V71" s="178"/>
      <c r="W71" s="178"/>
      <c r="X71" s="178"/>
      <c r="Y71" s="178"/>
      <c r="Z71" s="298"/>
      <c r="AA71" s="104"/>
      <c r="AB71" s="105"/>
      <c r="AC71" s="105"/>
      <c r="AD71" s="103"/>
    </row>
    <row r="72" spans="1:30" ht="15.9" customHeight="1" x14ac:dyDescent="0.25">
      <c r="A72" s="106" t="s">
        <v>50</v>
      </c>
      <c r="B72" s="107" t="s">
        <v>51</v>
      </c>
      <c r="C72" s="13"/>
      <c r="D72" s="13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9"/>
      <c r="R72" s="272"/>
      <c r="S72" s="273"/>
      <c r="T72" s="274"/>
      <c r="U72" s="299"/>
      <c r="V72" s="300"/>
      <c r="W72" s="300"/>
      <c r="X72" s="300"/>
      <c r="Y72" s="300"/>
      <c r="Z72" s="301"/>
      <c r="AA72" s="104"/>
      <c r="AB72" s="105"/>
      <c r="AC72" s="105"/>
      <c r="AD72" s="103"/>
    </row>
    <row r="73" spans="1:30" ht="15.75" customHeight="1" x14ac:dyDescent="0.25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7"/>
      <c r="Q73" s="268"/>
      <c r="R73" s="272" t="s">
        <v>52</v>
      </c>
      <c r="S73" s="273"/>
      <c r="T73" s="274"/>
      <c r="U73" s="110"/>
      <c r="V73" s="111"/>
      <c r="W73" s="111"/>
      <c r="X73" s="111"/>
      <c r="Y73" s="111"/>
      <c r="Z73" s="112"/>
      <c r="AA73" s="113"/>
      <c r="AB73" s="114"/>
      <c r="AC73" s="114"/>
      <c r="AD73" s="103"/>
    </row>
    <row r="74" spans="1:30" ht="15.9" customHeight="1" x14ac:dyDescent="0.25">
      <c r="A74" s="266"/>
      <c r="B74" s="267"/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8"/>
      <c r="R74" s="272"/>
      <c r="S74" s="273"/>
      <c r="T74" s="274"/>
      <c r="U74" s="115"/>
      <c r="V74" s="278"/>
      <c r="W74" s="278"/>
      <c r="X74" s="278"/>
      <c r="Y74" s="278"/>
      <c r="Z74" s="116"/>
      <c r="AA74" s="113"/>
      <c r="AB74" s="114"/>
      <c r="AC74" s="114"/>
      <c r="AD74" s="103"/>
    </row>
    <row r="75" spans="1:30" ht="15.9" customHeight="1" x14ac:dyDescent="0.25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7"/>
      <c r="Q75" s="268"/>
      <c r="R75" s="272"/>
      <c r="S75" s="273"/>
      <c r="T75" s="274"/>
      <c r="U75" s="115"/>
      <c r="V75" s="278"/>
      <c r="W75" s="278"/>
      <c r="X75" s="278"/>
      <c r="Y75" s="278"/>
      <c r="Z75" s="116"/>
      <c r="AA75" s="113"/>
      <c r="AB75" s="114"/>
      <c r="AC75" s="114"/>
      <c r="AD75" s="103"/>
    </row>
    <row r="76" spans="1:30" ht="15.75" customHeight="1" x14ac:dyDescent="0.25">
      <c r="A76" s="269"/>
      <c r="B76" s="270"/>
      <c r="C76" s="270"/>
      <c r="D76" s="270"/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O76" s="270"/>
      <c r="P76" s="270"/>
      <c r="Q76" s="271"/>
      <c r="R76" s="275"/>
      <c r="S76" s="276"/>
      <c r="T76" s="277"/>
      <c r="U76" s="117"/>
      <c r="V76" s="118"/>
      <c r="W76" s="118"/>
      <c r="X76" s="118"/>
      <c r="Y76" s="118"/>
      <c r="Z76" s="119"/>
      <c r="AA76" s="113"/>
      <c r="AB76" s="114"/>
      <c r="AC76" s="114"/>
      <c r="AD76" s="103"/>
    </row>
  </sheetData>
  <mergeCells count="106">
    <mergeCell ref="A73:Q76"/>
    <mergeCell ref="R73:T76"/>
    <mergeCell ref="V74:Y75"/>
    <mergeCell ref="U55:V55"/>
    <mergeCell ref="W55:X55"/>
    <mergeCell ref="C56:D56"/>
    <mergeCell ref="U56:V56"/>
    <mergeCell ref="W56:X56"/>
    <mergeCell ref="C55:D55"/>
    <mergeCell ref="U67:Z67"/>
    <mergeCell ref="A68:Q68"/>
    <mergeCell ref="R68:T68"/>
    <mergeCell ref="U68:Z68"/>
    <mergeCell ref="A69:Q71"/>
    <mergeCell ref="R69:T72"/>
    <mergeCell ref="U69:Z72"/>
    <mergeCell ref="U63:V63"/>
    <mergeCell ref="W63:X63"/>
    <mergeCell ref="Y63:Z63"/>
    <mergeCell ref="AD63:AD64"/>
    <mergeCell ref="AE63:AE64"/>
    <mergeCell ref="B64:D64"/>
    <mergeCell ref="U64:V64"/>
    <mergeCell ref="W64:X64"/>
    <mergeCell ref="Y64:Z64"/>
    <mergeCell ref="B61:D61"/>
    <mergeCell ref="U61:V61"/>
    <mergeCell ref="W61:X61"/>
    <mergeCell ref="Y61:Z61"/>
    <mergeCell ref="AB61:AC61"/>
    <mergeCell ref="B62:D62"/>
    <mergeCell ref="U62:V62"/>
    <mergeCell ref="W62:X62"/>
    <mergeCell ref="Y62:Z62"/>
    <mergeCell ref="AB62:AC62"/>
    <mergeCell ref="C58:D58"/>
    <mergeCell ref="U58:V58"/>
    <mergeCell ref="W58:X58"/>
    <mergeCell ref="Y58:Z58"/>
    <mergeCell ref="AB58:AC58"/>
    <mergeCell ref="B60:D60"/>
    <mergeCell ref="Y56:Z56"/>
    <mergeCell ref="AB56:AC56"/>
    <mergeCell ref="C57:D57"/>
    <mergeCell ref="U57:V57"/>
    <mergeCell ref="W57:X57"/>
    <mergeCell ref="Y57:Z57"/>
    <mergeCell ref="AB57:AC57"/>
    <mergeCell ref="AE53:AE54"/>
    <mergeCell ref="AF53:AF54"/>
    <mergeCell ref="AG53:AG54"/>
    <mergeCell ref="C54:D54"/>
    <mergeCell ref="Y55:Z55"/>
    <mergeCell ref="AB55:AC55"/>
    <mergeCell ref="AD51:AD52"/>
    <mergeCell ref="AE51:AE52"/>
    <mergeCell ref="AF51:AF52"/>
    <mergeCell ref="AG51:AG52"/>
    <mergeCell ref="E53:T53"/>
    <mergeCell ref="U53:V54"/>
    <mergeCell ref="W53:X54"/>
    <mergeCell ref="Y53:Z54"/>
    <mergeCell ref="AB53:AC54"/>
    <mergeCell ref="AD53:AD54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1125-1DA9-401C-8AD6-F18FFFB376A7}">
  <sheetPr>
    <pageSetUpPr fitToPage="1"/>
  </sheetPr>
  <dimension ref="A1:AN76"/>
  <sheetViews>
    <sheetView zoomScaleNormal="100" workbookViewId="0">
      <selection activeCell="G13" sqref="G13:L14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75" customHeight="1" x14ac:dyDescent="0.25">
      <c r="A1" s="144"/>
      <c r="B1" s="145"/>
      <c r="C1" s="145"/>
      <c r="D1" s="145"/>
      <c r="E1" s="145"/>
      <c r="F1" s="146"/>
      <c r="G1" s="153" t="s">
        <v>0</v>
      </c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5"/>
      <c r="U1" s="156" t="s">
        <v>59</v>
      </c>
      <c r="V1" s="157"/>
      <c r="W1" s="157"/>
      <c r="X1" s="157"/>
      <c r="Y1" s="157"/>
      <c r="Z1" s="158"/>
      <c r="AA1" s="1"/>
    </row>
    <row r="2" spans="1:36" ht="12.75" customHeight="1" x14ac:dyDescent="0.25">
      <c r="A2" s="147"/>
      <c r="B2" s="148"/>
      <c r="C2" s="148"/>
      <c r="D2" s="148"/>
      <c r="E2" s="148"/>
      <c r="F2" s="149"/>
      <c r="G2" s="165" t="s">
        <v>1</v>
      </c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7"/>
      <c r="U2" s="159"/>
      <c r="V2" s="160"/>
      <c r="W2" s="160"/>
      <c r="X2" s="160"/>
      <c r="Y2" s="160"/>
      <c r="Z2" s="161"/>
      <c r="AA2" s="1"/>
    </row>
    <row r="3" spans="1:36" ht="12.75" customHeight="1" x14ac:dyDescent="0.25">
      <c r="A3" s="147"/>
      <c r="B3" s="148"/>
      <c r="C3" s="148"/>
      <c r="D3" s="148"/>
      <c r="E3" s="148"/>
      <c r="F3" s="149"/>
      <c r="G3" s="168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159"/>
      <c r="V3" s="160"/>
      <c r="W3" s="160"/>
      <c r="X3" s="160"/>
      <c r="Y3" s="160"/>
      <c r="Z3" s="161"/>
      <c r="AA3" s="1"/>
    </row>
    <row r="4" spans="1:36" ht="12.75" customHeight="1" x14ac:dyDescent="0.25">
      <c r="A4" s="147"/>
      <c r="B4" s="148"/>
      <c r="C4" s="148"/>
      <c r="D4" s="148"/>
      <c r="E4" s="148"/>
      <c r="F4" s="149"/>
      <c r="G4" s="168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59"/>
      <c r="V4" s="160"/>
      <c r="W4" s="160"/>
      <c r="X4" s="160"/>
      <c r="Y4" s="160"/>
      <c r="Z4" s="161"/>
      <c r="AA4" s="1"/>
    </row>
    <row r="5" spans="1:36" ht="12.75" customHeight="1" x14ac:dyDescent="0.25">
      <c r="A5" s="147"/>
      <c r="B5" s="148"/>
      <c r="C5" s="148"/>
      <c r="D5" s="148"/>
      <c r="E5" s="148"/>
      <c r="F5" s="149"/>
      <c r="G5" s="168" t="s">
        <v>2</v>
      </c>
      <c r="H5" s="166"/>
      <c r="I5" s="3" t="s">
        <v>3</v>
      </c>
      <c r="J5" s="169">
        <v>9</v>
      </c>
      <c r="K5" s="170"/>
      <c r="L5" s="171" t="s">
        <v>53</v>
      </c>
      <c r="M5" s="169"/>
      <c r="N5" s="169"/>
      <c r="O5" s="170"/>
      <c r="P5" s="172">
        <v>45471</v>
      </c>
      <c r="Q5" s="173"/>
      <c r="R5" s="173"/>
      <c r="S5" s="173"/>
      <c r="T5" s="174"/>
      <c r="U5" s="159"/>
      <c r="V5" s="160"/>
      <c r="W5" s="160"/>
      <c r="X5" s="160"/>
      <c r="Y5" s="160"/>
      <c r="Z5" s="161"/>
      <c r="AA5" s="1"/>
    </row>
    <row r="6" spans="1:36" ht="12.75" customHeight="1" x14ac:dyDescent="0.25">
      <c r="A6" s="150"/>
      <c r="B6" s="151"/>
      <c r="C6" s="151"/>
      <c r="D6" s="151"/>
      <c r="E6" s="151"/>
      <c r="F6" s="152"/>
      <c r="G6" s="4"/>
      <c r="H6" s="5"/>
      <c r="I6" s="5"/>
      <c r="J6" s="137" t="s">
        <v>4</v>
      </c>
      <c r="K6" s="137"/>
      <c r="L6" s="137" t="s">
        <v>5</v>
      </c>
      <c r="M6" s="137"/>
      <c r="N6" s="137"/>
      <c r="O6" s="137"/>
      <c r="P6" s="137" t="s">
        <v>6</v>
      </c>
      <c r="Q6" s="137"/>
      <c r="R6" s="137"/>
      <c r="S6" s="137"/>
      <c r="T6" s="138"/>
      <c r="U6" s="162"/>
      <c r="V6" s="163"/>
      <c r="W6" s="163"/>
      <c r="X6" s="163"/>
      <c r="Y6" s="163"/>
      <c r="Z6" s="164"/>
      <c r="AA6" s="1"/>
    </row>
    <row r="7" spans="1:36" ht="37.5" customHeight="1" x14ac:dyDescent="0.25">
      <c r="A7" s="139" t="s">
        <v>7</v>
      </c>
      <c r="B7" s="139"/>
      <c r="C7" s="139"/>
      <c r="D7" s="139"/>
      <c r="E7" s="139"/>
      <c r="F7" s="139"/>
      <c r="G7" s="140" t="s">
        <v>8</v>
      </c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15.9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141" t="s">
        <v>11</v>
      </c>
      <c r="C10" s="141"/>
      <c r="D10" s="141"/>
      <c r="E10" s="141"/>
      <c r="F10" s="141"/>
      <c r="G10" s="142" t="s">
        <v>82</v>
      </c>
      <c r="H10" s="142"/>
      <c r="I10" s="142"/>
      <c r="J10" s="142"/>
      <c r="K10" s="142"/>
      <c r="L10" s="142"/>
      <c r="M10" s="141" t="s">
        <v>12</v>
      </c>
      <c r="N10" s="141"/>
      <c r="O10" s="141"/>
      <c r="P10" s="141"/>
      <c r="Q10" s="141"/>
      <c r="R10" s="141"/>
      <c r="S10" s="143" t="s">
        <v>13</v>
      </c>
      <c r="T10" s="143"/>
      <c r="U10" s="143"/>
      <c r="V10" s="143"/>
      <c r="W10" s="143"/>
      <c r="X10" s="143"/>
      <c r="Y10" s="143"/>
      <c r="Z10" s="18"/>
      <c r="AA10" s="19"/>
      <c r="AB10" s="14"/>
      <c r="AC10" s="14"/>
      <c r="AD10" s="14"/>
      <c r="AE10" s="141"/>
      <c r="AF10" s="141"/>
      <c r="AG10" s="141"/>
      <c r="AH10" s="141"/>
      <c r="AI10" s="141"/>
    </row>
    <row r="11" spans="1:36" ht="15.9" customHeight="1" x14ac:dyDescent="0.25">
      <c r="A11" s="15"/>
      <c r="B11" s="141" t="s">
        <v>14</v>
      </c>
      <c r="C11" s="141"/>
      <c r="D11" s="141"/>
      <c r="E11" s="141"/>
      <c r="F11" s="141"/>
      <c r="G11" s="142">
        <v>45471</v>
      </c>
      <c r="H11" s="142"/>
      <c r="I11" s="142"/>
      <c r="J11" s="142"/>
      <c r="K11" s="142"/>
      <c r="L11" s="142"/>
      <c r="M11" s="141" t="s">
        <v>15</v>
      </c>
      <c r="N11" s="141"/>
      <c r="O11" s="141"/>
      <c r="P11" s="141"/>
      <c r="Q11" s="141"/>
      <c r="R11" s="141"/>
      <c r="S11" s="177" t="s">
        <v>77</v>
      </c>
      <c r="T11" s="177"/>
      <c r="U11" s="177"/>
      <c r="V11" s="177"/>
      <c r="W11" s="177"/>
      <c r="X11" s="177"/>
      <c r="Y11" s="177"/>
      <c r="Z11" s="18"/>
      <c r="AA11" s="19"/>
      <c r="AB11" s="14"/>
      <c r="AC11" s="14"/>
      <c r="AD11" s="14"/>
      <c r="AE11" s="141"/>
      <c r="AF11" s="141"/>
      <c r="AG11" s="141"/>
      <c r="AH11" s="141"/>
      <c r="AI11" s="141"/>
    </row>
    <row r="12" spans="1:36" ht="15.9" customHeight="1" x14ac:dyDescent="0.25">
      <c r="A12" s="15"/>
      <c r="B12" s="141" t="s">
        <v>16</v>
      </c>
      <c r="C12" s="141"/>
      <c r="D12" s="141"/>
      <c r="E12" s="141"/>
      <c r="F12" s="141"/>
      <c r="G12" s="175" t="s">
        <v>83</v>
      </c>
      <c r="H12" s="175"/>
      <c r="I12" s="175"/>
      <c r="J12" s="175"/>
      <c r="K12" s="175"/>
      <c r="L12" s="175"/>
      <c r="M12" s="176" t="s">
        <v>17</v>
      </c>
      <c r="N12" s="176"/>
      <c r="O12" s="176"/>
      <c r="P12" s="176"/>
      <c r="Q12" s="176"/>
      <c r="R12" s="176"/>
      <c r="S12" s="143">
        <v>110</v>
      </c>
      <c r="T12" s="143"/>
      <c r="U12" s="143"/>
      <c r="V12" s="143"/>
      <c r="W12" s="143"/>
      <c r="X12" s="143"/>
      <c r="Y12" s="143"/>
      <c r="Z12" s="18"/>
      <c r="AA12" s="19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0" t="s">
        <v>18</v>
      </c>
      <c r="C13" s="20"/>
      <c r="D13" s="20"/>
      <c r="E13" s="20"/>
      <c r="F13" s="20"/>
      <c r="G13" s="175" t="s">
        <v>56</v>
      </c>
      <c r="H13" s="175"/>
      <c r="I13" s="175"/>
      <c r="J13" s="175"/>
      <c r="K13" s="175"/>
      <c r="L13" s="175"/>
      <c r="M13" s="141" t="s">
        <v>19</v>
      </c>
      <c r="N13" s="141"/>
      <c r="O13" s="141"/>
      <c r="P13" s="141"/>
      <c r="Q13" s="141"/>
      <c r="R13" s="141"/>
      <c r="S13" s="175" t="s">
        <v>58</v>
      </c>
      <c r="T13" s="175"/>
      <c r="U13" s="175"/>
      <c r="V13" s="175"/>
      <c r="W13" s="175"/>
      <c r="X13" s="175"/>
      <c r="Y13" s="175"/>
      <c r="Z13" s="18"/>
      <c r="AA13" s="19"/>
      <c r="AB13" s="14"/>
      <c r="AC13" s="14"/>
      <c r="AD13" s="14"/>
      <c r="AE13" s="141"/>
      <c r="AF13" s="141"/>
      <c r="AG13" s="141"/>
      <c r="AH13" s="141"/>
      <c r="AI13" s="141"/>
      <c r="AJ13" s="141"/>
    </row>
    <row r="14" spans="1:36" ht="15.9" customHeight="1" x14ac:dyDescent="0.25">
      <c r="A14" s="21"/>
      <c r="B14" s="141" t="s">
        <v>20</v>
      </c>
      <c r="C14" s="141"/>
      <c r="D14" s="141"/>
      <c r="E14" s="141"/>
      <c r="F14" s="141"/>
      <c r="G14" s="175" t="s">
        <v>57</v>
      </c>
      <c r="H14" s="175"/>
      <c r="I14" s="175"/>
      <c r="J14" s="175"/>
      <c r="K14" s="175"/>
      <c r="L14" s="175"/>
      <c r="M14" s="143" t="s">
        <v>21</v>
      </c>
      <c r="N14" s="143"/>
      <c r="O14" s="143"/>
      <c r="P14" s="143"/>
      <c r="Q14" s="143"/>
      <c r="R14" s="143"/>
      <c r="S14" s="143" t="s">
        <v>22</v>
      </c>
      <c r="T14" s="143"/>
      <c r="U14" s="143"/>
      <c r="V14" s="143"/>
      <c r="W14" s="143"/>
      <c r="X14" s="143"/>
      <c r="Y14" s="143"/>
      <c r="Z14" s="22"/>
      <c r="AA14" s="14"/>
      <c r="AB14" s="14"/>
      <c r="AC14" s="14"/>
      <c r="AD14" s="14"/>
      <c r="AE14" s="141"/>
      <c r="AF14" s="141"/>
      <c r="AG14" s="141"/>
      <c r="AH14" s="141"/>
      <c r="AI14" s="141"/>
      <c r="AJ14" s="141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141"/>
      <c r="AF15" s="141"/>
      <c r="AG15" s="141"/>
      <c r="AH15" s="141"/>
      <c r="AI15" s="141"/>
      <c r="AJ15" s="141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141"/>
      <c r="AF16" s="141"/>
      <c r="AG16" s="141"/>
      <c r="AH16" s="141"/>
      <c r="AI16" s="141"/>
      <c r="AJ16" s="141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141" t="s">
        <v>25</v>
      </c>
      <c r="C19" s="141"/>
      <c r="D19" s="141"/>
      <c r="E19" s="141"/>
      <c r="F19" s="141"/>
      <c r="G19" s="141"/>
      <c r="H19" s="141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8"/>
      <c r="AA19" s="19"/>
      <c r="AE19" s="30"/>
      <c r="AI19" s="30"/>
    </row>
    <row r="20" spans="1:40" ht="15.9" customHeight="1" x14ac:dyDescent="0.25">
      <c r="A20" s="15"/>
      <c r="B20" s="141" t="s">
        <v>26</v>
      </c>
      <c r="C20" s="141"/>
      <c r="D20" s="141"/>
      <c r="E20" s="141"/>
      <c r="F20" s="141"/>
      <c r="G20" s="141"/>
      <c r="H20" s="141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8"/>
      <c r="AA20" s="19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2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3" t="s">
        <v>23</v>
      </c>
      <c r="B23" s="34" t="s">
        <v>27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39"/>
      <c r="AN23" s="40"/>
    </row>
    <row r="24" spans="1:40" ht="9" customHeight="1" x14ac:dyDescent="0.25">
      <c r="A24" s="21"/>
      <c r="Z24" s="41"/>
    </row>
    <row r="25" spans="1:40" ht="9" customHeight="1" x14ac:dyDescent="0.25">
      <c r="A25" s="21"/>
      <c r="Z25" s="41"/>
    </row>
    <row r="26" spans="1:40" ht="9" customHeight="1" x14ac:dyDescent="0.25">
      <c r="A26" s="21"/>
      <c r="Z26" s="41"/>
    </row>
    <row r="27" spans="1:40" ht="12.75" customHeight="1" x14ac:dyDescent="0.25">
      <c r="A27" s="21"/>
      <c r="Z27" s="41"/>
    </row>
    <row r="28" spans="1:40" ht="12.75" customHeight="1" x14ac:dyDescent="0.25">
      <c r="A28" s="21"/>
      <c r="Z28" s="41"/>
    </row>
    <row r="29" spans="1:40" ht="12.75" customHeight="1" x14ac:dyDescent="0.25">
      <c r="A29" s="21"/>
      <c r="Z29" s="41"/>
    </row>
    <row r="30" spans="1:40" ht="12.75" customHeight="1" x14ac:dyDescent="0.25">
      <c r="A30" s="21"/>
      <c r="Z30" s="41"/>
    </row>
    <row r="31" spans="1:40" ht="12.75" customHeight="1" x14ac:dyDescent="0.25">
      <c r="A31" s="21"/>
      <c r="Z31" s="41"/>
    </row>
    <row r="32" spans="1:40" ht="12.75" customHeight="1" x14ac:dyDescent="0.25">
      <c r="A32" s="21"/>
      <c r="Z32" s="41"/>
    </row>
    <row r="33" spans="1:26" ht="12.75" customHeight="1" x14ac:dyDescent="0.25">
      <c r="A33" s="21"/>
      <c r="Z33" s="41"/>
    </row>
    <row r="34" spans="1:26" ht="12.75" customHeight="1" x14ac:dyDescent="0.25">
      <c r="A34" s="21"/>
      <c r="Z34" s="41"/>
    </row>
    <row r="35" spans="1:26" ht="12.75" customHeight="1" x14ac:dyDescent="0.25">
      <c r="A35" s="21"/>
      <c r="Z35" s="41"/>
    </row>
    <row r="36" spans="1:26" ht="12.75" customHeight="1" x14ac:dyDescent="0.25">
      <c r="A36" s="21"/>
      <c r="Z36" s="41"/>
    </row>
    <row r="37" spans="1:26" ht="12.75" customHeight="1" x14ac:dyDescent="0.25">
      <c r="A37" s="21"/>
      <c r="Z37" s="41"/>
    </row>
    <row r="38" spans="1:26" ht="12.75" customHeight="1" x14ac:dyDescent="0.25">
      <c r="A38" s="21"/>
      <c r="Z38" s="41"/>
    </row>
    <row r="39" spans="1:26" ht="12.75" customHeight="1" x14ac:dyDescent="0.25">
      <c r="A39" s="21"/>
      <c r="Z39" s="41"/>
    </row>
    <row r="40" spans="1:26" ht="12.75" customHeight="1" x14ac:dyDescent="0.25">
      <c r="A40" s="21"/>
      <c r="Z40" s="41"/>
    </row>
    <row r="41" spans="1:26" ht="12.75" customHeight="1" x14ac:dyDescent="0.25">
      <c r="A41" s="21"/>
      <c r="Z41" s="41"/>
    </row>
    <row r="42" spans="1:26" ht="12.75" customHeight="1" x14ac:dyDescent="0.25">
      <c r="A42" s="21"/>
      <c r="Z42" s="41"/>
    </row>
    <row r="43" spans="1:26" ht="12.75" customHeight="1" x14ac:dyDescent="0.25">
      <c r="A43" s="21"/>
      <c r="Z43" s="41"/>
    </row>
    <row r="44" spans="1:26" ht="12.75" customHeight="1" x14ac:dyDescent="0.25">
      <c r="A44" s="21"/>
      <c r="Z44" s="41"/>
    </row>
    <row r="45" spans="1:26" ht="12.75" customHeight="1" x14ac:dyDescent="0.25">
      <c r="A45" s="21"/>
      <c r="Z45" s="41"/>
    </row>
    <row r="46" spans="1:26" ht="12.75" customHeight="1" x14ac:dyDescent="0.25">
      <c r="A46" s="21"/>
      <c r="Z46" s="41"/>
    </row>
    <row r="47" spans="1:26" ht="12.75" customHeight="1" x14ac:dyDescent="0.25">
      <c r="A47" s="21"/>
      <c r="Z47" s="41"/>
    </row>
    <row r="48" spans="1:26" ht="12.75" customHeight="1" x14ac:dyDescent="0.25">
      <c r="A48" s="21"/>
      <c r="Z48" s="41"/>
    </row>
    <row r="49" spans="1:34" ht="12.75" customHeight="1" x14ac:dyDescent="0.25">
      <c r="A49" s="21"/>
      <c r="Z49" s="41"/>
    </row>
    <row r="50" spans="1:34" ht="9.75" customHeight="1" thickBot="1" x14ac:dyDescent="0.3">
      <c r="A50" s="21"/>
      <c r="Z50" s="41"/>
    </row>
    <row r="51" spans="1:34" ht="9.75" customHeight="1" x14ac:dyDescent="0.25">
      <c r="A51" s="21"/>
      <c r="Z51" s="41"/>
      <c r="AD51" s="179" t="s">
        <v>28</v>
      </c>
      <c r="AE51" s="181">
        <v>2.6469999999999998</v>
      </c>
      <c r="AF51" s="183"/>
      <c r="AG51" s="185"/>
      <c r="AH51" s="42"/>
    </row>
    <row r="52" spans="1:34" ht="12.75" customHeight="1" thickBot="1" x14ac:dyDescent="0.3">
      <c r="A52" s="21"/>
      <c r="Z52" s="43"/>
      <c r="AD52" s="180"/>
      <c r="AE52" s="182"/>
      <c r="AF52" s="184"/>
      <c r="AG52" s="185"/>
    </row>
    <row r="53" spans="1:34" ht="18.75" customHeight="1" thickBot="1" x14ac:dyDescent="0.3">
      <c r="A53" s="21"/>
      <c r="E53" s="186" t="s">
        <v>29</v>
      </c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8" t="s">
        <v>30</v>
      </c>
      <c r="V53" s="189"/>
      <c r="W53" s="192" t="s">
        <v>31</v>
      </c>
      <c r="X53" s="189"/>
      <c r="Y53" s="194" t="s">
        <v>32</v>
      </c>
      <c r="Z53" s="195"/>
      <c r="AA53" s="44"/>
      <c r="AB53" s="198" t="s">
        <v>33</v>
      </c>
      <c r="AC53" s="199"/>
      <c r="AD53" s="202" t="s">
        <v>34</v>
      </c>
      <c r="AE53" s="204" t="s">
        <v>35</v>
      </c>
      <c r="AF53" s="183"/>
      <c r="AG53" s="183"/>
      <c r="AH53" s="45"/>
    </row>
    <row r="54" spans="1:34" ht="24.9" customHeight="1" thickBot="1" x14ac:dyDescent="0.3">
      <c r="A54" s="46"/>
      <c r="B54" s="47" t="s">
        <v>36</v>
      </c>
      <c r="C54" s="207" t="s">
        <v>37</v>
      </c>
      <c r="D54" s="208"/>
      <c r="E54" s="48">
        <v>6.3E-2</v>
      </c>
      <c r="F54" s="48">
        <v>0.125</v>
      </c>
      <c r="G54" s="49">
        <v>0.25</v>
      </c>
      <c r="H54" s="49">
        <v>0.5</v>
      </c>
      <c r="I54" s="49">
        <v>1</v>
      </c>
      <c r="J54" s="49">
        <v>2</v>
      </c>
      <c r="K54" s="49">
        <v>4</v>
      </c>
      <c r="L54" s="49">
        <v>6.3</v>
      </c>
      <c r="M54" s="49">
        <v>8</v>
      </c>
      <c r="N54" s="49">
        <v>10</v>
      </c>
      <c r="O54" s="49">
        <v>12.5</v>
      </c>
      <c r="P54" s="49">
        <v>14</v>
      </c>
      <c r="Q54" s="50">
        <v>16</v>
      </c>
      <c r="R54" s="50">
        <v>20</v>
      </c>
      <c r="S54" s="49"/>
      <c r="T54" s="50"/>
      <c r="U54" s="190"/>
      <c r="V54" s="191"/>
      <c r="W54" s="193"/>
      <c r="X54" s="191"/>
      <c r="Y54" s="196"/>
      <c r="Z54" s="197"/>
      <c r="AA54" s="44"/>
      <c r="AB54" s="200"/>
      <c r="AC54" s="201"/>
      <c r="AD54" s="203"/>
      <c r="AE54" s="205"/>
      <c r="AF54" s="206"/>
      <c r="AG54" s="183"/>
    </row>
    <row r="55" spans="1:34" ht="24.9" customHeight="1" x14ac:dyDescent="0.25">
      <c r="A55" s="46"/>
      <c r="B55" s="51">
        <v>1</v>
      </c>
      <c r="C55" s="209" t="s">
        <v>84</v>
      </c>
      <c r="D55" s="210"/>
      <c r="E55" s="125">
        <v>6.8</v>
      </c>
      <c r="F55" s="126">
        <v>8.8000000000000007</v>
      </c>
      <c r="G55" s="127">
        <v>11.9</v>
      </c>
      <c r="H55" s="127">
        <v>15.3</v>
      </c>
      <c r="I55" s="127">
        <v>20.100000000000001</v>
      </c>
      <c r="J55" s="127">
        <v>28</v>
      </c>
      <c r="K55" s="127">
        <v>39.700000000000003</v>
      </c>
      <c r="L55" s="127">
        <v>55.2</v>
      </c>
      <c r="M55" s="127">
        <v>72.2</v>
      </c>
      <c r="N55" s="127">
        <v>93.4</v>
      </c>
      <c r="O55" s="127">
        <v>100</v>
      </c>
      <c r="P55" s="127"/>
      <c r="Q55" s="127"/>
      <c r="R55" s="127"/>
      <c r="S55" s="128"/>
      <c r="T55" s="128"/>
      <c r="U55" s="211">
        <v>169</v>
      </c>
      <c r="V55" s="212"/>
      <c r="W55" s="213">
        <v>5.21</v>
      </c>
      <c r="X55" s="214"/>
      <c r="Y55" s="215">
        <f>IF(W55&lt;&gt;0,AE55,"")</f>
        <v>3.2785260910592444</v>
      </c>
      <c r="Z55" s="216"/>
      <c r="AA55" s="52"/>
      <c r="AB55" s="217">
        <f>(100*W55)/(100-W55)</f>
        <v>5.4963603755670425</v>
      </c>
      <c r="AC55" s="218"/>
      <c r="AD55" s="53">
        <f>(0.25*(100-O55)+2.3*(O55-H55)+12*(H55-E55)+150*(E55))/100</f>
        <v>13.168099999999999</v>
      </c>
      <c r="AE55" s="54">
        <f>(AB55*$AE$51)/(2.65*(AD55)^(1/5))</f>
        <v>3.2785260910592444</v>
      </c>
      <c r="AF55" s="28"/>
      <c r="AG55" s="55"/>
    </row>
    <row r="56" spans="1:34" ht="24.9" customHeight="1" x14ac:dyDescent="0.25">
      <c r="A56" s="46"/>
      <c r="B56" s="56">
        <v>2</v>
      </c>
      <c r="C56" s="209" t="s">
        <v>85</v>
      </c>
      <c r="D56" s="210"/>
      <c r="E56" s="129">
        <v>6.9</v>
      </c>
      <c r="F56" s="130">
        <v>8.6999999999999993</v>
      </c>
      <c r="G56" s="131">
        <v>11.7</v>
      </c>
      <c r="H56" s="131">
        <v>15.3</v>
      </c>
      <c r="I56" s="131">
        <v>20.2</v>
      </c>
      <c r="J56" s="131">
        <v>28.2</v>
      </c>
      <c r="K56" s="131">
        <v>41</v>
      </c>
      <c r="L56" s="131">
        <v>57.2</v>
      </c>
      <c r="M56" s="131">
        <v>77</v>
      </c>
      <c r="N56" s="131">
        <v>94.1</v>
      </c>
      <c r="O56" s="131">
        <v>100</v>
      </c>
      <c r="P56" s="131"/>
      <c r="Q56" s="131"/>
      <c r="R56" s="131"/>
      <c r="S56" s="132"/>
      <c r="T56" s="132"/>
      <c r="U56" s="133">
        <v>167</v>
      </c>
      <c r="V56" s="134"/>
      <c r="W56" s="135">
        <v>5.03</v>
      </c>
      <c r="X56" s="136"/>
      <c r="Y56" s="230">
        <f>IF(W56&lt;&gt;0,AE56,"")</f>
        <v>3.1526768504223441</v>
      </c>
      <c r="Z56" s="231"/>
      <c r="AA56" s="52"/>
      <c r="AB56" s="217">
        <f>(100*W56)/(100-W56)</f>
        <v>5.2964093924397178</v>
      </c>
      <c r="AC56" s="218"/>
      <c r="AD56" s="53">
        <f t="shared" ref="AD56:AD62" si="0">(0.25*(100-O56)+2.3*(O56-H56)+12*(H56-E56)+150*(E56))/100</f>
        <v>13.306100000000001</v>
      </c>
      <c r="AE56" s="54">
        <f t="shared" ref="AE56:AE62" si="1">(AB56*$AE$51)/(2.65*(AD56)^(1/5))</f>
        <v>3.1526768504223441</v>
      </c>
      <c r="AF56" s="28"/>
      <c r="AG56" s="55"/>
    </row>
    <row r="57" spans="1:34" ht="24.9" customHeight="1" x14ac:dyDescent="0.25">
      <c r="A57" s="46"/>
      <c r="B57" s="56">
        <v>3</v>
      </c>
      <c r="C57" s="232"/>
      <c r="D57" s="233"/>
      <c r="E57" s="57"/>
      <c r="F57" s="58"/>
      <c r="G57" s="58"/>
      <c r="H57" s="59"/>
      <c r="I57" s="59"/>
      <c r="J57" s="59"/>
      <c r="K57" s="59"/>
      <c r="L57" s="59"/>
      <c r="M57" s="59"/>
      <c r="N57" s="59"/>
      <c r="O57" s="60"/>
      <c r="P57" s="59"/>
      <c r="Q57" s="60"/>
      <c r="R57" s="59"/>
      <c r="S57" s="59"/>
      <c r="T57" s="61"/>
      <c r="U57" s="234"/>
      <c r="V57" s="235"/>
      <c r="W57" s="236"/>
      <c r="X57" s="237"/>
      <c r="Y57" s="230" t="str">
        <f t="shared" ref="Y57:Y58" si="2">IF(W57&lt;&gt;0,AE57,"")</f>
        <v/>
      </c>
      <c r="Z57" s="231"/>
      <c r="AA57" s="52"/>
      <c r="AB57" s="217">
        <f>(100*W57)/(100-W57)</f>
        <v>0</v>
      </c>
      <c r="AC57" s="218"/>
      <c r="AD57" s="53">
        <f t="shared" si="0"/>
        <v>0.25</v>
      </c>
      <c r="AE57" s="54">
        <f t="shared" si="1"/>
        <v>0</v>
      </c>
      <c r="AF57" s="28"/>
      <c r="AG57" s="55"/>
    </row>
    <row r="58" spans="1:34" ht="24.9" customHeight="1" thickBot="1" x14ac:dyDescent="0.3">
      <c r="A58" s="46"/>
      <c r="B58" s="62">
        <v>4</v>
      </c>
      <c r="C58" s="219"/>
      <c r="D58" s="220"/>
      <c r="E58" s="63"/>
      <c r="F58" s="64"/>
      <c r="G58" s="64"/>
      <c r="H58" s="65"/>
      <c r="I58" s="65"/>
      <c r="J58" s="65"/>
      <c r="K58" s="65"/>
      <c r="L58" s="65"/>
      <c r="M58" s="65"/>
      <c r="N58" s="65"/>
      <c r="O58" s="66"/>
      <c r="P58" s="65"/>
      <c r="Q58" s="66"/>
      <c r="R58" s="65"/>
      <c r="S58" s="65"/>
      <c r="T58" s="67"/>
      <c r="U58" s="221"/>
      <c r="V58" s="222"/>
      <c r="W58" s="223"/>
      <c r="X58" s="224"/>
      <c r="Y58" s="225" t="str">
        <f t="shared" si="2"/>
        <v/>
      </c>
      <c r="Z58" s="226"/>
      <c r="AA58" s="52"/>
      <c r="AB58" s="217">
        <f>(100*W58)/(100-W58)</f>
        <v>0</v>
      </c>
      <c r="AC58" s="218"/>
      <c r="AD58" s="53">
        <f t="shared" si="0"/>
        <v>0.25</v>
      </c>
      <c r="AE58" s="54">
        <f t="shared" si="1"/>
        <v>0</v>
      </c>
      <c r="AF58" s="28"/>
      <c r="AG58" s="55"/>
    </row>
    <row r="59" spans="1:34" ht="10.5" customHeight="1" thickBot="1" x14ac:dyDescent="0.3">
      <c r="A59" s="46"/>
      <c r="B59" s="2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9"/>
      <c r="P59" s="68"/>
      <c r="Q59" s="69"/>
      <c r="R59" s="68"/>
      <c r="S59" s="68"/>
      <c r="T59" s="68"/>
      <c r="U59" s="68"/>
      <c r="V59" s="68"/>
      <c r="W59" s="70"/>
      <c r="Z59" s="71"/>
      <c r="AB59" s="72"/>
      <c r="AC59" s="73"/>
      <c r="AD59" s="53"/>
      <c r="AE59" s="54"/>
      <c r="AF59" s="28"/>
      <c r="AG59" s="55"/>
    </row>
    <row r="60" spans="1:34" ht="24.75" hidden="1" customHeight="1" x14ac:dyDescent="0.25">
      <c r="A60" s="46"/>
      <c r="B60" s="227" t="s">
        <v>38</v>
      </c>
      <c r="C60" s="228"/>
      <c r="D60" s="229"/>
      <c r="E60" s="74"/>
      <c r="F60" s="74"/>
      <c r="G60" s="74"/>
      <c r="H60" s="74"/>
      <c r="I60" s="74"/>
      <c r="J60" s="74"/>
      <c r="K60" s="74"/>
      <c r="L60" s="74"/>
      <c r="M60" s="74">
        <v>10</v>
      </c>
      <c r="N60" s="74">
        <v>10</v>
      </c>
      <c r="O60" s="75"/>
      <c r="P60" s="74"/>
      <c r="Q60" s="75">
        <v>50</v>
      </c>
      <c r="R60" s="74"/>
      <c r="S60" s="74">
        <v>70</v>
      </c>
      <c r="T60" s="74"/>
      <c r="U60" s="74"/>
      <c r="V60" s="74"/>
      <c r="W60" s="74"/>
      <c r="X60" s="76"/>
      <c r="Y60" s="77">
        <v>4.5</v>
      </c>
      <c r="Z60" s="77"/>
      <c r="AA60" s="28"/>
      <c r="AB60" s="72"/>
      <c r="AC60" s="73"/>
      <c r="AD60" s="53">
        <f t="shared" si="0"/>
        <v>0.25</v>
      </c>
      <c r="AE60" s="54">
        <f t="shared" si="1"/>
        <v>0</v>
      </c>
      <c r="AF60" s="28"/>
      <c r="AG60" s="55"/>
    </row>
    <row r="61" spans="1:34" ht="18.75" customHeight="1" x14ac:dyDescent="0.25">
      <c r="A61" s="46"/>
      <c r="B61" s="238" t="s">
        <v>39</v>
      </c>
      <c r="C61" s="239"/>
      <c r="D61" s="240"/>
      <c r="E61" s="78">
        <f>IF(E55&lt;&gt;0,AVERAGE(E55:E58),"")</f>
        <v>6.85</v>
      </c>
      <c r="F61" s="78">
        <f t="shared" ref="F61:L61" si="3">IF(F55&lt;&gt;0,AVERAGE(F55:F58),"")</f>
        <v>8.75</v>
      </c>
      <c r="G61" s="78">
        <f t="shared" si="3"/>
        <v>11.8</v>
      </c>
      <c r="H61" s="78">
        <f t="shared" si="3"/>
        <v>15.3</v>
      </c>
      <c r="I61" s="78">
        <f t="shared" si="3"/>
        <v>20.149999999999999</v>
      </c>
      <c r="J61" s="78">
        <f t="shared" si="3"/>
        <v>28.1</v>
      </c>
      <c r="K61" s="78">
        <f t="shared" si="3"/>
        <v>40.35</v>
      </c>
      <c r="L61" s="78">
        <f t="shared" si="3"/>
        <v>56.2</v>
      </c>
      <c r="M61" s="78">
        <f>IF(M55&lt;&gt;0,AVERAGE(M55:M58),"")</f>
        <v>74.599999999999994</v>
      </c>
      <c r="N61" s="78">
        <f>IF(N55&lt;&gt;0,AVERAGE(N55:N58),"")</f>
        <v>93.75</v>
      </c>
      <c r="O61" s="79">
        <f>IF(O55&lt;&gt;0,AVERAGE(O55:O58),"")</f>
        <v>100</v>
      </c>
      <c r="P61" s="79"/>
      <c r="Q61" s="79"/>
      <c r="R61" s="78"/>
      <c r="S61" s="78" t="str">
        <f t="shared" ref="S61:T61" si="4">IF(S55&lt;&gt;0,AVERAGE(S55:S58),"")</f>
        <v/>
      </c>
      <c r="T61" s="80" t="str">
        <f t="shared" si="4"/>
        <v/>
      </c>
      <c r="U61" s="241">
        <f>IF(U55&lt;&gt;0,AVERAGE(U55:V58),"")</f>
        <v>168</v>
      </c>
      <c r="V61" s="242"/>
      <c r="W61" s="243">
        <f>IF(W55&lt;&gt;0,AVERAGE(W55:X58),"")</f>
        <v>5.12</v>
      </c>
      <c r="X61" s="244"/>
      <c r="Y61" s="245">
        <f>IF(W55&lt;&gt;0,AVERAGE(Y55:Z58),"")</f>
        <v>3.2156014707407943</v>
      </c>
      <c r="Z61" s="246"/>
      <c r="AA61" s="55"/>
      <c r="AB61" s="217">
        <f>(100*W61)/(100-W61)</f>
        <v>5.3962900505902196</v>
      </c>
      <c r="AC61" s="218"/>
      <c r="AD61" s="53">
        <f t="shared" si="0"/>
        <v>13.2371</v>
      </c>
      <c r="AE61" s="54">
        <f t="shared" si="1"/>
        <v>3.2154723718582892</v>
      </c>
      <c r="AF61" s="28"/>
      <c r="AG61" s="55"/>
    </row>
    <row r="62" spans="1:34" ht="21" customHeight="1" x14ac:dyDescent="0.25">
      <c r="A62" s="46"/>
      <c r="B62" s="247" t="s">
        <v>40</v>
      </c>
      <c r="C62" s="248"/>
      <c r="D62" s="249"/>
      <c r="E62" s="81">
        <v>6.5</v>
      </c>
      <c r="F62" s="81">
        <v>8</v>
      </c>
      <c r="G62" s="81">
        <v>11</v>
      </c>
      <c r="H62" s="81">
        <v>16</v>
      </c>
      <c r="I62" s="81">
        <v>21</v>
      </c>
      <c r="J62" s="81">
        <v>30</v>
      </c>
      <c r="K62" s="81">
        <v>44</v>
      </c>
      <c r="L62" s="81">
        <v>60</v>
      </c>
      <c r="M62" s="81">
        <v>76</v>
      </c>
      <c r="N62" s="81">
        <v>95</v>
      </c>
      <c r="O62" s="82">
        <v>100</v>
      </c>
      <c r="P62" s="81"/>
      <c r="Q62" s="82"/>
      <c r="R62" s="81"/>
      <c r="S62" s="81"/>
      <c r="T62" s="83"/>
      <c r="U62" s="250"/>
      <c r="V62" s="251"/>
      <c r="W62" s="252">
        <v>5.4</v>
      </c>
      <c r="X62" s="253"/>
      <c r="Y62" s="254">
        <f>AE62</f>
        <v>3.4230996041984052</v>
      </c>
      <c r="Z62" s="255"/>
      <c r="AA62" s="55"/>
      <c r="AB62" s="217">
        <f>(100*W62)/(100-W62)</f>
        <v>5.7082452431289648</v>
      </c>
      <c r="AC62" s="218"/>
      <c r="AD62" s="53">
        <f t="shared" si="0"/>
        <v>12.822000000000001</v>
      </c>
      <c r="AE62" s="54">
        <f t="shared" si="1"/>
        <v>3.4230996041984052</v>
      </c>
      <c r="AF62" s="28"/>
      <c r="AG62" s="55"/>
    </row>
    <row r="63" spans="1:34" ht="13.5" customHeight="1" x14ac:dyDescent="0.25">
      <c r="A63" s="46"/>
      <c r="B63" s="84"/>
      <c r="C63" s="85" t="s">
        <v>41</v>
      </c>
      <c r="D63" s="86"/>
      <c r="E63" s="59">
        <f>E62+2</f>
        <v>8.5</v>
      </c>
      <c r="F63" s="59"/>
      <c r="G63" s="59"/>
      <c r="H63" s="59"/>
      <c r="I63" s="59"/>
      <c r="J63" s="59">
        <f>J62+6</f>
        <v>36</v>
      </c>
      <c r="K63" s="59"/>
      <c r="L63" s="59">
        <f>L62+7</f>
        <v>67</v>
      </c>
      <c r="M63" s="59"/>
      <c r="N63" s="59"/>
      <c r="O63" s="59"/>
      <c r="P63" s="59"/>
      <c r="Q63" s="60"/>
      <c r="R63" s="59"/>
      <c r="S63" s="59"/>
      <c r="T63" s="61"/>
      <c r="U63" s="234"/>
      <c r="V63" s="235"/>
      <c r="W63" s="256">
        <f>W62+0.5</f>
        <v>5.9</v>
      </c>
      <c r="X63" s="235"/>
      <c r="Y63" s="232"/>
      <c r="Z63" s="257"/>
      <c r="AA63" s="87"/>
      <c r="AB63" s="88"/>
      <c r="AC63" s="89"/>
      <c r="AD63" s="258"/>
      <c r="AE63" s="260" t="s">
        <v>42</v>
      </c>
      <c r="AF63" s="28"/>
      <c r="AG63" s="55"/>
    </row>
    <row r="64" spans="1:34" ht="13.5" customHeight="1" thickBot="1" x14ac:dyDescent="0.3">
      <c r="A64" s="46"/>
      <c r="B64" s="190" t="s">
        <v>43</v>
      </c>
      <c r="C64" s="193"/>
      <c r="D64" s="191"/>
      <c r="E64" s="90">
        <f>E62-2</f>
        <v>4.5</v>
      </c>
      <c r="F64" s="90"/>
      <c r="G64" s="91"/>
      <c r="H64" s="91"/>
      <c r="I64" s="91"/>
      <c r="J64" s="90">
        <f>J62-6</f>
        <v>24</v>
      </c>
      <c r="K64" s="91"/>
      <c r="L64" s="90">
        <f>L62-7</f>
        <v>53</v>
      </c>
      <c r="M64" s="90"/>
      <c r="N64" s="91"/>
      <c r="O64" s="91"/>
      <c r="P64" s="91"/>
      <c r="Q64" s="90"/>
      <c r="R64" s="91"/>
      <c r="S64" s="91"/>
      <c r="T64" s="92"/>
      <c r="U64" s="262"/>
      <c r="V64" s="263"/>
      <c r="W64" s="264">
        <f>W62-0.5</f>
        <v>4.9000000000000004</v>
      </c>
      <c r="X64" s="263"/>
      <c r="Y64" s="219"/>
      <c r="Z64" s="265"/>
      <c r="AA64" s="93"/>
      <c r="AB64" s="94"/>
      <c r="AC64" s="95"/>
      <c r="AD64" s="259"/>
      <c r="AE64" s="261"/>
      <c r="AF64" s="28"/>
      <c r="AG64" s="55"/>
    </row>
    <row r="65" spans="1:30" ht="6.75" customHeigh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96"/>
    </row>
    <row r="66" spans="1:30" ht="8.25" customHeight="1" x14ac:dyDescent="0.25"/>
    <row r="67" spans="1:30" ht="34.5" customHeight="1" x14ac:dyDescent="0.25">
      <c r="A67" s="97" t="s">
        <v>44</v>
      </c>
      <c r="B67" s="98" t="s">
        <v>45</v>
      </c>
      <c r="C67" s="99"/>
      <c r="D67" s="99"/>
      <c r="E67" s="99"/>
      <c r="F67" s="100"/>
      <c r="G67" s="100"/>
      <c r="H67" s="100"/>
      <c r="I67" s="10"/>
      <c r="J67" s="10"/>
      <c r="K67" s="10"/>
      <c r="L67" s="10"/>
      <c r="M67" s="10"/>
      <c r="N67" s="10"/>
      <c r="O67" s="10"/>
      <c r="P67" s="10"/>
      <c r="Q67" s="100"/>
      <c r="R67" s="10"/>
      <c r="S67" s="10"/>
      <c r="T67" s="10"/>
      <c r="U67" s="279"/>
      <c r="V67" s="279"/>
      <c r="W67" s="279"/>
      <c r="X67" s="279"/>
      <c r="Y67" s="279"/>
      <c r="Z67" s="280"/>
      <c r="AA67" s="101"/>
      <c r="AB67" s="102"/>
      <c r="AC67" s="102"/>
      <c r="AD67" s="103"/>
    </row>
    <row r="68" spans="1:30" ht="27" customHeight="1" x14ac:dyDescent="0.25">
      <c r="A68" s="281" t="s">
        <v>46</v>
      </c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3"/>
      <c r="R68" s="272" t="s">
        <v>47</v>
      </c>
      <c r="S68" s="273"/>
      <c r="T68" s="274"/>
      <c r="U68" s="284" t="s">
        <v>78</v>
      </c>
      <c r="V68" s="285"/>
      <c r="W68" s="285"/>
      <c r="X68" s="286"/>
      <c r="Y68" s="286"/>
      <c r="Z68" s="287"/>
      <c r="AA68" s="104"/>
      <c r="AB68" s="105"/>
      <c r="AC68" s="105"/>
      <c r="AD68" s="103"/>
    </row>
    <row r="69" spans="1:30" ht="15.75" customHeight="1" x14ac:dyDescent="0.25">
      <c r="A69" s="288" t="s">
        <v>48</v>
      </c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90"/>
      <c r="R69" s="272" t="s">
        <v>49</v>
      </c>
      <c r="S69" s="273"/>
      <c r="T69" s="274"/>
      <c r="U69" s="294" t="s">
        <v>79</v>
      </c>
      <c r="V69" s="295"/>
      <c r="W69" s="295"/>
      <c r="X69" s="295"/>
      <c r="Y69" s="295"/>
      <c r="Z69" s="296"/>
      <c r="AA69" s="104"/>
      <c r="AB69" s="105"/>
      <c r="AC69" s="105"/>
      <c r="AD69" s="103"/>
    </row>
    <row r="70" spans="1:30" ht="9" customHeight="1" x14ac:dyDescent="0.25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90"/>
      <c r="R70" s="272"/>
      <c r="S70" s="273"/>
      <c r="T70" s="274"/>
      <c r="U70" s="297"/>
      <c r="V70" s="178"/>
      <c r="W70" s="178"/>
      <c r="X70" s="178"/>
      <c r="Y70" s="178"/>
      <c r="Z70" s="298"/>
      <c r="AA70" s="104"/>
      <c r="AB70" s="105"/>
      <c r="AC70" s="105"/>
      <c r="AD70" s="103"/>
    </row>
    <row r="71" spans="1:30" ht="15.9" customHeight="1" x14ac:dyDescent="0.25">
      <c r="A71" s="291"/>
      <c r="B71" s="292"/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93"/>
      <c r="R71" s="272"/>
      <c r="S71" s="273"/>
      <c r="T71" s="274"/>
      <c r="U71" s="297"/>
      <c r="V71" s="178"/>
      <c r="W71" s="178"/>
      <c r="X71" s="178"/>
      <c r="Y71" s="178"/>
      <c r="Z71" s="298"/>
      <c r="AA71" s="104"/>
      <c r="AB71" s="105"/>
      <c r="AC71" s="105"/>
      <c r="AD71" s="103"/>
    </row>
    <row r="72" spans="1:30" ht="15.9" customHeight="1" x14ac:dyDescent="0.25">
      <c r="A72" s="106" t="s">
        <v>50</v>
      </c>
      <c r="B72" s="107" t="s">
        <v>51</v>
      </c>
      <c r="C72" s="13"/>
      <c r="D72" s="13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9"/>
      <c r="R72" s="272"/>
      <c r="S72" s="273"/>
      <c r="T72" s="274"/>
      <c r="U72" s="299"/>
      <c r="V72" s="300"/>
      <c r="W72" s="300"/>
      <c r="X72" s="300"/>
      <c r="Y72" s="300"/>
      <c r="Z72" s="301"/>
      <c r="AA72" s="104"/>
      <c r="AB72" s="105"/>
      <c r="AC72" s="105"/>
      <c r="AD72" s="103"/>
    </row>
    <row r="73" spans="1:30" ht="15.75" customHeight="1" x14ac:dyDescent="0.25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7"/>
      <c r="Q73" s="268"/>
      <c r="R73" s="272" t="s">
        <v>52</v>
      </c>
      <c r="S73" s="273"/>
      <c r="T73" s="274"/>
      <c r="U73" s="110"/>
      <c r="V73" s="111"/>
      <c r="W73" s="111"/>
      <c r="X73" s="111"/>
      <c r="Y73" s="111"/>
      <c r="Z73" s="112"/>
      <c r="AA73" s="113"/>
      <c r="AB73" s="114"/>
      <c r="AC73" s="114"/>
      <c r="AD73" s="103"/>
    </row>
    <row r="74" spans="1:30" ht="15.9" customHeight="1" x14ac:dyDescent="0.25">
      <c r="A74" s="266"/>
      <c r="B74" s="267"/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8"/>
      <c r="R74" s="272"/>
      <c r="S74" s="273"/>
      <c r="T74" s="274"/>
      <c r="U74" s="115"/>
      <c r="V74" s="278"/>
      <c r="W74" s="278"/>
      <c r="X74" s="278"/>
      <c r="Y74" s="278"/>
      <c r="Z74" s="116"/>
      <c r="AA74" s="113"/>
      <c r="AB74" s="114"/>
      <c r="AC74" s="114"/>
      <c r="AD74" s="103"/>
    </row>
    <row r="75" spans="1:30" ht="15.9" customHeight="1" x14ac:dyDescent="0.25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7"/>
      <c r="Q75" s="268"/>
      <c r="R75" s="272"/>
      <c r="S75" s="273"/>
      <c r="T75" s="274"/>
      <c r="U75" s="115"/>
      <c r="V75" s="278"/>
      <c r="W75" s="278"/>
      <c r="X75" s="278"/>
      <c r="Y75" s="278"/>
      <c r="Z75" s="116"/>
      <c r="AA75" s="113"/>
      <c r="AB75" s="114"/>
      <c r="AC75" s="114"/>
      <c r="AD75" s="103"/>
    </row>
    <row r="76" spans="1:30" ht="15.75" customHeight="1" x14ac:dyDescent="0.25">
      <c r="A76" s="269"/>
      <c r="B76" s="270"/>
      <c r="C76" s="270"/>
      <c r="D76" s="270"/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O76" s="270"/>
      <c r="P76" s="270"/>
      <c r="Q76" s="271"/>
      <c r="R76" s="275"/>
      <c r="S76" s="276"/>
      <c r="T76" s="277"/>
      <c r="U76" s="117"/>
      <c r="V76" s="118"/>
      <c r="W76" s="118"/>
      <c r="X76" s="118"/>
      <c r="Y76" s="118"/>
      <c r="Z76" s="119"/>
      <c r="AA76" s="113"/>
      <c r="AB76" s="114"/>
      <c r="AC76" s="114"/>
      <c r="AD76" s="103"/>
    </row>
  </sheetData>
  <mergeCells count="106">
    <mergeCell ref="A73:Q76"/>
    <mergeCell ref="R73:T76"/>
    <mergeCell ref="V74:Y75"/>
    <mergeCell ref="U67:Z67"/>
    <mergeCell ref="A68:Q68"/>
    <mergeCell ref="R68:T68"/>
    <mergeCell ref="U68:Z68"/>
    <mergeCell ref="A69:Q71"/>
    <mergeCell ref="R69:T72"/>
    <mergeCell ref="U69:Z72"/>
    <mergeCell ref="U63:V63"/>
    <mergeCell ref="W63:X63"/>
    <mergeCell ref="Y63:Z63"/>
    <mergeCell ref="AD63:AD64"/>
    <mergeCell ref="AE63:AE64"/>
    <mergeCell ref="B64:D64"/>
    <mergeCell ref="U64:V64"/>
    <mergeCell ref="W64:X64"/>
    <mergeCell ref="Y64:Z64"/>
    <mergeCell ref="B61:D61"/>
    <mergeCell ref="U61:V61"/>
    <mergeCell ref="W61:X61"/>
    <mergeCell ref="Y61:Z61"/>
    <mergeCell ref="AB61:AC61"/>
    <mergeCell ref="B62:D62"/>
    <mergeCell ref="U62:V62"/>
    <mergeCell ref="W62:X62"/>
    <mergeCell ref="Y62:Z62"/>
    <mergeCell ref="AB62:AC62"/>
    <mergeCell ref="B60:D60"/>
    <mergeCell ref="C56:D56"/>
    <mergeCell ref="Y56:Z56"/>
    <mergeCell ref="AB56:AC56"/>
    <mergeCell ref="C57:D57"/>
    <mergeCell ref="U57:V57"/>
    <mergeCell ref="W57:X57"/>
    <mergeCell ref="Y57:Z57"/>
    <mergeCell ref="AB57:AC57"/>
    <mergeCell ref="C54:D54"/>
    <mergeCell ref="C55:D55"/>
    <mergeCell ref="U55:V55"/>
    <mergeCell ref="W55:X55"/>
    <mergeCell ref="Y55:Z55"/>
    <mergeCell ref="AB55:AC55"/>
    <mergeCell ref="C58:D58"/>
    <mergeCell ref="U58:V58"/>
    <mergeCell ref="W58:X58"/>
    <mergeCell ref="Y58:Z58"/>
    <mergeCell ref="AB58:AC58"/>
    <mergeCell ref="AD51:AD52"/>
    <mergeCell ref="AE51:AE52"/>
    <mergeCell ref="AF51:AF52"/>
    <mergeCell ref="AG51:AG52"/>
    <mergeCell ref="E53:T53"/>
    <mergeCell ref="U53:V54"/>
    <mergeCell ref="W53:X54"/>
    <mergeCell ref="Y53:Z54"/>
    <mergeCell ref="AB53:AC54"/>
    <mergeCell ref="AD53:AD54"/>
    <mergeCell ref="AE53:AE54"/>
    <mergeCell ref="AF53:AF54"/>
    <mergeCell ref="AG53:AG54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U56:V56"/>
    <mergeCell ref="W56:X56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BBA7-FD24-433C-934A-72B9D52889D5}">
  <sheetPr>
    <pageSetUpPr fitToPage="1"/>
  </sheetPr>
  <dimension ref="A1:AN76"/>
  <sheetViews>
    <sheetView zoomScaleNormal="100" workbookViewId="0">
      <selection activeCell="G14" sqref="G14:L14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75" customHeight="1" x14ac:dyDescent="0.25">
      <c r="A1" s="144"/>
      <c r="B1" s="145"/>
      <c r="C1" s="145"/>
      <c r="D1" s="145"/>
      <c r="E1" s="145"/>
      <c r="F1" s="146"/>
      <c r="G1" s="153" t="s">
        <v>0</v>
      </c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5"/>
      <c r="U1" s="156" t="s">
        <v>59</v>
      </c>
      <c r="V1" s="157"/>
      <c r="W1" s="157"/>
      <c r="X1" s="157"/>
      <c r="Y1" s="157"/>
      <c r="Z1" s="158"/>
      <c r="AA1" s="1"/>
    </row>
    <row r="2" spans="1:36" ht="12.75" customHeight="1" x14ac:dyDescent="0.25">
      <c r="A2" s="147"/>
      <c r="B2" s="148"/>
      <c r="C2" s="148"/>
      <c r="D2" s="148"/>
      <c r="E2" s="148"/>
      <c r="F2" s="149"/>
      <c r="G2" s="165" t="s">
        <v>1</v>
      </c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7"/>
      <c r="U2" s="159"/>
      <c r="V2" s="160"/>
      <c r="W2" s="160"/>
      <c r="X2" s="160"/>
      <c r="Y2" s="160"/>
      <c r="Z2" s="161"/>
      <c r="AA2" s="1"/>
    </row>
    <row r="3" spans="1:36" ht="12.75" customHeight="1" x14ac:dyDescent="0.25">
      <c r="A3" s="147"/>
      <c r="B3" s="148"/>
      <c r="C3" s="148"/>
      <c r="D3" s="148"/>
      <c r="E3" s="148"/>
      <c r="F3" s="149"/>
      <c r="G3" s="168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159"/>
      <c r="V3" s="160"/>
      <c r="W3" s="160"/>
      <c r="X3" s="160"/>
      <c r="Y3" s="160"/>
      <c r="Z3" s="161"/>
      <c r="AA3" s="1"/>
    </row>
    <row r="4" spans="1:36" ht="12.75" customHeight="1" x14ac:dyDescent="0.25">
      <c r="A4" s="147"/>
      <c r="B4" s="148"/>
      <c r="C4" s="148"/>
      <c r="D4" s="148"/>
      <c r="E4" s="148"/>
      <c r="F4" s="149"/>
      <c r="G4" s="168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59"/>
      <c r="V4" s="160"/>
      <c r="W4" s="160"/>
      <c r="X4" s="160"/>
      <c r="Y4" s="160"/>
      <c r="Z4" s="161"/>
      <c r="AA4" s="1"/>
    </row>
    <row r="5" spans="1:36" ht="12.75" customHeight="1" x14ac:dyDescent="0.25">
      <c r="A5" s="147"/>
      <c r="B5" s="148"/>
      <c r="C5" s="148"/>
      <c r="D5" s="148"/>
      <c r="E5" s="148"/>
      <c r="F5" s="149"/>
      <c r="G5" s="168" t="s">
        <v>2</v>
      </c>
      <c r="H5" s="166"/>
      <c r="I5" s="3" t="s">
        <v>3</v>
      </c>
      <c r="J5" s="169">
        <v>8</v>
      </c>
      <c r="K5" s="170"/>
      <c r="L5" s="171" t="s">
        <v>53</v>
      </c>
      <c r="M5" s="169"/>
      <c r="N5" s="169"/>
      <c r="O5" s="170"/>
      <c r="P5" s="172">
        <v>45470</v>
      </c>
      <c r="Q5" s="173"/>
      <c r="R5" s="173"/>
      <c r="S5" s="173"/>
      <c r="T5" s="174"/>
      <c r="U5" s="159"/>
      <c r="V5" s="160"/>
      <c r="W5" s="160"/>
      <c r="X5" s="160"/>
      <c r="Y5" s="160"/>
      <c r="Z5" s="161"/>
      <c r="AA5" s="1"/>
    </row>
    <row r="6" spans="1:36" ht="12.75" customHeight="1" x14ac:dyDescent="0.25">
      <c r="A6" s="150"/>
      <c r="B6" s="151"/>
      <c r="C6" s="151"/>
      <c r="D6" s="151"/>
      <c r="E6" s="151"/>
      <c r="F6" s="152"/>
      <c r="G6" s="4"/>
      <c r="H6" s="5"/>
      <c r="I6" s="5"/>
      <c r="J6" s="137" t="s">
        <v>4</v>
      </c>
      <c r="K6" s="137"/>
      <c r="L6" s="137" t="s">
        <v>5</v>
      </c>
      <c r="M6" s="137"/>
      <c r="N6" s="137"/>
      <c r="O6" s="137"/>
      <c r="P6" s="137" t="s">
        <v>6</v>
      </c>
      <c r="Q6" s="137"/>
      <c r="R6" s="137"/>
      <c r="S6" s="137"/>
      <c r="T6" s="138"/>
      <c r="U6" s="162"/>
      <c r="V6" s="163"/>
      <c r="W6" s="163"/>
      <c r="X6" s="163"/>
      <c r="Y6" s="163"/>
      <c r="Z6" s="164"/>
      <c r="AA6" s="1"/>
    </row>
    <row r="7" spans="1:36" ht="37.5" customHeight="1" x14ac:dyDescent="0.25">
      <c r="A7" s="139" t="s">
        <v>7</v>
      </c>
      <c r="B7" s="139"/>
      <c r="C7" s="139"/>
      <c r="D7" s="139"/>
      <c r="E7" s="139"/>
      <c r="F7" s="139"/>
      <c r="G7" s="140" t="s">
        <v>8</v>
      </c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15.9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141" t="s">
        <v>11</v>
      </c>
      <c r="C10" s="141"/>
      <c r="D10" s="141"/>
      <c r="E10" s="141"/>
      <c r="F10" s="141"/>
      <c r="G10" s="142" t="s">
        <v>82</v>
      </c>
      <c r="H10" s="142"/>
      <c r="I10" s="142"/>
      <c r="J10" s="142"/>
      <c r="K10" s="142"/>
      <c r="L10" s="142"/>
      <c r="M10" s="141" t="s">
        <v>12</v>
      </c>
      <c r="N10" s="141"/>
      <c r="O10" s="141"/>
      <c r="P10" s="141"/>
      <c r="Q10" s="141"/>
      <c r="R10" s="141"/>
      <c r="S10" s="143" t="s">
        <v>13</v>
      </c>
      <c r="T10" s="143"/>
      <c r="U10" s="143"/>
      <c r="V10" s="143"/>
      <c r="W10" s="143"/>
      <c r="X10" s="143"/>
      <c r="Y10" s="143"/>
      <c r="Z10" s="18"/>
      <c r="AA10" s="19"/>
      <c r="AB10" s="14"/>
      <c r="AC10" s="14"/>
      <c r="AD10" s="14"/>
      <c r="AE10" s="141"/>
      <c r="AF10" s="141"/>
      <c r="AG10" s="141"/>
      <c r="AH10" s="141"/>
      <c r="AI10" s="141"/>
    </row>
    <row r="11" spans="1:36" ht="15.9" customHeight="1" x14ac:dyDescent="0.25">
      <c r="A11" s="15"/>
      <c r="B11" s="141" t="s">
        <v>14</v>
      </c>
      <c r="C11" s="141"/>
      <c r="D11" s="141"/>
      <c r="E11" s="141"/>
      <c r="F11" s="141"/>
      <c r="G11" s="142">
        <v>45470</v>
      </c>
      <c r="H11" s="142"/>
      <c r="I11" s="142"/>
      <c r="J11" s="142"/>
      <c r="K11" s="142"/>
      <c r="L11" s="142"/>
      <c r="M11" s="141" t="s">
        <v>15</v>
      </c>
      <c r="N11" s="141"/>
      <c r="O11" s="141"/>
      <c r="P11" s="141"/>
      <c r="Q11" s="141"/>
      <c r="R11" s="141"/>
      <c r="S11" s="177" t="s">
        <v>77</v>
      </c>
      <c r="T11" s="177"/>
      <c r="U11" s="177"/>
      <c r="V11" s="177"/>
      <c r="W11" s="177"/>
      <c r="X11" s="177"/>
      <c r="Y11" s="177"/>
      <c r="Z11" s="18"/>
      <c r="AA11" s="19"/>
      <c r="AB11" s="14"/>
      <c r="AC11" s="14"/>
      <c r="AD11" s="14"/>
      <c r="AE11" s="141"/>
      <c r="AF11" s="141"/>
      <c r="AG11" s="141"/>
      <c r="AH11" s="141"/>
      <c r="AI11" s="141"/>
    </row>
    <row r="12" spans="1:36" ht="15.9" customHeight="1" x14ac:dyDescent="0.25">
      <c r="A12" s="15"/>
      <c r="B12" s="141" t="s">
        <v>16</v>
      </c>
      <c r="C12" s="141"/>
      <c r="D12" s="141"/>
      <c r="E12" s="141"/>
      <c r="F12" s="141"/>
      <c r="G12" s="175" t="s">
        <v>76</v>
      </c>
      <c r="H12" s="175"/>
      <c r="I12" s="175"/>
      <c r="J12" s="175"/>
      <c r="K12" s="175"/>
      <c r="L12" s="175"/>
      <c r="M12" s="176" t="s">
        <v>17</v>
      </c>
      <c r="N12" s="176"/>
      <c r="O12" s="176"/>
      <c r="P12" s="176"/>
      <c r="Q12" s="176"/>
      <c r="R12" s="176"/>
      <c r="S12" s="143">
        <v>110</v>
      </c>
      <c r="T12" s="143"/>
      <c r="U12" s="143"/>
      <c r="V12" s="143"/>
      <c r="W12" s="143"/>
      <c r="X12" s="143"/>
      <c r="Y12" s="143"/>
      <c r="Z12" s="18"/>
      <c r="AA12" s="19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0" t="s">
        <v>18</v>
      </c>
      <c r="C13" s="20"/>
      <c r="D13" s="20"/>
      <c r="E13" s="20"/>
      <c r="F13" s="20"/>
      <c r="G13" s="175" t="s">
        <v>56</v>
      </c>
      <c r="H13" s="175"/>
      <c r="I13" s="175"/>
      <c r="J13" s="175"/>
      <c r="K13" s="175"/>
      <c r="L13" s="175"/>
      <c r="M13" s="141" t="s">
        <v>19</v>
      </c>
      <c r="N13" s="141"/>
      <c r="O13" s="141"/>
      <c r="P13" s="141"/>
      <c r="Q13" s="141"/>
      <c r="R13" s="141"/>
      <c r="S13" s="175" t="s">
        <v>58</v>
      </c>
      <c r="T13" s="175"/>
      <c r="U13" s="175"/>
      <c r="V13" s="175"/>
      <c r="W13" s="175"/>
      <c r="X13" s="175"/>
      <c r="Y13" s="175"/>
      <c r="Z13" s="18"/>
      <c r="AA13" s="19"/>
      <c r="AB13" s="14"/>
      <c r="AC13" s="14"/>
      <c r="AD13" s="14"/>
      <c r="AE13" s="141"/>
      <c r="AF13" s="141"/>
      <c r="AG13" s="141"/>
      <c r="AH13" s="141"/>
      <c r="AI13" s="141"/>
      <c r="AJ13" s="141"/>
    </row>
    <row r="14" spans="1:36" ht="15.9" customHeight="1" x14ac:dyDescent="0.25">
      <c r="A14" s="21"/>
      <c r="B14" s="141" t="s">
        <v>20</v>
      </c>
      <c r="C14" s="141"/>
      <c r="D14" s="141"/>
      <c r="E14" s="141"/>
      <c r="F14" s="141"/>
      <c r="G14" s="175" t="s">
        <v>57</v>
      </c>
      <c r="H14" s="175"/>
      <c r="I14" s="175"/>
      <c r="J14" s="175"/>
      <c r="K14" s="175"/>
      <c r="L14" s="175"/>
      <c r="M14" s="143" t="s">
        <v>21</v>
      </c>
      <c r="N14" s="143"/>
      <c r="O14" s="143"/>
      <c r="P14" s="143"/>
      <c r="Q14" s="143"/>
      <c r="R14" s="143"/>
      <c r="S14" s="143" t="s">
        <v>22</v>
      </c>
      <c r="T14" s="143"/>
      <c r="U14" s="143"/>
      <c r="V14" s="143"/>
      <c r="W14" s="143"/>
      <c r="X14" s="143"/>
      <c r="Y14" s="143"/>
      <c r="Z14" s="22"/>
      <c r="AA14" s="14"/>
      <c r="AB14" s="14"/>
      <c r="AC14" s="14"/>
      <c r="AD14" s="14"/>
      <c r="AE14" s="141"/>
      <c r="AF14" s="141"/>
      <c r="AG14" s="141"/>
      <c r="AH14" s="141"/>
      <c r="AI14" s="141"/>
      <c r="AJ14" s="141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141"/>
      <c r="AF15" s="141"/>
      <c r="AG15" s="141"/>
      <c r="AH15" s="141"/>
      <c r="AI15" s="141"/>
      <c r="AJ15" s="141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141"/>
      <c r="AF16" s="141"/>
      <c r="AG16" s="141"/>
      <c r="AH16" s="141"/>
      <c r="AI16" s="141"/>
      <c r="AJ16" s="141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141" t="s">
        <v>25</v>
      </c>
      <c r="C19" s="141"/>
      <c r="D19" s="141"/>
      <c r="E19" s="141"/>
      <c r="F19" s="141"/>
      <c r="G19" s="141"/>
      <c r="H19" s="141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8"/>
      <c r="AA19" s="19"/>
      <c r="AE19" s="30"/>
      <c r="AI19" s="30"/>
    </row>
    <row r="20" spans="1:40" ht="15.9" customHeight="1" x14ac:dyDescent="0.25">
      <c r="A20" s="15"/>
      <c r="B20" s="141" t="s">
        <v>26</v>
      </c>
      <c r="C20" s="141"/>
      <c r="D20" s="141"/>
      <c r="E20" s="141"/>
      <c r="F20" s="141"/>
      <c r="G20" s="141"/>
      <c r="H20" s="141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8"/>
      <c r="AA20" s="19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2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3" t="s">
        <v>23</v>
      </c>
      <c r="B23" s="34" t="s">
        <v>27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39"/>
      <c r="AN23" s="40"/>
    </row>
    <row r="24" spans="1:40" ht="9" customHeight="1" x14ac:dyDescent="0.25">
      <c r="A24" s="21"/>
      <c r="Z24" s="41"/>
    </row>
    <row r="25" spans="1:40" ht="9" customHeight="1" x14ac:dyDescent="0.25">
      <c r="A25" s="21"/>
      <c r="Z25" s="41"/>
    </row>
    <row r="26" spans="1:40" ht="9" customHeight="1" x14ac:dyDescent="0.25">
      <c r="A26" s="21"/>
      <c r="Z26" s="41"/>
    </row>
    <row r="27" spans="1:40" ht="12.75" customHeight="1" x14ac:dyDescent="0.25">
      <c r="A27" s="21"/>
      <c r="Z27" s="41"/>
    </row>
    <row r="28" spans="1:40" ht="12.75" customHeight="1" x14ac:dyDescent="0.25">
      <c r="A28" s="21"/>
      <c r="Z28" s="41"/>
    </row>
    <row r="29" spans="1:40" ht="12.75" customHeight="1" x14ac:dyDescent="0.25">
      <c r="A29" s="21"/>
      <c r="Z29" s="41"/>
    </row>
    <row r="30" spans="1:40" ht="12.75" customHeight="1" x14ac:dyDescent="0.25">
      <c r="A30" s="21"/>
      <c r="Z30" s="41"/>
    </row>
    <row r="31" spans="1:40" ht="12.75" customHeight="1" x14ac:dyDescent="0.25">
      <c r="A31" s="21"/>
      <c r="Z31" s="41"/>
    </row>
    <row r="32" spans="1:40" ht="12.75" customHeight="1" x14ac:dyDescent="0.25">
      <c r="A32" s="21"/>
      <c r="Z32" s="41"/>
    </row>
    <row r="33" spans="1:26" ht="12.75" customHeight="1" x14ac:dyDescent="0.25">
      <c r="A33" s="21"/>
      <c r="Z33" s="41"/>
    </row>
    <row r="34" spans="1:26" ht="12.75" customHeight="1" x14ac:dyDescent="0.25">
      <c r="A34" s="21"/>
      <c r="Z34" s="41"/>
    </row>
    <row r="35" spans="1:26" ht="12.75" customHeight="1" x14ac:dyDescent="0.25">
      <c r="A35" s="21"/>
      <c r="Z35" s="41"/>
    </row>
    <row r="36" spans="1:26" ht="12.75" customHeight="1" x14ac:dyDescent="0.25">
      <c r="A36" s="21"/>
      <c r="Z36" s="41"/>
    </row>
    <row r="37" spans="1:26" ht="12.75" customHeight="1" x14ac:dyDescent="0.25">
      <c r="A37" s="21"/>
      <c r="Z37" s="41"/>
    </row>
    <row r="38" spans="1:26" ht="12.75" customHeight="1" x14ac:dyDescent="0.25">
      <c r="A38" s="21"/>
      <c r="Z38" s="41"/>
    </row>
    <row r="39" spans="1:26" ht="12.75" customHeight="1" x14ac:dyDescent="0.25">
      <c r="A39" s="21"/>
      <c r="Z39" s="41"/>
    </row>
    <row r="40" spans="1:26" ht="12.75" customHeight="1" x14ac:dyDescent="0.25">
      <c r="A40" s="21"/>
      <c r="Z40" s="41"/>
    </row>
    <row r="41" spans="1:26" ht="12.75" customHeight="1" x14ac:dyDescent="0.25">
      <c r="A41" s="21"/>
      <c r="Z41" s="41"/>
    </row>
    <row r="42" spans="1:26" ht="12.75" customHeight="1" x14ac:dyDescent="0.25">
      <c r="A42" s="21"/>
      <c r="Z42" s="41"/>
    </row>
    <row r="43" spans="1:26" ht="12.75" customHeight="1" x14ac:dyDescent="0.25">
      <c r="A43" s="21"/>
      <c r="Z43" s="41"/>
    </row>
    <row r="44" spans="1:26" ht="12.75" customHeight="1" x14ac:dyDescent="0.25">
      <c r="A44" s="21"/>
      <c r="Z44" s="41"/>
    </row>
    <row r="45" spans="1:26" ht="12.75" customHeight="1" x14ac:dyDescent="0.25">
      <c r="A45" s="21"/>
      <c r="Z45" s="41"/>
    </row>
    <row r="46" spans="1:26" ht="12.75" customHeight="1" x14ac:dyDescent="0.25">
      <c r="A46" s="21"/>
      <c r="Z46" s="41"/>
    </row>
    <row r="47" spans="1:26" ht="12.75" customHeight="1" x14ac:dyDescent="0.25">
      <c r="A47" s="21"/>
      <c r="Z47" s="41"/>
    </row>
    <row r="48" spans="1:26" ht="12.75" customHeight="1" x14ac:dyDescent="0.25">
      <c r="A48" s="21"/>
      <c r="Z48" s="41"/>
    </row>
    <row r="49" spans="1:34" ht="12.75" customHeight="1" x14ac:dyDescent="0.25">
      <c r="A49" s="21"/>
      <c r="Z49" s="41"/>
    </row>
    <row r="50" spans="1:34" ht="9.75" customHeight="1" thickBot="1" x14ac:dyDescent="0.3">
      <c r="A50" s="21"/>
      <c r="Z50" s="41"/>
    </row>
    <row r="51" spans="1:34" ht="9.75" customHeight="1" x14ac:dyDescent="0.25">
      <c r="A51" s="21"/>
      <c r="Z51" s="41"/>
      <c r="AD51" s="179" t="s">
        <v>28</v>
      </c>
      <c r="AE51" s="181">
        <v>2.6469999999999998</v>
      </c>
      <c r="AF51" s="183"/>
      <c r="AG51" s="185"/>
      <c r="AH51" s="42"/>
    </row>
    <row r="52" spans="1:34" ht="12.75" customHeight="1" thickBot="1" x14ac:dyDescent="0.3">
      <c r="A52" s="21"/>
      <c r="Z52" s="43"/>
      <c r="AD52" s="180"/>
      <c r="AE52" s="182"/>
      <c r="AF52" s="184"/>
      <c r="AG52" s="185"/>
    </row>
    <row r="53" spans="1:34" ht="18.75" customHeight="1" thickBot="1" x14ac:dyDescent="0.3">
      <c r="A53" s="21"/>
      <c r="E53" s="186" t="s">
        <v>29</v>
      </c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8" t="s">
        <v>30</v>
      </c>
      <c r="V53" s="189"/>
      <c r="W53" s="192" t="s">
        <v>31</v>
      </c>
      <c r="X53" s="189"/>
      <c r="Y53" s="194" t="s">
        <v>32</v>
      </c>
      <c r="Z53" s="195"/>
      <c r="AA53" s="44"/>
      <c r="AB53" s="198" t="s">
        <v>33</v>
      </c>
      <c r="AC53" s="199"/>
      <c r="AD53" s="202" t="s">
        <v>34</v>
      </c>
      <c r="AE53" s="204" t="s">
        <v>35</v>
      </c>
      <c r="AF53" s="183"/>
      <c r="AG53" s="183"/>
      <c r="AH53" s="45"/>
    </row>
    <row r="54" spans="1:34" ht="24.9" customHeight="1" thickBot="1" x14ac:dyDescent="0.3">
      <c r="A54" s="46"/>
      <c r="B54" s="47" t="s">
        <v>36</v>
      </c>
      <c r="C54" s="207" t="s">
        <v>37</v>
      </c>
      <c r="D54" s="208"/>
      <c r="E54" s="48">
        <v>6.3E-2</v>
      </c>
      <c r="F54" s="48">
        <v>0.125</v>
      </c>
      <c r="G54" s="49">
        <v>0.25</v>
      </c>
      <c r="H54" s="49">
        <v>0.5</v>
      </c>
      <c r="I54" s="49">
        <v>1</v>
      </c>
      <c r="J54" s="49">
        <v>2</v>
      </c>
      <c r="K54" s="49">
        <v>4</v>
      </c>
      <c r="L54" s="49">
        <v>6.3</v>
      </c>
      <c r="M54" s="49">
        <v>8</v>
      </c>
      <c r="N54" s="49">
        <v>10</v>
      </c>
      <c r="O54" s="49">
        <v>12.5</v>
      </c>
      <c r="P54" s="49">
        <v>14</v>
      </c>
      <c r="Q54" s="50">
        <v>16</v>
      </c>
      <c r="R54" s="50">
        <v>20</v>
      </c>
      <c r="S54" s="49"/>
      <c r="T54" s="50"/>
      <c r="U54" s="190"/>
      <c r="V54" s="191"/>
      <c r="W54" s="193"/>
      <c r="X54" s="191"/>
      <c r="Y54" s="196"/>
      <c r="Z54" s="197"/>
      <c r="AA54" s="44"/>
      <c r="AB54" s="200"/>
      <c r="AC54" s="201"/>
      <c r="AD54" s="203"/>
      <c r="AE54" s="205"/>
      <c r="AF54" s="206"/>
      <c r="AG54" s="183"/>
    </row>
    <row r="55" spans="1:34" ht="24.9" customHeight="1" x14ac:dyDescent="0.25">
      <c r="A55" s="46"/>
      <c r="B55" s="51">
        <v>1</v>
      </c>
      <c r="C55" s="209" t="s">
        <v>80</v>
      </c>
      <c r="D55" s="210"/>
      <c r="E55" s="125">
        <v>7.3</v>
      </c>
      <c r="F55" s="126">
        <v>9.4</v>
      </c>
      <c r="G55" s="127">
        <v>12.4</v>
      </c>
      <c r="H55" s="127">
        <v>16</v>
      </c>
      <c r="I55" s="127">
        <v>20.9</v>
      </c>
      <c r="J55" s="127">
        <v>29.7</v>
      </c>
      <c r="K55" s="127">
        <v>44.5</v>
      </c>
      <c r="L55" s="127">
        <v>61.8</v>
      </c>
      <c r="M55" s="127">
        <v>77.8</v>
      </c>
      <c r="N55" s="127">
        <v>94.2</v>
      </c>
      <c r="O55" s="127">
        <v>100</v>
      </c>
      <c r="P55" s="127"/>
      <c r="Q55" s="127"/>
      <c r="R55" s="127"/>
      <c r="S55" s="128"/>
      <c r="T55" s="128"/>
      <c r="U55" s="211">
        <v>171</v>
      </c>
      <c r="V55" s="212"/>
      <c r="W55" s="213">
        <v>5.26</v>
      </c>
      <c r="X55" s="214"/>
      <c r="Y55" s="215">
        <f>IF(W55&lt;&gt;0,AE55,"")</f>
        <v>3.2748782053345877</v>
      </c>
      <c r="Z55" s="216"/>
      <c r="AA55" s="52"/>
      <c r="AB55" s="217">
        <f>(100*W55)/(100-W55)</f>
        <v>5.5520371543170786</v>
      </c>
      <c r="AC55" s="218"/>
      <c r="AD55" s="53">
        <f>(0.25*(100-O55)+2.3*(O55-H55)+12*(H55-E55)+150*(E55))/100</f>
        <v>13.925999999999998</v>
      </c>
      <c r="AE55" s="54">
        <f>(AB55*$AE$51)/(2.65*(AD55)^(1/5))</f>
        <v>3.2748782053345877</v>
      </c>
      <c r="AF55" s="28"/>
      <c r="AG55" s="55"/>
    </row>
    <row r="56" spans="1:34" ht="24.9" customHeight="1" x14ac:dyDescent="0.25">
      <c r="A56" s="46"/>
      <c r="B56" s="56">
        <v>2</v>
      </c>
      <c r="C56" s="209" t="s">
        <v>81</v>
      </c>
      <c r="D56" s="210"/>
      <c r="E56" s="120">
        <v>7.3</v>
      </c>
      <c r="F56" s="121">
        <v>9.5</v>
      </c>
      <c r="G56" s="122">
        <v>11.9</v>
      </c>
      <c r="H56" s="122">
        <v>16.100000000000001</v>
      </c>
      <c r="I56" s="122">
        <v>21.2</v>
      </c>
      <c r="J56" s="122">
        <v>28.3</v>
      </c>
      <c r="K56" s="122">
        <v>45.4</v>
      </c>
      <c r="L56" s="122">
        <v>62.4</v>
      </c>
      <c r="M56" s="122">
        <v>78</v>
      </c>
      <c r="N56" s="122">
        <v>93.7</v>
      </c>
      <c r="O56" s="122">
        <v>100</v>
      </c>
      <c r="P56" s="122"/>
      <c r="Q56" s="122"/>
      <c r="R56" s="122"/>
      <c r="S56" s="123"/>
      <c r="T56" s="123"/>
      <c r="U56" s="302">
        <v>168</v>
      </c>
      <c r="V56" s="303"/>
      <c r="W56" s="304">
        <v>5.0999999999999996</v>
      </c>
      <c r="X56" s="305"/>
      <c r="Y56" s="230">
        <f>IF(W56&lt;&gt;0,AE56,"")</f>
        <v>3.1694672846774714</v>
      </c>
      <c r="Z56" s="231"/>
      <c r="AA56" s="52"/>
      <c r="AB56" s="217">
        <f>(100*W56)/(100-W56)</f>
        <v>5.3740779768177021</v>
      </c>
      <c r="AC56" s="218"/>
      <c r="AD56" s="53">
        <f t="shared" ref="AD56:AD62" si="0">(0.25*(100-O56)+2.3*(O56-H56)+12*(H56-E56)+150*(E56))/100</f>
        <v>13.935699999999999</v>
      </c>
      <c r="AE56" s="54">
        <f t="shared" ref="AE56:AE62" si="1">(AB56*$AE$51)/(2.65*(AD56)^(1/5))</f>
        <v>3.1694672846774714</v>
      </c>
      <c r="AF56" s="28"/>
      <c r="AG56" s="55"/>
    </row>
    <row r="57" spans="1:34" ht="24.9" customHeight="1" x14ac:dyDescent="0.25">
      <c r="A57" s="46"/>
      <c r="B57" s="56">
        <v>3</v>
      </c>
      <c r="C57" s="232"/>
      <c r="D57" s="233"/>
      <c r="E57" s="57"/>
      <c r="F57" s="58"/>
      <c r="G57" s="58"/>
      <c r="H57" s="59"/>
      <c r="I57" s="59"/>
      <c r="J57" s="59"/>
      <c r="K57" s="59"/>
      <c r="L57" s="59"/>
      <c r="M57" s="59"/>
      <c r="N57" s="59"/>
      <c r="O57" s="60"/>
      <c r="P57" s="59"/>
      <c r="Q57" s="60"/>
      <c r="R57" s="59"/>
      <c r="S57" s="59"/>
      <c r="T57" s="61"/>
      <c r="U57" s="234"/>
      <c r="V57" s="235"/>
      <c r="W57" s="236"/>
      <c r="X57" s="237"/>
      <c r="Y57" s="230" t="str">
        <f t="shared" ref="Y57:Y58" si="2">IF(W57&lt;&gt;0,AE57,"")</f>
        <v/>
      </c>
      <c r="Z57" s="231"/>
      <c r="AA57" s="52"/>
      <c r="AB57" s="217">
        <f>(100*W57)/(100-W57)</f>
        <v>0</v>
      </c>
      <c r="AC57" s="218"/>
      <c r="AD57" s="53">
        <f t="shared" si="0"/>
        <v>0.25</v>
      </c>
      <c r="AE57" s="54">
        <f t="shared" si="1"/>
        <v>0</v>
      </c>
      <c r="AF57" s="28"/>
      <c r="AG57" s="55"/>
    </row>
    <row r="58" spans="1:34" ht="24.9" customHeight="1" thickBot="1" x14ac:dyDescent="0.3">
      <c r="A58" s="46"/>
      <c r="B58" s="62">
        <v>4</v>
      </c>
      <c r="C58" s="219"/>
      <c r="D58" s="220"/>
      <c r="E58" s="63"/>
      <c r="F58" s="64"/>
      <c r="G58" s="64"/>
      <c r="H58" s="65"/>
      <c r="I58" s="65"/>
      <c r="J58" s="65"/>
      <c r="K58" s="65"/>
      <c r="L58" s="65"/>
      <c r="M58" s="65"/>
      <c r="N58" s="65"/>
      <c r="O58" s="66"/>
      <c r="P58" s="65"/>
      <c r="Q58" s="66"/>
      <c r="R58" s="65"/>
      <c r="S58" s="65"/>
      <c r="T58" s="67"/>
      <c r="U58" s="221"/>
      <c r="V58" s="222"/>
      <c r="W58" s="223"/>
      <c r="X58" s="224"/>
      <c r="Y58" s="225" t="str">
        <f t="shared" si="2"/>
        <v/>
      </c>
      <c r="Z58" s="226"/>
      <c r="AA58" s="52"/>
      <c r="AB58" s="217">
        <f>(100*W58)/(100-W58)</f>
        <v>0</v>
      </c>
      <c r="AC58" s="218"/>
      <c r="AD58" s="53">
        <f t="shared" si="0"/>
        <v>0.25</v>
      </c>
      <c r="AE58" s="54">
        <f t="shared" si="1"/>
        <v>0</v>
      </c>
      <c r="AF58" s="28"/>
      <c r="AG58" s="55"/>
    </row>
    <row r="59" spans="1:34" ht="10.5" customHeight="1" thickBot="1" x14ac:dyDescent="0.3">
      <c r="A59" s="46"/>
      <c r="B59" s="2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9"/>
      <c r="P59" s="68"/>
      <c r="Q59" s="69"/>
      <c r="R59" s="68"/>
      <c r="S59" s="68"/>
      <c r="T59" s="68"/>
      <c r="U59" s="68"/>
      <c r="V59" s="68"/>
      <c r="W59" s="70"/>
      <c r="Z59" s="71"/>
      <c r="AB59" s="72"/>
      <c r="AC59" s="73"/>
      <c r="AD59" s="53"/>
      <c r="AE59" s="54"/>
      <c r="AF59" s="28"/>
      <c r="AG59" s="55"/>
    </row>
    <row r="60" spans="1:34" ht="24.75" hidden="1" customHeight="1" x14ac:dyDescent="0.25">
      <c r="A60" s="46"/>
      <c r="B60" s="227" t="s">
        <v>38</v>
      </c>
      <c r="C60" s="228"/>
      <c r="D60" s="229"/>
      <c r="E60" s="74"/>
      <c r="F60" s="74"/>
      <c r="G60" s="74"/>
      <c r="H60" s="74"/>
      <c r="I60" s="74"/>
      <c r="J60" s="74"/>
      <c r="K60" s="74"/>
      <c r="L60" s="74"/>
      <c r="M60" s="74">
        <v>10</v>
      </c>
      <c r="N60" s="74">
        <v>10</v>
      </c>
      <c r="O60" s="75"/>
      <c r="P60" s="74"/>
      <c r="Q60" s="75">
        <v>50</v>
      </c>
      <c r="R60" s="74"/>
      <c r="S60" s="74">
        <v>70</v>
      </c>
      <c r="T60" s="74"/>
      <c r="U60" s="74"/>
      <c r="V60" s="74"/>
      <c r="W60" s="74"/>
      <c r="X60" s="76"/>
      <c r="Y60" s="77">
        <v>4.5</v>
      </c>
      <c r="Z60" s="77"/>
      <c r="AA60" s="28"/>
      <c r="AB60" s="72"/>
      <c r="AC60" s="73"/>
      <c r="AD60" s="53">
        <f t="shared" si="0"/>
        <v>0.25</v>
      </c>
      <c r="AE60" s="54">
        <f t="shared" si="1"/>
        <v>0</v>
      </c>
      <c r="AF60" s="28"/>
      <c r="AG60" s="55"/>
    </row>
    <row r="61" spans="1:34" ht="18.75" customHeight="1" x14ac:dyDescent="0.25">
      <c r="A61" s="46"/>
      <c r="B61" s="238" t="s">
        <v>39</v>
      </c>
      <c r="C61" s="239"/>
      <c r="D61" s="240"/>
      <c r="E61" s="78">
        <f>IF(E55&lt;&gt;0,AVERAGE(E55:E58),"")</f>
        <v>7.3</v>
      </c>
      <c r="F61" s="78">
        <f t="shared" ref="F61:L61" si="3">IF(F55&lt;&gt;0,AVERAGE(F55:F58),"")</f>
        <v>9.4499999999999993</v>
      </c>
      <c r="G61" s="78">
        <f t="shared" si="3"/>
        <v>12.15</v>
      </c>
      <c r="H61" s="78">
        <f t="shared" si="3"/>
        <v>16.05</v>
      </c>
      <c r="I61" s="78">
        <f t="shared" si="3"/>
        <v>21.049999999999997</v>
      </c>
      <c r="J61" s="78">
        <f t="shared" si="3"/>
        <v>29</v>
      </c>
      <c r="K61" s="78">
        <f t="shared" si="3"/>
        <v>44.95</v>
      </c>
      <c r="L61" s="78">
        <f t="shared" si="3"/>
        <v>62.099999999999994</v>
      </c>
      <c r="M61" s="78">
        <f>IF(M55&lt;&gt;0,AVERAGE(M55:M58),"")</f>
        <v>77.900000000000006</v>
      </c>
      <c r="N61" s="78">
        <f>IF(N55&lt;&gt;0,AVERAGE(N55:N58),"")</f>
        <v>93.95</v>
      </c>
      <c r="O61" s="79">
        <f>IF(O55&lt;&gt;0,AVERAGE(O55:O58),"")</f>
        <v>100</v>
      </c>
      <c r="P61" s="79"/>
      <c r="Q61" s="79"/>
      <c r="R61" s="78"/>
      <c r="S61" s="78" t="str">
        <f t="shared" ref="S61:T61" si="4">IF(S55&lt;&gt;0,AVERAGE(S55:S58),"")</f>
        <v/>
      </c>
      <c r="T61" s="80" t="str">
        <f t="shared" si="4"/>
        <v/>
      </c>
      <c r="U61" s="241">
        <f>IF(U55&lt;&gt;0,AVERAGE(U55:V58),"")</f>
        <v>169.5</v>
      </c>
      <c r="V61" s="242"/>
      <c r="W61" s="243">
        <f>IF(W55&lt;&gt;0,AVERAGE(W55:X58),"")</f>
        <v>5.18</v>
      </c>
      <c r="X61" s="244"/>
      <c r="Y61" s="245">
        <f>IF(W55&lt;&gt;0,AVERAGE(Y55:Z58),"")</f>
        <v>3.2221727450060298</v>
      </c>
      <c r="Z61" s="246"/>
      <c r="AA61" s="55"/>
      <c r="AB61" s="217">
        <f>(100*W61)/(100-W61)</f>
        <v>5.4629824931449065</v>
      </c>
      <c r="AC61" s="218"/>
      <c r="AD61" s="53">
        <f t="shared" si="0"/>
        <v>13.93085</v>
      </c>
      <c r="AE61" s="54">
        <f t="shared" si="1"/>
        <v>3.2221247653923566</v>
      </c>
      <c r="AF61" s="28"/>
      <c r="AG61" s="55"/>
    </row>
    <row r="62" spans="1:34" ht="21" customHeight="1" x14ac:dyDescent="0.25">
      <c r="A62" s="46"/>
      <c r="B62" s="247" t="s">
        <v>40</v>
      </c>
      <c r="C62" s="248"/>
      <c r="D62" s="249"/>
      <c r="E62" s="81">
        <v>6.5</v>
      </c>
      <c r="F62" s="81">
        <v>8</v>
      </c>
      <c r="G62" s="81">
        <v>11</v>
      </c>
      <c r="H62" s="81">
        <v>16</v>
      </c>
      <c r="I62" s="81">
        <v>21</v>
      </c>
      <c r="J62" s="81">
        <v>30</v>
      </c>
      <c r="K62" s="81">
        <v>44</v>
      </c>
      <c r="L62" s="81">
        <v>60</v>
      </c>
      <c r="M62" s="81">
        <v>76</v>
      </c>
      <c r="N62" s="81">
        <v>95</v>
      </c>
      <c r="O62" s="82">
        <v>100</v>
      </c>
      <c r="P62" s="81"/>
      <c r="Q62" s="82"/>
      <c r="R62" s="81"/>
      <c r="S62" s="81"/>
      <c r="T62" s="83"/>
      <c r="U62" s="250"/>
      <c r="V62" s="251"/>
      <c r="W62" s="252">
        <v>5.4</v>
      </c>
      <c r="X62" s="253"/>
      <c r="Y62" s="254">
        <f>AE62</f>
        <v>3.4230996041984052</v>
      </c>
      <c r="Z62" s="255"/>
      <c r="AA62" s="55"/>
      <c r="AB62" s="217">
        <f>(100*W62)/(100-W62)</f>
        <v>5.7082452431289648</v>
      </c>
      <c r="AC62" s="218"/>
      <c r="AD62" s="53">
        <f t="shared" si="0"/>
        <v>12.822000000000001</v>
      </c>
      <c r="AE62" s="54">
        <f t="shared" si="1"/>
        <v>3.4230996041984052</v>
      </c>
      <c r="AF62" s="28"/>
      <c r="AG62" s="55"/>
    </row>
    <row r="63" spans="1:34" ht="13.5" customHeight="1" x14ac:dyDescent="0.25">
      <c r="A63" s="46"/>
      <c r="B63" s="84"/>
      <c r="C63" s="85" t="s">
        <v>41</v>
      </c>
      <c r="D63" s="86"/>
      <c r="E63" s="59">
        <f>E62+2</f>
        <v>8.5</v>
      </c>
      <c r="F63" s="59"/>
      <c r="G63" s="59"/>
      <c r="H63" s="59"/>
      <c r="I63" s="59"/>
      <c r="J63" s="59">
        <f>J62+6</f>
        <v>36</v>
      </c>
      <c r="K63" s="59"/>
      <c r="L63" s="59">
        <f>L62+7</f>
        <v>67</v>
      </c>
      <c r="M63" s="59"/>
      <c r="N63" s="59"/>
      <c r="O63" s="59"/>
      <c r="P63" s="59"/>
      <c r="Q63" s="60"/>
      <c r="R63" s="59"/>
      <c r="S63" s="59"/>
      <c r="T63" s="61"/>
      <c r="U63" s="234"/>
      <c r="V63" s="235"/>
      <c r="W63" s="256">
        <f>W62+0.5</f>
        <v>5.9</v>
      </c>
      <c r="X63" s="235"/>
      <c r="Y63" s="232"/>
      <c r="Z63" s="257"/>
      <c r="AA63" s="87"/>
      <c r="AB63" s="88"/>
      <c r="AC63" s="89"/>
      <c r="AD63" s="258"/>
      <c r="AE63" s="260" t="s">
        <v>42</v>
      </c>
      <c r="AF63" s="28"/>
      <c r="AG63" s="55"/>
    </row>
    <row r="64" spans="1:34" ht="13.5" customHeight="1" thickBot="1" x14ac:dyDescent="0.3">
      <c r="A64" s="46"/>
      <c r="B64" s="190" t="s">
        <v>43</v>
      </c>
      <c r="C64" s="193"/>
      <c r="D64" s="191"/>
      <c r="E64" s="90">
        <f>E62-2</f>
        <v>4.5</v>
      </c>
      <c r="F64" s="90"/>
      <c r="G64" s="91"/>
      <c r="H64" s="91"/>
      <c r="I64" s="91"/>
      <c r="J64" s="90">
        <f>J62-6</f>
        <v>24</v>
      </c>
      <c r="K64" s="91"/>
      <c r="L64" s="90">
        <f>L62-7</f>
        <v>53</v>
      </c>
      <c r="M64" s="90"/>
      <c r="N64" s="91"/>
      <c r="O64" s="91"/>
      <c r="P64" s="91"/>
      <c r="Q64" s="90"/>
      <c r="R64" s="91"/>
      <c r="S64" s="91"/>
      <c r="T64" s="92"/>
      <c r="U64" s="262"/>
      <c r="V64" s="263"/>
      <c r="W64" s="264">
        <f>W62-0.5</f>
        <v>4.9000000000000004</v>
      </c>
      <c r="X64" s="263"/>
      <c r="Y64" s="219"/>
      <c r="Z64" s="265"/>
      <c r="AA64" s="93"/>
      <c r="AB64" s="94"/>
      <c r="AC64" s="95"/>
      <c r="AD64" s="259"/>
      <c r="AE64" s="261"/>
      <c r="AF64" s="28"/>
      <c r="AG64" s="55"/>
    </row>
    <row r="65" spans="1:30" ht="6.75" customHeigh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96"/>
    </row>
    <row r="66" spans="1:30" ht="8.25" customHeight="1" x14ac:dyDescent="0.25"/>
    <row r="67" spans="1:30" ht="34.5" customHeight="1" x14ac:dyDescent="0.25">
      <c r="A67" s="97" t="s">
        <v>44</v>
      </c>
      <c r="B67" s="98" t="s">
        <v>45</v>
      </c>
      <c r="C67" s="99"/>
      <c r="D67" s="99"/>
      <c r="E67" s="99"/>
      <c r="F67" s="100"/>
      <c r="G67" s="100"/>
      <c r="H67" s="100"/>
      <c r="I67" s="10"/>
      <c r="J67" s="10"/>
      <c r="K67" s="10"/>
      <c r="L67" s="10"/>
      <c r="M67" s="10"/>
      <c r="N67" s="10"/>
      <c r="O67" s="10"/>
      <c r="P67" s="10"/>
      <c r="Q67" s="100"/>
      <c r="R67" s="10"/>
      <c r="S67" s="10"/>
      <c r="T67" s="10"/>
      <c r="U67" s="279"/>
      <c r="V67" s="279"/>
      <c r="W67" s="279"/>
      <c r="X67" s="279"/>
      <c r="Y67" s="279"/>
      <c r="Z67" s="280"/>
      <c r="AA67" s="101"/>
      <c r="AB67" s="102"/>
      <c r="AC67" s="102"/>
      <c r="AD67" s="103"/>
    </row>
    <row r="68" spans="1:30" ht="27" customHeight="1" x14ac:dyDescent="0.25">
      <c r="A68" s="281" t="s">
        <v>46</v>
      </c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3"/>
      <c r="R68" s="272" t="s">
        <v>47</v>
      </c>
      <c r="S68" s="273"/>
      <c r="T68" s="274"/>
      <c r="U68" s="284" t="s">
        <v>78</v>
      </c>
      <c r="V68" s="285"/>
      <c r="W68" s="285"/>
      <c r="X68" s="286"/>
      <c r="Y68" s="286"/>
      <c r="Z68" s="287"/>
      <c r="AA68" s="104"/>
      <c r="AB68" s="105"/>
      <c r="AC68" s="105"/>
      <c r="AD68" s="103"/>
    </row>
    <row r="69" spans="1:30" ht="15.75" customHeight="1" x14ac:dyDescent="0.25">
      <c r="A69" s="288" t="s">
        <v>48</v>
      </c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90"/>
      <c r="R69" s="272" t="s">
        <v>49</v>
      </c>
      <c r="S69" s="273"/>
      <c r="T69" s="274"/>
      <c r="U69" s="294" t="s">
        <v>79</v>
      </c>
      <c r="V69" s="295"/>
      <c r="W69" s="295"/>
      <c r="X69" s="295"/>
      <c r="Y69" s="295"/>
      <c r="Z69" s="296"/>
      <c r="AA69" s="104"/>
      <c r="AB69" s="105"/>
      <c r="AC69" s="105"/>
      <c r="AD69" s="103"/>
    </row>
    <row r="70" spans="1:30" ht="9" customHeight="1" x14ac:dyDescent="0.25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90"/>
      <c r="R70" s="272"/>
      <c r="S70" s="273"/>
      <c r="T70" s="274"/>
      <c r="U70" s="297"/>
      <c r="V70" s="178"/>
      <c r="W70" s="178"/>
      <c r="X70" s="178"/>
      <c r="Y70" s="178"/>
      <c r="Z70" s="298"/>
      <c r="AA70" s="104"/>
      <c r="AB70" s="105"/>
      <c r="AC70" s="105"/>
      <c r="AD70" s="103"/>
    </row>
    <row r="71" spans="1:30" ht="15.9" customHeight="1" x14ac:dyDescent="0.25">
      <c r="A71" s="291"/>
      <c r="B71" s="292"/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93"/>
      <c r="R71" s="272"/>
      <c r="S71" s="273"/>
      <c r="T71" s="274"/>
      <c r="U71" s="297"/>
      <c r="V71" s="178"/>
      <c r="W71" s="178"/>
      <c r="X71" s="178"/>
      <c r="Y71" s="178"/>
      <c r="Z71" s="298"/>
      <c r="AA71" s="104"/>
      <c r="AB71" s="105"/>
      <c r="AC71" s="105"/>
      <c r="AD71" s="103"/>
    </row>
    <row r="72" spans="1:30" ht="15.9" customHeight="1" x14ac:dyDescent="0.25">
      <c r="A72" s="106" t="s">
        <v>50</v>
      </c>
      <c r="B72" s="107" t="s">
        <v>51</v>
      </c>
      <c r="C72" s="13"/>
      <c r="D72" s="13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9"/>
      <c r="R72" s="272"/>
      <c r="S72" s="273"/>
      <c r="T72" s="274"/>
      <c r="U72" s="299"/>
      <c r="V72" s="300"/>
      <c r="W72" s="300"/>
      <c r="X72" s="300"/>
      <c r="Y72" s="300"/>
      <c r="Z72" s="301"/>
      <c r="AA72" s="104"/>
      <c r="AB72" s="105"/>
      <c r="AC72" s="105"/>
      <c r="AD72" s="103"/>
    </row>
    <row r="73" spans="1:30" ht="15.75" customHeight="1" x14ac:dyDescent="0.25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7"/>
      <c r="Q73" s="268"/>
      <c r="R73" s="272" t="s">
        <v>52</v>
      </c>
      <c r="S73" s="273"/>
      <c r="T73" s="274"/>
      <c r="U73" s="110"/>
      <c r="V73" s="111"/>
      <c r="W73" s="111"/>
      <c r="X73" s="111"/>
      <c r="Y73" s="111"/>
      <c r="Z73" s="112"/>
      <c r="AA73" s="113"/>
      <c r="AB73" s="114"/>
      <c r="AC73" s="114"/>
      <c r="AD73" s="103"/>
    </row>
    <row r="74" spans="1:30" ht="15.9" customHeight="1" x14ac:dyDescent="0.25">
      <c r="A74" s="266"/>
      <c r="B74" s="267"/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8"/>
      <c r="R74" s="272"/>
      <c r="S74" s="273"/>
      <c r="T74" s="274"/>
      <c r="U74" s="115"/>
      <c r="V74" s="278"/>
      <c r="W74" s="278"/>
      <c r="X74" s="278"/>
      <c r="Y74" s="278"/>
      <c r="Z74" s="116"/>
      <c r="AA74" s="113"/>
      <c r="AB74" s="114"/>
      <c r="AC74" s="114"/>
      <c r="AD74" s="103"/>
    </row>
    <row r="75" spans="1:30" ht="15.9" customHeight="1" x14ac:dyDescent="0.25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7"/>
      <c r="Q75" s="268"/>
      <c r="R75" s="272"/>
      <c r="S75" s="273"/>
      <c r="T75" s="274"/>
      <c r="U75" s="115"/>
      <c r="V75" s="278"/>
      <c r="W75" s="278"/>
      <c r="X75" s="278"/>
      <c r="Y75" s="278"/>
      <c r="Z75" s="116"/>
      <c r="AA75" s="113"/>
      <c r="AB75" s="114"/>
      <c r="AC75" s="114"/>
      <c r="AD75" s="103"/>
    </row>
    <row r="76" spans="1:30" ht="15.75" customHeight="1" x14ac:dyDescent="0.25">
      <c r="A76" s="269"/>
      <c r="B76" s="270"/>
      <c r="C76" s="270"/>
      <c r="D76" s="270"/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O76" s="270"/>
      <c r="P76" s="270"/>
      <c r="Q76" s="271"/>
      <c r="R76" s="275"/>
      <c r="S76" s="276"/>
      <c r="T76" s="277"/>
      <c r="U76" s="117"/>
      <c r="V76" s="118"/>
      <c r="W76" s="118"/>
      <c r="X76" s="118"/>
      <c r="Y76" s="118"/>
      <c r="Z76" s="119"/>
      <c r="AA76" s="113"/>
      <c r="AB76" s="114"/>
      <c r="AC76" s="114"/>
      <c r="AD76" s="103"/>
    </row>
  </sheetData>
  <mergeCells count="106">
    <mergeCell ref="A73:Q76"/>
    <mergeCell ref="R73:T76"/>
    <mergeCell ref="V74:Y75"/>
    <mergeCell ref="U56:V56"/>
    <mergeCell ref="W56:X56"/>
    <mergeCell ref="U67:Z67"/>
    <mergeCell ref="A68:Q68"/>
    <mergeCell ref="R68:T68"/>
    <mergeCell ref="U68:Z68"/>
    <mergeCell ref="A69:Q71"/>
    <mergeCell ref="R69:T72"/>
    <mergeCell ref="U69:Z72"/>
    <mergeCell ref="U63:V63"/>
    <mergeCell ref="W63:X63"/>
    <mergeCell ref="Y63:Z63"/>
    <mergeCell ref="C58:D58"/>
    <mergeCell ref="U58:V58"/>
    <mergeCell ref="W58:X58"/>
    <mergeCell ref="Y58:Z58"/>
    <mergeCell ref="AD63:AD64"/>
    <mergeCell ref="AE63:AE64"/>
    <mergeCell ref="B64:D64"/>
    <mergeCell ref="U64:V64"/>
    <mergeCell ref="W64:X64"/>
    <mergeCell ref="Y64:Z64"/>
    <mergeCell ref="B61:D61"/>
    <mergeCell ref="U61:V61"/>
    <mergeCell ref="W61:X61"/>
    <mergeCell ref="Y61:Z61"/>
    <mergeCell ref="AB61:AC61"/>
    <mergeCell ref="B62:D62"/>
    <mergeCell ref="U62:V62"/>
    <mergeCell ref="W62:X62"/>
    <mergeCell ref="Y62:Z62"/>
    <mergeCell ref="AB62:AC62"/>
    <mergeCell ref="C54:D54"/>
    <mergeCell ref="C55:D55"/>
    <mergeCell ref="U55:V55"/>
    <mergeCell ref="W55:X55"/>
    <mergeCell ref="Y55:Z55"/>
    <mergeCell ref="AB55:AC55"/>
    <mergeCell ref="AB58:AC58"/>
    <mergeCell ref="B60:D60"/>
    <mergeCell ref="C56:D56"/>
    <mergeCell ref="Y56:Z56"/>
    <mergeCell ref="AB56:AC56"/>
    <mergeCell ref="C57:D57"/>
    <mergeCell ref="U57:V57"/>
    <mergeCell ref="W57:X57"/>
    <mergeCell ref="Y57:Z57"/>
    <mergeCell ref="AB57:AC57"/>
    <mergeCell ref="AD51:AD52"/>
    <mergeCell ref="AE51:AE52"/>
    <mergeCell ref="AF51:AF52"/>
    <mergeCell ref="AG51:AG52"/>
    <mergeCell ref="E53:T53"/>
    <mergeCell ref="U53:V54"/>
    <mergeCell ref="W53:X54"/>
    <mergeCell ref="Y53:Z54"/>
    <mergeCell ref="AB53:AC54"/>
    <mergeCell ref="AD53:AD54"/>
    <mergeCell ref="AE53:AE54"/>
    <mergeCell ref="AF53:AF54"/>
    <mergeCell ref="AG53:AG54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B60D-1206-42C0-ACCA-AD90BFCC895E}">
  <sheetPr>
    <pageSetUpPr fitToPage="1"/>
  </sheetPr>
  <dimension ref="A1:AN76"/>
  <sheetViews>
    <sheetView zoomScaleNormal="100" workbookViewId="0">
      <selection activeCell="AD32" sqref="AD32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75" customHeight="1" x14ac:dyDescent="0.25">
      <c r="A1" s="144"/>
      <c r="B1" s="145"/>
      <c r="C1" s="145"/>
      <c r="D1" s="145"/>
      <c r="E1" s="145"/>
      <c r="F1" s="146"/>
      <c r="G1" s="153" t="s">
        <v>0</v>
      </c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5"/>
      <c r="U1" s="156" t="s">
        <v>59</v>
      </c>
      <c r="V1" s="157"/>
      <c r="W1" s="157"/>
      <c r="X1" s="157"/>
      <c r="Y1" s="157"/>
      <c r="Z1" s="158"/>
      <c r="AA1" s="1"/>
    </row>
    <row r="2" spans="1:36" ht="12.75" customHeight="1" x14ac:dyDescent="0.25">
      <c r="A2" s="147"/>
      <c r="B2" s="148"/>
      <c r="C2" s="148"/>
      <c r="D2" s="148"/>
      <c r="E2" s="148"/>
      <c r="F2" s="149"/>
      <c r="G2" s="165" t="s">
        <v>1</v>
      </c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7"/>
      <c r="U2" s="159"/>
      <c r="V2" s="160"/>
      <c r="W2" s="160"/>
      <c r="X2" s="160"/>
      <c r="Y2" s="160"/>
      <c r="Z2" s="161"/>
      <c r="AA2" s="1"/>
    </row>
    <row r="3" spans="1:36" ht="12.75" customHeight="1" x14ac:dyDescent="0.25">
      <c r="A3" s="147"/>
      <c r="B3" s="148"/>
      <c r="C3" s="148"/>
      <c r="D3" s="148"/>
      <c r="E3" s="148"/>
      <c r="F3" s="149"/>
      <c r="G3" s="168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159"/>
      <c r="V3" s="160"/>
      <c r="W3" s="160"/>
      <c r="X3" s="160"/>
      <c r="Y3" s="160"/>
      <c r="Z3" s="161"/>
      <c r="AA3" s="1"/>
    </row>
    <row r="4" spans="1:36" ht="12.75" customHeight="1" x14ac:dyDescent="0.25">
      <c r="A4" s="147"/>
      <c r="B4" s="148"/>
      <c r="C4" s="148"/>
      <c r="D4" s="148"/>
      <c r="E4" s="148"/>
      <c r="F4" s="149"/>
      <c r="G4" s="168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59"/>
      <c r="V4" s="160"/>
      <c r="W4" s="160"/>
      <c r="X4" s="160"/>
      <c r="Y4" s="160"/>
      <c r="Z4" s="161"/>
      <c r="AA4" s="1"/>
    </row>
    <row r="5" spans="1:36" ht="12.75" customHeight="1" x14ac:dyDescent="0.25">
      <c r="A5" s="147"/>
      <c r="B5" s="148"/>
      <c r="C5" s="148"/>
      <c r="D5" s="148"/>
      <c r="E5" s="148"/>
      <c r="F5" s="149"/>
      <c r="G5" s="168" t="s">
        <v>2</v>
      </c>
      <c r="H5" s="166"/>
      <c r="I5" s="3" t="s">
        <v>3</v>
      </c>
      <c r="J5" s="306">
        <v>7</v>
      </c>
      <c r="K5" s="307"/>
      <c r="L5" s="308" t="s">
        <v>53</v>
      </c>
      <c r="M5" s="306"/>
      <c r="N5" s="306"/>
      <c r="O5" s="307"/>
      <c r="P5" s="309">
        <v>45469</v>
      </c>
      <c r="Q5" s="310"/>
      <c r="R5" s="310"/>
      <c r="S5" s="310"/>
      <c r="T5" s="311"/>
      <c r="U5" s="159"/>
      <c r="V5" s="160"/>
      <c r="W5" s="160"/>
      <c r="X5" s="160"/>
      <c r="Y5" s="160"/>
      <c r="Z5" s="161"/>
      <c r="AA5" s="1"/>
    </row>
    <row r="6" spans="1:36" ht="12.75" customHeight="1" x14ac:dyDescent="0.25">
      <c r="A6" s="150"/>
      <c r="B6" s="151"/>
      <c r="C6" s="151"/>
      <c r="D6" s="151"/>
      <c r="E6" s="151"/>
      <c r="F6" s="152"/>
      <c r="G6" s="4"/>
      <c r="H6" s="5"/>
      <c r="I6" s="5"/>
      <c r="J6" s="137" t="s">
        <v>4</v>
      </c>
      <c r="K6" s="137"/>
      <c r="L6" s="137" t="s">
        <v>5</v>
      </c>
      <c r="M6" s="137"/>
      <c r="N6" s="137"/>
      <c r="O6" s="137"/>
      <c r="P6" s="137" t="s">
        <v>6</v>
      </c>
      <c r="Q6" s="137"/>
      <c r="R6" s="137"/>
      <c r="S6" s="137"/>
      <c r="T6" s="138"/>
      <c r="U6" s="162"/>
      <c r="V6" s="163"/>
      <c r="W6" s="163"/>
      <c r="X6" s="163"/>
      <c r="Y6" s="163"/>
      <c r="Z6" s="164"/>
      <c r="AA6" s="1"/>
    </row>
    <row r="7" spans="1:36" ht="37.5" customHeight="1" x14ac:dyDescent="0.25">
      <c r="A7" s="139" t="s">
        <v>7</v>
      </c>
      <c r="B7" s="139"/>
      <c r="C7" s="139"/>
      <c r="D7" s="139"/>
      <c r="E7" s="139"/>
      <c r="F7" s="139"/>
      <c r="G7" s="140" t="s">
        <v>8</v>
      </c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15.9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141" t="s">
        <v>11</v>
      </c>
      <c r="C10" s="141"/>
      <c r="D10" s="141"/>
      <c r="E10" s="141"/>
      <c r="F10" s="141"/>
      <c r="G10" s="142" t="s">
        <v>60</v>
      </c>
      <c r="H10" s="142"/>
      <c r="I10" s="142"/>
      <c r="J10" s="142"/>
      <c r="K10" s="142"/>
      <c r="L10" s="142"/>
      <c r="M10" s="141" t="s">
        <v>12</v>
      </c>
      <c r="N10" s="141"/>
      <c r="O10" s="141"/>
      <c r="P10" s="141"/>
      <c r="Q10" s="141"/>
      <c r="R10" s="141"/>
      <c r="S10" s="143" t="s">
        <v>13</v>
      </c>
      <c r="T10" s="143"/>
      <c r="U10" s="143"/>
      <c r="V10" s="143"/>
      <c r="W10" s="143"/>
      <c r="X10" s="143"/>
      <c r="Y10" s="143"/>
      <c r="Z10" s="18"/>
      <c r="AA10" s="19"/>
      <c r="AB10" s="14"/>
      <c r="AC10" s="14"/>
      <c r="AD10" s="14"/>
      <c r="AE10" s="141"/>
      <c r="AF10" s="141"/>
      <c r="AG10" s="141"/>
      <c r="AH10" s="141"/>
      <c r="AI10" s="141"/>
    </row>
    <row r="11" spans="1:36" ht="15.9" customHeight="1" x14ac:dyDescent="0.25">
      <c r="A11" s="15"/>
      <c r="B11" s="141" t="s">
        <v>14</v>
      </c>
      <c r="C11" s="141"/>
      <c r="D11" s="141"/>
      <c r="E11" s="141"/>
      <c r="F11" s="141"/>
      <c r="G11" s="142">
        <v>45468</v>
      </c>
      <c r="H11" s="142"/>
      <c r="I11" s="142"/>
      <c r="J11" s="142"/>
      <c r="K11" s="142"/>
      <c r="L11" s="142"/>
      <c r="M11" s="141" t="s">
        <v>15</v>
      </c>
      <c r="N11" s="141"/>
      <c r="O11" s="141"/>
      <c r="P11" s="141"/>
      <c r="Q11" s="141"/>
      <c r="R11" s="141"/>
      <c r="S11" s="177" t="s">
        <v>70</v>
      </c>
      <c r="T11" s="177"/>
      <c r="U11" s="177"/>
      <c r="V11" s="177"/>
      <c r="W11" s="177"/>
      <c r="X11" s="177"/>
      <c r="Y11" s="177"/>
      <c r="Z11" s="18"/>
      <c r="AA11" s="19"/>
      <c r="AB11" s="14"/>
      <c r="AC11" s="14"/>
      <c r="AD11" s="14"/>
      <c r="AE11" s="141"/>
      <c r="AF11" s="141"/>
      <c r="AG11" s="141"/>
      <c r="AH11" s="141"/>
      <c r="AI11" s="141"/>
    </row>
    <row r="12" spans="1:36" ht="15.9" customHeight="1" x14ac:dyDescent="0.25">
      <c r="A12" s="15"/>
      <c r="B12" s="141" t="s">
        <v>16</v>
      </c>
      <c r="C12" s="141"/>
      <c r="D12" s="141"/>
      <c r="E12" s="141"/>
      <c r="F12" s="141"/>
      <c r="G12" s="175" t="s">
        <v>73</v>
      </c>
      <c r="H12" s="175"/>
      <c r="I12" s="175"/>
      <c r="J12" s="175"/>
      <c r="K12" s="175"/>
      <c r="L12" s="175"/>
      <c r="M12" s="176" t="s">
        <v>17</v>
      </c>
      <c r="N12" s="176"/>
      <c r="O12" s="176"/>
      <c r="P12" s="176"/>
      <c r="Q12" s="176"/>
      <c r="R12" s="176"/>
      <c r="S12" s="143">
        <v>110</v>
      </c>
      <c r="T12" s="143"/>
      <c r="U12" s="143"/>
      <c r="V12" s="143"/>
      <c r="W12" s="143"/>
      <c r="X12" s="143"/>
      <c r="Y12" s="143"/>
      <c r="Z12" s="18"/>
      <c r="AA12" s="19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0" t="s">
        <v>18</v>
      </c>
      <c r="C13" s="20"/>
      <c r="D13" s="20"/>
      <c r="E13" s="20"/>
      <c r="F13" s="20"/>
      <c r="G13" s="175" t="s">
        <v>56</v>
      </c>
      <c r="H13" s="175"/>
      <c r="I13" s="175"/>
      <c r="J13" s="175"/>
      <c r="K13" s="175"/>
      <c r="L13" s="175"/>
      <c r="M13" s="141" t="s">
        <v>19</v>
      </c>
      <c r="N13" s="141"/>
      <c r="O13" s="141"/>
      <c r="P13" s="141"/>
      <c r="Q13" s="141"/>
      <c r="R13" s="141"/>
      <c r="S13" s="175" t="s">
        <v>58</v>
      </c>
      <c r="T13" s="175"/>
      <c r="U13" s="175"/>
      <c r="V13" s="175"/>
      <c r="W13" s="175"/>
      <c r="X13" s="175"/>
      <c r="Y13" s="175"/>
      <c r="Z13" s="18"/>
      <c r="AA13" s="19"/>
      <c r="AB13" s="14"/>
      <c r="AC13" s="14"/>
      <c r="AD13" s="14"/>
      <c r="AE13" s="141"/>
      <c r="AF13" s="141"/>
      <c r="AG13" s="141"/>
      <c r="AH13" s="141"/>
      <c r="AI13" s="141"/>
      <c r="AJ13" s="141"/>
    </row>
    <row r="14" spans="1:36" ht="15.9" customHeight="1" x14ac:dyDescent="0.25">
      <c r="A14" s="21"/>
      <c r="B14" s="141" t="s">
        <v>20</v>
      </c>
      <c r="C14" s="141"/>
      <c r="D14" s="141"/>
      <c r="E14" s="141"/>
      <c r="F14" s="141"/>
      <c r="G14" s="175" t="s">
        <v>57</v>
      </c>
      <c r="H14" s="175"/>
      <c r="I14" s="175"/>
      <c r="J14" s="175"/>
      <c r="K14" s="175"/>
      <c r="L14" s="175"/>
      <c r="M14" s="143" t="s">
        <v>21</v>
      </c>
      <c r="N14" s="143"/>
      <c r="O14" s="143"/>
      <c r="P14" s="143"/>
      <c r="Q14" s="143"/>
      <c r="R14" s="143"/>
      <c r="S14" s="143" t="s">
        <v>22</v>
      </c>
      <c r="T14" s="143"/>
      <c r="U14" s="143"/>
      <c r="V14" s="143"/>
      <c r="W14" s="143"/>
      <c r="X14" s="143"/>
      <c r="Y14" s="143"/>
      <c r="Z14" s="22"/>
      <c r="AA14" s="14"/>
      <c r="AB14" s="14"/>
      <c r="AC14" s="14"/>
      <c r="AD14" s="14"/>
      <c r="AE14" s="141"/>
      <c r="AF14" s="141"/>
      <c r="AG14" s="141"/>
      <c r="AH14" s="141"/>
      <c r="AI14" s="141"/>
      <c r="AJ14" s="141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141"/>
      <c r="AF15" s="141"/>
      <c r="AG15" s="141"/>
      <c r="AH15" s="141"/>
      <c r="AI15" s="141"/>
      <c r="AJ15" s="141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141"/>
      <c r="AF16" s="141"/>
      <c r="AG16" s="141"/>
      <c r="AH16" s="141"/>
      <c r="AI16" s="141"/>
      <c r="AJ16" s="141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141" t="s">
        <v>25</v>
      </c>
      <c r="C19" s="141"/>
      <c r="D19" s="141"/>
      <c r="E19" s="141"/>
      <c r="F19" s="141"/>
      <c r="G19" s="141"/>
      <c r="H19" s="141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8"/>
      <c r="AA19" s="19"/>
      <c r="AE19" s="30"/>
      <c r="AI19" s="30"/>
    </row>
    <row r="20" spans="1:40" ht="15.9" customHeight="1" x14ac:dyDescent="0.25">
      <c r="A20" s="15"/>
      <c r="B20" s="141" t="s">
        <v>26</v>
      </c>
      <c r="C20" s="141"/>
      <c r="D20" s="141"/>
      <c r="E20" s="141"/>
      <c r="F20" s="141"/>
      <c r="G20" s="141"/>
      <c r="H20" s="141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8"/>
      <c r="AA20" s="19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2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3" t="s">
        <v>23</v>
      </c>
      <c r="B23" s="34" t="s">
        <v>27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39"/>
      <c r="AN23" s="40"/>
    </row>
    <row r="24" spans="1:40" ht="9" customHeight="1" x14ac:dyDescent="0.25">
      <c r="A24" s="21"/>
      <c r="Z24" s="41"/>
    </row>
    <row r="25" spans="1:40" ht="9" customHeight="1" x14ac:dyDescent="0.25">
      <c r="A25" s="21"/>
      <c r="Z25" s="41"/>
    </row>
    <row r="26" spans="1:40" ht="9" customHeight="1" x14ac:dyDescent="0.25">
      <c r="A26" s="21"/>
      <c r="Z26" s="41"/>
    </row>
    <row r="27" spans="1:40" ht="12.75" customHeight="1" x14ac:dyDescent="0.25">
      <c r="A27" s="21"/>
      <c r="Z27" s="41"/>
    </row>
    <row r="28" spans="1:40" ht="12.75" customHeight="1" x14ac:dyDescent="0.25">
      <c r="A28" s="21"/>
      <c r="Z28" s="41"/>
    </row>
    <row r="29" spans="1:40" ht="12.75" customHeight="1" x14ac:dyDescent="0.25">
      <c r="A29" s="21"/>
      <c r="Z29" s="41"/>
    </row>
    <row r="30" spans="1:40" ht="12.75" customHeight="1" x14ac:dyDescent="0.25">
      <c r="A30" s="21"/>
      <c r="Z30" s="41"/>
    </row>
    <row r="31" spans="1:40" ht="12.75" customHeight="1" x14ac:dyDescent="0.25">
      <c r="A31" s="21"/>
      <c r="Z31" s="41"/>
    </row>
    <row r="32" spans="1:40" ht="12.75" customHeight="1" x14ac:dyDescent="0.25">
      <c r="A32" s="21"/>
      <c r="Z32" s="41"/>
    </row>
    <row r="33" spans="1:26" ht="12.75" customHeight="1" x14ac:dyDescent="0.25">
      <c r="A33" s="21"/>
      <c r="Z33" s="41"/>
    </row>
    <row r="34" spans="1:26" ht="12.75" customHeight="1" x14ac:dyDescent="0.25">
      <c r="A34" s="21"/>
      <c r="Z34" s="41"/>
    </row>
    <row r="35" spans="1:26" ht="12.75" customHeight="1" x14ac:dyDescent="0.25">
      <c r="A35" s="21"/>
      <c r="Z35" s="41"/>
    </row>
    <row r="36" spans="1:26" ht="12.75" customHeight="1" x14ac:dyDescent="0.25">
      <c r="A36" s="21"/>
      <c r="Z36" s="41"/>
    </row>
    <row r="37" spans="1:26" ht="12.75" customHeight="1" x14ac:dyDescent="0.25">
      <c r="A37" s="21"/>
      <c r="Z37" s="41"/>
    </row>
    <row r="38" spans="1:26" ht="12.75" customHeight="1" x14ac:dyDescent="0.25">
      <c r="A38" s="21"/>
      <c r="Z38" s="41"/>
    </row>
    <row r="39" spans="1:26" ht="12.75" customHeight="1" x14ac:dyDescent="0.25">
      <c r="A39" s="21"/>
      <c r="Z39" s="41"/>
    </row>
    <row r="40" spans="1:26" ht="12.75" customHeight="1" x14ac:dyDescent="0.25">
      <c r="A40" s="21"/>
      <c r="Z40" s="41"/>
    </row>
    <row r="41" spans="1:26" ht="12.75" customHeight="1" x14ac:dyDescent="0.25">
      <c r="A41" s="21"/>
      <c r="Z41" s="41"/>
    </row>
    <row r="42" spans="1:26" ht="12.75" customHeight="1" x14ac:dyDescent="0.25">
      <c r="A42" s="21"/>
      <c r="Z42" s="41"/>
    </row>
    <row r="43" spans="1:26" ht="12.75" customHeight="1" x14ac:dyDescent="0.25">
      <c r="A43" s="21"/>
      <c r="Z43" s="41"/>
    </row>
    <row r="44" spans="1:26" ht="12.75" customHeight="1" x14ac:dyDescent="0.25">
      <c r="A44" s="21"/>
      <c r="Z44" s="41"/>
    </row>
    <row r="45" spans="1:26" ht="12.75" customHeight="1" x14ac:dyDescent="0.25">
      <c r="A45" s="21"/>
      <c r="Z45" s="41"/>
    </row>
    <row r="46" spans="1:26" ht="12.75" customHeight="1" x14ac:dyDescent="0.25">
      <c r="A46" s="21"/>
      <c r="Z46" s="41"/>
    </row>
    <row r="47" spans="1:26" ht="12.75" customHeight="1" x14ac:dyDescent="0.25">
      <c r="A47" s="21"/>
      <c r="Z47" s="41"/>
    </row>
    <row r="48" spans="1:26" ht="12.75" customHeight="1" x14ac:dyDescent="0.25">
      <c r="A48" s="21"/>
      <c r="Z48" s="41"/>
    </row>
    <row r="49" spans="1:34" ht="12.75" customHeight="1" x14ac:dyDescent="0.25">
      <c r="A49" s="21"/>
      <c r="Z49" s="41"/>
    </row>
    <row r="50" spans="1:34" ht="9.75" customHeight="1" thickBot="1" x14ac:dyDescent="0.3">
      <c r="A50" s="21"/>
      <c r="Z50" s="41"/>
    </row>
    <row r="51" spans="1:34" ht="9.75" customHeight="1" x14ac:dyDescent="0.25">
      <c r="A51" s="21"/>
      <c r="Z51" s="41"/>
      <c r="AD51" s="179" t="s">
        <v>28</v>
      </c>
      <c r="AE51" s="181">
        <v>2.6469999999999998</v>
      </c>
      <c r="AF51" s="183"/>
      <c r="AG51" s="185"/>
      <c r="AH51" s="42"/>
    </row>
    <row r="52" spans="1:34" ht="12.75" customHeight="1" thickBot="1" x14ac:dyDescent="0.3">
      <c r="A52" s="21"/>
      <c r="Z52" s="43"/>
      <c r="AD52" s="180"/>
      <c r="AE52" s="182"/>
      <c r="AF52" s="184"/>
      <c r="AG52" s="185"/>
    </row>
    <row r="53" spans="1:34" ht="18.75" customHeight="1" thickBot="1" x14ac:dyDescent="0.3">
      <c r="A53" s="21"/>
      <c r="E53" s="186" t="s">
        <v>29</v>
      </c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8" t="s">
        <v>30</v>
      </c>
      <c r="V53" s="189"/>
      <c r="W53" s="192" t="s">
        <v>31</v>
      </c>
      <c r="X53" s="189"/>
      <c r="Y53" s="194" t="s">
        <v>32</v>
      </c>
      <c r="Z53" s="195"/>
      <c r="AA53" s="44"/>
      <c r="AB53" s="198" t="s">
        <v>33</v>
      </c>
      <c r="AC53" s="199"/>
      <c r="AD53" s="202" t="s">
        <v>34</v>
      </c>
      <c r="AE53" s="204" t="s">
        <v>35</v>
      </c>
      <c r="AF53" s="183"/>
      <c r="AG53" s="183"/>
      <c r="AH53" s="45"/>
    </row>
    <row r="54" spans="1:34" ht="24.9" customHeight="1" thickBot="1" x14ac:dyDescent="0.3">
      <c r="A54" s="46"/>
      <c r="B54" s="47" t="s">
        <v>36</v>
      </c>
      <c r="C54" s="207" t="s">
        <v>37</v>
      </c>
      <c r="D54" s="208"/>
      <c r="E54" s="48">
        <v>6.3E-2</v>
      </c>
      <c r="F54" s="48">
        <v>0.125</v>
      </c>
      <c r="G54" s="49">
        <v>0.25</v>
      </c>
      <c r="H54" s="49">
        <v>0.5</v>
      </c>
      <c r="I54" s="49">
        <v>1</v>
      </c>
      <c r="J54" s="49">
        <v>2</v>
      </c>
      <c r="K54" s="49">
        <v>4</v>
      </c>
      <c r="L54" s="49">
        <v>6.3</v>
      </c>
      <c r="M54" s="49">
        <v>8</v>
      </c>
      <c r="N54" s="49">
        <v>10</v>
      </c>
      <c r="O54" s="49">
        <v>12.5</v>
      </c>
      <c r="P54" s="49">
        <v>14</v>
      </c>
      <c r="Q54" s="50">
        <v>16</v>
      </c>
      <c r="R54" s="50">
        <v>20</v>
      </c>
      <c r="S54" s="49"/>
      <c r="T54" s="50"/>
      <c r="U54" s="190"/>
      <c r="V54" s="191"/>
      <c r="W54" s="193"/>
      <c r="X54" s="191"/>
      <c r="Y54" s="196"/>
      <c r="Z54" s="197"/>
      <c r="AA54" s="44"/>
      <c r="AB54" s="200"/>
      <c r="AC54" s="201"/>
      <c r="AD54" s="203"/>
      <c r="AE54" s="205"/>
      <c r="AF54" s="206"/>
      <c r="AG54" s="183"/>
    </row>
    <row r="55" spans="1:34" ht="24.9" customHeight="1" x14ac:dyDescent="0.25">
      <c r="A55" s="46"/>
      <c r="B55" s="51">
        <v>1</v>
      </c>
      <c r="C55" s="209" t="s">
        <v>74</v>
      </c>
      <c r="D55" s="210"/>
      <c r="E55" s="125">
        <v>6</v>
      </c>
      <c r="F55" s="126">
        <v>7.9</v>
      </c>
      <c r="G55" s="127">
        <v>11</v>
      </c>
      <c r="H55" s="127">
        <v>14.6</v>
      </c>
      <c r="I55" s="127">
        <v>19.2</v>
      </c>
      <c r="J55" s="127">
        <v>26.9</v>
      </c>
      <c r="K55" s="127">
        <v>39.9</v>
      </c>
      <c r="L55" s="127">
        <v>56.7</v>
      </c>
      <c r="M55" s="127">
        <v>73.5</v>
      </c>
      <c r="N55" s="127">
        <v>92.9</v>
      </c>
      <c r="O55" s="127">
        <v>100</v>
      </c>
      <c r="P55" s="127"/>
      <c r="Q55" s="127"/>
      <c r="R55" s="127"/>
      <c r="S55" s="128"/>
      <c r="T55" s="128"/>
      <c r="U55" s="211">
        <v>162</v>
      </c>
      <c r="V55" s="212"/>
      <c r="W55" s="213">
        <v>4.9400000000000004</v>
      </c>
      <c r="X55" s="214"/>
      <c r="Y55" s="215">
        <f>IF(W55&lt;&gt;0,AE55,"")</f>
        <v>3.158118827736482</v>
      </c>
      <c r="Z55" s="216"/>
      <c r="AA55" s="52"/>
      <c r="AB55" s="217">
        <f>(100*W55)/(100-W55)</f>
        <v>5.1967178624026937</v>
      </c>
      <c r="AC55" s="218"/>
      <c r="AD55" s="53">
        <f>(0.25*(100-O55)+2.3*(O55-H55)+12*(H55-E55)+150*(E55))/100</f>
        <v>11.996199999999998</v>
      </c>
      <c r="AE55" s="54">
        <f>(AB55*$AE$51)/(2.65*(AD55)^(1/5))</f>
        <v>3.158118827736482</v>
      </c>
      <c r="AF55" s="28"/>
      <c r="AG55" s="55"/>
    </row>
    <row r="56" spans="1:34" ht="24.9" customHeight="1" x14ac:dyDescent="0.25">
      <c r="A56" s="46"/>
      <c r="B56" s="56">
        <v>2</v>
      </c>
      <c r="C56" s="209" t="s">
        <v>75</v>
      </c>
      <c r="D56" s="210"/>
      <c r="E56" s="125">
        <v>6.9</v>
      </c>
      <c r="F56" s="126">
        <v>8.9</v>
      </c>
      <c r="G56" s="127">
        <v>11.8</v>
      </c>
      <c r="H56" s="127">
        <v>15.3</v>
      </c>
      <c r="I56" s="127">
        <v>20.100000000000001</v>
      </c>
      <c r="J56" s="127">
        <v>28.2</v>
      </c>
      <c r="K56" s="127">
        <v>40.6</v>
      </c>
      <c r="L56" s="127">
        <v>55.5</v>
      </c>
      <c r="M56" s="127">
        <v>73.5</v>
      </c>
      <c r="N56" s="127">
        <v>93.6</v>
      </c>
      <c r="O56" s="127">
        <v>100</v>
      </c>
      <c r="P56" s="127"/>
      <c r="Q56" s="127"/>
      <c r="R56" s="127"/>
      <c r="S56" s="128"/>
      <c r="T56" s="128"/>
      <c r="U56" s="211">
        <v>161</v>
      </c>
      <c r="V56" s="212"/>
      <c r="W56" s="213">
        <v>5</v>
      </c>
      <c r="X56" s="214"/>
      <c r="Y56" s="230">
        <f>IF(W56&lt;&gt;0,AE56,"")</f>
        <v>3.13288396447222</v>
      </c>
      <c r="Z56" s="231"/>
      <c r="AA56" s="52"/>
      <c r="AB56" s="217">
        <f>(100*W56)/(100-W56)</f>
        <v>5.2631578947368425</v>
      </c>
      <c r="AC56" s="218"/>
      <c r="AD56" s="53">
        <f t="shared" ref="AD56:AD62" si="0">(0.25*(100-O56)+2.3*(O56-H56)+12*(H56-E56)+150*(E56))/100</f>
        <v>13.306100000000001</v>
      </c>
      <c r="AE56" s="54">
        <f t="shared" ref="AE56:AE62" si="1">(AB56*$AE$51)/(2.65*(AD56)^(1/5))</f>
        <v>3.13288396447222</v>
      </c>
      <c r="AF56" s="28"/>
      <c r="AG56" s="55"/>
    </row>
    <row r="57" spans="1:34" ht="24.9" customHeight="1" x14ac:dyDescent="0.25">
      <c r="A57" s="46"/>
      <c r="B57" s="56">
        <v>3</v>
      </c>
      <c r="C57" s="232"/>
      <c r="D57" s="233"/>
      <c r="E57" s="57"/>
      <c r="F57" s="58"/>
      <c r="G57" s="58"/>
      <c r="H57" s="59"/>
      <c r="I57" s="59"/>
      <c r="J57" s="59"/>
      <c r="K57" s="59"/>
      <c r="L57" s="59"/>
      <c r="M57" s="59"/>
      <c r="N57" s="59"/>
      <c r="O57" s="60"/>
      <c r="P57" s="59"/>
      <c r="Q57" s="60"/>
      <c r="R57" s="59"/>
      <c r="S57" s="59"/>
      <c r="T57" s="61"/>
      <c r="U57" s="234"/>
      <c r="V57" s="235"/>
      <c r="W57" s="236"/>
      <c r="X57" s="237"/>
      <c r="Y57" s="230" t="str">
        <f t="shared" ref="Y57:Y58" si="2">IF(W57&lt;&gt;0,AE57,"")</f>
        <v/>
      </c>
      <c r="Z57" s="231"/>
      <c r="AA57" s="52"/>
      <c r="AB57" s="217">
        <f>(100*W57)/(100-W57)</f>
        <v>0</v>
      </c>
      <c r="AC57" s="218"/>
      <c r="AD57" s="53">
        <f t="shared" si="0"/>
        <v>0.25</v>
      </c>
      <c r="AE57" s="54">
        <f t="shared" si="1"/>
        <v>0</v>
      </c>
      <c r="AF57" s="28"/>
      <c r="AG57" s="55"/>
    </row>
    <row r="58" spans="1:34" ht="24.9" customHeight="1" thickBot="1" x14ac:dyDescent="0.3">
      <c r="A58" s="46"/>
      <c r="B58" s="62">
        <v>4</v>
      </c>
      <c r="C58" s="219"/>
      <c r="D58" s="220"/>
      <c r="E58" s="63"/>
      <c r="F58" s="64"/>
      <c r="G58" s="64"/>
      <c r="H58" s="65"/>
      <c r="I58" s="65"/>
      <c r="J58" s="65"/>
      <c r="K58" s="65"/>
      <c r="L58" s="65"/>
      <c r="M58" s="65"/>
      <c r="N58" s="65"/>
      <c r="O58" s="66"/>
      <c r="P58" s="65"/>
      <c r="Q58" s="66"/>
      <c r="R58" s="65"/>
      <c r="S58" s="65"/>
      <c r="T58" s="67"/>
      <c r="U58" s="221"/>
      <c r="V58" s="222"/>
      <c r="W58" s="223"/>
      <c r="X58" s="224"/>
      <c r="Y58" s="225" t="str">
        <f t="shared" si="2"/>
        <v/>
      </c>
      <c r="Z58" s="226"/>
      <c r="AA58" s="52"/>
      <c r="AB58" s="217">
        <f>(100*W58)/(100-W58)</f>
        <v>0</v>
      </c>
      <c r="AC58" s="218"/>
      <c r="AD58" s="53">
        <f t="shared" si="0"/>
        <v>0.25</v>
      </c>
      <c r="AE58" s="54">
        <f t="shared" si="1"/>
        <v>0</v>
      </c>
      <c r="AF58" s="28"/>
      <c r="AG58" s="55"/>
    </row>
    <row r="59" spans="1:34" ht="10.5" customHeight="1" thickBot="1" x14ac:dyDescent="0.3">
      <c r="A59" s="46"/>
      <c r="B59" s="2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9"/>
      <c r="P59" s="68"/>
      <c r="Q59" s="69"/>
      <c r="R59" s="68"/>
      <c r="S59" s="68"/>
      <c r="T59" s="68"/>
      <c r="U59" s="68"/>
      <c r="V59" s="68"/>
      <c r="W59" s="70"/>
      <c r="Z59" s="71"/>
      <c r="AB59" s="72"/>
      <c r="AC59" s="73"/>
      <c r="AD59" s="53"/>
      <c r="AE59" s="54"/>
      <c r="AF59" s="28"/>
      <c r="AG59" s="55"/>
    </row>
    <row r="60" spans="1:34" ht="24.75" hidden="1" customHeight="1" x14ac:dyDescent="0.25">
      <c r="A60" s="46"/>
      <c r="B60" s="227" t="s">
        <v>38</v>
      </c>
      <c r="C60" s="228"/>
      <c r="D60" s="229"/>
      <c r="E60" s="74"/>
      <c r="F60" s="74"/>
      <c r="G60" s="74"/>
      <c r="H60" s="74"/>
      <c r="I60" s="74"/>
      <c r="J60" s="74"/>
      <c r="K60" s="74"/>
      <c r="L60" s="74"/>
      <c r="M60" s="74">
        <v>10</v>
      </c>
      <c r="N60" s="74">
        <v>10</v>
      </c>
      <c r="O60" s="75"/>
      <c r="P60" s="74"/>
      <c r="Q60" s="75">
        <v>50</v>
      </c>
      <c r="R60" s="74"/>
      <c r="S60" s="74">
        <v>70</v>
      </c>
      <c r="T60" s="74"/>
      <c r="U60" s="74"/>
      <c r="V60" s="74"/>
      <c r="W60" s="74"/>
      <c r="X60" s="76"/>
      <c r="Y60" s="77">
        <v>4.5</v>
      </c>
      <c r="Z60" s="77"/>
      <c r="AA60" s="28"/>
      <c r="AB60" s="72"/>
      <c r="AC60" s="73"/>
      <c r="AD60" s="53">
        <f t="shared" si="0"/>
        <v>0.25</v>
      </c>
      <c r="AE60" s="54">
        <f t="shared" si="1"/>
        <v>0</v>
      </c>
      <c r="AF60" s="28"/>
      <c r="AG60" s="55"/>
    </row>
    <row r="61" spans="1:34" ht="18.75" customHeight="1" x14ac:dyDescent="0.25">
      <c r="A61" s="46"/>
      <c r="B61" s="238" t="s">
        <v>39</v>
      </c>
      <c r="C61" s="239"/>
      <c r="D61" s="240"/>
      <c r="E61" s="78">
        <f>IF(E55&lt;&gt;0,AVERAGE(E55:E58),"")</f>
        <v>6.45</v>
      </c>
      <c r="F61" s="78">
        <f t="shared" ref="F61:L61" si="3">IF(F55&lt;&gt;0,AVERAGE(F55:F58),"")</f>
        <v>8.4</v>
      </c>
      <c r="G61" s="78">
        <f t="shared" si="3"/>
        <v>11.4</v>
      </c>
      <c r="H61" s="78">
        <f t="shared" si="3"/>
        <v>14.95</v>
      </c>
      <c r="I61" s="78">
        <f t="shared" si="3"/>
        <v>19.649999999999999</v>
      </c>
      <c r="J61" s="78">
        <f t="shared" si="3"/>
        <v>27.549999999999997</v>
      </c>
      <c r="K61" s="78">
        <f t="shared" si="3"/>
        <v>40.25</v>
      </c>
      <c r="L61" s="78">
        <f t="shared" si="3"/>
        <v>56.1</v>
      </c>
      <c r="M61" s="78">
        <f>IF(M55&lt;&gt;0,AVERAGE(M55:M58),"")</f>
        <v>73.5</v>
      </c>
      <c r="N61" s="78">
        <f>IF(N55&lt;&gt;0,AVERAGE(N55:N58),"")</f>
        <v>93.25</v>
      </c>
      <c r="O61" s="79">
        <f>IF(O55&lt;&gt;0,AVERAGE(O55:O58),"")</f>
        <v>100</v>
      </c>
      <c r="P61" s="79"/>
      <c r="Q61" s="79"/>
      <c r="R61" s="78"/>
      <c r="S61" s="78" t="str">
        <f t="shared" ref="S61:T61" si="4">IF(S55&lt;&gt;0,AVERAGE(S55:S58),"")</f>
        <v/>
      </c>
      <c r="T61" s="80" t="str">
        <f t="shared" si="4"/>
        <v/>
      </c>
      <c r="U61" s="241">
        <f>IF(U55&lt;&gt;0,AVERAGE(U55:V58),"")</f>
        <v>161.5</v>
      </c>
      <c r="V61" s="242"/>
      <c r="W61" s="243">
        <f>IF(W55&lt;&gt;0,AVERAGE(W55:X58),"")</f>
        <v>4.9700000000000006</v>
      </c>
      <c r="X61" s="244"/>
      <c r="Y61" s="245">
        <f>IF(W55&lt;&gt;0,AVERAGE(Y55:Z58),"")</f>
        <v>3.145501396104351</v>
      </c>
      <c r="Z61" s="246"/>
      <c r="AA61" s="55"/>
      <c r="AB61" s="217">
        <f>(100*W61)/(100-W61)</f>
        <v>5.2299273913501008</v>
      </c>
      <c r="AC61" s="218"/>
      <c r="AD61" s="53">
        <f t="shared" si="0"/>
        <v>12.651149999999999</v>
      </c>
      <c r="AE61" s="54">
        <f t="shared" si="1"/>
        <v>3.1446891759560884</v>
      </c>
      <c r="AF61" s="28"/>
      <c r="AG61" s="55"/>
    </row>
    <row r="62" spans="1:34" ht="21" customHeight="1" x14ac:dyDescent="0.25">
      <c r="A62" s="46"/>
      <c r="B62" s="247" t="s">
        <v>40</v>
      </c>
      <c r="C62" s="248"/>
      <c r="D62" s="249"/>
      <c r="E62" s="81">
        <v>6.5</v>
      </c>
      <c r="F62" s="81">
        <v>8</v>
      </c>
      <c r="G62" s="81">
        <v>11</v>
      </c>
      <c r="H62" s="81">
        <v>16</v>
      </c>
      <c r="I62" s="81">
        <v>21</v>
      </c>
      <c r="J62" s="81">
        <v>30</v>
      </c>
      <c r="K62" s="81">
        <v>44</v>
      </c>
      <c r="L62" s="81">
        <v>60</v>
      </c>
      <c r="M62" s="81">
        <v>76</v>
      </c>
      <c r="N62" s="81">
        <v>95</v>
      </c>
      <c r="O62" s="82">
        <v>100</v>
      </c>
      <c r="P62" s="81"/>
      <c r="Q62" s="82"/>
      <c r="R62" s="81"/>
      <c r="S62" s="81"/>
      <c r="T62" s="83"/>
      <c r="U62" s="250"/>
      <c r="V62" s="251"/>
      <c r="W62" s="252">
        <v>5.4</v>
      </c>
      <c r="X62" s="253"/>
      <c r="Y62" s="254">
        <f>AE62</f>
        <v>3.4230996041984052</v>
      </c>
      <c r="Z62" s="255"/>
      <c r="AA62" s="55"/>
      <c r="AB62" s="217">
        <f>(100*W62)/(100-W62)</f>
        <v>5.7082452431289648</v>
      </c>
      <c r="AC62" s="218"/>
      <c r="AD62" s="53">
        <f t="shared" si="0"/>
        <v>12.822000000000001</v>
      </c>
      <c r="AE62" s="54">
        <f t="shared" si="1"/>
        <v>3.4230996041984052</v>
      </c>
      <c r="AF62" s="28"/>
      <c r="AG62" s="55"/>
    </row>
    <row r="63" spans="1:34" ht="13.5" customHeight="1" x14ac:dyDescent="0.25">
      <c r="A63" s="46"/>
      <c r="B63" s="84"/>
      <c r="C63" s="85" t="s">
        <v>41</v>
      </c>
      <c r="D63" s="86"/>
      <c r="E63" s="59">
        <f>E62+2</f>
        <v>8.5</v>
      </c>
      <c r="F63" s="59"/>
      <c r="G63" s="59"/>
      <c r="H63" s="59"/>
      <c r="I63" s="59"/>
      <c r="J63" s="59">
        <f>J62+6</f>
        <v>36</v>
      </c>
      <c r="K63" s="59"/>
      <c r="L63" s="59">
        <f>L62+7</f>
        <v>67</v>
      </c>
      <c r="M63" s="59"/>
      <c r="N63" s="59"/>
      <c r="O63" s="59"/>
      <c r="P63" s="59"/>
      <c r="Q63" s="60"/>
      <c r="R63" s="59"/>
      <c r="S63" s="59"/>
      <c r="T63" s="61"/>
      <c r="U63" s="234"/>
      <c r="V63" s="235"/>
      <c r="W63" s="256">
        <f>W62+0.5</f>
        <v>5.9</v>
      </c>
      <c r="X63" s="235"/>
      <c r="Y63" s="232"/>
      <c r="Z63" s="257"/>
      <c r="AA63" s="87"/>
      <c r="AB63" s="88"/>
      <c r="AC63" s="89"/>
      <c r="AD63" s="258"/>
      <c r="AE63" s="260" t="s">
        <v>42</v>
      </c>
      <c r="AF63" s="28"/>
      <c r="AG63" s="55"/>
    </row>
    <row r="64" spans="1:34" ht="13.5" customHeight="1" thickBot="1" x14ac:dyDescent="0.3">
      <c r="A64" s="46"/>
      <c r="B64" s="190" t="s">
        <v>43</v>
      </c>
      <c r="C64" s="193"/>
      <c r="D64" s="191"/>
      <c r="E64" s="90">
        <f>E62-2</f>
        <v>4.5</v>
      </c>
      <c r="F64" s="90"/>
      <c r="G64" s="91"/>
      <c r="H64" s="91"/>
      <c r="I64" s="91"/>
      <c r="J64" s="90">
        <f>J62-6</f>
        <v>24</v>
      </c>
      <c r="K64" s="91"/>
      <c r="L64" s="90">
        <f>L62-7</f>
        <v>53</v>
      </c>
      <c r="M64" s="90"/>
      <c r="N64" s="91"/>
      <c r="O64" s="91"/>
      <c r="P64" s="91"/>
      <c r="Q64" s="90"/>
      <c r="R64" s="91"/>
      <c r="S64" s="91"/>
      <c r="T64" s="92"/>
      <c r="U64" s="262"/>
      <c r="V64" s="263"/>
      <c r="W64" s="264">
        <f>W62-0.5</f>
        <v>4.9000000000000004</v>
      </c>
      <c r="X64" s="263"/>
      <c r="Y64" s="219"/>
      <c r="Z64" s="265"/>
      <c r="AA64" s="93"/>
      <c r="AB64" s="94"/>
      <c r="AC64" s="95"/>
      <c r="AD64" s="259"/>
      <c r="AE64" s="261"/>
      <c r="AF64" s="28"/>
      <c r="AG64" s="55"/>
    </row>
    <row r="65" spans="1:30" ht="6.75" customHeigh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96"/>
    </row>
    <row r="66" spans="1:30" ht="8.25" customHeight="1" x14ac:dyDescent="0.25"/>
    <row r="67" spans="1:30" ht="34.5" customHeight="1" x14ac:dyDescent="0.25">
      <c r="A67" s="97" t="s">
        <v>44</v>
      </c>
      <c r="B67" s="98" t="s">
        <v>45</v>
      </c>
      <c r="C67" s="99"/>
      <c r="D67" s="99"/>
      <c r="E67" s="99"/>
      <c r="F67" s="100"/>
      <c r="G67" s="100"/>
      <c r="H67" s="100"/>
      <c r="I67" s="10"/>
      <c r="J67" s="10"/>
      <c r="K67" s="10"/>
      <c r="L67" s="10"/>
      <c r="M67" s="10"/>
      <c r="N67" s="10"/>
      <c r="O67" s="10"/>
      <c r="P67" s="10"/>
      <c r="Q67" s="100"/>
      <c r="R67" s="10"/>
      <c r="S67" s="10"/>
      <c r="T67" s="10"/>
      <c r="U67" s="279"/>
      <c r="V67" s="279"/>
      <c r="W67" s="279"/>
      <c r="X67" s="279"/>
      <c r="Y67" s="279"/>
      <c r="Z67" s="280"/>
      <c r="AA67" s="101"/>
      <c r="AB67" s="102"/>
      <c r="AC67" s="102"/>
      <c r="AD67" s="103"/>
    </row>
    <row r="68" spans="1:30" ht="27" customHeight="1" x14ac:dyDescent="0.25">
      <c r="A68" s="281" t="s">
        <v>46</v>
      </c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3"/>
      <c r="R68" s="272" t="s">
        <v>47</v>
      </c>
      <c r="S68" s="273"/>
      <c r="T68" s="274"/>
      <c r="U68" s="284" t="s">
        <v>64</v>
      </c>
      <c r="V68" s="285"/>
      <c r="W68" s="285"/>
      <c r="X68" s="286"/>
      <c r="Y68" s="286"/>
      <c r="Z68" s="287"/>
      <c r="AA68" s="104"/>
      <c r="AB68" s="105"/>
      <c r="AC68" s="105"/>
      <c r="AD68" s="103"/>
    </row>
    <row r="69" spans="1:30" ht="15.75" customHeight="1" x14ac:dyDescent="0.25">
      <c r="A69" s="288" t="s">
        <v>48</v>
      </c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90"/>
      <c r="R69" s="272" t="s">
        <v>49</v>
      </c>
      <c r="S69" s="273"/>
      <c r="T69" s="274"/>
      <c r="U69" s="294" t="s">
        <v>65</v>
      </c>
      <c r="V69" s="295"/>
      <c r="W69" s="295"/>
      <c r="X69" s="295"/>
      <c r="Y69" s="295"/>
      <c r="Z69" s="296"/>
      <c r="AA69" s="104"/>
      <c r="AB69" s="105"/>
      <c r="AC69" s="105"/>
      <c r="AD69" s="103"/>
    </row>
    <row r="70" spans="1:30" ht="9" customHeight="1" x14ac:dyDescent="0.25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90"/>
      <c r="R70" s="272"/>
      <c r="S70" s="273"/>
      <c r="T70" s="274"/>
      <c r="U70" s="297"/>
      <c r="V70" s="178"/>
      <c r="W70" s="178"/>
      <c r="X70" s="178"/>
      <c r="Y70" s="178"/>
      <c r="Z70" s="298"/>
      <c r="AA70" s="104"/>
      <c r="AB70" s="105"/>
      <c r="AC70" s="105"/>
      <c r="AD70" s="103"/>
    </row>
    <row r="71" spans="1:30" ht="15.9" customHeight="1" x14ac:dyDescent="0.25">
      <c r="A71" s="291"/>
      <c r="B71" s="292"/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93"/>
      <c r="R71" s="272"/>
      <c r="S71" s="273"/>
      <c r="T71" s="274"/>
      <c r="U71" s="297"/>
      <c r="V71" s="178"/>
      <c r="W71" s="178"/>
      <c r="X71" s="178"/>
      <c r="Y71" s="178"/>
      <c r="Z71" s="298"/>
      <c r="AA71" s="104"/>
      <c r="AB71" s="105"/>
      <c r="AC71" s="105"/>
      <c r="AD71" s="103"/>
    </row>
    <row r="72" spans="1:30" ht="15.9" customHeight="1" x14ac:dyDescent="0.25">
      <c r="A72" s="106" t="s">
        <v>50</v>
      </c>
      <c r="B72" s="107" t="s">
        <v>51</v>
      </c>
      <c r="C72" s="13"/>
      <c r="D72" s="13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9"/>
      <c r="R72" s="272"/>
      <c r="S72" s="273"/>
      <c r="T72" s="274"/>
      <c r="U72" s="299"/>
      <c r="V72" s="300"/>
      <c r="W72" s="300"/>
      <c r="X72" s="300"/>
      <c r="Y72" s="300"/>
      <c r="Z72" s="301"/>
      <c r="AA72" s="104"/>
      <c r="AB72" s="105"/>
      <c r="AC72" s="105"/>
      <c r="AD72" s="103"/>
    </row>
    <row r="73" spans="1:30" ht="15.75" customHeight="1" x14ac:dyDescent="0.25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7"/>
      <c r="Q73" s="268"/>
      <c r="R73" s="272" t="s">
        <v>52</v>
      </c>
      <c r="S73" s="273"/>
      <c r="T73" s="274"/>
      <c r="U73" s="110"/>
      <c r="V73" s="111"/>
      <c r="W73" s="111"/>
      <c r="X73" s="111"/>
      <c r="Y73" s="111"/>
      <c r="Z73" s="112"/>
      <c r="AA73" s="113"/>
      <c r="AB73" s="114"/>
      <c r="AC73" s="114"/>
      <c r="AD73" s="103"/>
    </row>
    <row r="74" spans="1:30" ht="15.9" customHeight="1" x14ac:dyDescent="0.25">
      <c r="A74" s="266"/>
      <c r="B74" s="267"/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8"/>
      <c r="R74" s="272"/>
      <c r="S74" s="273"/>
      <c r="T74" s="274"/>
      <c r="U74" s="115"/>
      <c r="V74" s="278"/>
      <c r="W74" s="278"/>
      <c r="X74" s="278"/>
      <c r="Y74" s="278"/>
      <c r="Z74" s="116"/>
      <c r="AA74" s="113"/>
      <c r="AB74" s="114"/>
      <c r="AC74" s="114"/>
      <c r="AD74" s="103"/>
    </row>
    <row r="75" spans="1:30" ht="15.9" customHeight="1" x14ac:dyDescent="0.25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7"/>
      <c r="Q75" s="268"/>
      <c r="R75" s="272"/>
      <c r="S75" s="273"/>
      <c r="T75" s="274"/>
      <c r="U75" s="115"/>
      <c r="V75" s="278"/>
      <c r="W75" s="278"/>
      <c r="X75" s="278"/>
      <c r="Y75" s="278"/>
      <c r="Z75" s="116"/>
      <c r="AA75" s="113"/>
      <c r="AB75" s="114"/>
      <c r="AC75" s="114"/>
      <c r="AD75" s="103"/>
    </row>
    <row r="76" spans="1:30" ht="15.75" customHeight="1" x14ac:dyDescent="0.25">
      <c r="A76" s="269"/>
      <c r="B76" s="270"/>
      <c r="C76" s="270"/>
      <c r="D76" s="270"/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O76" s="270"/>
      <c r="P76" s="270"/>
      <c r="Q76" s="271"/>
      <c r="R76" s="275"/>
      <c r="S76" s="276"/>
      <c r="T76" s="277"/>
      <c r="U76" s="117"/>
      <c r="V76" s="118"/>
      <c r="W76" s="118"/>
      <c r="X76" s="118"/>
      <c r="Y76" s="118"/>
      <c r="Z76" s="119"/>
      <c r="AA76" s="113"/>
      <c r="AB76" s="114"/>
      <c r="AC76" s="114"/>
      <c r="AD76" s="103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D51:AD52"/>
    <mergeCell ref="AE51:AE52"/>
    <mergeCell ref="AF51:AF52"/>
    <mergeCell ref="AG51:AG52"/>
    <mergeCell ref="E53:T53"/>
    <mergeCell ref="U53:V54"/>
    <mergeCell ref="W53:X54"/>
    <mergeCell ref="Y53:Z54"/>
    <mergeCell ref="AB53:AC54"/>
    <mergeCell ref="AD53:AD54"/>
    <mergeCell ref="AE53:AE54"/>
    <mergeCell ref="AF53:AF54"/>
    <mergeCell ref="AG53:AG54"/>
    <mergeCell ref="C54:D54"/>
    <mergeCell ref="C55:D55"/>
    <mergeCell ref="U55:V55"/>
    <mergeCell ref="W55:X55"/>
    <mergeCell ref="Y55:Z55"/>
    <mergeCell ref="AB55:AC55"/>
    <mergeCell ref="C58:D58"/>
    <mergeCell ref="U58:V58"/>
    <mergeCell ref="W58:X58"/>
    <mergeCell ref="Y58:Z58"/>
    <mergeCell ref="AB58:AC58"/>
    <mergeCell ref="B60:D60"/>
    <mergeCell ref="C56:D56"/>
    <mergeCell ref="U56:V56"/>
    <mergeCell ref="W56:X56"/>
    <mergeCell ref="Y56:Z56"/>
    <mergeCell ref="AB56:AC56"/>
    <mergeCell ref="C57:D57"/>
    <mergeCell ref="U57:V57"/>
    <mergeCell ref="W57:X57"/>
    <mergeCell ref="Y57:Z57"/>
    <mergeCell ref="AB57:AC57"/>
    <mergeCell ref="B61:D61"/>
    <mergeCell ref="U61:V61"/>
    <mergeCell ref="W61:X61"/>
    <mergeCell ref="Y61:Z61"/>
    <mergeCell ref="AB61:AC61"/>
    <mergeCell ref="B62:D62"/>
    <mergeCell ref="U62:V62"/>
    <mergeCell ref="W62:X62"/>
    <mergeCell ref="Y62:Z62"/>
    <mergeCell ref="AB62:AC62"/>
    <mergeCell ref="U63:V63"/>
    <mergeCell ref="W63:X63"/>
    <mergeCell ref="Y63:Z63"/>
    <mergeCell ref="AD63:AD64"/>
    <mergeCell ref="AE63:AE64"/>
    <mergeCell ref="B64:D64"/>
    <mergeCell ref="U64:V64"/>
    <mergeCell ref="W64:X64"/>
    <mergeCell ref="Y64:Z64"/>
    <mergeCell ref="A73:Q76"/>
    <mergeCell ref="R73:T76"/>
    <mergeCell ref="V74:Y75"/>
    <mergeCell ref="U67:Z67"/>
    <mergeCell ref="A68:Q68"/>
    <mergeCell ref="R68:T68"/>
    <mergeCell ref="U68:Z68"/>
    <mergeCell ref="A69:Q71"/>
    <mergeCell ref="R69:T72"/>
    <mergeCell ref="U69:Z72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98C4-EE78-4527-96E3-6099C2F37B3F}">
  <sheetPr>
    <pageSetUpPr fitToPage="1"/>
  </sheetPr>
  <dimension ref="A1:AN76"/>
  <sheetViews>
    <sheetView zoomScaleNormal="100" workbookViewId="0">
      <selection activeCell="G13" sqref="G13:L13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75" customHeight="1" x14ac:dyDescent="0.25">
      <c r="A1" s="144"/>
      <c r="B1" s="145"/>
      <c r="C1" s="145"/>
      <c r="D1" s="145"/>
      <c r="E1" s="145"/>
      <c r="F1" s="146"/>
      <c r="G1" s="153" t="s">
        <v>0</v>
      </c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5"/>
      <c r="U1" s="156" t="s">
        <v>59</v>
      </c>
      <c r="V1" s="157"/>
      <c r="W1" s="157"/>
      <c r="X1" s="157"/>
      <c r="Y1" s="157"/>
      <c r="Z1" s="158"/>
      <c r="AA1" s="1"/>
    </row>
    <row r="2" spans="1:36" ht="12.75" customHeight="1" x14ac:dyDescent="0.25">
      <c r="A2" s="147"/>
      <c r="B2" s="148"/>
      <c r="C2" s="148"/>
      <c r="D2" s="148"/>
      <c r="E2" s="148"/>
      <c r="F2" s="149"/>
      <c r="G2" s="165" t="s">
        <v>1</v>
      </c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7"/>
      <c r="U2" s="159"/>
      <c r="V2" s="160"/>
      <c r="W2" s="160"/>
      <c r="X2" s="160"/>
      <c r="Y2" s="160"/>
      <c r="Z2" s="161"/>
      <c r="AA2" s="1"/>
    </row>
    <row r="3" spans="1:36" ht="12.75" customHeight="1" x14ac:dyDescent="0.25">
      <c r="A3" s="147"/>
      <c r="B3" s="148"/>
      <c r="C3" s="148"/>
      <c r="D3" s="148"/>
      <c r="E3" s="148"/>
      <c r="F3" s="149"/>
      <c r="G3" s="168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159"/>
      <c r="V3" s="160"/>
      <c r="W3" s="160"/>
      <c r="X3" s="160"/>
      <c r="Y3" s="160"/>
      <c r="Z3" s="161"/>
      <c r="AA3" s="1"/>
    </row>
    <row r="4" spans="1:36" ht="12.75" customHeight="1" x14ac:dyDescent="0.25">
      <c r="A4" s="147"/>
      <c r="B4" s="148"/>
      <c r="C4" s="148"/>
      <c r="D4" s="148"/>
      <c r="E4" s="148"/>
      <c r="F4" s="149"/>
      <c r="G4" s="168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59"/>
      <c r="V4" s="160"/>
      <c r="W4" s="160"/>
      <c r="X4" s="160"/>
      <c r="Y4" s="160"/>
      <c r="Z4" s="161"/>
      <c r="AA4" s="1"/>
    </row>
    <row r="5" spans="1:36" ht="12.75" customHeight="1" x14ac:dyDescent="0.25">
      <c r="A5" s="147"/>
      <c r="B5" s="148"/>
      <c r="C5" s="148"/>
      <c r="D5" s="148"/>
      <c r="E5" s="148"/>
      <c r="F5" s="149"/>
      <c r="G5" s="168" t="s">
        <v>2</v>
      </c>
      <c r="H5" s="166"/>
      <c r="I5" s="3" t="s">
        <v>3</v>
      </c>
      <c r="J5" s="306">
        <v>6</v>
      </c>
      <c r="K5" s="307"/>
      <c r="L5" s="308" t="s">
        <v>53</v>
      </c>
      <c r="M5" s="306"/>
      <c r="N5" s="306"/>
      <c r="O5" s="307"/>
      <c r="P5" s="309">
        <v>45468</v>
      </c>
      <c r="Q5" s="310"/>
      <c r="R5" s="310"/>
      <c r="S5" s="310"/>
      <c r="T5" s="311"/>
      <c r="U5" s="159"/>
      <c r="V5" s="160"/>
      <c r="W5" s="160"/>
      <c r="X5" s="160"/>
      <c r="Y5" s="160"/>
      <c r="Z5" s="161"/>
      <c r="AA5" s="1"/>
    </row>
    <row r="6" spans="1:36" ht="12.75" customHeight="1" x14ac:dyDescent="0.25">
      <c r="A6" s="150"/>
      <c r="B6" s="151"/>
      <c r="C6" s="151"/>
      <c r="D6" s="151"/>
      <c r="E6" s="151"/>
      <c r="F6" s="152"/>
      <c r="G6" s="4"/>
      <c r="H6" s="5"/>
      <c r="I6" s="5"/>
      <c r="J6" s="137" t="s">
        <v>4</v>
      </c>
      <c r="K6" s="137"/>
      <c r="L6" s="137" t="s">
        <v>5</v>
      </c>
      <c r="M6" s="137"/>
      <c r="N6" s="137"/>
      <c r="O6" s="137"/>
      <c r="P6" s="137" t="s">
        <v>6</v>
      </c>
      <c r="Q6" s="137"/>
      <c r="R6" s="137"/>
      <c r="S6" s="137"/>
      <c r="T6" s="138"/>
      <c r="U6" s="162"/>
      <c r="V6" s="163"/>
      <c r="W6" s="163"/>
      <c r="X6" s="163"/>
      <c r="Y6" s="163"/>
      <c r="Z6" s="164"/>
      <c r="AA6" s="1"/>
    </row>
    <row r="7" spans="1:36" ht="37.5" customHeight="1" x14ac:dyDescent="0.25">
      <c r="A7" s="139" t="s">
        <v>7</v>
      </c>
      <c r="B7" s="139"/>
      <c r="C7" s="139"/>
      <c r="D7" s="139"/>
      <c r="E7" s="139"/>
      <c r="F7" s="139"/>
      <c r="G7" s="140" t="s">
        <v>8</v>
      </c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15.9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141" t="s">
        <v>11</v>
      </c>
      <c r="C10" s="141"/>
      <c r="D10" s="141"/>
      <c r="E10" s="141"/>
      <c r="F10" s="141"/>
      <c r="G10" s="142" t="s">
        <v>60</v>
      </c>
      <c r="H10" s="142"/>
      <c r="I10" s="142"/>
      <c r="J10" s="142"/>
      <c r="K10" s="142"/>
      <c r="L10" s="142"/>
      <c r="M10" s="141" t="s">
        <v>12</v>
      </c>
      <c r="N10" s="141"/>
      <c r="O10" s="141"/>
      <c r="P10" s="141"/>
      <c r="Q10" s="141"/>
      <c r="R10" s="141"/>
      <c r="S10" s="143" t="s">
        <v>13</v>
      </c>
      <c r="T10" s="143"/>
      <c r="U10" s="143"/>
      <c r="V10" s="143"/>
      <c r="W10" s="143"/>
      <c r="X10" s="143"/>
      <c r="Y10" s="143"/>
      <c r="Z10" s="18"/>
      <c r="AA10" s="19"/>
      <c r="AB10" s="14"/>
      <c r="AC10" s="14"/>
      <c r="AD10" s="14"/>
      <c r="AE10" s="141"/>
      <c r="AF10" s="141"/>
      <c r="AG10" s="141"/>
      <c r="AH10" s="141"/>
      <c r="AI10" s="141"/>
    </row>
    <row r="11" spans="1:36" ht="15.9" customHeight="1" x14ac:dyDescent="0.25">
      <c r="A11" s="15"/>
      <c r="B11" s="141" t="s">
        <v>14</v>
      </c>
      <c r="C11" s="141"/>
      <c r="D11" s="141"/>
      <c r="E11" s="141"/>
      <c r="F11" s="141"/>
      <c r="G11" s="142">
        <v>45468</v>
      </c>
      <c r="H11" s="142"/>
      <c r="I11" s="142"/>
      <c r="J11" s="142"/>
      <c r="K11" s="142"/>
      <c r="L11" s="142"/>
      <c r="M11" s="141" t="s">
        <v>15</v>
      </c>
      <c r="N11" s="141"/>
      <c r="O11" s="141"/>
      <c r="P11" s="141"/>
      <c r="Q11" s="141"/>
      <c r="R11" s="141"/>
      <c r="S11" s="177" t="s">
        <v>70</v>
      </c>
      <c r="T11" s="177"/>
      <c r="U11" s="177"/>
      <c r="V11" s="177"/>
      <c r="W11" s="177"/>
      <c r="X11" s="177"/>
      <c r="Y11" s="177"/>
      <c r="Z11" s="18"/>
      <c r="AA11" s="19"/>
      <c r="AB11" s="14"/>
      <c r="AC11" s="14"/>
      <c r="AD11" s="14"/>
      <c r="AE11" s="141"/>
      <c r="AF11" s="141"/>
      <c r="AG11" s="141"/>
      <c r="AH11" s="141"/>
      <c r="AI11" s="141"/>
    </row>
    <row r="12" spans="1:36" ht="15.9" customHeight="1" x14ac:dyDescent="0.25">
      <c r="A12" s="15"/>
      <c r="B12" s="141" t="s">
        <v>16</v>
      </c>
      <c r="C12" s="141"/>
      <c r="D12" s="141"/>
      <c r="E12" s="141"/>
      <c r="F12" s="141"/>
      <c r="G12" s="175" t="s">
        <v>72</v>
      </c>
      <c r="H12" s="175"/>
      <c r="I12" s="175"/>
      <c r="J12" s="175"/>
      <c r="K12" s="175"/>
      <c r="L12" s="175"/>
      <c r="M12" s="176" t="s">
        <v>17</v>
      </c>
      <c r="N12" s="176"/>
      <c r="O12" s="176"/>
      <c r="P12" s="176"/>
      <c r="Q12" s="176"/>
      <c r="R12" s="176"/>
      <c r="S12" s="143">
        <v>157</v>
      </c>
      <c r="T12" s="143"/>
      <c r="U12" s="143"/>
      <c r="V12" s="143"/>
      <c r="W12" s="143"/>
      <c r="X12" s="143"/>
      <c r="Y12" s="143"/>
      <c r="Z12" s="18"/>
      <c r="AA12" s="19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0" t="s">
        <v>18</v>
      </c>
      <c r="C13" s="20"/>
      <c r="D13" s="20"/>
      <c r="E13" s="20"/>
      <c r="F13" s="20"/>
      <c r="G13" s="175" t="s">
        <v>54</v>
      </c>
      <c r="H13" s="175"/>
      <c r="I13" s="175"/>
      <c r="J13" s="175"/>
      <c r="K13" s="175"/>
      <c r="L13" s="175"/>
      <c r="M13" s="141" t="s">
        <v>19</v>
      </c>
      <c r="N13" s="141"/>
      <c r="O13" s="141"/>
      <c r="P13" s="141"/>
      <c r="Q13" s="141"/>
      <c r="R13" s="141"/>
      <c r="S13" s="175" t="s">
        <v>63</v>
      </c>
      <c r="T13" s="175"/>
      <c r="U13" s="175"/>
      <c r="V13" s="175"/>
      <c r="W13" s="175"/>
      <c r="X13" s="175"/>
      <c r="Y13" s="175"/>
      <c r="Z13" s="18"/>
      <c r="AA13" s="19"/>
      <c r="AB13" s="14"/>
      <c r="AC13" s="14"/>
      <c r="AD13" s="14"/>
      <c r="AE13" s="141"/>
      <c r="AF13" s="141"/>
      <c r="AG13" s="141"/>
      <c r="AH13" s="141"/>
      <c r="AI13" s="141"/>
      <c r="AJ13" s="141"/>
    </row>
    <row r="14" spans="1:36" ht="15.9" customHeight="1" x14ac:dyDescent="0.25">
      <c r="A14" s="21"/>
      <c r="B14" s="141" t="s">
        <v>20</v>
      </c>
      <c r="C14" s="141"/>
      <c r="D14" s="141"/>
      <c r="E14" s="141"/>
      <c r="F14" s="141"/>
      <c r="G14" s="175" t="s">
        <v>55</v>
      </c>
      <c r="H14" s="175"/>
      <c r="I14" s="175"/>
      <c r="J14" s="175"/>
      <c r="K14" s="175"/>
      <c r="L14" s="175"/>
      <c r="M14" s="143" t="s">
        <v>21</v>
      </c>
      <c r="N14" s="143"/>
      <c r="O14" s="143"/>
      <c r="P14" s="143"/>
      <c r="Q14" s="143"/>
      <c r="R14" s="143"/>
      <c r="S14" s="143" t="s">
        <v>22</v>
      </c>
      <c r="T14" s="143"/>
      <c r="U14" s="143"/>
      <c r="V14" s="143"/>
      <c r="W14" s="143"/>
      <c r="X14" s="143"/>
      <c r="Y14" s="143"/>
      <c r="Z14" s="22"/>
      <c r="AA14" s="14"/>
      <c r="AB14" s="14"/>
      <c r="AC14" s="14"/>
      <c r="AD14" s="14"/>
      <c r="AE14" s="141"/>
      <c r="AF14" s="141"/>
      <c r="AG14" s="141"/>
      <c r="AH14" s="141"/>
      <c r="AI14" s="141"/>
      <c r="AJ14" s="141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141"/>
      <c r="AF15" s="141"/>
      <c r="AG15" s="141"/>
      <c r="AH15" s="141"/>
      <c r="AI15" s="141"/>
      <c r="AJ15" s="141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141"/>
      <c r="AF16" s="141"/>
      <c r="AG16" s="141"/>
      <c r="AH16" s="141"/>
      <c r="AI16" s="141"/>
      <c r="AJ16" s="141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141" t="s">
        <v>25</v>
      </c>
      <c r="C19" s="141"/>
      <c r="D19" s="141"/>
      <c r="E19" s="141"/>
      <c r="F19" s="141"/>
      <c r="G19" s="141"/>
      <c r="H19" s="141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8"/>
      <c r="AA19" s="19"/>
      <c r="AE19" s="30"/>
      <c r="AI19" s="30"/>
    </row>
    <row r="20" spans="1:40" ht="15.9" customHeight="1" x14ac:dyDescent="0.25">
      <c r="A20" s="15"/>
      <c r="B20" s="141" t="s">
        <v>26</v>
      </c>
      <c r="C20" s="141"/>
      <c r="D20" s="141"/>
      <c r="E20" s="141"/>
      <c r="F20" s="141"/>
      <c r="G20" s="141"/>
      <c r="H20" s="141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8"/>
      <c r="AA20" s="19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2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3" t="s">
        <v>23</v>
      </c>
      <c r="B23" s="34" t="s">
        <v>27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39"/>
      <c r="AN23" s="40"/>
    </row>
    <row r="24" spans="1:40" ht="9" customHeight="1" x14ac:dyDescent="0.25">
      <c r="A24" s="21"/>
      <c r="Z24" s="41"/>
    </row>
    <row r="25" spans="1:40" ht="9" customHeight="1" x14ac:dyDescent="0.25">
      <c r="A25" s="21"/>
      <c r="Z25" s="41"/>
    </row>
    <row r="26" spans="1:40" ht="9" customHeight="1" x14ac:dyDescent="0.25">
      <c r="A26" s="21"/>
      <c r="Z26" s="41"/>
    </row>
    <row r="27" spans="1:40" ht="12.75" customHeight="1" x14ac:dyDescent="0.25">
      <c r="A27" s="21"/>
      <c r="Z27" s="41"/>
    </row>
    <row r="28" spans="1:40" ht="12.75" customHeight="1" x14ac:dyDescent="0.25">
      <c r="A28" s="21"/>
      <c r="Z28" s="41"/>
    </row>
    <row r="29" spans="1:40" ht="12.75" customHeight="1" x14ac:dyDescent="0.25">
      <c r="A29" s="21"/>
      <c r="Z29" s="41"/>
    </row>
    <row r="30" spans="1:40" ht="12.75" customHeight="1" x14ac:dyDescent="0.25">
      <c r="A30" s="21"/>
      <c r="Z30" s="41"/>
    </row>
    <row r="31" spans="1:40" ht="12.75" customHeight="1" x14ac:dyDescent="0.25">
      <c r="A31" s="21"/>
      <c r="Z31" s="41"/>
    </row>
    <row r="32" spans="1:40" ht="12.75" customHeight="1" x14ac:dyDescent="0.25">
      <c r="A32" s="21"/>
      <c r="Z32" s="41"/>
    </row>
    <row r="33" spans="1:26" ht="12.75" customHeight="1" x14ac:dyDescent="0.25">
      <c r="A33" s="21"/>
      <c r="Z33" s="41"/>
    </row>
    <row r="34" spans="1:26" ht="12.75" customHeight="1" x14ac:dyDescent="0.25">
      <c r="A34" s="21"/>
      <c r="Z34" s="41"/>
    </row>
    <row r="35" spans="1:26" ht="12.75" customHeight="1" x14ac:dyDescent="0.25">
      <c r="A35" s="21"/>
      <c r="Z35" s="41"/>
    </row>
    <row r="36" spans="1:26" ht="12.75" customHeight="1" x14ac:dyDescent="0.25">
      <c r="A36" s="21"/>
      <c r="Z36" s="41"/>
    </row>
    <row r="37" spans="1:26" ht="12.75" customHeight="1" x14ac:dyDescent="0.25">
      <c r="A37" s="21"/>
      <c r="Z37" s="41"/>
    </row>
    <row r="38" spans="1:26" ht="12.75" customHeight="1" x14ac:dyDescent="0.25">
      <c r="A38" s="21"/>
      <c r="Z38" s="41"/>
    </row>
    <row r="39" spans="1:26" ht="12.75" customHeight="1" x14ac:dyDescent="0.25">
      <c r="A39" s="21"/>
      <c r="Z39" s="41"/>
    </row>
    <row r="40" spans="1:26" ht="12.75" customHeight="1" x14ac:dyDescent="0.25">
      <c r="A40" s="21"/>
      <c r="Z40" s="41"/>
    </row>
    <row r="41" spans="1:26" ht="12.75" customHeight="1" x14ac:dyDescent="0.25">
      <c r="A41" s="21"/>
      <c r="Z41" s="41"/>
    </row>
    <row r="42" spans="1:26" ht="12.75" customHeight="1" x14ac:dyDescent="0.25">
      <c r="A42" s="21"/>
      <c r="Z42" s="41"/>
    </row>
    <row r="43" spans="1:26" ht="12.75" customHeight="1" x14ac:dyDescent="0.25">
      <c r="A43" s="21"/>
      <c r="Z43" s="41"/>
    </row>
    <row r="44" spans="1:26" ht="12.75" customHeight="1" x14ac:dyDescent="0.25">
      <c r="A44" s="21"/>
      <c r="Z44" s="41"/>
    </row>
    <row r="45" spans="1:26" ht="12.75" customHeight="1" x14ac:dyDescent="0.25">
      <c r="A45" s="21"/>
      <c r="Z45" s="41"/>
    </row>
    <row r="46" spans="1:26" ht="12.75" customHeight="1" x14ac:dyDescent="0.25">
      <c r="A46" s="21"/>
      <c r="Z46" s="41"/>
    </row>
    <row r="47" spans="1:26" ht="12.75" customHeight="1" x14ac:dyDescent="0.25">
      <c r="A47" s="21"/>
      <c r="Z47" s="41"/>
    </row>
    <row r="48" spans="1:26" ht="12.75" customHeight="1" x14ac:dyDescent="0.25">
      <c r="A48" s="21"/>
      <c r="Z48" s="41"/>
    </row>
    <row r="49" spans="1:34" ht="12.75" customHeight="1" x14ac:dyDescent="0.25">
      <c r="A49" s="21"/>
      <c r="Z49" s="41"/>
    </row>
    <row r="50" spans="1:34" ht="9.75" customHeight="1" thickBot="1" x14ac:dyDescent="0.3">
      <c r="A50" s="21"/>
      <c r="Z50" s="41"/>
    </row>
    <row r="51" spans="1:34" ht="9.75" customHeight="1" x14ac:dyDescent="0.25">
      <c r="A51" s="21"/>
      <c r="Z51" s="41"/>
      <c r="AD51" s="179" t="s">
        <v>28</v>
      </c>
      <c r="AE51" s="181">
        <v>2.68</v>
      </c>
      <c r="AF51" s="183"/>
      <c r="AG51" s="185"/>
      <c r="AH51" s="42"/>
    </row>
    <row r="52" spans="1:34" ht="12.75" customHeight="1" thickBot="1" x14ac:dyDescent="0.3">
      <c r="A52" s="21"/>
      <c r="Z52" s="43"/>
      <c r="AD52" s="180"/>
      <c r="AE52" s="182"/>
      <c r="AF52" s="184"/>
      <c r="AG52" s="185"/>
    </row>
    <row r="53" spans="1:34" ht="18.75" customHeight="1" thickBot="1" x14ac:dyDescent="0.3">
      <c r="A53" s="21"/>
      <c r="E53" s="186" t="s">
        <v>29</v>
      </c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8" t="s">
        <v>30</v>
      </c>
      <c r="V53" s="189"/>
      <c r="W53" s="192" t="s">
        <v>31</v>
      </c>
      <c r="X53" s="189"/>
      <c r="Y53" s="194" t="s">
        <v>32</v>
      </c>
      <c r="Z53" s="195"/>
      <c r="AA53" s="44"/>
      <c r="AB53" s="198" t="s">
        <v>33</v>
      </c>
      <c r="AC53" s="199"/>
      <c r="AD53" s="202" t="s">
        <v>34</v>
      </c>
      <c r="AE53" s="204" t="s">
        <v>35</v>
      </c>
      <c r="AF53" s="183"/>
      <c r="AG53" s="183"/>
      <c r="AH53" s="45"/>
    </row>
    <row r="54" spans="1:34" ht="24.9" customHeight="1" thickBot="1" x14ac:dyDescent="0.3">
      <c r="A54" s="46"/>
      <c r="B54" s="47" t="s">
        <v>36</v>
      </c>
      <c r="C54" s="207" t="s">
        <v>37</v>
      </c>
      <c r="D54" s="208"/>
      <c r="E54" s="48">
        <v>6.3E-2</v>
      </c>
      <c r="F54" s="48">
        <v>0.125</v>
      </c>
      <c r="G54" s="49">
        <v>0.25</v>
      </c>
      <c r="H54" s="49">
        <v>0.5</v>
      </c>
      <c r="I54" s="49">
        <v>1</v>
      </c>
      <c r="J54" s="49">
        <v>2</v>
      </c>
      <c r="K54" s="49">
        <v>4</v>
      </c>
      <c r="L54" s="49">
        <v>6.3</v>
      </c>
      <c r="M54" s="49">
        <v>8</v>
      </c>
      <c r="N54" s="49">
        <v>10</v>
      </c>
      <c r="O54" s="49">
        <v>12.5</v>
      </c>
      <c r="P54" s="49">
        <v>14</v>
      </c>
      <c r="Q54" s="50">
        <v>16</v>
      </c>
      <c r="R54" s="50">
        <v>20</v>
      </c>
      <c r="S54" s="49"/>
      <c r="T54" s="50"/>
      <c r="U54" s="190"/>
      <c r="V54" s="191"/>
      <c r="W54" s="193"/>
      <c r="X54" s="191"/>
      <c r="Y54" s="196"/>
      <c r="Z54" s="197"/>
      <c r="AA54" s="44"/>
      <c r="AB54" s="200"/>
      <c r="AC54" s="201"/>
      <c r="AD54" s="203"/>
      <c r="AE54" s="205"/>
      <c r="AF54" s="206"/>
      <c r="AG54" s="183"/>
    </row>
    <row r="55" spans="1:34" ht="24.9" customHeight="1" x14ac:dyDescent="0.25">
      <c r="A55" s="46"/>
      <c r="B55" s="51">
        <v>1</v>
      </c>
      <c r="C55" s="209" t="s">
        <v>71</v>
      </c>
      <c r="D55" s="210"/>
      <c r="E55" s="125">
        <v>8.1999999999999993</v>
      </c>
      <c r="F55" s="126">
        <v>10.3</v>
      </c>
      <c r="G55" s="127">
        <v>12.9</v>
      </c>
      <c r="H55" s="127">
        <v>16.5</v>
      </c>
      <c r="I55" s="127">
        <v>21.7</v>
      </c>
      <c r="J55" s="127">
        <v>30.8</v>
      </c>
      <c r="K55" s="127">
        <v>46.2</v>
      </c>
      <c r="L55" s="127">
        <v>60.3</v>
      </c>
      <c r="M55" s="127">
        <v>70.400000000000006</v>
      </c>
      <c r="N55" s="127">
        <v>79.3</v>
      </c>
      <c r="O55" s="127">
        <v>91.5</v>
      </c>
      <c r="P55" s="127">
        <v>97</v>
      </c>
      <c r="Q55" s="127">
        <v>100</v>
      </c>
      <c r="R55" s="127"/>
      <c r="S55" s="128"/>
      <c r="T55" s="128"/>
      <c r="U55" s="211">
        <v>155</v>
      </c>
      <c r="V55" s="212"/>
      <c r="W55" s="213">
        <v>4.2300000000000004</v>
      </c>
      <c r="X55" s="214"/>
      <c r="Y55" s="215">
        <f>IF(W55&lt;&gt;0,AE55,"")</f>
        <v>2.5973904511030801</v>
      </c>
      <c r="Z55" s="216"/>
      <c r="AA55" s="52"/>
      <c r="AB55" s="217">
        <f>(100*W55)/(100-W55)</f>
        <v>4.4168319933173237</v>
      </c>
      <c r="AC55" s="218"/>
      <c r="AD55" s="53">
        <f>(0.25*(100-O55)+2.3*(O55-H55)+12*(H55-E55)+150*(E55))/100</f>
        <v>15.042249999999999</v>
      </c>
      <c r="AE55" s="54">
        <f>(AB55*$AE$51)/(2.65*(AD55)^(1/5))</f>
        <v>2.5973904511030801</v>
      </c>
      <c r="AF55" s="28"/>
      <c r="AG55" s="55"/>
    </row>
    <row r="56" spans="1:34" ht="24.9" customHeight="1" x14ac:dyDescent="0.25">
      <c r="A56" s="46"/>
      <c r="B56" s="56">
        <v>2</v>
      </c>
      <c r="C56" s="312"/>
      <c r="D56" s="313"/>
      <c r="E56" s="120"/>
      <c r="F56" s="121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4"/>
      <c r="R56" s="122"/>
      <c r="S56" s="123"/>
      <c r="T56" s="123"/>
      <c r="U56" s="302"/>
      <c r="V56" s="303"/>
      <c r="W56" s="304"/>
      <c r="X56" s="305"/>
      <c r="Y56" s="230" t="str">
        <f>IF(W56&lt;&gt;0,AE56,"")</f>
        <v/>
      </c>
      <c r="Z56" s="231"/>
      <c r="AA56" s="52"/>
      <c r="AB56" s="217">
        <f>(100*W56)/(100-W56)</f>
        <v>0</v>
      </c>
      <c r="AC56" s="218"/>
      <c r="AD56" s="53">
        <f t="shared" ref="AD56:AD62" si="0">(0.25*(100-O56)+2.3*(O56-H56)+12*(H56-E56)+150*(E56))/100</f>
        <v>0.25</v>
      </c>
      <c r="AE56" s="54">
        <f t="shared" ref="AE56:AE62" si="1">(AB56*$AE$51)/(2.65*(AD56)^(1/5))</f>
        <v>0</v>
      </c>
      <c r="AF56" s="28"/>
      <c r="AG56" s="55"/>
    </row>
    <row r="57" spans="1:34" ht="24.9" customHeight="1" x14ac:dyDescent="0.25">
      <c r="A57" s="46"/>
      <c r="B57" s="56">
        <v>3</v>
      </c>
      <c r="C57" s="232"/>
      <c r="D57" s="233"/>
      <c r="E57" s="57"/>
      <c r="F57" s="58"/>
      <c r="G57" s="58"/>
      <c r="H57" s="59"/>
      <c r="I57" s="59"/>
      <c r="J57" s="59"/>
      <c r="K57" s="59"/>
      <c r="L57" s="59"/>
      <c r="M57" s="59"/>
      <c r="N57" s="59"/>
      <c r="O57" s="60"/>
      <c r="P57" s="59"/>
      <c r="Q57" s="60"/>
      <c r="R57" s="59"/>
      <c r="S57" s="59"/>
      <c r="T57" s="61"/>
      <c r="U57" s="234"/>
      <c r="V57" s="235"/>
      <c r="W57" s="236"/>
      <c r="X57" s="237"/>
      <c r="Y57" s="230" t="str">
        <f t="shared" ref="Y57:Y58" si="2">IF(W57&lt;&gt;0,AE57,"")</f>
        <v/>
      </c>
      <c r="Z57" s="231"/>
      <c r="AA57" s="52"/>
      <c r="AB57" s="217">
        <f>(100*W57)/(100-W57)</f>
        <v>0</v>
      </c>
      <c r="AC57" s="218"/>
      <c r="AD57" s="53">
        <f t="shared" si="0"/>
        <v>0.25</v>
      </c>
      <c r="AE57" s="54">
        <f t="shared" si="1"/>
        <v>0</v>
      </c>
      <c r="AF57" s="28"/>
      <c r="AG57" s="55"/>
    </row>
    <row r="58" spans="1:34" ht="24.9" customHeight="1" thickBot="1" x14ac:dyDescent="0.3">
      <c r="A58" s="46"/>
      <c r="B58" s="62">
        <v>4</v>
      </c>
      <c r="C58" s="219"/>
      <c r="D58" s="220"/>
      <c r="E58" s="63"/>
      <c r="F58" s="64"/>
      <c r="G58" s="64"/>
      <c r="H58" s="65"/>
      <c r="I58" s="65"/>
      <c r="J58" s="65"/>
      <c r="K58" s="65"/>
      <c r="L58" s="65"/>
      <c r="M58" s="65"/>
      <c r="N58" s="65"/>
      <c r="O58" s="66"/>
      <c r="P58" s="65"/>
      <c r="Q58" s="66"/>
      <c r="R58" s="65"/>
      <c r="S58" s="65"/>
      <c r="T58" s="67"/>
      <c r="U58" s="221"/>
      <c r="V58" s="222"/>
      <c r="W58" s="223"/>
      <c r="X58" s="224"/>
      <c r="Y58" s="225" t="str">
        <f t="shared" si="2"/>
        <v/>
      </c>
      <c r="Z58" s="226"/>
      <c r="AA58" s="52"/>
      <c r="AB58" s="217">
        <f>(100*W58)/(100-W58)</f>
        <v>0</v>
      </c>
      <c r="AC58" s="218"/>
      <c r="AD58" s="53">
        <f t="shared" si="0"/>
        <v>0.25</v>
      </c>
      <c r="AE58" s="54">
        <f t="shared" si="1"/>
        <v>0</v>
      </c>
      <c r="AF58" s="28"/>
      <c r="AG58" s="55"/>
    </row>
    <row r="59" spans="1:34" ht="10.5" customHeight="1" thickBot="1" x14ac:dyDescent="0.3">
      <c r="A59" s="46"/>
      <c r="B59" s="2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9"/>
      <c r="P59" s="68"/>
      <c r="Q59" s="69"/>
      <c r="R59" s="68"/>
      <c r="S59" s="68"/>
      <c r="T59" s="68"/>
      <c r="U59" s="68"/>
      <c r="V59" s="68"/>
      <c r="W59" s="70"/>
      <c r="Z59" s="71"/>
      <c r="AB59" s="72"/>
      <c r="AC59" s="73"/>
      <c r="AD59" s="53"/>
      <c r="AE59" s="54"/>
      <c r="AF59" s="28"/>
      <c r="AG59" s="55"/>
    </row>
    <row r="60" spans="1:34" ht="24.75" hidden="1" customHeight="1" x14ac:dyDescent="0.25">
      <c r="A60" s="46"/>
      <c r="B60" s="227" t="s">
        <v>38</v>
      </c>
      <c r="C60" s="228"/>
      <c r="D60" s="229"/>
      <c r="E60" s="74"/>
      <c r="F60" s="74"/>
      <c r="G60" s="74"/>
      <c r="H60" s="74"/>
      <c r="I60" s="74"/>
      <c r="J60" s="74"/>
      <c r="K60" s="74"/>
      <c r="L60" s="74"/>
      <c r="M60" s="74">
        <v>10</v>
      </c>
      <c r="N60" s="74">
        <v>10</v>
      </c>
      <c r="O60" s="75"/>
      <c r="P60" s="74"/>
      <c r="Q60" s="75">
        <v>50</v>
      </c>
      <c r="R60" s="74"/>
      <c r="S60" s="74">
        <v>70</v>
      </c>
      <c r="T60" s="74"/>
      <c r="U60" s="74"/>
      <c r="V60" s="74"/>
      <c r="W60" s="74"/>
      <c r="X60" s="76"/>
      <c r="Y60" s="77">
        <v>4.5</v>
      </c>
      <c r="Z60" s="77"/>
      <c r="AA60" s="28"/>
      <c r="AB60" s="72"/>
      <c r="AC60" s="73"/>
      <c r="AD60" s="53">
        <f t="shared" si="0"/>
        <v>0.25</v>
      </c>
      <c r="AE60" s="54">
        <f t="shared" si="1"/>
        <v>0</v>
      </c>
      <c r="AF60" s="28"/>
      <c r="AG60" s="55"/>
    </row>
    <row r="61" spans="1:34" ht="18.75" customHeight="1" x14ac:dyDescent="0.25">
      <c r="A61" s="46"/>
      <c r="B61" s="238" t="s">
        <v>39</v>
      </c>
      <c r="C61" s="239"/>
      <c r="D61" s="240"/>
      <c r="E61" s="78">
        <f>IF(E55&lt;&gt;0,AVERAGE(E55:E58),"")</f>
        <v>8.1999999999999993</v>
      </c>
      <c r="F61" s="78">
        <f t="shared" ref="F61:L61" si="3">IF(F55&lt;&gt;0,AVERAGE(F55:F58),"")</f>
        <v>10.3</v>
      </c>
      <c r="G61" s="78">
        <f t="shared" si="3"/>
        <v>12.9</v>
      </c>
      <c r="H61" s="78">
        <f t="shared" si="3"/>
        <v>16.5</v>
      </c>
      <c r="I61" s="78">
        <f t="shared" si="3"/>
        <v>21.7</v>
      </c>
      <c r="J61" s="78">
        <f t="shared" si="3"/>
        <v>30.8</v>
      </c>
      <c r="K61" s="78">
        <f t="shared" si="3"/>
        <v>46.2</v>
      </c>
      <c r="L61" s="78">
        <f t="shared" si="3"/>
        <v>60.3</v>
      </c>
      <c r="M61" s="78">
        <f>IF(M55&lt;&gt;0,AVERAGE(M55:M58),"")</f>
        <v>70.400000000000006</v>
      </c>
      <c r="N61" s="78">
        <f>IF(N55&lt;&gt;0,AVERAGE(N55:N58),"")</f>
        <v>79.3</v>
      </c>
      <c r="O61" s="79">
        <f>IF(O55&lt;&gt;0,AVERAGE(O55:O58),"")</f>
        <v>91.5</v>
      </c>
      <c r="P61" s="79">
        <f t="shared" ref="P61:Q61" si="4">IF(P55&lt;&gt;0,AVERAGE(P55:P58),"")</f>
        <v>97</v>
      </c>
      <c r="Q61" s="79">
        <f t="shared" si="4"/>
        <v>100</v>
      </c>
      <c r="R61" s="78"/>
      <c r="S61" s="78" t="str">
        <f t="shared" ref="S61:T61" si="5">IF(S55&lt;&gt;0,AVERAGE(S55:S58),"")</f>
        <v/>
      </c>
      <c r="T61" s="80" t="str">
        <f t="shared" si="5"/>
        <v/>
      </c>
      <c r="U61" s="241">
        <f>IF(U55&lt;&gt;0,AVERAGE(U55:V58),"")</f>
        <v>155</v>
      </c>
      <c r="V61" s="242"/>
      <c r="W61" s="243">
        <f>IF(W55&lt;&gt;0,AVERAGE(W55:X58),"")</f>
        <v>4.2300000000000004</v>
      </c>
      <c r="X61" s="244"/>
      <c r="Y61" s="245">
        <f>IF(W55&lt;&gt;0,AVERAGE(Y55:Z58),"")</f>
        <v>2.5973904511030801</v>
      </c>
      <c r="Z61" s="246"/>
      <c r="AA61" s="55"/>
      <c r="AB61" s="217">
        <f>(100*W61)/(100-W61)</f>
        <v>4.4168319933173237</v>
      </c>
      <c r="AC61" s="218"/>
      <c r="AD61" s="53">
        <f t="shared" si="0"/>
        <v>15.042249999999999</v>
      </c>
      <c r="AE61" s="54">
        <f t="shared" si="1"/>
        <v>2.5973904511030801</v>
      </c>
      <c r="AF61" s="28"/>
      <c r="AG61" s="55"/>
    </row>
    <row r="62" spans="1:34" ht="21" customHeight="1" x14ac:dyDescent="0.25">
      <c r="A62" s="46"/>
      <c r="B62" s="247" t="s">
        <v>40</v>
      </c>
      <c r="C62" s="248"/>
      <c r="D62" s="249"/>
      <c r="E62" s="81">
        <v>6.5</v>
      </c>
      <c r="F62" s="81">
        <v>9</v>
      </c>
      <c r="G62" s="81">
        <v>12</v>
      </c>
      <c r="H62" s="81">
        <v>16</v>
      </c>
      <c r="I62" s="81">
        <v>22</v>
      </c>
      <c r="J62" s="81">
        <v>32</v>
      </c>
      <c r="K62" s="81">
        <v>47</v>
      </c>
      <c r="L62" s="81">
        <v>59</v>
      </c>
      <c r="M62" s="81">
        <v>65</v>
      </c>
      <c r="N62" s="81">
        <v>74</v>
      </c>
      <c r="O62" s="81">
        <v>90</v>
      </c>
      <c r="P62" s="81">
        <v>97</v>
      </c>
      <c r="Q62" s="82">
        <v>100</v>
      </c>
      <c r="R62" s="81"/>
      <c r="S62" s="81"/>
      <c r="T62" s="83"/>
      <c r="U62" s="250"/>
      <c r="V62" s="251"/>
      <c r="W62" s="252">
        <v>4.3</v>
      </c>
      <c r="X62" s="253"/>
      <c r="Y62" s="254">
        <f>AE62</f>
        <v>2.7368703035010422</v>
      </c>
      <c r="Z62" s="255"/>
      <c r="AA62" s="55"/>
      <c r="AB62" s="217">
        <f>(100*W62)/(100-W62)</f>
        <v>4.4932079414838038</v>
      </c>
      <c r="AC62" s="218"/>
      <c r="AD62" s="53">
        <f t="shared" si="0"/>
        <v>12.617000000000001</v>
      </c>
      <c r="AE62" s="54">
        <f t="shared" si="1"/>
        <v>2.7368703035010422</v>
      </c>
      <c r="AF62" s="28"/>
      <c r="AG62" s="55"/>
    </row>
    <row r="63" spans="1:34" ht="13.5" customHeight="1" x14ac:dyDescent="0.25">
      <c r="A63" s="46"/>
      <c r="B63" s="84"/>
      <c r="C63" s="85" t="s">
        <v>41</v>
      </c>
      <c r="D63" s="86"/>
      <c r="E63" s="59">
        <f>E62+2</f>
        <v>8.5</v>
      </c>
      <c r="F63" s="59"/>
      <c r="G63" s="59"/>
      <c r="H63" s="59"/>
      <c r="I63" s="59"/>
      <c r="J63" s="59">
        <f>J62+6</f>
        <v>38</v>
      </c>
      <c r="K63" s="59"/>
      <c r="L63" s="59">
        <f>L62+7</f>
        <v>66</v>
      </c>
      <c r="M63" s="59"/>
      <c r="N63" s="59"/>
      <c r="O63" s="59"/>
      <c r="P63" s="59"/>
      <c r="Q63" s="60"/>
      <c r="R63" s="59"/>
      <c r="S63" s="59"/>
      <c r="T63" s="61"/>
      <c r="U63" s="234"/>
      <c r="V63" s="235"/>
      <c r="W63" s="256">
        <f>W62+0.5</f>
        <v>4.8</v>
      </c>
      <c r="X63" s="235"/>
      <c r="Y63" s="232"/>
      <c r="Z63" s="257"/>
      <c r="AA63" s="87"/>
      <c r="AB63" s="88"/>
      <c r="AC63" s="89"/>
      <c r="AD63" s="258"/>
      <c r="AE63" s="260" t="s">
        <v>42</v>
      </c>
      <c r="AF63" s="28"/>
      <c r="AG63" s="55"/>
    </row>
    <row r="64" spans="1:34" ht="13.5" customHeight="1" thickBot="1" x14ac:dyDescent="0.3">
      <c r="A64" s="46"/>
      <c r="B64" s="190" t="s">
        <v>43</v>
      </c>
      <c r="C64" s="193"/>
      <c r="D64" s="191"/>
      <c r="E64" s="90">
        <f>E62-2</f>
        <v>4.5</v>
      </c>
      <c r="F64" s="90"/>
      <c r="G64" s="91"/>
      <c r="H64" s="91"/>
      <c r="I64" s="91"/>
      <c r="J64" s="90">
        <f>J62-6</f>
        <v>26</v>
      </c>
      <c r="K64" s="91"/>
      <c r="L64" s="90">
        <f>L62-7</f>
        <v>52</v>
      </c>
      <c r="M64" s="90"/>
      <c r="N64" s="91"/>
      <c r="O64" s="91"/>
      <c r="P64" s="91"/>
      <c r="Q64" s="90"/>
      <c r="R64" s="91"/>
      <c r="S64" s="91"/>
      <c r="T64" s="92"/>
      <c r="U64" s="262"/>
      <c r="V64" s="263"/>
      <c r="W64" s="264">
        <f>W62-0.5</f>
        <v>3.8</v>
      </c>
      <c r="X64" s="263"/>
      <c r="Y64" s="219"/>
      <c r="Z64" s="265"/>
      <c r="AA64" s="93"/>
      <c r="AB64" s="94"/>
      <c r="AC64" s="95"/>
      <c r="AD64" s="259"/>
      <c r="AE64" s="261"/>
      <c r="AF64" s="28"/>
      <c r="AG64" s="55"/>
    </row>
    <row r="65" spans="1:30" ht="6.75" customHeigh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96"/>
    </row>
    <row r="66" spans="1:30" ht="8.25" customHeight="1" x14ac:dyDescent="0.25"/>
    <row r="67" spans="1:30" ht="34.5" customHeight="1" x14ac:dyDescent="0.25">
      <c r="A67" s="97" t="s">
        <v>44</v>
      </c>
      <c r="B67" s="98" t="s">
        <v>45</v>
      </c>
      <c r="C67" s="99"/>
      <c r="D67" s="99"/>
      <c r="E67" s="99"/>
      <c r="F67" s="100"/>
      <c r="G67" s="100"/>
      <c r="H67" s="100"/>
      <c r="I67" s="10"/>
      <c r="J67" s="10"/>
      <c r="K67" s="10"/>
      <c r="L67" s="10"/>
      <c r="M67" s="10"/>
      <c r="N67" s="10"/>
      <c r="O67" s="10"/>
      <c r="P67" s="10"/>
      <c r="Q67" s="100"/>
      <c r="R67" s="10"/>
      <c r="S67" s="10"/>
      <c r="T67" s="10"/>
      <c r="U67" s="279"/>
      <c r="V67" s="279"/>
      <c r="W67" s="279"/>
      <c r="X67" s="279"/>
      <c r="Y67" s="279"/>
      <c r="Z67" s="280"/>
      <c r="AA67" s="101"/>
      <c r="AB67" s="102"/>
      <c r="AC67" s="102"/>
      <c r="AD67" s="103"/>
    </row>
    <row r="68" spans="1:30" ht="27" customHeight="1" x14ac:dyDescent="0.25">
      <c r="A68" s="281" t="s">
        <v>46</v>
      </c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3"/>
      <c r="R68" s="272" t="s">
        <v>47</v>
      </c>
      <c r="S68" s="273"/>
      <c r="T68" s="274"/>
      <c r="U68" s="284" t="s">
        <v>64</v>
      </c>
      <c r="V68" s="285"/>
      <c r="W68" s="285"/>
      <c r="X68" s="286"/>
      <c r="Y68" s="286"/>
      <c r="Z68" s="287"/>
      <c r="AA68" s="104"/>
      <c r="AB68" s="105"/>
      <c r="AC68" s="105"/>
      <c r="AD68" s="103"/>
    </row>
    <row r="69" spans="1:30" ht="15.75" customHeight="1" x14ac:dyDescent="0.25">
      <c r="A69" s="288" t="s">
        <v>48</v>
      </c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90"/>
      <c r="R69" s="272" t="s">
        <v>49</v>
      </c>
      <c r="S69" s="273"/>
      <c r="T69" s="274"/>
      <c r="U69" s="294" t="s">
        <v>65</v>
      </c>
      <c r="V69" s="295"/>
      <c r="W69" s="295"/>
      <c r="X69" s="295"/>
      <c r="Y69" s="295"/>
      <c r="Z69" s="296"/>
      <c r="AA69" s="104"/>
      <c r="AB69" s="105"/>
      <c r="AC69" s="105"/>
      <c r="AD69" s="103"/>
    </row>
    <row r="70" spans="1:30" ht="9" customHeight="1" x14ac:dyDescent="0.25">
      <c r="A70" s="288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90"/>
      <c r="R70" s="272"/>
      <c r="S70" s="273"/>
      <c r="T70" s="274"/>
      <c r="U70" s="297"/>
      <c r="V70" s="178"/>
      <c r="W70" s="178"/>
      <c r="X70" s="178"/>
      <c r="Y70" s="178"/>
      <c r="Z70" s="298"/>
      <c r="AA70" s="104"/>
      <c r="AB70" s="105"/>
      <c r="AC70" s="105"/>
      <c r="AD70" s="103"/>
    </row>
    <row r="71" spans="1:30" ht="15.9" customHeight="1" x14ac:dyDescent="0.25">
      <c r="A71" s="291"/>
      <c r="B71" s="292"/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93"/>
      <c r="R71" s="272"/>
      <c r="S71" s="273"/>
      <c r="T71" s="274"/>
      <c r="U71" s="297"/>
      <c r="V71" s="178"/>
      <c r="W71" s="178"/>
      <c r="X71" s="178"/>
      <c r="Y71" s="178"/>
      <c r="Z71" s="298"/>
      <c r="AA71" s="104"/>
      <c r="AB71" s="105"/>
      <c r="AC71" s="105"/>
      <c r="AD71" s="103"/>
    </row>
    <row r="72" spans="1:30" ht="15.9" customHeight="1" x14ac:dyDescent="0.25">
      <c r="A72" s="106" t="s">
        <v>50</v>
      </c>
      <c r="B72" s="107" t="s">
        <v>51</v>
      </c>
      <c r="C72" s="13"/>
      <c r="D72" s="13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9"/>
      <c r="R72" s="272"/>
      <c r="S72" s="273"/>
      <c r="T72" s="274"/>
      <c r="U72" s="299"/>
      <c r="V72" s="300"/>
      <c r="W72" s="300"/>
      <c r="X72" s="300"/>
      <c r="Y72" s="300"/>
      <c r="Z72" s="301"/>
      <c r="AA72" s="104"/>
      <c r="AB72" s="105"/>
      <c r="AC72" s="105"/>
      <c r="AD72" s="103"/>
    </row>
    <row r="73" spans="1:30" ht="15.75" customHeight="1" x14ac:dyDescent="0.25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7"/>
      <c r="Q73" s="268"/>
      <c r="R73" s="272" t="s">
        <v>52</v>
      </c>
      <c r="S73" s="273"/>
      <c r="T73" s="274"/>
      <c r="U73" s="110"/>
      <c r="V73" s="111"/>
      <c r="W73" s="111"/>
      <c r="X73" s="111"/>
      <c r="Y73" s="111"/>
      <c r="Z73" s="112"/>
      <c r="AA73" s="113"/>
      <c r="AB73" s="114"/>
      <c r="AC73" s="114"/>
      <c r="AD73" s="103"/>
    </row>
    <row r="74" spans="1:30" ht="15.9" customHeight="1" x14ac:dyDescent="0.25">
      <c r="A74" s="266"/>
      <c r="B74" s="267"/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8"/>
      <c r="R74" s="272"/>
      <c r="S74" s="273"/>
      <c r="T74" s="274"/>
      <c r="U74" s="115"/>
      <c r="V74" s="278"/>
      <c r="W74" s="278"/>
      <c r="X74" s="278"/>
      <c r="Y74" s="278"/>
      <c r="Z74" s="116"/>
      <c r="AA74" s="113"/>
      <c r="AB74" s="114"/>
      <c r="AC74" s="114"/>
      <c r="AD74" s="103"/>
    </row>
    <row r="75" spans="1:30" ht="15.9" customHeight="1" x14ac:dyDescent="0.25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7"/>
      <c r="Q75" s="268"/>
      <c r="R75" s="272"/>
      <c r="S75" s="273"/>
      <c r="T75" s="274"/>
      <c r="U75" s="115"/>
      <c r="V75" s="278"/>
      <c r="W75" s="278"/>
      <c r="X75" s="278"/>
      <c r="Y75" s="278"/>
      <c r="Z75" s="116"/>
      <c r="AA75" s="113"/>
      <c r="AB75" s="114"/>
      <c r="AC75" s="114"/>
      <c r="AD75" s="103"/>
    </row>
    <row r="76" spans="1:30" ht="15.75" customHeight="1" x14ac:dyDescent="0.25">
      <c r="A76" s="269"/>
      <c r="B76" s="270"/>
      <c r="C76" s="270"/>
      <c r="D76" s="270"/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O76" s="270"/>
      <c r="P76" s="270"/>
      <c r="Q76" s="271"/>
      <c r="R76" s="275"/>
      <c r="S76" s="276"/>
      <c r="T76" s="277"/>
      <c r="U76" s="117"/>
      <c r="V76" s="118"/>
      <c r="W76" s="118"/>
      <c r="X76" s="118"/>
      <c r="Y76" s="118"/>
      <c r="Z76" s="119"/>
      <c r="AA76" s="113"/>
      <c r="AB76" s="114"/>
      <c r="AC76" s="114"/>
      <c r="AD76" s="103"/>
    </row>
  </sheetData>
  <mergeCells count="106">
    <mergeCell ref="A73:Q76"/>
    <mergeCell ref="R73:T76"/>
    <mergeCell ref="V74:Y75"/>
    <mergeCell ref="U67:Z67"/>
    <mergeCell ref="A68:Q68"/>
    <mergeCell ref="R68:T68"/>
    <mergeCell ref="U68:Z68"/>
    <mergeCell ref="A69:Q71"/>
    <mergeCell ref="R69:T72"/>
    <mergeCell ref="U69:Z72"/>
    <mergeCell ref="U63:V63"/>
    <mergeCell ref="W63:X63"/>
    <mergeCell ref="Y63:Z63"/>
    <mergeCell ref="AD63:AD64"/>
    <mergeCell ref="AE63:AE64"/>
    <mergeCell ref="B64:D64"/>
    <mergeCell ref="U64:V64"/>
    <mergeCell ref="W64:X64"/>
    <mergeCell ref="Y64:Z64"/>
    <mergeCell ref="B61:D61"/>
    <mergeCell ref="U61:V61"/>
    <mergeCell ref="W61:X61"/>
    <mergeCell ref="Y61:Z61"/>
    <mergeCell ref="AB61:AC61"/>
    <mergeCell ref="B62:D62"/>
    <mergeCell ref="U62:V62"/>
    <mergeCell ref="W62:X62"/>
    <mergeCell ref="Y62:Z62"/>
    <mergeCell ref="AB62:AC62"/>
    <mergeCell ref="B60:D60"/>
    <mergeCell ref="C56:D56"/>
    <mergeCell ref="U56:V56"/>
    <mergeCell ref="W56:X56"/>
    <mergeCell ref="Y56:Z56"/>
    <mergeCell ref="AB56:AC56"/>
    <mergeCell ref="C57:D57"/>
    <mergeCell ref="U57:V57"/>
    <mergeCell ref="W57:X57"/>
    <mergeCell ref="Y57:Z57"/>
    <mergeCell ref="AB57:AC57"/>
    <mergeCell ref="C54:D54"/>
    <mergeCell ref="C55:D55"/>
    <mergeCell ref="U55:V55"/>
    <mergeCell ref="W55:X55"/>
    <mergeCell ref="Y55:Z55"/>
    <mergeCell ref="AB55:AC55"/>
    <mergeCell ref="C58:D58"/>
    <mergeCell ref="U58:V58"/>
    <mergeCell ref="W58:X58"/>
    <mergeCell ref="Y58:Z58"/>
    <mergeCell ref="AB58:AC58"/>
    <mergeCell ref="AD51:AD52"/>
    <mergeCell ref="AE51:AE52"/>
    <mergeCell ref="AF51:AF52"/>
    <mergeCell ref="AG51:AG52"/>
    <mergeCell ref="E53:T53"/>
    <mergeCell ref="U53:V54"/>
    <mergeCell ref="W53:X54"/>
    <mergeCell ref="Y53:Z54"/>
    <mergeCell ref="AB53:AC54"/>
    <mergeCell ref="AD53:AD54"/>
    <mergeCell ref="AE53:AE54"/>
    <mergeCell ref="AF53:AF54"/>
    <mergeCell ref="AG53:AG54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22CC-D1D7-44A4-A092-930593258AEF}">
  <sheetPr>
    <pageSetUpPr fitToPage="1"/>
  </sheetPr>
  <dimension ref="A1:AN72"/>
  <sheetViews>
    <sheetView zoomScaleNormal="100" workbookViewId="0">
      <selection activeCell="K17" sqref="K17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75" customHeight="1" x14ac:dyDescent="0.25">
      <c r="A1" s="144"/>
      <c r="B1" s="145"/>
      <c r="C1" s="145"/>
      <c r="D1" s="145"/>
      <c r="E1" s="145"/>
      <c r="F1" s="146"/>
      <c r="G1" s="153" t="s">
        <v>0</v>
      </c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5"/>
      <c r="U1" s="156" t="s">
        <v>59</v>
      </c>
      <c r="V1" s="157"/>
      <c r="W1" s="157"/>
      <c r="X1" s="157"/>
      <c r="Y1" s="157"/>
      <c r="Z1" s="158"/>
      <c r="AA1" s="1"/>
    </row>
    <row r="2" spans="1:36" ht="12.75" customHeight="1" x14ac:dyDescent="0.25">
      <c r="A2" s="147"/>
      <c r="B2" s="148"/>
      <c r="C2" s="148"/>
      <c r="D2" s="148"/>
      <c r="E2" s="148"/>
      <c r="F2" s="149"/>
      <c r="G2" s="165" t="s">
        <v>1</v>
      </c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7"/>
      <c r="U2" s="159"/>
      <c r="V2" s="160"/>
      <c r="W2" s="160"/>
      <c r="X2" s="160"/>
      <c r="Y2" s="160"/>
      <c r="Z2" s="161"/>
      <c r="AA2" s="1"/>
    </row>
    <row r="3" spans="1:36" ht="12.75" customHeight="1" x14ac:dyDescent="0.25">
      <c r="A3" s="147"/>
      <c r="B3" s="148"/>
      <c r="C3" s="148"/>
      <c r="D3" s="148"/>
      <c r="E3" s="148"/>
      <c r="F3" s="149"/>
      <c r="G3" s="168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159"/>
      <c r="V3" s="160"/>
      <c r="W3" s="160"/>
      <c r="X3" s="160"/>
      <c r="Y3" s="160"/>
      <c r="Z3" s="161"/>
      <c r="AA3" s="1"/>
    </row>
    <row r="4" spans="1:36" ht="12.75" customHeight="1" x14ac:dyDescent="0.25">
      <c r="A4" s="147"/>
      <c r="B4" s="148"/>
      <c r="C4" s="148"/>
      <c r="D4" s="148"/>
      <c r="E4" s="148"/>
      <c r="F4" s="149"/>
      <c r="G4" s="168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59"/>
      <c r="V4" s="160"/>
      <c r="W4" s="160"/>
      <c r="X4" s="160"/>
      <c r="Y4" s="160"/>
      <c r="Z4" s="161"/>
      <c r="AA4" s="1"/>
    </row>
    <row r="5" spans="1:36" ht="12.75" customHeight="1" x14ac:dyDescent="0.25">
      <c r="A5" s="147"/>
      <c r="B5" s="148"/>
      <c r="C5" s="148"/>
      <c r="D5" s="148"/>
      <c r="E5" s="148"/>
      <c r="F5" s="149"/>
      <c r="G5" s="168" t="s">
        <v>2</v>
      </c>
      <c r="H5" s="166"/>
      <c r="I5" s="3" t="s">
        <v>3</v>
      </c>
      <c r="J5" s="306">
        <v>5</v>
      </c>
      <c r="K5" s="307"/>
      <c r="L5" s="308" t="s">
        <v>53</v>
      </c>
      <c r="M5" s="306"/>
      <c r="N5" s="306"/>
      <c r="O5" s="307"/>
      <c r="P5" s="309">
        <v>45457</v>
      </c>
      <c r="Q5" s="310"/>
      <c r="R5" s="310"/>
      <c r="S5" s="310"/>
      <c r="T5" s="311"/>
      <c r="U5" s="159"/>
      <c r="V5" s="160"/>
      <c r="W5" s="160"/>
      <c r="X5" s="160"/>
      <c r="Y5" s="160"/>
      <c r="Z5" s="161"/>
      <c r="AA5" s="1"/>
    </row>
    <row r="6" spans="1:36" ht="12.75" customHeight="1" x14ac:dyDescent="0.25">
      <c r="A6" s="150"/>
      <c r="B6" s="151"/>
      <c r="C6" s="151"/>
      <c r="D6" s="151"/>
      <c r="E6" s="151"/>
      <c r="F6" s="152"/>
      <c r="G6" s="4"/>
      <c r="H6" s="5"/>
      <c r="I6" s="5"/>
      <c r="J6" s="137" t="s">
        <v>4</v>
      </c>
      <c r="K6" s="137"/>
      <c r="L6" s="137" t="s">
        <v>5</v>
      </c>
      <c r="M6" s="137"/>
      <c r="N6" s="137"/>
      <c r="O6" s="137"/>
      <c r="P6" s="137" t="s">
        <v>6</v>
      </c>
      <c r="Q6" s="137"/>
      <c r="R6" s="137"/>
      <c r="S6" s="137"/>
      <c r="T6" s="138"/>
      <c r="U6" s="162"/>
      <c r="V6" s="163"/>
      <c r="W6" s="163"/>
      <c r="X6" s="163"/>
      <c r="Y6" s="163"/>
      <c r="Z6" s="164"/>
      <c r="AA6" s="1"/>
    </row>
    <row r="7" spans="1:36" ht="37.5" customHeight="1" x14ac:dyDescent="0.25">
      <c r="A7" s="139" t="s">
        <v>7</v>
      </c>
      <c r="B7" s="139"/>
      <c r="C7" s="139"/>
      <c r="D7" s="139"/>
      <c r="E7" s="139"/>
      <c r="F7" s="139"/>
      <c r="G7" s="140" t="s">
        <v>8</v>
      </c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15.9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141" t="s">
        <v>11</v>
      </c>
      <c r="C10" s="141"/>
      <c r="D10" s="141"/>
      <c r="E10" s="141"/>
      <c r="F10" s="141"/>
      <c r="G10" s="142" t="s">
        <v>60</v>
      </c>
      <c r="H10" s="142"/>
      <c r="I10" s="142"/>
      <c r="J10" s="142"/>
      <c r="K10" s="142"/>
      <c r="L10" s="142"/>
      <c r="M10" s="141" t="s">
        <v>12</v>
      </c>
      <c r="N10" s="141"/>
      <c r="O10" s="141"/>
      <c r="P10" s="141"/>
      <c r="Q10" s="141"/>
      <c r="R10" s="141"/>
      <c r="S10" s="143" t="s">
        <v>13</v>
      </c>
      <c r="T10" s="143"/>
      <c r="U10" s="143"/>
      <c r="V10" s="143"/>
      <c r="W10" s="143"/>
      <c r="X10" s="143"/>
      <c r="Y10" s="143"/>
      <c r="Z10" s="18"/>
      <c r="AA10" s="19"/>
      <c r="AB10" s="14"/>
      <c r="AC10" s="14"/>
      <c r="AD10" s="14"/>
      <c r="AE10" s="141"/>
      <c r="AF10" s="141"/>
      <c r="AG10" s="141"/>
      <c r="AH10" s="141"/>
      <c r="AI10" s="141"/>
    </row>
    <row r="11" spans="1:36" ht="15.9" customHeight="1" x14ac:dyDescent="0.25">
      <c r="A11" s="15"/>
      <c r="B11" s="141" t="s">
        <v>14</v>
      </c>
      <c r="C11" s="141"/>
      <c r="D11" s="141"/>
      <c r="E11" s="141"/>
      <c r="F11" s="141"/>
      <c r="G11" s="142">
        <v>45460</v>
      </c>
      <c r="H11" s="142"/>
      <c r="I11" s="142"/>
      <c r="J11" s="142"/>
      <c r="K11" s="142"/>
      <c r="L11" s="142"/>
      <c r="M11" s="141" t="s">
        <v>15</v>
      </c>
      <c r="N11" s="141"/>
      <c r="O11" s="141"/>
      <c r="P11" s="141"/>
      <c r="Q11" s="141"/>
      <c r="R11" s="141"/>
      <c r="S11" s="177" t="s">
        <v>62</v>
      </c>
      <c r="T11" s="177"/>
      <c r="U11" s="177"/>
      <c r="V11" s="177"/>
      <c r="W11" s="177"/>
      <c r="X11" s="177"/>
      <c r="Y11" s="177"/>
      <c r="Z11" s="18"/>
      <c r="AA11" s="19"/>
      <c r="AB11" s="14"/>
      <c r="AC11" s="14"/>
      <c r="AD11" s="14"/>
      <c r="AE11" s="141"/>
      <c r="AF11" s="141"/>
      <c r="AG11" s="141"/>
      <c r="AH11" s="141"/>
      <c r="AI11" s="141"/>
    </row>
    <row r="12" spans="1:36" ht="15.9" customHeight="1" x14ac:dyDescent="0.25">
      <c r="A12" s="15"/>
      <c r="B12" s="141" t="s">
        <v>16</v>
      </c>
      <c r="C12" s="141"/>
      <c r="D12" s="141"/>
      <c r="E12" s="141"/>
      <c r="F12" s="141"/>
      <c r="G12" s="175" t="s">
        <v>66</v>
      </c>
      <c r="H12" s="175"/>
      <c r="I12" s="175"/>
      <c r="J12" s="175"/>
      <c r="K12" s="175"/>
      <c r="L12" s="175"/>
      <c r="M12" s="176" t="s">
        <v>17</v>
      </c>
      <c r="N12" s="176"/>
      <c r="O12" s="176"/>
      <c r="P12" s="176"/>
      <c r="Q12" s="176"/>
      <c r="R12" s="176"/>
      <c r="S12" s="143">
        <v>110</v>
      </c>
      <c r="T12" s="143"/>
      <c r="U12" s="143"/>
      <c r="V12" s="143"/>
      <c r="W12" s="143"/>
      <c r="X12" s="143"/>
      <c r="Y12" s="143"/>
      <c r="Z12" s="18"/>
      <c r="AA12" s="19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0" t="s">
        <v>18</v>
      </c>
      <c r="C13" s="20"/>
      <c r="D13" s="20"/>
      <c r="E13" s="20"/>
      <c r="F13" s="20"/>
      <c r="G13" s="175" t="s">
        <v>56</v>
      </c>
      <c r="H13" s="175"/>
      <c r="I13" s="175"/>
      <c r="J13" s="175"/>
      <c r="K13" s="175"/>
      <c r="L13" s="175"/>
      <c r="M13" s="141" t="s">
        <v>19</v>
      </c>
      <c r="N13" s="141"/>
      <c r="O13" s="141"/>
      <c r="P13" s="141"/>
      <c r="Q13" s="141"/>
      <c r="R13" s="141"/>
      <c r="S13" s="175" t="s">
        <v>58</v>
      </c>
      <c r="T13" s="175"/>
      <c r="U13" s="175"/>
      <c r="V13" s="175"/>
      <c r="W13" s="175"/>
      <c r="X13" s="175"/>
      <c r="Y13" s="175"/>
      <c r="Z13" s="18"/>
      <c r="AA13" s="19"/>
      <c r="AB13" s="14"/>
      <c r="AC13" s="14"/>
      <c r="AD13" s="14"/>
      <c r="AE13" s="141"/>
      <c r="AF13" s="141"/>
      <c r="AG13" s="141"/>
      <c r="AH13" s="141"/>
      <c r="AI13" s="141"/>
      <c r="AJ13" s="141"/>
    </row>
    <row r="14" spans="1:36" ht="15.9" customHeight="1" x14ac:dyDescent="0.25">
      <c r="A14" s="21"/>
      <c r="B14" s="141" t="s">
        <v>20</v>
      </c>
      <c r="C14" s="141"/>
      <c r="D14" s="141"/>
      <c r="E14" s="141"/>
      <c r="F14" s="141"/>
      <c r="G14" s="175" t="s">
        <v>57</v>
      </c>
      <c r="H14" s="175"/>
      <c r="I14" s="175"/>
      <c r="J14" s="175"/>
      <c r="K14" s="175"/>
      <c r="L14" s="175"/>
      <c r="M14" s="143" t="s">
        <v>21</v>
      </c>
      <c r="N14" s="143"/>
      <c r="O14" s="143"/>
      <c r="P14" s="143"/>
      <c r="Q14" s="143"/>
      <c r="R14" s="143"/>
      <c r="S14" s="143" t="s">
        <v>22</v>
      </c>
      <c r="T14" s="143"/>
      <c r="U14" s="143"/>
      <c r="V14" s="143"/>
      <c r="W14" s="143"/>
      <c r="X14" s="143"/>
      <c r="Y14" s="143"/>
      <c r="Z14" s="22"/>
      <c r="AA14" s="14"/>
      <c r="AB14" s="14"/>
      <c r="AC14" s="14"/>
      <c r="AD14" s="14"/>
      <c r="AE14" s="141"/>
      <c r="AF14" s="141"/>
      <c r="AG14" s="141"/>
      <c r="AH14" s="141"/>
      <c r="AI14" s="141"/>
      <c r="AJ14" s="141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141"/>
      <c r="AF15" s="141"/>
      <c r="AG15" s="141"/>
      <c r="AH15" s="141"/>
      <c r="AI15" s="141"/>
      <c r="AJ15" s="141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141"/>
      <c r="AF16" s="141"/>
      <c r="AG16" s="141"/>
      <c r="AH16" s="141"/>
      <c r="AI16" s="141"/>
      <c r="AJ16" s="141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141" t="s">
        <v>25</v>
      </c>
      <c r="C19" s="141"/>
      <c r="D19" s="141"/>
      <c r="E19" s="141"/>
      <c r="F19" s="141"/>
      <c r="G19" s="141"/>
      <c r="H19" s="141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8"/>
      <c r="AA19" s="19"/>
      <c r="AE19" s="30"/>
      <c r="AI19" s="30"/>
    </row>
    <row r="20" spans="1:40" ht="15.9" customHeight="1" x14ac:dyDescent="0.25">
      <c r="A20" s="15"/>
      <c r="B20" s="141" t="s">
        <v>26</v>
      </c>
      <c r="C20" s="141"/>
      <c r="D20" s="141"/>
      <c r="E20" s="141"/>
      <c r="F20" s="141"/>
      <c r="G20" s="141"/>
      <c r="H20" s="141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8"/>
      <c r="AA20" s="19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2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3" t="s">
        <v>23</v>
      </c>
      <c r="B23" s="34" t="s">
        <v>27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39"/>
      <c r="AN23" s="40"/>
    </row>
    <row r="24" spans="1:40" ht="9" customHeight="1" x14ac:dyDescent="0.25">
      <c r="A24" s="21"/>
      <c r="Z24" s="41"/>
    </row>
    <row r="25" spans="1:40" ht="12.75" customHeight="1" x14ac:dyDescent="0.25">
      <c r="A25" s="21"/>
      <c r="Z25" s="41"/>
    </row>
    <row r="26" spans="1:40" ht="12.75" customHeight="1" x14ac:dyDescent="0.25">
      <c r="A26" s="21"/>
      <c r="Z26" s="41"/>
    </row>
    <row r="27" spans="1:40" ht="12.75" customHeight="1" x14ac:dyDescent="0.25">
      <c r="A27" s="21"/>
      <c r="Z27" s="41"/>
    </row>
    <row r="28" spans="1:40" ht="12.75" customHeight="1" x14ac:dyDescent="0.25">
      <c r="A28" s="21"/>
      <c r="Z28" s="41"/>
    </row>
    <row r="29" spans="1:40" ht="12.75" customHeight="1" x14ac:dyDescent="0.25">
      <c r="A29" s="21"/>
      <c r="Z29" s="41"/>
    </row>
    <row r="30" spans="1:40" ht="12.75" customHeight="1" x14ac:dyDescent="0.25">
      <c r="A30" s="21"/>
      <c r="Z30" s="41"/>
    </row>
    <row r="31" spans="1:40" ht="12.75" customHeight="1" x14ac:dyDescent="0.25">
      <c r="A31" s="21"/>
      <c r="Z31" s="41"/>
    </row>
    <row r="32" spans="1:40" ht="12.75" customHeight="1" x14ac:dyDescent="0.25">
      <c r="A32" s="21"/>
      <c r="Z32" s="41"/>
    </row>
    <row r="33" spans="1:34" ht="12.75" customHeight="1" x14ac:dyDescent="0.25">
      <c r="A33" s="21"/>
      <c r="Z33" s="41"/>
    </row>
    <row r="34" spans="1:34" ht="12.75" customHeight="1" x14ac:dyDescent="0.25">
      <c r="A34" s="21"/>
      <c r="Z34" s="41"/>
    </row>
    <row r="35" spans="1:34" ht="12.75" customHeight="1" x14ac:dyDescent="0.25">
      <c r="A35" s="21"/>
      <c r="Z35" s="41"/>
    </row>
    <row r="36" spans="1:34" ht="12.75" customHeight="1" x14ac:dyDescent="0.25">
      <c r="A36" s="21"/>
      <c r="Z36" s="41"/>
    </row>
    <row r="37" spans="1:34" ht="12.75" customHeight="1" x14ac:dyDescent="0.25">
      <c r="A37" s="21"/>
      <c r="Z37" s="41"/>
    </row>
    <row r="38" spans="1:34" ht="12.75" customHeight="1" x14ac:dyDescent="0.25">
      <c r="A38" s="21"/>
      <c r="Z38" s="41"/>
    </row>
    <row r="39" spans="1:34" ht="12.75" customHeight="1" x14ac:dyDescent="0.25">
      <c r="A39" s="21"/>
      <c r="Z39" s="41"/>
    </row>
    <row r="40" spans="1:34" ht="12.75" customHeight="1" x14ac:dyDescent="0.25">
      <c r="A40" s="21"/>
      <c r="Z40" s="41"/>
    </row>
    <row r="41" spans="1:34" ht="12.75" customHeight="1" x14ac:dyDescent="0.25">
      <c r="A41" s="21"/>
      <c r="Z41" s="41"/>
    </row>
    <row r="42" spans="1:34" ht="12.75" customHeight="1" x14ac:dyDescent="0.25">
      <c r="A42" s="21"/>
      <c r="Z42" s="41"/>
    </row>
    <row r="43" spans="1:34" ht="12.75" customHeight="1" x14ac:dyDescent="0.25">
      <c r="A43" s="21"/>
      <c r="Z43" s="41"/>
    </row>
    <row r="44" spans="1:34" ht="12.75" customHeight="1" x14ac:dyDescent="0.25">
      <c r="A44" s="21"/>
      <c r="Z44" s="41"/>
    </row>
    <row r="45" spans="1:34" ht="12.75" customHeight="1" x14ac:dyDescent="0.25">
      <c r="A45" s="21"/>
      <c r="Z45" s="41"/>
    </row>
    <row r="46" spans="1:34" ht="9.75" customHeight="1" thickBot="1" x14ac:dyDescent="0.3">
      <c r="A46" s="21"/>
      <c r="Z46" s="41"/>
    </row>
    <row r="47" spans="1:34" ht="9.75" customHeight="1" x14ac:dyDescent="0.25">
      <c r="A47" s="21"/>
      <c r="Z47" s="41"/>
      <c r="AD47" s="179" t="s">
        <v>28</v>
      </c>
      <c r="AE47" s="181">
        <v>2.6469999999999998</v>
      </c>
      <c r="AF47" s="183"/>
      <c r="AG47" s="185"/>
      <c r="AH47" s="42"/>
    </row>
    <row r="48" spans="1:34" ht="12.75" customHeight="1" thickBot="1" x14ac:dyDescent="0.3">
      <c r="A48" s="21"/>
      <c r="Z48" s="43"/>
      <c r="AD48" s="180"/>
      <c r="AE48" s="182"/>
      <c r="AF48" s="184"/>
      <c r="AG48" s="185"/>
    </row>
    <row r="49" spans="1:34" ht="18.75" customHeight="1" thickBot="1" x14ac:dyDescent="0.3">
      <c r="A49" s="21"/>
      <c r="E49" s="186" t="s">
        <v>29</v>
      </c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8" t="s">
        <v>30</v>
      </c>
      <c r="V49" s="189"/>
      <c r="W49" s="192" t="s">
        <v>31</v>
      </c>
      <c r="X49" s="189"/>
      <c r="Y49" s="194" t="s">
        <v>32</v>
      </c>
      <c r="Z49" s="195"/>
      <c r="AA49" s="44"/>
      <c r="AB49" s="198" t="s">
        <v>33</v>
      </c>
      <c r="AC49" s="199"/>
      <c r="AD49" s="202" t="s">
        <v>34</v>
      </c>
      <c r="AE49" s="204" t="s">
        <v>35</v>
      </c>
      <c r="AF49" s="183"/>
      <c r="AG49" s="183"/>
      <c r="AH49" s="45"/>
    </row>
    <row r="50" spans="1:34" ht="24.9" customHeight="1" thickBot="1" x14ac:dyDescent="0.3">
      <c r="A50" s="46"/>
      <c r="B50" s="47" t="s">
        <v>36</v>
      </c>
      <c r="C50" s="207" t="s">
        <v>37</v>
      </c>
      <c r="D50" s="208"/>
      <c r="E50" s="48">
        <v>6.3E-2</v>
      </c>
      <c r="F50" s="48">
        <v>0.125</v>
      </c>
      <c r="G50" s="49">
        <v>0.25</v>
      </c>
      <c r="H50" s="49">
        <v>0.5</v>
      </c>
      <c r="I50" s="49">
        <v>1</v>
      </c>
      <c r="J50" s="49">
        <v>2</v>
      </c>
      <c r="K50" s="49">
        <v>4</v>
      </c>
      <c r="L50" s="49">
        <v>6.3</v>
      </c>
      <c r="M50" s="49">
        <v>8</v>
      </c>
      <c r="N50" s="49">
        <v>10</v>
      </c>
      <c r="O50" s="49">
        <v>12.5</v>
      </c>
      <c r="P50" s="49">
        <v>14</v>
      </c>
      <c r="Q50" s="50">
        <v>16</v>
      </c>
      <c r="R50" s="50">
        <v>20</v>
      </c>
      <c r="S50" s="49"/>
      <c r="T50" s="50"/>
      <c r="U50" s="190"/>
      <c r="V50" s="191"/>
      <c r="W50" s="193"/>
      <c r="X50" s="191"/>
      <c r="Y50" s="196"/>
      <c r="Z50" s="197"/>
      <c r="AA50" s="44"/>
      <c r="AB50" s="200"/>
      <c r="AC50" s="201"/>
      <c r="AD50" s="203"/>
      <c r="AE50" s="205"/>
      <c r="AF50" s="206"/>
      <c r="AG50" s="183"/>
    </row>
    <row r="51" spans="1:34" ht="24.9" customHeight="1" x14ac:dyDescent="0.25">
      <c r="A51" s="46"/>
      <c r="B51" s="51">
        <v>1</v>
      </c>
      <c r="C51" s="209" t="s">
        <v>68</v>
      </c>
      <c r="D51" s="210"/>
      <c r="E51" s="125">
        <v>7</v>
      </c>
      <c r="F51" s="126">
        <v>9</v>
      </c>
      <c r="G51" s="127">
        <v>11.8</v>
      </c>
      <c r="H51" s="127">
        <v>15.2</v>
      </c>
      <c r="I51" s="127">
        <v>20</v>
      </c>
      <c r="J51" s="127">
        <v>28.7</v>
      </c>
      <c r="K51" s="127">
        <v>43.6</v>
      </c>
      <c r="L51" s="127">
        <v>62.6</v>
      </c>
      <c r="M51" s="127">
        <v>78.7</v>
      </c>
      <c r="N51" s="127">
        <v>96.2</v>
      </c>
      <c r="O51" s="127">
        <v>100</v>
      </c>
      <c r="P51" s="127"/>
      <c r="Q51" s="127"/>
      <c r="R51" s="127"/>
      <c r="S51" s="128"/>
      <c r="T51" s="128"/>
      <c r="U51" s="211">
        <v>157</v>
      </c>
      <c r="V51" s="212"/>
      <c r="W51" s="213">
        <v>5.0599999999999996</v>
      </c>
      <c r="X51" s="214"/>
      <c r="Y51" s="215">
        <f>IF(W51&lt;&gt;0,AE51,"")</f>
        <v>3.1663994529260169</v>
      </c>
      <c r="Z51" s="216"/>
      <c r="AA51" s="52"/>
      <c r="AB51" s="217">
        <f>(100*W51)/(100-W51)</f>
        <v>5.3296819043606485</v>
      </c>
      <c r="AC51" s="218"/>
      <c r="AD51" s="53">
        <f>(0.25*(100-O51)+2.3*(O51-H51)+12*(H51-E51)+150*(E51))/100</f>
        <v>13.4344</v>
      </c>
      <c r="AE51" s="54">
        <f>(AB51*$AE$47)/(2.65*(AD51)^(1/5))</f>
        <v>3.1663994529260169</v>
      </c>
      <c r="AF51" s="28"/>
      <c r="AG51" s="55"/>
    </row>
    <row r="52" spans="1:34" ht="24.9" customHeight="1" x14ac:dyDescent="0.25">
      <c r="A52" s="46"/>
      <c r="B52" s="56">
        <v>2</v>
      </c>
      <c r="C52" s="209" t="s">
        <v>69</v>
      </c>
      <c r="D52" s="210"/>
      <c r="E52" s="125">
        <v>6.8</v>
      </c>
      <c r="F52" s="126">
        <v>8.8000000000000007</v>
      </c>
      <c r="G52" s="127">
        <v>11.7</v>
      </c>
      <c r="H52" s="127">
        <v>15.4</v>
      </c>
      <c r="I52" s="127">
        <v>20.5</v>
      </c>
      <c r="J52" s="127">
        <v>29.2</v>
      </c>
      <c r="K52" s="127">
        <v>43.8</v>
      </c>
      <c r="L52" s="127">
        <v>60.2</v>
      </c>
      <c r="M52" s="127">
        <v>76.7</v>
      </c>
      <c r="N52" s="127">
        <v>94.8</v>
      </c>
      <c r="O52" s="127">
        <v>100</v>
      </c>
      <c r="P52" s="127"/>
      <c r="Q52" s="127"/>
      <c r="R52" s="127"/>
      <c r="S52" s="128"/>
      <c r="T52" s="128"/>
      <c r="U52" s="211">
        <v>173</v>
      </c>
      <c r="V52" s="212"/>
      <c r="W52" s="213">
        <v>5.09</v>
      </c>
      <c r="X52" s="214"/>
      <c r="Y52" s="230">
        <f>IF(W52&lt;&gt;0,AE52,"")</f>
        <v>3.1984921849020376</v>
      </c>
      <c r="Z52" s="231"/>
      <c r="AA52" s="52"/>
      <c r="AB52" s="217">
        <f>(100*W52)/(100-W52)</f>
        <v>5.3629754504267204</v>
      </c>
      <c r="AC52" s="218"/>
      <c r="AD52" s="53">
        <f t="shared" ref="AD52:AD58" si="0">(0.25*(100-O52)+2.3*(O52-H52)+12*(H52-E52)+150*(E52))/100</f>
        <v>13.1778</v>
      </c>
      <c r="AE52" s="54">
        <f t="shared" ref="AE52:AE58" si="1">(AB52*$AE$47)/(2.65*(AD52)^(1/5))</f>
        <v>3.1984921849020376</v>
      </c>
      <c r="AF52" s="28"/>
      <c r="AG52" s="55"/>
    </row>
    <row r="53" spans="1:34" ht="24.9" customHeight="1" x14ac:dyDescent="0.25">
      <c r="A53" s="46"/>
      <c r="B53" s="56">
        <v>3</v>
      </c>
      <c r="C53" s="232"/>
      <c r="D53" s="233"/>
      <c r="E53" s="57"/>
      <c r="F53" s="58"/>
      <c r="G53" s="58"/>
      <c r="H53" s="59"/>
      <c r="I53" s="59"/>
      <c r="J53" s="59"/>
      <c r="K53" s="59"/>
      <c r="L53" s="59"/>
      <c r="M53" s="59"/>
      <c r="N53" s="59"/>
      <c r="O53" s="60"/>
      <c r="P53" s="59"/>
      <c r="Q53" s="60"/>
      <c r="R53" s="59"/>
      <c r="S53" s="59"/>
      <c r="T53" s="61"/>
      <c r="U53" s="234"/>
      <c r="V53" s="235"/>
      <c r="W53" s="236"/>
      <c r="X53" s="237"/>
      <c r="Y53" s="230" t="str">
        <f t="shared" ref="Y53:Y54" si="2">IF(W53&lt;&gt;0,AE53,"")</f>
        <v/>
      </c>
      <c r="Z53" s="231"/>
      <c r="AA53" s="52"/>
      <c r="AB53" s="217">
        <f>(100*W53)/(100-W53)</f>
        <v>0</v>
      </c>
      <c r="AC53" s="218"/>
      <c r="AD53" s="53">
        <f t="shared" si="0"/>
        <v>0.25</v>
      </c>
      <c r="AE53" s="54">
        <f t="shared" si="1"/>
        <v>0</v>
      </c>
      <c r="AF53" s="28"/>
      <c r="AG53" s="55"/>
    </row>
    <row r="54" spans="1:34" ht="24.9" customHeight="1" thickBot="1" x14ac:dyDescent="0.3">
      <c r="A54" s="46"/>
      <c r="B54" s="62">
        <v>4</v>
      </c>
      <c r="C54" s="219"/>
      <c r="D54" s="220"/>
      <c r="E54" s="63"/>
      <c r="F54" s="64"/>
      <c r="G54" s="64"/>
      <c r="H54" s="65"/>
      <c r="I54" s="65"/>
      <c r="J54" s="65"/>
      <c r="K54" s="65"/>
      <c r="L54" s="65"/>
      <c r="M54" s="65"/>
      <c r="N54" s="65"/>
      <c r="O54" s="66"/>
      <c r="P54" s="65"/>
      <c r="Q54" s="66"/>
      <c r="R54" s="65"/>
      <c r="S54" s="65"/>
      <c r="T54" s="67"/>
      <c r="U54" s="221"/>
      <c r="V54" s="222"/>
      <c r="W54" s="223"/>
      <c r="X54" s="224"/>
      <c r="Y54" s="225" t="str">
        <f t="shared" si="2"/>
        <v/>
      </c>
      <c r="Z54" s="226"/>
      <c r="AA54" s="52"/>
      <c r="AB54" s="217">
        <f>(100*W54)/(100-W54)</f>
        <v>0</v>
      </c>
      <c r="AC54" s="218"/>
      <c r="AD54" s="53">
        <f t="shared" si="0"/>
        <v>0.25</v>
      </c>
      <c r="AE54" s="54">
        <f t="shared" si="1"/>
        <v>0</v>
      </c>
      <c r="AF54" s="28"/>
      <c r="AG54" s="55"/>
    </row>
    <row r="55" spans="1:34" ht="10.5" customHeight="1" thickBot="1" x14ac:dyDescent="0.3">
      <c r="A55" s="46"/>
      <c r="B55" s="2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9"/>
      <c r="P55" s="68"/>
      <c r="Q55" s="69"/>
      <c r="R55" s="68"/>
      <c r="S55" s="68"/>
      <c r="T55" s="68"/>
      <c r="U55" s="68"/>
      <c r="V55" s="68"/>
      <c r="W55" s="70"/>
      <c r="Z55" s="71"/>
      <c r="AB55" s="72"/>
      <c r="AC55" s="73"/>
      <c r="AD55" s="53"/>
      <c r="AE55" s="54"/>
      <c r="AF55" s="28"/>
      <c r="AG55" s="55"/>
    </row>
    <row r="56" spans="1:34" ht="24.75" hidden="1" customHeight="1" x14ac:dyDescent="0.25">
      <c r="A56" s="46"/>
      <c r="B56" s="227" t="s">
        <v>38</v>
      </c>
      <c r="C56" s="228"/>
      <c r="D56" s="229"/>
      <c r="E56" s="74"/>
      <c r="F56" s="74"/>
      <c r="G56" s="74"/>
      <c r="H56" s="74"/>
      <c r="I56" s="74"/>
      <c r="J56" s="74"/>
      <c r="K56" s="74"/>
      <c r="L56" s="74"/>
      <c r="M56" s="74">
        <v>10</v>
      </c>
      <c r="N56" s="74">
        <v>10</v>
      </c>
      <c r="O56" s="75"/>
      <c r="P56" s="74"/>
      <c r="Q56" s="75">
        <v>50</v>
      </c>
      <c r="R56" s="74"/>
      <c r="S56" s="74">
        <v>70</v>
      </c>
      <c r="T56" s="74"/>
      <c r="U56" s="74"/>
      <c r="V56" s="74"/>
      <c r="W56" s="74"/>
      <c r="X56" s="76"/>
      <c r="Y56" s="77">
        <v>4.5</v>
      </c>
      <c r="Z56" s="77"/>
      <c r="AA56" s="28"/>
      <c r="AB56" s="72"/>
      <c r="AC56" s="73"/>
      <c r="AD56" s="53">
        <f t="shared" si="0"/>
        <v>0.25</v>
      </c>
      <c r="AE56" s="54">
        <f t="shared" si="1"/>
        <v>0</v>
      </c>
      <c r="AF56" s="28"/>
      <c r="AG56" s="55"/>
    </row>
    <row r="57" spans="1:34" ht="18.75" customHeight="1" x14ac:dyDescent="0.25">
      <c r="A57" s="46"/>
      <c r="B57" s="238" t="s">
        <v>39</v>
      </c>
      <c r="C57" s="239"/>
      <c r="D57" s="240"/>
      <c r="E57" s="78">
        <f>IF(E51&lt;&gt;0,AVERAGE(E51:E54),"")</f>
        <v>6.9</v>
      </c>
      <c r="F57" s="78">
        <f t="shared" ref="F57:L57" si="3">IF(F51&lt;&gt;0,AVERAGE(F51:F54),"")</f>
        <v>8.9</v>
      </c>
      <c r="G57" s="78">
        <f t="shared" si="3"/>
        <v>11.75</v>
      </c>
      <c r="H57" s="78">
        <f t="shared" si="3"/>
        <v>15.3</v>
      </c>
      <c r="I57" s="78">
        <f t="shared" si="3"/>
        <v>20.25</v>
      </c>
      <c r="J57" s="78">
        <f t="shared" si="3"/>
        <v>28.95</v>
      </c>
      <c r="K57" s="78">
        <f t="shared" si="3"/>
        <v>43.7</v>
      </c>
      <c r="L57" s="78">
        <f t="shared" si="3"/>
        <v>61.400000000000006</v>
      </c>
      <c r="M57" s="78">
        <f>IF(M51&lt;&gt;0,AVERAGE(M51:M54),"")</f>
        <v>77.7</v>
      </c>
      <c r="N57" s="78">
        <f>IF(N51&lt;&gt;0,AVERAGE(N51:N54),"")</f>
        <v>95.5</v>
      </c>
      <c r="O57" s="79">
        <f>IF(O51&lt;&gt;0,AVERAGE(O51:O54),"")</f>
        <v>100</v>
      </c>
      <c r="P57" s="79"/>
      <c r="Q57" s="79"/>
      <c r="R57" s="78"/>
      <c r="S57" s="78" t="str">
        <f t="shared" ref="S57:T57" si="4">IF(S51&lt;&gt;0,AVERAGE(S51:S54),"")</f>
        <v/>
      </c>
      <c r="T57" s="80" t="str">
        <f t="shared" si="4"/>
        <v/>
      </c>
      <c r="U57" s="241">
        <f>IF(U51&lt;&gt;0,AVERAGE(U51:V54),"")</f>
        <v>165</v>
      </c>
      <c r="V57" s="242"/>
      <c r="W57" s="243">
        <f>IF(W51&lt;&gt;0,AVERAGE(W51:X54),"")</f>
        <v>5.0749999999999993</v>
      </c>
      <c r="X57" s="244"/>
      <c r="Y57" s="245">
        <f>IF(W51&lt;&gt;0,AVERAGE(Y51:Z54),"")</f>
        <v>3.1824458189140272</v>
      </c>
      <c r="Z57" s="246"/>
      <c r="AA57" s="55"/>
      <c r="AB57" s="217">
        <f>(100*W57)/(100-W57)</f>
        <v>5.3463260468791143</v>
      </c>
      <c r="AC57" s="218"/>
      <c r="AD57" s="53">
        <f t="shared" si="0"/>
        <v>13.306100000000001</v>
      </c>
      <c r="AE57" s="54">
        <f t="shared" si="1"/>
        <v>3.1823896368104689</v>
      </c>
      <c r="AF57" s="28"/>
      <c r="AG57" s="55"/>
    </row>
    <row r="58" spans="1:34" ht="21" customHeight="1" x14ac:dyDescent="0.25">
      <c r="A58" s="46"/>
      <c r="B58" s="247" t="s">
        <v>40</v>
      </c>
      <c r="C58" s="248"/>
      <c r="D58" s="249"/>
      <c r="E58" s="81">
        <v>6.5</v>
      </c>
      <c r="F58" s="81">
        <v>8</v>
      </c>
      <c r="G58" s="81">
        <v>11</v>
      </c>
      <c r="H58" s="81">
        <v>16</v>
      </c>
      <c r="I58" s="81">
        <v>21</v>
      </c>
      <c r="J58" s="81">
        <v>30</v>
      </c>
      <c r="K58" s="81">
        <v>44</v>
      </c>
      <c r="L58" s="81">
        <v>60</v>
      </c>
      <c r="M58" s="81">
        <v>76</v>
      </c>
      <c r="N58" s="81">
        <v>95</v>
      </c>
      <c r="O58" s="82">
        <v>100</v>
      </c>
      <c r="P58" s="81"/>
      <c r="Q58" s="82"/>
      <c r="R58" s="81"/>
      <c r="S58" s="81"/>
      <c r="T58" s="83"/>
      <c r="U58" s="250"/>
      <c r="V58" s="251"/>
      <c r="W58" s="252">
        <v>5.4</v>
      </c>
      <c r="X58" s="253"/>
      <c r="Y58" s="254">
        <f>AE58</f>
        <v>3.4230996041984052</v>
      </c>
      <c r="Z58" s="255"/>
      <c r="AA58" s="55"/>
      <c r="AB58" s="217">
        <f>(100*W58)/(100-W58)</f>
        <v>5.7082452431289648</v>
      </c>
      <c r="AC58" s="218"/>
      <c r="AD58" s="53">
        <f t="shared" si="0"/>
        <v>12.822000000000001</v>
      </c>
      <c r="AE58" s="54">
        <f t="shared" si="1"/>
        <v>3.4230996041984052</v>
      </c>
      <c r="AF58" s="28"/>
      <c r="AG58" s="55"/>
    </row>
    <row r="59" spans="1:34" ht="13.5" customHeight="1" x14ac:dyDescent="0.25">
      <c r="A59" s="46"/>
      <c r="B59" s="84"/>
      <c r="C59" s="85" t="s">
        <v>41</v>
      </c>
      <c r="D59" s="86"/>
      <c r="E59" s="59">
        <f>E58+2</f>
        <v>8.5</v>
      </c>
      <c r="F59" s="59"/>
      <c r="G59" s="59"/>
      <c r="H59" s="59"/>
      <c r="I59" s="59"/>
      <c r="J59" s="59">
        <f>J58+6</f>
        <v>36</v>
      </c>
      <c r="K59" s="59"/>
      <c r="L59" s="59">
        <f>L58+7</f>
        <v>67</v>
      </c>
      <c r="M59" s="59"/>
      <c r="N59" s="59"/>
      <c r="O59" s="59"/>
      <c r="P59" s="59"/>
      <c r="Q59" s="60"/>
      <c r="R59" s="59"/>
      <c r="S59" s="59"/>
      <c r="T59" s="61"/>
      <c r="U59" s="234"/>
      <c r="V59" s="235"/>
      <c r="W59" s="256">
        <f>W58+0.5</f>
        <v>5.9</v>
      </c>
      <c r="X59" s="235"/>
      <c r="Y59" s="232"/>
      <c r="Z59" s="257"/>
      <c r="AA59" s="87"/>
      <c r="AB59" s="88"/>
      <c r="AC59" s="89"/>
      <c r="AD59" s="258"/>
      <c r="AE59" s="260" t="s">
        <v>42</v>
      </c>
      <c r="AF59" s="28"/>
      <c r="AG59" s="55"/>
    </row>
    <row r="60" spans="1:34" ht="13.5" customHeight="1" thickBot="1" x14ac:dyDescent="0.3">
      <c r="A60" s="46"/>
      <c r="B60" s="190" t="s">
        <v>43</v>
      </c>
      <c r="C60" s="193"/>
      <c r="D60" s="191"/>
      <c r="E60" s="90">
        <f>E58-2</f>
        <v>4.5</v>
      </c>
      <c r="F60" s="90"/>
      <c r="G60" s="91"/>
      <c r="H60" s="91"/>
      <c r="I60" s="91"/>
      <c r="J60" s="90">
        <f>J58-6</f>
        <v>24</v>
      </c>
      <c r="K60" s="91"/>
      <c r="L60" s="90">
        <f>L58-7</f>
        <v>53</v>
      </c>
      <c r="M60" s="90"/>
      <c r="N60" s="91"/>
      <c r="O60" s="91"/>
      <c r="P60" s="91"/>
      <c r="Q60" s="90"/>
      <c r="R60" s="91"/>
      <c r="S60" s="91"/>
      <c r="T60" s="92"/>
      <c r="U60" s="262"/>
      <c r="V60" s="263"/>
      <c r="W60" s="264">
        <f>W58-0.5</f>
        <v>4.9000000000000004</v>
      </c>
      <c r="X60" s="263"/>
      <c r="Y60" s="219"/>
      <c r="Z60" s="265"/>
      <c r="AA60" s="93"/>
      <c r="AB60" s="94"/>
      <c r="AC60" s="95"/>
      <c r="AD60" s="259"/>
      <c r="AE60" s="261"/>
      <c r="AF60" s="28"/>
      <c r="AG60" s="55"/>
    </row>
    <row r="61" spans="1:34" ht="6.75" customHeight="1" x14ac:dyDescent="0.25">
      <c r="A61" s="23"/>
      <c r="B61" s="24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96"/>
    </row>
    <row r="62" spans="1:34" ht="8.25" customHeight="1" x14ac:dyDescent="0.25"/>
    <row r="63" spans="1:34" ht="34.5" customHeight="1" x14ac:dyDescent="0.25">
      <c r="A63" s="97" t="s">
        <v>44</v>
      </c>
      <c r="B63" s="98" t="s">
        <v>45</v>
      </c>
      <c r="C63" s="99"/>
      <c r="D63" s="99"/>
      <c r="E63" s="99"/>
      <c r="F63" s="100"/>
      <c r="G63" s="100"/>
      <c r="H63" s="100"/>
      <c r="I63" s="10"/>
      <c r="J63" s="10"/>
      <c r="K63" s="10"/>
      <c r="L63" s="10"/>
      <c r="M63" s="10"/>
      <c r="N63" s="10"/>
      <c r="O63" s="10"/>
      <c r="P63" s="10"/>
      <c r="Q63" s="100"/>
      <c r="R63" s="10"/>
      <c r="S63" s="10"/>
      <c r="T63" s="10"/>
      <c r="U63" s="279"/>
      <c r="V63" s="279"/>
      <c r="W63" s="279"/>
      <c r="X63" s="279"/>
      <c r="Y63" s="279"/>
      <c r="Z63" s="280"/>
      <c r="AA63" s="101"/>
      <c r="AB63" s="102"/>
      <c r="AC63" s="102"/>
      <c r="AD63" s="103"/>
    </row>
    <row r="64" spans="1:34" ht="27" customHeight="1" x14ac:dyDescent="0.25">
      <c r="A64" s="281" t="s">
        <v>46</v>
      </c>
      <c r="B64" s="282"/>
      <c r="C64" s="282"/>
      <c r="D64" s="282"/>
      <c r="E64" s="282"/>
      <c r="F64" s="282"/>
      <c r="G64" s="282"/>
      <c r="H64" s="282"/>
      <c r="I64" s="282"/>
      <c r="J64" s="282"/>
      <c r="K64" s="282"/>
      <c r="L64" s="282"/>
      <c r="M64" s="282"/>
      <c r="N64" s="282"/>
      <c r="O64" s="282"/>
      <c r="P64" s="282"/>
      <c r="Q64" s="283"/>
      <c r="R64" s="272" t="s">
        <v>47</v>
      </c>
      <c r="S64" s="273"/>
      <c r="T64" s="274"/>
      <c r="U64" s="284" t="s">
        <v>64</v>
      </c>
      <c r="V64" s="285"/>
      <c r="W64" s="285"/>
      <c r="X64" s="286"/>
      <c r="Y64" s="286"/>
      <c r="Z64" s="287"/>
      <c r="AA64" s="104"/>
      <c r="AB64" s="105"/>
      <c r="AC64" s="105"/>
      <c r="AD64" s="103"/>
    </row>
    <row r="65" spans="1:30" ht="15.75" customHeight="1" x14ac:dyDescent="0.25">
      <c r="A65" s="288" t="s">
        <v>48</v>
      </c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290"/>
      <c r="R65" s="272" t="s">
        <v>49</v>
      </c>
      <c r="S65" s="273"/>
      <c r="T65" s="274"/>
      <c r="U65" s="294" t="s">
        <v>65</v>
      </c>
      <c r="V65" s="295"/>
      <c r="W65" s="295"/>
      <c r="X65" s="295"/>
      <c r="Y65" s="295"/>
      <c r="Z65" s="296"/>
      <c r="AA65" s="104"/>
      <c r="AB65" s="105"/>
      <c r="AC65" s="105"/>
      <c r="AD65" s="103"/>
    </row>
    <row r="66" spans="1:30" ht="9" customHeight="1" x14ac:dyDescent="0.25">
      <c r="A66" s="288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89"/>
      <c r="P66" s="289"/>
      <c r="Q66" s="290"/>
      <c r="R66" s="272"/>
      <c r="S66" s="273"/>
      <c r="T66" s="274"/>
      <c r="U66" s="297"/>
      <c r="V66" s="178"/>
      <c r="W66" s="178"/>
      <c r="X66" s="178"/>
      <c r="Y66" s="178"/>
      <c r="Z66" s="298"/>
      <c r="AA66" s="104"/>
      <c r="AB66" s="105"/>
      <c r="AC66" s="105"/>
      <c r="AD66" s="103"/>
    </row>
    <row r="67" spans="1:30" ht="15.9" customHeight="1" x14ac:dyDescent="0.25">
      <c r="A67" s="291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3"/>
      <c r="R67" s="272"/>
      <c r="S67" s="273"/>
      <c r="T67" s="274"/>
      <c r="U67" s="297"/>
      <c r="V67" s="178"/>
      <c r="W67" s="178"/>
      <c r="X67" s="178"/>
      <c r="Y67" s="178"/>
      <c r="Z67" s="298"/>
      <c r="AA67" s="104"/>
      <c r="AB67" s="105"/>
      <c r="AC67" s="105"/>
      <c r="AD67" s="103"/>
    </row>
    <row r="68" spans="1:30" ht="15.9" customHeight="1" x14ac:dyDescent="0.25">
      <c r="A68" s="106" t="s">
        <v>50</v>
      </c>
      <c r="B68" s="107" t="s">
        <v>51</v>
      </c>
      <c r="C68" s="13"/>
      <c r="D68" s="13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9"/>
      <c r="R68" s="272"/>
      <c r="S68" s="273"/>
      <c r="T68" s="274"/>
      <c r="U68" s="299"/>
      <c r="V68" s="300"/>
      <c r="W68" s="300"/>
      <c r="X68" s="300"/>
      <c r="Y68" s="300"/>
      <c r="Z68" s="301"/>
      <c r="AA68" s="104"/>
      <c r="AB68" s="105"/>
      <c r="AC68" s="105"/>
      <c r="AD68" s="103"/>
    </row>
    <row r="69" spans="1:30" ht="15.75" customHeight="1" x14ac:dyDescent="0.25">
      <c r="A69" s="266"/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7"/>
      <c r="Q69" s="268"/>
      <c r="R69" s="272" t="s">
        <v>52</v>
      </c>
      <c r="S69" s="273"/>
      <c r="T69" s="274"/>
      <c r="U69" s="110"/>
      <c r="V69" s="111"/>
      <c r="W69" s="111"/>
      <c r="X69" s="111"/>
      <c r="Y69" s="111"/>
      <c r="Z69" s="112"/>
      <c r="AA69" s="113"/>
      <c r="AB69" s="114"/>
      <c r="AC69" s="114"/>
      <c r="AD69" s="103"/>
    </row>
    <row r="70" spans="1:30" ht="15.9" customHeight="1" x14ac:dyDescent="0.25">
      <c r="A70" s="266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8"/>
      <c r="R70" s="272"/>
      <c r="S70" s="273"/>
      <c r="T70" s="274"/>
      <c r="U70" s="115"/>
      <c r="V70" s="278"/>
      <c r="W70" s="278"/>
      <c r="X70" s="278"/>
      <c r="Y70" s="278"/>
      <c r="Z70" s="116"/>
      <c r="AA70" s="113"/>
      <c r="AB70" s="114"/>
      <c r="AC70" s="114"/>
      <c r="AD70" s="103"/>
    </row>
    <row r="71" spans="1:30" ht="15.9" customHeight="1" x14ac:dyDescent="0.25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7"/>
      <c r="Q71" s="268"/>
      <c r="R71" s="272"/>
      <c r="S71" s="273"/>
      <c r="T71" s="274"/>
      <c r="U71" s="115"/>
      <c r="V71" s="278"/>
      <c r="W71" s="278"/>
      <c r="X71" s="278"/>
      <c r="Y71" s="278"/>
      <c r="Z71" s="116"/>
      <c r="AA71" s="113"/>
      <c r="AB71" s="114"/>
      <c r="AC71" s="114"/>
      <c r="AD71" s="103"/>
    </row>
    <row r="72" spans="1:30" ht="15.75" customHeight="1" x14ac:dyDescent="0.25">
      <c r="A72" s="269"/>
      <c r="B72" s="270"/>
      <c r="C72" s="270"/>
      <c r="D72" s="270"/>
      <c r="E72" s="270"/>
      <c r="F72" s="270"/>
      <c r="G72" s="270"/>
      <c r="H72" s="270"/>
      <c r="I72" s="270"/>
      <c r="J72" s="270"/>
      <c r="K72" s="270"/>
      <c r="L72" s="270"/>
      <c r="M72" s="270"/>
      <c r="N72" s="270"/>
      <c r="O72" s="270"/>
      <c r="P72" s="270"/>
      <c r="Q72" s="271"/>
      <c r="R72" s="275"/>
      <c r="S72" s="276"/>
      <c r="T72" s="277"/>
      <c r="U72" s="117"/>
      <c r="V72" s="118"/>
      <c r="W72" s="118"/>
      <c r="X72" s="118"/>
      <c r="Y72" s="118"/>
      <c r="Z72" s="119"/>
      <c r="AA72" s="113"/>
      <c r="AB72" s="114"/>
      <c r="AC72" s="114"/>
      <c r="AD72" s="103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C50:D50"/>
    <mergeCell ref="C51:D51"/>
    <mergeCell ref="U51:V51"/>
    <mergeCell ref="W51:X51"/>
    <mergeCell ref="Y51:Z51"/>
    <mergeCell ref="AB51:AC51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A69:Q72"/>
    <mergeCell ref="R69:T72"/>
    <mergeCell ref="V70:Y71"/>
    <mergeCell ref="U63:Z63"/>
    <mergeCell ref="A64:Q64"/>
    <mergeCell ref="R64:T64"/>
    <mergeCell ref="U64:Z64"/>
    <mergeCell ref="A65:Q67"/>
    <mergeCell ref="R65:T68"/>
    <mergeCell ref="U65:Z68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7C60C-45E1-4A4D-A2B7-2C9F8CB35B29}">
  <sheetPr>
    <pageSetUpPr fitToPage="1"/>
  </sheetPr>
  <dimension ref="A1:AN72"/>
  <sheetViews>
    <sheetView zoomScaleNormal="100" workbookViewId="0">
      <selection activeCell="W53" sqref="W53:X53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75" customHeight="1" x14ac:dyDescent="0.25">
      <c r="A1" s="144"/>
      <c r="B1" s="145"/>
      <c r="C1" s="145"/>
      <c r="D1" s="145"/>
      <c r="E1" s="145"/>
      <c r="F1" s="146"/>
      <c r="G1" s="153" t="s">
        <v>0</v>
      </c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5"/>
      <c r="U1" s="156" t="s">
        <v>59</v>
      </c>
      <c r="V1" s="157"/>
      <c r="W1" s="157"/>
      <c r="X1" s="157"/>
      <c r="Y1" s="157"/>
      <c r="Z1" s="158"/>
      <c r="AA1" s="1"/>
    </row>
    <row r="2" spans="1:36" ht="12.75" customHeight="1" x14ac:dyDescent="0.25">
      <c r="A2" s="147"/>
      <c r="B2" s="148"/>
      <c r="C2" s="148"/>
      <c r="D2" s="148"/>
      <c r="E2" s="148"/>
      <c r="F2" s="149"/>
      <c r="G2" s="165" t="s">
        <v>1</v>
      </c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7"/>
      <c r="U2" s="159"/>
      <c r="V2" s="160"/>
      <c r="W2" s="160"/>
      <c r="X2" s="160"/>
      <c r="Y2" s="160"/>
      <c r="Z2" s="161"/>
      <c r="AA2" s="1"/>
    </row>
    <row r="3" spans="1:36" ht="12.75" customHeight="1" x14ac:dyDescent="0.25">
      <c r="A3" s="147"/>
      <c r="B3" s="148"/>
      <c r="C3" s="148"/>
      <c r="D3" s="148"/>
      <c r="E3" s="148"/>
      <c r="F3" s="149"/>
      <c r="G3" s="168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7"/>
      <c r="U3" s="159"/>
      <c r="V3" s="160"/>
      <c r="W3" s="160"/>
      <c r="X3" s="160"/>
      <c r="Y3" s="160"/>
      <c r="Z3" s="161"/>
      <c r="AA3" s="1"/>
    </row>
    <row r="4" spans="1:36" ht="12.75" customHeight="1" x14ac:dyDescent="0.25">
      <c r="A4" s="147"/>
      <c r="B4" s="148"/>
      <c r="C4" s="148"/>
      <c r="D4" s="148"/>
      <c r="E4" s="148"/>
      <c r="F4" s="149"/>
      <c r="G4" s="168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59"/>
      <c r="V4" s="160"/>
      <c r="W4" s="160"/>
      <c r="X4" s="160"/>
      <c r="Y4" s="160"/>
      <c r="Z4" s="161"/>
      <c r="AA4" s="1"/>
    </row>
    <row r="5" spans="1:36" ht="12.75" customHeight="1" x14ac:dyDescent="0.25">
      <c r="A5" s="147"/>
      <c r="B5" s="148"/>
      <c r="C5" s="148"/>
      <c r="D5" s="148"/>
      <c r="E5" s="148"/>
      <c r="F5" s="149"/>
      <c r="G5" s="168" t="s">
        <v>2</v>
      </c>
      <c r="H5" s="166"/>
      <c r="I5" s="3" t="s">
        <v>3</v>
      </c>
      <c r="J5" s="306">
        <v>4</v>
      </c>
      <c r="K5" s="307"/>
      <c r="L5" s="308" t="s">
        <v>53</v>
      </c>
      <c r="M5" s="306"/>
      <c r="N5" s="306"/>
      <c r="O5" s="307"/>
      <c r="P5" s="309">
        <v>45456</v>
      </c>
      <c r="Q5" s="310"/>
      <c r="R5" s="310"/>
      <c r="S5" s="310"/>
      <c r="T5" s="311"/>
      <c r="U5" s="159"/>
      <c r="V5" s="160"/>
      <c r="W5" s="160"/>
      <c r="X5" s="160"/>
      <c r="Y5" s="160"/>
      <c r="Z5" s="161"/>
      <c r="AA5" s="1"/>
    </row>
    <row r="6" spans="1:36" ht="12.75" customHeight="1" x14ac:dyDescent="0.25">
      <c r="A6" s="150"/>
      <c r="B6" s="151"/>
      <c r="C6" s="151"/>
      <c r="D6" s="151"/>
      <c r="E6" s="151"/>
      <c r="F6" s="152"/>
      <c r="G6" s="4"/>
      <c r="H6" s="5"/>
      <c r="I6" s="5"/>
      <c r="J6" s="137" t="s">
        <v>4</v>
      </c>
      <c r="K6" s="137"/>
      <c r="L6" s="137" t="s">
        <v>5</v>
      </c>
      <c r="M6" s="137"/>
      <c r="N6" s="137"/>
      <c r="O6" s="137"/>
      <c r="P6" s="137" t="s">
        <v>6</v>
      </c>
      <c r="Q6" s="137"/>
      <c r="R6" s="137"/>
      <c r="S6" s="137"/>
      <c r="T6" s="138"/>
      <c r="U6" s="162"/>
      <c r="V6" s="163"/>
      <c r="W6" s="163"/>
      <c r="X6" s="163"/>
      <c r="Y6" s="163"/>
      <c r="Z6" s="164"/>
      <c r="AA6" s="1"/>
    </row>
    <row r="7" spans="1:36" ht="37.5" customHeight="1" x14ac:dyDescent="0.25">
      <c r="A7" s="139" t="s">
        <v>7</v>
      </c>
      <c r="B7" s="139"/>
      <c r="C7" s="139"/>
      <c r="D7" s="139"/>
      <c r="E7" s="139"/>
      <c r="F7" s="139"/>
      <c r="G7" s="140" t="s">
        <v>8</v>
      </c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15.9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141" t="s">
        <v>11</v>
      </c>
      <c r="C10" s="141"/>
      <c r="D10" s="141"/>
      <c r="E10" s="141"/>
      <c r="F10" s="141"/>
      <c r="G10" s="142" t="s">
        <v>60</v>
      </c>
      <c r="H10" s="142"/>
      <c r="I10" s="142"/>
      <c r="J10" s="142"/>
      <c r="K10" s="142"/>
      <c r="L10" s="142"/>
      <c r="M10" s="141" t="s">
        <v>12</v>
      </c>
      <c r="N10" s="141"/>
      <c r="O10" s="141"/>
      <c r="P10" s="141"/>
      <c r="Q10" s="141"/>
      <c r="R10" s="141"/>
      <c r="S10" s="143" t="s">
        <v>13</v>
      </c>
      <c r="T10" s="143"/>
      <c r="U10" s="143"/>
      <c r="V10" s="143"/>
      <c r="W10" s="143"/>
      <c r="X10" s="143"/>
      <c r="Y10" s="143"/>
      <c r="Z10" s="18"/>
      <c r="AA10" s="19"/>
      <c r="AB10" s="14"/>
      <c r="AC10" s="14"/>
      <c r="AD10" s="14"/>
      <c r="AE10" s="141"/>
      <c r="AF10" s="141"/>
      <c r="AG10" s="141"/>
      <c r="AH10" s="141"/>
      <c r="AI10" s="141"/>
    </row>
    <row r="11" spans="1:36" ht="15.9" customHeight="1" x14ac:dyDescent="0.25">
      <c r="A11" s="15"/>
      <c r="B11" s="141" t="s">
        <v>14</v>
      </c>
      <c r="C11" s="141"/>
      <c r="D11" s="141"/>
      <c r="E11" s="141"/>
      <c r="F11" s="141"/>
      <c r="G11" s="142">
        <v>45456</v>
      </c>
      <c r="H11" s="142"/>
      <c r="I11" s="142"/>
      <c r="J11" s="142"/>
      <c r="K11" s="142"/>
      <c r="L11" s="142"/>
      <c r="M11" s="141" t="s">
        <v>15</v>
      </c>
      <c r="N11" s="141"/>
      <c r="O11" s="141"/>
      <c r="P11" s="141"/>
      <c r="Q11" s="141"/>
      <c r="R11" s="141"/>
      <c r="S11" s="177" t="s">
        <v>62</v>
      </c>
      <c r="T11" s="177"/>
      <c r="U11" s="177"/>
      <c r="V11" s="177"/>
      <c r="W11" s="177"/>
      <c r="X11" s="177"/>
      <c r="Y11" s="177"/>
      <c r="Z11" s="18"/>
      <c r="AA11" s="19"/>
      <c r="AB11" s="14"/>
      <c r="AC11" s="14"/>
      <c r="AD11" s="14"/>
      <c r="AE11" s="141"/>
      <c r="AF11" s="141"/>
      <c r="AG11" s="141"/>
      <c r="AH11" s="141"/>
      <c r="AI11" s="141"/>
    </row>
    <row r="12" spans="1:36" ht="15.9" customHeight="1" x14ac:dyDescent="0.25">
      <c r="A12" s="15"/>
      <c r="B12" s="141" t="s">
        <v>16</v>
      </c>
      <c r="C12" s="141"/>
      <c r="D12" s="141"/>
      <c r="E12" s="141"/>
      <c r="F12" s="141"/>
      <c r="G12" s="175" t="s">
        <v>61</v>
      </c>
      <c r="H12" s="175"/>
      <c r="I12" s="175"/>
      <c r="J12" s="175"/>
      <c r="K12" s="175"/>
      <c r="L12" s="175"/>
      <c r="M12" s="176" t="s">
        <v>17</v>
      </c>
      <c r="N12" s="176"/>
      <c r="O12" s="176"/>
      <c r="P12" s="176"/>
      <c r="Q12" s="176"/>
      <c r="R12" s="176"/>
      <c r="S12" s="143">
        <v>157</v>
      </c>
      <c r="T12" s="143"/>
      <c r="U12" s="143"/>
      <c r="V12" s="143"/>
      <c r="W12" s="143"/>
      <c r="X12" s="143"/>
      <c r="Y12" s="143"/>
      <c r="Z12" s="18"/>
      <c r="AA12" s="19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0" t="s">
        <v>18</v>
      </c>
      <c r="C13" s="20"/>
      <c r="D13" s="20"/>
      <c r="E13" s="20"/>
      <c r="F13" s="20"/>
      <c r="G13" s="175" t="s">
        <v>54</v>
      </c>
      <c r="H13" s="175"/>
      <c r="I13" s="175"/>
      <c r="J13" s="175"/>
      <c r="K13" s="175"/>
      <c r="L13" s="175"/>
      <c r="M13" s="141" t="s">
        <v>19</v>
      </c>
      <c r="N13" s="141"/>
      <c r="O13" s="141"/>
      <c r="P13" s="141"/>
      <c r="Q13" s="141"/>
      <c r="R13" s="141"/>
      <c r="S13" s="175" t="s">
        <v>63</v>
      </c>
      <c r="T13" s="175"/>
      <c r="U13" s="175"/>
      <c r="V13" s="175"/>
      <c r="W13" s="175"/>
      <c r="X13" s="175"/>
      <c r="Y13" s="175"/>
      <c r="Z13" s="18"/>
      <c r="AA13" s="19"/>
      <c r="AB13" s="14"/>
      <c r="AC13" s="14"/>
      <c r="AD13" s="14"/>
      <c r="AE13" s="141"/>
      <c r="AF13" s="141"/>
      <c r="AG13" s="141"/>
      <c r="AH13" s="141"/>
      <c r="AI13" s="141"/>
      <c r="AJ13" s="141"/>
    </row>
    <row r="14" spans="1:36" ht="15.9" customHeight="1" x14ac:dyDescent="0.25">
      <c r="A14" s="21"/>
      <c r="B14" s="141" t="s">
        <v>20</v>
      </c>
      <c r="C14" s="141"/>
      <c r="D14" s="141"/>
      <c r="E14" s="141"/>
      <c r="F14" s="141"/>
      <c r="G14" s="175" t="s">
        <v>55</v>
      </c>
      <c r="H14" s="175"/>
      <c r="I14" s="175"/>
      <c r="J14" s="175"/>
      <c r="K14" s="175"/>
      <c r="L14" s="175"/>
      <c r="M14" s="143" t="s">
        <v>21</v>
      </c>
      <c r="N14" s="143"/>
      <c r="O14" s="143"/>
      <c r="P14" s="143"/>
      <c r="Q14" s="143"/>
      <c r="R14" s="143"/>
      <c r="S14" s="143" t="s">
        <v>22</v>
      </c>
      <c r="T14" s="143"/>
      <c r="U14" s="143"/>
      <c r="V14" s="143"/>
      <c r="W14" s="143"/>
      <c r="X14" s="143"/>
      <c r="Y14" s="143"/>
      <c r="Z14" s="22"/>
      <c r="AA14" s="14"/>
      <c r="AB14" s="14"/>
      <c r="AC14" s="14"/>
      <c r="AD14" s="14"/>
      <c r="AE14" s="141"/>
      <c r="AF14" s="141"/>
      <c r="AG14" s="141"/>
      <c r="AH14" s="141"/>
      <c r="AI14" s="141"/>
      <c r="AJ14" s="141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141"/>
      <c r="AF15" s="141"/>
      <c r="AG15" s="141"/>
      <c r="AH15" s="141"/>
      <c r="AI15" s="141"/>
      <c r="AJ15" s="141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141"/>
      <c r="AF16" s="141"/>
      <c r="AG16" s="141"/>
      <c r="AH16" s="141"/>
      <c r="AI16" s="141"/>
      <c r="AJ16" s="141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141" t="s">
        <v>25</v>
      </c>
      <c r="C19" s="141"/>
      <c r="D19" s="141"/>
      <c r="E19" s="141"/>
      <c r="F19" s="141"/>
      <c r="G19" s="141"/>
      <c r="H19" s="141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8"/>
      <c r="AA19" s="19"/>
      <c r="AE19" s="30"/>
      <c r="AI19" s="30"/>
    </row>
    <row r="20" spans="1:40" ht="15.9" customHeight="1" x14ac:dyDescent="0.25">
      <c r="A20" s="15"/>
      <c r="B20" s="141" t="s">
        <v>26</v>
      </c>
      <c r="C20" s="141"/>
      <c r="D20" s="141"/>
      <c r="E20" s="141"/>
      <c r="F20" s="141"/>
      <c r="G20" s="141"/>
      <c r="H20" s="141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8"/>
      <c r="AA20" s="19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2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3" t="s">
        <v>23</v>
      </c>
      <c r="B23" s="34" t="s">
        <v>27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39"/>
      <c r="AN23" s="40"/>
    </row>
    <row r="24" spans="1:40" ht="9" customHeight="1" x14ac:dyDescent="0.25">
      <c r="A24" s="21"/>
      <c r="Z24" s="41"/>
    </row>
    <row r="25" spans="1:40" ht="12.75" customHeight="1" x14ac:dyDescent="0.25">
      <c r="A25" s="21"/>
      <c r="Z25" s="41"/>
    </row>
    <row r="26" spans="1:40" ht="12.75" customHeight="1" x14ac:dyDescent="0.25">
      <c r="A26" s="21"/>
      <c r="Z26" s="41"/>
    </row>
    <row r="27" spans="1:40" ht="12.75" customHeight="1" x14ac:dyDescent="0.25">
      <c r="A27" s="21"/>
      <c r="Z27" s="41"/>
    </row>
    <row r="28" spans="1:40" ht="12.75" customHeight="1" x14ac:dyDescent="0.25">
      <c r="A28" s="21"/>
      <c r="Z28" s="41"/>
    </row>
    <row r="29" spans="1:40" ht="12.75" customHeight="1" x14ac:dyDescent="0.25">
      <c r="A29" s="21"/>
      <c r="Z29" s="41"/>
    </row>
    <row r="30" spans="1:40" ht="12.75" customHeight="1" x14ac:dyDescent="0.25">
      <c r="A30" s="21"/>
      <c r="Z30" s="41"/>
    </row>
    <row r="31" spans="1:40" ht="12.75" customHeight="1" x14ac:dyDescent="0.25">
      <c r="A31" s="21"/>
      <c r="Z31" s="41"/>
    </row>
    <row r="32" spans="1:40" ht="12.75" customHeight="1" x14ac:dyDescent="0.25">
      <c r="A32" s="21"/>
      <c r="Z32" s="41"/>
    </row>
    <row r="33" spans="1:34" ht="12.75" customHeight="1" x14ac:dyDescent="0.25">
      <c r="A33" s="21"/>
      <c r="Z33" s="41"/>
    </row>
    <row r="34" spans="1:34" ht="12.75" customHeight="1" x14ac:dyDescent="0.25">
      <c r="A34" s="21"/>
      <c r="Z34" s="41"/>
    </row>
    <row r="35" spans="1:34" ht="12.75" customHeight="1" x14ac:dyDescent="0.25">
      <c r="A35" s="21"/>
      <c r="Z35" s="41"/>
    </row>
    <row r="36" spans="1:34" ht="12.75" customHeight="1" x14ac:dyDescent="0.25">
      <c r="A36" s="21"/>
      <c r="Z36" s="41"/>
    </row>
    <row r="37" spans="1:34" ht="12.75" customHeight="1" x14ac:dyDescent="0.25">
      <c r="A37" s="21"/>
      <c r="Z37" s="41"/>
    </row>
    <row r="38" spans="1:34" ht="12.75" customHeight="1" x14ac:dyDescent="0.25">
      <c r="A38" s="21"/>
      <c r="Z38" s="41"/>
    </row>
    <row r="39" spans="1:34" ht="12.75" customHeight="1" x14ac:dyDescent="0.25">
      <c r="A39" s="21"/>
      <c r="Z39" s="41"/>
    </row>
    <row r="40" spans="1:34" ht="12.75" customHeight="1" x14ac:dyDescent="0.25">
      <c r="A40" s="21"/>
      <c r="Z40" s="41"/>
    </row>
    <row r="41" spans="1:34" ht="12.75" customHeight="1" x14ac:dyDescent="0.25">
      <c r="A41" s="21"/>
      <c r="Z41" s="41"/>
    </row>
    <row r="42" spans="1:34" ht="12.75" customHeight="1" x14ac:dyDescent="0.25">
      <c r="A42" s="21"/>
      <c r="Z42" s="41"/>
    </row>
    <row r="43" spans="1:34" ht="12.75" customHeight="1" x14ac:dyDescent="0.25">
      <c r="A43" s="21"/>
      <c r="Z43" s="41"/>
    </row>
    <row r="44" spans="1:34" ht="12.75" customHeight="1" x14ac:dyDescent="0.25">
      <c r="A44" s="21"/>
      <c r="Z44" s="41"/>
    </row>
    <row r="45" spans="1:34" ht="12.75" customHeight="1" x14ac:dyDescent="0.25">
      <c r="A45" s="21"/>
      <c r="Z45" s="41"/>
    </row>
    <row r="46" spans="1:34" ht="9.75" customHeight="1" thickBot="1" x14ac:dyDescent="0.3">
      <c r="A46" s="21"/>
      <c r="Z46" s="41"/>
    </row>
    <row r="47" spans="1:34" ht="9.75" customHeight="1" x14ac:dyDescent="0.25">
      <c r="A47" s="21"/>
      <c r="Z47" s="41"/>
      <c r="AD47" s="179" t="s">
        <v>28</v>
      </c>
      <c r="AE47" s="181">
        <v>2.68</v>
      </c>
      <c r="AF47" s="183"/>
      <c r="AG47" s="185"/>
      <c r="AH47" s="42"/>
    </row>
    <row r="48" spans="1:34" ht="12.75" customHeight="1" thickBot="1" x14ac:dyDescent="0.3">
      <c r="A48" s="21"/>
      <c r="Z48" s="43"/>
      <c r="AD48" s="180"/>
      <c r="AE48" s="182"/>
      <c r="AF48" s="184"/>
      <c r="AG48" s="185"/>
    </row>
    <row r="49" spans="1:34" ht="18.75" customHeight="1" thickBot="1" x14ac:dyDescent="0.3">
      <c r="A49" s="21"/>
      <c r="E49" s="186" t="s">
        <v>29</v>
      </c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8" t="s">
        <v>30</v>
      </c>
      <c r="V49" s="189"/>
      <c r="W49" s="192" t="s">
        <v>31</v>
      </c>
      <c r="X49" s="189"/>
      <c r="Y49" s="194" t="s">
        <v>32</v>
      </c>
      <c r="Z49" s="195"/>
      <c r="AA49" s="44"/>
      <c r="AB49" s="198" t="s">
        <v>33</v>
      </c>
      <c r="AC49" s="199"/>
      <c r="AD49" s="202" t="s">
        <v>34</v>
      </c>
      <c r="AE49" s="204" t="s">
        <v>35</v>
      </c>
      <c r="AF49" s="183"/>
      <c r="AG49" s="183"/>
      <c r="AH49" s="45"/>
    </row>
    <row r="50" spans="1:34" ht="24.9" customHeight="1" thickBot="1" x14ac:dyDescent="0.3">
      <c r="A50" s="46"/>
      <c r="B50" s="47" t="s">
        <v>36</v>
      </c>
      <c r="C50" s="207" t="s">
        <v>37</v>
      </c>
      <c r="D50" s="208"/>
      <c r="E50" s="48">
        <v>6.3E-2</v>
      </c>
      <c r="F50" s="48">
        <v>0.125</v>
      </c>
      <c r="G50" s="49">
        <v>0.25</v>
      </c>
      <c r="H50" s="49">
        <v>0.5</v>
      </c>
      <c r="I50" s="49">
        <v>1</v>
      </c>
      <c r="J50" s="49">
        <v>2</v>
      </c>
      <c r="K50" s="49">
        <v>4</v>
      </c>
      <c r="L50" s="49">
        <v>6.3</v>
      </c>
      <c r="M50" s="49">
        <v>8</v>
      </c>
      <c r="N50" s="49">
        <v>10</v>
      </c>
      <c r="O50" s="49">
        <v>12.5</v>
      </c>
      <c r="P50" s="49">
        <v>14</v>
      </c>
      <c r="Q50" s="50">
        <v>16</v>
      </c>
      <c r="R50" s="50">
        <v>20</v>
      </c>
      <c r="S50" s="49"/>
      <c r="T50" s="50"/>
      <c r="U50" s="190"/>
      <c r="V50" s="191"/>
      <c r="W50" s="193"/>
      <c r="X50" s="191"/>
      <c r="Y50" s="196"/>
      <c r="Z50" s="197"/>
      <c r="AA50" s="44"/>
      <c r="AB50" s="200"/>
      <c r="AC50" s="201"/>
      <c r="AD50" s="203"/>
      <c r="AE50" s="205"/>
      <c r="AF50" s="206"/>
      <c r="AG50" s="183"/>
    </row>
    <row r="51" spans="1:34" ht="24.9" customHeight="1" x14ac:dyDescent="0.25">
      <c r="A51" s="46"/>
      <c r="B51" s="51">
        <v>1</v>
      </c>
      <c r="C51" s="209" t="s">
        <v>67</v>
      </c>
      <c r="D51" s="210"/>
      <c r="E51" s="125">
        <v>7.3</v>
      </c>
      <c r="F51" s="126">
        <v>9.4</v>
      </c>
      <c r="G51" s="127">
        <v>12.2</v>
      </c>
      <c r="H51" s="127">
        <v>15.8</v>
      </c>
      <c r="I51" s="127">
        <v>20.6</v>
      </c>
      <c r="J51" s="127">
        <v>29.4</v>
      </c>
      <c r="K51" s="127">
        <v>42.8</v>
      </c>
      <c r="L51" s="127">
        <v>54.3</v>
      </c>
      <c r="M51" s="127">
        <v>62</v>
      </c>
      <c r="N51" s="127">
        <v>72.7</v>
      </c>
      <c r="O51" s="127">
        <v>89.8</v>
      </c>
      <c r="P51" s="127">
        <v>97.6</v>
      </c>
      <c r="Q51" s="127">
        <v>100</v>
      </c>
      <c r="R51" s="127"/>
      <c r="S51" s="128"/>
      <c r="T51" s="128"/>
      <c r="U51" s="211">
        <v>166</v>
      </c>
      <c r="V51" s="212"/>
      <c r="W51" s="213">
        <v>3.96</v>
      </c>
      <c r="X51" s="214"/>
      <c r="Y51" s="215">
        <f>IF(W51&lt;&gt;0,AE51,"")</f>
        <v>2.4706071435510961</v>
      </c>
      <c r="Z51" s="216"/>
      <c r="AA51" s="52"/>
      <c r="AB51" s="217">
        <f>(100*W51)/(100-W51)</f>
        <v>4.1232819658475632</v>
      </c>
      <c r="AC51" s="218"/>
      <c r="AD51" s="53">
        <f>(0.25*(100-O51)+2.3*(O51-H51)+12*(H51-E51)+150*(E51))/100</f>
        <v>13.6975</v>
      </c>
      <c r="AE51" s="54">
        <f>(AB51*$AE$47)/(2.65*(AD51)^(1/5))</f>
        <v>2.4706071435510961</v>
      </c>
      <c r="AF51" s="28"/>
      <c r="AG51" s="55"/>
    </row>
    <row r="52" spans="1:34" ht="24.9" customHeight="1" x14ac:dyDescent="0.25">
      <c r="A52" s="46"/>
      <c r="B52" s="56">
        <v>2</v>
      </c>
      <c r="C52" s="312">
        <v>4.1666666666666664E-2</v>
      </c>
      <c r="D52" s="313"/>
      <c r="E52" s="120">
        <v>7.1</v>
      </c>
      <c r="F52" s="121">
        <v>9.3000000000000007</v>
      </c>
      <c r="G52" s="122">
        <v>12.2</v>
      </c>
      <c r="H52" s="122">
        <v>16.100000000000001</v>
      </c>
      <c r="I52" s="122">
        <v>22.3</v>
      </c>
      <c r="J52" s="122">
        <v>31.7</v>
      </c>
      <c r="K52" s="122">
        <v>45.9</v>
      </c>
      <c r="L52" s="122">
        <v>58.2</v>
      </c>
      <c r="M52" s="122">
        <v>63.8</v>
      </c>
      <c r="N52" s="122">
        <v>74.099999999999994</v>
      </c>
      <c r="O52" s="122">
        <v>90.5</v>
      </c>
      <c r="P52" s="122">
        <v>98</v>
      </c>
      <c r="Q52" s="124">
        <v>100</v>
      </c>
      <c r="R52" s="122"/>
      <c r="S52" s="123"/>
      <c r="T52" s="123"/>
      <c r="U52" s="302">
        <v>181</v>
      </c>
      <c r="V52" s="303"/>
      <c r="W52" s="304">
        <v>4.09</v>
      </c>
      <c r="X52" s="305"/>
      <c r="Y52" s="230">
        <f>IF(W52&lt;&gt;0,AE52,"")</f>
        <v>2.5639372268281879</v>
      </c>
      <c r="Z52" s="231"/>
      <c r="AA52" s="52"/>
      <c r="AB52" s="217">
        <f>(100*W52)/(100-W52)</f>
        <v>4.2644145553122721</v>
      </c>
      <c r="AC52" s="218"/>
      <c r="AD52" s="53">
        <f t="shared" ref="AD52:AD58" si="0">(0.25*(100-O52)+2.3*(O52-H52)+12*(H52-E52)+150*(E52))/100</f>
        <v>13.464949999999998</v>
      </c>
      <c r="AE52" s="54">
        <f t="shared" ref="AE52:AE58" si="1">(AB52*$AE$47)/(2.65*(AD52)^(1/5))</f>
        <v>2.5639372268281879</v>
      </c>
      <c r="AF52" s="28"/>
      <c r="AG52" s="55"/>
    </row>
    <row r="53" spans="1:34" ht="24.9" customHeight="1" x14ac:dyDescent="0.25">
      <c r="A53" s="46"/>
      <c r="B53" s="56">
        <v>3</v>
      </c>
      <c r="C53" s="232"/>
      <c r="D53" s="233"/>
      <c r="E53" s="57"/>
      <c r="F53" s="58"/>
      <c r="G53" s="58"/>
      <c r="H53" s="59"/>
      <c r="I53" s="59"/>
      <c r="J53" s="59"/>
      <c r="K53" s="59"/>
      <c r="L53" s="59"/>
      <c r="M53" s="59"/>
      <c r="N53" s="59"/>
      <c r="O53" s="60"/>
      <c r="P53" s="59"/>
      <c r="Q53" s="60"/>
      <c r="R53" s="59"/>
      <c r="S53" s="59"/>
      <c r="T53" s="61"/>
      <c r="U53" s="234"/>
      <c r="V53" s="235"/>
      <c r="W53" s="236"/>
      <c r="X53" s="237"/>
      <c r="Y53" s="230" t="str">
        <f t="shared" ref="Y53:Y54" si="2">IF(W53&lt;&gt;0,AE53,"")</f>
        <v/>
      </c>
      <c r="Z53" s="231"/>
      <c r="AA53" s="52"/>
      <c r="AB53" s="217">
        <f>(100*W53)/(100-W53)</f>
        <v>0</v>
      </c>
      <c r="AC53" s="218"/>
      <c r="AD53" s="53">
        <f t="shared" si="0"/>
        <v>0.25</v>
      </c>
      <c r="AE53" s="54">
        <f t="shared" si="1"/>
        <v>0</v>
      </c>
      <c r="AF53" s="28"/>
      <c r="AG53" s="55"/>
    </row>
    <row r="54" spans="1:34" ht="24.9" customHeight="1" thickBot="1" x14ac:dyDescent="0.3">
      <c r="A54" s="46"/>
      <c r="B54" s="62">
        <v>4</v>
      </c>
      <c r="C54" s="219"/>
      <c r="D54" s="220"/>
      <c r="E54" s="63"/>
      <c r="F54" s="64"/>
      <c r="G54" s="64"/>
      <c r="H54" s="65"/>
      <c r="I54" s="65"/>
      <c r="J54" s="65"/>
      <c r="K54" s="65"/>
      <c r="L54" s="65"/>
      <c r="M54" s="65"/>
      <c r="N54" s="65"/>
      <c r="O54" s="66"/>
      <c r="P54" s="65"/>
      <c r="Q54" s="66"/>
      <c r="R54" s="65"/>
      <c r="S54" s="65"/>
      <c r="T54" s="67"/>
      <c r="U54" s="221"/>
      <c r="V54" s="222"/>
      <c r="W54" s="223"/>
      <c r="X54" s="224"/>
      <c r="Y54" s="225" t="str">
        <f t="shared" si="2"/>
        <v/>
      </c>
      <c r="Z54" s="226"/>
      <c r="AA54" s="52"/>
      <c r="AB54" s="217">
        <f>(100*W54)/(100-W54)</f>
        <v>0</v>
      </c>
      <c r="AC54" s="218"/>
      <c r="AD54" s="53">
        <f t="shared" si="0"/>
        <v>0.25</v>
      </c>
      <c r="AE54" s="54">
        <f t="shared" si="1"/>
        <v>0</v>
      </c>
      <c r="AF54" s="28"/>
      <c r="AG54" s="55"/>
    </row>
    <row r="55" spans="1:34" ht="10.5" customHeight="1" thickBot="1" x14ac:dyDescent="0.3">
      <c r="A55" s="46"/>
      <c r="B55" s="2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9"/>
      <c r="P55" s="68"/>
      <c r="Q55" s="69"/>
      <c r="R55" s="68"/>
      <c r="S55" s="68"/>
      <c r="T55" s="68"/>
      <c r="U55" s="68"/>
      <c r="V55" s="68"/>
      <c r="W55" s="70"/>
      <c r="Z55" s="71"/>
      <c r="AB55" s="72"/>
      <c r="AC55" s="73"/>
      <c r="AD55" s="53"/>
      <c r="AE55" s="54"/>
      <c r="AF55" s="28"/>
      <c r="AG55" s="55"/>
    </row>
    <row r="56" spans="1:34" ht="24.75" hidden="1" customHeight="1" x14ac:dyDescent="0.25">
      <c r="A56" s="46"/>
      <c r="B56" s="227" t="s">
        <v>38</v>
      </c>
      <c r="C56" s="228"/>
      <c r="D56" s="229"/>
      <c r="E56" s="74"/>
      <c r="F56" s="74"/>
      <c r="G56" s="74"/>
      <c r="H56" s="74"/>
      <c r="I56" s="74"/>
      <c r="J56" s="74"/>
      <c r="K56" s="74"/>
      <c r="L56" s="74"/>
      <c r="M56" s="74">
        <v>10</v>
      </c>
      <c r="N56" s="74">
        <v>10</v>
      </c>
      <c r="O56" s="75"/>
      <c r="P56" s="74"/>
      <c r="Q56" s="75">
        <v>50</v>
      </c>
      <c r="R56" s="74"/>
      <c r="S56" s="74">
        <v>70</v>
      </c>
      <c r="T56" s="74"/>
      <c r="U56" s="74"/>
      <c r="V56" s="74"/>
      <c r="W56" s="74"/>
      <c r="X56" s="76"/>
      <c r="Y56" s="77">
        <v>4.5</v>
      </c>
      <c r="Z56" s="77"/>
      <c r="AA56" s="28"/>
      <c r="AB56" s="72"/>
      <c r="AC56" s="73"/>
      <c r="AD56" s="53">
        <f t="shared" si="0"/>
        <v>0.25</v>
      </c>
      <c r="AE56" s="54">
        <f t="shared" si="1"/>
        <v>0</v>
      </c>
      <c r="AF56" s="28"/>
      <c r="AG56" s="55"/>
    </row>
    <row r="57" spans="1:34" ht="18.75" customHeight="1" x14ac:dyDescent="0.25">
      <c r="A57" s="46"/>
      <c r="B57" s="238" t="s">
        <v>39</v>
      </c>
      <c r="C57" s="239"/>
      <c r="D57" s="240"/>
      <c r="E57" s="78">
        <f>IF(E51&lt;&gt;0,AVERAGE(E51:E54),"")</f>
        <v>7.1999999999999993</v>
      </c>
      <c r="F57" s="78">
        <f t="shared" ref="F57:L57" si="3">IF(F51&lt;&gt;0,AVERAGE(F51:F54),"")</f>
        <v>9.3500000000000014</v>
      </c>
      <c r="G57" s="78">
        <f t="shared" si="3"/>
        <v>12.2</v>
      </c>
      <c r="H57" s="78">
        <f t="shared" si="3"/>
        <v>15.950000000000001</v>
      </c>
      <c r="I57" s="78">
        <f t="shared" si="3"/>
        <v>21.450000000000003</v>
      </c>
      <c r="J57" s="78">
        <f t="shared" si="3"/>
        <v>30.549999999999997</v>
      </c>
      <c r="K57" s="78">
        <f t="shared" si="3"/>
        <v>44.349999999999994</v>
      </c>
      <c r="L57" s="78">
        <f t="shared" si="3"/>
        <v>56.25</v>
      </c>
      <c r="M57" s="78">
        <f>IF(M51&lt;&gt;0,AVERAGE(M51:M54),"")</f>
        <v>62.9</v>
      </c>
      <c r="N57" s="78">
        <f>IF(N51&lt;&gt;0,AVERAGE(N51:N54),"")</f>
        <v>73.400000000000006</v>
      </c>
      <c r="O57" s="79">
        <f>IF(O51&lt;&gt;0,AVERAGE(O51:O54),"")</f>
        <v>90.15</v>
      </c>
      <c r="P57" s="79">
        <f t="shared" ref="P57:Q57" si="4">IF(P51&lt;&gt;0,AVERAGE(P51:P54),"")</f>
        <v>97.8</v>
      </c>
      <c r="Q57" s="79">
        <f t="shared" si="4"/>
        <v>100</v>
      </c>
      <c r="R57" s="78"/>
      <c r="S57" s="78" t="str">
        <f t="shared" ref="S57:T57" si="5">IF(S51&lt;&gt;0,AVERAGE(S51:S54),"")</f>
        <v/>
      </c>
      <c r="T57" s="80" t="str">
        <f t="shared" si="5"/>
        <v/>
      </c>
      <c r="U57" s="241">
        <f>IF(U51&lt;&gt;0,AVERAGE(U51:V54),"")</f>
        <v>173.5</v>
      </c>
      <c r="V57" s="242"/>
      <c r="W57" s="243">
        <f>IF(W51&lt;&gt;0,AVERAGE(W51:X54),"")</f>
        <v>4.0250000000000004</v>
      </c>
      <c r="X57" s="244"/>
      <c r="Y57" s="245">
        <f>IF(W51&lt;&gt;0,AVERAGE(Y51:Z54),"")</f>
        <v>2.517272185189642</v>
      </c>
      <c r="Z57" s="246"/>
      <c r="AA57" s="55"/>
      <c r="AB57" s="217">
        <f>(100*W57)/(100-W57)</f>
        <v>4.1938004688721033</v>
      </c>
      <c r="AC57" s="218"/>
      <c r="AD57" s="53">
        <f t="shared" si="0"/>
        <v>13.581225</v>
      </c>
      <c r="AE57" s="54">
        <f t="shared" si="1"/>
        <v>2.5171488333357082</v>
      </c>
      <c r="AF57" s="28"/>
      <c r="AG57" s="55"/>
    </row>
    <row r="58" spans="1:34" ht="21" customHeight="1" x14ac:dyDescent="0.25">
      <c r="A58" s="46"/>
      <c r="B58" s="247" t="s">
        <v>40</v>
      </c>
      <c r="C58" s="248"/>
      <c r="D58" s="249"/>
      <c r="E58" s="81">
        <v>6.5</v>
      </c>
      <c r="F58" s="81">
        <v>9</v>
      </c>
      <c r="G58" s="81">
        <v>12</v>
      </c>
      <c r="H58" s="81">
        <v>16</v>
      </c>
      <c r="I58" s="81">
        <v>22</v>
      </c>
      <c r="J58" s="81">
        <v>32</v>
      </c>
      <c r="K58" s="81">
        <v>47</v>
      </c>
      <c r="L58" s="81">
        <v>59</v>
      </c>
      <c r="M58" s="81">
        <v>65</v>
      </c>
      <c r="N58" s="81">
        <v>74</v>
      </c>
      <c r="O58" s="81">
        <v>90</v>
      </c>
      <c r="P58" s="81">
        <v>97</v>
      </c>
      <c r="Q58" s="82">
        <v>100</v>
      </c>
      <c r="R58" s="81"/>
      <c r="S58" s="81"/>
      <c r="T58" s="83"/>
      <c r="U58" s="250"/>
      <c r="V58" s="251"/>
      <c r="W58" s="252">
        <v>4.3</v>
      </c>
      <c r="X58" s="253"/>
      <c r="Y58" s="254">
        <f>AE58</f>
        <v>2.7368703035010422</v>
      </c>
      <c r="Z58" s="255"/>
      <c r="AA58" s="55"/>
      <c r="AB58" s="217">
        <f>(100*W58)/(100-W58)</f>
        <v>4.4932079414838038</v>
      </c>
      <c r="AC58" s="218"/>
      <c r="AD58" s="53">
        <f t="shared" si="0"/>
        <v>12.617000000000001</v>
      </c>
      <c r="AE58" s="54">
        <f t="shared" si="1"/>
        <v>2.7368703035010422</v>
      </c>
      <c r="AF58" s="28"/>
      <c r="AG58" s="55"/>
    </row>
    <row r="59" spans="1:34" ht="13.5" customHeight="1" x14ac:dyDescent="0.25">
      <c r="A59" s="46"/>
      <c r="B59" s="84"/>
      <c r="C59" s="85" t="s">
        <v>41</v>
      </c>
      <c r="D59" s="86"/>
      <c r="E59" s="59">
        <f>E58+2</f>
        <v>8.5</v>
      </c>
      <c r="F59" s="59"/>
      <c r="G59" s="59"/>
      <c r="H59" s="59"/>
      <c r="I59" s="59"/>
      <c r="J59" s="59">
        <f>J58+6</f>
        <v>38</v>
      </c>
      <c r="K59" s="59"/>
      <c r="L59" s="59">
        <f>L58+7</f>
        <v>66</v>
      </c>
      <c r="M59" s="59"/>
      <c r="N59" s="59"/>
      <c r="O59" s="59"/>
      <c r="P59" s="59"/>
      <c r="Q59" s="60"/>
      <c r="R59" s="59"/>
      <c r="S59" s="59"/>
      <c r="T59" s="61"/>
      <c r="U59" s="234"/>
      <c r="V59" s="235"/>
      <c r="W59" s="256">
        <f>W58+0.5</f>
        <v>4.8</v>
      </c>
      <c r="X59" s="235"/>
      <c r="Y59" s="232"/>
      <c r="Z59" s="257"/>
      <c r="AA59" s="87"/>
      <c r="AB59" s="88"/>
      <c r="AC59" s="89"/>
      <c r="AD59" s="258"/>
      <c r="AE59" s="260" t="s">
        <v>42</v>
      </c>
      <c r="AF59" s="28"/>
      <c r="AG59" s="55"/>
    </row>
    <row r="60" spans="1:34" ht="13.5" customHeight="1" thickBot="1" x14ac:dyDescent="0.3">
      <c r="A60" s="46"/>
      <c r="B60" s="190" t="s">
        <v>43</v>
      </c>
      <c r="C60" s="193"/>
      <c r="D60" s="191"/>
      <c r="E60" s="90">
        <f>E58-2</f>
        <v>4.5</v>
      </c>
      <c r="F60" s="90"/>
      <c r="G60" s="91"/>
      <c r="H60" s="91"/>
      <c r="I60" s="91"/>
      <c r="J60" s="90">
        <f>J58-6</f>
        <v>26</v>
      </c>
      <c r="K60" s="91"/>
      <c r="L60" s="90">
        <f>L58-7</f>
        <v>52</v>
      </c>
      <c r="M60" s="90"/>
      <c r="N60" s="91"/>
      <c r="O60" s="91"/>
      <c r="P60" s="91"/>
      <c r="Q60" s="90"/>
      <c r="R60" s="91"/>
      <c r="S60" s="91"/>
      <c r="T60" s="92"/>
      <c r="U60" s="262"/>
      <c r="V60" s="263"/>
      <c r="W60" s="264">
        <f>W58-0.5</f>
        <v>3.8</v>
      </c>
      <c r="X60" s="263"/>
      <c r="Y60" s="219"/>
      <c r="Z60" s="265"/>
      <c r="AA60" s="93"/>
      <c r="AB60" s="94"/>
      <c r="AC60" s="95"/>
      <c r="AD60" s="259"/>
      <c r="AE60" s="261"/>
      <c r="AF60" s="28"/>
      <c r="AG60" s="55"/>
    </row>
    <row r="61" spans="1:34" ht="6.75" customHeight="1" x14ac:dyDescent="0.25">
      <c r="A61" s="23"/>
      <c r="B61" s="24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96"/>
    </row>
    <row r="62" spans="1:34" ht="8.25" customHeight="1" x14ac:dyDescent="0.25"/>
    <row r="63" spans="1:34" ht="34.5" customHeight="1" x14ac:dyDescent="0.25">
      <c r="A63" s="97" t="s">
        <v>44</v>
      </c>
      <c r="B63" s="98" t="s">
        <v>45</v>
      </c>
      <c r="C63" s="99"/>
      <c r="D63" s="99"/>
      <c r="E63" s="99"/>
      <c r="F63" s="100"/>
      <c r="G63" s="100"/>
      <c r="H63" s="100"/>
      <c r="I63" s="10"/>
      <c r="J63" s="10"/>
      <c r="K63" s="10"/>
      <c r="L63" s="10"/>
      <c r="M63" s="10"/>
      <c r="N63" s="10"/>
      <c r="O63" s="10"/>
      <c r="P63" s="10"/>
      <c r="Q63" s="100"/>
      <c r="R63" s="10"/>
      <c r="S63" s="10"/>
      <c r="T63" s="10"/>
      <c r="U63" s="279"/>
      <c r="V63" s="279"/>
      <c r="W63" s="279"/>
      <c r="X63" s="279"/>
      <c r="Y63" s="279"/>
      <c r="Z63" s="280"/>
      <c r="AA63" s="101"/>
      <c r="AB63" s="102"/>
      <c r="AC63" s="102"/>
      <c r="AD63" s="103"/>
    </row>
    <row r="64" spans="1:34" ht="27" customHeight="1" x14ac:dyDescent="0.25">
      <c r="A64" s="281" t="s">
        <v>46</v>
      </c>
      <c r="B64" s="282"/>
      <c r="C64" s="282"/>
      <c r="D64" s="282"/>
      <c r="E64" s="282"/>
      <c r="F64" s="282"/>
      <c r="G64" s="282"/>
      <c r="H64" s="282"/>
      <c r="I64" s="282"/>
      <c r="J64" s="282"/>
      <c r="K64" s="282"/>
      <c r="L64" s="282"/>
      <c r="M64" s="282"/>
      <c r="N64" s="282"/>
      <c r="O64" s="282"/>
      <c r="P64" s="282"/>
      <c r="Q64" s="283"/>
      <c r="R64" s="272" t="s">
        <v>47</v>
      </c>
      <c r="S64" s="273"/>
      <c r="T64" s="274"/>
      <c r="U64" s="284" t="s">
        <v>64</v>
      </c>
      <c r="V64" s="285"/>
      <c r="W64" s="285"/>
      <c r="X64" s="286"/>
      <c r="Y64" s="286"/>
      <c r="Z64" s="287"/>
      <c r="AA64" s="104"/>
      <c r="AB64" s="105"/>
      <c r="AC64" s="105"/>
      <c r="AD64" s="103"/>
    </row>
    <row r="65" spans="1:30" ht="15.75" customHeight="1" x14ac:dyDescent="0.25">
      <c r="A65" s="288" t="s">
        <v>48</v>
      </c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290"/>
      <c r="R65" s="272" t="s">
        <v>49</v>
      </c>
      <c r="S65" s="273"/>
      <c r="T65" s="274"/>
      <c r="U65" s="294" t="s">
        <v>65</v>
      </c>
      <c r="V65" s="295"/>
      <c r="W65" s="295"/>
      <c r="X65" s="295"/>
      <c r="Y65" s="295"/>
      <c r="Z65" s="296"/>
      <c r="AA65" s="104"/>
      <c r="AB65" s="105"/>
      <c r="AC65" s="105"/>
      <c r="AD65" s="103"/>
    </row>
    <row r="66" spans="1:30" ht="9" customHeight="1" x14ac:dyDescent="0.25">
      <c r="A66" s="288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89"/>
      <c r="P66" s="289"/>
      <c r="Q66" s="290"/>
      <c r="R66" s="272"/>
      <c r="S66" s="273"/>
      <c r="T66" s="274"/>
      <c r="U66" s="297"/>
      <c r="V66" s="178"/>
      <c r="W66" s="178"/>
      <c r="X66" s="178"/>
      <c r="Y66" s="178"/>
      <c r="Z66" s="298"/>
      <c r="AA66" s="104"/>
      <c r="AB66" s="105"/>
      <c r="AC66" s="105"/>
      <c r="AD66" s="103"/>
    </row>
    <row r="67" spans="1:30" ht="15.9" customHeight="1" x14ac:dyDescent="0.25">
      <c r="A67" s="291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3"/>
      <c r="R67" s="272"/>
      <c r="S67" s="273"/>
      <c r="T67" s="274"/>
      <c r="U67" s="297"/>
      <c r="V67" s="178"/>
      <c r="W67" s="178"/>
      <c r="X67" s="178"/>
      <c r="Y67" s="178"/>
      <c r="Z67" s="298"/>
      <c r="AA67" s="104"/>
      <c r="AB67" s="105"/>
      <c r="AC67" s="105"/>
      <c r="AD67" s="103"/>
    </row>
    <row r="68" spans="1:30" ht="15.9" customHeight="1" x14ac:dyDescent="0.25">
      <c r="A68" s="106" t="s">
        <v>50</v>
      </c>
      <c r="B68" s="107" t="s">
        <v>51</v>
      </c>
      <c r="C68" s="13"/>
      <c r="D68" s="13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9"/>
      <c r="R68" s="272"/>
      <c r="S68" s="273"/>
      <c r="T68" s="274"/>
      <c r="U68" s="299"/>
      <c r="V68" s="300"/>
      <c r="W68" s="300"/>
      <c r="X68" s="300"/>
      <c r="Y68" s="300"/>
      <c r="Z68" s="301"/>
      <c r="AA68" s="104"/>
      <c r="AB68" s="105"/>
      <c r="AC68" s="105"/>
      <c r="AD68" s="103"/>
    </row>
    <row r="69" spans="1:30" ht="15.75" customHeight="1" x14ac:dyDescent="0.25">
      <c r="A69" s="266"/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7"/>
      <c r="Q69" s="268"/>
      <c r="R69" s="272" t="s">
        <v>52</v>
      </c>
      <c r="S69" s="273"/>
      <c r="T69" s="274"/>
      <c r="U69" s="110"/>
      <c r="V69" s="111"/>
      <c r="W69" s="111"/>
      <c r="X69" s="111"/>
      <c r="Y69" s="111"/>
      <c r="Z69" s="112"/>
      <c r="AA69" s="113"/>
      <c r="AB69" s="114"/>
      <c r="AC69" s="114"/>
      <c r="AD69" s="103"/>
    </row>
    <row r="70" spans="1:30" ht="15.9" customHeight="1" x14ac:dyDescent="0.25">
      <c r="A70" s="266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8"/>
      <c r="R70" s="272"/>
      <c r="S70" s="273"/>
      <c r="T70" s="274"/>
      <c r="U70" s="115"/>
      <c r="V70" s="278"/>
      <c r="W70" s="278"/>
      <c r="X70" s="278"/>
      <c r="Y70" s="278"/>
      <c r="Z70" s="116"/>
      <c r="AA70" s="113"/>
      <c r="AB70" s="114"/>
      <c r="AC70" s="114"/>
      <c r="AD70" s="103"/>
    </row>
    <row r="71" spans="1:30" ht="15.9" customHeight="1" x14ac:dyDescent="0.25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7"/>
      <c r="Q71" s="268"/>
      <c r="R71" s="272"/>
      <c r="S71" s="273"/>
      <c r="T71" s="274"/>
      <c r="U71" s="115"/>
      <c r="V71" s="278"/>
      <c r="W71" s="278"/>
      <c r="X71" s="278"/>
      <c r="Y71" s="278"/>
      <c r="Z71" s="116"/>
      <c r="AA71" s="113"/>
      <c r="AB71" s="114"/>
      <c r="AC71" s="114"/>
      <c r="AD71" s="103"/>
    </row>
    <row r="72" spans="1:30" ht="15.75" customHeight="1" x14ac:dyDescent="0.25">
      <c r="A72" s="269"/>
      <c r="B72" s="270"/>
      <c r="C72" s="270"/>
      <c r="D72" s="270"/>
      <c r="E72" s="270"/>
      <c r="F72" s="270"/>
      <c r="G72" s="270"/>
      <c r="H72" s="270"/>
      <c r="I72" s="270"/>
      <c r="J72" s="270"/>
      <c r="K72" s="270"/>
      <c r="L72" s="270"/>
      <c r="M72" s="270"/>
      <c r="N72" s="270"/>
      <c r="O72" s="270"/>
      <c r="P72" s="270"/>
      <c r="Q72" s="271"/>
      <c r="R72" s="275"/>
      <c r="S72" s="276"/>
      <c r="T72" s="277"/>
      <c r="U72" s="117"/>
      <c r="V72" s="118"/>
      <c r="W72" s="118"/>
      <c r="X72" s="118"/>
      <c r="Y72" s="118"/>
      <c r="Z72" s="119"/>
      <c r="AA72" s="113"/>
      <c r="AB72" s="114"/>
      <c r="AC72" s="114"/>
      <c r="AD72" s="103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C50:D50"/>
    <mergeCell ref="Y51:Z51"/>
    <mergeCell ref="AB51:AC51"/>
    <mergeCell ref="C51:D51"/>
    <mergeCell ref="U51:V51"/>
    <mergeCell ref="W51:X51"/>
    <mergeCell ref="C54:D54"/>
    <mergeCell ref="U54:V54"/>
    <mergeCell ref="W54:X54"/>
    <mergeCell ref="Y54:Z54"/>
    <mergeCell ref="AB54:AC54"/>
    <mergeCell ref="B56:D56"/>
    <mergeCell ref="Y52:Z52"/>
    <mergeCell ref="AB52:AC52"/>
    <mergeCell ref="C53:D53"/>
    <mergeCell ref="U53:V53"/>
    <mergeCell ref="W53:X53"/>
    <mergeCell ref="Y53:Z53"/>
    <mergeCell ref="AB53:AC53"/>
    <mergeCell ref="C52:D52"/>
    <mergeCell ref="U52:V52"/>
    <mergeCell ref="W52:X52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A69:Q72"/>
    <mergeCell ref="R69:T72"/>
    <mergeCell ref="V70:Y71"/>
    <mergeCell ref="U63:Z63"/>
    <mergeCell ref="A64:Q64"/>
    <mergeCell ref="R64:T64"/>
    <mergeCell ref="U64:Z64"/>
    <mergeCell ref="A65:Q67"/>
    <mergeCell ref="R65:T68"/>
    <mergeCell ref="U65:Z68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8</vt:i4>
      </vt:variant>
    </vt:vector>
  </HeadingPairs>
  <TitlesOfParts>
    <vt:vector size="16" baseType="lpstr">
      <vt:lpstr>Nuit 24-250325 BBSG Trévoux</vt:lpstr>
      <vt:lpstr>Nuit 24-250325 GB Trévoux</vt:lpstr>
      <vt:lpstr>nuit 27-280624 Civrieux curie</vt:lpstr>
      <vt:lpstr>nuit 26-270624 Civrieux curie</vt:lpstr>
      <vt:lpstr>25_260624 Civrieux Copernic</vt:lpstr>
      <vt:lpstr>24_250624 Civrieux Copernic</vt:lpstr>
      <vt:lpstr>13_140624 Reyrieux Communaux</vt:lpstr>
      <vt:lpstr>12_130624 Reyrieux Communaux</vt:lpstr>
      <vt:lpstr>'12_130624 Reyrieux Communaux'!Zone_d_impression</vt:lpstr>
      <vt:lpstr>'13_140624 Reyrieux Communaux'!Zone_d_impression</vt:lpstr>
      <vt:lpstr>'24_250624 Civrieux Copernic'!Zone_d_impression</vt:lpstr>
      <vt:lpstr>'25_260624 Civrieux Copernic'!Zone_d_impression</vt:lpstr>
      <vt:lpstr>'Nuit 24-250325 BBSG Trévoux'!Zone_d_impression</vt:lpstr>
      <vt:lpstr>'Nuit 24-250325 GB Trévoux'!Zone_d_impression</vt:lpstr>
      <vt:lpstr>'nuit 26-270624 Civrieux curie'!Zone_d_impression</vt:lpstr>
      <vt:lpstr>'nuit 27-280624 Civrieux curie'!Zone_d_impression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MONTET</dc:creator>
  <cp:lastModifiedBy>MONTET Frédéric</cp:lastModifiedBy>
  <cp:lastPrinted>2025-03-26T13:53:26Z</cp:lastPrinted>
  <dcterms:created xsi:type="dcterms:W3CDTF">2023-12-08T06:38:51Z</dcterms:created>
  <dcterms:modified xsi:type="dcterms:W3CDTF">2025-03-26T13:53:31Z</dcterms:modified>
</cp:coreProperties>
</file>