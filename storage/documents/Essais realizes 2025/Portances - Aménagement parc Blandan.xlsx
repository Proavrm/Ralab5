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69\RA O93C Aménagement parc Blandan\Essais de laboratoire\Portances\"/>
    </mc:Choice>
  </mc:AlternateContent>
  <xr:revisionPtr revIDLastSave="0" documentId="13_ncr:1_{0F7D8E22-2A16-4C54-8293-AF4F0592A8A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60225 Arase" sheetId="1" r:id="rId1"/>
  </sheets>
  <definedNames>
    <definedName name="_xlnm.Print_Area" localSheetId="0">'060225 Arase'!$A$1:$Z$60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8" i="1" l="1"/>
  <c r="H47" i="1"/>
  <c r="H46" i="1"/>
</calcChain>
</file>

<file path=xl/sharedStrings.xml><?xml version="1.0" encoding="utf-8"?>
<sst xmlns="http://schemas.openxmlformats.org/spreadsheetml/2006/main" count="54" uniqueCount="53">
  <si>
    <t>COMPTE RENDU D'ESSAIS</t>
  </si>
  <si>
    <t>Parc Blandan</t>
  </si>
  <si>
    <t>PORTANCES DES PLATES-FORMES DYNAPLAQUE 
(NF P 94-117-2 d'octobre 2004)</t>
  </si>
  <si>
    <t>PLD N°</t>
  </si>
  <si>
    <t>06/02/2025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</si>
  <si>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</si>
  <si>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</si>
  <si>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</si>
  <si>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</si>
  <si>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</si>
  <si>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</si>
  <si>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</si>
  <si>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</si>
  <si>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F. Montet</t>
  </si>
  <si>
    <t>Nature du matériau :</t>
  </si>
  <si>
    <t>Matériau en place</t>
  </si>
  <si>
    <t>Date de(s) essai(s) :</t>
  </si>
  <si>
    <t>Météo :</t>
  </si>
  <si>
    <t>Couvert</t>
  </si>
  <si>
    <t>Partie de l'ouvrage :</t>
  </si>
  <si>
    <t>Plan de situation :</t>
  </si>
  <si>
    <t>2/</t>
  </si>
  <si>
    <t>CRITERES DE CONFORMITE</t>
  </si>
  <si>
    <t>Source des critères :</t>
  </si>
  <si>
    <t>Définition des critères / objectifs :</t>
  </si>
  <si>
    <t>EV2 ≥</t>
  </si>
  <si>
    <t>Mpa</t>
  </si>
  <si>
    <t>3/</t>
  </si>
  <si>
    <t>RESULTATS DES ESSAIS</t>
  </si>
  <si>
    <t>Diametre de la plaque pour Kw:</t>
  </si>
  <si>
    <t>N°</t>
  </si>
  <si>
    <t>Localisation de l'essai</t>
  </si>
  <si>
    <t>Module EV2</t>
  </si>
  <si>
    <t>Observations</t>
  </si>
  <si>
    <t>MPa</t>
  </si>
  <si>
    <t>Moyenne</t>
  </si>
  <si>
    <t>% de valeurs ≥ au seuil requis</t>
  </si>
  <si>
    <t>Valeur mini</t>
  </si>
  <si>
    <t>Valeur maxi</t>
  </si>
  <si>
    <t>4/</t>
  </si>
  <si>
    <t xml:space="preserve">CONCLUSION </t>
  </si>
  <si>
    <t>Contrôle</t>
  </si>
  <si>
    <t>Nom</t>
  </si>
  <si>
    <t>F. MONTET</t>
  </si>
  <si>
    <t>Fonction</t>
  </si>
  <si>
    <t>Technicien de laboratoire</t>
  </si>
  <si>
    <t>6/</t>
  </si>
  <si>
    <t>COMMENTAIRES</t>
  </si>
  <si>
    <t>Visa</t>
  </si>
  <si>
    <t>Pour Information</t>
  </si>
  <si>
    <t>Arase</t>
  </si>
  <si>
    <t>Oui</t>
  </si>
  <si>
    <t>RA O93C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</si>
</sst>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0"/>
      <color rgb="FF000000"/>
      <name val="Arial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sz val="12"/>
      <color rgb="FF000000"/>
      <name val="Century Gothic"/>
    </font>
    <font>
      <b/>
      <u/>
      <sz val="11"/>
      <color rgb="FF000000"/>
      <name val="Century Gothic"/>
    </font>
    <font>
      <b/>
      <sz val="11"/>
      <color rgb="FF000000"/>
      <name val="Century Gothic"/>
    </font>
    <font>
      <sz val="11"/>
      <color rgb="FF000000"/>
      <name val="Century Gothic"/>
    </font>
    <font>
      <u/>
      <sz val="10"/>
      <color rgb="FF000000"/>
      <name val="Century Gothic"/>
    </font>
    <font>
      <b/>
      <sz val="10"/>
      <color rgb="FF000000"/>
      <name val="Century Gothic"/>
    </font>
    <font>
      <b/>
      <sz val="14"/>
      <color rgb="FF000000"/>
      <name val="Century Gothic"/>
    </font>
    <font>
      <sz val="8"/>
      <color rgb="FF000000"/>
      <name val="Century Gothic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</borders>
  <cellStyleXfs count="1">
    <xf numFmtId="0" fontId="0" fillId="0" borderId="0"/>
  </cellStyleXfs>
  <cellXfs count="201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right"/>
      <protection hidden="1"/>
    </xf>
    <xf numFmtId="14" fontId="6" fillId="0" borderId="0" xfId="0" applyNumberFormat="1" applyFont="1" applyAlignment="1" applyProtection="1">
      <alignment horizontal="center"/>
      <protection hidden="1"/>
    </xf>
    <xf numFmtId="0" fontId="3" fillId="0" borderId="4" xfId="0" applyFont="1" applyBorder="1" applyProtection="1">
      <protection hidden="1"/>
    </xf>
    <xf numFmtId="0" fontId="1" fillId="0" borderId="4" xfId="0" applyFont="1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6" xfId="0" applyFont="1" applyBorder="1" applyProtection="1">
      <protection hidden="1"/>
    </xf>
    <xf numFmtId="0" fontId="2" fillId="0" borderId="0" xfId="0" applyFont="1" applyProtection="1">
      <protection hidden="1"/>
    </xf>
    <xf numFmtId="0" fontId="1" fillId="0" borderId="7" xfId="0" applyFont="1" applyBorder="1" applyProtection="1">
      <protection hidden="1"/>
    </xf>
    <xf numFmtId="0" fontId="7" fillId="0" borderId="0" xfId="0" applyFont="1" applyAlignment="1" applyProtection="1">
      <alignment horizontal="left"/>
      <protection locked="0"/>
    </xf>
    <xf numFmtId="0" fontId="4" fillId="0" borderId="7" xfId="0" applyFont="1" applyBorder="1" applyAlignment="1" applyProtection="1">
      <alignment horizontal="left"/>
      <protection hidden="1"/>
    </xf>
    <xf numFmtId="0" fontId="1" fillId="0" borderId="1" xfId="0" applyFont="1" applyBorder="1" applyProtection="1">
      <protection hidden="1"/>
    </xf>
    <xf numFmtId="0" fontId="1" fillId="0" borderId="2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3" fillId="0" borderId="3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9" fillId="0" borderId="1" xfId="0" applyFont="1" applyBorder="1" applyAlignment="1" applyProtection="1">
      <alignment vertical="center"/>
      <protection hidden="1"/>
    </xf>
    <xf numFmtId="0" fontId="7" fillId="0" borderId="4" xfId="0" applyFont="1" applyBorder="1" applyAlignment="1" applyProtection="1">
      <alignment vertical="center"/>
      <protection locked="0"/>
    </xf>
    <xf numFmtId="0" fontId="1" fillId="0" borderId="9" xfId="0" applyFont="1" applyBorder="1" applyAlignment="1" applyProtection="1">
      <alignment horizontal="center" vertical="center" wrapText="1"/>
      <protection hidden="1"/>
    </xf>
    <xf numFmtId="0" fontId="1" fillId="0" borderId="10" xfId="0" applyFont="1" applyBorder="1" applyAlignment="1" applyProtection="1">
      <alignment horizontal="center" vertical="center" wrapText="1"/>
      <protection hidden="1"/>
    </xf>
    <xf numFmtId="0" fontId="7" fillId="0" borderId="4" xfId="0" applyFont="1" applyBorder="1"/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7" fillId="0" borderId="4" xfId="0" applyFont="1" applyBorder="1" applyAlignment="1" applyProtection="1">
      <alignment vertical="center" wrapText="1"/>
      <protection locked="0"/>
    </xf>
    <xf numFmtId="0" fontId="2" fillId="0" borderId="3" xfId="0" applyFont="1" applyBorder="1" applyAlignment="1" applyProtection="1">
      <alignment vertical="center"/>
      <protection hidden="1"/>
    </xf>
    <xf numFmtId="0" fontId="8" fillId="0" borderId="13" xfId="0" applyFont="1" applyBorder="1" applyAlignment="1" applyProtection="1">
      <alignment vertical="center"/>
      <protection hidden="1"/>
    </xf>
    <xf numFmtId="0" fontId="1" fillId="0" borderId="13" xfId="0" applyFont="1" applyBorder="1" applyAlignment="1" applyProtection="1">
      <alignment vertical="center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4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0" fontId="2" fillId="0" borderId="34" xfId="0" applyFont="1" applyBorder="1" applyAlignment="1" applyProtection="1">
      <alignment horizontal="center" vertical="center"/>
      <protection hidden="1"/>
    </xf>
    <xf numFmtId="0" fontId="2" fillId="0" borderId="35" xfId="0" applyFont="1" applyBorder="1" applyAlignment="1" applyProtection="1">
      <alignment horizontal="center" vertical="center"/>
      <protection hidden="1"/>
    </xf>
    <xf numFmtId="0" fontId="2" fillId="0" borderId="36" xfId="0" applyFont="1" applyBorder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7" fillId="0" borderId="14" xfId="0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7" fillId="0" borderId="17" xfId="0" applyFont="1" applyBorder="1" applyAlignment="1" applyProtection="1">
      <alignment horizontal="center" vertical="center" wrapText="1"/>
      <protection locked="0"/>
    </xf>
    <xf numFmtId="0" fontId="7" fillId="0" borderId="18" xfId="0" applyFont="1" applyBorder="1" applyAlignment="1" applyProtection="1">
      <alignment horizontal="center" vertical="center" wrapText="1"/>
      <protection locked="0"/>
    </xf>
    <xf numFmtId="0" fontId="7" fillId="0" borderId="19" xfId="0" applyFont="1" applyBorder="1" applyAlignment="1" applyProtection="1">
      <alignment horizontal="center" vertic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21" xfId="0" applyFont="1" applyBorder="1" applyAlignment="1" applyProtection="1">
      <alignment horizontal="center" vertical="center" wrapText="1"/>
      <protection locked="0"/>
    </xf>
    <xf numFmtId="0" fontId="7" fillId="0" borderId="22" xfId="0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23" xfId="0" applyFont="1" applyBorder="1" applyAlignment="1" applyProtection="1">
      <alignment horizontal="center" vertical="center"/>
      <protection locked="0"/>
    </xf>
    <xf numFmtId="0" fontId="7" fillId="0" borderId="20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0" xfId="0" applyFont="1" applyAlignment="1" applyProtection="1">
      <alignment horizontal="left"/>
      <protection locked="0"/>
    </xf>
    <xf numFmtId="164" fontId="7" fillId="0" borderId="23" xfId="0" applyNumberFormat="1" applyFont="1" applyBorder="1" applyAlignment="1">
      <alignment horizontal="center" vertical="center"/>
    </xf>
    <xf numFmtId="164" fontId="7" fillId="0" borderId="20" xfId="0" applyNumberFormat="1" applyFont="1" applyBorder="1" applyAlignment="1">
      <alignment horizontal="center" vertical="center"/>
    </xf>
    <xf numFmtId="164" fontId="7" fillId="0" borderId="24" xfId="0" applyNumberFormat="1" applyFont="1" applyBorder="1" applyAlignment="1">
      <alignment horizontal="center" vertical="center"/>
    </xf>
    <xf numFmtId="0" fontId="7" fillId="0" borderId="23" xfId="0" applyFont="1" applyBorder="1" applyAlignment="1" applyProtection="1">
      <alignment horizontal="center"/>
      <protection locked="0"/>
    </xf>
    <xf numFmtId="0" fontId="7" fillId="0" borderId="20" xfId="0" applyFont="1" applyBorder="1" applyAlignment="1" applyProtection="1">
      <alignment horizontal="center"/>
      <protection locked="0"/>
    </xf>
    <xf numFmtId="0" fontId="7" fillId="0" borderId="24" xfId="0" applyFont="1" applyBorder="1" applyAlignment="1" applyProtection="1">
      <alignment horizontal="center"/>
      <protection locked="0"/>
    </xf>
    <xf numFmtId="164" fontId="6" fillId="0" borderId="25" xfId="0" applyNumberFormat="1" applyFont="1" applyBorder="1" applyAlignment="1">
      <alignment horizontal="center" vertical="center"/>
    </xf>
    <xf numFmtId="0" fontId="7" fillId="0" borderId="26" xfId="0" applyFont="1" applyBorder="1"/>
    <xf numFmtId="0" fontId="7" fillId="0" borderId="27" xfId="0" applyFont="1" applyBorder="1"/>
    <xf numFmtId="164" fontId="6" fillId="0" borderId="28" xfId="0" applyNumberFormat="1" applyFont="1" applyBorder="1" applyAlignment="1">
      <alignment horizontal="center" vertical="top"/>
    </xf>
    <xf numFmtId="0" fontId="7" fillId="0" borderId="29" xfId="0" applyFont="1" applyBorder="1" applyAlignment="1">
      <alignment vertical="top"/>
    </xf>
    <xf numFmtId="0" fontId="7" fillId="0" borderId="30" xfId="0" applyFont="1" applyBorder="1" applyAlignment="1">
      <alignment vertical="top"/>
    </xf>
    <xf numFmtId="164" fontId="6" fillId="0" borderId="14" xfId="0" applyNumberFormat="1" applyFont="1" applyBorder="1" applyAlignment="1">
      <alignment horizontal="center" vertical="center"/>
    </xf>
    <xf numFmtId="0" fontId="7" fillId="0" borderId="9" xfId="0" applyFont="1" applyBorder="1"/>
    <xf numFmtId="0" fontId="7" fillId="0" borderId="10" xfId="0" applyFont="1" applyBorder="1"/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9" fillId="0" borderId="3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left" vertical="center"/>
      <protection hidden="1"/>
    </xf>
    <xf numFmtId="0" fontId="10" fillId="0" borderId="6" xfId="0" applyFont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10" fillId="0" borderId="7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14" fontId="7" fillId="0" borderId="0" xfId="0" applyNumberFormat="1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11" fillId="0" borderId="2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/>
      <protection locked="0"/>
    </xf>
    <xf numFmtId="164" fontId="7" fillId="0" borderId="14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/>
    <xf numFmtId="0" fontId="7" fillId="0" borderId="8" xfId="0" applyFont="1" applyBorder="1"/>
    <xf numFmtId="0" fontId="6" fillId="0" borderId="3" xfId="0" applyFont="1" applyBorder="1" applyAlignment="1">
      <alignment horizontal="center" vertical="center"/>
    </xf>
    <xf numFmtId="0" fontId="7" fillId="0" borderId="4" xfId="0" applyFont="1" applyBorder="1"/>
    <xf numFmtId="0" fontId="7" fillId="0" borderId="5" xfId="0" applyFont="1" applyBorder="1"/>
    <xf numFmtId="0" fontId="7" fillId="0" borderId="15" xfId="0" applyFont="1" applyBorder="1" applyAlignment="1" applyProtection="1">
      <alignment horizontal="center" vertical="center"/>
      <protection hidden="1"/>
    </xf>
    <xf numFmtId="0" fontId="7" fillId="0" borderId="16" xfId="0" applyFont="1" applyBorder="1" applyAlignment="1" applyProtection="1">
      <alignment horizontal="center" vertical="center"/>
      <protection hidden="1"/>
    </xf>
    <xf numFmtId="0" fontId="7" fillId="0" borderId="4" xfId="0" applyFont="1" applyBorder="1" applyAlignment="1">
      <alignment horizontal="center"/>
    </xf>
    <xf numFmtId="0" fontId="6" fillId="0" borderId="31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67"/>
  <sheetViews>
    <sheetView tabSelected="1" topLeftCell="A38" workbookViewId="0">
      <selection activeCell="K27" sqref="K27:P27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38"/>
      <c r="B1" s="139"/>
      <c r="C1" s="139"/>
      <c r="D1" s="139"/>
      <c r="E1" s="139"/>
      <c r="F1" s="140"/>
      <c r="G1" s="147" t="s">
        <v>0</v>
      </c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9"/>
      <c r="U1" s="94" t="s">
        <v>1</v>
      </c>
      <c r="V1" s="95"/>
      <c r="W1" s="95"/>
      <c r="X1" s="95"/>
      <c r="Y1" s="95"/>
      <c r="Z1" s="96"/>
    </row>
    <row r="2" spans="1:26" ht="12.75" customHeight="1" x14ac:dyDescent="0.25">
      <c r="A2" s="141"/>
      <c r="B2" s="142"/>
      <c r="C2" s="142"/>
      <c r="D2" s="142"/>
      <c r="E2" s="142"/>
      <c r="F2" s="143"/>
      <c r="G2" s="151" t="s">
        <v>2</v>
      </c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3"/>
      <c r="U2" s="97"/>
      <c r="V2" s="98"/>
      <c r="W2" s="98"/>
      <c r="X2" s="98"/>
      <c r="Y2" s="98"/>
      <c r="Z2" s="99"/>
    </row>
    <row r="3" spans="1:26" ht="12.75" customHeight="1" x14ac:dyDescent="0.25">
      <c r="A3" s="141"/>
      <c r="B3" s="142"/>
      <c r="C3" s="142"/>
      <c r="D3" s="142"/>
      <c r="E3" s="142"/>
      <c r="F3" s="143"/>
      <c r="G3" s="151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3"/>
      <c r="U3" s="97"/>
      <c r="V3" s="98"/>
      <c r="W3" s="98"/>
      <c r="X3" s="98"/>
      <c r="Y3" s="98"/>
      <c r="Z3" s="99"/>
    </row>
    <row r="4" spans="1:26" ht="12.75" customHeight="1" x14ac:dyDescent="0.25">
      <c r="A4" s="141"/>
      <c r="B4" s="142"/>
      <c r="C4" s="142"/>
      <c r="D4" s="142"/>
      <c r="E4" s="142"/>
      <c r="F4" s="143"/>
      <c r="G4" s="151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3"/>
      <c r="U4" s="97"/>
      <c r="V4" s="98"/>
      <c r="W4" s="98"/>
      <c r="X4" s="98"/>
      <c r="Y4" s="98"/>
      <c r="Z4" s="99"/>
    </row>
    <row r="5" spans="1:26" ht="12.75" customHeight="1" x14ac:dyDescent="0.25">
      <c r="A5" s="141"/>
      <c r="B5" s="142"/>
      <c r="C5" s="142"/>
      <c r="D5" s="142"/>
      <c r="E5" s="142"/>
      <c r="F5" s="143"/>
      <c r="G5" s="154" t="s">
        <v>3</v>
      </c>
      <c r="H5" s="155"/>
      <c r="I5" s="159">
        <v>1</v>
      </c>
      <c r="J5" s="159"/>
      <c r="K5" s="160"/>
      <c r="L5" s="162" t="s">
        <v>52</v>
      </c>
      <c r="M5" s="163"/>
      <c r="N5" s="163"/>
      <c r="O5" s="164"/>
      <c r="P5" s="165" t="s">
        <v>4</v>
      </c>
      <c r="Q5" s="166"/>
      <c r="R5" s="166"/>
      <c r="S5" s="166"/>
      <c r="T5" s="167"/>
      <c r="U5" s="97"/>
      <c r="V5" s="98"/>
      <c r="W5" s="98"/>
      <c r="X5" s="98"/>
      <c r="Y5" s="98"/>
      <c r="Z5" s="99"/>
    </row>
    <row r="6" spans="1:26" ht="12.75" customHeight="1" x14ac:dyDescent="0.25">
      <c r="A6" s="144"/>
      <c r="B6" s="145"/>
      <c r="C6" s="145"/>
      <c r="D6" s="145"/>
      <c r="E6" s="145"/>
      <c r="F6" s="146"/>
      <c r="G6" s="2"/>
      <c r="H6" s="3"/>
      <c r="I6" s="161" t="s">
        <v>5</v>
      </c>
      <c r="J6" s="161"/>
      <c r="K6" s="161"/>
      <c r="L6" s="161" t="s">
        <v>6</v>
      </c>
      <c r="M6" s="161"/>
      <c r="N6" s="161"/>
      <c r="O6" s="161"/>
      <c r="P6" s="161" t="s">
        <v>7</v>
      </c>
      <c r="Q6" s="161"/>
      <c r="R6" s="161"/>
      <c r="S6" s="161"/>
      <c r="T6" s="168"/>
      <c r="U6" s="100"/>
      <c r="V6" s="101"/>
      <c r="W6" s="101"/>
      <c r="X6" s="101"/>
      <c r="Y6" s="101"/>
      <c r="Z6" s="102"/>
    </row>
    <row r="7" spans="1:26" ht="36.6" customHeight="1" x14ac:dyDescent="0.25">
      <c r="A7" s="156" t="s">
        <v>8</v>
      </c>
      <c r="B7" s="156"/>
      <c r="C7" s="156"/>
      <c r="D7" s="156"/>
      <c r="E7" s="156"/>
      <c r="F7" s="156"/>
      <c r="G7" s="157" t="s">
        <v>9</v>
      </c>
      <c r="H7" s="157"/>
      <c r="I7" s="157"/>
      <c r="J7" s="157"/>
      <c r="K7" s="157"/>
      <c r="L7" s="157"/>
      <c r="M7" s="157"/>
      <c r="N7" s="157"/>
      <c r="O7" s="157"/>
      <c r="P7" s="157"/>
      <c r="Q7" s="157"/>
      <c r="R7" s="157"/>
      <c r="S7" s="157"/>
      <c r="T7" s="157"/>
      <c r="U7" s="157"/>
      <c r="V7" s="157"/>
      <c r="W7" s="157"/>
      <c r="X7" s="157"/>
      <c r="Y7" s="157"/>
      <c r="Z7" s="157"/>
    </row>
    <row r="8" spans="1:26" ht="15.9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150" t="s">
        <v>12</v>
      </c>
      <c r="C10" s="150"/>
      <c r="D10" s="150"/>
      <c r="E10" s="150"/>
      <c r="F10" s="150"/>
      <c r="G10" s="150"/>
      <c r="H10" s="158" t="s">
        <v>13</v>
      </c>
      <c r="I10" s="158"/>
      <c r="J10" s="158"/>
      <c r="K10" s="158"/>
      <c r="L10" s="158"/>
      <c r="M10" s="158"/>
      <c r="N10" s="150" t="s">
        <v>14</v>
      </c>
      <c r="O10" s="150"/>
      <c r="P10" s="150"/>
      <c r="Q10" s="150"/>
      <c r="R10" s="150"/>
      <c r="S10" s="117" t="s">
        <v>15</v>
      </c>
      <c r="T10" s="117"/>
      <c r="U10" s="117"/>
      <c r="V10" s="117"/>
      <c r="W10" s="117"/>
      <c r="X10" s="117"/>
      <c r="Y10" s="117"/>
      <c r="Z10" s="12"/>
    </row>
    <row r="11" spans="1:26" ht="15.9" customHeight="1" x14ac:dyDescent="0.25">
      <c r="A11" s="9"/>
      <c r="B11" s="150" t="s">
        <v>16</v>
      </c>
      <c r="C11" s="150"/>
      <c r="D11" s="150"/>
      <c r="E11" s="150"/>
      <c r="F11" s="150"/>
      <c r="G11" s="150"/>
      <c r="H11" s="158" t="s">
        <v>4</v>
      </c>
      <c r="I11" s="158"/>
      <c r="J11" s="158"/>
      <c r="K11" s="158"/>
      <c r="L11" s="158"/>
      <c r="M11" s="158"/>
      <c r="N11" s="150" t="s">
        <v>17</v>
      </c>
      <c r="O11" s="150"/>
      <c r="P11" s="150"/>
      <c r="Q11" s="150"/>
      <c r="R11" s="150"/>
      <c r="S11" s="117" t="s">
        <v>18</v>
      </c>
      <c r="T11" s="117"/>
      <c r="U11" s="117"/>
      <c r="V11" s="117"/>
      <c r="W11" s="117"/>
      <c r="X11" s="117"/>
      <c r="Y11" s="117"/>
      <c r="Z11" s="12"/>
    </row>
    <row r="12" spans="1:26" ht="15.9" customHeight="1" x14ac:dyDescent="0.25">
      <c r="A12" s="9"/>
      <c r="B12" s="150" t="s">
        <v>19</v>
      </c>
      <c r="C12" s="150"/>
      <c r="D12" s="150"/>
      <c r="E12" s="150"/>
      <c r="F12" s="150"/>
      <c r="G12" s="150"/>
      <c r="H12" s="158" t="s">
        <v>50</v>
      </c>
      <c r="I12" s="158"/>
      <c r="J12" s="158"/>
      <c r="K12" s="158"/>
      <c r="L12" s="158"/>
      <c r="M12" s="158"/>
      <c r="N12" s="150" t="s">
        <v>20</v>
      </c>
      <c r="O12" s="150"/>
      <c r="P12" s="150"/>
      <c r="Q12" s="150"/>
      <c r="R12" s="150"/>
      <c r="S12" s="117" t="s">
        <v>51</v>
      </c>
      <c r="T12" s="117"/>
      <c r="U12" s="117"/>
      <c r="V12" s="117"/>
      <c r="W12" s="117"/>
      <c r="X12" s="117"/>
      <c r="Y12" s="117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21</v>
      </c>
      <c r="B15" s="21" t="s">
        <v>22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169" t="s">
        <v>23</v>
      </c>
      <c r="C17" s="169"/>
      <c r="D17" s="169"/>
      <c r="E17" s="169"/>
      <c r="F17" s="169"/>
      <c r="G17" s="169"/>
      <c r="H17" s="169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28"/>
    </row>
    <row r="18" spans="1:26" s="17" customFormat="1" ht="15" customHeight="1" x14ac:dyDescent="0.25">
      <c r="A18" s="24"/>
      <c r="B18" s="169" t="s">
        <v>24</v>
      </c>
      <c r="C18" s="169"/>
      <c r="D18" s="169"/>
      <c r="E18" s="169"/>
      <c r="F18" s="169"/>
      <c r="G18" s="169"/>
      <c r="H18" s="169"/>
      <c r="I18" s="179" t="s">
        <v>25</v>
      </c>
      <c r="J18" s="179"/>
      <c r="K18" s="27"/>
      <c r="L18" s="27" t="s">
        <v>26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27</v>
      </c>
      <c r="B21" s="38" t="s">
        <v>28</v>
      </c>
      <c r="C21" s="33"/>
      <c r="D21" s="34"/>
      <c r="E21" s="34"/>
      <c r="F21" s="34"/>
      <c r="G21" s="34"/>
      <c r="H21" s="33"/>
      <c r="I21" s="33"/>
      <c r="J21" s="191" t="s">
        <v>29</v>
      </c>
      <c r="K21" s="191"/>
      <c r="L21" s="191"/>
      <c r="M21" s="191"/>
      <c r="N21" s="191"/>
      <c r="O21" s="191"/>
      <c r="P21" s="191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189" t="s">
        <v>30</v>
      </c>
      <c r="C23" s="118" t="s">
        <v>31</v>
      </c>
      <c r="D23" s="118"/>
      <c r="E23" s="118"/>
      <c r="F23" s="118"/>
      <c r="G23" s="119"/>
      <c r="H23" s="186" t="s">
        <v>32</v>
      </c>
      <c r="I23" s="187"/>
      <c r="J23" s="188"/>
      <c r="K23" s="118" t="s">
        <v>33</v>
      </c>
      <c r="L23" s="118"/>
      <c r="M23" s="118"/>
      <c r="N23" s="118"/>
      <c r="O23" s="118"/>
      <c r="P23" s="119"/>
      <c r="Z23" s="11"/>
    </row>
    <row r="24" spans="1:26" ht="15.75" customHeight="1" x14ac:dyDescent="0.25">
      <c r="A24" s="9"/>
      <c r="B24" s="190"/>
      <c r="C24" s="120"/>
      <c r="D24" s="120"/>
      <c r="E24" s="120"/>
      <c r="F24" s="120"/>
      <c r="G24" s="121"/>
      <c r="H24" s="183" t="s">
        <v>34</v>
      </c>
      <c r="I24" s="184"/>
      <c r="J24" s="185"/>
      <c r="K24" s="120"/>
      <c r="L24" s="120"/>
      <c r="M24" s="120"/>
      <c r="N24" s="120"/>
      <c r="O24" s="120"/>
      <c r="P24" s="121"/>
      <c r="Z24" s="11"/>
    </row>
    <row r="25" spans="1:26" ht="19.5" customHeight="1" x14ac:dyDescent="0.25">
      <c r="A25" s="9"/>
      <c r="B25" s="45">
        <v>1</v>
      </c>
      <c r="C25" s="103"/>
      <c r="D25" s="104"/>
      <c r="E25" s="104"/>
      <c r="F25" s="104"/>
      <c r="G25" s="105"/>
      <c r="H25" s="180">
        <v>76</v>
      </c>
      <c r="I25" s="181"/>
      <c r="J25" s="182"/>
      <c r="K25" s="103"/>
      <c r="L25" s="104"/>
      <c r="M25" s="104"/>
      <c r="N25" s="104"/>
      <c r="O25" s="104"/>
      <c r="P25" s="105"/>
      <c r="Z25" s="11"/>
    </row>
    <row r="26" spans="1:26" ht="19.5" customHeight="1" x14ac:dyDescent="0.25">
      <c r="A26" s="9"/>
      <c r="B26" s="45">
        <v>2</v>
      </c>
      <c r="C26" s="103"/>
      <c r="D26" s="104"/>
      <c r="E26" s="104"/>
      <c r="F26" s="104"/>
      <c r="G26" s="105"/>
      <c r="H26" s="180">
        <v>30</v>
      </c>
      <c r="I26" s="181"/>
      <c r="J26" s="182"/>
      <c r="K26" s="103"/>
      <c r="L26" s="104"/>
      <c r="M26" s="104"/>
      <c r="N26" s="104"/>
      <c r="O26" s="104"/>
      <c r="P26" s="105"/>
      <c r="Z26" s="11"/>
    </row>
    <row r="27" spans="1:26" ht="19.5" customHeight="1" x14ac:dyDescent="0.25">
      <c r="A27" s="9"/>
      <c r="B27" s="45">
        <v>3</v>
      </c>
      <c r="C27" s="103"/>
      <c r="D27" s="104"/>
      <c r="E27" s="104"/>
      <c r="F27" s="104"/>
      <c r="G27" s="105"/>
      <c r="H27" s="180">
        <v>44</v>
      </c>
      <c r="I27" s="181"/>
      <c r="J27" s="182"/>
      <c r="K27" s="103"/>
      <c r="L27" s="104"/>
      <c r="M27" s="104"/>
      <c r="N27" s="104"/>
      <c r="O27" s="104"/>
      <c r="P27" s="105"/>
      <c r="Z27" s="11"/>
    </row>
    <row r="28" spans="1:26" ht="19.5" customHeight="1" x14ac:dyDescent="0.25">
      <c r="A28" s="9"/>
      <c r="B28" s="45">
        <v>4</v>
      </c>
      <c r="C28" s="103"/>
      <c r="D28" s="104"/>
      <c r="E28" s="104"/>
      <c r="F28" s="104"/>
      <c r="G28" s="105"/>
      <c r="H28" s="180">
        <v>21</v>
      </c>
      <c r="I28" s="181"/>
      <c r="J28" s="182"/>
      <c r="K28" s="103"/>
      <c r="L28" s="104"/>
      <c r="M28" s="104"/>
      <c r="N28" s="104"/>
      <c r="O28" s="104"/>
      <c r="P28" s="105"/>
      <c r="Z28" s="11"/>
    </row>
    <row r="29" spans="1:26" ht="19.5" customHeight="1" x14ac:dyDescent="0.25">
      <c r="A29" s="9"/>
      <c r="B29" s="45">
        <v>5</v>
      </c>
      <c r="C29" s="103"/>
      <c r="D29" s="104"/>
      <c r="E29" s="104"/>
      <c r="F29" s="104"/>
      <c r="G29" s="105"/>
      <c r="H29" s="180">
        <v>36</v>
      </c>
      <c r="I29" s="181"/>
      <c r="J29" s="182"/>
      <c r="K29" s="103"/>
      <c r="L29" s="104"/>
      <c r="M29" s="104"/>
      <c r="N29" s="104"/>
      <c r="O29" s="104"/>
      <c r="P29" s="105"/>
      <c r="Z29" s="11"/>
    </row>
    <row r="30" spans="1:26" ht="19.5" customHeight="1" x14ac:dyDescent="0.25">
      <c r="A30" s="9"/>
      <c r="B30" s="45">
        <v>6</v>
      </c>
      <c r="C30" s="103"/>
      <c r="D30" s="104"/>
      <c r="E30" s="104"/>
      <c r="F30" s="104"/>
      <c r="G30" s="105"/>
      <c r="H30" s="180">
        <v>30</v>
      </c>
      <c r="I30" s="181"/>
      <c r="J30" s="182"/>
      <c r="K30" s="103"/>
      <c r="L30" s="104"/>
      <c r="M30" s="104"/>
      <c r="N30" s="104"/>
      <c r="O30" s="104"/>
      <c r="P30" s="105"/>
      <c r="Z30" s="11"/>
    </row>
    <row r="31" spans="1:26" ht="19.5" customHeight="1" x14ac:dyDescent="0.25">
      <c r="A31" s="9"/>
      <c r="B31" s="45">
        <v>7</v>
      </c>
      <c r="C31" s="103"/>
      <c r="D31" s="104"/>
      <c r="E31" s="104"/>
      <c r="F31" s="104"/>
      <c r="G31" s="105"/>
      <c r="H31" s="180">
        <v>20</v>
      </c>
      <c r="I31" s="181"/>
      <c r="J31" s="182"/>
      <c r="K31" s="103"/>
      <c r="L31" s="104"/>
      <c r="M31" s="104"/>
      <c r="N31" s="104"/>
      <c r="O31" s="104"/>
      <c r="P31" s="105"/>
      <c r="Z31" s="11"/>
    </row>
    <row r="32" spans="1:26" ht="19.5" customHeight="1" x14ac:dyDescent="0.25">
      <c r="A32" s="9"/>
      <c r="B32" s="45">
        <v>8</v>
      </c>
      <c r="C32" s="103"/>
      <c r="D32" s="104"/>
      <c r="E32" s="104"/>
      <c r="F32" s="104"/>
      <c r="G32" s="105"/>
      <c r="H32" s="180">
        <v>24</v>
      </c>
      <c r="I32" s="181"/>
      <c r="J32" s="182"/>
      <c r="K32" s="103"/>
      <c r="L32" s="104"/>
      <c r="M32" s="104"/>
      <c r="N32" s="104"/>
      <c r="O32" s="104"/>
      <c r="P32" s="105"/>
      <c r="Z32" s="11"/>
    </row>
    <row r="33" spans="1:26" ht="19.5" customHeight="1" x14ac:dyDescent="0.25">
      <c r="A33" s="9"/>
      <c r="B33" s="45">
        <v>9</v>
      </c>
      <c r="C33" s="103"/>
      <c r="D33" s="104"/>
      <c r="E33" s="104"/>
      <c r="F33" s="104"/>
      <c r="G33" s="105"/>
      <c r="H33" s="180">
        <v>41</v>
      </c>
      <c r="I33" s="181"/>
      <c r="J33" s="182"/>
      <c r="K33" s="103"/>
      <c r="L33" s="104"/>
      <c r="M33" s="104"/>
      <c r="N33" s="104"/>
      <c r="O33" s="104"/>
      <c r="P33" s="105"/>
      <c r="Z33" s="11"/>
    </row>
    <row r="34" spans="1:26" ht="19.5" customHeight="1" x14ac:dyDescent="0.25">
      <c r="A34" s="9"/>
      <c r="B34" s="45">
        <v>10</v>
      </c>
      <c r="C34" s="103"/>
      <c r="D34" s="104"/>
      <c r="E34" s="104"/>
      <c r="F34" s="104"/>
      <c r="G34" s="105"/>
      <c r="H34" s="180">
        <v>42</v>
      </c>
      <c r="I34" s="181"/>
      <c r="J34" s="182"/>
      <c r="K34" s="103"/>
      <c r="L34" s="104"/>
      <c r="M34" s="104"/>
      <c r="N34" s="104"/>
      <c r="O34" s="104"/>
      <c r="P34" s="105"/>
      <c r="Z34" s="11"/>
    </row>
    <row r="35" spans="1:26" ht="19.5" customHeight="1" x14ac:dyDescent="0.25">
      <c r="A35" s="9"/>
      <c r="B35" s="45">
        <v>11</v>
      </c>
      <c r="C35" s="103"/>
      <c r="D35" s="104"/>
      <c r="E35" s="104"/>
      <c r="F35" s="104"/>
      <c r="G35" s="105"/>
      <c r="H35" s="180">
        <v>43</v>
      </c>
      <c r="I35" s="181"/>
      <c r="J35" s="182"/>
      <c r="K35" s="103"/>
      <c r="L35" s="104"/>
      <c r="M35" s="104"/>
      <c r="N35" s="104"/>
      <c r="O35" s="104"/>
      <c r="P35" s="105"/>
      <c r="Z35" s="11"/>
    </row>
    <row r="36" spans="1:26" ht="19.5" customHeight="1" x14ac:dyDescent="0.25">
      <c r="A36" s="9"/>
      <c r="B36" s="45">
        <v>12</v>
      </c>
      <c r="C36" s="103"/>
      <c r="D36" s="104"/>
      <c r="E36" s="104"/>
      <c r="F36" s="104"/>
      <c r="G36" s="105"/>
      <c r="H36" s="180">
        <v>55</v>
      </c>
      <c r="I36" s="181"/>
      <c r="J36" s="182"/>
      <c r="K36" s="103"/>
      <c r="L36" s="104"/>
      <c r="M36" s="104"/>
      <c r="N36" s="104"/>
      <c r="O36" s="104"/>
      <c r="P36" s="105"/>
      <c r="Z36" s="11"/>
    </row>
    <row r="37" spans="1:26" ht="19.5" customHeight="1" x14ac:dyDescent="0.25">
      <c r="A37" s="9"/>
      <c r="B37" s="45">
        <v>13</v>
      </c>
      <c r="C37" s="103"/>
      <c r="D37" s="104"/>
      <c r="E37" s="104"/>
      <c r="F37" s="104"/>
      <c r="G37" s="105"/>
      <c r="H37" s="180">
        <v>46</v>
      </c>
      <c r="I37" s="181"/>
      <c r="J37" s="182"/>
      <c r="K37" s="103"/>
      <c r="L37" s="104"/>
      <c r="M37" s="104"/>
      <c r="N37" s="104"/>
      <c r="O37" s="104"/>
      <c r="P37" s="105"/>
      <c r="Z37" s="11"/>
    </row>
    <row r="38" spans="1:26" ht="19.5" customHeight="1" x14ac:dyDescent="0.25">
      <c r="A38" s="9"/>
      <c r="B38" s="45"/>
      <c r="C38" s="103"/>
      <c r="D38" s="104"/>
      <c r="E38" s="104"/>
      <c r="F38" s="104"/>
      <c r="G38" s="105"/>
      <c r="H38" s="180"/>
      <c r="I38" s="181"/>
      <c r="J38" s="182"/>
      <c r="K38" s="103"/>
      <c r="L38" s="104"/>
      <c r="M38" s="104"/>
      <c r="N38" s="104"/>
      <c r="O38" s="104"/>
      <c r="P38" s="105"/>
      <c r="Z38" s="11"/>
    </row>
    <row r="39" spans="1:26" ht="19.5" customHeight="1" x14ac:dyDescent="0.25">
      <c r="A39" s="9"/>
      <c r="B39" s="45"/>
      <c r="C39" s="103"/>
      <c r="D39" s="104"/>
      <c r="E39" s="104"/>
      <c r="F39" s="104"/>
      <c r="G39" s="105"/>
      <c r="H39" s="180"/>
      <c r="I39" s="181"/>
      <c r="J39" s="182"/>
      <c r="K39" s="103"/>
      <c r="L39" s="104"/>
      <c r="M39" s="104"/>
      <c r="N39" s="104"/>
      <c r="O39" s="104"/>
      <c r="P39" s="105"/>
      <c r="Z39" s="11"/>
    </row>
    <row r="40" spans="1:26" ht="19.5" customHeight="1" x14ac:dyDescent="0.25">
      <c r="A40" s="9"/>
      <c r="B40" s="45"/>
      <c r="C40" s="103"/>
      <c r="D40" s="104"/>
      <c r="E40" s="104"/>
      <c r="F40" s="104"/>
      <c r="G40" s="105"/>
      <c r="H40" s="180"/>
      <c r="I40" s="181"/>
      <c r="J40" s="182"/>
      <c r="K40" s="103"/>
      <c r="L40" s="104"/>
      <c r="M40" s="104"/>
      <c r="N40" s="104"/>
      <c r="O40" s="104"/>
      <c r="P40" s="105"/>
      <c r="Z40" s="11"/>
    </row>
    <row r="41" spans="1:26" ht="19.5" customHeight="1" x14ac:dyDescent="0.25">
      <c r="A41" s="9"/>
      <c r="B41" s="45"/>
      <c r="C41" s="103"/>
      <c r="D41" s="104"/>
      <c r="E41" s="104"/>
      <c r="F41" s="104"/>
      <c r="G41" s="105"/>
      <c r="H41" s="180"/>
      <c r="I41" s="181"/>
      <c r="J41" s="182"/>
      <c r="K41" s="103"/>
      <c r="L41" s="104"/>
      <c r="M41" s="104"/>
      <c r="N41" s="104"/>
      <c r="O41" s="104"/>
      <c r="P41" s="105"/>
      <c r="Z41" s="11"/>
    </row>
    <row r="42" spans="1:26" ht="19.5" customHeight="1" x14ac:dyDescent="0.25">
      <c r="A42" s="9"/>
      <c r="B42" s="45"/>
      <c r="C42" s="103"/>
      <c r="D42" s="104"/>
      <c r="E42" s="104"/>
      <c r="F42" s="104"/>
      <c r="G42" s="105"/>
      <c r="H42" s="180"/>
      <c r="I42" s="181"/>
      <c r="J42" s="182"/>
      <c r="K42" s="103"/>
      <c r="L42" s="104"/>
      <c r="M42" s="104"/>
      <c r="N42" s="104"/>
      <c r="O42" s="104"/>
      <c r="P42" s="105"/>
      <c r="Z42" s="11"/>
    </row>
    <row r="43" spans="1:26" ht="19.5" customHeight="1" x14ac:dyDescent="0.25">
      <c r="A43" s="9"/>
      <c r="B43" s="45"/>
      <c r="C43" s="103"/>
      <c r="D43" s="104"/>
      <c r="E43" s="104"/>
      <c r="F43" s="104"/>
      <c r="G43" s="105"/>
      <c r="H43" s="180"/>
      <c r="I43" s="181"/>
      <c r="J43" s="182"/>
      <c r="K43" s="103"/>
      <c r="L43" s="104"/>
      <c r="M43" s="104"/>
      <c r="N43" s="104"/>
      <c r="O43" s="104"/>
      <c r="P43" s="105"/>
      <c r="Z43" s="11"/>
    </row>
    <row r="44" spans="1:26" ht="19.5" customHeight="1" x14ac:dyDescent="0.25">
      <c r="A44" s="9"/>
      <c r="B44" s="45"/>
      <c r="C44" s="103"/>
      <c r="D44" s="104"/>
      <c r="E44" s="104"/>
      <c r="F44" s="104"/>
      <c r="G44" s="105"/>
      <c r="H44" s="180"/>
      <c r="I44" s="181"/>
      <c r="J44" s="182"/>
      <c r="K44" s="103"/>
      <c r="L44" s="104"/>
      <c r="M44" s="104"/>
      <c r="N44" s="104"/>
      <c r="O44" s="104"/>
      <c r="P44" s="105"/>
      <c r="Z44" s="11"/>
    </row>
    <row r="45" spans="1:26" ht="19.5" customHeight="1" x14ac:dyDescent="0.25">
      <c r="A45" s="9"/>
      <c r="B45" s="46"/>
      <c r="C45" s="127"/>
      <c r="D45" s="127"/>
      <c r="E45" s="127"/>
      <c r="F45" s="127"/>
      <c r="G45" s="128"/>
      <c r="H45" s="123"/>
      <c r="I45" s="124"/>
      <c r="J45" s="125"/>
      <c r="K45" s="126"/>
      <c r="L45" s="127"/>
      <c r="M45" s="127"/>
      <c r="N45" s="127"/>
      <c r="O45" s="127"/>
      <c r="P45" s="128"/>
      <c r="Z45" s="11"/>
    </row>
    <row r="46" spans="1:26" ht="15.75" customHeight="1" x14ac:dyDescent="0.25">
      <c r="A46" s="9"/>
      <c r="B46" s="198" t="s">
        <v>35</v>
      </c>
      <c r="C46" s="199"/>
      <c r="D46" s="199"/>
      <c r="E46" s="199"/>
      <c r="F46" s="199"/>
      <c r="G46" s="200"/>
      <c r="H46" s="132">
        <f>AVERAGE(H25:J45)</f>
        <v>39.07692307692308</v>
      </c>
      <c r="I46" s="133"/>
      <c r="J46" s="134"/>
      <c r="K46" s="111"/>
      <c r="L46" s="112"/>
      <c r="M46" s="106" t="s">
        <v>36</v>
      </c>
      <c r="N46" s="106"/>
      <c r="O46" s="106"/>
      <c r="P46" s="107"/>
      <c r="Z46" s="11"/>
    </row>
    <row r="47" spans="1:26" ht="15.75" customHeight="1" x14ac:dyDescent="0.25">
      <c r="A47" s="9"/>
      <c r="B47" s="192" t="s">
        <v>37</v>
      </c>
      <c r="C47" s="193"/>
      <c r="D47" s="193"/>
      <c r="E47" s="193"/>
      <c r="F47" s="193"/>
      <c r="G47" s="194"/>
      <c r="H47" s="135">
        <f>IF(COUNTIF(H25:J45,"*&lt;20*"),"&lt;20",MIN(H25:J45))</f>
        <v>20</v>
      </c>
      <c r="I47" s="136"/>
      <c r="J47" s="137"/>
      <c r="K47" s="113"/>
      <c r="L47" s="114"/>
      <c r="M47" s="87"/>
      <c r="N47" s="87"/>
      <c r="O47" s="87"/>
      <c r="P47" s="108"/>
      <c r="Z47" s="11"/>
    </row>
    <row r="48" spans="1:26" ht="15.75" customHeight="1" x14ac:dyDescent="0.25">
      <c r="A48" s="9"/>
      <c r="B48" s="195" t="s">
        <v>38</v>
      </c>
      <c r="C48" s="196"/>
      <c r="D48" s="196"/>
      <c r="E48" s="196"/>
      <c r="F48" s="196"/>
      <c r="G48" s="197"/>
      <c r="H48" s="129">
        <f>IF(COUNTIF(H25:J45,"*&gt;250*"),"&gt;250",MAX(H25:J45))</f>
        <v>76</v>
      </c>
      <c r="I48" s="130"/>
      <c r="J48" s="131"/>
      <c r="K48" s="115"/>
      <c r="L48" s="116"/>
      <c r="M48" s="109"/>
      <c r="N48" s="109"/>
      <c r="O48" s="109"/>
      <c r="P48" s="110"/>
      <c r="Z48" s="11"/>
    </row>
    <row r="49" spans="1:26" ht="15.9" customHeight="1" x14ac:dyDescent="0.25">
      <c r="A49" s="35"/>
      <c r="B49" s="40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16"/>
    </row>
    <row r="50" spans="1:26" ht="12.75" customHeight="1" x14ac:dyDescent="0.25">
      <c r="A50" s="36"/>
      <c r="B50" s="37"/>
    </row>
    <row r="51" spans="1:26" s="17" customFormat="1" ht="15.6" customHeight="1" x14ac:dyDescent="0.25">
      <c r="A51" s="48" t="s">
        <v>39</v>
      </c>
      <c r="B51" s="5" t="s">
        <v>40</v>
      </c>
      <c r="C51" s="49"/>
      <c r="D51" s="49"/>
      <c r="E51" s="49"/>
      <c r="F51" s="50"/>
      <c r="G51" s="50"/>
      <c r="H51" s="50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51"/>
      <c r="V51" s="52"/>
      <c r="W51" s="52"/>
      <c r="X51" s="42"/>
      <c r="Y51" s="42"/>
      <c r="Z51" s="43"/>
    </row>
    <row r="52" spans="1:26" s="17" customFormat="1" ht="28.5" customHeight="1" x14ac:dyDescent="0.25">
      <c r="A52" s="66" t="s">
        <v>41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8"/>
      <c r="R52" s="69" t="s">
        <v>42</v>
      </c>
      <c r="S52" s="70"/>
      <c r="T52" s="71"/>
      <c r="U52" s="72" t="s">
        <v>43</v>
      </c>
      <c r="V52" s="73"/>
      <c r="W52" s="73"/>
      <c r="X52" s="74"/>
      <c r="Y52" s="74"/>
      <c r="Z52" s="75"/>
    </row>
    <row r="53" spans="1:26" s="17" customFormat="1" ht="15.6" customHeight="1" x14ac:dyDescent="0.25">
      <c r="A53" s="76" t="s">
        <v>49</v>
      </c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8"/>
      <c r="R53" s="69" t="s">
        <v>44</v>
      </c>
      <c r="S53" s="70"/>
      <c r="T53" s="71"/>
      <c r="U53" s="82" t="s">
        <v>45</v>
      </c>
      <c r="V53" s="83"/>
      <c r="W53" s="83"/>
      <c r="X53" s="84"/>
      <c r="Y53" s="84"/>
      <c r="Z53" s="85"/>
    </row>
    <row r="54" spans="1:26" s="17" customFormat="1" ht="15.6" customHeight="1" x14ac:dyDescent="0.25">
      <c r="A54" s="79"/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1"/>
      <c r="R54" s="69"/>
      <c r="S54" s="70"/>
      <c r="T54" s="71"/>
      <c r="U54" s="86"/>
      <c r="V54" s="87"/>
      <c r="W54" s="87"/>
      <c r="X54" s="88"/>
      <c r="Y54" s="88"/>
      <c r="Z54" s="89"/>
    </row>
    <row r="55" spans="1:26" s="17" customFormat="1" ht="15.6" customHeight="1" x14ac:dyDescent="0.25">
      <c r="A55" s="55" t="s">
        <v>46</v>
      </c>
      <c r="B55" s="56" t="s">
        <v>47</v>
      </c>
      <c r="C55" s="1"/>
      <c r="D55" s="1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7"/>
      <c r="R55" s="69"/>
      <c r="S55" s="70"/>
      <c r="T55" s="71"/>
      <c r="U55" s="90"/>
      <c r="V55" s="91"/>
      <c r="W55" s="91"/>
      <c r="X55" s="92"/>
      <c r="Y55" s="92"/>
      <c r="Z55" s="93"/>
    </row>
    <row r="56" spans="1:26" s="17" customFormat="1" ht="15.6" customHeight="1" x14ac:dyDescent="0.25">
      <c r="A56" s="170"/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2"/>
      <c r="R56" s="69" t="s">
        <v>48</v>
      </c>
      <c r="S56" s="70"/>
      <c r="T56" s="71"/>
      <c r="U56" s="58"/>
      <c r="V56" s="59"/>
      <c r="W56" s="59"/>
      <c r="X56" s="59"/>
      <c r="Y56" s="59"/>
      <c r="Z56" s="60"/>
    </row>
    <row r="57" spans="1:26" s="17" customFormat="1" ht="15.6" customHeight="1" x14ac:dyDescent="0.25">
      <c r="A57" s="170"/>
      <c r="B57" s="171"/>
      <c r="C57" s="171"/>
      <c r="D57" s="171"/>
      <c r="E57" s="171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2"/>
      <c r="R57" s="69"/>
      <c r="S57" s="70"/>
      <c r="T57" s="71"/>
      <c r="U57" s="61"/>
      <c r="V57" s="87"/>
      <c r="W57" s="87"/>
      <c r="X57" s="87"/>
      <c r="Y57" s="87"/>
      <c r="Z57" s="62"/>
    </row>
    <row r="58" spans="1:26" s="17" customFormat="1" ht="15.6" customHeight="1" x14ac:dyDescent="0.25">
      <c r="A58" s="170"/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2"/>
      <c r="R58" s="69"/>
      <c r="S58" s="70"/>
      <c r="T58" s="71"/>
      <c r="U58" s="61"/>
      <c r="V58" s="87"/>
      <c r="W58" s="87"/>
      <c r="X58" s="87"/>
      <c r="Y58" s="87"/>
      <c r="Z58" s="62"/>
    </row>
    <row r="59" spans="1:26" s="17" customFormat="1" ht="15.6" customHeight="1" x14ac:dyDescent="0.25">
      <c r="A59" s="173"/>
      <c r="B59" s="174"/>
      <c r="C59" s="174"/>
      <c r="D59" s="174"/>
      <c r="E59" s="174"/>
      <c r="F59" s="174"/>
      <c r="G59" s="174"/>
      <c r="H59" s="174"/>
      <c r="I59" s="174"/>
      <c r="J59" s="174"/>
      <c r="K59" s="174"/>
      <c r="L59" s="174"/>
      <c r="M59" s="174"/>
      <c r="N59" s="174"/>
      <c r="O59" s="174"/>
      <c r="P59" s="174"/>
      <c r="Q59" s="175"/>
      <c r="R59" s="176"/>
      <c r="S59" s="177"/>
      <c r="T59" s="178"/>
      <c r="U59" s="63"/>
      <c r="V59" s="64"/>
      <c r="W59" s="64"/>
      <c r="X59" s="64"/>
      <c r="Y59" s="64"/>
      <c r="Z59" s="65"/>
    </row>
    <row r="60" spans="1:26" s="17" customFormat="1" ht="15" customHeight="1" x14ac:dyDescent="0.25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54"/>
      <c r="S60" s="54"/>
      <c r="T60" s="54"/>
      <c r="U60" s="41"/>
      <c r="V60" s="41"/>
      <c r="W60" s="41"/>
      <c r="X60" s="41"/>
      <c r="Y60" s="41"/>
      <c r="Z60" s="41"/>
    </row>
    <row r="62" spans="1:26" ht="12.75" customHeight="1" x14ac:dyDescent="0.25">
      <c r="A62" s="1"/>
    </row>
    <row r="63" spans="1:26" ht="12.75" customHeight="1" x14ac:dyDescent="0.25">
      <c r="A63" s="1"/>
    </row>
    <row r="64" spans="1:26" ht="12.75" customHeight="1" x14ac:dyDescent="0.25">
      <c r="A64" s="1"/>
    </row>
    <row r="65" spans="1:1" ht="12.75" customHeight="1" x14ac:dyDescent="0.25">
      <c r="A65" s="1"/>
    </row>
    <row r="66" spans="1:1" ht="12.75" customHeight="1" x14ac:dyDescent="0.25">
      <c r="A66" s="1"/>
    </row>
    <row r="67" spans="1:1" ht="12.75" customHeight="1" x14ac:dyDescent="0.25">
      <c r="A67" s="1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C44:G44"/>
    <mergeCell ref="H44:J44"/>
    <mergeCell ref="K44:P44"/>
    <mergeCell ref="C42:G42"/>
    <mergeCell ref="H42:J42"/>
    <mergeCell ref="K42:P42"/>
    <mergeCell ref="C43:G43"/>
    <mergeCell ref="H43:J43"/>
    <mergeCell ref="K43:P43"/>
    <mergeCell ref="C40:G40"/>
    <mergeCell ref="H40:J40"/>
    <mergeCell ref="K40:P40"/>
    <mergeCell ref="C41:G41"/>
    <mergeCell ref="H41:J41"/>
    <mergeCell ref="K41:P41"/>
    <mergeCell ref="C38:G38"/>
    <mergeCell ref="H38:J38"/>
    <mergeCell ref="K38:P38"/>
    <mergeCell ref="C39:G39"/>
    <mergeCell ref="H39:J39"/>
    <mergeCell ref="K39:P39"/>
    <mergeCell ref="C36:G36"/>
    <mergeCell ref="H36:J36"/>
    <mergeCell ref="K36:P36"/>
    <mergeCell ref="C37:G37"/>
    <mergeCell ref="H37:J37"/>
    <mergeCell ref="K37:P37"/>
    <mergeCell ref="C34:G34"/>
    <mergeCell ref="H34:J34"/>
    <mergeCell ref="K34:P34"/>
    <mergeCell ref="C35:G35"/>
    <mergeCell ref="H35:J35"/>
    <mergeCell ref="K35:P35"/>
    <mergeCell ref="C32:G32"/>
    <mergeCell ref="H32:J32"/>
    <mergeCell ref="K32:P32"/>
    <mergeCell ref="C33:G33"/>
    <mergeCell ref="H33:J33"/>
    <mergeCell ref="K33:P33"/>
    <mergeCell ref="C30:G30"/>
    <mergeCell ref="H30:J30"/>
    <mergeCell ref="K30:P30"/>
    <mergeCell ref="C31:G31"/>
    <mergeCell ref="H31:J31"/>
    <mergeCell ref="K31:P31"/>
    <mergeCell ref="V57:Y58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45:G45"/>
    <mergeCell ref="B47:G47"/>
    <mergeCell ref="B48:G48"/>
    <mergeCell ref="B46:G46"/>
    <mergeCell ref="C26:G26"/>
    <mergeCell ref="H26:J26"/>
    <mergeCell ref="N12:R12"/>
    <mergeCell ref="H12:M12"/>
    <mergeCell ref="H11:M11"/>
    <mergeCell ref="N11:R11"/>
    <mergeCell ref="A56:Q59"/>
    <mergeCell ref="R56:T59"/>
    <mergeCell ref="K26:P26"/>
    <mergeCell ref="C27:G27"/>
    <mergeCell ref="H27:J27"/>
    <mergeCell ref="K27:P27"/>
    <mergeCell ref="C28:G28"/>
    <mergeCell ref="H28:J28"/>
    <mergeCell ref="K28:P28"/>
    <mergeCell ref="C29:G29"/>
    <mergeCell ref="H29:J29"/>
    <mergeCell ref="K29:P29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U1:Z6"/>
    <mergeCell ref="K25:P25"/>
    <mergeCell ref="M46:P48"/>
    <mergeCell ref="K46:L48"/>
    <mergeCell ref="S12:Y12"/>
    <mergeCell ref="K23:P24"/>
    <mergeCell ref="I17:Y17"/>
    <mergeCell ref="S11:Y11"/>
    <mergeCell ref="H45:J45"/>
    <mergeCell ref="K45:P45"/>
    <mergeCell ref="H48:J48"/>
    <mergeCell ref="H46:J46"/>
    <mergeCell ref="H47:J47"/>
    <mergeCell ref="B17:H17"/>
    <mergeCell ref="B12:G12"/>
    <mergeCell ref="B11:G11"/>
    <mergeCell ref="A52:Q52"/>
    <mergeCell ref="R52:T52"/>
    <mergeCell ref="U52:Z52"/>
    <mergeCell ref="A53:Q54"/>
    <mergeCell ref="R53:T55"/>
    <mergeCell ref="U53:Z55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060225 Arase</vt:lpstr>
      <vt:lpstr>'060225 Arase'!Zone_d_impression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MONTET Frédéric</cp:lastModifiedBy>
  <cp:lastPrinted>2025-02-06T12:46:58Z</cp:lastPrinted>
  <dcterms:created xsi:type="dcterms:W3CDTF">2004-11-13T18:13:05Z</dcterms:created>
  <dcterms:modified xsi:type="dcterms:W3CDTF">2025-02-06T12:51:38Z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2001353798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