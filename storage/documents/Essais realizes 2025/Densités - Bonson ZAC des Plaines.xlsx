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S:\Labo\St Priest\Chantiers 2025\42\RA N80D  Bonson - ZAC des Plaines\Essais de Laboratoire\Enrobés\"/>
    </mc:Choice>
  </mc:AlternateContent>
  <xr:revisionPtr revIDLastSave="0" documentId="13_ncr:1_{C1290EF5-29F8-40C9-9B02-B9FD4DB4DE73}" xr6:coauthVersionLast="47" xr6:coauthVersionMax="47" xr10:uidLastSave="{00000000-0000-0000-0000-000000000000}"/>
  <bookViews>
    <workbookView xWindow="-108" yWindow="-108" windowWidth="23256" windowHeight="12456" xr2:uid="{4AFA5515-F02F-4A96-AE43-BB3EFC4BD16E}"/>
  </bookViews>
  <sheets>
    <sheet name="181125 GB Base" sheetId="4" r:id="rId1"/>
    <sheet name="181125 GB fond" sheetId="3" r:id="rId2"/>
    <sheet name="181125 GB du 17" sheetId="2" r:id="rId3"/>
    <sheet name="171125 GB" sheetId="1" r:id="rId4"/>
  </sheets>
  <definedNames>
    <definedName name="_xlnm.Print_Area" localSheetId="3">'171125 GB'!$A$1:$Z$72</definedName>
    <definedName name="_xlnm.Print_Area" localSheetId="0">'181125 GB Base'!$A$1:$Z$65</definedName>
    <definedName name="_xlnm.Print_Area" localSheetId="2">'181125 GB du 17'!$A$1:$Z$67</definedName>
    <definedName name="_xlnm.Print_Area" localSheetId="1">'181125 GB fond'!$A$1:$Z$73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1" l="1"/>
  <c r="L46" i="1"/>
  <c r="O46" i="1" s="1"/>
  <c r="L47" i="1"/>
  <c r="O47" i="1" s="1"/>
  <c r="L48" i="1"/>
  <c r="O48" i="1" s="1"/>
  <c r="L49" i="1"/>
  <c r="O49" i="1" s="1"/>
  <c r="L50" i="1"/>
  <c r="O50" i="1" s="1"/>
  <c r="L51" i="1"/>
  <c r="O51" i="1" s="1"/>
  <c r="L52" i="1"/>
  <c r="O52" i="1" s="1"/>
  <c r="L53" i="1"/>
  <c r="O53" i="1" s="1"/>
  <c r="L54" i="1"/>
  <c r="O54" i="1" s="1"/>
  <c r="L55" i="1"/>
  <c r="O55" i="1" s="1"/>
  <c r="L56" i="1"/>
  <c r="O56" i="1" s="1"/>
  <c r="L57" i="1"/>
  <c r="O57" i="1" s="1"/>
  <c r="L58" i="1"/>
  <c r="O58" i="1" s="1"/>
  <c r="L30" i="1"/>
  <c r="O30" i="1" s="1"/>
  <c r="L31" i="1"/>
  <c r="O31" i="1" s="1"/>
  <c r="L32" i="1"/>
  <c r="O32" i="1" s="1"/>
  <c r="L33" i="1"/>
  <c r="O33" i="1" s="1"/>
  <c r="L34" i="1"/>
  <c r="O34" i="1" s="1"/>
  <c r="L35" i="1"/>
  <c r="O35" i="1" s="1"/>
  <c r="L36" i="1"/>
  <c r="O36" i="1" s="1"/>
  <c r="L37" i="1"/>
  <c r="O37" i="1" s="1"/>
  <c r="L38" i="1"/>
  <c r="O38" i="1" s="1"/>
  <c r="L39" i="1"/>
  <c r="O39" i="1" s="1"/>
  <c r="L40" i="1"/>
  <c r="O40" i="1" s="1"/>
  <c r="L41" i="1"/>
  <c r="O41" i="1" s="1"/>
  <c r="L42" i="1"/>
  <c r="O42" i="1" s="1"/>
  <c r="L43" i="1"/>
  <c r="O43" i="1" s="1"/>
  <c r="L44" i="1"/>
  <c r="O44" i="1" s="1"/>
  <c r="L45" i="1"/>
  <c r="O45" i="1" s="1"/>
  <c r="L29" i="1"/>
  <c r="O29" i="1" s="1"/>
  <c r="O59" i="1" l="1"/>
  <c r="L59" i="1"/>
</calcChain>
</file>

<file path=xl/sharedStrings.xml><?xml version="1.0" encoding="utf-8"?>
<sst xmlns="http://schemas.openxmlformats.org/spreadsheetml/2006/main" count="300" uniqueCount="81">
  <si>
    <t>Visa</t>
  </si>
  <si>
    <t>COMMENTAIRES</t>
  </si>
  <si>
    <t>6/</t>
  </si>
  <si>
    <t>Chef de section laboratoire</t>
  </si>
  <si>
    <t>Fonction</t>
  </si>
  <si>
    <t>Conforme</t>
  </si>
  <si>
    <t xml:space="preserve"> Sylvain LHOPITAL</t>
  </si>
  <si>
    <t>Nom</t>
  </si>
  <si>
    <t>Contrôle</t>
  </si>
  <si>
    <t>CONCLUSIONS</t>
  </si>
  <si>
    <t>4/</t>
  </si>
  <si>
    <t>Pourcentage de valeurs conformes :</t>
  </si>
  <si>
    <t>Moyenne</t>
  </si>
  <si>
    <t>%</t>
  </si>
  <si>
    <t>D</t>
  </si>
  <si>
    <t>A</t>
  </si>
  <si>
    <t>G</t>
  </si>
  <si>
    <t>Profils</t>
  </si>
  <si>
    <t>Essai</t>
  </si>
  <si>
    <t>Observations</t>
  </si>
  <si>
    <t>Vides</t>
  </si>
  <si>
    <t>Compacités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</si>
  <si>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</si>
  <si>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t>Position</t>
  </si>
  <si>
    <t>N°</t>
  </si>
  <si>
    <t xml:space="preserve">N° </t>
  </si>
  <si>
    <r>
      <t>g/cm</t>
    </r>
    <r>
      <rPr>
        <b/>
        <vertAlign val="superscript"/>
        <sz val="11"/>
        <color rgb="FF000000"/>
        <rFont val="Century Gothic"/>
      </rPr>
      <t>3</t>
    </r>
  </si>
  <si>
    <t>Masse volumique réelle de l'enrobé (MVRE) :</t>
  </si>
  <si>
    <t>RESULTATS DES ESSAIS</t>
  </si>
  <si>
    <t xml:space="preserve">3/ </t>
  </si>
  <si>
    <t xml:space="preserve"> 8</t>
  </si>
  <si>
    <t>≤ % de vide ≤</t>
  </si>
  <si>
    <t>Définition des critères / objectifs :</t>
  </si>
  <si>
    <t>Source des critères :</t>
  </si>
  <si>
    <t>CRITERES DE CONFORMITE</t>
  </si>
  <si>
    <t>2/</t>
  </si>
  <si>
    <t>Atelier de mise en œuvre :</t>
  </si>
  <si>
    <t>Profondeur de mesure :</t>
  </si>
  <si>
    <t>Avril 25</t>
  </si>
  <si>
    <t>Date du dernier calibrage :</t>
  </si>
  <si>
    <t>Conditions météorologiques :</t>
  </si>
  <si>
    <t>Humbolt-9340</t>
  </si>
  <si>
    <t>Gammadensimètre :</t>
  </si>
  <si>
    <t>Section contrôlée :</t>
  </si>
  <si>
    <t>Date de mise en œuvre:</t>
  </si>
  <si>
    <t>Lieu de fabrication :</t>
  </si>
  <si>
    <t>Fondation</t>
  </si>
  <si>
    <t>Couche :</t>
  </si>
  <si>
    <t>Epaisseur de la couche :</t>
  </si>
  <si>
    <t>N° formule :</t>
  </si>
  <si>
    <t>Date de l'essai :</t>
  </si>
  <si>
    <t>GB 0/14 Classe 4</t>
  </si>
  <si>
    <t>Produit contrôlé :</t>
  </si>
  <si>
    <t>Sylvain LHOPITAL</t>
  </si>
  <si>
    <t>Opérateur :</t>
  </si>
  <si>
    <t>RENSEIGNEMENTS GENERAUX</t>
  </si>
  <si>
    <t>1/</t>
  </si>
  <si>
    <t>Laboratoire Rhône Auvergne - 29-31 rue des tâches - ZI mi-plaine - 69800 SAINT PRIEST</t>
  </si>
  <si>
    <t>Laboratoire :</t>
  </si>
  <si>
    <t>Date de rédaction</t>
  </si>
  <si>
    <t>N° d'affaire</t>
  </si>
  <si>
    <t>N°Chrono</t>
  </si>
  <si>
    <t>DE n°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</si>
  <si>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</si>
  <si>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COMPTE RENDU D'ESSAIS</t>
  </si>
  <si>
    <t>Bonson
ZAC des Plaines</t>
  </si>
  <si>
    <t>RA N80D</t>
  </si>
  <si>
    <t>Vogele Super1800-3i, Volvo P7820D, Ammann ARX26, Bomag BW161AD0</t>
  </si>
  <si>
    <t>8 cm</t>
  </si>
  <si>
    <t>EOL Mornant</t>
  </si>
  <si>
    <t>Voiries</t>
  </si>
  <si>
    <t>Pluie</t>
  </si>
  <si>
    <t>5 cm</t>
  </si>
  <si>
    <t xml:space="preserve"> SYLVAIN LHOPITAL</t>
  </si>
  <si>
    <t>Vogele Super 1800-3i, Volvo P9820D, Bomag BW161AD0, Ammann ARX26</t>
  </si>
  <si>
    <t>5cm</t>
  </si>
  <si>
    <t>Beau</t>
  </si>
  <si>
    <t>Voirie</t>
  </si>
  <si>
    <t>18/11/2025</t>
  </si>
  <si>
    <t>Mornant - EOL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</si>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</sst>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"/>
    <numFmt numFmtId="166" formatCode="0.000"/>
  </numFmts>
  <fonts count="18" x14ac:knownFonts="1">
    <font>
      <sz val="10"/>
      <color rgb="FF000000"/>
      <name val="Arial"/>
    </font>
    <font>
      <sz val="10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1"/>
      <color rgb="FF000000"/>
      <name val="Century Gothic"/>
    </font>
    <font>
      <sz val="11"/>
      <color rgb="FF000000"/>
      <name val="Century Gothic"/>
      <family val="2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1"/>
      <color rgb="FF000000"/>
      <name val="Century Gothic"/>
    </font>
    <font>
      <b/>
      <vertAlign val="superscript"/>
      <sz val="11"/>
      <color rgb="FF000000"/>
      <name val="Century Gothic"/>
    </font>
    <font>
      <b/>
      <sz val="14"/>
      <name val="Century Gothic"/>
      <family val="2"/>
    </font>
    <font>
      <sz val="9"/>
      <color rgb="FF000000"/>
      <name val="Century Gothic"/>
    </font>
    <font>
      <sz val="8"/>
      <color rgb="FF000000"/>
      <name val="Century Gothic"/>
    </font>
    <font>
      <b/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15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hidden="1"/>
    </xf>
    <xf numFmtId="0" fontId="5" fillId="0" borderId="1" xfId="1" applyFont="1" applyBorder="1" applyAlignment="1" applyProtection="1">
      <alignment vertical="center" wrapText="1"/>
      <protection locked="0"/>
    </xf>
    <xf numFmtId="0" fontId="5" fillId="0" borderId="2" xfId="1" applyFont="1" applyBorder="1" applyAlignment="1" applyProtection="1">
      <alignment vertical="center" wrapText="1"/>
      <protection locked="0"/>
    </xf>
    <xf numFmtId="0" fontId="5" fillId="0" borderId="3" xfId="1" applyFont="1" applyBorder="1" applyAlignment="1" applyProtection="1">
      <alignment vertical="center" wrapText="1"/>
      <protection locked="0"/>
    </xf>
    <xf numFmtId="0" fontId="5" fillId="0" borderId="4" xfId="1" applyFont="1" applyBorder="1" applyAlignment="1" applyProtection="1">
      <alignment vertical="center" wrapText="1"/>
      <protection locked="0"/>
    </xf>
    <xf numFmtId="0" fontId="5" fillId="0" borderId="5" xfId="1" applyFont="1" applyBorder="1" applyAlignment="1" applyProtection="1">
      <alignment vertical="center" wrapText="1"/>
      <protection locked="0"/>
    </xf>
    <xf numFmtId="0" fontId="5" fillId="0" borderId="6" xfId="1" applyFont="1" applyBorder="1" applyAlignment="1" applyProtection="1">
      <alignment vertical="center" wrapText="1"/>
      <protection locked="0"/>
    </xf>
    <xf numFmtId="0" fontId="5" fillId="0" borderId="7" xfId="1" applyFont="1" applyBorder="1" applyAlignment="1" applyProtection="1">
      <alignment vertical="center" wrapText="1"/>
      <protection locked="0"/>
    </xf>
    <xf numFmtId="0" fontId="5" fillId="0" borderId="8" xfId="1" applyFont="1" applyBorder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vertical="center" wrapText="1"/>
      <protection hidden="1"/>
    </xf>
    <xf numFmtId="0" fontId="3" fillId="0" borderId="10" xfId="0" applyFont="1" applyBorder="1" applyAlignment="1" applyProtection="1">
      <alignment vertical="center" wrapText="1"/>
      <protection hidden="1"/>
    </xf>
    <xf numFmtId="0" fontId="3" fillId="0" borderId="0" xfId="0" applyFont="1" applyAlignment="1" applyProtection="1">
      <alignment vertical="center" wrapText="1"/>
      <protection hidden="1"/>
    </xf>
    <xf numFmtId="0" fontId="1" fillId="0" borderId="15" xfId="0" applyFont="1" applyBorder="1" applyAlignment="1" applyProtection="1">
      <alignment vertical="center"/>
      <protection hidden="1"/>
    </xf>
    <xf numFmtId="0" fontId="10" fillId="0" borderId="15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2" fontId="6" fillId="0" borderId="23" xfId="0" applyNumberFormat="1" applyFont="1" applyBorder="1" applyAlignment="1" applyProtection="1">
      <alignment horizontal="center" vertical="center"/>
      <protection hidden="1"/>
    </xf>
    <xf numFmtId="2" fontId="6" fillId="0" borderId="10" xfId="0" applyNumberFormat="1" applyFont="1" applyBorder="1" applyAlignment="1" applyProtection="1">
      <alignment horizontal="center" vertical="center"/>
      <protection hidden="1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hidden="1"/>
    </xf>
    <xf numFmtId="0" fontId="6" fillId="0" borderId="24" xfId="0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2" fillId="0" borderId="7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0" fontId="8" fillId="0" borderId="7" xfId="0" applyFont="1" applyBorder="1" applyAlignment="1" applyProtection="1">
      <alignment vertical="center"/>
      <protection hidden="1"/>
    </xf>
    <xf numFmtId="0" fontId="9" fillId="0" borderId="8" xfId="0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6" fillId="0" borderId="4" xfId="0" applyFont="1" applyBorder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right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14" fontId="12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0" fontId="8" fillId="0" borderId="0" xfId="0" applyFont="1" applyAlignment="1" applyProtection="1">
      <alignment horizontal="right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166" fontId="12" fillId="0" borderId="21" xfId="0" applyNumberFormat="1" applyFont="1" applyBorder="1" applyAlignment="1" applyProtection="1">
      <alignment horizontal="center" vertical="center"/>
      <protection hidden="1"/>
    </xf>
    <xf numFmtId="165" fontId="12" fillId="0" borderId="21" xfId="0" applyNumberFormat="1" applyFont="1" applyBorder="1" applyAlignment="1" applyProtection="1">
      <alignment horizontal="center" vertical="center"/>
      <protection hidden="1"/>
    </xf>
    <xf numFmtId="2" fontId="9" fillId="0" borderId="21" xfId="0" applyNumberFormat="1" applyFont="1" applyBorder="1" applyAlignment="1" applyProtection="1">
      <alignment horizontal="center" vertical="center"/>
      <protection hidden="1"/>
    </xf>
    <xf numFmtId="2" fontId="9" fillId="0" borderId="20" xfId="0" applyNumberFormat="1" applyFont="1" applyBorder="1" applyAlignment="1" applyProtection="1">
      <alignment horizontal="center" vertical="center"/>
      <protection hidden="1"/>
    </xf>
    <xf numFmtId="0" fontId="11" fillId="0" borderId="19" xfId="0" applyFont="1" applyBorder="1" applyAlignment="1" applyProtection="1">
      <alignment horizontal="center" vertical="center" wrapText="1"/>
      <protection hidden="1"/>
    </xf>
    <xf numFmtId="0" fontId="11" fillId="0" borderId="18" xfId="0" applyFont="1" applyBorder="1" applyAlignment="1" applyProtection="1">
      <alignment horizontal="center" vertical="center" wrapText="1"/>
      <protection hidden="1"/>
    </xf>
    <xf numFmtId="164" fontId="1" fillId="0" borderId="18" xfId="0" applyNumberFormat="1" applyFont="1" applyBorder="1" applyAlignment="1" applyProtection="1">
      <alignment horizontal="center" vertical="center"/>
      <protection hidden="1"/>
    </xf>
    <xf numFmtId="0" fontId="1" fillId="0" borderId="18" xfId="0" applyFont="1" applyBorder="1" applyAlignment="1" applyProtection="1">
      <alignment horizontal="center" vertical="center"/>
      <protection hidden="1"/>
    </xf>
    <xf numFmtId="0" fontId="1" fillId="0" borderId="17" xfId="0" applyFont="1" applyBorder="1" applyAlignment="1" applyProtection="1">
      <alignment horizontal="center" vertical="center"/>
      <protection hidden="1"/>
    </xf>
    <xf numFmtId="0" fontId="6" fillId="0" borderId="5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7" fillId="0" borderId="0" xfId="1" applyFont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/>
      <protection hidden="1"/>
    </xf>
    <xf numFmtId="0" fontId="9" fillId="0" borderId="13" xfId="0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7" fillId="0" borderId="11" xfId="1" applyFont="1" applyBorder="1" applyAlignment="1" applyProtection="1">
      <alignment horizontal="center" vertical="center" wrapText="1"/>
      <protection locked="0"/>
    </xf>
    <xf numFmtId="0" fontId="7" fillId="0" borderId="10" xfId="1" applyFont="1" applyBorder="1" applyAlignment="1" applyProtection="1">
      <alignment horizontal="center" vertical="center" wrapText="1"/>
      <protection locked="0"/>
    </xf>
    <xf numFmtId="0" fontId="5" fillId="0" borderId="10" xfId="1" applyFont="1" applyBorder="1" applyAlignment="1" applyProtection="1">
      <alignment horizontal="center" vertical="center" wrapText="1"/>
      <protection locked="0"/>
    </xf>
    <xf numFmtId="0" fontId="5" fillId="0" borderId="9" xfId="1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7" fillId="0" borderId="8" xfId="1" applyFont="1" applyBorder="1" applyAlignment="1" applyProtection="1">
      <alignment horizontal="center" vertical="center" wrapText="1"/>
      <protection locked="0"/>
    </xf>
    <xf numFmtId="0" fontId="7" fillId="0" borderId="7" xfId="1" applyFont="1" applyBorder="1" applyAlignment="1" applyProtection="1">
      <alignment horizontal="center" vertical="center" wrapText="1"/>
      <protection locked="0"/>
    </xf>
    <xf numFmtId="0" fontId="5" fillId="0" borderId="7" xfId="1" applyFont="1" applyBorder="1" applyAlignment="1" applyProtection="1">
      <alignment horizontal="center" vertical="center" wrapText="1"/>
      <protection locked="0"/>
    </xf>
    <xf numFmtId="0" fontId="5" fillId="0" borderId="6" xfId="1" applyFont="1" applyBorder="1" applyAlignment="1" applyProtection="1">
      <alignment horizontal="center" vertical="center" wrapText="1"/>
      <protection locked="0"/>
    </xf>
    <xf numFmtId="0" fontId="7" fillId="0" borderId="5" xfId="1" applyFont="1" applyBorder="1" applyAlignment="1" applyProtection="1">
      <alignment horizontal="center" vertical="center" wrapText="1"/>
      <protection locked="0"/>
    </xf>
    <xf numFmtId="0" fontId="5" fillId="0" borderId="0" xfId="1" applyFont="1" applyAlignment="1" applyProtection="1">
      <alignment horizontal="center" vertical="center" wrapText="1"/>
      <protection locked="0"/>
    </xf>
    <xf numFmtId="0" fontId="5" fillId="0" borderId="4" xfId="1" applyFont="1" applyBorder="1" applyAlignment="1" applyProtection="1">
      <alignment horizontal="center" vertical="center" wrapText="1"/>
      <protection locked="0"/>
    </xf>
    <xf numFmtId="0" fontId="7" fillId="0" borderId="3" xfId="1" applyFont="1" applyBorder="1" applyAlignment="1" applyProtection="1">
      <alignment horizontal="center" vertical="center" wrapText="1"/>
      <protection locked="0"/>
    </xf>
    <xf numFmtId="0" fontId="7" fillId="0" borderId="2" xfId="1" applyFont="1" applyBorder="1" applyAlignment="1" applyProtection="1">
      <alignment horizontal="center" vertical="center" wrapText="1"/>
      <protection locked="0"/>
    </xf>
    <xf numFmtId="0" fontId="5" fillId="0" borderId="2" xfId="1" applyFont="1" applyBorder="1" applyAlignment="1" applyProtection="1">
      <alignment horizontal="center" vertical="center" wrapText="1"/>
      <protection locked="0"/>
    </xf>
    <xf numFmtId="0" fontId="5" fillId="0" borderId="1" xfId="1" applyFont="1" applyBorder="1" applyAlignment="1" applyProtection="1">
      <alignment horizontal="center" vertical="center" wrapText="1"/>
      <protection locked="0"/>
    </xf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166" fontId="1" fillId="0" borderId="10" xfId="0" applyNumberFormat="1" applyFont="1" applyBorder="1" applyAlignment="1" applyProtection="1">
      <alignment horizontal="center" vertical="center"/>
      <protection locked="0"/>
    </xf>
    <xf numFmtId="165" fontId="6" fillId="0" borderId="11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 applyProtection="1">
      <alignment horizontal="center" vertical="center"/>
      <protection hidden="1"/>
    </xf>
    <xf numFmtId="2" fontId="1" fillId="0" borderId="23" xfId="0" applyNumberFormat="1" applyFont="1" applyBorder="1" applyAlignment="1" applyProtection="1">
      <alignment horizontal="center" vertical="center"/>
      <protection hidden="1"/>
    </xf>
    <xf numFmtId="0" fontId="6" fillId="0" borderId="24" xfId="0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2" fontId="6" fillId="0" borderId="10" xfId="0" applyNumberFormat="1" applyFont="1" applyBorder="1" applyAlignment="1" applyProtection="1">
      <alignment horizontal="center" vertical="center"/>
      <protection hidden="1"/>
    </xf>
    <xf numFmtId="2" fontId="6" fillId="0" borderId="23" xfId="0" applyNumberFormat="1" applyFont="1" applyBorder="1" applyAlignment="1" applyProtection="1">
      <alignment horizontal="center" vertical="center"/>
      <protection hidden="1"/>
    </xf>
    <xf numFmtId="0" fontId="6" fillId="0" borderId="9" xfId="0" applyFont="1" applyBorder="1" applyAlignment="1" applyProtection="1">
      <alignment horizontal="center" vertical="center"/>
      <protection locked="0"/>
    </xf>
    <xf numFmtId="166" fontId="6" fillId="0" borderId="10" xfId="0" applyNumberFormat="1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166" fontId="12" fillId="0" borderId="7" xfId="0" applyNumberFormat="1" applyFont="1" applyBorder="1" applyAlignment="1" applyProtection="1">
      <alignment horizontal="center" vertical="center"/>
      <protection locked="0"/>
    </xf>
    <xf numFmtId="0" fontId="12" fillId="0" borderId="31" xfId="0" applyFont="1" applyBorder="1" applyAlignment="1" applyProtection="1">
      <alignment horizontal="center" vertical="center" wrapText="1"/>
      <protection hidden="1"/>
    </xf>
    <xf numFmtId="0" fontId="12" fillId="0" borderId="28" xfId="0" applyFont="1" applyBorder="1" applyAlignment="1" applyProtection="1">
      <alignment horizontal="center" vertical="center" wrapText="1"/>
      <protection hidden="1"/>
    </xf>
    <xf numFmtId="0" fontId="12" fillId="0" borderId="29" xfId="0" applyFont="1" applyBorder="1" applyAlignment="1" applyProtection="1">
      <alignment horizontal="center" vertical="center"/>
      <protection hidden="1"/>
    </xf>
    <xf numFmtId="0" fontId="12" fillId="0" borderId="30" xfId="0" applyFont="1" applyBorder="1" applyAlignment="1" applyProtection="1">
      <alignment horizontal="center" vertical="center"/>
      <protection hidden="1"/>
    </xf>
    <xf numFmtId="0" fontId="12" fillId="0" borderId="28" xfId="0" applyFont="1" applyBorder="1" applyAlignment="1" applyProtection="1">
      <alignment horizontal="center" vertical="center"/>
      <protection hidden="1"/>
    </xf>
    <xf numFmtId="0" fontId="12" fillId="0" borderId="29" xfId="0" applyFont="1" applyBorder="1" applyAlignment="1" applyProtection="1">
      <alignment horizontal="center" vertical="center" wrapText="1"/>
      <protection hidden="1"/>
    </xf>
    <xf numFmtId="0" fontId="12" fillId="0" borderId="30" xfId="0" applyFont="1" applyBorder="1" applyAlignment="1" applyProtection="1">
      <alignment horizontal="center" vertical="center" wrapText="1"/>
      <protection hidden="1"/>
    </xf>
    <xf numFmtId="0" fontId="12" fillId="0" borderId="27" xfId="0" applyFont="1" applyBorder="1" applyAlignment="1" applyProtection="1">
      <alignment horizontal="center" vertical="center" wrapText="1"/>
      <protection hidden="1"/>
    </xf>
    <xf numFmtId="0" fontId="12" fillId="0" borderId="25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hidden="1"/>
    </xf>
    <xf numFmtId="0" fontId="12" fillId="0" borderId="26" xfId="0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14" fontId="6" fillId="0" borderId="0" xfId="0" applyNumberFormat="1" applyFont="1" applyAlignment="1" applyProtection="1">
      <alignment horizontal="left" vertical="center"/>
      <protection locked="0"/>
    </xf>
    <xf numFmtId="14" fontId="6" fillId="0" borderId="0" xfId="0" applyNumberFormat="1" applyFont="1" applyAlignment="1" applyProtection="1">
      <alignment horizontal="left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11" fillId="0" borderId="7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 applyProtection="1">
      <alignment horizontal="center" vertical="center"/>
      <protection hidden="1"/>
    </xf>
    <xf numFmtId="0" fontId="14" fillId="0" borderId="39" xfId="1" applyFont="1" applyBorder="1" applyAlignment="1" applyProtection="1">
      <alignment horizontal="center" vertical="center" wrapText="1"/>
      <protection locked="0"/>
    </xf>
    <xf numFmtId="0" fontId="14" fillId="0" borderId="38" xfId="1" applyFont="1" applyBorder="1" applyAlignment="1" applyProtection="1">
      <alignment horizontal="center" vertical="center" wrapText="1"/>
      <protection locked="0"/>
    </xf>
    <xf numFmtId="0" fontId="14" fillId="0" borderId="37" xfId="1" applyFont="1" applyBorder="1" applyAlignment="1" applyProtection="1">
      <alignment horizontal="center" vertical="center" wrapText="1"/>
      <protection locked="0"/>
    </xf>
    <xf numFmtId="0" fontId="14" fillId="0" borderId="36" xfId="1" applyFont="1" applyBorder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14" fillId="0" borderId="35" xfId="1" applyFont="1" applyBorder="1" applyAlignment="1" applyProtection="1">
      <alignment horizontal="center" vertical="center" wrapText="1"/>
      <protection locked="0"/>
    </xf>
    <xf numFmtId="0" fontId="14" fillId="0" borderId="34" xfId="1" applyFont="1" applyBorder="1" applyAlignment="1" applyProtection="1">
      <alignment horizontal="center" vertical="center" wrapText="1"/>
      <protection locked="0"/>
    </xf>
    <xf numFmtId="0" fontId="14" fillId="0" borderId="33" xfId="1" applyFont="1" applyBorder="1" applyAlignment="1" applyProtection="1">
      <alignment horizontal="center" vertical="center" wrapText="1"/>
      <protection locked="0"/>
    </xf>
    <xf numFmtId="0" fontId="14" fillId="0" borderId="32" xfId="1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9" fillId="0" borderId="4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4" xfId="0" applyFont="1" applyBorder="1" applyAlignment="1" applyProtection="1">
      <alignment horizontal="center" vertical="center"/>
      <protection hidden="1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14" fontId="12" fillId="0" borderId="5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4" xfId="0" applyNumberFormat="1" applyFont="1" applyBorder="1" applyAlignment="1" applyProtection="1">
      <alignment horizontal="center" vertical="center"/>
      <protection locked="0"/>
    </xf>
    <xf numFmtId="0" fontId="15" fillId="0" borderId="2" xfId="0" applyFont="1" applyBorder="1" applyAlignment="1" applyProtection="1">
      <alignment horizontal="center" vertical="center"/>
      <protection hidden="1"/>
    </xf>
    <xf numFmtId="0" fontId="15" fillId="0" borderId="1" xfId="0" applyFont="1" applyBorder="1" applyAlignment="1" applyProtection="1">
      <alignment horizontal="center" vertical="center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166" fontId="6" fillId="0" borderId="11" xfId="0" applyNumberFormat="1" applyFont="1" applyBorder="1" applyAlignment="1" applyProtection="1">
      <alignment horizontal="center" vertical="center"/>
      <protection locked="0"/>
    </xf>
    <xf numFmtId="166" fontId="6" fillId="0" borderId="9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165" fontId="1" fillId="0" borderId="9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DFB6D659-A134-41DA-9FAE-4F4AB60B00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5932EC1-F644-42BD-8A92-56A261726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61</xdr:row>
      <xdr:rowOff>0</xdr:rowOff>
    </xdr:from>
    <xdr:ext cx="1424940" cy="408790"/>
    <xdr:pic>
      <xdr:nvPicPr>
        <xdr:cNvPr id="3" name="Image 2">
          <a:extLst>
            <a:ext uri="{FF2B5EF4-FFF2-40B4-BE49-F238E27FC236}">
              <a16:creationId xmlns:a16="http://schemas.microsoft.com/office/drawing/2014/main" id="{E205E62F-DBCC-4EFD-9AB5-F3A685E00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0920" y="10287000"/>
          <a:ext cx="1424940" cy="40879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65A1C93-01FA-4FD3-8ED0-4E22937DA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" y="363855"/>
          <a:ext cx="1314450" cy="32385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69</xdr:row>
      <xdr:rowOff>0</xdr:rowOff>
    </xdr:from>
    <xdr:ext cx="1424940" cy="408790"/>
    <xdr:pic>
      <xdr:nvPicPr>
        <xdr:cNvPr id="3" name="Image 2">
          <a:extLst>
            <a:ext uri="{FF2B5EF4-FFF2-40B4-BE49-F238E27FC236}">
              <a16:creationId xmlns:a16="http://schemas.microsoft.com/office/drawing/2014/main" id="{863F0983-6AB8-47D7-BFAA-1536FDAB5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0920" y="15834360"/>
          <a:ext cx="1424940" cy="40879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90DEE61-ED3D-4B51-9381-F2E24DC99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63</xdr:row>
      <xdr:rowOff>0</xdr:rowOff>
    </xdr:from>
    <xdr:ext cx="1424940" cy="408790"/>
    <xdr:pic>
      <xdr:nvPicPr>
        <xdr:cNvPr id="3" name="Image 2">
          <a:extLst>
            <a:ext uri="{FF2B5EF4-FFF2-40B4-BE49-F238E27FC236}">
              <a16:creationId xmlns:a16="http://schemas.microsoft.com/office/drawing/2014/main" id="{A5ECF8C1-7DC7-47A1-9431-3403EE989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0920" y="12847320"/>
          <a:ext cx="1424940" cy="40879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C93AEB1-41E6-4B48-8BD8-1C73DB37B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67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81E9597C-3904-435B-BC09-D43EFF3C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1536680"/>
          <a:ext cx="1771650" cy="68376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A195-D668-46C6-8EC4-DA9291220D03}">
  <sheetPr>
    <pageSetUpPr fitToPage="1"/>
  </sheetPr>
  <dimension ref="A1:AN65"/>
  <sheetViews>
    <sheetView tabSelected="1" workbookViewId="0">
      <selection activeCell="Z11" sqref="Z1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50"/>
      <c r="B1" s="151"/>
      <c r="C1" s="151"/>
      <c r="D1" s="151"/>
      <c r="E1" s="151"/>
      <c r="F1" s="152"/>
      <c r="G1" s="159" t="s">
        <v>64</v>
      </c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1"/>
      <c r="U1" s="162" t="s">
        <v>65</v>
      </c>
      <c r="V1" s="163"/>
      <c r="W1" s="163"/>
      <c r="X1" s="163"/>
      <c r="Y1" s="163"/>
      <c r="Z1" s="164"/>
    </row>
    <row r="2" spans="1:40" ht="13.2" customHeight="1" x14ac:dyDescent="0.25">
      <c r="A2" s="153"/>
      <c r="B2" s="154"/>
      <c r="C2" s="154"/>
      <c r="D2" s="154"/>
      <c r="E2" s="154"/>
      <c r="F2" s="155"/>
      <c r="G2" s="171" t="s">
        <v>63</v>
      </c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3"/>
      <c r="U2" s="165"/>
      <c r="V2" s="166"/>
      <c r="W2" s="166"/>
      <c r="X2" s="166"/>
      <c r="Y2" s="166"/>
      <c r="Z2" s="167"/>
    </row>
    <row r="3" spans="1:40" ht="13.2" customHeight="1" x14ac:dyDescent="0.25">
      <c r="A3" s="153"/>
      <c r="B3" s="154"/>
      <c r="C3" s="154"/>
      <c r="D3" s="154"/>
      <c r="E3" s="154"/>
      <c r="F3" s="155"/>
      <c r="G3" s="171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3"/>
      <c r="U3" s="165"/>
      <c r="V3" s="166"/>
      <c r="W3" s="166"/>
      <c r="X3" s="166"/>
      <c r="Y3" s="166"/>
      <c r="Z3" s="167"/>
    </row>
    <row r="4" spans="1:40" ht="13.2" customHeight="1" x14ac:dyDescent="0.25">
      <c r="A4" s="153"/>
      <c r="B4" s="154"/>
      <c r="C4" s="154"/>
      <c r="D4" s="154"/>
      <c r="E4" s="154"/>
      <c r="F4" s="155"/>
      <c r="G4" s="171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3"/>
      <c r="U4" s="165"/>
      <c r="V4" s="166"/>
      <c r="W4" s="166"/>
      <c r="X4" s="166"/>
      <c r="Y4" s="166"/>
      <c r="Z4" s="167"/>
    </row>
    <row r="5" spans="1:40" ht="15" customHeight="1" x14ac:dyDescent="0.25">
      <c r="A5" s="153"/>
      <c r="B5" s="154"/>
      <c r="C5" s="154"/>
      <c r="D5" s="154"/>
      <c r="E5" s="154"/>
      <c r="F5" s="155"/>
      <c r="G5" s="89" t="s">
        <v>62</v>
      </c>
      <c r="H5" s="90"/>
      <c r="I5" s="174">
        <v>4</v>
      </c>
      <c r="J5" s="174"/>
      <c r="K5" s="175"/>
      <c r="L5" s="176" t="s">
        <v>66</v>
      </c>
      <c r="M5" s="177"/>
      <c r="N5" s="177"/>
      <c r="O5" s="178"/>
      <c r="P5" s="179">
        <v>45980</v>
      </c>
      <c r="Q5" s="180"/>
      <c r="R5" s="180"/>
      <c r="S5" s="180"/>
      <c r="T5" s="181"/>
      <c r="U5" s="165"/>
      <c r="V5" s="166"/>
      <c r="W5" s="166"/>
      <c r="X5" s="166"/>
      <c r="Y5" s="166"/>
      <c r="Z5" s="167"/>
    </row>
    <row r="6" spans="1:40" ht="13.2" customHeight="1" x14ac:dyDescent="0.25">
      <c r="A6" s="156"/>
      <c r="B6" s="157"/>
      <c r="C6" s="157"/>
      <c r="D6" s="157"/>
      <c r="E6" s="157"/>
      <c r="F6" s="158"/>
      <c r="G6" s="26"/>
      <c r="H6" s="57"/>
      <c r="I6" s="182" t="s">
        <v>61</v>
      </c>
      <c r="J6" s="182"/>
      <c r="K6" s="182"/>
      <c r="L6" s="182" t="s">
        <v>60</v>
      </c>
      <c r="M6" s="182"/>
      <c r="N6" s="182"/>
      <c r="O6" s="182"/>
      <c r="P6" s="182" t="s">
        <v>59</v>
      </c>
      <c r="Q6" s="182"/>
      <c r="R6" s="182"/>
      <c r="S6" s="182"/>
      <c r="T6" s="183"/>
      <c r="U6" s="168"/>
      <c r="V6" s="169"/>
      <c r="W6" s="169"/>
      <c r="X6" s="169"/>
      <c r="Y6" s="169"/>
      <c r="Z6" s="170"/>
    </row>
    <row r="7" spans="1:40" ht="36.75" customHeight="1" x14ac:dyDescent="0.25">
      <c r="A7" s="184" t="s">
        <v>58</v>
      </c>
      <c r="B7" s="184"/>
      <c r="C7" s="184"/>
      <c r="D7" s="184"/>
      <c r="E7" s="184"/>
      <c r="F7" s="184"/>
      <c r="G7" s="185" t="s">
        <v>57</v>
      </c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</row>
    <row r="8" spans="1:40" ht="15.6" customHeight="1" x14ac:dyDescent="0.25">
      <c r="A8" s="42" t="s">
        <v>56</v>
      </c>
      <c r="B8" s="41" t="s">
        <v>55</v>
      </c>
      <c r="C8" s="38"/>
      <c r="D8" s="40"/>
      <c r="E8" s="40"/>
      <c r="F8" s="40"/>
      <c r="G8" s="40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7"/>
    </row>
    <row r="9" spans="1:40" ht="6" customHeight="1" x14ac:dyDescent="0.25">
      <c r="A9" s="28"/>
      <c r="D9" s="56"/>
      <c r="E9" s="56"/>
      <c r="F9" s="56"/>
      <c r="G9" s="56"/>
      <c r="Z9" s="27"/>
    </row>
    <row r="10" spans="1:40" ht="15" customHeight="1" x14ac:dyDescent="0.25">
      <c r="A10" s="28"/>
      <c r="B10" s="143" t="s">
        <v>54</v>
      </c>
      <c r="C10" s="143"/>
      <c r="D10" s="143"/>
      <c r="E10" s="143"/>
      <c r="F10" s="143"/>
      <c r="G10" s="148" t="s">
        <v>53</v>
      </c>
      <c r="H10" s="148"/>
      <c r="I10" s="148"/>
      <c r="J10" s="148"/>
      <c r="K10" s="148"/>
      <c r="L10" s="148"/>
      <c r="M10" s="143" t="s">
        <v>52</v>
      </c>
      <c r="N10" s="143"/>
      <c r="O10" s="143"/>
      <c r="P10" s="143"/>
      <c r="Q10" s="143"/>
      <c r="R10" s="143"/>
      <c r="S10" s="142" t="s">
        <v>51</v>
      </c>
      <c r="T10" s="142"/>
      <c r="U10" s="142"/>
      <c r="V10" s="142"/>
      <c r="W10" s="142"/>
      <c r="X10" s="142"/>
      <c r="Y10" s="142"/>
      <c r="Z10" s="45"/>
    </row>
    <row r="11" spans="1:40" ht="15" customHeight="1" x14ac:dyDescent="0.25">
      <c r="A11" s="28"/>
      <c r="B11" s="143" t="s">
        <v>50</v>
      </c>
      <c r="C11" s="143"/>
      <c r="D11" s="143"/>
      <c r="E11" s="143"/>
      <c r="F11" s="143"/>
      <c r="G11" s="148" t="s">
        <v>78</v>
      </c>
      <c r="H11" s="148"/>
      <c r="I11" s="148"/>
      <c r="J11" s="148"/>
      <c r="K11" s="148"/>
      <c r="L11" s="148"/>
      <c r="M11" s="143" t="s">
        <v>49</v>
      </c>
      <c r="N11" s="143"/>
      <c r="O11" s="143"/>
      <c r="P11" s="147">
        <v>222</v>
      </c>
      <c r="Q11" s="147"/>
      <c r="R11" s="147"/>
      <c r="S11" s="143" t="s">
        <v>48</v>
      </c>
      <c r="T11" s="143"/>
      <c r="U11" s="143"/>
      <c r="V11" s="143"/>
      <c r="W11" s="143"/>
      <c r="X11" s="147" t="s">
        <v>68</v>
      </c>
      <c r="Y11" s="147"/>
      <c r="Z11" s="45"/>
    </row>
    <row r="12" spans="1:40" ht="15" customHeight="1" x14ac:dyDescent="0.25">
      <c r="A12" s="28"/>
      <c r="B12" s="143" t="s">
        <v>47</v>
      </c>
      <c r="C12" s="143"/>
      <c r="D12" s="143"/>
      <c r="E12" s="143"/>
      <c r="F12" s="143"/>
      <c r="G12" s="148" t="s">
        <v>80</v>
      </c>
      <c r="H12" s="148"/>
      <c r="I12" s="148"/>
      <c r="J12" s="148"/>
      <c r="K12" s="148"/>
      <c r="L12" s="148"/>
      <c r="M12" s="143" t="s">
        <v>45</v>
      </c>
      <c r="N12" s="143"/>
      <c r="O12" s="143"/>
      <c r="P12" s="143"/>
      <c r="Q12" s="143"/>
      <c r="R12" s="143"/>
      <c r="S12" s="142" t="s">
        <v>79</v>
      </c>
      <c r="T12" s="142"/>
      <c r="U12" s="142"/>
      <c r="V12" s="142"/>
      <c r="W12" s="142"/>
      <c r="X12" s="142"/>
      <c r="Y12" s="142"/>
      <c r="Z12" s="45"/>
    </row>
    <row r="13" spans="1:40" ht="15" customHeight="1" x14ac:dyDescent="0.25">
      <c r="A13" s="28"/>
      <c r="B13" s="143" t="s">
        <v>44</v>
      </c>
      <c r="C13" s="143"/>
      <c r="D13" s="143"/>
      <c r="E13" s="143"/>
      <c r="F13" s="143"/>
      <c r="G13" s="149" t="s">
        <v>78</v>
      </c>
      <c r="H13" s="148"/>
      <c r="I13" s="148"/>
      <c r="J13" s="148"/>
      <c r="K13" s="148"/>
      <c r="L13" s="148"/>
      <c r="M13" s="143" t="s">
        <v>43</v>
      </c>
      <c r="N13" s="143"/>
      <c r="O13" s="143"/>
      <c r="P13" s="143"/>
      <c r="Q13" s="143"/>
      <c r="R13" s="143"/>
      <c r="S13" s="143" t="s">
        <v>77</v>
      </c>
      <c r="T13" s="143"/>
      <c r="U13" s="143"/>
      <c r="V13" s="143"/>
      <c r="W13" s="143"/>
      <c r="X13" s="143"/>
      <c r="Y13" s="143"/>
      <c r="Z13" s="45"/>
    </row>
    <row r="14" spans="1:40" ht="15" customHeight="1" x14ac:dyDescent="0.25">
      <c r="A14" s="28"/>
      <c r="B14" s="143" t="s">
        <v>42</v>
      </c>
      <c r="C14" s="143"/>
      <c r="D14" s="143"/>
      <c r="E14" s="143"/>
      <c r="F14" s="143"/>
      <c r="G14" s="148" t="s">
        <v>41</v>
      </c>
      <c r="H14" s="148"/>
      <c r="I14" s="148"/>
      <c r="J14" s="148"/>
      <c r="K14" s="148"/>
      <c r="L14" s="148"/>
      <c r="M14" s="143" t="s">
        <v>40</v>
      </c>
      <c r="N14" s="143"/>
      <c r="O14" s="143"/>
      <c r="P14" s="143"/>
      <c r="Q14" s="143"/>
      <c r="R14" s="143"/>
      <c r="S14" s="143" t="s">
        <v>76</v>
      </c>
      <c r="T14" s="143"/>
      <c r="U14" s="143"/>
      <c r="V14" s="143"/>
      <c r="W14" s="143"/>
      <c r="X14" s="143"/>
      <c r="Y14" s="143"/>
      <c r="Z14" s="45"/>
    </row>
    <row r="15" spans="1:40" ht="15" customHeight="1" x14ac:dyDescent="0.25">
      <c r="A15" s="28"/>
      <c r="B15" s="141" t="s">
        <v>39</v>
      </c>
      <c r="C15" s="141"/>
      <c r="D15" s="141"/>
      <c r="E15" s="141"/>
      <c r="F15" s="141"/>
      <c r="G15" s="142" t="s">
        <v>38</v>
      </c>
      <c r="H15" s="142"/>
      <c r="I15" s="142"/>
      <c r="J15" s="142"/>
      <c r="K15" s="142"/>
      <c r="L15" s="142"/>
      <c r="M15" s="143" t="s">
        <v>37</v>
      </c>
      <c r="N15" s="143"/>
      <c r="O15" s="143"/>
      <c r="P15" s="143"/>
      <c r="Q15" s="143"/>
      <c r="R15" s="143"/>
      <c r="S15" s="143" t="s">
        <v>75</v>
      </c>
      <c r="T15" s="143"/>
      <c r="U15" s="143"/>
      <c r="V15" s="143"/>
      <c r="W15" s="143"/>
      <c r="X15" s="143"/>
      <c r="Y15" s="143"/>
      <c r="Z15" s="45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</row>
    <row r="16" spans="1:40" ht="15" customHeight="1" x14ac:dyDescent="0.25">
      <c r="A16" s="28"/>
      <c r="B16" s="141" t="s">
        <v>36</v>
      </c>
      <c r="C16" s="141"/>
      <c r="D16" s="141"/>
      <c r="E16" s="141"/>
      <c r="F16" s="141"/>
      <c r="G16" s="46" t="s">
        <v>74</v>
      </c>
      <c r="H16" s="46"/>
      <c r="I16" s="46"/>
      <c r="J16" s="46"/>
      <c r="K16" s="46"/>
      <c r="L16" s="46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51"/>
    </row>
    <row r="17" spans="1:28" ht="6" customHeight="1" x14ac:dyDescent="0.25">
      <c r="A17" s="26"/>
      <c r="B17" s="44"/>
      <c r="C17" s="44"/>
      <c r="D17" s="25"/>
      <c r="E17" s="25"/>
      <c r="F17" s="25"/>
      <c r="G17" s="25"/>
      <c r="H17" s="44"/>
      <c r="I17" s="44"/>
      <c r="J17" s="44"/>
      <c r="K17" s="44"/>
      <c r="L17" s="44"/>
      <c r="M17" s="44"/>
      <c r="N17" s="55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24"/>
    </row>
    <row r="18" spans="1:28" ht="15" customHeight="1" x14ac:dyDescent="0.25">
      <c r="B18" s="53"/>
      <c r="C18" s="53"/>
      <c r="K18" s="54"/>
      <c r="L18" s="53"/>
      <c r="M18" s="52"/>
      <c r="V18" s="47"/>
      <c r="W18" s="47"/>
      <c r="X18" s="47"/>
      <c r="Y18" s="47"/>
      <c r="Z18" s="47"/>
      <c r="AA18" s="47"/>
      <c r="AB18" s="51"/>
    </row>
    <row r="19" spans="1:28" ht="15.6" customHeight="1" x14ac:dyDescent="0.25">
      <c r="A19" s="42" t="s">
        <v>35</v>
      </c>
      <c r="B19" s="41" t="s">
        <v>34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7"/>
    </row>
    <row r="20" spans="1:28" ht="6" customHeight="1" x14ac:dyDescent="0.25">
      <c r="A20" s="28"/>
      <c r="B20" s="50"/>
      <c r="Z20" s="27"/>
    </row>
    <row r="21" spans="1:28" ht="13.8" customHeight="1" x14ac:dyDescent="0.25">
      <c r="A21" s="28"/>
      <c r="B21" s="143" t="s">
        <v>33</v>
      </c>
      <c r="C21" s="143"/>
      <c r="D21" s="143"/>
      <c r="E21" s="143"/>
      <c r="F21" s="143"/>
      <c r="G21" s="143"/>
      <c r="H21" s="143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45"/>
    </row>
    <row r="22" spans="1:28" ht="15" customHeight="1" x14ac:dyDescent="0.25">
      <c r="A22" s="28"/>
      <c r="B22" s="143" t="s">
        <v>32</v>
      </c>
      <c r="C22" s="143"/>
      <c r="D22" s="143"/>
      <c r="E22" s="143"/>
      <c r="F22" s="143"/>
      <c r="G22" s="143"/>
      <c r="H22" s="143"/>
      <c r="I22" s="147"/>
      <c r="J22" s="147"/>
      <c r="K22" s="147"/>
      <c r="L22" s="147"/>
      <c r="M22" s="147"/>
      <c r="N22" s="49">
        <v>0</v>
      </c>
      <c r="O22" s="146" t="s">
        <v>31</v>
      </c>
      <c r="P22" s="146"/>
      <c r="Q22" s="146"/>
      <c r="R22" s="48" t="s">
        <v>30</v>
      </c>
      <c r="S22" s="47"/>
      <c r="T22" s="47"/>
      <c r="U22" s="47"/>
      <c r="V22" s="146"/>
      <c r="W22" s="146"/>
      <c r="X22" s="146"/>
      <c r="Y22" s="46"/>
      <c r="Z22" s="45"/>
    </row>
    <row r="23" spans="1:28" ht="5.25" customHeight="1" x14ac:dyDescent="0.25">
      <c r="A23" s="26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24"/>
    </row>
    <row r="24" spans="1:28" x14ac:dyDescent="0.25">
      <c r="C24" s="43"/>
    </row>
    <row r="25" spans="1:28" ht="15.6" customHeight="1" x14ac:dyDescent="0.25">
      <c r="A25" s="42" t="s">
        <v>29</v>
      </c>
      <c r="B25" s="41" t="s">
        <v>28</v>
      </c>
      <c r="C25" s="38"/>
      <c r="D25" s="40"/>
      <c r="E25" s="40"/>
      <c r="F25" s="40"/>
      <c r="G25" s="40"/>
      <c r="H25" s="130" t="s">
        <v>27</v>
      </c>
      <c r="I25" s="130"/>
      <c r="J25" s="130"/>
      <c r="K25" s="130"/>
      <c r="L25" s="130"/>
      <c r="M25" s="130"/>
      <c r="N25" s="130"/>
      <c r="O25" s="130"/>
      <c r="P25" s="130"/>
      <c r="Q25" s="131">
        <v>2.4649999999999999</v>
      </c>
      <c r="R25" s="131"/>
      <c r="S25" s="131"/>
      <c r="T25" s="131"/>
      <c r="U25" s="39" t="s">
        <v>26</v>
      </c>
      <c r="V25" s="38"/>
      <c r="W25" s="38"/>
      <c r="X25" s="38"/>
      <c r="Y25" s="38"/>
      <c r="Z25" s="37"/>
    </row>
    <row r="26" spans="1:28" ht="13.8" customHeight="1" thickBot="1" x14ac:dyDescent="0.3">
      <c r="A26" s="28"/>
      <c r="Z26" s="27"/>
    </row>
    <row r="27" spans="1:28" ht="15.75" customHeight="1" x14ac:dyDescent="0.25">
      <c r="A27" s="28"/>
      <c r="B27" s="132" t="s">
        <v>25</v>
      </c>
      <c r="C27" s="133"/>
      <c r="D27" s="134" t="s">
        <v>24</v>
      </c>
      <c r="E27" s="135"/>
      <c r="F27" s="136" t="s">
        <v>23</v>
      </c>
      <c r="G27" s="136"/>
      <c r="H27" s="136"/>
      <c r="I27" s="137" t="s">
        <v>22</v>
      </c>
      <c r="J27" s="133"/>
      <c r="K27" s="133"/>
      <c r="L27" s="137" t="s">
        <v>21</v>
      </c>
      <c r="M27" s="133"/>
      <c r="N27" s="138"/>
      <c r="O27" s="137" t="s">
        <v>20</v>
      </c>
      <c r="P27" s="133"/>
      <c r="Q27" s="138"/>
      <c r="R27" s="137" t="s">
        <v>19</v>
      </c>
      <c r="S27" s="133"/>
      <c r="T27" s="133"/>
      <c r="U27" s="133"/>
      <c r="V27" s="133"/>
      <c r="W27" s="133"/>
      <c r="X27" s="133"/>
      <c r="Y27" s="139"/>
      <c r="Z27" s="27"/>
    </row>
    <row r="28" spans="1:28" ht="36" customHeight="1" x14ac:dyDescent="0.25">
      <c r="A28" s="28"/>
      <c r="B28" s="144" t="s">
        <v>18</v>
      </c>
      <c r="C28" s="145"/>
      <c r="D28" s="125" t="s">
        <v>17</v>
      </c>
      <c r="E28" s="126"/>
      <c r="F28" s="36" t="s">
        <v>16</v>
      </c>
      <c r="G28" s="36" t="s">
        <v>15</v>
      </c>
      <c r="H28" s="36" t="s">
        <v>14</v>
      </c>
      <c r="I28" s="127"/>
      <c r="J28" s="128"/>
      <c r="K28" s="128"/>
      <c r="L28" s="127" t="s">
        <v>13</v>
      </c>
      <c r="M28" s="128"/>
      <c r="N28" s="129"/>
      <c r="O28" s="127" t="s">
        <v>13</v>
      </c>
      <c r="P28" s="128"/>
      <c r="Q28" s="129"/>
      <c r="R28" s="127"/>
      <c r="S28" s="128"/>
      <c r="T28" s="128"/>
      <c r="U28" s="128"/>
      <c r="V28" s="128"/>
      <c r="W28" s="128"/>
      <c r="X28" s="128"/>
      <c r="Y28" s="140"/>
      <c r="Z28" s="27"/>
    </row>
    <row r="29" spans="1:28" ht="16.8" customHeight="1" x14ac:dyDescent="0.25">
      <c r="A29" s="28"/>
      <c r="B29" s="117">
        <v>1</v>
      </c>
      <c r="C29" s="118"/>
      <c r="D29" s="119"/>
      <c r="E29" s="120"/>
      <c r="F29" s="119"/>
      <c r="G29" s="120"/>
      <c r="H29" s="123"/>
      <c r="I29" s="124">
        <v>2.3620000000000001</v>
      </c>
      <c r="J29" s="124"/>
      <c r="K29" s="124"/>
      <c r="L29" s="112">
        <v>95.8</v>
      </c>
      <c r="M29" s="113"/>
      <c r="N29" s="114"/>
      <c r="O29" s="113">
        <v>4.2</v>
      </c>
      <c r="P29" s="113"/>
      <c r="Q29" s="114"/>
      <c r="R29" s="121"/>
      <c r="S29" s="121"/>
      <c r="T29" s="121"/>
      <c r="U29" s="121"/>
      <c r="V29" s="121"/>
      <c r="W29" s="121"/>
      <c r="X29" s="121"/>
      <c r="Y29" s="122"/>
      <c r="Z29" s="27"/>
    </row>
    <row r="30" spans="1:28" ht="16.8" customHeight="1" x14ac:dyDescent="0.25">
      <c r="A30" s="28"/>
      <c r="B30" s="117">
        <v>2</v>
      </c>
      <c r="C30" s="118"/>
      <c r="D30" s="119"/>
      <c r="E30" s="120"/>
      <c r="F30" s="119"/>
      <c r="G30" s="120"/>
      <c r="H30" s="123"/>
      <c r="I30" s="124">
        <v>2.3780000000000001</v>
      </c>
      <c r="J30" s="124"/>
      <c r="K30" s="124"/>
      <c r="L30" s="112">
        <v>96.5</v>
      </c>
      <c r="M30" s="113"/>
      <c r="N30" s="114"/>
      <c r="O30" s="113">
        <v>3.5</v>
      </c>
      <c r="P30" s="113"/>
      <c r="Q30" s="114"/>
      <c r="R30" s="121"/>
      <c r="S30" s="121"/>
      <c r="T30" s="121"/>
      <c r="U30" s="121"/>
      <c r="V30" s="121"/>
      <c r="W30" s="121"/>
      <c r="X30" s="121"/>
      <c r="Y30" s="122"/>
      <c r="Z30" s="27"/>
    </row>
    <row r="31" spans="1:28" ht="16.8" customHeight="1" x14ac:dyDescent="0.25">
      <c r="A31" s="28"/>
      <c r="B31" s="117">
        <v>3</v>
      </c>
      <c r="C31" s="118"/>
      <c r="D31" s="119"/>
      <c r="E31" s="120"/>
      <c r="F31" s="119"/>
      <c r="G31" s="120"/>
      <c r="H31" s="123"/>
      <c r="I31" s="124">
        <v>2.2709999999999999</v>
      </c>
      <c r="J31" s="124"/>
      <c r="K31" s="124"/>
      <c r="L31" s="112">
        <v>92.1</v>
      </c>
      <c r="M31" s="113"/>
      <c r="N31" s="114"/>
      <c r="O31" s="113">
        <v>7.9</v>
      </c>
      <c r="P31" s="113"/>
      <c r="Q31" s="114"/>
      <c r="R31" s="121"/>
      <c r="S31" s="121"/>
      <c r="T31" s="121"/>
      <c r="U31" s="121"/>
      <c r="V31" s="121"/>
      <c r="W31" s="121"/>
      <c r="X31" s="121"/>
      <c r="Y31" s="122"/>
      <c r="Z31" s="27"/>
    </row>
    <row r="32" spans="1:28" ht="16.8" customHeight="1" x14ac:dyDescent="0.25">
      <c r="A32" s="28"/>
      <c r="B32" s="117">
        <v>4</v>
      </c>
      <c r="C32" s="118"/>
      <c r="D32" s="119"/>
      <c r="E32" s="120"/>
      <c r="F32" s="119"/>
      <c r="G32" s="120"/>
      <c r="H32" s="123"/>
      <c r="I32" s="124">
        <v>2.282</v>
      </c>
      <c r="J32" s="124"/>
      <c r="K32" s="124"/>
      <c r="L32" s="112">
        <v>92.6</v>
      </c>
      <c r="M32" s="113"/>
      <c r="N32" s="114"/>
      <c r="O32" s="113">
        <v>7.4</v>
      </c>
      <c r="P32" s="113"/>
      <c r="Q32" s="114"/>
      <c r="R32" s="121"/>
      <c r="S32" s="121"/>
      <c r="T32" s="121"/>
      <c r="U32" s="121"/>
      <c r="V32" s="121"/>
      <c r="W32" s="121"/>
      <c r="X32" s="121"/>
      <c r="Y32" s="122"/>
      <c r="Z32" s="27"/>
    </row>
    <row r="33" spans="1:26" ht="16.8" customHeight="1" x14ac:dyDescent="0.25">
      <c r="A33" s="28"/>
      <c r="B33" s="117">
        <v>5</v>
      </c>
      <c r="C33" s="118"/>
      <c r="D33" s="119"/>
      <c r="E33" s="120"/>
      <c r="F33" s="119"/>
      <c r="G33" s="120"/>
      <c r="H33" s="123"/>
      <c r="I33" s="124">
        <v>2.2879999999999998</v>
      </c>
      <c r="J33" s="124"/>
      <c r="K33" s="124"/>
      <c r="L33" s="112">
        <v>92.8</v>
      </c>
      <c r="M33" s="113"/>
      <c r="N33" s="114"/>
      <c r="O33" s="113">
        <v>7.2</v>
      </c>
      <c r="P33" s="113"/>
      <c r="Q33" s="114"/>
      <c r="R33" s="121"/>
      <c r="S33" s="121"/>
      <c r="T33" s="121"/>
      <c r="U33" s="121"/>
      <c r="V33" s="121"/>
      <c r="W33" s="121"/>
      <c r="X33" s="121"/>
      <c r="Y33" s="122"/>
      <c r="Z33" s="27"/>
    </row>
    <row r="34" spans="1:26" ht="16.8" customHeight="1" x14ac:dyDescent="0.25">
      <c r="A34" s="28"/>
      <c r="B34" s="117">
        <v>6</v>
      </c>
      <c r="C34" s="118"/>
      <c r="D34" s="119"/>
      <c r="E34" s="120"/>
      <c r="F34" s="119"/>
      <c r="G34" s="120"/>
      <c r="H34" s="123"/>
      <c r="I34" s="124">
        <v>2.274</v>
      </c>
      <c r="J34" s="124"/>
      <c r="K34" s="124"/>
      <c r="L34" s="112">
        <v>92.3</v>
      </c>
      <c r="M34" s="113"/>
      <c r="N34" s="114"/>
      <c r="O34" s="113">
        <v>7.7</v>
      </c>
      <c r="P34" s="113"/>
      <c r="Q34" s="114"/>
      <c r="R34" s="121"/>
      <c r="S34" s="121"/>
      <c r="T34" s="121"/>
      <c r="U34" s="121"/>
      <c r="V34" s="121"/>
      <c r="W34" s="121"/>
      <c r="X34" s="121"/>
      <c r="Y34" s="122"/>
      <c r="Z34" s="27"/>
    </row>
    <row r="35" spans="1:26" ht="16.8" customHeight="1" x14ac:dyDescent="0.25">
      <c r="A35" s="28"/>
      <c r="B35" s="117">
        <v>7</v>
      </c>
      <c r="C35" s="118"/>
      <c r="D35" s="119"/>
      <c r="E35" s="120"/>
      <c r="F35" s="119"/>
      <c r="G35" s="120"/>
      <c r="H35" s="123"/>
      <c r="I35" s="124">
        <v>2.2709999999999999</v>
      </c>
      <c r="J35" s="124"/>
      <c r="K35" s="124"/>
      <c r="L35" s="112">
        <v>92.1</v>
      </c>
      <c r="M35" s="113"/>
      <c r="N35" s="114"/>
      <c r="O35" s="113">
        <v>7.9</v>
      </c>
      <c r="P35" s="113"/>
      <c r="Q35" s="114"/>
      <c r="R35" s="121"/>
      <c r="S35" s="121"/>
      <c r="T35" s="121"/>
      <c r="U35" s="121"/>
      <c r="V35" s="121"/>
      <c r="W35" s="121"/>
      <c r="X35" s="121"/>
      <c r="Y35" s="122"/>
      <c r="Z35" s="27"/>
    </row>
    <row r="36" spans="1:26" ht="16.8" customHeight="1" x14ac:dyDescent="0.25">
      <c r="A36" s="28"/>
      <c r="B36" s="117">
        <v>8</v>
      </c>
      <c r="C36" s="118"/>
      <c r="D36" s="119"/>
      <c r="E36" s="120"/>
      <c r="F36" s="119"/>
      <c r="G36" s="120"/>
      <c r="H36" s="123"/>
      <c r="I36" s="124">
        <v>2.327</v>
      </c>
      <c r="J36" s="124"/>
      <c r="K36" s="124"/>
      <c r="L36" s="112">
        <v>94.4</v>
      </c>
      <c r="M36" s="113"/>
      <c r="N36" s="114"/>
      <c r="O36" s="113">
        <v>5.6</v>
      </c>
      <c r="P36" s="113"/>
      <c r="Q36" s="114"/>
      <c r="R36" s="121"/>
      <c r="S36" s="121"/>
      <c r="T36" s="121"/>
      <c r="U36" s="121"/>
      <c r="V36" s="121"/>
      <c r="W36" s="121"/>
      <c r="X36" s="121"/>
      <c r="Y36" s="122"/>
      <c r="Z36" s="27"/>
    </row>
    <row r="37" spans="1:26" ht="16.8" customHeight="1" x14ac:dyDescent="0.25">
      <c r="A37" s="28"/>
      <c r="B37" s="117">
        <v>9</v>
      </c>
      <c r="C37" s="118"/>
      <c r="D37" s="119"/>
      <c r="E37" s="120"/>
      <c r="F37" s="119"/>
      <c r="G37" s="120"/>
      <c r="H37" s="123"/>
      <c r="I37" s="124">
        <v>2.2789999999999999</v>
      </c>
      <c r="J37" s="124"/>
      <c r="K37" s="124"/>
      <c r="L37" s="112">
        <v>92.5</v>
      </c>
      <c r="M37" s="113"/>
      <c r="N37" s="114"/>
      <c r="O37" s="113">
        <v>7.5</v>
      </c>
      <c r="P37" s="113"/>
      <c r="Q37" s="114"/>
      <c r="R37" s="121"/>
      <c r="S37" s="121"/>
      <c r="T37" s="121"/>
      <c r="U37" s="121"/>
      <c r="V37" s="121"/>
      <c r="W37" s="121"/>
      <c r="X37" s="121"/>
      <c r="Y37" s="122"/>
      <c r="Z37" s="27"/>
    </row>
    <row r="38" spans="1:26" ht="16.8" customHeight="1" x14ac:dyDescent="0.25">
      <c r="A38" s="28"/>
      <c r="B38" s="117">
        <v>10</v>
      </c>
      <c r="C38" s="118"/>
      <c r="D38" s="119"/>
      <c r="E38" s="120"/>
      <c r="F38" s="119"/>
      <c r="G38" s="120"/>
      <c r="H38" s="123"/>
      <c r="I38" s="124">
        <v>2.286</v>
      </c>
      <c r="J38" s="124"/>
      <c r="K38" s="124"/>
      <c r="L38" s="112">
        <v>92.7</v>
      </c>
      <c r="M38" s="113"/>
      <c r="N38" s="114"/>
      <c r="O38" s="113">
        <v>7.3</v>
      </c>
      <c r="P38" s="113"/>
      <c r="Q38" s="114"/>
      <c r="R38" s="121"/>
      <c r="S38" s="121"/>
      <c r="T38" s="121"/>
      <c r="U38" s="121"/>
      <c r="V38" s="121"/>
      <c r="W38" s="121"/>
      <c r="X38" s="121"/>
      <c r="Y38" s="122"/>
      <c r="Z38" s="27"/>
    </row>
    <row r="39" spans="1:26" ht="16.8" customHeight="1" x14ac:dyDescent="0.25">
      <c r="A39" s="28"/>
      <c r="B39" s="117">
        <v>11</v>
      </c>
      <c r="C39" s="118"/>
      <c r="D39" s="119"/>
      <c r="E39" s="120"/>
      <c r="F39" s="119"/>
      <c r="G39" s="120"/>
      <c r="H39" s="123"/>
      <c r="I39" s="124">
        <v>2.2759999999999998</v>
      </c>
      <c r="J39" s="124"/>
      <c r="K39" s="124"/>
      <c r="L39" s="112">
        <v>92.3</v>
      </c>
      <c r="M39" s="113"/>
      <c r="N39" s="114"/>
      <c r="O39" s="113">
        <v>7.7</v>
      </c>
      <c r="P39" s="113"/>
      <c r="Q39" s="114"/>
      <c r="R39" s="121"/>
      <c r="S39" s="121"/>
      <c r="T39" s="121"/>
      <c r="U39" s="121"/>
      <c r="V39" s="121"/>
      <c r="W39" s="121"/>
      <c r="X39" s="121"/>
      <c r="Y39" s="122"/>
      <c r="Z39" s="27"/>
    </row>
    <row r="40" spans="1:26" ht="16.8" customHeight="1" x14ac:dyDescent="0.25">
      <c r="A40" s="28"/>
      <c r="B40" s="117">
        <v>12</v>
      </c>
      <c r="C40" s="118"/>
      <c r="D40" s="119"/>
      <c r="E40" s="120"/>
      <c r="F40" s="119"/>
      <c r="G40" s="120"/>
      <c r="H40" s="123"/>
      <c r="I40" s="124">
        <v>2.2839999999999998</v>
      </c>
      <c r="J40" s="124"/>
      <c r="K40" s="124"/>
      <c r="L40" s="112">
        <v>92.7</v>
      </c>
      <c r="M40" s="113"/>
      <c r="N40" s="114"/>
      <c r="O40" s="113">
        <v>7.3</v>
      </c>
      <c r="P40" s="113"/>
      <c r="Q40" s="114"/>
      <c r="R40" s="121"/>
      <c r="S40" s="121"/>
      <c r="T40" s="121"/>
      <c r="U40" s="121"/>
      <c r="V40" s="121"/>
      <c r="W40" s="121"/>
      <c r="X40" s="121"/>
      <c r="Y40" s="122"/>
      <c r="Z40" s="27"/>
    </row>
    <row r="41" spans="1:26" ht="16.8" customHeight="1" x14ac:dyDescent="0.25">
      <c r="A41" s="28"/>
      <c r="B41" s="117"/>
      <c r="C41" s="118"/>
      <c r="D41" s="119"/>
      <c r="E41" s="120"/>
      <c r="F41" s="119"/>
      <c r="G41" s="120"/>
      <c r="H41" s="123"/>
      <c r="I41" s="124"/>
      <c r="J41" s="124"/>
      <c r="K41" s="124"/>
      <c r="L41" s="112"/>
      <c r="M41" s="113"/>
      <c r="N41" s="114"/>
      <c r="O41" s="113"/>
      <c r="P41" s="113"/>
      <c r="Q41" s="114"/>
      <c r="R41" s="121"/>
      <c r="S41" s="121"/>
      <c r="T41" s="121"/>
      <c r="U41" s="121"/>
      <c r="V41" s="121"/>
      <c r="W41" s="121"/>
      <c r="X41" s="121"/>
      <c r="Y41" s="122"/>
      <c r="Z41" s="27"/>
    </row>
    <row r="42" spans="1:26" ht="16.8" customHeight="1" x14ac:dyDescent="0.25">
      <c r="A42" s="28"/>
      <c r="B42" s="117"/>
      <c r="C42" s="118"/>
      <c r="D42" s="119"/>
      <c r="E42" s="120"/>
      <c r="F42" s="119"/>
      <c r="G42" s="120"/>
      <c r="H42" s="123"/>
      <c r="I42" s="124"/>
      <c r="J42" s="124"/>
      <c r="K42" s="124"/>
      <c r="L42" s="112"/>
      <c r="M42" s="113"/>
      <c r="N42" s="114"/>
      <c r="O42" s="113"/>
      <c r="P42" s="113"/>
      <c r="Q42" s="114"/>
      <c r="R42" s="121"/>
      <c r="S42" s="121"/>
      <c r="T42" s="121"/>
      <c r="U42" s="121"/>
      <c r="V42" s="121"/>
      <c r="W42" s="121"/>
      <c r="X42" s="121"/>
      <c r="Y42" s="122"/>
      <c r="Z42" s="27"/>
    </row>
    <row r="43" spans="1:26" ht="16.8" customHeight="1" x14ac:dyDescent="0.25">
      <c r="A43" s="28"/>
      <c r="B43" s="117"/>
      <c r="C43" s="118"/>
      <c r="D43" s="119"/>
      <c r="E43" s="120"/>
      <c r="F43" s="119"/>
      <c r="G43" s="120"/>
      <c r="H43" s="123"/>
      <c r="I43" s="124"/>
      <c r="J43" s="124"/>
      <c r="K43" s="124"/>
      <c r="L43" s="112"/>
      <c r="M43" s="113"/>
      <c r="N43" s="114"/>
      <c r="O43" s="113"/>
      <c r="P43" s="113"/>
      <c r="Q43" s="114"/>
      <c r="R43" s="121"/>
      <c r="S43" s="121"/>
      <c r="T43" s="121"/>
      <c r="U43" s="121"/>
      <c r="V43" s="121"/>
      <c r="W43" s="121"/>
      <c r="X43" s="121"/>
      <c r="Y43" s="122"/>
      <c r="Z43" s="27"/>
    </row>
    <row r="44" spans="1:26" ht="16.8" customHeight="1" x14ac:dyDescent="0.25">
      <c r="A44" s="28"/>
      <c r="B44" s="117"/>
      <c r="C44" s="118"/>
      <c r="D44" s="119"/>
      <c r="E44" s="120"/>
      <c r="F44" s="119"/>
      <c r="G44" s="120"/>
      <c r="H44" s="123"/>
      <c r="I44" s="124"/>
      <c r="J44" s="124"/>
      <c r="K44" s="124"/>
      <c r="L44" s="112"/>
      <c r="M44" s="113"/>
      <c r="N44" s="114"/>
      <c r="O44" s="113"/>
      <c r="P44" s="113"/>
      <c r="Q44" s="114"/>
      <c r="R44" s="121"/>
      <c r="S44" s="121"/>
      <c r="T44" s="121"/>
      <c r="U44" s="121"/>
      <c r="V44" s="121"/>
      <c r="W44" s="121"/>
      <c r="X44" s="121"/>
      <c r="Y44" s="122"/>
      <c r="Z44" s="27"/>
    </row>
    <row r="45" spans="1:26" ht="16.8" customHeight="1" x14ac:dyDescent="0.25">
      <c r="A45" s="28"/>
      <c r="B45" s="117"/>
      <c r="C45" s="118"/>
      <c r="D45" s="119"/>
      <c r="E45" s="120"/>
      <c r="F45" s="119"/>
      <c r="G45" s="120"/>
      <c r="H45" s="123"/>
      <c r="I45" s="124"/>
      <c r="J45" s="124"/>
      <c r="K45" s="124"/>
      <c r="L45" s="112"/>
      <c r="M45" s="113"/>
      <c r="N45" s="114"/>
      <c r="O45" s="113"/>
      <c r="P45" s="113"/>
      <c r="Q45" s="114"/>
      <c r="R45" s="121"/>
      <c r="S45" s="121"/>
      <c r="T45" s="121"/>
      <c r="U45" s="121"/>
      <c r="V45" s="121"/>
      <c r="W45" s="121"/>
      <c r="X45" s="121"/>
      <c r="Y45" s="122"/>
      <c r="Z45" s="27"/>
    </row>
    <row r="46" spans="1:26" ht="16.8" customHeight="1" x14ac:dyDescent="0.25">
      <c r="A46" s="28"/>
      <c r="B46" s="117"/>
      <c r="C46" s="118"/>
      <c r="D46" s="119"/>
      <c r="E46" s="120"/>
      <c r="F46" s="119"/>
      <c r="G46" s="120"/>
      <c r="H46" s="123"/>
      <c r="I46" s="124"/>
      <c r="J46" s="124"/>
      <c r="K46" s="124"/>
      <c r="L46" s="112"/>
      <c r="M46" s="113"/>
      <c r="N46" s="114"/>
      <c r="O46" s="113"/>
      <c r="P46" s="113"/>
      <c r="Q46" s="114"/>
      <c r="R46" s="121"/>
      <c r="S46" s="121"/>
      <c r="T46" s="121"/>
      <c r="U46" s="121"/>
      <c r="V46" s="121"/>
      <c r="W46" s="121"/>
      <c r="X46" s="121"/>
      <c r="Y46" s="122"/>
      <c r="Z46" s="27"/>
    </row>
    <row r="47" spans="1:26" ht="16.8" customHeight="1" x14ac:dyDescent="0.25">
      <c r="A47" s="28"/>
      <c r="B47" s="117"/>
      <c r="C47" s="118"/>
      <c r="D47" s="119"/>
      <c r="E47" s="120"/>
      <c r="F47" s="119"/>
      <c r="G47" s="120"/>
      <c r="H47" s="123"/>
      <c r="I47" s="124"/>
      <c r="J47" s="124"/>
      <c r="K47" s="124"/>
      <c r="L47" s="112"/>
      <c r="M47" s="113"/>
      <c r="N47" s="114"/>
      <c r="O47" s="113"/>
      <c r="P47" s="113"/>
      <c r="Q47" s="114"/>
      <c r="R47" s="121"/>
      <c r="S47" s="121"/>
      <c r="T47" s="121"/>
      <c r="U47" s="121"/>
      <c r="V47" s="121"/>
      <c r="W47" s="121"/>
      <c r="X47" s="121"/>
      <c r="Y47" s="122"/>
      <c r="Z47" s="27"/>
    </row>
    <row r="48" spans="1:26" ht="16.8" customHeight="1" x14ac:dyDescent="0.25">
      <c r="A48" s="28"/>
      <c r="B48" s="117"/>
      <c r="C48" s="118"/>
      <c r="D48" s="119"/>
      <c r="E48" s="120"/>
      <c r="F48" s="119"/>
      <c r="G48" s="120"/>
      <c r="H48" s="123"/>
      <c r="I48" s="124"/>
      <c r="J48" s="124"/>
      <c r="K48" s="124"/>
      <c r="L48" s="112"/>
      <c r="M48" s="113"/>
      <c r="N48" s="114"/>
      <c r="O48" s="113"/>
      <c r="P48" s="113"/>
      <c r="Q48" s="114"/>
      <c r="R48" s="121"/>
      <c r="S48" s="121"/>
      <c r="T48" s="121"/>
      <c r="U48" s="121"/>
      <c r="V48" s="121"/>
      <c r="W48" s="121"/>
      <c r="X48" s="121"/>
      <c r="Y48" s="122"/>
      <c r="Z48" s="27"/>
    </row>
    <row r="49" spans="1:29" ht="16.8" customHeight="1" x14ac:dyDescent="0.25">
      <c r="A49" s="28"/>
      <c r="B49" s="117"/>
      <c r="C49" s="118"/>
      <c r="D49" s="119"/>
      <c r="E49" s="120"/>
      <c r="F49" s="119"/>
      <c r="G49" s="120"/>
      <c r="H49" s="123"/>
      <c r="I49" s="124"/>
      <c r="J49" s="124"/>
      <c r="K49" s="124"/>
      <c r="L49" s="112"/>
      <c r="M49" s="113"/>
      <c r="N49" s="114"/>
      <c r="O49" s="113"/>
      <c r="P49" s="113"/>
      <c r="Q49" s="114"/>
      <c r="R49" s="121"/>
      <c r="S49" s="121"/>
      <c r="T49" s="121"/>
      <c r="U49" s="121"/>
      <c r="V49" s="121"/>
      <c r="W49" s="121"/>
      <c r="X49" s="121"/>
      <c r="Y49" s="122"/>
      <c r="Z49" s="27"/>
    </row>
    <row r="50" spans="1:29" ht="16.8" customHeight="1" x14ac:dyDescent="0.25">
      <c r="A50" s="28"/>
      <c r="B50" s="117"/>
      <c r="C50" s="118"/>
      <c r="D50" s="119"/>
      <c r="E50" s="120"/>
      <c r="F50" s="119"/>
      <c r="G50" s="120"/>
      <c r="H50" s="123"/>
      <c r="I50" s="124"/>
      <c r="J50" s="124"/>
      <c r="K50" s="124"/>
      <c r="L50" s="112"/>
      <c r="M50" s="113"/>
      <c r="N50" s="114"/>
      <c r="O50" s="113"/>
      <c r="P50" s="113"/>
      <c r="Q50" s="114"/>
      <c r="R50" s="121"/>
      <c r="S50" s="121"/>
      <c r="T50" s="121"/>
      <c r="U50" s="121"/>
      <c r="V50" s="121"/>
      <c r="W50" s="121"/>
      <c r="X50" s="121"/>
      <c r="Y50" s="122"/>
      <c r="Z50" s="27"/>
    </row>
    <row r="51" spans="1:29" ht="17.25" customHeight="1" x14ac:dyDescent="0.25">
      <c r="A51" s="28"/>
      <c r="B51" s="106"/>
      <c r="C51" s="107"/>
      <c r="D51" s="108"/>
      <c r="E51" s="109"/>
      <c r="F51" s="108"/>
      <c r="G51" s="109"/>
      <c r="H51" s="110"/>
      <c r="I51" s="111"/>
      <c r="J51" s="111"/>
      <c r="K51" s="111"/>
      <c r="L51" s="214"/>
      <c r="M51" s="213"/>
      <c r="N51" s="212"/>
      <c r="O51" s="213"/>
      <c r="P51" s="213"/>
      <c r="Q51" s="212"/>
      <c r="R51" s="115"/>
      <c r="S51" s="115"/>
      <c r="T51" s="115"/>
      <c r="U51" s="115"/>
      <c r="V51" s="115"/>
      <c r="W51" s="115"/>
      <c r="X51" s="115"/>
      <c r="Y51" s="116"/>
      <c r="Z51" s="27"/>
    </row>
    <row r="52" spans="1:29" ht="16.5" customHeight="1" thickBot="1" x14ac:dyDescent="0.3">
      <c r="A52" s="28"/>
      <c r="B52" s="58" t="s">
        <v>12</v>
      </c>
      <c r="C52" s="59"/>
      <c r="D52" s="59"/>
      <c r="E52" s="59"/>
      <c r="F52" s="59"/>
      <c r="G52" s="59"/>
      <c r="H52" s="59"/>
      <c r="I52" s="60">
        <v>2.2999999999999998</v>
      </c>
      <c r="J52" s="60"/>
      <c r="K52" s="60"/>
      <c r="L52" s="61">
        <v>93.23</v>
      </c>
      <c r="M52" s="61"/>
      <c r="N52" s="61"/>
      <c r="O52" s="61">
        <v>6.77</v>
      </c>
      <c r="P52" s="61"/>
      <c r="Q52" s="61"/>
      <c r="R52" s="62"/>
      <c r="S52" s="62"/>
      <c r="T52" s="62"/>
      <c r="U52" s="62"/>
      <c r="V52" s="62"/>
      <c r="W52" s="62"/>
      <c r="X52" s="62"/>
      <c r="Y52" s="63"/>
      <c r="Z52" s="27"/>
    </row>
    <row r="53" spans="1:29" ht="25.5" customHeight="1" thickBot="1" x14ac:dyDescent="0.3">
      <c r="A53" s="28"/>
      <c r="B53" s="64" t="s">
        <v>11</v>
      </c>
      <c r="C53" s="65"/>
      <c r="D53" s="65"/>
      <c r="E53" s="65"/>
      <c r="F53" s="65"/>
      <c r="G53" s="65"/>
      <c r="H53" s="65"/>
      <c r="I53" s="66">
        <v>100</v>
      </c>
      <c r="J53" s="66"/>
      <c r="K53" s="66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8"/>
      <c r="Z53" s="27"/>
    </row>
    <row r="54" spans="1:29" ht="15" customHeight="1" x14ac:dyDescent="0.25">
      <c r="A54" s="26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4"/>
    </row>
    <row r="55" spans="1:29" ht="16.5" customHeight="1" x14ac:dyDescent="0.25">
      <c r="S55" s="23"/>
      <c r="T55" s="23"/>
      <c r="U55" s="23"/>
    </row>
    <row r="56" spans="1:29" ht="15.6" customHeight="1" x14ac:dyDescent="0.25">
      <c r="A56" s="22" t="s">
        <v>10</v>
      </c>
      <c r="B56" s="21" t="s">
        <v>9</v>
      </c>
      <c r="C56" s="20"/>
      <c r="D56" s="20"/>
      <c r="E56" s="20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U56" s="18"/>
      <c r="V56" s="17"/>
      <c r="W56" s="17"/>
      <c r="X56" s="17"/>
      <c r="Y56" s="17"/>
      <c r="Z56" s="16"/>
      <c r="AA56" s="2"/>
      <c r="AB56" s="2"/>
      <c r="AC56" s="2"/>
    </row>
    <row r="57" spans="1:29" ht="26.4" customHeight="1" x14ac:dyDescent="0.25">
      <c r="A57" s="82" t="s">
        <v>8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4"/>
      <c r="R57" s="75" t="s">
        <v>7</v>
      </c>
      <c r="S57" s="76"/>
      <c r="T57" s="77"/>
      <c r="U57" s="211" t="s">
        <v>73</v>
      </c>
      <c r="V57" s="210"/>
      <c r="W57" s="210"/>
      <c r="X57" s="209"/>
      <c r="Y57" s="209"/>
      <c r="Z57" s="208"/>
      <c r="AA57" s="2"/>
      <c r="AB57" s="2"/>
      <c r="AC57" s="2"/>
    </row>
    <row r="58" spans="1:29" ht="15.6" customHeight="1" x14ac:dyDescent="0.25">
      <c r="A58" s="89" t="s">
        <v>5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1"/>
      <c r="R58" s="75" t="s">
        <v>4</v>
      </c>
      <c r="S58" s="76"/>
      <c r="T58" s="77"/>
      <c r="U58" s="207" t="s">
        <v>3</v>
      </c>
      <c r="V58" s="206"/>
      <c r="W58" s="206"/>
      <c r="X58" s="205"/>
      <c r="Y58" s="205"/>
      <c r="Z58" s="204"/>
      <c r="AA58" s="2"/>
      <c r="AB58" s="2"/>
      <c r="AC58" s="2"/>
    </row>
    <row r="59" spans="1:29" ht="15.6" customHeight="1" x14ac:dyDescent="0.25">
      <c r="A59" s="92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4"/>
      <c r="R59" s="75"/>
      <c r="S59" s="76"/>
      <c r="T59" s="77"/>
      <c r="U59" s="203"/>
      <c r="V59" s="192"/>
      <c r="W59" s="192"/>
      <c r="X59" s="202"/>
      <c r="Y59" s="202"/>
      <c r="Z59" s="201"/>
      <c r="AA59" s="2"/>
      <c r="AB59" s="2"/>
      <c r="AC59" s="2"/>
    </row>
    <row r="60" spans="1:29" ht="15.6" customHeight="1" x14ac:dyDescent="0.25">
      <c r="A60" s="15" t="s">
        <v>2</v>
      </c>
      <c r="B60" s="14" t="s">
        <v>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3"/>
      <c r="R60" s="75"/>
      <c r="S60" s="76"/>
      <c r="T60" s="77"/>
      <c r="U60" s="200"/>
      <c r="V60" s="199"/>
      <c r="W60" s="199"/>
      <c r="X60" s="198"/>
      <c r="Y60" s="198"/>
      <c r="Z60" s="197"/>
      <c r="AA60" s="2"/>
      <c r="AB60" s="2"/>
      <c r="AC60" s="2"/>
    </row>
    <row r="61" spans="1:29" ht="15.6" customHeight="1" x14ac:dyDescent="0.25">
      <c r="A61" s="69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1"/>
      <c r="R61" s="75" t="s">
        <v>0</v>
      </c>
      <c r="S61" s="76"/>
      <c r="T61" s="77"/>
      <c r="U61" s="196"/>
      <c r="V61" s="195"/>
      <c r="W61" s="195"/>
      <c r="X61" s="195"/>
      <c r="Y61" s="195"/>
      <c r="Z61" s="194"/>
      <c r="AA61" s="2"/>
      <c r="AB61" s="2"/>
      <c r="AC61" s="2"/>
    </row>
    <row r="62" spans="1:29" ht="15.6" customHeight="1" x14ac:dyDescent="0.25">
      <c r="A62" s="69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1"/>
      <c r="R62" s="75"/>
      <c r="S62" s="76"/>
      <c r="T62" s="77"/>
      <c r="U62" s="193"/>
      <c r="V62" s="192"/>
      <c r="W62" s="192"/>
      <c r="X62" s="192"/>
      <c r="Y62" s="192"/>
      <c r="Z62" s="191"/>
      <c r="AA62" s="2"/>
      <c r="AB62" s="2"/>
      <c r="AC62" s="2"/>
    </row>
    <row r="63" spans="1:29" ht="15.6" customHeight="1" x14ac:dyDescent="0.25">
      <c r="A63" s="69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1"/>
      <c r="R63" s="75"/>
      <c r="S63" s="76"/>
      <c r="T63" s="77"/>
      <c r="U63" s="193"/>
      <c r="V63" s="192"/>
      <c r="W63" s="192"/>
      <c r="X63" s="192"/>
      <c r="Y63" s="192"/>
      <c r="Z63" s="191"/>
      <c r="AA63" s="2"/>
      <c r="AB63" s="2"/>
      <c r="AC63" s="2"/>
    </row>
    <row r="64" spans="1:29" ht="15.6" customHeight="1" x14ac:dyDescent="0.25">
      <c r="A64" s="72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4"/>
      <c r="R64" s="78"/>
      <c r="S64" s="79"/>
      <c r="T64" s="80"/>
      <c r="U64" s="190"/>
      <c r="V64" s="189"/>
      <c r="W64" s="189"/>
      <c r="X64" s="189"/>
      <c r="Y64" s="189"/>
      <c r="Z64" s="188"/>
      <c r="AA64" s="2"/>
      <c r="AB64" s="2"/>
      <c r="AC64" s="2"/>
    </row>
    <row r="65" spans="18:29" ht="16.5" customHeight="1" x14ac:dyDescent="0.25">
      <c r="R65" s="4"/>
      <c r="S65" s="4"/>
      <c r="T65" s="4"/>
      <c r="U65" s="3"/>
      <c r="V65" s="3"/>
      <c r="W65" s="3"/>
      <c r="X65" s="3"/>
      <c r="Y65" s="3"/>
      <c r="Z65" s="3"/>
      <c r="AA65" s="2"/>
      <c r="AB65" s="2"/>
      <c r="AC65" s="2"/>
    </row>
  </sheetData>
  <sheetProtection formatCells="0" formatColumns="0" formatRows="0" insertColumns="0" insertRows="0" insertHyperlinks="0" deleteColumns="0" deleteRows="0" selectLockedCells="1" sort="0" autoFilter="0" pivotTables="0"/>
  <mergeCells count="237">
    <mergeCell ref="R49:Y49"/>
    <mergeCell ref="B50:C50"/>
    <mergeCell ref="D50:E50"/>
    <mergeCell ref="F50:H50"/>
    <mergeCell ref="I50:K50"/>
    <mergeCell ref="L50:N50"/>
    <mergeCell ref="O50:Q50"/>
    <mergeCell ref="R50:Y50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L41:N41"/>
    <mergeCell ref="O41:Q41"/>
    <mergeCell ref="R41:Y41"/>
    <mergeCell ref="B42:C42"/>
    <mergeCell ref="D42:E42"/>
    <mergeCell ref="F42:H42"/>
    <mergeCell ref="I42:K42"/>
    <mergeCell ref="L42:N42"/>
    <mergeCell ref="O42:Q42"/>
    <mergeCell ref="R42:Y42"/>
    <mergeCell ref="O27:Q27"/>
    <mergeCell ref="O28:Q28"/>
    <mergeCell ref="L28:N28"/>
    <mergeCell ref="R27:Y28"/>
    <mergeCell ref="H25:P25"/>
    <mergeCell ref="S11:W11"/>
    <mergeCell ref="X11:Y11"/>
    <mergeCell ref="G11:L11"/>
    <mergeCell ref="G12:L12"/>
    <mergeCell ref="A57:Q57"/>
    <mergeCell ref="B27:C27"/>
    <mergeCell ref="B28:C28"/>
    <mergeCell ref="D27:E27"/>
    <mergeCell ref="D28:E28"/>
    <mergeCell ref="D51:E51"/>
    <mergeCell ref="B51:C51"/>
    <mergeCell ref="I53:K53"/>
    <mergeCell ref="L53:Y53"/>
    <mergeCell ref="B52:H52"/>
    <mergeCell ref="O51:Q51"/>
    <mergeCell ref="L51:N51"/>
    <mergeCell ref="V22:X22"/>
    <mergeCell ref="B22:H22"/>
    <mergeCell ref="I22:M22"/>
    <mergeCell ref="A61:Q64"/>
    <mergeCell ref="B53:H53"/>
    <mergeCell ref="O52:Q52"/>
    <mergeCell ref="L52:N52"/>
    <mergeCell ref="I27:K28"/>
    <mergeCell ref="P6:T6"/>
    <mergeCell ref="I5:K5"/>
    <mergeCell ref="I6:K6"/>
    <mergeCell ref="M11:O11"/>
    <mergeCell ref="R57:T57"/>
    <mergeCell ref="A58:Q59"/>
    <mergeCell ref="R58:T60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R52:Y52"/>
    <mergeCell ref="U57:Z57"/>
    <mergeCell ref="U58:Z60"/>
    <mergeCell ref="V62:Y63"/>
    <mergeCell ref="R29:Y29"/>
    <mergeCell ref="F27:H27"/>
    <mergeCell ref="R61:T64"/>
    <mergeCell ref="I51:K51"/>
    <mergeCell ref="F51:H51"/>
    <mergeCell ref="R51:Y51"/>
    <mergeCell ref="B30:C30"/>
    <mergeCell ref="D30:E30"/>
    <mergeCell ref="F30:H30"/>
    <mergeCell ref="I30:K30"/>
    <mergeCell ref="L30:N30"/>
    <mergeCell ref="I52:K52"/>
    <mergeCell ref="B41:C41"/>
    <mergeCell ref="D41:E41"/>
    <mergeCell ref="F41:H41"/>
    <mergeCell ref="I41:K41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O36:Q36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O40:Q40"/>
    <mergeCell ref="R40:Y40"/>
    <mergeCell ref="B40:C40"/>
    <mergeCell ref="D40:E40"/>
    <mergeCell ref="F40:H40"/>
    <mergeCell ref="I40:K40"/>
    <mergeCell ref="L40:N4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A77E-6980-450E-9790-A3DE6B0B2789}">
  <sheetPr>
    <pageSetUpPr fitToPage="1"/>
  </sheetPr>
  <dimension ref="A1:AN73"/>
  <sheetViews>
    <sheetView topLeftCell="A54" workbookViewId="0">
      <selection activeCell="AB12" sqref="AB1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50"/>
      <c r="B1" s="151"/>
      <c r="C1" s="151"/>
      <c r="D1" s="151"/>
      <c r="E1" s="151"/>
      <c r="F1" s="152"/>
      <c r="G1" s="159" t="s">
        <v>64</v>
      </c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1"/>
      <c r="U1" s="162" t="s">
        <v>65</v>
      </c>
      <c r="V1" s="163"/>
      <c r="W1" s="163"/>
      <c r="X1" s="163"/>
      <c r="Y1" s="163"/>
      <c r="Z1" s="164"/>
    </row>
    <row r="2" spans="1:40" ht="13.2" customHeight="1" x14ac:dyDescent="0.25">
      <c r="A2" s="153"/>
      <c r="B2" s="154"/>
      <c r="C2" s="154"/>
      <c r="D2" s="154"/>
      <c r="E2" s="154"/>
      <c r="F2" s="155"/>
      <c r="G2" s="171" t="s">
        <v>63</v>
      </c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3"/>
      <c r="U2" s="165"/>
      <c r="V2" s="166"/>
      <c r="W2" s="166"/>
      <c r="X2" s="166"/>
      <c r="Y2" s="166"/>
      <c r="Z2" s="167"/>
    </row>
    <row r="3" spans="1:40" ht="13.2" customHeight="1" x14ac:dyDescent="0.25">
      <c r="A3" s="153"/>
      <c r="B3" s="154"/>
      <c r="C3" s="154"/>
      <c r="D3" s="154"/>
      <c r="E3" s="154"/>
      <c r="F3" s="155"/>
      <c r="G3" s="171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3"/>
      <c r="U3" s="165"/>
      <c r="V3" s="166"/>
      <c r="W3" s="166"/>
      <c r="X3" s="166"/>
      <c r="Y3" s="166"/>
      <c r="Z3" s="167"/>
    </row>
    <row r="4" spans="1:40" ht="13.2" customHeight="1" x14ac:dyDescent="0.25">
      <c r="A4" s="153"/>
      <c r="B4" s="154"/>
      <c r="C4" s="154"/>
      <c r="D4" s="154"/>
      <c r="E4" s="154"/>
      <c r="F4" s="155"/>
      <c r="G4" s="171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3"/>
      <c r="U4" s="165"/>
      <c r="V4" s="166"/>
      <c r="W4" s="166"/>
      <c r="X4" s="166"/>
      <c r="Y4" s="166"/>
      <c r="Z4" s="167"/>
    </row>
    <row r="5" spans="1:40" ht="15" customHeight="1" x14ac:dyDescent="0.25">
      <c r="A5" s="153"/>
      <c r="B5" s="154"/>
      <c r="C5" s="154"/>
      <c r="D5" s="154"/>
      <c r="E5" s="154"/>
      <c r="F5" s="155"/>
      <c r="G5" s="89" t="s">
        <v>62</v>
      </c>
      <c r="H5" s="90"/>
      <c r="I5" s="174">
        <v>3</v>
      </c>
      <c r="J5" s="174"/>
      <c r="K5" s="175"/>
      <c r="L5" s="176" t="s">
        <v>66</v>
      </c>
      <c r="M5" s="177"/>
      <c r="N5" s="177"/>
      <c r="O5" s="178"/>
      <c r="P5" s="179">
        <v>45980</v>
      </c>
      <c r="Q5" s="180"/>
      <c r="R5" s="180"/>
      <c r="S5" s="180"/>
      <c r="T5" s="181"/>
      <c r="U5" s="165"/>
      <c r="V5" s="166"/>
      <c r="W5" s="166"/>
      <c r="X5" s="166"/>
      <c r="Y5" s="166"/>
      <c r="Z5" s="167"/>
    </row>
    <row r="6" spans="1:40" ht="13.2" customHeight="1" x14ac:dyDescent="0.25">
      <c r="A6" s="156"/>
      <c r="B6" s="157"/>
      <c r="C6" s="157"/>
      <c r="D6" s="157"/>
      <c r="E6" s="157"/>
      <c r="F6" s="158"/>
      <c r="G6" s="26"/>
      <c r="H6" s="57"/>
      <c r="I6" s="182" t="s">
        <v>61</v>
      </c>
      <c r="J6" s="182"/>
      <c r="K6" s="182"/>
      <c r="L6" s="182" t="s">
        <v>60</v>
      </c>
      <c r="M6" s="182"/>
      <c r="N6" s="182"/>
      <c r="O6" s="182"/>
      <c r="P6" s="182" t="s">
        <v>59</v>
      </c>
      <c r="Q6" s="182"/>
      <c r="R6" s="182"/>
      <c r="S6" s="182"/>
      <c r="T6" s="183"/>
      <c r="U6" s="168"/>
      <c r="V6" s="169"/>
      <c r="W6" s="169"/>
      <c r="X6" s="169"/>
      <c r="Y6" s="169"/>
      <c r="Z6" s="170"/>
    </row>
    <row r="7" spans="1:40" ht="36.75" customHeight="1" x14ac:dyDescent="0.25">
      <c r="A7" s="184" t="s">
        <v>58</v>
      </c>
      <c r="B7" s="184"/>
      <c r="C7" s="184"/>
      <c r="D7" s="184"/>
      <c r="E7" s="184"/>
      <c r="F7" s="184"/>
      <c r="G7" s="185" t="s">
        <v>57</v>
      </c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</row>
    <row r="8" spans="1:40" ht="15.6" customHeight="1" x14ac:dyDescent="0.25">
      <c r="A8" s="42" t="s">
        <v>56</v>
      </c>
      <c r="B8" s="41" t="s">
        <v>55</v>
      </c>
      <c r="C8" s="38"/>
      <c r="D8" s="40"/>
      <c r="E8" s="40"/>
      <c r="F8" s="40"/>
      <c r="G8" s="40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7"/>
    </row>
    <row r="9" spans="1:40" ht="6" customHeight="1" x14ac:dyDescent="0.25">
      <c r="A9" s="28"/>
      <c r="D9" s="56"/>
      <c r="E9" s="56"/>
      <c r="F9" s="56"/>
      <c r="G9" s="56"/>
      <c r="Z9" s="27"/>
    </row>
    <row r="10" spans="1:40" ht="15" customHeight="1" x14ac:dyDescent="0.25">
      <c r="A10" s="28"/>
      <c r="B10" s="143" t="s">
        <v>54</v>
      </c>
      <c r="C10" s="143"/>
      <c r="D10" s="143"/>
      <c r="E10" s="143"/>
      <c r="F10" s="143"/>
      <c r="G10" s="148" t="s">
        <v>53</v>
      </c>
      <c r="H10" s="148"/>
      <c r="I10" s="148"/>
      <c r="J10" s="148"/>
      <c r="K10" s="148"/>
      <c r="L10" s="148"/>
      <c r="M10" s="143" t="s">
        <v>52</v>
      </c>
      <c r="N10" s="143"/>
      <c r="O10" s="143"/>
      <c r="P10" s="143"/>
      <c r="Q10" s="143"/>
      <c r="R10" s="143"/>
      <c r="S10" s="142" t="s">
        <v>51</v>
      </c>
      <c r="T10" s="142"/>
      <c r="U10" s="142"/>
      <c r="V10" s="142"/>
      <c r="W10" s="142"/>
      <c r="X10" s="142"/>
      <c r="Y10" s="142"/>
      <c r="Z10" s="45"/>
    </row>
    <row r="11" spans="1:40" ht="15" customHeight="1" x14ac:dyDescent="0.25">
      <c r="A11" s="28"/>
      <c r="B11" s="143" t="s">
        <v>50</v>
      </c>
      <c r="C11" s="143"/>
      <c r="D11" s="143"/>
      <c r="E11" s="143"/>
      <c r="F11" s="143"/>
      <c r="G11" s="148" t="s">
        <v>78</v>
      </c>
      <c r="H11" s="148"/>
      <c r="I11" s="148"/>
      <c r="J11" s="148"/>
      <c r="K11" s="148"/>
      <c r="L11" s="148"/>
      <c r="M11" s="143" t="s">
        <v>49</v>
      </c>
      <c r="N11" s="143"/>
      <c r="O11" s="143"/>
      <c r="P11" s="147">
        <v>222</v>
      </c>
      <c r="Q11" s="147"/>
      <c r="R11" s="147"/>
      <c r="S11" s="143" t="s">
        <v>48</v>
      </c>
      <c r="T11" s="143"/>
      <c r="U11" s="143"/>
      <c r="V11" s="143"/>
      <c r="W11" s="143"/>
      <c r="X11" s="147" t="s">
        <v>68</v>
      </c>
      <c r="Y11" s="147"/>
      <c r="Z11" s="45"/>
    </row>
    <row r="12" spans="1:40" ht="15" customHeight="1" x14ac:dyDescent="0.25">
      <c r="A12" s="28"/>
      <c r="B12" s="143" t="s">
        <v>47</v>
      </c>
      <c r="C12" s="143"/>
      <c r="D12" s="143"/>
      <c r="E12" s="143"/>
      <c r="F12" s="143"/>
      <c r="G12" s="148" t="s">
        <v>46</v>
      </c>
      <c r="H12" s="148"/>
      <c r="I12" s="148"/>
      <c r="J12" s="148"/>
      <c r="K12" s="148"/>
      <c r="L12" s="148"/>
      <c r="M12" s="143" t="s">
        <v>45</v>
      </c>
      <c r="N12" s="143"/>
      <c r="O12" s="143"/>
      <c r="P12" s="143"/>
      <c r="Q12" s="143"/>
      <c r="R12" s="143"/>
      <c r="S12" s="142" t="s">
        <v>79</v>
      </c>
      <c r="T12" s="142"/>
      <c r="U12" s="142"/>
      <c r="V12" s="142"/>
      <c r="W12" s="142"/>
      <c r="X12" s="142"/>
      <c r="Y12" s="142"/>
      <c r="Z12" s="45"/>
    </row>
    <row r="13" spans="1:40" ht="15" customHeight="1" x14ac:dyDescent="0.25">
      <c r="A13" s="28"/>
      <c r="B13" s="143" t="s">
        <v>44</v>
      </c>
      <c r="C13" s="143"/>
      <c r="D13" s="143"/>
      <c r="E13" s="143"/>
      <c r="F13" s="143"/>
      <c r="G13" s="149">
        <v>45979</v>
      </c>
      <c r="H13" s="148"/>
      <c r="I13" s="148"/>
      <c r="J13" s="148"/>
      <c r="K13" s="148"/>
      <c r="L13" s="148"/>
      <c r="M13" s="143" t="s">
        <v>43</v>
      </c>
      <c r="N13" s="143"/>
      <c r="O13" s="143"/>
      <c r="P13" s="143"/>
      <c r="Q13" s="143"/>
      <c r="R13" s="143"/>
      <c r="S13" s="143" t="s">
        <v>77</v>
      </c>
      <c r="T13" s="143"/>
      <c r="U13" s="143"/>
      <c r="V13" s="143"/>
      <c r="W13" s="143"/>
      <c r="X13" s="143"/>
      <c r="Y13" s="143"/>
      <c r="Z13" s="45"/>
    </row>
    <row r="14" spans="1:40" ht="15" customHeight="1" x14ac:dyDescent="0.25">
      <c r="A14" s="28"/>
      <c r="B14" s="143" t="s">
        <v>42</v>
      </c>
      <c r="C14" s="143"/>
      <c r="D14" s="143"/>
      <c r="E14" s="143"/>
      <c r="F14" s="143"/>
      <c r="G14" s="148" t="s">
        <v>41</v>
      </c>
      <c r="H14" s="148"/>
      <c r="I14" s="148"/>
      <c r="J14" s="148"/>
      <c r="K14" s="148"/>
      <c r="L14" s="148"/>
      <c r="M14" s="143" t="s">
        <v>40</v>
      </c>
      <c r="N14" s="143"/>
      <c r="O14" s="143"/>
      <c r="P14" s="143"/>
      <c r="Q14" s="143"/>
      <c r="R14" s="143"/>
      <c r="S14" s="143" t="s">
        <v>76</v>
      </c>
      <c r="T14" s="143"/>
      <c r="U14" s="143"/>
      <c r="V14" s="143"/>
      <c r="W14" s="143"/>
      <c r="X14" s="143"/>
      <c r="Y14" s="143"/>
      <c r="Z14" s="45"/>
    </row>
    <row r="15" spans="1:40" ht="15" customHeight="1" x14ac:dyDescent="0.25">
      <c r="A15" s="28"/>
      <c r="B15" s="141" t="s">
        <v>39</v>
      </c>
      <c r="C15" s="141"/>
      <c r="D15" s="141"/>
      <c r="E15" s="141"/>
      <c r="F15" s="141"/>
      <c r="G15" s="142" t="s">
        <v>38</v>
      </c>
      <c r="H15" s="142"/>
      <c r="I15" s="142"/>
      <c r="J15" s="142"/>
      <c r="K15" s="142"/>
      <c r="L15" s="142"/>
      <c r="M15" s="143" t="s">
        <v>37</v>
      </c>
      <c r="N15" s="143"/>
      <c r="O15" s="143"/>
      <c r="P15" s="143"/>
      <c r="Q15" s="143"/>
      <c r="R15" s="143"/>
      <c r="S15" s="143" t="s">
        <v>75</v>
      </c>
      <c r="T15" s="143"/>
      <c r="U15" s="143"/>
      <c r="V15" s="143"/>
      <c r="W15" s="143"/>
      <c r="X15" s="143"/>
      <c r="Y15" s="143"/>
      <c r="Z15" s="45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</row>
    <row r="16" spans="1:40" ht="15" customHeight="1" x14ac:dyDescent="0.25">
      <c r="A16" s="28"/>
      <c r="B16" s="141" t="s">
        <v>36</v>
      </c>
      <c r="C16" s="141"/>
      <c r="D16" s="141"/>
      <c r="E16" s="141"/>
      <c r="F16" s="141"/>
      <c r="G16" s="46" t="s">
        <v>74</v>
      </c>
      <c r="H16" s="46"/>
      <c r="I16" s="46"/>
      <c r="J16" s="46"/>
      <c r="K16" s="46"/>
      <c r="L16" s="46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51"/>
    </row>
    <row r="17" spans="1:28" ht="6" customHeight="1" x14ac:dyDescent="0.25">
      <c r="A17" s="26"/>
      <c r="B17" s="44"/>
      <c r="C17" s="44"/>
      <c r="D17" s="25"/>
      <c r="E17" s="25"/>
      <c r="F17" s="25"/>
      <c r="G17" s="25"/>
      <c r="H17" s="44"/>
      <c r="I17" s="44"/>
      <c r="J17" s="44"/>
      <c r="K17" s="44"/>
      <c r="L17" s="44"/>
      <c r="M17" s="44"/>
      <c r="N17" s="55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24"/>
    </row>
    <row r="18" spans="1:28" ht="15" customHeight="1" x14ac:dyDescent="0.25">
      <c r="B18" s="53"/>
      <c r="C18" s="53"/>
      <c r="K18" s="54"/>
      <c r="L18" s="53"/>
      <c r="M18" s="52"/>
      <c r="V18" s="47"/>
      <c r="W18" s="47"/>
      <c r="X18" s="47"/>
      <c r="Y18" s="47"/>
      <c r="Z18" s="47"/>
      <c r="AA18" s="47"/>
      <c r="AB18" s="51"/>
    </row>
    <row r="19" spans="1:28" ht="15.6" customHeight="1" x14ac:dyDescent="0.25">
      <c r="A19" s="42" t="s">
        <v>35</v>
      </c>
      <c r="B19" s="41" t="s">
        <v>34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7"/>
    </row>
    <row r="20" spans="1:28" ht="6" customHeight="1" x14ac:dyDescent="0.25">
      <c r="A20" s="28"/>
      <c r="B20" s="50"/>
      <c r="Z20" s="27"/>
    </row>
    <row r="21" spans="1:28" ht="13.8" customHeight="1" x14ac:dyDescent="0.25">
      <c r="A21" s="28"/>
      <c r="B21" s="143" t="s">
        <v>33</v>
      </c>
      <c r="C21" s="143"/>
      <c r="D21" s="143"/>
      <c r="E21" s="143"/>
      <c r="F21" s="143"/>
      <c r="G21" s="143"/>
      <c r="H21" s="143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45"/>
    </row>
    <row r="22" spans="1:28" ht="15" customHeight="1" x14ac:dyDescent="0.25">
      <c r="A22" s="28"/>
      <c r="B22" s="143" t="s">
        <v>32</v>
      </c>
      <c r="C22" s="143"/>
      <c r="D22" s="143"/>
      <c r="E22" s="143"/>
      <c r="F22" s="143"/>
      <c r="G22" s="143"/>
      <c r="H22" s="143"/>
      <c r="I22" s="147"/>
      <c r="J22" s="147"/>
      <c r="K22" s="147"/>
      <c r="L22" s="147"/>
      <c r="M22" s="147"/>
      <c r="N22" s="49">
        <v>0</v>
      </c>
      <c r="O22" s="146" t="s">
        <v>31</v>
      </c>
      <c r="P22" s="146"/>
      <c r="Q22" s="146"/>
      <c r="R22" s="48" t="s">
        <v>30</v>
      </c>
      <c r="S22" s="47"/>
      <c r="T22" s="47"/>
      <c r="U22" s="47"/>
      <c r="V22" s="146"/>
      <c r="W22" s="146"/>
      <c r="X22" s="146"/>
      <c r="Y22" s="46"/>
      <c r="Z22" s="45"/>
    </row>
    <row r="23" spans="1:28" ht="5.25" customHeight="1" x14ac:dyDescent="0.25">
      <c r="A23" s="26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24"/>
    </row>
    <row r="24" spans="1:28" x14ac:dyDescent="0.25">
      <c r="C24" s="43"/>
    </row>
    <row r="25" spans="1:28" ht="15.6" customHeight="1" x14ac:dyDescent="0.25">
      <c r="A25" s="42" t="s">
        <v>29</v>
      </c>
      <c r="B25" s="41" t="s">
        <v>28</v>
      </c>
      <c r="C25" s="38"/>
      <c r="D25" s="40"/>
      <c r="E25" s="40"/>
      <c r="F25" s="40"/>
      <c r="G25" s="40"/>
      <c r="H25" s="130" t="s">
        <v>27</v>
      </c>
      <c r="I25" s="130"/>
      <c r="J25" s="130"/>
      <c r="K25" s="130"/>
      <c r="L25" s="130"/>
      <c r="M25" s="130"/>
      <c r="N25" s="130"/>
      <c r="O25" s="130"/>
      <c r="P25" s="130"/>
      <c r="Q25" s="131">
        <v>2.4649999999999999</v>
      </c>
      <c r="R25" s="131"/>
      <c r="S25" s="131"/>
      <c r="T25" s="131"/>
      <c r="U25" s="39" t="s">
        <v>26</v>
      </c>
      <c r="V25" s="38"/>
      <c r="W25" s="38"/>
      <c r="X25" s="38"/>
      <c r="Y25" s="38"/>
      <c r="Z25" s="37"/>
    </row>
    <row r="26" spans="1:28" ht="13.8" customHeight="1" thickBot="1" x14ac:dyDescent="0.3">
      <c r="A26" s="28"/>
      <c r="Z26" s="27"/>
    </row>
    <row r="27" spans="1:28" ht="15.75" customHeight="1" x14ac:dyDescent="0.25">
      <c r="A27" s="28"/>
      <c r="B27" s="132" t="s">
        <v>25</v>
      </c>
      <c r="C27" s="133"/>
      <c r="D27" s="134" t="s">
        <v>24</v>
      </c>
      <c r="E27" s="135"/>
      <c r="F27" s="136" t="s">
        <v>23</v>
      </c>
      <c r="G27" s="136"/>
      <c r="H27" s="136"/>
      <c r="I27" s="137" t="s">
        <v>22</v>
      </c>
      <c r="J27" s="133"/>
      <c r="K27" s="133"/>
      <c r="L27" s="137" t="s">
        <v>21</v>
      </c>
      <c r="M27" s="133"/>
      <c r="N27" s="138"/>
      <c r="O27" s="137" t="s">
        <v>20</v>
      </c>
      <c r="P27" s="133"/>
      <c r="Q27" s="138"/>
      <c r="R27" s="137" t="s">
        <v>19</v>
      </c>
      <c r="S27" s="133"/>
      <c r="T27" s="133"/>
      <c r="U27" s="133"/>
      <c r="V27" s="133"/>
      <c r="W27" s="133"/>
      <c r="X27" s="133"/>
      <c r="Y27" s="139"/>
      <c r="Z27" s="27"/>
    </row>
    <row r="28" spans="1:28" ht="36" customHeight="1" x14ac:dyDescent="0.25">
      <c r="A28" s="28"/>
      <c r="B28" s="144" t="s">
        <v>18</v>
      </c>
      <c r="C28" s="145"/>
      <c r="D28" s="125" t="s">
        <v>17</v>
      </c>
      <c r="E28" s="126"/>
      <c r="F28" s="36" t="s">
        <v>16</v>
      </c>
      <c r="G28" s="36" t="s">
        <v>15</v>
      </c>
      <c r="H28" s="36" t="s">
        <v>14</v>
      </c>
      <c r="I28" s="127"/>
      <c r="J28" s="128"/>
      <c r="K28" s="128"/>
      <c r="L28" s="127" t="s">
        <v>13</v>
      </c>
      <c r="M28" s="128"/>
      <c r="N28" s="129"/>
      <c r="O28" s="127" t="s">
        <v>13</v>
      </c>
      <c r="P28" s="128"/>
      <c r="Q28" s="129"/>
      <c r="R28" s="127"/>
      <c r="S28" s="128"/>
      <c r="T28" s="128"/>
      <c r="U28" s="128"/>
      <c r="V28" s="128"/>
      <c r="W28" s="128"/>
      <c r="X28" s="128"/>
      <c r="Y28" s="140"/>
      <c r="Z28" s="27"/>
    </row>
    <row r="29" spans="1:28" ht="16.8" customHeight="1" x14ac:dyDescent="0.25">
      <c r="A29" s="28"/>
      <c r="B29" s="117">
        <v>1</v>
      </c>
      <c r="C29" s="118"/>
      <c r="D29" s="119"/>
      <c r="E29" s="120"/>
      <c r="F29" s="119"/>
      <c r="G29" s="120"/>
      <c r="H29" s="123"/>
      <c r="I29" s="124">
        <v>2.3029999999999999</v>
      </c>
      <c r="J29" s="124"/>
      <c r="K29" s="124"/>
      <c r="L29" s="112">
        <v>93.4</v>
      </c>
      <c r="M29" s="113"/>
      <c r="N29" s="114"/>
      <c r="O29" s="113">
        <v>6.6</v>
      </c>
      <c r="P29" s="113"/>
      <c r="Q29" s="114"/>
      <c r="R29" s="121"/>
      <c r="S29" s="121"/>
      <c r="T29" s="121"/>
      <c r="U29" s="121"/>
      <c r="V29" s="121"/>
      <c r="W29" s="121"/>
      <c r="X29" s="121"/>
      <c r="Y29" s="122"/>
      <c r="Z29" s="27"/>
    </row>
    <row r="30" spans="1:28" ht="16.8" customHeight="1" x14ac:dyDescent="0.25">
      <c r="A30" s="28"/>
      <c r="B30" s="117">
        <v>2</v>
      </c>
      <c r="C30" s="118"/>
      <c r="D30" s="119"/>
      <c r="E30" s="120"/>
      <c r="F30" s="119"/>
      <c r="G30" s="120"/>
      <c r="H30" s="123"/>
      <c r="I30" s="124">
        <v>2.3559999999999999</v>
      </c>
      <c r="J30" s="124"/>
      <c r="K30" s="124"/>
      <c r="L30" s="112">
        <v>95.6</v>
      </c>
      <c r="M30" s="113"/>
      <c r="N30" s="114"/>
      <c r="O30" s="113">
        <v>4.4000000000000004</v>
      </c>
      <c r="P30" s="113"/>
      <c r="Q30" s="114"/>
      <c r="R30" s="121"/>
      <c r="S30" s="121"/>
      <c r="T30" s="121"/>
      <c r="U30" s="121"/>
      <c r="V30" s="121"/>
      <c r="W30" s="121"/>
      <c r="X30" s="121"/>
      <c r="Y30" s="122"/>
      <c r="Z30" s="27"/>
    </row>
    <row r="31" spans="1:28" ht="16.8" customHeight="1" x14ac:dyDescent="0.25">
      <c r="A31" s="28"/>
      <c r="B31" s="117">
        <v>3</v>
      </c>
      <c r="C31" s="118"/>
      <c r="D31" s="119"/>
      <c r="E31" s="120"/>
      <c r="F31" s="119"/>
      <c r="G31" s="120"/>
      <c r="H31" s="123"/>
      <c r="I31" s="124">
        <v>2.2690000000000001</v>
      </c>
      <c r="J31" s="124"/>
      <c r="K31" s="124"/>
      <c r="L31" s="112">
        <v>92</v>
      </c>
      <c r="M31" s="113"/>
      <c r="N31" s="114"/>
      <c r="O31" s="113">
        <v>8</v>
      </c>
      <c r="P31" s="113"/>
      <c r="Q31" s="114"/>
      <c r="R31" s="121"/>
      <c r="S31" s="121"/>
      <c r="T31" s="121"/>
      <c r="U31" s="121"/>
      <c r="V31" s="121"/>
      <c r="W31" s="121"/>
      <c r="X31" s="121"/>
      <c r="Y31" s="122"/>
      <c r="Z31" s="27"/>
    </row>
    <row r="32" spans="1:28" ht="16.8" customHeight="1" x14ac:dyDescent="0.25">
      <c r="A32" s="28"/>
      <c r="B32" s="117">
        <v>4</v>
      </c>
      <c r="C32" s="118"/>
      <c r="D32" s="119"/>
      <c r="E32" s="120"/>
      <c r="F32" s="119"/>
      <c r="G32" s="120"/>
      <c r="H32" s="123"/>
      <c r="I32" s="124">
        <v>2.2669999999999999</v>
      </c>
      <c r="J32" s="124"/>
      <c r="K32" s="124"/>
      <c r="L32" s="112">
        <v>92</v>
      </c>
      <c r="M32" s="113"/>
      <c r="N32" s="114"/>
      <c r="O32" s="113">
        <v>8</v>
      </c>
      <c r="P32" s="113"/>
      <c r="Q32" s="114"/>
      <c r="R32" s="121"/>
      <c r="S32" s="121"/>
      <c r="T32" s="121"/>
      <c r="U32" s="121"/>
      <c r="V32" s="121"/>
      <c r="W32" s="121"/>
      <c r="X32" s="121"/>
      <c r="Y32" s="122"/>
      <c r="Z32" s="27"/>
    </row>
    <row r="33" spans="1:26" ht="16.8" customHeight="1" x14ac:dyDescent="0.25">
      <c r="A33" s="28"/>
      <c r="B33" s="117">
        <v>5</v>
      </c>
      <c r="C33" s="118"/>
      <c r="D33" s="119"/>
      <c r="E33" s="120"/>
      <c r="F33" s="119"/>
      <c r="G33" s="120"/>
      <c r="H33" s="123"/>
      <c r="I33" s="124">
        <v>2.2919999999999998</v>
      </c>
      <c r="J33" s="124"/>
      <c r="K33" s="124"/>
      <c r="L33" s="112">
        <v>93</v>
      </c>
      <c r="M33" s="113"/>
      <c r="N33" s="114"/>
      <c r="O33" s="113">
        <v>7</v>
      </c>
      <c r="P33" s="113"/>
      <c r="Q33" s="114"/>
      <c r="R33" s="121"/>
      <c r="S33" s="121"/>
      <c r="T33" s="121"/>
      <c r="U33" s="121"/>
      <c r="V33" s="121"/>
      <c r="W33" s="121"/>
      <c r="X33" s="121"/>
      <c r="Y33" s="122"/>
      <c r="Z33" s="27"/>
    </row>
    <row r="34" spans="1:26" ht="16.8" customHeight="1" x14ac:dyDescent="0.25">
      <c r="A34" s="28"/>
      <c r="B34" s="117">
        <v>6</v>
      </c>
      <c r="C34" s="118"/>
      <c r="D34" s="119"/>
      <c r="E34" s="120"/>
      <c r="F34" s="119"/>
      <c r="G34" s="120"/>
      <c r="H34" s="123"/>
      <c r="I34" s="124">
        <v>2.274</v>
      </c>
      <c r="J34" s="124"/>
      <c r="K34" s="124"/>
      <c r="L34" s="112">
        <v>92.3</v>
      </c>
      <c r="M34" s="113"/>
      <c r="N34" s="114"/>
      <c r="O34" s="113">
        <v>7.7</v>
      </c>
      <c r="P34" s="113"/>
      <c r="Q34" s="114"/>
      <c r="R34" s="121"/>
      <c r="S34" s="121"/>
      <c r="T34" s="121"/>
      <c r="U34" s="121"/>
      <c r="V34" s="121"/>
      <c r="W34" s="121"/>
      <c r="X34" s="121"/>
      <c r="Y34" s="122"/>
      <c r="Z34" s="27"/>
    </row>
    <row r="35" spans="1:26" ht="16.8" customHeight="1" x14ac:dyDescent="0.25">
      <c r="A35" s="28"/>
      <c r="B35" s="117">
        <v>7</v>
      </c>
      <c r="C35" s="118"/>
      <c r="D35" s="119"/>
      <c r="E35" s="120"/>
      <c r="F35" s="119"/>
      <c r="G35" s="120"/>
      <c r="H35" s="123"/>
      <c r="I35" s="124">
        <v>2.2869999999999999</v>
      </c>
      <c r="J35" s="124"/>
      <c r="K35" s="124"/>
      <c r="L35" s="112">
        <v>92.8</v>
      </c>
      <c r="M35" s="113"/>
      <c r="N35" s="114"/>
      <c r="O35" s="113">
        <v>7.2</v>
      </c>
      <c r="P35" s="113"/>
      <c r="Q35" s="114"/>
      <c r="R35" s="121"/>
      <c r="S35" s="121"/>
      <c r="T35" s="121"/>
      <c r="U35" s="121"/>
      <c r="V35" s="121"/>
      <c r="W35" s="121"/>
      <c r="X35" s="121"/>
      <c r="Y35" s="122"/>
      <c r="Z35" s="27"/>
    </row>
    <row r="36" spans="1:26" ht="16.8" customHeight="1" x14ac:dyDescent="0.25">
      <c r="A36" s="28"/>
      <c r="B36" s="117">
        <v>8</v>
      </c>
      <c r="C36" s="118"/>
      <c r="D36" s="119"/>
      <c r="E36" s="120"/>
      <c r="F36" s="119"/>
      <c r="G36" s="120"/>
      <c r="H36" s="123"/>
      <c r="I36" s="124">
        <v>2.2789999999999999</v>
      </c>
      <c r="J36" s="124"/>
      <c r="K36" s="124"/>
      <c r="L36" s="112">
        <v>92.5</v>
      </c>
      <c r="M36" s="113"/>
      <c r="N36" s="114"/>
      <c r="O36" s="113">
        <v>7.5</v>
      </c>
      <c r="P36" s="113"/>
      <c r="Q36" s="114"/>
      <c r="R36" s="121"/>
      <c r="S36" s="121"/>
      <c r="T36" s="121"/>
      <c r="U36" s="121"/>
      <c r="V36" s="121"/>
      <c r="W36" s="121"/>
      <c r="X36" s="121"/>
      <c r="Y36" s="122"/>
      <c r="Z36" s="27"/>
    </row>
    <row r="37" spans="1:26" ht="16.8" customHeight="1" x14ac:dyDescent="0.25">
      <c r="A37" s="28"/>
      <c r="B37" s="117">
        <v>9</v>
      </c>
      <c r="C37" s="118"/>
      <c r="D37" s="119"/>
      <c r="E37" s="120"/>
      <c r="F37" s="119"/>
      <c r="G37" s="120"/>
      <c r="H37" s="123"/>
      <c r="I37" s="124">
        <v>2.2930000000000001</v>
      </c>
      <c r="J37" s="124"/>
      <c r="K37" s="124"/>
      <c r="L37" s="112">
        <v>93</v>
      </c>
      <c r="M37" s="113"/>
      <c r="N37" s="114"/>
      <c r="O37" s="113">
        <v>7</v>
      </c>
      <c r="P37" s="113"/>
      <c r="Q37" s="114"/>
      <c r="R37" s="121"/>
      <c r="S37" s="121"/>
      <c r="T37" s="121"/>
      <c r="U37" s="121"/>
      <c r="V37" s="121"/>
      <c r="W37" s="121"/>
      <c r="X37" s="121"/>
      <c r="Y37" s="122"/>
      <c r="Z37" s="27"/>
    </row>
    <row r="38" spans="1:26" ht="16.8" customHeight="1" x14ac:dyDescent="0.25">
      <c r="A38" s="28"/>
      <c r="B38" s="117">
        <v>10</v>
      </c>
      <c r="C38" s="118"/>
      <c r="D38" s="119"/>
      <c r="E38" s="120"/>
      <c r="F38" s="119"/>
      <c r="G38" s="120"/>
      <c r="H38" s="123"/>
      <c r="I38" s="124">
        <v>2.2639999999999998</v>
      </c>
      <c r="J38" s="124"/>
      <c r="K38" s="124"/>
      <c r="L38" s="112">
        <v>91.8</v>
      </c>
      <c r="M38" s="113"/>
      <c r="N38" s="114"/>
      <c r="O38" s="113">
        <v>8.1999999999999993</v>
      </c>
      <c r="P38" s="113"/>
      <c r="Q38" s="114"/>
      <c r="R38" s="121"/>
      <c r="S38" s="121"/>
      <c r="T38" s="121"/>
      <c r="U38" s="121"/>
      <c r="V38" s="121"/>
      <c r="W38" s="121"/>
      <c r="X38" s="121"/>
      <c r="Y38" s="122"/>
      <c r="Z38" s="27"/>
    </row>
    <row r="39" spans="1:26" ht="16.8" customHeight="1" x14ac:dyDescent="0.25">
      <c r="A39" s="28"/>
      <c r="B39" s="117">
        <v>11</v>
      </c>
      <c r="C39" s="118"/>
      <c r="D39" s="119"/>
      <c r="E39" s="120"/>
      <c r="F39" s="119"/>
      <c r="G39" s="120"/>
      <c r="H39" s="123"/>
      <c r="I39" s="124">
        <v>2.3069999999999999</v>
      </c>
      <c r="J39" s="124"/>
      <c r="K39" s="124"/>
      <c r="L39" s="112">
        <v>93.6</v>
      </c>
      <c r="M39" s="113"/>
      <c r="N39" s="114"/>
      <c r="O39" s="113">
        <v>6.4</v>
      </c>
      <c r="P39" s="113"/>
      <c r="Q39" s="114"/>
      <c r="R39" s="121"/>
      <c r="S39" s="121"/>
      <c r="T39" s="121"/>
      <c r="U39" s="121"/>
      <c r="V39" s="121"/>
      <c r="W39" s="121"/>
      <c r="X39" s="121"/>
      <c r="Y39" s="122"/>
      <c r="Z39" s="27"/>
    </row>
    <row r="40" spans="1:26" ht="16.8" customHeight="1" x14ac:dyDescent="0.25">
      <c r="A40" s="28"/>
      <c r="B40" s="117">
        <v>12</v>
      </c>
      <c r="C40" s="118"/>
      <c r="D40" s="119"/>
      <c r="E40" s="120"/>
      <c r="F40" s="119"/>
      <c r="G40" s="120"/>
      <c r="H40" s="123"/>
      <c r="I40" s="124">
        <v>2.2839999999999998</v>
      </c>
      <c r="J40" s="124"/>
      <c r="K40" s="124"/>
      <c r="L40" s="112">
        <v>92.7</v>
      </c>
      <c r="M40" s="113"/>
      <c r="N40" s="114"/>
      <c r="O40" s="113">
        <v>7.3</v>
      </c>
      <c r="P40" s="113"/>
      <c r="Q40" s="114"/>
      <c r="R40" s="121"/>
      <c r="S40" s="121"/>
      <c r="T40" s="121"/>
      <c r="U40" s="121"/>
      <c r="V40" s="121"/>
      <c r="W40" s="121"/>
      <c r="X40" s="121"/>
      <c r="Y40" s="122"/>
      <c r="Z40" s="27"/>
    </row>
    <row r="41" spans="1:26" ht="16.8" customHeight="1" x14ac:dyDescent="0.25">
      <c r="A41" s="28"/>
      <c r="B41" s="117">
        <v>13</v>
      </c>
      <c r="C41" s="118"/>
      <c r="D41" s="119"/>
      <c r="E41" s="120"/>
      <c r="F41" s="119"/>
      <c r="G41" s="120"/>
      <c r="H41" s="123"/>
      <c r="I41" s="124">
        <v>2.2730000000000001</v>
      </c>
      <c r="J41" s="124"/>
      <c r="K41" s="124"/>
      <c r="L41" s="112">
        <v>92.2</v>
      </c>
      <c r="M41" s="113"/>
      <c r="N41" s="114"/>
      <c r="O41" s="113">
        <v>7.8</v>
      </c>
      <c r="P41" s="113"/>
      <c r="Q41" s="114"/>
      <c r="R41" s="121"/>
      <c r="S41" s="121"/>
      <c r="T41" s="121"/>
      <c r="U41" s="121"/>
      <c r="V41" s="121"/>
      <c r="W41" s="121"/>
      <c r="X41" s="121"/>
      <c r="Y41" s="122"/>
      <c r="Z41" s="27"/>
    </row>
    <row r="42" spans="1:26" ht="16.8" customHeight="1" x14ac:dyDescent="0.25">
      <c r="A42" s="28"/>
      <c r="B42" s="117">
        <v>14</v>
      </c>
      <c r="C42" s="118"/>
      <c r="D42" s="119"/>
      <c r="E42" s="120"/>
      <c r="F42" s="119"/>
      <c r="G42" s="120"/>
      <c r="H42" s="123"/>
      <c r="I42" s="124">
        <v>2.2759999999999998</v>
      </c>
      <c r="J42" s="124"/>
      <c r="K42" s="124"/>
      <c r="L42" s="112">
        <v>92.3</v>
      </c>
      <c r="M42" s="113"/>
      <c r="N42" s="114"/>
      <c r="O42" s="113">
        <v>7.7</v>
      </c>
      <c r="P42" s="113"/>
      <c r="Q42" s="114"/>
      <c r="R42" s="121"/>
      <c r="S42" s="121"/>
      <c r="T42" s="121"/>
      <c r="U42" s="121"/>
      <c r="V42" s="121"/>
      <c r="W42" s="121"/>
      <c r="X42" s="121"/>
      <c r="Y42" s="122"/>
      <c r="Z42" s="27"/>
    </row>
    <row r="43" spans="1:26" ht="16.8" customHeight="1" x14ac:dyDescent="0.25">
      <c r="A43" s="28"/>
      <c r="B43" s="117">
        <v>15</v>
      </c>
      <c r="C43" s="118"/>
      <c r="D43" s="119"/>
      <c r="E43" s="120"/>
      <c r="F43" s="119"/>
      <c r="G43" s="120"/>
      <c r="H43" s="123"/>
      <c r="I43" s="124">
        <v>2.3330000000000002</v>
      </c>
      <c r="J43" s="124"/>
      <c r="K43" s="124"/>
      <c r="L43" s="112">
        <v>94.6</v>
      </c>
      <c r="M43" s="113"/>
      <c r="N43" s="114"/>
      <c r="O43" s="113">
        <v>5.4</v>
      </c>
      <c r="P43" s="113"/>
      <c r="Q43" s="114"/>
      <c r="R43" s="121"/>
      <c r="S43" s="121"/>
      <c r="T43" s="121"/>
      <c r="U43" s="121"/>
      <c r="V43" s="121"/>
      <c r="W43" s="121"/>
      <c r="X43" s="121"/>
      <c r="Y43" s="122"/>
      <c r="Z43" s="27"/>
    </row>
    <row r="44" spans="1:26" ht="16.8" customHeight="1" x14ac:dyDescent="0.25">
      <c r="A44" s="28"/>
      <c r="B44" s="117">
        <v>16</v>
      </c>
      <c r="C44" s="118"/>
      <c r="D44" s="119"/>
      <c r="E44" s="120"/>
      <c r="F44" s="119"/>
      <c r="G44" s="120"/>
      <c r="H44" s="123"/>
      <c r="I44" s="124">
        <v>2.2879999999999998</v>
      </c>
      <c r="J44" s="124"/>
      <c r="K44" s="124"/>
      <c r="L44" s="112">
        <v>92.8</v>
      </c>
      <c r="M44" s="113"/>
      <c r="N44" s="114"/>
      <c r="O44" s="113">
        <v>7.2</v>
      </c>
      <c r="P44" s="113"/>
      <c r="Q44" s="114"/>
      <c r="R44" s="121"/>
      <c r="S44" s="121"/>
      <c r="T44" s="121"/>
      <c r="U44" s="121"/>
      <c r="V44" s="121"/>
      <c r="W44" s="121"/>
      <c r="X44" s="121"/>
      <c r="Y44" s="122"/>
      <c r="Z44" s="27"/>
    </row>
    <row r="45" spans="1:26" ht="16.8" customHeight="1" x14ac:dyDescent="0.25">
      <c r="A45" s="28"/>
      <c r="B45" s="117">
        <v>17</v>
      </c>
      <c r="C45" s="118"/>
      <c r="D45" s="119"/>
      <c r="E45" s="120"/>
      <c r="F45" s="119"/>
      <c r="G45" s="120"/>
      <c r="H45" s="123"/>
      <c r="I45" s="124">
        <v>2.2869999999999999</v>
      </c>
      <c r="J45" s="124"/>
      <c r="K45" s="124"/>
      <c r="L45" s="112">
        <v>92.8</v>
      </c>
      <c r="M45" s="113"/>
      <c r="N45" s="114"/>
      <c r="O45" s="113">
        <v>7.2</v>
      </c>
      <c r="P45" s="113"/>
      <c r="Q45" s="114"/>
      <c r="R45" s="121"/>
      <c r="S45" s="121"/>
      <c r="T45" s="121"/>
      <c r="U45" s="121"/>
      <c r="V45" s="121"/>
      <c r="W45" s="121"/>
      <c r="X45" s="121"/>
      <c r="Y45" s="122"/>
      <c r="Z45" s="27"/>
    </row>
    <row r="46" spans="1:26" ht="16.8" customHeight="1" x14ac:dyDescent="0.25">
      <c r="A46" s="28"/>
      <c r="B46" s="117">
        <v>18</v>
      </c>
      <c r="C46" s="118"/>
      <c r="D46" s="119"/>
      <c r="E46" s="120"/>
      <c r="F46" s="119"/>
      <c r="G46" s="120"/>
      <c r="H46" s="123"/>
      <c r="I46" s="124">
        <v>2.2959999999999998</v>
      </c>
      <c r="J46" s="124"/>
      <c r="K46" s="124"/>
      <c r="L46" s="112">
        <v>93.1</v>
      </c>
      <c r="M46" s="113"/>
      <c r="N46" s="114"/>
      <c r="O46" s="113">
        <v>6.9</v>
      </c>
      <c r="P46" s="113"/>
      <c r="Q46" s="114"/>
      <c r="R46" s="121"/>
      <c r="S46" s="121"/>
      <c r="T46" s="121"/>
      <c r="U46" s="121"/>
      <c r="V46" s="121"/>
      <c r="W46" s="121"/>
      <c r="X46" s="121"/>
      <c r="Y46" s="122"/>
      <c r="Z46" s="27"/>
    </row>
    <row r="47" spans="1:26" ht="16.8" customHeight="1" x14ac:dyDescent="0.25">
      <c r="A47" s="28"/>
      <c r="B47" s="117">
        <v>19</v>
      </c>
      <c r="C47" s="118"/>
      <c r="D47" s="119"/>
      <c r="E47" s="120"/>
      <c r="F47" s="119"/>
      <c r="G47" s="120"/>
      <c r="H47" s="123"/>
      <c r="I47" s="124">
        <v>2.323</v>
      </c>
      <c r="J47" s="124"/>
      <c r="K47" s="124"/>
      <c r="L47" s="112">
        <v>94.2</v>
      </c>
      <c r="M47" s="113"/>
      <c r="N47" s="114"/>
      <c r="O47" s="113">
        <v>5.8</v>
      </c>
      <c r="P47" s="113"/>
      <c r="Q47" s="114"/>
      <c r="R47" s="121"/>
      <c r="S47" s="121"/>
      <c r="T47" s="121"/>
      <c r="U47" s="121"/>
      <c r="V47" s="121"/>
      <c r="W47" s="121"/>
      <c r="X47" s="121"/>
      <c r="Y47" s="122"/>
      <c r="Z47" s="27"/>
    </row>
    <row r="48" spans="1:26" ht="16.8" customHeight="1" x14ac:dyDescent="0.25">
      <c r="A48" s="28"/>
      <c r="B48" s="117">
        <v>20</v>
      </c>
      <c r="C48" s="118"/>
      <c r="D48" s="119"/>
      <c r="E48" s="120"/>
      <c r="F48" s="119"/>
      <c r="G48" s="120"/>
      <c r="H48" s="123"/>
      <c r="I48" s="124">
        <v>2.27</v>
      </c>
      <c r="J48" s="124"/>
      <c r="K48" s="124"/>
      <c r="L48" s="112">
        <v>92.1</v>
      </c>
      <c r="M48" s="113"/>
      <c r="N48" s="114"/>
      <c r="O48" s="113">
        <v>7.9</v>
      </c>
      <c r="P48" s="113"/>
      <c r="Q48" s="114"/>
      <c r="R48" s="121"/>
      <c r="S48" s="121"/>
      <c r="T48" s="121"/>
      <c r="U48" s="121"/>
      <c r="V48" s="121"/>
      <c r="W48" s="121"/>
      <c r="X48" s="121"/>
      <c r="Y48" s="122"/>
      <c r="Z48" s="27"/>
    </row>
    <row r="49" spans="1:29" ht="16.8" customHeight="1" x14ac:dyDescent="0.25">
      <c r="A49" s="28"/>
      <c r="B49" s="117">
        <v>21</v>
      </c>
      <c r="C49" s="118"/>
      <c r="D49" s="119"/>
      <c r="E49" s="120"/>
      <c r="F49" s="119"/>
      <c r="G49" s="120"/>
      <c r="H49" s="123"/>
      <c r="I49" s="124">
        <v>2.3180000000000001</v>
      </c>
      <c r="J49" s="124"/>
      <c r="K49" s="124"/>
      <c r="L49" s="112">
        <v>94</v>
      </c>
      <c r="M49" s="113"/>
      <c r="N49" s="114"/>
      <c r="O49" s="113">
        <v>6</v>
      </c>
      <c r="P49" s="113"/>
      <c r="Q49" s="114"/>
      <c r="R49" s="121"/>
      <c r="S49" s="121"/>
      <c r="T49" s="121"/>
      <c r="U49" s="121"/>
      <c r="V49" s="121"/>
      <c r="W49" s="121"/>
      <c r="X49" s="121"/>
      <c r="Y49" s="122"/>
      <c r="Z49" s="27"/>
    </row>
    <row r="50" spans="1:29" ht="16.8" customHeight="1" x14ac:dyDescent="0.25">
      <c r="A50" s="28"/>
      <c r="B50" s="117">
        <v>22</v>
      </c>
      <c r="C50" s="118"/>
      <c r="D50" s="119"/>
      <c r="E50" s="120"/>
      <c r="F50" s="119"/>
      <c r="G50" s="120"/>
      <c r="H50" s="123"/>
      <c r="I50" s="124">
        <v>2.2730000000000001</v>
      </c>
      <c r="J50" s="124"/>
      <c r="K50" s="124"/>
      <c r="L50" s="112">
        <v>92.2</v>
      </c>
      <c r="M50" s="113"/>
      <c r="N50" s="114"/>
      <c r="O50" s="113">
        <v>7.8</v>
      </c>
      <c r="P50" s="113"/>
      <c r="Q50" s="114"/>
      <c r="R50" s="121"/>
      <c r="S50" s="121"/>
      <c r="T50" s="121"/>
      <c r="U50" s="121"/>
      <c r="V50" s="121"/>
      <c r="W50" s="121"/>
      <c r="X50" s="121"/>
      <c r="Y50" s="122"/>
      <c r="Z50" s="27"/>
    </row>
    <row r="51" spans="1:29" ht="16.8" customHeight="1" x14ac:dyDescent="0.25">
      <c r="A51" s="28"/>
      <c r="B51" s="117">
        <v>23</v>
      </c>
      <c r="C51" s="118"/>
      <c r="D51" s="119"/>
      <c r="E51" s="120"/>
      <c r="F51" s="119"/>
      <c r="G51" s="120"/>
      <c r="H51" s="123"/>
      <c r="I51" s="124">
        <v>2.2810000000000001</v>
      </c>
      <c r="J51" s="124"/>
      <c r="K51" s="124"/>
      <c r="L51" s="112">
        <v>92.5</v>
      </c>
      <c r="M51" s="113"/>
      <c r="N51" s="114"/>
      <c r="O51" s="113">
        <v>7.5</v>
      </c>
      <c r="P51" s="113"/>
      <c r="Q51" s="114"/>
      <c r="R51" s="121"/>
      <c r="S51" s="121"/>
      <c r="T51" s="121"/>
      <c r="U51" s="121"/>
      <c r="V51" s="121"/>
      <c r="W51" s="121"/>
      <c r="X51" s="121"/>
      <c r="Y51" s="122"/>
      <c r="Z51" s="27"/>
    </row>
    <row r="52" spans="1:29" ht="16.8" customHeight="1" x14ac:dyDescent="0.25">
      <c r="A52" s="28"/>
      <c r="B52" s="117">
        <v>24</v>
      </c>
      <c r="C52" s="118"/>
      <c r="D52" s="119"/>
      <c r="E52" s="120"/>
      <c r="F52" s="119"/>
      <c r="G52" s="120"/>
      <c r="H52" s="123"/>
      <c r="I52" s="124">
        <v>2.2719999999999998</v>
      </c>
      <c r="J52" s="124"/>
      <c r="K52" s="124"/>
      <c r="L52" s="112">
        <v>92.2</v>
      </c>
      <c r="M52" s="113"/>
      <c r="N52" s="114"/>
      <c r="O52" s="113">
        <v>7.8</v>
      </c>
      <c r="P52" s="113"/>
      <c r="Q52" s="114"/>
      <c r="R52" s="121"/>
      <c r="S52" s="121"/>
      <c r="T52" s="121"/>
      <c r="U52" s="121"/>
      <c r="V52" s="121"/>
      <c r="W52" s="121"/>
      <c r="X52" s="121"/>
      <c r="Y52" s="122"/>
      <c r="Z52" s="27"/>
    </row>
    <row r="53" spans="1:29" ht="16.8" customHeight="1" x14ac:dyDescent="0.25">
      <c r="A53" s="28"/>
      <c r="B53" s="117">
        <v>25</v>
      </c>
      <c r="C53" s="118"/>
      <c r="D53" s="119"/>
      <c r="E53" s="120"/>
      <c r="F53" s="119"/>
      <c r="G53" s="120"/>
      <c r="H53" s="123"/>
      <c r="I53" s="124">
        <v>2.2719999999999998</v>
      </c>
      <c r="J53" s="124"/>
      <c r="K53" s="124"/>
      <c r="L53" s="112">
        <v>92.2</v>
      </c>
      <c r="M53" s="113"/>
      <c r="N53" s="114"/>
      <c r="O53" s="113">
        <v>7.8</v>
      </c>
      <c r="P53" s="113"/>
      <c r="Q53" s="114"/>
      <c r="R53" s="121"/>
      <c r="S53" s="121"/>
      <c r="T53" s="121"/>
      <c r="U53" s="121"/>
      <c r="V53" s="121"/>
      <c r="W53" s="121"/>
      <c r="X53" s="121"/>
      <c r="Y53" s="122"/>
      <c r="Z53" s="27"/>
    </row>
    <row r="54" spans="1:29" ht="16.8" customHeight="1" x14ac:dyDescent="0.25">
      <c r="A54" s="28"/>
      <c r="B54" s="117">
        <v>26</v>
      </c>
      <c r="C54" s="118"/>
      <c r="D54" s="119"/>
      <c r="E54" s="120"/>
      <c r="F54" s="119"/>
      <c r="G54" s="120"/>
      <c r="H54" s="123"/>
      <c r="I54" s="124">
        <v>2.2799999999999998</v>
      </c>
      <c r="J54" s="124"/>
      <c r="K54" s="124"/>
      <c r="L54" s="112">
        <v>92.5</v>
      </c>
      <c r="M54" s="113"/>
      <c r="N54" s="114"/>
      <c r="O54" s="113">
        <v>7.5</v>
      </c>
      <c r="P54" s="113"/>
      <c r="Q54" s="114"/>
      <c r="R54" s="121"/>
      <c r="S54" s="121"/>
      <c r="T54" s="121"/>
      <c r="U54" s="121"/>
      <c r="V54" s="121"/>
      <c r="W54" s="121"/>
      <c r="X54" s="121"/>
      <c r="Y54" s="122"/>
      <c r="Z54" s="27"/>
    </row>
    <row r="55" spans="1:29" ht="16.8" customHeight="1" x14ac:dyDescent="0.25">
      <c r="A55" s="28"/>
      <c r="B55" s="117">
        <v>27</v>
      </c>
      <c r="C55" s="118"/>
      <c r="D55" s="119"/>
      <c r="E55" s="120"/>
      <c r="F55" s="119"/>
      <c r="G55" s="120"/>
      <c r="H55" s="123"/>
      <c r="I55" s="124">
        <v>2.3029999999999999</v>
      </c>
      <c r="J55" s="124"/>
      <c r="K55" s="124"/>
      <c r="L55" s="112">
        <v>93.4</v>
      </c>
      <c r="M55" s="113"/>
      <c r="N55" s="114"/>
      <c r="O55" s="113">
        <v>6.6</v>
      </c>
      <c r="P55" s="113"/>
      <c r="Q55" s="114"/>
      <c r="R55" s="121"/>
      <c r="S55" s="121"/>
      <c r="T55" s="121"/>
      <c r="U55" s="121"/>
      <c r="V55" s="121"/>
      <c r="W55" s="121"/>
      <c r="X55" s="121"/>
      <c r="Y55" s="122"/>
      <c r="Z55" s="27"/>
    </row>
    <row r="56" spans="1:29" ht="16.8" customHeight="1" x14ac:dyDescent="0.25">
      <c r="A56" s="28"/>
      <c r="B56" s="117">
        <v>28</v>
      </c>
      <c r="C56" s="118"/>
      <c r="D56" s="119"/>
      <c r="E56" s="120"/>
      <c r="F56" s="119"/>
      <c r="G56" s="120"/>
      <c r="H56" s="123"/>
      <c r="I56" s="124">
        <v>2.2930000000000001</v>
      </c>
      <c r="J56" s="124"/>
      <c r="K56" s="124"/>
      <c r="L56" s="112">
        <v>93</v>
      </c>
      <c r="M56" s="113"/>
      <c r="N56" s="114"/>
      <c r="O56" s="113">
        <v>7</v>
      </c>
      <c r="P56" s="113"/>
      <c r="Q56" s="114"/>
      <c r="R56" s="121"/>
      <c r="S56" s="121"/>
      <c r="T56" s="121"/>
      <c r="U56" s="121"/>
      <c r="V56" s="121"/>
      <c r="W56" s="121"/>
      <c r="X56" s="121"/>
      <c r="Y56" s="122"/>
      <c r="Z56" s="27"/>
    </row>
    <row r="57" spans="1:29" ht="16.8" customHeight="1" x14ac:dyDescent="0.25">
      <c r="A57" s="28"/>
      <c r="B57" s="117">
        <v>29</v>
      </c>
      <c r="C57" s="118"/>
      <c r="D57" s="119"/>
      <c r="E57" s="120"/>
      <c r="F57" s="119"/>
      <c r="G57" s="120"/>
      <c r="H57" s="123"/>
      <c r="I57" s="124">
        <v>2.3180000000000001</v>
      </c>
      <c r="J57" s="124"/>
      <c r="K57" s="124"/>
      <c r="L57" s="112">
        <v>94</v>
      </c>
      <c r="M57" s="113"/>
      <c r="N57" s="114"/>
      <c r="O57" s="113">
        <v>6</v>
      </c>
      <c r="P57" s="113"/>
      <c r="Q57" s="114"/>
      <c r="R57" s="121"/>
      <c r="S57" s="121"/>
      <c r="T57" s="121"/>
      <c r="U57" s="121"/>
      <c r="V57" s="121"/>
      <c r="W57" s="121"/>
      <c r="X57" s="121"/>
      <c r="Y57" s="122"/>
      <c r="Z57" s="27"/>
    </row>
    <row r="58" spans="1:29" ht="16.8" customHeight="1" x14ac:dyDescent="0.25">
      <c r="A58" s="28"/>
      <c r="B58" s="117">
        <v>30</v>
      </c>
      <c r="C58" s="118"/>
      <c r="D58" s="119"/>
      <c r="E58" s="120"/>
      <c r="F58" s="119"/>
      <c r="G58" s="120"/>
      <c r="H58" s="123"/>
      <c r="I58" s="124">
        <v>2.3010000000000002</v>
      </c>
      <c r="J58" s="124"/>
      <c r="K58" s="124"/>
      <c r="L58" s="112">
        <v>93.3</v>
      </c>
      <c r="M58" s="113"/>
      <c r="N58" s="114"/>
      <c r="O58" s="113">
        <v>6.7</v>
      </c>
      <c r="P58" s="113"/>
      <c r="Q58" s="114"/>
      <c r="R58" s="121"/>
      <c r="S58" s="121"/>
      <c r="T58" s="121"/>
      <c r="U58" s="121"/>
      <c r="V58" s="121"/>
      <c r="W58" s="121"/>
      <c r="X58" s="121"/>
      <c r="Y58" s="122"/>
      <c r="Z58" s="27"/>
    </row>
    <row r="59" spans="1:29" ht="17.25" customHeight="1" x14ac:dyDescent="0.25">
      <c r="A59" s="28"/>
      <c r="B59" s="106"/>
      <c r="C59" s="107"/>
      <c r="D59" s="108"/>
      <c r="E59" s="109"/>
      <c r="F59" s="108"/>
      <c r="G59" s="109"/>
      <c r="H59" s="110"/>
      <c r="I59" s="111"/>
      <c r="J59" s="111"/>
      <c r="K59" s="111"/>
      <c r="L59" s="214"/>
      <c r="M59" s="213"/>
      <c r="N59" s="212"/>
      <c r="O59" s="213"/>
      <c r="P59" s="213"/>
      <c r="Q59" s="212"/>
      <c r="R59" s="115"/>
      <c r="S59" s="115"/>
      <c r="T59" s="115"/>
      <c r="U59" s="115"/>
      <c r="V59" s="115"/>
      <c r="W59" s="115"/>
      <c r="X59" s="115"/>
      <c r="Y59" s="116"/>
      <c r="Z59" s="27"/>
    </row>
    <row r="60" spans="1:29" ht="16.5" customHeight="1" thickBot="1" x14ac:dyDescent="0.3">
      <c r="A60" s="28"/>
      <c r="B60" s="58" t="s">
        <v>12</v>
      </c>
      <c r="C60" s="59"/>
      <c r="D60" s="59"/>
      <c r="E60" s="59"/>
      <c r="F60" s="59"/>
      <c r="G60" s="59"/>
      <c r="H60" s="59"/>
      <c r="I60" s="60">
        <v>2.29</v>
      </c>
      <c r="J60" s="60"/>
      <c r="K60" s="60"/>
      <c r="L60" s="61">
        <v>93</v>
      </c>
      <c r="M60" s="61"/>
      <c r="N60" s="61"/>
      <c r="O60" s="61">
        <v>7</v>
      </c>
      <c r="P60" s="61"/>
      <c r="Q60" s="61"/>
      <c r="R60" s="62"/>
      <c r="S60" s="62"/>
      <c r="T60" s="62"/>
      <c r="U60" s="62"/>
      <c r="V60" s="62"/>
      <c r="W60" s="62"/>
      <c r="X60" s="62"/>
      <c r="Y60" s="63"/>
      <c r="Z60" s="27"/>
    </row>
    <row r="61" spans="1:29" ht="25.5" customHeight="1" thickBot="1" x14ac:dyDescent="0.3">
      <c r="A61" s="28"/>
      <c r="B61" s="64" t="s">
        <v>11</v>
      </c>
      <c r="C61" s="65"/>
      <c r="D61" s="65"/>
      <c r="E61" s="65"/>
      <c r="F61" s="65"/>
      <c r="G61" s="65"/>
      <c r="H61" s="65"/>
      <c r="I61" s="66">
        <v>97.37</v>
      </c>
      <c r="J61" s="66"/>
      <c r="K61" s="66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8"/>
      <c r="Z61" s="27"/>
    </row>
    <row r="62" spans="1:29" ht="15" customHeight="1" x14ac:dyDescent="0.25">
      <c r="A62" s="26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4"/>
    </row>
    <row r="63" spans="1:29" ht="16.5" customHeight="1" x14ac:dyDescent="0.25">
      <c r="S63" s="23"/>
      <c r="T63" s="23"/>
      <c r="U63" s="23"/>
    </row>
    <row r="64" spans="1:29" ht="15.6" customHeight="1" x14ac:dyDescent="0.25">
      <c r="A64" s="22" t="s">
        <v>10</v>
      </c>
      <c r="B64" s="21" t="s">
        <v>9</v>
      </c>
      <c r="C64" s="20"/>
      <c r="D64" s="20"/>
      <c r="E64" s="20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U64" s="18"/>
      <c r="V64" s="17"/>
      <c r="W64" s="17"/>
      <c r="X64" s="17"/>
      <c r="Y64" s="17"/>
      <c r="Z64" s="16"/>
      <c r="AA64" s="2"/>
      <c r="AB64" s="2"/>
      <c r="AC64" s="2"/>
    </row>
    <row r="65" spans="1:29" ht="26.4" customHeight="1" x14ac:dyDescent="0.25">
      <c r="A65" s="82" t="s">
        <v>8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4"/>
      <c r="R65" s="75" t="s">
        <v>7</v>
      </c>
      <c r="S65" s="76"/>
      <c r="T65" s="77"/>
      <c r="U65" s="211" t="s">
        <v>73</v>
      </c>
      <c r="V65" s="210"/>
      <c r="W65" s="210"/>
      <c r="X65" s="209"/>
      <c r="Y65" s="209"/>
      <c r="Z65" s="208"/>
      <c r="AA65" s="2"/>
      <c r="AB65" s="2"/>
      <c r="AC65" s="2"/>
    </row>
    <row r="66" spans="1:29" ht="15.6" customHeight="1" x14ac:dyDescent="0.25">
      <c r="A66" s="89" t="s">
        <v>5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1"/>
      <c r="R66" s="75" t="s">
        <v>4</v>
      </c>
      <c r="S66" s="76"/>
      <c r="T66" s="77"/>
      <c r="U66" s="207" t="s">
        <v>3</v>
      </c>
      <c r="V66" s="206"/>
      <c r="W66" s="206"/>
      <c r="X66" s="205"/>
      <c r="Y66" s="205"/>
      <c r="Z66" s="204"/>
      <c r="AA66" s="2"/>
      <c r="AB66" s="2"/>
      <c r="AC66" s="2"/>
    </row>
    <row r="67" spans="1:29" ht="15.6" customHeight="1" x14ac:dyDescent="0.25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4"/>
      <c r="R67" s="75"/>
      <c r="S67" s="76"/>
      <c r="T67" s="77"/>
      <c r="U67" s="203"/>
      <c r="V67" s="192"/>
      <c r="W67" s="192"/>
      <c r="X67" s="202"/>
      <c r="Y67" s="202"/>
      <c r="Z67" s="201"/>
      <c r="AA67" s="2"/>
      <c r="AB67" s="2"/>
      <c r="AC67" s="2"/>
    </row>
    <row r="68" spans="1:29" ht="15.6" customHeight="1" x14ac:dyDescent="0.25">
      <c r="A68" s="15" t="s">
        <v>2</v>
      </c>
      <c r="B68" s="14" t="s">
        <v>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3"/>
      <c r="R68" s="75"/>
      <c r="S68" s="76"/>
      <c r="T68" s="77"/>
      <c r="U68" s="200"/>
      <c r="V68" s="199"/>
      <c r="W68" s="199"/>
      <c r="X68" s="198"/>
      <c r="Y68" s="198"/>
      <c r="Z68" s="197"/>
      <c r="AA68" s="2"/>
      <c r="AB68" s="2"/>
      <c r="AC68" s="2"/>
    </row>
    <row r="69" spans="1:29" ht="15.6" customHeight="1" x14ac:dyDescent="0.25">
      <c r="A69" s="69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1"/>
      <c r="R69" s="75" t="s">
        <v>0</v>
      </c>
      <c r="S69" s="76"/>
      <c r="T69" s="77"/>
      <c r="U69" s="196"/>
      <c r="V69" s="195"/>
      <c r="W69" s="195"/>
      <c r="X69" s="195"/>
      <c r="Y69" s="195"/>
      <c r="Z69" s="194"/>
      <c r="AA69" s="2"/>
      <c r="AB69" s="2"/>
      <c r="AC69" s="2"/>
    </row>
    <row r="70" spans="1:29" ht="15.6" customHeight="1" x14ac:dyDescent="0.25">
      <c r="A70" s="69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1"/>
      <c r="R70" s="75"/>
      <c r="S70" s="76"/>
      <c r="T70" s="77"/>
      <c r="U70" s="193"/>
      <c r="V70" s="192"/>
      <c r="W70" s="192"/>
      <c r="X70" s="192"/>
      <c r="Y70" s="192"/>
      <c r="Z70" s="191"/>
      <c r="AA70" s="2"/>
      <c r="AB70" s="2"/>
      <c r="AC70" s="2"/>
    </row>
    <row r="71" spans="1:29" ht="15.6" customHeight="1" x14ac:dyDescent="0.25">
      <c r="A71" s="69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1"/>
      <c r="R71" s="75"/>
      <c r="S71" s="76"/>
      <c r="T71" s="77"/>
      <c r="U71" s="193"/>
      <c r="V71" s="192"/>
      <c r="W71" s="192"/>
      <c r="X71" s="192"/>
      <c r="Y71" s="192"/>
      <c r="Z71" s="191"/>
      <c r="AA71" s="2"/>
      <c r="AB71" s="2"/>
      <c r="AC71" s="2"/>
    </row>
    <row r="72" spans="1:29" ht="15.6" customHeight="1" x14ac:dyDescent="0.25">
      <c r="A72" s="72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4"/>
      <c r="R72" s="78"/>
      <c r="S72" s="79"/>
      <c r="T72" s="80"/>
      <c r="U72" s="190"/>
      <c r="V72" s="189"/>
      <c r="W72" s="189"/>
      <c r="X72" s="189"/>
      <c r="Y72" s="189"/>
      <c r="Z72" s="188"/>
      <c r="AA72" s="2"/>
      <c r="AB72" s="2"/>
      <c r="AC72" s="2"/>
    </row>
    <row r="73" spans="1:29" ht="16.5" customHeight="1" x14ac:dyDescent="0.25">
      <c r="R73" s="4"/>
      <c r="S73" s="4"/>
      <c r="T73" s="4"/>
      <c r="U73" s="3"/>
      <c r="V73" s="3"/>
      <c r="W73" s="3"/>
      <c r="X73" s="3"/>
      <c r="Y73" s="3"/>
      <c r="Z73" s="3"/>
      <c r="AA73" s="2"/>
      <c r="AB73" s="2"/>
      <c r="AC73" s="2"/>
    </row>
  </sheetData>
  <sheetProtection formatCells="0" formatColumns="0" formatRows="0" insertColumns="0" insertRows="0" insertHyperlinks="0" deleteColumns="0" deleteRows="0" selectLockedCells="1" sort="0" autoFilter="0" pivotTables="0"/>
  <mergeCells count="293">
    <mergeCell ref="A66:Q67"/>
    <mergeCell ref="R66:T68"/>
    <mergeCell ref="U66:Z68"/>
    <mergeCell ref="A69:Q72"/>
    <mergeCell ref="R69:T72"/>
    <mergeCell ref="V70:Y71"/>
    <mergeCell ref="B61:H61"/>
    <mergeCell ref="I61:K61"/>
    <mergeCell ref="L61:Y61"/>
    <mergeCell ref="A65:Q65"/>
    <mergeCell ref="R65:T65"/>
    <mergeCell ref="U65:Z65"/>
    <mergeCell ref="R59:Y59"/>
    <mergeCell ref="B60:H60"/>
    <mergeCell ref="I60:K60"/>
    <mergeCell ref="L60:N60"/>
    <mergeCell ref="O60:Q60"/>
    <mergeCell ref="R60:Y60"/>
    <mergeCell ref="B59:C59"/>
    <mergeCell ref="D59:E59"/>
    <mergeCell ref="F59:H59"/>
    <mergeCell ref="I59:K59"/>
    <mergeCell ref="L59:N59"/>
    <mergeCell ref="O59:Q59"/>
    <mergeCell ref="R57:Y57"/>
    <mergeCell ref="B58:C58"/>
    <mergeCell ref="D58:E58"/>
    <mergeCell ref="F58:H58"/>
    <mergeCell ref="I58:K58"/>
    <mergeCell ref="L58:N58"/>
    <mergeCell ref="O58:Q58"/>
    <mergeCell ref="R58:Y58"/>
    <mergeCell ref="B57:C57"/>
    <mergeCell ref="D57:E57"/>
    <mergeCell ref="F57:H57"/>
    <mergeCell ref="I57:K57"/>
    <mergeCell ref="L57:N57"/>
    <mergeCell ref="O57:Q57"/>
    <mergeCell ref="R55:Y55"/>
    <mergeCell ref="B56:C56"/>
    <mergeCell ref="D56:E56"/>
    <mergeCell ref="F56:H56"/>
    <mergeCell ref="I56:K56"/>
    <mergeCell ref="L56:N56"/>
    <mergeCell ref="O56:Q56"/>
    <mergeCell ref="R56:Y56"/>
    <mergeCell ref="B55:C55"/>
    <mergeCell ref="D55:E55"/>
    <mergeCell ref="F55:H55"/>
    <mergeCell ref="I55:K55"/>
    <mergeCell ref="L55:N55"/>
    <mergeCell ref="O55:Q55"/>
    <mergeCell ref="R53:Y53"/>
    <mergeCell ref="B54:C54"/>
    <mergeCell ref="D54:E54"/>
    <mergeCell ref="F54:H54"/>
    <mergeCell ref="I54:K54"/>
    <mergeCell ref="L54:N54"/>
    <mergeCell ref="O54:Q54"/>
    <mergeCell ref="R54:Y54"/>
    <mergeCell ref="B53:C53"/>
    <mergeCell ref="D53:E53"/>
    <mergeCell ref="F53:H53"/>
    <mergeCell ref="I53:K53"/>
    <mergeCell ref="L53:N53"/>
    <mergeCell ref="O53:Q53"/>
    <mergeCell ref="R51:Y51"/>
    <mergeCell ref="B52:C52"/>
    <mergeCell ref="D52:E52"/>
    <mergeCell ref="F52:H52"/>
    <mergeCell ref="I52:K52"/>
    <mergeCell ref="L52:N52"/>
    <mergeCell ref="O52:Q52"/>
    <mergeCell ref="R52:Y52"/>
    <mergeCell ref="B51:C51"/>
    <mergeCell ref="D51:E51"/>
    <mergeCell ref="F51:H51"/>
    <mergeCell ref="I51:K51"/>
    <mergeCell ref="L51:N51"/>
    <mergeCell ref="O51:Q51"/>
    <mergeCell ref="R49:Y49"/>
    <mergeCell ref="B50:C50"/>
    <mergeCell ref="D50:E50"/>
    <mergeCell ref="F50:H50"/>
    <mergeCell ref="I50:K50"/>
    <mergeCell ref="L50:N50"/>
    <mergeCell ref="O50:Q50"/>
    <mergeCell ref="R50:Y50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F41:H41"/>
    <mergeCell ref="I41:K41"/>
    <mergeCell ref="L41:N41"/>
    <mergeCell ref="O41:Q41"/>
    <mergeCell ref="R39:Y39"/>
    <mergeCell ref="B40:C40"/>
    <mergeCell ref="D40:E40"/>
    <mergeCell ref="F40:H40"/>
    <mergeCell ref="I40:K40"/>
    <mergeCell ref="L40:N40"/>
    <mergeCell ref="O40:Q40"/>
    <mergeCell ref="R40:Y40"/>
    <mergeCell ref="B39:C39"/>
    <mergeCell ref="D39:E39"/>
    <mergeCell ref="F39:H39"/>
    <mergeCell ref="I39:K39"/>
    <mergeCell ref="L39:N39"/>
    <mergeCell ref="O39:Q39"/>
    <mergeCell ref="R37:Y37"/>
    <mergeCell ref="B38:C38"/>
    <mergeCell ref="D38:E38"/>
    <mergeCell ref="F38:H38"/>
    <mergeCell ref="I38:K38"/>
    <mergeCell ref="L38:N38"/>
    <mergeCell ref="O38:Q38"/>
    <mergeCell ref="R38:Y38"/>
    <mergeCell ref="B37:C37"/>
    <mergeCell ref="D37:E37"/>
    <mergeCell ref="F37:H37"/>
    <mergeCell ref="I37:K37"/>
    <mergeCell ref="L37:N37"/>
    <mergeCell ref="O37:Q37"/>
    <mergeCell ref="R35:Y35"/>
    <mergeCell ref="B36:C36"/>
    <mergeCell ref="D36:E36"/>
    <mergeCell ref="F36:H36"/>
    <mergeCell ref="I36:K36"/>
    <mergeCell ref="L36:N36"/>
    <mergeCell ref="O36:Q36"/>
    <mergeCell ref="R36:Y36"/>
    <mergeCell ref="B35:C35"/>
    <mergeCell ref="D35:E35"/>
    <mergeCell ref="F35:H35"/>
    <mergeCell ref="I35:K35"/>
    <mergeCell ref="L35:N35"/>
    <mergeCell ref="O35:Q35"/>
    <mergeCell ref="R33:Y33"/>
    <mergeCell ref="B34:C34"/>
    <mergeCell ref="D34:E34"/>
    <mergeCell ref="F34:H34"/>
    <mergeCell ref="I34:K34"/>
    <mergeCell ref="L34:N34"/>
    <mergeCell ref="O34:Q34"/>
    <mergeCell ref="R34:Y34"/>
    <mergeCell ref="B33:C33"/>
    <mergeCell ref="D33:E33"/>
    <mergeCell ref="F33:H33"/>
    <mergeCell ref="I33:K33"/>
    <mergeCell ref="L33:N33"/>
    <mergeCell ref="O33:Q33"/>
    <mergeCell ref="R31:Y31"/>
    <mergeCell ref="B32:C32"/>
    <mergeCell ref="D32:E32"/>
    <mergeCell ref="F32:H32"/>
    <mergeCell ref="I32:K32"/>
    <mergeCell ref="L32:N32"/>
    <mergeCell ref="O32:Q32"/>
    <mergeCell ref="R32:Y32"/>
    <mergeCell ref="B31:C31"/>
    <mergeCell ref="D31:E31"/>
    <mergeCell ref="F31:H31"/>
    <mergeCell ref="I31:K31"/>
    <mergeCell ref="L31:N31"/>
    <mergeCell ref="O31:Q31"/>
    <mergeCell ref="R29:Y29"/>
    <mergeCell ref="B30:C30"/>
    <mergeCell ref="D30:E30"/>
    <mergeCell ref="F30:H30"/>
    <mergeCell ref="I30:K30"/>
    <mergeCell ref="L30:N30"/>
    <mergeCell ref="O30:Q30"/>
    <mergeCell ref="R30:Y30"/>
    <mergeCell ref="B29:C29"/>
    <mergeCell ref="D29:E29"/>
    <mergeCell ref="F29:H29"/>
    <mergeCell ref="I29:K29"/>
    <mergeCell ref="L29:N29"/>
    <mergeCell ref="O29:Q29"/>
    <mergeCell ref="D28:E28"/>
    <mergeCell ref="L28:N28"/>
    <mergeCell ref="O28:Q28"/>
    <mergeCell ref="H25:P25"/>
    <mergeCell ref="Q25:T25"/>
    <mergeCell ref="B27:C27"/>
    <mergeCell ref="D27:E27"/>
    <mergeCell ref="F27:H27"/>
    <mergeCell ref="I27:K28"/>
    <mergeCell ref="L27:N27"/>
    <mergeCell ref="O27:Q27"/>
    <mergeCell ref="R27:Y28"/>
    <mergeCell ref="B28:C28"/>
    <mergeCell ref="B16:F16"/>
    <mergeCell ref="B21:H21"/>
    <mergeCell ref="I21:Y21"/>
    <mergeCell ref="B22:H22"/>
    <mergeCell ref="I22:M22"/>
    <mergeCell ref="O22:Q22"/>
    <mergeCell ref="V22:X22"/>
    <mergeCell ref="B14:F14"/>
    <mergeCell ref="G14:L14"/>
    <mergeCell ref="M14:R14"/>
    <mergeCell ref="S14:Y14"/>
    <mergeCell ref="B15:F15"/>
    <mergeCell ref="G15:L15"/>
    <mergeCell ref="M15:R15"/>
    <mergeCell ref="S15:Y15"/>
    <mergeCell ref="B12:F12"/>
    <mergeCell ref="G12:L12"/>
    <mergeCell ref="M12:R12"/>
    <mergeCell ref="S12:Y12"/>
    <mergeCell ref="B13:F13"/>
    <mergeCell ref="G13:L13"/>
    <mergeCell ref="M13:R13"/>
    <mergeCell ref="S13:Y13"/>
    <mergeCell ref="B11:F11"/>
    <mergeCell ref="G11:L11"/>
    <mergeCell ref="M11:O11"/>
    <mergeCell ref="P11:R11"/>
    <mergeCell ref="S11:W11"/>
    <mergeCell ref="X11:Y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1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6084-37DE-4060-86FA-ACC67F6D2031}">
  <sheetPr>
    <pageSetUpPr fitToPage="1"/>
  </sheetPr>
  <dimension ref="A1:AN67"/>
  <sheetViews>
    <sheetView topLeftCell="A55" workbookViewId="0">
      <selection activeCell="R58" sqref="R58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50"/>
      <c r="B1" s="151"/>
      <c r="C1" s="151"/>
      <c r="D1" s="151"/>
      <c r="E1" s="151"/>
      <c r="F1" s="152"/>
      <c r="G1" s="159" t="s">
        <v>64</v>
      </c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1"/>
      <c r="U1" s="162" t="s">
        <v>65</v>
      </c>
      <c r="V1" s="163"/>
      <c r="W1" s="163"/>
      <c r="X1" s="163"/>
      <c r="Y1" s="163"/>
      <c r="Z1" s="164"/>
    </row>
    <row r="2" spans="1:40" ht="13.2" customHeight="1" x14ac:dyDescent="0.25">
      <c r="A2" s="153"/>
      <c r="B2" s="154"/>
      <c r="C2" s="154"/>
      <c r="D2" s="154"/>
      <c r="E2" s="154"/>
      <c r="F2" s="155"/>
      <c r="G2" s="171" t="s">
        <v>63</v>
      </c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3"/>
      <c r="U2" s="165"/>
      <c r="V2" s="166"/>
      <c r="W2" s="166"/>
      <c r="X2" s="166"/>
      <c r="Y2" s="166"/>
      <c r="Z2" s="167"/>
    </row>
    <row r="3" spans="1:40" ht="13.2" customHeight="1" x14ac:dyDescent="0.25">
      <c r="A3" s="153"/>
      <c r="B3" s="154"/>
      <c r="C3" s="154"/>
      <c r="D3" s="154"/>
      <c r="E3" s="154"/>
      <c r="F3" s="155"/>
      <c r="G3" s="171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3"/>
      <c r="U3" s="165"/>
      <c r="V3" s="166"/>
      <c r="W3" s="166"/>
      <c r="X3" s="166"/>
      <c r="Y3" s="166"/>
      <c r="Z3" s="167"/>
    </row>
    <row r="4" spans="1:40" ht="13.2" customHeight="1" x14ac:dyDescent="0.25">
      <c r="A4" s="153"/>
      <c r="B4" s="154"/>
      <c r="C4" s="154"/>
      <c r="D4" s="154"/>
      <c r="E4" s="154"/>
      <c r="F4" s="155"/>
      <c r="G4" s="171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3"/>
      <c r="U4" s="165"/>
      <c r="V4" s="166"/>
      <c r="W4" s="166"/>
      <c r="X4" s="166"/>
      <c r="Y4" s="166"/>
      <c r="Z4" s="167"/>
    </row>
    <row r="5" spans="1:40" ht="15" customHeight="1" x14ac:dyDescent="0.25">
      <c r="A5" s="153"/>
      <c r="B5" s="154"/>
      <c r="C5" s="154"/>
      <c r="D5" s="154"/>
      <c r="E5" s="154"/>
      <c r="F5" s="155"/>
      <c r="G5" s="89" t="s">
        <v>62</v>
      </c>
      <c r="H5" s="90"/>
      <c r="I5" s="174">
        <v>2</v>
      </c>
      <c r="J5" s="174"/>
      <c r="K5" s="175"/>
      <c r="L5" s="176" t="s">
        <v>66</v>
      </c>
      <c r="M5" s="177"/>
      <c r="N5" s="177"/>
      <c r="O5" s="178"/>
      <c r="P5" s="179">
        <v>45980</v>
      </c>
      <c r="Q5" s="180"/>
      <c r="R5" s="180"/>
      <c r="S5" s="180"/>
      <c r="T5" s="181"/>
      <c r="U5" s="165"/>
      <c r="V5" s="166"/>
      <c r="W5" s="166"/>
      <c r="X5" s="166"/>
      <c r="Y5" s="166"/>
      <c r="Z5" s="167"/>
    </row>
    <row r="6" spans="1:40" ht="13.2" customHeight="1" x14ac:dyDescent="0.25">
      <c r="A6" s="156"/>
      <c r="B6" s="157"/>
      <c r="C6" s="157"/>
      <c r="D6" s="157"/>
      <c r="E6" s="157"/>
      <c r="F6" s="158"/>
      <c r="G6" s="26"/>
      <c r="H6" s="57"/>
      <c r="I6" s="182" t="s">
        <v>61</v>
      </c>
      <c r="J6" s="182"/>
      <c r="K6" s="182"/>
      <c r="L6" s="182" t="s">
        <v>60</v>
      </c>
      <c r="M6" s="182"/>
      <c r="N6" s="182"/>
      <c r="O6" s="182"/>
      <c r="P6" s="182" t="s">
        <v>59</v>
      </c>
      <c r="Q6" s="182"/>
      <c r="R6" s="182"/>
      <c r="S6" s="182"/>
      <c r="T6" s="183"/>
      <c r="U6" s="168"/>
      <c r="V6" s="169"/>
      <c r="W6" s="169"/>
      <c r="X6" s="169"/>
      <c r="Y6" s="169"/>
      <c r="Z6" s="170"/>
    </row>
    <row r="7" spans="1:40" ht="36.75" customHeight="1" x14ac:dyDescent="0.25">
      <c r="A7" s="184" t="s">
        <v>58</v>
      </c>
      <c r="B7" s="184"/>
      <c r="C7" s="184"/>
      <c r="D7" s="184"/>
      <c r="E7" s="184"/>
      <c r="F7" s="184"/>
      <c r="G7" s="185" t="s">
        <v>57</v>
      </c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</row>
    <row r="8" spans="1:40" ht="15.6" customHeight="1" x14ac:dyDescent="0.25">
      <c r="A8" s="42" t="s">
        <v>56</v>
      </c>
      <c r="B8" s="41" t="s">
        <v>55</v>
      </c>
      <c r="C8" s="38"/>
      <c r="D8" s="40"/>
      <c r="E8" s="40"/>
      <c r="F8" s="40"/>
      <c r="G8" s="40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7"/>
    </row>
    <row r="9" spans="1:40" ht="6" customHeight="1" x14ac:dyDescent="0.25">
      <c r="A9" s="28"/>
      <c r="D9" s="56"/>
      <c r="E9" s="56"/>
      <c r="F9" s="56"/>
      <c r="G9" s="56"/>
      <c r="Z9" s="27"/>
    </row>
    <row r="10" spans="1:40" ht="15" customHeight="1" x14ac:dyDescent="0.25">
      <c r="A10" s="28"/>
      <c r="B10" s="143" t="s">
        <v>54</v>
      </c>
      <c r="C10" s="143"/>
      <c r="D10" s="143"/>
      <c r="E10" s="143"/>
      <c r="F10" s="143"/>
      <c r="G10" s="148" t="s">
        <v>53</v>
      </c>
      <c r="H10" s="148"/>
      <c r="I10" s="148"/>
      <c r="J10" s="148"/>
      <c r="K10" s="148"/>
      <c r="L10" s="148"/>
      <c r="M10" s="143" t="s">
        <v>52</v>
      </c>
      <c r="N10" s="143"/>
      <c r="O10" s="143"/>
      <c r="P10" s="143"/>
      <c r="Q10" s="143"/>
      <c r="R10" s="143"/>
      <c r="S10" s="142" t="s">
        <v>51</v>
      </c>
      <c r="T10" s="142"/>
      <c r="U10" s="142"/>
      <c r="V10" s="142"/>
      <c r="W10" s="142"/>
      <c r="X10" s="142"/>
      <c r="Y10" s="142"/>
      <c r="Z10" s="45"/>
    </row>
    <row r="11" spans="1:40" ht="15" customHeight="1" x14ac:dyDescent="0.25">
      <c r="A11" s="28"/>
      <c r="B11" s="143" t="s">
        <v>50</v>
      </c>
      <c r="C11" s="143"/>
      <c r="D11" s="143"/>
      <c r="E11" s="143"/>
      <c r="F11" s="143"/>
      <c r="G11" s="148" t="s">
        <v>78</v>
      </c>
      <c r="H11" s="148"/>
      <c r="I11" s="148"/>
      <c r="J11" s="148"/>
      <c r="K11" s="148"/>
      <c r="L11" s="148"/>
      <c r="M11" s="143" t="s">
        <v>49</v>
      </c>
      <c r="N11" s="143"/>
      <c r="O11" s="143"/>
      <c r="P11" s="147">
        <v>222</v>
      </c>
      <c r="Q11" s="147"/>
      <c r="R11" s="147"/>
      <c r="S11" s="143" t="s">
        <v>48</v>
      </c>
      <c r="T11" s="143"/>
      <c r="U11" s="143"/>
      <c r="V11" s="143"/>
      <c r="W11" s="143"/>
      <c r="X11" s="147" t="s">
        <v>68</v>
      </c>
      <c r="Y11" s="147"/>
      <c r="Z11" s="45"/>
    </row>
    <row r="12" spans="1:40" ht="15" customHeight="1" x14ac:dyDescent="0.25">
      <c r="A12" s="28"/>
      <c r="B12" s="143" t="s">
        <v>47</v>
      </c>
      <c r="C12" s="143"/>
      <c r="D12" s="143"/>
      <c r="E12" s="143"/>
      <c r="F12" s="143"/>
      <c r="G12" s="148" t="s">
        <v>46</v>
      </c>
      <c r="H12" s="148"/>
      <c r="I12" s="148"/>
      <c r="J12" s="148"/>
      <c r="K12" s="148"/>
      <c r="L12" s="148"/>
      <c r="M12" s="143" t="s">
        <v>45</v>
      </c>
      <c r="N12" s="143"/>
      <c r="O12" s="143"/>
      <c r="P12" s="143"/>
      <c r="Q12" s="143"/>
      <c r="R12" s="143"/>
      <c r="S12" s="142" t="s">
        <v>79</v>
      </c>
      <c r="T12" s="142"/>
      <c r="U12" s="142"/>
      <c r="V12" s="142"/>
      <c r="W12" s="142"/>
      <c r="X12" s="142"/>
      <c r="Y12" s="142"/>
      <c r="Z12" s="45"/>
    </row>
    <row r="13" spans="1:40" ht="15" customHeight="1" x14ac:dyDescent="0.25">
      <c r="A13" s="28"/>
      <c r="B13" s="143" t="s">
        <v>44</v>
      </c>
      <c r="C13" s="143"/>
      <c r="D13" s="143"/>
      <c r="E13" s="143"/>
      <c r="F13" s="143"/>
      <c r="G13" s="149">
        <v>45978</v>
      </c>
      <c r="H13" s="148"/>
      <c r="I13" s="148"/>
      <c r="J13" s="148"/>
      <c r="K13" s="148"/>
      <c r="L13" s="148"/>
      <c r="M13" s="143" t="s">
        <v>43</v>
      </c>
      <c r="N13" s="143"/>
      <c r="O13" s="143"/>
      <c r="P13" s="143"/>
      <c r="Q13" s="143"/>
      <c r="R13" s="143"/>
      <c r="S13" s="143" t="s">
        <v>77</v>
      </c>
      <c r="T13" s="143"/>
      <c r="U13" s="143"/>
      <c r="V13" s="143"/>
      <c r="W13" s="143"/>
      <c r="X13" s="143"/>
      <c r="Y13" s="143"/>
      <c r="Z13" s="45"/>
    </row>
    <row r="14" spans="1:40" ht="15" customHeight="1" x14ac:dyDescent="0.25">
      <c r="A14" s="28"/>
      <c r="B14" s="143" t="s">
        <v>42</v>
      </c>
      <c r="C14" s="143"/>
      <c r="D14" s="143"/>
      <c r="E14" s="143"/>
      <c r="F14" s="143"/>
      <c r="G14" s="148" t="s">
        <v>41</v>
      </c>
      <c r="H14" s="148"/>
      <c r="I14" s="148"/>
      <c r="J14" s="148"/>
      <c r="K14" s="148"/>
      <c r="L14" s="148"/>
      <c r="M14" s="143" t="s">
        <v>40</v>
      </c>
      <c r="N14" s="143"/>
      <c r="O14" s="143"/>
      <c r="P14" s="143"/>
      <c r="Q14" s="143"/>
      <c r="R14" s="143"/>
      <c r="S14" s="143" t="s">
        <v>76</v>
      </c>
      <c r="T14" s="143"/>
      <c r="U14" s="143"/>
      <c r="V14" s="143"/>
      <c r="W14" s="143"/>
      <c r="X14" s="143"/>
      <c r="Y14" s="143"/>
      <c r="Z14" s="45"/>
    </row>
    <row r="15" spans="1:40" ht="15" customHeight="1" x14ac:dyDescent="0.25">
      <c r="A15" s="28"/>
      <c r="B15" s="141" t="s">
        <v>39</v>
      </c>
      <c r="C15" s="141"/>
      <c r="D15" s="141"/>
      <c r="E15" s="141"/>
      <c r="F15" s="141"/>
      <c r="G15" s="142" t="s">
        <v>38</v>
      </c>
      <c r="H15" s="142"/>
      <c r="I15" s="142"/>
      <c r="J15" s="142"/>
      <c r="K15" s="142"/>
      <c r="L15" s="142"/>
      <c r="M15" s="143" t="s">
        <v>37</v>
      </c>
      <c r="N15" s="143"/>
      <c r="O15" s="143"/>
      <c r="P15" s="143"/>
      <c r="Q15" s="143"/>
      <c r="R15" s="143"/>
      <c r="S15" s="143" t="s">
        <v>75</v>
      </c>
      <c r="T15" s="143"/>
      <c r="U15" s="143"/>
      <c r="V15" s="143"/>
      <c r="W15" s="143"/>
      <c r="X15" s="143"/>
      <c r="Y15" s="143"/>
      <c r="Z15" s="45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</row>
    <row r="16" spans="1:40" ht="15" customHeight="1" x14ac:dyDescent="0.25">
      <c r="A16" s="28"/>
      <c r="B16" s="141" t="s">
        <v>36</v>
      </c>
      <c r="C16" s="141"/>
      <c r="D16" s="141"/>
      <c r="E16" s="141"/>
      <c r="F16" s="141"/>
      <c r="G16" s="46" t="s">
        <v>74</v>
      </c>
      <c r="H16" s="46"/>
      <c r="I16" s="46"/>
      <c r="J16" s="46"/>
      <c r="K16" s="46"/>
      <c r="L16" s="46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51"/>
    </row>
    <row r="17" spans="1:28" ht="6" customHeight="1" x14ac:dyDescent="0.25">
      <c r="A17" s="26"/>
      <c r="B17" s="44"/>
      <c r="C17" s="44"/>
      <c r="D17" s="25"/>
      <c r="E17" s="25"/>
      <c r="F17" s="25"/>
      <c r="G17" s="25"/>
      <c r="H17" s="44"/>
      <c r="I17" s="44"/>
      <c r="J17" s="44"/>
      <c r="K17" s="44"/>
      <c r="L17" s="44"/>
      <c r="M17" s="44"/>
      <c r="N17" s="55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24"/>
    </row>
    <row r="18" spans="1:28" ht="15" customHeight="1" x14ac:dyDescent="0.25">
      <c r="B18" s="53"/>
      <c r="C18" s="53"/>
      <c r="K18" s="54"/>
      <c r="L18" s="53"/>
      <c r="M18" s="52"/>
      <c r="V18" s="47"/>
      <c r="W18" s="47"/>
      <c r="X18" s="47"/>
      <c r="Y18" s="47"/>
      <c r="Z18" s="47"/>
      <c r="AA18" s="47"/>
      <c r="AB18" s="51"/>
    </row>
    <row r="19" spans="1:28" ht="15.6" customHeight="1" x14ac:dyDescent="0.25">
      <c r="A19" s="42" t="s">
        <v>35</v>
      </c>
      <c r="B19" s="41" t="s">
        <v>34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7"/>
    </row>
    <row r="20" spans="1:28" ht="6" customHeight="1" x14ac:dyDescent="0.25">
      <c r="A20" s="28"/>
      <c r="B20" s="50"/>
      <c r="Z20" s="27"/>
    </row>
    <row r="21" spans="1:28" ht="13.8" customHeight="1" x14ac:dyDescent="0.25">
      <c r="A21" s="28"/>
      <c r="B21" s="143" t="s">
        <v>33</v>
      </c>
      <c r="C21" s="143"/>
      <c r="D21" s="143"/>
      <c r="E21" s="143"/>
      <c r="F21" s="143"/>
      <c r="G21" s="143"/>
      <c r="H21" s="143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45"/>
    </row>
    <row r="22" spans="1:28" ht="15" customHeight="1" x14ac:dyDescent="0.25">
      <c r="A22" s="28"/>
      <c r="B22" s="143" t="s">
        <v>32</v>
      </c>
      <c r="C22" s="143"/>
      <c r="D22" s="143"/>
      <c r="E22" s="143"/>
      <c r="F22" s="143"/>
      <c r="G22" s="143"/>
      <c r="H22" s="143"/>
      <c r="I22" s="147"/>
      <c r="J22" s="147"/>
      <c r="K22" s="147"/>
      <c r="L22" s="147"/>
      <c r="M22" s="147"/>
      <c r="N22" s="49">
        <v>0</v>
      </c>
      <c r="O22" s="146" t="s">
        <v>31</v>
      </c>
      <c r="P22" s="146"/>
      <c r="Q22" s="146"/>
      <c r="R22" s="48" t="s">
        <v>30</v>
      </c>
      <c r="S22" s="47"/>
      <c r="T22" s="47"/>
      <c r="U22" s="47"/>
      <c r="V22" s="146"/>
      <c r="W22" s="146"/>
      <c r="X22" s="146"/>
      <c r="Y22" s="46"/>
      <c r="Z22" s="45"/>
    </row>
    <row r="23" spans="1:28" ht="5.25" customHeight="1" x14ac:dyDescent="0.25">
      <c r="A23" s="26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24"/>
    </row>
    <row r="24" spans="1:28" x14ac:dyDescent="0.25">
      <c r="C24" s="43"/>
    </row>
    <row r="25" spans="1:28" ht="15.6" customHeight="1" x14ac:dyDescent="0.25">
      <c r="A25" s="42" t="s">
        <v>29</v>
      </c>
      <c r="B25" s="41" t="s">
        <v>28</v>
      </c>
      <c r="C25" s="38"/>
      <c r="D25" s="40"/>
      <c r="E25" s="40"/>
      <c r="F25" s="40"/>
      <c r="G25" s="40"/>
      <c r="H25" s="130" t="s">
        <v>27</v>
      </c>
      <c r="I25" s="130"/>
      <c r="J25" s="130"/>
      <c r="K25" s="130"/>
      <c r="L25" s="130"/>
      <c r="M25" s="130"/>
      <c r="N25" s="130"/>
      <c r="O25" s="130"/>
      <c r="P25" s="130"/>
      <c r="Q25" s="131">
        <v>2.4649999999999999</v>
      </c>
      <c r="R25" s="131"/>
      <c r="S25" s="131"/>
      <c r="T25" s="131"/>
      <c r="U25" s="39" t="s">
        <v>26</v>
      </c>
      <c r="V25" s="38"/>
      <c r="W25" s="38"/>
      <c r="X25" s="38"/>
      <c r="Y25" s="38"/>
      <c r="Z25" s="37"/>
    </row>
    <row r="26" spans="1:28" ht="13.8" customHeight="1" thickBot="1" x14ac:dyDescent="0.3">
      <c r="A26" s="28"/>
      <c r="Z26" s="27"/>
    </row>
    <row r="27" spans="1:28" ht="15.75" customHeight="1" x14ac:dyDescent="0.25">
      <c r="A27" s="28"/>
      <c r="B27" s="132" t="s">
        <v>25</v>
      </c>
      <c r="C27" s="133"/>
      <c r="D27" s="134" t="s">
        <v>24</v>
      </c>
      <c r="E27" s="135"/>
      <c r="F27" s="136" t="s">
        <v>23</v>
      </c>
      <c r="G27" s="136"/>
      <c r="H27" s="136"/>
      <c r="I27" s="137" t="s">
        <v>22</v>
      </c>
      <c r="J27" s="133"/>
      <c r="K27" s="133"/>
      <c r="L27" s="137" t="s">
        <v>21</v>
      </c>
      <c r="M27" s="133"/>
      <c r="N27" s="138"/>
      <c r="O27" s="137" t="s">
        <v>20</v>
      </c>
      <c r="P27" s="133"/>
      <c r="Q27" s="138"/>
      <c r="R27" s="137" t="s">
        <v>19</v>
      </c>
      <c r="S27" s="133"/>
      <c r="T27" s="133"/>
      <c r="U27" s="133"/>
      <c r="V27" s="133"/>
      <c r="W27" s="133"/>
      <c r="X27" s="133"/>
      <c r="Y27" s="139"/>
      <c r="Z27" s="27"/>
    </row>
    <row r="28" spans="1:28" ht="36" customHeight="1" x14ac:dyDescent="0.25">
      <c r="A28" s="28"/>
      <c r="B28" s="144" t="s">
        <v>18</v>
      </c>
      <c r="C28" s="145"/>
      <c r="D28" s="125" t="s">
        <v>17</v>
      </c>
      <c r="E28" s="126"/>
      <c r="F28" s="36" t="s">
        <v>16</v>
      </c>
      <c r="G28" s="36" t="s">
        <v>15</v>
      </c>
      <c r="H28" s="36" t="s">
        <v>14</v>
      </c>
      <c r="I28" s="127"/>
      <c r="J28" s="128"/>
      <c r="K28" s="128"/>
      <c r="L28" s="127" t="s">
        <v>13</v>
      </c>
      <c r="M28" s="128"/>
      <c r="N28" s="129"/>
      <c r="O28" s="127" t="s">
        <v>13</v>
      </c>
      <c r="P28" s="128"/>
      <c r="Q28" s="129"/>
      <c r="R28" s="127"/>
      <c r="S28" s="128"/>
      <c r="T28" s="128"/>
      <c r="U28" s="128"/>
      <c r="V28" s="128"/>
      <c r="W28" s="128"/>
      <c r="X28" s="128"/>
      <c r="Y28" s="140"/>
      <c r="Z28" s="27"/>
    </row>
    <row r="29" spans="1:28" ht="16.8" customHeight="1" x14ac:dyDescent="0.25">
      <c r="A29" s="28"/>
      <c r="B29" s="117">
        <v>1</v>
      </c>
      <c r="C29" s="118"/>
      <c r="D29" s="119"/>
      <c r="E29" s="120"/>
      <c r="F29" s="119"/>
      <c r="G29" s="120"/>
      <c r="H29" s="123"/>
      <c r="I29" s="124">
        <v>2.3210000000000002</v>
      </c>
      <c r="J29" s="124"/>
      <c r="K29" s="124"/>
      <c r="L29" s="112">
        <v>94.2</v>
      </c>
      <c r="M29" s="113"/>
      <c r="N29" s="114"/>
      <c r="O29" s="113">
        <v>5.8</v>
      </c>
      <c r="P29" s="113"/>
      <c r="Q29" s="114"/>
      <c r="R29" s="121"/>
      <c r="S29" s="121"/>
      <c r="T29" s="121"/>
      <c r="U29" s="121"/>
      <c r="V29" s="121"/>
      <c r="W29" s="121"/>
      <c r="X29" s="121"/>
      <c r="Y29" s="122"/>
      <c r="Z29" s="27"/>
    </row>
    <row r="30" spans="1:28" ht="16.8" customHeight="1" x14ac:dyDescent="0.25">
      <c r="A30" s="28"/>
      <c r="B30" s="117">
        <v>2</v>
      </c>
      <c r="C30" s="118"/>
      <c r="D30" s="119"/>
      <c r="E30" s="120"/>
      <c r="F30" s="119"/>
      <c r="G30" s="120"/>
      <c r="H30" s="123"/>
      <c r="I30" s="124">
        <v>2.2730000000000001</v>
      </c>
      <c r="J30" s="124"/>
      <c r="K30" s="124"/>
      <c r="L30" s="112">
        <v>92.2</v>
      </c>
      <c r="M30" s="113"/>
      <c r="N30" s="114"/>
      <c r="O30" s="113">
        <v>7.8</v>
      </c>
      <c r="P30" s="113"/>
      <c r="Q30" s="114"/>
      <c r="R30" s="121"/>
      <c r="S30" s="121"/>
      <c r="T30" s="121"/>
      <c r="U30" s="121"/>
      <c r="V30" s="121"/>
      <c r="W30" s="121"/>
      <c r="X30" s="121"/>
      <c r="Y30" s="122"/>
      <c r="Z30" s="27"/>
    </row>
    <row r="31" spans="1:28" ht="16.8" customHeight="1" x14ac:dyDescent="0.25">
      <c r="A31" s="28"/>
      <c r="B31" s="117">
        <v>3</v>
      </c>
      <c r="C31" s="118"/>
      <c r="D31" s="119"/>
      <c r="E31" s="120"/>
      <c r="F31" s="119"/>
      <c r="G31" s="120"/>
      <c r="H31" s="123"/>
      <c r="I31" s="124">
        <v>2.31</v>
      </c>
      <c r="J31" s="124"/>
      <c r="K31" s="124"/>
      <c r="L31" s="112">
        <v>93.7</v>
      </c>
      <c r="M31" s="113"/>
      <c r="N31" s="114"/>
      <c r="O31" s="113">
        <v>6.3</v>
      </c>
      <c r="P31" s="113"/>
      <c r="Q31" s="114"/>
      <c r="R31" s="121"/>
      <c r="S31" s="121"/>
      <c r="T31" s="121"/>
      <c r="U31" s="121"/>
      <c r="V31" s="121"/>
      <c r="W31" s="121"/>
      <c r="X31" s="121"/>
      <c r="Y31" s="122"/>
      <c r="Z31" s="27"/>
    </row>
    <row r="32" spans="1:28" ht="16.8" customHeight="1" x14ac:dyDescent="0.25">
      <c r="A32" s="28"/>
      <c r="B32" s="117">
        <v>4</v>
      </c>
      <c r="C32" s="118"/>
      <c r="D32" s="119"/>
      <c r="E32" s="120"/>
      <c r="F32" s="119"/>
      <c r="G32" s="120"/>
      <c r="H32" s="123"/>
      <c r="I32" s="124">
        <v>2.3580000000000001</v>
      </c>
      <c r="J32" s="124"/>
      <c r="K32" s="124"/>
      <c r="L32" s="112">
        <v>95.7</v>
      </c>
      <c r="M32" s="113"/>
      <c r="N32" s="114"/>
      <c r="O32" s="113">
        <v>4.3</v>
      </c>
      <c r="P32" s="113"/>
      <c r="Q32" s="114"/>
      <c r="R32" s="121"/>
      <c r="S32" s="121"/>
      <c r="T32" s="121"/>
      <c r="U32" s="121"/>
      <c r="V32" s="121"/>
      <c r="W32" s="121"/>
      <c r="X32" s="121"/>
      <c r="Y32" s="122"/>
      <c r="Z32" s="27"/>
    </row>
    <row r="33" spans="1:26" ht="16.8" customHeight="1" x14ac:dyDescent="0.25">
      <c r="A33" s="28"/>
      <c r="B33" s="117">
        <v>5</v>
      </c>
      <c r="C33" s="118"/>
      <c r="D33" s="119"/>
      <c r="E33" s="120"/>
      <c r="F33" s="119"/>
      <c r="G33" s="120"/>
      <c r="H33" s="123"/>
      <c r="I33" s="124">
        <v>2.2810000000000001</v>
      </c>
      <c r="J33" s="124"/>
      <c r="K33" s="124"/>
      <c r="L33" s="112">
        <v>92.5</v>
      </c>
      <c r="M33" s="113"/>
      <c r="N33" s="114"/>
      <c r="O33" s="113">
        <v>7.5</v>
      </c>
      <c r="P33" s="113"/>
      <c r="Q33" s="114"/>
      <c r="R33" s="121"/>
      <c r="S33" s="121"/>
      <c r="T33" s="121"/>
      <c r="U33" s="121"/>
      <c r="V33" s="121"/>
      <c r="W33" s="121"/>
      <c r="X33" s="121"/>
      <c r="Y33" s="122"/>
      <c r="Z33" s="27"/>
    </row>
    <row r="34" spans="1:26" ht="16.8" customHeight="1" x14ac:dyDescent="0.25">
      <c r="A34" s="28"/>
      <c r="B34" s="117">
        <v>6</v>
      </c>
      <c r="C34" s="118"/>
      <c r="D34" s="119"/>
      <c r="E34" s="120"/>
      <c r="F34" s="119"/>
      <c r="G34" s="120"/>
      <c r="H34" s="123"/>
      <c r="I34" s="124">
        <v>2.278</v>
      </c>
      <c r="J34" s="124"/>
      <c r="K34" s="124"/>
      <c r="L34" s="112">
        <v>92.4</v>
      </c>
      <c r="M34" s="113"/>
      <c r="N34" s="114"/>
      <c r="O34" s="113">
        <v>7.6</v>
      </c>
      <c r="P34" s="113"/>
      <c r="Q34" s="114"/>
      <c r="R34" s="121"/>
      <c r="S34" s="121"/>
      <c r="T34" s="121"/>
      <c r="U34" s="121"/>
      <c r="V34" s="121"/>
      <c r="W34" s="121"/>
      <c r="X34" s="121"/>
      <c r="Y34" s="122"/>
      <c r="Z34" s="27"/>
    </row>
    <row r="35" spans="1:26" ht="16.8" customHeight="1" x14ac:dyDescent="0.25">
      <c r="A35" s="28"/>
      <c r="B35" s="117">
        <v>7</v>
      </c>
      <c r="C35" s="118"/>
      <c r="D35" s="119"/>
      <c r="E35" s="120"/>
      <c r="F35" s="119"/>
      <c r="G35" s="120"/>
      <c r="H35" s="123"/>
      <c r="I35" s="124">
        <v>2.2730000000000001</v>
      </c>
      <c r="J35" s="124"/>
      <c r="K35" s="124"/>
      <c r="L35" s="112">
        <v>92.2</v>
      </c>
      <c r="M35" s="113"/>
      <c r="N35" s="114"/>
      <c r="O35" s="113">
        <v>7.8</v>
      </c>
      <c r="P35" s="113"/>
      <c r="Q35" s="114"/>
      <c r="R35" s="121"/>
      <c r="S35" s="121"/>
      <c r="T35" s="121"/>
      <c r="U35" s="121"/>
      <c r="V35" s="121"/>
      <c r="W35" s="121"/>
      <c r="X35" s="121"/>
      <c r="Y35" s="122"/>
      <c r="Z35" s="27"/>
    </row>
    <row r="36" spans="1:26" ht="16.8" customHeight="1" x14ac:dyDescent="0.25">
      <c r="A36" s="28"/>
      <c r="B36" s="117">
        <v>8</v>
      </c>
      <c r="C36" s="118"/>
      <c r="D36" s="119"/>
      <c r="E36" s="120"/>
      <c r="F36" s="119"/>
      <c r="G36" s="120"/>
      <c r="H36" s="123"/>
      <c r="I36" s="124">
        <v>2.2890000000000001</v>
      </c>
      <c r="J36" s="124"/>
      <c r="K36" s="124"/>
      <c r="L36" s="112">
        <v>92.9</v>
      </c>
      <c r="M36" s="113"/>
      <c r="N36" s="114"/>
      <c r="O36" s="113">
        <v>7.1</v>
      </c>
      <c r="P36" s="113"/>
      <c r="Q36" s="114"/>
      <c r="R36" s="121"/>
      <c r="S36" s="121"/>
      <c r="T36" s="121"/>
      <c r="U36" s="121"/>
      <c r="V36" s="121"/>
      <c r="W36" s="121"/>
      <c r="X36" s="121"/>
      <c r="Y36" s="122"/>
      <c r="Z36" s="27"/>
    </row>
    <row r="37" spans="1:26" ht="16.8" customHeight="1" x14ac:dyDescent="0.25">
      <c r="A37" s="28"/>
      <c r="B37" s="117">
        <v>9</v>
      </c>
      <c r="C37" s="118"/>
      <c r="D37" s="119"/>
      <c r="E37" s="120"/>
      <c r="F37" s="119"/>
      <c r="G37" s="120"/>
      <c r="H37" s="123"/>
      <c r="I37" s="124"/>
      <c r="J37" s="124"/>
      <c r="K37" s="124"/>
      <c r="L37" s="112"/>
      <c r="M37" s="113"/>
      <c r="N37" s="114"/>
      <c r="O37" s="113"/>
      <c r="P37" s="113"/>
      <c r="Q37" s="114"/>
      <c r="R37" s="121"/>
      <c r="S37" s="121"/>
      <c r="T37" s="121"/>
      <c r="U37" s="121"/>
      <c r="V37" s="121"/>
      <c r="W37" s="121"/>
      <c r="X37" s="121"/>
      <c r="Y37" s="122"/>
      <c r="Z37" s="27"/>
    </row>
    <row r="38" spans="1:26" ht="16.8" customHeight="1" x14ac:dyDescent="0.25">
      <c r="A38" s="28"/>
      <c r="B38" s="117">
        <v>10</v>
      </c>
      <c r="C38" s="118"/>
      <c r="D38" s="119"/>
      <c r="E38" s="120"/>
      <c r="F38" s="119"/>
      <c r="G38" s="120"/>
      <c r="H38" s="123"/>
      <c r="I38" s="124"/>
      <c r="J38" s="124"/>
      <c r="K38" s="124"/>
      <c r="L38" s="112"/>
      <c r="M38" s="113"/>
      <c r="N38" s="114"/>
      <c r="O38" s="113"/>
      <c r="P38" s="113"/>
      <c r="Q38" s="114"/>
      <c r="R38" s="121"/>
      <c r="S38" s="121"/>
      <c r="T38" s="121"/>
      <c r="U38" s="121"/>
      <c r="V38" s="121"/>
      <c r="W38" s="121"/>
      <c r="X38" s="121"/>
      <c r="Y38" s="122"/>
      <c r="Z38" s="27"/>
    </row>
    <row r="39" spans="1:26" ht="16.8" customHeight="1" x14ac:dyDescent="0.25">
      <c r="A39" s="28"/>
      <c r="B39" s="117">
        <v>11</v>
      </c>
      <c r="C39" s="118"/>
      <c r="D39" s="119"/>
      <c r="E39" s="120"/>
      <c r="F39" s="119"/>
      <c r="G39" s="120"/>
      <c r="H39" s="123"/>
      <c r="I39" s="124"/>
      <c r="J39" s="124"/>
      <c r="K39" s="124"/>
      <c r="L39" s="112"/>
      <c r="M39" s="113"/>
      <c r="N39" s="114"/>
      <c r="O39" s="113"/>
      <c r="P39" s="113"/>
      <c r="Q39" s="114"/>
      <c r="R39" s="121"/>
      <c r="S39" s="121"/>
      <c r="T39" s="121"/>
      <c r="U39" s="121"/>
      <c r="V39" s="121"/>
      <c r="W39" s="121"/>
      <c r="X39" s="121"/>
      <c r="Y39" s="122"/>
      <c r="Z39" s="27"/>
    </row>
    <row r="40" spans="1:26" ht="16.8" customHeight="1" x14ac:dyDescent="0.25">
      <c r="A40" s="28"/>
      <c r="B40" s="117">
        <v>12</v>
      </c>
      <c r="C40" s="118"/>
      <c r="D40" s="119"/>
      <c r="E40" s="120"/>
      <c r="F40" s="119"/>
      <c r="G40" s="120"/>
      <c r="H40" s="123"/>
      <c r="I40" s="124"/>
      <c r="J40" s="124"/>
      <c r="K40" s="124"/>
      <c r="L40" s="112"/>
      <c r="M40" s="113"/>
      <c r="N40" s="114"/>
      <c r="O40" s="113"/>
      <c r="P40" s="113"/>
      <c r="Q40" s="114"/>
      <c r="R40" s="121"/>
      <c r="S40" s="121"/>
      <c r="T40" s="121"/>
      <c r="U40" s="121"/>
      <c r="V40" s="121"/>
      <c r="W40" s="121"/>
      <c r="X40" s="121"/>
      <c r="Y40" s="122"/>
      <c r="Z40" s="27"/>
    </row>
    <row r="41" spans="1:26" ht="16.8" customHeight="1" x14ac:dyDescent="0.25">
      <c r="A41" s="28"/>
      <c r="B41" s="117">
        <v>13</v>
      </c>
      <c r="C41" s="118"/>
      <c r="D41" s="119"/>
      <c r="E41" s="120"/>
      <c r="F41" s="119"/>
      <c r="G41" s="120"/>
      <c r="H41" s="123"/>
      <c r="I41" s="124"/>
      <c r="J41" s="124"/>
      <c r="K41" s="124"/>
      <c r="L41" s="112"/>
      <c r="M41" s="113"/>
      <c r="N41" s="114"/>
      <c r="O41" s="113"/>
      <c r="P41" s="113"/>
      <c r="Q41" s="114"/>
      <c r="R41" s="121"/>
      <c r="S41" s="121"/>
      <c r="T41" s="121"/>
      <c r="U41" s="121"/>
      <c r="V41" s="121"/>
      <c r="W41" s="121"/>
      <c r="X41" s="121"/>
      <c r="Y41" s="122"/>
      <c r="Z41" s="27"/>
    </row>
    <row r="42" spans="1:26" ht="16.8" customHeight="1" x14ac:dyDescent="0.25">
      <c r="A42" s="28"/>
      <c r="B42" s="117">
        <v>14</v>
      </c>
      <c r="C42" s="118"/>
      <c r="D42" s="119"/>
      <c r="E42" s="120"/>
      <c r="F42" s="119"/>
      <c r="G42" s="120"/>
      <c r="H42" s="123"/>
      <c r="I42" s="124"/>
      <c r="J42" s="124"/>
      <c r="K42" s="124"/>
      <c r="L42" s="112"/>
      <c r="M42" s="113"/>
      <c r="N42" s="114"/>
      <c r="O42" s="113"/>
      <c r="P42" s="113"/>
      <c r="Q42" s="114"/>
      <c r="R42" s="121"/>
      <c r="S42" s="121"/>
      <c r="T42" s="121"/>
      <c r="U42" s="121"/>
      <c r="V42" s="121"/>
      <c r="W42" s="121"/>
      <c r="X42" s="121"/>
      <c r="Y42" s="122"/>
      <c r="Z42" s="27"/>
    </row>
    <row r="43" spans="1:26" ht="16.8" customHeight="1" x14ac:dyDescent="0.25">
      <c r="A43" s="28"/>
      <c r="B43" s="117">
        <v>15</v>
      </c>
      <c r="C43" s="118"/>
      <c r="D43" s="119"/>
      <c r="E43" s="120"/>
      <c r="F43" s="119"/>
      <c r="G43" s="120"/>
      <c r="H43" s="123"/>
      <c r="I43" s="124"/>
      <c r="J43" s="124"/>
      <c r="K43" s="124"/>
      <c r="L43" s="112"/>
      <c r="M43" s="113"/>
      <c r="N43" s="114"/>
      <c r="O43" s="113"/>
      <c r="P43" s="113"/>
      <c r="Q43" s="114"/>
      <c r="R43" s="121"/>
      <c r="S43" s="121"/>
      <c r="T43" s="121"/>
      <c r="U43" s="121"/>
      <c r="V43" s="121"/>
      <c r="W43" s="121"/>
      <c r="X43" s="121"/>
      <c r="Y43" s="122"/>
      <c r="Z43" s="27"/>
    </row>
    <row r="44" spans="1:26" ht="16.8" customHeight="1" x14ac:dyDescent="0.25">
      <c r="A44" s="28"/>
      <c r="B44" s="117">
        <v>16</v>
      </c>
      <c r="C44" s="118"/>
      <c r="D44" s="119"/>
      <c r="E44" s="120"/>
      <c r="F44" s="119"/>
      <c r="G44" s="120"/>
      <c r="H44" s="123"/>
      <c r="I44" s="124"/>
      <c r="J44" s="124"/>
      <c r="K44" s="124"/>
      <c r="L44" s="112"/>
      <c r="M44" s="113"/>
      <c r="N44" s="114"/>
      <c r="O44" s="113"/>
      <c r="P44" s="113"/>
      <c r="Q44" s="114"/>
      <c r="R44" s="121"/>
      <c r="S44" s="121"/>
      <c r="T44" s="121"/>
      <c r="U44" s="121"/>
      <c r="V44" s="121"/>
      <c r="W44" s="121"/>
      <c r="X44" s="121"/>
      <c r="Y44" s="122"/>
      <c r="Z44" s="27"/>
    </row>
    <row r="45" spans="1:26" ht="16.8" customHeight="1" x14ac:dyDescent="0.25">
      <c r="A45" s="28"/>
      <c r="B45" s="117">
        <v>17</v>
      </c>
      <c r="C45" s="118"/>
      <c r="D45" s="119"/>
      <c r="E45" s="120"/>
      <c r="F45" s="119"/>
      <c r="G45" s="120"/>
      <c r="H45" s="123"/>
      <c r="I45" s="124"/>
      <c r="J45" s="124"/>
      <c r="K45" s="124"/>
      <c r="L45" s="112"/>
      <c r="M45" s="113"/>
      <c r="N45" s="114"/>
      <c r="O45" s="113"/>
      <c r="P45" s="113"/>
      <c r="Q45" s="114"/>
      <c r="R45" s="121"/>
      <c r="S45" s="121"/>
      <c r="T45" s="121"/>
      <c r="U45" s="121"/>
      <c r="V45" s="121"/>
      <c r="W45" s="121"/>
      <c r="X45" s="121"/>
      <c r="Y45" s="122"/>
      <c r="Z45" s="27"/>
    </row>
    <row r="46" spans="1:26" ht="16.8" customHeight="1" x14ac:dyDescent="0.25">
      <c r="A46" s="28"/>
      <c r="B46" s="117">
        <v>18</v>
      </c>
      <c r="C46" s="118"/>
      <c r="D46" s="119"/>
      <c r="E46" s="120"/>
      <c r="F46" s="119"/>
      <c r="G46" s="120"/>
      <c r="H46" s="123"/>
      <c r="I46" s="124"/>
      <c r="J46" s="124"/>
      <c r="K46" s="124"/>
      <c r="L46" s="112"/>
      <c r="M46" s="113"/>
      <c r="N46" s="114"/>
      <c r="O46" s="113"/>
      <c r="P46" s="113"/>
      <c r="Q46" s="114"/>
      <c r="R46" s="121"/>
      <c r="S46" s="121"/>
      <c r="T46" s="121"/>
      <c r="U46" s="121"/>
      <c r="V46" s="121"/>
      <c r="W46" s="121"/>
      <c r="X46" s="121"/>
      <c r="Y46" s="122"/>
      <c r="Z46" s="27"/>
    </row>
    <row r="47" spans="1:26" ht="16.8" customHeight="1" x14ac:dyDescent="0.25">
      <c r="A47" s="28"/>
      <c r="B47" s="117">
        <v>19</v>
      </c>
      <c r="C47" s="118"/>
      <c r="D47" s="119"/>
      <c r="E47" s="120"/>
      <c r="F47" s="119"/>
      <c r="G47" s="120"/>
      <c r="H47" s="123"/>
      <c r="I47" s="124"/>
      <c r="J47" s="124"/>
      <c r="K47" s="124"/>
      <c r="L47" s="112"/>
      <c r="M47" s="113"/>
      <c r="N47" s="114"/>
      <c r="O47" s="113"/>
      <c r="P47" s="113"/>
      <c r="Q47" s="114"/>
      <c r="R47" s="121"/>
      <c r="S47" s="121"/>
      <c r="T47" s="121"/>
      <c r="U47" s="121"/>
      <c r="V47" s="121"/>
      <c r="W47" s="121"/>
      <c r="X47" s="121"/>
      <c r="Y47" s="122"/>
      <c r="Z47" s="27"/>
    </row>
    <row r="48" spans="1:26" ht="16.8" customHeight="1" x14ac:dyDescent="0.25">
      <c r="A48" s="28"/>
      <c r="B48" s="117">
        <v>20</v>
      </c>
      <c r="C48" s="118"/>
      <c r="D48" s="119"/>
      <c r="E48" s="120"/>
      <c r="F48" s="119"/>
      <c r="G48" s="120"/>
      <c r="H48" s="123"/>
      <c r="I48" s="124"/>
      <c r="J48" s="124"/>
      <c r="K48" s="124"/>
      <c r="L48" s="112"/>
      <c r="M48" s="113"/>
      <c r="N48" s="114"/>
      <c r="O48" s="113"/>
      <c r="P48" s="113"/>
      <c r="Q48" s="114"/>
      <c r="R48" s="121"/>
      <c r="S48" s="121"/>
      <c r="T48" s="121"/>
      <c r="U48" s="121"/>
      <c r="V48" s="121"/>
      <c r="W48" s="121"/>
      <c r="X48" s="121"/>
      <c r="Y48" s="122"/>
      <c r="Z48" s="27"/>
    </row>
    <row r="49" spans="1:29" ht="16.8" customHeight="1" x14ac:dyDescent="0.25">
      <c r="A49" s="28"/>
      <c r="B49" s="117">
        <v>21</v>
      </c>
      <c r="C49" s="118"/>
      <c r="D49" s="119"/>
      <c r="E49" s="120"/>
      <c r="F49" s="119"/>
      <c r="G49" s="120"/>
      <c r="H49" s="123"/>
      <c r="I49" s="124"/>
      <c r="J49" s="124"/>
      <c r="K49" s="124"/>
      <c r="L49" s="112"/>
      <c r="M49" s="113"/>
      <c r="N49" s="114"/>
      <c r="O49" s="113"/>
      <c r="P49" s="113"/>
      <c r="Q49" s="114"/>
      <c r="R49" s="121"/>
      <c r="S49" s="121"/>
      <c r="T49" s="121"/>
      <c r="U49" s="121"/>
      <c r="V49" s="121"/>
      <c r="W49" s="121"/>
      <c r="X49" s="121"/>
      <c r="Y49" s="122"/>
      <c r="Z49" s="27"/>
    </row>
    <row r="50" spans="1:29" ht="16.8" customHeight="1" x14ac:dyDescent="0.25">
      <c r="A50" s="28"/>
      <c r="B50" s="117">
        <v>22</v>
      </c>
      <c r="C50" s="118"/>
      <c r="D50" s="119"/>
      <c r="E50" s="120"/>
      <c r="F50" s="119"/>
      <c r="G50" s="120"/>
      <c r="H50" s="123"/>
      <c r="I50" s="124"/>
      <c r="J50" s="124"/>
      <c r="K50" s="124"/>
      <c r="L50" s="112"/>
      <c r="M50" s="113"/>
      <c r="N50" s="114"/>
      <c r="O50" s="113"/>
      <c r="P50" s="113"/>
      <c r="Q50" s="114"/>
      <c r="R50" s="121"/>
      <c r="S50" s="121"/>
      <c r="T50" s="121"/>
      <c r="U50" s="121"/>
      <c r="V50" s="121"/>
      <c r="W50" s="121"/>
      <c r="X50" s="121"/>
      <c r="Y50" s="122"/>
      <c r="Z50" s="27"/>
    </row>
    <row r="51" spans="1:29" ht="16.8" customHeight="1" x14ac:dyDescent="0.25">
      <c r="A51" s="28"/>
      <c r="B51" s="117">
        <v>23</v>
      </c>
      <c r="C51" s="118"/>
      <c r="D51" s="119"/>
      <c r="E51" s="120"/>
      <c r="F51" s="119"/>
      <c r="G51" s="120"/>
      <c r="H51" s="123"/>
      <c r="I51" s="124"/>
      <c r="J51" s="124"/>
      <c r="K51" s="124"/>
      <c r="L51" s="112"/>
      <c r="M51" s="113"/>
      <c r="N51" s="114"/>
      <c r="O51" s="113"/>
      <c r="P51" s="113"/>
      <c r="Q51" s="114"/>
      <c r="R51" s="121"/>
      <c r="S51" s="121"/>
      <c r="T51" s="121"/>
      <c r="U51" s="121"/>
      <c r="V51" s="121"/>
      <c r="W51" s="121"/>
      <c r="X51" s="121"/>
      <c r="Y51" s="122"/>
      <c r="Z51" s="27"/>
    </row>
    <row r="52" spans="1:29" ht="16.8" customHeight="1" x14ac:dyDescent="0.25">
      <c r="A52" s="28"/>
      <c r="B52" s="117">
        <v>24</v>
      </c>
      <c r="C52" s="118"/>
      <c r="D52" s="119"/>
      <c r="E52" s="120"/>
      <c r="F52" s="119"/>
      <c r="G52" s="120"/>
      <c r="H52" s="123"/>
      <c r="I52" s="124"/>
      <c r="J52" s="124"/>
      <c r="K52" s="124"/>
      <c r="L52" s="112"/>
      <c r="M52" s="113"/>
      <c r="N52" s="114"/>
      <c r="O52" s="113"/>
      <c r="P52" s="113"/>
      <c r="Q52" s="114"/>
      <c r="R52" s="121"/>
      <c r="S52" s="121"/>
      <c r="T52" s="121"/>
      <c r="U52" s="121"/>
      <c r="V52" s="121"/>
      <c r="W52" s="121"/>
      <c r="X52" s="121"/>
      <c r="Y52" s="122"/>
      <c r="Z52" s="27"/>
    </row>
    <row r="53" spans="1:29" ht="17.25" customHeight="1" x14ac:dyDescent="0.25">
      <c r="A53" s="28"/>
      <c r="B53" s="106"/>
      <c r="C53" s="107"/>
      <c r="D53" s="108"/>
      <c r="E53" s="109"/>
      <c r="F53" s="108"/>
      <c r="G53" s="109"/>
      <c r="H53" s="110"/>
      <c r="I53" s="111"/>
      <c r="J53" s="111"/>
      <c r="K53" s="111"/>
      <c r="L53" s="214"/>
      <c r="M53" s="213"/>
      <c r="N53" s="212"/>
      <c r="O53" s="213"/>
      <c r="P53" s="213"/>
      <c r="Q53" s="212"/>
      <c r="R53" s="115"/>
      <c r="S53" s="115"/>
      <c r="T53" s="115"/>
      <c r="U53" s="115"/>
      <c r="V53" s="115"/>
      <c r="W53" s="115"/>
      <c r="X53" s="115"/>
      <c r="Y53" s="116"/>
      <c r="Z53" s="27"/>
    </row>
    <row r="54" spans="1:29" ht="16.5" customHeight="1" thickBot="1" x14ac:dyDescent="0.3">
      <c r="A54" s="28"/>
      <c r="B54" s="58" t="s">
        <v>12</v>
      </c>
      <c r="C54" s="59"/>
      <c r="D54" s="59"/>
      <c r="E54" s="59"/>
      <c r="F54" s="59"/>
      <c r="G54" s="59"/>
      <c r="H54" s="59"/>
      <c r="I54" s="60">
        <v>2.29</v>
      </c>
      <c r="J54" s="60"/>
      <c r="K54" s="60"/>
      <c r="L54" s="61">
        <v>93</v>
      </c>
      <c r="M54" s="61"/>
      <c r="N54" s="61"/>
      <c r="O54" s="61">
        <v>7</v>
      </c>
      <c r="P54" s="61"/>
      <c r="Q54" s="61"/>
      <c r="R54" s="62"/>
      <c r="S54" s="62"/>
      <c r="T54" s="62"/>
      <c r="U54" s="62"/>
      <c r="V54" s="62"/>
      <c r="W54" s="62"/>
      <c r="X54" s="62"/>
      <c r="Y54" s="63"/>
      <c r="Z54" s="27"/>
    </row>
    <row r="55" spans="1:29" ht="25.5" customHeight="1" thickBot="1" x14ac:dyDescent="0.3">
      <c r="A55" s="28"/>
      <c r="B55" s="64" t="s">
        <v>11</v>
      </c>
      <c r="C55" s="65"/>
      <c r="D55" s="65"/>
      <c r="E55" s="65"/>
      <c r="F55" s="65"/>
      <c r="G55" s="65"/>
      <c r="H55" s="65"/>
      <c r="I55" s="66">
        <v>97.37</v>
      </c>
      <c r="J55" s="66"/>
      <c r="K55" s="66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8"/>
      <c r="Z55" s="27"/>
    </row>
    <row r="56" spans="1:29" ht="15" customHeight="1" x14ac:dyDescent="0.25">
      <c r="A56" s="26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4"/>
    </row>
    <row r="57" spans="1:29" ht="16.5" customHeight="1" x14ac:dyDescent="0.25">
      <c r="S57" s="23"/>
      <c r="T57" s="23"/>
      <c r="U57" s="23"/>
    </row>
    <row r="58" spans="1:29" ht="15.6" customHeight="1" x14ac:dyDescent="0.25">
      <c r="A58" s="22" t="s">
        <v>10</v>
      </c>
      <c r="B58" s="21" t="s">
        <v>9</v>
      </c>
      <c r="C58" s="20"/>
      <c r="D58" s="20"/>
      <c r="E58" s="20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U58" s="18"/>
      <c r="V58" s="17"/>
      <c r="W58" s="17"/>
      <c r="X58" s="17"/>
      <c r="Y58" s="17"/>
      <c r="Z58" s="16"/>
      <c r="AA58" s="2"/>
      <c r="AB58" s="2"/>
      <c r="AC58" s="2"/>
    </row>
    <row r="59" spans="1:29" ht="26.4" customHeight="1" x14ac:dyDescent="0.25">
      <c r="A59" s="82" t="s">
        <v>8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4"/>
      <c r="R59" s="75" t="s">
        <v>7</v>
      </c>
      <c r="S59" s="76"/>
      <c r="T59" s="77"/>
      <c r="U59" s="211" t="s">
        <v>73</v>
      </c>
      <c r="V59" s="210"/>
      <c r="W59" s="210"/>
      <c r="X59" s="209"/>
      <c r="Y59" s="209"/>
      <c r="Z59" s="208"/>
      <c r="AA59" s="2"/>
      <c r="AB59" s="2"/>
      <c r="AC59" s="2"/>
    </row>
    <row r="60" spans="1:29" ht="15.6" customHeight="1" x14ac:dyDescent="0.25">
      <c r="A60" s="89" t="s">
        <v>5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1"/>
      <c r="R60" s="75" t="s">
        <v>4</v>
      </c>
      <c r="S60" s="76"/>
      <c r="T60" s="77"/>
      <c r="U60" s="207" t="s">
        <v>3</v>
      </c>
      <c r="V60" s="206"/>
      <c r="W60" s="206"/>
      <c r="X60" s="205"/>
      <c r="Y60" s="205"/>
      <c r="Z60" s="204"/>
      <c r="AA60" s="2"/>
      <c r="AB60" s="2"/>
      <c r="AC60" s="2"/>
    </row>
    <row r="61" spans="1:29" ht="15.6" customHeight="1" x14ac:dyDescent="0.25">
      <c r="A61" s="92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4"/>
      <c r="R61" s="75"/>
      <c r="S61" s="76"/>
      <c r="T61" s="77"/>
      <c r="U61" s="203"/>
      <c r="V61" s="192"/>
      <c r="W61" s="192"/>
      <c r="X61" s="202"/>
      <c r="Y61" s="202"/>
      <c r="Z61" s="201"/>
      <c r="AA61" s="2"/>
      <c r="AB61" s="2"/>
      <c r="AC61" s="2"/>
    </row>
    <row r="62" spans="1:29" ht="15.6" customHeight="1" x14ac:dyDescent="0.25">
      <c r="A62" s="15" t="s">
        <v>2</v>
      </c>
      <c r="B62" s="14" t="s">
        <v>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3"/>
      <c r="R62" s="75"/>
      <c r="S62" s="76"/>
      <c r="T62" s="77"/>
      <c r="U62" s="200"/>
      <c r="V62" s="199"/>
      <c r="W62" s="199"/>
      <c r="X62" s="198"/>
      <c r="Y62" s="198"/>
      <c r="Z62" s="197"/>
      <c r="AA62" s="2"/>
      <c r="AB62" s="2"/>
      <c r="AC62" s="2"/>
    </row>
    <row r="63" spans="1:29" ht="15.6" customHeight="1" x14ac:dyDescent="0.25">
      <c r="A63" s="69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1"/>
      <c r="R63" s="75" t="s">
        <v>0</v>
      </c>
      <c r="S63" s="76"/>
      <c r="T63" s="77"/>
      <c r="U63" s="196"/>
      <c r="V63" s="195"/>
      <c r="W63" s="195"/>
      <c r="X63" s="195"/>
      <c r="Y63" s="195"/>
      <c r="Z63" s="194"/>
      <c r="AA63" s="2"/>
      <c r="AB63" s="2"/>
      <c r="AC63" s="2"/>
    </row>
    <row r="64" spans="1:29" ht="15.6" customHeight="1" x14ac:dyDescent="0.25">
      <c r="A64" s="69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1"/>
      <c r="R64" s="75"/>
      <c r="S64" s="76"/>
      <c r="T64" s="77"/>
      <c r="U64" s="193"/>
      <c r="V64" s="192"/>
      <c r="W64" s="192"/>
      <c r="X64" s="192"/>
      <c r="Y64" s="192"/>
      <c r="Z64" s="191"/>
      <c r="AA64" s="2"/>
      <c r="AB64" s="2"/>
      <c r="AC64" s="2"/>
    </row>
    <row r="65" spans="1:29" ht="15.6" customHeight="1" x14ac:dyDescent="0.25">
      <c r="A65" s="69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1"/>
      <c r="R65" s="75"/>
      <c r="S65" s="76"/>
      <c r="T65" s="77"/>
      <c r="U65" s="193"/>
      <c r="V65" s="192"/>
      <c r="W65" s="192"/>
      <c r="X65" s="192"/>
      <c r="Y65" s="192"/>
      <c r="Z65" s="191"/>
      <c r="AA65" s="2"/>
      <c r="AB65" s="2"/>
      <c r="AC65" s="2"/>
    </row>
    <row r="66" spans="1:29" ht="15.6" customHeight="1" x14ac:dyDescent="0.25">
      <c r="A66" s="72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4"/>
      <c r="R66" s="78"/>
      <c r="S66" s="79"/>
      <c r="T66" s="80"/>
      <c r="U66" s="190"/>
      <c r="V66" s="189"/>
      <c r="W66" s="189"/>
      <c r="X66" s="189"/>
      <c r="Y66" s="189"/>
      <c r="Z66" s="188"/>
      <c r="AA66" s="2"/>
      <c r="AB66" s="2"/>
      <c r="AC66" s="2"/>
    </row>
    <row r="67" spans="1:29" ht="16.5" customHeight="1" x14ac:dyDescent="0.25">
      <c r="R67" s="4"/>
      <c r="S67" s="4"/>
      <c r="T67" s="4"/>
      <c r="U67" s="3"/>
      <c r="V67" s="3"/>
      <c r="W67" s="3"/>
      <c r="X67" s="3"/>
      <c r="Y67" s="3"/>
      <c r="Z67" s="3"/>
      <c r="AA67" s="2"/>
      <c r="AB67" s="2"/>
      <c r="AC67" s="2"/>
    </row>
  </sheetData>
  <sheetProtection formatCells="0" formatColumns="0" formatRows="0" insertColumns="0" insertRows="0" insertHyperlinks="0" deleteColumns="0" deleteRows="0" selectLockedCells="1" sort="0" autoFilter="0" pivotTables="0"/>
  <mergeCells count="251">
    <mergeCell ref="S11:W11"/>
    <mergeCell ref="X11:Y11"/>
    <mergeCell ref="G11:L11"/>
    <mergeCell ref="B12:F12"/>
    <mergeCell ref="G12:L12"/>
    <mergeCell ref="B11:F11"/>
    <mergeCell ref="I55:K55"/>
    <mergeCell ref="L55:Y55"/>
    <mergeCell ref="B54:H54"/>
    <mergeCell ref="O22:Q22"/>
    <mergeCell ref="L27:N27"/>
    <mergeCell ref="Q25:T25"/>
    <mergeCell ref="O27:Q27"/>
    <mergeCell ref="O28:Q28"/>
    <mergeCell ref="L28:N28"/>
    <mergeCell ref="R27:Y28"/>
    <mergeCell ref="O54:Q54"/>
    <mergeCell ref="L54:N54"/>
    <mergeCell ref="I27:K28"/>
    <mergeCell ref="O29:Q29"/>
    <mergeCell ref="A59:Q59"/>
    <mergeCell ref="B27:C27"/>
    <mergeCell ref="B28:C28"/>
    <mergeCell ref="D27:E27"/>
    <mergeCell ref="D28:E28"/>
    <mergeCell ref="D53:E53"/>
    <mergeCell ref="F53:H53"/>
    <mergeCell ref="R53:Y53"/>
    <mergeCell ref="O53:Q53"/>
    <mergeCell ref="L53:N53"/>
    <mergeCell ref="V22:X22"/>
    <mergeCell ref="B22:H22"/>
    <mergeCell ref="I22:M22"/>
    <mergeCell ref="B53:C53"/>
    <mergeCell ref="H25:P25"/>
    <mergeCell ref="P6:T6"/>
    <mergeCell ref="I5:K5"/>
    <mergeCell ref="I6:K6"/>
    <mergeCell ref="M11:O11"/>
    <mergeCell ref="R59:T59"/>
    <mergeCell ref="A60:Q61"/>
    <mergeCell ref="R60:T62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F27:H27"/>
    <mergeCell ref="B29:C29"/>
    <mergeCell ref="D29:E29"/>
    <mergeCell ref="F29:H29"/>
    <mergeCell ref="I29:K29"/>
    <mergeCell ref="L29:N29"/>
    <mergeCell ref="I54:K54"/>
    <mergeCell ref="R54:Y54"/>
    <mergeCell ref="U59:Z59"/>
    <mergeCell ref="U60:Z62"/>
    <mergeCell ref="V64:Y65"/>
    <mergeCell ref="R29:Y29"/>
    <mergeCell ref="R63:T66"/>
    <mergeCell ref="I53:K53"/>
    <mergeCell ref="A63:Q66"/>
    <mergeCell ref="B55:H55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I30:K30"/>
    <mergeCell ref="L30:N30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O32:Q32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8:C38"/>
    <mergeCell ref="D38:E38"/>
    <mergeCell ref="F38:H38"/>
    <mergeCell ref="I38:K38"/>
    <mergeCell ref="L38:N38"/>
    <mergeCell ref="O36:Q36"/>
    <mergeCell ref="F36:H36"/>
    <mergeCell ref="I36:K36"/>
    <mergeCell ref="L36:N36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O38:Q38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B44:C44"/>
    <mergeCell ref="D44:E44"/>
    <mergeCell ref="F44:H44"/>
    <mergeCell ref="I44:K44"/>
    <mergeCell ref="L44:N44"/>
    <mergeCell ref="O42:Q42"/>
    <mergeCell ref="F42:H42"/>
    <mergeCell ref="I42:K42"/>
    <mergeCell ref="L42:N42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O44:Q44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B50:C50"/>
    <mergeCell ref="D50:E50"/>
    <mergeCell ref="F50:H50"/>
    <mergeCell ref="I50:K50"/>
    <mergeCell ref="L50:N50"/>
    <mergeCell ref="O48:Q48"/>
    <mergeCell ref="F48:H48"/>
    <mergeCell ref="I48:K48"/>
    <mergeCell ref="L48:N48"/>
    <mergeCell ref="B51:C51"/>
    <mergeCell ref="D51:E51"/>
    <mergeCell ref="F51:H51"/>
    <mergeCell ref="I51:K51"/>
    <mergeCell ref="L51:N51"/>
    <mergeCell ref="O51:Q51"/>
    <mergeCell ref="D52:E52"/>
    <mergeCell ref="F52:H52"/>
    <mergeCell ref="I52:K52"/>
    <mergeCell ref="L52:N52"/>
    <mergeCell ref="O50:Q50"/>
    <mergeCell ref="R50:Y50"/>
    <mergeCell ref="R51:Y51"/>
    <mergeCell ref="O52:Q52"/>
    <mergeCell ref="R52:Y52"/>
    <mergeCell ref="B52:C5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1421-F1C6-47CB-8862-B64191DB4533}">
  <sheetPr>
    <pageSetUpPr fitToPage="1"/>
  </sheetPr>
  <dimension ref="A1:AN72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50"/>
      <c r="B1" s="151"/>
      <c r="C1" s="151"/>
      <c r="D1" s="151"/>
      <c r="E1" s="151"/>
      <c r="F1" s="152"/>
      <c r="G1" s="159" t="s">
        <v>64</v>
      </c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1"/>
      <c r="U1" s="162" t="s">
        <v>65</v>
      </c>
      <c r="V1" s="163"/>
      <c r="W1" s="163"/>
      <c r="X1" s="163"/>
      <c r="Y1" s="163"/>
      <c r="Z1" s="164"/>
    </row>
    <row r="2" spans="1:40" ht="13.2" customHeight="1" x14ac:dyDescent="0.25">
      <c r="A2" s="153"/>
      <c r="B2" s="154"/>
      <c r="C2" s="154"/>
      <c r="D2" s="154"/>
      <c r="E2" s="154"/>
      <c r="F2" s="155"/>
      <c r="G2" s="171" t="s">
        <v>63</v>
      </c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3"/>
      <c r="U2" s="165"/>
      <c r="V2" s="166"/>
      <c r="W2" s="166"/>
      <c r="X2" s="166"/>
      <c r="Y2" s="166"/>
      <c r="Z2" s="167"/>
    </row>
    <row r="3" spans="1:40" ht="13.2" customHeight="1" x14ac:dyDescent="0.25">
      <c r="A3" s="153"/>
      <c r="B3" s="154"/>
      <c r="C3" s="154"/>
      <c r="D3" s="154"/>
      <c r="E3" s="154"/>
      <c r="F3" s="155"/>
      <c r="G3" s="171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3"/>
      <c r="U3" s="165"/>
      <c r="V3" s="166"/>
      <c r="W3" s="166"/>
      <c r="X3" s="166"/>
      <c r="Y3" s="166"/>
      <c r="Z3" s="167"/>
    </row>
    <row r="4" spans="1:40" ht="13.2" customHeight="1" x14ac:dyDescent="0.25">
      <c r="A4" s="153"/>
      <c r="B4" s="154"/>
      <c r="C4" s="154"/>
      <c r="D4" s="154"/>
      <c r="E4" s="154"/>
      <c r="F4" s="155"/>
      <c r="G4" s="171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3"/>
      <c r="U4" s="165"/>
      <c r="V4" s="166"/>
      <c r="W4" s="166"/>
      <c r="X4" s="166"/>
      <c r="Y4" s="166"/>
      <c r="Z4" s="167"/>
    </row>
    <row r="5" spans="1:40" ht="15" customHeight="1" x14ac:dyDescent="0.25">
      <c r="A5" s="153"/>
      <c r="B5" s="154"/>
      <c r="C5" s="154"/>
      <c r="D5" s="154"/>
      <c r="E5" s="154"/>
      <c r="F5" s="155"/>
      <c r="G5" s="89" t="s">
        <v>62</v>
      </c>
      <c r="H5" s="90"/>
      <c r="I5" s="174">
        <v>1</v>
      </c>
      <c r="J5" s="174"/>
      <c r="K5" s="175"/>
      <c r="L5" s="176" t="s">
        <v>66</v>
      </c>
      <c r="M5" s="177"/>
      <c r="N5" s="177"/>
      <c r="O5" s="178"/>
      <c r="P5" s="179">
        <v>45978</v>
      </c>
      <c r="Q5" s="180"/>
      <c r="R5" s="180"/>
      <c r="S5" s="180"/>
      <c r="T5" s="181"/>
      <c r="U5" s="165"/>
      <c r="V5" s="166"/>
      <c r="W5" s="166"/>
      <c r="X5" s="166"/>
      <c r="Y5" s="166"/>
      <c r="Z5" s="167"/>
    </row>
    <row r="6" spans="1:40" ht="13.2" customHeight="1" x14ac:dyDescent="0.25">
      <c r="A6" s="156"/>
      <c r="B6" s="157"/>
      <c r="C6" s="157"/>
      <c r="D6" s="157"/>
      <c r="E6" s="157"/>
      <c r="F6" s="158"/>
      <c r="G6" s="26"/>
      <c r="H6" s="57"/>
      <c r="I6" s="182" t="s">
        <v>61</v>
      </c>
      <c r="J6" s="182"/>
      <c r="K6" s="182"/>
      <c r="L6" s="182" t="s">
        <v>60</v>
      </c>
      <c r="M6" s="182"/>
      <c r="N6" s="182"/>
      <c r="O6" s="182"/>
      <c r="P6" s="182" t="s">
        <v>59</v>
      </c>
      <c r="Q6" s="182"/>
      <c r="R6" s="182"/>
      <c r="S6" s="182"/>
      <c r="T6" s="183"/>
      <c r="U6" s="168"/>
      <c r="V6" s="169"/>
      <c r="W6" s="169"/>
      <c r="X6" s="169"/>
      <c r="Y6" s="169"/>
      <c r="Z6" s="170"/>
    </row>
    <row r="7" spans="1:40" ht="36.75" customHeight="1" x14ac:dyDescent="0.25">
      <c r="A7" s="184" t="s">
        <v>58</v>
      </c>
      <c r="B7" s="184"/>
      <c r="C7" s="184"/>
      <c r="D7" s="184"/>
      <c r="E7" s="184"/>
      <c r="F7" s="184"/>
      <c r="G7" s="185" t="s">
        <v>57</v>
      </c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</row>
    <row r="8" spans="1:40" ht="15.6" customHeight="1" x14ac:dyDescent="0.25">
      <c r="A8" s="42" t="s">
        <v>56</v>
      </c>
      <c r="B8" s="41" t="s">
        <v>55</v>
      </c>
      <c r="C8" s="38"/>
      <c r="D8" s="40"/>
      <c r="E8" s="40"/>
      <c r="F8" s="40"/>
      <c r="G8" s="40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7"/>
    </row>
    <row r="9" spans="1:40" ht="6" customHeight="1" x14ac:dyDescent="0.25">
      <c r="A9" s="28"/>
      <c r="D9" s="56"/>
      <c r="E9" s="56"/>
      <c r="F9" s="56"/>
      <c r="G9" s="56"/>
      <c r="Z9" s="27"/>
    </row>
    <row r="10" spans="1:40" ht="15" customHeight="1" x14ac:dyDescent="0.25">
      <c r="A10" s="28"/>
      <c r="B10" s="143" t="s">
        <v>54</v>
      </c>
      <c r="C10" s="143"/>
      <c r="D10" s="143"/>
      <c r="E10" s="143"/>
      <c r="F10" s="143"/>
      <c r="G10" s="148" t="s">
        <v>53</v>
      </c>
      <c r="H10" s="148"/>
      <c r="I10" s="148"/>
      <c r="J10" s="148"/>
      <c r="K10" s="148"/>
      <c r="L10" s="148"/>
      <c r="M10" s="143" t="s">
        <v>52</v>
      </c>
      <c r="N10" s="143"/>
      <c r="O10" s="143"/>
      <c r="P10" s="143"/>
      <c r="Q10" s="143"/>
      <c r="R10" s="143"/>
      <c r="S10" s="142" t="s">
        <v>51</v>
      </c>
      <c r="T10" s="142"/>
      <c r="U10" s="142"/>
      <c r="V10" s="142"/>
      <c r="W10" s="142"/>
      <c r="X10" s="142"/>
      <c r="Y10" s="142"/>
      <c r="Z10" s="45"/>
    </row>
    <row r="11" spans="1:40" ht="15" customHeight="1" x14ac:dyDescent="0.25">
      <c r="A11" s="28"/>
      <c r="B11" s="143" t="s">
        <v>50</v>
      </c>
      <c r="C11" s="143"/>
      <c r="D11" s="143"/>
      <c r="E11" s="143"/>
      <c r="F11" s="143"/>
      <c r="G11" s="148">
        <v>45978</v>
      </c>
      <c r="H11" s="148"/>
      <c r="I11" s="148"/>
      <c r="J11" s="148"/>
      <c r="K11" s="148"/>
      <c r="L11" s="148"/>
      <c r="M11" s="143" t="s">
        <v>49</v>
      </c>
      <c r="N11" s="143"/>
      <c r="O11" s="143"/>
      <c r="P11" s="147">
        <v>222</v>
      </c>
      <c r="Q11" s="147"/>
      <c r="R11" s="147"/>
      <c r="S11" s="143" t="s">
        <v>48</v>
      </c>
      <c r="T11" s="143"/>
      <c r="U11" s="143"/>
      <c r="V11" s="143"/>
      <c r="W11" s="143"/>
      <c r="X11" s="147" t="s">
        <v>68</v>
      </c>
      <c r="Y11" s="147"/>
      <c r="Z11" s="45"/>
    </row>
    <row r="12" spans="1:40" ht="15" customHeight="1" x14ac:dyDescent="0.25">
      <c r="A12" s="28"/>
      <c r="B12" s="143" t="s">
        <v>47</v>
      </c>
      <c r="C12" s="143"/>
      <c r="D12" s="143"/>
      <c r="E12" s="143"/>
      <c r="F12" s="143"/>
      <c r="G12" s="148" t="s">
        <v>46</v>
      </c>
      <c r="H12" s="148"/>
      <c r="I12" s="148"/>
      <c r="J12" s="148"/>
      <c r="K12" s="148"/>
      <c r="L12" s="148"/>
      <c r="M12" s="143" t="s">
        <v>45</v>
      </c>
      <c r="N12" s="143"/>
      <c r="O12" s="143"/>
      <c r="P12" s="143"/>
      <c r="Q12" s="143"/>
      <c r="R12" s="143"/>
      <c r="S12" s="142" t="s">
        <v>69</v>
      </c>
      <c r="T12" s="142"/>
      <c r="U12" s="142"/>
      <c r="V12" s="142"/>
      <c r="W12" s="142"/>
      <c r="X12" s="142"/>
      <c r="Y12" s="142"/>
      <c r="Z12" s="45"/>
    </row>
    <row r="13" spans="1:40" ht="15" customHeight="1" x14ac:dyDescent="0.25">
      <c r="A13" s="28"/>
      <c r="B13" s="143" t="s">
        <v>44</v>
      </c>
      <c r="C13" s="143"/>
      <c r="D13" s="143"/>
      <c r="E13" s="143"/>
      <c r="F13" s="143"/>
      <c r="G13" s="149">
        <v>45978</v>
      </c>
      <c r="H13" s="148"/>
      <c r="I13" s="148"/>
      <c r="J13" s="148"/>
      <c r="K13" s="148"/>
      <c r="L13" s="148"/>
      <c r="M13" s="143" t="s">
        <v>43</v>
      </c>
      <c r="N13" s="143"/>
      <c r="O13" s="143"/>
      <c r="P13" s="143"/>
      <c r="Q13" s="143"/>
      <c r="R13" s="143"/>
      <c r="S13" s="143" t="s">
        <v>70</v>
      </c>
      <c r="T13" s="143"/>
      <c r="U13" s="143"/>
      <c r="V13" s="143"/>
      <c r="W13" s="143"/>
      <c r="X13" s="143"/>
      <c r="Y13" s="143"/>
      <c r="Z13" s="45"/>
    </row>
    <row r="14" spans="1:40" ht="15" customHeight="1" x14ac:dyDescent="0.25">
      <c r="A14" s="28"/>
      <c r="B14" s="143" t="s">
        <v>42</v>
      </c>
      <c r="C14" s="143"/>
      <c r="D14" s="143"/>
      <c r="E14" s="143"/>
      <c r="F14" s="143"/>
      <c r="G14" s="148" t="s">
        <v>41</v>
      </c>
      <c r="H14" s="148"/>
      <c r="I14" s="148"/>
      <c r="J14" s="148"/>
      <c r="K14" s="148"/>
      <c r="L14" s="148"/>
      <c r="M14" s="143" t="s">
        <v>40</v>
      </c>
      <c r="N14" s="143"/>
      <c r="O14" s="143"/>
      <c r="P14" s="143"/>
      <c r="Q14" s="143"/>
      <c r="R14" s="143"/>
      <c r="S14" s="143" t="s">
        <v>71</v>
      </c>
      <c r="T14" s="143"/>
      <c r="U14" s="143"/>
      <c r="V14" s="143"/>
      <c r="W14" s="143"/>
      <c r="X14" s="143"/>
      <c r="Y14" s="143"/>
      <c r="Z14" s="45"/>
    </row>
    <row r="15" spans="1:40" ht="15" customHeight="1" x14ac:dyDescent="0.25">
      <c r="A15" s="28"/>
      <c r="B15" s="141" t="s">
        <v>39</v>
      </c>
      <c r="C15" s="141"/>
      <c r="D15" s="141"/>
      <c r="E15" s="141"/>
      <c r="F15" s="141"/>
      <c r="G15" s="142" t="s">
        <v>38</v>
      </c>
      <c r="H15" s="142"/>
      <c r="I15" s="142"/>
      <c r="J15" s="142"/>
      <c r="K15" s="142"/>
      <c r="L15" s="142"/>
      <c r="M15" s="143" t="s">
        <v>37</v>
      </c>
      <c r="N15" s="143"/>
      <c r="O15" s="143"/>
      <c r="P15" s="143"/>
      <c r="Q15" s="143"/>
      <c r="R15" s="143"/>
      <c r="S15" s="143" t="s">
        <v>72</v>
      </c>
      <c r="T15" s="143"/>
      <c r="U15" s="143"/>
      <c r="V15" s="143"/>
      <c r="W15" s="143"/>
      <c r="X15" s="143"/>
      <c r="Y15" s="143"/>
      <c r="Z15" s="45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</row>
    <row r="16" spans="1:40" ht="15" customHeight="1" x14ac:dyDescent="0.25">
      <c r="A16" s="28"/>
      <c r="B16" s="141" t="s">
        <v>36</v>
      </c>
      <c r="C16" s="141"/>
      <c r="D16" s="141"/>
      <c r="E16" s="141"/>
      <c r="F16" s="141"/>
      <c r="G16" s="46" t="s">
        <v>67</v>
      </c>
      <c r="H16" s="46"/>
      <c r="I16" s="46"/>
      <c r="J16" s="46"/>
      <c r="K16" s="46"/>
      <c r="L16" s="46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51"/>
    </row>
    <row r="17" spans="1:28" ht="6" customHeight="1" x14ac:dyDescent="0.25">
      <c r="A17" s="26"/>
      <c r="B17" s="44"/>
      <c r="C17" s="44"/>
      <c r="D17" s="25"/>
      <c r="E17" s="25"/>
      <c r="F17" s="25"/>
      <c r="G17" s="25"/>
      <c r="H17" s="44"/>
      <c r="I17" s="44"/>
      <c r="J17" s="44"/>
      <c r="K17" s="44"/>
      <c r="L17" s="44"/>
      <c r="M17" s="44"/>
      <c r="N17" s="55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24"/>
    </row>
    <row r="18" spans="1:28" ht="15" customHeight="1" x14ac:dyDescent="0.25">
      <c r="B18" s="53"/>
      <c r="C18" s="53"/>
      <c r="K18" s="54"/>
      <c r="L18" s="53"/>
      <c r="M18" s="52"/>
      <c r="V18" s="47"/>
      <c r="W18" s="47"/>
      <c r="X18" s="47"/>
      <c r="Y18" s="47"/>
      <c r="Z18" s="47"/>
      <c r="AA18" s="47"/>
      <c r="AB18" s="51"/>
    </row>
    <row r="19" spans="1:28" ht="15.6" customHeight="1" x14ac:dyDescent="0.25">
      <c r="A19" s="42" t="s">
        <v>35</v>
      </c>
      <c r="B19" s="41" t="s">
        <v>34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7"/>
    </row>
    <row r="20" spans="1:28" ht="6" customHeight="1" x14ac:dyDescent="0.25">
      <c r="A20" s="28"/>
      <c r="B20" s="50"/>
      <c r="Z20" s="27"/>
    </row>
    <row r="21" spans="1:28" ht="13.8" customHeight="1" x14ac:dyDescent="0.25">
      <c r="A21" s="28"/>
      <c r="B21" s="143" t="s">
        <v>33</v>
      </c>
      <c r="C21" s="143"/>
      <c r="D21" s="143"/>
      <c r="E21" s="143"/>
      <c r="F21" s="143"/>
      <c r="G21" s="143"/>
      <c r="H21" s="143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45"/>
    </row>
    <row r="22" spans="1:28" ht="15" customHeight="1" x14ac:dyDescent="0.25">
      <c r="A22" s="28"/>
      <c r="B22" s="143" t="s">
        <v>32</v>
      </c>
      <c r="C22" s="143"/>
      <c r="D22" s="143"/>
      <c r="E22" s="143"/>
      <c r="F22" s="143"/>
      <c r="G22" s="143"/>
      <c r="H22" s="143"/>
      <c r="I22" s="147"/>
      <c r="J22" s="147"/>
      <c r="K22" s="147"/>
      <c r="L22" s="147"/>
      <c r="M22" s="147"/>
      <c r="N22" s="49">
        <v>0</v>
      </c>
      <c r="O22" s="146" t="s">
        <v>31</v>
      </c>
      <c r="P22" s="146"/>
      <c r="Q22" s="146"/>
      <c r="R22" s="48" t="s">
        <v>30</v>
      </c>
      <c r="S22" s="47"/>
      <c r="T22" s="47"/>
      <c r="U22" s="47"/>
      <c r="V22" s="146"/>
      <c r="W22" s="146"/>
      <c r="X22" s="146"/>
      <c r="Y22" s="46"/>
      <c r="Z22" s="45"/>
    </row>
    <row r="23" spans="1:28" ht="5.25" customHeight="1" x14ac:dyDescent="0.25">
      <c r="A23" s="26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24"/>
    </row>
    <row r="24" spans="1:28" x14ac:dyDescent="0.25">
      <c r="C24" s="43"/>
    </row>
    <row r="25" spans="1:28" ht="15.6" customHeight="1" x14ac:dyDescent="0.25">
      <c r="A25" s="42" t="s">
        <v>29</v>
      </c>
      <c r="B25" s="41" t="s">
        <v>28</v>
      </c>
      <c r="C25" s="38"/>
      <c r="D25" s="40"/>
      <c r="E25" s="40"/>
      <c r="F25" s="40"/>
      <c r="G25" s="40"/>
      <c r="H25" s="130" t="s">
        <v>27</v>
      </c>
      <c r="I25" s="130"/>
      <c r="J25" s="130"/>
      <c r="K25" s="130"/>
      <c r="L25" s="130"/>
      <c r="M25" s="130"/>
      <c r="N25" s="130"/>
      <c r="O25" s="130"/>
      <c r="P25" s="130"/>
      <c r="Q25" s="131">
        <v>2.4649999999999999</v>
      </c>
      <c r="R25" s="131"/>
      <c r="S25" s="131"/>
      <c r="T25" s="131"/>
      <c r="U25" s="39" t="s">
        <v>26</v>
      </c>
      <c r="V25" s="38"/>
      <c r="W25" s="38"/>
      <c r="X25" s="38"/>
      <c r="Y25" s="38"/>
      <c r="Z25" s="37"/>
    </row>
    <row r="26" spans="1:28" ht="13.8" customHeight="1" thickBot="1" x14ac:dyDescent="0.3">
      <c r="A26" s="28"/>
      <c r="Z26" s="27"/>
    </row>
    <row r="27" spans="1:28" ht="15.75" customHeight="1" x14ac:dyDescent="0.25">
      <c r="A27" s="28"/>
      <c r="B27" s="132" t="s">
        <v>25</v>
      </c>
      <c r="C27" s="133"/>
      <c r="D27" s="134" t="s">
        <v>24</v>
      </c>
      <c r="E27" s="135"/>
      <c r="F27" s="136" t="s">
        <v>23</v>
      </c>
      <c r="G27" s="136"/>
      <c r="H27" s="136"/>
      <c r="I27" s="137" t="s">
        <v>22</v>
      </c>
      <c r="J27" s="133"/>
      <c r="K27" s="133"/>
      <c r="L27" s="137" t="s">
        <v>21</v>
      </c>
      <c r="M27" s="133"/>
      <c r="N27" s="138"/>
      <c r="O27" s="137" t="s">
        <v>20</v>
      </c>
      <c r="P27" s="133"/>
      <c r="Q27" s="138"/>
      <c r="R27" s="137" t="s">
        <v>19</v>
      </c>
      <c r="S27" s="133"/>
      <c r="T27" s="133"/>
      <c r="U27" s="133"/>
      <c r="V27" s="133"/>
      <c r="W27" s="133"/>
      <c r="X27" s="133"/>
      <c r="Y27" s="139"/>
      <c r="Z27" s="27"/>
    </row>
    <row r="28" spans="1:28" ht="36" customHeight="1" x14ac:dyDescent="0.25">
      <c r="A28" s="28"/>
      <c r="B28" s="144" t="s">
        <v>18</v>
      </c>
      <c r="C28" s="145"/>
      <c r="D28" s="125" t="s">
        <v>17</v>
      </c>
      <c r="E28" s="126"/>
      <c r="F28" s="36" t="s">
        <v>16</v>
      </c>
      <c r="G28" s="36" t="s">
        <v>15</v>
      </c>
      <c r="H28" s="36" t="s">
        <v>14</v>
      </c>
      <c r="I28" s="127"/>
      <c r="J28" s="128"/>
      <c r="K28" s="128"/>
      <c r="L28" s="127" t="s">
        <v>13</v>
      </c>
      <c r="M28" s="128"/>
      <c r="N28" s="129"/>
      <c r="O28" s="127" t="s">
        <v>13</v>
      </c>
      <c r="P28" s="128"/>
      <c r="Q28" s="129"/>
      <c r="R28" s="127"/>
      <c r="S28" s="128"/>
      <c r="T28" s="128"/>
      <c r="U28" s="128"/>
      <c r="V28" s="128"/>
      <c r="W28" s="128"/>
      <c r="X28" s="128"/>
      <c r="Y28" s="140"/>
      <c r="Z28" s="27"/>
    </row>
    <row r="29" spans="1:28" ht="16.8" customHeight="1" x14ac:dyDescent="0.25">
      <c r="A29" s="28"/>
      <c r="B29" s="117">
        <v>1</v>
      </c>
      <c r="C29" s="118"/>
      <c r="D29" s="119"/>
      <c r="E29" s="120"/>
      <c r="F29" s="119"/>
      <c r="G29" s="120"/>
      <c r="H29" s="123"/>
      <c r="I29" s="124">
        <v>2.3250000000000002</v>
      </c>
      <c r="J29" s="124"/>
      <c r="K29" s="124"/>
      <c r="L29" s="112">
        <f>IF(I29&lt;&gt;"",I29*100/$Q$25,"")</f>
        <v>94.320486815415833</v>
      </c>
      <c r="M29" s="113"/>
      <c r="N29" s="114"/>
      <c r="O29" s="113">
        <f>IF(L29&lt;&gt;"",100-L29,"")</f>
        <v>5.6795131845841667</v>
      </c>
      <c r="P29" s="113"/>
      <c r="Q29" s="114"/>
      <c r="R29" s="121"/>
      <c r="S29" s="121"/>
      <c r="T29" s="121"/>
      <c r="U29" s="121"/>
      <c r="V29" s="121"/>
      <c r="W29" s="121"/>
      <c r="X29" s="121"/>
      <c r="Y29" s="122"/>
      <c r="Z29" s="27"/>
    </row>
    <row r="30" spans="1:28" ht="16.8" customHeight="1" x14ac:dyDescent="0.25">
      <c r="A30" s="28"/>
      <c r="B30" s="117">
        <v>2</v>
      </c>
      <c r="C30" s="118"/>
      <c r="D30" s="119"/>
      <c r="E30" s="120"/>
      <c r="F30" s="119"/>
      <c r="G30" s="120"/>
      <c r="H30" s="123"/>
      <c r="I30" s="124">
        <v>2.3079999999999998</v>
      </c>
      <c r="J30" s="124"/>
      <c r="K30" s="124"/>
      <c r="L30" s="112">
        <f t="shared" ref="L30:L45" si="0">IF(I30&lt;&gt;"",I30*100/$Q$25,"")</f>
        <v>93.630831643002026</v>
      </c>
      <c r="M30" s="113"/>
      <c r="N30" s="114"/>
      <c r="O30" s="113">
        <f t="shared" ref="O30:O43" si="1">IF(L30&lt;&gt;"",100-L30,"")</f>
        <v>6.3691683569979745</v>
      </c>
      <c r="P30" s="113"/>
      <c r="Q30" s="114"/>
      <c r="R30" s="121"/>
      <c r="S30" s="121"/>
      <c r="T30" s="121"/>
      <c r="U30" s="121"/>
      <c r="V30" s="121"/>
      <c r="W30" s="121"/>
      <c r="X30" s="121"/>
      <c r="Y30" s="122"/>
      <c r="Z30" s="27"/>
    </row>
    <row r="31" spans="1:28" ht="16.8" customHeight="1" x14ac:dyDescent="0.25">
      <c r="A31" s="28"/>
      <c r="B31" s="117">
        <v>3</v>
      </c>
      <c r="C31" s="118"/>
      <c r="D31" s="119"/>
      <c r="E31" s="120"/>
      <c r="F31" s="119"/>
      <c r="G31" s="120"/>
      <c r="H31" s="123"/>
      <c r="I31" s="124">
        <v>2.3380000000000001</v>
      </c>
      <c r="J31" s="124"/>
      <c r="K31" s="124"/>
      <c r="L31" s="112">
        <f t="shared" si="0"/>
        <v>94.847870182555795</v>
      </c>
      <c r="M31" s="113"/>
      <c r="N31" s="114"/>
      <c r="O31" s="113">
        <f t="shared" si="1"/>
        <v>5.1521298174442052</v>
      </c>
      <c r="P31" s="113"/>
      <c r="Q31" s="114"/>
      <c r="R31" s="121"/>
      <c r="S31" s="121"/>
      <c r="T31" s="121"/>
      <c r="U31" s="121"/>
      <c r="V31" s="121"/>
      <c r="W31" s="121"/>
      <c r="X31" s="121"/>
      <c r="Y31" s="122"/>
      <c r="Z31" s="27"/>
    </row>
    <row r="32" spans="1:28" ht="16.8" customHeight="1" x14ac:dyDescent="0.25">
      <c r="A32" s="28"/>
      <c r="B32" s="117">
        <v>4</v>
      </c>
      <c r="C32" s="118"/>
      <c r="D32" s="119"/>
      <c r="E32" s="120"/>
      <c r="F32" s="119"/>
      <c r="G32" s="120"/>
      <c r="H32" s="123"/>
      <c r="I32" s="124">
        <v>2.286</v>
      </c>
      <c r="J32" s="124"/>
      <c r="K32" s="124"/>
      <c r="L32" s="112">
        <f t="shared" si="0"/>
        <v>92.738336713995949</v>
      </c>
      <c r="M32" s="113"/>
      <c r="N32" s="114"/>
      <c r="O32" s="113">
        <f t="shared" si="1"/>
        <v>7.2616632860040511</v>
      </c>
      <c r="P32" s="113"/>
      <c r="Q32" s="114"/>
      <c r="R32" s="121"/>
      <c r="S32" s="121"/>
      <c r="T32" s="121"/>
      <c r="U32" s="121"/>
      <c r="V32" s="121"/>
      <c r="W32" s="121"/>
      <c r="X32" s="121"/>
      <c r="Y32" s="122"/>
      <c r="Z32" s="27"/>
    </row>
    <row r="33" spans="1:26" s="1" customFormat="1" ht="16.8" customHeight="1" x14ac:dyDescent="0.25">
      <c r="A33" s="28"/>
      <c r="B33" s="117">
        <v>5</v>
      </c>
      <c r="C33" s="118"/>
      <c r="D33" s="119"/>
      <c r="E33" s="120"/>
      <c r="F33" s="119"/>
      <c r="G33" s="120"/>
      <c r="H33" s="123"/>
      <c r="I33" s="124">
        <v>2.3210000000000002</v>
      </c>
      <c r="J33" s="124"/>
      <c r="K33" s="124"/>
      <c r="L33" s="112">
        <f t="shared" si="0"/>
        <v>94.158215010142001</v>
      </c>
      <c r="M33" s="113"/>
      <c r="N33" s="114"/>
      <c r="O33" s="113">
        <f t="shared" si="1"/>
        <v>5.8417849898579988</v>
      </c>
      <c r="P33" s="113"/>
      <c r="Q33" s="114"/>
      <c r="R33" s="121"/>
      <c r="S33" s="121"/>
      <c r="T33" s="121"/>
      <c r="U33" s="121"/>
      <c r="V33" s="121"/>
      <c r="W33" s="121"/>
      <c r="X33" s="121"/>
      <c r="Y33" s="122"/>
      <c r="Z33" s="27"/>
    </row>
    <row r="34" spans="1:26" s="1" customFormat="1" ht="16.8" customHeight="1" x14ac:dyDescent="0.25">
      <c r="A34" s="28"/>
      <c r="B34" s="117">
        <v>6</v>
      </c>
      <c r="C34" s="118"/>
      <c r="D34" s="119"/>
      <c r="E34" s="120"/>
      <c r="F34" s="119"/>
      <c r="G34" s="120"/>
      <c r="H34" s="123"/>
      <c r="I34" s="124">
        <v>2.2949999999999999</v>
      </c>
      <c r="J34" s="124"/>
      <c r="K34" s="124"/>
      <c r="L34" s="112">
        <f t="shared" si="0"/>
        <v>93.103448275862078</v>
      </c>
      <c r="M34" s="113"/>
      <c r="N34" s="114"/>
      <c r="O34" s="113">
        <f t="shared" si="1"/>
        <v>6.8965517241379217</v>
      </c>
      <c r="P34" s="113"/>
      <c r="Q34" s="114"/>
      <c r="R34" s="121"/>
      <c r="S34" s="121"/>
      <c r="T34" s="121"/>
      <c r="U34" s="121"/>
      <c r="V34" s="121"/>
      <c r="W34" s="121"/>
      <c r="X34" s="121"/>
      <c r="Y34" s="122"/>
      <c r="Z34" s="27"/>
    </row>
    <row r="35" spans="1:26" s="1" customFormat="1" ht="16.8" customHeight="1" x14ac:dyDescent="0.25">
      <c r="A35" s="28"/>
      <c r="B35" s="117">
        <v>7</v>
      </c>
      <c r="C35" s="118"/>
      <c r="D35" s="119"/>
      <c r="E35" s="120"/>
      <c r="F35" s="119"/>
      <c r="G35" s="120"/>
      <c r="H35" s="123"/>
      <c r="I35" s="124">
        <v>2.302</v>
      </c>
      <c r="J35" s="124"/>
      <c r="K35" s="124"/>
      <c r="L35" s="112">
        <f t="shared" si="0"/>
        <v>93.387423935091292</v>
      </c>
      <c r="M35" s="113"/>
      <c r="N35" s="114"/>
      <c r="O35" s="113">
        <f t="shared" si="1"/>
        <v>6.6125760649087084</v>
      </c>
      <c r="P35" s="113"/>
      <c r="Q35" s="114"/>
      <c r="R35" s="121"/>
      <c r="S35" s="121"/>
      <c r="T35" s="121"/>
      <c r="U35" s="121"/>
      <c r="V35" s="121"/>
      <c r="W35" s="121"/>
      <c r="X35" s="121"/>
      <c r="Y35" s="122"/>
      <c r="Z35" s="27"/>
    </row>
    <row r="36" spans="1:26" s="1" customFormat="1" ht="16.8" customHeight="1" x14ac:dyDescent="0.25">
      <c r="A36" s="28"/>
      <c r="B36" s="117">
        <v>8</v>
      </c>
      <c r="C36" s="118"/>
      <c r="D36" s="119"/>
      <c r="E36" s="120"/>
      <c r="F36" s="119"/>
      <c r="G36" s="120"/>
      <c r="H36" s="123"/>
      <c r="I36" s="124">
        <v>2.2789999999999999</v>
      </c>
      <c r="J36" s="124"/>
      <c r="K36" s="124"/>
      <c r="L36" s="112">
        <f t="shared" si="0"/>
        <v>92.454361054766736</v>
      </c>
      <c r="M36" s="113"/>
      <c r="N36" s="114"/>
      <c r="O36" s="113">
        <f t="shared" si="1"/>
        <v>7.5456389452332644</v>
      </c>
      <c r="P36" s="113"/>
      <c r="Q36" s="114"/>
      <c r="R36" s="121"/>
      <c r="S36" s="121"/>
      <c r="T36" s="121"/>
      <c r="U36" s="121"/>
      <c r="V36" s="121"/>
      <c r="W36" s="121"/>
      <c r="X36" s="121"/>
      <c r="Y36" s="122"/>
      <c r="Z36" s="27"/>
    </row>
    <row r="37" spans="1:26" s="1" customFormat="1" ht="16.8" customHeight="1" x14ac:dyDescent="0.25">
      <c r="A37" s="28"/>
      <c r="B37" s="117">
        <v>9</v>
      </c>
      <c r="C37" s="118"/>
      <c r="D37" s="119"/>
      <c r="E37" s="120"/>
      <c r="F37" s="119"/>
      <c r="G37" s="120"/>
      <c r="H37" s="123"/>
      <c r="I37" s="124">
        <v>2.3279999999999998</v>
      </c>
      <c r="J37" s="124"/>
      <c r="K37" s="124"/>
      <c r="L37" s="112">
        <f t="shared" si="0"/>
        <v>94.4421906693712</v>
      </c>
      <c r="M37" s="113"/>
      <c r="N37" s="114"/>
      <c r="O37" s="113">
        <f t="shared" si="1"/>
        <v>5.5578093306287997</v>
      </c>
      <c r="P37" s="113"/>
      <c r="Q37" s="114"/>
      <c r="R37" s="121"/>
      <c r="S37" s="121"/>
      <c r="T37" s="121"/>
      <c r="U37" s="121"/>
      <c r="V37" s="121"/>
      <c r="W37" s="121"/>
      <c r="X37" s="121"/>
      <c r="Y37" s="122"/>
      <c r="Z37" s="27"/>
    </row>
    <row r="38" spans="1:26" s="1" customFormat="1" ht="16.8" customHeight="1" x14ac:dyDescent="0.25">
      <c r="A38" s="28"/>
      <c r="B38" s="117">
        <v>10</v>
      </c>
      <c r="C38" s="118"/>
      <c r="D38" s="119"/>
      <c r="E38" s="120"/>
      <c r="F38" s="119"/>
      <c r="G38" s="120"/>
      <c r="H38" s="123"/>
      <c r="I38" s="124">
        <v>2.3090000000000002</v>
      </c>
      <c r="J38" s="124"/>
      <c r="K38" s="124"/>
      <c r="L38" s="112">
        <f t="shared" si="0"/>
        <v>93.671399594320491</v>
      </c>
      <c r="M38" s="113"/>
      <c r="N38" s="114"/>
      <c r="O38" s="113">
        <f t="shared" si="1"/>
        <v>6.3286004056795093</v>
      </c>
      <c r="P38" s="113"/>
      <c r="Q38" s="114"/>
      <c r="R38" s="121"/>
      <c r="S38" s="121"/>
      <c r="T38" s="121"/>
      <c r="U38" s="121"/>
      <c r="V38" s="121"/>
      <c r="W38" s="121"/>
      <c r="X38" s="121"/>
      <c r="Y38" s="122"/>
      <c r="Z38" s="27"/>
    </row>
    <row r="39" spans="1:26" s="1" customFormat="1" ht="16.8" customHeight="1" x14ac:dyDescent="0.25">
      <c r="A39" s="28"/>
      <c r="B39" s="117">
        <v>11</v>
      </c>
      <c r="C39" s="118"/>
      <c r="D39" s="119"/>
      <c r="E39" s="120"/>
      <c r="F39" s="119"/>
      <c r="G39" s="120"/>
      <c r="H39" s="123"/>
      <c r="I39" s="124">
        <v>2.3450000000000002</v>
      </c>
      <c r="J39" s="124"/>
      <c r="K39" s="124"/>
      <c r="L39" s="112">
        <f t="shared" si="0"/>
        <v>95.131845841785008</v>
      </c>
      <c r="M39" s="113"/>
      <c r="N39" s="114"/>
      <c r="O39" s="113">
        <f t="shared" si="1"/>
        <v>4.8681541582149919</v>
      </c>
      <c r="P39" s="113"/>
      <c r="Q39" s="114"/>
      <c r="R39" s="121"/>
      <c r="S39" s="121"/>
      <c r="T39" s="121"/>
      <c r="U39" s="121"/>
      <c r="V39" s="121"/>
      <c r="W39" s="121"/>
      <c r="X39" s="121"/>
      <c r="Y39" s="122"/>
      <c r="Z39" s="27"/>
    </row>
    <row r="40" spans="1:26" s="1" customFormat="1" ht="16.8" customHeight="1" x14ac:dyDescent="0.25">
      <c r="A40" s="28"/>
      <c r="B40" s="117">
        <v>12</v>
      </c>
      <c r="C40" s="118"/>
      <c r="D40" s="119"/>
      <c r="E40" s="120"/>
      <c r="F40" s="119"/>
      <c r="G40" s="120"/>
      <c r="H40" s="123"/>
      <c r="I40" s="124">
        <v>2.2770000000000001</v>
      </c>
      <c r="J40" s="124"/>
      <c r="K40" s="124"/>
      <c r="L40" s="112">
        <f t="shared" si="0"/>
        <v>92.373225152129834</v>
      </c>
      <c r="M40" s="113"/>
      <c r="N40" s="114"/>
      <c r="O40" s="113">
        <f t="shared" si="1"/>
        <v>7.6267748478701662</v>
      </c>
      <c r="P40" s="113"/>
      <c r="Q40" s="114"/>
      <c r="R40" s="121"/>
      <c r="S40" s="121"/>
      <c r="T40" s="121"/>
      <c r="U40" s="121"/>
      <c r="V40" s="121"/>
      <c r="W40" s="121"/>
      <c r="X40" s="121"/>
      <c r="Y40" s="122"/>
      <c r="Z40" s="27"/>
    </row>
    <row r="41" spans="1:26" s="1" customFormat="1" ht="16.8" customHeight="1" x14ac:dyDescent="0.25">
      <c r="A41" s="28"/>
      <c r="B41" s="117">
        <v>13</v>
      </c>
      <c r="C41" s="118"/>
      <c r="D41" s="119"/>
      <c r="E41" s="120"/>
      <c r="F41" s="119"/>
      <c r="G41" s="120"/>
      <c r="H41" s="123"/>
      <c r="I41" s="124">
        <v>2.33</v>
      </c>
      <c r="J41" s="124"/>
      <c r="K41" s="124"/>
      <c r="L41" s="112">
        <f t="shared" si="0"/>
        <v>94.523326572008116</v>
      </c>
      <c r="M41" s="113"/>
      <c r="N41" s="114"/>
      <c r="O41" s="113">
        <f t="shared" si="1"/>
        <v>5.4766734279918836</v>
      </c>
      <c r="P41" s="113"/>
      <c r="Q41" s="114"/>
      <c r="R41" s="121"/>
      <c r="S41" s="121"/>
      <c r="T41" s="121"/>
      <c r="U41" s="121"/>
      <c r="V41" s="121"/>
      <c r="W41" s="121"/>
      <c r="X41" s="121"/>
      <c r="Y41" s="122"/>
      <c r="Z41" s="27"/>
    </row>
    <row r="42" spans="1:26" s="1" customFormat="1" ht="16.8" customHeight="1" x14ac:dyDescent="0.25">
      <c r="A42" s="28"/>
      <c r="B42" s="117">
        <v>14</v>
      </c>
      <c r="C42" s="118"/>
      <c r="D42" s="119"/>
      <c r="E42" s="120"/>
      <c r="F42" s="119"/>
      <c r="G42" s="120"/>
      <c r="H42" s="123"/>
      <c r="I42" s="124">
        <v>2.3079999999999998</v>
      </c>
      <c r="J42" s="124"/>
      <c r="K42" s="124"/>
      <c r="L42" s="112">
        <f t="shared" si="0"/>
        <v>93.630831643002026</v>
      </c>
      <c r="M42" s="113"/>
      <c r="N42" s="114"/>
      <c r="O42" s="113">
        <f t="shared" si="1"/>
        <v>6.3691683569979745</v>
      </c>
      <c r="P42" s="113"/>
      <c r="Q42" s="114"/>
      <c r="R42" s="121"/>
      <c r="S42" s="121"/>
      <c r="T42" s="121"/>
      <c r="U42" s="121"/>
      <c r="V42" s="121"/>
      <c r="W42" s="121"/>
      <c r="X42" s="121"/>
      <c r="Y42" s="122"/>
      <c r="Z42" s="27"/>
    </row>
    <row r="43" spans="1:26" s="1" customFormat="1" ht="16.8" customHeight="1" x14ac:dyDescent="0.25">
      <c r="A43" s="28"/>
      <c r="B43" s="117">
        <v>15</v>
      </c>
      <c r="C43" s="118"/>
      <c r="D43" s="119"/>
      <c r="E43" s="120"/>
      <c r="F43" s="119"/>
      <c r="G43" s="120"/>
      <c r="H43" s="123"/>
      <c r="I43" s="124">
        <v>2.3119999999999998</v>
      </c>
      <c r="J43" s="124"/>
      <c r="K43" s="124"/>
      <c r="L43" s="112">
        <f t="shared" si="0"/>
        <v>93.793103448275858</v>
      </c>
      <c r="M43" s="113"/>
      <c r="N43" s="114"/>
      <c r="O43" s="113">
        <f t="shared" si="1"/>
        <v>6.2068965517241423</v>
      </c>
      <c r="P43" s="113"/>
      <c r="Q43" s="114"/>
      <c r="R43" s="121"/>
      <c r="S43" s="121"/>
      <c r="T43" s="121"/>
      <c r="U43" s="121"/>
      <c r="V43" s="121"/>
      <c r="W43" s="121"/>
      <c r="X43" s="121"/>
      <c r="Y43" s="122"/>
      <c r="Z43" s="27"/>
    </row>
    <row r="44" spans="1:26" s="1" customFormat="1" ht="16.8" customHeight="1" x14ac:dyDescent="0.25">
      <c r="A44" s="28"/>
      <c r="B44" s="117">
        <v>16</v>
      </c>
      <c r="C44" s="118"/>
      <c r="D44" s="33"/>
      <c r="E44" s="32"/>
      <c r="F44" s="33"/>
      <c r="G44" s="32"/>
      <c r="H44" s="31"/>
      <c r="I44" s="186">
        <v>2.2770000000000001</v>
      </c>
      <c r="J44" s="124"/>
      <c r="K44" s="187"/>
      <c r="L44" s="112">
        <f t="shared" si="0"/>
        <v>92.373225152129834</v>
      </c>
      <c r="M44" s="113"/>
      <c r="N44" s="114"/>
      <c r="O44" s="113">
        <f>IF(L44&lt;&gt;"",100-L44,"")</f>
        <v>7.6267748478701662</v>
      </c>
      <c r="P44" s="113"/>
      <c r="Q44" s="114"/>
      <c r="R44" s="30"/>
      <c r="S44" s="30"/>
      <c r="T44" s="30"/>
      <c r="U44" s="30"/>
      <c r="V44" s="30"/>
      <c r="W44" s="30"/>
      <c r="X44" s="30"/>
      <c r="Y44" s="29"/>
      <c r="Z44" s="27"/>
    </row>
    <row r="45" spans="1:26" s="1" customFormat="1" ht="16.8" customHeight="1" x14ac:dyDescent="0.25">
      <c r="A45" s="28"/>
      <c r="B45" s="117">
        <v>17</v>
      </c>
      <c r="C45" s="118"/>
      <c r="D45" s="33"/>
      <c r="E45" s="32"/>
      <c r="F45" s="33"/>
      <c r="G45" s="32"/>
      <c r="H45" s="31"/>
      <c r="I45" s="186">
        <v>2.2970000000000002</v>
      </c>
      <c r="J45" s="124"/>
      <c r="K45" s="187"/>
      <c r="L45" s="112">
        <f t="shared" si="0"/>
        <v>93.184584178498994</v>
      </c>
      <c r="M45" s="113"/>
      <c r="N45" s="114"/>
      <c r="O45" s="113">
        <f>IF(L45&lt;&gt;"",100-L45,"")</f>
        <v>6.8154158215010057</v>
      </c>
      <c r="P45" s="113"/>
      <c r="Q45" s="114"/>
      <c r="R45" s="30"/>
      <c r="S45" s="30"/>
      <c r="T45" s="30"/>
      <c r="U45" s="30"/>
      <c r="V45" s="30"/>
      <c r="W45" s="30"/>
      <c r="X45" s="30"/>
      <c r="Y45" s="29"/>
      <c r="Z45" s="27"/>
    </row>
    <row r="46" spans="1:26" s="1" customFormat="1" ht="16.8" customHeight="1" x14ac:dyDescent="0.25">
      <c r="A46" s="28"/>
      <c r="B46" s="117">
        <v>18</v>
      </c>
      <c r="C46" s="118"/>
      <c r="D46" s="33"/>
      <c r="E46" s="32"/>
      <c r="F46" s="33"/>
      <c r="G46" s="32"/>
      <c r="H46" s="31"/>
      <c r="I46" s="186">
        <v>2.2959999999999998</v>
      </c>
      <c r="J46" s="124"/>
      <c r="K46" s="187"/>
      <c r="L46" s="112">
        <f>IF(I46&lt;&gt;"",I46*100/$Q$25,"")</f>
        <v>93.144016227180529</v>
      </c>
      <c r="M46" s="113"/>
      <c r="N46" s="114"/>
      <c r="O46" s="113">
        <f t="shared" ref="O46:O57" si="2">IF(L46&lt;&gt;"",100-L46,"")</f>
        <v>6.8559837728194708</v>
      </c>
      <c r="P46" s="113"/>
      <c r="Q46" s="114"/>
      <c r="R46" s="30"/>
      <c r="S46" s="30"/>
      <c r="T46" s="30"/>
      <c r="U46" s="30"/>
      <c r="V46" s="30"/>
      <c r="W46" s="30"/>
      <c r="X46" s="30"/>
      <c r="Y46" s="29"/>
      <c r="Z46" s="27"/>
    </row>
    <row r="47" spans="1:26" s="1" customFormat="1" ht="16.8" customHeight="1" x14ac:dyDescent="0.25">
      <c r="A47" s="28"/>
      <c r="B47" s="117">
        <v>19</v>
      </c>
      <c r="C47" s="118"/>
      <c r="D47" s="33"/>
      <c r="E47" s="32"/>
      <c r="F47" s="33"/>
      <c r="G47" s="32"/>
      <c r="H47" s="31"/>
      <c r="I47" s="186">
        <v>2.2679999999999998</v>
      </c>
      <c r="J47" s="124"/>
      <c r="K47" s="187"/>
      <c r="L47" s="112">
        <f t="shared" ref="L47:L58" si="3">IF(I47&lt;&gt;"",I47*100/$Q$25,"")</f>
        <v>92.00811359026369</v>
      </c>
      <c r="M47" s="113"/>
      <c r="N47" s="114"/>
      <c r="O47" s="113">
        <f t="shared" si="2"/>
        <v>7.9918864097363098</v>
      </c>
      <c r="P47" s="113"/>
      <c r="Q47" s="114"/>
      <c r="R47" s="30"/>
      <c r="S47" s="30"/>
      <c r="T47" s="30"/>
      <c r="U47" s="30"/>
      <c r="V47" s="30"/>
      <c r="W47" s="30"/>
      <c r="X47" s="30"/>
      <c r="Y47" s="29"/>
      <c r="Z47" s="27"/>
    </row>
    <row r="48" spans="1:26" s="1" customFormat="1" ht="16.8" customHeight="1" x14ac:dyDescent="0.25">
      <c r="A48" s="28"/>
      <c r="B48" s="117">
        <v>20</v>
      </c>
      <c r="C48" s="118"/>
      <c r="D48" s="33"/>
      <c r="E48" s="32"/>
      <c r="F48" s="33"/>
      <c r="G48" s="32"/>
      <c r="H48" s="31"/>
      <c r="I48" s="186">
        <v>2.2850000000000001</v>
      </c>
      <c r="J48" s="124"/>
      <c r="K48" s="187"/>
      <c r="L48" s="112">
        <f t="shared" si="3"/>
        <v>92.697768762677484</v>
      </c>
      <c r="M48" s="113"/>
      <c r="N48" s="114"/>
      <c r="O48" s="113">
        <f t="shared" si="2"/>
        <v>7.3022312373225162</v>
      </c>
      <c r="P48" s="113"/>
      <c r="Q48" s="114"/>
      <c r="R48" s="30"/>
      <c r="S48" s="30"/>
      <c r="T48" s="30"/>
      <c r="U48" s="30"/>
      <c r="V48" s="30"/>
      <c r="W48" s="30"/>
      <c r="X48" s="30"/>
      <c r="Y48" s="29"/>
      <c r="Z48" s="27"/>
    </row>
    <row r="49" spans="1:29" ht="16.8" customHeight="1" x14ac:dyDescent="0.25">
      <c r="A49" s="28"/>
      <c r="B49" s="117">
        <v>21</v>
      </c>
      <c r="C49" s="118"/>
      <c r="D49" s="33"/>
      <c r="E49" s="32"/>
      <c r="F49" s="33"/>
      <c r="G49" s="32"/>
      <c r="H49" s="31"/>
      <c r="I49" s="186">
        <v>2.2730000000000001</v>
      </c>
      <c r="J49" s="124"/>
      <c r="K49" s="187"/>
      <c r="L49" s="112">
        <f t="shared" si="3"/>
        <v>92.210953346855987</v>
      </c>
      <c r="M49" s="113"/>
      <c r="N49" s="114"/>
      <c r="O49" s="113">
        <f t="shared" si="2"/>
        <v>7.7890466531440126</v>
      </c>
      <c r="P49" s="113"/>
      <c r="Q49" s="114"/>
      <c r="R49" s="30"/>
      <c r="S49" s="30"/>
      <c r="T49" s="30"/>
      <c r="U49" s="30"/>
      <c r="V49" s="30"/>
      <c r="W49" s="30"/>
      <c r="X49" s="30"/>
      <c r="Y49" s="29"/>
      <c r="Z49" s="27"/>
    </row>
    <row r="50" spans="1:29" ht="16.8" customHeight="1" x14ac:dyDescent="0.25">
      <c r="A50" s="28"/>
      <c r="B50" s="117">
        <v>22</v>
      </c>
      <c r="C50" s="118"/>
      <c r="D50" s="33"/>
      <c r="E50" s="32"/>
      <c r="F50" s="33"/>
      <c r="G50" s="32"/>
      <c r="H50" s="31"/>
      <c r="I50" s="186">
        <v>2.2829999999999999</v>
      </c>
      <c r="J50" s="124"/>
      <c r="K50" s="187"/>
      <c r="L50" s="112">
        <f t="shared" si="3"/>
        <v>92.616632860040568</v>
      </c>
      <c r="M50" s="113"/>
      <c r="N50" s="114"/>
      <c r="O50" s="113">
        <f t="shared" si="2"/>
        <v>7.3833671399594323</v>
      </c>
      <c r="P50" s="113"/>
      <c r="Q50" s="114"/>
      <c r="R50" s="30"/>
      <c r="S50" s="30"/>
      <c r="T50" s="30"/>
      <c r="U50" s="30"/>
      <c r="V50" s="30"/>
      <c r="W50" s="30"/>
      <c r="X50" s="30"/>
      <c r="Y50" s="29"/>
      <c r="Z50" s="27"/>
    </row>
    <row r="51" spans="1:29" ht="16.8" customHeight="1" x14ac:dyDescent="0.25">
      <c r="A51" s="28"/>
      <c r="B51" s="117">
        <v>23</v>
      </c>
      <c r="C51" s="118"/>
      <c r="D51" s="33"/>
      <c r="E51" s="32"/>
      <c r="F51" s="33"/>
      <c r="G51" s="32"/>
      <c r="H51" s="31"/>
      <c r="I51" s="186">
        <v>2.2829999999999999</v>
      </c>
      <c r="J51" s="124"/>
      <c r="K51" s="187"/>
      <c r="L51" s="112">
        <f t="shared" si="3"/>
        <v>92.616632860040568</v>
      </c>
      <c r="M51" s="113"/>
      <c r="N51" s="114"/>
      <c r="O51" s="113">
        <f t="shared" si="2"/>
        <v>7.3833671399594323</v>
      </c>
      <c r="P51" s="113"/>
      <c r="Q51" s="114"/>
      <c r="R51" s="30"/>
      <c r="S51" s="30"/>
      <c r="T51" s="30"/>
      <c r="U51" s="30"/>
      <c r="V51" s="30"/>
      <c r="W51" s="30"/>
      <c r="X51" s="30"/>
      <c r="Y51" s="29"/>
      <c r="Z51" s="27"/>
    </row>
    <row r="52" spans="1:29" ht="16.8" customHeight="1" x14ac:dyDescent="0.25">
      <c r="A52" s="28"/>
      <c r="B52" s="117">
        <v>24</v>
      </c>
      <c r="C52" s="118"/>
      <c r="D52" s="33"/>
      <c r="E52" s="32"/>
      <c r="F52" s="33"/>
      <c r="G52" s="32"/>
      <c r="H52" s="31"/>
      <c r="I52" s="186">
        <v>2.3039999999999998</v>
      </c>
      <c r="J52" s="124"/>
      <c r="K52" s="187"/>
      <c r="L52" s="112">
        <f t="shared" si="3"/>
        <v>93.468559837728193</v>
      </c>
      <c r="M52" s="113"/>
      <c r="N52" s="114"/>
      <c r="O52" s="113">
        <f t="shared" si="2"/>
        <v>6.5314401622718066</v>
      </c>
      <c r="P52" s="113"/>
      <c r="Q52" s="114"/>
      <c r="R52" s="30"/>
      <c r="S52" s="30"/>
      <c r="T52" s="30"/>
      <c r="U52" s="30"/>
      <c r="V52" s="30"/>
      <c r="W52" s="30"/>
      <c r="X52" s="30"/>
      <c r="Y52" s="29"/>
      <c r="Z52" s="27"/>
    </row>
    <row r="53" spans="1:29" ht="16.8" customHeight="1" x14ac:dyDescent="0.25">
      <c r="A53" s="28"/>
      <c r="B53" s="117">
        <v>25</v>
      </c>
      <c r="C53" s="118"/>
      <c r="D53" s="33"/>
      <c r="E53" s="32"/>
      <c r="F53" s="33"/>
      <c r="G53" s="32"/>
      <c r="H53" s="31"/>
      <c r="I53" s="186">
        <v>2.2959999999999998</v>
      </c>
      <c r="J53" s="124"/>
      <c r="K53" s="187"/>
      <c r="L53" s="112">
        <f t="shared" si="3"/>
        <v>93.144016227180529</v>
      </c>
      <c r="M53" s="113"/>
      <c r="N53" s="114"/>
      <c r="O53" s="113">
        <f t="shared" si="2"/>
        <v>6.8559837728194708</v>
      </c>
      <c r="P53" s="113"/>
      <c r="Q53" s="114"/>
      <c r="R53" s="30"/>
      <c r="S53" s="30"/>
      <c r="T53" s="30"/>
      <c r="U53" s="30"/>
      <c r="V53" s="30"/>
      <c r="W53" s="30"/>
      <c r="X53" s="30"/>
      <c r="Y53" s="29"/>
      <c r="Z53" s="27"/>
    </row>
    <row r="54" spans="1:29" ht="16.8" customHeight="1" x14ac:dyDescent="0.25">
      <c r="A54" s="28"/>
      <c r="B54" s="117">
        <v>26</v>
      </c>
      <c r="C54" s="118"/>
      <c r="D54" s="33"/>
      <c r="E54" s="32"/>
      <c r="F54" s="33"/>
      <c r="G54" s="32"/>
      <c r="H54" s="31"/>
      <c r="I54" s="186">
        <v>2.2999999999999998</v>
      </c>
      <c r="J54" s="124"/>
      <c r="K54" s="187"/>
      <c r="L54" s="112">
        <f t="shared" si="3"/>
        <v>93.306288032454361</v>
      </c>
      <c r="M54" s="113"/>
      <c r="N54" s="114"/>
      <c r="O54" s="113">
        <f t="shared" si="2"/>
        <v>6.6937119675456387</v>
      </c>
      <c r="P54" s="113"/>
      <c r="Q54" s="114"/>
      <c r="R54" s="30"/>
      <c r="S54" s="30"/>
      <c r="T54" s="30"/>
      <c r="U54" s="30"/>
      <c r="V54" s="30"/>
      <c r="W54" s="30"/>
      <c r="X54" s="30"/>
      <c r="Y54" s="29"/>
      <c r="Z54" s="27"/>
    </row>
    <row r="55" spans="1:29" ht="16.8" customHeight="1" x14ac:dyDescent="0.25">
      <c r="A55" s="28"/>
      <c r="B55" s="35"/>
      <c r="C55" s="34"/>
      <c r="D55" s="33"/>
      <c r="E55" s="32"/>
      <c r="F55" s="33"/>
      <c r="G55" s="32"/>
      <c r="H55" s="31"/>
      <c r="I55" s="186"/>
      <c r="J55" s="124"/>
      <c r="K55" s="187"/>
      <c r="L55" s="112" t="str">
        <f t="shared" si="3"/>
        <v/>
      </c>
      <c r="M55" s="113"/>
      <c r="N55" s="114"/>
      <c r="O55" s="113" t="str">
        <f t="shared" si="2"/>
        <v/>
      </c>
      <c r="P55" s="113"/>
      <c r="Q55" s="114"/>
      <c r="R55" s="30"/>
      <c r="S55" s="30"/>
      <c r="T55" s="30"/>
      <c r="U55" s="30"/>
      <c r="V55" s="30"/>
      <c r="W55" s="30"/>
      <c r="X55" s="30"/>
      <c r="Y55" s="29"/>
      <c r="Z55" s="27"/>
    </row>
    <row r="56" spans="1:29" ht="16.8" customHeight="1" x14ac:dyDescent="0.25">
      <c r="A56" s="28"/>
      <c r="B56" s="35"/>
      <c r="C56" s="34"/>
      <c r="D56" s="33"/>
      <c r="E56" s="32"/>
      <c r="F56" s="33"/>
      <c r="G56" s="32"/>
      <c r="H56" s="31"/>
      <c r="I56" s="186"/>
      <c r="J56" s="124"/>
      <c r="K56" s="187"/>
      <c r="L56" s="112" t="str">
        <f t="shared" si="3"/>
        <v/>
      </c>
      <c r="M56" s="113"/>
      <c r="N56" s="114"/>
      <c r="O56" s="113" t="str">
        <f t="shared" si="2"/>
        <v/>
      </c>
      <c r="P56" s="113"/>
      <c r="Q56" s="114"/>
      <c r="R56" s="30"/>
      <c r="S56" s="30"/>
      <c r="T56" s="30"/>
      <c r="U56" s="30"/>
      <c r="V56" s="30"/>
      <c r="W56" s="30"/>
      <c r="X56" s="30"/>
      <c r="Y56" s="29"/>
      <c r="Z56" s="27"/>
    </row>
    <row r="57" spans="1:29" ht="16.8" customHeight="1" x14ac:dyDescent="0.25">
      <c r="A57" s="28"/>
      <c r="B57" s="35"/>
      <c r="C57" s="34"/>
      <c r="D57" s="33"/>
      <c r="E57" s="32"/>
      <c r="F57" s="33"/>
      <c r="G57" s="32"/>
      <c r="H57" s="31"/>
      <c r="I57" s="186"/>
      <c r="J57" s="124"/>
      <c r="K57" s="187"/>
      <c r="L57" s="112" t="str">
        <f t="shared" si="3"/>
        <v/>
      </c>
      <c r="M57" s="113"/>
      <c r="N57" s="114"/>
      <c r="O57" s="113" t="str">
        <f t="shared" si="2"/>
        <v/>
      </c>
      <c r="P57" s="113"/>
      <c r="Q57" s="114"/>
      <c r="R57" s="30"/>
      <c r="S57" s="30"/>
      <c r="T57" s="30"/>
      <c r="U57" s="30"/>
      <c r="V57" s="30"/>
      <c r="W57" s="30"/>
      <c r="X57" s="30"/>
      <c r="Y57" s="29"/>
      <c r="Z57" s="27"/>
    </row>
    <row r="58" spans="1:29" ht="17.25" customHeight="1" x14ac:dyDescent="0.25">
      <c r="A58" s="28"/>
      <c r="B58" s="106"/>
      <c r="C58" s="107"/>
      <c r="D58" s="108"/>
      <c r="E58" s="109"/>
      <c r="F58" s="108"/>
      <c r="G58" s="109"/>
      <c r="H58" s="110"/>
      <c r="I58" s="111"/>
      <c r="J58" s="111"/>
      <c r="K58" s="111"/>
      <c r="L58" s="112" t="str">
        <f t="shared" si="3"/>
        <v/>
      </c>
      <c r="M58" s="113"/>
      <c r="N58" s="114"/>
      <c r="O58" s="113" t="str">
        <f>IF(L58&lt;&gt;"",100-L58,"")</f>
        <v/>
      </c>
      <c r="P58" s="113"/>
      <c r="Q58" s="114"/>
      <c r="R58" s="115"/>
      <c r="S58" s="115"/>
      <c r="T58" s="115"/>
      <c r="U58" s="115"/>
      <c r="V58" s="115"/>
      <c r="W58" s="115"/>
      <c r="X58" s="115"/>
      <c r="Y58" s="116"/>
      <c r="Z58" s="27"/>
    </row>
    <row r="59" spans="1:29" ht="16.5" customHeight="1" thickBot="1" x14ac:dyDescent="0.3">
      <c r="A59" s="28"/>
      <c r="B59" s="58" t="s">
        <v>12</v>
      </c>
      <c r="C59" s="59"/>
      <c r="D59" s="59"/>
      <c r="E59" s="59"/>
      <c r="F59" s="59"/>
      <c r="G59" s="59"/>
      <c r="H59" s="59"/>
      <c r="I59" s="60">
        <f>AVERAGE(I29:K54)</f>
        <v>2.3009615384615385</v>
      </c>
      <c r="J59" s="60"/>
      <c r="K59" s="60"/>
      <c r="L59" s="61">
        <f t="shared" ref="L59" si="4">AVERAGE(L29:N54)</f>
        <v>93.34529567795289</v>
      </c>
      <c r="M59" s="61"/>
      <c r="N59" s="61"/>
      <c r="O59" s="61">
        <f t="shared" ref="O59" si="5">AVERAGE(O29:Q54)</f>
        <v>6.6547043220471158</v>
      </c>
      <c r="P59" s="61"/>
      <c r="Q59" s="61"/>
      <c r="R59" s="62"/>
      <c r="S59" s="62"/>
      <c r="T59" s="62"/>
      <c r="U59" s="62"/>
      <c r="V59" s="62"/>
      <c r="W59" s="62"/>
      <c r="X59" s="62"/>
      <c r="Y59" s="63"/>
      <c r="Z59" s="27"/>
    </row>
    <row r="60" spans="1:29" ht="25.5" customHeight="1" thickBot="1" x14ac:dyDescent="0.3">
      <c r="A60" s="28"/>
      <c r="B60" s="64" t="s">
        <v>11</v>
      </c>
      <c r="C60" s="65"/>
      <c r="D60" s="65"/>
      <c r="E60" s="65"/>
      <c r="F60" s="65"/>
      <c r="G60" s="65"/>
      <c r="H60" s="65"/>
      <c r="I60" s="66">
        <v>100</v>
      </c>
      <c r="J60" s="66"/>
      <c r="K60" s="66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8"/>
      <c r="Z60" s="27"/>
    </row>
    <row r="61" spans="1:29" ht="15" customHeight="1" x14ac:dyDescent="0.25">
      <c r="A61" s="26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4"/>
    </row>
    <row r="62" spans="1:29" ht="16.5" customHeight="1" x14ac:dyDescent="0.25">
      <c r="S62" s="23"/>
      <c r="T62" s="23"/>
      <c r="U62" s="23"/>
    </row>
    <row r="63" spans="1:29" ht="15.6" customHeight="1" x14ac:dyDescent="0.25">
      <c r="A63" s="22" t="s">
        <v>10</v>
      </c>
      <c r="B63" s="21" t="s">
        <v>9</v>
      </c>
      <c r="C63" s="20"/>
      <c r="D63" s="20"/>
      <c r="E63" s="20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U63" s="18"/>
      <c r="V63" s="17"/>
      <c r="W63" s="17"/>
      <c r="X63" s="17"/>
      <c r="Y63" s="17"/>
      <c r="Z63" s="16"/>
      <c r="AA63" s="2"/>
      <c r="AB63" s="2"/>
      <c r="AC63" s="2"/>
    </row>
    <row r="64" spans="1:29" ht="26.4" customHeight="1" x14ac:dyDescent="0.25">
      <c r="A64" s="82" t="s">
        <v>8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4"/>
      <c r="R64" s="75" t="s">
        <v>7</v>
      </c>
      <c r="S64" s="76"/>
      <c r="T64" s="77"/>
      <c r="U64" s="85" t="s">
        <v>6</v>
      </c>
      <c r="V64" s="86"/>
      <c r="W64" s="86"/>
      <c r="X64" s="87"/>
      <c r="Y64" s="87"/>
      <c r="Z64" s="88"/>
      <c r="AA64" s="2"/>
      <c r="AB64" s="2"/>
      <c r="AC64" s="2"/>
    </row>
    <row r="65" spans="1:29" ht="15.6" customHeight="1" x14ac:dyDescent="0.25">
      <c r="A65" s="89" t="s">
        <v>5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1"/>
      <c r="R65" s="75" t="s">
        <v>4</v>
      </c>
      <c r="S65" s="76"/>
      <c r="T65" s="77"/>
      <c r="U65" s="95" t="s">
        <v>3</v>
      </c>
      <c r="V65" s="96"/>
      <c r="W65" s="96"/>
      <c r="X65" s="97"/>
      <c r="Y65" s="97"/>
      <c r="Z65" s="98"/>
      <c r="AA65" s="2"/>
      <c r="AB65" s="2"/>
      <c r="AC65" s="2"/>
    </row>
    <row r="66" spans="1:29" ht="15.6" customHeight="1" x14ac:dyDescent="0.25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4"/>
      <c r="R66" s="75"/>
      <c r="S66" s="76"/>
      <c r="T66" s="77"/>
      <c r="U66" s="99"/>
      <c r="V66" s="81"/>
      <c r="W66" s="81"/>
      <c r="X66" s="100"/>
      <c r="Y66" s="100"/>
      <c r="Z66" s="101"/>
      <c r="AA66" s="2"/>
      <c r="AB66" s="2"/>
      <c r="AC66" s="2"/>
    </row>
    <row r="67" spans="1:29" ht="15.6" customHeight="1" x14ac:dyDescent="0.25">
      <c r="A67" s="15" t="s">
        <v>2</v>
      </c>
      <c r="B67" s="14" t="s">
        <v>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3"/>
      <c r="R67" s="75"/>
      <c r="S67" s="76"/>
      <c r="T67" s="77"/>
      <c r="U67" s="102"/>
      <c r="V67" s="103"/>
      <c r="W67" s="103"/>
      <c r="X67" s="104"/>
      <c r="Y67" s="104"/>
      <c r="Z67" s="105"/>
      <c r="AA67" s="2"/>
      <c r="AB67" s="2"/>
      <c r="AC67" s="2"/>
    </row>
    <row r="68" spans="1:29" ht="15.6" customHeight="1" x14ac:dyDescent="0.25">
      <c r="A68" s="69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1"/>
      <c r="R68" s="75" t="s">
        <v>0</v>
      </c>
      <c r="S68" s="76"/>
      <c r="T68" s="77"/>
      <c r="U68" s="12"/>
      <c r="V68" s="11"/>
      <c r="W68" s="11"/>
      <c r="X68" s="11"/>
      <c r="Y68" s="11"/>
      <c r="Z68" s="10"/>
      <c r="AA68" s="2"/>
      <c r="AB68" s="2"/>
      <c r="AC68" s="2"/>
    </row>
    <row r="69" spans="1:29" ht="15.6" customHeight="1" x14ac:dyDescent="0.25">
      <c r="A69" s="69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1"/>
      <c r="R69" s="75"/>
      <c r="S69" s="76"/>
      <c r="T69" s="77"/>
      <c r="U69" s="9"/>
      <c r="V69" s="81"/>
      <c r="W69" s="81"/>
      <c r="X69" s="81"/>
      <c r="Y69" s="81"/>
      <c r="Z69" s="8"/>
      <c r="AA69" s="2"/>
      <c r="AB69" s="2"/>
      <c r="AC69" s="2"/>
    </row>
    <row r="70" spans="1:29" ht="15.6" customHeight="1" x14ac:dyDescent="0.25">
      <c r="A70" s="69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1"/>
      <c r="R70" s="75"/>
      <c r="S70" s="76"/>
      <c r="T70" s="77"/>
      <c r="U70" s="9"/>
      <c r="V70" s="81"/>
      <c r="W70" s="81"/>
      <c r="X70" s="81"/>
      <c r="Y70" s="81"/>
      <c r="Z70" s="8"/>
      <c r="AA70" s="2"/>
      <c r="AB70" s="2"/>
      <c r="AC70" s="2"/>
    </row>
    <row r="71" spans="1:29" ht="15.6" customHeight="1" x14ac:dyDescent="0.25">
      <c r="A71" s="72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4"/>
      <c r="R71" s="78"/>
      <c r="S71" s="79"/>
      <c r="T71" s="80"/>
      <c r="U71" s="7"/>
      <c r="V71" s="6"/>
      <c r="W71" s="6"/>
      <c r="X71" s="6"/>
      <c r="Y71" s="6"/>
      <c r="Z71" s="5"/>
      <c r="AA71" s="2"/>
      <c r="AB71" s="2"/>
      <c r="AC71" s="2"/>
    </row>
    <row r="72" spans="1:29" ht="16.5" customHeight="1" x14ac:dyDescent="0.25">
      <c r="R72" s="4"/>
      <c r="S72" s="4"/>
      <c r="T72" s="4"/>
      <c r="U72" s="3"/>
      <c r="V72" s="3"/>
      <c r="W72" s="3"/>
      <c r="X72" s="3"/>
      <c r="Y72" s="3"/>
      <c r="Z72" s="3"/>
      <c r="AA72" s="2"/>
      <c r="AB72" s="2"/>
      <c r="AC72" s="2"/>
    </row>
  </sheetData>
  <sheetProtection formatCells="0" formatColumns="0" formatRows="0" insertColumns="0" insertRows="0" insertHyperlinks="0" deleteColumns="0" deleteRows="0" selectLockedCells="1" sort="0" autoFilter="0" pivotTables="0"/>
  <mergeCells count="241">
    <mergeCell ref="B52:C52"/>
    <mergeCell ref="B53:C53"/>
    <mergeCell ref="B54:C54"/>
    <mergeCell ref="I56:K56"/>
    <mergeCell ref="I57:K57"/>
    <mergeCell ref="B44:C44"/>
    <mergeCell ref="B45:C45"/>
    <mergeCell ref="B46:C46"/>
    <mergeCell ref="B47:C47"/>
    <mergeCell ref="B48:C48"/>
    <mergeCell ref="B49:C49"/>
    <mergeCell ref="B50:C50"/>
    <mergeCell ref="B51:C51"/>
    <mergeCell ref="I50:K50"/>
    <mergeCell ref="I51:K51"/>
    <mergeCell ref="I52:K52"/>
    <mergeCell ref="I53:K53"/>
    <mergeCell ref="I54:K54"/>
    <mergeCell ref="I55:K55"/>
    <mergeCell ref="I44:K44"/>
    <mergeCell ref="I45:K45"/>
    <mergeCell ref="I46:K46"/>
    <mergeCell ref="I47:K47"/>
    <mergeCell ref="I48:K48"/>
    <mergeCell ref="L49:N49"/>
    <mergeCell ref="I49:K49"/>
    <mergeCell ref="O52:Q52"/>
    <mergeCell ref="O53:Q53"/>
    <mergeCell ref="O54:Q54"/>
    <mergeCell ref="O55:Q55"/>
    <mergeCell ref="O56:Q56"/>
    <mergeCell ref="O57:Q57"/>
    <mergeCell ref="L56:N56"/>
    <mergeCell ref="L57:N57"/>
    <mergeCell ref="L52:N52"/>
    <mergeCell ref="L53:N53"/>
    <mergeCell ref="L54:N54"/>
    <mergeCell ref="L55:N55"/>
    <mergeCell ref="B10:F10"/>
    <mergeCell ref="G10:L10"/>
    <mergeCell ref="M10:R10"/>
    <mergeCell ref="S10:Y10"/>
    <mergeCell ref="A1:F6"/>
    <mergeCell ref="G1:T1"/>
    <mergeCell ref="U1:Z6"/>
    <mergeCell ref="B11:F11"/>
    <mergeCell ref="G11:L11"/>
    <mergeCell ref="M11:O11"/>
    <mergeCell ref="P11:R11"/>
    <mergeCell ref="S11:W11"/>
    <mergeCell ref="X11:Y11"/>
    <mergeCell ref="G2:T4"/>
    <mergeCell ref="G5:H5"/>
    <mergeCell ref="I5:K5"/>
    <mergeCell ref="L5:O5"/>
    <mergeCell ref="P5:T5"/>
    <mergeCell ref="I6:K6"/>
    <mergeCell ref="L6:O6"/>
    <mergeCell ref="P6:T6"/>
    <mergeCell ref="A7:F7"/>
    <mergeCell ref="G7:Z7"/>
    <mergeCell ref="B12:F12"/>
    <mergeCell ref="G12:L12"/>
    <mergeCell ref="M12:R12"/>
    <mergeCell ref="S12:Y12"/>
    <mergeCell ref="B13:F13"/>
    <mergeCell ref="G13:L13"/>
    <mergeCell ref="M13:R13"/>
    <mergeCell ref="S13:Y13"/>
    <mergeCell ref="B14:F14"/>
    <mergeCell ref="G14:L14"/>
    <mergeCell ref="M14:R14"/>
    <mergeCell ref="S14:Y14"/>
    <mergeCell ref="B15:F15"/>
    <mergeCell ref="G15:L15"/>
    <mergeCell ref="M15:R15"/>
    <mergeCell ref="S15:Y15"/>
    <mergeCell ref="B28:C28"/>
    <mergeCell ref="B16:F16"/>
    <mergeCell ref="B21:H21"/>
    <mergeCell ref="I21:Y21"/>
    <mergeCell ref="B22:H22"/>
    <mergeCell ref="I22:M22"/>
    <mergeCell ref="O22:Q22"/>
    <mergeCell ref="V22:X22"/>
    <mergeCell ref="H25:P25"/>
    <mergeCell ref="Q25:T25"/>
    <mergeCell ref="B27:C27"/>
    <mergeCell ref="D27:E27"/>
    <mergeCell ref="F27:H27"/>
    <mergeCell ref="I27:K28"/>
    <mergeCell ref="L27:N27"/>
    <mergeCell ref="O27:Q27"/>
    <mergeCell ref="R27:Y28"/>
    <mergeCell ref="D28:E28"/>
    <mergeCell ref="L28:N28"/>
    <mergeCell ref="O28:Q28"/>
    <mergeCell ref="B29:C29"/>
    <mergeCell ref="D29:E29"/>
    <mergeCell ref="F29:H29"/>
    <mergeCell ref="I29:K29"/>
    <mergeCell ref="L29:N29"/>
    <mergeCell ref="O29:Q29"/>
    <mergeCell ref="R29:Y29"/>
    <mergeCell ref="B30:C30"/>
    <mergeCell ref="D30:E30"/>
    <mergeCell ref="F30:H30"/>
    <mergeCell ref="I30:K30"/>
    <mergeCell ref="L30:N30"/>
    <mergeCell ref="R31:Y31"/>
    <mergeCell ref="O30:Q30"/>
    <mergeCell ref="R30:Y30"/>
    <mergeCell ref="B32:C32"/>
    <mergeCell ref="D32:E32"/>
    <mergeCell ref="F32:H32"/>
    <mergeCell ref="I32:K32"/>
    <mergeCell ref="L32:N32"/>
    <mergeCell ref="O32:Q32"/>
    <mergeCell ref="R32:Y32"/>
    <mergeCell ref="B31:C31"/>
    <mergeCell ref="D31:E31"/>
    <mergeCell ref="F31:H31"/>
    <mergeCell ref="I31:K31"/>
    <mergeCell ref="L31:N31"/>
    <mergeCell ref="O31:Q31"/>
    <mergeCell ref="O34:Q34"/>
    <mergeCell ref="R34:Y34"/>
    <mergeCell ref="B33:C33"/>
    <mergeCell ref="D33:E33"/>
    <mergeCell ref="F33:H33"/>
    <mergeCell ref="I33:K33"/>
    <mergeCell ref="L33:N33"/>
    <mergeCell ref="O33:Q33"/>
    <mergeCell ref="F35:H35"/>
    <mergeCell ref="I35:K35"/>
    <mergeCell ref="L35:N35"/>
    <mergeCell ref="O35:Q35"/>
    <mergeCell ref="R33:Y33"/>
    <mergeCell ref="B34:C34"/>
    <mergeCell ref="D34:E34"/>
    <mergeCell ref="F34:H34"/>
    <mergeCell ref="I34:K34"/>
    <mergeCell ref="L34:N34"/>
    <mergeCell ref="R35:Y35"/>
    <mergeCell ref="B36:C36"/>
    <mergeCell ref="D36:E36"/>
    <mergeCell ref="F36:H36"/>
    <mergeCell ref="I36:K36"/>
    <mergeCell ref="L36:N36"/>
    <mergeCell ref="O36:Q36"/>
    <mergeCell ref="R36:Y36"/>
    <mergeCell ref="B35:C35"/>
    <mergeCell ref="D35:E35"/>
    <mergeCell ref="O38:Q38"/>
    <mergeCell ref="R38:Y38"/>
    <mergeCell ref="B37:C37"/>
    <mergeCell ref="D37:E37"/>
    <mergeCell ref="F37:H37"/>
    <mergeCell ref="I37:K37"/>
    <mergeCell ref="L37:N37"/>
    <mergeCell ref="O37:Q37"/>
    <mergeCell ref="F39:H39"/>
    <mergeCell ref="I39:K39"/>
    <mergeCell ref="L39:N39"/>
    <mergeCell ref="O39:Q39"/>
    <mergeCell ref="R37:Y37"/>
    <mergeCell ref="B38:C38"/>
    <mergeCell ref="D38:E38"/>
    <mergeCell ref="F38:H38"/>
    <mergeCell ref="I38:K38"/>
    <mergeCell ref="L38:N38"/>
    <mergeCell ref="R39:Y39"/>
    <mergeCell ref="B40:C40"/>
    <mergeCell ref="D40:E40"/>
    <mergeCell ref="F40:H40"/>
    <mergeCell ref="I40:K40"/>
    <mergeCell ref="L40:N40"/>
    <mergeCell ref="O40:Q40"/>
    <mergeCell ref="R40:Y40"/>
    <mergeCell ref="B39:C39"/>
    <mergeCell ref="D39:E39"/>
    <mergeCell ref="O42:Q42"/>
    <mergeCell ref="R42:Y42"/>
    <mergeCell ref="B41:C41"/>
    <mergeCell ref="D41:E41"/>
    <mergeCell ref="F41:H41"/>
    <mergeCell ref="I41:K41"/>
    <mergeCell ref="L41:N41"/>
    <mergeCell ref="O41:Q41"/>
    <mergeCell ref="F43:H43"/>
    <mergeCell ref="I43:K43"/>
    <mergeCell ref="L43:N43"/>
    <mergeCell ref="O43:Q43"/>
    <mergeCell ref="R41:Y41"/>
    <mergeCell ref="B42:C42"/>
    <mergeCell ref="D42:E42"/>
    <mergeCell ref="F42:H42"/>
    <mergeCell ref="I42:K42"/>
    <mergeCell ref="L42:N42"/>
    <mergeCell ref="R43:Y43"/>
    <mergeCell ref="B58:C58"/>
    <mergeCell ref="D58:E58"/>
    <mergeCell ref="F58:H58"/>
    <mergeCell ref="I58:K58"/>
    <mergeCell ref="L58:N58"/>
    <mergeCell ref="O58:Q58"/>
    <mergeCell ref="R58:Y58"/>
    <mergeCell ref="B43:C43"/>
    <mergeCell ref="D43:E43"/>
    <mergeCell ref="O44:Q44"/>
    <mergeCell ref="O45:Q45"/>
    <mergeCell ref="O46:Q46"/>
    <mergeCell ref="O47:Q47"/>
    <mergeCell ref="O48:Q48"/>
    <mergeCell ref="O49:Q49"/>
    <mergeCell ref="O50:Q50"/>
    <mergeCell ref="O51:Q51"/>
    <mergeCell ref="L50:N50"/>
    <mergeCell ref="L51:N51"/>
    <mergeCell ref="L44:N44"/>
    <mergeCell ref="L45:N45"/>
    <mergeCell ref="L46:N46"/>
    <mergeCell ref="L47:N47"/>
    <mergeCell ref="L48:N48"/>
    <mergeCell ref="B59:H59"/>
    <mergeCell ref="I59:K59"/>
    <mergeCell ref="L59:N59"/>
    <mergeCell ref="O59:Q59"/>
    <mergeCell ref="R59:Y59"/>
    <mergeCell ref="B60:H60"/>
    <mergeCell ref="I60:K60"/>
    <mergeCell ref="L60:Y60"/>
    <mergeCell ref="A68:Q71"/>
    <mergeCell ref="R68:T71"/>
    <mergeCell ref="V69:Y70"/>
    <mergeCell ref="A64:Q64"/>
    <mergeCell ref="R64:T64"/>
    <mergeCell ref="U64:Z64"/>
    <mergeCell ref="A65:Q66"/>
    <mergeCell ref="R65:T67"/>
    <mergeCell ref="U65:Z67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181125 GB Base</vt:lpstr>
      <vt:lpstr>181125 GB fond</vt:lpstr>
      <vt:lpstr>181125 GB du 17</vt:lpstr>
      <vt:lpstr>171125 GB</vt:lpstr>
      <vt:lpstr>'171125 GB'!Zone_d_impression</vt:lpstr>
      <vt:lpstr>'181125 GB Base'!Zone_d_impression</vt:lpstr>
      <vt:lpstr>'181125 GB du 17'!Zone_d_impression</vt:lpstr>
      <vt:lpstr>'181125 GB fond'!Zone_d_impression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LHOPITAL</dc:creator>
  <cp:lastModifiedBy>Frédéric MONTET</cp:lastModifiedBy>
  <cp:lastPrinted>2025-11-19T10:52:51Z</cp:lastPrinted>
  <dcterms:created xsi:type="dcterms:W3CDTF">2025-11-17T15:30:22Z</dcterms:created>
  <dcterms:modified xsi:type="dcterms:W3CDTF">2025-11-19T10:52:56Z</dcterms:modified>
</cp:coreProperties>
</file>