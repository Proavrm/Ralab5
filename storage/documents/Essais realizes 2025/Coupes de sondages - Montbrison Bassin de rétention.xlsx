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42\RA P30D  Montbrison - Bassin de rétention\Essais de Laboratoire\Sondages\"/>
    </mc:Choice>
  </mc:AlternateContent>
  <xr:revisionPtr revIDLastSave="0" documentId="13_ncr:1_{D868F654-E24D-48D4-9BC5-DFD3AB5C5EA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09" sheetId="10" r:id="rId1"/>
    <sheet name="S08" sheetId="9" r:id="rId2"/>
    <sheet name="S07" sheetId="8" r:id="rId3"/>
    <sheet name="S06" sheetId="7" r:id="rId4"/>
    <sheet name="S05" sheetId="6" r:id="rId5"/>
    <sheet name="S04" sheetId="5" r:id="rId6"/>
    <sheet name="S03" sheetId="4" r:id="rId7"/>
    <sheet name="S02" sheetId="3" r:id="rId8"/>
    <sheet name="S01" sheetId="1" r:id="rId9"/>
  </sheets>
  <definedNames>
    <definedName name="_xlnm.Print_Area" localSheetId="8">'S01'!$A$1:$Z$39</definedName>
    <definedName name="_xlnm.Print_Area" localSheetId="7">'S02'!$A$1:$Z$39</definedName>
    <definedName name="_xlnm.Print_Area" localSheetId="6">'S03'!$A$1:$Z$39</definedName>
    <definedName name="_xlnm.Print_Area" localSheetId="5">'S04'!$A$1:$Z$39</definedName>
    <definedName name="_xlnm.Print_Area" localSheetId="4">'S05'!$A$1:$Z$39</definedName>
    <definedName name="_xlnm.Print_Area" localSheetId="3">'S06'!$A$1:$Z$39</definedName>
    <definedName name="_xlnm.Print_Area" localSheetId="2">'S07'!$A$1:$Z$38</definedName>
    <definedName name="_xlnm.Print_Area" localSheetId="1">'S08'!$A$1:$Z$39</definedName>
    <definedName name="_xlnm.Print_Area" localSheetId="0">'S09'!$A$1:$Z$38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8" i="8" l="1"/>
  <c r="AE29" i="9"/>
</calcChain>
</file>

<file path=xl/sharedStrings.xml><?xml version="1.0" encoding="utf-8"?>
<sst xmlns="http://schemas.openxmlformats.org/spreadsheetml/2006/main" count="721" uniqueCount="102">
  <si>
    <t>COMPTE RENDU D'ESSAIS</t>
  </si>
  <si>
    <t>Montbrison Bassin</t>
  </si>
  <si>
    <t>COUPE DE SONDAGE 
(NF P 11-300 de septembre 1992)</t>
  </si>
  <si>
    <t xml:space="preserve">SO n° </t>
  </si>
  <si>
    <t>17/06/2025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</si>
  <si>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</si>
  <si>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</si>
  <si>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</si>
  <si>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</si>
  <si>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</si>
  <si>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</si>
  <si>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</si>
  <si>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</si>
  <si>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</si>
  <si>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Bassin</t>
  </si>
  <si>
    <t>Sondeur :</t>
  </si>
  <si>
    <t>Sylvain LHOPITAL</t>
  </si>
  <si>
    <t>1 /</t>
  </si>
  <si>
    <t>Caractéristiques</t>
  </si>
  <si>
    <t>Procédé de sondage :</t>
  </si>
  <si>
    <t>Pelle hydraulique 5t</t>
  </si>
  <si>
    <t>Géolocalisation :</t>
  </si>
  <si>
    <t>Date de sondage :</t>
  </si>
  <si>
    <t xml:space="preserve">Altitude : </t>
  </si>
  <si>
    <t>Conditions météo :</t>
  </si>
  <si>
    <t>Beau</t>
  </si>
  <si>
    <t>Déblai ou remblais :</t>
  </si>
  <si>
    <t>Deblai</t>
  </si>
  <si>
    <t>Profil n° :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</si>
  <si>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</si>
  <si>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</si>
  <si>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</si>
  <si>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</si>
  <si>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</si>
  <si>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</si>
  <si>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</si>
  <si>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</si>
  <si>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</si>
  <si>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</si>
  <si>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</si>
  <si>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</si>
  <si>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</si>
  <si>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</si>
  <si>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</si>
  <si>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</si>
  <si>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</si>
  <si>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</si>
  <si>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</si>
  <si>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</si>
  <si>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</si>
  <si>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</si>
  <si>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</si>
  <si>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</si>
  <si>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</si>
  <si>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</si>
  <si>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</si>
  <si>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</si>
  <si>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Fonction</t>
  </si>
  <si>
    <t>Chef de section laboratoire</t>
  </si>
  <si>
    <t>Visa</t>
  </si>
  <si>
    <t xml:space="preserve">Aucune </t>
  </si>
  <si>
    <t>TV</t>
  </si>
  <si>
    <t>Couche</t>
  </si>
  <si>
    <t>Hauteur de ligne</t>
  </si>
  <si>
    <t>S1E1</t>
  </si>
  <si>
    <t>Arrivée d'eau faible à 1.4</t>
  </si>
  <si>
    <t>S1E2</t>
  </si>
  <si>
    <t>RA P30D</t>
  </si>
  <si>
    <t>Montbrison
Bassin de rétention</t>
  </si>
  <si>
    <t>S2E2</t>
  </si>
  <si>
    <t>Arrivée d'eau faible à 1.2</t>
  </si>
  <si>
    <t>S2E1</t>
  </si>
  <si>
    <t>B</t>
  </si>
  <si>
    <t>S3E2</t>
  </si>
  <si>
    <t>S3E1</t>
  </si>
  <si>
    <t>C</t>
  </si>
  <si>
    <t>Arrivée d'eau faible à 1.1</t>
  </si>
  <si>
    <t>S4E1</t>
  </si>
  <si>
    <t>D</t>
  </si>
  <si>
    <t>S5E2</t>
  </si>
  <si>
    <t>Arrivée d'eau faible à 1</t>
  </si>
  <si>
    <t>S5E1</t>
  </si>
  <si>
    <t>S6E2</t>
  </si>
  <si>
    <t>S6E1</t>
  </si>
  <si>
    <t>F</t>
  </si>
  <si>
    <t>Arrêt au refus</t>
  </si>
  <si>
    <t>Arrivée d'eau faible à 0,80 m</t>
  </si>
  <si>
    <t>S7E1</t>
  </si>
  <si>
    <t>G</t>
  </si>
  <si>
    <t>S8E1</t>
  </si>
  <si>
    <t>H</t>
  </si>
  <si>
    <t>S9E1</t>
  </si>
  <si>
    <t>I</t>
  </si>
  <si>
    <t>B5
th</t>
  </si>
  <si>
    <t>A1
th</t>
  </si>
  <si>
    <t>A</t>
  </si>
  <si>
    <t>Arènes sableuses
Gris brun</t>
  </si>
  <si>
    <t>Limon sablo argileux
Bariolé gris marron</t>
  </si>
  <si>
    <t>Arènes sableuses
Brun</t>
  </si>
  <si>
    <t>Arènes sableuses
Bariolé brun gris</t>
  </si>
  <si>
    <t>Arènes sableuses
Bariolé gris marron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</si>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</sst>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/>
      <bottom style="dashDot">
        <color rgb="FF000000"/>
      </bottom>
      <diagonal/>
    </border>
    <border>
      <left style="hair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/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/>
      <diagonal/>
    </border>
    <border>
      <left style="hair">
        <color rgb="FF000000"/>
      </left>
      <right style="hair">
        <color rgb="FF000000"/>
      </right>
      <top style="dashDot">
        <color rgb="FF000000"/>
      </top>
      <bottom/>
      <diagonal/>
    </border>
    <border>
      <left/>
      <right/>
      <top style="dashDot">
        <color rgb="FF000000"/>
      </top>
      <bottom/>
      <diagonal/>
    </border>
    <border>
      <left style="thin">
        <color rgb="FF000000"/>
      </left>
      <right/>
      <top style="dashDot">
        <color rgb="FF000000"/>
      </top>
      <bottom/>
      <diagonal/>
    </border>
    <border>
      <left style="thin">
        <color rgb="FF000000"/>
      </left>
      <right/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90"/>
    </xf>
    <xf numFmtId="0" fontId="8" fillId="0" borderId="17" xfId="0" applyFont="1" applyBorder="1" applyAlignment="1">
      <alignment horizontal="center" vertical="center" wrapText="1"/>
    </xf>
    <xf numFmtId="0" fontId="1" fillId="0" borderId="5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6" fillId="0" borderId="0" xfId="0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right"/>
      <protection hidden="1"/>
    </xf>
    <xf numFmtId="2" fontId="6" fillId="0" borderId="0" xfId="0" applyNumberFormat="1" applyFont="1" applyAlignment="1" applyProtection="1">
      <alignment horizontal="center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2" fontId="8" fillId="0" borderId="36" xfId="0" applyNumberFormat="1" applyFont="1" applyBorder="1" applyAlignment="1">
      <alignment horizontal="right"/>
    </xf>
    <xf numFmtId="2" fontId="8" fillId="0" borderId="37" xfId="0" applyNumberFormat="1" applyFont="1" applyBorder="1" applyAlignment="1">
      <alignment horizontal="right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165" fontId="8" fillId="0" borderId="43" xfId="0" applyNumberFormat="1" applyFont="1" applyBorder="1" applyAlignment="1">
      <alignment horizontal="center" vertical="center"/>
    </xf>
    <xf numFmtId="165" fontId="8" fillId="0" borderId="41" xfId="0" applyNumberFormat="1" applyFont="1" applyBorder="1" applyAlignment="1">
      <alignment horizontal="center" vertical="center"/>
    </xf>
    <xf numFmtId="2" fontId="8" fillId="0" borderId="43" xfId="0" applyNumberFormat="1" applyFont="1" applyBorder="1" applyAlignment="1">
      <alignment horizontal="center" vertical="center"/>
    </xf>
    <xf numFmtId="2" fontId="8" fillId="0" borderId="41" xfId="0" applyNumberFormat="1" applyFont="1" applyBorder="1" applyAlignment="1">
      <alignment horizontal="center" vertical="center"/>
    </xf>
    <xf numFmtId="164" fontId="8" fillId="0" borderId="43" xfId="0" applyNumberFormat="1" applyFont="1" applyBorder="1" applyAlignment="1">
      <alignment horizontal="center" vertical="center"/>
    </xf>
    <xf numFmtId="164" fontId="8" fillId="0" borderId="41" xfId="0" applyNumberFormat="1" applyFont="1" applyBorder="1" applyAlignment="1">
      <alignment horizontal="center" vertical="center"/>
    </xf>
    <xf numFmtId="1" fontId="8" fillId="0" borderId="43" xfId="0" applyNumberFormat="1" applyFont="1" applyBorder="1" applyAlignment="1">
      <alignment horizontal="center" vertical="center"/>
    </xf>
    <xf numFmtId="1" fontId="8" fillId="0" borderId="4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5" fillId="0" borderId="45" xfId="0" applyFont="1" applyBorder="1" applyAlignment="1">
      <alignment horizontal="center" vertical="center" textRotation="90"/>
    </xf>
    <xf numFmtId="0" fontId="5" fillId="0" borderId="16" xfId="0" applyFont="1" applyBorder="1" applyAlignment="1">
      <alignment horizontal="center" vertical="center" textRotation="90"/>
    </xf>
    <xf numFmtId="2" fontId="8" fillId="0" borderId="44" xfId="0" applyNumberFormat="1" applyFont="1" applyBorder="1" applyAlignment="1">
      <alignment horizontal="right"/>
    </xf>
    <xf numFmtId="2" fontId="8" fillId="0" borderId="33" xfId="0" applyNumberFormat="1" applyFont="1" applyBorder="1" applyAlignment="1">
      <alignment horizontal="right"/>
    </xf>
    <xf numFmtId="0" fontId="8" fillId="0" borderId="43" xfId="0" applyFont="1" applyBorder="1" applyAlignment="1" applyProtection="1">
      <alignment horizontal="center" vertical="center"/>
      <protection hidden="1"/>
    </xf>
    <xf numFmtId="0" fontId="8" fillId="0" borderId="41" xfId="0" applyFont="1" applyBorder="1" applyAlignment="1" applyProtection="1">
      <alignment horizontal="center" vertical="center"/>
      <protection hidden="1"/>
    </xf>
    <xf numFmtId="0" fontId="8" fillId="0" borderId="43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7678B5A-5874-41AF-BB99-99B33B074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34</xdr:row>
      <xdr:rowOff>64770</xdr:rowOff>
    </xdr:from>
    <xdr:to>
      <xdr:col>25</xdr:col>
      <xdr:colOff>97464</xdr:colOff>
      <xdr:row>37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A0C5924-88DF-4BD2-B9FA-54FEC865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45515"/>
          <a:ext cx="1707189" cy="6800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15DC542-13EC-4392-A13B-B8D7CB110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93654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BB07CA0-B75C-461F-82FA-99EBB7078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55040"/>
          <a:ext cx="1707189" cy="6800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D247DF-7C5B-4330-A7CF-787B7960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34</xdr:row>
      <xdr:rowOff>64770</xdr:rowOff>
    </xdr:from>
    <xdr:to>
      <xdr:col>25</xdr:col>
      <xdr:colOff>93654</xdr:colOff>
      <xdr:row>37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DF1CBB8-C3E0-4588-A17C-4C0903E5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55040"/>
          <a:ext cx="1703379" cy="68008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C069CB4-09BB-4F67-8424-A10BBB489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93654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0AAC855-2700-4736-B661-FE98CAFED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35990"/>
          <a:ext cx="1703379" cy="68008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9AB9CDA-5394-4388-919B-B8306E973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93654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B36775E-DF83-4BD0-8814-B8086BCA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45515"/>
          <a:ext cx="1707189" cy="6800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979FA30-4C68-4842-8490-2000CAE92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97464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67BED44-D3D3-4440-9CD3-6CAFFF9FC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35990"/>
          <a:ext cx="1707189" cy="6800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0D242A0-AEA3-4A6F-8A36-037531997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97464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4D7FE10-DC0A-4FBF-A097-19AF6496C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35990"/>
          <a:ext cx="1703379" cy="6800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FA4EF08-DA1B-443B-B762-D2E61751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33375"/>
          <a:ext cx="1323975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93654</xdr:colOff>
      <xdr:row>38</xdr:row>
      <xdr:rowOff>114299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253A2FE-59C6-49F2-9086-53F4924ED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13655040"/>
          <a:ext cx="1707189" cy="6800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152400</xdr:colOff>
      <xdr:row>35</xdr:row>
      <xdr:rowOff>64770</xdr:rowOff>
    </xdr:from>
    <xdr:to>
      <xdr:col>25</xdr:col>
      <xdr:colOff>97464</xdr:colOff>
      <xdr:row>38</xdr:row>
      <xdr:rowOff>114299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E8E6B12-057A-534A-F9D6-4CB85D735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4325" y="6036945"/>
          <a:ext cx="1712904" cy="678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6078-0179-4A20-B596-E00A6F1EBF21}">
  <sheetPr>
    <pageSetUpPr fitToPage="1"/>
  </sheetPr>
  <dimension ref="A1:AH41"/>
  <sheetViews>
    <sheetView workbookViewId="0">
      <selection activeCell="S13" sqref="S13:Y14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9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92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0.5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240" customHeight="1" x14ac:dyDescent="0.3">
      <c r="A26" s="12"/>
      <c r="B26" s="35"/>
      <c r="C26" s="171">
        <v>0.2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240</v>
      </c>
      <c r="AF26" s="2"/>
    </row>
    <row r="27" spans="1:34" ht="360" customHeight="1" x14ac:dyDescent="0.3">
      <c r="A27" s="12"/>
      <c r="B27" s="70" t="s">
        <v>91</v>
      </c>
      <c r="C27" s="135">
        <v>0.9</v>
      </c>
      <c r="D27" s="135"/>
      <c r="E27" s="136"/>
      <c r="F27" s="36"/>
      <c r="G27" s="71" t="s">
        <v>60</v>
      </c>
      <c r="H27" s="145" t="s">
        <v>99</v>
      </c>
      <c r="I27" s="146"/>
      <c r="J27" s="146"/>
      <c r="K27" s="146"/>
      <c r="L27" s="146"/>
      <c r="M27" s="147"/>
      <c r="N27" s="67"/>
      <c r="O27" s="67"/>
      <c r="P27" s="67"/>
      <c r="Q27" s="67">
        <v>13</v>
      </c>
      <c r="R27" s="69">
        <v>2</v>
      </c>
      <c r="S27" s="68"/>
      <c r="T27" s="68"/>
      <c r="U27" s="38"/>
      <c r="V27" s="67"/>
      <c r="W27" s="38"/>
      <c r="X27" s="73"/>
      <c r="Y27" s="74"/>
      <c r="Z27" s="13"/>
      <c r="AA27" s="2"/>
      <c r="AB27" s="39"/>
      <c r="AC27" s="39"/>
      <c r="AD27" s="39"/>
      <c r="AE27" s="39"/>
      <c r="AF27" s="2"/>
    </row>
    <row r="28" spans="1:34" ht="12" customHeight="1" x14ac:dyDescent="0.3">
      <c r="A28" s="12"/>
      <c r="B28" s="150"/>
      <c r="C28" s="151"/>
      <c r="D28" s="151"/>
      <c r="E28" s="152"/>
      <c r="F28" s="153" t="s">
        <v>53</v>
      </c>
      <c r="G28" s="152"/>
      <c r="H28" s="154"/>
      <c r="I28" s="154"/>
      <c r="J28" s="154"/>
      <c r="K28" s="154"/>
      <c r="L28" s="154"/>
      <c r="M28" s="155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156"/>
      <c r="Y28" s="157"/>
      <c r="Z28" s="13"/>
      <c r="AA28" s="2"/>
      <c r="AB28" s="2"/>
      <c r="AC28" s="2"/>
      <c r="AD28" s="2"/>
      <c r="AE28" s="2"/>
      <c r="AF28" s="2"/>
      <c r="AG28" s="2"/>
      <c r="AH28" s="2"/>
    </row>
    <row r="29" spans="1:34" ht="12" customHeight="1" x14ac:dyDescent="0.3">
      <c r="A29" s="12"/>
      <c r="B29" s="173"/>
      <c r="C29" s="174"/>
      <c r="D29" s="174"/>
      <c r="E29" s="175"/>
      <c r="F29" s="176"/>
      <c r="G29" s="177"/>
      <c r="H29" s="178"/>
      <c r="I29" s="178"/>
      <c r="J29" s="178"/>
      <c r="K29" s="178"/>
      <c r="L29" s="178"/>
      <c r="M29" s="179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180"/>
      <c r="Y29" s="181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3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3">
      <c r="A31" s="51" t="s">
        <v>54</v>
      </c>
      <c r="B31" s="52" t="s">
        <v>55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" customHeight="1" x14ac:dyDescent="0.3">
      <c r="A32" s="182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83"/>
      <c r="R32" s="159" t="s">
        <v>56</v>
      </c>
      <c r="S32" s="160"/>
      <c r="T32" s="161"/>
      <c r="U32" s="187" t="s">
        <v>16</v>
      </c>
      <c r="V32" s="188"/>
      <c r="W32" s="188"/>
      <c r="X32" s="188"/>
      <c r="Y32" s="188"/>
      <c r="Z32" s="189"/>
    </row>
    <row r="33" spans="1:26" ht="16.2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57</v>
      </c>
      <c r="S33" s="160"/>
      <c r="T33" s="161"/>
      <c r="U33" s="190" t="s">
        <v>58</v>
      </c>
      <c r="V33" s="191"/>
      <c r="W33" s="191"/>
      <c r="X33" s="191"/>
      <c r="Y33" s="191"/>
      <c r="Z33" s="192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/>
      <c r="S34" s="160"/>
      <c r="T34" s="161"/>
      <c r="U34" s="193"/>
      <c r="V34" s="194"/>
      <c r="W34" s="194"/>
      <c r="X34" s="194"/>
      <c r="Y34" s="194"/>
      <c r="Z34" s="195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 t="s">
        <v>59</v>
      </c>
      <c r="S35" s="160"/>
      <c r="T35" s="161"/>
      <c r="U35" s="59"/>
      <c r="V35" s="60"/>
      <c r="W35" s="60"/>
      <c r="X35" s="60"/>
      <c r="Y35" s="60"/>
      <c r="Z35" s="61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/>
      <c r="S36" s="160"/>
      <c r="T36" s="161"/>
      <c r="U36" s="62"/>
      <c r="V36" s="158"/>
      <c r="W36" s="158"/>
      <c r="X36" s="158"/>
      <c r="Y36" s="158"/>
      <c r="Z36" s="63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4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6"/>
      <c r="R38" s="162"/>
      <c r="S38" s="163"/>
      <c r="T38" s="164"/>
      <c r="U38" s="64"/>
      <c r="V38" s="65"/>
      <c r="W38" s="65"/>
      <c r="X38" s="65"/>
      <c r="Y38" s="65"/>
      <c r="Z38" s="66"/>
    </row>
    <row r="41" spans="1:26" x14ac:dyDescent="0.3"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</row>
  </sheetData>
  <sheetProtection formatCells="0" formatColumns="0" formatRows="0" insertColumns="0" insertRows="0" insertHyperlinks="0" deleteColumns="0" deleteRows="0" sort="0" autoFilter="0" pivotTables="0"/>
  <mergeCells count="75">
    <mergeCell ref="F29:G29"/>
    <mergeCell ref="H29:M29"/>
    <mergeCell ref="X29:Y29"/>
    <mergeCell ref="A32:Q38"/>
    <mergeCell ref="R32:T32"/>
    <mergeCell ref="U32:Z32"/>
    <mergeCell ref="R33:T34"/>
    <mergeCell ref="U33:Z34"/>
    <mergeCell ref="E41:T41"/>
    <mergeCell ref="AB7:AE17"/>
    <mergeCell ref="B28:E28"/>
    <mergeCell ref="F28:G28"/>
    <mergeCell ref="H28:M28"/>
    <mergeCell ref="X28:Y28"/>
    <mergeCell ref="V36:Y37"/>
    <mergeCell ref="R35:T38"/>
    <mergeCell ref="B25:E25"/>
    <mergeCell ref="F25:G25"/>
    <mergeCell ref="H25:M25"/>
    <mergeCell ref="X25:Y25"/>
    <mergeCell ref="C26:E26"/>
    <mergeCell ref="H26:M26"/>
    <mergeCell ref="X26:Y26"/>
    <mergeCell ref="B29:E29"/>
    <mergeCell ref="C27:E27"/>
    <mergeCell ref="G23:G24"/>
    <mergeCell ref="H23:M24"/>
    <mergeCell ref="X23:Y23"/>
    <mergeCell ref="X24:Y24"/>
    <mergeCell ref="H27:M27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G2:T4"/>
    <mergeCell ref="G5:I5"/>
    <mergeCell ref="J5:K5"/>
    <mergeCell ref="L5:O5"/>
    <mergeCell ref="P5:T5"/>
    <mergeCell ref="P6:T6"/>
    <mergeCell ref="A7:F7"/>
    <mergeCell ref="G7:Z7"/>
    <mergeCell ref="B8:F8"/>
    <mergeCell ref="G8:M8"/>
    <mergeCell ref="J6:K6"/>
    <mergeCell ref="X27:Y27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B736-B950-4F34-AE7F-01F4ADB823B1}">
  <sheetPr>
    <pageSetUpPr fitToPage="1"/>
  </sheetPr>
  <dimension ref="A1:AH42"/>
  <sheetViews>
    <sheetView workbookViewId="0">
      <selection activeCell="H27" sqref="H27:M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8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90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0.7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71" customHeight="1" x14ac:dyDescent="0.3">
      <c r="A26" s="12"/>
      <c r="B26" s="35"/>
      <c r="C26" s="171">
        <v>0.2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171.43</v>
      </c>
      <c r="AF26" s="2"/>
    </row>
    <row r="27" spans="1:34" ht="28.95" customHeight="1" x14ac:dyDescent="0.3">
      <c r="A27" s="12"/>
      <c r="B27" s="210" t="s">
        <v>89</v>
      </c>
      <c r="C27" s="212">
        <v>0.7</v>
      </c>
      <c r="D27" s="212"/>
      <c r="E27" s="213"/>
      <c r="F27" s="214"/>
      <c r="G27" s="216" t="s">
        <v>60</v>
      </c>
      <c r="H27" s="218" t="s">
        <v>99</v>
      </c>
      <c r="I27" s="219"/>
      <c r="J27" s="219"/>
      <c r="K27" s="219"/>
      <c r="L27" s="219"/>
      <c r="M27" s="220"/>
      <c r="N27" s="200"/>
      <c r="O27" s="200"/>
      <c r="P27" s="200"/>
      <c r="Q27" s="200">
        <v>16.899999999999999</v>
      </c>
      <c r="R27" s="202">
        <v>1</v>
      </c>
      <c r="S27" s="196"/>
      <c r="T27" s="196"/>
      <c r="U27" s="198"/>
      <c r="V27" s="200"/>
      <c r="W27" s="198"/>
      <c r="X27" s="204"/>
      <c r="Y27" s="205"/>
      <c r="Z27" s="13"/>
      <c r="AA27" s="2"/>
      <c r="AB27" s="39"/>
      <c r="AC27" s="39"/>
      <c r="AD27" s="39"/>
      <c r="AE27" s="39"/>
      <c r="AF27" s="2"/>
    </row>
    <row r="28" spans="1:34" ht="400.05" customHeight="1" x14ac:dyDescent="0.3">
      <c r="A28" s="12"/>
      <c r="B28" s="211"/>
      <c r="C28" s="171"/>
      <c r="D28" s="171"/>
      <c r="E28" s="172"/>
      <c r="F28" s="215"/>
      <c r="G28" s="217"/>
      <c r="H28" s="221"/>
      <c r="I28" s="222"/>
      <c r="J28" s="222"/>
      <c r="K28" s="222"/>
      <c r="L28" s="222"/>
      <c r="M28" s="223"/>
      <c r="N28" s="201"/>
      <c r="O28" s="201"/>
      <c r="P28" s="201"/>
      <c r="Q28" s="201"/>
      <c r="R28" s="203"/>
      <c r="S28" s="197"/>
      <c r="T28" s="197"/>
      <c r="U28" s="199"/>
      <c r="V28" s="201"/>
      <c r="W28" s="199"/>
      <c r="X28" s="206"/>
      <c r="Y28" s="207"/>
      <c r="Z28" s="13"/>
      <c r="AA28" s="2"/>
      <c r="AB28" s="39" t="s">
        <v>62</v>
      </c>
      <c r="AC28" s="39">
        <v>2</v>
      </c>
      <c r="AD28" s="39" t="s">
        <v>63</v>
      </c>
      <c r="AE28" s="39">
        <v>428.57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>
        <f>SUM(AE26:AE28)</f>
        <v>600</v>
      </c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88">
    <mergeCell ref="U33:Z33"/>
    <mergeCell ref="R34:T35"/>
    <mergeCell ref="U34:Z35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26:Y26"/>
    <mergeCell ref="B27:B28"/>
    <mergeCell ref="C27:E28"/>
    <mergeCell ref="F27:F28"/>
    <mergeCell ref="G27:G28"/>
    <mergeCell ref="H27:M28"/>
    <mergeCell ref="R36:T39"/>
    <mergeCell ref="B25:E25"/>
    <mergeCell ref="F25:G25"/>
    <mergeCell ref="H25:M25"/>
    <mergeCell ref="X25:Y25"/>
    <mergeCell ref="C26:E26"/>
    <mergeCell ref="H26:M26"/>
    <mergeCell ref="N27:N28"/>
    <mergeCell ref="O27:O28"/>
    <mergeCell ref="P27:P28"/>
    <mergeCell ref="Q27:Q28"/>
    <mergeCell ref="R27:R28"/>
    <mergeCell ref="X27:Y28"/>
    <mergeCell ref="X30:Y30"/>
    <mergeCell ref="A33:Q39"/>
    <mergeCell ref="R33:T33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G2:T4"/>
    <mergeCell ref="G5:I5"/>
    <mergeCell ref="J5:K5"/>
    <mergeCell ref="L5:O5"/>
    <mergeCell ref="P5:T5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J6:K6"/>
    <mergeCell ref="S27:S28"/>
    <mergeCell ref="T27:T28"/>
    <mergeCell ref="U27:U28"/>
    <mergeCell ref="V27:V28"/>
    <mergeCell ref="W27:W2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62E4-F419-4C88-9C5D-08EE8537F140}">
  <sheetPr>
    <pageSetUpPr fitToPage="1"/>
  </sheetPr>
  <dimension ref="A1:AH41"/>
  <sheetViews>
    <sheetView tabSelected="1" topLeftCell="A26" workbookViewId="0">
      <selection activeCell="H27" sqref="H27:M27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7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88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1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210" customHeight="1" x14ac:dyDescent="0.3">
      <c r="A26" s="12"/>
      <c r="B26" s="35"/>
      <c r="C26" s="171">
        <v>0.35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210</v>
      </c>
      <c r="AF26" s="2"/>
    </row>
    <row r="27" spans="1:34" ht="390" customHeight="1" x14ac:dyDescent="0.3">
      <c r="A27" s="12"/>
      <c r="B27" s="35" t="s">
        <v>87</v>
      </c>
      <c r="C27" s="171">
        <v>1</v>
      </c>
      <c r="D27" s="171"/>
      <c r="E27" s="172"/>
      <c r="F27" s="36"/>
      <c r="G27" s="37" t="s">
        <v>86</v>
      </c>
      <c r="H27" s="145" t="s">
        <v>100</v>
      </c>
      <c r="I27" s="146"/>
      <c r="J27" s="146"/>
      <c r="K27" s="146"/>
      <c r="L27" s="146"/>
      <c r="M27" s="147"/>
      <c r="N27" s="67"/>
      <c r="O27" s="67">
        <v>82.2</v>
      </c>
      <c r="P27" s="67">
        <v>24.7</v>
      </c>
      <c r="Q27" s="67">
        <v>17.100000000000001</v>
      </c>
      <c r="R27" s="69">
        <v>0</v>
      </c>
      <c r="S27" s="68"/>
      <c r="T27" s="68"/>
      <c r="U27" s="38">
        <v>0.39</v>
      </c>
      <c r="V27" s="67"/>
      <c r="W27" s="38"/>
      <c r="X27" s="224" t="s">
        <v>93</v>
      </c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390</v>
      </c>
      <c r="AF27" s="2"/>
    </row>
    <row r="28" spans="1:34" ht="12" customHeight="1" x14ac:dyDescent="0.3">
      <c r="A28" s="12"/>
      <c r="B28" s="150"/>
      <c r="C28" s="151"/>
      <c r="D28" s="151"/>
      <c r="E28" s="152"/>
      <c r="F28" s="208" t="s">
        <v>85</v>
      </c>
      <c r="G28" s="209"/>
      <c r="H28" s="154"/>
      <c r="I28" s="154"/>
      <c r="J28" s="154"/>
      <c r="K28" s="154"/>
      <c r="L28" s="154"/>
      <c r="M28" s="155"/>
      <c r="N28" s="40"/>
      <c r="O28" s="41"/>
      <c r="P28" s="41"/>
      <c r="Q28" s="40"/>
      <c r="R28" s="42"/>
      <c r="S28" s="41"/>
      <c r="T28" s="41"/>
      <c r="U28" s="43"/>
      <c r="V28" s="44"/>
      <c r="W28" s="41"/>
      <c r="X28" s="156"/>
      <c r="Y28" s="157"/>
      <c r="Z28" s="13"/>
      <c r="AA28" s="2"/>
      <c r="AB28" s="2"/>
      <c r="AC28" s="2"/>
      <c r="AD28" s="2"/>
      <c r="AE28" s="2">
        <f>SUM(AE25:AE27)</f>
        <v>600</v>
      </c>
      <c r="AF28" s="2"/>
      <c r="AG28" s="2"/>
      <c r="AH28" s="2"/>
    </row>
    <row r="29" spans="1:34" ht="12" customHeight="1" x14ac:dyDescent="0.3">
      <c r="A29" s="12"/>
      <c r="B29" s="173"/>
      <c r="C29" s="174"/>
      <c r="D29" s="174"/>
      <c r="E29" s="175"/>
      <c r="F29" s="176"/>
      <c r="G29" s="177"/>
      <c r="H29" s="178"/>
      <c r="I29" s="178"/>
      <c r="J29" s="178"/>
      <c r="K29" s="178"/>
      <c r="L29" s="178"/>
      <c r="M29" s="179"/>
      <c r="N29" s="45"/>
      <c r="O29" s="46"/>
      <c r="P29" s="46"/>
      <c r="Q29" s="47"/>
      <c r="R29" s="48"/>
      <c r="S29" s="46"/>
      <c r="T29" s="47"/>
      <c r="U29" s="49"/>
      <c r="V29" s="50"/>
      <c r="W29" s="46"/>
      <c r="X29" s="180"/>
      <c r="Y29" s="181"/>
      <c r="Z29" s="13"/>
      <c r="AA29" s="2"/>
      <c r="AB29" s="2"/>
      <c r="AC29" s="2"/>
      <c r="AD29" s="2"/>
      <c r="AE29" s="2"/>
      <c r="AF29" s="2"/>
      <c r="AG29" s="2"/>
      <c r="AH29" s="2"/>
    </row>
    <row r="30" spans="1:34" x14ac:dyDescent="0.3">
      <c r="A30" s="5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6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3">
      <c r="A31" s="51" t="s">
        <v>54</v>
      </c>
      <c r="B31" s="52" t="s">
        <v>55</v>
      </c>
      <c r="C31" s="53"/>
      <c r="D31" s="54"/>
      <c r="E31" s="54"/>
      <c r="F31" s="54"/>
      <c r="G31" s="54"/>
      <c r="H31" s="54"/>
      <c r="I31" s="54"/>
      <c r="J31" s="54"/>
      <c r="K31" s="55"/>
      <c r="L31" s="54"/>
      <c r="M31" s="56"/>
      <c r="N31" s="56"/>
      <c r="O31" s="56"/>
      <c r="P31" s="56"/>
      <c r="Q31" s="4"/>
      <c r="R31" s="57"/>
      <c r="S31" s="57"/>
      <c r="T31" s="57"/>
      <c r="U31" s="57"/>
      <c r="V31" s="57"/>
      <c r="W31" s="57"/>
      <c r="X31" s="57"/>
      <c r="Y31" s="57"/>
      <c r="Z31" s="58"/>
    </row>
    <row r="32" spans="1:34" ht="26.4" customHeight="1" x14ac:dyDescent="0.3">
      <c r="A32" s="182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83"/>
      <c r="R32" s="159" t="s">
        <v>56</v>
      </c>
      <c r="S32" s="160"/>
      <c r="T32" s="161"/>
      <c r="U32" s="187" t="s">
        <v>16</v>
      </c>
      <c r="V32" s="188"/>
      <c r="W32" s="188"/>
      <c r="X32" s="188"/>
      <c r="Y32" s="188"/>
      <c r="Z32" s="189"/>
    </row>
    <row r="33" spans="1:26" ht="16.2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57</v>
      </c>
      <c r="S33" s="160"/>
      <c r="T33" s="161"/>
      <c r="U33" s="190" t="s">
        <v>58</v>
      </c>
      <c r="V33" s="191"/>
      <c r="W33" s="191"/>
      <c r="X33" s="191"/>
      <c r="Y33" s="191"/>
      <c r="Z33" s="192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/>
      <c r="S34" s="160"/>
      <c r="T34" s="161"/>
      <c r="U34" s="193"/>
      <c r="V34" s="194"/>
      <c r="W34" s="194"/>
      <c r="X34" s="194"/>
      <c r="Y34" s="194"/>
      <c r="Z34" s="195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 t="s">
        <v>59</v>
      </c>
      <c r="S35" s="160"/>
      <c r="T35" s="161"/>
      <c r="U35" s="59"/>
      <c r="V35" s="60"/>
      <c r="W35" s="60"/>
      <c r="X35" s="60"/>
      <c r="Y35" s="60"/>
      <c r="Z35" s="61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/>
      <c r="S36" s="160"/>
      <c r="T36" s="161"/>
      <c r="U36" s="62"/>
      <c r="V36" s="158"/>
      <c r="W36" s="158"/>
      <c r="X36" s="158"/>
      <c r="Y36" s="158"/>
      <c r="Z36" s="63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4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6"/>
      <c r="R38" s="162"/>
      <c r="S38" s="163"/>
      <c r="T38" s="164"/>
      <c r="U38" s="64"/>
      <c r="V38" s="65"/>
      <c r="W38" s="65"/>
      <c r="X38" s="65"/>
      <c r="Y38" s="65"/>
      <c r="Z38" s="66"/>
    </row>
    <row r="41" spans="1:26" x14ac:dyDescent="0.3"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</row>
  </sheetData>
  <sheetProtection formatCells="0" formatColumns="0" formatRows="0" insertColumns="0" insertRows="0" insertHyperlinks="0" deleteColumns="0" deleteRows="0" sort="0" autoFilter="0" pivotTables="0"/>
  <mergeCells count="75">
    <mergeCell ref="X29:Y29"/>
    <mergeCell ref="A32:Q38"/>
    <mergeCell ref="R32:T32"/>
    <mergeCell ref="U32:Z32"/>
    <mergeCell ref="R33:T34"/>
    <mergeCell ref="U33:Z34"/>
    <mergeCell ref="E41:T41"/>
    <mergeCell ref="AB7:AE17"/>
    <mergeCell ref="B28:E28"/>
    <mergeCell ref="F28:G28"/>
    <mergeCell ref="H28:M28"/>
    <mergeCell ref="X28:Y28"/>
    <mergeCell ref="V36:Y37"/>
    <mergeCell ref="B29:E29"/>
    <mergeCell ref="F29:G29"/>
    <mergeCell ref="R35:T38"/>
    <mergeCell ref="B25:E25"/>
    <mergeCell ref="F25:G25"/>
    <mergeCell ref="H25:M25"/>
    <mergeCell ref="X25:Y25"/>
    <mergeCell ref="C26:E26"/>
    <mergeCell ref="H29:M29"/>
    <mergeCell ref="H26:M26"/>
    <mergeCell ref="X26:Y26"/>
    <mergeCell ref="C27:E27"/>
    <mergeCell ref="H27:M27"/>
    <mergeCell ref="G23:G24"/>
    <mergeCell ref="H23:M24"/>
    <mergeCell ref="X23:Y23"/>
    <mergeCell ref="X24:Y24"/>
    <mergeCell ref="X27:Y27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  <mergeCell ref="P6:T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1F2D-9FD9-4D85-8138-77D3652F048A}">
  <sheetPr>
    <pageSetUpPr fitToPage="1"/>
  </sheetPr>
  <dimension ref="A1:AH42"/>
  <sheetViews>
    <sheetView topLeftCell="A7" zoomScaleNormal="100" workbookViewId="0">
      <selection activeCell="H28" sqref="H28:M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6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84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1.3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84.95" customHeight="1" x14ac:dyDescent="0.3">
      <c r="A26" s="12"/>
      <c r="B26" s="35"/>
      <c r="C26" s="171">
        <v>0.4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184.62</v>
      </c>
      <c r="AF26" s="2"/>
    </row>
    <row r="27" spans="1:34" ht="231" customHeight="1" x14ac:dyDescent="0.3">
      <c r="A27" s="12"/>
      <c r="B27" s="35" t="s">
        <v>83</v>
      </c>
      <c r="C27" s="171">
        <v>0.9</v>
      </c>
      <c r="D27" s="171"/>
      <c r="E27" s="172"/>
      <c r="F27" s="36"/>
      <c r="G27" s="37" t="s">
        <v>60</v>
      </c>
      <c r="H27" s="145" t="s">
        <v>98</v>
      </c>
      <c r="I27" s="146"/>
      <c r="J27" s="146"/>
      <c r="K27" s="146"/>
      <c r="L27" s="146"/>
      <c r="M27" s="147"/>
      <c r="N27" s="67"/>
      <c r="O27" s="67"/>
      <c r="P27" s="67"/>
      <c r="Q27" s="67">
        <v>19.7</v>
      </c>
      <c r="R27" s="69">
        <v>0</v>
      </c>
      <c r="S27" s="68"/>
      <c r="T27" s="68"/>
      <c r="U27" s="38"/>
      <c r="V27" s="67"/>
      <c r="W27" s="38"/>
      <c r="X27" s="73"/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230.77</v>
      </c>
      <c r="AF27" s="2"/>
    </row>
    <row r="28" spans="1:34" ht="184.95" customHeight="1" x14ac:dyDescent="0.3">
      <c r="A28" s="12"/>
      <c r="B28" s="35" t="s">
        <v>82</v>
      </c>
      <c r="C28" s="171">
        <v>1.3</v>
      </c>
      <c r="D28" s="171"/>
      <c r="E28" s="172"/>
      <c r="F28" s="36"/>
      <c r="G28" s="37" t="s">
        <v>80</v>
      </c>
      <c r="H28" s="145" t="s">
        <v>97</v>
      </c>
      <c r="I28" s="146"/>
      <c r="J28" s="146"/>
      <c r="K28" s="146"/>
      <c r="L28" s="146"/>
      <c r="M28" s="147"/>
      <c r="N28" s="67"/>
      <c r="O28" s="67"/>
      <c r="P28" s="67"/>
      <c r="Q28" s="67">
        <v>16.399999999999999</v>
      </c>
      <c r="R28" s="69">
        <v>1</v>
      </c>
      <c r="S28" s="68"/>
      <c r="T28" s="68"/>
      <c r="U28" s="38"/>
      <c r="V28" s="67"/>
      <c r="W28" s="38"/>
      <c r="X28" s="73"/>
      <c r="Y28" s="74"/>
      <c r="Z28" s="13"/>
      <c r="AA28" s="2"/>
      <c r="AB28" s="39" t="s">
        <v>62</v>
      </c>
      <c r="AC28" s="39">
        <v>3</v>
      </c>
      <c r="AD28" s="39" t="s">
        <v>63</v>
      </c>
      <c r="AE28" s="39">
        <v>184.62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78"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  <mergeCell ref="P6:T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C48C-B510-49C4-8CDF-504A1D80AC88}">
  <sheetPr>
    <pageSetUpPr fitToPage="1"/>
  </sheetPr>
  <dimension ref="A1:AH42"/>
  <sheetViews>
    <sheetView topLeftCell="A26" workbookViewId="0">
      <selection activeCell="S17" sqref="S17:Y17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5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101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1.4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71" customHeight="1" x14ac:dyDescent="0.3">
      <c r="A26" s="12"/>
      <c r="B26" s="35"/>
      <c r="C26" s="171">
        <v>0.4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171.43</v>
      </c>
      <c r="AF26" s="2"/>
    </row>
    <row r="27" spans="1:34" ht="256.95" customHeight="1" x14ac:dyDescent="0.3">
      <c r="A27" s="12"/>
      <c r="B27" s="35" t="s">
        <v>81</v>
      </c>
      <c r="C27" s="171">
        <v>1</v>
      </c>
      <c r="D27" s="171"/>
      <c r="E27" s="172"/>
      <c r="F27" s="36"/>
      <c r="G27" s="37" t="s">
        <v>80</v>
      </c>
      <c r="H27" s="145" t="s">
        <v>99</v>
      </c>
      <c r="I27" s="146"/>
      <c r="J27" s="146"/>
      <c r="K27" s="146"/>
      <c r="L27" s="146"/>
      <c r="M27" s="147"/>
      <c r="N27" s="67"/>
      <c r="O27" s="67">
        <v>78.3</v>
      </c>
      <c r="P27" s="67">
        <v>25.4</v>
      </c>
      <c r="Q27" s="67">
        <v>15.4</v>
      </c>
      <c r="R27" s="69">
        <v>1</v>
      </c>
      <c r="S27" s="68"/>
      <c r="T27" s="68"/>
      <c r="U27" s="38">
        <v>0.44</v>
      </c>
      <c r="V27" s="67"/>
      <c r="W27" s="38"/>
      <c r="X27" s="224" t="s">
        <v>93</v>
      </c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257.14</v>
      </c>
      <c r="AF27" s="2"/>
    </row>
    <row r="28" spans="1:34" ht="171" customHeight="1" x14ac:dyDescent="0.3">
      <c r="A28" s="12"/>
      <c r="B28" s="35" t="s">
        <v>79</v>
      </c>
      <c r="C28" s="171">
        <v>1.4</v>
      </c>
      <c r="D28" s="171"/>
      <c r="E28" s="172"/>
      <c r="F28" s="36"/>
      <c r="G28" s="37" t="s">
        <v>60</v>
      </c>
      <c r="H28" s="145" t="s">
        <v>98</v>
      </c>
      <c r="I28" s="146"/>
      <c r="J28" s="146"/>
      <c r="K28" s="146"/>
      <c r="L28" s="146"/>
      <c r="M28" s="147"/>
      <c r="N28" s="67"/>
      <c r="O28" s="67">
        <v>90.2</v>
      </c>
      <c r="P28" s="67">
        <v>27.8</v>
      </c>
      <c r="Q28" s="67">
        <v>15</v>
      </c>
      <c r="R28" s="69">
        <v>2</v>
      </c>
      <c r="S28" s="68"/>
      <c r="T28" s="68"/>
      <c r="U28" s="38">
        <v>0.39</v>
      </c>
      <c r="V28" s="67"/>
      <c r="W28" s="38"/>
      <c r="X28" s="224" t="s">
        <v>93</v>
      </c>
      <c r="Y28" s="74"/>
      <c r="Z28" s="13"/>
      <c r="AA28" s="2"/>
      <c r="AB28" s="39" t="s">
        <v>62</v>
      </c>
      <c r="AC28" s="39">
        <v>3</v>
      </c>
      <c r="AD28" s="39" t="s">
        <v>63</v>
      </c>
      <c r="AE28" s="39">
        <v>171.43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78"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  <mergeCell ref="P6:T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1FE1-AF43-48C0-AA54-844968A447CF}">
  <sheetPr>
    <pageSetUpPr fitToPage="1"/>
  </sheetPr>
  <dimension ref="A1:AH42"/>
  <sheetViews>
    <sheetView workbookViewId="0">
      <selection activeCell="H27" sqref="H27:M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4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78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1.6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50" customHeight="1" x14ac:dyDescent="0.3">
      <c r="A26" s="12"/>
      <c r="B26" s="35"/>
      <c r="C26" s="171">
        <v>0.4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150</v>
      </c>
      <c r="AF26" s="2"/>
    </row>
    <row r="27" spans="1:34" ht="49.95" customHeight="1" x14ac:dyDescent="0.3">
      <c r="A27" s="12"/>
      <c r="B27" s="210" t="s">
        <v>77</v>
      </c>
      <c r="C27" s="212">
        <v>1.6</v>
      </c>
      <c r="D27" s="212"/>
      <c r="E27" s="213"/>
      <c r="F27" s="214"/>
      <c r="G27" s="216" t="s">
        <v>76</v>
      </c>
      <c r="H27" s="218" t="s">
        <v>96</v>
      </c>
      <c r="I27" s="219"/>
      <c r="J27" s="219"/>
      <c r="K27" s="219"/>
      <c r="L27" s="219"/>
      <c r="M27" s="220"/>
      <c r="N27" s="200"/>
      <c r="O27" s="200"/>
      <c r="P27" s="200"/>
      <c r="Q27" s="200">
        <v>14.3</v>
      </c>
      <c r="R27" s="202">
        <v>1</v>
      </c>
      <c r="S27" s="196"/>
      <c r="T27" s="196"/>
      <c r="U27" s="198"/>
      <c r="V27" s="200"/>
      <c r="W27" s="198"/>
      <c r="X27" s="204"/>
      <c r="Y27" s="205"/>
      <c r="Z27" s="13"/>
      <c r="AA27" s="2"/>
      <c r="AB27" s="39"/>
      <c r="AC27" s="39"/>
      <c r="AD27" s="39"/>
      <c r="AE27" s="39"/>
      <c r="AF27" s="2"/>
    </row>
    <row r="28" spans="1:34" ht="400.05" customHeight="1" x14ac:dyDescent="0.3">
      <c r="A28" s="12"/>
      <c r="B28" s="211"/>
      <c r="C28" s="171"/>
      <c r="D28" s="171"/>
      <c r="E28" s="172"/>
      <c r="F28" s="215"/>
      <c r="G28" s="217"/>
      <c r="H28" s="221"/>
      <c r="I28" s="222"/>
      <c r="J28" s="222"/>
      <c r="K28" s="222"/>
      <c r="L28" s="222"/>
      <c r="M28" s="223"/>
      <c r="N28" s="201"/>
      <c r="O28" s="201"/>
      <c r="P28" s="201"/>
      <c r="Q28" s="201"/>
      <c r="R28" s="203"/>
      <c r="S28" s="197"/>
      <c r="T28" s="197"/>
      <c r="U28" s="199"/>
      <c r="V28" s="201"/>
      <c r="W28" s="199"/>
      <c r="X28" s="206"/>
      <c r="Y28" s="207"/>
      <c r="Z28" s="13"/>
      <c r="AA28" s="2"/>
      <c r="AB28" s="39" t="s">
        <v>62</v>
      </c>
      <c r="AC28" s="39">
        <v>2</v>
      </c>
      <c r="AD28" s="39" t="s">
        <v>63</v>
      </c>
      <c r="AE28" s="39">
        <v>450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88">
    <mergeCell ref="U33:Z33"/>
    <mergeCell ref="R34:T35"/>
    <mergeCell ref="U34:Z35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26:Y26"/>
    <mergeCell ref="B27:B28"/>
    <mergeCell ref="C27:E28"/>
    <mergeCell ref="F27:F28"/>
    <mergeCell ref="G27:G28"/>
    <mergeCell ref="H27:M28"/>
    <mergeCell ref="R36:T39"/>
    <mergeCell ref="B25:E25"/>
    <mergeCell ref="F25:G25"/>
    <mergeCell ref="H25:M25"/>
    <mergeCell ref="X25:Y25"/>
    <mergeCell ref="C26:E26"/>
    <mergeCell ref="H26:M26"/>
    <mergeCell ref="N27:N28"/>
    <mergeCell ref="O27:O28"/>
    <mergeCell ref="P27:P28"/>
    <mergeCell ref="Q27:Q28"/>
    <mergeCell ref="R27:R28"/>
    <mergeCell ref="X27:Y28"/>
    <mergeCell ref="X30:Y30"/>
    <mergeCell ref="A33:Q39"/>
    <mergeCell ref="R33:T33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B15:F15"/>
    <mergeCell ref="G15:M15"/>
    <mergeCell ref="N15:R15"/>
    <mergeCell ref="S15:Y15"/>
    <mergeCell ref="S16:Y16"/>
    <mergeCell ref="N16:R16"/>
    <mergeCell ref="B13:F13"/>
    <mergeCell ref="G13:M13"/>
    <mergeCell ref="N13:R13"/>
    <mergeCell ref="S13:Y13"/>
    <mergeCell ref="B14:F14"/>
    <mergeCell ref="G14:M14"/>
    <mergeCell ref="N14:R14"/>
    <mergeCell ref="S14:Y14"/>
    <mergeCell ref="G2:T4"/>
    <mergeCell ref="G5:I5"/>
    <mergeCell ref="J5:K5"/>
    <mergeCell ref="L5:O5"/>
    <mergeCell ref="P5:T5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J6:K6"/>
    <mergeCell ref="S27:S28"/>
    <mergeCell ref="T27:T28"/>
    <mergeCell ref="U27:U28"/>
    <mergeCell ref="V27:V28"/>
    <mergeCell ref="W27:W28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ACE8-F78D-4A2C-84A9-77A1B7F4626A}">
  <sheetPr>
    <pageSetUpPr fitToPage="1"/>
  </sheetPr>
  <dimension ref="A1:AH42"/>
  <sheetViews>
    <sheetView workbookViewId="0">
      <selection activeCell="H28" sqref="H28:M28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3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75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1.65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45.05000000000001" customHeight="1" x14ac:dyDescent="0.3">
      <c r="A26" s="12"/>
      <c r="B26" s="35"/>
      <c r="C26" s="171">
        <v>0.4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145.44999999999999</v>
      </c>
      <c r="AF26" s="2"/>
    </row>
    <row r="27" spans="1:34" ht="145.05000000000001" customHeight="1" x14ac:dyDescent="0.3">
      <c r="A27" s="12"/>
      <c r="B27" s="35" t="s">
        <v>74</v>
      </c>
      <c r="C27" s="171">
        <v>0.8</v>
      </c>
      <c r="D27" s="171"/>
      <c r="E27" s="172"/>
      <c r="F27" s="36"/>
      <c r="G27" s="37" t="s">
        <v>60</v>
      </c>
      <c r="H27" s="145" t="s">
        <v>98</v>
      </c>
      <c r="I27" s="146"/>
      <c r="J27" s="146"/>
      <c r="K27" s="146"/>
      <c r="L27" s="146"/>
      <c r="M27" s="147"/>
      <c r="N27" s="67"/>
      <c r="O27" s="67"/>
      <c r="P27" s="67"/>
      <c r="Q27" s="67">
        <v>13.6</v>
      </c>
      <c r="R27" s="69">
        <v>0</v>
      </c>
      <c r="S27" s="68"/>
      <c r="T27" s="68"/>
      <c r="U27" s="38"/>
      <c r="V27" s="67"/>
      <c r="W27" s="38"/>
      <c r="X27" s="73"/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145.44999999999999</v>
      </c>
      <c r="AF27" s="2"/>
    </row>
    <row r="28" spans="1:34" ht="309" customHeight="1" x14ac:dyDescent="0.3">
      <c r="A28" s="12"/>
      <c r="B28" s="35" t="s">
        <v>73</v>
      </c>
      <c r="C28" s="171">
        <v>1.65</v>
      </c>
      <c r="D28" s="171"/>
      <c r="E28" s="172"/>
      <c r="F28" s="36"/>
      <c r="G28" s="37" t="s">
        <v>60</v>
      </c>
      <c r="H28" s="145" t="s">
        <v>97</v>
      </c>
      <c r="I28" s="146"/>
      <c r="J28" s="146"/>
      <c r="K28" s="146"/>
      <c r="L28" s="146"/>
      <c r="M28" s="147"/>
      <c r="N28" s="67"/>
      <c r="O28" s="67"/>
      <c r="P28" s="67"/>
      <c r="Q28" s="67">
        <v>11.8</v>
      </c>
      <c r="R28" s="69">
        <v>1</v>
      </c>
      <c r="S28" s="68"/>
      <c r="T28" s="68"/>
      <c r="U28" s="38"/>
      <c r="V28" s="67"/>
      <c r="W28" s="38"/>
      <c r="X28" s="73"/>
      <c r="Y28" s="74"/>
      <c r="Z28" s="13"/>
      <c r="AA28" s="2"/>
      <c r="AB28" s="39" t="s">
        <v>62</v>
      </c>
      <c r="AC28" s="39">
        <v>3</v>
      </c>
      <c r="AD28" s="39" t="s">
        <v>63</v>
      </c>
      <c r="AE28" s="39">
        <v>309.08999999999997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78"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  <mergeCell ref="P6:T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CA28-6D16-4114-95D8-0E204E9C2E81}">
  <sheetPr>
    <pageSetUpPr fitToPage="1"/>
  </sheetPr>
  <dimension ref="A1:AH42"/>
  <sheetViews>
    <sheetView workbookViewId="0">
      <selection activeCell="H27" sqref="H27:M27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2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72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2.2999999999999998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3.95" customHeight="1" x14ac:dyDescent="0.3">
      <c r="A26" s="12"/>
      <c r="B26" s="35"/>
      <c r="C26" s="171">
        <v>0.4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104.35</v>
      </c>
      <c r="AF26" s="2"/>
    </row>
    <row r="27" spans="1:34" ht="208.95" customHeight="1" x14ac:dyDescent="0.3">
      <c r="A27" s="12"/>
      <c r="B27" s="35" t="s">
        <v>71</v>
      </c>
      <c r="C27" s="171">
        <v>1.2</v>
      </c>
      <c r="D27" s="171"/>
      <c r="E27" s="172"/>
      <c r="F27" s="36"/>
      <c r="G27" s="37" t="s">
        <v>70</v>
      </c>
      <c r="H27" s="145" t="s">
        <v>96</v>
      </c>
      <c r="I27" s="146"/>
      <c r="J27" s="146"/>
      <c r="K27" s="146"/>
      <c r="L27" s="146"/>
      <c r="M27" s="147"/>
      <c r="N27" s="67"/>
      <c r="O27" s="67"/>
      <c r="P27" s="67"/>
      <c r="Q27" s="67">
        <v>12.2</v>
      </c>
      <c r="R27" s="69">
        <v>1</v>
      </c>
      <c r="S27" s="68"/>
      <c r="T27" s="68"/>
      <c r="U27" s="38"/>
      <c r="V27" s="67"/>
      <c r="W27" s="38"/>
      <c r="X27" s="73"/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20.87</v>
      </c>
      <c r="AF27" s="2"/>
    </row>
    <row r="28" spans="1:34" ht="286.95" customHeight="1" x14ac:dyDescent="0.3">
      <c r="A28" s="12"/>
      <c r="B28" s="35" t="s">
        <v>69</v>
      </c>
      <c r="C28" s="171">
        <v>2.2999999999999998</v>
      </c>
      <c r="D28" s="171"/>
      <c r="E28" s="172"/>
      <c r="F28" s="36"/>
      <c r="G28" s="37" t="s">
        <v>60</v>
      </c>
      <c r="H28" s="145" t="s">
        <v>97</v>
      </c>
      <c r="I28" s="146"/>
      <c r="J28" s="146"/>
      <c r="K28" s="146"/>
      <c r="L28" s="146"/>
      <c r="M28" s="147"/>
      <c r="N28" s="67"/>
      <c r="O28" s="67"/>
      <c r="P28" s="67"/>
      <c r="Q28" s="67">
        <v>8.6999999999999993</v>
      </c>
      <c r="R28" s="69">
        <v>12</v>
      </c>
      <c r="S28" s="68"/>
      <c r="T28" s="68"/>
      <c r="U28" s="38"/>
      <c r="V28" s="67"/>
      <c r="W28" s="38"/>
      <c r="X28" s="73"/>
      <c r="Y28" s="74"/>
      <c r="Z28" s="13"/>
      <c r="AA28" s="2"/>
      <c r="AB28" s="39" t="s">
        <v>62</v>
      </c>
      <c r="AC28" s="39">
        <v>3</v>
      </c>
      <c r="AD28" s="39" t="s">
        <v>63</v>
      </c>
      <c r="AE28" s="39">
        <v>286.95999999999998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78">
    <mergeCell ref="X27:Y27"/>
    <mergeCell ref="C28:E28"/>
    <mergeCell ref="H28:M28"/>
    <mergeCell ref="X28:Y28"/>
    <mergeCell ref="E42:T42"/>
    <mergeCell ref="R36:T3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  <mergeCell ref="AB7:AE17"/>
    <mergeCell ref="B29:E29"/>
    <mergeCell ref="F29:G29"/>
    <mergeCell ref="H29:M29"/>
    <mergeCell ref="X29:Y2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S16:Y16"/>
    <mergeCell ref="N16:R16"/>
    <mergeCell ref="B17:F17"/>
    <mergeCell ref="G17:I17"/>
    <mergeCell ref="M17:O17"/>
    <mergeCell ref="S17:Y17"/>
    <mergeCell ref="B14:F14"/>
    <mergeCell ref="G14:M14"/>
    <mergeCell ref="N14:R14"/>
    <mergeCell ref="S14:Y14"/>
    <mergeCell ref="B15:F15"/>
    <mergeCell ref="G15:M15"/>
    <mergeCell ref="N15:R15"/>
    <mergeCell ref="S15:Y15"/>
    <mergeCell ref="A7:F7"/>
    <mergeCell ref="G7:Z7"/>
    <mergeCell ref="B8:F8"/>
    <mergeCell ref="G8:M8"/>
    <mergeCell ref="G2:T4"/>
    <mergeCell ref="G5:I5"/>
    <mergeCell ref="J5:K5"/>
    <mergeCell ref="L5:O5"/>
    <mergeCell ref="P5:T5"/>
    <mergeCell ref="J6:K6"/>
    <mergeCell ref="B13:F13"/>
    <mergeCell ref="G13:M13"/>
    <mergeCell ref="N13:R13"/>
    <mergeCell ref="S13:Y13"/>
    <mergeCell ref="B9:F9"/>
    <mergeCell ref="G9:M9"/>
    <mergeCell ref="N9:R9"/>
    <mergeCell ref="S9:Y9"/>
    <mergeCell ref="N8:R8"/>
    <mergeCell ref="S8:Y8"/>
    <mergeCell ref="A1:F6"/>
    <mergeCell ref="G1:T1"/>
    <mergeCell ref="U1:Z6"/>
    <mergeCell ref="L6:O6"/>
    <mergeCell ref="P6:T6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opLeftCell="A24" workbookViewId="0">
      <selection activeCell="H27" sqref="H27:M27"/>
    </sheetView>
  </sheetViews>
  <sheetFormatPr baseColWidth="10" defaultColWidth="8.88671875" defaultRowHeight="14.4" x14ac:dyDescent="0.3"/>
  <cols>
    <col min="1" max="5" width="5.109375" customWidth="1"/>
    <col min="6" max="7" width="10.109375" customWidth="1"/>
    <col min="8" max="8" width="5.77734375" customWidth="1"/>
    <col min="9" max="26" width="5.109375" customWidth="1"/>
  </cols>
  <sheetData>
    <row r="1" spans="1:31" ht="12.6" customHeight="1" x14ac:dyDescent="0.3">
      <c r="A1" s="80"/>
      <c r="B1" s="81"/>
      <c r="C1" s="81"/>
      <c r="D1" s="81"/>
      <c r="E1" s="81"/>
      <c r="F1" s="82"/>
      <c r="G1" s="89" t="s">
        <v>0</v>
      </c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92" t="s">
        <v>68</v>
      </c>
      <c r="V1" s="93"/>
      <c r="W1" s="93"/>
      <c r="X1" s="93"/>
      <c r="Y1" s="93"/>
      <c r="Z1" s="94"/>
    </row>
    <row r="2" spans="1:31" ht="12.6" customHeight="1" x14ac:dyDescent="0.3">
      <c r="A2" s="83"/>
      <c r="B2" s="84"/>
      <c r="C2" s="84"/>
      <c r="D2" s="84"/>
      <c r="E2" s="84"/>
      <c r="F2" s="85"/>
      <c r="G2" s="104" t="s">
        <v>2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6"/>
      <c r="U2" s="95"/>
      <c r="V2" s="96"/>
      <c r="W2" s="96"/>
      <c r="X2" s="96"/>
      <c r="Y2" s="96"/>
      <c r="Z2" s="97"/>
    </row>
    <row r="3" spans="1:31" ht="12.6" customHeight="1" x14ac:dyDescent="0.3">
      <c r="A3" s="83"/>
      <c r="B3" s="84"/>
      <c r="C3" s="84"/>
      <c r="D3" s="84"/>
      <c r="E3" s="84"/>
      <c r="F3" s="85"/>
      <c r="G3" s="10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6"/>
      <c r="U3" s="95"/>
      <c r="V3" s="96"/>
      <c r="W3" s="96"/>
      <c r="X3" s="96"/>
      <c r="Y3" s="96"/>
      <c r="Z3" s="97"/>
    </row>
    <row r="4" spans="1:31" ht="12.6" customHeight="1" x14ac:dyDescent="0.3">
      <c r="A4" s="83"/>
      <c r="B4" s="84"/>
      <c r="C4" s="84"/>
      <c r="D4" s="84"/>
      <c r="E4" s="84"/>
      <c r="F4" s="85"/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95"/>
      <c r="V4" s="96"/>
      <c r="W4" s="96"/>
      <c r="X4" s="96"/>
      <c r="Y4" s="96"/>
      <c r="Z4" s="97"/>
    </row>
    <row r="5" spans="1:31" ht="12.6" customHeight="1" x14ac:dyDescent="0.3">
      <c r="A5" s="83"/>
      <c r="B5" s="84"/>
      <c r="C5" s="84"/>
      <c r="D5" s="84"/>
      <c r="E5" s="84"/>
      <c r="F5" s="85"/>
      <c r="G5" s="107" t="s">
        <v>3</v>
      </c>
      <c r="H5" s="108"/>
      <c r="I5" s="108"/>
      <c r="J5" s="109">
        <v>1</v>
      </c>
      <c r="K5" s="110"/>
      <c r="L5" s="111" t="s">
        <v>67</v>
      </c>
      <c r="M5" s="111"/>
      <c r="N5" s="111"/>
      <c r="O5" s="112"/>
      <c r="P5" s="113" t="s">
        <v>4</v>
      </c>
      <c r="Q5" s="114"/>
      <c r="R5" s="114"/>
      <c r="S5" s="114"/>
      <c r="T5" s="115"/>
      <c r="U5" s="95"/>
      <c r="V5" s="96"/>
      <c r="W5" s="96"/>
      <c r="X5" s="96"/>
      <c r="Y5" s="96"/>
      <c r="Z5" s="97"/>
    </row>
    <row r="6" spans="1:31" ht="12.6" customHeight="1" x14ac:dyDescent="0.3">
      <c r="A6" s="86"/>
      <c r="B6" s="87"/>
      <c r="C6" s="87"/>
      <c r="D6" s="87"/>
      <c r="E6" s="87"/>
      <c r="F6" s="88"/>
      <c r="G6" s="1"/>
      <c r="H6" s="2"/>
      <c r="I6" s="2"/>
      <c r="J6" s="72" t="s">
        <v>5</v>
      </c>
      <c r="K6" s="72"/>
      <c r="L6" s="72" t="s">
        <v>6</v>
      </c>
      <c r="M6" s="72"/>
      <c r="N6" s="72"/>
      <c r="O6" s="72"/>
      <c r="P6" s="72" t="s">
        <v>7</v>
      </c>
      <c r="Q6" s="72"/>
      <c r="R6" s="72"/>
      <c r="S6" s="72"/>
      <c r="T6" s="101"/>
      <c r="U6" s="98"/>
      <c r="V6" s="99"/>
      <c r="W6" s="99"/>
      <c r="X6" s="99"/>
      <c r="Y6" s="99"/>
      <c r="Z6" s="100"/>
    </row>
    <row r="7" spans="1:31" ht="36.6" customHeight="1" x14ac:dyDescent="0.3">
      <c r="A7" s="102" t="s">
        <v>8</v>
      </c>
      <c r="B7" s="102"/>
      <c r="C7" s="102"/>
      <c r="D7" s="102"/>
      <c r="E7" s="102"/>
      <c r="F7" s="102"/>
      <c r="G7" s="103" t="s">
        <v>9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B7" s="149" t="s">
        <v>10</v>
      </c>
      <c r="AC7" s="149"/>
      <c r="AD7" s="149"/>
      <c r="AE7" s="149"/>
    </row>
    <row r="8" spans="1:31" ht="16.8" customHeight="1" x14ac:dyDescent="0.3">
      <c r="A8" s="3"/>
      <c r="B8" s="78" t="s">
        <v>11</v>
      </c>
      <c r="C8" s="78"/>
      <c r="D8" s="78"/>
      <c r="E8" s="78"/>
      <c r="F8" s="78"/>
      <c r="G8" s="78" t="s">
        <v>1</v>
      </c>
      <c r="H8" s="78"/>
      <c r="I8" s="78"/>
      <c r="J8" s="78"/>
      <c r="K8" s="78"/>
      <c r="L8" s="78"/>
      <c r="M8" s="78"/>
      <c r="N8" s="78" t="s">
        <v>12</v>
      </c>
      <c r="O8" s="78"/>
      <c r="P8" s="78"/>
      <c r="Q8" s="78"/>
      <c r="R8" s="78"/>
      <c r="S8" s="79"/>
      <c r="T8" s="79"/>
      <c r="U8" s="79"/>
      <c r="V8" s="79"/>
      <c r="W8" s="79"/>
      <c r="X8" s="79"/>
      <c r="Y8" s="79"/>
      <c r="Z8" s="4"/>
      <c r="AB8" s="149"/>
      <c r="AC8" s="149"/>
      <c r="AD8" s="149"/>
      <c r="AE8" s="149"/>
    </row>
    <row r="9" spans="1:31" ht="16.8" customHeight="1" x14ac:dyDescent="0.3">
      <c r="A9" s="5"/>
      <c r="B9" s="76" t="s">
        <v>13</v>
      </c>
      <c r="C9" s="76"/>
      <c r="D9" s="76"/>
      <c r="E9" s="76"/>
      <c r="F9" s="76"/>
      <c r="G9" s="76" t="s">
        <v>14</v>
      </c>
      <c r="H9" s="76"/>
      <c r="I9" s="76"/>
      <c r="J9" s="76"/>
      <c r="K9" s="76"/>
      <c r="L9" s="76"/>
      <c r="M9" s="76"/>
      <c r="N9" s="76" t="s">
        <v>15</v>
      </c>
      <c r="O9" s="76"/>
      <c r="P9" s="76"/>
      <c r="Q9" s="76"/>
      <c r="R9" s="76"/>
      <c r="S9" s="77" t="s">
        <v>16</v>
      </c>
      <c r="T9" s="77"/>
      <c r="U9" s="77"/>
      <c r="V9" s="77"/>
      <c r="W9" s="77"/>
      <c r="X9" s="77"/>
      <c r="Y9" s="77"/>
      <c r="Z9" s="6"/>
      <c r="AB9" s="149"/>
      <c r="AC9" s="149"/>
      <c r="AD9" s="149"/>
      <c r="AE9" s="149"/>
    </row>
    <row r="10" spans="1:31" ht="13.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149"/>
      <c r="AC10" s="149"/>
      <c r="AD10" s="149"/>
      <c r="AE10" s="149"/>
    </row>
    <row r="11" spans="1:31" ht="15.6" customHeight="1" x14ac:dyDescent="0.3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149"/>
      <c r="AC11" s="149"/>
      <c r="AD11" s="149"/>
      <c r="AE11" s="149"/>
    </row>
    <row r="12" spans="1:31" ht="6" customHeight="1" x14ac:dyDescent="0.3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149"/>
      <c r="AC12" s="149"/>
      <c r="AD12" s="149"/>
      <c r="AE12" s="149"/>
    </row>
    <row r="13" spans="1:31" ht="16.8" customHeight="1" x14ac:dyDescent="0.3">
      <c r="A13" s="12"/>
      <c r="B13" s="75" t="s">
        <v>19</v>
      </c>
      <c r="C13" s="75"/>
      <c r="D13" s="75"/>
      <c r="E13" s="75"/>
      <c r="F13" s="75"/>
      <c r="G13" s="75" t="s">
        <v>20</v>
      </c>
      <c r="H13" s="75"/>
      <c r="I13" s="75"/>
      <c r="J13" s="75"/>
      <c r="K13" s="75"/>
      <c r="L13" s="75"/>
      <c r="M13" s="75"/>
      <c r="N13" s="75" t="s">
        <v>21</v>
      </c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13"/>
      <c r="AB13" s="149"/>
      <c r="AC13" s="149"/>
      <c r="AD13" s="149"/>
      <c r="AE13" s="149"/>
    </row>
    <row r="14" spans="1:31" ht="16.8" customHeight="1" x14ac:dyDescent="0.3">
      <c r="A14" s="12"/>
      <c r="B14" s="75" t="s">
        <v>22</v>
      </c>
      <c r="C14" s="75"/>
      <c r="D14" s="75"/>
      <c r="E14" s="75"/>
      <c r="F14" s="75"/>
      <c r="G14" s="116" t="s">
        <v>4</v>
      </c>
      <c r="H14" s="116"/>
      <c r="I14" s="116"/>
      <c r="J14" s="116"/>
      <c r="K14" s="116"/>
      <c r="L14" s="116"/>
      <c r="M14" s="116"/>
      <c r="N14" s="75" t="s">
        <v>23</v>
      </c>
      <c r="O14" s="75"/>
      <c r="P14" s="75"/>
      <c r="Q14" s="75"/>
      <c r="R14" s="75"/>
      <c r="S14" s="117"/>
      <c r="T14" s="118"/>
      <c r="U14" s="118"/>
      <c r="V14" s="118"/>
      <c r="W14" s="118"/>
      <c r="X14" s="118"/>
      <c r="Y14" s="118"/>
      <c r="Z14" s="13"/>
      <c r="AB14" s="149"/>
      <c r="AC14" s="149"/>
      <c r="AD14" s="149"/>
      <c r="AE14" s="149"/>
    </row>
    <row r="15" spans="1:31" ht="16.8" customHeight="1" x14ac:dyDescent="0.3">
      <c r="A15" s="12"/>
      <c r="B15" s="75" t="s">
        <v>24</v>
      </c>
      <c r="C15" s="75"/>
      <c r="D15" s="75"/>
      <c r="E15" s="75"/>
      <c r="F15" s="75"/>
      <c r="G15" s="75" t="s">
        <v>25</v>
      </c>
      <c r="H15" s="75"/>
      <c r="I15" s="75"/>
      <c r="J15" s="75"/>
      <c r="K15" s="75"/>
      <c r="L15" s="75"/>
      <c r="M15" s="75"/>
      <c r="N15" s="75" t="s">
        <v>26</v>
      </c>
      <c r="O15" s="75"/>
      <c r="P15" s="75"/>
      <c r="Q15" s="75"/>
      <c r="R15" s="75"/>
      <c r="S15" s="117" t="s">
        <v>27</v>
      </c>
      <c r="T15" s="118"/>
      <c r="U15" s="118"/>
      <c r="V15" s="118"/>
      <c r="W15" s="118"/>
      <c r="X15" s="118"/>
      <c r="Y15" s="118"/>
      <c r="Z15" s="13"/>
      <c r="AB15" s="149"/>
      <c r="AC15" s="149"/>
      <c r="AD15" s="149"/>
      <c r="AE15" s="149"/>
    </row>
    <row r="16" spans="1:31" ht="16.8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75" t="s">
        <v>28</v>
      </c>
      <c r="O16" s="75"/>
      <c r="P16" s="75"/>
      <c r="Q16" s="75"/>
      <c r="R16" s="75"/>
      <c r="S16" s="118" t="s">
        <v>95</v>
      </c>
      <c r="T16" s="118"/>
      <c r="U16" s="118"/>
      <c r="V16" s="118"/>
      <c r="W16" s="118"/>
      <c r="X16" s="118"/>
      <c r="Y16" s="118"/>
      <c r="Z16" s="13"/>
      <c r="AB16" s="149"/>
      <c r="AC16" s="149"/>
      <c r="AD16" s="149"/>
      <c r="AE16" s="149"/>
    </row>
    <row r="17" spans="1:34" ht="16.8" customHeight="1" x14ac:dyDescent="0.3">
      <c r="A17" s="12"/>
      <c r="B17" s="119" t="s">
        <v>29</v>
      </c>
      <c r="C17" s="119"/>
      <c r="D17" s="119"/>
      <c r="E17" s="119"/>
      <c r="F17" s="119"/>
      <c r="G17" s="120">
        <v>2</v>
      </c>
      <c r="H17" s="120"/>
      <c r="I17" s="120"/>
      <c r="J17" s="15" t="s">
        <v>30</v>
      </c>
      <c r="K17" s="14"/>
      <c r="L17" s="14"/>
      <c r="M17" s="121"/>
      <c r="N17" s="121"/>
      <c r="O17" s="121"/>
      <c r="P17" s="14"/>
      <c r="Q17" s="14"/>
      <c r="R17" s="14"/>
      <c r="S17" s="75"/>
      <c r="T17" s="75"/>
      <c r="U17" s="75"/>
      <c r="V17" s="75"/>
      <c r="W17" s="75"/>
      <c r="X17" s="75"/>
      <c r="Y17" s="75"/>
      <c r="Z17" s="13"/>
      <c r="AB17" s="149"/>
      <c r="AC17" s="149"/>
      <c r="AD17" s="149"/>
      <c r="AE17" s="149"/>
    </row>
    <row r="18" spans="1:34" ht="13.8" customHeight="1" x14ac:dyDescent="0.3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8" customHeight="1" x14ac:dyDescent="0.3"/>
    <row r="20" spans="1:34" ht="15.6" customHeight="1" x14ac:dyDescent="0.3">
      <c r="A20" s="8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8" customHeight="1" x14ac:dyDescent="0.3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3">
      <c r="A22" s="12"/>
      <c r="B22" s="122" t="s">
        <v>33</v>
      </c>
      <c r="C22" s="81" t="s">
        <v>34</v>
      </c>
      <c r="D22" s="81"/>
      <c r="E22" s="125"/>
      <c r="F22" s="17" t="s">
        <v>35</v>
      </c>
      <c r="G22" s="18"/>
      <c r="H22" s="18"/>
      <c r="I22" s="18"/>
      <c r="J22" s="18"/>
      <c r="K22" s="18"/>
      <c r="L22" s="18"/>
      <c r="M22" s="19"/>
      <c r="N22" s="128" t="s">
        <v>36</v>
      </c>
      <c r="O22" s="129"/>
      <c r="P22" s="129"/>
      <c r="Q22" s="129"/>
      <c r="R22" s="129"/>
      <c r="S22" s="129"/>
      <c r="T22" s="129"/>
      <c r="U22" s="129"/>
      <c r="V22" s="129"/>
      <c r="W22" s="130"/>
      <c r="X22" s="131" t="s">
        <v>37</v>
      </c>
      <c r="Y22" s="132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8" customHeight="1" x14ac:dyDescent="0.3">
      <c r="A23" s="12"/>
      <c r="B23" s="123"/>
      <c r="C23" s="84"/>
      <c r="D23" s="84"/>
      <c r="E23" s="126"/>
      <c r="F23" s="133" t="s">
        <v>38</v>
      </c>
      <c r="G23" s="133" t="s">
        <v>39</v>
      </c>
      <c r="H23" s="133" t="s">
        <v>40</v>
      </c>
      <c r="I23" s="138"/>
      <c r="J23" s="138"/>
      <c r="K23" s="138"/>
      <c r="L23" s="138"/>
      <c r="M23" s="139"/>
      <c r="N23" s="20">
        <v>50</v>
      </c>
      <c r="O23" s="20">
        <v>2</v>
      </c>
      <c r="P23" s="21">
        <v>80</v>
      </c>
      <c r="Q23" s="22" t="s">
        <v>41</v>
      </c>
      <c r="R23" s="23" t="s">
        <v>42</v>
      </c>
      <c r="S23" s="23" t="s">
        <v>43</v>
      </c>
      <c r="T23" s="23" t="s">
        <v>41</v>
      </c>
      <c r="U23" s="23" t="s">
        <v>44</v>
      </c>
      <c r="V23" s="23" t="s">
        <v>45</v>
      </c>
      <c r="W23" s="24" t="s">
        <v>46</v>
      </c>
      <c r="X23" s="141" t="s">
        <v>47</v>
      </c>
      <c r="Y23" s="142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8" customHeight="1" x14ac:dyDescent="0.3">
      <c r="A24" s="12"/>
      <c r="B24" s="124"/>
      <c r="C24" s="87"/>
      <c r="D24" s="87"/>
      <c r="E24" s="127"/>
      <c r="F24" s="134"/>
      <c r="G24" s="137"/>
      <c r="H24" s="140"/>
      <c r="I24" s="72"/>
      <c r="J24" s="72"/>
      <c r="K24" s="72"/>
      <c r="L24" s="72"/>
      <c r="M24" s="101"/>
      <c r="N24" s="25" t="s">
        <v>48</v>
      </c>
      <c r="O24" s="25" t="s">
        <v>48</v>
      </c>
      <c r="P24" s="26" t="s">
        <v>49</v>
      </c>
      <c r="Q24" s="20" t="s">
        <v>50</v>
      </c>
      <c r="R24" s="2"/>
      <c r="S24" s="27" t="s">
        <v>51</v>
      </c>
      <c r="T24" s="27" t="s">
        <v>51</v>
      </c>
      <c r="U24" s="23"/>
      <c r="V24" s="28"/>
      <c r="W24" s="29"/>
      <c r="X24" s="143"/>
      <c r="Y24" s="144"/>
      <c r="Z24" s="13"/>
      <c r="AA24" s="2"/>
      <c r="AB24" s="2"/>
      <c r="AC24" s="2"/>
      <c r="AD24" s="2" t="s">
        <v>52</v>
      </c>
      <c r="AE24" s="2"/>
      <c r="AF24" s="2"/>
      <c r="AG24" s="2"/>
      <c r="AH24" s="2"/>
    </row>
    <row r="25" spans="1:34" ht="10.8" customHeight="1" x14ac:dyDescent="0.3">
      <c r="A25" s="12"/>
      <c r="B25" s="165"/>
      <c r="C25" s="166"/>
      <c r="D25" s="166"/>
      <c r="E25" s="166"/>
      <c r="F25" s="167"/>
      <c r="G25" s="167"/>
      <c r="H25" s="168"/>
      <c r="I25" s="168"/>
      <c r="J25" s="168"/>
      <c r="K25" s="168"/>
      <c r="L25" s="168"/>
      <c r="M25" s="168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69"/>
      <c r="Y25" s="170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35" customHeight="1" x14ac:dyDescent="0.3">
      <c r="A26" s="12"/>
      <c r="B26" s="35"/>
      <c r="C26" s="171">
        <v>0.45</v>
      </c>
      <c r="D26" s="171"/>
      <c r="E26" s="172"/>
      <c r="F26" s="36"/>
      <c r="G26" s="37" t="s">
        <v>60</v>
      </c>
      <c r="H26" s="145" t="s">
        <v>61</v>
      </c>
      <c r="I26" s="146"/>
      <c r="J26" s="146"/>
      <c r="K26" s="146"/>
      <c r="L26" s="146"/>
      <c r="M26" s="147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73"/>
      <c r="Y26" s="74"/>
      <c r="Z26" s="13"/>
      <c r="AA26" s="2"/>
      <c r="AB26" s="39" t="s">
        <v>62</v>
      </c>
      <c r="AC26" s="39">
        <v>1</v>
      </c>
      <c r="AD26" s="39" t="s">
        <v>63</v>
      </c>
      <c r="AE26" s="39">
        <v>135</v>
      </c>
      <c r="AF26" s="2"/>
    </row>
    <row r="27" spans="1:34" ht="300" customHeight="1" x14ac:dyDescent="0.3">
      <c r="A27" s="12"/>
      <c r="B27" s="35" t="s">
        <v>64</v>
      </c>
      <c r="C27" s="171">
        <v>1.45</v>
      </c>
      <c r="D27" s="171"/>
      <c r="E27" s="172"/>
      <c r="F27" s="36"/>
      <c r="G27" s="37" t="s">
        <v>65</v>
      </c>
      <c r="H27" s="145" t="s">
        <v>96</v>
      </c>
      <c r="I27" s="146"/>
      <c r="J27" s="146"/>
      <c r="K27" s="146"/>
      <c r="L27" s="146"/>
      <c r="M27" s="147"/>
      <c r="N27" s="67"/>
      <c r="O27" s="67">
        <v>74.5</v>
      </c>
      <c r="P27" s="67">
        <v>17.8</v>
      </c>
      <c r="Q27" s="67">
        <v>13.8</v>
      </c>
      <c r="R27" s="69">
        <v>1</v>
      </c>
      <c r="S27" s="68"/>
      <c r="T27" s="68"/>
      <c r="U27" s="38">
        <v>0.34</v>
      </c>
      <c r="V27" s="67"/>
      <c r="W27" s="38"/>
      <c r="X27" s="224" t="s">
        <v>93</v>
      </c>
      <c r="Y27" s="74"/>
      <c r="Z27" s="13"/>
      <c r="AA27" s="2"/>
      <c r="AB27" s="39" t="s">
        <v>62</v>
      </c>
      <c r="AC27" s="39">
        <v>2</v>
      </c>
      <c r="AD27" s="39" t="s">
        <v>63</v>
      </c>
      <c r="AE27" s="39">
        <v>15</v>
      </c>
      <c r="AF27" s="2"/>
    </row>
    <row r="28" spans="1:34" ht="165" customHeight="1" x14ac:dyDescent="0.3">
      <c r="A28" s="12"/>
      <c r="B28" s="35" t="s">
        <v>66</v>
      </c>
      <c r="C28" s="171">
        <v>2</v>
      </c>
      <c r="D28" s="171"/>
      <c r="E28" s="172"/>
      <c r="F28" s="36"/>
      <c r="G28" s="37" t="s">
        <v>60</v>
      </c>
      <c r="H28" s="145" t="s">
        <v>97</v>
      </c>
      <c r="I28" s="146"/>
      <c r="J28" s="146"/>
      <c r="K28" s="146"/>
      <c r="L28" s="146"/>
      <c r="M28" s="147"/>
      <c r="N28" s="67"/>
      <c r="O28" s="67">
        <v>91.1</v>
      </c>
      <c r="P28" s="67">
        <v>42.7</v>
      </c>
      <c r="Q28" s="67">
        <v>17.3</v>
      </c>
      <c r="R28" s="69">
        <v>3</v>
      </c>
      <c r="S28" s="68"/>
      <c r="T28" s="68"/>
      <c r="U28" s="38">
        <v>0.51</v>
      </c>
      <c r="V28" s="67"/>
      <c r="W28" s="38"/>
      <c r="X28" s="224" t="s">
        <v>94</v>
      </c>
      <c r="Y28" s="74"/>
      <c r="Z28" s="13"/>
      <c r="AA28" s="2"/>
      <c r="AB28" s="39" t="s">
        <v>62</v>
      </c>
      <c r="AC28" s="39">
        <v>3</v>
      </c>
      <c r="AD28" s="39" t="s">
        <v>63</v>
      </c>
      <c r="AE28" s="39">
        <v>165</v>
      </c>
      <c r="AF28" s="2"/>
    </row>
    <row r="29" spans="1:34" ht="12" customHeight="1" x14ac:dyDescent="0.3">
      <c r="A29" s="12"/>
      <c r="B29" s="150"/>
      <c r="C29" s="151"/>
      <c r="D29" s="151"/>
      <c r="E29" s="152"/>
      <c r="F29" s="208" t="s">
        <v>53</v>
      </c>
      <c r="G29" s="209"/>
      <c r="H29" s="154"/>
      <c r="I29" s="154"/>
      <c r="J29" s="154"/>
      <c r="K29" s="154"/>
      <c r="L29" s="154"/>
      <c r="M29" s="155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156"/>
      <c r="Y29" s="157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3">
      <c r="A30" s="12"/>
      <c r="B30" s="173"/>
      <c r="C30" s="174"/>
      <c r="D30" s="174"/>
      <c r="E30" s="175"/>
      <c r="F30" s="176"/>
      <c r="G30" s="177"/>
      <c r="H30" s="178"/>
      <c r="I30" s="178"/>
      <c r="J30" s="178"/>
      <c r="K30" s="178"/>
      <c r="L30" s="178"/>
      <c r="M30" s="179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180"/>
      <c r="Y30" s="181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3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">
      <c r="A32" s="51" t="s">
        <v>54</v>
      </c>
      <c r="B32" s="52" t="s">
        <v>55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" customHeight="1" x14ac:dyDescent="0.3">
      <c r="A33" s="182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83"/>
      <c r="R33" s="159" t="s">
        <v>56</v>
      </c>
      <c r="S33" s="160"/>
      <c r="T33" s="161"/>
      <c r="U33" s="187" t="s">
        <v>16</v>
      </c>
      <c r="V33" s="188"/>
      <c r="W33" s="188"/>
      <c r="X33" s="188"/>
      <c r="Y33" s="188"/>
      <c r="Z33" s="189"/>
    </row>
    <row r="34" spans="1:26" ht="16.2" customHeight="1" x14ac:dyDescent="0.3">
      <c r="A34" s="182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83"/>
      <c r="R34" s="159" t="s">
        <v>57</v>
      </c>
      <c r="S34" s="160"/>
      <c r="T34" s="161"/>
      <c r="U34" s="190" t="s">
        <v>58</v>
      </c>
      <c r="V34" s="191"/>
      <c r="W34" s="191"/>
      <c r="X34" s="191"/>
      <c r="Y34" s="191"/>
      <c r="Z34" s="192"/>
    </row>
    <row r="35" spans="1:26" ht="16.2" customHeight="1" x14ac:dyDescent="0.3">
      <c r="A35" s="182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83"/>
      <c r="R35" s="159"/>
      <c r="S35" s="160"/>
      <c r="T35" s="161"/>
      <c r="U35" s="193"/>
      <c r="V35" s="194"/>
      <c r="W35" s="194"/>
      <c r="X35" s="194"/>
      <c r="Y35" s="194"/>
      <c r="Z35" s="195"/>
    </row>
    <row r="36" spans="1:26" ht="16.2" customHeight="1" x14ac:dyDescent="0.3">
      <c r="A36" s="182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83"/>
      <c r="R36" s="159" t="s">
        <v>59</v>
      </c>
      <c r="S36" s="160"/>
      <c r="T36" s="161"/>
      <c r="U36" s="59"/>
      <c r="V36" s="60"/>
      <c r="W36" s="60"/>
      <c r="X36" s="60"/>
      <c r="Y36" s="60"/>
      <c r="Z36" s="61"/>
    </row>
    <row r="37" spans="1:26" ht="16.2" customHeight="1" x14ac:dyDescent="0.3">
      <c r="A37" s="182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83"/>
      <c r="R37" s="159"/>
      <c r="S37" s="160"/>
      <c r="T37" s="161"/>
      <c r="U37" s="62"/>
      <c r="V37" s="158"/>
      <c r="W37" s="158"/>
      <c r="X37" s="158"/>
      <c r="Y37" s="158"/>
      <c r="Z37" s="63"/>
    </row>
    <row r="38" spans="1:26" ht="16.2" customHeight="1" x14ac:dyDescent="0.3">
      <c r="A38" s="182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83"/>
      <c r="R38" s="159"/>
      <c r="S38" s="160"/>
      <c r="T38" s="161"/>
      <c r="U38" s="62"/>
      <c r="V38" s="158"/>
      <c r="W38" s="158"/>
      <c r="X38" s="158"/>
      <c r="Y38" s="158"/>
      <c r="Z38" s="63"/>
    </row>
    <row r="39" spans="1:26" ht="16.2" customHeight="1" x14ac:dyDescent="0.3">
      <c r="A39" s="184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6"/>
      <c r="R39" s="162"/>
      <c r="S39" s="163"/>
      <c r="T39" s="164"/>
      <c r="U39" s="64"/>
      <c r="V39" s="65"/>
      <c r="W39" s="65"/>
      <c r="X39" s="65"/>
      <c r="Y39" s="65"/>
      <c r="Z39" s="66"/>
    </row>
    <row r="42" spans="1:26" x14ac:dyDescent="0.3"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</row>
  </sheetData>
  <sheetProtection formatCells="0" formatColumns="0" formatRows="0" insertColumns="0" insertRows="0" insertHyperlinks="0" deleteColumns="0" deleteRows="0" sort="0" autoFilter="0" pivotTables="0"/>
  <mergeCells count="78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9</vt:i4>
      </vt:variant>
    </vt:vector>
  </HeadingPairs>
  <TitlesOfParts>
    <vt:vector size="18" baseType="lpstr">
      <vt:lpstr>S09</vt:lpstr>
      <vt:lpstr>S08</vt:lpstr>
      <vt:lpstr>S07</vt:lpstr>
      <vt:lpstr>S06</vt:lpstr>
      <vt:lpstr>S05</vt:lpstr>
      <vt:lpstr>S04</vt:lpstr>
      <vt:lpstr>S03</vt:lpstr>
      <vt:lpstr>S02</vt:lpstr>
      <vt:lpstr>S01</vt:lpstr>
      <vt:lpstr>'S01'!Zone_d_impression</vt:lpstr>
      <vt:lpstr>'S02'!Zone_d_impression</vt:lpstr>
      <vt:lpstr>'S03'!Zone_d_impression</vt:lpstr>
      <vt:lpstr>'S04'!Zone_d_impression</vt:lpstr>
      <vt:lpstr>'S05'!Zone_d_impression</vt:lpstr>
      <vt:lpstr>'S06'!Zone_d_impression</vt:lpstr>
      <vt:lpstr>'S07'!Zone_d_impression</vt:lpstr>
      <vt:lpstr>'S08'!Zone_d_impression</vt:lpstr>
      <vt:lpstr>'S09'!Zone_d_impression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Sylvain LHOPITAL</cp:lastModifiedBy>
  <cp:lastPrinted>2025-06-25T05:21:31Z</cp:lastPrinted>
  <dcterms:created xsi:type="dcterms:W3CDTF">2023-08-16T11:46:27Z</dcterms:created>
  <dcterms:modified xsi:type="dcterms:W3CDTF">2025-06-25T06:45:13Z</dcterms:modified>
  <cp:category/>
</cp:coreProperties>
</file>