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69\RA O73T  Rillieux - Halles Solidaires\Essais de Laboratoire\Enrobés\"/>
    </mc:Choice>
  </mc:AlternateContent>
  <xr:revisionPtr revIDLastSave="0" documentId="13_ncr:1_{FEBF017B-BA7B-4528-9BF7-3D8B7316493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80425 BBSG Biochar" sheetId="13" r:id="rId1"/>
    <sheet name="101224 BBSG 110" sheetId="12" r:id="rId2"/>
    <sheet name="101224 BBSG 218" sheetId="11" r:id="rId3"/>
    <sheet name="051224 BBSG 218" sheetId="10" r:id="rId4"/>
    <sheet name="051224 BBSG Manuel 103" sheetId="9" r:id="rId5"/>
  </sheets>
  <definedNames>
    <definedName name="_xlnm.Print_Area" localSheetId="3">'051224 BBSG 218'!$A$1:$Z$70</definedName>
    <definedName name="_xlnm.Print_Area" localSheetId="4">'051224 BBSG Manuel 103'!$A$1:$Z$70</definedName>
    <definedName name="_xlnm.Print_Area" localSheetId="1">'101224 BBSG 110'!$A$1:$Z$70</definedName>
    <definedName name="_xlnm.Print_Area" localSheetId="2">'101224 BBSG 218'!$A$1:$Z$70</definedName>
    <definedName name="_xlnm.Print_Area" localSheetId="0">'180425 BBSG Biochar'!$A$1:$Z$70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57" i="13" l="1"/>
  <c r="AB57" i="13" s="1"/>
  <c r="W60" i="13"/>
  <c r="L60" i="13"/>
  <c r="J60" i="13"/>
  <c r="E60" i="13"/>
  <c r="W59" i="13"/>
  <c r="L59" i="13"/>
  <c r="J59" i="13"/>
  <c r="E59" i="13"/>
  <c r="AD58" i="13"/>
  <c r="AB58" i="13"/>
  <c r="U57" i="13"/>
  <c r="T57" i="13"/>
  <c r="O57" i="13"/>
  <c r="AD57" i="13" s="1"/>
  <c r="N57" i="13"/>
  <c r="M57" i="13"/>
  <c r="L57" i="13"/>
  <c r="K57" i="13"/>
  <c r="J57" i="13"/>
  <c r="I57" i="13"/>
  <c r="H57" i="13"/>
  <c r="G57" i="13"/>
  <c r="F57" i="13"/>
  <c r="E57" i="13"/>
  <c r="AD56" i="13"/>
  <c r="AE56" i="13" s="1"/>
  <c r="AD54" i="13"/>
  <c r="AB54" i="13"/>
  <c r="AE54" i="13" s="1"/>
  <c r="Y54" i="13"/>
  <c r="AE53" i="13"/>
  <c r="AD53" i="13"/>
  <c r="AB53" i="13"/>
  <c r="Y53" i="13"/>
  <c r="AD52" i="13"/>
  <c r="AB52" i="13"/>
  <c r="AD51" i="13"/>
  <c r="AB51" i="13"/>
  <c r="AE51" i="13" s="1"/>
  <c r="Y51" i="13" s="1"/>
  <c r="W60" i="12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AD51" i="10"/>
  <c r="AB51" i="10"/>
  <c r="AE58" i="13" l="1"/>
  <c r="Y58" i="13" s="1"/>
  <c r="AE57" i="13"/>
  <c r="Y57" i="13"/>
  <c r="AE52" i="13"/>
  <c r="Y52" i="13" s="1"/>
  <c r="AE52" i="12"/>
  <c r="Y52" i="12" s="1"/>
  <c r="AE53" i="12"/>
  <c r="AE51" i="12"/>
  <c r="Y51" i="12" s="1"/>
  <c r="AE51" i="11"/>
  <c r="Y51" i="11" s="1"/>
  <c r="AE54" i="11"/>
  <c r="AE53" i="11"/>
  <c r="AD57" i="12"/>
  <c r="AE57" i="12" s="1"/>
  <c r="AE58" i="11"/>
  <c r="Y58" i="11" s="1"/>
  <c r="AE54" i="12"/>
  <c r="AE58" i="12"/>
  <c r="Y58" i="12" s="1"/>
  <c r="AD57" i="11"/>
  <c r="AE57" i="11" s="1"/>
  <c r="AE52" i="11"/>
  <c r="Y52" i="11" s="1"/>
  <c r="AE54" i="10"/>
  <c r="AE52" i="10"/>
  <c r="Y52" i="10" s="1"/>
  <c r="AE58" i="10"/>
  <c r="Y58" i="10" s="1"/>
  <c r="AD57" i="10"/>
  <c r="AE57" i="10" s="1"/>
  <c r="AE51" i="10"/>
  <c r="Y51" i="10" s="1"/>
  <c r="AE53" i="10"/>
  <c r="L59" i="9"/>
  <c r="L60" i="9"/>
  <c r="Y57" i="12" l="1"/>
  <c r="Y57" i="11"/>
  <c r="Y57" i="10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E57" i="9"/>
  <c r="F57" i="9"/>
  <c r="G57" i="9"/>
  <c r="H57" i="9"/>
  <c r="I57" i="9"/>
  <c r="K57" i="9"/>
  <c r="L57" i="9"/>
  <c r="M57" i="9"/>
  <c r="N57" i="9"/>
  <c r="O57" i="9"/>
  <c r="T57" i="9"/>
  <c r="AD57" i="9" l="1"/>
  <c r="AE57" i="9" s="1"/>
</calcChain>
</file>

<file path=xl/sharedStrings.xml><?xml version="1.0" encoding="utf-8"?>
<sst xmlns="http://schemas.openxmlformats.org/spreadsheetml/2006/main" count="325" uniqueCount="76">
  <si>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</si>
  <si>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</si>
  <si>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</si>
  <si>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</si>
  <si>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</si>
  <si>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</si>
  <si>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</si>
  <si>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</si>
  <si>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</si>
  <si>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</si>
  <si>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</si>
  <si>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</si>
  <si>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</si>
  <si>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</si>
  <si>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</si>
  <si>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</si>
  <si>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</si>
  <si>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</si>
  <si>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</si>
  <si>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</si>
  <si>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</si>
  <si>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</si>
  <si>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</si>
  <si>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</si>
  <si>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</si>
  <si>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</si>
  <si>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</si>
  <si>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</si>
  <si>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</si>
  <si>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</si>
  <si>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</si>
  <si>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</si>
  <si>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</si>
  <si>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</si>
  <si>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</si>
  <si>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</si>
  <si>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</si>
  <si>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</si>
  <si>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</si>
  <si>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</si>
  <si>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</si>
  <si>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</si>
  <si>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</si>
  <si>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</si>
  <si>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</si>
  <si>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</si>
  <si>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</si>
  <si>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</si>
  <si>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</si>
  <si>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</si>
  <si>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</si>
  <si>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</si>
  <si>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Conforme</t>
  </si>
  <si>
    <t xml:space="preserve"> F. MONTET</t>
  </si>
  <si>
    <t>Technicien de laboratoire</t>
  </si>
  <si>
    <t>RA O73T</t>
  </si>
  <si>
    <t>Rillieux - Halle du réemploi</t>
  </si>
  <si>
    <t>F. Montet</t>
  </si>
  <si>
    <t>05/12/2024</t>
  </si>
  <si>
    <t>BBSG 0/10 Manuel</t>
  </si>
  <si>
    <t>EB 10 ROUL 35/50</t>
  </si>
  <si>
    <t>P2R</t>
  </si>
  <si>
    <t>Chantier</t>
  </si>
  <si>
    <t>Roulement</t>
  </si>
  <si>
    <t>8H40</t>
  </si>
  <si>
    <t>12H10</t>
  </si>
  <si>
    <t>13H30</t>
  </si>
  <si>
    <t>BBSG 0/10 35/50 R15</t>
  </si>
  <si>
    <t>BBSG 0/10 35/50 R30</t>
  </si>
  <si>
    <t>8H25</t>
  </si>
  <si>
    <t>9H40</t>
  </si>
  <si>
    <t>11H00</t>
  </si>
  <si>
    <t>9H55</t>
  </si>
  <si>
    <t>11H45</t>
  </si>
  <si>
    <t>BBSG3 0/10 R30 Biochar</t>
  </si>
  <si>
    <t>Rillieux
Halle du réemploi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</si>
</sst>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0"/>
      <color rgb="FF000000"/>
      <name val="Arial"/>
      <family val="2"/>
    </font>
    <font>
      <sz val="8"/>
      <color rgb="FF000000"/>
      <name val="Century Gothic"/>
      <family val="2"/>
    </font>
    <font>
      <b/>
      <sz val="10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4" fillId="0" borderId="0"/>
    <xf numFmtId="0" fontId="25" fillId="0" borderId="0"/>
    <xf numFmtId="0" fontId="27" fillId="0" borderId="0"/>
  </cellStyleXfs>
  <cellXfs count="3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 wrapText="1"/>
    </xf>
    <xf numFmtId="164" fontId="23" fillId="0" borderId="62" xfId="0" applyNumberFormat="1" applyFont="1" applyBorder="1" applyAlignment="1" applyProtection="1">
      <alignment horizontal="center" vertical="center"/>
      <protection locked="0"/>
    </xf>
    <xf numFmtId="164" fontId="23" fillId="0" borderId="63" xfId="0" applyNumberFormat="1" applyFont="1" applyBorder="1" applyAlignment="1" applyProtection="1">
      <alignment horizontal="center" vertical="center"/>
      <protection locked="0"/>
    </xf>
    <xf numFmtId="1" fontId="23" fillId="0" borderId="63" xfId="0" applyNumberFormat="1" applyFont="1" applyBorder="1" applyAlignment="1" applyProtection="1">
      <alignment horizontal="center" vertical="center"/>
      <protection locked="0"/>
    </xf>
    <xf numFmtId="164" fontId="23" fillId="0" borderId="60" xfId="0" applyNumberFormat="1" applyFont="1" applyBorder="1" applyAlignment="1" applyProtection="1">
      <alignment horizontal="center" vertical="center"/>
      <protection locked="0"/>
    </xf>
    <xf numFmtId="164" fontId="24" fillId="0" borderId="19" xfId="0" applyNumberFormat="1" applyFont="1" applyBorder="1" applyAlignment="1">
      <alignment horizontal="center" vertical="center" wrapText="1"/>
    </xf>
    <xf numFmtId="164" fontId="24" fillId="0" borderId="36" xfId="0" applyNumberFormat="1" applyFont="1" applyBorder="1" applyAlignment="1" applyProtection="1">
      <alignment horizontal="center" vertical="center"/>
      <protection locked="0"/>
    </xf>
    <xf numFmtId="164" fontId="24" fillId="0" borderId="19" xfId="0" applyNumberFormat="1" applyFont="1" applyBorder="1" applyAlignment="1" applyProtection="1">
      <alignment horizontal="center" vertical="center"/>
      <protection locked="0"/>
    </xf>
    <xf numFmtId="1" fontId="24" fillId="0" borderId="19" xfId="0" applyNumberFormat="1" applyFont="1" applyBorder="1" applyAlignment="1" applyProtection="1">
      <alignment horizontal="center" vertical="center"/>
      <protection locked="0"/>
    </xf>
    <xf numFmtId="164" fontId="24" fillId="0" borderId="34" xfId="0" applyNumberFormat="1" applyFont="1" applyBorder="1" applyAlignment="1" applyProtection="1">
      <alignment horizontal="center" vertical="center"/>
      <protection locked="0"/>
    </xf>
    <xf numFmtId="164" fontId="24" fillId="0" borderId="25" xfId="0" applyNumberFormat="1" applyFont="1" applyBorder="1" applyAlignment="1">
      <alignment horizontal="center" vertical="center" wrapText="1"/>
    </xf>
    <xf numFmtId="164" fontId="24" fillId="0" borderId="37" xfId="0" applyNumberFormat="1" applyFont="1" applyBorder="1" applyAlignment="1" applyProtection="1">
      <alignment horizontal="center" vertical="center"/>
      <protection locked="0"/>
    </xf>
    <xf numFmtId="164" fontId="24" fillId="0" borderId="25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164" fontId="24" fillId="0" borderId="38" xfId="0" applyNumberFormat="1" applyFont="1" applyBorder="1" applyAlignment="1" applyProtection="1">
      <alignment horizontal="center" vertical="center"/>
      <protection locked="0"/>
    </xf>
    <xf numFmtId="164" fontId="19" fillId="0" borderId="63" xfId="2" applyNumberFormat="1" applyFont="1" applyBorder="1" applyAlignment="1">
      <alignment horizontal="center" vertical="center" wrapText="1"/>
    </xf>
    <xf numFmtId="164" fontId="19" fillId="0" borderId="62" xfId="2" applyNumberFormat="1" applyFont="1" applyBorder="1" applyAlignment="1" applyProtection="1">
      <alignment horizontal="center" vertical="center"/>
      <protection locked="0"/>
    </xf>
    <xf numFmtId="164" fontId="19" fillId="0" borderId="63" xfId="2" applyNumberFormat="1" applyFont="1" applyBorder="1" applyAlignment="1" applyProtection="1">
      <alignment horizontal="center" vertical="center"/>
      <protection locked="0"/>
    </xf>
    <xf numFmtId="164" fontId="19" fillId="0" borderId="60" xfId="2" applyNumberFormat="1" applyFont="1" applyBorder="1" applyAlignment="1" applyProtection="1">
      <alignment horizontal="center" vertical="center"/>
      <protection locked="0"/>
    </xf>
    <xf numFmtId="1" fontId="19" fillId="0" borderId="63" xfId="2" applyNumberFormat="1" applyFont="1" applyBorder="1" applyAlignment="1" applyProtection="1">
      <alignment horizontal="center" vertical="center"/>
      <protection locked="0"/>
    </xf>
    <xf numFmtId="164" fontId="26" fillId="0" borderId="63" xfId="2" applyNumberFormat="1" applyFont="1" applyBorder="1" applyAlignment="1">
      <alignment horizontal="center" vertical="center" wrapText="1"/>
    </xf>
    <xf numFmtId="164" fontId="26" fillId="0" borderId="62" xfId="2" applyNumberFormat="1" applyFont="1" applyBorder="1" applyAlignment="1" applyProtection="1">
      <alignment horizontal="center" vertical="center"/>
      <protection locked="0"/>
    </xf>
    <xf numFmtId="164" fontId="26" fillId="0" borderId="63" xfId="2" applyNumberFormat="1" applyFont="1" applyBorder="1" applyAlignment="1" applyProtection="1">
      <alignment horizontal="center" vertical="center"/>
      <protection locked="0"/>
    </xf>
    <xf numFmtId="164" fontId="26" fillId="0" borderId="60" xfId="2" applyNumberFormat="1" applyFont="1" applyBorder="1" applyAlignment="1" applyProtection="1">
      <alignment horizontal="center" vertical="center"/>
      <protection locked="0"/>
    </xf>
    <xf numFmtId="1" fontId="26" fillId="0" borderId="63" xfId="2" applyNumberFormat="1" applyFont="1" applyBorder="1" applyAlignment="1" applyProtection="1">
      <alignment horizontal="center" vertical="center"/>
      <protection locked="0"/>
    </xf>
    <xf numFmtId="164" fontId="28" fillId="0" borderId="63" xfId="3" applyNumberFormat="1" applyFont="1" applyBorder="1" applyAlignment="1">
      <alignment horizontal="center" vertical="center" wrapText="1"/>
    </xf>
    <xf numFmtId="164" fontId="28" fillId="0" borderId="62" xfId="3" applyNumberFormat="1" applyFont="1" applyBorder="1" applyAlignment="1" applyProtection="1">
      <alignment horizontal="center" vertical="center"/>
      <protection locked="0"/>
    </xf>
    <xf numFmtId="164" fontId="28" fillId="0" borderId="63" xfId="3" applyNumberFormat="1" applyFont="1" applyBorder="1" applyAlignment="1" applyProtection="1">
      <alignment horizontal="center" vertical="center"/>
      <protection locked="0"/>
    </xf>
    <xf numFmtId="164" fontId="28" fillId="0" borderId="60" xfId="3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2" fillId="0" borderId="68" xfId="0" applyFont="1" applyBorder="1" applyAlignment="1" applyProtection="1">
      <alignment horizontal="center" vertical="center" wrapText="1"/>
      <protection locked="0"/>
    </xf>
    <xf numFmtId="0" fontId="22" fillId="0" borderId="69" xfId="0" applyFont="1" applyBorder="1" applyAlignment="1" applyProtection="1">
      <alignment horizontal="center" vertical="center" wrapText="1"/>
      <protection locked="0"/>
    </xf>
    <xf numFmtId="0" fontId="22" fillId="0" borderId="70" xfId="0" applyFont="1" applyBorder="1" applyAlignment="1" applyProtection="1">
      <alignment horizontal="center" vertical="center" wrapText="1"/>
      <protection locked="0"/>
    </xf>
    <xf numFmtId="0" fontId="22" fillId="0" borderId="7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72" xfId="0" applyFont="1" applyBorder="1" applyAlignment="1" applyProtection="1">
      <alignment horizontal="center" vertical="center" wrapText="1"/>
      <protection locked="0"/>
    </xf>
    <xf numFmtId="0" fontId="22" fillId="0" borderId="60" xfId="0" applyFont="1" applyBorder="1" applyAlignment="1" applyProtection="1">
      <alignment horizontal="center" vertical="center" wrapText="1"/>
      <protection locked="0"/>
    </xf>
    <xf numFmtId="0" fontId="22" fillId="0" borderId="61" xfId="0" applyFont="1" applyBorder="1" applyAlignment="1" applyProtection="1">
      <alignment horizontal="center" vertical="center" wrapText="1"/>
      <protection locked="0"/>
    </xf>
    <xf numFmtId="0" fontId="22" fillId="0" borderId="6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24" fillId="0" borderId="34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164" fontId="24" fillId="0" borderId="21" xfId="0" applyNumberFormat="1" applyFont="1" applyBorder="1" applyAlignment="1" applyProtection="1">
      <alignment horizontal="center" vertical="center"/>
      <protection locked="0"/>
    </xf>
    <xf numFmtId="164" fontId="24" fillId="0" borderId="36" xfId="0" applyNumberFormat="1" applyFont="1" applyBorder="1" applyAlignment="1" applyProtection="1">
      <alignment horizontal="center" vertical="center"/>
      <protection locked="0"/>
    </xf>
    <xf numFmtId="2" fontId="24" fillId="0" borderId="41" xfId="0" applyNumberFormat="1" applyFont="1" applyBorder="1" applyAlignment="1" applyProtection="1">
      <alignment horizontal="center" vertical="center"/>
      <protection locked="0"/>
    </xf>
    <xf numFmtId="2" fontId="24" fillId="0" borderId="36" xfId="0" applyNumberFormat="1" applyFont="1" applyBorder="1" applyAlignment="1" applyProtection="1">
      <alignment horizontal="center" vertical="center"/>
      <protection locked="0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164" fontId="28" fillId="0" borderId="64" xfId="3" applyNumberFormat="1" applyFont="1" applyBorder="1" applyAlignment="1" applyProtection="1">
      <alignment horizontal="center" vertical="center"/>
      <protection locked="0"/>
    </xf>
    <xf numFmtId="164" fontId="28" fillId="0" borderId="62" xfId="3" applyNumberFormat="1" applyFont="1" applyBorder="1" applyAlignment="1" applyProtection="1">
      <alignment horizontal="center" vertical="center"/>
      <protection locked="0"/>
    </xf>
    <xf numFmtId="2" fontId="28" fillId="0" borderId="60" xfId="3" applyNumberFormat="1" applyFont="1" applyBorder="1" applyAlignment="1" applyProtection="1">
      <alignment horizontal="center" vertical="center"/>
      <protection locked="0"/>
    </xf>
    <xf numFmtId="2" fontId="28" fillId="0" borderId="62" xfId="3" applyNumberFormat="1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20" fillId="0" borderId="65" xfId="0" applyFont="1" applyBorder="1" applyAlignment="1" applyProtection="1">
      <alignment horizontal="center" vertical="center" wrapText="1"/>
      <protection locked="0"/>
    </xf>
    <xf numFmtId="0" fontId="20" fillId="0" borderId="66" xfId="0" applyFont="1" applyBorder="1" applyAlignment="1" applyProtection="1">
      <alignment horizontal="center" vertical="center" wrapText="1"/>
      <protection locked="0"/>
    </xf>
    <xf numFmtId="0" fontId="21" fillId="0" borderId="66" xfId="0" applyFont="1" applyBorder="1" applyAlignment="1" applyProtection="1">
      <alignment horizontal="center" vertical="center" wrapText="1"/>
      <protection locked="0"/>
    </xf>
    <xf numFmtId="0" fontId="21" fillId="0" borderId="67" xfId="0" applyFont="1" applyBorder="1" applyAlignment="1" applyProtection="1">
      <alignment horizontal="center" vertical="center" wrapText="1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164" fontId="24" fillId="0" borderId="24" xfId="0" applyNumberFormat="1" applyFont="1" applyBorder="1" applyAlignment="1" applyProtection="1">
      <alignment horizontal="center" vertical="center"/>
      <protection locked="0"/>
    </xf>
    <xf numFmtId="164" fontId="24" fillId="0" borderId="37" xfId="0" applyNumberFormat="1" applyFont="1" applyBorder="1" applyAlignment="1" applyProtection="1">
      <alignment horizontal="center" vertical="center"/>
      <protection locked="0"/>
    </xf>
    <xf numFmtId="2" fontId="24" fillId="0" borderId="53" xfId="0" applyNumberFormat="1" applyFont="1" applyBorder="1" applyAlignment="1" applyProtection="1">
      <alignment horizontal="center" vertical="center"/>
      <protection locked="0"/>
    </xf>
    <xf numFmtId="2" fontId="24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164" fontId="19" fillId="0" borderId="64" xfId="2" applyNumberFormat="1" applyFont="1" applyBorder="1" applyAlignment="1" applyProtection="1">
      <alignment horizontal="center" vertical="center"/>
      <protection locked="0"/>
    </xf>
    <xf numFmtId="164" fontId="19" fillId="0" borderId="62" xfId="2" applyNumberFormat="1" applyFont="1" applyBorder="1" applyAlignment="1" applyProtection="1">
      <alignment horizontal="center" vertical="center"/>
      <protection locked="0"/>
    </xf>
    <xf numFmtId="2" fontId="19" fillId="0" borderId="60" xfId="2" applyNumberFormat="1" applyFont="1" applyBorder="1" applyAlignment="1" applyProtection="1">
      <alignment horizontal="center" vertical="center"/>
      <protection locked="0"/>
    </xf>
    <xf numFmtId="2" fontId="19" fillId="0" borderId="62" xfId="2" applyNumberFormat="1" applyFont="1" applyBorder="1" applyAlignment="1" applyProtection="1">
      <alignment horizontal="center" vertical="center"/>
      <protection locked="0"/>
    </xf>
    <xf numFmtId="0" fontId="26" fillId="0" borderId="60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26" fillId="0" borderId="64" xfId="2" applyNumberFormat="1" applyFont="1" applyBorder="1" applyAlignment="1" applyProtection="1">
      <alignment horizontal="center" vertical="center"/>
      <protection locked="0"/>
    </xf>
    <xf numFmtId="164" fontId="26" fillId="0" borderId="62" xfId="2" applyNumberFormat="1" applyFont="1" applyBorder="1" applyAlignment="1" applyProtection="1">
      <alignment horizontal="center" vertical="center"/>
      <protection locked="0"/>
    </xf>
    <xf numFmtId="2" fontId="26" fillId="0" borderId="60" xfId="2" applyNumberFormat="1" applyFont="1" applyBorder="1" applyAlignment="1" applyProtection="1">
      <alignment horizontal="center" vertical="center"/>
      <protection locked="0"/>
    </xf>
    <xf numFmtId="2" fontId="26" fillId="0" borderId="62" xfId="2" applyNumberFormat="1" applyFont="1" applyBorder="1" applyAlignment="1" applyProtection="1">
      <alignment horizontal="center" vertical="center"/>
      <protection locked="0"/>
    </xf>
    <xf numFmtId="2" fontId="23" fillId="0" borderId="60" xfId="0" applyNumberFormat="1" applyFont="1" applyBorder="1" applyAlignment="1" applyProtection="1">
      <alignment horizontal="center" vertical="center"/>
      <protection locked="0"/>
    </xf>
    <xf numFmtId="2" fontId="23" fillId="0" borderId="62" xfId="0" applyNumberFormat="1" applyFont="1" applyBorder="1" applyAlignment="1" applyProtection="1">
      <alignment horizontal="center" vertical="center"/>
      <protection locked="0"/>
    </xf>
    <xf numFmtId="164" fontId="23" fillId="0" borderId="64" xfId="0" applyNumberFormat="1" applyFont="1" applyBorder="1" applyAlignment="1" applyProtection="1">
      <alignment horizontal="center" vertical="center"/>
      <protection locked="0"/>
    </xf>
    <xf numFmtId="164" fontId="23" fillId="0" borderId="62" xfId="0" applyNumberFormat="1" applyFont="1" applyBorder="1" applyAlignment="1" applyProtection="1">
      <alignment horizontal="center" vertical="center"/>
      <protection locked="0"/>
    </xf>
    <xf numFmtId="164" fontId="29" fillId="0" borderId="23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32513812-F362-4D7B-BE9B-B8E4BE202E59}"/>
    <cellStyle name="Normal 4" xfId="3" xr:uid="{0AA6BA91-C7AB-4847-8C94-FB1A25017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'180425 BBSG Biochar'!$E$50:$Q$50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'180425 BBSG Biochar'!$E$57:$W$57</c:f>
              <c:numCache>
                <c:formatCode>0.0</c:formatCode>
                <c:ptCount val="19"/>
                <c:pt idx="0">
                  <c:v>6.6999999999999993</c:v>
                </c:pt>
                <c:pt idx="1">
                  <c:v>8.6499999999999986</c:v>
                </c:pt>
                <c:pt idx="2">
                  <c:v>11</c:v>
                </c:pt>
                <c:pt idx="3">
                  <c:v>14.75</c:v>
                </c:pt>
                <c:pt idx="4">
                  <c:v>19.399999999999999</c:v>
                </c:pt>
                <c:pt idx="5">
                  <c:v>28.15</c:v>
                </c:pt>
                <c:pt idx="6">
                  <c:v>39.549999999999997</c:v>
                </c:pt>
                <c:pt idx="7">
                  <c:v>56.1</c:v>
                </c:pt>
                <c:pt idx="8">
                  <c:v>72.900000000000006</c:v>
                </c:pt>
                <c:pt idx="9">
                  <c:v>94.25</c:v>
                </c:pt>
                <c:pt idx="10" formatCode="0">
                  <c:v>100</c:v>
                </c:pt>
                <c:pt idx="15">
                  <c:v>0</c:v>
                </c:pt>
                <c:pt idx="16">
                  <c:v>178.5</c:v>
                </c:pt>
                <c:pt idx="18" formatCode="0.00">
                  <c:v>5.1050000000000004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D-4097-AD21-C7FF2402D55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'180425 BBSG Biochar'!$E$50:$W$50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'180425 BBSG Biochar'!$E$58:$W$58</c:f>
              <c:numCache>
                <c:formatCode>0.0</c:formatCode>
                <c:ptCount val="19"/>
                <c:pt idx="0">
                  <c:v>7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61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FD-4097-AD21-C7FF2402D55A}"/>
            </c:ext>
          </c:extLst>
        </c:ser>
        <c:ser>
          <c:idx val="2"/>
          <c:order val="2"/>
          <c:tx>
            <c:v>Valeur mini</c:v>
          </c:tx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3FD-4097-AD21-C7FF2402D55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'180425 BBSG Biochar'!$E$50:$W$50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'180425 BBSG Biochar'!$E$60:$W$60</c:f>
              <c:numCache>
                <c:formatCode>0.0</c:formatCode>
                <c:ptCount val="19"/>
                <c:pt idx="0">
                  <c:v>5</c:v>
                </c:pt>
                <c:pt idx="5">
                  <c:v>24</c:v>
                </c:pt>
                <c:pt idx="7">
                  <c:v>54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FD-4097-AD21-C7FF2402D55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'180425 BBSG Biochar'!$E$50:$W$50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'180425 BBSG Biochar'!$E$59:$W$59</c:f>
              <c:numCache>
                <c:formatCode>0.0</c:formatCode>
                <c:ptCount val="19"/>
                <c:pt idx="0">
                  <c:v>9</c:v>
                </c:pt>
                <c:pt idx="5">
                  <c:v>36</c:v>
                </c:pt>
                <c:pt idx="7">
                  <c:v>68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FD-4097-AD21-C7FF2402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'101224 BBSG 110'!$E$50:$Q$50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'101224 BBSG 110'!$E$57:$W$57</c:f>
              <c:numCache>
                <c:formatCode>0.0</c:formatCode>
                <c:ptCount val="19"/>
                <c:pt idx="0">
                  <c:v>6.6</c:v>
                </c:pt>
                <c:pt idx="1">
                  <c:v>8.5</c:v>
                </c:pt>
                <c:pt idx="2">
                  <c:v>11.4</c:v>
                </c:pt>
                <c:pt idx="3">
                  <c:v>15.1</c:v>
                </c:pt>
                <c:pt idx="4">
                  <c:v>19.899999999999999</c:v>
                </c:pt>
                <c:pt idx="5">
                  <c:v>28.4</c:v>
                </c:pt>
                <c:pt idx="6">
                  <c:v>43</c:v>
                </c:pt>
                <c:pt idx="7">
                  <c:v>60.2</c:v>
                </c:pt>
                <c:pt idx="8">
                  <c:v>77.7</c:v>
                </c:pt>
                <c:pt idx="9">
                  <c:v>93.1</c:v>
                </c:pt>
                <c:pt idx="10" formatCode="0">
                  <c:v>100</c:v>
                </c:pt>
                <c:pt idx="15">
                  <c:v>0</c:v>
                </c:pt>
                <c:pt idx="16">
                  <c:v>178</c:v>
                </c:pt>
                <c:pt idx="18" formatCode="0.00">
                  <c:v>4.9800000000000004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73-4F5F-A796-9837ACA41D8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'101224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110'!$E$58:$W$58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73-4F5F-A796-9837ACA41D8B}"/>
            </c:ext>
          </c:extLst>
        </c:ser>
        <c:ser>
          <c:idx val="2"/>
          <c:order val="2"/>
          <c:tx>
            <c:v>Valeur mini</c:v>
          </c:tx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173-4F5F-A796-9837ACA41D8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'101224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110'!$E$60:$W$60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73-4F5F-A796-9837ACA41D8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'101224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110'!$E$59:$W$59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73-4F5F-A796-9837ACA41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'101224 BBSG 218'!$E$50:$Q$50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'101224 BBSG 218'!$E$57:$W$57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10.5</c:v>
                </c:pt>
                <c:pt idx="2">
                  <c:v>13.7</c:v>
                </c:pt>
                <c:pt idx="3">
                  <c:v>17.649999999999999</c:v>
                </c:pt>
                <c:pt idx="4">
                  <c:v>22.85</c:v>
                </c:pt>
                <c:pt idx="5">
                  <c:v>32.15</c:v>
                </c:pt>
                <c:pt idx="6">
                  <c:v>48.75</c:v>
                </c:pt>
                <c:pt idx="7">
                  <c:v>67.2</c:v>
                </c:pt>
                <c:pt idx="8">
                  <c:v>81.8</c:v>
                </c:pt>
                <c:pt idx="9">
                  <c:v>96.449999999999989</c:v>
                </c:pt>
                <c:pt idx="10" formatCode="0">
                  <c:v>100</c:v>
                </c:pt>
                <c:pt idx="15">
                  <c:v>0</c:v>
                </c:pt>
                <c:pt idx="16">
                  <c:v>149</c:v>
                </c:pt>
                <c:pt idx="18" formatCode="0.00">
                  <c:v>5.1950000000000003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55-4F9D-B082-5EF34986F52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218'!$E$58:$W$58</c:f>
              <c:numCache>
                <c:formatCode>0.0</c:formatCode>
                <c:ptCount val="19"/>
                <c:pt idx="0">
                  <c:v>6.8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62</c:v>
                </c:pt>
                <c:pt idx="8">
                  <c:v>78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55-4F9D-B082-5EF34986F526}"/>
            </c:ext>
          </c:extLst>
        </c:ser>
        <c:ser>
          <c:idx val="2"/>
          <c:order val="2"/>
          <c:tx>
            <c:v>Valeur mini</c:v>
          </c:tx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A55-4F9D-B082-5EF34986F52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218'!$E$60:$W$60</c:f>
              <c:numCache>
                <c:formatCode>0.0</c:formatCode>
                <c:ptCount val="19"/>
                <c:pt idx="0">
                  <c:v>4.8</c:v>
                </c:pt>
                <c:pt idx="5">
                  <c:v>25</c:v>
                </c:pt>
                <c:pt idx="7">
                  <c:v>55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55-4F9D-B082-5EF34986F52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'101224 BBSG 218'!$E$59:$W$59</c:f>
              <c:numCache>
                <c:formatCode>0.0</c:formatCode>
                <c:ptCount val="19"/>
                <c:pt idx="0">
                  <c:v>8.8000000000000007</c:v>
                </c:pt>
                <c:pt idx="5">
                  <c:v>37</c:v>
                </c:pt>
                <c:pt idx="7">
                  <c:v>69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55-4F9D-B082-5EF34986F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'051224 BBSG 218'!$E$50:$Q$50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'051224 BBSG 218'!$E$57:$W$57</c:f>
              <c:numCache>
                <c:formatCode>0.0</c:formatCode>
                <c:ptCount val="19"/>
                <c:pt idx="0">
                  <c:v>7.5500000000000007</c:v>
                </c:pt>
                <c:pt idx="1">
                  <c:v>9.6999999999999993</c:v>
                </c:pt>
                <c:pt idx="2">
                  <c:v>12.8</c:v>
                </c:pt>
                <c:pt idx="3">
                  <c:v>16.7</c:v>
                </c:pt>
                <c:pt idx="4">
                  <c:v>22</c:v>
                </c:pt>
                <c:pt idx="5">
                  <c:v>31.5</c:v>
                </c:pt>
                <c:pt idx="6">
                  <c:v>46.75</c:v>
                </c:pt>
                <c:pt idx="7">
                  <c:v>65.150000000000006</c:v>
                </c:pt>
                <c:pt idx="8">
                  <c:v>81.849999999999994</c:v>
                </c:pt>
                <c:pt idx="9">
                  <c:v>97.05</c:v>
                </c:pt>
                <c:pt idx="10" formatCode="0">
                  <c:v>100</c:v>
                </c:pt>
                <c:pt idx="15">
                  <c:v>0</c:v>
                </c:pt>
                <c:pt idx="16">
                  <c:v>157</c:v>
                </c:pt>
                <c:pt idx="18" formatCode="0.00">
                  <c:v>5.18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38-4B3C-A869-8EAB7FA2BC5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218'!$E$58:$W$58</c:f>
              <c:numCache>
                <c:formatCode>0.0</c:formatCode>
                <c:ptCount val="19"/>
                <c:pt idx="0">
                  <c:v>6.8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62</c:v>
                </c:pt>
                <c:pt idx="8">
                  <c:v>78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38-4B3C-A869-8EAB7FA2BC52}"/>
            </c:ext>
          </c:extLst>
        </c:ser>
        <c:ser>
          <c:idx val="2"/>
          <c:order val="2"/>
          <c:tx>
            <c:v>Valeur mini</c:v>
          </c:tx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B38-4B3C-A869-8EAB7FA2BC5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218'!$E$60:$W$60</c:f>
              <c:numCache>
                <c:formatCode>0.0</c:formatCode>
                <c:ptCount val="19"/>
                <c:pt idx="0">
                  <c:v>4.8</c:v>
                </c:pt>
                <c:pt idx="5">
                  <c:v>25</c:v>
                </c:pt>
                <c:pt idx="7">
                  <c:v>55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38-4B3C-A869-8EAB7FA2BC5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'051224 BBSG 218'!$E$50:$W$50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218'!$E$59:$W$59</c:f>
              <c:numCache>
                <c:formatCode>0.0</c:formatCode>
                <c:ptCount val="19"/>
                <c:pt idx="0">
                  <c:v>8.8000000000000007</c:v>
                </c:pt>
                <c:pt idx="5">
                  <c:v>37</c:v>
                </c:pt>
                <c:pt idx="7">
                  <c:v>69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38-4B3C-A869-8EAB7FA2B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'051224 BBSG Manuel 103'!$E$50:$Q$50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'051224 BBSG Manuel 103'!$E$57:$W$57</c:f>
              <c:numCache>
                <c:formatCode>0.0</c:formatCode>
                <c:ptCount val="19"/>
                <c:pt idx="0">
                  <c:v>6.3</c:v>
                </c:pt>
                <c:pt idx="1">
                  <c:v>8.4</c:v>
                </c:pt>
                <c:pt idx="2">
                  <c:v>11.7</c:v>
                </c:pt>
                <c:pt idx="3">
                  <c:v>16</c:v>
                </c:pt>
                <c:pt idx="4">
                  <c:v>21.9</c:v>
                </c:pt>
                <c:pt idx="5">
                  <c:v>31.8</c:v>
                </c:pt>
                <c:pt idx="6">
                  <c:v>48.4</c:v>
                </c:pt>
                <c:pt idx="7">
                  <c:v>76</c:v>
                </c:pt>
                <c:pt idx="8">
                  <c:v>87.6</c:v>
                </c:pt>
                <c:pt idx="9">
                  <c:v>98</c:v>
                </c:pt>
                <c:pt idx="10" formatCode="0">
                  <c:v>100</c:v>
                </c:pt>
                <c:pt idx="15">
                  <c:v>0</c:v>
                </c:pt>
                <c:pt idx="16">
                  <c:v>167</c:v>
                </c:pt>
                <c:pt idx="18" formatCode="0.00">
                  <c:v>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103'!$E$58:$W$58</c:f>
              <c:numCache>
                <c:formatCode>0.0</c:formatCode>
                <c:ptCount val="19"/>
                <c:pt idx="0">
                  <c:v>7.2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26</c:v>
                </c:pt>
                <c:pt idx="5">
                  <c:v>36</c:v>
                </c:pt>
                <c:pt idx="6">
                  <c:v>53</c:v>
                </c:pt>
                <c:pt idx="7">
                  <c:v>79</c:v>
                </c:pt>
                <c:pt idx="8">
                  <c:v>90</c:v>
                </c:pt>
                <c:pt idx="9">
                  <c:v>98</c:v>
                </c:pt>
                <c:pt idx="10" formatCode="0">
                  <c:v>100</c:v>
                </c:pt>
                <c:pt idx="18" formatCode="0.00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103'!$E$60:$W$60</c:f>
              <c:numCache>
                <c:formatCode>0.0</c:formatCode>
                <c:ptCount val="19"/>
                <c:pt idx="0">
                  <c:v>5.2</c:v>
                </c:pt>
                <c:pt idx="5">
                  <c:v>30</c:v>
                </c:pt>
                <c:pt idx="7">
                  <c:v>72</c:v>
                </c:pt>
                <c:pt idx="18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'051224 BBSG Manuel 103'!$E$50:$W$50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'051224 BBSG Manuel 103'!$E$59:$W$59</c:f>
              <c:numCache>
                <c:formatCode>0.0</c:formatCode>
                <c:ptCount val="19"/>
                <c:pt idx="0">
                  <c:v>9.1999999999999993</c:v>
                </c:pt>
                <c:pt idx="5">
                  <c:v>42</c:v>
                </c:pt>
                <c:pt idx="7">
                  <c:v>86</c:v>
                </c:pt>
                <c:pt idx="18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8ED935-4527-4F8E-A0B4-3257AF924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2517F1B-52C7-4602-B003-2028EDAAD81E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F3A7C83-7A0A-4F66-AC48-313F8E01CA51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B9D8F14-940B-4EE6-985F-2DE6CE9D729F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3B6FE8E-8604-4DA3-A087-27D4B2764136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2F1951A-C181-48A1-BB90-09A09BAA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497F1E9-3C32-4A4E-80CF-29D13DBD79E0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D9E213A-9E89-44CC-9959-98397F6203B9}"/>
            </a:ext>
          </a:extLst>
        </xdr:cNvPr>
        <xdr:cNvSpPr>
          <a:spLocks noChangeShapeType="1"/>
        </xdr:cNvSpPr>
      </xdr:nvSpPr>
      <xdr:spPr bwMode="auto">
        <a:xfrm flipH="1">
          <a:off x="20775930" y="1953387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FF05D61-116A-4115-A4F0-7353DD07060F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BF8FB62-DD0F-4DA7-A5E0-8E2C589B8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19051</xdr:colOff>
      <xdr:row>66</xdr:row>
      <xdr:rowOff>104775</xdr:rowOff>
    </xdr:from>
    <xdr:to>
      <xdr:col>25</xdr:col>
      <xdr:colOff>19051</xdr:colOff>
      <xdr:row>69</xdr:row>
      <xdr:rowOff>96673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775A0196-5F16-9291-3D80-CD4E384AC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6" y="12658725"/>
          <a:ext cx="1409700" cy="584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32DF12-3B3A-4675-A605-CEBE740AF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EE4A806-FA22-49D5-B061-C0CFCB0E09FA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98CF03E-0D00-4DAF-8BA4-BE1E02B9531D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947E50E-D590-4194-ACC5-40EC3ED28C22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EC6BF9B-E255-4D07-B658-B603D1D2355A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263607E-014A-4E4C-89C6-5A4780F2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1FE3BD5-7CFC-4BC0-82D8-A13307457DF2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D4206FE-26E8-4293-AC8E-C4C282253BFA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DA450AE-72D5-4884-AAB2-88A31977061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8103294-0822-4B5D-A711-914E652F4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4E79670-A993-411B-96A4-5D9C1FC5D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9BB1578-0414-4E3C-9DCA-DFFA8F5BA539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DD276CF-D0FB-4671-B88A-AA6871E4C6C6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3357C13-F37B-4997-8FB8-0501A93529F1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47493FB-5EB8-4388-853B-36CE23E77A2C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4193BBA-5791-414F-AC1A-C2F9FCAC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B812615-58C6-4CEB-AB7B-5F7A53E90286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1A959B0-B8E7-4BB1-9D0C-8D38FEB3811F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2ABB634-CFB1-4BD4-97AF-8CA95A46893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8F5ECA4-5329-4167-836F-A5774F0B1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26A293-C678-48E3-9FBE-59DA34C38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E09FF91-D0C2-4EF7-86C5-E741F384C6F4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95826C2-6A3C-452B-AADB-F9ECCA1E1A2B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12373B2-D1CC-45B2-9FA7-953C29D366BA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AB75FAC-4B15-4AE4-9509-0DBA25E1D666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20D8C3C-92F5-4F1D-A389-0059A712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9566FF6-5E49-44B6-8395-06244263DFC8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CC33299-3647-4FD8-B349-8EE18D3826CF}"/>
            </a:ext>
          </a:extLst>
        </xdr:cNvPr>
        <xdr:cNvSpPr>
          <a:spLocks noChangeShapeType="1"/>
        </xdr:cNvSpPr>
      </xdr:nvSpPr>
      <xdr:spPr bwMode="auto">
        <a:xfrm flipH="1">
          <a:off x="20775930" y="1953387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3DD3054-899D-4903-A0F3-6DCC27B834E0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3DC842A-CD6B-49A8-BE17-50FB72FC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DD42-60CF-410F-A2FC-86330B432C8F}">
  <sheetPr>
    <pageSetUpPr fitToPage="1"/>
  </sheetPr>
  <dimension ref="A1:AN70"/>
  <sheetViews>
    <sheetView tabSelected="1" zoomScaleNormal="100" workbookViewId="0">
      <selection activeCell="AE65" sqref="AE6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9"/>
      <c r="B1" s="150"/>
      <c r="C1" s="150"/>
      <c r="D1" s="150"/>
      <c r="E1" s="150"/>
      <c r="F1" s="151"/>
      <c r="G1" s="158" t="s">
        <v>33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  <c r="U1" s="161" t="s">
        <v>75</v>
      </c>
      <c r="V1" s="162"/>
      <c r="W1" s="162"/>
      <c r="X1" s="162"/>
      <c r="Y1" s="162"/>
      <c r="Z1" s="163"/>
      <c r="AA1" s="78"/>
    </row>
    <row r="2" spans="1:36" ht="12.6" customHeight="1" x14ac:dyDescent="0.25">
      <c r="A2" s="152"/>
      <c r="B2" s="153"/>
      <c r="C2" s="153"/>
      <c r="D2" s="153"/>
      <c r="E2" s="153"/>
      <c r="F2" s="154"/>
      <c r="G2" s="170" t="s">
        <v>39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/>
      <c r="V2" s="165"/>
      <c r="W2" s="165"/>
      <c r="X2" s="165"/>
      <c r="Y2" s="165"/>
      <c r="Z2" s="166"/>
      <c r="AA2" s="78"/>
    </row>
    <row r="3" spans="1:36" ht="12.6" customHeight="1" x14ac:dyDescent="0.25">
      <c r="A3" s="152"/>
      <c r="B3" s="153"/>
      <c r="C3" s="153"/>
      <c r="D3" s="153"/>
      <c r="E3" s="153"/>
      <c r="F3" s="154"/>
      <c r="G3" s="173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64"/>
      <c r="V3" s="165"/>
      <c r="W3" s="165"/>
      <c r="X3" s="165"/>
      <c r="Y3" s="165"/>
      <c r="Z3" s="166"/>
      <c r="AA3" s="78"/>
    </row>
    <row r="4" spans="1:36" ht="12.6" customHeight="1" x14ac:dyDescent="0.25">
      <c r="A4" s="152"/>
      <c r="B4" s="153"/>
      <c r="C4" s="153"/>
      <c r="D4" s="153"/>
      <c r="E4" s="153"/>
      <c r="F4" s="154"/>
      <c r="G4" s="173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4"/>
      <c r="V4" s="165"/>
      <c r="W4" s="165"/>
      <c r="X4" s="165"/>
      <c r="Y4" s="165"/>
      <c r="Z4" s="166"/>
      <c r="AA4" s="78"/>
    </row>
    <row r="5" spans="1:36" ht="12.6" customHeight="1" x14ac:dyDescent="0.25">
      <c r="A5" s="152"/>
      <c r="B5" s="153"/>
      <c r="C5" s="153"/>
      <c r="D5" s="153"/>
      <c r="E5" s="153"/>
      <c r="F5" s="154"/>
      <c r="G5" s="173" t="s">
        <v>40</v>
      </c>
      <c r="H5" s="171"/>
      <c r="I5" s="2" t="s">
        <v>34</v>
      </c>
      <c r="J5" s="174">
        <v>5</v>
      </c>
      <c r="K5" s="175"/>
      <c r="L5" s="176" t="s">
        <v>55</v>
      </c>
      <c r="M5" s="174"/>
      <c r="N5" s="174"/>
      <c r="O5" s="175"/>
      <c r="P5" s="177">
        <v>45770</v>
      </c>
      <c r="Q5" s="178"/>
      <c r="R5" s="178"/>
      <c r="S5" s="178"/>
      <c r="T5" s="179"/>
      <c r="U5" s="164"/>
      <c r="V5" s="165"/>
      <c r="W5" s="165"/>
      <c r="X5" s="165"/>
      <c r="Y5" s="165"/>
      <c r="Z5" s="166"/>
      <c r="AA5" s="78"/>
    </row>
    <row r="6" spans="1:36" ht="12.6" customHeight="1" x14ac:dyDescent="0.25">
      <c r="A6" s="155"/>
      <c r="B6" s="156"/>
      <c r="C6" s="156"/>
      <c r="D6" s="156"/>
      <c r="E6" s="156"/>
      <c r="F6" s="157"/>
      <c r="G6" s="3"/>
      <c r="H6" s="4"/>
      <c r="I6" s="4"/>
      <c r="J6" s="141" t="s">
        <v>35</v>
      </c>
      <c r="K6" s="141"/>
      <c r="L6" s="141" t="s">
        <v>36</v>
      </c>
      <c r="M6" s="141"/>
      <c r="N6" s="141"/>
      <c r="O6" s="141"/>
      <c r="P6" s="141" t="s">
        <v>37</v>
      </c>
      <c r="Q6" s="141"/>
      <c r="R6" s="141"/>
      <c r="S6" s="141"/>
      <c r="T6" s="146"/>
      <c r="U6" s="167"/>
      <c r="V6" s="168"/>
      <c r="W6" s="168"/>
      <c r="X6" s="168"/>
      <c r="Y6" s="168"/>
      <c r="Z6" s="169"/>
      <c r="AA6" s="78"/>
    </row>
    <row r="7" spans="1:36" ht="36.6" customHeight="1" x14ac:dyDescent="0.25">
      <c r="A7" s="147" t="s">
        <v>38</v>
      </c>
      <c r="B7" s="147"/>
      <c r="C7" s="147"/>
      <c r="D7" s="147"/>
      <c r="E7" s="147"/>
      <c r="F7" s="147"/>
      <c r="G7" s="148" t="s">
        <v>32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42" t="s">
        <v>27</v>
      </c>
      <c r="C10" s="142"/>
      <c r="D10" s="142"/>
      <c r="E10" s="142"/>
      <c r="F10" s="142"/>
      <c r="G10" s="143" t="s">
        <v>57</v>
      </c>
      <c r="H10" s="143"/>
      <c r="I10" s="143"/>
      <c r="J10" s="143"/>
      <c r="K10" s="143"/>
      <c r="L10" s="143"/>
      <c r="M10" s="142" t="s">
        <v>30</v>
      </c>
      <c r="N10" s="142"/>
      <c r="O10" s="142"/>
      <c r="P10" s="142"/>
      <c r="Q10" s="142"/>
      <c r="R10" s="142"/>
      <c r="S10" s="144" t="s">
        <v>61</v>
      </c>
      <c r="T10" s="144"/>
      <c r="U10" s="144"/>
      <c r="V10" s="144"/>
      <c r="W10" s="144"/>
      <c r="X10" s="144"/>
      <c r="Y10" s="144"/>
      <c r="Z10" s="17"/>
      <c r="AA10" s="75"/>
      <c r="AB10" s="12"/>
      <c r="AC10" s="12"/>
      <c r="AD10" s="12"/>
      <c r="AE10" s="107"/>
      <c r="AF10" s="107"/>
      <c r="AG10" s="107"/>
      <c r="AH10" s="107"/>
      <c r="AI10" s="107"/>
    </row>
    <row r="11" spans="1:36" ht="15.9" customHeight="1" x14ac:dyDescent="0.25">
      <c r="A11" s="13"/>
      <c r="B11" s="142" t="s">
        <v>6</v>
      </c>
      <c r="C11" s="142"/>
      <c r="D11" s="142"/>
      <c r="E11" s="142"/>
      <c r="F11" s="142"/>
      <c r="G11" s="143">
        <v>45770</v>
      </c>
      <c r="H11" s="143"/>
      <c r="I11" s="143"/>
      <c r="J11" s="143"/>
      <c r="K11" s="143"/>
      <c r="L11" s="143"/>
      <c r="M11" s="142" t="s">
        <v>44</v>
      </c>
      <c r="N11" s="142"/>
      <c r="O11" s="142"/>
      <c r="P11" s="142"/>
      <c r="Q11" s="142"/>
      <c r="R11" s="142"/>
      <c r="S11" s="144" t="s">
        <v>62</v>
      </c>
      <c r="T11" s="144"/>
      <c r="U11" s="144"/>
      <c r="V11" s="144"/>
      <c r="W11" s="144"/>
      <c r="X11" s="144"/>
      <c r="Y11" s="144"/>
      <c r="Z11" s="17"/>
      <c r="AA11" s="75"/>
      <c r="AB11" s="12"/>
      <c r="AC11" s="12"/>
      <c r="AD11" s="12"/>
      <c r="AE11" s="107"/>
      <c r="AF11" s="107"/>
      <c r="AG11" s="107"/>
      <c r="AH11" s="107"/>
      <c r="AI11" s="107"/>
    </row>
    <row r="12" spans="1:36" ht="15.9" customHeight="1" x14ac:dyDescent="0.25">
      <c r="A12" s="13"/>
      <c r="B12" s="142" t="s">
        <v>28</v>
      </c>
      <c r="C12" s="142"/>
      <c r="D12" s="142"/>
      <c r="E12" s="142"/>
      <c r="F12" s="142"/>
      <c r="G12" s="143">
        <v>45765</v>
      </c>
      <c r="H12" s="143"/>
      <c r="I12" s="143"/>
      <c r="J12" s="143"/>
      <c r="K12" s="143"/>
      <c r="L12" s="143"/>
      <c r="M12" s="145" t="s">
        <v>43</v>
      </c>
      <c r="N12" s="145"/>
      <c r="O12" s="145"/>
      <c r="P12" s="145"/>
      <c r="Q12" s="145"/>
      <c r="R12" s="145"/>
      <c r="S12" s="144"/>
      <c r="T12" s="144"/>
      <c r="U12" s="144"/>
      <c r="V12" s="144"/>
      <c r="W12" s="144"/>
      <c r="X12" s="144"/>
      <c r="Y12" s="14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85" t="s">
        <v>41</v>
      </c>
      <c r="C13" s="185"/>
      <c r="D13" s="185"/>
      <c r="E13" s="185"/>
      <c r="F13" s="185"/>
      <c r="G13" s="186" t="s">
        <v>60</v>
      </c>
      <c r="H13" s="186"/>
      <c r="I13" s="186"/>
      <c r="J13" s="186"/>
      <c r="K13" s="186"/>
      <c r="L13" s="186"/>
      <c r="M13" s="142" t="s">
        <v>29</v>
      </c>
      <c r="N13" s="142"/>
      <c r="O13" s="142"/>
      <c r="P13" s="142"/>
      <c r="Q13" s="142"/>
      <c r="R13" s="142"/>
      <c r="S13" s="186" t="s">
        <v>63</v>
      </c>
      <c r="T13" s="186"/>
      <c r="U13" s="186"/>
      <c r="V13" s="186"/>
      <c r="W13" s="186"/>
      <c r="X13" s="186"/>
      <c r="Y13" s="186"/>
      <c r="Z13" s="17"/>
      <c r="AA13" s="75"/>
      <c r="AB13" s="12"/>
      <c r="AC13" s="12"/>
      <c r="AD13" s="12"/>
      <c r="AE13" s="107"/>
      <c r="AF13" s="107"/>
      <c r="AG13" s="107"/>
      <c r="AH13" s="107"/>
      <c r="AI13" s="107"/>
      <c r="AJ13" s="107"/>
    </row>
    <row r="14" spans="1:36" ht="15.9" customHeight="1" x14ac:dyDescent="0.25">
      <c r="A14" s="18"/>
      <c r="B14" s="142" t="s">
        <v>42</v>
      </c>
      <c r="C14" s="142"/>
      <c r="D14" s="142"/>
      <c r="E14" s="142"/>
      <c r="F14" s="142"/>
      <c r="G14" s="186" t="s">
        <v>74</v>
      </c>
      <c r="H14" s="186"/>
      <c r="I14" s="186"/>
      <c r="J14" s="186"/>
      <c r="K14" s="186"/>
      <c r="L14" s="186"/>
      <c r="M14" s="144" t="s">
        <v>26</v>
      </c>
      <c r="N14" s="144"/>
      <c r="O14" s="144"/>
      <c r="P14" s="144"/>
      <c r="Q14" s="144"/>
      <c r="R14" s="144"/>
      <c r="S14" s="144" t="s">
        <v>49</v>
      </c>
      <c r="T14" s="144"/>
      <c r="U14" s="144"/>
      <c r="V14" s="144"/>
      <c r="W14" s="144"/>
      <c r="X14" s="144"/>
      <c r="Y14" s="144"/>
      <c r="Z14" s="19"/>
      <c r="AA14" s="12"/>
      <c r="AB14" s="12"/>
      <c r="AC14" s="12"/>
      <c r="AD14" s="12"/>
      <c r="AE14" s="107"/>
      <c r="AF14" s="107"/>
      <c r="AG14" s="107"/>
      <c r="AH14" s="107"/>
      <c r="AI14" s="107"/>
      <c r="AJ14" s="10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7"/>
      <c r="AF15" s="107"/>
      <c r="AG15" s="107"/>
      <c r="AH15" s="107"/>
      <c r="AI15" s="107"/>
      <c r="AJ15" s="10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7"/>
      <c r="AF16" s="107"/>
      <c r="AG16" s="107"/>
      <c r="AH16" s="107"/>
      <c r="AI16" s="107"/>
      <c r="AJ16" s="10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42" t="s">
        <v>19</v>
      </c>
      <c r="C19" s="142"/>
      <c r="D19" s="142"/>
      <c r="E19" s="142"/>
      <c r="F19" s="142"/>
      <c r="G19" s="142"/>
      <c r="H19" s="142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"/>
      <c r="AA19" s="75"/>
      <c r="AE19" s="20"/>
      <c r="AI19" s="20"/>
    </row>
    <row r="20" spans="1:40" ht="15.9" customHeight="1" x14ac:dyDescent="0.25">
      <c r="A20" s="13"/>
      <c r="B20" s="142" t="s">
        <v>20</v>
      </c>
      <c r="C20" s="142"/>
      <c r="D20" s="142"/>
      <c r="E20" s="142"/>
      <c r="F20" s="142"/>
      <c r="G20" s="142"/>
      <c r="H20" s="142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64.9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181" t="s">
        <v>16</v>
      </c>
      <c r="AE47" s="183">
        <v>2.6030000000000002</v>
      </c>
      <c r="AF47" s="187"/>
      <c r="AG47" s="197"/>
      <c r="AH47" s="39"/>
    </row>
    <row r="48" spans="1:34" ht="12.75" customHeight="1" thickBot="1" x14ac:dyDescent="0.3">
      <c r="A48" s="18"/>
      <c r="Z48" s="87"/>
      <c r="AD48" s="182"/>
      <c r="AE48" s="184"/>
      <c r="AF48" s="196"/>
      <c r="AG48" s="197"/>
    </row>
    <row r="49" spans="1:34" ht="18.75" customHeight="1" thickBot="1" x14ac:dyDescent="0.3">
      <c r="A49" s="18"/>
      <c r="E49" s="198" t="s">
        <v>11</v>
      </c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200" t="s">
        <v>47</v>
      </c>
      <c r="V49" s="201"/>
      <c r="W49" s="204" t="s">
        <v>12</v>
      </c>
      <c r="X49" s="201"/>
      <c r="Y49" s="206" t="s">
        <v>13</v>
      </c>
      <c r="Z49" s="207"/>
      <c r="AA49" s="82"/>
      <c r="AB49" s="210" t="s">
        <v>45</v>
      </c>
      <c r="AC49" s="211"/>
      <c r="AD49" s="214" t="s">
        <v>14</v>
      </c>
      <c r="AE49" s="216" t="s">
        <v>15</v>
      </c>
      <c r="AF49" s="187"/>
      <c r="AG49" s="187"/>
      <c r="AH49" s="40"/>
    </row>
    <row r="50" spans="1:34" ht="24.9" customHeight="1" thickBot="1" x14ac:dyDescent="0.3">
      <c r="A50" s="5"/>
      <c r="B50" s="41" t="s">
        <v>22</v>
      </c>
      <c r="C50" s="188" t="s">
        <v>10</v>
      </c>
      <c r="D50" s="189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2"/>
      <c r="V50" s="203"/>
      <c r="W50" s="205"/>
      <c r="X50" s="203"/>
      <c r="Y50" s="208"/>
      <c r="Z50" s="209"/>
      <c r="AA50" s="82"/>
      <c r="AB50" s="212"/>
      <c r="AC50" s="213"/>
      <c r="AD50" s="215"/>
      <c r="AE50" s="217"/>
      <c r="AF50" s="218"/>
      <c r="AG50" s="187"/>
    </row>
    <row r="51" spans="1:34" ht="24.9" customHeight="1" x14ac:dyDescent="0.25">
      <c r="A51" s="5"/>
      <c r="B51" s="43">
        <v>1</v>
      </c>
      <c r="C51" s="190" t="s">
        <v>72</v>
      </c>
      <c r="D51" s="191"/>
      <c r="E51" s="137">
        <v>6.3</v>
      </c>
      <c r="F51" s="138">
        <v>8.1999999999999993</v>
      </c>
      <c r="G51" s="139">
        <v>10.6</v>
      </c>
      <c r="H51" s="139">
        <v>13.8</v>
      </c>
      <c r="I51" s="139">
        <v>18.2</v>
      </c>
      <c r="J51" s="139">
        <v>27.7</v>
      </c>
      <c r="K51" s="139">
        <v>40.5</v>
      </c>
      <c r="L51" s="139">
        <v>55.5</v>
      </c>
      <c r="M51" s="139">
        <v>71.3</v>
      </c>
      <c r="N51" s="139">
        <v>93.9</v>
      </c>
      <c r="O51" s="139">
        <v>100</v>
      </c>
      <c r="P51" s="139"/>
      <c r="Q51" s="139"/>
      <c r="R51" s="139"/>
      <c r="S51" s="140"/>
      <c r="T51" s="140"/>
      <c r="U51" s="270">
        <v>174</v>
      </c>
      <c r="V51" s="271"/>
      <c r="W51" s="272">
        <v>5.18</v>
      </c>
      <c r="X51" s="273"/>
      <c r="Y51" s="192">
        <f>IF(W51&lt;&gt;0,AE51,"")</f>
        <v>3.2467374748482807</v>
      </c>
      <c r="Z51" s="193"/>
      <c r="AA51" s="80"/>
      <c r="AB51" s="194">
        <f>(100*W51)/(100-W51)</f>
        <v>5.4629824931449065</v>
      </c>
      <c r="AC51" s="195"/>
      <c r="AD51" s="67">
        <f>(0.25*(100-O51)+2.3*(O51-H51)+12*(H51-E51)+150*(E51))/100</f>
        <v>12.332599999999999</v>
      </c>
      <c r="AE51" s="68">
        <f>(AB51*$AE$47)/(2.65*(AD51)^(1/5))</f>
        <v>3.2467374748482807</v>
      </c>
      <c r="AF51" s="29"/>
      <c r="AG51" s="66"/>
    </row>
    <row r="52" spans="1:34" ht="24.9" customHeight="1" x14ac:dyDescent="0.25">
      <c r="A52" s="5"/>
      <c r="B52" s="44">
        <v>2</v>
      </c>
      <c r="C52" s="190" t="s">
        <v>73</v>
      </c>
      <c r="D52" s="191"/>
      <c r="E52" s="137">
        <v>7.1</v>
      </c>
      <c r="F52" s="138">
        <v>9.1</v>
      </c>
      <c r="G52" s="139">
        <v>11.4</v>
      </c>
      <c r="H52" s="139">
        <v>15.7</v>
      </c>
      <c r="I52" s="139">
        <v>20.6</v>
      </c>
      <c r="J52" s="139">
        <v>28.6</v>
      </c>
      <c r="K52" s="139">
        <v>38.6</v>
      </c>
      <c r="L52" s="139">
        <v>56.7</v>
      </c>
      <c r="M52" s="139">
        <v>74.5</v>
      </c>
      <c r="N52" s="139">
        <v>94.6</v>
      </c>
      <c r="O52" s="139">
        <v>100</v>
      </c>
      <c r="P52" s="139"/>
      <c r="Q52" s="139"/>
      <c r="R52" s="139"/>
      <c r="S52" s="140"/>
      <c r="T52" s="140"/>
      <c r="U52" s="270">
        <v>183</v>
      </c>
      <c r="V52" s="271"/>
      <c r="W52" s="272">
        <v>5.03</v>
      </c>
      <c r="X52" s="273"/>
      <c r="Y52" s="222">
        <f>IF(W52&lt;&gt;0,AE52,"")</f>
        <v>3.0858064347196406</v>
      </c>
      <c r="Z52" s="223"/>
      <c r="AA52" s="80"/>
      <c r="AB52" s="194">
        <f>(100*W52)/(100-W52)</f>
        <v>5.2964093924397178</v>
      </c>
      <c r="AC52" s="195"/>
      <c r="AD52" s="67">
        <f t="shared" ref="AD52:AD58" si="0">(0.25*(100-O52)+2.3*(O52-H52)+12*(H52-E52)+150*(E52))/100</f>
        <v>13.620899999999999</v>
      </c>
      <c r="AE52" s="68">
        <f t="shared" ref="AE52:AE58" si="1">(AB52*$AE$47)/(2.65*(AD52)^(1/5))</f>
        <v>3.0858064347196406</v>
      </c>
      <c r="AF52" s="29"/>
      <c r="AG52" s="66"/>
    </row>
    <row r="53" spans="1:34" ht="24.9" customHeight="1" x14ac:dyDescent="0.25">
      <c r="A53" s="5"/>
      <c r="B53" s="44">
        <v>3</v>
      </c>
      <c r="C53" s="224"/>
      <c r="D53" s="225"/>
      <c r="E53" s="117"/>
      <c r="F53" s="118"/>
      <c r="G53" s="118"/>
      <c r="H53" s="119"/>
      <c r="I53" s="119"/>
      <c r="J53" s="119"/>
      <c r="K53" s="119"/>
      <c r="L53" s="119"/>
      <c r="M53" s="119"/>
      <c r="N53" s="119"/>
      <c r="O53" s="120"/>
      <c r="P53" s="119"/>
      <c r="Q53" s="119"/>
      <c r="R53" s="119"/>
      <c r="S53" s="119"/>
      <c r="T53" s="121"/>
      <c r="U53" s="226"/>
      <c r="V53" s="227"/>
      <c r="W53" s="228"/>
      <c r="X53" s="229"/>
      <c r="Y53" s="222" t="str">
        <f t="shared" ref="Y53:Y54" si="2">IF(W53&lt;&gt;0,AE53,"")</f>
        <v/>
      </c>
      <c r="Z53" s="223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97"/>
      <c r="D54" s="298"/>
      <c r="E54" s="122"/>
      <c r="F54" s="123"/>
      <c r="G54" s="123"/>
      <c r="H54" s="124"/>
      <c r="I54" s="124"/>
      <c r="J54" s="124"/>
      <c r="K54" s="124"/>
      <c r="L54" s="124"/>
      <c r="M54" s="124"/>
      <c r="N54" s="124"/>
      <c r="O54" s="125"/>
      <c r="P54" s="124"/>
      <c r="Q54" s="124"/>
      <c r="R54" s="124"/>
      <c r="S54" s="124"/>
      <c r="T54" s="126"/>
      <c r="U54" s="299"/>
      <c r="V54" s="300"/>
      <c r="W54" s="301"/>
      <c r="X54" s="302"/>
      <c r="Y54" s="303" t="str">
        <f t="shared" si="2"/>
        <v/>
      </c>
      <c r="Z54" s="304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9" t="s">
        <v>8</v>
      </c>
      <c r="C56" s="220"/>
      <c r="D56" s="221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09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39" t="s">
        <v>7</v>
      </c>
      <c r="C57" s="240"/>
      <c r="D57" s="241"/>
      <c r="E57" s="92">
        <f t="shared" ref="E57:T57" si="3">IF(E51&lt;&gt;0,AVERAGE(E51:E54),"")</f>
        <v>6.6999999999999993</v>
      </c>
      <c r="F57" s="92">
        <f t="shared" si="3"/>
        <v>8.6499999999999986</v>
      </c>
      <c r="G57" s="92">
        <f t="shared" si="3"/>
        <v>11</v>
      </c>
      <c r="H57" s="92">
        <f t="shared" si="3"/>
        <v>14.75</v>
      </c>
      <c r="I57" s="92">
        <f t="shared" si="3"/>
        <v>19.399999999999999</v>
      </c>
      <c r="J57" s="92">
        <f t="shared" si="3"/>
        <v>28.15</v>
      </c>
      <c r="K57" s="92">
        <f t="shared" si="3"/>
        <v>39.549999999999997</v>
      </c>
      <c r="L57" s="92">
        <f t="shared" si="3"/>
        <v>56.1</v>
      </c>
      <c r="M57" s="92">
        <f t="shared" si="3"/>
        <v>72.900000000000006</v>
      </c>
      <c r="N57" s="92">
        <f t="shared" si="3"/>
        <v>94.25</v>
      </c>
      <c r="O57" s="110">
        <f t="shared" si="3"/>
        <v>100</v>
      </c>
      <c r="P57" s="92"/>
      <c r="Q57" s="92"/>
      <c r="R57" s="92"/>
      <c r="S57" s="92"/>
      <c r="T57" s="93" t="str">
        <f t="shared" si="3"/>
        <v/>
      </c>
      <c r="U57" s="242">
        <f>IF(U51&lt;&gt;0,AVERAGE(U51:V54),"")</f>
        <v>178.5</v>
      </c>
      <c r="V57" s="243"/>
      <c r="W57" s="244">
        <f>IF(W51&lt;&gt;0,AVERAGE(W51:X54),"")</f>
        <v>5.1050000000000004</v>
      </c>
      <c r="X57" s="245"/>
      <c r="Y57" s="246">
        <f>IF(W51&lt;&gt;0,AVERAGE(Y51:Z54),"")</f>
        <v>3.1662719547839604</v>
      </c>
      <c r="Z57" s="247"/>
      <c r="AA57" s="66"/>
      <c r="AB57" s="194">
        <f>(100*W57)/(100-W57)</f>
        <v>5.3796301174982881</v>
      </c>
      <c r="AC57" s="195"/>
      <c r="AD57" s="67">
        <f t="shared" si="0"/>
        <v>12.976749999999999</v>
      </c>
      <c r="AE57" s="68">
        <f t="shared" si="1"/>
        <v>3.1648091305897084</v>
      </c>
      <c r="AF57" s="29"/>
      <c r="AG57" s="66"/>
    </row>
    <row r="58" spans="1:34" ht="21" customHeight="1" x14ac:dyDescent="0.25">
      <c r="A58" s="5"/>
      <c r="B58" s="248" t="s">
        <v>9</v>
      </c>
      <c r="C58" s="249"/>
      <c r="D58" s="250"/>
      <c r="E58" s="94">
        <v>7</v>
      </c>
      <c r="F58" s="319" t="e">
        <v>#N/A</v>
      </c>
      <c r="G58" s="94">
        <v>12</v>
      </c>
      <c r="H58" s="94">
        <v>16</v>
      </c>
      <c r="I58" s="94">
        <v>22</v>
      </c>
      <c r="J58" s="94">
        <v>30</v>
      </c>
      <c r="K58" s="94">
        <v>43</v>
      </c>
      <c r="L58" s="94">
        <v>61</v>
      </c>
      <c r="M58" s="94">
        <v>80</v>
      </c>
      <c r="N58" s="94">
        <v>95</v>
      </c>
      <c r="O58" s="111">
        <v>100</v>
      </c>
      <c r="P58" s="94"/>
      <c r="Q58" s="94"/>
      <c r="R58" s="94"/>
      <c r="S58" s="94"/>
      <c r="T58" s="95"/>
      <c r="U58" s="251"/>
      <c r="V58" s="252"/>
      <c r="W58" s="253">
        <v>5.5</v>
      </c>
      <c r="X58" s="254"/>
      <c r="Y58" s="255">
        <f>AE58</f>
        <v>3.3963719685971836</v>
      </c>
      <c r="Z58" s="256"/>
      <c r="AA58" s="66"/>
      <c r="AB58" s="194">
        <f>(100*W58)/(100-W58)</f>
        <v>5.8201058201058204</v>
      </c>
      <c r="AC58" s="195"/>
      <c r="AD58" s="67">
        <f t="shared" si="0"/>
        <v>13.512</v>
      </c>
      <c r="AE58" s="68">
        <f t="shared" si="1"/>
        <v>3.3963719685971836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9</v>
      </c>
      <c r="F59" s="90"/>
      <c r="G59" s="90"/>
      <c r="H59" s="90"/>
      <c r="I59" s="90"/>
      <c r="J59" s="90">
        <f>J58+6</f>
        <v>36</v>
      </c>
      <c r="K59" s="90"/>
      <c r="L59" s="90">
        <f>L58+7</f>
        <v>68</v>
      </c>
      <c r="M59" s="90"/>
      <c r="N59" s="90"/>
      <c r="O59" s="90"/>
      <c r="P59" s="90"/>
      <c r="Q59" s="90"/>
      <c r="R59" s="90"/>
      <c r="S59" s="90"/>
      <c r="T59" s="91"/>
      <c r="U59" s="292"/>
      <c r="V59" s="293"/>
      <c r="W59" s="294">
        <f>W58+0.5</f>
        <v>6</v>
      </c>
      <c r="X59" s="293"/>
      <c r="Y59" s="295"/>
      <c r="Z59" s="296"/>
      <c r="AA59" s="83"/>
      <c r="AB59" s="71"/>
      <c r="AC59" s="69"/>
      <c r="AD59" s="230"/>
      <c r="AE59" s="232" t="s">
        <v>46</v>
      </c>
      <c r="AF59" s="29"/>
      <c r="AG59" s="66"/>
    </row>
    <row r="60" spans="1:34" ht="13.5" customHeight="1" thickBot="1" x14ac:dyDescent="0.3">
      <c r="A60" s="5"/>
      <c r="B60" s="202" t="s">
        <v>24</v>
      </c>
      <c r="C60" s="205"/>
      <c r="D60" s="203"/>
      <c r="E60" s="96">
        <f>E58-2</f>
        <v>5</v>
      </c>
      <c r="F60" s="96"/>
      <c r="G60" s="97"/>
      <c r="H60" s="97"/>
      <c r="I60" s="97"/>
      <c r="J60" s="96">
        <f>J58-6</f>
        <v>24</v>
      </c>
      <c r="K60" s="97"/>
      <c r="L60" s="96">
        <f>L58-7</f>
        <v>54</v>
      </c>
      <c r="M60" s="96"/>
      <c r="N60" s="97"/>
      <c r="O60" s="97"/>
      <c r="P60" s="97"/>
      <c r="Q60" s="96"/>
      <c r="R60" s="97"/>
      <c r="S60" s="97"/>
      <c r="T60" s="98"/>
      <c r="U60" s="234"/>
      <c r="V60" s="235"/>
      <c r="W60" s="236">
        <f>W58-0.5</f>
        <v>5</v>
      </c>
      <c r="X60" s="235"/>
      <c r="Y60" s="237"/>
      <c r="Z60" s="238"/>
      <c r="AA60" s="84"/>
      <c r="AB60" s="72"/>
      <c r="AC60" s="73"/>
      <c r="AD60" s="231"/>
      <c r="AE60" s="23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74"/>
      <c r="V63" s="274"/>
      <c r="W63" s="274"/>
      <c r="X63" s="274"/>
      <c r="Y63" s="274"/>
      <c r="Z63" s="275"/>
      <c r="AA63" s="81"/>
      <c r="AB63" s="58"/>
      <c r="AC63" s="58"/>
      <c r="AD63" s="59"/>
    </row>
    <row r="64" spans="1:34" ht="26.4" customHeight="1" x14ac:dyDescent="0.25">
      <c r="A64" s="276" t="s">
        <v>48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8"/>
      <c r="R64" s="263" t="s">
        <v>31</v>
      </c>
      <c r="S64" s="264"/>
      <c r="T64" s="265"/>
      <c r="U64" s="279" t="s">
        <v>53</v>
      </c>
      <c r="V64" s="280"/>
      <c r="W64" s="280"/>
      <c r="X64" s="281"/>
      <c r="Y64" s="281"/>
      <c r="Z64" s="282"/>
      <c r="AA64" s="76"/>
      <c r="AB64" s="60"/>
      <c r="AC64" s="60"/>
      <c r="AD64" s="59"/>
    </row>
    <row r="65" spans="1:30" ht="26.4" customHeight="1" x14ac:dyDescent="0.25">
      <c r="A65" s="283" t="s">
        <v>52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5"/>
      <c r="R65" s="263" t="s">
        <v>51</v>
      </c>
      <c r="S65" s="264"/>
      <c r="T65" s="265"/>
      <c r="U65" s="286" t="s">
        <v>54</v>
      </c>
      <c r="V65" s="287"/>
      <c r="W65" s="287"/>
      <c r="X65" s="287"/>
      <c r="Y65" s="287"/>
      <c r="Z65" s="28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63"/>
      <c r="S66" s="264"/>
      <c r="T66" s="265"/>
      <c r="U66" s="289"/>
      <c r="V66" s="290"/>
      <c r="W66" s="290"/>
      <c r="X66" s="290"/>
      <c r="Y66" s="290"/>
      <c r="Z66" s="291"/>
      <c r="AA66" s="76"/>
      <c r="AB66" s="60"/>
      <c r="AC66" s="60"/>
      <c r="AD66" s="59"/>
    </row>
    <row r="67" spans="1:30" ht="15.6" customHeight="1" x14ac:dyDescent="0.25">
      <c r="A67" s="257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9"/>
      <c r="R67" s="263" t="s">
        <v>25</v>
      </c>
      <c r="S67" s="264"/>
      <c r="T67" s="265"/>
      <c r="U67" s="99"/>
      <c r="V67" s="100"/>
      <c r="W67" s="100"/>
      <c r="X67" s="100"/>
      <c r="Y67" s="100"/>
      <c r="Z67" s="101"/>
      <c r="AA67" s="77"/>
      <c r="AB67" s="65"/>
      <c r="AC67" s="65"/>
      <c r="AD67" s="59"/>
    </row>
    <row r="68" spans="1:30" ht="15.6" customHeight="1" x14ac:dyDescent="0.25">
      <c r="A68" s="257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9"/>
      <c r="R68" s="263"/>
      <c r="S68" s="264"/>
      <c r="T68" s="265"/>
      <c r="U68" s="102"/>
      <c r="V68" s="269"/>
      <c r="W68" s="269"/>
      <c r="X68" s="269"/>
      <c r="Y68" s="269"/>
      <c r="Z68" s="103"/>
      <c r="AA68" s="77"/>
      <c r="AB68" s="65"/>
      <c r="AC68" s="65"/>
      <c r="AD68" s="59"/>
    </row>
    <row r="69" spans="1:30" ht="15.6" customHeight="1" x14ac:dyDescent="0.25">
      <c r="A69" s="257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9"/>
      <c r="R69" s="263"/>
      <c r="S69" s="264"/>
      <c r="T69" s="265"/>
      <c r="U69" s="102"/>
      <c r="V69" s="269"/>
      <c r="W69" s="269"/>
      <c r="X69" s="269"/>
      <c r="Y69" s="269"/>
      <c r="Z69" s="103"/>
      <c r="AA69" s="77"/>
      <c r="AB69" s="65"/>
      <c r="AC69" s="65"/>
      <c r="AD69" s="59"/>
    </row>
    <row r="70" spans="1:30" ht="15.6" customHeight="1" x14ac:dyDescent="0.2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2"/>
      <c r="R70" s="266"/>
      <c r="S70" s="267"/>
      <c r="T70" s="268"/>
      <c r="U70" s="104"/>
      <c r="V70" s="105"/>
      <c r="W70" s="105"/>
      <c r="X70" s="105"/>
      <c r="Y70" s="105"/>
      <c r="Z70" s="106"/>
      <c r="AA70" s="77"/>
      <c r="AB70" s="65"/>
      <c r="AC70" s="65"/>
      <c r="AD70" s="59"/>
    </row>
  </sheetData>
  <mergeCells count="101">
    <mergeCell ref="A67:Q70"/>
    <mergeCell ref="R67:T70"/>
    <mergeCell ref="V68:Y69"/>
    <mergeCell ref="U51:V51"/>
    <mergeCell ref="W51:X51"/>
    <mergeCell ref="U52:V52"/>
    <mergeCell ref="W52:X52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C51:D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63CE-142F-42DF-B265-217F8C4E7534}">
  <sheetPr>
    <pageSetUpPr fitToPage="1"/>
  </sheetPr>
  <dimension ref="A1:AN70"/>
  <sheetViews>
    <sheetView zoomScaleNormal="100" workbookViewId="0">
      <selection activeCell="R52" sqref="R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9"/>
      <c r="B1" s="150"/>
      <c r="C1" s="150"/>
      <c r="D1" s="150"/>
      <c r="E1" s="150"/>
      <c r="F1" s="151"/>
      <c r="G1" s="158" t="s">
        <v>33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  <c r="U1" s="161" t="s">
        <v>56</v>
      </c>
      <c r="V1" s="162"/>
      <c r="W1" s="162"/>
      <c r="X1" s="162"/>
      <c r="Y1" s="162"/>
      <c r="Z1" s="163"/>
      <c r="AA1" s="78"/>
    </row>
    <row r="2" spans="1:36" ht="12.6" customHeight="1" x14ac:dyDescent="0.25">
      <c r="A2" s="152"/>
      <c r="B2" s="153"/>
      <c r="C2" s="153"/>
      <c r="D2" s="153"/>
      <c r="E2" s="153"/>
      <c r="F2" s="154"/>
      <c r="G2" s="170" t="s">
        <v>39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/>
      <c r="V2" s="165"/>
      <c r="W2" s="165"/>
      <c r="X2" s="165"/>
      <c r="Y2" s="165"/>
      <c r="Z2" s="166"/>
      <c r="AA2" s="78"/>
    </row>
    <row r="3" spans="1:36" ht="12.6" customHeight="1" x14ac:dyDescent="0.25">
      <c r="A3" s="152"/>
      <c r="B3" s="153"/>
      <c r="C3" s="153"/>
      <c r="D3" s="153"/>
      <c r="E3" s="153"/>
      <c r="F3" s="154"/>
      <c r="G3" s="173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64"/>
      <c r="V3" s="165"/>
      <c r="W3" s="165"/>
      <c r="X3" s="165"/>
      <c r="Y3" s="165"/>
      <c r="Z3" s="166"/>
      <c r="AA3" s="78"/>
    </row>
    <row r="4" spans="1:36" ht="12.6" customHeight="1" x14ac:dyDescent="0.25">
      <c r="A4" s="152"/>
      <c r="B4" s="153"/>
      <c r="C4" s="153"/>
      <c r="D4" s="153"/>
      <c r="E4" s="153"/>
      <c r="F4" s="154"/>
      <c r="G4" s="173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4"/>
      <c r="V4" s="165"/>
      <c r="W4" s="165"/>
      <c r="X4" s="165"/>
      <c r="Y4" s="165"/>
      <c r="Z4" s="166"/>
      <c r="AA4" s="78"/>
    </row>
    <row r="5" spans="1:36" ht="12.6" customHeight="1" x14ac:dyDescent="0.25">
      <c r="A5" s="152"/>
      <c r="B5" s="153"/>
      <c r="C5" s="153"/>
      <c r="D5" s="153"/>
      <c r="E5" s="153"/>
      <c r="F5" s="154"/>
      <c r="G5" s="173" t="s">
        <v>40</v>
      </c>
      <c r="H5" s="171"/>
      <c r="I5" s="2" t="s">
        <v>34</v>
      </c>
      <c r="J5" s="174">
        <v>4</v>
      </c>
      <c r="K5" s="175"/>
      <c r="L5" s="176" t="s">
        <v>55</v>
      </c>
      <c r="M5" s="174"/>
      <c r="N5" s="174"/>
      <c r="O5" s="175"/>
      <c r="P5" s="177">
        <v>45637</v>
      </c>
      <c r="Q5" s="178"/>
      <c r="R5" s="178"/>
      <c r="S5" s="178"/>
      <c r="T5" s="179"/>
      <c r="U5" s="164"/>
      <c r="V5" s="165"/>
      <c r="W5" s="165"/>
      <c r="X5" s="165"/>
      <c r="Y5" s="165"/>
      <c r="Z5" s="166"/>
      <c r="AA5" s="78"/>
    </row>
    <row r="6" spans="1:36" ht="12.6" customHeight="1" x14ac:dyDescent="0.25">
      <c r="A6" s="155"/>
      <c r="B6" s="156"/>
      <c r="C6" s="156"/>
      <c r="D6" s="156"/>
      <c r="E6" s="156"/>
      <c r="F6" s="157"/>
      <c r="G6" s="3"/>
      <c r="H6" s="4"/>
      <c r="I6" s="4"/>
      <c r="J6" s="141" t="s">
        <v>35</v>
      </c>
      <c r="K6" s="141"/>
      <c r="L6" s="141" t="s">
        <v>36</v>
      </c>
      <c r="M6" s="141"/>
      <c r="N6" s="141"/>
      <c r="O6" s="141"/>
      <c r="P6" s="141" t="s">
        <v>37</v>
      </c>
      <c r="Q6" s="141"/>
      <c r="R6" s="141"/>
      <c r="S6" s="141"/>
      <c r="T6" s="146"/>
      <c r="U6" s="167"/>
      <c r="V6" s="168"/>
      <c r="W6" s="168"/>
      <c r="X6" s="168"/>
      <c r="Y6" s="168"/>
      <c r="Z6" s="169"/>
      <c r="AA6" s="78"/>
    </row>
    <row r="7" spans="1:36" ht="36.6" customHeight="1" x14ac:dyDescent="0.25">
      <c r="A7" s="147" t="s">
        <v>38</v>
      </c>
      <c r="B7" s="147"/>
      <c r="C7" s="147"/>
      <c r="D7" s="147"/>
      <c r="E7" s="147"/>
      <c r="F7" s="147"/>
      <c r="G7" s="148" t="s">
        <v>32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42" t="s">
        <v>27</v>
      </c>
      <c r="C10" s="142"/>
      <c r="D10" s="142"/>
      <c r="E10" s="142"/>
      <c r="F10" s="142"/>
      <c r="G10" s="143" t="s">
        <v>57</v>
      </c>
      <c r="H10" s="143"/>
      <c r="I10" s="143"/>
      <c r="J10" s="143"/>
      <c r="K10" s="143"/>
      <c r="L10" s="143"/>
      <c r="M10" s="142" t="s">
        <v>30</v>
      </c>
      <c r="N10" s="142"/>
      <c r="O10" s="142"/>
      <c r="P10" s="142"/>
      <c r="Q10" s="142"/>
      <c r="R10" s="142"/>
      <c r="S10" s="144" t="s">
        <v>61</v>
      </c>
      <c r="T10" s="144"/>
      <c r="U10" s="144"/>
      <c r="V10" s="144"/>
      <c r="W10" s="144"/>
      <c r="X10" s="144"/>
      <c r="Y10" s="144"/>
      <c r="Z10" s="17"/>
      <c r="AA10" s="75"/>
      <c r="AB10" s="12"/>
      <c r="AC10" s="12"/>
      <c r="AD10" s="12"/>
      <c r="AE10" s="107"/>
      <c r="AF10" s="107"/>
      <c r="AG10" s="107"/>
      <c r="AH10" s="107"/>
      <c r="AI10" s="107"/>
    </row>
    <row r="11" spans="1:36" ht="15.9" customHeight="1" x14ac:dyDescent="0.25">
      <c r="A11" s="13"/>
      <c r="B11" s="142" t="s">
        <v>6</v>
      </c>
      <c r="C11" s="142"/>
      <c r="D11" s="142"/>
      <c r="E11" s="142"/>
      <c r="F11" s="142"/>
      <c r="G11" s="143">
        <v>45637</v>
      </c>
      <c r="H11" s="143"/>
      <c r="I11" s="143"/>
      <c r="J11" s="143"/>
      <c r="K11" s="143"/>
      <c r="L11" s="143"/>
      <c r="M11" s="142" t="s">
        <v>44</v>
      </c>
      <c r="N11" s="142"/>
      <c r="O11" s="142"/>
      <c r="P11" s="142"/>
      <c r="Q11" s="142"/>
      <c r="R11" s="142"/>
      <c r="S11" s="144" t="s">
        <v>62</v>
      </c>
      <c r="T11" s="144"/>
      <c r="U11" s="144"/>
      <c r="V11" s="144"/>
      <c r="W11" s="144"/>
      <c r="X11" s="144"/>
      <c r="Y11" s="144"/>
      <c r="Z11" s="17"/>
      <c r="AA11" s="75"/>
      <c r="AB11" s="12"/>
      <c r="AC11" s="12"/>
      <c r="AD11" s="12"/>
      <c r="AE11" s="107"/>
      <c r="AF11" s="107"/>
      <c r="AG11" s="107"/>
      <c r="AH11" s="107"/>
      <c r="AI11" s="107"/>
    </row>
    <row r="12" spans="1:36" ht="15.9" customHeight="1" x14ac:dyDescent="0.25">
      <c r="A12" s="13"/>
      <c r="B12" s="142" t="s">
        <v>28</v>
      </c>
      <c r="C12" s="142"/>
      <c r="D12" s="142"/>
      <c r="E12" s="142"/>
      <c r="F12" s="142"/>
      <c r="G12" s="143">
        <v>45636</v>
      </c>
      <c r="H12" s="143"/>
      <c r="I12" s="143"/>
      <c r="J12" s="143"/>
      <c r="K12" s="143"/>
      <c r="L12" s="143"/>
      <c r="M12" s="145" t="s">
        <v>43</v>
      </c>
      <c r="N12" s="145"/>
      <c r="O12" s="145"/>
      <c r="P12" s="145"/>
      <c r="Q12" s="145"/>
      <c r="R12" s="145"/>
      <c r="S12" s="144">
        <v>110</v>
      </c>
      <c r="T12" s="144"/>
      <c r="U12" s="144"/>
      <c r="V12" s="144"/>
      <c r="W12" s="144"/>
      <c r="X12" s="144"/>
      <c r="Y12" s="14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85" t="s">
        <v>41</v>
      </c>
      <c r="C13" s="185"/>
      <c r="D13" s="185"/>
      <c r="E13" s="185"/>
      <c r="F13" s="185"/>
      <c r="G13" s="186" t="s">
        <v>60</v>
      </c>
      <c r="H13" s="186"/>
      <c r="I13" s="186"/>
      <c r="J13" s="186"/>
      <c r="K13" s="186"/>
      <c r="L13" s="186"/>
      <c r="M13" s="142" t="s">
        <v>29</v>
      </c>
      <c r="N13" s="142"/>
      <c r="O13" s="142"/>
      <c r="P13" s="142"/>
      <c r="Q13" s="142"/>
      <c r="R13" s="142"/>
      <c r="S13" s="186" t="s">
        <v>63</v>
      </c>
      <c r="T13" s="186"/>
      <c r="U13" s="186"/>
      <c r="V13" s="186"/>
      <c r="W13" s="186"/>
      <c r="X13" s="186"/>
      <c r="Y13" s="186"/>
      <c r="Z13" s="17"/>
      <c r="AA13" s="75"/>
      <c r="AB13" s="12"/>
      <c r="AC13" s="12"/>
      <c r="AD13" s="12"/>
      <c r="AE13" s="107"/>
      <c r="AF13" s="107"/>
      <c r="AG13" s="107"/>
      <c r="AH13" s="107"/>
      <c r="AI13" s="107"/>
      <c r="AJ13" s="107"/>
    </row>
    <row r="14" spans="1:36" ht="15.9" customHeight="1" x14ac:dyDescent="0.25">
      <c r="A14" s="18"/>
      <c r="B14" s="142" t="s">
        <v>42</v>
      </c>
      <c r="C14" s="142"/>
      <c r="D14" s="142"/>
      <c r="E14" s="142"/>
      <c r="F14" s="142"/>
      <c r="G14" s="186" t="s">
        <v>67</v>
      </c>
      <c r="H14" s="186"/>
      <c r="I14" s="186"/>
      <c r="J14" s="186"/>
      <c r="K14" s="186"/>
      <c r="L14" s="186"/>
      <c r="M14" s="144" t="s">
        <v>26</v>
      </c>
      <c r="N14" s="144"/>
      <c r="O14" s="144"/>
      <c r="P14" s="144"/>
      <c r="Q14" s="144"/>
      <c r="R14" s="144"/>
      <c r="S14" s="144" t="s">
        <v>49</v>
      </c>
      <c r="T14" s="144"/>
      <c r="U14" s="144"/>
      <c r="V14" s="144"/>
      <c r="W14" s="144"/>
      <c r="X14" s="144"/>
      <c r="Y14" s="144"/>
      <c r="Z14" s="19"/>
      <c r="AA14" s="12"/>
      <c r="AB14" s="12"/>
      <c r="AC14" s="12"/>
      <c r="AD14" s="12"/>
      <c r="AE14" s="107"/>
      <c r="AF14" s="107"/>
      <c r="AG14" s="107"/>
      <c r="AH14" s="107"/>
      <c r="AI14" s="107"/>
      <c r="AJ14" s="10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7"/>
      <c r="AF15" s="107"/>
      <c r="AG15" s="107"/>
      <c r="AH15" s="107"/>
      <c r="AI15" s="107"/>
      <c r="AJ15" s="10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7"/>
      <c r="AF16" s="107"/>
      <c r="AG16" s="107"/>
      <c r="AH16" s="107"/>
      <c r="AI16" s="107"/>
      <c r="AJ16" s="10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42" t="s">
        <v>19</v>
      </c>
      <c r="C19" s="142"/>
      <c r="D19" s="142"/>
      <c r="E19" s="142"/>
      <c r="F19" s="142"/>
      <c r="G19" s="142"/>
      <c r="H19" s="142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"/>
      <c r="AA19" s="75"/>
      <c r="AE19" s="20"/>
      <c r="AI19" s="20"/>
    </row>
    <row r="20" spans="1:40" ht="15.9" customHeight="1" x14ac:dyDescent="0.25">
      <c r="A20" s="13"/>
      <c r="B20" s="142" t="s">
        <v>20</v>
      </c>
      <c r="C20" s="142"/>
      <c r="D20" s="142"/>
      <c r="E20" s="142"/>
      <c r="F20" s="142"/>
      <c r="G20" s="142"/>
      <c r="H20" s="142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181" t="s">
        <v>16</v>
      </c>
      <c r="AE47" s="183">
        <v>2.6469999999999998</v>
      </c>
      <c r="AF47" s="187"/>
      <c r="AG47" s="197"/>
      <c r="AH47" s="39"/>
    </row>
    <row r="48" spans="1:34" ht="12.75" customHeight="1" thickBot="1" x14ac:dyDescent="0.3">
      <c r="A48" s="18"/>
      <c r="Z48" s="87"/>
      <c r="AD48" s="182"/>
      <c r="AE48" s="184"/>
      <c r="AF48" s="196"/>
      <c r="AG48" s="197"/>
    </row>
    <row r="49" spans="1:34" ht="18.75" customHeight="1" thickBot="1" x14ac:dyDescent="0.3">
      <c r="A49" s="18"/>
      <c r="E49" s="198" t="s">
        <v>11</v>
      </c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200" t="s">
        <v>47</v>
      </c>
      <c r="V49" s="201"/>
      <c r="W49" s="204" t="s">
        <v>12</v>
      </c>
      <c r="X49" s="201"/>
      <c r="Y49" s="206" t="s">
        <v>13</v>
      </c>
      <c r="Z49" s="207"/>
      <c r="AA49" s="82"/>
      <c r="AB49" s="210" t="s">
        <v>45</v>
      </c>
      <c r="AC49" s="211"/>
      <c r="AD49" s="214" t="s">
        <v>14</v>
      </c>
      <c r="AE49" s="216" t="s">
        <v>15</v>
      </c>
      <c r="AF49" s="187"/>
      <c r="AG49" s="187"/>
      <c r="AH49" s="40"/>
    </row>
    <row r="50" spans="1:34" ht="24.9" customHeight="1" thickBot="1" x14ac:dyDescent="0.3">
      <c r="A50" s="5"/>
      <c r="B50" s="41" t="s">
        <v>22</v>
      </c>
      <c r="C50" s="188" t="s">
        <v>10</v>
      </c>
      <c r="D50" s="189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2"/>
      <c r="V50" s="203"/>
      <c r="W50" s="205"/>
      <c r="X50" s="203"/>
      <c r="Y50" s="208"/>
      <c r="Z50" s="209"/>
      <c r="AA50" s="82"/>
      <c r="AB50" s="212"/>
      <c r="AC50" s="213"/>
      <c r="AD50" s="215"/>
      <c r="AE50" s="217"/>
      <c r="AF50" s="218"/>
      <c r="AG50" s="187"/>
    </row>
    <row r="51" spans="1:34" ht="24.9" customHeight="1" x14ac:dyDescent="0.25">
      <c r="A51" s="5"/>
      <c r="B51" s="43">
        <v>1</v>
      </c>
      <c r="C51" s="190" t="s">
        <v>69</v>
      </c>
      <c r="D51" s="191"/>
      <c r="E51" s="127">
        <v>6.6</v>
      </c>
      <c r="F51" s="128">
        <v>8.5</v>
      </c>
      <c r="G51" s="129">
        <v>11.4</v>
      </c>
      <c r="H51" s="129">
        <v>15.1</v>
      </c>
      <c r="I51" s="129">
        <v>19.899999999999999</v>
      </c>
      <c r="J51" s="129">
        <v>28.4</v>
      </c>
      <c r="K51" s="129">
        <v>43</v>
      </c>
      <c r="L51" s="129">
        <v>60.2</v>
      </c>
      <c r="M51" s="129">
        <v>77.7</v>
      </c>
      <c r="N51" s="129">
        <v>93.1</v>
      </c>
      <c r="O51" s="131">
        <v>100</v>
      </c>
      <c r="P51" s="129"/>
      <c r="Q51" s="129"/>
      <c r="R51" s="129"/>
      <c r="S51" s="130"/>
      <c r="T51" s="130"/>
      <c r="U51" s="305">
        <v>178</v>
      </c>
      <c r="V51" s="306"/>
      <c r="W51" s="307">
        <v>4.9800000000000004</v>
      </c>
      <c r="X51" s="308"/>
      <c r="Y51" s="192">
        <f>IF(W51&lt;&gt;0,AE51,"")</f>
        <v>3.1404252056040032</v>
      </c>
      <c r="Z51" s="193"/>
      <c r="AA51" s="80"/>
      <c r="AB51" s="194">
        <f>(100*W51)/(100-W51)</f>
        <v>5.2410018943380345</v>
      </c>
      <c r="AC51" s="195"/>
      <c r="AD51" s="67">
        <f>(0.25*(100-O51)+2.3*(O51-H51)+12*(H51-E51)+150*(E51))/100</f>
        <v>12.8727</v>
      </c>
      <c r="AE51" s="68">
        <f>(AB51*$AE$47)/(2.65*(AD51)^(1/5))</f>
        <v>3.1404252056040032</v>
      </c>
      <c r="AF51" s="29"/>
      <c r="AG51" s="66"/>
    </row>
    <row r="52" spans="1:34" ht="24.9" customHeight="1" x14ac:dyDescent="0.25">
      <c r="A52" s="5"/>
      <c r="B52" s="44">
        <v>2</v>
      </c>
      <c r="C52" s="190"/>
      <c r="D52" s="191"/>
      <c r="E52" s="127"/>
      <c r="F52" s="128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30"/>
      <c r="T52" s="130"/>
      <c r="U52" s="305"/>
      <c r="V52" s="306"/>
      <c r="W52" s="307"/>
      <c r="X52" s="308"/>
      <c r="Y52" s="222" t="str">
        <f>IF(W52&lt;&gt;0,AE52,"")</f>
        <v/>
      </c>
      <c r="Z52" s="223"/>
      <c r="AA52" s="80"/>
      <c r="AB52" s="194">
        <f>(100*W52)/(100-W52)</f>
        <v>0</v>
      </c>
      <c r="AC52" s="195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224"/>
      <c r="D53" s="225"/>
      <c r="E53" s="117"/>
      <c r="F53" s="118"/>
      <c r="G53" s="118"/>
      <c r="H53" s="119"/>
      <c r="I53" s="119"/>
      <c r="J53" s="119"/>
      <c r="K53" s="119"/>
      <c r="L53" s="119"/>
      <c r="M53" s="119"/>
      <c r="N53" s="119"/>
      <c r="O53" s="120"/>
      <c r="P53" s="119"/>
      <c r="Q53" s="119"/>
      <c r="R53" s="119"/>
      <c r="S53" s="119"/>
      <c r="T53" s="121"/>
      <c r="U53" s="226"/>
      <c r="V53" s="227"/>
      <c r="W53" s="228"/>
      <c r="X53" s="229"/>
      <c r="Y53" s="222" t="str">
        <f t="shared" ref="Y53:Y54" si="2">IF(W53&lt;&gt;0,AE53,"")</f>
        <v/>
      </c>
      <c r="Z53" s="223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97"/>
      <c r="D54" s="298"/>
      <c r="E54" s="122"/>
      <c r="F54" s="123"/>
      <c r="G54" s="123"/>
      <c r="H54" s="124"/>
      <c r="I54" s="124"/>
      <c r="J54" s="124"/>
      <c r="K54" s="124"/>
      <c r="L54" s="124"/>
      <c r="M54" s="124"/>
      <c r="N54" s="124"/>
      <c r="O54" s="125"/>
      <c r="P54" s="124"/>
      <c r="Q54" s="124"/>
      <c r="R54" s="124"/>
      <c r="S54" s="124"/>
      <c r="T54" s="126"/>
      <c r="U54" s="299"/>
      <c r="V54" s="300"/>
      <c r="W54" s="301"/>
      <c r="X54" s="302"/>
      <c r="Y54" s="303" t="str">
        <f t="shared" si="2"/>
        <v/>
      </c>
      <c r="Z54" s="304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9" t="s">
        <v>8</v>
      </c>
      <c r="C56" s="220"/>
      <c r="D56" s="221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09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39" t="s">
        <v>7</v>
      </c>
      <c r="C57" s="240"/>
      <c r="D57" s="241"/>
      <c r="E57" s="92">
        <f t="shared" ref="E57:T57" si="3">IF(E51&lt;&gt;0,AVERAGE(E51:E54),"")</f>
        <v>6.6</v>
      </c>
      <c r="F57" s="92">
        <f t="shared" si="3"/>
        <v>8.5</v>
      </c>
      <c r="G57" s="92">
        <f t="shared" si="3"/>
        <v>11.4</v>
      </c>
      <c r="H57" s="92">
        <f t="shared" si="3"/>
        <v>15.1</v>
      </c>
      <c r="I57" s="92">
        <f t="shared" si="3"/>
        <v>19.899999999999999</v>
      </c>
      <c r="J57" s="92">
        <f t="shared" si="3"/>
        <v>28.4</v>
      </c>
      <c r="K57" s="92">
        <f t="shared" si="3"/>
        <v>43</v>
      </c>
      <c r="L57" s="92">
        <f t="shared" si="3"/>
        <v>60.2</v>
      </c>
      <c r="M57" s="92">
        <f t="shared" si="3"/>
        <v>77.7</v>
      </c>
      <c r="N57" s="92">
        <f t="shared" si="3"/>
        <v>93.1</v>
      </c>
      <c r="O57" s="110">
        <f t="shared" si="3"/>
        <v>100</v>
      </c>
      <c r="P57" s="92"/>
      <c r="Q57" s="92"/>
      <c r="R57" s="92"/>
      <c r="S57" s="92"/>
      <c r="T57" s="93" t="str">
        <f t="shared" si="3"/>
        <v/>
      </c>
      <c r="U57" s="242">
        <f>IF(U51&lt;&gt;0,AVERAGE(U51:V54),"")</f>
        <v>178</v>
      </c>
      <c r="V57" s="243"/>
      <c r="W57" s="244">
        <f>IF(W51&lt;&gt;0,AVERAGE(W51:X54),"")</f>
        <v>4.9800000000000004</v>
      </c>
      <c r="X57" s="245"/>
      <c r="Y57" s="246">
        <f>IF(W51&lt;&gt;0,AVERAGE(Y51:Z54),"")</f>
        <v>3.1404252056040032</v>
      </c>
      <c r="Z57" s="247"/>
      <c r="AA57" s="66"/>
      <c r="AB57" s="194">
        <f>(100*W57)/(100-W57)</f>
        <v>5.2410018943380345</v>
      </c>
      <c r="AC57" s="195"/>
      <c r="AD57" s="67">
        <f t="shared" si="0"/>
        <v>12.8727</v>
      </c>
      <c r="AE57" s="68">
        <f t="shared" si="1"/>
        <v>3.1404252056040032</v>
      </c>
      <c r="AF57" s="29"/>
      <c r="AG57" s="66"/>
    </row>
    <row r="58" spans="1:34" ht="21" customHeight="1" x14ac:dyDescent="0.25">
      <c r="A58" s="5"/>
      <c r="B58" s="248" t="s">
        <v>9</v>
      </c>
      <c r="C58" s="249"/>
      <c r="D58" s="250"/>
      <c r="E58" s="94">
        <v>6.5</v>
      </c>
      <c r="F58" s="94">
        <v>8</v>
      </c>
      <c r="G58" s="94">
        <v>11</v>
      </c>
      <c r="H58" s="94">
        <v>16</v>
      </c>
      <c r="I58" s="94">
        <v>21</v>
      </c>
      <c r="J58" s="94">
        <v>30</v>
      </c>
      <c r="K58" s="94">
        <v>44</v>
      </c>
      <c r="L58" s="94">
        <v>60</v>
      </c>
      <c r="M58" s="94">
        <v>76</v>
      </c>
      <c r="N58" s="94">
        <v>95</v>
      </c>
      <c r="O58" s="111">
        <v>100</v>
      </c>
      <c r="P58" s="94"/>
      <c r="Q58" s="94"/>
      <c r="R58" s="94"/>
      <c r="S58" s="94"/>
      <c r="T58" s="95"/>
      <c r="U58" s="251"/>
      <c r="V58" s="252"/>
      <c r="W58" s="253">
        <v>5.4</v>
      </c>
      <c r="X58" s="254"/>
      <c r="Y58" s="255">
        <f>AE58</f>
        <v>3.4230996041984052</v>
      </c>
      <c r="Z58" s="256"/>
      <c r="AA58" s="66"/>
      <c r="AB58" s="194">
        <f>(100*W58)/(100-W58)</f>
        <v>5.7082452431289648</v>
      </c>
      <c r="AC58" s="195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8.5</v>
      </c>
      <c r="F59" s="90"/>
      <c r="G59" s="90"/>
      <c r="H59" s="90"/>
      <c r="I59" s="90"/>
      <c r="J59" s="90">
        <f>J58+6</f>
        <v>36</v>
      </c>
      <c r="K59" s="90"/>
      <c r="L59" s="90">
        <f>L58+7</f>
        <v>67</v>
      </c>
      <c r="M59" s="90"/>
      <c r="N59" s="90"/>
      <c r="O59" s="90"/>
      <c r="P59" s="90"/>
      <c r="Q59" s="90"/>
      <c r="R59" s="90"/>
      <c r="S59" s="90"/>
      <c r="T59" s="91"/>
      <c r="U59" s="292"/>
      <c r="V59" s="293"/>
      <c r="W59" s="294">
        <f>W58+0.5</f>
        <v>5.9</v>
      </c>
      <c r="X59" s="293"/>
      <c r="Y59" s="295"/>
      <c r="Z59" s="296"/>
      <c r="AA59" s="83"/>
      <c r="AB59" s="71"/>
      <c r="AC59" s="69"/>
      <c r="AD59" s="230"/>
      <c r="AE59" s="232" t="s">
        <v>46</v>
      </c>
      <c r="AF59" s="29"/>
      <c r="AG59" s="66"/>
    </row>
    <row r="60" spans="1:34" ht="13.5" customHeight="1" thickBot="1" x14ac:dyDescent="0.3">
      <c r="A60" s="5"/>
      <c r="B60" s="202" t="s">
        <v>24</v>
      </c>
      <c r="C60" s="205"/>
      <c r="D60" s="203"/>
      <c r="E60" s="96">
        <f>E58-2</f>
        <v>4.5</v>
      </c>
      <c r="F60" s="96"/>
      <c r="G60" s="97"/>
      <c r="H60" s="97"/>
      <c r="I60" s="97"/>
      <c r="J60" s="96">
        <f>J58-6</f>
        <v>24</v>
      </c>
      <c r="K60" s="97"/>
      <c r="L60" s="96">
        <f>L58-7</f>
        <v>53</v>
      </c>
      <c r="M60" s="96"/>
      <c r="N60" s="97"/>
      <c r="O60" s="97"/>
      <c r="P60" s="97"/>
      <c r="Q60" s="96"/>
      <c r="R60" s="97"/>
      <c r="S60" s="97"/>
      <c r="T60" s="98"/>
      <c r="U60" s="234"/>
      <c r="V60" s="235"/>
      <c r="W60" s="236">
        <f>W58-0.5</f>
        <v>4.9000000000000004</v>
      </c>
      <c r="X60" s="235"/>
      <c r="Y60" s="237"/>
      <c r="Z60" s="238"/>
      <c r="AA60" s="84"/>
      <c r="AB60" s="72"/>
      <c r="AC60" s="73"/>
      <c r="AD60" s="231"/>
      <c r="AE60" s="23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74"/>
      <c r="V63" s="274"/>
      <c r="W63" s="274"/>
      <c r="X63" s="274"/>
      <c r="Y63" s="274"/>
      <c r="Z63" s="275"/>
      <c r="AA63" s="81"/>
      <c r="AB63" s="58"/>
      <c r="AC63" s="58"/>
      <c r="AD63" s="59"/>
    </row>
    <row r="64" spans="1:34" ht="26.4" customHeight="1" x14ac:dyDescent="0.25">
      <c r="A64" s="276" t="s">
        <v>48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8"/>
      <c r="R64" s="263" t="s">
        <v>31</v>
      </c>
      <c r="S64" s="264"/>
      <c r="T64" s="265"/>
      <c r="U64" s="279" t="s">
        <v>53</v>
      </c>
      <c r="V64" s="280"/>
      <c r="W64" s="280"/>
      <c r="X64" s="281"/>
      <c r="Y64" s="281"/>
      <c r="Z64" s="282"/>
      <c r="AA64" s="76"/>
      <c r="AB64" s="60"/>
      <c r="AC64" s="60"/>
      <c r="AD64" s="59"/>
    </row>
    <row r="65" spans="1:30" ht="26.4" customHeight="1" x14ac:dyDescent="0.25">
      <c r="A65" s="283" t="s">
        <v>52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5"/>
      <c r="R65" s="263" t="s">
        <v>51</v>
      </c>
      <c r="S65" s="264"/>
      <c r="T65" s="265"/>
      <c r="U65" s="286" t="s">
        <v>54</v>
      </c>
      <c r="V65" s="287"/>
      <c r="W65" s="287"/>
      <c r="X65" s="287"/>
      <c r="Y65" s="287"/>
      <c r="Z65" s="28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63"/>
      <c r="S66" s="264"/>
      <c r="T66" s="265"/>
      <c r="U66" s="289"/>
      <c r="V66" s="290"/>
      <c r="W66" s="290"/>
      <c r="X66" s="290"/>
      <c r="Y66" s="290"/>
      <c r="Z66" s="291"/>
      <c r="AA66" s="76"/>
      <c r="AB66" s="60"/>
      <c r="AC66" s="60"/>
      <c r="AD66" s="59"/>
    </row>
    <row r="67" spans="1:30" ht="15.6" customHeight="1" x14ac:dyDescent="0.25">
      <c r="A67" s="257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9"/>
      <c r="R67" s="263" t="s">
        <v>25</v>
      </c>
      <c r="S67" s="264"/>
      <c r="T67" s="265"/>
      <c r="U67" s="99"/>
      <c r="V67" s="100"/>
      <c r="W67" s="100"/>
      <c r="X67" s="100"/>
      <c r="Y67" s="100"/>
      <c r="Z67" s="101"/>
      <c r="AA67" s="77"/>
      <c r="AB67" s="65"/>
      <c r="AC67" s="65"/>
      <c r="AD67" s="59"/>
    </row>
    <row r="68" spans="1:30" ht="15.6" customHeight="1" x14ac:dyDescent="0.25">
      <c r="A68" s="257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9"/>
      <c r="R68" s="263"/>
      <c r="S68" s="264"/>
      <c r="T68" s="265"/>
      <c r="U68" s="102"/>
      <c r="V68" s="269"/>
      <c r="W68" s="269"/>
      <c r="X68" s="269"/>
      <c r="Y68" s="269"/>
      <c r="Z68" s="103"/>
      <c r="AA68" s="77"/>
      <c r="AB68" s="65"/>
      <c r="AC68" s="65"/>
      <c r="AD68" s="59"/>
    </row>
    <row r="69" spans="1:30" ht="15.6" customHeight="1" x14ac:dyDescent="0.25">
      <c r="A69" s="257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9"/>
      <c r="R69" s="263"/>
      <c r="S69" s="264"/>
      <c r="T69" s="265"/>
      <c r="U69" s="102"/>
      <c r="V69" s="269"/>
      <c r="W69" s="269"/>
      <c r="X69" s="269"/>
      <c r="Y69" s="269"/>
      <c r="Z69" s="103"/>
      <c r="AA69" s="77"/>
      <c r="AB69" s="65"/>
      <c r="AC69" s="65"/>
      <c r="AD69" s="59"/>
    </row>
    <row r="70" spans="1:30" ht="15.6" customHeight="1" x14ac:dyDescent="0.2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2"/>
      <c r="R70" s="266"/>
      <c r="S70" s="267"/>
      <c r="T70" s="268"/>
      <c r="U70" s="104"/>
      <c r="V70" s="105"/>
      <c r="W70" s="105"/>
      <c r="X70" s="105"/>
      <c r="Y70" s="105"/>
      <c r="Z70" s="106"/>
      <c r="AA70" s="77"/>
      <c r="AB70" s="65"/>
      <c r="AC70" s="65"/>
      <c r="AD70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C51:D51"/>
    <mergeCell ref="U51:V51"/>
    <mergeCell ref="W51:X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E680-186F-4EA7-8EEC-5D5FF07F9A26}">
  <sheetPr>
    <pageSetUpPr fitToPage="1"/>
  </sheetPr>
  <dimension ref="A1:AN70"/>
  <sheetViews>
    <sheetView zoomScaleNormal="100" workbookViewId="0">
      <selection activeCell="A67" sqref="A67:Q7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9"/>
      <c r="B1" s="150"/>
      <c r="C1" s="150"/>
      <c r="D1" s="150"/>
      <c r="E1" s="150"/>
      <c r="F1" s="151"/>
      <c r="G1" s="158" t="s">
        <v>33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  <c r="U1" s="161" t="s">
        <v>56</v>
      </c>
      <c r="V1" s="162"/>
      <c r="W1" s="162"/>
      <c r="X1" s="162"/>
      <c r="Y1" s="162"/>
      <c r="Z1" s="163"/>
      <c r="AA1" s="78"/>
    </row>
    <row r="2" spans="1:36" ht="12.6" customHeight="1" x14ac:dyDescent="0.25">
      <c r="A2" s="152"/>
      <c r="B2" s="153"/>
      <c r="C2" s="153"/>
      <c r="D2" s="153"/>
      <c r="E2" s="153"/>
      <c r="F2" s="154"/>
      <c r="G2" s="170" t="s">
        <v>39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/>
      <c r="V2" s="165"/>
      <c r="W2" s="165"/>
      <c r="X2" s="165"/>
      <c r="Y2" s="165"/>
      <c r="Z2" s="166"/>
      <c r="AA2" s="78"/>
    </row>
    <row r="3" spans="1:36" ht="12.6" customHeight="1" x14ac:dyDescent="0.25">
      <c r="A3" s="152"/>
      <c r="B3" s="153"/>
      <c r="C3" s="153"/>
      <c r="D3" s="153"/>
      <c r="E3" s="153"/>
      <c r="F3" s="154"/>
      <c r="G3" s="173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64"/>
      <c r="V3" s="165"/>
      <c r="W3" s="165"/>
      <c r="X3" s="165"/>
      <c r="Y3" s="165"/>
      <c r="Z3" s="166"/>
      <c r="AA3" s="78"/>
    </row>
    <row r="4" spans="1:36" ht="12.6" customHeight="1" x14ac:dyDescent="0.25">
      <c r="A4" s="152"/>
      <c r="B4" s="153"/>
      <c r="C4" s="153"/>
      <c r="D4" s="153"/>
      <c r="E4" s="153"/>
      <c r="F4" s="154"/>
      <c r="G4" s="173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4"/>
      <c r="V4" s="165"/>
      <c r="W4" s="165"/>
      <c r="X4" s="165"/>
      <c r="Y4" s="165"/>
      <c r="Z4" s="166"/>
      <c r="AA4" s="78"/>
    </row>
    <row r="5" spans="1:36" ht="12.6" customHeight="1" x14ac:dyDescent="0.25">
      <c r="A5" s="152"/>
      <c r="B5" s="153"/>
      <c r="C5" s="153"/>
      <c r="D5" s="153"/>
      <c r="E5" s="153"/>
      <c r="F5" s="154"/>
      <c r="G5" s="173" t="s">
        <v>40</v>
      </c>
      <c r="H5" s="171"/>
      <c r="I5" s="2" t="s">
        <v>34</v>
      </c>
      <c r="J5" s="174">
        <v>3</v>
      </c>
      <c r="K5" s="175"/>
      <c r="L5" s="176" t="s">
        <v>55</v>
      </c>
      <c r="M5" s="174"/>
      <c r="N5" s="174"/>
      <c r="O5" s="175"/>
      <c r="P5" s="177">
        <v>45637</v>
      </c>
      <c r="Q5" s="178"/>
      <c r="R5" s="178"/>
      <c r="S5" s="178"/>
      <c r="T5" s="179"/>
      <c r="U5" s="164"/>
      <c r="V5" s="165"/>
      <c r="W5" s="165"/>
      <c r="X5" s="165"/>
      <c r="Y5" s="165"/>
      <c r="Z5" s="166"/>
      <c r="AA5" s="78"/>
    </row>
    <row r="6" spans="1:36" ht="12.6" customHeight="1" x14ac:dyDescent="0.25">
      <c r="A6" s="155"/>
      <c r="B6" s="156"/>
      <c r="C6" s="156"/>
      <c r="D6" s="156"/>
      <c r="E6" s="156"/>
      <c r="F6" s="157"/>
      <c r="G6" s="3"/>
      <c r="H6" s="4"/>
      <c r="I6" s="4"/>
      <c r="J6" s="141" t="s">
        <v>35</v>
      </c>
      <c r="K6" s="141"/>
      <c r="L6" s="141" t="s">
        <v>36</v>
      </c>
      <c r="M6" s="141"/>
      <c r="N6" s="141"/>
      <c r="O6" s="141"/>
      <c r="P6" s="141" t="s">
        <v>37</v>
      </c>
      <c r="Q6" s="141"/>
      <c r="R6" s="141"/>
      <c r="S6" s="141"/>
      <c r="T6" s="146"/>
      <c r="U6" s="167"/>
      <c r="V6" s="168"/>
      <c r="W6" s="168"/>
      <c r="X6" s="168"/>
      <c r="Y6" s="168"/>
      <c r="Z6" s="169"/>
      <c r="AA6" s="78"/>
    </row>
    <row r="7" spans="1:36" ht="36.6" customHeight="1" x14ac:dyDescent="0.25">
      <c r="A7" s="147" t="s">
        <v>38</v>
      </c>
      <c r="B7" s="147"/>
      <c r="C7" s="147"/>
      <c r="D7" s="147"/>
      <c r="E7" s="147"/>
      <c r="F7" s="147"/>
      <c r="G7" s="148" t="s">
        <v>32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42" t="s">
        <v>27</v>
      </c>
      <c r="C10" s="142"/>
      <c r="D10" s="142"/>
      <c r="E10" s="142"/>
      <c r="F10" s="142"/>
      <c r="G10" s="143" t="s">
        <v>57</v>
      </c>
      <c r="H10" s="143"/>
      <c r="I10" s="143"/>
      <c r="J10" s="143"/>
      <c r="K10" s="143"/>
      <c r="L10" s="143"/>
      <c r="M10" s="142" t="s">
        <v>30</v>
      </c>
      <c r="N10" s="142"/>
      <c r="O10" s="142"/>
      <c r="P10" s="142"/>
      <c r="Q10" s="142"/>
      <c r="R10" s="142"/>
      <c r="S10" s="144" t="s">
        <v>61</v>
      </c>
      <c r="T10" s="144"/>
      <c r="U10" s="144"/>
      <c r="V10" s="144"/>
      <c r="W10" s="144"/>
      <c r="X10" s="144"/>
      <c r="Y10" s="144"/>
      <c r="Z10" s="17"/>
      <c r="AA10" s="75"/>
      <c r="AB10" s="12"/>
      <c r="AC10" s="12"/>
      <c r="AD10" s="12"/>
      <c r="AE10" s="107"/>
      <c r="AF10" s="107"/>
      <c r="AG10" s="107"/>
      <c r="AH10" s="107"/>
      <c r="AI10" s="107"/>
    </row>
    <row r="11" spans="1:36" ht="15.9" customHeight="1" x14ac:dyDescent="0.25">
      <c r="A11" s="13"/>
      <c r="B11" s="142" t="s">
        <v>6</v>
      </c>
      <c r="C11" s="142"/>
      <c r="D11" s="142"/>
      <c r="E11" s="142"/>
      <c r="F11" s="142"/>
      <c r="G11" s="143">
        <v>45637</v>
      </c>
      <c r="H11" s="143"/>
      <c r="I11" s="143"/>
      <c r="J11" s="143"/>
      <c r="K11" s="143"/>
      <c r="L11" s="143"/>
      <c r="M11" s="142" t="s">
        <v>44</v>
      </c>
      <c r="N11" s="142"/>
      <c r="O11" s="142"/>
      <c r="P11" s="142"/>
      <c r="Q11" s="142"/>
      <c r="R11" s="142"/>
      <c r="S11" s="144" t="s">
        <v>62</v>
      </c>
      <c r="T11" s="144"/>
      <c r="U11" s="144"/>
      <c r="V11" s="144"/>
      <c r="W11" s="144"/>
      <c r="X11" s="144"/>
      <c r="Y11" s="144"/>
      <c r="Z11" s="17"/>
      <c r="AA11" s="75"/>
      <c r="AB11" s="12"/>
      <c r="AC11" s="12"/>
      <c r="AD11" s="12"/>
      <c r="AE11" s="107"/>
      <c r="AF11" s="107"/>
      <c r="AG11" s="107"/>
      <c r="AH11" s="107"/>
      <c r="AI11" s="107"/>
    </row>
    <row r="12" spans="1:36" ht="15.9" customHeight="1" x14ac:dyDescent="0.25">
      <c r="A12" s="13"/>
      <c r="B12" s="142" t="s">
        <v>28</v>
      </c>
      <c r="C12" s="142"/>
      <c r="D12" s="142"/>
      <c r="E12" s="142"/>
      <c r="F12" s="142"/>
      <c r="G12" s="143">
        <v>45636</v>
      </c>
      <c r="H12" s="143"/>
      <c r="I12" s="143"/>
      <c r="J12" s="143"/>
      <c r="K12" s="143"/>
      <c r="L12" s="143"/>
      <c r="M12" s="145" t="s">
        <v>43</v>
      </c>
      <c r="N12" s="145"/>
      <c r="O12" s="145"/>
      <c r="P12" s="145"/>
      <c r="Q12" s="145"/>
      <c r="R12" s="145"/>
      <c r="S12" s="144">
        <v>218</v>
      </c>
      <c r="T12" s="144"/>
      <c r="U12" s="144"/>
      <c r="V12" s="144"/>
      <c r="W12" s="144"/>
      <c r="X12" s="144"/>
      <c r="Y12" s="14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85" t="s">
        <v>41</v>
      </c>
      <c r="C13" s="185"/>
      <c r="D13" s="185"/>
      <c r="E13" s="185"/>
      <c r="F13" s="185"/>
      <c r="G13" s="186" t="s">
        <v>60</v>
      </c>
      <c r="H13" s="186"/>
      <c r="I13" s="186"/>
      <c r="J13" s="186"/>
      <c r="K13" s="186"/>
      <c r="L13" s="186"/>
      <c r="M13" s="142" t="s">
        <v>29</v>
      </c>
      <c r="N13" s="142"/>
      <c r="O13" s="142"/>
      <c r="P13" s="142"/>
      <c r="Q13" s="142"/>
      <c r="R13" s="142"/>
      <c r="S13" s="186" t="s">
        <v>63</v>
      </c>
      <c r="T13" s="186"/>
      <c r="U13" s="186"/>
      <c r="V13" s="186"/>
      <c r="W13" s="186"/>
      <c r="X13" s="186"/>
      <c r="Y13" s="186"/>
      <c r="Z13" s="17"/>
      <c r="AA13" s="75"/>
      <c r="AB13" s="12"/>
      <c r="AC13" s="12"/>
      <c r="AD13" s="12"/>
      <c r="AE13" s="107"/>
      <c r="AF13" s="107"/>
      <c r="AG13" s="107"/>
      <c r="AH13" s="107"/>
      <c r="AI13" s="107"/>
      <c r="AJ13" s="107"/>
    </row>
    <row r="14" spans="1:36" ht="15.9" customHeight="1" x14ac:dyDescent="0.25">
      <c r="A14" s="18"/>
      <c r="B14" s="142" t="s">
        <v>42</v>
      </c>
      <c r="C14" s="142"/>
      <c r="D14" s="142"/>
      <c r="E14" s="142"/>
      <c r="F14" s="142"/>
      <c r="G14" s="186" t="s">
        <v>68</v>
      </c>
      <c r="H14" s="186"/>
      <c r="I14" s="186"/>
      <c r="J14" s="186"/>
      <c r="K14" s="186"/>
      <c r="L14" s="186"/>
      <c r="M14" s="144" t="s">
        <v>26</v>
      </c>
      <c r="N14" s="144"/>
      <c r="O14" s="144"/>
      <c r="P14" s="144"/>
      <c r="Q14" s="144"/>
      <c r="R14" s="144"/>
      <c r="S14" s="144" t="s">
        <v>49</v>
      </c>
      <c r="T14" s="144"/>
      <c r="U14" s="144"/>
      <c r="V14" s="144"/>
      <c r="W14" s="144"/>
      <c r="X14" s="144"/>
      <c r="Y14" s="144"/>
      <c r="Z14" s="19"/>
      <c r="AA14" s="12"/>
      <c r="AB14" s="12"/>
      <c r="AC14" s="12"/>
      <c r="AD14" s="12"/>
      <c r="AE14" s="107"/>
      <c r="AF14" s="107"/>
      <c r="AG14" s="107"/>
      <c r="AH14" s="107"/>
      <c r="AI14" s="107"/>
      <c r="AJ14" s="10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7"/>
      <c r="AF15" s="107"/>
      <c r="AG15" s="107"/>
      <c r="AH15" s="107"/>
      <c r="AI15" s="107"/>
      <c r="AJ15" s="10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7"/>
      <c r="AF16" s="107"/>
      <c r="AG16" s="107"/>
      <c r="AH16" s="107"/>
      <c r="AI16" s="107"/>
      <c r="AJ16" s="10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42" t="s">
        <v>19</v>
      </c>
      <c r="C19" s="142"/>
      <c r="D19" s="142"/>
      <c r="E19" s="142"/>
      <c r="F19" s="142"/>
      <c r="G19" s="142"/>
      <c r="H19" s="142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"/>
      <c r="AA19" s="75"/>
      <c r="AE19" s="20"/>
      <c r="AI19" s="20"/>
    </row>
    <row r="20" spans="1:40" ht="15.9" customHeight="1" x14ac:dyDescent="0.25">
      <c r="A20" s="13"/>
      <c r="B20" s="142" t="s">
        <v>20</v>
      </c>
      <c r="C20" s="142"/>
      <c r="D20" s="142"/>
      <c r="E20" s="142"/>
      <c r="F20" s="142"/>
      <c r="G20" s="142"/>
      <c r="H20" s="142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181" t="s">
        <v>16</v>
      </c>
      <c r="AE47" s="183">
        <v>2.6469999999999998</v>
      </c>
      <c r="AF47" s="187"/>
      <c r="AG47" s="197"/>
      <c r="AH47" s="39"/>
    </row>
    <row r="48" spans="1:34" ht="12.75" customHeight="1" thickBot="1" x14ac:dyDescent="0.3">
      <c r="A48" s="18"/>
      <c r="Z48" s="87"/>
      <c r="AD48" s="182"/>
      <c r="AE48" s="184"/>
      <c r="AF48" s="196"/>
      <c r="AG48" s="197"/>
    </row>
    <row r="49" spans="1:34" ht="18.75" customHeight="1" thickBot="1" x14ac:dyDescent="0.3">
      <c r="A49" s="18"/>
      <c r="E49" s="198" t="s">
        <v>11</v>
      </c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200" t="s">
        <v>47</v>
      </c>
      <c r="V49" s="201"/>
      <c r="W49" s="204" t="s">
        <v>12</v>
      </c>
      <c r="X49" s="201"/>
      <c r="Y49" s="206" t="s">
        <v>13</v>
      </c>
      <c r="Z49" s="207"/>
      <c r="AA49" s="82"/>
      <c r="AB49" s="210" t="s">
        <v>45</v>
      </c>
      <c r="AC49" s="211"/>
      <c r="AD49" s="214" t="s">
        <v>14</v>
      </c>
      <c r="AE49" s="216" t="s">
        <v>15</v>
      </c>
      <c r="AF49" s="187"/>
      <c r="AG49" s="187"/>
      <c r="AH49" s="40"/>
    </row>
    <row r="50" spans="1:34" ht="24.9" customHeight="1" thickBot="1" x14ac:dyDescent="0.3">
      <c r="A50" s="5"/>
      <c r="B50" s="41" t="s">
        <v>22</v>
      </c>
      <c r="C50" s="188" t="s">
        <v>10</v>
      </c>
      <c r="D50" s="189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2"/>
      <c r="V50" s="203"/>
      <c r="W50" s="205"/>
      <c r="X50" s="203"/>
      <c r="Y50" s="208"/>
      <c r="Z50" s="209"/>
      <c r="AA50" s="82"/>
      <c r="AB50" s="212"/>
      <c r="AC50" s="213"/>
      <c r="AD50" s="215"/>
      <c r="AE50" s="217"/>
      <c r="AF50" s="218"/>
      <c r="AG50" s="187"/>
    </row>
    <row r="51" spans="1:34" ht="24.9" customHeight="1" x14ac:dyDescent="0.25">
      <c r="A51" s="5"/>
      <c r="B51" s="43">
        <v>1</v>
      </c>
      <c r="C51" s="309" t="s">
        <v>70</v>
      </c>
      <c r="D51" s="310"/>
      <c r="E51" s="132">
        <v>8.3000000000000007</v>
      </c>
      <c r="F51" s="133">
        <v>10.8</v>
      </c>
      <c r="G51" s="134">
        <v>14.4</v>
      </c>
      <c r="H51" s="134">
        <v>18.5</v>
      </c>
      <c r="I51" s="134">
        <v>23.9</v>
      </c>
      <c r="J51" s="134">
        <v>33.299999999999997</v>
      </c>
      <c r="K51" s="134">
        <v>49.6</v>
      </c>
      <c r="L51" s="134">
        <v>67.2</v>
      </c>
      <c r="M51" s="134">
        <v>81.3</v>
      </c>
      <c r="N51" s="134">
        <v>96.1</v>
      </c>
      <c r="O51" s="136">
        <v>100</v>
      </c>
      <c r="P51" s="134"/>
      <c r="Q51" s="134"/>
      <c r="R51" s="134"/>
      <c r="S51" s="135"/>
      <c r="T51" s="135"/>
      <c r="U51" s="311">
        <v>156</v>
      </c>
      <c r="V51" s="312"/>
      <c r="W51" s="313">
        <v>5.34</v>
      </c>
      <c r="X51" s="314"/>
      <c r="Y51" s="192">
        <f>IF(W51&lt;&gt;0,AE51,"")</f>
        <v>3.2549560183413946</v>
      </c>
      <c r="Z51" s="193"/>
      <c r="AA51" s="80"/>
      <c r="AB51" s="194">
        <f>(100*W51)/(100-W51)</f>
        <v>5.6412423410099306</v>
      </c>
      <c r="AC51" s="195"/>
      <c r="AD51" s="67">
        <f>(0.25*(100-O51)+2.3*(O51-H51)+12*(H51-E51)+150*(E51))/100</f>
        <v>15.548499999999999</v>
      </c>
      <c r="AE51" s="68">
        <f>(AB51*$AE$47)/(2.65*(AD51)^(1/5))</f>
        <v>3.2549560183413946</v>
      </c>
      <c r="AF51" s="29"/>
      <c r="AG51" s="66"/>
    </row>
    <row r="52" spans="1:34" ht="24.9" customHeight="1" x14ac:dyDescent="0.25">
      <c r="A52" s="5"/>
      <c r="B52" s="44">
        <v>2</v>
      </c>
      <c r="C52" s="309" t="s">
        <v>71</v>
      </c>
      <c r="D52" s="310"/>
      <c r="E52" s="132">
        <v>8.1</v>
      </c>
      <c r="F52" s="133">
        <v>10.199999999999999</v>
      </c>
      <c r="G52" s="134">
        <v>13</v>
      </c>
      <c r="H52" s="134">
        <v>16.8</v>
      </c>
      <c r="I52" s="134">
        <v>21.8</v>
      </c>
      <c r="J52" s="134">
        <v>31</v>
      </c>
      <c r="K52" s="134">
        <v>47.9</v>
      </c>
      <c r="L52" s="134">
        <v>67.2</v>
      </c>
      <c r="M52" s="134">
        <v>82.3</v>
      </c>
      <c r="N52" s="134">
        <v>96.8</v>
      </c>
      <c r="O52" s="136">
        <v>100</v>
      </c>
      <c r="P52" s="134"/>
      <c r="Q52" s="134"/>
      <c r="R52" s="134"/>
      <c r="S52" s="135"/>
      <c r="T52" s="135"/>
      <c r="U52" s="311">
        <v>142</v>
      </c>
      <c r="V52" s="312"/>
      <c r="W52" s="313">
        <v>5.05</v>
      </c>
      <c r="X52" s="314"/>
      <c r="Y52" s="222">
        <f>IF(W52&lt;&gt;0,AE52,"")</f>
        <v>3.0864936008278483</v>
      </c>
      <c r="Z52" s="223"/>
      <c r="AA52" s="80"/>
      <c r="AB52" s="194">
        <f>(100*W52)/(100-W52)</f>
        <v>5.3185887309110056</v>
      </c>
      <c r="AC52" s="195"/>
      <c r="AD52" s="67">
        <f t="shared" ref="AD52:AD58" si="0">(0.25*(100-O52)+2.3*(O52-H52)+12*(H52-E52)+150*(E52))/100</f>
        <v>15.1076</v>
      </c>
      <c r="AE52" s="68">
        <f t="shared" ref="AE52:AE58" si="1">(AB52*$AE$47)/(2.65*(AD52)^(1/5))</f>
        <v>3.0864936008278483</v>
      </c>
      <c r="AF52" s="29"/>
      <c r="AG52" s="66"/>
    </row>
    <row r="53" spans="1:34" ht="24.9" customHeight="1" x14ac:dyDescent="0.25">
      <c r="A53" s="5"/>
      <c r="B53" s="44">
        <v>3</v>
      </c>
      <c r="C53" s="224"/>
      <c r="D53" s="225"/>
      <c r="E53" s="117"/>
      <c r="F53" s="118"/>
      <c r="G53" s="118"/>
      <c r="H53" s="119"/>
      <c r="I53" s="119"/>
      <c r="J53" s="119"/>
      <c r="K53" s="119"/>
      <c r="L53" s="119"/>
      <c r="M53" s="119"/>
      <c r="N53" s="119"/>
      <c r="O53" s="120"/>
      <c r="P53" s="119"/>
      <c r="Q53" s="119"/>
      <c r="R53" s="119"/>
      <c r="S53" s="119"/>
      <c r="T53" s="121"/>
      <c r="U53" s="226"/>
      <c r="V53" s="227"/>
      <c r="W53" s="228"/>
      <c r="X53" s="229"/>
      <c r="Y53" s="222" t="str">
        <f t="shared" ref="Y53:Y54" si="2">IF(W53&lt;&gt;0,AE53,"")</f>
        <v/>
      </c>
      <c r="Z53" s="223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97"/>
      <c r="D54" s="298"/>
      <c r="E54" s="122"/>
      <c r="F54" s="123"/>
      <c r="G54" s="123"/>
      <c r="H54" s="124"/>
      <c r="I54" s="124"/>
      <c r="J54" s="124"/>
      <c r="K54" s="124"/>
      <c r="L54" s="124"/>
      <c r="M54" s="124"/>
      <c r="N54" s="124"/>
      <c r="O54" s="125"/>
      <c r="P54" s="124"/>
      <c r="Q54" s="124"/>
      <c r="R54" s="124"/>
      <c r="S54" s="124"/>
      <c r="T54" s="126"/>
      <c r="U54" s="299"/>
      <c r="V54" s="300"/>
      <c r="W54" s="301"/>
      <c r="X54" s="302"/>
      <c r="Y54" s="303" t="str">
        <f t="shared" si="2"/>
        <v/>
      </c>
      <c r="Z54" s="304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9" t="s">
        <v>8</v>
      </c>
      <c r="C56" s="220"/>
      <c r="D56" s="221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09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39" t="s">
        <v>7</v>
      </c>
      <c r="C57" s="240"/>
      <c r="D57" s="241"/>
      <c r="E57" s="92">
        <f t="shared" ref="E57:T57" si="3">IF(E51&lt;&gt;0,AVERAGE(E51:E54),"")</f>
        <v>8.1999999999999993</v>
      </c>
      <c r="F57" s="92">
        <f t="shared" si="3"/>
        <v>10.5</v>
      </c>
      <c r="G57" s="92">
        <f t="shared" si="3"/>
        <v>13.7</v>
      </c>
      <c r="H57" s="92">
        <f t="shared" si="3"/>
        <v>17.649999999999999</v>
      </c>
      <c r="I57" s="92">
        <f t="shared" si="3"/>
        <v>22.85</v>
      </c>
      <c r="J57" s="92">
        <f t="shared" si="3"/>
        <v>32.15</v>
      </c>
      <c r="K57" s="92">
        <f t="shared" si="3"/>
        <v>48.75</v>
      </c>
      <c r="L57" s="92">
        <f t="shared" si="3"/>
        <v>67.2</v>
      </c>
      <c r="M57" s="92">
        <f t="shared" si="3"/>
        <v>81.8</v>
      </c>
      <c r="N57" s="92">
        <f t="shared" si="3"/>
        <v>96.449999999999989</v>
      </c>
      <c r="O57" s="110">
        <f t="shared" si="3"/>
        <v>100</v>
      </c>
      <c r="P57" s="92"/>
      <c r="Q57" s="92"/>
      <c r="R57" s="92"/>
      <c r="S57" s="92"/>
      <c r="T57" s="93" t="str">
        <f t="shared" si="3"/>
        <v/>
      </c>
      <c r="U57" s="242">
        <f>IF(U51&lt;&gt;0,AVERAGE(U51:V54),"")</f>
        <v>149</v>
      </c>
      <c r="V57" s="243"/>
      <c r="W57" s="244">
        <f>IF(W51&lt;&gt;0,AVERAGE(W51:X54),"")</f>
        <v>5.1950000000000003</v>
      </c>
      <c r="X57" s="245"/>
      <c r="Y57" s="246">
        <f>IF(W51&lt;&gt;0,AVERAGE(Y51:Z54),"")</f>
        <v>3.1707248095846214</v>
      </c>
      <c r="Z57" s="247"/>
      <c r="AA57" s="66"/>
      <c r="AB57" s="194">
        <f>(100*W57)/(100-W57)</f>
        <v>5.4796687938399868</v>
      </c>
      <c r="AC57" s="195"/>
      <c r="AD57" s="67">
        <f t="shared" si="0"/>
        <v>15.328049999999998</v>
      </c>
      <c r="AE57" s="68">
        <f t="shared" si="1"/>
        <v>3.1707718582399744</v>
      </c>
      <c r="AF57" s="29"/>
      <c r="AG57" s="66"/>
    </row>
    <row r="58" spans="1:34" ht="21" customHeight="1" x14ac:dyDescent="0.25">
      <c r="A58" s="5"/>
      <c r="B58" s="248" t="s">
        <v>9</v>
      </c>
      <c r="C58" s="249"/>
      <c r="D58" s="250"/>
      <c r="E58" s="94">
        <v>6.8</v>
      </c>
      <c r="F58" s="94">
        <v>9</v>
      </c>
      <c r="G58" s="94">
        <v>12</v>
      </c>
      <c r="H58" s="94">
        <v>16</v>
      </c>
      <c r="I58" s="94">
        <v>22</v>
      </c>
      <c r="J58" s="94">
        <v>31</v>
      </c>
      <c r="K58" s="94">
        <v>45</v>
      </c>
      <c r="L58" s="94">
        <v>62</v>
      </c>
      <c r="M58" s="94">
        <v>78</v>
      </c>
      <c r="N58" s="94">
        <v>96</v>
      </c>
      <c r="O58" s="111">
        <v>100</v>
      </c>
      <c r="P58" s="94"/>
      <c r="Q58" s="94"/>
      <c r="R58" s="94"/>
      <c r="S58" s="94"/>
      <c r="T58" s="95"/>
      <c r="U58" s="251"/>
      <c r="V58" s="252"/>
      <c r="W58" s="253">
        <v>5.5</v>
      </c>
      <c r="X58" s="254"/>
      <c r="Y58" s="255">
        <f>AE58</f>
        <v>3.4680679389362647</v>
      </c>
      <c r="Z58" s="256"/>
      <c r="AA58" s="66"/>
      <c r="AB58" s="194">
        <f>(100*W58)/(100-W58)</f>
        <v>5.8201058201058204</v>
      </c>
      <c r="AC58" s="195"/>
      <c r="AD58" s="67">
        <f t="shared" si="0"/>
        <v>13.235999999999999</v>
      </c>
      <c r="AE58" s="68">
        <f t="shared" si="1"/>
        <v>3.4680679389362647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8.8000000000000007</v>
      </c>
      <c r="F59" s="90"/>
      <c r="G59" s="90"/>
      <c r="H59" s="90"/>
      <c r="I59" s="90"/>
      <c r="J59" s="90">
        <f>J58+6</f>
        <v>37</v>
      </c>
      <c r="K59" s="90"/>
      <c r="L59" s="90">
        <f>L58+7</f>
        <v>69</v>
      </c>
      <c r="M59" s="90"/>
      <c r="N59" s="90"/>
      <c r="O59" s="90"/>
      <c r="P59" s="90"/>
      <c r="Q59" s="90"/>
      <c r="R59" s="90"/>
      <c r="S59" s="90"/>
      <c r="T59" s="91"/>
      <c r="U59" s="292"/>
      <c r="V59" s="293"/>
      <c r="W59" s="294">
        <f>W58+0.5</f>
        <v>6</v>
      </c>
      <c r="X59" s="293"/>
      <c r="Y59" s="295"/>
      <c r="Z59" s="296"/>
      <c r="AA59" s="83"/>
      <c r="AB59" s="71"/>
      <c r="AC59" s="69"/>
      <c r="AD59" s="230"/>
      <c r="AE59" s="232" t="s">
        <v>46</v>
      </c>
      <c r="AF59" s="29"/>
      <c r="AG59" s="66"/>
    </row>
    <row r="60" spans="1:34" ht="13.5" customHeight="1" thickBot="1" x14ac:dyDescent="0.3">
      <c r="A60" s="5"/>
      <c r="B60" s="202" t="s">
        <v>24</v>
      </c>
      <c r="C60" s="205"/>
      <c r="D60" s="203"/>
      <c r="E60" s="96">
        <f>E58-2</f>
        <v>4.8</v>
      </c>
      <c r="F60" s="96"/>
      <c r="G60" s="97"/>
      <c r="H60" s="97"/>
      <c r="I60" s="97"/>
      <c r="J60" s="96">
        <f>J58-6</f>
        <v>25</v>
      </c>
      <c r="K60" s="97"/>
      <c r="L60" s="96">
        <f>L58-7</f>
        <v>55</v>
      </c>
      <c r="M60" s="96"/>
      <c r="N60" s="97"/>
      <c r="O60" s="97"/>
      <c r="P60" s="97"/>
      <c r="Q60" s="96"/>
      <c r="R60" s="97"/>
      <c r="S60" s="97"/>
      <c r="T60" s="98"/>
      <c r="U60" s="234"/>
      <c r="V60" s="235"/>
      <c r="W60" s="236">
        <f>W58-0.5</f>
        <v>5</v>
      </c>
      <c r="X60" s="235"/>
      <c r="Y60" s="237"/>
      <c r="Z60" s="238"/>
      <c r="AA60" s="84"/>
      <c r="AB60" s="72"/>
      <c r="AC60" s="73"/>
      <c r="AD60" s="231"/>
      <c r="AE60" s="23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74"/>
      <c r="V63" s="274"/>
      <c r="W63" s="274"/>
      <c r="X63" s="274"/>
      <c r="Y63" s="274"/>
      <c r="Z63" s="275"/>
      <c r="AA63" s="81"/>
      <c r="AB63" s="58"/>
      <c r="AC63" s="58"/>
      <c r="AD63" s="59"/>
    </row>
    <row r="64" spans="1:34" ht="26.4" customHeight="1" x14ac:dyDescent="0.25">
      <c r="A64" s="276" t="s">
        <v>48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8"/>
      <c r="R64" s="263" t="s">
        <v>31</v>
      </c>
      <c r="S64" s="264"/>
      <c r="T64" s="265"/>
      <c r="U64" s="279" t="s">
        <v>53</v>
      </c>
      <c r="V64" s="280"/>
      <c r="W64" s="280"/>
      <c r="X64" s="281"/>
      <c r="Y64" s="281"/>
      <c r="Z64" s="282"/>
      <c r="AA64" s="76"/>
      <c r="AB64" s="60"/>
      <c r="AC64" s="60"/>
      <c r="AD64" s="59"/>
    </row>
    <row r="65" spans="1:30" ht="26.4" customHeight="1" x14ac:dyDescent="0.25">
      <c r="A65" s="283" t="s">
        <v>52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5"/>
      <c r="R65" s="263" t="s">
        <v>51</v>
      </c>
      <c r="S65" s="264"/>
      <c r="T65" s="265"/>
      <c r="U65" s="286" t="s">
        <v>54</v>
      </c>
      <c r="V65" s="287"/>
      <c r="W65" s="287"/>
      <c r="X65" s="287"/>
      <c r="Y65" s="287"/>
      <c r="Z65" s="28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63"/>
      <c r="S66" s="264"/>
      <c r="T66" s="265"/>
      <c r="U66" s="289"/>
      <c r="V66" s="290"/>
      <c r="W66" s="290"/>
      <c r="X66" s="290"/>
      <c r="Y66" s="290"/>
      <c r="Z66" s="291"/>
      <c r="AA66" s="76"/>
      <c r="AB66" s="60"/>
      <c r="AC66" s="60"/>
      <c r="AD66" s="59"/>
    </row>
    <row r="67" spans="1:30" ht="15.6" customHeight="1" x14ac:dyDescent="0.25">
      <c r="A67" s="257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9"/>
      <c r="R67" s="263" t="s">
        <v>25</v>
      </c>
      <c r="S67" s="264"/>
      <c r="T67" s="265"/>
      <c r="U67" s="99"/>
      <c r="V67" s="100"/>
      <c r="W67" s="100"/>
      <c r="X67" s="100"/>
      <c r="Y67" s="100"/>
      <c r="Z67" s="101"/>
      <c r="AA67" s="77"/>
      <c r="AB67" s="65"/>
      <c r="AC67" s="65"/>
      <c r="AD67" s="59"/>
    </row>
    <row r="68" spans="1:30" ht="15.6" customHeight="1" x14ac:dyDescent="0.25">
      <c r="A68" s="257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9"/>
      <c r="R68" s="263"/>
      <c r="S68" s="264"/>
      <c r="T68" s="265"/>
      <c r="U68" s="102"/>
      <c r="V68" s="269"/>
      <c r="W68" s="269"/>
      <c r="X68" s="269"/>
      <c r="Y68" s="269"/>
      <c r="Z68" s="103"/>
      <c r="AA68" s="77"/>
      <c r="AB68" s="65"/>
      <c r="AC68" s="65"/>
      <c r="AD68" s="59"/>
    </row>
    <row r="69" spans="1:30" ht="15.6" customHeight="1" x14ac:dyDescent="0.25">
      <c r="A69" s="257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9"/>
      <c r="R69" s="263"/>
      <c r="S69" s="264"/>
      <c r="T69" s="265"/>
      <c r="U69" s="102"/>
      <c r="V69" s="269"/>
      <c r="W69" s="269"/>
      <c r="X69" s="269"/>
      <c r="Y69" s="269"/>
      <c r="Z69" s="103"/>
      <c r="AA69" s="77"/>
      <c r="AB69" s="65"/>
      <c r="AC69" s="65"/>
      <c r="AD69" s="59"/>
    </row>
    <row r="70" spans="1:30" ht="15.6" customHeight="1" x14ac:dyDescent="0.2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2"/>
      <c r="R70" s="266"/>
      <c r="S70" s="267"/>
      <c r="T70" s="268"/>
      <c r="U70" s="104"/>
      <c r="V70" s="105"/>
      <c r="W70" s="105"/>
      <c r="X70" s="105"/>
      <c r="Y70" s="105"/>
      <c r="Z70" s="106"/>
      <c r="AA70" s="77"/>
      <c r="AB70" s="65"/>
      <c r="AC70" s="65"/>
      <c r="AD70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C51:D51"/>
    <mergeCell ref="U51:V51"/>
    <mergeCell ref="W51:X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DF82-162D-41DA-8791-5DA4E2033040}">
  <sheetPr>
    <pageSetUpPr fitToPage="1"/>
  </sheetPr>
  <dimension ref="A1:AN70"/>
  <sheetViews>
    <sheetView topLeftCell="A47" zoomScaleNormal="100" workbookViewId="0">
      <selection activeCell="H81" sqref="H8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9"/>
      <c r="B1" s="150"/>
      <c r="C1" s="150"/>
      <c r="D1" s="150"/>
      <c r="E1" s="150"/>
      <c r="F1" s="151"/>
      <c r="G1" s="158" t="s">
        <v>33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  <c r="U1" s="161" t="s">
        <v>56</v>
      </c>
      <c r="V1" s="162"/>
      <c r="W1" s="162"/>
      <c r="X1" s="162"/>
      <c r="Y1" s="162"/>
      <c r="Z1" s="163"/>
      <c r="AA1" s="78"/>
    </row>
    <row r="2" spans="1:36" ht="12.6" customHeight="1" x14ac:dyDescent="0.25">
      <c r="A2" s="152"/>
      <c r="B2" s="153"/>
      <c r="C2" s="153"/>
      <c r="D2" s="153"/>
      <c r="E2" s="153"/>
      <c r="F2" s="154"/>
      <c r="G2" s="170" t="s">
        <v>39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/>
      <c r="V2" s="165"/>
      <c r="W2" s="165"/>
      <c r="X2" s="165"/>
      <c r="Y2" s="165"/>
      <c r="Z2" s="166"/>
      <c r="AA2" s="78"/>
    </row>
    <row r="3" spans="1:36" ht="12.6" customHeight="1" x14ac:dyDescent="0.25">
      <c r="A3" s="152"/>
      <c r="B3" s="153"/>
      <c r="C3" s="153"/>
      <c r="D3" s="153"/>
      <c r="E3" s="153"/>
      <c r="F3" s="154"/>
      <c r="G3" s="173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64"/>
      <c r="V3" s="165"/>
      <c r="W3" s="165"/>
      <c r="X3" s="165"/>
      <c r="Y3" s="165"/>
      <c r="Z3" s="166"/>
      <c r="AA3" s="78"/>
    </row>
    <row r="4" spans="1:36" ht="12.6" customHeight="1" x14ac:dyDescent="0.25">
      <c r="A4" s="152"/>
      <c r="B4" s="153"/>
      <c r="C4" s="153"/>
      <c r="D4" s="153"/>
      <c r="E4" s="153"/>
      <c r="F4" s="154"/>
      <c r="G4" s="173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4"/>
      <c r="V4" s="165"/>
      <c r="W4" s="165"/>
      <c r="X4" s="165"/>
      <c r="Y4" s="165"/>
      <c r="Z4" s="166"/>
      <c r="AA4" s="78"/>
    </row>
    <row r="5" spans="1:36" ht="12.6" customHeight="1" x14ac:dyDescent="0.25">
      <c r="A5" s="152"/>
      <c r="B5" s="153"/>
      <c r="C5" s="153"/>
      <c r="D5" s="153"/>
      <c r="E5" s="153"/>
      <c r="F5" s="154"/>
      <c r="G5" s="173" t="s">
        <v>40</v>
      </c>
      <c r="H5" s="171"/>
      <c r="I5" s="2" t="s">
        <v>34</v>
      </c>
      <c r="J5" s="174">
        <v>1</v>
      </c>
      <c r="K5" s="175"/>
      <c r="L5" s="176" t="s">
        <v>55</v>
      </c>
      <c r="M5" s="174"/>
      <c r="N5" s="174"/>
      <c r="O5" s="175"/>
      <c r="P5" s="177">
        <v>45632</v>
      </c>
      <c r="Q5" s="178"/>
      <c r="R5" s="178"/>
      <c r="S5" s="178"/>
      <c r="T5" s="179"/>
      <c r="U5" s="164"/>
      <c r="V5" s="165"/>
      <c r="W5" s="165"/>
      <c r="X5" s="165"/>
      <c r="Y5" s="165"/>
      <c r="Z5" s="166"/>
      <c r="AA5" s="78"/>
    </row>
    <row r="6" spans="1:36" ht="12.6" customHeight="1" x14ac:dyDescent="0.25">
      <c r="A6" s="155"/>
      <c r="B6" s="156"/>
      <c r="C6" s="156"/>
      <c r="D6" s="156"/>
      <c r="E6" s="156"/>
      <c r="F6" s="157"/>
      <c r="G6" s="3"/>
      <c r="H6" s="4"/>
      <c r="I6" s="4"/>
      <c r="J6" s="141" t="s">
        <v>35</v>
      </c>
      <c r="K6" s="141"/>
      <c r="L6" s="141" t="s">
        <v>36</v>
      </c>
      <c r="M6" s="141"/>
      <c r="N6" s="141"/>
      <c r="O6" s="141"/>
      <c r="P6" s="141" t="s">
        <v>37</v>
      </c>
      <c r="Q6" s="141"/>
      <c r="R6" s="141"/>
      <c r="S6" s="141"/>
      <c r="T6" s="146"/>
      <c r="U6" s="167"/>
      <c r="V6" s="168"/>
      <c r="W6" s="168"/>
      <c r="X6" s="168"/>
      <c r="Y6" s="168"/>
      <c r="Z6" s="169"/>
      <c r="AA6" s="78"/>
    </row>
    <row r="7" spans="1:36" ht="36.6" customHeight="1" x14ac:dyDescent="0.25">
      <c r="A7" s="147" t="s">
        <v>38</v>
      </c>
      <c r="B7" s="147"/>
      <c r="C7" s="147"/>
      <c r="D7" s="147"/>
      <c r="E7" s="147"/>
      <c r="F7" s="147"/>
      <c r="G7" s="148" t="s">
        <v>32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42" t="s">
        <v>27</v>
      </c>
      <c r="C10" s="142"/>
      <c r="D10" s="142"/>
      <c r="E10" s="142"/>
      <c r="F10" s="142"/>
      <c r="G10" s="143" t="s">
        <v>57</v>
      </c>
      <c r="H10" s="143"/>
      <c r="I10" s="143"/>
      <c r="J10" s="143"/>
      <c r="K10" s="143"/>
      <c r="L10" s="143"/>
      <c r="M10" s="142" t="s">
        <v>30</v>
      </c>
      <c r="N10" s="142"/>
      <c r="O10" s="142"/>
      <c r="P10" s="142"/>
      <c r="Q10" s="142"/>
      <c r="R10" s="142"/>
      <c r="S10" s="144" t="s">
        <v>61</v>
      </c>
      <c r="T10" s="144"/>
      <c r="U10" s="144"/>
      <c r="V10" s="144"/>
      <c r="W10" s="144"/>
      <c r="X10" s="144"/>
      <c r="Y10" s="144"/>
      <c r="Z10" s="17"/>
      <c r="AA10" s="75"/>
      <c r="AB10" s="12"/>
      <c r="AC10" s="12"/>
      <c r="AD10" s="12"/>
      <c r="AE10" s="107"/>
      <c r="AF10" s="107"/>
      <c r="AG10" s="107"/>
      <c r="AH10" s="107"/>
      <c r="AI10" s="107"/>
    </row>
    <row r="11" spans="1:36" ht="15.9" customHeight="1" x14ac:dyDescent="0.25">
      <c r="A11" s="13"/>
      <c r="B11" s="142" t="s">
        <v>6</v>
      </c>
      <c r="C11" s="142"/>
      <c r="D11" s="142"/>
      <c r="E11" s="142"/>
      <c r="F11" s="142"/>
      <c r="G11" s="143">
        <v>45632</v>
      </c>
      <c r="H11" s="143"/>
      <c r="I11" s="143"/>
      <c r="J11" s="143"/>
      <c r="K11" s="143"/>
      <c r="L11" s="143"/>
      <c r="M11" s="142" t="s">
        <v>44</v>
      </c>
      <c r="N11" s="142"/>
      <c r="O11" s="142"/>
      <c r="P11" s="142"/>
      <c r="Q11" s="142"/>
      <c r="R11" s="142"/>
      <c r="S11" s="144" t="s">
        <v>62</v>
      </c>
      <c r="T11" s="144"/>
      <c r="U11" s="144"/>
      <c r="V11" s="144"/>
      <c r="W11" s="144"/>
      <c r="X11" s="144"/>
      <c r="Y11" s="144"/>
      <c r="Z11" s="17"/>
      <c r="AA11" s="75"/>
      <c r="AB11" s="12"/>
      <c r="AC11" s="12"/>
      <c r="AD11" s="12"/>
      <c r="AE11" s="107"/>
      <c r="AF11" s="107"/>
      <c r="AG11" s="107"/>
      <c r="AH11" s="107"/>
      <c r="AI11" s="107"/>
    </row>
    <row r="12" spans="1:36" ht="15.9" customHeight="1" x14ac:dyDescent="0.25">
      <c r="A12" s="13"/>
      <c r="B12" s="142" t="s">
        <v>28</v>
      </c>
      <c r="C12" s="142"/>
      <c r="D12" s="142"/>
      <c r="E12" s="142"/>
      <c r="F12" s="142"/>
      <c r="G12" s="143" t="s">
        <v>58</v>
      </c>
      <c r="H12" s="143"/>
      <c r="I12" s="143"/>
      <c r="J12" s="143"/>
      <c r="K12" s="143"/>
      <c r="L12" s="143"/>
      <c r="M12" s="145" t="s">
        <v>43</v>
      </c>
      <c r="N12" s="145"/>
      <c r="O12" s="145"/>
      <c r="P12" s="145"/>
      <c r="Q12" s="145"/>
      <c r="R12" s="145"/>
      <c r="S12" s="144">
        <v>218</v>
      </c>
      <c r="T12" s="144"/>
      <c r="U12" s="144"/>
      <c r="V12" s="144"/>
      <c r="W12" s="144"/>
      <c r="X12" s="144"/>
      <c r="Y12" s="14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85" t="s">
        <v>41</v>
      </c>
      <c r="C13" s="185"/>
      <c r="D13" s="185"/>
      <c r="E13" s="185"/>
      <c r="F13" s="185"/>
      <c r="G13" s="186" t="s">
        <v>60</v>
      </c>
      <c r="H13" s="186"/>
      <c r="I13" s="186"/>
      <c r="J13" s="186"/>
      <c r="K13" s="186"/>
      <c r="L13" s="186"/>
      <c r="M13" s="142" t="s">
        <v>29</v>
      </c>
      <c r="N13" s="142"/>
      <c r="O13" s="142"/>
      <c r="P13" s="142"/>
      <c r="Q13" s="142"/>
      <c r="R13" s="142"/>
      <c r="S13" s="186" t="s">
        <v>63</v>
      </c>
      <c r="T13" s="186"/>
      <c r="U13" s="186"/>
      <c r="V13" s="186"/>
      <c r="W13" s="186"/>
      <c r="X13" s="186"/>
      <c r="Y13" s="186"/>
      <c r="Z13" s="17"/>
      <c r="AA13" s="75"/>
      <c r="AB13" s="12"/>
      <c r="AC13" s="12"/>
      <c r="AD13" s="12"/>
      <c r="AE13" s="107"/>
      <c r="AF13" s="107"/>
      <c r="AG13" s="107"/>
      <c r="AH13" s="107"/>
      <c r="AI13" s="107"/>
      <c r="AJ13" s="107"/>
    </row>
    <row r="14" spans="1:36" ht="15.9" customHeight="1" x14ac:dyDescent="0.25">
      <c r="A14" s="18"/>
      <c r="B14" s="142" t="s">
        <v>42</v>
      </c>
      <c r="C14" s="142"/>
      <c r="D14" s="142"/>
      <c r="E14" s="142"/>
      <c r="F14" s="142"/>
      <c r="G14" s="186" t="s">
        <v>59</v>
      </c>
      <c r="H14" s="186"/>
      <c r="I14" s="186"/>
      <c r="J14" s="186"/>
      <c r="K14" s="186"/>
      <c r="L14" s="186"/>
      <c r="M14" s="144" t="s">
        <v>26</v>
      </c>
      <c r="N14" s="144"/>
      <c r="O14" s="144"/>
      <c r="P14" s="144"/>
      <c r="Q14" s="144"/>
      <c r="R14" s="144"/>
      <c r="S14" s="144" t="s">
        <v>49</v>
      </c>
      <c r="T14" s="144"/>
      <c r="U14" s="144"/>
      <c r="V14" s="144"/>
      <c r="W14" s="144"/>
      <c r="X14" s="144"/>
      <c r="Y14" s="144"/>
      <c r="Z14" s="19"/>
      <c r="AA14" s="12"/>
      <c r="AB14" s="12"/>
      <c r="AC14" s="12"/>
      <c r="AD14" s="12"/>
      <c r="AE14" s="107"/>
      <c r="AF14" s="107"/>
      <c r="AG14" s="107"/>
      <c r="AH14" s="107"/>
      <c r="AI14" s="107"/>
      <c r="AJ14" s="10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7"/>
      <c r="AF15" s="107"/>
      <c r="AG15" s="107"/>
      <c r="AH15" s="107"/>
      <c r="AI15" s="107"/>
      <c r="AJ15" s="10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7"/>
      <c r="AF16" s="107"/>
      <c r="AG16" s="107"/>
      <c r="AH16" s="107"/>
      <c r="AI16" s="107"/>
      <c r="AJ16" s="10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42" t="s">
        <v>19</v>
      </c>
      <c r="C19" s="142"/>
      <c r="D19" s="142"/>
      <c r="E19" s="142"/>
      <c r="F19" s="142"/>
      <c r="G19" s="142"/>
      <c r="H19" s="142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"/>
      <c r="AA19" s="75"/>
      <c r="AE19" s="20"/>
      <c r="AI19" s="20"/>
    </row>
    <row r="20" spans="1:40" ht="15.9" customHeight="1" x14ac:dyDescent="0.25">
      <c r="A20" s="13"/>
      <c r="B20" s="142" t="s">
        <v>20</v>
      </c>
      <c r="C20" s="142"/>
      <c r="D20" s="142"/>
      <c r="E20" s="142"/>
      <c r="F20" s="142"/>
      <c r="G20" s="142"/>
      <c r="H20" s="142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181" t="s">
        <v>16</v>
      </c>
      <c r="AE47" s="183">
        <v>2.6469999999999998</v>
      </c>
      <c r="AF47" s="187"/>
      <c r="AG47" s="197"/>
      <c r="AH47" s="39"/>
    </row>
    <row r="48" spans="1:34" ht="12.75" customHeight="1" thickBot="1" x14ac:dyDescent="0.3">
      <c r="A48" s="18"/>
      <c r="Z48" s="87"/>
      <c r="AD48" s="182"/>
      <c r="AE48" s="184"/>
      <c r="AF48" s="196"/>
      <c r="AG48" s="197"/>
    </row>
    <row r="49" spans="1:34" ht="18.75" customHeight="1" thickBot="1" x14ac:dyDescent="0.3">
      <c r="A49" s="18"/>
      <c r="E49" s="198" t="s">
        <v>11</v>
      </c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200" t="s">
        <v>47</v>
      </c>
      <c r="V49" s="201"/>
      <c r="W49" s="204" t="s">
        <v>12</v>
      </c>
      <c r="X49" s="201"/>
      <c r="Y49" s="206" t="s">
        <v>13</v>
      </c>
      <c r="Z49" s="207"/>
      <c r="AA49" s="82"/>
      <c r="AB49" s="210" t="s">
        <v>45</v>
      </c>
      <c r="AC49" s="211"/>
      <c r="AD49" s="214" t="s">
        <v>14</v>
      </c>
      <c r="AE49" s="216" t="s">
        <v>15</v>
      </c>
      <c r="AF49" s="187"/>
      <c r="AG49" s="187"/>
      <c r="AH49" s="40"/>
    </row>
    <row r="50" spans="1:34" ht="24.9" customHeight="1" thickBot="1" x14ac:dyDescent="0.3">
      <c r="A50" s="5"/>
      <c r="B50" s="41" t="s">
        <v>22</v>
      </c>
      <c r="C50" s="188" t="s">
        <v>10</v>
      </c>
      <c r="D50" s="189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2"/>
      <c r="V50" s="203"/>
      <c r="W50" s="205"/>
      <c r="X50" s="203"/>
      <c r="Y50" s="208"/>
      <c r="Z50" s="209"/>
      <c r="AA50" s="82"/>
      <c r="AB50" s="212"/>
      <c r="AC50" s="213"/>
      <c r="AD50" s="215"/>
      <c r="AE50" s="217"/>
      <c r="AF50" s="218"/>
      <c r="AG50" s="187"/>
    </row>
    <row r="51" spans="1:34" ht="24.9" customHeight="1" x14ac:dyDescent="0.25">
      <c r="A51" s="5"/>
      <c r="B51" s="43">
        <v>1</v>
      </c>
      <c r="C51" s="190" t="s">
        <v>65</v>
      </c>
      <c r="D51" s="191"/>
      <c r="E51" s="127">
        <v>7.4</v>
      </c>
      <c r="F51" s="128">
        <v>9.5</v>
      </c>
      <c r="G51" s="129">
        <v>12.4</v>
      </c>
      <c r="H51" s="129">
        <v>16.2</v>
      </c>
      <c r="I51" s="129">
        <v>21.3</v>
      </c>
      <c r="J51" s="129">
        <v>30.4</v>
      </c>
      <c r="K51" s="129">
        <v>45.9</v>
      </c>
      <c r="L51" s="129">
        <v>65.5</v>
      </c>
      <c r="M51" s="129">
        <v>81.099999999999994</v>
      </c>
      <c r="N51" s="129">
        <v>97.1</v>
      </c>
      <c r="O51" s="129">
        <v>100</v>
      </c>
      <c r="P51" s="129"/>
      <c r="Q51" s="129"/>
      <c r="R51" s="129"/>
      <c r="S51" s="130"/>
      <c r="T51" s="130"/>
      <c r="U51" s="305">
        <v>154</v>
      </c>
      <c r="V51" s="306"/>
      <c r="W51" s="307">
        <v>5.24</v>
      </c>
      <c r="X51" s="308"/>
      <c r="Y51" s="192">
        <f>IF(W51&lt;&gt;0,AE51,"")</f>
        <v>3.254413999270569</v>
      </c>
      <c r="Z51" s="193"/>
      <c r="AA51" s="80"/>
      <c r="AB51" s="194">
        <f>(100*W51)/(100-W51)</f>
        <v>5.5297593921485859</v>
      </c>
      <c r="AC51" s="195"/>
      <c r="AD51" s="67">
        <f>(0.25*(100-O51)+2.3*(O51-H51)+12*(H51-E51)+150*(E51))/100</f>
        <v>14.083399999999999</v>
      </c>
      <c r="AE51" s="68">
        <f>(AB51*$AE$47)/(2.65*(AD51)^(1/5))</f>
        <v>3.254413999270569</v>
      </c>
      <c r="AF51" s="29"/>
      <c r="AG51" s="66"/>
    </row>
    <row r="52" spans="1:34" ht="24.9" customHeight="1" x14ac:dyDescent="0.25">
      <c r="A52" s="5"/>
      <c r="B52" s="44">
        <v>2</v>
      </c>
      <c r="C52" s="190" t="s">
        <v>66</v>
      </c>
      <c r="D52" s="191"/>
      <c r="E52" s="127">
        <v>7.7</v>
      </c>
      <c r="F52" s="128">
        <v>9.9</v>
      </c>
      <c r="G52" s="129">
        <v>13.2</v>
      </c>
      <c r="H52" s="129">
        <v>17.2</v>
      </c>
      <c r="I52" s="129">
        <v>22.7</v>
      </c>
      <c r="J52" s="129">
        <v>32.6</v>
      </c>
      <c r="K52" s="129">
        <v>47.6</v>
      </c>
      <c r="L52" s="129">
        <v>64.8</v>
      </c>
      <c r="M52" s="129">
        <v>82.6</v>
      </c>
      <c r="N52" s="129">
        <v>97</v>
      </c>
      <c r="O52" s="129">
        <v>100</v>
      </c>
      <c r="P52" s="129"/>
      <c r="Q52" s="129"/>
      <c r="R52" s="129"/>
      <c r="S52" s="130"/>
      <c r="T52" s="130"/>
      <c r="U52" s="305">
        <v>160</v>
      </c>
      <c r="V52" s="306"/>
      <c r="W52" s="307">
        <v>5.12</v>
      </c>
      <c r="X52" s="308"/>
      <c r="Y52" s="222">
        <f>IF(W52&lt;&gt;0,AE52,"")</f>
        <v>3.1533058992725356</v>
      </c>
      <c r="Z52" s="223"/>
      <c r="AA52" s="80"/>
      <c r="AB52" s="194">
        <f>(100*W52)/(100-W52)</f>
        <v>5.3962900505902196</v>
      </c>
      <c r="AC52" s="195"/>
      <c r="AD52" s="67">
        <f t="shared" ref="AD52:AD58" si="0">(0.25*(100-O52)+2.3*(O52-H52)+12*(H52-E52)+150*(E52))/100</f>
        <v>14.5944</v>
      </c>
      <c r="AE52" s="68">
        <f t="shared" ref="AE52:AE58" si="1">(AB52*$AE$47)/(2.65*(AD52)^(1/5))</f>
        <v>3.1533058992725356</v>
      </c>
      <c r="AF52" s="29"/>
      <c r="AG52" s="66"/>
    </row>
    <row r="53" spans="1:34" ht="24.9" customHeight="1" x14ac:dyDescent="0.25">
      <c r="A53" s="5"/>
      <c r="B53" s="44">
        <v>3</v>
      </c>
      <c r="C53" s="224"/>
      <c r="D53" s="225"/>
      <c r="E53" s="117"/>
      <c r="F53" s="118"/>
      <c r="G53" s="118"/>
      <c r="H53" s="119"/>
      <c r="I53" s="119"/>
      <c r="J53" s="119"/>
      <c r="K53" s="119"/>
      <c r="L53" s="119"/>
      <c r="M53" s="119"/>
      <c r="N53" s="119"/>
      <c r="O53" s="120"/>
      <c r="P53" s="119"/>
      <c r="Q53" s="119"/>
      <c r="R53" s="119"/>
      <c r="S53" s="119"/>
      <c r="T53" s="121"/>
      <c r="U53" s="226"/>
      <c r="V53" s="227"/>
      <c r="W53" s="228"/>
      <c r="X53" s="229"/>
      <c r="Y53" s="222" t="str">
        <f t="shared" ref="Y53:Y54" si="2">IF(W53&lt;&gt;0,AE53,"")</f>
        <v/>
      </c>
      <c r="Z53" s="223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97"/>
      <c r="D54" s="298"/>
      <c r="E54" s="122"/>
      <c r="F54" s="123"/>
      <c r="G54" s="123"/>
      <c r="H54" s="124"/>
      <c r="I54" s="124"/>
      <c r="J54" s="124"/>
      <c r="K54" s="124"/>
      <c r="L54" s="124"/>
      <c r="M54" s="124"/>
      <c r="N54" s="124"/>
      <c r="O54" s="125"/>
      <c r="P54" s="124"/>
      <c r="Q54" s="124"/>
      <c r="R54" s="124"/>
      <c r="S54" s="124"/>
      <c r="T54" s="126"/>
      <c r="U54" s="299"/>
      <c r="V54" s="300"/>
      <c r="W54" s="301"/>
      <c r="X54" s="302"/>
      <c r="Y54" s="303" t="str">
        <f t="shared" si="2"/>
        <v/>
      </c>
      <c r="Z54" s="304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9" t="s">
        <v>8</v>
      </c>
      <c r="C56" s="220"/>
      <c r="D56" s="221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09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39" t="s">
        <v>7</v>
      </c>
      <c r="C57" s="240"/>
      <c r="D57" s="241"/>
      <c r="E57" s="92">
        <f t="shared" ref="E57:T57" si="3">IF(E51&lt;&gt;0,AVERAGE(E51:E54),"")</f>
        <v>7.5500000000000007</v>
      </c>
      <c r="F57" s="92">
        <f t="shared" si="3"/>
        <v>9.6999999999999993</v>
      </c>
      <c r="G57" s="92">
        <f t="shared" si="3"/>
        <v>12.8</v>
      </c>
      <c r="H57" s="92">
        <f t="shared" si="3"/>
        <v>16.7</v>
      </c>
      <c r="I57" s="92">
        <f t="shared" si="3"/>
        <v>22</v>
      </c>
      <c r="J57" s="92">
        <f t="shared" si="3"/>
        <v>31.5</v>
      </c>
      <c r="K57" s="92">
        <f t="shared" si="3"/>
        <v>46.75</v>
      </c>
      <c r="L57" s="92">
        <f t="shared" si="3"/>
        <v>65.150000000000006</v>
      </c>
      <c r="M57" s="92">
        <f t="shared" si="3"/>
        <v>81.849999999999994</v>
      </c>
      <c r="N57" s="92">
        <f t="shared" si="3"/>
        <v>97.05</v>
      </c>
      <c r="O57" s="110">
        <f t="shared" si="3"/>
        <v>100</v>
      </c>
      <c r="P57" s="92"/>
      <c r="Q57" s="92"/>
      <c r="R57" s="92"/>
      <c r="S57" s="92"/>
      <c r="T57" s="93" t="str">
        <f t="shared" si="3"/>
        <v/>
      </c>
      <c r="U57" s="242">
        <f>IF(U51&lt;&gt;0,AVERAGE(U51:V54),"")</f>
        <v>157</v>
      </c>
      <c r="V57" s="243"/>
      <c r="W57" s="244">
        <f>IF(W51&lt;&gt;0,AVERAGE(W51:X54),"")</f>
        <v>5.18</v>
      </c>
      <c r="X57" s="245"/>
      <c r="Y57" s="246">
        <f>IF(W51&lt;&gt;0,AVERAGE(Y51:Z54),"")</f>
        <v>3.2038599492715525</v>
      </c>
      <c r="Z57" s="247"/>
      <c r="AA57" s="66"/>
      <c r="AB57" s="194">
        <f>(100*W57)/(100-W57)</f>
        <v>5.4629824931449065</v>
      </c>
      <c r="AC57" s="195"/>
      <c r="AD57" s="67">
        <f t="shared" si="0"/>
        <v>14.338899999999999</v>
      </c>
      <c r="AE57" s="68">
        <f t="shared" si="1"/>
        <v>3.2035736210916164</v>
      </c>
      <c r="AF57" s="29"/>
      <c r="AG57" s="66"/>
    </row>
    <row r="58" spans="1:34" ht="21" customHeight="1" x14ac:dyDescent="0.25">
      <c r="A58" s="5"/>
      <c r="B58" s="248" t="s">
        <v>9</v>
      </c>
      <c r="C58" s="249"/>
      <c r="D58" s="250"/>
      <c r="E58" s="94">
        <v>6.8</v>
      </c>
      <c r="F58" s="94">
        <v>9</v>
      </c>
      <c r="G58" s="94">
        <v>12</v>
      </c>
      <c r="H58" s="94">
        <v>16</v>
      </c>
      <c r="I58" s="94">
        <v>22</v>
      </c>
      <c r="J58" s="94">
        <v>31</v>
      </c>
      <c r="K58" s="94">
        <v>45</v>
      </c>
      <c r="L58" s="94">
        <v>62</v>
      </c>
      <c r="M58" s="94">
        <v>78</v>
      </c>
      <c r="N58" s="94">
        <v>96</v>
      </c>
      <c r="O58" s="111">
        <v>100</v>
      </c>
      <c r="P58" s="94"/>
      <c r="Q58" s="94"/>
      <c r="R58" s="94"/>
      <c r="S58" s="94"/>
      <c r="T58" s="95"/>
      <c r="U58" s="251"/>
      <c r="V58" s="252"/>
      <c r="W58" s="253">
        <v>5.5</v>
      </c>
      <c r="X58" s="254"/>
      <c r="Y58" s="255">
        <f>AE58</f>
        <v>3.4680679389362647</v>
      </c>
      <c r="Z58" s="256"/>
      <c r="AA58" s="66"/>
      <c r="AB58" s="194">
        <f>(100*W58)/(100-W58)</f>
        <v>5.8201058201058204</v>
      </c>
      <c r="AC58" s="195"/>
      <c r="AD58" s="67">
        <f t="shared" si="0"/>
        <v>13.235999999999999</v>
      </c>
      <c r="AE58" s="68">
        <f t="shared" si="1"/>
        <v>3.4680679389362647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8.8000000000000007</v>
      </c>
      <c r="F59" s="90"/>
      <c r="G59" s="90"/>
      <c r="H59" s="90"/>
      <c r="I59" s="90"/>
      <c r="J59" s="90">
        <f>J58+6</f>
        <v>37</v>
      </c>
      <c r="K59" s="90"/>
      <c r="L59" s="90">
        <f>L58+7</f>
        <v>69</v>
      </c>
      <c r="M59" s="90"/>
      <c r="N59" s="90"/>
      <c r="O59" s="90"/>
      <c r="P59" s="90"/>
      <c r="Q59" s="90"/>
      <c r="R59" s="90"/>
      <c r="S59" s="90"/>
      <c r="T59" s="91"/>
      <c r="U59" s="292"/>
      <c r="V59" s="293"/>
      <c r="W59" s="294">
        <f>W58+0.5</f>
        <v>6</v>
      </c>
      <c r="X59" s="293"/>
      <c r="Y59" s="295"/>
      <c r="Z59" s="296"/>
      <c r="AA59" s="83"/>
      <c r="AB59" s="71"/>
      <c r="AC59" s="69"/>
      <c r="AD59" s="230"/>
      <c r="AE59" s="232" t="s">
        <v>46</v>
      </c>
      <c r="AF59" s="29"/>
      <c r="AG59" s="66"/>
    </row>
    <row r="60" spans="1:34" ht="13.5" customHeight="1" thickBot="1" x14ac:dyDescent="0.3">
      <c r="A60" s="5"/>
      <c r="B60" s="202" t="s">
        <v>24</v>
      </c>
      <c r="C60" s="205"/>
      <c r="D60" s="203"/>
      <c r="E60" s="96">
        <f>E58-2</f>
        <v>4.8</v>
      </c>
      <c r="F60" s="96"/>
      <c r="G60" s="97"/>
      <c r="H60" s="97"/>
      <c r="I60" s="97"/>
      <c r="J60" s="96">
        <f>J58-6</f>
        <v>25</v>
      </c>
      <c r="K60" s="97"/>
      <c r="L60" s="96">
        <f>L58-7</f>
        <v>55</v>
      </c>
      <c r="M60" s="96"/>
      <c r="N60" s="97"/>
      <c r="O60" s="97"/>
      <c r="P60" s="97"/>
      <c r="Q60" s="96"/>
      <c r="R60" s="97"/>
      <c r="S60" s="97"/>
      <c r="T60" s="98"/>
      <c r="U60" s="234"/>
      <c r="V60" s="235"/>
      <c r="W60" s="236">
        <f>W58-0.5</f>
        <v>5</v>
      </c>
      <c r="X60" s="235"/>
      <c r="Y60" s="237"/>
      <c r="Z60" s="238"/>
      <c r="AA60" s="84"/>
      <c r="AB60" s="72"/>
      <c r="AC60" s="73"/>
      <c r="AD60" s="231"/>
      <c r="AE60" s="23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74"/>
      <c r="V63" s="274"/>
      <c r="W63" s="274"/>
      <c r="X63" s="274"/>
      <c r="Y63" s="274"/>
      <c r="Z63" s="275"/>
      <c r="AA63" s="81"/>
      <c r="AB63" s="58"/>
      <c r="AC63" s="58"/>
      <c r="AD63" s="59"/>
    </row>
    <row r="64" spans="1:34" ht="26.4" customHeight="1" x14ac:dyDescent="0.25">
      <c r="A64" s="276" t="s">
        <v>48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8"/>
      <c r="R64" s="263" t="s">
        <v>31</v>
      </c>
      <c r="S64" s="264"/>
      <c r="T64" s="265"/>
      <c r="U64" s="279" t="s">
        <v>53</v>
      </c>
      <c r="V64" s="280"/>
      <c r="W64" s="280"/>
      <c r="X64" s="281"/>
      <c r="Y64" s="281"/>
      <c r="Z64" s="282"/>
      <c r="AA64" s="76"/>
      <c r="AB64" s="60"/>
      <c r="AC64" s="60"/>
      <c r="AD64" s="59"/>
    </row>
    <row r="65" spans="1:30" ht="26.4" customHeight="1" x14ac:dyDescent="0.25">
      <c r="A65" s="283" t="s">
        <v>52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5"/>
      <c r="R65" s="263" t="s">
        <v>51</v>
      </c>
      <c r="S65" s="264"/>
      <c r="T65" s="265"/>
      <c r="U65" s="286" t="s">
        <v>54</v>
      </c>
      <c r="V65" s="287"/>
      <c r="W65" s="287"/>
      <c r="X65" s="287"/>
      <c r="Y65" s="287"/>
      <c r="Z65" s="28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63"/>
      <c r="S66" s="264"/>
      <c r="T66" s="265"/>
      <c r="U66" s="289"/>
      <c r="V66" s="290"/>
      <c r="W66" s="290"/>
      <c r="X66" s="290"/>
      <c r="Y66" s="290"/>
      <c r="Z66" s="291"/>
      <c r="AA66" s="76"/>
      <c r="AB66" s="60"/>
      <c r="AC66" s="60"/>
      <c r="AD66" s="59"/>
    </row>
    <row r="67" spans="1:30" ht="15.6" customHeight="1" x14ac:dyDescent="0.25">
      <c r="A67" s="257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9"/>
      <c r="R67" s="263" t="s">
        <v>25</v>
      </c>
      <c r="S67" s="264"/>
      <c r="T67" s="265"/>
      <c r="U67" s="99"/>
      <c r="V67" s="100"/>
      <c r="W67" s="100"/>
      <c r="X67" s="100"/>
      <c r="Y67" s="100"/>
      <c r="Z67" s="101"/>
      <c r="AA67" s="77"/>
      <c r="AB67" s="65"/>
      <c r="AC67" s="65"/>
      <c r="AD67" s="59"/>
    </row>
    <row r="68" spans="1:30" ht="15.6" customHeight="1" x14ac:dyDescent="0.25">
      <c r="A68" s="257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9"/>
      <c r="R68" s="263"/>
      <c r="S68" s="264"/>
      <c r="T68" s="265"/>
      <c r="U68" s="102"/>
      <c r="V68" s="269"/>
      <c r="W68" s="269"/>
      <c r="X68" s="269"/>
      <c r="Y68" s="269"/>
      <c r="Z68" s="103"/>
      <c r="AA68" s="77"/>
      <c r="AB68" s="65"/>
      <c r="AC68" s="65"/>
      <c r="AD68" s="59"/>
    </row>
    <row r="69" spans="1:30" ht="15.6" customHeight="1" x14ac:dyDescent="0.25">
      <c r="A69" s="257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9"/>
      <c r="R69" s="263"/>
      <c r="S69" s="264"/>
      <c r="T69" s="265"/>
      <c r="U69" s="102"/>
      <c r="V69" s="269"/>
      <c r="W69" s="269"/>
      <c r="X69" s="269"/>
      <c r="Y69" s="269"/>
      <c r="Z69" s="103"/>
      <c r="AA69" s="77"/>
      <c r="AB69" s="65"/>
      <c r="AC69" s="65"/>
      <c r="AD69" s="59"/>
    </row>
    <row r="70" spans="1:30" ht="15.6" customHeight="1" x14ac:dyDescent="0.2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2"/>
      <c r="R70" s="266"/>
      <c r="S70" s="267"/>
      <c r="T70" s="268"/>
      <c r="U70" s="104"/>
      <c r="V70" s="105"/>
      <c r="W70" s="105"/>
      <c r="X70" s="105"/>
      <c r="Y70" s="105"/>
      <c r="Z70" s="106"/>
      <c r="AA70" s="77"/>
      <c r="AB70" s="65"/>
      <c r="AC70" s="65"/>
      <c r="AD70" s="59"/>
    </row>
  </sheetData>
  <mergeCells count="101">
    <mergeCell ref="A67:Q70"/>
    <mergeCell ref="R67:T70"/>
    <mergeCell ref="V68:Y69"/>
    <mergeCell ref="U52:V52"/>
    <mergeCell ref="W52:X52"/>
    <mergeCell ref="U51:V51"/>
    <mergeCell ref="W51:X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Y52:Z52"/>
    <mergeCell ref="AB52:AC52"/>
    <mergeCell ref="C53:D53"/>
    <mergeCell ref="U53:V53"/>
    <mergeCell ref="W53:X53"/>
    <mergeCell ref="Y53:Z53"/>
    <mergeCell ref="AB53:AC53"/>
    <mergeCell ref="C51:D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S54" sqref="S5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9"/>
      <c r="B1" s="150"/>
      <c r="C1" s="150"/>
      <c r="D1" s="150"/>
      <c r="E1" s="150"/>
      <c r="F1" s="151"/>
      <c r="G1" s="158" t="s">
        <v>33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60"/>
      <c r="U1" s="161" t="s">
        <v>56</v>
      </c>
      <c r="V1" s="162"/>
      <c r="W1" s="162"/>
      <c r="X1" s="162"/>
      <c r="Y1" s="162"/>
      <c r="Z1" s="163"/>
      <c r="AA1" s="78"/>
    </row>
    <row r="2" spans="1:36" ht="12.6" customHeight="1" x14ac:dyDescent="0.25">
      <c r="A2" s="152"/>
      <c r="B2" s="153"/>
      <c r="C2" s="153"/>
      <c r="D2" s="153"/>
      <c r="E2" s="153"/>
      <c r="F2" s="154"/>
      <c r="G2" s="170" t="s">
        <v>39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/>
      <c r="V2" s="165"/>
      <c r="W2" s="165"/>
      <c r="X2" s="165"/>
      <c r="Y2" s="165"/>
      <c r="Z2" s="166"/>
      <c r="AA2" s="78"/>
    </row>
    <row r="3" spans="1:36" ht="12.6" customHeight="1" x14ac:dyDescent="0.25">
      <c r="A3" s="152"/>
      <c r="B3" s="153"/>
      <c r="C3" s="153"/>
      <c r="D3" s="153"/>
      <c r="E3" s="153"/>
      <c r="F3" s="154"/>
      <c r="G3" s="173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64"/>
      <c r="V3" s="165"/>
      <c r="W3" s="165"/>
      <c r="X3" s="165"/>
      <c r="Y3" s="165"/>
      <c r="Z3" s="166"/>
      <c r="AA3" s="78"/>
    </row>
    <row r="4" spans="1:36" ht="12.6" customHeight="1" x14ac:dyDescent="0.25">
      <c r="A4" s="152"/>
      <c r="B4" s="153"/>
      <c r="C4" s="153"/>
      <c r="D4" s="153"/>
      <c r="E4" s="153"/>
      <c r="F4" s="154"/>
      <c r="G4" s="173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4"/>
      <c r="V4" s="165"/>
      <c r="W4" s="165"/>
      <c r="X4" s="165"/>
      <c r="Y4" s="165"/>
      <c r="Z4" s="166"/>
      <c r="AA4" s="78"/>
    </row>
    <row r="5" spans="1:36" ht="12.6" customHeight="1" x14ac:dyDescent="0.25">
      <c r="A5" s="152"/>
      <c r="B5" s="153"/>
      <c r="C5" s="153"/>
      <c r="D5" s="153"/>
      <c r="E5" s="153"/>
      <c r="F5" s="154"/>
      <c r="G5" s="173" t="s">
        <v>40</v>
      </c>
      <c r="H5" s="171"/>
      <c r="I5" s="2" t="s">
        <v>34</v>
      </c>
      <c r="J5" s="174">
        <v>1</v>
      </c>
      <c r="K5" s="175"/>
      <c r="L5" s="176" t="s">
        <v>55</v>
      </c>
      <c r="M5" s="174"/>
      <c r="N5" s="174"/>
      <c r="O5" s="175"/>
      <c r="P5" s="177">
        <v>45632</v>
      </c>
      <c r="Q5" s="178"/>
      <c r="R5" s="178"/>
      <c r="S5" s="178"/>
      <c r="T5" s="179"/>
      <c r="U5" s="164"/>
      <c r="V5" s="165"/>
      <c r="W5" s="165"/>
      <c r="X5" s="165"/>
      <c r="Y5" s="165"/>
      <c r="Z5" s="166"/>
      <c r="AA5" s="78"/>
    </row>
    <row r="6" spans="1:36" ht="12.6" customHeight="1" x14ac:dyDescent="0.25">
      <c r="A6" s="155"/>
      <c r="B6" s="156"/>
      <c r="C6" s="156"/>
      <c r="D6" s="156"/>
      <c r="E6" s="156"/>
      <c r="F6" s="157"/>
      <c r="G6" s="3"/>
      <c r="H6" s="4"/>
      <c r="I6" s="4"/>
      <c r="J6" s="141" t="s">
        <v>35</v>
      </c>
      <c r="K6" s="141"/>
      <c r="L6" s="141" t="s">
        <v>36</v>
      </c>
      <c r="M6" s="141"/>
      <c r="N6" s="141"/>
      <c r="O6" s="141"/>
      <c r="P6" s="141" t="s">
        <v>37</v>
      </c>
      <c r="Q6" s="141"/>
      <c r="R6" s="141"/>
      <c r="S6" s="141"/>
      <c r="T6" s="146"/>
      <c r="U6" s="167"/>
      <c r="V6" s="168"/>
      <c r="W6" s="168"/>
      <c r="X6" s="168"/>
      <c r="Y6" s="168"/>
      <c r="Z6" s="169"/>
      <c r="AA6" s="78"/>
    </row>
    <row r="7" spans="1:36" ht="36.6" customHeight="1" x14ac:dyDescent="0.25">
      <c r="A7" s="147" t="s">
        <v>38</v>
      </c>
      <c r="B7" s="147"/>
      <c r="C7" s="147"/>
      <c r="D7" s="147"/>
      <c r="E7" s="147"/>
      <c r="F7" s="147"/>
      <c r="G7" s="148" t="s">
        <v>32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42" t="s">
        <v>27</v>
      </c>
      <c r="C10" s="142"/>
      <c r="D10" s="142"/>
      <c r="E10" s="142"/>
      <c r="F10" s="142"/>
      <c r="G10" s="143" t="s">
        <v>57</v>
      </c>
      <c r="H10" s="143"/>
      <c r="I10" s="143"/>
      <c r="J10" s="143"/>
      <c r="K10" s="143"/>
      <c r="L10" s="143"/>
      <c r="M10" s="142" t="s">
        <v>30</v>
      </c>
      <c r="N10" s="142"/>
      <c r="O10" s="142"/>
      <c r="P10" s="142"/>
      <c r="Q10" s="142"/>
      <c r="R10" s="142"/>
      <c r="S10" s="144" t="s">
        <v>61</v>
      </c>
      <c r="T10" s="144"/>
      <c r="U10" s="144"/>
      <c r="V10" s="144"/>
      <c r="W10" s="144"/>
      <c r="X10" s="144"/>
      <c r="Y10" s="144"/>
      <c r="Z10" s="17"/>
      <c r="AA10" s="75"/>
      <c r="AB10" s="12"/>
      <c r="AC10" s="12"/>
      <c r="AD10" s="12"/>
      <c r="AE10" s="107"/>
      <c r="AF10" s="107"/>
      <c r="AG10" s="107"/>
      <c r="AH10" s="107"/>
      <c r="AI10" s="107"/>
    </row>
    <row r="11" spans="1:36" ht="15.9" customHeight="1" x14ac:dyDescent="0.25">
      <c r="A11" s="13"/>
      <c r="B11" s="142" t="s">
        <v>6</v>
      </c>
      <c r="C11" s="142"/>
      <c r="D11" s="142"/>
      <c r="E11" s="142"/>
      <c r="F11" s="142"/>
      <c r="G11" s="143">
        <v>45632</v>
      </c>
      <c r="H11" s="143"/>
      <c r="I11" s="143"/>
      <c r="J11" s="143"/>
      <c r="K11" s="143"/>
      <c r="L11" s="143"/>
      <c r="M11" s="142" t="s">
        <v>44</v>
      </c>
      <c r="N11" s="142"/>
      <c r="O11" s="142"/>
      <c r="P11" s="142"/>
      <c r="Q11" s="142"/>
      <c r="R11" s="142"/>
      <c r="S11" s="144" t="s">
        <v>62</v>
      </c>
      <c r="T11" s="144"/>
      <c r="U11" s="144"/>
      <c r="V11" s="144"/>
      <c r="W11" s="144"/>
      <c r="X11" s="144"/>
      <c r="Y11" s="144"/>
      <c r="Z11" s="17"/>
      <c r="AA11" s="75"/>
      <c r="AB11" s="12"/>
      <c r="AC11" s="12"/>
      <c r="AD11" s="12"/>
      <c r="AE11" s="107"/>
      <c r="AF11" s="107"/>
      <c r="AG11" s="107"/>
      <c r="AH11" s="107"/>
      <c r="AI11" s="107"/>
    </row>
    <row r="12" spans="1:36" ht="15.9" customHeight="1" x14ac:dyDescent="0.25">
      <c r="A12" s="13"/>
      <c r="B12" s="142" t="s">
        <v>28</v>
      </c>
      <c r="C12" s="142"/>
      <c r="D12" s="142"/>
      <c r="E12" s="142"/>
      <c r="F12" s="142"/>
      <c r="G12" s="143" t="s">
        <v>58</v>
      </c>
      <c r="H12" s="143"/>
      <c r="I12" s="143"/>
      <c r="J12" s="143"/>
      <c r="K12" s="143"/>
      <c r="L12" s="143"/>
      <c r="M12" s="145" t="s">
        <v>43</v>
      </c>
      <c r="N12" s="145"/>
      <c r="O12" s="145"/>
      <c r="P12" s="145"/>
      <c r="Q12" s="145"/>
      <c r="R12" s="145"/>
      <c r="S12" s="144">
        <v>103</v>
      </c>
      <c r="T12" s="144"/>
      <c r="U12" s="144"/>
      <c r="V12" s="144"/>
      <c r="W12" s="144"/>
      <c r="X12" s="144"/>
      <c r="Y12" s="14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85" t="s">
        <v>41</v>
      </c>
      <c r="C13" s="185"/>
      <c r="D13" s="185"/>
      <c r="E13" s="185"/>
      <c r="F13" s="185"/>
      <c r="G13" s="186" t="s">
        <v>60</v>
      </c>
      <c r="H13" s="186"/>
      <c r="I13" s="186"/>
      <c r="J13" s="186"/>
      <c r="K13" s="186"/>
      <c r="L13" s="186"/>
      <c r="M13" s="142" t="s">
        <v>29</v>
      </c>
      <c r="N13" s="142"/>
      <c r="O13" s="142"/>
      <c r="P13" s="142"/>
      <c r="Q13" s="142"/>
      <c r="R13" s="142"/>
      <c r="S13" s="186" t="s">
        <v>63</v>
      </c>
      <c r="T13" s="186"/>
      <c r="U13" s="186"/>
      <c r="V13" s="186"/>
      <c r="W13" s="186"/>
      <c r="X13" s="186"/>
      <c r="Y13" s="186"/>
      <c r="Z13" s="17"/>
      <c r="AA13" s="75"/>
      <c r="AB13" s="12"/>
      <c r="AC13" s="12"/>
      <c r="AD13" s="12"/>
      <c r="AE13" s="107"/>
      <c r="AF13" s="107"/>
      <c r="AG13" s="107"/>
      <c r="AH13" s="107"/>
      <c r="AI13" s="107"/>
      <c r="AJ13" s="107"/>
    </row>
    <row r="14" spans="1:36" ht="15.9" customHeight="1" x14ac:dyDescent="0.25">
      <c r="A14" s="18"/>
      <c r="B14" s="142" t="s">
        <v>42</v>
      </c>
      <c r="C14" s="142"/>
      <c r="D14" s="142"/>
      <c r="E14" s="142"/>
      <c r="F14" s="142"/>
      <c r="G14" s="186" t="s">
        <v>59</v>
      </c>
      <c r="H14" s="186"/>
      <c r="I14" s="186"/>
      <c r="J14" s="186"/>
      <c r="K14" s="186"/>
      <c r="L14" s="186"/>
      <c r="M14" s="144" t="s">
        <v>26</v>
      </c>
      <c r="N14" s="144"/>
      <c r="O14" s="144"/>
      <c r="P14" s="144"/>
      <c r="Q14" s="144"/>
      <c r="R14" s="144"/>
      <c r="S14" s="144" t="s">
        <v>49</v>
      </c>
      <c r="T14" s="144"/>
      <c r="U14" s="144"/>
      <c r="V14" s="144"/>
      <c r="W14" s="144"/>
      <c r="X14" s="144"/>
      <c r="Y14" s="144"/>
      <c r="Z14" s="19"/>
      <c r="AA14" s="12"/>
      <c r="AB14" s="12"/>
      <c r="AC14" s="12"/>
      <c r="AD14" s="12"/>
      <c r="AE14" s="107"/>
      <c r="AF14" s="107"/>
      <c r="AG14" s="107"/>
      <c r="AH14" s="107"/>
      <c r="AI14" s="107"/>
      <c r="AJ14" s="10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7"/>
      <c r="AF15" s="107"/>
      <c r="AG15" s="107"/>
      <c r="AH15" s="107"/>
      <c r="AI15" s="107"/>
      <c r="AJ15" s="10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7"/>
      <c r="AF16" s="107"/>
      <c r="AG16" s="107"/>
      <c r="AH16" s="107"/>
      <c r="AI16" s="107"/>
      <c r="AJ16" s="10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42" t="s">
        <v>19</v>
      </c>
      <c r="C19" s="142"/>
      <c r="D19" s="142"/>
      <c r="E19" s="142"/>
      <c r="F19" s="142"/>
      <c r="G19" s="142"/>
      <c r="H19" s="142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"/>
      <c r="AA19" s="75"/>
      <c r="AE19" s="20"/>
      <c r="AI19" s="20"/>
    </row>
    <row r="20" spans="1:40" ht="15.9" customHeight="1" x14ac:dyDescent="0.25">
      <c r="A20" s="13"/>
      <c r="B20" s="142" t="s">
        <v>20</v>
      </c>
      <c r="C20" s="142"/>
      <c r="D20" s="142"/>
      <c r="E20" s="142"/>
      <c r="F20" s="142"/>
      <c r="G20" s="142"/>
      <c r="H20" s="142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181" t="s">
        <v>16</v>
      </c>
      <c r="AE47" s="183">
        <v>2.6469999999999998</v>
      </c>
      <c r="AF47" s="187"/>
      <c r="AG47" s="197"/>
      <c r="AH47" s="39"/>
    </row>
    <row r="48" spans="1:34" ht="12.75" customHeight="1" thickBot="1" x14ac:dyDescent="0.3">
      <c r="A48" s="18"/>
      <c r="Z48" s="87"/>
      <c r="AD48" s="182"/>
      <c r="AE48" s="184"/>
      <c r="AF48" s="196"/>
      <c r="AG48" s="197"/>
    </row>
    <row r="49" spans="1:34" ht="18.75" customHeight="1" thickBot="1" x14ac:dyDescent="0.3">
      <c r="A49" s="18"/>
      <c r="E49" s="198" t="s">
        <v>11</v>
      </c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200" t="s">
        <v>47</v>
      </c>
      <c r="V49" s="201"/>
      <c r="W49" s="204" t="s">
        <v>12</v>
      </c>
      <c r="X49" s="201"/>
      <c r="Y49" s="206" t="s">
        <v>13</v>
      </c>
      <c r="Z49" s="207"/>
      <c r="AA49" s="82"/>
      <c r="AB49" s="210" t="s">
        <v>45</v>
      </c>
      <c r="AC49" s="211"/>
      <c r="AD49" s="214" t="s">
        <v>14</v>
      </c>
      <c r="AE49" s="216" t="s">
        <v>15</v>
      </c>
      <c r="AF49" s="187"/>
      <c r="AG49" s="187"/>
      <c r="AH49" s="40"/>
    </row>
    <row r="50" spans="1:34" ht="24.9" customHeight="1" thickBot="1" x14ac:dyDescent="0.3">
      <c r="A50" s="5"/>
      <c r="B50" s="41" t="s">
        <v>22</v>
      </c>
      <c r="C50" s="188" t="s">
        <v>10</v>
      </c>
      <c r="D50" s="189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2"/>
      <c r="V50" s="203"/>
      <c r="W50" s="205"/>
      <c r="X50" s="203"/>
      <c r="Y50" s="208"/>
      <c r="Z50" s="209"/>
      <c r="AA50" s="82"/>
      <c r="AB50" s="212"/>
      <c r="AC50" s="213"/>
      <c r="AD50" s="215"/>
      <c r="AE50" s="217"/>
      <c r="AF50" s="218"/>
      <c r="AG50" s="187"/>
    </row>
    <row r="51" spans="1:34" ht="24.9" customHeight="1" x14ac:dyDescent="0.25">
      <c r="A51" s="5"/>
      <c r="B51" s="43">
        <v>1</v>
      </c>
      <c r="C51" s="190" t="s">
        <v>64</v>
      </c>
      <c r="D51" s="191"/>
      <c r="E51" s="112">
        <v>6.3</v>
      </c>
      <c r="F51" s="113">
        <v>8.4</v>
      </c>
      <c r="G51" s="114">
        <v>11.7</v>
      </c>
      <c r="H51" s="114">
        <v>16</v>
      </c>
      <c r="I51" s="114">
        <v>21.9</v>
      </c>
      <c r="J51" s="114">
        <v>31.8</v>
      </c>
      <c r="K51" s="114">
        <v>48.4</v>
      </c>
      <c r="L51" s="114">
        <v>76</v>
      </c>
      <c r="M51" s="114">
        <v>87.6</v>
      </c>
      <c r="N51" s="114">
        <v>98</v>
      </c>
      <c r="O51" s="115">
        <v>100</v>
      </c>
      <c r="P51" s="114"/>
      <c r="Q51" s="114"/>
      <c r="R51" s="114"/>
      <c r="S51" s="116"/>
      <c r="T51" s="116"/>
      <c r="U51" s="317">
        <v>167</v>
      </c>
      <c r="V51" s="318"/>
      <c r="W51" s="315">
        <v>5.25</v>
      </c>
      <c r="X51" s="316"/>
      <c r="Y51" s="192">
        <f>IF(W51&lt;&gt;0,AE51,"")</f>
        <v>3.3372373498017649</v>
      </c>
      <c r="Z51" s="193"/>
      <c r="AA51" s="80"/>
      <c r="AB51" s="194">
        <f>(100*W51)/(100-W51)</f>
        <v>5.5408970976253302</v>
      </c>
      <c r="AC51" s="195"/>
      <c r="AD51" s="67">
        <f>(0.25*(100-O51)+2.3*(O51-H51)+12*(H51-E51)+150*(E51))/100</f>
        <v>12.545999999999999</v>
      </c>
      <c r="AE51" s="68">
        <f>(AB51*$AE$47)/(2.65*(AD51)^(1/5))</f>
        <v>3.3372373498017649</v>
      </c>
      <c r="AF51" s="29"/>
      <c r="AG51" s="66"/>
    </row>
    <row r="52" spans="1:34" ht="24.9" customHeight="1" x14ac:dyDescent="0.25">
      <c r="A52" s="5"/>
      <c r="B52" s="44">
        <v>2</v>
      </c>
      <c r="C52" s="190"/>
      <c r="D52" s="191"/>
      <c r="E52" s="112"/>
      <c r="F52" s="113"/>
      <c r="G52" s="114"/>
      <c r="H52" s="114"/>
      <c r="I52" s="114"/>
      <c r="J52" s="114"/>
      <c r="K52" s="114"/>
      <c r="L52" s="114"/>
      <c r="M52" s="114"/>
      <c r="N52" s="114"/>
      <c r="O52" s="115"/>
      <c r="P52" s="114"/>
      <c r="Q52" s="114"/>
      <c r="R52" s="114"/>
      <c r="S52" s="116"/>
      <c r="T52" s="116"/>
      <c r="U52" s="317"/>
      <c r="V52" s="318"/>
      <c r="W52" s="315"/>
      <c r="X52" s="316"/>
      <c r="Y52" s="222" t="str">
        <f>IF(W52&lt;&gt;0,AE52,"")</f>
        <v/>
      </c>
      <c r="Z52" s="223"/>
      <c r="AA52" s="80"/>
      <c r="AB52" s="194">
        <f>(100*W52)/(100-W52)</f>
        <v>0</v>
      </c>
      <c r="AC52" s="195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224"/>
      <c r="D53" s="225"/>
      <c r="E53" s="117"/>
      <c r="F53" s="118"/>
      <c r="G53" s="118"/>
      <c r="H53" s="119"/>
      <c r="I53" s="119"/>
      <c r="J53" s="119"/>
      <c r="K53" s="119"/>
      <c r="L53" s="119"/>
      <c r="M53" s="119"/>
      <c r="N53" s="119"/>
      <c r="O53" s="120"/>
      <c r="P53" s="119"/>
      <c r="Q53" s="119"/>
      <c r="R53" s="119"/>
      <c r="S53" s="119"/>
      <c r="T53" s="121"/>
      <c r="U53" s="226"/>
      <c r="V53" s="227"/>
      <c r="W53" s="228"/>
      <c r="X53" s="229"/>
      <c r="Y53" s="222" t="str">
        <f t="shared" ref="Y53:Y54" si="2">IF(W53&lt;&gt;0,AE53,"")</f>
        <v/>
      </c>
      <c r="Z53" s="223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97"/>
      <c r="D54" s="298"/>
      <c r="E54" s="122"/>
      <c r="F54" s="123"/>
      <c r="G54" s="123"/>
      <c r="H54" s="124"/>
      <c r="I54" s="124"/>
      <c r="J54" s="124"/>
      <c r="K54" s="124"/>
      <c r="L54" s="124"/>
      <c r="M54" s="124"/>
      <c r="N54" s="124"/>
      <c r="O54" s="125"/>
      <c r="P54" s="124"/>
      <c r="Q54" s="124"/>
      <c r="R54" s="124"/>
      <c r="S54" s="124"/>
      <c r="T54" s="126"/>
      <c r="U54" s="299"/>
      <c r="V54" s="300"/>
      <c r="W54" s="301"/>
      <c r="X54" s="302"/>
      <c r="Y54" s="303" t="str">
        <f t="shared" si="2"/>
        <v/>
      </c>
      <c r="Z54" s="304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08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9" t="s">
        <v>8</v>
      </c>
      <c r="C56" s="220"/>
      <c r="D56" s="221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09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39" t="s">
        <v>7</v>
      </c>
      <c r="C57" s="240"/>
      <c r="D57" s="241"/>
      <c r="E57" s="92">
        <f t="shared" ref="E57:T57" si="3">IF(E51&lt;&gt;0,AVERAGE(E51:E54),"")</f>
        <v>6.3</v>
      </c>
      <c r="F57" s="92">
        <f t="shared" si="3"/>
        <v>8.4</v>
      </c>
      <c r="G57" s="92">
        <f t="shared" si="3"/>
        <v>11.7</v>
      </c>
      <c r="H57" s="92">
        <f t="shared" si="3"/>
        <v>16</v>
      </c>
      <c r="I57" s="92">
        <f t="shared" si="3"/>
        <v>21.9</v>
      </c>
      <c r="J57" s="92">
        <f t="shared" si="3"/>
        <v>31.8</v>
      </c>
      <c r="K57" s="92">
        <f t="shared" si="3"/>
        <v>48.4</v>
      </c>
      <c r="L57" s="92">
        <f t="shared" si="3"/>
        <v>76</v>
      </c>
      <c r="M57" s="92">
        <f t="shared" si="3"/>
        <v>87.6</v>
      </c>
      <c r="N57" s="92">
        <f t="shared" si="3"/>
        <v>98</v>
      </c>
      <c r="O57" s="110">
        <f t="shared" si="3"/>
        <v>100</v>
      </c>
      <c r="P57" s="92"/>
      <c r="Q57" s="92"/>
      <c r="R57" s="92"/>
      <c r="S57" s="92"/>
      <c r="T57" s="93" t="str">
        <f t="shared" si="3"/>
        <v/>
      </c>
      <c r="U57" s="242">
        <f>IF(U51&lt;&gt;0,AVERAGE(U51:V54),"")</f>
        <v>167</v>
      </c>
      <c r="V57" s="243"/>
      <c r="W57" s="244">
        <f>IF(W51&lt;&gt;0,AVERAGE(W51:X54),"")</f>
        <v>5.25</v>
      </c>
      <c r="X57" s="245"/>
      <c r="Y57" s="246">
        <f>IF(W51&lt;&gt;0,AVERAGE(Y51:Z54),"")</f>
        <v>3.3372373498017649</v>
      </c>
      <c r="Z57" s="247"/>
      <c r="AA57" s="66"/>
      <c r="AB57" s="194">
        <f>(100*W57)/(100-W57)</f>
        <v>5.5408970976253302</v>
      </c>
      <c r="AC57" s="195"/>
      <c r="AD57" s="67">
        <f t="shared" si="0"/>
        <v>12.545999999999999</v>
      </c>
      <c r="AE57" s="68">
        <f t="shared" si="1"/>
        <v>3.3372373498017649</v>
      </c>
      <c r="AF57" s="29"/>
      <c r="AG57" s="66"/>
    </row>
    <row r="58" spans="1:34" ht="21" customHeight="1" x14ac:dyDescent="0.25">
      <c r="A58" s="5"/>
      <c r="B58" s="248" t="s">
        <v>9</v>
      </c>
      <c r="C58" s="249"/>
      <c r="D58" s="250"/>
      <c r="E58" s="94">
        <v>7.2</v>
      </c>
      <c r="F58" s="94">
        <v>10</v>
      </c>
      <c r="G58" s="94">
        <v>13</v>
      </c>
      <c r="H58" s="94">
        <v>18</v>
      </c>
      <c r="I58" s="94">
        <v>26</v>
      </c>
      <c r="J58" s="94">
        <v>36</v>
      </c>
      <c r="K58" s="94">
        <v>53</v>
      </c>
      <c r="L58" s="94">
        <v>79</v>
      </c>
      <c r="M58" s="94">
        <v>90</v>
      </c>
      <c r="N58" s="94">
        <v>98</v>
      </c>
      <c r="O58" s="111">
        <v>100</v>
      </c>
      <c r="P58" s="94"/>
      <c r="Q58" s="94"/>
      <c r="R58" s="94"/>
      <c r="S58" s="94"/>
      <c r="T58" s="95"/>
      <c r="U58" s="251"/>
      <c r="V58" s="252"/>
      <c r="W58" s="253">
        <v>5.7</v>
      </c>
      <c r="X58" s="254"/>
      <c r="Y58" s="255">
        <f>AE58</f>
        <v>3.5625204887918875</v>
      </c>
      <c r="Z58" s="256"/>
      <c r="AA58" s="66"/>
      <c r="AB58" s="194">
        <f>(100*W58)/(100-W58)</f>
        <v>6.0445387062566276</v>
      </c>
      <c r="AC58" s="195"/>
      <c r="AD58" s="67">
        <f t="shared" si="0"/>
        <v>13.982000000000001</v>
      </c>
      <c r="AE58" s="68">
        <f t="shared" si="1"/>
        <v>3.5625204887918875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9.1999999999999993</v>
      </c>
      <c r="F59" s="90"/>
      <c r="G59" s="90"/>
      <c r="H59" s="90"/>
      <c r="I59" s="90"/>
      <c r="J59" s="90">
        <f>J58+6</f>
        <v>42</v>
      </c>
      <c r="K59" s="90"/>
      <c r="L59" s="90">
        <f>L58+7</f>
        <v>86</v>
      </c>
      <c r="M59" s="90"/>
      <c r="N59" s="90"/>
      <c r="O59" s="90"/>
      <c r="P59" s="90"/>
      <c r="Q59" s="90"/>
      <c r="R59" s="90"/>
      <c r="S59" s="90"/>
      <c r="T59" s="91"/>
      <c r="U59" s="292"/>
      <c r="V59" s="293"/>
      <c r="W59" s="294">
        <f>W58+0.5</f>
        <v>6.2</v>
      </c>
      <c r="X59" s="293"/>
      <c r="Y59" s="295"/>
      <c r="Z59" s="296"/>
      <c r="AA59" s="83"/>
      <c r="AB59" s="71"/>
      <c r="AC59" s="69"/>
      <c r="AD59" s="230"/>
      <c r="AE59" s="232" t="s">
        <v>46</v>
      </c>
      <c r="AF59" s="29"/>
      <c r="AG59" s="66"/>
    </row>
    <row r="60" spans="1:34" ht="13.5" customHeight="1" thickBot="1" x14ac:dyDescent="0.3">
      <c r="A60" s="5"/>
      <c r="B60" s="202" t="s">
        <v>24</v>
      </c>
      <c r="C60" s="205"/>
      <c r="D60" s="203"/>
      <c r="E60" s="96">
        <f>E58-2</f>
        <v>5.2</v>
      </c>
      <c r="F60" s="96"/>
      <c r="G60" s="97"/>
      <c r="H60" s="97"/>
      <c r="I60" s="97"/>
      <c r="J60" s="96">
        <f>J58-6</f>
        <v>30</v>
      </c>
      <c r="K60" s="97"/>
      <c r="L60" s="96">
        <f>L58-7</f>
        <v>72</v>
      </c>
      <c r="M60" s="96"/>
      <c r="N60" s="97"/>
      <c r="O60" s="97"/>
      <c r="P60" s="97"/>
      <c r="Q60" s="96"/>
      <c r="R60" s="97"/>
      <c r="S60" s="97"/>
      <c r="T60" s="98"/>
      <c r="U60" s="234"/>
      <c r="V60" s="235"/>
      <c r="W60" s="236">
        <f>W58-0.5</f>
        <v>5.2</v>
      </c>
      <c r="X60" s="235"/>
      <c r="Y60" s="237"/>
      <c r="Z60" s="238"/>
      <c r="AA60" s="84"/>
      <c r="AB60" s="72"/>
      <c r="AC60" s="73"/>
      <c r="AD60" s="231"/>
      <c r="AE60" s="233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74"/>
      <c r="V63" s="274"/>
      <c r="W63" s="274"/>
      <c r="X63" s="274"/>
      <c r="Y63" s="274"/>
      <c r="Z63" s="275"/>
      <c r="AA63" s="81"/>
      <c r="AB63" s="58"/>
      <c r="AC63" s="58"/>
      <c r="AD63" s="59"/>
    </row>
    <row r="64" spans="1:34" ht="26.4" customHeight="1" x14ac:dyDescent="0.25">
      <c r="A64" s="276" t="s">
        <v>48</v>
      </c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8"/>
      <c r="R64" s="263" t="s">
        <v>31</v>
      </c>
      <c r="S64" s="264"/>
      <c r="T64" s="265"/>
      <c r="U64" s="279" t="s">
        <v>53</v>
      </c>
      <c r="V64" s="280"/>
      <c r="W64" s="280"/>
      <c r="X64" s="281"/>
      <c r="Y64" s="281"/>
      <c r="Z64" s="282"/>
      <c r="AA64" s="76"/>
      <c r="AB64" s="60"/>
      <c r="AC64" s="60"/>
      <c r="AD64" s="59"/>
    </row>
    <row r="65" spans="1:30" ht="26.4" customHeight="1" x14ac:dyDescent="0.25">
      <c r="A65" s="283" t="s">
        <v>52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5"/>
      <c r="R65" s="263" t="s">
        <v>51</v>
      </c>
      <c r="S65" s="264"/>
      <c r="T65" s="265"/>
      <c r="U65" s="286" t="s">
        <v>54</v>
      </c>
      <c r="V65" s="287"/>
      <c r="W65" s="287"/>
      <c r="X65" s="287"/>
      <c r="Y65" s="287"/>
      <c r="Z65" s="28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63"/>
      <c r="S66" s="264"/>
      <c r="T66" s="265"/>
      <c r="U66" s="289"/>
      <c r="V66" s="290"/>
      <c r="W66" s="290"/>
      <c r="X66" s="290"/>
      <c r="Y66" s="290"/>
      <c r="Z66" s="291"/>
      <c r="AA66" s="76"/>
      <c r="AB66" s="60"/>
      <c r="AC66" s="60"/>
      <c r="AD66" s="59"/>
    </row>
    <row r="67" spans="1:30" ht="15.6" customHeight="1" x14ac:dyDescent="0.25">
      <c r="A67" s="257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9"/>
      <c r="R67" s="263" t="s">
        <v>25</v>
      </c>
      <c r="S67" s="264"/>
      <c r="T67" s="265"/>
      <c r="U67" s="99"/>
      <c r="V67" s="100"/>
      <c r="W67" s="100"/>
      <c r="X67" s="100"/>
      <c r="Y67" s="100"/>
      <c r="Z67" s="101"/>
      <c r="AA67" s="77"/>
      <c r="AB67" s="65"/>
      <c r="AC67" s="65"/>
      <c r="AD67" s="59"/>
    </row>
    <row r="68" spans="1:30" ht="15.6" customHeight="1" x14ac:dyDescent="0.25">
      <c r="A68" s="257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9"/>
      <c r="R68" s="263"/>
      <c r="S68" s="264"/>
      <c r="T68" s="265"/>
      <c r="U68" s="102"/>
      <c r="V68" s="269"/>
      <c r="W68" s="269"/>
      <c r="X68" s="269"/>
      <c r="Y68" s="269"/>
      <c r="Z68" s="103"/>
      <c r="AA68" s="77"/>
      <c r="AB68" s="65"/>
      <c r="AC68" s="65"/>
      <c r="AD68" s="59"/>
    </row>
    <row r="69" spans="1:30" ht="15.6" customHeight="1" x14ac:dyDescent="0.25">
      <c r="A69" s="257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9"/>
      <c r="R69" s="263"/>
      <c r="S69" s="264"/>
      <c r="T69" s="265"/>
      <c r="U69" s="102"/>
      <c r="V69" s="269"/>
      <c r="W69" s="269"/>
      <c r="X69" s="269"/>
      <c r="Y69" s="269"/>
      <c r="Z69" s="103"/>
      <c r="AA69" s="77"/>
      <c r="AB69" s="65"/>
      <c r="AC69" s="65"/>
      <c r="AD69" s="59"/>
    </row>
    <row r="70" spans="1:30" ht="15.6" customHeight="1" x14ac:dyDescent="0.2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2"/>
      <c r="R70" s="266"/>
      <c r="S70" s="267"/>
      <c r="T70" s="268"/>
      <c r="U70" s="104"/>
      <c r="V70" s="105"/>
      <c r="W70" s="105"/>
      <c r="X70" s="105"/>
      <c r="Y70" s="105"/>
      <c r="Z70" s="106"/>
      <c r="AA70" s="77"/>
      <c r="AB70" s="65"/>
      <c r="AC70" s="65"/>
      <c r="AD70" s="59"/>
    </row>
  </sheetData>
  <mergeCells count="101"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R67:T70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C51:D51"/>
    <mergeCell ref="C50:D50"/>
    <mergeCell ref="B56:D56"/>
    <mergeCell ref="Y51:Z51"/>
    <mergeCell ref="Y52:Z52"/>
    <mergeCell ref="Y53:Z53"/>
    <mergeCell ref="Y54:Z54"/>
    <mergeCell ref="U51:V51"/>
    <mergeCell ref="U52:V52"/>
    <mergeCell ref="U53:V53"/>
    <mergeCell ref="U54:V54"/>
    <mergeCell ref="W51:X51"/>
    <mergeCell ref="C53:D53"/>
    <mergeCell ref="C54:D54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V68:Y69"/>
    <mergeCell ref="A65:Q65"/>
    <mergeCell ref="W52:X52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C52:D52"/>
    <mergeCell ref="U63:Z63"/>
    <mergeCell ref="U64:Z64"/>
    <mergeCell ref="B58:D58"/>
    <mergeCell ref="R64:T64"/>
    <mergeCell ref="B60:D60"/>
    <mergeCell ref="A64:Q64"/>
    <mergeCell ref="B57:D57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180425 BBSG Biochar</vt:lpstr>
      <vt:lpstr>101224 BBSG 110</vt:lpstr>
      <vt:lpstr>101224 BBSG 218</vt:lpstr>
      <vt:lpstr>051224 BBSG 218</vt:lpstr>
      <vt:lpstr>051224 BBSG Manuel 103</vt:lpstr>
      <vt:lpstr>'051224 BBSG 218'!Zone_d_impression</vt:lpstr>
      <vt:lpstr>'051224 BBSG Manuel 103'!Zone_d_impression</vt:lpstr>
      <vt:lpstr>'101224 BBSG 110'!Zone_d_impression</vt:lpstr>
      <vt:lpstr>'101224 BBSG 218'!Zone_d_impression</vt:lpstr>
      <vt:lpstr>'180425 BBSG Biochar'!Zone_d_impression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LHOPITAL Sylvain</cp:lastModifiedBy>
  <cp:lastPrinted>2025-05-07T11:25:23Z</cp:lastPrinted>
  <dcterms:created xsi:type="dcterms:W3CDTF">2004-11-13T18:13:05Z</dcterms:created>
  <dcterms:modified xsi:type="dcterms:W3CDTF">2025-05-07T11:25:24Z</dcterms:modified>
</cp:coreProperties>
</file>