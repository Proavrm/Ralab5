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01\RA O03A  CD01 - Viriat RD975 Ch. Gare Giratoire\Essais de laboratoire\Enrobés\"/>
    </mc:Choice>
  </mc:AlternateContent>
  <xr:revisionPtr revIDLastSave="0" documentId="13_ncr:1_{35A27851-3C07-47F0-9814-1F2BB8A58F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0824 BBSG" sheetId="4" r:id="rId1"/>
    <sheet name="220724" sheetId="3" r:id="rId2"/>
    <sheet name="170724" sheetId="2" r:id="rId3"/>
    <sheet name="150724" sheetId="1" r:id="rId4"/>
  </sheets>
  <definedNames>
    <definedName name="_xlnm.Print_Area" localSheetId="0">'010824 BBSG'!$A$1:$Z$72</definedName>
    <definedName name="_xlnm.Print_Area" localSheetId="3">'150724'!$A$1:$Z$63</definedName>
    <definedName name="_xlnm.Print_Area" localSheetId="2">'170724'!$A$1:$Z$63</definedName>
    <definedName name="_xlnm.Print_Area" localSheetId="1">'220724'!$A$1:$Z$63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2" l="1"/>
  <c r="L30" i="2"/>
  <c r="O30" i="2" s="1"/>
  <c r="L31" i="2"/>
  <c r="O31" i="2" s="1"/>
  <c r="L32" i="2"/>
  <c r="O32" i="2" s="1"/>
  <c r="L33" i="2"/>
  <c r="O33" i="2" s="1"/>
  <c r="L34" i="2"/>
  <c r="O34" i="2" s="1"/>
  <c r="L35" i="2"/>
  <c r="O35" i="2" s="1"/>
  <c r="L36" i="2"/>
  <c r="O36" i="2" s="1"/>
  <c r="L37" i="2"/>
  <c r="O37" i="2" s="1"/>
  <c r="L38" i="2"/>
  <c r="O38" i="2" s="1"/>
  <c r="L39" i="2"/>
  <c r="O39" i="2" s="1"/>
  <c r="L40" i="2"/>
  <c r="O40" i="2" s="1"/>
  <c r="L41" i="2"/>
  <c r="O41" i="2" s="1"/>
  <c r="L42" i="2"/>
  <c r="O42" i="2" s="1"/>
  <c r="L43" i="2"/>
  <c r="O43" i="2" s="1"/>
  <c r="L44" i="2"/>
  <c r="O44" i="2" s="1"/>
  <c r="L29" i="2"/>
  <c r="O29" i="2" s="1"/>
  <c r="O50" i="2" l="1"/>
  <c r="L50" i="2"/>
</calcChain>
</file>

<file path=xl/sharedStrings.xml><?xml version="1.0" encoding="utf-8"?>
<sst xmlns="http://schemas.openxmlformats.org/spreadsheetml/2006/main" count="313" uniqueCount="102">
  <si>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</si>
  <si>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</si>
  <si>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</si>
  <si>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O03A</t>
  </si>
  <si>
    <t>15/07/2024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</si>
  <si>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</si>
  <si>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</si>
  <si>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</si>
  <si>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</si>
  <si>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</si>
  <si>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</si>
  <si>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</si>
  <si>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</si>
  <si>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</si>
  <si>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</si>
  <si>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4</t>
  </si>
  <si>
    <t>Date de l'essai :</t>
  </si>
  <si>
    <t>N° formule :</t>
  </si>
  <si>
    <t>144PA30</t>
  </si>
  <si>
    <t>Epaisseur de la couche :</t>
  </si>
  <si>
    <t>Couche :</t>
  </si>
  <si>
    <t>Lieu de fabrication :</t>
  </si>
  <si>
    <t>SEG</t>
  </si>
  <si>
    <t>Date de mise en œuvre:</t>
  </si>
  <si>
    <t>Section contrôlée :</t>
  </si>
  <si>
    <t>Voiries</t>
  </si>
  <si>
    <t>Gammadensimètre :</t>
  </si>
  <si>
    <t>Humbolt-9340</t>
  </si>
  <si>
    <t>Conditions météorologiques :</t>
  </si>
  <si>
    <t>Beau</t>
  </si>
  <si>
    <t>Date du dernier calibrage :</t>
  </si>
  <si>
    <t>Mars 2024</t>
  </si>
  <si>
    <t>Profondeur de mesure :</t>
  </si>
  <si>
    <t>Atelier de mise en œuvre :</t>
  </si>
  <si>
    <t>Finisseur vogele super 1300-3i, hamm hd DV90VO, Amman ARX 26-2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</si>
  <si>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</si>
  <si>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</si>
  <si>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</si>
  <si>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</si>
  <si>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</si>
  <si>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</si>
  <si>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</si>
  <si>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</si>
  <si>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</si>
  <si>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</si>
  <si>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</si>
  <si>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</si>
  <si>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</si>
  <si>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</si>
  <si>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</si>
  <si>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</si>
  <si>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</si>
  <si>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</si>
  <si>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</si>
  <si>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</si>
  <si>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</si>
  <si>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</si>
  <si>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</si>
  <si>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</si>
  <si>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</si>
  <si>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</si>
  <si>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</si>
  <si>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</si>
  <si>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</si>
  <si>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</si>
  <si>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</si>
  <si>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</si>
  <si>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</si>
  <si>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</si>
  <si>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</si>
  <si>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</si>
  <si>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Viriat chemin de la gare - giratoire</t>
  </si>
  <si>
    <t>10/12 cm</t>
  </si>
  <si>
    <t>7,5/10cm</t>
  </si>
  <si>
    <t>Fondation / Base</t>
  </si>
  <si>
    <t>Epaisseur 12 cm.
Profondeur de mesure 10 cm.
Couche de fondation.</t>
  </si>
  <si>
    <t>Epaisseur 10 cm.
Profondeur de mesure 7,5 cm.
Couche de fondation.</t>
  </si>
  <si>
    <t>Epaisseur 12 cm.
Profondeur de mesure 10 cm.
Couche de base.</t>
  </si>
  <si>
    <t>Base</t>
  </si>
  <si>
    <t>Humbolt-8914</t>
  </si>
  <si>
    <t>9 cm</t>
  </si>
  <si>
    <t>7,5 cm</t>
  </si>
  <si>
    <t>Finisseur Volvo titan P7820C, Dynapac cc2200, Amman ARX 26-1</t>
  </si>
  <si>
    <t>7,5cm</t>
  </si>
  <si>
    <t>Couvert</t>
  </si>
  <si>
    <t>Giratoire</t>
  </si>
  <si>
    <t>22/07/2024</t>
  </si>
  <si>
    <t>Chef de section laboratoire</t>
  </si>
  <si>
    <t xml:space="preserve"> Sylvain LHOPITAL</t>
  </si>
  <si>
    <t>Giratoire RD975</t>
  </si>
  <si>
    <t>Ch. de la Nationale</t>
  </si>
  <si>
    <t>Svedala Demag DF135C, Dynapac C2200</t>
  </si>
  <si>
    <t>Rétrodiffusion</t>
  </si>
  <si>
    <t>Juin 24</t>
  </si>
  <si>
    <t>Giratoire RD975 / Ch. Gare / Nationale</t>
  </si>
  <si>
    <t>01/08/2024</t>
  </si>
  <si>
    <t>Roulement</t>
  </si>
  <si>
    <t>6 cm</t>
  </si>
  <si>
    <t>100PMA20</t>
  </si>
  <si>
    <t>BBSG 0/10 Classe 3</t>
  </si>
  <si>
    <t>Sylvain LHOPITAL</t>
  </si>
  <si>
    <t>CD01 - RD975/RD29a
Viriat - Ch. de la Gare
Aménagement carrefour et giratoire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</si>
</sst>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7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2">
    <xf numFmtId="0" fontId="0" fillId="0" borderId="0"/>
    <xf numFmtId="0" fontId="16" fillId="0" borderId="0"/>
  </cellStyleXfs>
  <cellXfs count="39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6" fillId="0" borderId="0" xfId="1"/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5" fillId="0" borderId="12" xfId="1" applyFont="1" applyBorder="1" applyAlignment="1" applyProtection="1">
      <alignment vertical="center" wrapText="1"/>
      <protection hidden="1"/>
    </xf>
    <xf numFmtId="0" fontId="5" fillId="0" borderId="11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166" fontId="4" fillId="0" borderId="12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 wrapText="1"/>
      <protection hidden="1"/>
    </xf>
    <xf numFmtId="0" fontId="6" fillId="0" borderId="27" xfId="1" applyFont="1" applyBorder="1" applyAlignment="1" applyProtection="1">
      <alignment horizontal="center" vertical="center" wrapText="1"/>
      <protection hidden="1"/>
    </xf>
    <xf numFmtId="165" fontId="6" fillId="0" borderId="4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23" xfId="1" applyFont="1" applyBorder="1" applyAlignment="1" applyProtection="1">
      <alignment horizontal="center" vertical="center" wrapText="1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0" fontId="6" fillId="0" borderId="4" xfId="1" applyFont="1" applyBorder="1" applyAlignment="1" applyProtection="1">
      <alignment horizontal="center" vertical="center"/>
      <protection hidden="1"/>
    </xf>
    <xf numFmtId="0" fontId="2" fillId="0" borderId="29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2" fillId="0" borderId="31" xfId="1" applyFont="1" applyBorder="1" applyAlignment="1" applyProtection="1">
      <alignment horizontal="center" vertical="center"/>
      <protection hidden="1"/>
    </xf>
    <xf numFmtId="0" fontId="6" fillId="0" borderId="25" xfId="1" applyFont="1" applyBorder="1" applyAlignment="1" applyProtection="1">
      <alignment horizontal="center" vertical="center" wrapText="1"/>
      <protection hidden="1"/>
    </xf>
    <xf numFmtId="0" fontId="6" fillId="0" borderId="26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1" fillId="0" borderId="13" xfId="1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locked="0"/>
    </xf>
    <xf numFmtId="0" fontId="1" fillId="0" borderId="14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horizontal="center" vertical="center"/>
      <protection hidden="1"/>
    </xf>
    <xf numFmtId="164" fontId="1" fillId="0" borderId="15" xfId="1" applyNumberFormat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0" fontId="1" fillId="0" borderId="16" xfId="1" applyFont="1" applyBorder="1" applyAlignment="1" applyProtection="1">
      <alignment horizontal="center" vertical="center"/>
      <protection hidden="1"/>
    </xf>
    <xf numFmtId="0" fontId="2" fillId="0" borderId="17" xfId="1" applyFont="1" applyBorder="1" applyAlignment="1" applyProtection="1">
      <alignment horizontal="center" vertical="center"/>
      <protection hidden="1"/>
    </xf>
    <xf numFmtId="0" fontId="2" fillId="0" borderId="18" xfId="1" applyFont="1" applyBorder="1" applyAlignment="1" applyProtection="1">
      <alignment horizontal="center" vertical="center"/>
      <protection hidden="1"/>
    </xf>
    <xf numFmtId="166" fontId="1" fillId="0" borderId="13" xfId="1" applyNumberFormat="1" applyFont="1" applyBorder="1" applyAlignment="1">
      <alignment horizontal="center" vertical="center"/>
    </xf>
    <xf numFmtId="166" fontId="1" fillId="0" borderId="11" xfId="1" applyNumberFormat="1" applyFont="1" applyBorder="1" applyAlignment="1">
      <alignment horizontal="center" vertical="center"/>
    </xf>
    <xf numFmtId="166" fontId="1" fillId="0" borderId="12" xfId="1" applyNumberFormat="1" applyFont="1" applyBorder="1" applyAlignment="1">
      <alignment horizontal="center" vertical="center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hidden="1"/>
    </xf>
    <xf numFmtId="0" fontId="7" fillId="0" borderId="15" xfId="1" applyFont="1" applyBorder="1" applyAlignment="1" applyProtection="1">
      <alignment horizontal="center" vertical="center" wrapText="1"/>
      <protection hidden="1"/>
    </xf>
    <xf numFmtId="166" fontId="6" fillId="0" borderId="18" xfId="1" applyNumberFormat="1" applyFont="1" applyBorder="1" applyAlignment="1" applyProtection="1">
      <alignment horizontal="center" vertical="center"/>
      <protection hidden="1"/>
    </xf>
    <xf numFmtId="166" fontId="4" fillId="0" borderId="11" xfId="1" applyNumberFormat="1" applyFont="1" applyBorder="1" applyAlignment="1">
      <alignment horizontal="center" vertical="center"/>
    </xf>
    <xf numFmtId="166" fontId="4" fillId="0" borderId="12" xfId="1" applyNumberFormat="1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5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9" fillId="0" borderId="11" xfId="1" applyFont="1" applyBorder="1" applyAlignment="1" applyProtection="1">
      <alignment horizontal="center" vertical="center"/>
      <protection hidden="1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38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37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36" xfId="1" applyFont="1" applyBorder="1" applyAlignment="1" applyProtection="1">
      <alignment horizontal="center" vertical="center" wrapText="1"/>
      <protection locked="0"/>
    </xf>
    <xf numFmtId="0" fontId="11" fillId="0" borderId="35" xfId="1" applyFont="1" applyBorder="1" applyAlignment="1" applyProtection="1">
      <alignment horizontal="center" vertical="center" wrapText="1"/>
      <protection locked="0"/>
    </xf>
    <xf numFmtId="0" fontId="11" fillId="0" borderId="34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0" fontId="1" fillId="0" borderId="0" xfId="1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1" fillId="0" borderId="11" xfId="1" applyFont="1" applyBorder="1" applyAlignment="1" applyProtection="1">
      <alignment horizontal="center" vertical="center" wrapText="1"/>
      <protection locked="0"/>
    </xf>
    <xf numFmtId="0" fontId="1" fillId="0" borderId="12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0" fontId="6" fillId="0" borderId="20" xfId="1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166" fontId="4" fillId="0" borderId="13" xfId="1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165" fontId="6" fillId="0" borderId="18" xfId="1" applyNumberFormat="1" applyFont="1" applyBorder="1" applyAlignment="1" applyProtection="1">
      <alignment horizontal="center" vertical="center"/>
      <protection hidden="1"/>
    </xf>
    <xf numFmtId="2" fontId="2" fillId="0" borderId="18" xfId="1" applyNumberFormat="1" applyFont="1" applyBorder="1" applyAlignment="1" applyProtection="1">
      <alignment horizontal="center" vertical="center"/>
      <protection hidden="1"/>
    </xf>
    <xf numFmtId="2" fontId="2" fillId="0" borderId="21" xfId="1" applyNumberFormat="1" applyFont="1" applyBorder="1" applyAlignment="1" applyProtection="1">
      <alignment horizontal="center" vertical="center"/>
      <protection hidden="1"/>
    </xf>
    <xf numFmtId="165" fontId="1" fillId="0" borderId="11" xfId="1" applyNumberFormat="1" applyFont="1" applyBorder="1" applyAlignment="1" applyProtection="1">
      <alignment horizontal="center" vertical="center"/>
      <protection locked="0"/>
    </xf>
    <xf numFmtId="0" fontId="1" fillId="0" borderId="12" xfId="1" applyFont="1" applyBorder="1" applyAlignment="1" applyProtection="1">
      <alignment horizontal="center" vertical="center"/>
      <protection locked="0"/>
    </xf>
    <xf numFmtId="2" fontId="1" fillId="0" borderId="11" xfId="1" applyNumberFormat="1" applyFont="1" applyBorder="1" applyAlignment="1" applyProtection="1">
      <alignment horizontal="center" vertical="center"/>
      <protection hidden="1"/>
    </xf>
    <xf numFmtId="2" fontId="1" fillId="0" borderId="19" xfId="1" applyNumberFormat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14" fontId="15" fillId="0" borderId="0" xfId="0" applyNumberFormat="1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2" fontId="4" fillId="0" borderId="3" xfId="0" applyNumberFormat="1" applyFont="1" applyBorder="1" applyAlignment="1" applyProtection="1">
      <alignment horizontal="center" vertical="center" wrapText="1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4" fillId="0" borderId="32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2" fontId="4" fillId="0" borderId="33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E939F6A2-A1D2-48FE-9333-8AF3ACB82DD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02F15D9-2DDD-471C-9654-1BB081FE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152400</xdr:colOff>
      <xdr:row>67</xdr:row>
      <xdr:rowOff>47625</xdr:rowOff>
    </xdr:from>
    <xdr:ext cx="1685925" cy="663818"/>
    <xdr:pic>
      <xdr:nvPicPr>
        <xdr:cNvPr id="3" name="Image 2">
          <a:extLst>
            <a:ext uri="{FF2B5EF4-FFF2-40B4-BE49-F238E27FC236}">
              <a16:creationId xmlns:a16="http://schemas.microsoft.com/office/drawing/2014/main" id="{D48130F9-1786-4C30-A871-39AE1F08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0" y="11536680"/>
          <a:ext cx="1685925" cy="66381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76CCE2C-CB71-4138-8654-1963C9BE4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A046E9A-34C4-4F7A-8D8C-0E3C82BAD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59</xdr:row>
      <xdr:rowOff>0</xdr:rowOff>
    </xdr:from>
    <xdr:to>
      <xdr:col>25</xdr:col>
      <xdr:colOff>30480</xdr:colOff>
      <xdr:row>61</xdr:row>
      <xdr:rowOff>29210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92323F3-7BD6-CD91-36EF-CB506638E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1993880"/>
          <a:ext cx="1432560" cy="42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B3A0-BCE2-43E5-BD04-92F4FA2B56D2}">
  <sheetPr>
    <pageSetUpPr fitToPage="1"/>
  </sheetPr>
  <dimension ref="A1:AN72"/>
  <sheetViews>
    <sheetView tabSelected="1" workbookViewId="0">
      <selection activeCell="U1" sqref="U1:Z6"/>
    </sheetView>
  </sheetViews>
  <sheetFormatPr baseColWidth="10" defaultColWidth="11.44140625" defaultRowHeight="13.2" x14ac:dyDescent="0.25"/>
  <cols>
    <col min="1" max="26" width="5.109375" style="52" customWidth="1"/>
    <col min="27" max="27" width="8.33203125" style="52" customWidth="1"/>
    <col min="28" max="28" width="11.44140625" style="52"/>
    <col min="29" max="16384" width="11.44140625" style="51"/>
  </cols>
  <sheetData>
    <row r="1" spans="1:40" ht="13.2" customHeight="1" x14ac:dyDescent="0.25">
      <c r="A1" s="176"/>
      <c r="B1" s="177"/>
      <c r="C1" s="177"/>
      <c r="D1" s="177"/>
      <c r="E1" s="177"/>
      <c r="F1" s="178"/>
      <c r="G1" s="185" t="s">
        <v>0</v>
      </c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7"/>
      <c r="U1" s="193" t="s">
        <v>101</v>
      </c>
      <c r="V1" s="194"/>
      <c r="W1" s="194"/>
      <c r="X1" s="194"/>
      <c r="Y1" s="194"/>
      <c r="Z1" s="195"/>
    </row>
    <row r="2" spans="1:40" ht="13.2" customHeight="1" x14ac:dyDescent="0.25">
      <c r="A2" s="179"/>
      <c r="B2" s="180"/>
      <c r="C2" s="180"/>
      <c r="D2" s="180"/>
      <c r="E2" s="180"/>
      <c r="F2" s="181"/>
      <c r="G2" s="202" t="s">
        <v>1</v>
      </c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4"/>
      <c r="U2" s="196"/>
      <c r="V2" s="197"/>
      <c r="W2" s="197"/>
      <c r="X2" s="197"/>
      <c r="Y2" s="197"/>
      <c r="Z2" s="198"/>
    </row>
    <row r="3" spans="1:40" ht="13.2" customHeight="1" x14ac:dyDescent="0.25">
      <c r="A3" s="179"/>
      <c r="B3" s="180"/>
      <c r="C3" s="180"/>
      <c r="D3" s="180"/>
      <c r="E3" s="180"/>
      <c r="F3" s="181"/>
      <c r="G3" s="202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4"/>
      <c r="U3" s="196"/>
      <c r="V3" s="197"/>
      <c r="W3" s="197"/>
      <c r="X3" s="197"/>
      <c r="Y3" s="197"/>
      <c r="Z3" s="198"/>
    </row>
    <row r="4" spans="1:40" ht="13.2" customHeight="1" x14ac:dyDescent="0.25">
      <c r="A4" s="179"/>
      <c r="B4" s="180"/>
      <c r="C4" s="180"/>
      <c r="D4" s="180"/>
      <c r="E4" s="180"/>
      <c r="F4" s="181"/>
      <c r="G4" s="202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6"/>
      <c r="V4" s="197"/>
      <c r="W4" s="197"/>
      <c r="X4" s="197"/>
      <c r="Y4" s="197"/>
      <c r="Z4" s="198"/>
    </row>
    <row r="5" spans="1:40" ht="15" customHeight="1" x14ac:dyDescent="0.25">
      <c r="A5" s="179"/>
      <c r="B5" s="180"/>
      <c r="C5" s="180"/>
      <c r="D5" s="180"/>
      <c r="E5" s="180"/>
      <c r="F5" s="181"/>
      <c r="G5" s="169" t="s">
        <v>2</v>
      </c>
      <c r="H5" s="170"/>
      <c r="I5" s="164">
        <v>4</v>
      </c>
      <c r="J5" s="164"/>
      <c r="K5" s="165"/>
      <c r="L5" s="205" t="s">
        <v>3</v>
      </c>
      <c r="M5" s="206"/>
      <c r="N5" s="206"/>
      <c r="O5" s="207"/>
      <c r="P5" s="190" t="s">
        <v>95</v>
      </c>
      <c r="Q5" s="191"/>
      <c r="R5" s="191"/>
      <c r="S5" s="191"/>
      <c r="T5" s="192"/>
      <c r="U5" s="196"/>
      <c r="V5" s="197"/>
      <c r="W5" s="197"/>
      <c r="X5" s="197"/>
      <c r="Y5" s="197"/>
      <c r="Z5" s="198"/>
    </row>
    <row r="6" spans="1:40" ht="13.2" customHeight="1" x14ac:dyDescent="0.25">
      <c r="A6" s="182"/>
      <c r="B6" s="183"/>
      <c r="C6" s="183"/>
      <c r="D6" s="183"/>
      <c r="E6" s="183"/>
      <c r="F6" s="184"/>
      <c r="G6" s="79"/>
      <c r="H6" s="114"/>
      <c r="I6" s="162" t="s">
        <v>5</v>
      </c>
      <c r="J6" s="162"/>
      <c r="K6" s="162"/>
      <c r="L6" s="162" t="s">
        <v>6</v>
      </c>
      <c r="M6" s="162"/>
      <c r="N6" s="162"/>
      <c r="O6" s="162"/>
      <c r="P6" s="162" t="s">
        <v>7</v>
      </c>
      <c r="Q6" s="162"/>
      <c r="R6" s="162"/>
      <c r="S6" s="162"/>
      <c r="T6" s="163"/>
      <c r="U6" s="199"/>
      <c r="V6" s="200"/>
      <c r="W6" s="200"/>
      <c r="X6" s="200"/>
      <c r="Y6" s="200"/>
      <c r="Z6" s="201"/>
    </row>
    <row r="7" spans="1:40" ht="36.75" customHeight="1" x14ac:dyDescent="0.25">
      <c r="A7" s="188" t="s">
        <v>8</v>
      </c>
      <c r="B7" s="188"/>
      <c r="C7" s="188"/>
      <c r="D7" s="188"/>
      <c r="E7" s="188"/>
      <c r="F7" s="188"/>
      <c r="G7" s="189" t="s">
        <v>9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 spans="1:40" ht="15.6" customHeight="1" x14ac:dyDescent="0.25">
      <c r="A8" s="99" t="s">
        <v>10</v>
      </c>
      <c r="B8" s="98" t="s">
        <v>11</v>
      </c>
      <c r="C8" s="95"/>
      <c r="D8" s="97"/>
      <c r="E8" s="97"/>
      <c r="F8" s="97"/>
      <c r="G8" s="97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4"/>
    </row>
    <row r="9" spans="1:40" ht="6" customHeight="1" x14ac:dyDescent="0.25">
      <c r="A9" s="81"/>
      <c r="D9" s="113"/>
      <c r="E9" s="113"/>
      <c r="F9" s="113"/>
      <c r="G9" s="113"/>
      <c r="Z9" s="80"/>
    </row>
    <row r="10" spans="1:40" ht="15" customHeight="1" x14ac:dyDescent="0.25">
      <c r="A10" s="81"/>
      <c r="B10" s="115" t="s">
        <v>12</v>
      </c>
      <c r="C10" s="115"/>
      <c r="D10" s="115"/>
      <c r="E10" s="115"/>
      <c r="F10" s="115"/>
      <c r="G10" s="117" t="s">
        <v>100</v>
      </c>
      <c r="H10" s="117"/>
      <c r="I10" s="117"/>
      <c r="J10" s="117"/>
      <c r="K10" s="117"/>
      <c r="L10" s="117"/>
      <c r="M10" s="115" t="s">
        <v>14</v>
      </c>
      <c r="N10" s="115"/>
      <c r="O10" s="115"/>
      <c r="P10" s="115"/>
      <c r="Q10" s="115"/>
      <c r="R10" s="115"/>
      <c r="S10" s="210" t="s">
        <v>99</v>
      </c>
      <c r="T10" s="210"/>
      <c r="U10" s="210"/>
      <c r="V10" s="210"/>
      <c r="W10" s="210"/>
      <c r="X10" s="210"/>
      <c r="Y10" s="210"/>
      <c r="Z10" s="102"/>
    </row>
    <row r="11" spans="1:40" ht="15" customHeight="1" x14ac:dyDescent="0.25">
      <c r="A11" s="81"/>
      <c r="B11" s="115" t="s">
        <v>16</v>
      </c>
      <c r="C11" s="115"/>
      <c r="D11" s="115"/>
      <c r="E11" s="115"/>
      <c r="F11" s="115"/>
      <c r="G11" s="117" t="s">
        <v>95</v>
      </c>
      <c r="H11" s="117"/>
      <c r="I11" s="117"/>
      <c r="J11" s="117"/>
      <c r="K11" s="117"/>
      <c r="L11" s="117"/>
      <c r="M11" s="115" t="s">
        <v>17</v>
      </c>
      <c r="N11" s="115"/>
      <c r="O11" s="115"/>
      <c r="P11" s="116" t="s">
        <v>98</v>
      </c>
      <c r="Q11" s="116"/>
      <c r="R11" s="116"/>
      <c r="S11" s="115" t="s">
        <v>19</v>
      </c>
      <c r="T11" s="115"/>
      <c r="U11" s="115"/>
      <c r="V11" s="115"/>
      <c r="W11" s="115"/>
      <c r="X11" s="116" t="s">
        <v>97</v>
      </c>
      <c r="Y11" s="116"/>
      <c r="Z11" s="102"/>
    </row>
    <row r="12" spans="1:40" ht="15" customHeight="1" x14ac:dyDescent="0.25">
      <c r="A12" s="81"/>
      <c r="B12" s="115" t="s">
        <v>20</v>
      </c>
      <c r="C12" s="115"/>
      <c r="D12" s="115"/>
      <c r="E12" s="115"/>
      <c r="F12" s="115"/>
      <c r="G12" s="117" t="s">
        <v>96</v>
      </c>
      <c r="H12" s="117"/>
      <c r="I12" s="117"/>
      <c r="J12" s="117"/>
      <c r="K12" s="117"/>
      <c r="L12" s="117"/>
      <c r="M12" s="115" t="s">
        <v>21</v>
      </c>
      <c r="N12" s="115"/>
      <c r="O12" s="115"/>
      <c r="P12" s="115"/>
      <c r="Q12" s="115"/>
      <c r="R12" s="115"/>
      <c r="S12" s="210" t="s">
        <v>22</v>
      </c>
      <c r="T12" s="210"/>
      <c r="U12" s="210"/>
      <c r="V12" s="210"/>
      <c r="W12" s="210"/>
      <c r="X12" s="210"/>
      <c r="Y12" s="210"/>
      <c r="Z12" s="102"/>
    </row>
    <row r="13" spans="1:40" ht="15" customHeight="1" x14ac:dyDescent="0.25">
      <c r="A13" s="81"/>
      <c r="B13" s="115" t="s">
        <v>23</v>
      </c>
      <c r="C13" s="115"/>
      <c r="D13" s="115"/>
      <c r="E13" s="115"/>
      <c r="F13" s="115"/>
      <c r="G13" s="208" t="s">
        <v>95</v>
      </c>
      <c r="H13" s="117"/>
      <c r="I13" s="117"/>
      <c r="J13" s="117"/>
      <c r="K13" s="117"/>
      <c r="L13" s="117"/>
      <c r="M13" s="115" t="s">
        <v>24</v>
      </c>
      <c r="N13" s="115"/>
      <c r="O13" s="115"/>
      <c r="P13" s="115"/>
      <c r="Q13" s="115"/>
      <c r="R13" s="115"/>
      <c r="S13" s="209" t="s">
        <v>94</v>
      </c>
      <c r="T13" s="209"/>
      <c r="U13" s="209"/>
      <c r="V13" s="209"/>
      <c r="W13" s="209"/>
      <c r="X13" s="209"/>
      <c r="Y13" s="209"/>
      <c r="Z13" s="102"/>
    </row>
    <row r="14" spans="1:40" ht="15" customHeight="1" x14ac:dyDescent="0.25">
      <c r="A14" s="81"/>
      <c r="B14" s="115" t="s">
        <v>26</v>
      </c>
      <c r="C14" s="115"/>
      <c r="D14" s="115"/>
      <c r="E14" s="115"/>
      <c r="F14" s="115"/>
      <c r="G14" s="117" t="s">
        <v>27</v>
      </c>
      <c r="H14" s="117"/>
      <c r="I14" s="117"/>
      <c r="J14" s="117"/>
      <c r="K14" s="117"/>
      <c r="L14" s="117"/>
      <c r="M14" s="115" t="s">
        <v>28</v>
      </c>
      <c r="N14" s="115"/>
      <c r="O14" s="115"/>
      <c r="P14" s="115"/>
      <c r="Q14" s="115"/>
      <c r="R14" s="115"/>
      <c r="S14" s="115" t="s">
        <v>29</v>
      </c>
      <c r="T14" s="115"/>
      <c r="U14" s="115"/>
      <c r="V14" s="115"/>
      <c r="W14" s="115"/>
      <c r="X14" s="115"/>
      <c r="Y14" s="115"/>
      <c r="Z14" s="102"/>
    </row>
    <row r="15" spans="1:40" ht="15" customHeight="1" x14ac:dyDescent="0.25">
      <c r="A15" s="81"/>
      <c r="B15" s="175" t="s">
        <v>30</v>
      </c>
      <c r="C15" s="175"/>
      <c r="D15" s="175"/>
      <c r="E15" s="175"/>
      <c r="F15" s="175"/>
      <c r="G15" s="210" t="s">
        <v>93</v>
      </c>
      <c r="H15" s="210"/>
      <c r="I15" s="210"/>
      <c r="J15" s="210"/>
      <c r="K15" s="210"/>
      <c r="L15" s="210"/>
      <c r="M15" s="115" t="s">
        <v>32</v>
      </c>
      <c r="N15" s="115"/>
      <c r="O15" s="115"/>
      <c r="P15" s="115"/>
      <c r="Q15" s="115"/>
      <c r="R15" s="115"/>
      <c r="S15" s="115" t="s">
        <v>92</v>
      </c>
      <c r="T15" s="115"/>
      <c r="U15" s="115"/>
      <c r="V15" s="115"/>
      <c r="W15" s="115"/>
      <c r="X15" s="115"/>
      <c r="Y15" s="115"/>
      <c r="Z15" s="102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</row>
    <row r="16" spans="1:40" ht="15" customHeight="1" x14ac:dyDescent="0.25">
      <c r="A16" s="81"/>
      <c r="B16" s="175" t="s">
        <v>33</v>
      </c>
      <c r="C16" s="175"/>
      <c r="D16" s="175"/>
      <c r="E16" s="175"/>
      <c r="F16" s="175"/>
      <c r="G16" s="115" t="s">
        <v>91</v>
      </c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08"/>
    </row>
    <row r="17" spans="1:28" ht="6" customHeight="1" x14ac:dyDescent="0.25">
      <c r="A17" s="79"/>
      <c r="B17" s="101"/>
      <c r="C17" s="101"/>
      <c r="D17" s="78"/>
      <c r="E17" s="78"/>
      <c r="F17" s="78"/>
      <c r="G17" s="78"/>
      <c r="H17" s="101"/>
      <c r="I17" s="101"/>
      <c r="J17" s="101"/>
      <c r="K17" s="101"/>
      <c r="L17" s="101"/>
      <c r="M17" s="101"/>
      <c r="N17" s="112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77"/>
    </row>
    <row r="18" spans="1:28" ht="15" customHeight="1" x14ac:dyDescent="0.25">
      <c r="B18" s="110"/>
      <c r="C18" s="110"/>
      <c r="K18" s="111"/>
      <c r="L18" s="110"/>
      <c r="M18" s="109"/>
      <c r="V18" s="104"/>
      <c r="W18" s="104"/>
      <c r="X18" s="104"/>
      <c r="Y18" s="104"/>
      <c r="Z18" s="104"/>
      <c r="AA18" s="104"/>
      <c r="AB18" s="108"/>
    </row>
    <row r="19" spans="1:28" ht="15.6" customHeight="1" x14ac:dyDescent="0.25">
      <c r="A19" s="99" t="s">
        <v>35</v>
      </c>
      <c r="B19" s="98" t="s">
        <v>36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4"/>
    </row>
    <row r="20" spans="1:28" ht="6" customHeight="1" x14ac:dyDescent="0.25">
      <c r="A20" s="81"/>
      <c r="B20" s="107"/>
      <c r="Z20" s="80"/>
    </row>
    <row r="21" spans="1:28" ht="13.8" customHeight="1" x14ac:dyDescent="0.25">
      <c r="A21" s="81"/>
      <c r="B21" s="115" t="s">
        <v>37</v>
      </c>
      <c r="C21" s="115"/>
      <c r="D21" s="115"/>
      <c r="E21" s="115"/>
      <c r="F21" s="115"/>
      <c r="G21" s="115"/>
      <c r="H21" s="115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02"/>
    </row>
    <row r="22" spans="1:28" ht="15" customHeight="1" x14ac:dyDescent="0.25">
      <c r="A22" s="81"/>
      <c r="B22" s="115" t="s">
        <v>38</v>
      </c>
      <c r="C22" s="115"/>
      <c r="D22" s="115"/>
      <c r="E22" s="115"/>
      <c r="F22" s="115"/>
      <c r="G22" s="115"/>
      <c r="H22" s="115"/>
      <c r="I22" s="116"/>
      <c r="J22" s="116"/>
      <c r="K22" s="116"/>
      <c r="L22" s="116"/>
      <c r="M22" s="116"/>
      <c r="N22" s="106">
        <v>4</v>
      </c>
      <c r="O22" s="118" t="s">
        <v>39</v>
      </c>
      <c r="P22" s="118"/>
      <c r="Q22" s="118"/>
      <c r="R22" s="105" t="s">
        <v>40</v>
      </c>
      <c r="S22" s="104"/>
      <c r="T22" s="104"/>
      <c r="U22" s="104"/>
      <c r="V22" s="118"/>
      <c r="W22" s="118"/>
      <c r="X22" s="118"/>
      <c r="Y22" s="103"/>
      <c r="Z22" s="102"/>
    </row>
    <row r="23" spans="1:28" ht="5.25" customHeight="1" x14ac:dyDescent="0.25">
      <c r="A23" s="79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77"/>
    </row>
    <row r="24" spans="1:28" x14ac:dyDescent="0.25">
      <c r="C24" s="100"/>
    </row>
    <row r="25" spans="1:28" ht="15.6" customHeight="1" x14ac:dyDescent="0.25">
      <c r="A25" s="99" t="s">
        <v>41</v>
      </c>
      <c r="B25" s="98" t="s">
        <v>42</v>
      </c>
      <c r="C25" s="95"/>
      <c r="D25" s="97"/>
      <c r="E25" s="97"/>
      <c r="F25" s="97"/>
      <c r="G25" s="97"/>
      <c r="H25" s="128" t="s">
        <v>43</v>
      </c>
      <c r="I25" s="128"/>
      <c r="J25" s="128"/>
      <c r="K25" s="128"/>
      <c r="L25" s="128"/>
      <c r="M25" s="128"/>
      <c r="N25" s="128"/>
      <c r="O25" s="128"/>
      <c r="P25" s="128"/>
      <c r="Q25" s="122">
        <v>2.452</v>
      </c>
      <c r="R25" s="122"/>
      <c r="S25" s="122"/>
      <c r="T25" s="122"/>
      <c r="U25" s="96" t="s">
        <v>44</v>
      </c>
      <c r="V25" s="95"/>
      <c r="W25" s="95"/>
      <c r="X25" s="95"/>
      <c r="Y25" s="95"/>
      <c r="Z25" s="94"/>
    </row>
    <row r="26" spans="1:28" ht="13.8" customHeight="1" thickBot="1" x14ac:dyDescent="0.3">
      <c r="A26" s="81"/>
      <c r="Z26" s="80"/>
    </row>
    <row r="27" spans="1:28" ht="15.75" customHeight="1" x14ac:dyDescent="0.25">
      <c r="A27" s="81"/>
      <c r="B27" s="132" t="s">
        <v>45</v>
      </c>
      <c r="C27" s="120"/>
      <c r="D27" s="135" t="s">
        <v>46</v>
      </c>
      <c r="E27" s="136"/>
      <c r="F27" s="229" t="s">
        <v>47</v>
      </c>
      <c r="G27" s="229"/>
      <c r="H27" s="229"/>
      <c r="I27" s="119" t="s">
        <v>48</v>
      </c>
      <c r="J27" s="120"/>
      <c r="K27" s="120"/>
      <c r="L27" s="119" t="s">
        <v>49</v>
      </c>
      <c r="M27" s="120"/>
      <c r="N27" s="121"/>
      <c r="O27" s="119" t="s">
        <v>50</v>
      </c>
      <c r="P27" s="120"/>
      <c r="Q27" s="121"/>
      <c r="R27" s="119" t="s">
        <v>51</v>
      </c>
      <c r="S27" s="120"/>
      <c r="T27" s="120"/>
      <c r="U27" s="120"/>
      <c r="V27" s="120"/>
      <c r="W27" s="120"/>
      <c r="X27" s="120"/>
      <c r="Y27" s="126"/>
      <c r="Z27" s="80"/>
    </row>
    <row r="28" spans="1:28" ht="36" customHeight="1" x14ac:dyDescent="0.25">
      <c r="A28" s="81"/>
      <c r="B28" s="133" t="s">
        <v>52</v>
      </c>
      <c r="C28" s="134"/>
      <c r="D28" s="137" t="s">
        <v>53</v>
      </c>
      <c r="E28" s="138"/>
      <c r="F28" s="93" t="s">
        <v>54</v>
      </c>
      <c r="G28" s="93" t="s">
        <v>55</v>
      </c>
      <c r="H28" s="93" t="s">
        <v>56</v>
      </c>
      <c r="I28" s="123"/>
      <c r="J28" s="124"/>
      <c r="K28" s="124"/>
      <c r="L28" s="123" t="s">
        <v>57</v>
      </c>
      <c r="M28" s="124"/>
      <c r="N28" s="125"/>
      <c r="O28" s="123" t="s">
        <v>57</v>
      </c>
      <c r="P28" s="124"/>
      <c r="Q28" s="125"/>
      <c r="R28" s="123"/>
      <c r="S28" s="124"/>
      <c r="T28" s="124"/>
      <c r="U28" s="124"/>
      <c r="V28" s="124"/>
      <c r="W28" s="124"/>
      <c r="X28" s="124"/>
      <c r="Y28" s="127"/>
      <c r="Z28" s="80"/>
    </row>
    <row r="29" spans="1:28" ht="16.8" customHeight="1" x14ac:dyDescent="0.25">
      <c r="A29" s="81"/>
      <c r="B29" s="230">
        <v>1</v>
      </c>
      <c r="C29" s="231"/>
      <c r="D29" s="247" t="s">
        <v>90</v>
      </c>
      <c r="E29" s="218"/>
      <c r="F29" s="232"/>
      <c r="G29" s="233"/>
      <c r="H29" s="234"/>
      <c r="I29" s="235">
        <v>2.331</v>
      </c>
      <c r="J29" s="235"/>
      <c r="K29" s="235"/>
      <c r="L29" s="236">
        <v>95.1</v>
      </c>
      <c r="M29" s="160"/>
      <c r="N29" s="161"/>
      <c r="O29" s="160">
        <v>4.9000000000000004</v>
      </c>
      <c r="P29" s="160"/>
      <c r="Q29" s="161"/>
      <c r="R29" s="227"/>
      <c r="S29" s="227"/>
      <c r="T29" s="227"/>
      <c r="U29" s="227"/>
      <c r="V29" s="227"/>
      <c r="W29" s="227"/>
      <c r="X29" s="227"/>
      <c r="Y29" s="228"/>
      <c r="Z29" s="80"/>
    </row>
    <row r="30" spans="1:28" ht="16.8" customHeight="1" x14ac:dyDescent="0.25">
      <c r="A30" s="81"/>
      <c r="B30" s="230">
        <v>2</v>
      </c>
      <c r="C30" s="231"/>
      <c r="D30" s="248"/>
      <c r="E30" s="222"/>
      <c r="F30" s="232"/>
      <c r="G30" s="233"/>
      <c r="H30" s="234"/>
      <c r="I30" s="235">
        <v>2.2850000000000001</v>
      </c>
      <c r="J30" s="235"/>
      <c r="K30" s="235"/>
      <c r="L30" s="236">
        <v>93.2</v>
      </c>
      <c r="M30" s="160"/>
      <c r="N30" s="161"/>
      <c r="O30" s="160">
        <v>6.8</v>
      </c>
      <c r="P30" s="160"/>
      <c r="Q30" s="161"/>
      <c r="R30" s="227"/>
      <c r="S30" s="227"/>
      <c r="T30" s="227"/>
      <c r="U30" s="227"/>
      <c r="V30" s="227"/>
      <c r="W30" s="227"/>
      <c r="X30" s="227"/>
      <c r="Y30" s="228"/>
      <c r="Z30" s="80"/>
    </row>
    <row r="31" spans="1:28" ht="16.8" customHeight="1" x14ac:dyDescent="0.25">
      <c r="A31" s="81"/>
      <c r="B31" s="230">
        <v>3</v>
      </c>
      <c r="C31" s="231"/>
      <c r="D31" s="248"/>
      <c r="E31" s="222"/>
      <c r="F31" s="232"/>
      <c r="G31" s="233"/>
      <c r="H31" s="234"/>
      <c r="I31" s="235">
        <v>2.2850000000000001</v>
      </c>
      <c r="J31" s="235"/>
      <c r="K31" s="235"/>
      <c r="L31" s="236">
        <v>93.2</v>
      </c>
      <c r="M31" s="160"/>
      <c r="N31" s="161"/>
      <c r="O31" s="160">
        <v>6.8</v>
      </c>
      <c r="P31" s="160"/>
      <c r="Q31" s="161"/>
      <c r="R31" s="227"/>
      <c r="S31" s="227"/>
      <c r="T31" s="227"/>
      <c r="U31" s="227"/>
      <c r="V31" s="227"/>
      <c r="W31" s="227"/>
      <c r="X31" s="227"/>
      <c r="Y31" s="228"/>
      <c r="Z31" s="80"/>
    </row>
    <row r="32" spans="1:28" ht="16.8" customHeight="1" x14ac:dyDescent="0.25">
      <c r="A32" s="81"/>
      <c r="B32" s="230">
        <v>4</v>
      </c>
      <c r="C32" s="231"/>
      <c r="D32" s="248"/>
      <c r="E32" s="222"/>
      <c r="F32" s="232"/>
      <c r="G32" s="233"/>
      <c r="H32" s="234"/>
      <c r="I32" s="235">
        <v>2.2709999999999999</v>
      </c>
      <c r="J32" s="235"/>
      <c r="K32" s="235"/>
      <c r="L32" s="236">
        <v>92.6</v>
      </c>
      <c r="M32" s="160"/>
      <c r="N32" s="161"/>
      <c r="O32" s="160">
        <v>7.4</v>
      </c>
      <c r="P32" s="160"/>
      <c r="Q32" s="161"/>
      <c r="R32" s="227"/>
      <c r="S32" s="227"/>
      <c r="T32" s="227"/>
      <c r="U32" s="227"/>
      <c r="V32" s="227"/>
      <c r="W32" s="227"/>
      <c r="X32" s="227"/>
      <c r="Y32" s="228"/>
      <c r="Z32" s="80"/>
    </row>
    <row r="33" spans="1:26" ht="16.8" customHeight="1" x14ac:dyDescent="0.25">
      <c r="A33" s="81"/>
      <c r="B33" s="230">
        <v>5</v>
      </c>
      <c r="C33" s="231"/>
      <c r="D33" s="248"/>
      <c r="E33" s="222"/>
      <c r="F33" s="232"/>
      <c r="G33" s="233"/>
      <c r="H33" s="234"/>
      <c r="I33" s="235">
        <v>2.3359999999999999</v>
      </c>
      <c r="J33" s="235"/>
      <c r="K33" s="235"/>
      <c r="L33" s="236">
        <v>95.3</v>
      </c>
      <c r="M33" s="160"/>
      <c r="N33" s="161"/>
      <c r="O33" s="160">
        <v>4.7</v>
      </c>
      <c r="P33" s="160"/>
      <c r="Q33" s="161"/>
      <c r="R33" s="227"/>
      <c r="S33" s="227"/>
      <c r="T33" s="227"/>
      <c r="U33" s="227"/>
      <c r="V33" s="227"/>
      <c r="W33" s="227"/>
      <c r="X33" s="227"/>
      <c r="Y33" s="228"/>
      <c r="Z33" s="80"/>
    </row>
    <row r="34" spans="1:26" ht="16.8" customHeight="1" x14ac:dyDescent="0.25">
      <c r="A34" s="81"/>
      <c r="B34" s="230">
        <v>6</v>
      </c>
      <c r="C34" s="231"/>
      <c r="D34" s="248"/>
      <c r="E34" s="222"/>
      <c r="F34" s="232"/>
      <c r="G34" s="233"/>
      <c r="H34" s="234"/>
      <c r="I34" s="235">
        <v>2.3359999999999999</v>
      </c>
      <c r="J34" s="235"/>
      <c r="K34" s="235"/>
      <c r="L34" s="236">
        <v>95.3</v>
      </c>
      <c r="M34" s="160"/>
      <c r="N34" s="161"/>
      <c r="O34" s="160">
        <v>4.7</v>
      </c>
      <c r="P34" s="160"/>
      <c r="Q34" s="161"/>
      <c r="R34" s="227"/>
      <c r="S34" s="227"/>
      <c r="T34" s="227"/>
      <c r="U34" s="227"/>
      <c r="V34" s="227"/>
      <c r="W34" s="227"/>
      <c r="X34" s="227"/>
      <c r="Y34" s="228"/>
      <c r="Z34" s="80"/>
    </row>
    <row r="35" spans="1:26" ht="16.8" customHeight="1" x14ac:dyDescent="0.25">
      <c r="A35" s="81"/>
      <c r="B35" s="230">
        <v>7</v>
      </c>
      <c r="C35" s="231"/>
      <c r="D35" s="248"/>
      <c r="E35" s="222"/>
      <c r="F35" s="232"/>
      <c r="G35" s="233"/>
      <c r="H35" s="234"/>
      <c r="I35" s="235">
        <v>2.3199999999999998</v>
      </c>
      <c r="J35" s="235"/>
      <c r="K35" s="235"/>
      <c r="L35" s="236">
        <v>94.6</v>
      </c>
      <c r="M35" s="160"/>
      <c r="N35" s="161"/>
      <c r="O35" s="160">
        <v>5.4</v>
      </c>
      <c r="P35" s="160"/>
      <c r="Q35" s="161"/>
      <c r="R35" s="227"/>
      <c r="S35" s="227"/>
      <c r="T35" s="227"/>
      <c r="U35" s="227"/>
      <c r="V35" s="227"/>
      <c r="W35" s="227"/>
      <c r="X35" s="227"/>
      <c r="Y35" s="228"/>
      <c r="Z35" s="80"/>
    </row>
    <row r="36" spans="1:26" ht="16.8" customHeight="1" x14ac:dyDescent="0.25">
      <c r="A36" s="81"/>
      <c r="B36" s="230">
        <v>8</v>
      </c>
      <c r="C36" s="231"/>
      <c r="D36" s="248"/>
      <c r="E36" s="222"/>
      <c r="F36" s="232"/>
      <c r="G36" s="233"/>
      <c r="H36" s="234"/>
      <c r="I36" s="235">
        <v>2.3410000000000002</v>
      </c>
      <c r="J36" s="235"/>
      <c r="K36" s="235"/>
      <c r="L36" s="236">
        <v>95.5</v>
      </c>
      <c r="M36" s="160"/>
      <c r="N36" s="161"/>
      <c r="O36" s="160">
        <v>4.5</v>
      </c>
      <c r="P36" s="160"/>
      <c r="Q36" s="161"/>
      <c r="R36" s="227"/>
      <c r="S36" s="227"/>
      <c r="T36" s="227"/>
      <c r="U36" s="227"/>
      <c r="V36" s="227"/>
      <c r="W36" s="227"/>
      <c r="X36" s="227"/>
      <c r="Y36" s="228"/>
      <c r="Z36" s="80"/>
    </row>
    <row r="37" spans="1:26" ht="16.8" customHeight="1" x14ac:dyDescent="0.25">
      <c r="A37" s="81"/>
      <c r="B37" s="230">
        <v>9</v>
      </c>
      <c r="C37" s="231"/>
      <c r="D37" s="248"/>
      <c r="E37" s="222"/>
      <c r="F37" s="232"/>
      <c r="G37" s="233"/>
      <c r="H37" s="234"/>
      <c r="I37" s="235">
        <v>2.3220000000000001</v>
      </c>
      <c r="J37" s="235"/>
      <c r="K37" s="235"/>
      <c r="L37" s="236">
        <v>94.7</v>
      </c>
      <c r="M37" s="160"/>
      <c r="N37" s="161"/>
      <c r="O37" s="160">
        <v>5.3</v>
      </c>
      <c r="P37" s="160"/>
      <c r="Q37" s="161"/>
      <c r="R37" s="227"/>
      <c r="S37" s="227"/>
      <c r="T37" s="227"/>
      <c r="U37" s="227"/>
      <c r="V37" s="227"/>
      <c r="W37" s="227"/>
      <c r="X37" s="227"/>
      <c r="Y37" s="228"/>
      <c r="Z37" s="80"/>
    </row>
    <row r="38" spans="1:26" ht="16.8" customHeight="1" x14ac:dyDescent="0.25">
      <c r="A38" s="81"/>
      <c r="B38" s="230">
        <v>10</v>
      </c>
      <c r="C38" s="231"/>
      <c r="D38" s="249"/>
      <c r="E38" s="226"/>
      <c r="F38" s="232"/>
      <c r="G38" s="233"/>
      <c r="H38" s="234"/>
      <c r="I38" s="235">
        <v>2.319</v>
      </c>
      <c r="J38" s="235"/>
      <c r="K38" s="235"/>
      <c r="L38" s="236">
        <v>94.6</v>
      </c>
      <c r="M38" s="160"/>
      <c r="N38" s="161"/>
      <c r="O38" s="160">
        <v>5.4</v>
      </c>
      <c r="P38" s="160"/>
      <c r="Q38" s="161"/>
      <c r="R38" s="227"/>
      <c r="S38" s="227"/>
      <c r="T38" s="227"/>
      <c r="U38" s="227"/>
      <c r="V38" s="227"/>
      <c r="W38" s="227"/>
      <c r="X38" s="227"/>
      <c r="Y38" s="228"/>
      <c r="Z38" s="80"/>
    </row>
    <row r="39" spans="1:26" ht="16.8" customHeight="1" x14ac:dyDescent="0.25">
      <c r="A39" s="81"/>
      <c r="B39" s="230">
        <v>11</v>
      </c>
      <c r="C39" s="231"/>
      <c r="D39" s="215" t="s">
        <v>89</v>
      </c>
      <c r="E39" s="250"/>
      <c r="F39" s="232"/>
      <c r="G39" s="233"/>
      <c r="H39" s="234"/>
      <c r="I39" s="235">
        <v>2.3220000000000001</v>
      </c>
      <c r="J39" s="235"/>
      <c r="K39" s="235"/>
      <c r="L39" s="236">
        <v>94.7</v>
      </c>
      <c r="M39" s="160"/>
      <c r="N39" s="161"/>
      <c r="O39" s="160">
        <v>5.3</v>
      </c>
      <c r="P39" s="160"/>
      <c r="Q39" s="161"/>
      <c r="R39" s="227"/>
      <c r="S39" s="227"/>
      <c r="T39" s="227"/>
      <c r="U39" s="227"/>
      <c r="V39" s="227"/>
      <c r="W39" s="227"/>
      <c r="X39" s="227"/>
      <c r="Y39" s="228"/>
      <c r="Z39" s="80"/>
    </row>
    <row r="40" spans="1:26" ht="16.8" customHeight="1" x14ac:dyDescent="0.25">
      <c r="A40" s="81"/>
      <c r="B40" s="230">
        <v>12</v>
      </c>
      <c r="C40" s="231"/>
      <c r="D40" s="219"/>
      <c r="E40" s="251"/>
      <c r="F40" s="232"/>
      <c r="G40" s="233"/>
      <c r="H40" s="234"/>
      <c r="I40" s="235">
        <v>2.306</v>
      </c>
      <c r="J40" s="235"/>
      <c r="K40" s="235"/>
      <c r="L40" s="236">
        <v>94</v>
      </c>
      <c r="M40" s="160"/>
      <c r="N40" s="161"/>
      <c r="O40" s="160">
        <v>6</v>
      </c>
      <c r="P40" s="160"/>
      <c r="Q40" s="161"/>
      <c r="R40" s="227"/>
      <c r="S40" s="227"/>
      <c r="T40" s="227"/>
      <c r="U40" s="227"/>
      <c r="V40" s="227"/>
      <c r="W40" s="227"/>
      <c r="X40" s="227"/>
      <c r="Y40" s="228"/>
      <c r="Z40" s="80"/>
    </row>
    <row r="41" spans="1:26" ht="16.8" customHeight="1" x14ac:dyDescent="0.25">
      <c r="A41" s="81"/>
      <c r="B41" s="230">
        <v>13</v>
      </c>
      <c r="C41" s="231"/>
      <c r="D41" s="219"/>
      <c r="E41" s="251"/>
      <c r="F41" s="232"/>
      <c r="G41" s="233"/>
      <c r="H41" s="234"/>
      <c r="I41" s="235">
        <v>2.3210000000000002</v>
      </c>
      <c r="J41" s="235"/>
      <c r="K41" s="235"/>
      <c r="L41" s="236">
        <v>94.7</v>
      </c>
      <c r="M41" s="160"/>
      <c r="N41" s="161"/>
      <c r="O41" s="160">
        <v>5.3</v>
      </c>
      <c r="P41" s="160"/>
      <c r="Q41" s="161"/>
      <c r="R41" s="227"/>
      <c r="S41" s="227"/>
      <c r="T41" s="227"/>
      <c r="U41" s="227"/>
      <c r="V41" s="227"/>
      <c r="W41" s="227"/>
      <c r="X41" s="227"/>
      <c r="Y41" s="228"/>
      <c r="Z41" s="80"/>
    </row>
    <row r="42" spans="1:26" ht="16.8" customHeight="1" x14ac:dyDescent="0.25">
      <c r="A42" s="81"/>
      <c r="B42" s="230">
        <v>14</v>
      </c>
      <c r="C42" s="231"/>
      <c r="D42" s="219"/>
      <c r="E42" s="251"/>
      <c r="F42" s="232"/>
      <c r="G42" s="233"/>
      <c r="H42" s="234"/>
      <c r="I42" s="235">
        <v>2.2759999999999998</v>
      </c>
      <c r="J42" s="235"/>
      <c r="K42" s="235"/>
      <c r="L42" s="236">
        <v>92.8</v>
      </c>
      <c r="M42" s="160"/>
      <c r="N42" s="161"/>
      <c r="O42" s="160">
        <v>7.2</v>
      </c>
      <c r="P42" s="160"/>
      <c r="Q42" s="161"/>
      <c r="R42" s="227"/>
      <c r="S42" s="227"/>
      <c r="T42" s="227"/>
      <c r="U42" s="227"/>
      <c r="V42" s="227"/>
      <c r="W42" s="227"/>
      <c r="X42" s="227"/>
      <c r="Y42" s="228"/>
      <c r="Z42" s="80"/>
    </row>
    <row r="43" spans="1:26" ht="16.8" customHeight="1" x14ac:dyDescent="0.25">
      <c r="A43" s="81"/>
      <c r="B43" s="230">
        <v>15</v>
      </c>
      <c r="C43" s="231"/>
      <c r="D43" s="219"/>
      <c r="E43" s="251"/>
      <c r="F43" s="232"/>
      <c r="G43" s="233"/>
      <c r="H43" s="234"/>
      <c r="I43" s="235">
        <v>2.3039999999999998</v>
      </c>
      <c r="J43" s="235"/>
      <c r="K43" s="235"/>
      <c r="L43" s="236">
        <v>94</v>
      </c>
      <c r="M43" s="160"/>
      <c r="N43" s="161"/>
      <c r="O43" s="160">
        <v>6</v>
      </c>
      <c r="P43" s="160"/>
      <c r="Q43" s="161"/>
      <c r="R43" s="227"/>
      <c r="S43" s="227"/>
      <c r="T43" s="227"/>
      <c r="U43" s="227"/>
      <c r="V43" s="227"/>
      <c r="W43" s="227"/>
      <c r="X43" s="227"/>
      <c r="Y43" s="228"/>
      <c r="Z43" s="80"/>
    </row>
    <row r="44" spans="1:26" ht="16.8" customHeight="1" x14ac:dyDescent="0.25">
      <c r="A44" s="81"/>
      <c r="B44" s="230">
        <v>16</v>
      </c>
      <c r="C44" s="231"/>
      <c r="D44" s="219"/>
      <c r="E44" s="251"/>
      <c r="F44" s="232"/>
      <c r="G44" s="233"/>
      <c r="H44" s="234"/>
      <c r="I44" s="235">
        <v>2.2989999999999999</v>
      </c>
      <c r="J44" s="235"/>
      <c r="K44" s="235"/>
      <c r="L44" s="236">
        <v>93.8</v>
      </c>
      <c r="M44" s="160"/>
      <c r="N44" s="161"/>
      <c r="O44" s="160">
        <v>6.2</v>
      </c>
      <c r="P44" s="160"/>
      <c r="Q44" s="161"/>
      <c r="R44" s="227"/>
      <c r="S44" s="227"/>
      <c r="T44" s="227"/>
      <c r="U44" s="227"/>
      <c r="V44" s="227"/>
      <c r="W44" s="227"/>
      <c r="X44" s="227"/>
      <c r="Y44" s="228"/>
      <c r="Z44" s="80"/>
    </row>
    <row r="45" spans="1:26" ht="16.8" customHeight="1" x14ac:dyDescent="0.25">
      <c r="A45" s="81"/>
      <c r="B45" s="230">
        <v>17</v>
      </c>
      <c r="C45" s="231"/>
      <c r="D45" s="219"/>
      <c r="E45" s="251"/>
      <c r="F45" s="232"/>
      <c r="G45" s="233"/>
      <c r="H45" s="234"/>
      <c r="I45" s="235">
        <v>2.2669999999999999</v>
      </c>
      <c r="J45" s="235"/>
      <c r="K45" s="235"/>
      <c r="L45" s="236">
        <v>92.5</v>
      </c>
      <c r="M45" s="160"/>
      <c r="N45" s="161"/>
      <c r="O45" s="160">
        <v>7.5</v>
      </c>
      <c r="P45" s="160"/>
      <c r="Q45" s="161"/>
      <c r="R45" s="227"/>
      <c r="S45" s="227"/>
      <c r="T45" s="227"/>
      <c r="U45" s="227"/>
      <c r="V45" s="227"/>
      <c r="W45" s="227"/>
      <c r="X45" s="227"/>
      <c r="Y45" s="228"/>
      <c r="Z45" s="80"/>
    </row>
    <row r="46" spans="1:26" ht="16.8" customHeight="1" x14ac:dyDescent="0.25">
      <c r="A46" s="81"/>
      <c r="B46" s="230">
        <v>18</v>
      </c>
      <c r="C46" s="231"/>
      <c r="D46" s="219"/>
      <c r="E46" s="251"/>
      <c r="F46" s="232"/>
      <c r="G46" s="233"/>
      <c r="H46" s="234"/>
      <c r="I46" s="235">
        <v>2.286</v>
      </c>
      <c r="J46" s="235"/>
      <c r="K46" s="235"/>
      <c r="L46" s="236">
        <v>93.2</v>
      </c>
      <c r="M46" s="160"/>
      <c r="N46" s="161"/>
      <c r="O46" s="160">
        <v>6.8</v>
      </c>
      <c r="P46" s="160"/>
      <c r="Q46" s="161"/>
      <c r="R46" s="227"/>
      <c r="S46" s="227"/>
      <c r="T46" s="227"/>
      <c r="U46" s="227"/>
      <c r="V46" s="227"/>
      <c r="W46" s="227"/>
      <c r="X46" s="227"/>
      <c r="Y46" s="228"/>
      <c r="Z46" s="80"/>
    </row>
    <row r="47" spans="1:26" ht="16.8" customHeight="1" x14ac:dyDescent="0.25">
      <c r="A47" s="81"/>
      <c r="B47" s="230">
        <v>19</v>
      </c>
      <c r="C47" s="231"/>
      <c r="D47" s="219"/>
      <c r="E47" s="251"/>
      <c r="F47" s="232"/>
      <c r="G47" s="233"/>
      <c r="H47" s="234"/>
      <c r="I47" s="235">
        <v>2.3260000000000001</v>
      </c>
      <c r="J47" s="235"/>
      <c r="K47" s="235"/>
      <c r="L47" s="236">
        <v>94.9</v>
      </c>
      <c r="M47" s="160"/>
      <c r="N47" s="161"/>
      <c r="O47" s="160">
        <v>5.0999999999999996</v>
      </c>
      <c r="P47" s="160"/>
      <c r="Q47" s="161"/>
      <c r="R47" s="227"/>
      <c r="S47" s="227"/>
      <c r="T47" s="227"/>
      <c r="U47" s="227"/>
      <c r="V47" s="227"/>
      <c r="W47" s="227"/>
      <c r="X47" s="227"/>
      <c r="Y47" s="228"/>
      <c r="Z47" s="80"/>
    </row>
    <row r="48" spans="1:26" ht="16.8" customHeight="1" x14ac:dyDescent="0.25">
      <c r="A48" s="81"/>
      <c r="B48" s="230">
        <v>20</v>
      </c>
      <c r="C48" s="231"/>
      <c r="D48" s="219"/>
      <c r="E48" s="251"/>
      <c r="F48" s="232"/>
      <c r="G48" s="233"/>
      <c r="H48" s="234"/>
      <c r="I48" s="235">
        <v>2.2759999999999998</v>
      </c>
      <c r="J48" s="235"/>
      <c r="K48" s="235"/>
      <c r="L48" s="236">
        <v>92.8</v>
      </c>
      <c r="M48" s="160"/>
      <c r="N48" s="161"/>
      <c r="O48" s="160">
        <v>7.2</v>
      </c>
      <c r="P48" s="160"/>
      <c r="Q48" s="161"/>
      <c r="R48" s="227"/>
      <c r="S48" s="227"/>
      <c r="T48" s="227"/>
      <c r="U48" s="227"/>
      <c r="V48" s="227"/>
      <c r="W48" s="227"/>
      <c r="X48" s="227"/>
      <c r="Y48" s="228"/>
      <c r="Z48" s="80"/>
    </row>
    <row r="49" spans="1:29" ht="16.8" customHeight="1" x14ac:dyDescent="0.25">
      <c r="A49" s="81"/>
      <c r="B49" s="230">
        <v>21</v>
      </c>
      <c r="C49" s="231"/>
      <c r="D49" s="219"/>
      <c r="E49" s="251"/>
      <c r="F49" s="232"/>
      <c r="G49" s="233"/>
      <c r="H49" s="234"/>
      <c r="I49" s="235">
        <v>2.3180000000000001</v>
      </c>
      <c r="J49" s="235"/>
      <c r="K49" s="235"/>
      <c r="L49" s="236">
        <v>94.5</v>
      </c>
      <c r="M49" s="160"/>
      <c r="N49" s="161"/>
      <c r="O49" s="160">
        <v>5.5</v>
      </c>
      <c r="P49" s="160"/>
      <c r="Q49" s="161"/>
      <c r="R49" s="227"/>
      <c r="S49" s="227"/>
      <c r="T49" s="227"/>
      <c r="U49" s="227"/>
      <c r="V49" s="227"/>
      <c r="W49" s="227"/>
      <c r="X49" s="227"/>
      <c r="Y49" s="228"/>
      <c r="Z49" s="80"/>
    </row>
    <row r="50" spans="1:29" ht="16.8" customHeight="1" x14ac:dyDescent="0.25">
      <c r="A50" s="81"/>
      <c r="B50" s="230">
        <v>22</v>
      </c>
      <c r="C50" s="231"/>
      <c r="D50" s="219"/>
      <c r="E50" s="251"/>
      <c r="F50" s="232"/>
      <c r="G50" s="233"/>
      <c r="H50" s="234"/>
      <c r="I50" s="235">
        <v>2.3010000000000002</v>
      </c>
      <c r="J50" s="235"/>
      <c r="K50" s="235"/>
      <c r="L50" s="236">
        <v>93.8</v>
      </c>
      <c r="M50" s="160"/>
      <c r="N50" s="161"/>
      <c r="O50" s="160">
        <v>6.2</v>
      </c>
      <c r="P50" s="160"/>
      <c r="Q50" s="161"/>
      <c r="R50" s="227"/>
      <c r="S50" s="227"/>
      <c r="T50" s="227"/>
      <c r="U50" s="227"/>
      <c r="V50" s="227"/>
      <c r="W50" s="227"/>
      <c r="X50" s="227"/>
      <c r="Y50" s="228"/>
      <c r="Z50" s="80"/>
    </row>
    <row r="51" spans="1:29" ht="16.8" customHeight="1" x14ac:dyDescent="0.25">
      <c r="A51" s="81"/>
      <c r="B51" s="230">
        <v>23</v>
      </c>
      <c r="C51" s="231"/>
      <c r="D51" s="219"/>
      <c r="E51" s="251"/>
      <c r="F51" s="232"/>
      <c r="G51" s="233"/>
      <c r="H51" s="234"/>
      <c r="I51" s="235">
        <v>2.2639999999999998</v>
      </c>
      <c r="J51" s="235"/>
      <c r="K51" s="235"/>
      <c r="L51" s="236">
        <v>92.3</v>
      </c>
      <c r="M51" s="160"/>
      <c r="N51" s="161"/>
      <c r="O51" s="160">
        <v>7.7</v>
      </c>
      <c r="P51" s="160"/>
      <c r="Q51" s="161"/>
      <c r="R51" s="227"/>
      <c r="S51" s="227"/>
      <c r="T51" s="227"/>
      <c r="U51" s="227"/>
      <c r="V51" s="227"/>
      <c r="W51" s="227"/>
      <c r="X51" s="227"/>
      <c r="Y51" s="228"/>
      <c r="Z51" s="80"/>
    </row>
    <row r="52" spans="1:29" ht="16.8" customHeight="1" x14ac:dyDescent="0.25">
      <c r="A52" s="81"/>
      <c r="B52" s="230">
        <v>24</v>
      </c>
      <c r="C52" s="231"/>
      <c r="D52" s="219"/>
      <c r="E52" s="251"/>
      <c r="F52" s="232"/>
      <c r="G52" s="233"/>
      <c r="H52" s="234"/>
      <c r="I52" s="235">
        <v>2.3460000000000001</v>
      </c>
      <c r="J52" s="235"/>
      <c r="K52" s="235"/>
      <c r="L52" s="236">
        <v>95.7</v>
      </c>
      <c r="M52" s="160"/>
      <c r="N52" s="161"/>
      <c r="O52" s="160">
        <v>4.3</v>
      </c>
      <c r="P52" s="160"/>
      <c r="Q52" s="161"/>
      <c r="R52" s="227"/>
      <c r="S52" s="227"/>
      <c r="T52" s="227"/>
      <c r="U52" s="227"/>
      <c r="V52" s="227"/>
      <c r="W52" s="227"/>
      <c r="X52" s="227"/>
      <c r="Y52" s="228"/>
      <c r="Z52" s="80"/>
    </row>
    <row r="53" spans="1:29" ht="16.8" customHeight="1" x14ac:dyDescent="0.25">
      <c r="A53" s="81"/>
      <c r="B53" s="230">
        <v>25</v>
      </c>
      <c r="C53" s="231"/>
      <c r="D53" s="219"/>
      <c r="E53" s="251"/>
      <c r="F53" s="232"/>
      <c r="G53" s="233"/>
      <c r="H53" s="234"/>
      <c r="I53" s="235">
        <v>2.282</v>
      </c>
      <c r="J53" s="235"/>
      <c r="K53" s="235"/>
      <c r="L53" s="236">
        <v>93.1</v>
      </c>
      <c r="M53" s="160"/>
      <c r="N53" s="161"/>
      <c r="O53" s="160">
        <v>6.9</v>
      </c>
      <c r="P53" s="160"/>
      <c r="Q53" s="161"/>
      <c r="R53" s="227"/>
      <c r="S53" s="227"/>
      <c r="T53" s="227"/>
      <c r="U53" s="227"/>
      <c r="V53" s="227"/>
      <c r="W53" s="227"/>
      <c r="X53" s="227"/>
      <c r="Y53" s="228"/>
      <c r="Z53" s="80"/>
    </row>
    <row r="54" spans="1:29" ht="16.8" customHeight="1" x14ac:dyDescent="0.25">
      <c r="A54" s="81"/>
      <c r="B54" s="230">
        <v>26</v>
      </c>
      <c r="C54" s="231"/>
      <c r="D54" s="219"/>
      <c r="E54" s="251"/>
      <c r="F54" s="232"/>
      <c r="G54" s="233"/>
      <c r="H54" s="234"/>
      <c r="I54" s="235">
        <v>2.2749999999999999</v>
      </c>
      <c r="J54" s="235"/>
      <c r="K54" s="235"/>
      <c r="L54" s="236">
        <v>92.8</v>
      </c>
      <c r="M54" s="160"/>
      <c r="N54" s="161"/>
      <c r="O54" s="160">
        <v>7.2</v>
      </c>
      <c r="P54" s="160"/>
      <c r="Q54" s="161"/>
      <c r="R54" s="227"/>
      <c r="S54" s="227"/>
      <c r="T54" s="227"/>
      <c r="U54" s="227"/>
      <c r="V54" s="227"/>
      <c r="W54" s="227"/>
      <c r="X54" s="227"/>
      <c r="Y54" s="228"/>
      <c r="Z54" s="80"/>
    </row>
    <row r="55" spans="1:29" ht="16.8" customHeight="1" x14ac:dyDescent="0.25">
      <c r="A55" s="81"/>
      <c r="B55" s="230">
        <v>27</v>
      </c>
      <c r="C55" s="231"/>
      <c r="D55" s="223"/>
      <c r="E55" s="252"/>
      <c r="F55" s="232"/>
      <c r="G55" s="233"/>
      <c r="H55" s="234"/>
      <c r="I55" s="235">
        <v>2.2999999999999998</v>
      </c>
      <c r="J55" s="235"/>
      <c r="K55" s="235"/>
      <c r="L55" s="236">
        <v>93.8</v>
      </c>
      <c r="M55" s="160"/>
      <c r="N55" s="161"/>
      <c r="O55" s="160">
        <v>6.2</v>
      </c>
      <c r="P55" s="160"/>
      <c r="Q55" s="161"/>
      <c r="R55" s="227"/>
      <c r="S55" s="227"/>
      <c r="T55" s="227"/>
      <c r="U55" s="227"/>
      <c r="V55" s="227"/>
      <c r="W55" s="227"/>
      <c r="X55" s="227"/>
      <c r="Y55" s="228"/>
      <c r="Z55" s="80"/>
    </row>
    <row r="56" spans="1:29" ht="16.8" customHeight="1" x14ac:dyDescent="0.25">
      <c r="A56" s="81"/>
      <c r="B56" s="92"/>
      <c r="C56" s="91"/>
      <c r="D56" s="65"/>
      <c r="E56" s="64"/>
      <c r="F56" s="90"/>
      <c r="G56" s="89"/>
      <c r="H56" s="88"/>
      <c r="I56" s="87"/>
      <c r="J56" s="87"/>
      <c r="K56" s="87"/>
      <c r="L56" s="86"/>
      <c r="M56" s="85"/>
      <c r="N56" s="84"/>
      <c r="O56" s="85"/>
      <c r="P56" s="85"/>
      <c r="Q56" s="84"/>
      <c r="R56" s="83"/>
      <c r="S56" s="83"/>
      <c r="T56" s="83"/>
      <c r="U56" s="83"/>
      <c r="V56" s="83"/>
      <c r="W56" s="83"/>
      <c r="X56" s="83"/>
      <c r="Y56" s="82"/>
      <c r="Z56" s="80"/>
    </row>
    <row r="57" spans="1:29" ht="16.8" customHeight="1" x14ac:dyDescent="0.25">
      <c r="A57" s="81"/>
      <c r="B57" s="92"/>
      <c r="C57" s="91"/>
      <c r="D57" s="65"/>
      <c r="E57" s="64"/>
      <c r="F57" s="90"/>
      <c r="G57" s="89"/>
      <c r="H57" s="88"/>
      <c r="I57" s="87"/>
      <c r="J57" s="87"/>
      <c r="K57" s="87"/>
      <c r="L57" s="86"/>
      <c r="M57" s="85"/>
      <c r="N57" s="84"/>
      <c r="O57" s="85"/>
      <c r="P57" s="85"/>
      <c r="Q57" s="84"/>
      <c r="R57" s="83"/>
      <c r="S57" s="83"/>
      <c r="T57" s="83"/>
      <c r="U57" s="83"/>
      <c r="V57" s="83"/>
      <c r="W57" s="83"/>
      <c r="X57" s="83"/>
      <c r="Y57" s="82"/>
      <c r="Z57" s="80"/>
    </row>
    <row r="58" spans="1:29" ht="17.25" customHeight="1" x14ac:dyDescent="0.25">
      <c r="A58" s="81"/>
      <c r="B58" s="141"/>
      <c r="C58" s="142"/>
      <c r="D58" s="139"/>
      <c r="E58" s="140"/>
      <c r="F58" s="139"/>
      <c r="G58" s="140"/>
      <c r="H58" s="244"/>
      <c r="I58" s="243"/>
      <c r="J58" s="243"/>
      <c r="K58" s="243"/>
      <c r="L58" s="148"/>
      <c r="M58" s="149"/>
      <c r="N58" s="150"/>
      <c r="O58" s="149"/>
      <c r="P58" s="149"/>
      <c r="Q58" s="150"/>
      <c r="R58" s="245"/>
      <c r="S58" s="245"/>
      <c r="T58" s="245"/>
      <c r="U58" s="245"/>
      <c r="V58" s="245"/>
      <c r="W58" s="245"/>
      <c r="X58" s="245"/>
      <c r="Y58" s="246"/>
      <c r="Z58" s="80"/>
    </row>
    <row r="59" spans="1:29" ht="16.5" customHeight="1" thickBot="1" x14ac:dyDescent="0.3">
      <c r="A59" s="81"/>
      <c r="B59" s="146" t="s">
        <v>58</v>
      </c>
      <c r="C59" s="147"/>
      <c r="D59" s="147"/>
      <c r="E59" s="147"/>
      <c r="F59" s="147"/>
      <c r="G59" s="147"/>
      <c r="H59" s="147"/>
      <c r="I59" s="240">
        <v>2.2999999999999998</v>
      </c>
      <c r="J59" s="240"/>
      <c r="K59" s="240"/>
      <c r="L59" s="159">
        <v>93.98</v>
      </c>
      <c r="M59" s="159"/>
      <c r="N59" s="159"/>
      <c r="O59" s="159">
        <v>6.02</v>
      </c>
      <c r="P59" s="159"/>
      <c r="Q59" s="159"/>
      <c r="R59" s="241"/>
      <c r="S59" s="241"/>
      <c r="T59" s="241"/>
      <c r="U59" s="241"/>
      <c r="V59" s="241"/>
      <c r="W59" s="241"/>
      <c r="X59" s="241"/>
      <c r="Y59" s="242"/>
      <c r="Z59" s="80"/>
    </row>
    <row r="60" spans="1:29" ht="25.5" customHeight="1" thickBot="1" x14ac:dyDescent="0.3">
      <c r="A60" s="81"/>
      <c r="B60" s="157" t="s">
        <v>59</v>
      </c>
      <c r="C60" s="158"/>
      <c r="D60" s="158"/>
      <c r="E60" s="158"/>
      <c r="F60" s="158"/>
      <c r="G60" s="158"/>
      <c r="H60" s="158"/>
      <c r="I60" s="143">
        <v>100</v>
      </c>
      <c r="J60" s="143"/>
      <c r="K60" s="143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5"/>
      <c r="Z60" s="80"/>
    </row>
    <row r="61" spans="1:29" ht="15" customHeight="1" x14ac:dyDescent="0.25">
      <c r="A61" s="79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7"/>
    </row>
    <row r="62" spans="1:29" ht="16.5" customHeight="1" x14ac:dyDescent="0.25">
      <c r="S62" s="76"/>
      <c r="T62" s="76"/>
      <c r="U62" s="76"/>
    </row>
    <row r="63" spans="1:29" ht="15.6" customHeight="1" x14ac:dyDescent="0.25">
      <c r="A63" s="75" t="s">
        <v>60</v>
      </c>
      <c r="B63" s="74" t="s">
        <v>61</v>
      </c>
      <c r="C63" s="73"/>
      <c r="D63" s="73"/>
      <c r="E63" s="73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U63" s="71"/>
      <c r="V63" s="70"/>
      <c r="W63" s="70"/>
      <c r="X63" s="70"/>
      <c r="Y63" s="70"/>
      <c r="Z63" s="69"/>
      <c r="AA63" s="53"/>
      <c r="AB63" s="53"/>
      <c r="AC63" s="53"/>
    </row>
    <row r="64" spans="1:29" ht="26.4" customHeight="1" x14ac:dyDescent="0.25">
      <c r="A64" s="129" t="s">
        <v>62</v>
      </c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1"/>
      <c r="R64" s="166" t="s">
        <v>63</v>
      </c>
      <c r="S64" s="167"/>
      <c r="T64" s="168"/>
      <c r="U64" s="211" t="s">
        <v>88</v>
      </c>
      <c r="V64" s="212"/>
      <c r="W64" s="212"/>
      <c r="X64" s="213"/>
      <c r="Y64" s="213"/>
      <c r="Z64" s="214"/>
      <c r="AA64" s="53"/>
      <c r="AB64" s="53"/>
      <c r="AC64" s="53"/>
    </row>
    <row r="65" spans="1:29" ht="15.6" customHeight="1" x14ac:dyDescent="0.25">
      <c r="A65" s="169" t="s">
        <v>65</v>
      </c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1"/>
      <c r="R65" s="166" t="s">
        <v>66</v>
      </c>
      <c r="S65" s="167"/>
      <c r="T65" s="168"/>
      <c r="U65" s="215" t="s">
        <v>87</v>
      </c>
      <c r="V65" s="216"/>
      <c r="W65" s="216"/>
      <c r="X65" s="217"/>
      <c r="Y65" s="217"/>
      <c r="Z65" s="218"/>
      <c r="AA65" s="53"/>
      <c r="AB65" s="53"/>
      <c r="AC65" s="53"/>
    </row>
    <row r="66" spans="1:29" ht="15.6" customHeight="1" x14ac:dyDescent="0.25">
      <c r="A66" s="172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4"/>
      <c r="R66" s="166"/>
      <c r="S66" s="167"/>
      <c r="T66" s="168"/>
      <c r="U66" s="219"/>
      <c r="V66" s="220"/>
      <c r="W66" s="220"/>
      <c r="X66" s="221"/>
      <c r="Y66" s="221"/>
      <c r="Z66" s="222"/>
      <c r="AA66" s="53"/>
      <c r="AB66" s="53"/>
      <c r="AC66" s="53"/>
    </row>
    <row r="67" spans="1:29" ht="15.6" customHeight="1" x14ac:dyDescent="0.25">
      <c r="A67" s="68" t="s">
        <v>68</v>
      </c>
      <c r="B67" s="67" t="s">
        <v>69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66"/>
      <c r="R67" s="166"/>
      <c r="S67" s="167"/>
      <c r="T67" s="168"/>
      <c r="U67" s="223"/>
      <c r="V67" s="224"/>
      <c r="W67" s="224"/>
      <c r="X67" s="225"/>
      <c r="Y67" s="225"/>
      <c r="Z67" s="226"/>
      <c r="AA67" s="53"/>
      <c r="AB67" s="53"/>
      <c r="AC67" s="53"/>
    </row>
    <row r="68" spans="1:29" ht="15.6" customHeight="1" x14ac:dyDescent="0.25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3"/>
      <c r="R68" s="166" t="s">
        <v>70</v>
      </c>
      <c r="S68" s="167"/>
      <c r="T68" s="168"/>
      <c r="U68" s="63"/>
      <c r="V68" s="62"/>
      <c r="W68" s="62"/>
      <c r="X68" s="62"/>
      <c r="Y68" s="62"/>
      <c r="Z68" s="61"/>
      <c r="AA68" s="53"/>
      <c r="AB68" s="53"/>
      <c r="AC68" s="53"/>
    </row>
    <row r="69" spans="1:29" ht="15.6" customHeight="1" x14ac:dyDescent="0.25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3"/>
      <c r="R69" s="166"/>
      <c r="S69" s="167"/>
      <c r="T69" s="168"/>
      <c r="U69" s="60"/>
      <c r="V69" s="220"/>
      <c r="W69" s="220"/>
      <c r="X69" s="220"/>
      <c r="Y69" s="220"/>
      <c r="Z69" s="59"/>
      <c r="AA69" s="53"/>
      <c r="AB69" s="53"/>
      <c r="AC69" s="53"/>
    </row>
    <row r="70" spans="1:29" ht="15.6" customHeight="1" x14ac:dyDescent="0.25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3"/>
      <c r="R70" s="166"/>
      <c r="S70" s="167"/>
      <c r="T70" s="168"/>
      <c r="U70" s="60"/>
      <c r="V70" s="220"/>
      <c r="W70" s="220"/>
      <c r="X70" s="220"/>
      <c r="Y70" s="220"/>
      <c r="Z70" s="59"/>
      <c r="AA70" s="53"/>
      <c r="AB70" s="53"/>
      <c r="AC70" s="53"/>
    </row>
    <row r="71" spans="1:29" ht="15.6" customHeight="1" x14ac:dyDescent="0.25">
      <c r="A71" s="154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6"/>
      <c r="R71" s="237"/>
      <c r="S71" s="238"/>
      <c r="T71" s="239"/>
      <c r="U71" s="58"/>
      <c r="V71" s="57"/>
      <c r="W71" s="57"/>
      <c r="X71" s="57"/>
      <c r="Y71" s="57"/>
      <c r="Z71" s="56"/>
      <c r="AA71" s="53"/>
      <c r="AB71" s="53"/>
      <c r="AC71" s="53"/>
    </row>
    <row r="72" spans="1:29" ht="16.5" customHeight="1" x14ac:dyDescent="0.25">
      <c r="R72" s="55"/>
      <c r="S72" s="55"/>
      <c r="T72" s="55"/>
      <c r="U72" s="54"/>
      <c r="V72" s="54"/>
      <c r="W72" s="54"/>
      <c r="X72" s="54"/>
      <c r="Y72" s="54"/>
      <c r="Z72" s="54"/>
      <c r="AA72" s="53"/>
      <c r="AB72" s="53"/>
      <c r="AC72" s="53"/>
    </row>
  </sheetData>
  <sheetProtection formatCells="0" formatColumns="0" formatRows="0" insertColumns="0" insertRows="0" insertHyperlinks="0" deleteColumns="0" deleteRows="0" selectLockedCells="1" sort="0" autoFilter="0" pivotTables="0"/>
  <mergeCells count="248">
    <mergeCell ref="R55:Y55"/>
    <mergeCell ref="B54:C54"/>
    <mergeCell ref="F54:H54"/>
    <mergeCell ref="I54:K54"/>
    <mergeCell ref="L54:N54"/>
    <mergeCell ref="O52:Q52"/>
    <mergeCell ref="R52:Y52"/>
    <mergeCell ref="B53:C53"/>
    <mergeCell ref="F53:H53"/>
    <mergeCell ref="I53:K53"/>
    <mergeCell ref="D39:E55"/>
    <mergeCell ref="O54:Q54"/>
    <mergeCell ref="R54:Y54"/>
    <mergeCell ref="B55:C55"/>
    <mergeCell ref="F55:H55"/>
    <mergeCell ref="I55:K55"/>
    <mergeCell ref="L55:N55"/>
    <mergeCell ref="O55:Q55"/>
    <mergeCell ref="B51:C51"/>
    <mergeCell ref="F51:H51"/>
    <mergeCell ref="I51:K51"/>
    <mergeCell ref="L51:N51"/>
    <mergeCell ref="O51:Q51"/>
    <mergeCell ref="R51:Y51"/>
    <mergeCell ref="B50:C50"/>
    <mergeCell ref="F50:H50"/>
    <mergeCell ref="L53:N53"/>
    <mergeCell ref="O53:Q53"/>
    <mergeCell ref="R53:Y53"/>
    <mergeCell ref="B52:C52"/>
    <mergeCell ref="F52:H52"/>
    <mergeCell ref="I52:K52"/>
    <mergeCell ref="L52:N52"/>
    <mergeCell ref="I50:K50"/>
    <mergeCell ref="L50:N50"/>
    <mergeCell ref="O48:Q48"/>
    <mergeCell ref="R48:Y48"/>
    <mergeCell ref="B49:C49"/>
    <mergeCell ref="F49:H49"/>
    <mergeCell ref="I49:K49"/>
    <mergeCell ref="L49:N49"/>
    <mergeCell ref="O49:Q49"/>
    <mergeCell ref="R49:Y49"/>
    <mergeCell ref="O50:Q50"/>
    <mergeCell ref="R50:Y50"/>
    <mergeCell ref="B48:C48"/>
    <mergeCell ref="F48:H48"/>
    <mergeCell ref="I48:K48"/>
    <mergeCell ref="L48:N48"/>
    <mergeCell ref="O46:Q46"/>
    <mergeCell ref="R46:Y46"/>
    <mergeCell ref="B47:C47"/>
    <mergeCell ref="F47:H47"/>
    <mergeCell ref="I47:K47"/>
    <mergeCell ref="L47:N47"/>
    <mergeCell ref="B45:C45"/>
    <mergeCell ref="F45:H45"/>
    <mergeCell ref="I45:K45"/>
    <mergeCell ref="L45:N45"/>
    <mergeCell ref="O45:Q45"/>
    <mergeCell ref="R45:Y45"/>
    <mergeCell ref="B44:C44"/>
    <mergeCell ref="F44:H44"/>
    <mergeCell ref="O47:Q47"/>
    <mergeCell ref="R47:Y47"/>
    <mergeCell ref="B46:C46"/>
    <mergeCell ref="F46:H46"/>
    <mergeCell ref="I46:K46"/>
    <mergeCell ref="L46:N46"/>
    <mergeCell ref="I44:K44"/>
    <mergeCell ref="L44:N44"/>
    <mergeCell ref="O42:Q42"/>
    <mergeCell ref="R42:Y42"/>
    <mergeCell ref="B43:C43"/>
    <mergeCell ref="F43:H43"/>
    <mergeCell ref="I43:K43"/>
    <mergeCell ref="L43:N43"/>
    <mergeCell ref="O43:Q43"/>
    <mergeCell ref="R43:Y43"/>
    <mergeCell ref="O44:Q44"/>
    <mergeCell ref="R44:Y44"/>
    <mergeCell ref="B42:C42"/>
    <mergeCell ref="F42:H42"/>
    <mergeCell ref="I42:K42"/>
    <mergeCell ref="L42:N42"/>
    <mergeCell ref="O40:Q40"/>
    <mergeCell ref="R40:Y40"/>
    <mergeCell ref="B41:C41"/>
    <mergeCell ref="F41:H41"/>
    <mergeCell ref="I41:K41"/>
    <mergeCell ref="L41:N41"/>
    <mergeCell ref="B39:C39"/>
    <mergeCell ref="F39:H39"/>
    <mergeCell ref="I39:K39"/>
    <mergeCell ref="L39:N39"/>
    <mergeCell ref="O39:Q39"/>
    <mergeCell ref="R39:Y39"/>
    <mergeCell ref="B38:C38"/>
    <mergeCell ref="F38:H38"/>
    <mergeCell ref="O41:Q41"/>
    <mergeCell ref="R41:Y41"/>
    <mergeCell ref="B40:C40"/>
    <mergeCell ref="F40:H40"/>
    <mergeCell ref="I40:K40"/>
    <mergeCell ref="L40:N40"/>
    <mergeCell ref="D29:E38"/>
    <mergeCell ref="I38:K38"/>
    <mergeCell ref="L38:N38"/>
    <mergeCell ref="O36:Q36"/>
    <mergeCell ref="R36:Y36"/>
    <mergeCell ref="B37:C37"/>
    <mergeCell ref="F37:H37"/>
    <mergeCell ref="I37:K37"/>
    <mergeCell ref="L37:N37"/>
    <mergeCell ref="O37:Q37"/>
    <mergeCell ref="R37:Y37"/>
    <mergeCell ref="O38:Q38"/>
    <mergeCell ref="R38:Y38"/>
    <mergeCell ref="O35:Q35"/>
    <mergeCell ref="R35:Y35"/>
    <mergeCell ref="B34:C34"/>
    <mergeCell ref="F34:H34"/>
    <mergeCell ref="I34:K34"/>
    <mergeCell ref="L34:N34"/>
    <mergeCell ref="B36:C36"/>
    <mergeCell ref="F36:H36"/>
    <mergeCell ref="I36:K36"/>
    <mergeCell ref="L36:N36"/>
    <mergeCell ref="O34:Q34"/>
    <mergeCell ref="R34:Y34"/>
    <mergeCell ref="B35:C35"/>
    <mergeCell ref="F35:H35"/>
    <mergeCell ref="I35:K35"/>
    <mergeCell ref="L35:N35"/>
    <mergeCell ref="R32:Y32"/>
    <mergeCell ref="B33:C33"/>
    <mergeCell ref="F33:H33"/>
    <mergeCell ref="I33:K33"/>
    <mergeCell ref="L33:N33"/>
    <mergeCell ref="O33:Q33"/>
    <mergeCell ref="R33:Y33"/>
    <mergeCell ref="B32:C32"/>
    <mergeCell ref="F32:H32"/>
    <mergeCell ref="S10:Y10"/>
    <mergeCell ref="S12:Y12"/>
    <mergeCell ref="U64:Z64"/>
    <mergeCell ref="U65:Z67"/>
    <mergeCell ref="V69:Y70"/>
    <mergeCell ref="R29:Y29"/>
    <mergeCell ref="F27:H27"/>
    <mergeCell ref="B29:C29"/>
    <mergeCell ref="F29:H29"/>
    <mergeCell ref="I29:K29"/>
    <mergeCell ref="L29:N29"/>
    <mergeCell ref="R68:T71"/>
    <mergeCell ref="B30:C30"/>
    <mergeCell ref="F30:H30"/>
    <mergeCell ref="I30:K30"/>
    <mergeCell ref="L30:N30"/>
    <mergeCell ref="I59:K59"/>
    <mergeCell ref="R59:Y59"/>
    <mergeCell ref="I58:K58"/>
    <mergeCell ref="F58:H58"/>
    <mergeCell ref="R58:Y58"/>
    <mergeCell ref="O58:Q58"/>
    <mergeCell ref="I32:K32"/>
    <mergeCell ref="L32:N32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B10:F10"/>
    <mergeCell ref="A68:Q71"/>
    <mergeCell ref="B60:H60"/>
    <mergeCell ref="O59:Q59"/>
    <mergeCell ref="L59:N59"/>
    <mergeCell ref="I27:K28"/>
    <mergeCell ref="O29:Q29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O28:Q28"/>
    <mergeCell ref="L28:N28"/>
    <mergeCell ref="R27:Y28"/>
    <mergeCell ref="H25:P25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58:N58"/>
    <mergeCell ref="O30:Q30"/>
    <mergeCell ref="R30:Y30"/>
    <mergeCell ref="B31:C31"/>
    <mergeCell ref="F31:H31"/>
    <mergeCell ref="I31:K31"/>
    <mergeCell ref="L31:N31"/>
    <mergeCell ref="O31:Q31"/>
    <mergeCell ref="R31:Y31"/>
    <mergeCell ref="O32:Q32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S13:Y13"/>
    <mergeCell ref="B15:F15"/>
    <mergeCell ref="B21:H21"/>
    <mergeCell ref="I21:Y21"/>
    <mergeCell ref="G15:L15"/>
    <mergeCell ref="S15:Y15"/>
    <mergeCell ref="M15:R15"/>
    <mergeCell ref="G16:Y1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9732-00BB-42D8-BE67-C8E5306A1B72}">
  <sheetPr>
    <pageSetUpPr fitToPage="1"/>
  </sheetPr>
  <dimension ref="A1:AN63"/>
  <sheetViews>
    <sheetView topLeftCell="A28" workbookViewId="0">
      <selection activeCell="AB53" sqref="AB5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308"/>
      <c r="B1" s="309"/>
      <c r="C1" s="309"/>
      <c r="D1" s="309"/>
      <c r="E1" s="309"/>
      <c r="F1" s="310"/>
      <c r="G1" s="317" t="s">
        <v>0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9"/>
      <c r="U1" s="325" t="s">
        <v>71</v>
      </c>
      <c r="V1" s="326"/>
      <c r="W1" s="326"/>
      <c r="X1" s="326"/>
      <c r="Y1" s="326"/>
      <c r="Z1" s="327"/>
    </row>
    <row r="2" spans="1:40" ht="13.2" customHeight="1" x14ac:dyDescent="0.25">
      <c r="A2" s="311"/>
      <c r="B2" s="312"/>
      <c r="C2" s="312"/>
      <c r="D2" s="312"/>
      <c r="E2" s="312"/>
      <c r="F2" s="313"/>
      <c r="G2" s="334" t="s">
        <v>1</v>
      </c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  <c r="U2" s="328"/>
      <c r="V2" s="329"/>
      <c r="W2" s="329"/>
      <c r="X2" s="329"/>
      <c r="Y2" s="329"/>
      <c r="Z2" s="330"/>
    </row>
    <row r="3" spans="1:40" ht="13.2" customHeight="1" x14ac:dyDescent="0.25">
      <c r="A3" s="311"/>
      <c r="B3" s="312"/>
      <c r="C3" s="312"/>
      <c r="D3" s="312"/>
      <c r="E3" s="312"/>
      <c r="F3" s="313"/>
      <c r="G3" s="334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6"/>
      <c r="U3" s="328"/>
      <c r="V3" s="329"/>
      <c r="W3" s="329"/>
      <c r="X3" s="329"/>
      <c r="Y3" s="329"/>
      <c r="Z3" s="330"/>
    </row>
    <row r="4" spans="1:40" ht="13.2" customHeight="1" x14ac:dyDescent="0.25">
      <c r="A4" s="311"/>
      <c r="B4" s="312"/>
      <c r="C4" s="312"/>
      <c r="D4" s="312"/>
      <c r="E4" s="312"/>
      <c r="F4" s="313"/>
      <c r="G4" s="334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6"/>
      <c r="U4" s="328"/>
      <c r="V4" s="329"/>
      <c r="W4" s="329"/>
      <c r="X4" s="329"/>
      <c r="Y4" s="329"/>
      <c r="Z4" s="330"/>
    </row>
    <row r="5" spans="1:40" ht="15" customHeight="1" x14ac:dyDescent="0.25">
      <c r="A5" s="311"/>
      <c r="B5" s="312"/>
      <c r="C5" s="312"/>
      <c r="D5" s="312"/>
      <c r="E5" s="312"/>
      <c r="F5" s="313"/>
      <c r="G5" s="302" t="s">
        <v>2</v>
      </c>
      <c r="H5" s="303"/>
      <c r="I5" s="300">
        <v>3</v>
      </c>
      <c r="J5" s="300"/>
      <c r="K5" s="301"/>
      <c r="L5" s="337" t="s">
        <v>3</v>
      </c>
      <c r="M5" s="338"/>
      <c r="N5" s="338"/>
      <c r="O5" s="339"/>
      <c r="P5" s="322" t="s">
        <v>86</v>
      </c>
      <c r="Q5" s="323"/>
      <c r="R5" s="323"/>
      <c r="S5" s="323"/>
      <c r="T5" s="324"/>
      <c r="U5" s="328"/>
      <c r="V5" s="329"/>
      <c r="W5" s="329"/>
      <c r="X5" s="329"/>
      <c r="Y5" s="329"/>
      <c r="Z5" s="330"/>
    </row>
    <row r="6" spans="1:40" ht="13.2" customHeight="1" x14ac:dyDescent="0.25">
      <c r="A6" s="314"/>
      <c r="B6" s="315"/>
      <c r="C6" s="315"/>
      <c r="D6" s="315"/>
      <c r="E6" s="315"/>
      <c r="F6" s="316"/>
      <c r="G6" s="2"/>
      <c r="H6" s="28"/>
      <c r="I6" s="298" t="s">
        <v>5</v>
      </c>
      <c r="J6" s="298"/>
      <c r="K6" s="298"/>
      <c r="L6" s="298" t="s">
        <v>6</v>
      </c>
      <c r="M6" s="298"/>
      <c r="N6" s="298"/>
      <c r="O6" s="298"/>
      <c r="P6" s="298" t="s">
        <v>7</v>
      </c>
      <c r="Q6" s="298"/>
      <c r="R6" s="298"/>
      <c r="S6" s="298"/>
      <c r="T6" s="299"/>
      <c r="U6" s="331"/>
      <c r="V6" s="332"/>
      <c r="W6" s="332"/>
      <c r="X6" s="332"/>
      <c r="Y6" s="332"/>
      <c r="Z6" s="333"/>
    </row>
    <row r="7" spans="1:40" ht="36.75" customHeight="1" x14ac:dyDescent="0.25">
      <c r="A7" s="320" t="s">
        <v>8</v>
      </c>
      <c r="B7" s="320"/>
      <c r="C7" s="320"/>
      <c r="D7" s="320"/>
      <c r="E7" s="320"/>
      <c r="F7" s="320"/>
      <c r="G7" s="321" t="s">
        <v>9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91" t="s">
        <v>12</v>
      </c>
      <c r="C10" s="291"/>
      <c r="D10" s="291"/>
      <c r="E10" s="291"/>
      <c r="F10" s="291"/>
      <c r="G10" s="294" t="s">
        <v>13</v>
      </c>
      <c r="H10" s="294"/>
      <c r="I10" s="294"/>
      <c r="J10" s="294"/>
      <c r="K10" s="294"/>
      <c r="L10" s="294"/>
      <c r="M10" s="291" t="s">
        <v>14</v>
      </c>
      <c r="N10" s="291"/>
      <c r="O10" s="291"/>
      <c r="P10" s="291"/>
      <c r="Q10" s="291"/>
      <c r="R10" s="291"/>
      <c r="S10" s="297" t="s">
        <v>15</v>
      </c>
      <c r="T10" s="297"/>
      <c r="U10" s="297"/>
      <c r="V10" s="297"/>
      <c r="W10" s="297"/>
      <c r="X10" s="297"/>
      <c r="Y10" s="297"/>
      <c r="Z10" s="12"/>
    </row>
    <row r="11" spans="1:40" ht="15" customHeight="1" x14ac:dyDescent="0.25">
      <c r="A11" s="9"/>
      <c r="B11" s="291" t="s">
        <v>16</v>
      </c>
      <c r="C11" s="291"/>
      <c r="D11" s="291"/>
      <c r="E11" s="291"/>
      <c r="F11" s="291"/>
      <c r="G11" s="294" t="s">
        <v>86</v>
      </c>
      <c r="H11" s="294"/>
      <c r="I11" s="294"/>
      <c r="J11" s="294"/>
      <c r="K11" s="294"/>
      <c r="L11" s="294"/>
      <c r="M11" s="291" t="s">
        <v>17</v>
      </c>
      <c r="N11" s="291"/>
      <c r="O11" s="291"/>
      <c r="P11" s="292" t="s">
        <v>18</v>
      </c>
      <c r="Q11" s="292"/>
      <c r="R11" s="292"/>
      <c r="S11" s="291" t="s">
        <v>19</v>
      </c>
      <c r="T11" s="291"/>
      <c r="U11" s="291"/>
      <c r="V11" s="291"/>
      <c r="W11" s="291"/>
      <c r="X11" s="292" t="s">
        <v>80</v>
      </c>
      <c r="Y11" s="292"/>
      <c r="Z11" s="12"/>
    </row>
    <row r="12" spans="1:40" ht="15" customHeight="1" x14ac:dyDescent="0.25">
      <c r="A12" s="9"/>
      <c r="B12" s="291" t="s">
        <v>20</v>
      </c>
      <c r="C12" s="291"/>
      <c r="D12" s="291"/>
      <c r="E12" s="291"/>
      <c r="F12" s="291"/>
      <c r="G12" s="294" t="s">
        <v>78</v>
      </c>
      <c r="H12" s="294"/>
      <c r="I12" s="294"/>
      <c r="J12" s="294"/>
      <c r="K12" s="294"/>
      <c r="L12" s="294"/>
      <c r="M12" s="291" t="s">
        <v>21</v>
      </c>
      <c r="N12" s="291"/>
      <c r="O12" s="291"/>
      <c r="P12" s="291"/>
      <c r="Q12" s="291"/>
      <c r="R12" s="291"/>
      <c r="S12" s="297" t="s">
        <v>22</v>
      </c>
      <c r="T12" s="297"/>
      <c r="U12" s="297"/>
      <c r="V12" s="297"/>
      <c r="W12" s="297"/>
      <c r="X12" s="297"/>
      <c r="Y12" s="297"/>
      <c r="Z12" s="12"/>
    </row>
    <row r="13" spans="1:40" ht="15" customHeight="1" x14ac:dyDescent="0.25">
      <c r="A13" s="9"/>
      <c r="B13" s="291" t="s">
        <v>23</v>
      </c>
      <c r="C13" s="291"/>
      <c r="D13" s="291"/>
      <c r="E13" s="291"/>
      <c r="F13" s="291"/>
      <c r="G13" s="293" t="s">
        <v>86</v>
      </c>
      <c r="H13" s="294"/>
      <c r="I13" s="294"/>
      <c r="J13" s="294"/>
      <c r="K13" s="294"/>
      <c r="L13" s="294"/>
      <c r="M13" s="291" t="s">
        <v>24</v>
      </c>
      <c r="N13" s="291"/>
      <c r="O13" s="291"/>
      <c r="P13" s="291"/>
      <c r="Q13" s="291"/>
      <c r="R13" s="291"/>
      <c r="S13" s="291" t="s">
        <v>85</v>
      </c>
      <c r="T13" s="291"/>
      <c r="U13" s="291"/>
      <c r="V13" s="291"/>
      <c r="W13" s="291"/>
      <c r="X13" s="291"/>
      <c r="Y13" s="291"/>
      <c r="Z13" s="12"/>
    </row>
    <row r="14" spans="1:40" ht="15" customHeight="1" x14ac:dyDescent="0.25">
      <c r="A14" s="9"/>
      <c r="B14" s="291" t="s">
        <v>26</v>
      </c>
      <c r="C14" s="291"/>
      <c r="D14" s="291"/>
      <c r="E14" s="291"/>
      <c r="F14" s="291"/>
      <c r="G14" s="294" t="s">
        <v>27</v>
      </c>
      <c r="H14" s="294"/>
      <c r="I14" s="294"/>
      <c r="J14" s="294"/>
      <c r="K14" s="294"/>
      <c r="L14" s="294"/>
      <c r="M14" s="291" t="s">
        <v>28</v>
      </c>
      <c r="N14" s="291"/>
      <c r="O14" s="291"/>
      <c r="P14" s="291"/>
      <c r="Q14" s="291"/>
      <c r="R14" s="291"/>
      <c r="S14" s="291" t="s">
        <v>84</v>
      </c>
      <c r="T14" s="291"/>
      <c r="U14" s="291"/>
      <c r="V14" s="291"/>
      <c r="W14" s="291"/>
      <c r="X14" s="291"/>
      <c r="Y14" s="291"/>
      <c r="Z14" s="12"/>
    </row>
    <row r="15" spans="1:40" ht="15" customHeight="1" x14ac:dyDescent="0.25">
      <c r="A15" s="9"/>
      <c r="B15" s="295" t="s">
        <v>30</v>
      </c>
      <c r="C15" s="295"/>
      <c r="D15" s="295"/>
      <c r="E15" s="295"/>
      <c r="F15" s="295"/>
      <c r="G15" s="297" t="s">
        <v>31</v>
      </c>
      <c r="H15" s="297"/>
      <c r="I15" s="297"/>
      <c r="J15" s="297"/>
      <c r="K15" s="297"/>
      <c r="L15" s="297"/>
      <c r="M15" s="291" t="s">
        <v>32</v>
      </c>
      <c r="N15" s="291"/>
      <c r="O15" s="291"/>
      <c r="P15" s="291"/>
      <c r="Q15" s="291"/>
      <c r="R15" s="291"/>
      <c r="S15" s="291" t="s">
        <v>83</v>
      </c>
      <c r="T15" s="291"/>
      <c r="U15" s="291"/>
      <c r="V15" s="291"/>
      <c r="W15" s="291"/>
      <c r="X15" s="291"/>
      <c r="Y15" s="29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95" t="s">
        <v>33</v>
      </c>
      <c r="C16" s="295"/>
      <c r="D16" s="295"/>
      <c r="E16" s="295"/>
      <c r="F16" s="295"/>
      <c r="G16" s="29" t="s">
        <v>82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91" t="s">
        <v>37</v>
      </c>
      <c r="C21" s="291"/>
      <c r="D21" s="291"/>
      <c r="E21" s="291"/>
      <c r="F21" s="291"/>
      <c r="G21" s="291"/>
      <c r="H21" s="291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12"/>
    </row>
    <row r="22" spans="1:28" ht="15" customHeight="1" x14ac:dyDescent="0.25">
      <c r="A22" s="9"/>
      <c r="B22" s="291" t="s">
        <v>38</v>
      </c>
      <c r="C22" s="291"/>
      <c r="D22" s="291"/>
      <c r="E22" s="291"/>
      <c r="F22" s="291"/>
      <c r="G22" s="291"/>
      <c r="H22" s="291"/>
      <c r="I22" s="292"/>
      <c r="J22" s="292"/>
      <c r="K22" s="292"/>
      <c r="L22" s="292"/>
      <c r="M22" s="292"/>
      <c r="N22" s="32">
        <v>0</v>
      </c>
      <c r="O22" s="296" t="s">
        <v>39</v>
      </c>
      <c r="P22" s="296"/>
      <c r="Q22" s="296"/>
      <c r="R22" s="33" t="s">
        <v>40</v>
      </c>
      <c r="S22" s="13"/>
      <c r="T22" s="13"/>
      <c r="U22" s="13"/>
      <c r="V22" s="296"/>
      <c r="W22" s="296"/>
      <c r="X22" s="29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383" t="s">
        <v>43</v>
      </c>
      <c r="I25" s="383"/>
      <c r="J25" s="383"/>
      <c r="K25" s="383"/>
      <c r="L25" s="383"/>
      <c r="M25" s="383"/>
      <c r="N25" s="383"/>
      <c r="O25" s="383"/>
      <c r="P25" s="383"/>
      <c r="Q25" s="376">
        <v>2.5030000000000001</v>
      </c>
      <c r="R25" s="376"/>
      <c r="S25" s="376"/>
      <c r="T25" s="376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43" t="s">
        <v>45</v>
      </c>
      <c r="C27" s="344"/>
      <c r="D27" s="347" t="s">
        <v>46</v>
      </c>
      <c r="E27" s="348"/>
      <c r="F27" s="361" t="s">
        <v>47</v>
      </c>
      <c r="G27" s="361"/>
      <c r="H27" s="361"/>
      <c r="I27" s="374" t="s">
        <v>48</v>
      </c>
      <c r="J27" s="344"/>
      <c r="K27" s="344"/>
      <c r="L27" s="374" t="s">
        <v>49</v>
      </c>
      <c r="M27" s="344"/>
      <c r="N27" s="375"/>
      <c r="O27" s="374" t="s">
        <v>50</v>
      </c>
      <c r="P27" s="344"/>
      <c r="Q27" s="375"/>
      <c r="R27" s="374" t="s">
        <v>51</v>
      </c>
      <c r="S27" s="344"/>
      <c r="T27" s="344"/>
      <c r="U27" s="344"/>
      <c r="V27" s="344"/>
      <c r="W27" s="344"/>
      <c r="X27" s="344"/>
      <c r="Y27" s="380"/>
      <c r="Z27" s="11"/>
    </row>
    <row r="28" spans="1:28" ht="36" customHeight="1" x14ac:dyDescent="0.25">
      <c r="A28" s="9"/>
      <c r="B28" s="345" t="s">
        <v>52</v>
      </c>
      <c r="C28" s="346"/>
      <c r="D28" s="349" t="s">
        <v>53</v>
      </c>
      <c r="E28" s="350"/>
      <c r="F28" s="34" t="s">
        <v>54</v>
      </c>
      <c r="G28" s="34" t="s">
        <v>55</v>
      </c>
      <c r="H28" s="34" t="s">
        <v>56</v>
      </c>
      <c r="I28" s="377"/>
      <c r="J28" s="378"/>
      <c r="K28" s="378"/>
      <c r="L28" s="377" t="s">
        <v>57</v>
      </c>
      <c r="M28" s="378"/>
      <c r="N28" s="379"/>
      <c r="O28" s="377" t="s">
        <v>57</v>
      </c>
      <c r="P28" s="378"/>
      <c r="Q28" s="379"/>
      <c r="R28" s="377"/>
      <c r="S28" s="378"/>
      <c r="T28" s="378"/>
      <c r="U28" s="378"/>
      <c r="V28" s="378"/>
      <c r="W28" s="378"/>
      <c r="X28" s="378"/>
      <c r="Y28" s="381"/>
      <c r="Z28" s="11"/>
    </row>
    <row r="29" spans="1:28" ht="16.8" customHeight="1" x14ac:dyDescent="0.25">
      <c r="A29" s="9"/>
      <c r="B29" s="257">
        <v>1</v>
      </c>
      <c r="C29" s="258"/>
      <c r="D29" s="259"/>
      <c r="E29" s="260"/>
      <c r="F29" s="259"/>
      <c r="G29" s="260"/>
      <c r="H29" s="261"/>
      <c r="I29" s="262">
        <v>2.4</v>
      </c>
      <c r="J29" s="262"/>
      <c r="K29" s="262"/>
      <c r="L29" s="263">
        <v>95.9</v>
      </c>
      <c r="M29" s="253"/>
      <c r="N29" s="254"/>
      <c r="O29" s="253">
        <v>4.0999999999999996</v>
      </c>
      <c r="P29" s="253"/>
      <c r="Q29" s="254"/>
      <c r="R29" s="255"/>
      <c r="S29" s="255"/>
      <c r="T29" s="255"/>
      <c r="U29" s="255"/>
      <c r="V29" s="255"/>
      <c r="W29" s="255"/>
      <c r="X29" s="255"/>
      <c r="Y29" s="256"/>
      <c r="Z29" s="11"/>
    </row>
    <row r="30" spans="1:28" ht="16.8" customHeight="1" x14ac:dyDescent="0.25">
      <c r="A30" s="9"/>
      <c r="B30" s="257">
        <v>2</v>
      </c>
      <c r="C30" s="258"/>
      <c r="D30" s="259"/>
      <c r="E30" s="260"/>
      <c r="F30" s="259"/>
      <c r="G30" s="260"/>
      <c r="H30" s="261"/>
      <c r="I30" s="262">
        <v>2.347</v>
      </c>
      <c r="J30" s="262"/>
      <c r="K30" s="262"/>
      <c r="L30" s="263">
        <v>93.8</v>
      </c>
      <c r="M30" s="253"/>
      <c r="N30" s="254"/>
      <c r="O30" s="253">
        <v>6.2</v>
      </c>
      <c r="P30" s="253"/>
      <c r="Q30" s="254"/>
      <c r="R30" s="255"/>
      <c r="S30" s="255"/>
      <c r="T30" s="255"/>
      <c r="U30" s="255"/>
      <c r="V30" s="255"/>
      <c r="W30" s="255"/>
      <c r="X30" s="255"/>
      <c r="Y30" s="256"/>
      <c r="Z30" s="11"/>
    </row>
    <row r="31" spans="1:28" ht="16.8" customHeight="1" x14ac:dyDescent="0.25">
      <c r="A31" s="9"/>
      <c r="B31" s="257">
        <v>3</v>
      </c>
      <c r="C31" s="258"/>
      <c r="D31" s="259"/>
      <c r="E31" s="260"/>
      <c r="F31" s="259"/>
      <c r="G31" s="260"/>
      <c r="H31" s="261"/>
      <c r="I31" s="262">
        <v>2.3460000000000001</v>
      </c>
      <c r="J31" s="262"/>
      <c r="K31" s="262"/>
      <c r="L31" s="263">
        <v>93.7</v>
      </c>
      <c r="M31" s="253"/>
      <c r="N31" s="254"/>
      <c r="O31" s="253">
        <v>6.3</v>
      </c>
      <c r="P31" s="253"/>
      <c r="Q31" s="254"/>
      <c r="R31" s="255"/>
      <c r="S31" s="255"/>
      <c r="T31" s="255"/>
      <c r="U31" s="255"/>
      <c r="V31" s="255"/>
      <c r="W31" s="255"/>
      <c r="X31" s="255"/>
      <c r="Y31" s="256"/>
      <c r="Z31" s="11"/>
    </row>
    <row r="32" spans="1:28" ht="16.8" customHeight="1" x14ac:dyDescent="0.25">
      <c r="A32" s="9"/>
      <c r="B32" s="257">
        <v>4</v>
      </c>
      <c r="C32" s="258"/>
      <c r="D32" s="259"/>
      <c r="E32" s="260"/>
      <c r="F32" s="259"/>
      <c r="G32" s="260"/>
      <c r="H32" s="261"/>
      <c r="I32" s="262">
        <v>2.3359999999999999</v>
      </c>
      <c r="J32" s="262"/>
      <c r="K32" s="262"/>
      <c r="L32" s="263">
        <v>93.3</v>
      </c>
      <c r="M32" s="253"/>
      <c r="N32" s="254"/>
      <c r="O32" s="253">
        <v>6.7</v>
      </c>
      <c r="P32" s="253"/>
      <c r="Q32" s="254"/>
      <c r="R32" s="255"/>
      <c r="S32" s="255"/>
      <c r="T32" s="255"/>
      <c r="U32" s="255"/>
      <c r="V32" s="255"/>
      <c r="W32" s="255"/>
      <c r="X32" s="255"/>
      <c r="Y32" s="256"/>
      <c r="Z32" s="11"/>
    </row>
    <row r="33" spans="1:26" ht="16.8" customHeight="1" x14ac:dyDescent="0.25">
      <c r="A33" s="9"/>
      <c r="B33" s="257">
        <v>5</v>
      </c>
      <c r="C33" s="258"/>
      <c r="D33" s="259"/>
      <c r="E33" s="260"/>
      <c r="F33" s="259"/>
      <c r="G33" s="260"/>
      <c r="H33" s="261"/>
      <c r="I33" s="262">
        <v>2.3220000000000001</v>
      </c>
      <c r="J33" s="262"/>
      <c r="K33" s="262"/>
      <c r="L33" s="263">
        <v>92.8</v>
      </c>
      <c r="M33" s="253"/>
      <c r="N33" s="254"/>
      <c r="O33" s="253">
        <v>7.2</v>
      </c>
      <c r="P33" s="253"/>
      <c r="Q33" s="254"/>
      <c r="R33" s="255"/>
      <c r="S33" s="255"/>
      <c r="T33" s="255"/>
      <c r="U33" s="255"/>
      <c r="V33" s="255"/>
      <c r="W33" s="255"/>
      <c r="X33" s="255"/>
      <c r="Y33" s="256"/>
      <c r="Z33" s="11"/>
    </row>
    <row r="34" spans="1:26" ht="16.8" customHeight="1" x14ac:dyDescent="0.25">
      <c r="A34" s="9"/>
      <c r="B34" s="257">
        <v>6</v>
      </c>
      <c r="C34" s="258"/>
      <c r="D34" s="259"/>
      <c r="E34" s="260"/>
      <c r="F34" s="259"/>
      <c r="G34" s="260"/>
      <c r="H34" s="261"/>
      <c r="I34" s="262">
        <v>2.371</v>
      </c>
      <c r="J34" s="262"/>
      <c r="K34" s="262"/>
      <c r="L34" s="263">
        <v>94.7</v>
      </c>
      <c r="M34" s="253"/>
      <c r="N34" s="254"/>
      <c r="O34" s="253">
        <v>5.3</v>
      </c>
      <c r="P34" s="253"/>
      <c r="Q34" s="254"/>
      <c r="R34" s="255"/>
      <c r="S34" s="255"/>
      <c r="T34" s="255"/>
      <c r="U34" s="255"/>
      <c r="V34" s="255"/>
      <c r="W34" s="255"/>
      <c r="X34" s="255"/>
      <c r="Y34" s="256"/>
      <c r="Z34" s="11"/>
    </row>
    <row r="35" spans="1:26" ht="16.8" customHeight="1" x14ac:dyDescent="0.25">
      <c r="A35" s="9"/>
      <c r="B35" s="257">
        <v>7</v>
      </c>
      <c r="C35" s="258"/>
      <c r="D35" s="259"/>
      <c r="E35" s="260"/>
      <c r="F35" s="259"/>
      <c r="G35" s="260"/>
      <c r="H35" s="261"/>
      <c r="I35" s="262">
        <v>2.3050000000000002</v>
      </c>
      <c r="J35" s="262"/>
      <c r="K35" s="262"/>
      <c r="L35" s="263">
        <v>92.1</v>
      </c>
      <c r="M35" s="253"/>
      <c r="N35" s="254"/>
      <c r="O35" s="253">
        <v>7.9</v>
      </c>
      <c r="P35" s="253"/>
      <c r="Q35" s="254"/>
      <c r="R35" s="255"/>
      <c r="S35" s="255"/>
      <c r="T35" s="255"/>
      <c r="U35" s="255"/>
      <c r="V35" s="255"/>
      <c r="W35" s="255"/>
      <c r="X35" s="255"/>
      <c r="Y35" s="256"/>
      <c r="Z35" s="11"/>
    </row>
    <row r="36" spans="1:26" ht="16.8" customHeight="1" x14ac:dyDescent="0.25">
      <c r="A36" s="9"/>
      <c r="B36" s="257">
        <v>8</v>
      </c>
      <c r="C36" s="258"/>
      <c r="D36" s="259"/>
      <c r="E36" s="260"/>
      <c r="F36" s="259"/>
      <c r="G36" s="260"/>
      <c r="H36" s="261"/>
      <c r="I36" s="262">
        <v>2.3260000000000001</v>
      </c>
      <c r="J36" s="262"/>
      <c r="K36" s="262"/>
      <c r="L36" s="263">
        <v>92.9</v>
      </c>
      <c r="M36" s="253"/>
      <c r="N36" s="254"/>
      <c r="O36" s="253">
        <v>7.1</v>
      </c>
      <c r="P36" s="253"/>
      <c r="Q36" s="254"/>
      <c r="R36" s="255"/>
      <c r="S36" s="255"/>
      <c r="T36" s="255"/>
      <c r="U36" s="255"/>
      <c r="V36" s="255"/>
      <c r="W36" s="255"/>
      <c r="X36" s="255"/>
      <c r="Y36" s="256"/>
      <c r="Z36" s="11"/>
    </row>
    <row r="37" spans="1:26" ht="16.8" customHeight="1" x14ac:dyDescent="0.25">
      <c r="A37" s="9"/>
      <c r="B37" s="257">
        <v>9</v>
      </c>
      <c r="C37" s="258"/>
      <c r="D37" s="259"/>
      <c r="E37" s="260"/>
      <c r="F37" s="259"/>
      <c r="G37" s="260"/>
      <c r="H37" s="261"/>
      <c r="I37" s="262">
        <v>2.3330000000000002</v>
      </c>
      <c r="J37" s="262"/>
      <c r="K37" s="262"/>
      <c r="L37" s="263">
        <v>93.2</v>
      </c>
      <c r="M37" s="253"/>
      <c r="N37" s="254"/>
      <c r="O37" s="253">
        <v>6.8</v>
      </c>
      <c r="P37" s="253"/>
      <c r="Q37" s="254"/>
      <c r="R37" s="255"/>
      <c r="S37" s="255"/>
      <c r="T37" s="255"/>
      <c r="U37" s="255"/>
      <c r="V37" s="255"/>
      <c r="W37" s="255"/>
      <c r="X37" s="255"/>
      <c r="Y37" s="256"/>
      <c r="Z37" s="11"/>
    </row>
    <row r="38" spans="1:26" ht="16.8" customHeight="1" x14ac:dyDescent="0.25">
      <c r="A38" s="9"/>
      <c r="B38" s="257">
        <v>10</v>
      </c>
      <c r="C38" s="258"/>
      <c r="D38" s="259"/>
      <c r="E38" s="260"/>
      <c r="F38" s="259"/>
      <c r="G38" s="260"/>
      <c r="H38" s="261"/>
      <c r="I38" s="262">
        <v>2.31</v>
      </c>
      <c r="J38" s="262"/>
      <c r="K38" s="262"/>
      <c r="L38" s="263">
        <v>92.3</v>
      </c>
      <c r="M38" s="253"/>
      <c r="N38" s="254"/>
      <c r="O38" s="253">
        <v>7.7</v>
      </c>
      <c r="P38" s="253"/>
      <c r="Q38" s="254"/>
      <c r="R38" s="255"/>
      <c r="S38" s="255"/>
      <c r="T38" s="255"/>
      <c r="U38" s="255"/>
      <c r="V38" s="255"/>
      <c r="W38" s="255"/>
      <c r="X38" s="255"/>
      <c r="Y38" s="256"/>
      <c r="Z38" s="11"/>
    </row>
    <row r="39" spans="1:26" ht="16.8" customHeight="1" x14ac:dyDescent="0.25">
      <c r="A39" s="9"/>
      <c r="B39" s="257">
        <v>11</v>
      </c>
      <c r="C39" s="258"/>
      <c r="D39" s="259"/>
      <c r="E39" s="260"/>
      <c r="F39" s="259"/>
      <c r="G39" s="260"/>
      <c r="H39" s="261"/>
      <c r="I39" s="262">
        <v>2.319</v>
      </c>
      <c r="J39" s="262"/>
      <c r="K39" s="262"/>
      <c r="L39" s="263">
        <v>92.6</v>
      </c>
      <c r="M39" s="253"/>
      <c r="N39" s="254"/>
      <c r="O39" s="253">
        <v>7.4</v>
      </c>
      <c r="P39" s="253"/>
      <c r="Q39" s="254"/>
      <c r="R39" s="255"/>
      <c r="S39" s="255"/>
      <c r="T39" s="255"/>
      <c r="U39" s="255"/>
      <c r="V39" s="255"/>
      <c r="W39" s="255"/>
      <c r="X39" s="255"/>
      <c r="Y39" s="256"/>
      <c r="Z39" s="11"/>
    </row>
    <row r="40" spans="1:26" ht="16.8" customHeight="1" x14ac:dyDescent="0.25">
      <c r="A40" s="9"/>
      <c r="B40" s="257">
        <v>12</v>
      </c>
      <c r="C40" s="258"/>
      <c r="D40" s="259"/>
      <c r="E40" s="260"/>
      <c r="F40" s="259"/>
      <c r="G40" s="260"/>
      <c r="H40" s="261"/>
      <c r="I40" s="262">
        <v>2.3279999999999998</v>
      </c>
      <c r="J40" s="262"/>
      <c r="K40" s="262"/>
      <c r="L40" s="263">
        <v>93</v>
      </c>
      <c r="M40" s="253"/>
      <c r="N40" s="254"/>
      <c r="O40" s="253">
        <v>7</v>
      </c>
      <c r="P40" s="253"/>
      <c r="Q40" s="254"/>
      <c r="R40" s="255"/>
      <c r="S40" s="255"/>
      <c r="T40" s="255"/>
      <c r="U40" s="255"/>
      <c r="V40" s="255"/>
      <c r="W40" s="255"/>
      <c r="X40" s="255"/>
      <c r="Y40" s="256"/>
      <c r="Z40" s="11"/>
    </row>
    <row r="41" spans="1:26" ht="16.8" customHeight="1" x14ac:dyDescent="0.25">
      <c r="A41" s="9"/>
      <c r="B41" s="257">
        <v>13</v>
      </c>
      <c r="C41" s="258"/>
      <c r="D41" s="259"/>
      <c r="E41" s="260"/>
      <c r="F41" s="259"/>
      <c r="G41" s="260"/>
      <c r="H41" s="261"/>
      <c r="I41" s="262">
        <v>2.3330000000000002</v>
      </c>
      <c r="J41" s="262"/>
      <c r="K41" s="262"/>
      <c r="L41" s="263">
        <v>93.2</v>
      </c>
      <c r="M41" s="253"/>
      <c r="N41" s="254"/>
      <c r="O41" s="253">
        <v>6.8</v>
      </c>
      <c r="P41" s="253"/>
      <c r="Q41" s="254"/>
      <c r="R41" s="255"/>
      <c r="S41" s="255"/>
      <c r="T41" s="255"/>
      <c r="U41" s="255"/>
      <c r="V41" s="255"/>
      <c r="W41" s="255"/>
      <c r="X41" s="255"/>
      <c r="Y41" s="256"/>
      <c r="Z41" s="11"/>
    </row>
    <row r="42" spans="1:26" ht="16.8" customHeight="1" x14ac:dyDescent="0.25">
      <c r="A42" s="9"/>
      <c r="B42" s="257">
        <v>14</v>
      </c>
      <c r="C42" s="258"/>
      <c r="D42" s="259"/>
      <c r="E42" s="260"/>
      <c r="F42" s="259"/>
      <c r="G42" s="260"/>
      <c r="H42" s="261"/>
      <c r="I42" s="262">
        <v>2.3050000000000002</v>
      </c>
      <c r="J42" s="262"/>
      <c r="K42" s="262"/>
      <c r="L42" s="263">
        <v>92.1</v>
      </c>
      <c r="M42" s="253"/>
      <c r="N42" s="254"/>
      <c r="O42" s="253">
        <v>7.9</v>
      </c>
      <c r="P42" s="253"/>
      <c r="Q42" s="254"/>
      <c r="R42" s="255"/>
      <c r="S42" s="255"/>
      <c r="T42" s="255"/>
      <c r="U42" s="255"/>
      <c r="V42" s="255"/>
      <c r="W42" s="255"/>
      <c r="X42" s="255"/>
      <c r="Y42" s="256"/>
      <c r="Z42" s="11"/>
    </row>
    <row r="43" spans="1:26" ht="16.8" customHeight="1" x14ac:dyDescent="0.25">
      <c r="A43" s="9"/>
      <c r="B43" s="257">
        <v>15</v>
      </c>
      <c r="C43" s="258"/>
      <c r="D43" s="259"/>
      <c r="E43" s="260"/>
      <c r="F43" s="259"/>
      <c r="G43" s="260"/>
      <c r="H43" s="261"/>
      <c r="I43" s="262">
        <v>2.3140000000000001</v>
      </c>
      <c r="J43" s="262"/>
      <c r="K43" s="262"/>
      <c r="L43" s="263">
        <v>92.4</v>
      </c>
      <c r="M43" s="253"/>
      <c r="N43" s="254"/>
      <c r="O43" s="253">
        <v>7.6</v>
      </c>
      <c r="P43" s="253"/>
      <c r="Q43" s="254"/>
      <c r="R43" s="255"/>
      <c r="S43" s="255"/>
      <c r="T43" s="255"/>
      <c r="U43" s="255"/>
      <c r="V43" s="255"/>
      <c r="W43" s="255"/>
      <c r="X43" s="255"/>
      <c r="Y43" s="256"/>
      <c r="Z43" s="11"/>
    </row>
    <row r="44" spans="1:26" ht="16.8" customHeight="1" x14ac:dyDescent="0.25">
      <c r="A44" s="9"/>
      <c r="B44" s="257">
        <v>16</v>
      </c>
      <c r="C44" s="258"/>
      <c r="D44" s="259"/>
      <c r="E44" s="260"/>
      <c r="F44" s="259"/>
      <c r="G44" s="260"/>
      <c r="H44" s="261"/>
      <c r="I44" s="262">
        <v>2.3330000000000002</v>
      </c>
      <c r="J44" s="262"/>
      <c r="K44" s="262"/>
      <c r="L44" s="263">
        <v>93.2</v>
      </c>
      <c r="M44" s="253"/>
      <c r="N44" s="254"/>
      <c r="O44" s="253">
        <v>6.8</v>
      </c>
      <c r="P44" s="253"/>
      <c r="Q44" s="254"/>
      <c r="R44" s="255"/>
      <c r="S44" s="255"/>
      <c r="T44" s="255"/>
      <c r="U44" s="255"/>
      <c r="V44" s="255"/>
      <c r="W44" s="255"/>
      <c r="X44" s="255"/>
      <c r="Y44" s="256"/>
      <c r="Z44" s="11"/>
    </row>
    <row r="45" spans="1:26" ht="16.8" customHeight="1" x14ac:dyDescent="0.25">
      <c r="A45" s="9"/>
      <c r="B45" s="257">
        <v>17</v>
      </c>
      <c r="C45" s="258"/>
      <c r="D45" s="259"/>
      <c r="E45" s="260"/>
      <c r="F45" s="259"/>
      <c r="G45" s="260"/>
      <c r="H45" s="261"/>
      <c r="I45" s="262">
        <v>2.31</v>
      </c>
      <c r="J45" s="262"/>
      <c r="K45" s="262"/>
      <c r="L45" s="263">
        <v>92.3</v>
      </c>
      <c r="M45" s="253"/>
      <c r="N45" s="254"/>
      <c r="O45" s="253">
        <v>7.7</v>
      </c>
      <c r="P45" s="253"/>
      <c r="Q45" s="254"/>
      <c r="R45" s="255"/>
      <c r="S45" s="255"/>
      <c r="T45" s="255"/>
      <c r="U45" s="255"/>
      <c r="V45" s="255"/>
      <c r="W45" s="255"/>
      <c r="X45" s="255"/>
      <c r="Y45" s="256"/>
      <c r="Z45" s="11"/>
    </row>
    <row r="46" spans="1:26" ht="16.8" customHeight="1" x14ac:dyDescent="0.25">
      <c r="A46" s="9"/>
      <c r="B46" s="257">
        <v>18</v>
      </c>
      <c r="C46" s="258"/>
      <c r="D46" s="259"/>
      <c r="E46" s="260"/>
      <c r="F46" s="259"/>
      <c r="G46" s="260"/>
      <c r="H46" s="261"/>
      <c r="I46" s="262">
        <v>2.3250000000000002</v>
      </c>
      <c r="J46" s="262"/>
      <c r="K46" s="262"/>
      <c r="L46" s="263">
        <v>92.9</v>
      </c>
      <c r="M46" s="253"/>
      <c r="N46" s="254"/>
      <c r="O46" s="253">
        <v>7.1</v>
      </c>
      <c r="P46" s="253"/>
      <c r="Q46" s="254"/>
      <c r="R46" s="255"/>
      <c r="S46" s="255"/>
      <c r="T46" s="255"/>
      <c r="U46" s="255"/>
      <c r="V46" s="255"/>
      <c r="W46" s="255"/>
      <c r="X46" s="255"/>
      <c r="Y46" s="256"/>
      <c r="Z46" s="11"/>
    </row>
    <row r="47" spans="1:26" ht="16.8" customHeight="1" x14ac:dyDescent="0.25">
      <c r="A47" s="9"/>
      <c r="B47" s="257">
        <v>19</v>
      </c>
      <c r="C47" s="258"/>
      <c r="D47" s="259"/>
      <c r="E47" s="260"/>
      <c r="F47" s="259"/>
      <c r="G47" s="260"/>
      <c r="H47" s="261"/>
      <c r="I47" s="262">
        <v>2.4</v>
      </c>
      <c r="J47" s="262"/>
      <c r="K47" s="262"/>
      <c r="L47" s="263">
        <v>95.9</v>
      </c>
      <c r="M47" s="253"/>
      <c r="N47" s="254"/>
      <c r="O47" s="253">
        <v>4.0999999999999996</v>
      </c>
      <c r="P47" s="253"/>
      <c r="Q47" s="254"/>
      <c r="R47" s="255"/>
      <c r="S47" s="255"/>
      <c r="T47" s="255"/>
      <c r="U47" s="255"/>
      <c r="V47" s="255"/>
      <c r="W47" s="255"/>
      <c r="X47" s="255"/>
      <c r="Y47" s="256"/>
      <c r="Z47" s="11"/>
    </row>
    <row r="48" spans="1:26" ht="16.8" customHeight="1" x14ac:dyDescent="0.25">
      <c r="A48" s="9"/>
      <c r="B48" s="257">
        <v>20</v>
      </c>
      <c r="C48" s="258"/>
      <c r="D48" s="259"/>
      <c r="E48" s="260"/>
      <c r="F48" s="259"/>
      <c r="G48" s="260"/>
      <c r="H48" s="261"/>
      <c r="I48" s="262">
        <v>2.3420000000000001</v>
      </c>
      <c r="J48" s="262"/>
      <c r="K48" s="262"/>
      <c r="L48" s="263">
        <v>93.6</v>
      </c>
      <c r="M48" s="253"/>
      <c r="N48" s="254"/>
      <c r="O48" s="253">
        <v>6.4</v>
      </c>
      <c r="P48" s="253"/>
      <c r="Q48" s="254"/>
      <c r="R48" s="255"/>
      <c r="S48" s="255"/>
      <c r="T48" s="255"/>
      <c r="U48" s="255"/>
      <c r="V48" s="255"/>
      <c r="W48" s="255"/>
      <c r="X48" s="255"/>
      <c r="Y48" s="256"/>
      <c r="Z48" s="11"/>
    </row>
    <row r="49" spans="1:29" ht="17.25" customHeight="1" x14ac:dyDescent="0.25">
      <c r="A49" s="9"/>
      <c r="B49" s="359"/>
      <c r="C49" s="360"/>
      <c r="D49" s="351"/>
      <c r="E49" s="352"/>
      <c r="F49" s="351"/>
      <c r="G49" s="352"/>
      <c r="H49" s="353"/>
      <c r="I49" s="282"/>
      <c r="J49" s="282"/>
      <c r="K49" s="282"/>
      <c r="L49" s="358"/>
      <c r="M49" s="356"/>
      <c r="N49" s="357"/>
      <c r="O49" s="356"/>
      <c r="P49" s="356"/>
      <c r="Q49" s="357"/>
      <c r="R49" s="354"/>
      <c r="S49" s="354"/>
      <c r="T49" s="354"/>
      <c r="U49" s="354"/>
      <c r="V49" s="354"/>
      <c r="W49" s="354"/>
      <c r="X49" s="354"/>
      <c r="Y49" s="355"/>
      <c r="Z49" s="11"/>
    </row>
    <row r="50" spans="1:29" ht="16.5" customHeight="1" thickBot="1" x14ac:dyDescent="0.3">
      <c r="A50" s="9"/>
      <c r="B50" s="372" t="s">
        <v>58</v>
      </c>
      <c r="C50" s="373"/>
      <c r="D50" s="373"/>
      <c r="E50" s="373"/>
      <c r="F50" s="373"/>
      <c r="G50" s="373"/>
      <c r="H50" s="373"/>
      <c r="I50" s="362">
        <v>2.34</v>
      </c>
      <c r="J50" s="362"/>
      <c r="K50" s="362"/>
      <c r="L50" s="382">
        <v>93.3</v>
      </c>
      <c r="M50" s="382"/>
      <c r="N50" s="382"/>
      <c r="O50" s="382">
        <v>6.71</v>
      </c>
      <c r="P50" s="382"/>
      <c r="Q50" s="382"/>
      <c r="R50" s="363"/>
      <c r="S50" s="363"/>
      <c r="T50" s="363"/>
      <c r="U50" s="363"/>
      <c r="V50" s="363"/>
      <c r="W50" s="363"/>
      <c r="X50" s="363"/>
      <c r="Y50" s="364"/>
      <c r="Z50" s="11"/>
    </row>
    <row r="51" spans="1:29" ht="25.5" customHeight="1" thickBot="1" x14ac:dyDescent="0.3">
      <c r="A51" s="9"/>
      <c r="B51" s="289" t="s">
        <v>59</v>
      </c>
      <c r="C51" s="290"/>
      <c r="D51" s="290"/>
      <c r="E51" s="290"/>
      <c r="F51" s="290"/>
      <c r="G51" s="290"/>
      <c r="H51" s="290"/>
      <c r="I51" s="369">
        <v>100</v>
      </c>
      <c r="J51" s="369"/>
      <c r="K51" s="369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1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60</v>
      </c>
      <c r="B54" s="24" t="s">
        <v>61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340" t="s">
        <v>62</v>
      </c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2"/>
      <c r="R55" s="276" t="s">
        <v>63</v>
      </c>
      <c r="S55" s="277"/>
      <c r="T55" s="278"/>
      <c r="U55" s="365" t="s">
        <v>64</v>
      </c>
      <c r="V55" s="366"/>
      <c r="W55" s="366"/>
      <c r="X55" s="367"/>
      <c r="Y55" s="367"/>
      <c r="Z55" s="368"/>
      <c r="AA55" s="27"/>
      <c r="AB55" s="27"/>
      <c r="AC55" s="27"/>
    </row>
    <row r="56" spans="1:29" ht="15.6" customHeight="1" x14ac:dyDescent="0.25">
      <c r="A56" s="302" t="s">
        <v>65</v>
      </c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4"/>
      <c r="R56" s="276" t="s">
        <v>66</v>
      </c>
      <c r="S56" s="277"/>
      <c r="T56" s="278"/>
      <c r="U56" s="264" t="s">
        <v>67</v>
      </c>
      <c r="V56" s="265"/>
      <c r="W56" s="265"/>
      <c r="X56" s="266"/>
      <c r="Y56" s="266"/>
      <c r="Z56" s="267"/>
      <c r="AA56" s="27"/>
      <c r="AB56" s="27"/>
      <c r="AC56" s="27"/>
    </row>
    <row r="57" spans="1:29" ht="15.6" customHeight="1" x14ac:dyDescent="0.25">
      <c r="A57" s="305"/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7"/>
      <c r="R57" s="276"/>
      <c r="S57" s="277"/>
      <c r="T57" s="278"/>
      <c r="U57" s="268"/>
      <c r="V57" s="269"/>
      <c r="W57" s="269"/>
      <c r="X57" s="270"/>
      <c r="Y57" s="270"/>
      <c r="Z57" s="271"/>
      <c r="AA57" s="27"/>
      <c r="AB57" s="27"/>
      <c r="AC57" s="27"/>
    </row>
    <row r="58" spans="1:29" ht="15.6" customHeight="1" x14ac:dyDescent="0.25">
      <c r="A58" s="40" t="s">
        <v>68</v>
      </c>
      <c r="B58" s="41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276"/>
      <c r="S58" s="277"/>
      <c r="T58" s="278"/>
      <c r="U58" s="272"/>
      <c r="V58" s="273"/>
      <c r="W58" s="273"/>
      <c r="X58" s="274"/>
      <c r="Y58" s="274"/>
      <c r="Z58" s="275"/>
      <c r="AA58" s="27"/>
      <c r="AB58" s="27"/>
      <c r="AC58" s="27"/>
    </row>
    <row r="59" spans="1:29" ht="15.6" customHeight="1" x14ac:dyDescent="0.25">
      <c r="A59" s="283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5"/>
      <c r="R59" s="276" t="s">
        <v>70</v>
      </c>
      <c r="S59" s="277"/>
      <c r="T59" s="278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283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5"/>
      <c r="R60" s="276"/>
      <c r="S60" s="277"/>
      <c r="T60" s="278"/>
      <c r="U60" s="46"/>
      <c r="V60" s="269"/>
      <c r="W60" s="269"/>
      <c r="X60" s="269"/>
      <c r="Y60" s="269"/>
      <c r="Z60" s="47"/>
      <c r="AA60" s="27"/>
      <c r="AB60" s="27"/>
      <c r="AC60" s="27"/>
    </row>
    <row r="61" spans="1:29" ht="15.6" customHeight="1" x14ac:dyDescent="0.25">
      <c r="A61" s="283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5"/>
      <c r="R61" s="276"/>
      <c r="S61" s="277"/>
      <c r="T61" s="278"/>
      <c r="U61" s="46"/>
      <c r="V61" s="269"/>
      <c r="W61" s="269"/>
      <c r="X61" s="269"/>
      <c r="Y61" s="269"/>
      <c r="Z61" s="47"/>
      <c r="AA61" s="27"/>
      <c r="AB61" s="27"/>
      <c r="AC61" s="27"/>
    </row>
    <row r="62" spans="1:29" ht="15.6" customHeight="1" x14ac:dyDescent="0.25">
      <c r="A62" s="286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9"/>
      <c r="S62" s="280"/>
      <c r="T62" s="281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27F0-F793-4C6C-8D8F-B2F3B57F5E9E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308"/>
      <c r="B1" s="309"/>
      <c r="C1" s="309"/>
      <c r="D1" s="309"/>
      <c r="E1" s="309"/>
      <c r="F1" s="310"/>
      <c r="G1" s="317" t="s">
        <v>0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9"/>
      <c r="U1" s="325" t="s">
        <v>71</v>
      </c>
      <c r="V1" s="326"/>
      <c r="W1" s="326"/>
      <c r="X1" s="326"/>
      <c r="Y1" s="326"/>
      <c r="Z1" s="327"/>
    </row>
    <row r="2" spans="1:40" x14ac:dyDescent="0.25">
      <c r="A2" s="311"/>
      <c r="B2" s="312"/>
      <c r="C2" s="312"/>
      <c r="D2" s="312"/>
      <c r="E2" s="312"/>
      <c r="F2" s="313"/>
      <c r="G2" s="334" t="s">
        <v>1</v>
      </c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  <c r="U2" s="328"/>
      <c r="V2" s="329"/>
      <c r="W2" s="329"/>
      <c r="X2" s="329"/>
      <c r="Y2" s="329"/>
      <c r="Z2" s="330"/>
    </row>
    <row r="3" spans="1:40" x14ac:dyDescent="0.25">
      <c r="A3" s="311"/>
      <c r="B3" s="312"/>
      <c r="C3" s="312"/>
      <c r="D3" s="312"/>
      <c r="E3" s="312"/>
      <c r="F3" s="313"/>
      <c r="G3" s="334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6"/>
      <c r="U3" s="328"/>
      <c r="V3" s="329"/>
      <c r="W3" s="329"/>
      <c r="X3" s="329"/>
      <c r="Y3" s="329"/>
      <c r="Z3" s="330"/>
    </row>
    <row r="4" spans="1:40" x14ac:dyDescent="0.25">
      <c r="A4" s="311"/>
      <c r="B4" s="312"/>
      <c r="C4" s="312"/>
      <c r="D4" s="312"/>
      <c r="E4" s="312"/>
      <c r="F4" s="313"/>
      <c r="G4" s="334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6"/>
      <c r="U4" s="328"/>
      <c r="V4" s="329"/>
      <c r="W4" s="329"/>
      <c r="X4" s="329"/>
      <c r="Y4" s="329"/>
      <c r="Z4" s="330"/>
    </row>
    <row r="5" spans="1:40" ht="15" customHeight="1" x14ac:dyDescent="0.25">
      <c r="A5" s="311"/>
      <c r="B5" s="312"/>
      <c r="C5" s="312"/>
      <c r="D5" s="312"/>
      <c r="E5" s="312"/>
      <c r="F5" s="313"/>
      <c r="G5" s="302" t="s">
        <v>2</v>
      </c>
      <c r="H5" s="303"/>
      <c r="I5" s="300">
        <v>2</v>
      </c>
      <c r="J5" s="300"/>
      <c r="K5" s="301"/>
      <c r="L5" s="337" t="s">
        <v>3</v>
      </c>
      <c r="M5" s="338"/>
      <c r="N5" s="338"/>
      <c r="O5" s="339"/>
      <c r="P5" s="322">
        <v>45490</v>
      </c>
      <c r="Q5" s="323"/>
      <c r="R5" s="323"/>
      <c r="S5" s="323"/>
      <c r="T5" s="324"/>
      <c r="U5" s="328"/>
      <c r="V5" s="329"/>
      <c r="W5" s="329"/>
      <c r="X5" s="329"/>
      <c r="Y5" s="329"/>
      <c r="Z5" s="330"/>
    </row>
    <row r="6" spans="1:40" x14ac:dyDescent="0.25">
      <c r="A6" s="314"/>
      <c r="B6" s="315"/>
      <c r="C6" s="315"/>
      <c r="D6" s="315"/>
      <c r="E6" s="315"/>
      <c r="F6" s="316"/>
      <c r="G6" s="2"/>
      <c r="H6" s="28"/>
      <c r="I6" s="298" t="s">
        <v>5</v>
      </c>
      <c r="J6" s="298"/>
      <c r="K6" s="298"/>
      <c r="L6" s="298" t="s">
        <v>6</v>
      </c>
      <c r="M6" s="298"/>
      <c r="N6" s="298"/>
      <c r="O6" s="298"/>
      <c r="P6" s="298" t="s">
        <v>7</v>
      </c>
      <c r="Q6" s="298"/>
      <c r="R6" s="298"/>
      <c r="S6" s="298"/>
      <c r="T6" s="299"/>
      <c r="U6" s="331"/>
      <c r="V6" s="332"/>
      <c r="W6" s="332"/>
      <c r="X6" s="332"/>
      <c r="Y6" s="332"/>
      <c r="Z6" s="333"/>
    </row>
    <row r="7" spans="1:40" ht="36.75" customHeight="1" x14ac:dyDescent="0.25">
      <c r="A7" s="320" t="s">
        <v>8</v>
      </c>
      <c r="B7" s="320"/>
      <c r="C7" s="320"/>
      <c r="D7" s="320"/>
      <c r="E7" s="320"/>
      <c r="F7" s="320"/>
      <c r="G7" s="321" t="s">
        <v>9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91" t="s">
        <v>12</v>
      </c>
      <c r="C10" s="291"/>
      <c r="D10" s="291"/>
      <c r="E10" s="291"/>
      <c r="F10" s="291"/>
      <c r="G10" s="294" t="s">
        <v>13</v>
      </c>
      <c r="H10" s="294"/>
      <c r="I10" s="294"/>
      <c r="J10" s="294"/>
      <c r="K10" s="294"/>
      <c r="L10" s="294"/>
      <c r="M10" s="291" t="s">
        <v>14</v>
      </c>
      <c r="N10" s="291"/>
      <c r="O10" s="291"/>
      <c r="P10" s="291"/>
      <c r="Q10" s="291"/>
      <c r="R10" s="291"/>
      <c r="S10" s="297" t="s">
        <v>15</v>
      </c>
      <c r="T10" s="297"/>
      <c r="U10" s="297"/>
      <c r="V10" s="297"/>
      <c r="W10" s="297"/>
      <c r="X10" s="297"/>
      <c r="Y10" s="297"/>
      <c r="Z10" s="12"/>
    </row>
    <row r="11" spans="1:40" ht="15" customHeight="1" x14ac:dyDescent="0.25">
      <c r="A11" s="9"/>
      <c r="B11" s="291" t="s">
        <v>16</v>
      </c>
      <c r="C11" s="291"/>
      <c r="D11" s="291"/>
      <c r="E11" s="291"/>
      <c r="F11" s="291"/>
      <c r="G11" s="294">
        <v>45490</v>
      </c>
      <c r="H11" s="294"/>
      <c r="I11" s="294"/>
      <c r="J11" s="294"/>
      <c r="K11" s="294"/>
      <c r="L11" s="294"/>
      <c r="M11" s="291" t="s">
        <v>17</v>
      </c>
      <c r="N11" s="291"/>
      <c r="O11" s="291"/>
      <c r="P11" s="292" t="s">
        <v>18</v>
      </c>
      <c r="Q11" s="292"/>
      <c r="R11" s="292"/>
      <c r="S11" s="291" t="s">
        <v>19</v>
      </c>
      <c r="T11" s="291"/>
      <c r="U11" s="291"/>
      <c r="V11" s="291"/>
      <c r="W11" s="291"/>
      <c r="X11" s="386" t="s">
        <v>80</v>
      </c>
      <c r="Y11" s="292"/>
      <c r="Z11" s="12"/>
    </row>
    <row r="12" spans="1:40" ht="15" customHeight="1" x14ac:dyDescent="0.25">
      <c r="A12" s="9"/>
      <c r="B12" s="291" t="s">
        <v>20</v>
      </c>
      <c r="C12" s="291"/>
      <c r="D12" s="291"/>
      <c r="E12" s="291"/>
      <c r="F12" s="291"/>
      <c r="G12" s="384" t="s">
        <v>78</v>
      </c>
      <c r="H12" s="294"/>
      <c r="I12" s="294"/>
      <c r="J12" s="294"/>
      <c r="K12" s="294"/>
      <c r="L12" s="294"/>
      <c r="M12" s="291" t="s">
        <v>21</v>
      </c>
      <c r="N12" s="291"/>
      <c r="O12" s="291"/>
      <c r="P12" s="291"/>
      <c r="Q12" s="291"/>
      <c r="R12" s="291"/>
      <c r="S12" s="297" t="s">
        <v>22</v>
      </c>
      <c r="T12" s="297"/>
      <c r="U12" s="297"/>
      <c r="V12" s="297"/>
      <c r="W12" s="297"/>
      <c r="X12" s="297"/>
      <c r="Y12" s="297"/>
      <c r="Z12" s="12"/>
    </row>
    <row r="13" spans="1:40" ht="15" customHeight="1" x14ac:dyDescent="0.25">
      <c r="A13" s="9"/>
      <c r="B13" s="291" t="s">
        <v>23</v>
      </c>
      <c r="C13" s="291"/>
      <c r="D13" s="291"/>
      <c r="E13" s="291"/>
      <c r="F13" s="291"/>
      <c r="G13" s="293">
        <v>45490</v>
      </c>
      <c r="H13" s="294"/>
      <c r="I13" s="294"/>
      <c r="J13" s="294"/>
      <c r="K13" s="294"/>
      <c r="L13" s="294"/>
      <c r="M13" s="291" t="s">
        <v>24</v>
      </c>
      <c r="N13" s="291"/>
      <c r="O13" s="291"/>
      <c r="P13" s="291"/>
      <c r="Q13" s="291"/>
      <c r="R13" s="291"/>
      <c r="S13" s="291" t="s">
        <v>25</v>
      </c>
      <c r="T13" s="291"/>
      <c r="U13" s="291"/>
      <c r="V13" s="291"/>
      <c r="W13" s="291"/>
      <c r="X13" s="291"/>
      <c r="Y13" s="291"/>
      <c r="Z13" s="12"/>
    </row>
    <row r="14" spans="1:40" ht="15" customHeight="1" x14ac:dyDescent="0.25">
      <c r="A14" s="9"/>
      <c r="B14" s="291" t="s">
        <v>26</v>
      </c>
      <c r="C14" s="291"/>
      <c r="D14" s="291"/>
      <c r="E14" s="291"/>
      <c r="F14" s="291"/>
      <c r="G14" s="384" t="s">
        <v>79</v>
      </c>
      <c r="H14" s="294"/>
      <c r="I14" s="294"/>
      <c r="J14" s="294"/>
      <c r="K14" s="294"/>
      <c r="L14" s="294"/>
      <c r="M14" s="291" t="s">
        <v>28</v>
      </c>
      <c r="N14" s="291"/>
      <c r="O14" s="291"/>
      <c r="P14" s="291"/>
      <c r="Q14" s="291"/>
      <c r="R14" s="291"/>
      <c r="S14" s="291" t="s">
        <v>29</v>
      </c>
      <c r="T14" s="291"/>
      <c r="U14" s="291"/>
      <c r="V14" s="291"/>
      <c r="W14" s="291"/>
      <c r="X14" s="291"/>
      <c r="Y14" s="291"/>
      <c r="Z14" s="12"/>
    </row>
    <row r="15" spans="1:40" ht="15" customHeight="1" x14ac:dyDescent="0.25">
      <c r="A15" s="9"/>
      <c r="B15" s="295" t="s">
        <v>30</v>
      </c>
      <c r="C15" s="295"/>
      <c r="D15" s="295"/>
      <c r="E15" s="295"/>
      <c r="F15" s="295"/>
      <c r="G15" s="297" t="s">
        <v>31</v>
      </c>
      <c r="H15" s="297"/>
      <c r="I15" s="297"/>
      <c r="J15" s="297"/>
      <c r="K15" s="297"/>
      <c r="L15" s="297"/>
      <c r="M15" s="291" t="s">
        <v>32</v>
      </c>
      <c r="N15" s="291"/>
      <c r="O15" s="291"/>
      <c r="P15" s="291"/>
      <c r="Q15" s="291"/>
      <c r="R15" s="291"/>
      <c r="S15" s="385" t="s">
        <v>81</v>
      </c>
      <c r="T15" s="291"/>
      <c r="U15" s="291"/>
      <c r="V15" s="291"/>
      <c r="W15" s="291"/>
      <c r="X15" s="291"/>
      <c r="Y15" s="29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95" t="s">
        <v>33</v>
      </c>
      <c r="C16" s="295"/>
      <c r="D16" s="295"/>
      <c r="E16" s="295"/>
      <c r="F16" s="295"/>
      <c r="G16" s="29" t="s">
        <v>34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91" t="s">
        <v>37</v>
      </c>
      <c r="C21" s="291"/>
      <c r="D21" s="291"/>
      <c r="E21" s="291"/>
      <c r="F21" s="291"/>
      <c r="G21" s="291"/>
      <c r="H21" s="291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12"/>
    </row>
    <row r="22" spans="1:28" ht="15" customHeight="1" x14ac:dyDescent="0.25">
      <c r="A22" s="9"/>
      <c r="B22" s="291" t="s">
        <v>38</v>
      </c>
      <c r="C22" s="291"/>
      <c r="D22" s="291"/>
      <c r="E22" s="291"/>
      <c r="F22" s="291"/>
      <c r="G22" s="291"/>
      <c r="H22" s="291"/>
      <c r="I22" s="292"/>
      <c r="J22" s="292"/>
      <c r="K22" s="292"/>
      <c r="L22" s="292"/>
      <c r="M22" s="292"/>
      <c r="N22" s="32">
        <v>0</v>
      </c>
      <c r="O22" s="296" t="s">
        <v>39</v>
      </c>
      <c r="P22" s="296"/>
      <c r="Q22" s="296"/>
      <c r="R22" s="33" t="s">
        <v>40</v>
      </c>
      <c r="S22" s="13"/>
      <c r="T22" s="13"/>
      <c r="U22" s="13"/>
      <c r="V22" s="296"/>
      <c r="W22" s="296"/>
      <c r="X22" s="29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383" t="s">
        <v>43</v>
      </c>
      <c r="I25" s="383"/>
      <c r="J25" s="383"/>
      <c r="K25" s="383"/>
      <c r="L25" s="383"/>
      <c r="M25" s="383"/>
      <c r="N25" s="383"/>
      <c r="O25" s="383"/>
      <c r="P25" s="383"/>
      <c r="Q25" s="376">
        <v>2.5030000000000001</v>
      </c>
      <c r="R25" s="376"/>
      <c r="S25" s="376"/>
      <c r="T25" s="376"/>
      <c r="U25" s="35" t="s">
        <v>44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43" t="s">
        <v>45</v>
      </c>
      <c r="C27" s="344"/>
      <c r="D27" s="347" t="s">
        <v>46</v>
      </c>
      <c r="E27" s="348"/>
      <c r="F27" s="361" t="s">
        <v>47</v>
      </c>
      <c r="G27" s="361"/>
      <c r="H27" s="361"/>
      <c r="I27" s="374" t="s">
        <v>48</v>
      </c>
      <c r="J27" s="344"/>
      <c r="K27" s="344"/>
      <c r="L27" s="374" t="s">
        <v>49</v>
      </c>
      <c r="M27" s="344"/>
      <c r="N27" s="375"/>
      <c r="O27" s="374" t="s">
        <v>50</v>
      </c>
      <c r="P27" s="344"/>
      <c r="Q27" s="375"/>
      <c r="R27" s="374" t="s">
        <v>51</v>
      </c>
      <c r="S27" s="344"/>
      <c r="T27" s="344"/>
      <c r="U27" s="344"/>
      <c r="V27" s="344"/>
      <c r="W27" s="344"/>
      <c r="X27" s="344"/>
      <c r="Y27" s="380"/>
      <c r="Z27" s="11"/>
    </row>
    <row r="28" spans="1:28" ht="36" customHeight="1" x14ac:dyDescent="0.25">
      <c r="A28" s="9"/>
      <c r="B28" s="345" t="s">
        <v>52</v>
      </c>
      <c r="C28" s="346"/>
      <c r="D28" s="349" t="s">
        <v>53</v>
      </c>
      <c r="E28" s="350"/>
      <c r="F28" s="34" t="s">
        <v>54</v>
      </c>
      <c r="G28" s="34" t="s">
        <v>55</v>
      </c>
      <c r="H28" s="34" t="s">
        <v>56</v>
      </c>
      <c r="I28" s="377"/>
      <c r="J28" s="378"/>
      <c r="K28" s="378"/>
      <c r="L28" s="377" t="s">
        <v>57</v>
      </c>
      <c r="M28" s="378"/>
      <c r="N28" s="379"/>
      <c r="O28" s="377" t="s">
        <v>57</v>
      </c>
      <c r="P28" s="378"/>
      <c r="Q28" s="379"/>
      <c r="R28" s="377"/>
      <c r="S28" s="378"/>
      <c r="T28" s="378"/>
      <c r="U28" s="378"/>
      <c r="V28" s="378"/>
      <c r="W28" s="378"/>
      <c r="X28" s="378"/>
      <c r="Y28" s="381"/>
      <c r="Z28" s="11"/>
    </row>
    <row r="29" spans="1:28" ht="16.8" customHeight="1" x14ac:dyDescent="0.25">
      <c r="A29" s="9"/>
      <c r="B29" s="257">
        <v>1</v>
      </c>
      <c r="C29" s="258"/>
      <c r="D29" s="259"/>
      <c r="E29" s="260"/>
      <c r="F29" s="259"/>
      <c r="G29" s="260"/>
      <c r="H29" s="261"/>
      <c r="I29" s="262">
        <v>2.34</v>
      </c>
      <c r="J29" s="262"/>
      <c r="K29" s="262"/>
      <c r="L29" s="263">
        <f>I29/$Q$25*100</f>
        <v>93.487814622453044</v>
      </c>
      <c r="M29" s="253"/>
      <c r="N29" s="254"/>
      <c r="O29" s="253">
        <f>100-L29</f>
        <v>6.512185377546956</v>
      </c>
      <c r="P29" s="253"/>
      <c r="Q29" s="254"/>
      <c r="R29" s="354"/>
      <c r="S29" s="354"/>
      <c r="T29" s="354"/>
      <c r="U29" s="354"/>
      <c r="V29" s="354"/>
      <c r="W29" s="354"/>
      <c r="X29" s="354"/>
      <c r="Y29" s="355"/>
      <c r="Z29" s="11"/>
    </row>
    <row r="30" spans="1:28" ht="16.8" customHeight="1" x14ac:dyDescent="0.25">
      <c r="A30" s="9"/>
      <c r="B30" s="257">
        <v>2</v>
      </c>
      <c r="C30" s="258"/>
      <c r="D30" s="259"/>
      <c r="E30" s="260"/>
      <c r="F30" s="259"/>
      <c r="G30" s="260"/>
      <c r="H30" s="261"/>
      <c r="I30" s="262">
        <v>2.3279999999999998</v>
      </c>
      <c r="J30" s="262"/>
      <c r="K30" s="262"/>
      <c r="L30" s="263">
        <f t="shared" ref="L30:L44" si="0">I30/$Q$25*100</f>
        <v>93.008389932081485</v>
      </c>
      <c r="M30" s="253"/>
      <c r="N30" s="254"/>
      <c r="O30" s="253">
        <f t="shared" ref="O30:O44" si="1">100-L30</f>
        <v>6.9916100679185149</v>
      </c>
      <c r="P30" s="253"/>
      <c r="Q30" s="254"/>
      <c r="R30" s="354"/>
      <c r="S30" s="354"/>
      <c r="T30" s="354"/>
      <c r="U30" s="354"/>
      <c r="V30" s="354"/>
      <c r="W30" s="354"/>
      <c r="X30" s="354"/>
      <c r="Y30" s="355"/>
      <c r="Z30" s="11"/>
    </row>
    <row r="31" spans="1:28" ht="16.8" customHeight="1" x14ac:dyDescent="0.25">
      <c r="A31" s="9"/>
      <c r="B31" s="257">
        <v>3</v>
      </c>
      <c r="C31" s="258"/>
      <c r="D31" s="259"/>
      <c r="E31" s="260"/>
      <c r="F31" s="259"/>
      <c r="G31" s="260"/>
      <c r="H31" s="261"/>
      <c r="I31" s="262">
        <v>2.3279999999999998</v>
      </c>
      <c r="J31" s="262"/>
      <c r="K31" s="262"/>
      <c r="L31" s="263">
        <f t="shared" si="0"/>
        <v>93.008389932081485</v>
      </c>
      <c r="M31" s="253"/>
      <c r="N31" s="254"/>
      <c r="O31" s="253">
        <f t="shared" si="1"/>
        <v>6.9916100679185149</v>
      </c>
      <c r="P31" s="253"/>
      <c r="Q31" s="254"/>
      <c r="R31" s="354"/>
      <c r="S31" s="354"/>
      <c r="T31" s="354"/>
      <c r="U31" s="354"/>
      <c r="V31" s="354"/>
      <c r="W31" s="354"/>
      <c r="X31" s="354"/>
      <c r="Y31" s="355"/>
      <c r="Z31" s="11"/>
    </row>
    <row r="32" spans="1:28" ht="16.8" customHeight="1" x14ac:dyDescent="0.25">
      <c r="A32" s="9"/>
      <c r="B32" s="257">
        <v>4</v>
      </c>
      <c r="C32" s="258"/>
      <c r="D32" s="259"/>
      <c r="E32" s="260"/>
      <c r="F32" s="259"/>
      <c r="G32" s="260"/>
      <c r="H32" s="261"/>
      <c r="I32" s="262">
        <v>2.3239999999999998</v>
      </c>
      <c r="J32" s="262"/>
      <c r="K32" s="262"/>
      <c r="L32" s="263">
        <f t="shared" si="0"/>
        <v>92.848581701957642</v>
      </c>
      <c r="M32" s="253"/>
      <c r="N32" s="254"/>
      <c r="O32" s="253">
        <f t="shared" si="1"/>
        <v>7.1514182980423584</v>
      </c>
      <c r="P32" s="253"/>
      <c r="Q32" s="254"/>
      <c r="R32" s="354"/>
      <c r="S32" s="354"/>
      <c r="T32" s="354"/>
      <c r="U32" s="354"/>
      <c r="V32" s="354"/>
      <c r="W32" s="354"/>
      <c r="X32" s="354"/>
      <c r="Y32" s="355"/>
      <c r="Z32" s="11"/>
    </row>
    <row r="33" spans="1:26" ht="16.8" customHeight="1" x14ac:dyDescent="0.25">
      <c r="A33" s="9"/>
      <c r="B33" s="257">
        <v>5</v>
      </c>
      <c r="C33" s="258"/>
      <c r="D33" s="259"/>
      <c r="E33" s="260"/>
      <c r="F33" s="259"/>
      <c r="G33" s="260"/>
      <c r="H33" s="261"/>
      <c r="I33" s="262">
        <v>2.3279999999999998</v>
      </c>
      <c r="J33" s="262"/>
      <c r="K33" s="262"/>
      <c r="L33" s="263">
        <f t="shared" si="0"/>
        <v>93.008389932081485</v>
      </c>
      <c r="M33" s="253"/>
      <c r="N33" s="254"/>
      <c r="O33" s="253">
        <f t="shared" si="1"/>
        <v>6.9916100679185149</v>
      </c>
      <c r="P33" s="253"/>
      <c r="Q33" s="254"/>
      <c r="R33" s="354"/>
      <c r="S33" s="354"/>
      <c r="T33" s="354"/>
      <c r="U33" s="354"/>
      <c r="V33" s="354"/>
      <c r="W33" s="354"/>
      <c r="X33" s="354"/>
      <c r="Y33" s="355"/>
      <c r="Z33" s="11"/>
    </row>
    <row r="34" spans="1:26" ht="16.8" customHeight="1" x14ac:dyDescent="0.25">
      <c r="A34" s="9"/>
      <c r="B34" s="257">
        <v>6</v>
      </c>
      <c r="C34" s="258"/>
      <c r="D34" s="259"/>
      <c r="E34" s="260"/>
      <c r="F34" s="259"/>
      <c r="G34" s="260"/>
      <c r="H34" s="261"/>
      <c r="I34" s="262">
        <v>2.3250000000000002</v>
      </c>
      <c r="J34" s="262"/>
      <c r="K34" s="262"/>
      <c r="L34" s="263">
        <f t="shared" si="0"/>
        <v>92.88853375948861</v>
      </c>
      <c r="M34" s="253"/>
      <c r="N34" s="254"/>
      <c r="O34" s="253">
        <f t="shared" si="1"/>
        <v>7.1114662405113904</v>
      </c>
      <c r="P34" s="253"/>
      <c r="Q34" s="254"/>
      <c r="R34" s="354"/>
      <c r="S34" s="354"/>
      <c r="T34" s="354"/>
      <c r="U34" s="354"/>
      <c r="V34" s="354"/>
      <c r="W34" s="354"/>
      <c r="X34" s="354"/>
      <c r="Y34" s="355"/>
      <c r="Z34" s="11"/>
    </row>
    <row r="35" spans="1:26" ht="16.8" customHeight="1" x14ac:dyDescent="0.25">
      <c r="A35" s="9"/>
      <c r="B35" s="257">
        <v>7</v>
      </c>
      <c r="C35" s="258"/>
      <c r="D35" s="259"/>
      <c r="E35" s="260"/>
      <c r="F35" s="259"/>
      <c r="G35" s="260"/>
      <c r="H35" s="261"/>
      <c r="I35" s="262">
        <v>2.3109999999999999</v>
      </c>
      <c r="J35" s="262"/>
      <c r="K35" s="262"/>
      <c r="L35" s="263">
        <f t="shared" si="0"/>
        <v>92.329204954055115</v>
      </c>
      <c r="M35" s="253"/>
      <c r="N35" s="254"/>
      <c r="O35" s="253">
        <f t="shared" si="1"/>
        <v>7.6707950459448853</v>
      </c>
      <c r="P35" s="253"/>
      <c r="Q35" s="254"/>
      <c r="R35" s="354"/>
      <c r="S35" s="354"/>
      <c r="T35" s="354"/>
      <c r="U35" s="354"/>
      <c r="V35" s="354"/>
      <c r="W35" s="354"/>
      <c r="X35" s="354"/>
      <c r="Y35" s="355"/>
      <c r="Z35" s="11"/>
    </row>
    <row r="36" spans="1:26" ht="16.8" customHeight="1" x14ac:dyDescent="0.25">
      <c r="A36" s="9"/>
      <c r="B36" s="257">
        <v>8</v>
      </c>
      <c r="C36" s="258"/>
      <c r="D36" s="259"/>
      <c r="E36" s="260"/>
      <c r="F36" s="259"/>
      <c r="G36" s="260"/>
      <c r="H36" s="261"/>
      <c r="I36" s="262">
        <v>2.3330000000000002</v>
      </c>
      <c r="J36" s="262"/>
      <c r="K36" s="262"/>
      <c r="L36" s="263">
        <f t="shared" si="0"/>
        <v>93.208150219736325</v>
      </c>
      <c r="M36" s="253"/>
      <c r="N36" s="254"/>
      <c r="O36" s="253">
        <f t="shared" si="1"/>
        <v>6.791849780263675</v>
      </c>
      <c r="P36" s="253"/>
      <c r="Q36" s="254"/>
      <c r="R36" s="354"/>
      <c r="S36" s="354"/>
      <c r="T36" s="354"/>
      <c r="U36" s="354"/>
      <c r="V36" s="354"/>
      <c r="W36" s="354"/>
      <c r="X36" s="354"/>
      <c r="Y36" s="355"/>
      <c r="Z36" s="11"/>
    </row>
    <row r="37" spans="1:26" ht="16.8" customHeight="1" x14ac:dyDescent="0.25">
      <c r="A37" s="9"/>
      <c r="B37" s="257">
        <v>9</v>
      </c>
      <c r="C37" s="258"/>
      <c r="D37" s="259"/>
      <c r="E37" s="260"/>
      <c r="F37" s="259"/>
      <c r="G37" s="260"/>
      <c r="H37" s="261"/>
      <c r="I37" s="262">
        <v>2.3450000000000002</v>
      </c>
      <c r="J37" s="262"/>
      <c r="K37" s="262"/>
      <c r="L37" s="263">
        <f t="shared" si="0"/>
        <v>93.68757491010787</v>
      </c>
      <c r="M37" s="253"/>
      <c r="N37" s="254"/>
      <c r="O37" s="253">
        <f t="shared" si="1"/>
        <v>6.3124250898921304</v>
      </c>
      <c r="P37" s="253"/>
      <c r="Q37" s="254"/>
      <c r="R37" s="354"/>
      <c r="S37" s="354"/>
      <c r="T37" s="354"/>
      <c r="U37" s="354"/>
      <c r="V37" s="354"/>
      <c r="W37" s="354"/>
      <c r="X37" s="354"/>
      <c r="Y37" s="355"/>
      <c r="Z37" s="11"/>
    </row>
    <row r="38" spans="1:26" ht="16.8" customHeight="1" x14ac:dyDescent="0.25">
      <c r="A38" s="9"/>
      <c r="B38" s="257">
        <v>10</v>
      </c>
      <c r="C38" s="258"/>
      <c r="D38" s="259"/>
      <c r="E38" s="260"/>
      <c r="F38" s="259"/>
      <c r="G38" s="260"/>
      <c r="H38" s="261"/>
      <c r="I38" s="262">
        <v>2.331</v>
      </c>
      <c r="J38" s="262"/>
      <c r="K38" s="262"/>
      <c r="L38" s="263">
        <f t="shared" si="0"/>
        <v>93.128246104674389</v>
      </c>
      <c r="M38" s="253"/>
      <c r="N38" s="254"/>
      <c r="O38" s="253">
        <f t="shared" si="1"/>
        <v>6.871753895325611</v>
      </c>
      <c r="P38" s="253"/>
      <c r="Q38" s="254"/>
      <c r="R38" s="354"/>
      <c r="S38" s="354"/>
      <c r="T38" s="354"/>
      <c r="U38" s="354"/>
      <c r="V38" s="354"/>
      <c r="W38" s="354"/>
      <c r="X38" s="354"/>
      <c r="Y38" s="355"/>
      <c r="Z38" s="11"/>
    </row>
    <row r="39" spans="1:26" ht="16.8" customHeight="1" x14ac:dyDescent="0.25">
      <c r="A39" s="9"/>
      <c r="B39" s="257">
        <v>11</v>
      </c>
      <c r="C39" s="258"/>
      <c r="D39" s="259"/>
      <c r="E39" s="260"/>
      <c r="F39" s="259"/>
      <c r="G39" s="260"/>
      <c r="H39" s="261"/>
      <c r="I39" s="262">
        <v>2.3050000000000002</v>
      </c>
      <c r="J39" s="262"/>
      <c r="K39" s="262"/>
      <c r="L39" s="263">
        <f t="shared" si="0"/>
        <v>92.089492608869364</v>
      </c>
      <c r="M39" s="253"/>
      <c r="N39" s="254"/>
      <c r="O39" s="253">
        <f t="shared" si="1"/>
        <v>7.9105073911306363</v>
      </c>
      <c r="P39" s="253"/>
      <c r="Q39" s="254"/>
      <c r="R39" s="354"/>
      <c r="S39" s="354"/>
      <c r="T39" s="354"/>
      <c r="U39" s="354"/>
      <c r="V39" s="354"/>
      <c r="W39" s="354"/>
      <c r="X39" s="354"/>
      <c r="Y39" s="355"/>
      <c r="Z39" s="11"/>
    </row>
    <row r="40" spans="1:26" ht="16.8" customHeight="1" x14ac:dyDescent="0.25">
      <c r="A40" s="9"/>
      <c r="B40" s="257">
        <v>12</v>
      </c>
      <c r="C40" s="258"/>
      <c r="D40" s="259"/>
      <c r="E40" s="260"/>
      <c r="F40" s="259"/>
      <c r="G40" s="260"/>
      <c r="H40" s="261"/>
      <c r="I40" s="262">
        <v>2.347</v>
      </c>
      <c r="J40" s="262"/>
      <c r="K40" s="262"/>
      <c r="L40" s="263">
        <f t="shared" si="0"/>
        <v>93.767479025169791</v>
      </c>
      <c r="M40" s="253"/>
      <c r="N40" s="254"/>
      <c r="O40" s="253">
        <f t="shared" si="1"/>
        <v>6.2325209748302086</v>
      </c>
      <c r="P40" s="253"/>
      <c r="Q40" s="254"/>
      <c r="R40" s="354"/>
      <c r="S40" s="354"/>
      <c r="T40" s="354"/>
      <c r="U40" s="354"/>
      <c r="V40" s="354"/>
      <c r="W40" s="354"/>
      <c r="X40" s="354"/>
      <c r="Y40" s="355"/>
      <c r="Z40" s="11"/>
    </row>
    <row r="41" spans="1:26" ht="16.8" customHeight="1" x14ac:dyDescent="0.25">
      <c r="A41" s="9"/>
      <c r="B41" s="257">
        <v>13</v>
      </c>
      <c r="C41" s="258"/>
      <c r="D41" s="259"/>
      <c r="E41" s="260"/>
      <c r="F41" s="259"/>
      <c r="G41" s="260"/>
      <c r="H41" s="261"/>
      <c r="I41" s="262">
        <v>2.3330000000000002</v>
      </c>
      <c r="J41" s="262"/>
      <c r="K41" s="262"/>
      <c r="L41" s="263">
        <f t="shared" si="0"/>
        <v>93.208150219736325</v>
      </c>
      <c r="M41" s="253"/>
      <c r="N41" s="254"/>
      <c r="O41" s="253">
        <f t="shared" si="1"/>
        <v>6.791849780263675</v>
      </c>
      <c r="P41" s="253"/>
      <c r="Q41" s="254"/>
      <c r="R41" s="354"/>
      <c r="S41" s="354"/>
      <c r="T41" s="354"/>
      <c r="U41" s="354"/>
      <c r="V41" s="354"/>
      <c r="W41" s="354"/>
      <c r="X41" s="354"/>
      <c r="Y41" s="355"/>
      <c r="Z41" s="11"/>
    </row>
    <row r="42" spans="1:26" ht="16.8" customHeight="1" x14ac:dyDescent="0.25">
      <c r="A42" s="9"/>
      <c r="B42" s="257">
        <v>14</v>
      </c>
      <c r="C42" s="258"/>
      <c r="D42" s="259"/>
      <c r="E42" s="260"/>
      <c r="F42" s="259"/>
      <c r="G42" s="260"/>
      <c r="H42" s="261"/>
      <c r="I42" s="262">
        <v>2.3119999999999998</v>
      </c>
      <c r="J42" s="262"/>
      <c r="K42" s="262"/>
      <c r="L42" s="263">
        <f t="shared" si="0"/>
        <v>92.369157011586083</v>
      </c>
      <c r="M42" s="253"/>
      <c r="N42" s="254"/>
      <c r="O42" s="253">
        <f t="shared" si="1"/>
        <v>7.6308429884139173</v>
      </c>
      <c r="P42" s="253"/>
      <c r="Q42" s="254"/>
      <c r="R42" s="354"/>
      <c r="S42" s="354"/>
      <c r="T42" s="354"/>
      <c r="U42" s="354"/>
      <c r="V42" s="354"/>
      <c r="W42" s="354"/>
      <c r="X42" s="354"/>
      <c r="Y42" s="355"/>
      <c r="Z42" s="11"/>
    </row>
    <row r="43" spans="1:26" ht="16.8" customHeight="1" x14ac:dyDescent="0.25">
      <c r="A43" s="9"/>
      <c r="B43" s="257">
        <v>15</v>
      </c>
      <c r="C43" s="258"/>
      <c r="D43" s="259"/>
      <c r="E43" s="260"/>
      <c r="F43" s="259"/>
      <c r="G43" s="260"/>
      <c r="H43" s="261"/>
      <c r="I43" s="262">
        <v>2.3149999999999999</v>
      </c>
      <c r="J43" s="262"/>
      <c r="K43" s="262"/>
      <c r="L43" s="263">
        <f t="shared" si="0"/>
        <v>92.489013184178987</v>
      </c>
      <c r="M43" s="253"/>
      <c r="N43" s="254"/>
      <c r="O43" s="253">
        <f t="shared" si="1"/>
        <v>7.5109868158210134</v>
      </c>
      <c r="P43" s="253"/>
      <c r="Q43" s="254"/>
      <c r="R43" s="354"/>
      <c r="S43" s="354"/>
      <c r="T43" s="354"/>
      <c r="U43" s="354"/>
      <c r="V43" s="354"/>
      <c r="W43" s="354"/>
      <c r="X43" s="354"/>
      <c r="Y43" s="355"/>
      <c r="Z43" s="11"/>
    </row>
    <row r="44" spans="1:26" ht="16.8" customHeight="1" x14ac:dyDescent="0.25">
      <c r="A44" s="9"/>
      <c r="B44" s="257">
        <v>16</v>
      </c>
      <c r="C44" s="258"/>
      <c r="D44" s="259"/>
      <c r="E44" s="260"/>
      <c r="F44" s="259"/>
      <c r="G44" s="260"/>
      <c r="H44" s="261"/>
      <c r="I44" s="262">
        <v>2.323</v>
      </c>
      <c r="J44" s="262"/>
      <c r="K44" s="262"/>
      <c r="L44" s="263">
        <f t="shared" si="0"/>
        <v>92.808629644426674</v>
      </c>
      <c r="M44" s="253"/>
      <c r="N44" s="254"/>
      <c r="O44" s="253">
        <f t="shared" si="1"/>
        <v>7.1913703555733264</v>
      </c>
      <c r="P44" s="253"/>
      <c r="Q44" s="254"/>
      <c r="R44" s="354"/>
      <c r="S44" s="354"/>
      <c r="T44" s="354"/>
      <c r="U44" s="354"/>
      <c r="V44" s="354"/>
      <c r="W44" s="354"/>
      <c r="X44" s="354"/>
      <c r="Y44" s="355"/>
      <c r="Z44" s="11"/>
    </row>
    <row r="45" spans="1:26" ht="16.8" customHeight="1" x14ac:dyDescent="0.25">
      <c r="A45" s="9"/>
      <c r="B45" s="257"/>
      <c r="C45" s="258"/>
      <c r="D45" s="259"/>
      <c r="E45" s="260"/>
      <c r="F45" s="259"/>
      <c r="G45" s="260"/>
      <c r="H45" s="261"/>
      <c r="I45" s="262"/>
      <c r="J45" s="262"/>
      <c r="K45" s="262"/>
      <c r="L45" s="263"/>
      <c r="M45" s="253"/>
      <c r="N45" s="254"/>
      <c r="O45" s="253"/>
      <c r="P45" s="253"/>
      <c r="Q45" s="254"/>
      <c r="R45" s="354"/>
      <c r="S45" s="354"/>
      <c r="T45" s="354"/>
      <c r="U45" s="354"/>
      <c r="V45" s="354"/>
      <c r="W45" s="354"/>
      <c r="X45" s="354"/>
      <c r="Y45" s="355"/>
      <c r="Z45" s="11"/>
    </row>
    <row r="46" spans="1:26" ht="16.8" customHeight="1" x14ac:dyDescent="0.25">
      <c r="A46" s="9"/>
      <c r="B46" s="257"/>
      <c r="C46" s="258"/>
      <c r="D46" s="259"/>
      <c r="E46" s="260"/>
      <c r="F46" s="259"/>
      <c r="G46" s="260"/>
      <c r="H46" s="261"/>
      <c r="I46" s="262"/>
      <c r="J46" s="262"/>
      <c r="K46" s="262"/>
      <c r="L46" s="263"/>
      <c r="M46" s="253"/>
      <c r="N46" s="254"/>
      <c r="O46" s="253"/>
      <c r="P46" s="253"/>
      <c r="Q46" s="254"/>
      <c r="R46" s="354"/>
      <c r="S46" s="354"/>
      <c r="T46" s="354"/>
      <c r="U46" s="354"/>
      <c r="V46" s="354"/>
      <c r="W46" s="354"/>
      <c r="X46" s="354"/>
      <c r="Y46" s="355"/>
      <c r="Z46" s="11"/>
    </row>
    <row r="47" spans="1:26" ht="16.8" customHeight="1" x14ac:dyDescent="0.25">
      <c r="A47" s="9"/>
      <c r="B47" s="257"/>
      <c r="C47" s="258"/>
      <c r="D47" s="259"/>
      <c r="E47" s="260"/>
      <c r="F47" s="259"/>
      <c r="G47" s="260"/>
      <c r="H47" s="261"/>
      <c r="I47" s="262"/>
      <c r="J47" s="262"/>
      <c r="K47" s="262"/>
      <c r="L47" s="263"/>
      <c r="M47" s="253"/>
      <c r="N47" s="254"/>
      <c r="O47" s="253"/>
      <c r="P47" s="253"/>
      <c r="Q47" s="254"/>
      <c r="R47" s="354"/>
      <c r="S47" s="354"/>
      <c r="T47" s="354"/>
      <c r="U47" s="354"/>
      <c r="V47" s="354"/>
      <c r="W47" s="354"/>
      <c r="X47" s="354"/>
      <c r="Y47" s="355"/>
      <c r="Z47" s="11"/>
    </row>
    <row r="48" spans="1:26" ht="16.8" customHeight="1" x14ac:dyDescent="0.25">
      <c r="A48" s="9"/>
      <c r="B48" s="257"/>
      <c r="C48" s="258"/>
      <c r="D48" s="259"/>
      <c r="E48" s="260"/>
      <c r="F48" s="259"/>
      <c r="G48" s="260"/>
      <c r="H48" s="261"/>
      <c r="I48" s="262"/>
      <c r="J48" s="262"/>
      <c r="K48" s="262"/>
      <c r="L48" s="263"/>
      <c r="M48" s="253"/>
      <c r="N48" s="254"/>
      <c r="O48" s="253"/>
      <c r="P48" s="253"/>
      <c r="Q48" s="254"/>
      <c r="R48" s="354"/>
      <c r="S48" s="354"/>
      <c r="T48" s="354"/>
      <c r="U48" s="354"/>
      <c r="V48" s="354"/>
      <c r="W48" s="354"/>
      <c r="X48" s="354"/>
      <c r="Y48" s="355"/>
      <c r="Z48" s="11"/>
    </row>
    <row r="49" spans="1:29" ht="17.25" customHeight="1" x14ac:dyDescent="0.25">
      <c r="A49" s="9"/>
      <c r="B49" s="359"/>
      <c r="C49" s="360"/>
      <c r="D49" s="351"/>
      <c r="E49" s="352"/>
      <c r="F49" s="351"/>
      <c r="G49" s="352"/>
      <c r="H49" s="353"/>
      <c r="I49" s="282"/>
      <c r="J49" s="282"/>
      <c r="K49" s="282"/>
      <c r="L49" s="358"/>
      <c r="M49" s="356"/>
      <c r="N49" s="357"/>
      <c r="O49" s="356"/>
      <c r="P49" s="356"/>
      <c r="Q49" s="357"/>
      <c r="R49" s="354"/>
      <c r="S49" s="354"/>
      <c r="T49" s="354"/>
      <c r="U49" s="354"/>
      <c r="V49" s="354"/>
      <c r="W49" s="354"/>
      <c r="X49" s="354"/>
      <c r="Y49" s="355"/>
      <c r="Z49" s="11"/>
    </row>
    <row r="50" spans="1:29" ht="16.5" customHeight="1" thickBot="1" x14ac:dyDescent="0.3">
      <c r="A50" s="9"/>
      <c r="B50" s="372" t="s">
        <v>58</v>
      </c>
      <c r="C50" s="373"/>
      <c r="D50" s="373"/>
      <c r="E50" s="373"/>
      <c r="F50" s="373"/>
      <c r="G50" s="373"/>
      <c r="H50" s="373"/>
      <c r="I50" s="362">
        <f t="shared" ref="I50" si="2">AVERAGE(I29:K44)</f>
        <v>2.3267499999999997</v>
      </c>
      <c r="J50" s="362"/>
      <c r="K50" s="362"/>
      <c r="L50" s="382">
        <f t="shared" ref="L50" si="3">AVERAGE(L29:N44)</f>
        <v>92.958449860167789</v>
      </c>
      <c r="M50" s="382"/>
      <c r="N50" s="382"/>
      <c r="O50" s="382">
        <f>AVERAGE(O29:Q44)</f>
        <v>7.041550139832208</v>
      </c>
      <c r="P50" s="382"/>
      <c r="Q50" s="382"/>
      <c r="R50" s="363"/>
      <c r="S50" s="363"/>
      <c r="T50" s="363"/>
      <c r="U50" s="363"/>
      <c r="V50" s="363"/>
      <c r="W50" s="363"/>
      <c r="X50" s="363"/>
      <c r="Y50" s="364"/>
      <c r="Z50" s="11"/>
    </row>
    <row r="51" spans="1:29" ht="25.5" customHeight="1" thickBot="1" x14ac:dyDescent="0.3">
      <c r="A51" s="9"/>
      <c r="B51" s="289" t="s">
        <v>59</v>
      </c>
      <c r="C51" s="290"/>
      <c r="D51" s="290"/>
      <c r="E51" s="290"/>
      <c r="F51" s="290"/>
      <c r="G51" s="290"/>
      <c r="H51" s="290"/>
      <c r="I51" s="369">
        <v>100</v>
      </c>
      <c r="J51" s="369"/>
      <c r="K51" s="369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1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60</v>
      </c>
      <c r="B54" s="24" t="s">
        <v>61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340" t="s">
        <v>62</v>
      </c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2"/>
      <c r="R55" s="276" t="s">
        <v>63</v>
      </c>
      <c r="S55" s="277"/>
      <c r="T55" s="278"/>
      <c r="U55" s="365" t="s">
        <v>64</v>
      </c>
      <c r="V55" s="366"/>
      <c r="W55" s="366"/>
      <c r="X55" s="367"/>
      <c r="Y55" s="367"/>
      <c r="Z55" s="368"/>
      <c r="AA55" s="27"/>
      <c r="AB55" s="27"/>
      <c r="AC55" s="27"/>
    </row>
    <row r="56" spans="1:29" ht="15.6" customHeight="1" x14ac:dyDescent="0.25">
      <c r="A56" s="302" t="s">
        <v>65</v>
      </c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4"/>
      <c r="R56" s="276" t="s">
        <v>66</v>
      </c>
      <c r="S56" s="277"/>
      <c r="T56" s="278"/>
      <c r="U56" s="264" t="s">
        <v>67</v>
      </c>
      <c r="V56" s="265"/>
      <c r="W56" s="265"/>
      <c r="X56" s="266"/>
      <c r="Y56" s="266"/>
      <c r="Z56" s="267"/>
      <c r="AA56" s="27"/>
      <c r="AB56" s="27"/>
      <c r="AC56" s="27"/>
    </row>
    <row r="57" spans="1:29" ht="15.6" customHeight="1" x14ac:dyDescent="0.25">
      <c r="A57" s="305"/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7"/>
      <c r="R57" s="276"/>
      <c r="S57" s="277"/>
      <c r="T57" s="278"/>
      <c r="U57" s="268"/>
      <c r="V57" s="269"/>
      <c r="W57" s="269"/>
      <c r="X57" s="270"/>
      <c r="Y57" s="270"/>
      <c r="Z57" s="271"/>
      <c r="AA57" s="27"/>
      <c r="AB57" s="27"/>
      <c r="AC57" s="27"/>
    </row>
    <row r="58" spans="1:29" ht="15.6" customHeight="1" x14ac:dyDescent="0.25">
      <c r="A58" s="40" t="s">
        <v>68</v>
      </c>
      <c r="B58" s="41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276"/>
      <c r="S58" s="277"/>
      <c r="T58" s="278"/>
      <c r="U58" s="272"/>
      <c r="V58" s="273"/>
      <c r="W58" s="273"/>
      <c r="X58" s="274"/>
      <c r="Y58" s="274"/>
      <c r="Z58" s="275"/>
      <c r="AA58" s="27"/>
      <c r="AB58" s="27"/>
      <c r="AC58" s="27"/>
    </row>
    <row r="59" spans="1:29" ht="15.6" customHeight="1" x14ac:dyDescent="0.25">
      <c r="A59" s="283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5"/>
      <c r="R59" s="276" t="s">
        <v>70</v>
      </c>
      <c r="S59" s="277"/>
      <c r="T59" s="278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283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5"/>
      <c r="R60" s="276"/>
      <c r="S60" s="277"/>
      <c r="T60" s="278"/>
      <c r="U60" s="46"/>
      <c r="V60" s="269"/>
      <c r="W60" s="269"/>
      <c r="X60" s="269"/>
      <c r="Y60" s="269"/>
      <c r="Z60" s="47"/>
      <c r="AA60" s="27"/>
      <c r="AB60" s="27"/>
      <c r="AC60" s="27"/>
    </row>
    <row r="61" spans="1:29" ht="15.6" customHeight="1" x14ac:dyDescent="0.25">
      <c r="A61" s="283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5"/>
      <c r="R61" s="276"/>
      <c r="S61" s="277"/>
      <c r="T61" s="278"/>
      <c r="U61" s="46"/>
      <c r="V61" s="269"/>
      <c r="W61" s="269"/>
      <c r="X61" s="269"/>
      <c r="Y61" s="269"/>
      <c r="Z61" s="47"/>
      <c r="AA61" s="27"/>
      <c r="AB61" s="27"/>
      <c r="AC61" s="27"/>
    </row>
    <row r="62" spans="1:29" ht="15.6" customHeight="1" x14ac:dyDescent="0.25">
      <c r="A62" s="286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9"/>
      <c r="S62" s="280"/>
      <c r="T62" s="281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D28:E28"/>
    <mergeCell ref="L28:N28"/>
    <mergeCell ref="O28:Q28"/>
    <mergeCell ref="B29:C29"/>
    <mergeCell ref="D29:E29"/>
    <mergeCell ref="F29:H29"/>
    <mergeCell ref="I29:K29"/>
    <mergeCell ref="L29:N29"/>
    <mergeCell ref="O29:Q29"/>
    <mergeCell ref="B30:C30"/>
    <mergeCell ref="D30:E30"/>
    <mergeCell ref="F30:H30"/>
    <mergeCell ref="I30:K30"/>
    <mergeCell ref="L30:N30"/>
    <mergeCell ref="O30:Q30"/>
    <mergeCell ref="B31:C31"/>
    <mergeCell ref="D31:E31"/>
    <mergeCell ref="F31:H31"/>
    <mergeCell ref="I31:K31"/>
    <mergeCell ref="L31:N31"/>
    <mergeCell ref="O31:Q31"/>
    <mergeCell ref="B32:C32"/>
    <mergeCell ref="D32:E32"/>
    <mergeCell ref="F32:H32"/>
    <mergeCell ref="I32:K32"/>
    <mergeCell ref="L32:N32"/>
    <mergeCell ref="O32:Q32"/>
    <mergeCell ref="B34:C34"/>
    <mergeCell ref="D34:E34"/>
    <mergeCell ref="F34:H34"/>
    <mergeCell ref="I34:K34"/>
    <mergeCell ref="L34:N34"/>
    <mergeCell ref="O34:Q34"/>
    <mergeCell ref="B33:C33"/>
    <mergeCell ref="D33:E33"/>
    <mergeCell ref="F33:H33"/>
    <mergeCell ref="I33:K33"/>
    <mergeCell ref="L33:N33"/>
    <mergeCell ref="O33:Q33"/>
    <mergeCell ref="B36:C36"/>
    <mergeCell ref="D36:E36"/>
    <mergeCell ref="F36:H36"/>
    <mergeCell ref="I36:K36"/>
    <mergeCell ref="L36:N36"/>
    <mergeCell ref="O36:Q36"/>
    <mergeCell ref="B35:C35"/>
    <mergeCell ref="D35:E35"/>
    <mergeCell ref="F35:H35"/>
    <mergeCell ref="I35:K35"/>
    <mergeCell ref="L35:N35"/>
    <mergeCell ref="O35:Q35"/>
    <mergeCell ref="B38:C38"/>
    <mergeCell ref="D38:E38"/>
    <mergeCell ref="F38:H38"/>
    <mergeCell ref="I38:K38"/>
    <mergeCell ref="L38:N38"/>
    <mergeCell ref="O38:Q38"/>
    <mergeCell ref="B37:C37"/>
    <mergeCell ref="D37:E37"/>
    <mergeCell ref="F37:H37"/>
    <mergeCell ref="I37:K37"/>
    <mergeCell ref="L37:N37"/>
    <mergeCell ref="O37:Q37"/>
    <mergeCell ref="B39:C39"/>
    <mergeCell ref="D39:E39"/>
    <mergeCell ref="F39:H39"/>
    <mergeCell ref="I39:K39"/>
    <mergeCell ref="L39:N39"/>
    <mergeCell ref="O39:Q39"/>
    <mergeCell ref="B40:C40"/>
    <mergeCell ref="D40:E40"/>
    <mergeCell ref="F40:H40"/>
    <mergeCell ref="I40:K40"/>
    <mergeCell ref="L40:N40"/>
    <mergeCell ref="O40:Q40"/>
    <mergeCell ref="B41:C41"/>
    <mergeCell ref="D41:E41"/>
    <mergeCell ref="F41:H41"/>
    <mergeCell ref="I41:K41"/>
    <mergeCell ref="L41:N41"/>
    <mergeCell ref="O41:Q41"/>
    <mergeCell ref="B43:C43"/>
    <mergeCell ref="D43:E43"/>
    <mergeCell ref="F43:H43"/>
    <mergeCell ref="I43:K43"/>
    <mergeCell ref="L43:N43"/>
    <mergeCell ref="O43:Q43"/>
    <mergeCell ref="B42:C42"/>
    <mergeCell ref="D42:E42"/>
    <mergeCell ref="F42:H42"/>
    <mergeCell ref="I42:K42"/>
    <mergeCell ref="L42:N42"/>
    <mergeCell ref="O42:Q42"/>
    <mergeCell ref="B44:C44"/>
    <mergeCell ref="D44:E44"/>
    <mergeCell ref="F44:H44"/>
    <mergeCell ref="I44:K44"/>
    <mergeCell ref="L44:N44"/>
    <mergeCell ref="O44:Q44"/>
    <mergeCell ref="B45:C45"/>
    <mergeCell ref="D45:E45"/>
    <mergeCell ref="F45:H45"/>
    <mergeCell ref="I45:K45"/>
    <mergeCell ref="L45:N45"/>
    <mergeCell ref="O45:Q45"/>
    <mergeCell ref="B46:C46"/>
    <mergeCell ref="D46:E46"/>
    <mergeCell ref="F46:H46"/>
    <mergeCell ref="I46:K46"/>
    <mergeCell ref="L46:N46"/>
    <mergeCell ref="O46:Q46"/>
    <mergeCell ref="L49:N49"/>
    <mergeCell ref="O49:Q49"/>
    <mergeCell ref="B48:C48"/>
    <mergeCell ref="D48:E48"/>
    <mergeCell ref="F48:H48"/>
    <mergeCell ref="I48:K48"/>
    <mergeCell ref="L48:N48"/>
    <mergeCell ref="O48:Q48"/>
    <mergeCell ref="B47:C47"/>
    <mergeCell ref="D47:E47"/>
    <mergeCell ref="F47:H47"/>
    <mergeCell ref="I47:K47"/>
    <mergeCell ref="L47:N47"/>
    <mergeCell ref="O47:Q47"/>
    <mergeCell ref="R47:Y47"/>
    <mergeCell ref="R48:Y48"/>
    <mergeCell ref="A56:Q57"/>
    <mergeCell ref="R56:T58"/>
    <mergeCell ref="U56:Z58"/>
    <mergeCell ref="A59:Q62"/>
    <mergeCell ref="R59:T62"/>
    <mergeCell ref="V60:Y61"/>
    <mergeCell ref="B51:H51"/>
    <mergeCell ref="I51:K51"/>
    <mergeCell ref="L51:Y51"/>
    <mergeCell ref="A55:Q55"/>
    <mergeCell ref="R55:T55"/>
    <mergeCell ref="U55:Z55"/>
    <mergeCell ref="R49:Y49"/>
    <mergeCell ref="B50:H50"/>
    <mergeCell ref="I50:K50"/>
    <mergeCell ref="L50:N50"/>
    <mergeCell ref="O50:Q50"/>
    <mergeCell ref="R50:Y50"/>
    <mergeCell ref="B49:C49"/>
    <mergeCell ref="D49:E49"/>
    <mergeCell ref="F49:H49"/>
    <mergeCell ref="I49:K49"/>
    <mergeCell ref="R29:Y29"/>
    <mergeCell ref="R30:Y30"/>
    <mergeCell ref="R31:Y31"/>
    <mergeCell ref="R32:Y32"/>
    <mergeCell ref="R33:Y33"/>
    <mergeCell ref="R43:Y43"/>
    <mergeCell ref="R44:Y44"/>
    <mergeCell ref="R45:Y45"/>
    <mergeCell ref="R46:Y46"/>
    <mergeCell ref="R34:Y34"/>
    <mergeCell ref="R35:Y35"/>
    <mergeCell ref="R36:Y36"/>
    <mergeCell ref="R37:Y37"/>
    <mergeCell ref="R38:Y38"/>
    <mergeCell ref="R39:Y39"/>
    <mergeCell ref="R40:Y40"/>
    <mergeCell ref="R41:Y41"/>
    <mergeCell ref="R42:Y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topLeftCell="A30" workbookViewId="0">
      <selection activeCell="AC41" sqref="AC4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308"/>
      <c r="B1" s="309"/>
      <c r="C1" s="309"/>
      <c r="D1" s="309"/>
      <c r="E1" s="309"/>
      <c r="F1" s="310"/>
      <c r="G1" s="317" t="s">
        <v>0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9"/>
      <c r="U1" s="325" t="s">
        <v>71</v>
      </c>
      <c r="V1" s="326"/>
      <c r="W1" s="326"/>
      <c r="X1" s="326"/>
      <c r="Y1" s="326"/>
      <c r="Z1" s="327"/>
    </row>
    <row r="2" spans="1:40" x14ac:dyDescent="0.25">
      <c r="A2" s="311"/>
      <c r="B2" s="312"/>
      <c r="C2" s="312"/>
      <c r="D2" s="312"/>
      <c r="E2" s="312"/>
      <c r="F2" s="313"/>
      <c r="G2" s="334" t="s">
        <v>1</v>
      </c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  <c r="U2" s="328"/>
      <c r="V2" s="329"/>
      <c r="W2" s="329"/>
      <c r="X2" s="329"/>
      <c r="Y2" s="329"/>
      <c r="Z2" s="330"/>
    </row>
    <row r="3" spans="1:40" x14ac:dyDescent="0.25">
      <c r="A3" s="311"/>
      <c r="B3" s="312"/>
      <c r="C3" s="312"/>
      <c r="D3" s="312"/>
      <c r="E3" s="312"/>
      <c r="F3" s="313"/>
      <c r="G3" s="334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6"/>
      <c r="U3" s="328"/>
      <c r="V3" s="329"/>
      <c r="W3" s="329"/>
      <c r="X3" s="329"/>
      <c r="Y3" s="329"/>
      <c r="Z3" s="330"/>
    </row>
    <row r="4" spans="1:40" x14ac:dyDescent="0.25">
      <c r="A4" s="311"/>
      <c r="B4" s="312"/>
      <c r="C4" s="312"/>
      <c r="D4" s="312"/>
      <c r="E4" s="312"/>
      <c r="F4" s="313"/>
      <c r="G4" s="334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6"/>
      <c r="U4" s="328"/>
      <c r="V4" s="329"/>
      <c r="W4" s="329"/>
      <c r="X4" s="329"/>
      <c r="Y4" s="329"/>
      <c r="Z4" s="330"/>
    </row>
    <row r="5" spans="1:40" ht="15" customHeight="1" x14ac:dyDescent="0.25">
      <c r="A5" s="311"/>
      <c r="B5" s="312"/>
      <c r="C5" s="312"/>
      <c r="D5" s="312"/>
      <c r="E5" s="312"/>
      <c r="F5" s="313"/>
      <c r="G5" s="302" t="s">
        <v>2</v>
      </c>
      <c r="H5" s="303"/>
      <c r="I5" s="300">
        <v>1</v>
      </c>
      <c r="J5" s="300"/>
      <c r="K5" s="301"/>
      <c r="L5" s="337" t="s">
        <v>3</v>
      </c>
      <c r="M5" s="338"/>
      <c r="N5" s="338"/>
      <c r="O5" s="339"/>
      <c r="P5" s="322">
        <v>45489</v>
      </c>
      <c r="Q5" s="323"/>
      <c r="R5" s="323"/>
      <c r="S5" s="323"/>
      <c r="T5" s="324"/>
      <c r="U5" s="328"/>
      <c r="V5" s="329"/>
      <c r="W5" s="329"/>
      <c r="X5" s="329"/>
      <c r="Y5" s="329"/>
      <c r="Z5" s="330"/>
    </row>
    <row r="6" spans="1:40" x14ac:dyDescent="0.25">
      <c r="A6" s="314"/>
      <c r="B6" s="315"/>
      <c r="C6" s="315"/>
      <c r="D6" s="315"/>
      <c r="E6" s="315"/>
      <c r="F6" s="316"/>
      <c r="G6" s="2"/>
      <c r="H6" s="28"/>
      <c r="I6" s="298" t="s">
        <v>5</v>
      </c>
      <c r="J6" s="298"/>
      <c r="K6" s="298"/>
      <c r="L6" s="298" t="s">
        <v>6</v>
      </c>
      <c r="M6" s="298"/>
      <c r="N6" s="298"/>
      <c r="O6" s="298"/>
      <c r="P6" s="298" t="s">
        <v>7</v>
      </c>
      <c r="Q6" s="298"/>
      <c r="R6" s="298"/>
      <c r="S6" s="298"/>
      <c r="T6" s="299"/>
      <c r="U6" s="331"/>
      <c r="V6" s="332"/>
      <c r="W6" s="332"/>
      <c r="X6" s="332"/>
      <c r="Y6" s="332"/>
      <c r="Z6" s="333"/>
    </row>
    <row r="7" spans="1:40" ht="36.75" customHeight="1" x14ac:dyDescent="0.25">
      <c r="A7" s="320" t="s">
        <v>8</v>
      </c>
      <c r="B7" s="320"/>
      <c r="C7" s="320"/>
      <c r="D7" s="320"/>
      <c r="E7" s="320"/>
      <c r="F7" s="320"/>
      <c r="G7" s="321" t="s">
        <v>9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91" t="s">
        <v>12</v>
      </c>
      <c r="C10" s="291"/>
      <c r="D10" s="291"/>
      <c r="E10" s="291"/>
      <c r="F10" s="291"/>
      <c r="G10" s="294" t="s">
        <v>13</v>
      </c>
      <c r="H10" s="294"/>
      <c r="I10" s="294"/>
      <c r="J10" s="294"/>
      <c r="K10" s="294"/>
      <c r="L10" s="294"/>
      <c r="M10" s="291" t="s">
        <v>14</v>
      </c>
      <c r="N10" s="291"/>
      <c r="O10" s="291"/>
      <c r="P10" s="291"/>
      <c r="Q10" s="291"/>
      <c r="R10" s="291"/>
      <c r="S10" s="297" t="s">
        <v>15</v>
      </c>
      <c r="T10" s="297"/>
      <c r="U10" s="297"/>
      <c r="V10" s="297"/>
      <c r="W10" s="297"/>
      <c r="X10" s="297"/>
      <c r="Y10" s="297"/>
      <c r="Z10" s="12"/>
    </row>
    <row r="11" spans="1:40" ht="15" customHeight="1" x14ac:dyDescent="0.25">
      <c r="A11" s="9"/>
      <c r="B11" s="291" t="s">
        <v>16</v>
      </c>
      <c r="C11" s="291"/>
      <c r="D11" s="291"/>
      <c r="E11" s="291"/>
      <c r="F11" s="291"/>
      <c r="G11" s="294" t="s">
        <v>4</v>
      </c>
      <c r="H11" s="294"/>
      <c r="I11" s="294"/>
      <c r="J11" s="294"/>
      <c r="K11" s="294"/>
      <c r="L11" s="294"/>
      <c r="M11" s="291" t="s">
        <v>17</v>
      </c>
      <c r="N11" s="291"/>
      <c r="O11" s="291"/>
      <c r="P11" s="292" t="s">
        <v>18</v>
      </c>
      <c r="Q11" s="292"/>
      <c r="R11" s="292"/>
      <c r="S11" s="291" t="s">
        <v>19</v>
      </c>
      <c r="T11" s="291"/>
      <c r="U11" s="291"/>
      <c r="V11" s="291"/>
      <c r="W11" s="291"/>
      <c r="X11" s="292" t="s">
        <v>72</v>
      </c>
      <c r="Y11" s="292"/>
      <c r="Z11" s="12"/>
    </row>
    <row r="12" spans="1:40" ht="15" customHeight="1" x14ac:dyDescent="0.25">
      <c r="A12" s="9"/>
      <c r="B12" s="291" t="s">
        <v>20</v>
      </c>
      <c r="C12" s="291"/>
      <c r="D12" s="291"/>
      <c r="E12" s="291"/>
      <c r="F12" s="291"/>
      <c r="G12" s="294" t="s">
        <v>74</v>
      </c>
      <c r="H12" s="294"/>
      <c r="I12" s="294"/>
      <c r="J12" s="294"/>
      <c r="K12" s="294"/>
      <c r="L12" s="294"/>
      <c r="M12" s="291" t="s">
        <v>21</v>
      </c>
      <c r="N12" s="291"/>
      <c r="O12" s="291"/>
      <c r="P12" s="291"/>
      <c r="Q12" s="291"/>
      <c r="R12" s="291"/>
      <c r="S12" s="297" t="s">
        <v>22</v>
      </c>
      <c r="T12" s="297"/>
      <c r="U12" s="297"/>
      <c r="V12" s="297"/>
      <c r="W12" s="297"/>
      <c r="X12" s="297"/>
      <c r="Y12" s="297"/>
      <c r="Z12" s="12"/>
    </row>
    <row r="13" spans="1:40" ht="15" customHeight="1" x14ac:dyDescent="0.25">
      <c r="A13" s="9"/>
      <c r="B13" s="291" t="s">
        <v>23</v>
      </c>
      <c r="C13" s="291"/>
      <c r="D13" s="291"/>
      <c r="E13" s="291"/>
      <c r="F13" s="291"/>
      <c r="G13" s="293" t="s">
        <v>4</v>
      </c>
      <c r="H13" s="294"/>
      <c r="I13" s="294"/>
      <c r="J13" s="294"/>
      <c r="K13" s="294"/>
      <c r="L13" s="294"/>
      <c r="M13" s="291" t="s">
        <v>24</v>
      </c>
      <c r="N13" s="291"/>
      <c r="O13" s="291"/>
      <c r="P13" s="291"/>
      <c r="Q13" s="291"/>
      <c r="R13" s="291"/>
      <c r="S13" s="291" t="s">
        <v>25</v>
      </c>
      <c r="T13" s="291"/>
      <c r="U13" s="291"/>
      <c r="V13" s="291"/>
      <c r="W13" s="291"/>
      <c r="X13" s="291"/>
      <c r="Y13" s="291"/>
      <c r="Z13" s="12"/>
    </row>
    <row r="14" spans="1:40" ht="15" customHeight="1" x14ac:dyDescent="0.25">
      <c r="A14" s="9"/>
      <c r="B14" s="291" t="s">
        <v>26</v>
      </c>
      <c r="C14" s="291"/>
      <c r="D14" s="291"/>
      <c r="E14" s="291"/>
      <c r="F14" s="291"/>
      <c r="G14" s="294" t="s">
        <v>27</v>
      </c>
      <c r="H14" s="294"/>
      <c r="I14" s="294"/>
      <c r="J14" s="294"/>
      <c r="K14" s="294"/>
      <c r="L14" s="294"/>
      <c r="M14" s="291" t="s">
        <v>28</v>
      </c>
      <c r="N14" s="291"/>
      <c r="O14" s="291"/>
      <c r="P14" s="291"/>
      <c r="Q14" s="291"/>
      <c r="R14" s="291"/>
      <c r="S14" s="291" t="s">
        <v>29</v>
      </c>
      <c r="T14" s="291"/>
      <c r="U14" s="291"/>
      <c r="V14" s="291"/>
      <c r="W14" s="291"/>
      <c r="X14" s="291"/>
      <c r="Y14" s="291"/>
      <c r="Z14" s="12"/>
    </row>
    <row r="15" spans="1:40" ht="15" customHeight="1" x14ac:dyDescent="0.25">
      <c r="A15" s="9"/>
      <c r="B15" s="295" t="s">
        <v>30</v>
      </c>
      <c r="C15" s="295"/>
      <c r="D15" s="295"/>
      <c r="E15" s="295"/>
      <c r="F15" s="295"/>
      <c r="G15" s="297" t="s">
        <v>31</v>
      </c>
      <c r="H15" s="297"/>
      <c r="I15" s="297"/>
      <c r="J15" s="297"/>
      <c r="K15" s="297"/>
      <c r="L15" s="297"/>
      <c r="M15" s="291" t="s">
        <v>32</v>
      </c>
      <c r="N15" s="291"/>
      <c r="O15" s="291"/>
      <c r="P15" s="291"/>
      <c r="Q15" s="291"/>
      <c r="R15" s="291"/>
      <c r="S15" s="291" t="s">
        <v>73</v>
      </c>
      <c r="T15" s="291"/>
      <c r="U15" s="291"/>
      <c r="V15" s="291"/>
      <c r="W15" s="291"/>
      <c r="X15" s="291"/>
      <c r="Y15" s="29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95" t="s">
        <v>33</v>
      </c>
      <c r="C16" s="295"/>
      <c r="D16" s="295"/>
      <c r="E16" s="295"/>
      <c r="F16" s="295"/>
      <c r="G16" s="29" t="s">
        <v>34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35</v>
      </c>
      <c r="B19" s="5" t="s">
        <v>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91" t="s">
        <v>37</v>
      </c>
      <c r="C21" s="291"/>
      <c r="D21" s="291"/>
      <c r="E21" s="291"/>
      <c r="F21" s="291"/>
      <c r="G21" s="291"/>
      <c r="H21" s="291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12"/>
    </row>
    <row r="22" spans="1:28" ht="15" customHeight="1" x14ac:dyDescent="0.25">
      <c r="A22" s="9"/>
      <c r="B22" s="291" t="s">
        <v>38</v>
      </c>
      <c r="C22" s="291"/>
      <c r="D22" s="291"/>
      <c r="E22" s="291"/>
      <c r="F22" s="291"/>
      <c r="G22" s="291"/>
      <c r="H22" s="291"/>
      <c r="I22" s="292"/>
      <c r="J22" s="292"/>
      <c r="K22" s="292"/>
      <c r="L22" s="292"/>
      <c r="M22" s="292"/>
      <c r="N22" s="32">
        <v>0</v>
      </c>
      <c r="O22" s="296" t="s">
        <v>39</v>
      </c>
      <c r="P22" s="296"/>
      <c r="Q22" s="296"/>
      <c r="R22" s="33" t="s">
        <v>40</v>
      </c>
      <c r="S22" s="13"/>
      <c r="T22" s="13"/>
      <c r="U22" s="13"/>
      <c r="V22" s="296"/>
      <c r="W22" s="296"/>
      <c r="X22" s="296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41</v>
      </c>
      <c r="B25" s="5" t="s">
        <v>42</v>
      </c>
      <c r="C25" s="6"/>
      <c r="D25" s="7"/>
      <c r="E25" s="7"/>
      <c r="F25" s="7"/>
      <c r="G25" s="7"/>
      <c r="H25" s="383" t="s">
        <v>43</v>
      </c>
      <c r="I25" s="383"/>
      <c r="J25" s="383"/>
      <c r="K25" s="383"/>
      <c r="L25" s="383"/>
      <c r="M25" s="383"/>
      <c r="N25" s="383"/>
      <c r="O25" s="383"/>
      <c r="P25" s="383"/>
      <c r="Q25" s="376">
        <v>2.5030000000000001</v>
      </c>
      <c r="R25" s="376"/>
      <c r="S25" s="376"/>
      <c r="T25" s="376"/>
      <c r="U25" s="35" t="s">
        <v>44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343" t="s">
        <v>45</v>
      </c>
      <c r="C27" s="344"/>
      <c r="D27" s="347" t="s">
        <v>46</v>
      </c>
      <c r="E27" s="348"/>
      <c r="F27" s="361" t="s">
        <v>47</v>
      </c>
      <c r="G27" s="361"/>
      <c r="H27" s="361"/>
      <c r="I27" s="374" t="s">
        <v>48</v>
      </c>
      <c r="J27" s="344"/>
      <c r="K27" s="344"/>
      <c r="L27" s="374" t="s">
        <v>49</v>
      </c>
      <c r="M27" s="344"/>
      <c r="N27" s="375"/>
      <c r="O27" s="374" t="s">
        <v>50</v>
      </c>
      <c r="P27" s="344"/>
      <c r="Q27" s="375"/>
      <c r="R27" s="374" t="s">
        <v>51</v>
      </c>
      <c r="S27" s="344"/>
      <c r="T27" s="344"/>
      <c r="U27" s="344"/>
      <c r="V27" s="344"/>
      <c r="W27" s="344"/>
      <c r="X27" s="344"/>
      <c r="Y27" s="380"/>
      <c r="Z27" s="11"/>
    </row>
    <row r="28" spans="1:28" ht="36" customHeight="1" x14ac:dyDescent="0.25">
      <c r="A28" s="9"/>
      <c r="B28" s="345" t="s">
        <v>52</v>
      </c>
      <c r="C28" s="346"/>
      <c r="D28" s="349" t="s">
        <v>53</v>
      </c>
      <c r="E28" s="350"/>
      <c r="F28" s="34" t="s">
        <v>54</v>
      </c>
      <c r="G28" s="34" t="s">
        <v>55</v>
      </c>
      <c r="H28" s="34" t="s">
        <v>56</v>
      </c>
      <c r="I28" s="377"/>
      <c r="J28" s="378"/>
      <c r="K28" s="378"/>
      <c r="L28" s="377" t="s">
        <v>57</v>
      </c>
      <c r="M28" s="378"/>
      <c r="N28" s="379"/>
      <c r="O28" s="377" t="s">
        <v>57</v>
      </c>
      <c r="P28" s="378"/>
      <c r="Q28" s="379"/>
      <c r="R28" s="377"/>
      <c r="S28" s="378"/>
      <c r="T28" s="378"/>
      <c r="U28" s="378"/>
      <c r="V28" s="378"/>
      <c r="W28" s="378"/>
      <c r="X28" s="378"/>
      <c r="Y28" s="381"/>
      <c r="Z28" s="11"/>
    </row>
    <row r="29" spans="1:28" ht="16.8" customHeight="1" x14ac:dyDescent="0.25">
      <c r="A29" s="9"/>
      <c r="B29" s="257">
        <v>1</v>
      </c>
      <c r="C29" s="258"/>
      <c r="D29" s="259"/>
      <c r="E29" s="260"/>
      <c r="F29" s="259"/>
      <c r="G29" s="260"/>
      <c r="H29" s="261"/>
      <c r="I29" s="262">
        <v>2.3119999999999998</v>
      </c>
      <c r="J29" s="262"/>
      <c r="K29" s="262"/>
      <c r="L29" s="263">
        <v>92.4</v>
      </c>
      <c r="M29" s="253"/>
      <c r="N29" s="254"/>
      <c r="O29" s="253">
        <v>7.6</v>
      </c>
      <c r="P29" s="253"/>
      <c r="Q29" s="254"/>
      <c r="R29" s="387" t="s">
        <v>75</v>
      </c>
      <c r="S29" s="388"/>
      <c r="T29" s="388"/>
      <c r="U29" s="388"/>
      <c r="V29" s="388"/>
      <c r="W29" s="388"/>
      <c r="X29" s="388"/>
      <c r="Y29" s="389"/>
      <c r="Z29" s="11"/>
    </row>
    <row r="30" spans="1:28" ht="16.8" customHeight="1" x14ac:dyDescent="0.25">
      <c r="A30" s="9"/>
      <c r="B30" s="257">
        <v>2</v>
      </c>
      <c r="C30" s="258"/>
      <c r="D30" s="259"/>
      <c r="E30" s="260"/>
      <c r="F30" s="259"/>
      <c r="G30" s="260"/>
      <c r="H30" s="261"/>
      <c r="I30" s="262">
        <v>2.3149999999999999</v>
      </c>
      <c r="J30" s="262"/>
      <c r="K30" s="262"/>
      <c r="L30" s="263">
        <v>92.5</v>
      </c>
      <c r="M30" s="253"/>
      <c r="N30" s="254"/>
      <c r="O30" s="253">
        <v>7.5</v>
      </c>
      <c r="P30" s="253"/>
      <c r="Q30" s="254"/>
      <c r="R30" s="390"/>
      <c r="S30" s="391"/>
      <c r="T30" s="391"/>
      <c r="U30" s="391"/>
      <c r="V30" s="391"/>
      <c r="W30" s="391"/>
      <c r="X30" s="391"/>
      <c r="Y30" s="392"/>
      <c r="Z30" s="11"/>
    </row>
    <row r="31" spans="1:28" ht="16.8" customHeight="1" x14ac:dyDescent="0.25">
      <c r="A31" s="9"/>
      <c r="B31" s="257">
        <v>3</v>
      </c>
      <c r="C31" s="258"/>
      <c r="D31" s="259"/>
      <c r="E31" s="260"/>
      <c r="F31" s="259"/>
      <c r="G31" s="260"/>
      <c r="H31" s="261"/>
      <c r="I31" s="262">
        <v>2.3410000000000002</v>
      </c>
      <c r="J31" s="262"/>
      <c r="K31" s="262"/>
      <c r="L31" s="263">
        <v>93.5</v>
      </c>
      <c r="M31" s="253"/>
      <c r="N31" s="254"/>
      <c r="O31" s="253">
        <v>6.5</v>
      </c>
      <c r="P31" s="253"/>
      <c r="Q31" s="254"/>
      <c r="R31" s="390"/>
      <c r="S31" s="391"/>
      <c r="T31" s="391"/>
      <c r="U31" s="391"/>
      <c r="V31" s="391"/>
      <c r="W31" s="391"/>
      <c r="X31" s="391"/>
      <c r="Y31" s="392"/>
      <c r="Z31" s="11"/>
    </row>
    <row r="32" spans="1:28" ht="16.8" customHeight="1" x14ac:dyDescent="0.25">
      <c r="A32" s="9"/>
      <c r="B32" s="257">
        <v>4</v>
      </c>
      <c r="C32" s="258"/>
      <c r="D32" s="259"/>
      <c r="E32" s="260"/>
      <c r="F32" s="259"/>
      <c r="G32" s="260"/>
      <c r="H32" s="261"/>
      <c r="I32" s="262">
        <v>2.335</v>
      </c>
      <c r="J32" s="262"/>
      <c r="K32" s="262"/>
      <c r="L32" s="263">
        <v>93.3</v>
      </c>
      <c r="M32" s="253"/>
      <c r="N32" s="254"/>
      <c r="O32" s="253">
        <v>6.7</v>
      </c>
      <c r="P32" s="253"/>
      <c r="Q32" s="254"/>
      <c r="R32" s="390"/>
      <c r="S32" s="391"/>
      <c r="T32" s="391"/>
      <c r="U32" s="391"/>
      <c r="V32" s="391"/>
      <c r="W32" s="391"/>
      <c r="X32" s="391"/>
      <c r="Y32" s="392"/>
      <c r="Z32" s="11"/>
    </row>
    <row r="33" spans="1:26" ht="16.8" customHeight="1" x14ac:dyDescent="0.25">
      <c r="A33" s="9"/>
      <c r="B33" s="257">
        <v>5</v>
      </c>
      <c r="C33" s="258"/>
      <c r="D33" s="259"/>
      <c r="E33" s="260"/>
      <c r="F33" s="259"/>
      <c r="G33" s="260"/>
      <c r="H33" s="261"/>
      <c r="I33" s="262">
        <v>2.367</v>
      </c>
      <c r="J33" s="262"/>
      <c r="K33" s="262"/>
      <c r="L33" s="263">
        <v>94.6</v>
      </c>
      <c r="M33" s="253"/>
      <c r="N33" s="254"/>
      <c r="O33" s="253">
        <v>5.4</v>
      </c>
      <c r="P33" s="253"/>
      <c r="Q33" s="254"/>
      <c r="R33" s="390"/>
      <c r="S33" s="391"/>
      <c r="T33" s="391"/>
      <c r="U33" s="391"/>
      <c r="V33" s="391"/>
      <c r="W33" s="391"/>
      <c r="X33" s="391"/>
      <c r="Y33" s="392"/>
      <c r="Z33" s="11"/>
    </row>
    <row r="34" spans="1:26" ht="16.8" customHeight="1" x14ac:dyDescent="0.25">
      <c r="A34" s="9"/>
      <c r="B34" s="257">
        <v>6</v>
      </c>
      <c r="C34" s="258"/>
      <c r="D34" s="259"/>
      <c r="E34" s="260"/>
      <c r="F34" s="259"/>
      <c r="G34" s="260"/>
      <c r="H34" s="261"/>
      <c r="I34" s="262">
        <v>2.3260000000000001</v>
      </c>
      <c r="J34" s="262"/>
      <c r="K34" s="262"/>
      <c r="L34" s="263">
        <v>92.9</v>
      </c>
      <c r="M34" s="253"/>
      <c r="N34" s="254"/>
      <c r="O34" s="253">
        <v>7.1</v>
      </c>
      <c r="P34" s="253"/>
      <c r="Q34" s="254"/>
      <c r="R34" s="390"/>
      <c r="S34" s="391"/>
      <c r="T34" s="391"/>
      <c r="U34" s="391"/>
      <c r="V34" s="391"/>
      <c r="W34" s="391"/>
      <c r="X34" s="391"/>
      <c r="Y34" s="392"/>
      <c r="Z34" s="11"/>
    </row>
    <row r="35" spans="1:26" ht="16.8" customHeight="1" x14ac:dyDescent="0.25">
      <c r="A35" s="9"/>
      <c r="B35" s="257">
        <v>7</v>
      </c>
      <c r="C35" s="258"/>
      <c r="D35" s="259"/>
      <c r="E35" s="260"/>
      <c r="F35" s="259"/>
      <c r="G35" s="260"/>
      <c r="H35" s="261"/>
      <c r="I35" s="262">
        <v>2.335</v>
      </c>
      <c r="J35" s="262"/>
      <c r="K35" s="262"/>
      <c r="L35" s="263">
        <v>93.3</v>
      </c>
      <c r="M35" s="253"/>
      <c r="N35" s="254"/>
      <c r="O35" s="253">
        <v>6.7</v>
      </c>
      <c r="P35" s="253"/>
      <c r="Q35" s="254"/>
      <c r="R35" s="390"/>
      <c r="S35" s="391"/>
      <c r="T35" s="391"/>
      <c r="U35" s="391"/>
      <c r="V35" s="391"/>
      <c r="W35" s="391"/>
      <c r="X35" s="391"/>
      <c r="Y35" s="392"/>
      <c r="Z35" s="11"/>
    </row>
    <row r="36" spans="1:26" ht="16.8" customHeight="1" x14ac:dyDescent="0.25">
      <c r="A36" s="9"/>
      <c r="B36" s="257">
        <v>8</v>
      </c>
      <c r="C36" s="258"/>
      <c r="D36" s="259"/>
      <c r="E36" s="260"/>
      <c r="F36" s="259"/>
      <c r="G36" s="260"/>
      <c r="H36" s="261"/>
      <c r="I36" s="262">
        <v>2.3490000000000002</v>
      </c>
      <c r="J36" s="262"/>
      <c r="K36" s="262"/>
      <c r="L36" s="263">
        <v>93.8</v>
      </c>
      <c r="M36" s="253"/>
      <c r="N36" s="254"/>
      <c r="O36" s="253">
        <v>6.2</v>
      </c>
      <c r="P36" s="253"/>
      <c r="Q36" s="254"/>
      <c r="R36" s="390"/>
      <c r="S36" s="391"/>
      <c r="T36" s="391"/>
      <c r="U36" s="391"/>
      <c r="V36" s="391"/>
      <c r="W36" s="391"/>
      <c r="X36" s="391"/>
      <c r="Y36" s="392"/>
      <c r="Z36" s="11"/>
    </row>
    <row r="37" spans="1:26" ht="16.8" customHeight="1" x14ac:dyDescent="0.25">
      <c r="A37" s="9"/>
      <c r="B37" s="257">
        <v>9</v>
      </c>
      <c r="C37" s="258"/>
      <c r="D37" s="259"/>
      <c r="E37" s="260"/>
      <c r="F37" s="259"/>
      <c r="G37" s="260"/>
      <c r="H37" s="261"/>
      <c r="I37" s="262">
        <v>2.339</v>
      </c>
      <c r="J37" s="262"/>
      <c r="K37" s="262"/>
      <c r="L37" s="263">
        <v>93.4</v>
      </c>
      <c r="M37" s="253"/>
      <c r="N37" s="254"/>
      <c r="O37" s="253">
        <v>6.6</v>
      </c>
      <c r="P37" s="253"/>
      <c r="Q37" s="254"/>
      <c r="R37" s="393"/>
      <c r="S37" s="394"/>
      <c r="T37" s="394"/>
      <c r="U37" s="394"/>
      <c r="V37" s="394"/>
      <c r="W37" s="394"/>
      <c r="X37" s="394"/>
      <c r="Y37" s="395"/>
      <c r="Z37" s="11"/>
    </row>
    <row r="38" spans="1:26" ht="16.8" customHeight="1" x14ac:dyDescent="0.25">
      <c r="A38" s="9"/>
      <c r="B38" s="257">
        <v>10</v>
      </c>
      <c r="C38" s="258"/>
      <c r="D38" s="259"/>
      <c r="E38" s="260"/>
      <c r="F38" s="259"/>
      <c r="G38" s="260"/>
      <c r="H38" s="261"/>
      <c r="I38" s="262">
        <v>2.34</v>
      </c>
      <c r="J38" s="262"/>
      <c r="K38" s="262"/>
      <c r="L38" s="263">
        <v>93.5</v>
      </c>
      <c r="M38" s="253"/>
      <c r="N38" s="254"/>
      <c r="O38" s="253">
        <v>6.5</v>
      </c>
      <c r="P38" s="253"/>
      <c r="Q38" s="254"/>
      <c r="R38" s="387" t="s">
        <v>76</v>
      </c>
      <c r="S38" s="388"/>
      <c r="T38" s="388"/>
      <c r="U38" s="388"/>
      <c r="V38" s="388"/>
      <c r="W38" s="388"/>
      <c r="X38" s="388"/>
      <c r="Y38" s="389"/>
      <c r="Z38" s="11"/>
    </row>
    <row r="39" spans="1:26" ht="16.8" customHeight="1" x14ac:dyDescent="0.25">
      <c r="A39" s="9"/>
      <c r="B39" s="257">
        <v>11</v>
      </c>
      <c r="C39" s="258"/>
      <c r="D39" s="259"/>
      <c r="E39" s="260"/>
      <c r="F39" s="259"/>
      <c r="G39" s="260"/>
      <c r="H39" s="261"/>
      <c r="I39" s="262">
        <v>2.3679999999999999</v>
      </c>
      <c r="J39" s="262"/>
      <c r="K39" s="262"/>
      <c r="L39" s="263">
        <v>94.6</v>
      </c>
      <c r="M39" s="253"/>
      <c r="N39" s="254"/>
      <c r="O39" s="253">
        <v>5.4</v>
      </c>
      <c r="P39" s="253"/>
      <c r="Q39" s="254"/>
      <c r="R39" s="390"/>
      <c r="S39" s="391"/>
      <c r="T39" s="391"/>
      <c r="U39" s="391"/>
      <c r="V39" s="391"/>
      <c r="W39" s="391"/>
      <c r="X39" s="391"/>
      <c r="Y39" s="392"/>
      <c r="Z39" s="11"/>
    </row>
    <row r="40" spans="1:26" ht="16.8" customHeight="1" x14ac:dyDescent="0.25">
      <c r="A40" s="9"/>
      <c r="B40" s="257">
        <v>12</v>
      </c>
      <c r="C40" s="258"/>
      <c r="D40" s="259"/>
      <c r="E40" s="260"/>
      <c r="F40" s="259"/>
      <c r="G40" s="260"/>
      <c r="H40" s="261"/>
      <c r="I40" s="262">
        <v>2.37</v>
      </c>
      <c r="J40" s="262"/>
      <c r="K40" s="262"/>
      <c r="L40" s="263">
        <v>94.7</v>
      </c>
      <c r="M40" s="253"/>
      <c r="N40" s="254"/>
      <c r="O40" s="253">
        <v>5.3</v>
      </c>
      <c r="P40" s="253"/>
      <c r="Q40" s="254"/>
      <c r="R40" s="390"/>
      <c r="S40" s="391"/>
      <c r="T40" s="391"/>
      <c r="U40" s="391"/>
      <c r="V40" s="391"/>
      <c r="W40" s="391"/>
      <c r="X40" s="391"/>
      <c r="Y40" s="392"/>
      <c r="Z40" s="11"/>
    </row>
    <row r="41" spans="1:26" ht="16.8" customHeight="1" x14ac:dyDescent="0.25">
      <c r="A41" s="9"/>
      <c r="B41" s="257">
        <v>13</v>
      </c>
      <c r="C41" s="258"/>
      <c r="D41" s="259"/>
      <c r="E41" s="260"/>
      <c r="F41" s="259"/>
      <c r="G41" s="260"/>
      <c r="H41" s="261"/>
      <c r="I41" s="262">
        <v>2.3119999999999998</v>
      </c>
      <c r="J41" s="262"/>
      <c r="K41" s="262"/>
      <c r="L41" s="263">
        <v>92.4</v>
      </c>
      <c r="M41" s="253"/>
      <c r="N41" s="254"/>
      <c r="O41" s="253">
        <v>7.6</v>
      </c>
      <c r="P41" s="253"/>
      <c r="Q41" s="254"/>
      <c r="R41" s="390"/>
      <c r="S41" s="391"/>
      <c r="T41" s="391"/>
      <c r="U41" s="391"/>
      <c r="V41" s="391"/>
      <c r="W41" s="391"/>
      <c r="X41" s="391"/>
      <c r="Y41" s="392"/>
      <c r="Z41" s="11"/>
    </row>
    <row r="42" spans="1:26" ht="16.8" customHeight="1" x14ac:dyDescent="0.25">
      <c r="A42" s="9"/>
      <c r="B42" s="257">
        <v>14</v>
      </c>
      <c r="C42" s="258"/>
      <c r="D42" s="259"/>
      <c r="E42" s="260"/>
      <c r="F42" s="259"/>
      <c r="G42" s="260"/>
      <c r="H42" s="261"/>
      <c r="I42" s="262">
        <v>2.3330000000000002</v>
      </c>
      <c r="J42" s="262"/>
      <c r="K42" s="262"/>
      <c r="L42" s="263">
        <v>93.2</v>
      </c>
      <c r="M42" s="253"/>
      <c r="N42" s="254"/>
      <c r="O42" s="253">
        <v>6.8</v>
      </c>
      <c r="P42" s="253"/>
      <c r="Q42" s="254"/>
      <c r="R42" s="393"/>
      <c r="S42" s="394"/>
      <c r="T42" s="394"/>
      <c r="U42" s="394"/>
      <c r="V42" s="394"/>
      <c r="W42" s="394"/>
      <c r="X42" s="394"/>
      <c r="Y42" s="395"/>
      <c r="Z42" s="11"/>
    </row>
    <row r="43" spans="1:26" ht="16.8" customHeight="1" x14ac:dyDescent="0.25">
      <c r="A43" s="9"/>
      <c r="B43" s="257">
        <v>15</v>
      </c>
      <c r="C43" s="258"/>
      <c r="D43" s="259"/>
      <c r="E43" s="260"/>
      <c r="F43" s="259"/>
      <c r="G43" s="260"/>
      <c r="H43" s="261"/>
      <c r="I43" s="262">
        <v>2.31</v>
      </c>
      <c r="J43" s="262"/>
      <c r="K43" s="262"/>
      <c r="L43" s="263">
        <v>92.3</v>
      </c>
      <c r="M43" s="253"/>
      <c r="N43" s="254"/>
      <c r="O43" s="253">
        <v>7.7</v>
      </c>
      <c r="P43" s="253"/>
      <c r="Q43" s="254"/>
      <c r="R43" s="387" t="s">
        <v>77</v>
      </c>
      <c r="S43" s="388"/>
      <c r="T43" s="388"/>
      <c r="U43" s="388"/>
      <c r="V43" s="388"/>
      <c r="W43" s="388"/>
      <c r="X43" s="388"/>
      <c r="Y43" s="389"/>
      <c r="Z43" s="11"/>
    </row>
    <row r="44" spans="1:26" ht="16.8" customHeight="1" x14ac:dyDescent="0.25">
      <c r="A44" s="9"/>
      <c r="B44" s="257">
        <v>16</v>
      </c>
      <c r="C44" s="258"/>
      <c r="D44" s="259"/>
      <c r="E44" s="260"/>
      <c r="F44" s="259"/>
      <c r="G44" s="260"/>
      <c r="H44" s="261"/>
      <c r="I44" s="262">
        <v>2.3319999999999999</v>
      </c>
      <c r="J44" s="262"/>
      <c r="K44" s="262"/>
      <c r="L44" s="263">
        <v>93.2</v>
      </c>
      <c r="M44" s="253"/>
      <c r="N44" s="254"/>
      <c r="O44" s="253">
        <v>6.8</v>
      </c>
      <c r="P44" s="253"/>
      <c r="Q44" s="254"/>
      <c r="R44" s="390"/>
      <c r="S44" s="391"/>
      <c r="T44" s="391"/>
      <c r="U44" s="391"/>
      <c r="V44" s="391"/>
      <c r="W44" s="391"/>
      <c r="X44" s="391"/>
      <c r="Y44" s="392"/>
      <c r="Z44" s="11"/>
    </row>
    <row r="45" spans="1:26" ht="16.8" customHeight="1" x14ac:dyDescent="0.25">
      <c r="A45" s="9"/>
      <c r="B45" s="257">
        <v>17</v>
      </c>
      <c r="C45" s="258"/>
      <c r="D45" s="259"/>
      <c r="E45" s="260"/>
      <c r="F45" s="259"/>
      <c r="G45" s="260"/>
      <c r="H45" s="261"/>
      <c r="I45" s="262">
        <v>2.3279999999999998</v>
      </c>
      <c r="J45" s="262"/>
      <c r="K45" s="262"/>
      <c r="L45" s="263">
        <v>93</v>
      </c>
      <c r="M45" s="253"/>
      <c r="N45" s="254"/>
      <c r="O45" s="253">
        <v>7</v>
      </c>
      <c r="P45" s="253"/>
      <c r="Q45" s="254"/>
      <c r="R45" s="390"/>
      <c r="S45" s="391"/>
      <c r="T45" s="391"/>
      <c r="U45" s="391"/>
      <c r="V45" s="391"/>
      <c r="W45" s="391"/>
      <c r="X45" s="391"/>
      <c r="Y45" s="392"/>
      <c r="Z45" s="11"/>
    </row>
    <row r="46" spans="1:26" ht="16.8" customHeight="1" x14ac:dyDescent="0.25">
      <c r="A46" s="9"/>
      <c r="B46" s="257">
        <v>18</v>
      </c>
      <c r="C46" s="258"/>
      <c r="D46" s="259"/>
      <c r="E46" s="260"/>
      <c r="F46" s="259"/>
      <c r="G46" s="260"/>
      <c r="H46" s="261"/>
      <c r="I46" s="262">
        <v>2.355</v>
      </c>
      <c r="J46" s="262"/>
      <c r="K46" s="262"/>
      <c r="L46" s="263">
        <v>94.1</v>
      </c>
      <c r="M46" s="253"/>
      <c r="N46" s="254"/>
      <c r="O46" s="253">
        <v>5.9</v>
      </c>
      <c r="P46" s="253"/>
      <c r="Q46" s="254"/>
      <c r="R46" s="390"/>
      <c r="S46" s="391"/>
      <c r="T46" s="391"/>
      <c r="U46" s="391"/>
      <c r="V46" s="391"/>
      <c r="W46" s="391"/>
      <c r="X46" s="391"/>
      <c r="Y46" s="392"/>
      <c r="Z46" s="11"/>
    </row>
    <row r="47" spans="1:26" ht="16.8" customHeight="1" x14ac:dyDescent="0.25">
      <c r="A47" s="9"/>
      <c r="B47" s="257">
        <v>19</v>
      </c>
      <c r="C47" s="258"/>
      <c r="D47" s="259"/>
      <c r="E47" s="260"/>
      <c r="F47" s="259"/>
      <c r="G47" s="260"/>
      <c r="H47" s="261"/>
      <c r="I47" s="262">
        <v>2.327</v>
      </c>
      <c r="J47" s="262"/>
      <c r="K47" s="262"/>
      <c r="L47" s="263">
        <v>93</v>
      </c>
      <c r="M47" s="253"/>
      <c r="N47" s="254"/>
      <c r="O47" s="253">
        <v>7</v>
      </c>
      <c r="P47" s="253"/>
      <c r="Q47" s="254"/>
      <c r="R47" s="390"/>
      <c r="S47" s="391"/>
      <c r="T47" s="391"/>
      <c r="U47" s="391"/>
      <c r="V47" s="391"/>
      <c r="W47" s="391"/>
      <c r="X47" s="391"/>
      <c r="Y47" s="392"/>
      <c r="Z47" s="11"/>
    </row>
    <row r="48" spans="1:26" ht="16.8" customHeight="1" x14ac:dyDescent="0.25">
      <c r="A48" s="9"/>
      <c r="B48" s="257">
        <v>20</v>
      </c>
      <c r="C48" s="258"/>
      <c r="D48" s="259"/>
      <c r="E48" s="260"/>
      <c r="F48" s="259"/>
      <c r="G48" s="260"/>
      <c r="H48" s="261"/>
      <c r="I48" s="262">
        <v>2.3250000000000002</v>
      </c>
      <c r="J48" s="262"/>
      <c r="K48" s="262"/>
      <c r="L48" s="263">
        <v>92.9</v>
      </c>
      <c r="M48" s="253"/>
      <c r="N48" s="254"/>
      <c r="O48" s="253">
        <v>7.1</v>
      </c>
      <c r="P48" s="253"/>
      <c r="Q48" s="254"/>
      <c r="R48" s="393"/>
      <c r="S48" s="394"/>
      <c r="T48" s="394"/>
      <c r="U48" s="394"/>
      <c r="V48" s="394"/>
      <c r="W48" s="394"/>
      <c r="X48" s="394"/>
      <c r="Y48" s="395"/>
      <c r="Z48" s="11"/>
    </row>
    <row r="49" spans="1:29" ht="17.25" customHeight="1" x14ac:dyDescent="0.25">
      <c r="A49" s="9"/>
      <c r="B49" s="359"/>
      <c r="C49" s="360"/>
      <c r="D49" s="351"/>
      <c r="E49" s="352"/>
      <c r="F49" s="351"/>
      <c r="G49" s="352"/>
      <c r="H49" s="353"/>
      <c r="I49" s="282"/>
      <c r="J49" s="282"/>
      <c r="K49" s="282"/>
      <c r="L49" s="358"/>
      <c r="M49" s="356"/>
      <c r="N49" s="357"/>
      <c r="O49" s="356"/>
      <c r="P49" s="356"/>
      <c r="Q49" s="357"/>
      <c r="R49" s="354"/>
      <c r="S49" s="354"/>
      <c r="T49" s="354"/>
      <c r="U49" s="354"/>
      <c r="V49" s="354"/>
      <c r="W49" s="354"/>
      <c r="X49" s="354"/>
      <c r="Y49" s="355"/>
      <c r="Z49" s="11"/>
    </row>
    <row r="50" spans="1:29" ht="16.5" customHeight="1" x14ac:dyDescent="0.25">
      <c r="A50" s="9"/>
      <c r="B50" s="372" t="s">
        <v>58</v>
      </c>
      <c r="C50" s="373"/>
      <c r="D50" s="373"/>
      <c r="E50" s="373"/>
      <c r="F50" s="373"/>
      <c r="G50" s="373"/>
      <c r="H50" s="373"/>
      <c r="I50" s="362">
        <v>2.34</v>
      </c>
      <c r="J50" s="362"/>
      <c r="K50" s="362"/>
      <c r="L50" s="382">
        <v>93.33</v>
      </c>
      <c r="M50" s="382"/>
      <c r="N50" s="382"/>
      <c r="O50" s="382">
        <v>6.67</v>
      </c>
      <c r="P50" s="382"/>
      <c r="Q50" s="382"/>
      <c r="R50" s="363"/>
      <c r="S50" s="363"/>
      <c r="T50" s="363"/>
      <c r="U50" s="363"/>
      <c r="V50" s="363"/>
      <c r="W50" s="363"/>
      <c r="X50" s="363"/>
      <c r="Y50" s="364"/>
      <c r="Z50" s="11"/>
    </row>
    <row r="51" spans="1:29" ht="25.5" customHeight="1" x14ac:dyDescent="0.25">
      <c r="A51" s="9"/>
      <c r="B51" s="289" t="s">
        <v>59</v>
      </c>
      <c r="C51" s="290"/>
      <c r="D51" s="290"/>
      <c r="E51" s="290"/>
      <c r="F51" s="290"/>
      <c r="G51" s="290"/>
      <c r="H51" s="290"/>
      <c r="I51" s="369">
        <v>100</v>
      </c>
      <c r="J51" s="369"/>
      <c r="K51" s="369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1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60</v>
      </c>
      <c r="B54" s="24" t="s">
        <v>61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340" t="s">
        <v>62</v>
      </c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2"/>
      <c r="R55" s="276" t="s">
        <v>63</v>
      </c>
      <c r="S55" s="277"/>
      <c r="T55" s="278"/>
      <c r="U55" s="365" t="s">
        <v>64</v>
      </c>
      <c r="V55" s="366"/>
      <c r="W55" s="366"/>
      <c r="X55" s="367"/>
      <c r="Y55" s="367"/>
      <c r="Z55" s="368"/>
      <c r="AA55" s="27"/>
      <c r="AB55" s="27"/>
      <c r="AC55" s="27"/>
    </row>
    <row r="56" spans="1:29" ht="15.6" customHeight="1" x14ac:dyDescent="0.25">
      <c r="A56" s="302" t="s">
        <v>65</v>
      </c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4"/>
      <c r="R56" s="276" t="s">
        <v>66</v>
      </c>
      <c r="S56" s="277"/>
      <c r="T56" s="278"/>
      <c r="U56" s="264" t="s">
        <v>67</v>
      </c>
      <c r="V56" s="265"/>
      <c r="W56" s="265"/>
      <c r="X56" s="266"/>
      <c r="Y56" s="266"/>
      <c r="Z56" s="267"/>
      <c r="AA56" s="27"/>
      <c r="AB56" s="27"/>
      <c r="AC56" s="27"/>
    </row>
    <row r="57" spans="1:29" ht="15.6" customHeight="1" x14ac:dyDescent="0.25">
      <c r="A57" s="305"/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7"/>
      <c r="R57" s="276"/>
      <c r="S57" s="277"/>
      <c r="T57" s="278"/>
      <c r="U57" s="268"/>
      <c r="V57" s="269"/>
      <c r="W57" s="269"/>
      <c r="X57" s="270"/>
      <c r="Y57" s="270"/>
      <c r="Z57" s="271"/>
      <c r="AA57" s="27"/>
      <c r="AB57" s="27"/>
      <c r="AC57" s="27"/>
    </row>
    <row r="58" spans="1:29" ht="15.6" customHeight="1" x14ac:dyDescent="0.25">
      <c r="A58" s="40" t="s">
        <v>68</v>
      </c>
      <c r="B58" s="41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276"/>
      <c r="S58" s="277"/>
      <c r="T58" s="278"/>
      <c r="U58" s="272"/>
      <c r="V58" s="273"/>
      <c r="W58" s="273"/>
      <c r="X58" s="274"/>
      <c r="Y58" s="274"/>
      <c r="Z58" s="275"/>
      <c r="AA58" s="27"/>
      <c r="AB58" s="27"/>
      <c r="AC58" s="27"/>
    </row>
    <row r="59" spans="1:29" ht="15.6" customHeight="1" x14ac:dyDescent="0.25">
      <c r="A59" s="283"/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5"/>
      <c r="R59" s="276" t="s">
        <v>70</v>
      </c>
      <c r="S59" s="277"/>
      <c r="T59" s="278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283"/>
      <c r="B60" s="284"/>
      <c r="C60" s="284"/>
      <c r="D60" s="284"/>
      <c r="E60" s="284"/>
      <c r="F60" s="284"/>
      <c r="G60" s="284"/>
      <c r="H60" s="284"/>
      <c r="I60" s="284"/>
      <c r="J60" s="284"/>
      <c r="K60" s="284"/>
      <c r="L60" s="284"/>
      <c r="M60" s="284"/>
      <c r="N60" s="284"/>
      <c r="O60" s="284"/>
      <c r="P60" s="284"/>
      <c r="Q60" s="285"/>
      <c r="R60" s="276"/>
      <c r="S60" s="277"/>
      <c r="T60" s="278"/>
      <c r="U60" s="46"/>
      <c r="V60" s="269"/>
      <c r="W60" s="269"/>
      <c r="X60" s="269"/>
      <c r="Y60" s="269"/>
      <c r="Z60" s="47"/>
      <c r="AA60" s="27"/>
      <c r="AB60" s="27"/>
      <c r="AC60" s="27"/>
    </row>
    <row r="61" spans="1:29" ht="15.6" customHeight="1" x14ac:dyDescent="0.25">
      <c r="A61" s="283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5"/>
      <c r="R61" s="276"/>
      <c r="S61" s="277"/>
      <c r="T61" s="278"/>
      <c r="U61" s="46"/>
      <c r="V61" s="269"/>
      <c r="W61" s="269"/>
      <c r="X61" s="269"/>
      <c r="Y61" s="269"/>
      <c r="Z61" s="47"/>
      <c r="AA61" s="27"/>
      <c r="AB61" s="27"/>
      <c r="AC61" s="27"/>
    </row>
    <row r="62" spans="1:29" ht="15.6" customHeight="1" x14ac:dyDescent="0.25">
      <c r="A62" s="286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9"/>
      <c r="S62" s="280"/>
      <c r="T62" s="281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06">
    <mergeCell ref="O48:Q48"/>
    <mergeCell ref="B48:C48"/>
    <mergeCell ref="D48:E48"/>
    <mergeCell ref="F48:H48"/>
    <mergeCell ref="I48:K48"/>
    <mergeCell ref="L48:N48"/>
    <mergeCell ref="O46:Q46"/>
    <mergeCell ref="B47:C47"/>
    <mergeCell ref="D47:E47"/>
    <mergeCell ref="F47:H47"/>
    <mergeCell ref="I47:K47"/>
    <mergeCell ref="L47:N47"/>
    <mergeCell ref="O47:Q47"/>
    <mergeCell ref="B46:C46"/>
    <mergeCell ref="D46:E46"/>
    <mergeCell ref="F46:H46"/>
    <mergeCell ref="I46:K46"/>
    <mergeCell ref="L46:N46"/>
    <mergeCell ref="O44:Q44"/>
    <mergeCell ref="B45:C45"/>
    <mergeCell ref="D45:E45"/>
    <mergeCell ref="F45:H45"/>
    <mergeCell ref="I45:K45"/>
    <mergeCell ref="L45:N45"/>
    <mergeCell ref="O45:Q45"/>
    <mergeCell ref="B44:C44"/>
    <mergeCell ref="D44:E44"/>
    <mergeCell ref="F44:H44"/>
    <mergeCell ref="I44:K44"/>
    <mergeCell ref="L44:N44"/>
    <mergeCell ref="O42:Q42"/>
    <mergeCell ref="B43:C43"/>
    <mergeCell ref="D43:E43"/>
    <mergeCell ref="F43:H43"/>
    <mergeCell ref="I43:K43"/>
    <mergeCell ref="L43:N43"/>
    <mergeCell ref="O43:Q43"/>
    <mergeCell ref="B42:C42"/>
    <mergeCell ref="D42:E42"/>
    <mergeCell ref="F42:H42"/>
    <mergeCell ref="I42:K42"/>
    <mergeCell ref="L42:N42"/>
    <mergeCell ref="O40:Q40"/>
    <mergeCell ref="B41:C41"/>
    <mergeCell ref="D41:E41"/>
    <mergeCell ref="F41:H41"/>
    <mergeCell ref="I41:K41"/>
    <mergeCell ref="L41:N41"/>
    <mergeCell ref="O41:Q41"/>
    <mergeCell ref="B40:C40"/>
    <mergeCell ref="D40:E40"/>
    <mergeCell ref="F40:H40"/>
    <mergeCell ref="I40:K40"/>
    <mergeCell ref="L40:N40"/>
    <mergeCell ref="O38:Q38"/>
    <mergeCell ref="B39:C39"/>
    <mergeCell ref="D39:E39"/>
    <mergeCell ref="F39:H39"/>
    <mergeCell ref="I39:K39"/>
    <mergeCell ref="L39:N39"/>
    <mergeCell ref="O39:Q39"/>
    <mergeCell ref="B38:C38"/>
    <mergeCell ref="D38:E38"/>
    <mergeCell ref="F38:H38"/>
    <mergeCell ref="I38:K38"/>
    <mergeCell ref="L38:N38"/>
    <mergeCell ref="O36:Q36"/>
    <mergeCell ref="B37:C37"/>
    <mergeCell ref="D37:E37"/>
    <mergeCell ref="F37:H37"/>
    <mergeCell ref="I37:K37"/>
    <mergeCell ref="L37:N37"/>
    <mergeCell ref="O37:Q37"/>
    <mergeCell ref="B36:C36"/>
    <mergeCell ref="D36:E36"/>
    <mergeCell ref="F36:H36"/>
    <mergeCell ref="I36:K36"/>
    <mergeCell ref="L36:N36"/>
    <mergeCell ref="O34:Q34"/>
    <mergeCell ref="B35:C35"/>
    <mergeCell ref="D35:E35"/>
    <mergeCell ref="F35:H35"/>
    <mergeCell ref="I35:K35"/>
    <mergeCell ref="L35:N35"/>
    <mergeCell ref="O35:Q35"/>
    <mergeCell ref="B34:C34"/>
    <mergeCell ref="D34:E34"/>
    <mergeCell ref="F34:H34"/>
    <mergeCell ref="I34:K34"/>
    <mergeCell ref="L34:N34"/>
    <mergeCell ref="B33:C33"/>
    <mergeCell ref="D33:E33"/>
    <mergeCell ref="F33:H33"/>
    <mergeCell ref="I33:K33"/>
    <mergeCell ref="L33:N33"/>
    <mergeCell ref="O33:Q33"/>
    <mergeCell ref="B32:C32"/>
    <mergeCell ref="D32:E32"/>
    <mergeCell ref="F32:H32"/>
    <mergeCell ref="I32:K32"/>
    <mergeCell ref="I31:K31"/>
    <mergeCell ref="L31:N31"/>
    <mergeCell ref="O31:Q31"/>
    <mergeCell ref="B30:C30"/>
    <mergeCell ref="D30:E30"/>
    <mergeCell ref="F30:H30"/>
    <mergeCell ref="I30:K30"/>
    <mergeCell ref="L30:N30"/>
    <mergeCell ref="O32:Q32"/>
    <mergeCell ref="A56:Q57"/>
    <mergeCell ref="R56:T58"/>
    <mergeCell ref="R59:T62"/>
    <mergeCell ref="I49:K49"/>
    <mergeCell ref="F49:H49"/>
    <mergeCell ref="R49:Y49"/>
    <mergeCell ref="O49:Q49"/>
    <mergeCell ref="L49:N49"/>
    <mergeCell ref="A59:Q62"/>
    <mergeCell ref="B51:H51"/>
    <mergeCell ref="O50:Q50"/>
    <mergeCell ref="L50:N50"/>
    <mergeCell ref="U56:Z58"/>
    <mergeCell ref="V60:Y6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I27:K28"/>
    <mergeCell ref="O29:Q29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L27:N27"/>
    <mergeCell ref="O27:Q27"/>
    <mergeCell ref="O28:Q28"/>
    <mergeCell ref="I50:K50"/>
    <mergeCell ref="R50:Y50"/>
    <mergeCell ref="U55:Z55"/>
    <mergeCell ref="R55:T55"/>
    <mergeCell ref="R43:Y48"/>
    <mergeCell ref="O30:Q30"/>
    <mergeCell ref="B31:C31"/>
    <mergeCell ref="D31:E31"/>
    <mergeCell ref="F31:H31"/>
    <mergeCell ref="H25:P25"/>
    <mergeCell ref="S11:W11"/>
    <mergeCell ref="X11:Y11"/>
    <mergeCell ref="G11:L11"/>
    <mergeCell ref="B12:F12"/>
    <mergeCell ref="G12:L12"/>
    <mergeCell ref="B11:F11"/>
    <mergeCell ref="R29:Y37"/>
    <mergeCell ref="R38:Y42"/>
    <mergeCell ref="V22:X22"/>
    <mergeCell ref="B22:H22"/>
    <mergeCell ref="I22:M22"/>
    <mergeCell ref="O22:Q22"/>
    <mergeCell ref="Q25:T25"/>
    <mergeCell ref="S13:Y13"/>
    <mergeCell ref="F27:H27"/>
    <mergeCell ref="B29:C29"/>
    <mergeCell ref="D29:E29"/>
    <mergeCell ref="F29:H29"/>
    <mergeCell ref="I29:K29"/>
    <mergeCell ref="L29:N29"/>
    <mergeCell ref="L28:N28"/>
    <mergeCell ref="R27:Y28"/>
    <mergeCell ref="L32:N3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010824 BBSG</vt:lpstr>
      <vt:lpstr>220724</vt:lpstr>
      <vt:lpstr>170724</vt:lpstr>
      <vt:lpstr>150724</vt:lpstr>
      <vt:lpstr>'010824 BBSG'!Zone_d_impression</vt:lpstr>
      <vt:lpstr>'150724'!Zone_d_impression</vt:lpstr>
      <vt:lpstr>'170724'!Zone_d_impression</vt:lpstr>
      <vt:lpstr>'220724'!Zone_d_impression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2024-08-02T00:30:57Z</cp:lastPrinted>
  <dcterms:created xsi:type="dcterms:W3CDTF">2003-10-22T13:58:33Z</dcterms:created>
  <dcterms:modified xsi:type="dcterms:W3CDTF">2024-12-19T08:08:55Z</dcterms:modified>
  <cp:category/>
</cp:coreProperties>
</file>