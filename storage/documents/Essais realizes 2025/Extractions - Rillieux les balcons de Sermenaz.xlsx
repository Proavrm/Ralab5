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/>
  <mc:AlternateContent xmlns:mc="http://schemas.openxmlformats.org/markup-compatibility/2006">
    <mc:Choice Requires="x15">
      <x15ac:absPath xmlns:x15ac="http://schemas.microsoft.com/office/spreadsheetml/2010/11/ac" url="\\fs-ragsa\Services\Labo\St Priest\Chantiers 2025\69\RA L2HC Rillieux - Les Balcons de Sermenaz\Essais de laboratoire\Enrobés\"/>
    </mc:Choice>
  </mc:AlternateContent>
  <xr:revisionPtr revIDLastSave="0" documentId="13_ncr:1_{F5E219BC-DCB4-4AB8-B96A-6BBCBAECD9D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Nuit 17-181225 BBSG 110 Rouget" sheetId="12" r:id="rId1"/>
    <sheet name="Nuit 17-181225 GB 157 Rouget" sheetId="11" r:id="rId2"/>
    <sheet name="030723" sheetId="10" r:id="rId3"/>
    <sheet name="150622" sheetId="9" r:id="rId4"/>
  </sheets>
  <definedNames>
    <definedName name="_xlnm.Print_Area" localSheetId="2">'030723'!$A$1:$Z$72</definedName>
    <definedName name="_xlnm.Print_Area" localSheetId="3">'150622'!$A$1:$Z$72</definedName>
    <definedName name="_xlnm.Print_Area" localSheetId="0">'Nuit 17-181225 BBSG 110 Rouget'!$A$1:$Z$72</definedName>
    <definedName name="_xlnm.Print_Area" localSheetId="1">'Nuit 17-181225 GB 157 Rouget'!$A$1:$Z$72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60" i="12" l="1"/>
  <c r="L60" i="12"/>
  <c r="J60" i="12"/>
  <c r="E60" i="12"/>
  <c r="W59" i="12"/>
  <c r="L59" i="12"/>
  <c r="J59" i="12"/>
  <c r="E59" i="12"/>
  <c r="AD58" i="12"/>
  <c r="AB58" i="12"/>
  <c r="W57" i="12"/>
  <c r="AB57" i="12" s="1"/>
  <c r="U57" i="12"/>
  <c r="T57" i="12"/>
  <c r="S57" i="12"/>
  <c r="O57" i="12"/>
  <c r="N57" i="12"/>
  <c r="M57" i="12"/>
  <c r="L57" i="12"/>
  <c r="K57" i="12"/>
  <c r="J57" i="12"/>
  <c r="I57" i="12"/>
  <c r="H57" i="12"/>
  <c r="G57" i="12"/>
  <c r="F57" i="12"/>
  <c r="E57" i="12"/>
  <c r="AD56" i="12"/>
  <c r="AE56" i="12" s="1"/>
  <c r="AD54" i="12"/>
  <c r="AB54" i="12"/>
  <c r="Y54" i="12"/>
  <c r="AD53" i="12"/>
  <c r="AB53" i="12"/>
  <c r="Y53" i="12"/>
  <c r="AD52" i="12"/>
  <c r="AB52" i="12"/>
  <c r="AD51" i="12"/>
  <c r="AB51" i="12"/>
  <c r="W60" i="11"/>
  <c r="L60" i="11"/>
  <c r="J60" i="11"/>
  <c r="E60" i="11"/>
  <c r="W59" i="11"/>
  <c r="L59" i="11"/>
  <c r="J59" i="11"/>
  <c r="E59" i="11"/>
  <c r="AD58" i="11"/>
  <c r="AB58" i="11"/>
  <c r="W57" i="11"/>
  <c r="AB57" i="11" s="1"/>
  <c r="U57" i="11"/>
  <c r="T57" i="11"/>
  <c r="S57" i="11"/>
  <c r="Q57" i="11"/>
  <c r="P57" i="11"/>
  <c r="O57" i="11"/>
  <c r="N57" i="11"/>
  <c r="M57" i="11"/>
  <c r="L57" i="11"/>
  <c r="K57" i="11"/>
  <c r="J57" i="11"/>
  <c r="I57" i="11"/>
  <c r="H57" i="11"/>
  <c r="G57" i="11"/>
  <c r="F57" i="11"/>
  <c r="E57" i="11"/>
  <c r="AD56" i="11"/>
  <c r="AE56" i="11" s="1"/>
  <c r="AD54" i="11"/>
  <c r="AB54" i="11"/>
  <c r="Y54" i="11"/>
  <c r="AD53" i="11"/>
  <c r="AB53" i="11"/>
  <c r="Y53" i="11"/>
  <c r="AD52" i="11"/>
  <c r="AB52" i="11"/>
  <c r="AD51" i="11"/>
  <c r="AB51" i="11"/>
  <c r="W60" i="10"/>
  <c r="L60" i="10"/>
  <c r="J60" i="10"/>
  <c r="E60" i="10"/>
  <c r="W59" i="10"/>
  <c r="L59" i="10"/>
  <c r="J59" i="10"/>
  <c r="E59" i="10"/>
  <c r="AD58" i="10"/>
  <c r="AB58" i="10"/>
  <c r="W57" i="10"/>
  <c r="AB57" i="10" s="1"/>
  <c r="U57" i="10"/>
  <c r="T57" i="10"/>
  <c r="S57" i="10"/>
  <c r="O57" i="10"/>
  <c r="N57" i="10"/>
  <c r="M57" i="10"/>
  <c r="L57" i="10"/>
  <c r="K57" i="10"/>
  <c r="J57" i="10"/>
  <c r="I57" i="10"/>
  <c r="H57" i="10"/>
  <c r="G57" i="10"/>
  <c r="F57" i="10"/>
  <c r="E57" i="10"/>
  <c r="AD56" i="10"/>
  <c r="AE56" i="10" s="1"/>
  <c r="AD54" i="10"/>
  <c r="AB54" i="10"/>
  <c r="Y54" i="10"/>
  <c r="AD53" i="10"/>
  <c r="AB53" i="10"/>
  <c r="Y53" i="10"/>
  <c r="AD52" i="10"/>
  <c r="AB52" i="10"/>
  <c r="AD51" i="10"/>
  <c r="AB51" i="10"/>
  <c r="Q57" i="9"/>
  <c r="AE58" i="12" l="1"/>
  <c r="Y58" i="12" s="1"/>
  <c r="AE54" i="12"/>
  <c r="AE52" i="12"/>
  <c r="Y52" i="12" s="1"/>
  <c r="AE53" i="12"/>
  <c r="AD57" i="12"/>
  <c r="AE57" i="12" s="1"/>
  <c r="AE51" i="12"/>
  <c r="Y51" i="12" s="1"/>
  <c r="AE53" i="11"/>
  <c r="AD57" i="11"/>
  <c r="AE57" i="11" s="1"/>
  <c r="AE54" i="11"/>
  <c r="AE58" i="11"/>
  <c r="Y58" i="11" s="1"/>
  <c r="AE51" i="11"/>
  <c r="Y51" i="11" s="1"/>
  <c r="AE52" i="11"/>
  <c r="Y52" i="11" s="1"/>
  <c r="AE54" i="10"/>
  <c r="AE52" i="10"/>
  <c r="Y52" i="10" s="1"/>
  <c r="AE53" i="10"/>
  <c r="AE51" i="10"/>
  <c r="Y51" i="10" s="1"/>
  <c r="AD57" i="10"/>
  <c r="AE57" i="10" s="1"/>
  <c r="AE58" i="10"/>
  <c r="Y58" i="10" s="1"/>
  <c r="L59" i="9"/>
  <c r="L60" i="9"/>
  <c r="Y57" i="12" l="1"/>
  <c r="Y57" i="11"/>
  <c r="Y57" i="10"/>
  <c r="U57" i="9"/>
  <c r="W57" i="9"/>
  <c r="AD56" i="9" l="1"/>
  <c r="AE56" i="9" s="1"/>
  <c r="AD58" i="9"/>
  <c r="AD52" i="9"/>
  <c r="AD53" i="9"/>
  <c r="AD54" i="9"/>
  <c r="AD51" i="9"/>
  <c r="AB57" i="9" l="1"/>
  <c r="AB54" i="9"/>
  <c r="AE54" i="9" s="1"/>
  <c r="AB53" i="9"/>
  <c r="AE53" i="9" s="1"/>
  <c r="AB52" i="9"/>
  <c r="AE52" i="9" s="1"/>
  <c r="AB51" i="9"/>
  <c r="AB58" i="9"/>
  <c r="W60" i="9"/>
  <c r="W59" i="9"/>
  <c r="Y53" i="9"/>
  <c r="AE58" i="9" l="1"/>
  <c r="Y58" i="9" s="1"/>
  <c r="AE51" i="9"/>
  <c r="Y51" i="9" s="1"/>
  <c r="Y52" i="9"/>
  <c r="Y54" i="9"/>
  <c r="J60" i="9"/>
  <c r="J59" i="9"/>
  <c r="E60" i="9"/>
  <c r="E59" i="9"/>
  <c r="Y57" i="9" l="1"/>
  <c r="J57" i="9"/>
  <c r="P57" i="9"/>
  <c r="E57" i="9"/>
  <c r="F57" i="9"/>
  <c r="G57" i="9"/>
  <c r="H57" i="9"/>
  <c r="I57" i="9"/>
  <c r="K57" i="9"/>
  <c r="L57" i="9"/>
  <c r="M57" i="9"/>
  <c r="N57" i="9"/>
  <c r="O57" i="9"/>
  <c r="S57" i="9"/>
  <c r="T57" i="9"/>
  <c r="AD57" i="9" l="1"/>
  <c r="AE57" i="9" s="1"/>
</calcChain>
</file>

<file path=xl/sharedStrings.xml><?xml version="1.0" encoding="utf-8"?>
<sst xmlns="http://schemas.openxmlformats.org/spreadsheetml/2006/main" count="262" uniqueCount="74">
  <si>
    <t>RENSEIGNEMENTS GENERAUX</t>
  </si>
  <si>
    <t>1/</t>
  </si>
  <si>
    <t>2/</t>
  </si>
  <si>
    <t>5/</t>
  </si>
  <si>
    <t>4/</t>
  </si>
  <si>
    <t>COMMENTAIRES</t>
  </si>
  <si>
    <t>Date de l'essai :</t>
  </si>
  <si>
    <t>Moyenne</t>
  </si>
  <si>
    <t>Mini</t>
  </si>
  <si>
    <t>Théorique</t>
  </si>
  <si>
    <t>Heure</t>
  </si>
  <si>
    <t>Analyse granulométrique</t>
  </si>
  <si>
    <t>teneur en liant</t>
  </si>
  <si>
    <t>Module  richesse</t>
  </si>
  <si>
    <t>surface spécifique</t>
  </si>
  <si>
    <t>module de richesse</t>
  </si>
  <si>
    <t>MVR granulats:</t>
  </si>
  <si>
    <t>RESULTATS DES ESSAIS</t>
  </si>
  <si>
    <t>CRITERES DE CONFORMITE</t>
  </si>
  <si>
    <t>Source des critères :</t>
  </si>
  <si>
    <t>Définition des critères / objectifs :</t>
  </si>
  <si>
    <t>CONCLUSIONS</t>
  </si>
  <si>
    <t xml:space="preserve">N° </t>
  </si>
  <si>
    <t>Seuil maxi</t>
  </si>
  <si>
    <t>Seuil mini</t>
  </si>
  <si>
    <t>Fonction</t>
  </si>
  <si>
    <t>Visa</t>
  </si>
  <si>
    <t>Méthode d'essai :</t>
  </si>
  <si>
    <t>Opérateur :</t>
  </si>
  <si>
    <t>Date de mise en œuvre :</t>
  </si>
  <si>
    <t>Couche de :</t>
  </si>
  <si>
    <t>Lieu de fabrication :</t>
  </si>
  <si>
    <t>Nom</t>
  </si>
  <si>
    <t>Région Rhône Alpes - 29-31 rue des Tâches - ZI Mi-Plaine - 69800 SAINT PRIEST</t>
  </si>
  <si>
    <t>COMPTE RENDU D'ESSAIS</t>
  </si>
  <si>
    <t>n°</t>
  </si>
  <si>
    <t>Chrono</t>
  </si>
  <si>
    <t>N° d'affaire</t>
  </si>
  <si>
    <t>Date de rédaction</t>
  </si>
  <si>
    <t>Laboratoire :</t>
  </si>
  <si>
    <t>CONTRÔLE DE FABRICATION DES ENROBES
 (NF EN 12697-1/ NF EN 12697-2)</t>
  </si>
  <si>
    <t>CFE</t>
  </si>
  <si>
    <t>Appellation européenne :</t>
  </si>
  <si>
    <t>Appellation française :</t>
  </si>
  <si>
    <t xml:space="preserve">Code formule : </t>
  </si>
  <si>
    <t>Destination du produit</t>
  </si>
  <si>
    <t>Teneur en liant ext</t>
  </si>
  <si>
    <t>&gt; 3,4</t>
  </si>
  <si>
    <t>température mesurée</t>
  </si>
  <si>
    <t>Contrôle :</t>
  </si>
  <si>
    <t>Extracteur automatique - NEBA</t>
  </si>
  <si>
    <t>RA L2HC</t>
  </si>
  <si>
    <t>Rillieux - Les balcons de Sermenaz</t>
  </si>
  <si>
    <t>F. Montet</t>
  </si>
  <si>
    <t>EB 14 ASSISE 35/50</t>
  </si>
  <si>
    <t>GB 0/14 Cl3</t>
  </si>
  <si>
    <t>P2R</t>
  </si>
  <si>
    <t xml:space="preserve">Voiries </t>
  </si>
  <si>
    <t>Base</t>
  </si>
  <si>
    <t>Conforme</t>
  </si>
  <si>
    <t>F. MONTET</t>
  </si>
  <si>
    <t>Technicien de laboratoire</t>
  </si>
  <si>
    <t>09:00</t>
  </si>
  <si>
    <t>10:05</t>
  </si>
  <si>
    <t>EB 10 ROUL 35/50</t>
  </si>
  <si>
    <t>BBSG 0/10 Cl3</t>
  </si>
  <si>
    <t>Roulement</t>
  </si>
  <si>
    <t>10:45</t>
  </si>
  <si>
    <t>12:05</t>
  </si>
  <si>
    <t>Nuit 17-18/12/2025</t>
  </si>
  <si>
    <t>Cours Rouget de l Isle</t>
  </si>
  <si>
    <t>21:45</t>
  </si>
  <si>
    <t>23:55</t>
  </si>
  <si>
    <t>EB 14 ASSISE 50/70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</si>
</sst>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6" x14ac:knownFonts="1">
    <font>
      <sz val="10"/>
      <name val="Arial"/>
    </font>
    <font>
      <sz val="10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b/>
      <sz val="11"/>
      <name val="Century Gothic"/>
      <family val="2"/>
    </font>
    <font>
      <b/>
      <sz val="12"/>
      <name val="Century Gothic"/>
      <family val="2"/>
    </font>
    <font>
      <sz val="8"/>
      <name val="Century Gothic"/>
      <family val="2"/>
    </font>
    <font>
      <sz val="12"/>
      <name val="Century Gothic"/>
      <family val="2"/>
    </font>
    <font>
      <sz val="11"/>
      <name val="Century Gothic"/>
      <family val="2"/>
    </font>
    <font>
      <b/>
      <u/>
      <sz val="12"/>
      <name val="Century Gothic"/>
      <family val="2"/>
    </font>
    <font>
      <u/>
      <sz val="10"/>
      <name val="Century Gothic"/>
      <family val="2"/>
    </font>
    <font>
      <b/>
      <sz val="10"/>
      <color indexed="10"/>
      <name val="Century Gothic"/>
      <family val="2"/>
    </font>
    <font>
      <b/>
      <sz val="8"/>
      <name val="Century Gothic"/>
      <family val="2"/>
    </font>
    <font>
      <b/>
      <u/>
      <sz val="11"/>
      <name val="Century Gothic"/>
      <family val="2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color indexed="10"/>
      <name val="Arial"/>
      <family val="2"/>
    </font>
    <font>
      <b/>
      <sz val="12"/>
      <color rgb="FF000000"/>
      <name val="Century Gothic"/>
      <family val="2"/>
    </font>
    <font>
      <sz val="10"/>
      <color rgb="FF000000"/>
      <name val="Arial"/>
      <family val="2"/>
    </font>
    <font>
      <sz val="10"/>
      <color rgb="FF000000"/>
      <name val="Century Gothic"/>
      <family val="2"/>
    </font>
    <font>
      <sz val="8"/>
      <color rgb="FF000000"/>
      <name val="Century Gothic"/>
      <family val="2"/>
    </font>
    <font>
      <sz val="10"/>
      <color rgb="FF000000"/>
      <name val="Arial"/>
    </font>
    <font>
      <sz val="10"/>
      <color rgb="FF000000"/>
      <name val="Century Gothic"/>
    </font>
    <font>
      <sz val="8"/>
      <color rgb="FF000000"/>
      <name val="Century Gothic"/>
    </font>
    <font>
      <sz val="11"/>
      <color rgb="FF000000"/>
      <name val="Century Gothic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6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dashed">
        <color rgb="FF000000"/>
      </top>
      <bottom/>
      <diagonal/>
    </border>
    <border>
      <left/>
      <right/>
      <top style="dashed">
        <color rgb="FF000000"/>
      </top>
      <bottom/>
      <diagonal/>
    </border>
    <border>
      <left/>
      <right style="thin">
        <color rgb="FF000000"/>
      </right>
      <top style="dashed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">
    <xf numFmtId="0" fontId="0" fillId="0" borderId="0"/>
    <xf numFmtId="0" fontId="14" fillId="0" borderId="0"/>
    <xf numFmtId="0" fontId="19" fillId="0" borderId="0"/>
    <xf numFmtId="0" fontId="22" fillId="0" borderId="0"/>
  </cellStyleXfs>
  <cellXfs count="325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 applyProtection="1">
      <alignment horizontal="right" vertical="center"/>
      <protection hidden="1"/>
    </xf>
    <xf numFmtId="0" fontId="1" fillId="0" borderId="6" xfId="0" applyFont="1" applyBorder="1" applyAlignment="1" applyProtection="1">
      <alignment vertical="center"/>
      <protection hidden="1"/>
    </xf>
    <xf numFmtId="0" fontId="1" fillId="0" borderId="7" xfId="0" applyFont="1" applyBorder="1" applyAlignment="1" applyProtection="1">
      <alignment vertical="center"/>
      <protection hidden="1"/>
    </xf>
    <xf numFmtId="0" fontId="1" fillId="0" borderId="5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5" fillId="0" borderId="27" xfId="0" applyFont="1" applyBorder="1" applyAlignment="1" applyProtection="1">
      <alignment horizontal="center" vertical="center"/>
      <protection hidden="1"/>
    </xf>
    <xf numFmtId="0" fontId="9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horizontal="center" vertical="center"/>
      <protection hidden="1"/>
    </xf>
    <xf numFmtId="0" fontId="1" fillId="0" borderId="28" xfId="0" applyFont="1" applyBorder="1" applyAlignment="1" applyProtection="1">
      <alignment vertical="center"/>
      <protection hidden="1"/>
    </xf>
    <xf numFmtId="0" fontId="7" fillId="0" borderId="0" xfId="0" applyFont="1" applyAlignment="1" applyProtection="1">
      <alignment vertical="center"/>
      <protection locked="0"/>
    </xf>
    <xf numFmtId="0" fontId="1" fillId="0" borderId="5" xfId="0" applyFont="1" applyBorder="1" applyAlignment="1" applyProtection="1">
      <alignment vertical="center"/>
      <protection hidden="1"/>
    </xf>
    <xf numFmtId="0" fontId="1" fillId="0" borderId="0" xfId="0" applyFont="1" applyAlignment="1" applyProtection="1">
      <alignment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8" xfId="0" applyFont="1" applyBorder="1" applyAlignment="1" applyProtection="1">
      <alignment vertical="center"/>
      <protection hidden="1"/>
    </xf>
    <xf numFmtId="0" fontId="8" fillId="0" borderId="8" xfId="0" applyFont="1" applyBorder="1" applyAlignment="1" applyProtection="1">
      <alignment horizontal="left" vertical="center"/>
      <protection hidden="1"/>
    </xf>
    <xf numFmtId="0" fontId="1" fillId="0" borderId="5" xfId="0" applyFont="1" applyBorder="1" applyAlignment="1">
      <alignment horizontal="center" vertical="center"/>
    </xf>
    <xf numFmtId="0" fontId="7" fillId="0" borderId="8" xfId="0" applyFont="1" applyBorder="1" applyAlignment="1" applyProtection="1">
      <alignment vertical="center"/>
      <protection locked="0"/>
    </xf>
    <xf numFmtId="0" fontId="8" fillId="0" borderId="0" xfId="0" applyFont="1" applyAlignment="1">
      <alignment horizontal="left" vertical="center"/>
    </xf>
    <xf numFmtId="0" fontId="1" fillId="0" borderId="0" xfId="0" applyFont="1" applyAlignment="1" applyProtection="1">
      <alignment horizontal="left" vertical="center"/>
      <protection locked="0"/>
    </xf>
    <xf numFmtId="0" fontId="1" fillId="0" borderId="0" xfId="0" applyFont="1" applyAlignment="1" applyProtection="1">
      <alignment vertical="center"/>
      <protection locked="0"/>
    </xf>
    <xf numFmtId="0" fontId="1" fillId="0" borderId="8" xfId="0" applyFont="1" applyBorder="1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vertical="center"/>
    </xf>
    <xf numFmtId="0" fontId="1" fillId="0" borderId="7" xfId="0" applyFont="1" applyBorder="1" applyAlignment="1">
      <alignment horizontal="left" vertical="center"/>
    </xf>
    <xf numFmtId="0" fontId="1" fillId="0" borderId="29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5" fillId="0" borderId="0" xfId="0" applyFont="1" applyAlignment="1" applyProtection="1">
      <alignment vertical="center"/>
      <protection hidden="1"/>
    </xf>
    <xf numFmtId="0" fontId="1" fillId="0" borderId="29" xfId="0" applyFont="1" applyBorder="1" applyAlignment="1" applyProtection="1">
      <alignment vertical="center"/>
      <protection hidden="1"/>
    </xf>
    <xf numFmtId="0" fontId="5" fillId="0" borderId="27" xfId="0" applyFont="1" applyBorder="1" applyAlignment="1">
      <alignment horizontal="center" vertical="center"/>
    </xf>
    <xf numFmtId="0" fontId="9" fillId="0" borderId="4" xfId="0" applyFont="1" applyBorder="1" applyAlignment="1">
      <alignment vertical="center"/>
    </xf>
    <xf numFmtId="0" fontId="10" fillId="0" borderId="4" xfId="0" applyFont="1" applyBorder="1" applyAlignment="1">
      <alignment vertical="center"/>
    </xf>
    <xf numFmtId="0" fontId="10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1" fillId="0" borderId="28" xfId="0" applyFont="1" applyBorder="1" applyAlignment="1">
      <alignment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2" fillId="0" borderId="3" xfId="0" applyFont="1" applyBorder="1" applyAlignment="1" applyProtection="1">
      <alignment horizontal="center" vertical="center"/>
      <protection locked="0"/>
    </xf>
    <xf numFmtId="0" fontId="2" fillId="0" borderId="15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164" fontId="6" fillId="0" borderId="0" xfId="0" applyNumberFormat="1" applyFont="1" applyAlignment="1">
      <alignment vertical="center"/>
    </xf>
    <xf numFmtId="164" fontId="12" fillId="0" borderId="10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1" fillId="0" borderId="47" xfId="0" applyFont="1" applyBorder="1" applyAlignment="1">
      <alignment vertical="center"/>
    </xf>
    <xf numFmtId="0" fontId="5" fillId="0" borderId="45" xfId="0" applyFont="1" applyBorder="1" applyAlignment="1" applyProtection="1">
      <alignment horizontal="center" vertical="center"/>
      <protection hidden="1"/>
    </xf>
    <xf numFmtId="0" fontId="9" fillId="0" borderId="46" xfId="0" applyFont="1" applyBorder="1" applyAlignment="1" applyProtection="1">
      <alignment vertical="center"/>
      <protection hidden="1"/>
    </xf>
    <xf numFmtId="0" fontId="10" fillId="0" borderId="46" xfId="0" applyFont="1" applyBorder="1" applyAlignment="1" applyProtection="1">
      <alignment vertical="center"/>
      <protection hidden="1"/>
    </xf>
    <xf numFmtId="0" fontId="1" fillId="0" borderId="46" xfId="0" applyFont="1" applyBorder="1" applyAlignment="1" applyProtection="1">
      <alignment vertical="center"/>
      <protection hidden="1"/>
    </xf>
    <xf numFmtId="0" fontId="13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0" fontId="8" fillId="0" borderId="0" xfId="0" applyFont="1" applyAlignment="1" applyProtection="1">
      <alignment vertical="center" wrapText="1"/>
      <protection locked="0"/>
    </xf>
    <xf numFmtId="0" fontId="5" fillId="0" borderId="5" xfId="0" applyFont="1" applyBorder="1" applyAlignment="1" applyProtection="1">
      <alignment horizontal="center" vertical="center"/>
      <protection hidden="1"/>
    </xf>
    <xf numFmtId="0" fontId="9" fillId="0" borderId="0" xfId="0" applyFont="1" applyAlignment="1" applyProtection="1">
      <alignment vertical="center"/>
      <protection hidden="1"/>
    </xf>
    <xf numFmtId="0" fontId="7" fillId="0" borderId="0" xfId="0" applyFont="1" applyAlignment="1" applyProtection="1">
      <alignment vertical="center"/>
      <protection hidden="1"/>
    </xf>
    <xf numFmtId="0" fontId="7" fillId="0" borderId="8" xfId="0" applyFont="1" applyBorder="1" applyAlignment="1" applyProtection="1">
      <alignment vertical="center"/>
      <protection hidden="1"/>
    </xf>
    <xf numFmtId="0" fontId="1" fillId="0" borderId="0" xfId="0" applyFont="1" applyAlignment="1" applyProtection="1">
      <alignment vertical="center" wrapText="1"/>
      <protection locked="0"/>
    </xf>
    <xf numFmtId="2" fontId="1" fillId="0" borderId="0" xfId="0" applyNumberFormat="1" applyFont="1" applyAlignment="1">
      <alignment horizontal="center" vertical="center"/>
    </xf>
    <xf numFmtId="0" fontId="15" fillId="2" borderId="14" xfId="1" applyFont="1" applyFill="1" applyBorder="1" applyAlignment="1" applyProtection="1">
      <alignment horizontal="center" vertical="center"/>
      <protection hidden="1"/>
    </xf>
    <xf numFmtId="2" fontId="15" fillId="2" borderId="33" xfId="1" applyNumberFormat="1" applyFont="1" applyFill="1" applyBorder="1" applyAlignment="1" applyProtection="1">
      <alignment horizontal="center" vertical="center"/>
      <protection hidden="1"/>
    </xf>
    <xf numFmtId="0" fontId="15" fillId="2" borderId="36" xfId="1" applyFont="1" applyFill="1" applyBorder="1" applyAlignment="1" applyProtection="1">
      <alignment vertical="center"/>
      <protection hidden="1"/>
    </xf>
    <xf numFmtId="0" fontId="1" fillId="0" borderId="17" xfId="0" applyFont="1" applyBorder="1" applyAlignment="1">
      <alignment vertical="center"/>
    </xf>
    <xf numFmtId="0" fontId="15" fillId="2" borderId="21" xfId="1" applyFont="1" applyFill="1" applyBorder="1" applyAlignment="1" applyProtection="1">
      <alignment vertical="center"/>
      <protection hidden="1"/>
    </xf>
    <xf numFmtId="0" fontId="15" fillId="2" borderId="24" xfId="1" applyFont="1" applyFill="1" applyBorder="1" applyAlignment="1" applyProtection="1">
      <alignment vertical="center"/>
      <protection hidden="1"/>
    </xf>
    <xf numFmtId="0" fontId="15" fillId="2" borderId="37" xfId="1" applyFont="1" applyFill="1" applyBorder="1" applyAlignment="1" applyProtection="1">
      <alignment vertical="center"/>
      <protection hidden="1"/>
    </xf>
    <xf numFmtId="0" fontId="12" fillId="0" borderId="49" xfId="0" applyFont="1" applyBorder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left" vertical="center"/>
      <protection hidden="1"/>
    </xf>
    <xf numFmtId="0" fontId="8" fillId="0" borderId="0" xfId="0" applyFont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7" fillId="0" borderId="0" xfId="0" applyFont="1" applyAlignment="1" applyProtection="1">
      <alignment horizontal="center" vertical="center"/>
      <protection hidden="1"/>
    </xf>
    <xf numFmtId="2" fontId="1" fillId="0" borderId="0" xfId="0" applyNumberFormat="1" applyFont="1" applyAlignment="1" applyProtection="1">
      <alignment horizontal="center" vertical="center"/>
      <protection locked="0"/>
    </xf>
    <xf numFmtId="0" fontId="13" fillId="0" borderId="0" xfId="0" applyFont="1" applyAlignment="1" applyProtection="1">
      <alignment horizontal="center" vertical="center" wrapText="1"/>
      <protection hidden="1"/>
    </xf>
    <xf numFmtId="0" fontId="6" fillId="0" borderId="0" xfId="0" applyFont="1" applyAlignment="1">
      <alignment horizontal="center" vertical="center" wrapText="1"/>
    </xf>
    <xf numFmtId="2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5" fillId="2" borderId="13" xfId="1" applyFont="1" applyFill="1" applyBorder="1" applyAlignment="1" applyProtection="1">
      <alignment vertical="center"/>
      <protection locked="0"/>
    </xf>
    <xf numFmtId="0" fontId="15" fillId="2" borderId="0" xfId="1" applyFont="1" applyFill="1" applyAlignment="1" applyProtection="1">
      <alignment vertical="center"/>
      <protection locked="0"/>
    </xf>
    <xf numFmtId="0" fontId="1" fillId="0" borderId="44" xfId="0" applyFont="1" applyBorder="1" applyAlignment="1">
      <alignment vertical="center"/>
    </xf>
    <xf numFmtId="164" fontId="6" fillId="0" borderId="17" xfId="0" applyNumberFormat="1" applyFont="1" applyBorder="1" applyAlignment="1">
      <alignment vertical="center"/>
    </xf>
    <xf numFmtId="165" fontId="12" fillId="0" borderId="2" xfId="0" applyNumberFormat="1" applyFont="1" applyBorder="1" applyAlignment="1" applyProtection="1">
      <alignment horizontal="center" vertical="center"/>
      <protection locked="0"/>
    </xf>
    <xf numFmtId="164" fontId="1" fillId="0" borderId="19" xfId="0" applyNumberFormat="1" applyFont="1" applyBorder="1" applyAlignment="1">
      <alignment horizontal="center" vertical="center" wrapText="1"/>
    </xf>
    <xf numFmtId="164" fontId="1" fillId="0" borderId="36" xfId="0" applyNumberFormat="1" applyFont="1" applyBorder="1" applyAlignment="1" applyProtection="1">
      <alignment horizontal="center" vertical="center"/>
      <protection locked="0"/>
    </xf>
    <xf numFmtId="164" fontId="1" fillId="0" borderId="19" xfId="0" applyNumberFormat="1" applyFont="1" applyBorder="1" applyAlignment="1" applyProtection="1">
      <alignment horizontal="center" vertical="center"/>
      <protection locked="0"/>
    </xf>
    <xf numFmtId="164" fontId="1" fillId="0" borderId="34" xfId="0" applyNumberFormat="1" applyFont="1" applyBorder="1" applyAlignment="1" applyProtection="1">
      <alignment horizontal="center" vertical="center"/>
      <protection locked="0"/>
    </xf>
    <xf numFmtId="164" fontId="1" fillId="0" borderId="25" xfId="0" applyNumberFormat="1" applyFont="1" applyBorder="1" applyAlignment="1">
      <alignment horizontal="center" vertical="center" wrapText="1"/>
    </xf>
    <xf numFmtId="164" fontId="1" fillId="0" borderId="37" xfId="0" applyNumberFormat="1" applyFont="1" applyBorder="1" applyAlignment="1" applyProtection="1">
      <alignment horizontal="center" vertical="center"/>
      <protection locked="0"/>
    </xf>
    <xf numFmtId="164" fontId="1" fillId="0" borderId="25" xfId="0" applyNumberFormat="1" applyFont="1" applyBorder="1" applyAlignment="1" applyProtection="1">
      <alignment horizontal="center" vertical="center"/>
      <protection locked="0"/>
    </xf>
    <xf numFmtId="164" fontId="1" fillId="0" borderId="38" xfId="0" applyNumberFormat="1" applyFont="1" applyBorder="1" applyAlignment="1" applyProtection="1">
      <alignment horizontal="center" vertical="center"/>
      <protection locked="0"/>
    </xf>
    <xf numFmtId="164" fontId="2" fillId="0" borderId="20" xfId="0" applyNumberFormat="1" applyFont="1" applyBorder="1" applyAlignment="1">
      <alignment horizontal="center" vertical="center"/>
    </xf>
    <xf numFmtId="164" fontId="2" fillId="0" borderId="31" xfId="0" applyNumberFormat="1" applyFont="1" applyBorder="1" applyAlignment="1">
      <alignment horizontal="center" vertical="center"/>
    </xf>
    <xf numFmtId="164" fontId="11" fillId="0" borderId="23" xfId="0" applyNumberFormat="1" applyFont="1" applyBorder="1" applyAlignment="1">
      <alignment horizontal="center" vertical="center"/>
    </xf>
    <xf numFmtId="164" fontId="11" fillId="0" borderId="27" xfId="0" applyNumberFormat="1" applyFont="1" applyBorder="1" applyAlignment="1">
      <alignment horizontal="center" vertical="center"/>
    </xf>
    <xf numFmtId="164" fontId="1" fillId="0" borderId="26" xfId="0" applyNumberFormat="1" applyFont="1" applyBorder="1" applyAlignment="1" applyProtection="1">
      <alignment horizontal="center" vertical="center"/>
      <protection locked="0"/>
    </xf>
    <xf numFmtId="0" fontId="1" fillId="0" borderId="26" xfId="0" applyFont="1" applyBorder="1" applyAlignment="1" applyProtection="1">
      <alignment horizontal="center" vertical="center"/>
      <protection locked="0"/>
    </xf>
    <xf numFmtId="0" fontId="1" fillId="0" borderId="42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left" vertical="center"/>
      <protection hidden="1"/>
    </xf>
    <xf numFmtId="164" fontId="21" fillId="0" borderId="62" xfId="2" applyNumberFormat="1" applyFont="1" applyBorder="1" applyAlignment="1" applyProtection="1">
      <alignment horizontal="center" vertical="center"/>
      <protection locked="0"/>
    </xf>
    <xf numFmtId="164" fontId="20" fillId="0" borderId="66" xfId="2" applyNumberFormat="1" applyFont="1" applyBorder="1" applyAlignment="1">
      <alignment horizontal="center" vertical="center" wrapText="1"/>
    </xf>
    <xf numFmtId="164" fontId="20" fillId="0" borderId="64" xfId="2" applyNumberFormat="1" applyFont="1" applyBorder="1" applyAlignment="1" applyProtection="1">
      <alignment horizontal="center" vertical="center"/>
      <protection locked="0"/>
    </xf>
    <xf numFmtId="164" fontId="20" fillId="0" borderId="66" xfId="2" applyNumberFormat="1" applyFont="1" applyBorder="1" applyAlignment="1" applyProtection="1">
      <alignment horizontal="center" vertical="center"/>
      <protection locked="0"/>
    </xf>
    <xf numFmtId="1" fontId="20" fillId="0" borderId="66" xfId="2" applyNumberFormat="1" applyFont="1" applyBorder="1" applyAlignment="1" applyProtection="1">
      <alignment horizontal="center" vertical="center"/>
      <protection locked="0"/>
    </xf>
    <xf numFmtId="1" fontId="2" fillId="0" borderId="20" xfId="0" applyNumberFormat="1" applyFont="1" applyBorder="1" applyAlignment="1">
      <alignment horizontal="center" vertical="center"/>
    </xf>
    <xf numFmtId="1" fontId="1" fillId="0" borderId="19" xfId="0" applyNumberFormat="1" applyFont="1" applyBorder="1" applyAlignment="1" applyProtection="1">
      <alignment horizontal="center" vertical="center"/>
      <protection locked="0"/>
    </xf>
    <xf numFmtId="1" fontId="1" fillId="0" borderId="25" xfId="0" applyNumberFormat="1" applyFont="1" applyBorder="1" applyAlignment="1" applyProtection="1">
      <alignment horizontal="center" vertical="center"/>
      <protection locked="0"/>
    </xf>
    <xf numFmtId="1" fontId="6" fillId="0" borderId="0" xfId="0" applyNumberFormat="1" applyFont="1" applyAlignment="1">
      <alignment vertical="center"/>
    </xf>
    <xf numFmtId="1" fontId="12" fillId="0" borderId="10" xfId="0" applyNumberFormat="1" applyFont="1" applyBorder="1" applyAlignment="1">
      <alignment horizontal="center" vertical="center"/>
    </xf>
    <xf numFmtId="1" fontId="11" fillId="0" borderId="23" xfId="0" applyNumberFormat="1" applyFont="1" applyBorder="1" applyAlignment="1">
      <alignment horizontal="center" vertical="center"/>
    </xf>
    <xf numFmtId="164" fontId="24" fillId="0" borderId="66" xfId="3" applyNumberFormat="1" applyFont="1" applyBorder="1" applyAlignment="1">
      <alignment horizontal="center" vertical="center" wrapText="1"/>
    </xf>
    <xf numFmtId="164" fontId="24" fillId="0" borderId="64" xfId="3" applyNumberFormat="1" applyFont="1" applyBorder="1" applyAlignment="1" applyProtection="1">
      <alignment horizontal="center" vertical="center"/>
      <protection locked="0"/>
    </xf>
    <xf numFmtId="164" fontId="24" fillId="0" borderId="66" xfId="3" applyNumberFormat="1" applyFont="1" applyBorder="1" applyAlignment="1" applyProtection="1">
      <alignment horizontal="center" vertical="center"/>
      <protection locked="0"/>
    </xf>
    <xf numFmtId="164" fontId="24" fillId="0" borderId="62" xfId="3" applyNumberFormat="1" applyFont="1" applyBorder="1" applyAlignment="1" applyProtection="1">
      <alignment horizontal="center" vertical="center"/>
      <protection locked="0"/>
    </xf>
    <xf numFmtId="0" fontId="7" fillId="0" borderId="5" xfId="0" applyFont="1" applyBorder="1" applyAlignment="1" applyProtection="1">
      <alignment horizontal="left" vertical="center" wrapText="1"/>
      <protection locked="0"/>
    </xf>
    <xf numFmtId="0" fontId="7" fillId="0" borderId="0" xfId="0" applyFont="1" applyAlignment="1" applyProtection="1">
      <alignment horizontal="left" vertical="center" wrapText="1"/>
      <protection locked="0"/>
    </xf>
    <xf numFmtId="0" fontId="7" fillId="0" borderId="8" xfId="0" applyFont="1" applyBorder="1" applyAlignment="1" applyProtection="1">
      <alignment horizontal="left" vertical="center" wrapText="1"/>
      <protection locked="0"/>
    </xf>
    <xf numFmtId="0" fontId="7" fillId="0" borderId="6" xfId="0" applyFont="1" applyBorder="1" applyAlignment="1" applyProtection="1">
      <alignment horizontal="left" vertical="center" wrapText="1"/>
      <protection locked="0"/>
    </xf>
    <xf numFmtId="0" fontId="7" fillId="0" borderId="7" xfId="0" applyFont="1" applyBorder="1" applyAlignment="1" applyProtection="1">
      <alignment horizontal="left" vertical="center" wrapText="1"/>
      <protection locked="0"/>
    </xf>
    <xf numFmtId="0" fontId="7" fillId="0" borderId="29" xfId="0" applyFont="1" applyBorder="1" applyAlignment="1" applyProtection="1">
      <alignment horizontal="left" vertical="center" wrapText="1"/>
      <protection locked="0"/>
    </xf>
    <xf numFmtId="0" fontId="13" fillId="0" borderId="5" xfId="0" applyFont="1" applyBorder="1" applyAlignment="1" applyProtection="1">
      <alignment horizontal="center" vertical="center"/>
      <protection hidden="1"/>
    </xf>
    <xf numFmtId="0" fontId="13" fillId="0" borderId="0" xfId="0" applyFont="1" applyAlignment="1" applyProtection="1">
      <alignment horizontal="center" vertical="center"/>
      <protection hidden="1"/>
    </xf>
    <xf numFmtId="0" fontId="13" fillId="0" borderId="8" xfId="0" applyFont="1" applyBorder="1" applyAlignment="1" applyProtection="1">
      <alignment horizontal="center" vertical="center"/>
      <protection hidden="1"/>
    </xf>
    <xf numFmtId="0" fontId="13" fillId="0" borderId="6" xfId="0" applyFont="1" applyBorder="1" applyAlignment="1" applyProtection="1">
      <alignment horizontal="center" vertical="center"/>
      <protection hidden="1"/>
    </xf>
    <xf numFmtId="0" fontId="13" fillId="0" borderId="7" xfId="0" applyFont="1" applyBorder="1" applyAlignment="1" applyProtection="1">
      <alignment horizontal="center" vertical="center"/>
      <protection hidden="1"/>
    </xf>
    <xf numFmtId="0" fontId="13" fillId="0" borderId="29" xfId="0" applyFont="1" applyBorder="1" applyAlignment="1" applyProtection="1">
      <alignment horizontal="center" vertical="center"/>
      <protection hidden="1"/>
    </xf>
    <xf numFmtId="0" fontId="1" fillId="0" borderId="27" xfId="0" applyFont="1" applyBorder="1" applyAlignment="1" applyProtection="1">
      <alignment horizontal="center" vertical="center"/>
      <protection locked="0"/>
    </xf>
    <xf numFmtId="0" fontId="1" fillId="0" borderId="4" xfId="0" applyFont="1" applyBorder="1" applyAlignment="1" applyProtection="1">
      <alignment horizontal="center" vertical="center"/>
      <protection locked="0"/>
    </xf>
    <xf numFmtId="0" fontId="1" fillId="0" borderId="28" xfId="0" applyFont="1" applyBorder="1" applyAlignment="1" applyProtection="1">
      <alignment horizontal="center" vertical="center"/>
      <protection locked="0"/>
    </xf>
    <xf numFmtId="0" fontId="1" fillId="0" borderId="5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1" fillId="0" borderId="8" xfId="0" applyFont="1" applyBorder="1" applyAlignment="1" applyProtection="1">
      <alignment horizontal="center" vertical="center"/>
      <protection locked="0"/>
    </xf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7" xfId="0" applyFont="1" applyBorder="1" applyAlignment="1" applyProtection="1">
      <alignment horizontal="center" vertical="center"/>
      <protection locked="0"/>
    </xf>
    <xf numFmtId="0" fontId="1" fillId="0" borderId="29" xfId="0" applyFont="1" applyBorder="1" applyAlignment="1" applyProtection="1">
      <alignment horizontal="center" vertical="center"/>
      <protection locked="0"/>
    </xf>
    <xf numFmtId="0" fontId="23" fillId="0" borderId="62" xfId="3" applyFont="1" applyBorder="1" applyAlignment="1">
      <alignment horizontal="center" vertical="center" wrapText="1"/>
    </xf>
    <xf numFmtId="0" fontId="23" fillId="0" borderId="64" xfId="3" applyFont="1" applyBorder="1" applyAlignment="1">
      <alignment horizontal="center" vertical="center" wrapText="1"/>
    </xf>
    <xf numFmtId="164" fontId="24" fillId="0" borderId="65" xfId="3" applyNumberFormat="1" applyFont="1" applyBorder="1" applyAlignment="1" applyProtection="1">
      <alignment horizontal="center" vertical="center"/>
      <protection locked="0"/>
    </xf>
    <xf numFmtId="164" fontId="24" fillId="0" borderId="64" xfId="3" applyNumberFormat="1" applyFont="1" applyBorder="1" applyAlignment="1" applyProtection="1">
      <alignment horizontal="center" vertical="center"/>
      <protection locked="0"/>
    </xf>
    <xf numFmtId="2" fontId="24" fillId="0" borderId="62" xfId="3" applyNumberFormat="1" applyFont="1" applyBorder="1" applyAlignment="1" applyProtection="1">
      <alignment horizontal="center" vertical="center"/>
      <protection locked="0"/>
    </xf>
    <xf numFmtId="2" fontId="24" fillId="0" borderId="64" xfId="3" applyNumberFormat="1" applyFont="1" applyBorder="1" applyAlignment="1" applyProtection="1">
      <alignment horizontal="center" vertical="center"/>
      <protection locked="0"/>
    </xf>
    <xf numFmtId="0" fontId="13" fillId="0" borderId="41" xfId="0" applyFont="1" applyBorder="1" applyAlignment="1" applyProtection="1">
      <alignment horizontal="center" vertical="center" wrapText="1"/>
      <protection hidden="1"/>
    </xf>
    <xf numFmtId="0" fontId="13" fillId="0" borderId="36" xfId="0" applyFont="1" applyBorder="1" applyAlignment="1" applyProtection="1">
      <alignment horizontal="center" vertical="center" wrapText="1"/>
      <protection hidden="1"/>
    </xf>
    <xf numFmtId="0" fontId="18" fillId="0" borderId="57" xfId="0" applyFont="1" applyBorder="1" applyAlignment="1" applyProtection="1">
      <alignment horizontal="center" vertical="center"/>
      <protection hidden="1"/>
    </xf>
    <xf numFmtId="0" fontId="18" fillId="0" borderId="58" xfId="0" applyFont="1" applyBorder="1" applyAlignment="1" applyProtection="1">
      <alignment horizontal="center" vertical="center"/>
      <protection hidden="1"/>
    </xf>
    <xf numFmtId="0" fontId="18" fillId="0" borderId="59" xfId="0" applyFont="1" applyBorder="1" applyAlignment="1" applyProtection="1">
      <alignment horizontal="center" vertical="center"/>
      <protection hidden="1"/>
    </xf>
    <xf numFmtId="0" fontId="8" fillId="0" borderId="34" xfId="0" applyFont="1" applyBorder="1" applyAlignment="1" applyProtection="1">
      <alignment horizontal="center" vertical="center"/>
      <protection locked="0"/>
    </xf>
    <xf numFmtId="0" fontId="8" fillId="0" borderId="41" xfId="0" applyFont="1" applyBorder="1" applyAlignment="1" applyProtection="1">
      <alignment horizontal="center" vertical="center"/>
      <protection locked="0"/>
    </xf>
    <xf numFmtId="0" fontId="8" fillId="0" borderId="36" xfId="0" applyFont="1" applyBorder="1" applyAlignment="1" applyProtection="1">
      <alignment horizontal="center" vertical="center"/>
      <protection locked="0"/>
    </xf>
    <xf numFmtId="0" fontId="18" fillId="0" borderId="60" xfId="0" applyFont="1" applyBorder="1" applyAlignment="1" applyProtection="1">
      <alignment horizontal="center" vertical="center"/>
      <protection hidden="1"/>
    </xf>
    <xf numFmtId="0" fontId="18" fillId="0" borderId="0" xfId="0" applyFont="1" applyAlignment="1" applyProtection="1">
      <alignment horizontal="center" vertical="center"/>
      <protection hidden="1"/>
    </xf>
    <xf numFmtId="0" fontId="18" fillId="0" borderId="61" xfId="0" applyFont="1" applyBorder="1" applyAlignment="1" applyProtection="1">
      <alignment horizontal="center" vertical="center"/>
      <protection hidden="1"/>
    </xf>
    <xf numFmtId="0" fontId="18" fillId="0" borderId="62" xfId="0" applyFont="1" applyBorder="1" applyAlignment="1" applyProtection="1">
      <alignment horizontal="center" vertical="center"/>
      <protection hidden="1"/>
    </xf>
    <xf numFmtId="0" fontId="18" fillId="0" borderId="63" xfId="0" applyFont="1" applyBorder="1" applyAlignment="1" applyProtection="1">
      <alignment horizontal="center" vertical="center"/>
      <protection hidden="1"/>
    </xf>
    <xf numFmtId="0" fontId="18" fillId="0" borderId="64" xfId="0" applyFont="1" applyBorder="1" applyAlignment="1" applyProtection="1">
      <alignment horizontal="center" vertical="center"/>
      <protection hidden="1"/>
    </xf>
    <xf numFmtId="0" fontId="8" fillId="0" borderId="27" xfId="0" applyFont="1" applyBorder="1" applyAlignment="1" applyProtection="1">
      <alignment horizontal="center" vertical="center"/>
      <protection locked="0"/>
    </xf>
    <xf numFmtId="0" fontId="8" fillId="0" borderId="4" xfId="0" applyFont="1" applyBorder="1" applyAlignment="1" applyProtection="1">
      <alignment horizontal="center" vertical="center"/>
      <protection locked="0"/>
    </xf>
    <xf numFmtId="0" fontId="8" fillId="0" borderId="28" xfId="0" applyFont="1" applyBorder="1" applyAlignment="1" applyProtection="1">
      <alignment horizontal="center" vertical="center"/>
      <protection locked="0"/>
    </xf>
    <xf numFmtId="0" fontId="8" fillId="0" borderId="5" xfId="0" applyFont="1" applyBorder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8" fillId="0" borderId="8" xfId="0" applyFont="1" applyBorder="1" applyAlignment="1" applyProtection="1">
      <alignment horizontal="center" vertical="center"/>
      <protection locked="0"/>
    </xf>
    <xf numFmtId="0" fontId="8" fillId="0" borderId="6" xfId="0" applyFont="1" applyBorder="1" applyAlignment="1" applyProtection="1">
      <alignment horizontal="center" vertical="center"/>
      <protection locked="0"/>
    </xf>
    <xf numFmtId="0" fontId="8" fillId="0" borderId="7" xfId="0" applyFont="1" applyBorder="1" applyAlignment="1" applyProtection="1">
      <alignment horizontal="center" vertical="center"/>
      <protection locked="0"/>
    </xf>
    <xf numFmtId="0" fontId="8" fillId="0" borderId="29" xfId="0" applyFont="1" applyBorder="1" applyAlignment="1" applyProtection="1">
      <alignment horizontal="center" vertical="center"/>
      <protection locked="0"/>
    </xf>
    <xf numFmtId="164" fontId="1" fillId="0" borderId="21" xfId="0" applyNumberFormat="1" applyFont="1" applyBorder="1" applyAlignment="1" applyProtection="1">
      <alignment horizontal="center" vertical="center"/>
      <protection locked="0"/>
    </xf>
    <xf numFmtId="164" fontId="1" fillId="0" borderId="36" xfId="0" applyNumberFormat="1" applyFont="1" applyBorder="1" applyAlignment="1" applyProtection="1">
      <alignment horizontal="center" vertical="center"/>
      <protection locked="0"/>
    </xf>
    <xf numFmtId="164" fontId="1" fillId="0" borderId="34" xfId="0" applyNumberFormat="1" applyFont="1" applyBorder="1" applyAlignment="1" applyProtection="1">
      <alignment horizontal="center" vertical="center"/>
      <protection locked="0"/>
    </xf>
    <xf numFmtId="0" fontId="1" fillId="0" borderId="34" xfId="0" applyFont="1" applyBorder="1" applyAlignment="1">
      <alignment horizontal="center" vertical="center"/>
    </xf>
    <xf numFmtId="0" fontId="1" fillId="0" borderId="55" xfId="0" applyFont="1" applyBorder="1" applyAlignment="1">
      <alignment horizontal="center" vertical="center"/>
    </xf>
    <xf numFmtId="0" fontId="15" fillId="2" borderId="23" xfId="1" applyFont="1" applyFill="1" applyBorder="1" applyAlignment="1" applyProtection="1">
      <alignment horizontal="center" vertical="center"/>
      <protection hidden="1"/>
    </xf>
    <xf numFmtId="0" fontId="15" fillId="2" borderId="26" xfId="1" applyFont="1" applyFill="1" applyBorder="1" applyAlignment="1" applyProtection="1">
      <alignment horizontal="center" vertical="center"/>
      <protection hidden="1"/>
    </xf>
    <xf numFmtId="2" fontId="15" fillId="2" borderId="35" xfId="1" applyNumberFormat="1" applyFont="1" applyFill="1" applyBorder="1" applyAlignment="1" applyProtection="1">
      <alignment horizontal="center" vertical="center"/>
      <protection hidden="1"/>
    </xf>
    <xf numFmtId="2" fontId="15" fillId="2" borderId="43" xfId="1" applyNumberFormat="1" applyFont="1" applyFill="1" applyBorder="1" applyAlignment="1" applyProtection="1">
      <alignment horizontal="center" vertical="center"/>
      <protection hidden="1"/>
    </xf>
    <xf numFmtId="0" fontId="6" fillId="0" borderId="1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44" xfId="0" applyFont="1" applyBorder="1" applyAlignment="1">
      <alignment horizontal="center" vertical="center" wrapText="1"/>
    </xf>
    <xf numFmtId="0" fontId="1" fillId="0" borderId="24" xfId="0" applyFont="1" applyBorder="1" applyAlignment="1" applyProtection="1">
      <alignment horizontal="center" vertical="center"/>
      <protection locked="0"/>
    </xf>
    <xf numFmtId="0" fontId="1" fillId="0" borderId="37" xfId="0" applyFont="1" applyBorder="1" applyAlignment="1" applyProtection="1">
      <alignment horizontal="center" vertical="center"/>
      <protection locked="0"/>
    </xf>
    <xf numFmtId="164" fontId="1" fillId="0" borderId="38" xfId="0" applyNumberFormat="1" applyFont="1" applyBorder="1" applyAlignment="1" applyProtection="1">
      <alignment horizontal="center" vertical="center"/>
      <protection locked="0"/>
    </xf>
    <xf numFmtId="0" fontId="1" fillId="0" borderId="38" xfId="0" applyFont="1" applyBorder="1" applyAlignment="1">
      <alignment horizontal="center" vertical="center"/>
    </xf>
    <xf numFmtId="0" fontId="1" fillId="0" borderId="56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50" xfId="0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164" fontId="1" fillId="0" borderId="50" xfId="0" applyNumberFormat="1" applyFont="1" applyBorder="1" applyAlignment="1">
      <alignment horizontal="center" vertical="center"/>
    </xf>
    <xf numFmtId="2" fontId="1" fillId="0" borderId="31" xfId="0" applyNumberFormat="1" applyFont="1" applyBorder="1" applyAlignment="1">
      <alignment horizontal="center" vertical="center"/>
    </xf>
    <xf numFmtId="2" fontId="1" fillId="0" borderId="50" xfId="0" applyNumberFormat="1" applyFont="1" applyBorder="1" applyAlignment="1">
      <alignment horizontal="center" vertical="center"/>
    </xf>
    <xf numFmtId="2" fontId="1" fillId="0" borderId="54" xfId="0" applyNumberFormat="1" applyFont="1" applyBorder="1" applyAlignment="1">
      <alignment horizontal="center" vertical="center"/>
    </xf>
    <xf numFmtId="2" fontId="15" fillId="2" borderId="21" xfId="1" applyNumberFormat="1" applyFont="1" applyFill="1" applyBorder="1" applyAlignment="1" applyProtection="1">
      <alignment horizontal="center" vertical="center"/>
      <protection hidden="1"/>
    </xf>
    <xf numFmtId="2" fontId="15" fillId="2" borderId="36" xfId="1" applyNumberFormat="1" applyFont="1" applyFill="1" applyBorder="1" applyAlignment="1" applyProtection="1">
      <alignment horizontal="center" vertical="center"/>
      <protection hidden="1"/>
    </xf>
    <xf numFmtId="0" fontId="2" fillId="0" borderId="2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164" fontId="11" fillId="0" borderId="21" xfId="0" applyNumberFormat="1" applyFont="1" applyBorder="1" applyAlignment="1">
      <alignment horizontal="center" vertical="center"/>
    </xf>
    <xf numFmtId="164" fontId="11" fillId="0" borderId="36" xfId="0" applyNumberFormat="1" applyFont="1" applyBorder="1" applyAlignment="1">
      <alignment horizontal="center" vertical="center"/>
    </xf>
    <xf numFmtId="2" fontId="11" fillId="0" borderId="34" xfId="0" applyNumberFormat="1" applyFont="1" applyBorder="1" applyAlignment="1">
      <alignment horizontal="center" vertical="center"/>
    </xf>
    <xf numFmtId="2" fontId="11" fillId="0" borderId="36" xfId="0" applyNumberFormat="1" applyFont="1" applyBorder="1" applyAlignment="1">
      <alignment horizontal="center" vertical="center"/>
    </xf>
    <xf numFmtId="2" fontId="1" fillId="0" borderId="34" xfId="0" applyNumberFormat="1" applyFont="1" applyBorder="1" applyAlignment="1">
      <alignment horizontal="center" vertical="center"/>
    </xf>
    <xf numFmtId="2" fontId="1" fillId="0" borderId="55" xfId="0" applyNumberFormat="1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164" fontId="1" fillId="0" borderId="24" xfId="0" applyNumberFormat="1" applyFont="1" applyBorder="1" applyAlignment="1" applyProtection="1">
      <alignment horizontal="center" vertical="center"/>
      <protection locked="0"/>
    </xf>
    <xf numFmtId="164" fontId="1" fillId="0" borderId="37" xfId="0" applyNumberFormat="1" applyFont="1" applyBorder="1" applyAlignment="1" applyProtection="1">
      <alignment horizontal="center" vertical="center"/>
      <protection locked="0"/>
    </xf>
    <xf numFmtId="2" fontId="1" fillId="0" borderId="53" xfId="0" applyNumberFormat="1" applyFont="1" applyBorder="1" applyAlignment="1" applyProtection="1">
      <alignment horizontal="center" vertical="center"/>
      <protection locked="0"/>
    </xf>
    <xf numFmtId="2" fontId="1" fillId="0" borderId="37" xfId="0" applyNumberFormat="1" applyFont="1" applyBorder="1" applyAlignment="1" applyProtection="1">
      <alignment horizontal="center" vertical="center"/>
      <protection locked="0"/>
    </xf>
    <xf numFmtId="2" fontId="1" fillId="0" borderId="38" xfId="0" applyNumberFormat="1" applyFont="1" applyBorder="1" applyAlignment="1" applyProtection="1">
      <alignment horizontal="center" vertical="center"/>
      <protection locked="0"/>
    </xf>
    <xf numFmtId="2" fontId="1" fillId="0" borderId="56" xfId="0" applyNumberFormat="1" applyFont="1" applyBorder="1" applyAlignment="1" applyProtection="1">
      <alignment horizontal="center" vertical="center"/>
      <protection locked="0"/>
    </xf>
    <xf numFmtId="0" fontId="2" fillId="0" borderId="9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2" fontId="1" fillId="0" borderId="34" xfId="0" applyNumberFormat="1" applyFont="1" applyBorder="1" applyAlignment="1" applyProtection="1">
      <alignment horizontal="center" vertical="center"/>
      <protection locked="0"/>
    </xf>
    <xf numFmtId="2" fontId="1" fillId="0" borderId="55" xfId="0" applyNumberFormat="1" applyFont="1" applyBorder="1" applyAlignment="1" applyProtection="1">
      <alignment horizontal="center" vertical="center"/>
      <protection locked="0"/>
    </xf>
    <xf numFmtId="0" fontId="1" fillId="0" borderId="36" xfId="0" applyFont="1" applyBorder="1" applyAlignment="1">
      <alignment horizontal="center" vertical="center"/>
    </xf>
    <xf numFmtId="2" fontId="1" fillId="0" borderId="41" xfId="0" applyNumberFormat="1" applyFont="1" applyBorder="1" applyAlignment="1" applyProtection="1">
      <alignment horizontal="center" vertical="center"/>
      <protection locked="0"/>
    </xf>
    <xf numFmtId="2" fontId="1" fillId="0" borderId="36" xfId="0" applyNumberFormat="1" applyFont="1" applyBorder="1" applyAlignment="1" applyProtection="1">
      <alignment horizontal="center" vertical="center"/>
      <protection locked="0"/>
    </xf>
    <xf numFmtId="0" fontId="16" fillId="2" borderId="40" xfId="1" applyFont="1" applyFill="1" applyBorder="1" applyAlignment="1" applyProtection="1">
      <alignment horizontal="center" vertical="center" wrapText="1"/>
      <protection locked="0"/>
    </xf>
    <xf numFmtId="0" fontId="16" fillId="2" borderId="43" xfId="1" applyFont="1" applyFill="1" applyBorder="1" applyAlignment="1" applyProtection="1">
      <alignment horizontal="center" vertical="center" wrapText="1"/>
      <protection locked="0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49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2" fontId="1" fillId="0" borderId="31" xfId="0" applyNumberFormat="1" applyFont="1" applyBorder="1" applyAlignment="1" applyProtection="1">
      <alignment horizontal="center" vertical="center"/>
      <protection locked="0"/>
    </xf>
    <xf numFmtId="2" fontId="1" fillId="0" borderId="54" xfId="0" applyNumberFormat="1" applyFont="1" applyBorder="1" applyAlignment="1" applyProtection="1">
      <alignment horizontal="center" vertical="center"/>
      <protection locked="0"/>
    </xf>
    <xf numFmtId="0" fontId="16" fillId="2" borderId="51" xfId="1" applyFont="1" applyFill="1" applyBorder="1" applyAlignment="1" applyProtection="1">
      <alignment horizontal="center" vertical="center" wrapText="1"/>
      <protection locked="0"/>
    </xf>
    <xf numFmtId="0" fontId="16" fillId="2" borderId="52" xfId="1" applyFont="1" applyFill="1" applyBorder="1" applyAlignment="1" applyProtection="1">
      <alignment horizontal="center" vertical="center" wrapText="1"/>
      <protection locked="0"/>
    </xf>
    <xf numFmtId="0" fontId="17" fillId="2" borderId="51" xfId="1" applyFont="1" applyFill="1" applyBorder="1" applyAlignment="1" applyProtection="1">
      <alignment horizontal="center" vertical="center" wrapText="1"/>
      <protection locked="0"/>
    </xf>
    <xf numFmtId="0" fontId="17" fillId="2" borderId="52" xfId="1" applyFont="1" applyFill="1" applyBorder="1" applyAlignment="1" applyProtection="1">
      <alignment horizontal="center" vertical="center" wrapText="1"/>
      <protection locked="0"/>
    </xf>
    <xf numFmtId="0" fontId="1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0" fontId="6" fillId="0" borderId="48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42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16" fillId="2" borderId="9" xfId="1" applyFont="1" applyFill="1" applyBorder="1" applyAlignment="1" applyProtection="1">
      <alignment horizontal="center" vertical="center" wrapText="1"/>
      <protection locked="0"/>
    </xf>
    <xf numFmtId="0" fontId="16" fillId="2" borderId="11" xfId="1" applyFont="1" applyFill="1" applyBorder="1" applyAlignment="1" applyProtection="1">
      <alignment horizontal="center" vertical="center" wrapText="1"/>
      <protection locked="0"/>
    </xf>
    <xf numFmtId="0" fontId="16" fillId="2" borderId="16" xfId="1" applyFont="1" applyFill="1" applyBorder="1" applyAlignment="1" applyProtection="1">
      <alignment horizontal="center" vertical="center" wrapText="1"/>
      <protection locked="0"/>
    </xf>
    <xf numFmtId="0" fontId="16" fillId="2" borderId="18" xfId="1" applyFont="1" applyFill="1" applyBorder="1" applyAlignment="1" applyProtection="1">
      <alignment horizontal="center" vertical="center" wrapText="1"/>
      <protection locked="0"/>
    </xf>
    <xf numFmtId="0" fontId="16" fillId="2" borderId="48" xfId="1" applyFont="1" applyFill="1" applyBorder="1" applyAlignment="1" applyProtection="1">
      <alignment horizontal="center" vertical="center" wrapText="1"/>
      <protection locked="0"/>
    </xf>
    <xf numFmtId="0" fontId="16" fillId="0" borderId="44" xfId="1" applyFont="1" applyBorder="1" applyAlignment="1" applyProtection="1">
      <alignment vertical="center" wrapText="1"/>
      <protection locked="0"/>
    </xf>
    <xf numFmtId="0" fontId="8" fillId="0" borderId="0" xfId="0" applyFont="1" applyAlignment="1" applyProtection="1">
      <alignment horizontal="left" vertical="center"/>
      <protection hidden="1"/>
    </xf>
    <xf numFmtId="0" fontId="4" fillId="0" borderId="0" xfId="0" applyFont="1" applyAlignment="1" applyProtection="1">
      <alignment horizontal="center" vertical="center"/>
      <protection locked="0"/>
    </xf>
    <xf numFmtId="14" fontId="8" fillId="0" borderId="0" xfId="0" applyNumberFormat="1" applyFont="1" applyAlignment="1" applyProtection="1">
      <alignment horizontal="left" vertical="center"/>
      <protection locked="0"/>
    </xf>
    <xf numFmtId="0" fontId="8" fillId="0" borderId="0" xfId="0" applyFont="1" applyAlignment="1" applyProtection="1">
      <alignment horizontal="left" vertical="center"/>
      <protection locked="0"/>
    </xf>
    <xf numFmtId="0" fontId="8" fillId="0" borderId="0" xfId="0" applyFont="1" applyAlignment="1">
      <alignment horizontal="left" vertical="center"/>
    </xf>
    <xf numFmtId="0" fontId="6" fillId="0" borderId="7" xfId="0" applyFont="1" applyBorder="1" applyAlignment="1" applyProtection="1">
      <alignment horizontal="center" vertical="center"/>
      <protection hidden="1"/>
    </xf>
    <xf numFmtId="0" fontId="6" fillId="0" borderId="29" xfId="0" applyFont="1" applyBorder="1" applyAlignment="1" applyProtection="1">
      <alignment horizontal="center" vertical="center"/>
      <protection hidden="1"/>
    </xf>
    <xf numFmtId="0" fontId="5" fillId="0" borderId="41" xfId="0" applyFont="1" applyBorder="1" applyAlignment="1" applyProtection="1">
      <alignment horizontal="center" vertical="center"/>
      <protection hidden="1"/>
    </xf>
    <xf numFmtId="0" fontId="7" fillId="0" borderId="41" xfId="0" applyFont="1" applyBorder="1" applyAlignment="1" applyProtection="1">
      <alignment horizontal="center" vertical="center"/>
      <protection hidden="1"/>
    </xf>
    <xf numFmtId="0" fontId="1" fillId="0" borderId="27" xfId="0" applyFont="1" applyBorder="1" applyAlignment="1" applyProtection="1">
      <alignment horizontal="center" vertical="center" wrapText="1"/>
      <protection hidden="1"/>
    </xf>
    <xf numFmtId="0" fontId="1" fillId="0" borderId="4" xfId="0" applyFont="1" applyBorder="1" applyAlignment="1" applyProtection="1">
      <alignment horizontal="center" vertical="center" wrapText="1"/>
      <protection hidden="1"/>
    </xf>
    <xf numFmtId="0" fontId="1" fillId="0" borderId="28" xfId="0" applyFont="1" applyBorder="1" applyAlignment="1" applyProtection="1">
      <alignment horizontal="center" vertical="center" wrapText="1"/>
      <protection hidden="1"/>
    </xf>
    <xf numFmtId="0" fontId="1" fillId="0" borderId="5" xfId="0" applyFont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 wrapText="1"/>
      <protection hidden="1"/>
    </xf>
    <xf numFmtId="0" fontId="1" fillId="0" borderId="8" xfId="0" applyFont="1" applyBorder="1" applyAlignment="1" applyProtection="1">
      <alignment horizontal="center" vertical="center" wrapText="1"/>
      <protection hidden="1"/>
    </xf>
    <xf numFmtId="0" fontId="1" fillId="0" borderId="6" xfId="0" applyFont="1" applyBorder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 vertical="center" wrapText="1"/>
      <protection hidden="1"/>
    </xf>
    <xf numFmtId="0" fontId="1" fillId="0" borderId="29" xfId="0" applyFont="1" applyBorder="1" applyAlignment="1" applyProtection="1">
      <alignment horizontal="center" vertical="center" wrapText="1"/>
      <protection hidden="1"/>
    </xf>
    <xf numFmtId="0" fontId="2" fillId="0" borderId="27" xfId="0" applyFont="1" applyBorder="1" applyAlignment="1" applyProtection="1">
      <alignment horizontal="center" vertical="center"/>
      <protection hidden="1"/>
    </xf>
    <xf numFmtId="0" fontId="2" fillId="0" borderId="4" xfId="0" applyFont="1" applyBorder="1" applyAlignment="1" applyProtection="1">
      <alignment horizontal="center" vertical="center"/>
      <protection hidden="1"/>
    </xf>
    <xf numFmtId="0" fontId="2" fillId="0" borderId="28" xfId="0" applyFont="1" applyBorder="1" applyAlignment="1" applyProtection="1">
      <alignment horizontal="center" vertical="center"/>
      <protection hidden="1"/>
    </xf>
    <xf numFmtId="0" fontId="3" fillId="0" borderId="27" xfId="0" applyFont="1" applyBorder="1" applyAlignment="1" applyProtection="1">
      <alignment horizontal="center" vertical="center" wrapText="1"/>
      <protection locked="0"/>
    </xf>
    <xf numFmtId="0" fontId="3" fillId="0" borderId="4" xfId="0" applyFont="1" applyBorder="1" applyAlignment="1" applyProtection="1">
      <alignment horizontal="center" vertical="center" wrapText="1"/>
      <protection locked="0"/>
    </xf>
    <xf numFmtId="0" fontId="3" fillId="0" borderId="28" xfId="0" applyFont="1" applyBorder="1" applyAlignment="1" applyProtection="1">
      <alignment horizontal="center" vertical="center" wrapText="1"/>
      <protection locked="0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3" fillId="0" borderId="8" xfId="0" applyFont="1" applyBorder="1" applyAlignment="1" applyProtection="1">
      <alignment horizontal="center" vertical="center" wrapText="1"/>
      <protection locked="0"/>
    </xf>
    <xf numFmtId="0" fontId="3" fillId="0" borderId="6" xfId="0" applyFont="1" applyBorder="1" applyAlignment="1" applyProtection="1">
      <alignment horizontal="center" vertical="center" wrapText="1"/>
      <protection locked="0"/>
    </xf>
    <xf numFmtId="0" fontId="3" fillId="0" borderId="7" xfId="0" applyFont="1" applyBorder="1" applyAlignment="1" applyProtection="1">
      <alignment horizontal="center" vertical="center" wrapText="1"/>
      <protection locked="0"/>
    </xf>
    <xf numFmtId="0" fontId="3" fillId="0" borderId="29" xfId="0" applyFont="1" applyBorder="1" applyAlignment="1" applyProtection="1">
      <alignment horizontal="center" vertical="center" wrapText="1"/>
      <protection locked="0"/>
    </xf>
    <xf numFmtId="0" fontId="4" fillId="0" borderId="5" xfId="0" applyFont="1" applyBorder="1" applyAlignment="1" applyProtection="1">
      <alignment horizontal="center" vertical="center" wrapText="1"/>
      <protection hidden="1"/>
    </xf>
    <xf numFmtId="0" fontId="5" fillId="0" borderId="0" xfId="0" applyFont="1" applyAlignment="1" applyProtection="1">
      <alignment horizontal="center" vertical="center" wrapText="1"/>
      <protection hidden="1"/>
    </xf>
    <xf numFmtId="0" fontId="5" fillId="0" borderId="8" xfId="0" applyFont="1" applyBorder="1" applyAlignment="1" applyProtection="1">
      <alignment horizontal="center" vertical="center" wrapText="1"/>
      <protection hidden="1"/>
    </xf>
    <xf numFmtId="0" fontId="5" fillId="0" borderId="5" xfId="0" applyFont="1" applyBorder="1" applyAlignment="1" applyProtection="1">
      <alignment horizontal="center" vertical="center" wrapText="1"/>
      <protection hidden="1"/>
    </xf>
    <xf numFmtId="0" fontId="5" fillId="0" borderId="0" xfId="0" applyFont="1" applyAlignment="1" applyProtection="1">
      <alignment horizontal="center" vertical="center"/>
      <protection locked="0"/>
    </xf>
    <xf numFmtId="0" fontId="5" fillId="0" borderId="8" xfId="0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center" vertical="center"/>
      <protection locked="0"/>
    </xf>
    <xf numFmtId="14" fontId="5" fillId="0" borderId="5" xfId="0" applyNumberFormat="1" applyFont="1" applyBorder="1" applyAlignment="1" applyProtection="1">
      <alignment horizontal="center" vertical="center"/>
      <protection locked="0"/>
    </xf>
    <xf numFmtId="14" fontId="5" fillId="0" borderId="0" xfId="0" applyNumberFormat="1" applyFont="1" applyAlignment="1" applyProtection="1">
      <alignment horizontal="center" vertical="center"/>
      <protection locked="0"/>
    </xf>
    <xf numFmtId="14" fontId="5" fillId="0" borderId="8" xfId="0" applyNumberFormat="1" applyFont="1" applyBorder="1" applyAlignment="1" applyProtection="1">
      <alignment horizontal="center" vertical="center"/>
      <protection locked="0"/>
    </xf>
    <xf numFmtId="164" fontId="20" fillId="0" borderId="65" xfId="2" applyNumberFormat="1" applyFont="1" applyBorder="1" applyAlignment="1" applyProtection="1">
      <alignment horizontal="center" vertical="center"/>
      <protection locked="0"/>
    </xf>
    <xf numFmtId="164" fontId="20" fillId="0" borderId="64" xfId="2" applyNumberFormat="1" applyFont="1" applyBorder="1" applyAlignment="1" applyProtection="1">
      <alignment horizontal="center" vertical="center"/>
      <protection locked="0"/>
    </xf>
    <xf numFmtId="2" fontId="20" fillId="0" borderId="62" xfId="2" applyNumberFormat="1" applyFont="1" applyBorder="1" applyAlignment="1" applyProtection="1">
      <alignment horizontal="center" vertical="center"/>
      <protection locked="0"/>
    </xf>
    <xf numFmtId="2" fontId="20" fillId="0" borderId="64" xfId="2" applyNumberFormat="1" applyFont="1" applyBorder="1" applyAlignment="1" applyProtection="1">
      <alignment horizontal="center" vertical="center"/>
      <protection locked="0"/>
    </xf>
    <xf numFmtId="0" fontId="20" fillId="0" borderId="62" xfId="2" applyFont="1" applyBorder="1" applyAlignment="1">
      <alignment horizontal="center" vertical="center" wrapText="1"/>
    </xf>
    <xf numFmtId="0" fontId="20" fillId="0" borderId="64" xfId="2" applyFont="1" applyBorder="1" applyAlignment="1">
      <alignment horizontal="center" vertical="center" wrapText="1"/>
    </xf>
    <xf numFmtId="14" fontId="25" fillId="0" borderId="0" xfId="0" applyNumberFormat="1" applyFont="1" applyAlignment="1" applyProtection="1">
      <alignment horizontal="left" vertical="center"/>
      <protection locked="0"/>
    </xf>
    <xf numFmtId="0" fontId="25" fillId="0" borderId="0" xfId="0" applyFont="1" applyAlignment="1" applyProtection="1">
      <alignment horizontal="left" vertical="center"/>
      <protection hidden="1"/>
    </xf>
    <xf numFmtId="2" fontId="12" fillId="0" borderId="2" xfId="0" applyNumberFormat="1" applyFont="1" applyBorder="1" applyAlignment="1" applyProtection="1">
      <alignment horizontal="center" vertical="center"/>
      <protection locked="0"/>
    </xf>
    <xf numFmtId="0" fontId="20" fillId="0" borderId="62" xfId="3" applyFont="1" applyBorder="1" applyAlignment="1">
      <alignment horizontal="center" vertical="center" wrapText="1"/>
    </xf>
    <xf numFmtId="0" fontId="20" fillId="0" borderId="64" xfId="3" applyFont="1" applyBorder="1" applyAlignment="1">
      <alignment horizontal="center" vertical="center" wrapText="1"/>
    </xf>
    <xf numFmtId="164" fontId="20" fillId="0" borderId="66" xfId="3" applyNumberFormat="1" applyFont="1" applyBorder="1" applyAlignment="1">
      <alignment horizontal="center" vertical="center" wrapText="1"/>
    </xf>
    <xf numFmtId="164" fontId="20" fillId="0" borderId="64" xfId="3" applyNumberFormat="1" applyFont="1" applyBorder="1" applyAlignment="1" applyProtection="1">
      <alignment horizontal="center" vertical="center"/>
      <protection locked="0"/>
    </xf>
    <xf numFmtId="164" fontId="20" fillId="0" borderId="66" xfId="3" applyNumberFormat="1" applyFont="1" applyBorder="1" applyAlignment="1" applyProtection="1">
      <alignment horizontal="center" vertical="center"/>
      <protection locked="0"/>
    </xf>
    <xf numFmtId="164" fontId="20" fillId="0" borderId="62" xfId="3" applyNumberFormat="1" applyFont="1" applyBorder="1" applyAlignment="1" applyProtection="1">
      <alignment horizontal="center" vertical="center"/>
      <protection locked="0"/>
    </xf>
    <xf numFmtId="164" fontId="20" fillId="0" borderId="65" xfId="3" applyNumberFormat="1" applyFont="1" applyBorder="1" applyAlignment="1" applyProtection="1">
      <alignment horizontal="center" vertical="center"/>
      <protection locked="0"/>
    </xf>
    <xf numFmtId="164" fontId="20" fillId="0" borderId="64" xfId="3" applyNumberFormat="1" applyFont="1" applyBorder="1" applyAlignment="1" applyProtection="1">
      <alignment horizontal="center" vertical="center"/>
      <protection locked="0"/>
    </xf>
    <xf numFmtId="2" fontId="20" fillId="0" borderId="62" xfId="3" applyNumberFormat="1" applyFont="1" applyBorder="1" applyAlignment="1" applyProtection="1">
      <alignment horizontal="center" vertical="center"/>
      <protection locked="0"/>
    </xf>
    <xf numFmtId="2" fontId="20" fillId="0" borderId="64" xfId="3" applyNumberFormat="1" applyFont="1" applyBorder="1" applyAlignment="1" applyProtection="1">
      <alignment horizontal="center" vertical="center"/>
      <protection locked="0"/>
    </xf>
    <xf numFmtId="1" fontId="20" fillId="0" borderId="66" xfId="3" applyNumberFormat="1" applyFont="1" applyBorder="1" applyAlignment="1" applyProtection="1">
      <alignment horizontal="center" vertical="center"/>
      <protection locked="0"/>
    </xf>
    <xf numFmtId="164" fontId="21" fillId="0" borderId="65" xfId="2" applyNumberFormat="1" applyFont="1" applyBorder="1" applyAlignment="1" applyProtection="1">
      <alignment horizontal="center" vertical="center"/>
      <protection locked="0"/>
    </xf>
    <xf numFmtId="164" fontId="21" fillId="0" borderId="66" xfId="2" applyNumberFormat="1" applyFont="1" applyBorder="1" applyAlignment="1">
      <alignment horizontal="center" vertical="center" wrapText="1"/>
    </xf>
    <xf numFmtId="164" fontId="21" fillId="0" borderId="64" xfId="2" applyNumberFormat="1" applyFont="1" applyBorder="1" applyAlignment="1" applyProtection="1">
      <alignment horizontal="center" vertical="center"/>
      <protection locked="0"/>
    </xf>
    <xf numFmtId="164" fontId="21" fillId="0" borderId="66" xfId="2" applyNumberFormat="1" applyFont="1" applyBorder="1" applyAlignment="1" applyProtection="1">
      <alignment horizontal="center" vertical="center"/>
      <protection locked="0"/>
    </xf>
    <xf numFmtId="164" fontId="21" fillId="0" borderId="62" xfId="2" applyNumberFormat="1" applyFont="1" applyBorder="1" applyAlignment="1" applyProtection="1">
      <alignment horizontal="center" vertical="center"/>
      <protection locked="0"/>
    </xf>
    <xf numFmtId="164" fontId="21" fillId="0" borderId="64" xfId="2" applyNumberFormat="1" applyFont="1" applyBorder="1" applyAlignment="1" applyProtection="1">
      <alignment horizontal="center" vertical="center"/>
      <protection locked="0"/>
    </xf>
    <xf numFmtId="2" fontId="21" fillId="0" borderId="62" xfId="2" applyNumberFormat="1" applyFont="1" applyBorder="1" applyAlignment="1" applyProtection="1">
      <alignment horizontal="center" vertical="center"/>
      <protection locked="0"/>
    </xf>
    <xf numFmtId="2" fontId="21" fillId="0" borderId="64" xfId="2" applyNumberFormat="1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 applyProtection="1">
      <alignment horizontal="center" vertical="center"/>
      <protection locked="0"/>
    </xf>
    <xf numFmtId="0" fontId="4" fillId="0" borderId="5" xfId="0" applyFont="1" applyBorder="1" applyAlignment="1" applyProtection="1">
      <alignment horizontal="center" vertical="center"/>
      <protection locked="0"/>
    </xf>
    <xf numFmtId="14" fontId="4" fillId="0" borderId="5" xfId="0" applyNumberFormat="1" applyFont="1" applyBorder="1" applyAlignment="1" applyProtection="1">
      <alignment horizontal="center" vertical="center"/>
      <protection locked="0"/>
    </xf>
    <xf numFmtId="14" fontId="4" fillId="0" borderId="0" xfId="0" applyNumberFormat="1" applyFont="1" applyAlignment="1" applyProtection="1">
      <alignment horizontal="center" vertical="center"/>
      <protection locked="0"/>
    </xf>
    <xf numFmtId="14" fontId="4" fillId="0" borderId="8" xfId="0" applyNumberFormat="1" applyFont="1" applyBorder="1" applyAlignment="1" applyProtection="1">
      <alignment horizontal="center" vertical="center"/>
      <protection locked="0"/>
    </xf>
    <xf numFmtId="1" fontId="21" fillId="0" borderId="66" xfId="2" applyNumberFormat="1" applyFont="1" applyBorder="1" applyAlignment="1" applyProtection="1">
      <alignment horizontal="center" vertical="center"/>
      <protection locked="0"/>
    </xf>
  </cellXfs>
  <cellStyles count="4">
    <cellStyle name="Normal" xfId="0" builtinId="0"/>
    <cellStyle name="Normal 2" xfId="1" xr:uid="{00000000-0005-0000-0000-000001000000}"/>
    <cellStyle name="Normal 3" xfId="2" xr:uid="{715D1D0D-CE7A-4FB5-AB0F-3302D2C208D4}"/>
    <cellStyle name="Normal 4" xfId="3" xr:uid="{ED938C87-99B7-4C2B-8F5A-FF721B7BC07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tx>
            <c:v>courbe moyennne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'Nuit 17-181225 BBSG 110 Rouget'!$E$50:$W$50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17-181225 BBSG 110 Rouget'!$E$57:$W$57</c:f>
              <c:numCache>
                <c:formatCode>0.0</c:formatCode>
                <c:ptCount val="19"/>
                <c:pt idx="0">
                  <c:v>7.5</c:v>
                </c:pt>
                <c:pt idx="1">
                  <c:v>8.9</c:v>
                </c:pt>
                <c:pt idx="2">
                  <c:v>11.9</c:v>
                </c:pt>
                <c:pt idx="3">
                  <c:v>15.5</c:v>
                </c:pt>
                <c:pt idx="4">
                  <c:v>20.6</c:v>
                </c:pt>
                <c:pt idx="5">
                  <c:v>29.5</c:v>
                </c:pt>
                <c:pt idx="6">
                  <c:v>43.9</c:v>
                </c:pt>
                <c:pt idx="7">
                  <c:v>60.9</c:v>
                </c:pt>
                <c:pt idx="8">
                  <c:v>78.2</c:v>
                </c:pt>
                <c:pt idx="9">
                  <c:v>94.7</c:v>
                </c:pt>
                <c:pt idx="10" formatCode="0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182</c:v>
                </c:pt>
                <c:pt idx="18" formatCode="0.00">
                  <c:v>4.9400000000000004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8A3-4315-95E7-7D3EDF7CA1D2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'Nuit 17-181225 BBSG 110 Rouget'!$E$50:$W$50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17-181225 BBSG 110 Rouget'!$E$58:$W$58</c:f>
              <c:numCache>
                <c:formatCode>0.0</c:formatCode>
                <c:ptCount val="19"/>
                <c:pt idx="0">
                  <c:v>6.5</c:v>
                </c:pt>
                <c:pt idx="1">
                  <c:v>8</c:v>
                </c:pt>
                <c:pt idx="2">
                  <c:v>11</c:v>
                </c:pt>
                <c:pt idx="3">
                  <c:v>16</c:v>
                </c:pt>
                <c:pt idx="4">
                  <c:v>21</c:v>
                </c:pt>
                <c:pt idx="5">
                  <c:v>30</c:v>
                </c:pt>
                <c:pt idx="6">
                  <c:v>44</c:v>
                </c:pt>
                <c:pt idx="7">
                  <c:v>60</c:v>
                </c:pt>
                <c:pt idx="8">
                  <c:v>76</c:v>
                </c:pt>
                <c:pt idx="9">
                  <c:v>95</c:v>
                </c:pt>
                <c:pt idx="10" formatCode="0">
                  <c:v>100</c:v>
                </c:pt>
                <c:pt idx="18" formatCode="0.00">
                  <c:v>5.4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8A3-4315-95E7-7D3EDF7CA1D2}"/>
            </c:ext>
          </c:extLst>
        </c:ser>
        <c:ser>
          <c:idx val="2"/>
          <c:order val="2"/>
          <c:tx>
            <c:v>Valeur mini</c:v>
          </c:tx>
          <c:xVal>
            <c:numRef>
              <c:f>'150622'!$E$50:$W$50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'150622'!$E$56:$W$56</c:f>
            </c:numRef>
          </c:yVal>
          <c:smooth val="1"/>
          <c:extLst>
            <c:ext xmlns:c16="http://schemas.microsoft.com/office/drawing/2014/chart" uri="{C3380CC4-5D6E-409C-BE32-E72D297353CC}">
              <c16:uniqueId val="{00000002-78A3-4315-95E7-7D3EDF7CA1D2}"/>
            </c:ext>
          </c:extLst>
        </c:ser>
        <c:ser>
          <c:idx val="3"/>
          <c:order val="3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'Nuit 17-181225 BBSG 110 Rouget'!$E$50:$W$50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17-181225 BBSG 110 Rouget'!$E$60:$W$60</c:f>
              <c:numCache>
                <c:formatCode>0.0</c:formatCode>
                <c:ptCount val="19"/>
                <c:pt idx="0">
                  <c:v>4.5</c:v>
                </c:pt>
                <c:pt idx="5">
                  <c:v>24</c:v>
                </c:pt>
                <c:pt idx="7">
                  <c:v>53</c:v>
                </c:pt>
                <c:pt idx="18">
                  <c:v>4.9000000000000004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8A3-4315-95E7-7D3EDF7CA1D2}"/>
            </c:ext>
          </c:extLst>
        </c:ser>
        <c:ser>
          <c:idx val="4"/>
          <c:order val="4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'Nuit 17-181225 BBSG 110 Rouget'!$E$50:$W$50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17-181225 BBSG 110 Rouget'!$E$59:$W$59</c:f>
              <c:numCache>
                <c:formatCode>0.0</c:formatCode>
                <c:ptCount val="19"/>
                <c:pt idx="0">
                  <c:v>8.5</c:v>
                </c:pt>
                <c:pt idx="5">
                  <c:v>36</c:v>
                </c:pt>
                <c:pt idx="7">
                  <c:v>67</c:v>
                </c:pt>
                <c:pt idx="18">
                  <c:v>5.9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8A3-4315-95E7-7D3EDF7CA1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20594976296114434"/>
          <c:h val="0.271709565716050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tx>
            <c:v>courbe moyennne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'Nuit 17-181225 GB 157 Rouget'!$E$50:$W$50</c:f>
              <c:numCache>
                <c:formatCode>0.000</c:formatCode>
                <c:ptCount val="19"/>
                <c:pt idx="0" formatCode="0.0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17-181225 GB 157 Rouget'!$E$57:$W$57</c:f>
              <c:numCache>
                <c:formatCode>0.0</c:formatCode>
                <c:ptCount val="19"/>
                <c:pt idx="0">
                  <c:v>6.8</c:v>
                </c:pt>
                <c:pt idx="1">
                  <c:v>9</c:v>
                </c:pt>
                <c:pt idx="2">
                  <c:v>12.8</c:v>
                </c:pt>
                <c:pt idx="3">
                  <c:v>17.2</c:v>
                </c:pt>
                <c:pt idx="4">
                  <c:v>23.1</c:v>
                </c:pt>
                <c:pt idx="5">
                  <c:v>33.1</c:v>
                </c:pt>
                <c:pt idx="6">
                  <c:v>46.7</c:v>
                </c:pt>
                <c:pt idx="7">
                  <c:v>60.4</c:v>
                </c:pt>
                <c:pt idx="8">
                  <c:v>72.599999999999994</c:v>
                </c:pt>
                <c:pt idx="9">
                  <c:v>83.5</c:v>
                </c:pt>
                <c:pt idx="10">
                  <c:v>92.9</c:v>
                </c:pt>
                <c:pt idx="11">
                  <c:v>95.8</c:v>
                </c:pt>
                <c:pt idx="12" formatCode="0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172</c:v>
                </c:pt>
                <c:pt idx="18" formatCode="0.00">
                  <c:v>4.18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BC2-44FC-801F-FE6172934F5F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'Nuit 17-181225 GB 157 Rouget'!$E$50:$W$50</c:f>
              <c:numCache>
                <c:formatCode>0.000</c:formatCode>
                <c:ptCount val="19"/>
                <c:pt idx="0" formatCode="0.0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17-181225 GB 157 Rouget'!$E$58:$W$58</c:f>
              <c:numCache>
                <c:formatCode>0.0</c:formatCode>
                <c:ptCount val="19"/>
                <c:pt idx="0">
                  <c:v>6.9</c:v>
                </c:pt>
                <c:pt idx="1">
                  <c:v>9</c:v>
                </c:pt>
                <c:pt idx="2">
                  <c:v>12</c:v>
                </c:pt>
                <c:pt idx="3">
                  <c:v>16</c:v>
                </c:pt>
                <c:pt idx="4">
                  <c:v>22</c:v>
                </c:pt>
                <c:pt idx="5">
                  <c:v>32</c:v>
                </c:pt>
                <c:pt idx="6">
                  <c:v>47</c:v>
                </c:pt>
                <c:pt idx="7">
                  <c:v>61</c:v>
                </c:pt>
                <c:pt idx="8">
                  <c:v>69</c:v>
                </c:pt>
                <c:pt idx="9">
                  <c:v>80</c:v>
                </c:pt>
                <c:pt idx="10">
                  <c:v>92</c:v>
                </c:pt>
                <c:pt idx="11">
                  <c:v>98</c:v>
                </c:pt>
                <c:pt idx="12" formatCode="0">
                  <c:v>100</c:v>
                </c:pt>
                <c:pt idx="18" formatCode="0.00">
                  <c:v>4.4000000000000004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BC2-44FC-801F-FE6172934F5F}"/>
            </c:ext>
          </c:extLst>
        </c:ser>
        <c:ser>
          <c:idx val="2"/>
          <c:order val="2"/>
          <c:tx>
            <c:v>Valeur mini</c:v>
          </c:tx>
          <c:xVal>
            <c:numRef>
              <c:f>'150622'!$E$50:$W$50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'150622'!$E$56:$W$56</c:f>
            </c:numRef>
          </c:yVal>
          <c:smooth val="1"/>
          <c:extLst>
            <c:ext xmlns:c16="http://schemas.microsoft.com/office/drawing/2014/chart" uri="{C3380CC4-5D6E-409C-BE32-E72D297353CC}">
              <c16:uniqueId val="{00000002-0BC2-44FC-801F-FE6172934F5F}"/>
            </c:ext>
          </c:extLst>
        </c:ser>
        <c:ser>
          <c:idx val="3"/>
          <c:order val="3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'Nuit 17-181225 GB 157 Rouget'!$E$50:$W$50</c:f>
              <c:numCache>
                <c:formatCode>0.000</c:formatCode>
                <c:ptCount val="19"/>
                <c:pt idx="0" formatCode="0.0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17-181225 GB 157 Rouget'!$E$60:$W$60</c:f>
              <c:numCache>
                <c:formatCode>0.0</c:formatCode>
                <c:ptCount val="19"/>
                <c:pt idx="0">
                  <c:v>4.9000000000000004</c:v>
                </c:pt>
                <c:pt idx="5">
                  <c:v>26</c:v>
                </c:pt>
                <c:pt idx="7">
                  <c:v>54</c:v>
                </c:pt>
                <c:pt idx="18">
                  <c:v>3.9000000000000004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BC2-44FC-801F-FE6172934F5F}"/>
            </c:ext>
          </c:extLst>
        </c:ser>
        <c:ser>
          <c:idx val="4"/>
          <c:order val="4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'Nuit 17-181225 GB 157 Rouget'!$E$50:$W$50</c:f>
              <c:numCache>
                <c:formatCode>0.000</c:formatCode>
                <c:ptCount val="19"/>
                <c:pt idx="0" formatCode="0.0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17-181225 GB 157 Rouget'!$E$59:$W$59</c:f>
              <c:numCache>
                <c:formatCode>0.0</c:formatCode>
                <c:ptCount val="19"/>
                <c:pt idx="0">
                  <c:v>8.9</c:v>
                </c:pt>
                <c:pt idx="5">
                  <c:v>38</c:v>
                </c:pt>
                <c:pt idx="7">
                  <c:v>68</c:v>
                </c:pt>
                <c:pt idx="18">
                  <c:v>4.9000000000000004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BC2-44FC-801F-FE6172934F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20594976296114434"/>
          <c:h val="0.271709565716050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tx>
            <c:v>courbe moyennne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'030723'!$E$50:$W$50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'030723'!$E$57:$W$57</c:f>
              <c:numCache>
                <c:formatCode>0.0</c:formatCode>
                <c:ptCount val="19"/>
                <c:pt idx="0">
                  <c:v>6.75</c:v>
                </c:pt>
                <c:pt idx="1">
                  <c:v>8.5500000000000007</c:v>
                </c:pt>
                <c:pt idx="2">
                  <c:v>11.15</c:v>
                </c:pt>
                <c:pt idx="3">
                  <c:v>14.7</c:v>
                </c:pt>
                <c:pt idx="4">
                  <c:v>19.75</c:v>
                </c:pt>
                <c:pt idx="5">
                  <c:v>29.25</c:v>
                </c:pt>
                <c:pt idx="6">
                  <c:v>44.349999999999994</c:v>
                </c:pt>
                <c:pt idx="7">
                  <c:v>61.95</c:v>
                </c:pt>
                <c:pt idx="8">
                  <c:v>80.650000000000006</c:v>
                </c:pt>
                <c:pt idx="9">
                  <c:v>96.35</c:v>
                </c:pt>
                <c:pt idx="10" formatCode="0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168.5</c:v>
                </c:pt>
                <c:pt idx="18" formatCode="0.00">
                  <c:v>5.0350000000000001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48B-42B8-9FC4-978FE53D21CF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'030723'!$E$50:$W$50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'030723'!$E$58:$W$58</c:f>
              <c:numCache>
                <c:formatCode>0.0</c:formatCode>
                <c:ptCount val="19"/>
                <c:pt idx="0">
                  <c:v>6.5</c:v>
                </c:pt>
                <c:pt idx="1">
                  <c:v>8</c:v>
                </c:pt>
                <c:pt idx="2">
                  <c:v>11</c:v>
                </c:pt>
                <c:pt idx="3">
                  <c:v>16</c:v>
                </c:pt>
                <c:pt idx="4">
                  <c:v>21</c:v>
                </c:pt>
                <c:pt idx="5">
                  <c:v>30</c:v>
                </c:pt>
                <c:pt idx="6">
                  <c:v>44</c:v>
                </c:pt>
                <c:pt idx="7">
                  <c:v>60</c:v>
                </c:pt>
                <c:pt idx="8">
                  <c:v>76</c:v>
                </c:pt>
                <c:pt idx="9">
                  <c:v>95</c:v>
                </c:pt>
                <c:pt idx="10" formatCode="0">
                  <c:v>100</c:v>
                </c:pt>
                <c:pt idx="18" formatCode="0.00">
                  <c:v>5.4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48B-42B8-9FC4-978FE53D21CF}"/>
            </c:ext>
          </c:extLst>
        </c:ser>
        <c:ser>
          <c:idx val="2"/>
          <c:order val="2"/>
          <c:tx>
            <c:v>Valeur mini</c:v>
          </c:tx>
          <c:xVal>
            <c:numRef>
              <c:f>'150622'!$E$50:$W$50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'150622'!$E$56:$W$56</c:f>
            </c:numRef>
          </c:yVal>
          <c:smooth val="1"/>
          <c:extLst>
            <c:ext xmlns:c16="http://schemas.microsoft.com/office/drawing/2014/chart" uri="{C3380CC4-5D6E-409C-BE32-E72D297353CC}">
              <c16:uniqueId val="{00000002-D48B-42B8-9FC4-978FE53D21CF}"/>
            </c:ext>
          </c:extLst>
        </c:ser>
        <c:ser>
          <c:idx val="3"/>
          <c:order val="3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'030723'!$E$50:$W$50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'030723'!$E$60:$W$60</c:f>
              <c:numCache>
                <c:formatCode>0.0</c:formatCode>
                <c:ptCount val="19"/>
                <c:pt idx="0">
                  <c:v>4.5</c:v>
                </c:pt>
                <c:pt idx="5">
                  <c:v>24</c:v>
                </c:pt>
                <c:pt idx="7">
                  <c:v>53</c:v>
                </c:pt>
                <c:pt idx="18">
                  <c:v>4.9000000000000004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48B-42B8-9FC4-978FE53D21CF}"/>
            </c:ext>
          </c:extLst>
        </c:ser>
        <c:ser>
          <c:idx val="4"/>
          <c:order val="4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'030723'!$E$50:$W$50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'030723'!$E$59:$W$59</c:f>
              <c:numCache>
                <c:formatCode>0.0</c:formatCode>
                <c:ptCount val="19"/>
                <c:pt idx="0">
                  <c:v>8.5</c:v>
                </c:pt>
                <c:pt idx="5">
                  <c:v>36</c:v>
                </c:pt>
                <c:pt idx="7">
                  <c:v>67</c:v>
                </c:pt>
                <c:pt idx="18">
                  <c:v>5.9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48B-42B8-9FC4-978FE53D21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20594976296114434"/>
          <c:h val="0.271709565716050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tx>
            <c:v>courbe moyennne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'150622'!$E$50:$W$50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'150622'!$E$57:$W$57</c:f>
              <c:numCache>
                <c:formatCode>0.0</c:formatCode>
                <c:ptCount val="19"/>
                <c:pt idx="0">
                  <c:v>7.5500000000000007</c:v>
                </c:pt>
                <c:pt idx="1">
                  <c:v>9.5500000000000007</c:v>
                </c:pt>
                <c:pt idx="2">
                  <c:v>12.350000000000001</c:v>
                </c:pt>
                <c:pt idx="3">
                  <c:v>16.100000000000001</c:v>
                </c:pt>
                <c:pt idx="4">
                  <c:v>21.2</c:v>
                </c:pt>
                <c:pt idx="5">
                  <c:v>30.25</c:v>
                </c:pt>
                <c:pt idx="6">
                  <c:v>44.900000000000006</c:v>
                </c:pt>
                <c:pt idx="7">
                  <c:v>60.900000000000006</c:v>
                </c:pt>
                <c:pt idx="8">
                  <c:v>70.2</c:v>
                </c:pt>
                <c:pt idx="9">
                  <c:v>79.849999999999994</c:v>
                </c:pt>
                <c:pt idx="10">
                  <c:v>90.1</c:v>
                </c:pt>
                <c:pt idx="11">
                  <c:v>96.35</c:v>
                </c:pt>
                <c:pt idx="12" formatCode="0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166.5</c:v>
                </c:pt>
                <c:pt idx="18" formatCode="0.00">
                  <c:v>4.2799999999999994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E18-40C6-B809-2985C4D61FC6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'150622'!$E$50:$W$50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'150622'!$E$58:$W$58</c:f>
              <c:numCache>
                <c:formatCode>0.0</c:formatCode>
                <c:ptCount val="19"/>
                <c:pt idx="0">
                  <c:v>6.2</c:v>
                </c:pt>
                <c:pt idx="1">
                  <c:v>8</c:v>
                </c:pt>
                <c:pt idx="2">
                  <c:v>12</c:v>
                </c:pt>
                <c:pt idx="3">
                  <c:v>16</c:v>
                </c:pt>
                <c:pt idx="4">
                  <c:v>22</c:v>
                </c:pt>
                <c:pt idx="5">
                  <c:v>30</c:v>
                </c:pt>
                <c:pt idx="6">
                  <c:v>43</c:v>
                </c:pt>
                <c:pt idx="7">
                  <c:v>59</c:v>
                </c:pt>
                <c:pt idx="8">
                  <c:v>68</c:v>
                </c:pt>
                <c:pt idx="9">
                  <c:v>77</c:v>
                </c:pt>
                <c:pt idx="10">
                  <c:v>91</c:v>
                </c:pt>
                <c:pt idx="11">
                  <c:v>98</c:v>
                </c:pt>
                <c:pt idx="18" formatCode="0.00">
                  <c:v>4.4000000000000004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E18-40C6-B809-2985C4D61FC6}"/>
            </c:ext>
          </c:extLst>
        </c:ser>
        <c:ser>
          <c:idx val="2"/>
          <c:order val="2"/>
          <c:tx>
            <c:v>Valeur mini</c:v>
          </c:tx>
          <c:xVal>
            <c:numRef>
              <c:f>'150622'!$E$50:$W$50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'150622'!$E$56:$W$56</c:f>
            </c:numRef>
          </c:yVal>
          <c:smooth val="1"/>
          <c:extLst>
            <c:ext xmlns:c16="http://schemas.microsoft.com/office/drawing/2014/chart" uri="{C3380CC4-5D6E-409C-BE32-E72D297353CC}">
              <c16:uniqueId val="{00000002-EE18-40C6-B809-2985C4D61FC6}"/>
            </c:ext>
          </c:extLst>
        </c:ser>
        <c:ser>
          <c:idx val="3"/>
          <c:order val="3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'150622'!$E$50:$W$50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'150622'!$E$60:$W$60</c:f>
              <c:numCache>
                <c:formatCode>0.0</c:formatCode>
                <c:ptCount val="19"/>
                <c:pt idx="0">
                  <c:v>4.2</c:v>
                </c:pt>
                <c:pt idx="5">
                  <c:v>24</c:v>
                </c:pt>
                <c:pt idx="7">
                  <c:v>52</c:v>
                </c:pt>
                <c:pt idx="18">
                  <c:v>3.9000000000000004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E18-40C6-B809-2985C4D61FC6}"/>
            </c:ext>
          </c:extLst>
        </c:ser>
        <c:ser>
          <c:idx val="4"/>
          <c:order val="4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'150622'!$E$50:$W$50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'150622'!$E$59:$W$59</c:f>
              <c:numCache>
                <c:formatCode>0.0</c:formatCode>
                <c:ptCount val="19"/>
                <c:pt idx="0">
                  <c:v>8.1999999999999993</c:v>
                </c:pt>
                <c:pt idx="5">
                  <c:v>36</c:v>
                </c:pt>
                <c:pt idx="7">
                  <c:v>66</c:v>
                </c:pt>
                <c:pt idx="18">
                  <c:v>4.9000000000000004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E18-40C6-B809-2985C4D61F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20594976296114434"/>
          <c:h val="0.271709565716050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123825</xdr:rowOff>
    </xdr:from>
    <xdr:to>
      <xdr:col>25</xdr:col>
      <xdr:colOff>171450</xdr:colOff>
      <xdr:row>46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F99611D1-C9B7-471C-ABA7-1DA0245499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62</xdr:row>
      <xdr:rowOff>0</xdr:rowOff>
    </xdr:from>
    <xdr:to>
      <xdr:col>24</xdr:col>
      <xdr:colOff>104775</xdr:colOff>
      <xdr:row>62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A19E2CD1-EF80-4113-AB2C-521C87BE4127}"/>
            </a:ext>
          </a:extLst>
        </xdr:cNvPr>
        <xdr:cNvSpPr>
          <a:spLocks noChangeShapeType="1"/>
        </xdr:cNvSpPr>
      </xdr:nvSpPr>
      <xdr:spPr bwMode="auto">
        <a:xfrm>
          <a:off x="8517255" y="1084326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42</xdr:row>
      <xdr:rowOff>66675</xdr:rowOff>
    </xdr:from>
    <xdr:to>
      <xdr:col>30</xdr:col>
      <xdr:colOff>171450</xdr:colOff>
      <xdr:row>45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9330DD73-AF96-471F-8578-85CC447FA7F1}"/>
            </a:ext>
          </a:extLst>
        </xdr:cNvPr>
        <xdr:cNvSpPr txBox="1">
          <a:spLocks noChangeArrowheads="1"/>
        </xdr:cNvSpPr>
      </xdr:nvSpPr>
      <xdr:spPr bwMode="auto">
        <a:xfrm>
          <a:off x="8745855" y="7077075"/>
          <a:ext cx="3244215" cy="50863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43</xdr:row>
      <xdr:rowOff>28576</xdr:rowOff>
    </xdr:from>
    <xdr:to>
      <xdr:col>30</xdr:col>
      <xdr:colOff>533400</xdr:colOff>
      <xdr:row>45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83D727B9-67A9-40DF-8195-70958E4BCF2F}"/>
            </a:ext>
          </a:extLst>
        </xdr:cNvPr>
        <xdr:cNvSpPr>
          <a:spLocks noChangeShapeType="1"/>
        </xdr:cNvSpPr>
      </xdr:nvSpPr>
      <xdr:spPr bwMode="auto">
        <a:xfrm>
          <a:off x="11999595" y="7198996"/>
          <a:ext cx="352425" cy="37719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45</xdr:row>
      <xdr:rowOff>104775</xdr:rowOff>
    </xdr:from>
    <xdr:to>
      <xdr:col>25</xdr:col>
      <xdr:colOff>295275</xdr:colOff>
      <xdr:row>47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BD765D2C-60D0-453C-9646-4794F38B3FB6}"/>
            </a:ext>
          </a:extLst>
        </xdr:cNvPr>
        <xdr:cNvSpPr>
          <a:spLocks noChangeShapeType="1"/>
        </xdr:cNvSpPr>
      </xdr:nvSpPr>
      <xdr:spPr bwMode="auto">
        <a:xfrm flipH="1">
          <a:off x="9039225" y="7595235"/>
          <a:ext cx="19050" cy="2724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3CF07BC6-32D8-4E27-90D1-0297E4CC89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" y="636270"/>
          <a:ext cx="2017395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62</xdr:row>
      <xdr:rowOff>152400</xdr:rowOff>
    </xdr:from>
    <xdr:to>
      <xdr:col>32</xdr:col>
      <xdr:colOff>400050</xdr:colOff>
      <xdr:row>63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ABD354E9-E7DD-4928-AFC1-8C38E528F3EC}"/>
            </a:ext>
          </a:extLst>
        </xdr:cNvPr>
        <xdr:cNvSpPr txBox="1">
          <a:spLocks noChangeArrowheads="1"/>
        </xdr:cNvSpPr>
      </xdr:nvSpPr>
      <xdr:spPr bwMode="auto">
        <a:xfrm>
          <a:off x="11300460" y="10995660"/>
          <a:ext cx="2487930" cy="51054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115</xdr:row>
      <xdr:rowOff>57150</xdr:rowOff>
    </xdr:from>
    <xdr:to>
      <xdr:col>41</xdr:col>
      <xdr:colOff>323850</xdr:colOff>
      <xdr:row>116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4B3F1273-EF40-4F92-B9AE-F01444D1AF00}"/>
            </a:ext>
          </a:extLst>
        </xdr:cNvPr>
        <xdr:cNvSpPr>
          <a:spLocks noChangeShapeType="1"/>
        </xdr:cNvSpPr>
      </xdr:nvSpPr>
      <xdr:spPr bwMode="auto">
        <a:xfrm flipH="1">
          <a:off x="20775930" y="20059650"/>
          <a:ext cx="0" cy="1885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59</xdr:row>
      <xdr:rowOff>19049</xdr:rowOff>
    </xdr:from>
    <xdr:to>
      <xdr:col>29</xdr:col>
      <xdr:colOff>257175</xdr:colOff>
      <xdr:row>62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80F79C34-1E44-4F27-B1FB-CDF57E3DC4C3}"/>
            </a:ext>
          </a:extLst>
        </xdr:cNvPr>
        <xdr:cNvSpPr>
          <a:spLocks noChangeShapeType="1"/>
        </xdr:cNvSpPr>
      </xdr:nvSpPr>
      <xdr:spPr bwMode="auto">
        <a:xfrm flipH="1" flipV="1">
          <a:off x="4539615" y="10511789"/>
          <a:ext cx="6751320" cy="6838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323850</xdr:colOff>
      <xdr:row>3</xdr:row>
      <xdr:rowOff>129540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C999ED0C-B00E-41EE-9CB2-6025D45D48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3370"/>
          <a:ext cx="1343025" cy="3200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123825</xdr:rowOff>
    </xdr:from>
    <xdr:to>
      <xdr:col>25</xdr:col>
      <xdr:colOff>171450</xdr:colOff>
      <xdr:row>46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CE5EDD05-8701-4F28-9550-0FEC085809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62</xdr:row>
      <xdr:rowOff>0</xdr:rowOff>
    </xdr:from>
    <xdr:to>
      <xdr:col>24</xdr:col>
      <xdr:colOff>104775</xdr:colOff>
      <xdr:row>62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1B03DA56-9D9A-4413-A059-9EFBCAFC0D98}"/>
            </a:ext>
          </a:extLst>
        </xdr:cNvPr>
        <xdr:cNvSpPr>
          <a:spLocks noChangeShapeType="1"/>
        </xdr:cNvSpPr>
      </xdr:nvSpPr>
      <xdr:spPr bwMode="auto">
        <a:xfrm>
          <a:off x="8517255" y="1084326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42</xdr:row>
      <xdr:rowOff>66675</xdr:rowOff>
    </xdr:from>
    <xdr:to>
      <xdr:col>30</xdr:col>
      <xdr:colOff>171450</xdr:colOff>
      <xdr:row>45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064AE04A-F1B8-4FCC-BDF6-F26D4ADDA991}"/>
            </a:ext>
          </a:extLst>
        </xdr:cNvPr>
        <xdr:cNvSpPr txBox="1">
          <a:spLocks noChangeArrowheads="1"/>
        </xdr:cNvSpPr>
      </xdr:nvSpPr>
      <xdr:spPr bwMode="auto">
        <a:xfrm>
          <a:off x="8745855" y="7077075"/>
          <a:ext cx="3244215" cy="50863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43</xdr:row>
      <xdr:rowOff>28576</xdr:rowOff>
    </xdr:from>
    <xdr:to>
      <xdr:col>30</xdr:col>
      <xdr:colOff>533400</xdr:colOff>
      <xdr:row>45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E6FF7E2B-FC07-4148-84B7-FFCACE80C0EB}"/>
            </a:ext>
          </a:extLst>
        </xdr:cNvPr>
        <xdr:cNvSpPr>
          <a:spLocks noChangeShapeType="1"/>
        </xdr:cNvSpPr>
      </xdr:nvSpPr>
      <xdr:spPr bwMode="auto">
        <a:xfrm>
          <a:off x="11999595" y="7198996"/>
          <a:ext cx="352425" cy="37719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45</xdr:row>
      <xdr:rowOff>104775</xdr:rowOff>
    </xdr:from>
    <xdr:to>
      <xdr:col>25</xdr:col>
      <xdr:colOff>295275</xdr:colOff>
      <xdr:row>47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C3CB34BD-778C-4EF8-B80F-E69B30787B72}"/>
            </a:ext>
          </a:extLst>
        </xdr:cNvPr>
        <xdr:cNvSpPr>
          <a:spLocks noChangeShapeType="1"/>
        </xdr:cNvSpPr>
      </xdr:nvSpPr>
      <xdr:spPr bwMode="auto">
        <a:xfrm flipH="1">
          <a:off x="9039225" y="7595235"/>
          <a:ext cx="19050" cy="2724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50A6CFDA-27DB-447A-80BC-F36FE3D992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" y="636270"/>
          <a:ext cx="2017395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62</xdr:row>
      <xdr:rowOff>152400</xdr:rowOff>
    </xdr:from>
    <xdr:to>
      <xdr:col>32</xdr:col>
      <xdr:colOff>400050</xdr:colOff>
      <xdr:row>63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9A8F18D4-9305-4F42-9F54-D088A576F91A}"/>
            </a:ext>
          </a:extLst>
        </xdr:cNvPr>
        <xdr:cNvSpPr txBox="1">
          <a:spLocks noChangeArrowheads="1"/>
        </xdr:cNvSpPr>
      </xdr:nvSpPr>
      <xdr:spPr bwMode="auto">
        <a:xfrm>
          <a:off x="11300460" y="10995660"/>
          <a:ext cx="2487930" cy="51054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115</xdr:row>
      <xdr:rowOff>57150</xdr:rowOff>
    </xdr:from>
    <xdr:to>
      <xdr:col>41</xdr:col>
      <xdr:colOff>323850</xdr:colOff>
      <xdr:row>116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FB7AAAF5-0116-4E94-9BA0-07ACE05F8AE2}"/>
            </a:ext>
          </a:extLst>
        </xdr:cNvPr>
        <xdr:cNvSpPr>
          <a:spLocks noChangeShapeType="1"/>
        </xdr:cNvSpPr>
      </xdr:nvSpPr>
      <xdr:spPr bwMode="auto">
        <a:xfrm flipH="1">
          <a:off x="20775930" y="20059650"/>
          <a:ext cx="0" cy="1885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59</xdr:row>
      <xdr:rowOff>19049</xdr:rowOff>
    </xdr:from>
    <xdr:to>
      <xdr:col>29</xdr:col>
      <xdr:colOff>257175</xdr:colOff>
      <xdr:row>62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F6D68E94-2B7D-4B5D-A6CE-86FAABCD5F8E}"/>
            </a:ext>
          </a:extLst>
        </xdr:cNvPr>
        <xdr:cNvSpPr>
          <a:spLocks noChangeShapeType="1"/>
        </xdr:cNvSpPr>
      </xdr:nvSpPr>
      <xdr:spPr bwMode="auto">
        <a:xfrm flipH="1" flipV="1">
          <a:off x="4539615" y="10511789"/>
          <a:ext cx="6751320" cy="6838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323850</xdr:colOff>
      <xdr:row>3</xdr:row>
      <xdr:rowOff>129540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6B3CEF83-0D5E-4E52-AB77-45907E5751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3370"/>
          <a:ext cx="1346835" cy="3162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123825</xdr:rowOff>
    </xdr:from>
    <xdr:to>
      <xdr:col>25</xdr:col>
      <xdr:colOff>171450</xdr:colOff>
      <xdr:row>46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45E70B98-E470-4CD4-9AFA-2DA80422B2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62</xdr:row>
      <xdr:rowOff>0</xdr:rowOff>
    </xdr:from>
    <xdr:to>
      <xdr:col>24</xdr:col>
      <xdr:colOff>104775</xdr:colOff>
      <xdr:row>62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C42C7D79-607C-4991-A22F-8D161726ADC6}"/>
            </a:ext>
          </a:extLst>
        </xdr:cNvPr>
        <xdr:cNvSpPr>
          <a:spLocks noChangeShapeType="1"/>
        </xdr:cNvSpPr>
      </xdr:nvSpPr>
      <xdr:spPr bwMode="auto">
        <a:xfrm>
          <a:off x="8561070" y="1094422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42</xdr:row>
      <xdr:rowOff>66675</xdr:rowOff>
    </xdr:from>
    <xdr:to>
      <xdr:col>30</xdr:col>
      <xdr:colOff>171450</xdr:colOff>
      <xdr:row>45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F1E992AF-E73E-42FD-8B32-435DCFA0EABF}"/>
            </a:ext>
          </a:extLst>
        </xdr:cNvPr>
        <xdr:cNvSpPr txBox="1">
          <a:spLocks noChangeArrowheads="1"/>
        </xdr:cNvSpPr>
      </xdr:nvSpPr>
      <xdr:spPr bwMode="auto">
        <a:xfrm>
          <a:off x="8789670" y="7141845"/>
          <a:ext cx="3236595" cy="51244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43</xdr:row>
      <xdr:rowOff>28576</xdr:rowOff>
    </xdr:from>
    <xdr:to>
      <xdr:col>30</xdr:col>
      <xdr:colOff>533400</xdr:colOff>
      <xdr:row>45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FFC141CE-F308-492D-8FE5-6B50617684DB}"/>
            </a:ext>
          </a:extLst>
        </xdr:cNvPr>
        <xdr:cNvSpPr>
          <a:spLocks noChangeShapeType="1"/>
        </xdr:cNvSpPr>
      </xdr:nvSpPr>
      <xdr:spPr bwMode="auto">
        <a:xfrm>
          <a:off x="12037695" y="7265671"/>
          <a:ext cx="354330" cy="38481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45</xdr:row>
      <xdr:rowOff>104775</xdr:rowOff>
    </xdr:from>
    <xdr:to>
      <xdr:col>25</xdr:col>
      <xdr:colOff>295275</xdr:colOff>
      <xdr:row>47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7A3BF09A-6AE0-487E-8377-B17A18DD4DCA}"/>
            </a:ext>
          </a:extLst>
        </xdr:cNvPr>
        <xdr:cNvSpPr>
          <a:spLocks noChangeShapeType="1"/>
        </xdr:cNvSpPr>
      </xdr:nvSpPr>
      <xdr:spPr bwMode="auto">
        <a:xfrm flipH="1">
          <a:off x="9088755" y="7665720"/>
          <a:ext cx="15240" cy="2743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7D3E22BB-A885-4F59-B0C0-790B3F25FA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" y="643890"/>
          <a:ext cx="2034540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62</xdr:row>
      <xdr:rowOff>152400</xdr:rowOff>
    </xdr:from>
    <xdr:to>
      <xdr:col>32</xdr:col>
      <xdr:colOff>400050</xdr:colOff>
      <xdr:row>63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446681CB-41F4-4CC3-8D27-717B676A0B6B}"/>
            </a:ext>
          </a:extLst>
        </xdr:cNvPr>
        <xdr:cNvSpPr txBox="1">
          <a:spLocks noChangeArrowheads="1"/>
        </xdr:cNvSpPr>
      </xdr:nvSpPr>
      <xdr:spPr bwMode="auto">
        <a:xfrm>
          <a:off x="11344275" y="11096625"/>
          <a:ext cx="2472690" cy="514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115</xdr:row>
      <xdr:rowOff>57150</xdr:rowOff>
    </xdr:from>
    <xdr:to>
      <xdr:col>41</xdr:col>
      <xdr:colOff>323850</xdr:colOff>
      <xdr:row>116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E50CF581-F99C-4318-AEF8-909353AA89AA}"/>
            </a:ext>
          </a:extLst>
        </xdr:cNvPr>
        <xdr:cNvSpPr>
          <a:spLocks noChangeShapeType="1"/>
        </xdr:cNvSpPr>
      </xdr:nvSpPr>
      <xdr:spPr bwMode="auto">
        <a:xfrm flipH="1">
          <a:off x="20770215" y="20255865"/>
          <a:ext cx="0" cy="1962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59</xdr:row>
      <xdr:rowOff>19049</xdr:rowOff>
    </xdr:from>
    <xdr:to>
      <xdr:col>29</xdr:col>
      <xdr:colOff>257175</xdr:colOff>
      <xdr:row>62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055813F2-A35E-4E12-A451-121A78316589}"/>
            </a:ext>
          </a:extLst>
        </xdr:cNvPr>
        <xdr:cNvSpPr>
          <a:spLocks noChangeShapeType="1"/>
        </xdr:cNvSpPr>
      </xdr:nvSpPr>
      <xdr:spPr bwMode="auto">
        <a:xfrm flipH="1" flipV="1">
          <a:off x="4560570" y="10614659"/>
          <a:ext cx="6772275" cy="6838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320040</xdr:colOff>
      <xdr:row>3</xdr:row>
      <xdr:rowOff>133350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49DD16D1-9FAA-4C3A-A91B-D08BD0D69A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1465"/>
          <a:ext cx="1350645" cy="3276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123825</xdr:rowOff>
    </xdr:from>
    <xdr:to>
      <xdr:col>25</xdr:col>
      <xdr:colOff>171450</xdr:colOff>
      <xdr:row>46</xdr:row>
      <xdr:rowOff>0</xdr:rowOff>
    </xdr:to>
    <xdr:graphicFrame macro="">
      <xdr:nvGraphicFramePr>
        <xdr:cNvPr id="6236" name="Graphique 1">
          <a:extLst>
            <a:ext uri="{FF2B5EF4-FFF2-40B4-BE49-F238E27FC236}">
              <a16:creationId xmlns:a16="http://schemas.microsoft.com/office/drawing/2014/main" id="{00000000-0008-0000-0000-00005C1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62</xdr:row>
      <xdr:rowOff>0</xdr:rowOff>
    </xdr:from>
    <xdr:to>
      <xdr:col>24</xdr:col>
      <xdr:colOff>104775</xdr:colOff>
      <xdr:row>62</xdr:row>
      <xdr:rowOff>0</xdr:rowOff>
    </xdr:to>
    <xdr:sp macro="" textlink="">
      <xdr:nvSpPr>
        <xdr:cNvPr id="6237" name="Line 24">
          <a:extLst>
            <a:ext uri="{FF2B5EF4-FFF2-40B4-BE49-F238E27FC236}">
              <a16:creationId xmlns:a16="http://schemas.microsoft.com/office/drawing/2014/main" id="{00000000-0008-0000-0000-00005D180000}"/>
            </a:ext>
          </a:extLst>
        </xdr:cNvPr>
        <xdr:cNvSpPr>
          <a:spLocks noChangeShapeType="1"/>
        </xdr:cNvSpPr>
      </xdr:nvSpPr>
      <xdr:spPr bwMode="auto">
        <a:xfrm>
          <a:off x="8334375" y="1137285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42</xdr:row>
      <xdr:rowOff>66675</xdr:rowOff>
    </xdr:from>
    <xdr:to>
      <xdr:col>30</xdr:col>
      <xdr:colOff>171450</xdr:colOff>
      <xdr:row>45</xdr:row>
      <xdr:rowOff>95250</xdr:rowOff>
    </xdr:to>
    <xdr:sp macro="" textlink="">
      <xdr:nvSpPr>
        <xdr:cNvPr id="6172" name="Text Box 28">
          <a:extLst>
            <a:ext uri="{FF2B5EF4-FFF2-40B4-BE49-F238E27FC236}">
              <a16:creationId xmlns:a16="http://schemas.microsoft.com/office/drawing/2014/main" id="{00000000-0008-0000-0000-00001C180000}"/>
            </a:ext>
          </a:extLst>
        </xdr:cNvPr>
        <xdr:cNvSpPr txBox="1">
          <a:spLocks noChangeArrowheads="1"/>
        </xdr:cNvSpPr>
      </xdr:nvSpPr>
      <xdr:spPr bwMode="auto">
        <a:xfrm>
          <a:off x="8562975" y="7562850"/>
          <a:ext cx="2809875" cy="514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43</xdr:row>
      <xdr:rowOff>28576</xdr:rowOff>
    </xdr:from>
    <xdr:to>
      <xdr:col>30</xdr:col>
      <xdr:colOff>533400</xdr:colOff>
      <xdr:row>45</xdr:row>
      <xdr:rowOff>85726</xdr:rowOff>
    </xdr:to>
    <xdr:sp macro="" textlink="">
      <xdr:nvSpPr>
        <xdr:cNvPr id="6239" name="Line 29">
          <a:extLst>
            <a:ext uri="{FF2B5EF4-FFF2-40B4-BE49-F238E27FC236}">
              <a16:creationId xmlns:a16="http://schemas.microsoft.com/office/drawing/2014/main" id="{00000000-0008-0000-0000-00005F180000}"/>
            </a:ext>
          </a:extLst>
        </xdr:cNvPr>
        <xdr:cNvSpPr>
          <a:spLocks noChangeShapeType="1"/>
        </xdr:cNvSpPr>
      </xdr:nvSpPr>
      <xdr:spPr bwMode="auto">
        <a:xfrm>
          <a:off x="11382375" y="7686676"/>
          <a:ext cx="352425" cy="3810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45</xdr:row>
      <xdr:rowOff>104775</xdr:rowOff>
    </xdr:from>
    <xdr:to>
      <xdr:col>25</xdr:col>
      <xdr:colOff>295275</xdr:colOff>
      <xdr:row>47</xdr:row>
      <xdr:rowOff>133350</xdr:rowOff>
    </xdr:to>
    <xdr:sp macro="" textlink="">
      <xdr:nvSpPr>
        <xdr:cNvPr id="6240" name="Line 30">
          <a:extLst>
            <a:ext uri="{FF2B5EF4-FFF2-40B4-BE49-F238E27FC236}">
              <a16:creationId xmlns:a16="http://schemas.microsoft.com/office/drawing/2014/main" id="{00000000-0008-0000-0000-000060180000}"/>
            </a:ext>
          </a:extLst>
        </xdr:cNvPr>
        <xdr:cNvSpPr>
          <a:spLocks noChangeShapeType="1"/>
        </xdr:cNvSpPr>
      </xdr:nvSpPr>
      <xdr:spPr bwMode="auto">
        <a:xfrm flipH="1">
          <a:off x="8848725" y="8086725"/>
          <a:ext cx="19050" cy="2762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6241" name="Picture 32">
          <a:extLst>
            <a:ext uri="{FF2B5EF4-FFF2-40B4-BE49-F238E27FC236}">
              <a16:creationId xmlns:a16="http://schemas.microsoft.com/office/drawing/2014/main" id="{00000000-0008-0000-0000-00006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350" y="647700"/>
          <a:ext cx="1971675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62</xdr:row>
      <xdr:rowOff>152400</xdr:rowOff>
    </xdr:from>
    <xdr:to>
      <xdr:col>32</xdr:col>
      <xdr:colOff>400050</xdr:colOff>
      <xdr:row>63</xdr:row>
      <xdr:rowOff>228600</xdr:rowOff>
    </xdr:to>
    <xdr:sp macro="" textlink="">
      <xdr:nvSpPr>
        <xdr:cNvPr id="6195" name="Text Box 51">
          <a:extLst>
            <a:ext uri="{FF2B5EF4-FFF2-40B4-BE49-F238E27FC236}">
              <a16:creationId xmlns:a16="http://schemas.microsoft.com/office/drawing/2014/main" id="{00000000-0008-0000-0000-000033180000}"/>
            </a:ext>
          </a:extLst>
        </xdr:cNvPr>
        <xdr:cNvSpPr txBox="1">
          <a:spLocks noChangeArrowheads="1"/>
        </xdr:cNvSpPr>
      </xdr:nvSpPr>
      <xdr:spPr bwMode="auto">
        <a:xfrm>
          <a:off x="8763000" y="11515725"/>
          <a:ext cx="1533525" cy="514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115</xdr:row>
      <xdr:rowOff>57150</xdr:rowOff>
    </xdr:from>
    <xdr:to>
      <xdr:col>41</xdr:col>
      <xdr:colOff>323850</xdr:colOff>
      <xdr:row>116</xdr:row>
      <xdr:rowOff>85725</xdr:rowOff>
    </xdr:to>
    <xdr:sp macro="" textlink="">
      <xdr:nvSpPr>
        <xdr:cNvPr id="6243" name="Line 52">
          <a:extLst>
            <a:ext uri="{FF2B5EF4-FFF2-40B4-BE49-F238E27FC236}">
              <a16:creationId xmlns:a16="http://schemas.microsoft.com/office/drawing/2014/main" id="{00000000-0008-0000-0000-000063180000}"/>
            </a:ext>
          </a:extLst>
        </xdr:cNvPr>
        <xdr:cNvSpPr>
          <a:spLocks noChangeShapeType="1"/>
        </xdr:cNvSpPr>
      </xdr:nvSpPr>
      <xdr:spPr bwMode="auto">
        <a:xfrm flipH="1">
          <a:off x="19907250" y="20688300"/>
          <a:ext cx="0" cy="1905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59</xdr:row>
      <xdr:rowOff>19049</xdr:rowOff>
    </xdr:from>
    <xdr:to>
      <xdr:col>29</xdr:col>
      <xdr:colOff>257175</xdr:colOff>
      <xdr:row>62</xdr:row>
      <xdr:rowOff>352424</xdr:rowOff>
    </xdr:to>
    <xdr:sp macro="" textlink="">
      <xdr:nvSpPr>
        <xdr:cNvPr id="6244" name="Line 53">
          <a:extLst>
            <a:ext uri="{FF2B5EF4-FFF2-40B4-BE49-F238E27FC236}">
              <a16:creationId xmlns:a16="http://schemas.microsoft.com/office/drawing/2014/main" id="{00000000-0008-0000-0000-000064180000}"/>
            </a:ext>
          </a:extLst>
        </xdr:cNvPr>
        <xdr:cNvSpPr>
          <a:spLocks noChangeShapeType="1"/>
        </xdr:cNvSpPr>
      </xdr:nvSpPr>
      <xdr:spPr bwMode="auto">
        <a:xfrm flipH="1" flipV="1">
          <a:off x="4448175" y="11029949"/>
          <a:ext cx="6248400" cy="6953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323850</xdr:colOff>
      <xdr:row>3</xdr:row>
      <xdr:rowOff>129540</xdr:rowOff>
    </xdr:to>
    <xdr:pic>
      <xdr:nvPicPr>
        <xdr:cNvPr id="16" name="Image 1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295275"/>
          <a:ext cx="1314450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1B217-5922-46AF-AF19-A4D0CBF1FF99}">
  <sheetPr>
    <pageSetUpPr fitToPage="1"/>
  </sheetPr>
  <dimension ref="A1:AN72"/>
  <sheetViews>
    <sheetView tabSelected="1" topLeftCell="A12" zoomScaleNormal="100" workbookViewId="0">
      <selection activeCell="O51" sqref="O51"/>
    </sheetView>
  </sheetViews>
  <sheetFormatPr baseColWidth="10" defaultColWidth="11.44140625" defaultRowHeight="12.75" customHeight="1" x14ac:dyDescent="0.25"/>
  <cols>
    <col min="1" max="2" width="5.109375" style="29" customWidth="1"/>
    <col min="3" max="27" width="5.109375" style="1" customWidth="1"/>
    <col min="28" max="41" width="11.44140625" style="1" customWidth="1"/>
    <col min="42" max="16384" width="11.44140625" style="1"/>
  </cols>
  <sheetData>
    <row r="1" spans="1:36" ht="12.75" customHeight="1" x14ac:dyDescent="0.25">
      <c r="A1" s="260"/>
      <c r="B1" s="261"/>
      <c r="C1" s="261"/>
      <c r="D1" s="261"/>
      <c r="E1" s="261"/>
      <c r="F1" s="262"/>
      <c r="G1" s="269" t="s">
        <v>34</v>
      </c>
      <c r="H1" s="270"/>
      <c r="I1" s="270"/>
      <c r="J1" s="270"/>
      <c r="K1" s="270"/>
      <c r="L1" s="270"/>
      <c r="M1" s="270"/>
      <c r="N1" s="270"/>
      <c r="O1" s="270"/>
      <c r="P1" s="270"/>
      <c r="Q1" s="270"/>
      <c r="R1" s="270"/>
      <c r="S1" s="270"/>
      <c r="T1" s="271"/>
      <c r="U1" s="272" t="s">
        <v>52</v>
      </c>
      <c r="V1" s="273"/>
      <c r="W1" s="273"/>
      <c r="X1" s="273"/>
      <c r="Y1" s="273"/>
      <c r="Z1" s="274"/>
      <c r="AA1" s="78"/>
    </row>
    <row r="2" spans="1:36" ht="12.75" customHeight="1" x14ac:dyDescent="0.25">
      <c r="A2" s="263"/>
      <c r="B2" s="264"/>
      <c r="C2" s="264"/>
      <c r="D2" s="264"/>
      <c r="E2" s="264"/>
      <c r="F2" s="265"/>
      <c r="G2" s="281" t="s">
        <v>40</v>
      </c>
      <c r="H2" s="282"/>
      <c r="I2" s="282"/>
      <c r="J2" s="282"/>
      <c r="K2" s="282"/>
      <c r="L2" s="282"/>
      <c r="M2" s="282"/>
      <c r="N2" s="282"/>
      <c r="O2" s="282"/>
      <c r="P2" s="282"/>
      <c r="Q2" s="282"/>
      <c r="R2" s="282"/>
      <c r="S2" s="282"/>
      <c r="T2" s="283"/>
      <c r="U2" s="275"/>
      <c r="V2" s="276"/>
      <c r="W2" s="276"/>
      <c r="X2" s="276"/>
      <c r="Y2" s="276"/>
      <c r="Z2" s="277"/>
      <c r="AA2" s="78"/>
    </row>
    <row r="3" spans="1:36" ht="12.75" customHeight="1" x14ac:dyDescent="0.25">
      <c r="A3" s="263"/>
      <c r="B3" s="264"/>
      <c r="C3" s="264"/>
      <c r="D3" s="264"/>
      <c r="E3" s="264"/>
      <c r="F3" s="265"/>
      <c r="G3" s="284"/>
      <c r="H3" s="282"/>
      <c r="I3" s="282"/>
      <c r="J3" s="282"/>
      <c r="K3" s="282"/>
      <c r="L3" s="282"/>
      <c r="M3" s="282"/>
      <c r="N3" s="282"/>
      <c r="O3" s="282"/>
      <c r="P3" s="282"/>
      <c r="Q3" s="282"/>
      <c r="R3" s="282"/>
      <c r="S3" s="282"/>
      <c r="T3" s="283"/>
      <c r="U3" s="275"/>
      <c r="V3" s="276"/>
      <c r="W3" s="276"/>
      <c r="X3" s="276"/>
      <c r="Y3" s="276"/>
      <c r="Z3" s="277"/>
      <c r="AA3" s="78"/>
    </row>
    <row r="4" spans="1:36" ht="12.75" customHeight="1" x14ac:dyDescent="0.25">
      <c r="A4" s="263"/>
      <c r="B4" s="264"/>
      <c r="C4" s="264"/>
      <c r="D4" s="264"/>
      <c r="E4" s="264"/>
      <c r="F4" s="265"/>
      <c r="G4" s="284"/>
      <c r="H4" s="282"/>
      <c r="I4" s="282"/>
      <c r="J4" s="282"/>
      <c r="K4" s="282"/>
      <c r="L4" s="282"/>
      <c r="M4" s="282"/>
      <c r="N4" s="282"/>
      <c r="O4" s="282"/>
      <c r="P4" s="282"/>
      <c r="Q4" s="282"/>
      <c r="R4" s="282"/>
      <c r="S4" s="282"/>
      <c r="T4" s="283"/>
      <c r="U4" s="275"/>
      <c r="V4" s="276"/>
      <c r="W4" s="276"/>
      <c r="X4" s="276"/>
      <c r="Y4" s="276"/>
      <c r="Z4" s="277"/>
      <c r="AA4" s="78"/>
    </row>
    <row r="5" spans="1:36" ht="12.75" customHeight="1" x14ac:dyDescent="0.25">
      <c r="A5" s="263"/>
      <c r="B5" s="264"/>
      <c r="C5" s="264"/>
      <c r="D5" s="264"/>
      <c r="E5" s="264"/>
      <c r="F5" s="265"/>
      <c r="G5" s="284" t="s">
        <v>41</v>
      </c>
      <c r="H5" s="282"/>
      <c r="I5" s="2" t="s">
        <v>35</v>
      </c>
      <c r="J5" s="252">
        <v>4</v>
      </c>
      <c r="K5" s="319"/>
      <c r="L5" s="320" t="s">
        <v>51</v>
      </c>
      <c r="M5" s="252"/>
      <c r="N5" s="252"/>
      <c r="O5" s="319"/>
      <c r="P5" s="321">
        <v>46009</v>
      </c>
      <c r="Q5" s="322"/>
      <c r="R5" s="322"/>
      <c r="S5" s="322"/>
      <c r="T5" s="323"/>
      <c r="U5" s="275"/>
      <c r="V5" s="276"/>
      <c r="W5" s="276"/>
      <c r="X5" s="276"/>
      <c r="Y5" s="276"/>
      <c r="Z5" s="277"/>
      <c r="AA5" s="78"/>
    </row>
    <row r="6" spans="1:36" ht="12.75" customHeight="1" x14ac:dyDescent="0.25">
      <c r="A6" s="266"/>
      <c r="B6" s="267"/>
      <c r="C6" s="267"/>
      <c r="D6" s="267"/>
      <c r="E6" s="267"/>
      <c r="F6" s="268"/>
      <c r="G6" s="3"/>
      <c r="H6" s="4"/>
      <c r="I6" s="4"/>
      <c r="J6" s="256" t="s">
        <v>36</v>
      </c>
      <c r="K6" s="256"/>
      <c r="L6" s="256" t="s">
        <v>37</v>
      </c>
      <c r="M6" s="256"/>
      <c r="N6" s="256"/>
      <c r="O6" s="256"/>
      <c r="P6" s="256" t="s">
        <v>38</v>
      </c>
      <c r="Q6" s="256"/>
      <c r="R6" s="256"/>
      <c r="S6" s="256"/>
      <c r="T6" s="257"/>
      <c r="U6" s="278"/>
      <c r="V6" s="279"/>
      <c r="W6" s="279"/>
      <c r="X6" s="279"/>
      <c r="Y6" s="279"/>
      <c r="Z6" s="280"/>
      <c r="AA6" s="78"/>
    </row>
    <row r="7" spans="1:36" ht="37.5" customHeight="1" x14ac:dyDescent="0.25">
      <c r="A7" s="258" t="s">
        <v>39</v>
      </c>
      <c r="B7" s="258"/>
      <c r="C7" s="258"/>
      <c r="D7" s="258"/>
      <c r="E7" s="258"/>
      <c r="F7" s="258"/>
      <c r="G7" s="259" t="s">
        <v>33</v>
      </c>
      <c r="H7" s="259"/>
      <c r="I7" s="259"/>
      <c r="J7" s="259"/>
      <c r="K7" s="259"/>
      <c r="L7" s="259"/>
      <c r="M7" s="259"/>
      <c r="N7" s="259"/>
      <c r="O7" s="259"/>
      <c r="P7" s="259"/>
      <c r="Q7" s="259"/>
      <c r="R7" s="259"/>
      <c r="S7" s="259"/>
      <c r="T7" s="259"/>
      <c r="U7" s="259"/>
      <c r="V7" s="259"/>
      <c r="W7" s="259"/>
      <c r="X7" s="259"/>
      <c r="Y7" s="259"/>
      <c r="Z7" s="259"/>
      <c r="AA7" s="79"/>
      <c r="AE7" s="6"/>
      <c r="AI7" s="6"/>
    </row>
    <row r="8" spans="1:36" ht="15.9" customHeight="1" x14ac:dyDescent="0.25">
      <c r="A8" s="7" t="s">
        <v>1</v>
      </c>
      <c r="B8" s="8" t="s">
        <v>0</v>
      </c>
      <c r="C8" s="9"/>
      <c r="D8" s="10"/>
      <c r="E8" s="10"/>
      <c r="F8" s="10"/>
      <c r="G8" s="1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1"/>
      <c r="AA8" s="14"/>
      <c r="AB8" s="12"/>
      <c r="AC8" s="12"/>
      <c r="AD8" s="12"/>
      <c r="AE8" s="6"/>
      <c r="AF8" s="12"/>
      <c r="AI8" s="6"/>
    </row>
    <row r="9" spans="1:36" ht="15.9" customHeight="1" x14ac:dyDescent="0.25">
      <c r="A9" s="13"/>
      <c r="B9" s="14"/>
      <c r="C9" s="14"/>
      <c r="D9" s="15"/>
      <c r="E9" s="15"/>
      <c r="F9" s="15"/>
      <c r="G9" s="15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6"/>
      <c r="AA9" s="14"/>
      <c r="AB9" s="12"/>
      <c r="AC9" s="12"/>
      <c r="AD9" s="12"/>
      <c r="AE9" s="6"/>
      <c r="AF9" s="12"/>
      <c r="AI9" s="6"/>
    </row>
    <row r="10" spans="1:36" ht="15.9" customHeight="1" x14ac:dyDescent="0.25">
      <c r="A10" s="13"/>
      <c r="B10" s="251" t="s">
        <v>28</v>
      </c>
      <c r="C10" s="251"/>
      <c r="D10" s="251"/>
      <c r="E10" s="251"/>
      <c r="F10" s="251"/>
      <c r="G10" s="253" t="s">
        <v>53</v>
      </c>
      <c r="H10" s="253"/>
      <c r="I10" s="253"/>
      <c r="J10" s="253"/>
      <c r="K10" s="253"/>
      <c r="L10" s="253"/>
      <c r="M10" s="251" t="s">
        <v>31</v>
      </c>
      <c r="N10" s="251"/>
      <c r="O10" s="251"/>
      <c r="P10" s="251"/>
      <c r="Q10" s="251"/>
      <c r="R10" s="251"/>
      <c r="S10" s="254" t="s">
        <v>56</v>
      </c>
      <c r="T10" s="254"/>
      <c r="U10" s="254"/>
      <c r="V10" s="254"/>
      <c r="W10" s="254"/>
      <c r="X10" s="254"/>
      <c r="Y10" s="254"/>
      <c r="Z10" s="17"/>
      <c r="AA10" s="75"/>
      <c r="AB10" s="12"/>
      <c r="AC10" s="12"/>
      <c r="AD10" s="12"/>
      <c r="AE10" s="251"/>
      <c r="AF10" s="251"/>
      <c r="AG10" s="251"/>
      <c r="AH10" s="251"/>
      <c r="AI10" s="251"/>
    </row>
    <row r="11" spans="1:36" ht="15.9" customHeight="1" x14ac:dyDescent="0.25">
      <c r="A11" s="13"/>
      <c r="B11" s="251" t="s">
        <v>6</v>
      </c>
      <c r="C11" s="251"/>
      <c r="D11" s="251"/>
      <c r="E11" s="251"/>
      <c r="F11" s="251"/>
      <c r="G11" s="297" t="s">
        <v>69</v>
      </c>
      <c r="H11" s="297"/>
      <c r="I11" s="297"/>
      <c r="J11" s="297"/>
      <c r="K11" s="297"/>
      <c r="L11" s="297"/>
      <c r="M11" s="251" t="s">
        <v>45</v>
      </c>
      <c r="N11" s="251"/>
      <c r="O11" s="251"/>
      <c r="P11" s="251"/>
      <c r="Q11" s="251"/>
      <c r="R11" s="251"/>
      <c r="S11" s="298" t="s">
        <v>70</v>
      </c>
      <c r="T11" s="298"/>
      <c r="U11" s="298"/>
      <c r="V11" s="298"/>
      <c r="W11" s="298"/>
      <c r="X11" s="298"/>
      <c r="Y11" s="298"/>
      <c r="Z11" s="17"/>
      <c r="AA11" s="75"/>
      <c r="AB11" s="12"/>
      <c r="AC11" s="12"/>
      <c r="AD11" s="12"/>
      <c r="AE11" s="251"/>
      <c r="AF11" s="251"/>
      <c r="AG11" s="251"/>
      <c r="AH11" s="251"/>
      <c r="AI11" s="251"/>
    </row>
    <row r="12" spans="1:36" ht="15.9" customHeight="1" x14ac:dyDescent="0.25">
      <c r="A12" s="13"/>
      <c r="B12" s="251" t="s">
        <v>29</v>
      </c>
      <c r="C12" s="251"/>
      <c r="D12" s="251"/>
      <c r="E12" s="251"/>
      <c r="F12" s="251"/>
      <c r="G12" s="297" t="s">
        <v>69</v>
      </c>
      <c r="H12" s="297"/>
      <c r="I12" s="297"/>
      <c r="J12" s="297"/>
      <c r="K12" s="297"/>
      <c r="L12" s="297"/>
      <c r="M12" s="255" t="s">
        <v>44</v>
      </c>
      <c r="N12" s="255"/>
      <c r="O12" s="255"/>
      <c r="P12" s="255"/>
      <c r="Q12" s="255"/>
      <c r="R12" s="255"/>
      <c r="S12" s="254">
        <v>110</v>
      </c>
      <c r="T12" s="254"/>
      <c r="U12" s="254"/>
      <c r="V12" s="254"/>
      <c r="W12" s="254"/>
      <c r="X12" s="254"/>
      <c r="Y12" s="254"/>
      <c r="Z12" s="17"/>
      <c r="AA12" s="75"/>
      <c r="AB12" s="12"/>
      <c r="AC12" s="12"/>
      <c r="AD12" s="12"/>
      <c r="AE12" s="6"/>
      <c r="AF12" s="12"/>
      <c r="AI12" s="6"/>
    </row>
    <row r="13" spans="1:36" ht="15.9" customHeight="1" x14ac:dyDescent="0.25">
      <c r="A13" s="13"/>
      <c r="B13" s="105" t="s">
        <v>42</v>
      </c>
      <c r="C13" s="105"/>
      <c r="D13" s="105"/>
      <c r="E13" s="105"/>
      <c r="F13" s="105"/>
      <c r="G13" s="253" t="s">
        <v>64</v>
      </c>
      <c r="H13" s="253"/>
      <c r="I13" s="253"/>
      <c r="J13" s="253"/>
      <c r="K13" s="253"/>
      <c r="L13" s="253"/>
      <c r="M13" s="251" t="s">
        <v>30</v>
      </c>
      <c r="N13" s="251"/>
      <c r="O13" s="251"/>
      <c r="P13" s="251"/>
      <c r="Q13" s="251"/>
      <c r="R13" s="251"/>
      <c r="S13" s="253" t="s">
        <v>66</v>
      </c>
      <c r="T13" s="253"/>
      <c r="U13" s="253"/>
      <c r="V13" s="253"/>
      <c r="W13" s="253"/>
      <c r="X13" s="253"/>
      <c r="Y13" s="253"/>
      <c r="Z13" s="17"/>
      <c r="AA13" s="75"/>
      <c r="AB13" s="12"/>
      <c r="AC13" s="12"/>
      <c r="AD13" s="12"/>
      <c r="AE13" s="251"/>
      <c r="AF13" s="251"/>
      <c r="AG13" s="251"/>
      <c r="AH13" s="251"/>
      <c r="AI13" s="251"/>
      <c r="AJ13" s="251"/>
    </row>
    <row r="14" spans="1:36" ht="15.9" customHeight="1" x14ac:dyDescent="0.25">
      <c r="A14" s="18"/>
      <c r="B14" s="251" t="s">
        <v>43</v>
      </c>
      <c r="C14" s="251"/>
      <c r="D14" s="251"/>
      <c r="E14" s="251"/>
      <c r="F14" s="251"/>
      <c r="G14" s="253" t="s">
        <v>65</v>
      </c>
      <c r="H14" s="253"/>
      <c r="I14" s="253"/>
      <c r="J14" s="253"/>
      <c r="K14" s="253"/>
      <c r="L14" s="253"/>
      <c r="M14" s="254" t="s">
        <v>27</v>
      </c>
      <c r="N14" s="254"/>
      <c r="O14" s="254"/>
      <c r="P14" s="254"/>
      <c r="Q14" s="254"/>
      <c r="R14" s="254"/>
      <c r="S14" s="254" t="s">
        <v>50</v>
      </c>
      <c r="T14" s="254"/>
      <c r="U14" s="254"/>
      <c r="V14" s="254"/>
      <c r="W14" s="254"/>
      <c r="X14" s="254"/>
      <c r="Y14" s="254"/>
      <c r="Z14" s="19"/>
      <c r="AA14" s="12"/>
      <c r="AB14" s="12"/>
      <c r="AC14" s="12"/>
      <c r="AD14" s="12"/>
      <c r="AE14" s="251"/>
      <c r="AF14" s="251"/>
      <c r="AG14" s="251"/>
      <c r="AH14" s="251"/>
      <c r="AI14" s="251"/>
      <c r="AJ14" s="251"/>
    </row>
    <row r="15" spans="1:36" ht="6" customHeight="1" x14ac:dyDescent="0.25">
      <c r="A15" s="24"/>
      <c r="B15" s="25"/>
      <c r="C15" s="26"/>
      <c r="D15" s="26"/>
      <c r="E15" s="26"/>
      <c r="F15" s="25"/>
      <c r="G15" s="25"/>
      <c r="H15" s="25"/>
      <c r="I15" s="25"/>
      <c r="J15" s="25"/>
      <c r="K15" s="25"/>
      <c r="L15" s="25"/>
      <c r="M15" s="25"/>
      <c r="N15" s="26"/>
      <c r="O15" s="26"/>
      <c r="P15" s="26"/>
      <c r="Q15" s="26"/>
      <c r="R15" s="26"/>
      <c r="S15" s="26"/>
      <c r="T15" s="27"/>
      <c r="U15" s="27"/>
      <c r="V15" s="26"/>
      <c r="W15" s="26"/>
      <c r="X15" s="26"/>
      <c r="Y15" s="26"/>
      <c r="Z15" s="28"/>
      <c r="AE15" s="251"/>
      <c r="AF15" s="251"/>
      <c r="AG15" s="251"/>
      <c r="AH15" s="251"/>
      <c r="AI15" s="251"/>
      <c r="AJ15" s="251"/>
    </row>
    <row r="16" spans="1:36" ht="6" customHeight="1" x14ac:dyDescent="0.25">
      <c r="F16" s="29"/>
      <c r="G16" s="29"/>
      <c r="H16" s="29"/>
      <c r="I16" s="29"/>
      <c r="J16" s="29"/>
      <c r="K16" s="29"/>
      <c r="L16" s="29"/>
      <c r="M16" s="29"/>
      <c r="T16" s="30"/>
      <c r="U16" s="30"/>
      <c r="AE16" s="251"/>
      <c r="AF16" s="251"/>
      <c r="AG16" s="251"/>
      <c r="AH16" s="251"/>
      <c r="AI16" s="251"/>
      <c r="AJ16" s="251"/>
    </row>
    <row r="17" spans="1:40" ht="15.9" customHeight="1" x14ac:dyDescent="0.25">
      <c r="A17" s="7" t="s">
        <v>2</v>
      </c>
      <c r="B17" s="8" t="s">
        <v>18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1"/>
      <c r="AA17" s="14"/>
      <c r="AE17" s="20"/>
      <c r="AI17" s="20"/>
    </row>
    <row r="18" spans="1:40" ht="8.25" customHeight="1" x14ac:dyDescent="0.25">
      <c r="A18" s="13"/>
      <c r="B18" s="31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6"/>
      <c r="AA18" s="14"/>
      <c r="AE18" s="20"/>
      <c r="AI18" s="20"/>
    </row>
    <row r="19" spans="1:40" ht="15.9" customHeight="1" x14ac:dyDescent="0.25">
      <c r="A19" s="13"/>
      <c r="B19" s="251" t="s">
        <v>19</v>
      </c>
      <c r="C19" s="251"/>
      <c r="D19" s="251"/>
      <c r="E19" s="251"/>
      <c r="F19" s="251"/>
      <c r="G19" s="251"/>
      <c r="H19" s="251"/>
      <c r="I19" s="252"/>
      <c r="J19" s="252"/>
      <c r="K19" s="252"/>
      <c r="L19" s="252"/>
      <c r="M19" s="252"/>
      <c r="N19" s="252"/>
      <c r="O19" s="252"/>
      <c r="P19" s="252"/>
      <c r="Q19" s="252"/>
      <c r="R19" s="252"/>
      <c r="S19" s="252"/>
      <c r="T19" s="252"/>
      <c r="U19" s="252"/>
      <c r="V19" s="252"/>
      <c r="W19" s="252"/>
      <c r="X19" s="252"/>
      <c r="Y19" s="252"/>
      <c r="Z19" s="17"/>
      <c r="AA19" s="75"/>
      <c r="AE19" s="20"/>
      <c r="AI19" s="20"/>
    </row>
    <row r="20" spans="1:40" ht="15.9" customHeight="1" x14ac:dyDescent="0.25">
      <c r="A20" s="13"/>
      <c r="B20" s="251" t="s">
        <v>20</v>
      </c>
      <c r="C20" s="251"/>
      <c r="D20" s="251"/>
      <c r="E20" s="251"/>
      <c r="F20" s="251"/>
      <c r="G20" s="251"/>
      <c r="H20" s="251"/>
      <c r="I20" s="166"/>
      <c r="J20" s="166"/>
      <c r="K20" s="166"/>
      <c r="L20" s="166"/>
      <c r="M20" s="166"/>
      <c r="N20" s="166"/>
      <c r="O20" s="166"/>
      <c r="P20" s="166"/>
      <c r="Q20" s="166"/>
      <c r="R20" s="166"/>
      <c r="S20" s="166"/>
      <c r="T20" s="166"/>
      <c r="U20" s="166"/>
      <c r="V20" s="166"/>
      <c r="W20" s="166"/>
      <c r="X20" s="166"/>
      <c r="Y20" s="166"/>
      <c r="Z20" s="17"/>
      <c r="AA20" s="75"/>
      <c r="AE20" s="20"/>
      <c r="AI20" s="20"/>
    </row>
    <row r="21" spans="1:40" ht="7.5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2"/>
      <c r="AA21" s="14"/>
      <c r="AE21" s="20"/>
      <c r="AI21" s="20"/>
    </row>
    <row r="22" spans="1:40" ht="5.25" customHeight="1" x14ac:dyDescent="0.25">
      <c r="F22" s="29"/>
      <c r="G22" s="29"/>
      <c r="H22" s="29"/>
      <c r="I22" s="29"/>
      <c r="J22" s="29"/>
      <c r="K22" s="29"/>
      <c r="L22" s="29"/>
      <c r="M22" s="29"/>
      <c r="T22" s="30"/>
      <c r="U22" s="30"/>
      <c r="AE22" s="20"/>
      <c r="AI22" s="20"/>
      <c r="AM22" s="12"/>
      <c r="AN22" s="12"/>
    </row>
    <row r="23" spans="1:40" ht="15.9" customHeight="1" x14ac:dyDescent="0.25">
      <c r="A23" s="33" t="s">
        <v>2</v>
      </c>
      <c r="B23" s="34" t="s">
        <v>17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21"/>
      <c r="AN23" s="22"/>
    </row>
    <row r="24" spans="1:40" ht="9" customHeight="1" x14ac:dyDescent="0.25">
      <c r="A24" s="18"/>
      <c r="Z24" s="23"/>
    </row>
    <row r="25" spans="1:40" ht="12.75" customHeight="1" x14ac:dyDescent="0.25">
      <c r="A25" s="18"/>
      <c r="Z25" s="23"/>
    </row>
    <row r="26" spans="1:40" ht="12.75" customHeight="1" x14ac:dyDescent="0.25">
      <c r="A26" s="18"/>
      <c r="Z26" s="23"/>
    </row>
    <row r="27" spans="1:40" ht="12.75" customHeight="1" x14ac:dyDescent="0.25">
      <c r="A27" s="18"/>
      <c r="Z27" s="23"/>
    </row>
    <row r="28" spans="1:40" ht="12.75" customHeight="1" x14ac:dyDescent="0.25">
      <c r="A28" s="18"/>
      <c r="Z28" s="23"/>
    </row>
    <row r="29" spans="1:40" ht="12.75" customHeight="1" x14ac:dyDescent="0.25">
      <c r="A29" s="18"/>
      <c r="Z29" s="23"/>
    </row>
    <row r="30" spans="1:40" ht="12.75" customHeight="1" x14ac:dyDescent="0.25">
      <c r="A30" s="18"/>
      <c r="Z30" s="23"/>
    </row>
    <row r="31" spans="1:40" ht="12.75" customHeight="1" x14ac:dyDescent="0.25">
      <c r="A31" s="18"/>
      <c r="Z31" s="23"/>
    </row>
    <row r="32" spans="1:40" ht="12.75" customHeight="1" x14ac:dyDescent="0.25">
      <c r="A32" s="18"/>
      <c r="Z32" s="23"/>
    </row>
    <row r="33" spans="1:34" ht="12.75" customHeight="1" x14ac:dyDescent="0.25">
      <c r="A33" s="18"/>
      <c r="Z33" s="23"/>
    </row>
    <row r="34" spans="1:34" ht="12.75" customHeight="1" x14ac:dyDescent="0.25">
      <c r="A34" s="18"/>
      <c r="Z34" s="23"/>
    </row>
    <row r="35" spans="1:34" ht="12.75" customHeight="1" x14ac:dyDescent="0.25">
      <c r="A35" s="18"/>
      <c r="Z35" s="23"/>
    </row>
    <row r="36" spans="1:34" ht="12.75" customHeight="1" x14ac:dyDescent="0.25">
      <c r="A36" s="18"/>
      <c r="Z36" s="23"/>
    </row>
    <row r="37" spans="1:34" ht="12.75" customHeight="1" x14ac:dyDescent="0.25">
      <c r="A37" s="18"/>
      <c r="Z37" s="23"/>
    </row>
    <row r="38" spans="1:34" ht="12.75" customHeight="1" x14ac:dyDescent="0.25">
      <c r="A38" s="18"/>
      <c r="Z38" s="23"/>
    </row>
    <row r="39" spans="1:34" ht="12.75" customHeight="1" x14ac:dyDescent="0.25">
      <c r="A39" s="18"/>
      <c r="Z39" s="23"/>
    </row>
    <row r="40" spans="1:34" ht="12.75" customHeight="1" x14ac:dyDescent="0.25">
      <c r="A40" s="18"/>
      <c r="Z40" s="23"/>
    </row>
    <row r="41" spans="1:34" ht="12.75" customHeight="1" x14ac:dyDescent="0.25">
      <c r="A41" s="18"/>
      <c r="Z41" s="23"/>
    </row>
    <row r="42" spans="1:34" ht="12.75" customHeight="1" x14ac:dyDescent="0.25">
      <c r="A42" s="18"/>
      <c r="Z42" s="23"/>
    </row>
    <row r="43" spans="1:34" ht="12.75" customHeight="1" x14ac:dyDescent="0.25">
      <c r="A43" s="18"/>
      <c r="Z43" s="23"/>
    </row>
    <row r="44" spans="1:34" ht="12.75" customHeight="1" x14ac:dyDescent="0.25">
      <c r="A44" s="18"/>
      <c r="Z44" s="23"/>
    </row>
    <row r="45" spans="1:34" ht="12.75" customHeight="1" x14ac:dyDescent="0.25">
      <c r="A45" s="18"/>
      <c r="Z45" s="23"/>
    </row>
    <row r="46" spans="1:34" ht="9.75" customHeight="1" thickBot="1" x14ac:dyDescent="0.3">
      <c r="A46" s="18"/>
      <c r="Z46" s="23"/>
    </row>
    <row r="47" spans="1:34" ht="9.75" customHeight="1" x14ac:dyDescent="0.25">
      <c r="A47" s="18"/>
      <c r="Z47" s="23"/>
      <c r="AD47" s="230" t="s">
        <v>16</v>
      </c>
      <c r="AE47" s="232">
        <v>2.6469999999999998</v>
      </c>
      <c r="AF47" s="224"/>
      <c r="AG47" s="235"/>
      <c r="AH47" s="39"/>
    </row>
    <row r="48" spans="1:34" ht="12.75" customHeight="1" thickBot="1" x14ac:dyDescent="0.3">
      <c r="A48" s="18"/>
      <c r="Z48" s="87"/>
      <c r="AD48" s="231"/>
      <c r="AE48" s="233"/>
      <c r="AF48" s="234"/>
      <c r="AG48" s="235"/>
    </row>
    <row r="49" spans="1:34" ht="18.75" customHeight="1" thickBot="1" x14ac:dyDescent="0.3">
      <c r="A49" s="18"/>
      <c r="E49" s="236" t="s">
        <v>11</v>
      </c>
      <c r="F49" s="237"/>
      <c r="G49" s="237"/>
      <c r="H49" s="237"/>
      <c r="I49" s="237"/>
      <c r="J49" s="237"/>
      <c r="K49" s="237"/>
      <c r="L49" s="237"/>
      <c r="M49" s="237"/>
      <c r="N49" s="237"/>
      <c r="O49" s="237"/>
      <c r="P49" s="237"/>
      <c r="Q49" s="237"/>
      <c r="R49" s="237"/>
      <c r="S49" s="237"/>
      <c r="T49" s="237"/>
      <c r="U49" s="238" t="s">
        <v>48</v>
      </c>
      <c r="V49" s="239"/>
      <c r="W49" s="240" t="s">
        <v>12</v>
      </c>
      <c r="X49" s="239"/>
      <c r="Y49" s="241" t="s">
        <v>13</v>
      </c>
      <c r="Z49" s="242"/>
      <c r="AA49" s="82"/>
      <c r="AB49" s="245" t="s">
        <v>46</v>
      </c>
      <c r="AC49" s="246"/>
      <c r="AD49" s="249" t="s">
        <v>14</v>
      </c>
      <c r="AE49" s="222" t="s">
        <v>15</v>
      </c>
      <c r="AF49" s="224"/>
      <c r="AG49" s="224"/>
      <c r="AH49" s="40"/>
    </row>
    <row r="50" spans="1:34" ht="24.9" customHeight="1" thickBot="1" x14ac:dyDescent="0.3">
      <c r="A50" s="5"/>
      <c r="B50" s="41" t="s">
        <v>22</v>
      </c>
      <c r="C50" s="226" t="s">
        <v>10</v>
      </c>
      <c r="D50" s="227"/>
      <c r="E50" s="89">
        <v>6.3E-2</v>
      </c>
      <c r="F50" s="89">
        <v>0.125</v>
      </c>
      <c r="G50" s="42">
        <v>0.25</v>
      </c>
      <c r="H50" s="42">
        <v>0.5</v>
      </c>
      <c r="I50" s="42">
        <v>1</v>
      </c>
      <c r="J50" s="42">
        <v>2</v>
      </c>
      <c r="K50" s="42">
        <v>4</v>
      </c>
      <c r="L50" s="42">
        <v>6.3</v>
      </c>
      <c r="M50" s="42">
        <v>8</v>
      </c>
      <c r="N50" s="42">
        <v>10</v>
      </c>
      <c r="O50" s="42">
        <v>12.5</v>
      </c>
      <c r="P50" s="42">
        <v>14</v>
      </c>
      <c r="Q50" s="74">
        <v>16</v>
      </c>
      <c r="R50" s="74">
        <v>20</v>
      </c>
      <c r="S50" s="42"/>
      <c r="T50" s="74"/>
      <c r="U50" s="180"/>
      <c r="V50" s="182"/>
      <c r="W50" s="181"/>
      <c r="X50" s="182"/>
      <c r="Y50" s="243"/>
      <c r="Z50" s="244"/>
      <c r="AA50" s="82"/>
      <c r="AB50" s="247"/>
      <c r="AC50" s="248"/>
      <c r="AD50" s="250"/>
      <c r="AE50" s="223"/>
      <c r="AF50" s="225"/>
      <c r="AG50" s="224"/>
    </row>
    <row r="51" spans="1:34" ht="24.9" customHeight="1" x14ac:dyDescent="0.25">
      <c r="A51" s="5"/>
      <c r="B51" s="43">
        <v>1</v>
      </c>
      <c r="C51" s="295" t="s">
        <v>72</v>
      </c>
      <c r="D51" s="296"/>
      <c r="E51" s="312">
        <v>7.5</v>
      </c>
      <c r="F51" s="313">
        <v>8.9</v>
      </c>
      <c r="G51" s="314">
        <v>11.9</v>
      </c>
      <c r="H51" s="314">
        <v>15.5</v>
      </c>
      <c r="I51" s="314">
        <v>20.6</v>
      </c>
      <c r="J51" s="314">
        <v>29.5</v>
      </c>
      <c r="K51" s="314">
        <v>43.9</v>
      </c>
      <c r="L51" s="314">
        <v>60.9</v>
      </c>
      <c r="M51" s="314">
        <v>78.2</v>
      </c>
      <c r="N51" s="314">
        <v>94.7</v>
      </c>
      <c r="O51" s="324">
        <v>100</v>
      </c>
      <c r="P51" s="314"/>
      <c r="Q51" s="314"/>
      <c r="R51" s="314"/>
      <c r="S51" s="315"/>
      <c r="T51" s="315"/>
      <c r="U51" s="311">
        <v>182</v>
      </c>
      <c r="V51" s="316"/>
      <c r="W51" s="317">
        <v>4.9400000000000004</v>
      </c>
      <c r="X51" s="318"/>
      <c r="Y51" s="228">
        <f>IF(W51&lt;&gt;0,AE51,"")</f>
        <v>3.0553744069587516</v>
      </c>
      <c r="Z51" s="229"/>
      <c r="AA51" s="80"/>
      <c r="AB51" s="196">
        <f>(100*W51)/(100-W51)</f>
        <v>5.1967178624026937</v>
      </c>
      <c r="AC51" s="197"/>
      <c r="AD51" s="67">
        <f>(0.25*(100-O51)+2.3*(O51-H51)+12*(H51-E51)+150*(E51))/100</f>
        <v>14.153499999999999</v>
      </c>
      <c r="AE51" s="68">
        <f>(AB51*$AE$47)/(2.65*(AD51)^(1/5))</f>
        <v>3.0553744069587516</v>
      </c>
      <c r="AF51" s="29"/>
      <c r="AG51" s="66"/>
    </row>
    <row r="52" spans="1:34" ht="24.9" customHeight="1" x14ac:dyDescent="0.25">
      <c r="A52" s="5"/>
      <c r="B52" s="44">
        <v>2</v>
      </c>
      <c r="C52" s="142"/>
      <c r="D52" s="143"/>
      <c r="E52" s="117"/>
      <c r="F52" s="118"/>
      <c r="G52" s="119"/>
      <c r="H52" s="119"/>
      <c r="I52" s="119"/>
      <c r="J52" s="119"/>
      <c r="K52" s="119"/>
      <c r="L52" s="119"/>
      <c r="M52" s="119"/>
      <c r="N52" s="119"/>
      <c r="O52" s="119"/>
      <c r="P52" s="119"/>
      <c r="Q52" s="119"/>
      <c r="R52" s="119"/>
      <c r="S52" s="120"/>
      <c r="T52" s="120"/>
      <c r="U52" s="144"/>
      <c r="V52" s="145"/>
      <c r="W52" s="146"/>
      <c r="X52" s="147"/>
      <c r="Y52" s="217" t="str">
        <f>IF(W52&lt;&gt;0,AE52,"")</f>
        <v/>
      </c>
      <c r="Z52" s="218"/>
      <c r="AA52" s="80"/>
      <c r="AB52" s="196">
        <f>(100*W52)/(100-W52)</f>
        <v>0</v>
      </c>
      <c r="AC52" s="197"/>
      <c r="AD52" s="67">
        <f t="shared" ref="AD52:AD58" si="0">(0.25*(100-O52)+2.3*(O52-H52)+12*(H52-E52)+150*(E52))/100</f>
        <v>0.25</v>
      </c>
      <c r="AE52" s="68">
        <f t="shared" ref="AE52:AE58" si="1">(AB52*$AE$47)/(2.65*(AD52)^(1/5))</f>
        <v>0</v>
      </c>
      <c r="AF52" s="29"/>
      <c r="AG52" s="66"/>
    </row>
    <row r="53" spans="1:34" ht="24.9" customHeight="1" x14ac:dyDescent="0.25">
      <c r="A53" s="5"/>
      <c r="B53" s="44">
        <v>3</v>
      </c>
      <c r="C53" s="174"/>
      <c r="D53" s="219"/>
      <c r="E53" s="90"/>
      <c r="F53" s="91"/>
      <c r="G53" s="91"/>
      <c r="H53" s="92"/>
      <c r="I53" s="92"/>
      <c r="J53" s="92"/>
      <c r="K53" s="92"/>
      <c r="L53" s="92"/>
      <c r="M53" s="92"/>
      <c r="N53" s="92"/>
      <c r="O53" s="112"/>
      <c r="P53" s="92"/>
      <c r="Q53" s="92"/>
      <c r="R53" s="92"/>
      <c r="S53" s="92"/>
      <c r="T53" s="93"/>
      <c r="U53" s="171"/>
      <c r="V53" s="172"/>
      <c r="W53" s="220"/>
      <c r="X53" s="221"/>
      <c r="Y53" s="217" t="str">
        <f t="shared" ref="Y53:Y54" si="2">IF(W53&lt;&gt;0,AE53,"")</f>
        <v/>
      </c>
      <c r="Z53" s="218"/>
      <c r="AA53" s="80"/>
      <c r="AB53" s="196">
        <f>(100*W53)/(100-W53)</f>
        <v>0</v>
      </c>
      <c r="AC53" s="197"/>
      <c r="AD53" s="67">
        <f t="shared" si="0"/>
        <v>0.25</v>
      </c>
      <c r="AE53" s="68">
        <f t="shared" si="1"/>
        <v>0</v>
      </c>
      <c r="AF53" s="29"/>
      <c r="AG53" s="66"/>
    </row>
    <row r="54" spans="1:34" ht="24.9" customHeight="1" thickBot="1" x14ac:dyDescent="0.3">
      <c r="A54" s="5"/>
      <c r="B54" s="45">
        <v>4</v>
      </c>
      <c r="C54" s="186"/>
      <c r="D54" s="207"/>
      <c r="E54" s="94"/>
      <c r="F54" s="95"/>
      <c r="G54" s="95"/>
      <c r="H54" s="96"/>
      <c r="I54" s="96"/>
      <c r="J54" s="96"/>
      <c r="K54" s="96"/>
      <c r="L54" s="96"/>
      <c r="M54" s="96"/>
      <c r="N54" s="96"/>
      <c r="O54" s="113"/>
      <c r="P54" s="96"/>
      <c r="Q54" s="96"/>
      <c r="R54" s="96"/>
      <c r="S54" s="96"/>
      <c r="T54" s="97"/>
      <c r="U54" s="208"/>
      <c r="V54" s="209"/>
      <c r="W54" s="210"/>
      <c r="X54" s="211"/>
      <c r="Y54" s="212" t="str">
        <f t="shared" si="2"/>
        <v/>
      </c>
      <c r="Z54" s="213"/>
      <c r="AA54" s="80"/>
      <c r="AB54" s="196">
        <f>(100*W54)/(100-W54)</f>
        <v>0</v>
      </c>
      <c r="AC54" s="197"/>
      <c r="AD54" s="67">
        <f t="shared" si="0"/>
        <v>0.25</v>
      </c>
      <c r="AE54" s="68">
        <f t="shared" si="1"/>
        <v>0</v>
      </c>
      <c r="AF54" s="29"/>
      <c r="AG54" s="66"/>
    </row>
    <row r="55" spans="1:34" ht="10.5" customHeight="1" thickBot="1" x14ac:dyDescent="0.3">
      <c r="A55" s="5"/>
      <c r="B55" s="1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114"/>
      <c r="P55" s="46"/>
      <c r="Q55" s="46"/>
      <c r="R55" s="46"/>
      <c r="S55" s="46"/>
      <c r="T55" s="46"/>
      <c r="U55" s="46"/>
      <c r="V55" s="46"/>
      <c r="W55" s="88"/>
      <c r="Z55" s="70"/>
      <c r="AB55" s="85"/>
      <c r="AC55" s="86"/>
      <c r="AD55" s="67"/>
      <c r="AE55" s="68"/>
      <c r="AF55" s="29"/>
      <c r="AG55" s="66"/>
    </row>
    <row r="56" spans="1:34" ht="24.75" hidden="1" customHeight="1" x14ac:dyDescent="0.25">
      <c r="A56" s="5"/>
      <c r="B56" s="214" t="s">
        <v>8</v>
      </c>
      <c r="C56" s="215"/>
      <c r="D56" s="216"/>
      <c r="E56" s="47"/>
      <c r="F56" s="47"/>
      <c r="G56" s="47"/>
      <c r="H56" s="47"/>
      <c r="I56" s="47"/>
      <c r="J56" s="47"/>
      <c r="K56" s="47"/>
      <c r="L56" s="47"/>
      <c r="M56" s="47">
        <v>10</v>
      </c>
      <c r="N56" s="47">
        <v>10</v>
      </c>
      <c r="O56" s="115"/>
      <c r="P56" s="47"/>
      <c r="Q56" s="47">
        <v>50</v>
      </c>
      <c r="R56" s="47"/>
      <c r="S56" s="47">
        <v>70</v>
      </c>
      <c r="T56" s="47"/>
      <c r="U56" s="47"/>
      <c r="V56" s="47"/>
      <c r="W56" s="47"/>
      <c r="X56" s="48"/>
      <c r="Y56" s="49">
        <v>4.5</v>
      </c>
      <c r="Z56" s="49"/>
      <c r="AA56" s="29"/>
      <c r="AB56" s="85"/>
      <c r="AC56" s="86"/>
      <c r="AD56" s="67">
        <f t="shared" si="0"/>
        <v>0.25</v>
      </c>
      <c r="AE56" s="68">
        <f t="shared" si="1"/>
        <v>0</v>
      </c>
      <c r="AF56" s="29"/>
      <c r="AG56" s="66"/>
    </row>
    <row r="57" spans="1:34" ht="18.75" customHeight="1" x14ac:dyDescent="0.25">
      <c r="A57" s="5"/>
      <c r="B57" s="188" t="s">
        <v>7</v>
      </c>
      <c r="C57" s="189"/>
      <c r="D57" s="190"/>
      <c r="E57" s="98">
        <f t="shared" ref="E57:T57" si="3">IF(E51&lt;&gt;0,AVERAGE(E51:E54),"")</f>
        <v>7.5</v>
      </c>
      <c r="F57" s="98">
        <f t="shared" si="3"/>
        <v>8.9</v>
      </c>
      <c r="G57" s="98">
        <f t="shared" si="3"/>
        <v>11.9</v>
      </c>
      <c r="H57" s="98">
        <f t="shared" si="3"/>
        <v>15.5</v>
      </c>
      <c r="I57" s="98">
        <f t="shared" si="3"/>
        <v>20.6</v>
      </c>
      <c r="J57" s="98">
        <f t="shared" si="3"/>
        <v>29.5</v>
      </c>
      <c r="K57" s="98">
        <f t="shared" si="3"/>
        <v>43.9</v>
      </c>
      <c r="L57" s="98">
        <f t="shared" si="3"/>
        <v>60.9</v>
      </c>
      <c r="M57" s="98">
        <f t="shared" si="3"/>
        <v>78.2</v>
      </c>
      <c r="N57" s="98">
        <f t="shared" si="3"/>
        <v>94.7</v>
      </c>
      <c r="O57" s="111">
        <f t="shared" si="3"/>
        <v>100</v>
      </c>
      <c r="P57" s="98"/>
      <c r="Q57" s="111"/>
      <c r="R57" s="98"/>
      <c r="S57" s="98" t="str">
        <f t="shared" si="3"/>
        <v/>
      </c>
      <c r="T57" s="99" t="str">
        <f t="shared" si="3"/>
        <v/>
      </c>
      <c r="U57" s="191">
        <f>IF(U51&lt;&gt;0,AVERAGE(U51:V54),"")</f>
        <v>182</v>
      </c>
      <c r="V57" s="192"/>
      <c r="W57" s="193">
        <f>IF(W51&lt;&gt;0,AVERAGE(W51:X54),"")</f>
        <v>4.9400000000000004</v>
      </c>
      <c r="X57" s="194"/>
      <c r="Y57" s="193">
        <f>IF(W51&lt;&gt;0,AVERAGE(Y51:Z54),"")</f>
        <v>3.0553744069587516</v>
      </c>
      <c r="Z57" s="195"/>
      <c r="AA57" s="66"/>
      <c r="AB57" s="196">
        <f>(100*W57)/(100-W57)</f>
        <v>5.1967178624026937</v>
      </c>
      <c r="AC57" s="197"/>
      <c r="AD57" s="67">
        <f t="shared" si="0"/>
        <v>14.153499999999999</v>
      </c>
      <c r="AE57" s="68">
        <f t="shared" si="1"/>
        <v>3.0553744069587516</v>
      </c>
      <c r="AF57" s="29"/>
      <c r="AG57" s="66"/>
    </row>
    <row r="58" spans="1:34" ht="21" customHeight="1" x14ac:dyDescent="0.25">
      <c r="A58" s="5"/>
      <c r="B58" s="198" t="s">
        <v>9</v>
      </c>
      <c r="C58" s="199"/>
      <c r="D58" s="200"/>
      <c r="E58" s="100">
        <v>6.5</v>
      </c>
      <c r="F58" s="100">
        <v>8</v>
      </c>
      <c r="G58" s="100">
        <v>11</v>
      </c>
      <c r="H58" s="100">
        <v>16</v>
      </c>
      <c r="I58" s="100">
        <v>21</v>
      </c>
      <c r="J58" s="100">
        <v>30</v>
      </c>
      <c r="K58" s="100">
        <v>44</v>
      </c>
      <c r="L58" s="100">
        <v>60</v>
      </c>
      <c r="M58" s="100">
        <v>76</v>
      </c>
      <c r="N58" s="100">
        <v>95</v>
      </c>
      <c r="O58" s="116">
        <v>100</v>
      </c>
      <c r="P58" s="100"/>
      <c r="Q58" s="100"/>
      <c r="R58" s="100"/>
      <c r="S58" s="100"/>
      <c r="T58" s="101"/>
      <c r="U58" s="201"/>
      <c r="V58" s="202"/>
      <c r="W58" s="203">
        <v>5.4</v>
      </c>
      <c r="X58" s="204"/>
      <c r="Y58" s="205">
        <f>AE58</f>
        <v>3.4230996041984052</v>
      </c>
      <c r="Z58" s="206"/>
      <c r="AA58" s="66"/>
      <c r="AB58" s="196">
        <f>(100*W58)/(100-W58)</f>
        <v>5.7082452431289648</v>
      </c>
      <c r="AC58" s="197"/>
      <c r="AD58" s="67">
        <f t="shared" si="0"/>
        <v>12.822000000000001</v>
      </c>
      <c r="AE58" s="68">
        <f t="shared" si="1"/>
        <v>3.4230996041984052</v>
      </c>
      <c r="AF58" s="29"/>
      <c r="AG58" s="66"/>
    </row>
    <row r="59" spans="1:34" ht="13.5" customHeight="1" x14ac:dyDescent="0.25">
      <c r="A59" s="5"/>
      <c r="B59" s="50"/>
      <c r="C59" s="51" t="s">
        <v>23</v>
      </c>
      <c r="D59" s="52"/>
      <c r="E59" s="92">
        <f>E58+2</f>
        <v>8.5</v>
      </c>
      <c r="F59" s="92"/>
      <c r="G59" s="92"/>
      <c r="H59" s="92"/>
      <c r="I59" s="92"/>
      <c r="J59" s="92">
        <f>J58+6</f>
        <v>36</v>
      </c>
      <c r="K59" s="92"/>
      <c r="L59" s="92">
        <f>L58+7</f>
        <v>67</v>
      </c>
      <c r="M59" s="92"/>
      <c r="N59" s="92"/>
      <c r="O59" s="92"/>
      <c r="P59" s="92"/>
      <c r="Q59" s="92"/>
      <c r="R59" s="92"/>
      <c r="S59" s="92"/>
      <c r="T59" s="93"/>
      <c r="U59" s="171"/>
      <c r="V59" s="172"/>
      <c r="W59" s="173">
        <f>W58+0.5</f>
        <v>5.9</v>
      </c>
      <c r="X59" s="172"/>
      <c r="Y59" s="174"/>
      <c r="Z59" s="175"/>
      <c r="AA59" s="83"/>
      <c r="AB59" s="71"/>
      <c r="AC59" s="69"/>
      <c r="AD59" s="176"/>
      <c r="AE59" s="178" t="s">
        <v>47</v>
      </c>
      <c r="AF59" s="29"/>
      <c r="AG59" s="66"/>
    </row>
    <row r="60" spans="1:34" ht="13.5" customHeight="1" thickBot="1" x14ac:dyDescent="0.3">
      <c r="A60" s="5"/>
      <c r="B60" s="180" t="s">
        <v>24</v>
      </c>
      <c r="C60" s="181"/>
      <c r="D60" s="182"/>
      <c r="E60" s="102">
        <f>E58-2</f>
        <v>4.5</v>
      </c>
      <c r="F60" s="102"/>
      <c r="G60" s="103"/>
      <c r="H60" s="103"/>
      <c r="I60" s="103"/>
      <c r="J60" s="102">
        <f>J58-6</f>
        <v>24</v>
      </c>
      <c r="K60" s="103"/>
      <c r="L60" s="102">
        <f>L58-7</f>
        <v>53</v>
      </c>
      <c r="M60" s="102"/>
      <c r="N60" s="103"/>
      <c r="O60" s="103"/>
      <c r="P60" s="103"/>
      <c r="Q60" s="102"/>
      <c r="R60" s="103"/>
      <c r="S60" s="103"/>
      <c r="T60" s="104"/>
      <c r="U60" s="183"/>
      <c r="V60" s="184"/>
      <c r="W60" s="185">
        <f>W58-0.5</f>
        <v>4.9000000000000004</v>
      </c>
      <c r="X60" s="184"/>
      <c r="Y60" s="186"/>
      <c r="Z60" s="187"/>
      <c r="AA60" s="84"/>
      <c r="AB60" s="72"/>
      <c r="AC60" s="73"/>
      <c r="AD60" s="177"/>
      <c r="AE60" s="179"/>
      <c r="AF60" s="29"/>
      <c r="AG60" s="66"/>
    </row>
    <row r="61" spans="1:34" ht="6.75" customHeight="1" x14ac:dyDescent="0.25">
      <c r="A61" s="24"/>
      <c r="B61" s="25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53"/>
    </row>
    <row r="62" spans="1:34" ht="8.25" customHeight="1" x14ac:dyDescent="0.25"/>
    <row r="63" spans="1:34" ht="34.5" customHeight="1" x14ac:dyDescent="0.25">
      <c r="A63" s="54" t="s">
        <v>4</v>
      </c>
      <c r="B63" s="55" t="s">
        <v>21</v>
      </c>
      <c r="C63" s="56"/>
      <c r="D63" s="56"/>
      <c r="E63" s="56"/>
      <c r="F63" s="57"/>
      <c r="G63" s="57"/>
      <c r="H63" s="57"/>
      <c r="I63" s="9"/>
      <c r="J63" s="9"/>
      <c r="K63" s="9"/>
      <c r="L63" s="9"/>
      <c r="M63" s="9"/>
      <c r="N63" s="9"/>
      <c r="O63" s="9"/>
      <c r="P63" s="9"/>
      <c r="Q63" s="57"/>
      <c r="R63" s="9"/>
      <c r="S63" s="9"/>
      <c r="T63" s="9"/>
      <c r="U63" s="148"/>
      <c r="V63" s="148"/>
      <c r="W63" s="148"/>
      <c r="X63" s="148"/>
      <c r="Y63" s="148"/>
      <c r="Z63" s="149"/>
      <c r="AA63" s="81"/>
      <c r="AB63" s="58"/>
      <c r="AC63" s="58"/>
      <c r="AD63" s="59"/>
    </row>
    <row r="64" spans="1:34" ht="27" customHeight="1" x14ac:dyDescent="0.25">
      <c r="A64" s="150" t="s">
        <v>49</v>
      </c>
      <c r="B64" s="151"/>
      <c r="C64" s="151"/>
      <c r="D64" s="151"/>
      <c r="E64" s="151"/>
      <c r="F64" s="151"/>
      <c r="G64" s="151"/>
      <c r="H64" s="151"/>
      <c r="I64" s="151"/>
      <c r="J64" s="151"/>
      <c r="K64" s="151"/>
      <c r="L64" s="151"/>
      <c r="M64" s="151"/>
      <c r="N64" s="151"/>
      <c r="O64" s="151"/>
      <c r="P64" s="151"/>
      <c r="Q64" s="152"/>
      <c r="R64" s="127" t="s">
        <v>32</v>
      </c>
      <c r="S64" s="128"/>
      <c r="T64" s="129"/>
      <c r="U64" s="153" t="s">
        <v>60</v>
      </c>
      <c r="V64" s="154"/>
      <c r="W64" s="154"/>
      <c r="X64" s="154"/>
      <c r="Y64" s="154"/>
      <c r="Z64" s="155"/>
      <c r="AA64" s="76"/>
      <c r="AB64" s="60"/>
      <c r="AC64" s="60"/>
      <c r="AD64" s="59"/>
    </row>
    <row r="65" spans="1:30" ht="15.75" customHeight="1" x14ac:dyDescent="0.25">
      <c r="A65" s="156" t="s">
        <v>59</v>
      </c>
      <c r="B65" s="157"/>
      <c r="C65" s="157"/>
      <c r="D65" s="157"/>
      <c r="E65" s="157"/>
      <c r="F65" s="157"/>
      <c r="G65" s="157"/>
      <c r="H65" s="157"/>
      <c r="I65" s="157"/>
      <c r="J65" s="157"/>
      <c r="K65" s="157"/>
      <c r="L65" s="157"/>
      <c r="M65" s="157"/>
      <c r="N65" s="157"/>
      <c r="O65" s="157"/>
      <c r="P65" s="157"/>
      <c r="Q65" s="158"/>
      <c r="R65" s="127" t="s">
        <v>25</v>
      </c>
      <c r="S65" s="128"/>
      <c r="T65" s="129"/>
      <c r="U65" s="162" t="s">
        <v>61</v>
      </c>
      <c r="V65" s="163"/>
      <c r="W65" s="163"/>
      <c r="X65" s="163"/>
      <c r="Y65" s="163"/>
      <c r="Z65" s="164"/>
      <c r="AA65" s="76"/>
      <c r="AB65" s="60"/>
      <c r="AC65" s="60"/>
      <c r="AD65" s="59"/>
    </row>
    <row r="66" spans="1:30" ht="9" customHeight="1" x14ac:dyDescent="0.25">
      <c r="A66" s="156"/>
      <c r="B66" s="157"/>
      <c r="C66" s="157"/>
      <c r="D66" s="157"/>
      <c r="E66" s="157"/>
      <c r="F66" s="157"/>
      <c r="G66" s="157"/>
      <c r="H66" s="157"/>
      <c r="I66" s="157"/>
      <c r="J66" s="157"/>
      <c r="K66" s="157"/>
      <c r="L66" s="157"/>
      <c r="M66" s="157"/>
      <c r="N66" s="157"/>
      <c r="O66" s="157"/>
      <c r="P66" s="157"/>
      <c r="Q66" s="158"/>
      <c r="R66" s="127"/>
      <c r="S66" s="128"/>
      <c r="T66" s="129"/>
      <c r="U66" s="165"/>
      <c r="V66" s="166"/>
      <c r="W66" s="166"/>
      <c r="X66" s="166"/>
      <c r="Y66" s="166"/>
      <c r="Z66" s="167"/>
      <c r="AA66" s="76"/>
      <c r="AB66" s="60"/>
      <c r="AC66" s="60"/>
      <c r="AD66" s="59"/>
    </row>
    <row r="67" spans="1:30" ht="15.9" customHeight="1" x14ac:dyDescent="0.25">
      <c r="A67" s="159"/>
      <c r="B67" s="160"/>
      <c r="C67" s="160"/>
      <c r="D67" s="160"/>
      <c r="E67" s="160"/>
      <c r="F67" s="160"/>
      <c r="G67" s="160"/>
      <c r="H67" s="160"/>
      <c r="I67" s="160"/>
      <c r="J67" s="160"/>
      <c r="K67" s="160"/>
      <c r="L67" s="160"/>
      <c r="M67" s="160"/>
      <c r="N67" s="160"/>
      <c r="O67" s="160"/>
      <c r="P67" s="160"/>
      <c r="Q67" s="161"/>
      <c r="R67" s="127"/>
      <c r="S67" s="128"/>
      <c r="T67" s="129"/>
      <c r="U67" s="165"/>
      <c r="V67" s="166"/>
      <c r="W67" s="166"/>
      <c r="X67" s="166"/>
      <c r="Y67" s="166"/>
      <c r="Z67" s="167"/>
      <c r="AA67" s="76"/>
      <c r="AB67" s="60"/>
      <c r="AC67" s="60"/>
      <c r="AD67" s="59"/>
    </row>
    <row r="68" spans="1:30" ht="15.9" customHeight="1" x14ac:dyDescent="0.25">
      <c r="A68" s="61" t="s">
        <v>3</v>
      </c>
      <c r="B68" s="62" t="s">
        <v>5</v>
      </c>
      <c r="C68" s="14"/>
      <c r="D68" s="14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4"/>
      <c r="R68" s="127"/>
      <c r="S68" s="128"/>
      <c r="T68" s="129"/>
      <c r="U68" s="168"/>
      <c r="V68" s="169"/>
      <c r="W68" s="169"/>
      <c r="X68" s="169"/>
      <c r="Y68" s="169"/>
      <c r="Z68" s="170"/>
      <c r="AA68" s="76"/>
      <c r="AB68" s="60"/>
      <c r="AC68" s="60"/>
      <c r="AD68" s="59"/>
    </row>
    <row r="69" spans="1:30" ht="15.75" customHeight="1" x14ac:dyDescent="0.25">
      <c r="A69" s="121"/>
      <c r="B69" s="122"/>
      <c r="C69" s="122"/>
      <c r="D69" s="122"/>
      <c r="E69" s="122"/>
      <c r="F69" s="122"/>
      <c r="G69" s="122"/>
      <c r="H69" s="122"/>
      <c r="I69" s="122"/>
      <c r="J69" s="122"/>
      <c r="K69" s="122"/>
      <c r="L69" s="122"/>
      <c r="M69" s="122"/>
      <c r="N69" s="122"/>
      <c r="O69" s="122"/>
      <c r="P69" s="122"/>
      <c r="Q69" s="123"/>
      <c r="R69" s="127" t="s">
        <v>26</v>
      </c>
      <c r="S69" s="128"/>
      <c r="T69" s="129"/>
      <c r="U69" s="133"/>
      <c r="V69" s="134"/>
      <c r="W69" s="134"/>
      <c r="X69" s="134"/>
      <c r="Y69" s="134"/>
      <c r="Z69" s="135"/>
      <c r="AA69" s="77"/>
      <c r="AB69" s="65"/>
      <c r="AC69" s="65"/>
      <c r="AD69" s="59"/>
    </row>
    <row r="70" spans="1:30" ht="15.9" customHeight="1" x14ac:dyDescent="0.25">
      <c r="A70" s="121"/>
      <c r="B70" s="122"/>
      <c r="C70" s="122"/>
      <c r="D70" s="122"/>
      <c r="E70" s="122"/>
      <c r="F70" s="122"/>
      <c r="G70" s="122"/>
      <c r="H70" s="122"/>
      <c r="I70" s="122"/>
      <c r="J70" s="122"/>
      <c r="K70" s="122"/>
      <c r="L70" s="122"/>
      <c r="M70" s="122"/>
      <c r="N70" s="122"/>
      <c r="O70" s="122"/>
      <c r="P70" s="122"/>
      <c r="Q70" s="123"/>
      <c r="R70" s="127"/>
      <c r="S70" s="128"/>
      <c r="T70" s="129"/>
      <c r="U70" s="136"/>
      <c r="V70" s="137"/>
      <c r="W70" s="137"/>
      <c r="X70" s="137"/>
      <c r="Y70" s="137"/>
      <c r="Z70" s="138"/>
      <c r="AA70" s="77"/>
      <c r="AB70" s="65"/>
      <c r="AC70" s="65"/>
      <c r="AD70" s="59"/>
    </row>
    <row r="71" spans="1:30" ht="15.9" customHeight="1" x14ac:dyDescent="0.25">
      <c r="A71" s="121"/>
      <c r="B71" s="122"/>
      <c r="C71" s="122"/>
      <c r="D71" s="122"/>
      <c r="E71" s="122"/>
      <c r="F71" s="122"/>
      <c r="G71" s="122"/>
      <c r="H71" s="122"/>
      <c r="I71" s="122"/>
      <c r="J71" s="122"/>
      <c r="K71" s="122"/>
      <c r="L71" s="122"/>
      <c r="M71" s="122"/>
      <c r="N71" s="122"/>
      <c r="O71" s="122"/>
      <c r="P71" s="122"/>
      <c r="Q71" s="123"/>
      <c r="R71" s="127"/>
      <c r="S71" s="128"/>
      <c r="T71" s="129"/>
      <c r="U71" s="136"/>
      <c r="V71" s="137"/>
      <c r="W71" s="137"/>
      <c r="X71" s="137"/>
      <c r="Y71" s="137"/>
      <c r="Z71" s="138"/>
      <c r="AA71" s="77"/>
      <c r="AB71" s="65"/>
      <c r="AC71" s="65"/>
      <c r="AD71" s="59"/>
    </row>
    <row r="72" spans="1:30" ht="15.75" customHeight="1" x14ac:dyDescent="0.25">
      <c r="A72" s="124"/>
      <c r="B72" s="125"/>
      <c r="C72" s="125"/>
      <c r="D72" s="125"/>
      <c r="E72" s="125"/>
      <c r="F72" s="125"/>
      <c r="G72" s="125"/>
      <c r="H72" s="125"/>
      <c r="I72" s="125"/>
      <c r="J72" s="125"/>
      <c r="K72" s="125"/>
      <c r="L72" s="125"/>
      <c r="M72" s="125"/>
      <c r="N72" s="125"/>
      <c r="O72" s="125"/>
      <c r="P72" s="125"/>
      <c r="Q72" s="126"/>
      <c r="R72" s="130"/>
      <c r="S72" s="131"/>
      <c r="T72" s="132"/>
      <c r="U72" s="139"/>
      <c r="V72" s="140"/>
      <c r="W72" s="140"/>
      <c r="X72" s="140"/>
      <c r="Y72" s="140"/>
      <c r="Z72" s="141"/>
      <c r="AA72" s="77"/>
      <c r="AB72" s="65"/>
      <c r="AC72" s="65"/>
      <c r="AD72" s="59"/>
    </row>
  </sheetData>
  <mergeCells count="106">
    <mergeCell ref="A69:Q72"/>
    <mergeCell ref="R69:T72"/>
    <mergeCell ref="U69:Z72"/>
    <mergeCell ref="C51:D51"/>
    <mergeCell ref="U51:V51"/>
    <mergeCell ref="W51:X51"/>
    <mergeCell ref="U63:Z63"/>
    <mergeCell ref="A64:Q64"/>
    <mergeCell ref="R64:T64"/>
    <mergeCell ref="U64:Z64"/>
    <mergeCell ref="A65:Q67"/>
    <mergeCell ref="R65:T68"/>
    <mergeCell ref="U65:Z68"/>
    <mergeCell ref="U59:V59"/>
    <mergeCell ref="W59:X59"/>
    <mergeCell ref="Y59:Z59"/>
    <mergeCell ref="AD59:AD60"/>
    <mergeCell ref="AE59:AE60"/>
    <mergeCell ref="B60:D60"/>
    <mergeCell ref="U60:V60"/>
    <mergeCell ref="W60:X60"/>
    <mergeCell ref="Y60:Z60"/>
    <mergeCell ref="B57:D57"/>
    <mergeCell ref="U57:V57"/>
    <mergeCell ref="W57:X57"/>
    <mergeCell ref="Y57:Z57"/>
    <mergeCell ref="AB57:AC57"/>
    <mergeCell ref="B58:D58"/>
    <mergeCell ref="U58:V58"/>
    <mergeCell ref="W58:X58"/>
    <mergeCell ref="Y58:Z58"/>
    <mergeCell ref="AB58:AC58"/>
    <mergeCell ref="C54:D54"/>
    <mergeCell ref="U54:V54"/>
    <mergeCell ref="W54:X54"/>
    <mergeCell ref="Y54:Z54"/>
    <mergeCell ref="AB54:AC54"/>
    <mergeCell ref="B56:D56"/>
    <mergeCell ref="C52:D52"/>
    <mergeCell ref="U52:V52"/>
    <mergeCell ref="W52:X52"/>
    <mergeCell ref="Y52:Z52"/>
    <mergeCell ref="AB52:AC52"/>
    <mergeCell ref="C53:D53"/>
    <mergeCell ref="U53:V53"/>
    <mergeCell ref="W53:X53"/>
    <mergeCell ref="Y53:Z53"/>
    <mergeCell ref="AB53:AC53"/>
    <mergeCell ref="AE49:AE50"/>
    <mergeCell ref="AF49:AF50"/>
    <mergeCell ref="AG49:AG50"/>
    <mergeCell ref="C50:D50"/>
    <mergeCell ref="Y51:Z51"/>
    <mergeCell ref="AB51:AC51"/>
    <mergeCell ref="AD47:AD48"/>
    <mergeCell ref="AE47:AE48"/>
    <mergeCell ref="AF47:AF48"/>
    <mergeCell ref="AG47:AG48"/>
    <mergeCell ref="E49:T49"/>
    <mergeCell ref="U49:V50"/>
    <mergeCell ref="W49:X50"/>
    <mergeCell ref="Y49:Z50"/>
    <mergeCell ref="AB49:AC50"/>
    <mergeCell ref="AD49:AD50"/>
    <mergeCell ref="AE15:AJ15"/>
    <mergeCell ref="AE16:AJ16"/>
    <mergeCell ref="B19:H19"/>
    <mergeCell ref="I19:Y19"/>
    <mergeCell ref="B20:H20"/>
    <mergeCell ref="I20:Y20"/>
    <mergeCell ref="AE13:AJ13"/>
    <mergeCell ref="B14:F14"/>
    <mergeCell ref="G14:L14"/>
    <mergeCell ref="M14:R14"/>
    <mergeCell ref="S14:Y14"/>
    <mergeCell ref="AE14:AJ14"/>
    <mergeCell ref="B12:F12"/>
    <mergeCell ref="G12:L12"/>
    <mergeCell ref="M12:R12"/>
    <mergeCell ref="S12:Y12"/>
    <mergeCell ref="G13:L13"/>
    <mergeCell ref="M13:R13"/>
    <mergeCell ref="S13:Y13"/>
    <mergeCell ref="AE10:AI10"/>
    <mergeCell ref="B11:F11"/>
    <mergeCell ref="G11:L11"/>
    <mergeCell ref="M11:R11"/>
    <mergeCell ref="S11:Y11"/>
    <mergeCell ref="AE11:AI11"/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horizontalDpi="300" verticalDpi="300" r:id="rId1"/>
  <headerFooter alignWithMargins="0">
    <oddFooter>&amp;RDG-Q / RE CFE du 28/06/06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7D3EE-F65B-48F5-867A-DE98C0729D05}">
  <sheetPr>
    <pageSetUpPr fitToPage="1"/>
  </sheetPr>
  <dimension ref="A1:AN72"/>
  <sheetViews>
    <sheetView topLeftCell="A29" zoomScaleNormal="100" workbookViewId="0">
      <selection activeCell="AC66" sqref="AC66:AC67"/>
    </sheetView>
  </sheetViews>
  <sheetFormatPr baseColWidth="10" defaultColWidth="11.44140625" defaultRowHeight="12.75" customHeight="1" x14ac:dyDescent="0.25"/>
  <cols>
    <col min="1" max="2" width="5.109375" style="29" customWidth="1"/>
    <col min="3" max="27" width="5.109375" style="1" customWidth="1"/>
    <col min="28" max="41" width="11.44140625" style="1" customWidth="1"/>
    <col min="42" max="16384" width="11.44140625" style="1"/>
  </cols>
  <sheetData>
    <row r="1" spans="1:36" ht="12.75" customHeight="1" x14ac:dyDescent="0.25">
      <c r="A1" s="260"/>
      <c r="B1" s="261"/>
      <c r="C1" s="261"/>
      <c r="D1" s="261"/>
      <c r="E1" s="261"/>
      <c r="F1" s="262"/>
      <c r="G1" s="269" t="s">
        <v>34</v>
      </c>
      <c r="H1" s="270"/>
      <c r="I1" s="270"/>
      <c r="J1" s="270"/>
      <c r="K1" s="270"/>
      <c r="L1" s="270"/>
      <c r="M1" s="270"/>
      <c r="N1" s="270"/>
      <c r="O1" s="270"/>
      <c r="P1" s="270"/>
      <c r="Q1" s="270"/>
      <c r="R1" s="270"/>
      <c r="S1" s="270"/>
      <c r="T1" s="271"/>
      <c r="U1" s="272" t="s">
        <v>52</v>
      </c>
      <c r="V1" s="273"/>
      <c r="W1" s="273"/>
      <c r="X1" s="273"/>
      <c r="Y1" s="273"/>
      <c r="Z1" s="274"/>
      <c r="AA1" s="78"/>
    </row>
    <row r="2" spans="1:36" ht="12.75" customHeight="1" x14ac:dyDescent="0.25">
      <c r="A2" s="263"/>
      <c r="B2" s="264"/>
      <c r="C2" s="264"/>
      <c r="D2" s="264"/>
      <c r="E2" s="264"/>
      <c r="F2" s="265"/>
      <c r="G2" s="281" t="s">
        <v>40</v>
      </c>
      <c r="H2" s="282"/>
      <c r="I2" s="282"/>
      <c r="J2" s="282"/>
      <c r="K2" s="282"/>
      <c r="L2" s="282"/>
      <c r="M2" s="282"/>
      <c r="N2" s="282"/>
      <c r="O2" s="282"/>
      <c r="P2" s="282"/>
      <c r="Q2" s="282"/>
      <c r="R2" s="282"/>
      <c r="S2" s="282"/>
      <c r="T2" s="283"/>
      <c r="U2" s="275"/>
      <c r="V2" s="276"/>
      <c r="W2" s="276"/>
      <c r="X2" s="276"/>
      <c r="Y2" s="276"/>
      <c r="Z2" s="277"/>
      <c r="AA2" s="78"/>
    </row>
    <row r="3" spans="1:36" ht="12.75" customHeight="1" x14ac:dyDescent="0.25">
      <c r="A3" s="263"/>
      <c r="B3" s="264"/>
      <c r="C3" s="264"/>
      <c r="D3" s="264"/>
      <c r="E3" s="264"/>
      <c r="F3" s="265"/>
      <c r="G3" s="284"/>
      <c r="H3" s="282"/>
      <c r="I3" s="282"/>
      <c r="J3" s="282"/>
      <c r="K3" s="282"/>
      <c r="L3" s="282"/>
      <c r="M3" s="282"/>
      <c r="N3" s="282"/>
      <c r="O3" s="282"/>
      <c r="P3" s="282"/>
      <c r="Q3" s="282"/>
      <c r="R3" s="282"/>
      <c r="S3" s="282"/>
      <c r="T3" s="283"/>
      <c r="U3" s="275"/>
      <c r="V3" s="276"/>
      <c r="W3" s="276"/>
      <c r="X3" s="276"/>
      <c r="Y3" s="276"/>
      <c r="Z3" s="277"/>
      <c r="AA3" s="78"/>
    </row>
    <row r="4" spans="1:36" ht="12.75" customHeight="1" x14ac:dyDescent="0.25">
      <c r="A4" s="263"/>
      <c r="B4" s="264"/>
      <c r="C4" s="264"/>
      <c r="D4" s="264"/>
      <c r="E4" s="264"/>
      <c r="F4" s="265"/>
      <c r="G4" s="284"/>
      <c r="H4" s="282"/>
      <c r="I4" s="282"/>
      <c r="J4" s="282"/>
      <c r="K4" s="282"/>
      <c r="L4" s="282"/>
      <c r="M4" s="282"/>
      <c r="N4" s="282"/>
      <c r="O4" s="282"/>
      <c r="P4" s="282"/>
      <c r="Q4" s="282"/>
      <c r="R4" s="282"/>
      <c r="S4" s="282"/>
      <c r="T4" s="283"/>
      <c r="U4" s="275"/>
      <c r="V4" s="276"/>
      <c r="W4" s="276"/>
      <c r="X4" s="276"/>
      <c r="Y4" s="276"/>
      <c r="Z4" s="277"/>
      <c r="AA4" s="78"/>
    </row>
    <row r="5" spans="1:36" ht="12.75" customHeight="1" x14ac:dyDescent="0.25">
      <c r="A5" s="263"/>
      <c r="B5" s="264"/>
      <c r="C5" s="264"/>
      <c r="D5" s="264"/>
      <c r="E5" s="264"/>
      <c r="F5" s="265"/>
      <c r="G5" s="284" t="s">
        <v>41</v>
      </c>
      <c r="H5" s="282"/>
      <c r="I5" s="2" t="s">
        <v>35</v>
      </c>
      <c r="J5" s="252">
        <v>3</v>
      </c>
      <c r="K5" s="319"/>
      <c r="L5" s="320" t="s">
        <v>51</v>
      </c>
      <c r="M5" s="252"/>
      <c r="N5" s="252"/>
      <c r="O5" s="319"/>
      <c r="P5" s="321">
        <v>46009</v>
      </c>
      <c r="Q5" s="322"/>
      <c r="R5" s="322"/>
      <c r="S5" s="322"/>
      <c r="T5" s="323"/>
      <c r="U5" s="275"/>
      <c r="V5" s="276"/>
      <c r="W5" s="276"/>
      <c r="X5" s="276"/>
      <c r="Y5" s="276"/>
      <c r="Z5" s="277"/>
      <c r="AA5" s="78"/>
    </row>
    <row r="6" spans="1:36" ht="12.75" customHeight="1" x14ac:dyDescent="0.25">
      <c r="A6" s="266"/>
      <c r="B6" s="267"/>
      <c r="C6" s="267"/>
      <c r="D6" s="267"/>
      <c r="E6" s="267"/>
      <c r="F6" s="268"/>
      <c r="G6" s="3"/>
      <c r="H6" s="4"/>
      <c r="I6" s="4"/>
      <c r="J6" s="256" t="s">
        <v>36</v>
      </c>
      <c r="K6" s="256"/>
      <c r="L6" s="256" t="s">
        <v>37</v>
      </c>
      <c r="M6" s="256"/>
      <c r="N6" s="256"/>
      <c r="O6" s="256"/>
      <c r="P6" s="256" t="s">
        <v>38</v>
      </c>
      <c r="Q6" s="256"/>
      <c r="R6" s="256"/>
      <c r="S6" s="256"/>
      <c r="T6" s="257"/>
      <c r="U6" s="278"/>
      <c r="V6" s="279"/>
      <c r="W6" s="279"/>
      <c r="X6" s="279"/>
      <c r="Y6" s="279"/>
      <c r="Z6" s="280"/>
      <c r="AA6" s="78"/>
    </row>
    <row r="7" spans="1:36" ht="37.5" customHeight="1" x14ac:dyDescent="0.25">
      <c r="A7" s="258" t="s">
        <v>39</v>
      </c>
      <c r="B7" s="258"/>
      <c r="C7" s="258"/>
      <c r="D7" s="258"/>
      <c r="E7" s="258"/>
      <c r="F7" s="258"/>
      <c r="G7" s="259" t="s">
        <v>33</v>
      </c>
      <c r="H7" s="259"/>
      <c r="I7" s="259"/>
      <c r="J7" s="259"/>
      <c r="K7" s="259"/>
      <c r="L7" s="259"/>
      <c r="M7" s="259"/>
      <c r="N7" s="259"/>
      <c r="O7" s="259"/>
      <c r="P7" s="259"/>
      <c r="Q7" s="259"/>
      <c r="R7" s="259"/>
      <c r="S7" s="259"/>
      <c r="T7" s="259"/>
      <c r="U7" s="259"/>
      <c r="V7" s="259"/>
      <c r="W7" s="259"/>
      <c r="X7" s="259"/>
      <c r="Y7" s="259"/>
      <c r="Z7" s="259"/>
      <c r="AA7" s="79"/>
      <c r="AE7" s="6"/>
      <c r="AI7" s="6"/>
    </row>
    <row r="8" spans="1:36" ht="15.9" customHeight="1" x14ac:dyDescent="0.25">
      <c r="A8" s="7" t="s">
        <v>1</v>
      </c>
      <c r="B8" s="8" t="s">
        <v>0</v>
      </c>
      <c r="C8" s="9"/>
      <c r="D8" s="10"/>
      <c r="E8" s="10"/>
      <c r="F8" s="10"/>
      <c r="G8" s="1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1"/>
      <c r="AA8" s="14"/>
      <c r="AB8" s="12"/>
      <c r="AC8" s="12"/>
      <c r="AD8" s="12"/>
      <c r="AE8" s="6"/>
      <c r="AF8" s="12"/>
      <c r="AI8" s="6"/>
    </row>
    <row r="9" spans="1:36" ht="15.9" customHeight="1" x14ac:dyDescent="0.25">
      <c r="A9" s="13"/>
      <c r="B9" s="14"/>
      <c r="C9" s="14"/>
      <c r="D9" s="15"/>
      <c r="E9" s="15"/>
      <c r="F9" s="15"/>
      <c r="G9" s="15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6"/>
      <c r="AA9" s="14"/>
      <c r="AB9" s="12"/>
      <c r="AC9" s="12"/>
      <c r="AD9" s="12"/>
      <c r="AE9" s="6"/>
      <c r="AF9" s="12"/>
      <c r="AI9" s="6"/>
    </row>
    <row r="10" spans="1:36" ht="15.9" customHeight="1" x14ac:dyDescent="0.25">
      <c r="A10" s="13"/>
      <c r="B10" s="251" t="s">
        <v>28</v>
      </c>
      <c r="C10" s="251"/>
      <c r="D10" s="251"/>
      <c r="E10" s="251"/>
      <c r="F10" s="251"/>
      <c r="G10" s="253" t="s">
        <v>53</v>
      </c>
      <c r="H10" s="253"/>
      <c r="I10" s="253"/>
      <c r="J10" s="253"/>
      <c r="K10" s="253"/>
      <c r="L10" s="253"/>
      <c r="M10" s="251" t="s">
        <v>31</v>
      </c>
      <c r="N10" s="251"/>
      <c r="O10" s="251"/>
      <c r="P10" s="251"/>
      <c r="Q10" s="251"/>
      <c r="R10" s="251"/>
      <c r="S10" s="254" t="s">
        <v>56</v>
      </c>
      <c r="T10" s="254"/>
      <c r="U10" s="254"/>
      <c r="V10" s="254"/>
      <c r="W10" s="254"/>
      <c r="X10" s="254"/>
      <c r="Y10" s="254"/>
      <c r="Z10" s="17"/>
      <c r="AA10" s="75"/>
      <c r="AB10" s="12"/>
      <c r="AC10" s="12"/>
      <c r="AD10" s="12"/>
      <c r="AE10" s="251"/>
      <c r="AF10" s="251"/>
      <c r="AG10" s="251"/>
      <c r="AH10" s="251"/>
      <c r="AI10" s="251"/>
    </row>
    <row r="11" spans="1:36" ht="15.9" customHeight="1" x14ac:dyDescent="0.25">
      <c r="A11" s="13"/>
      <c r="B11" s="251" t="s">
        <v>6</v>
      </c>
      <c r="C11" s="251"/>
      <c r="D11" s="251"/>
      <c r="E11" s="251"/>
      <c r="F11" s="251"/>
      <c r="G11" s="297" t="s">
        <v>69</v>
      </c>
      <c r="H11" s="297"/>
      <c r="I11" s="297"/>
      <c r="J11" s="297"/>
      <c r="K11" s="297"/>
      <c r="L11" s="297"/>
      <c r="M11" s="251" t="s">
        <v>45</v>
      </c>
      <c r="N11" s="251"/>
      <c r="O11" s="251"/>
      <c r="P11" s="251"/>
      <c r="Q11" s="251"/>
      <c r="R11" s="251"/>
      <c r="S11" s="298" t="s">
        <v>70</v>
      </c>
      <c r="T11" s="298"/>
      <c r="U11" s="298"/>
      <c r="V11" s="298"/>
      <c r="W11" s="298"/>
      <c r="X11" s="298"/>
      <c r="Y11" s="298"/>
      <c r="Z11" s="17"/>
      <c r="AA11" s="75"/>
      <c r="AB11" s="12"/>
      <c r="AC11" s="12"/>
      <c r="AD11" s="12"/>
      <c r="AE11" s="251"/>
      <c r="AF11" s="251"/>
      <c r="AG11" s="251"/>
      <c r="AH11" s="251"/>
      <c r="AI11" s="251"/>
    </row>
    <row r="12" spans="1:36" ht="15.9" customHeight="1" x14ac:dyDescent="0.25">
      <c r="A12" s="13"/>
      <c r="B12" s="251" t="s">
        <v>29</v>
      </c>
      <c r="C12" s="251"/>
      <c r="D12" s="251"/>
      <c r="E12" s="251"/>
      <c r="F12" s="251"/>
      <c r="G12" s="297" t="s">
        <v>69</v>
      </c>
      <c r="H12" s="297"/>
      <c r="I12" s="297"/>
      <c r="J12" s="297"/>
      <c r="K12" s="297"/>
      <c r="L12" s="297"/>
      <c r="M12" s="255" t="s">
        <v>44</v>
      </c>
      <c r="N12" s="255"/>
      <c r="O12" s="255"/>
      <c r="P12" s="255"/>
      <c r="Q12" s="255"/>
      <c r="R12" s="255"/>
      <c r="S12" s="254">
        <v>157</v>
      </c>
      <c r="T12" s="254"/>
      <c r="U12" s="254"/>
      <c r="V12" s="254"/>
      <c r="W12" s="254"/>
      <c r="X12" s="254"/>
      <c r="Y12" s="254"/>
      <c r="Z12" s="17"/>
      <c r="AA12" s="75"/>
      <c r="AB12" s="12"/>
      <c r="AC12" s="12"/>
      <c r="AD12" s="12"/>
      <c r="AE12" s="6"/>
      <c r="AF12" s="12"/>
      <c r="AI12" s="6"/>
    </row>
    <row r="13" spans="1:36" ht="15.9" customHeight="1" x14ac:dyDescent="0.25">
      <c r="A13" s="13"/>
      <c r="B13" s="105" t="s">
        <v>42</v>
      </c>
      <c r="C13" s="105"/>
      <c r="D13" s="105"/>
      <c r="E13" s="105"/>
      <c r="F13" s="105"/>
      <c r="G13" s="253" t="s">
        <v>73</v>
      </c>
      <c r="H13" s="253"/>
      <c r="I13" s="253"/>
      <c r="J13" s="253"/>
      <c r="K13" s="253"/>
      <c r="L13" s="253"/>
      <c r="M13" s="251" t="s">
        <v>30</v>
      </c>
      <c r="N13" s="251"/>
      <c r="O13" s="251"/>
      <c r="P13" s="251"/>
      <c r="Q13" s="251"/>
      <c r="R13" s="251"/>
      <c r="S13" s="253" t="s">
        <v>58</v>
      </c>
      <c r="T13" s="253"/>
      <c r="U13" s="253"/>
      <c r="V13" s="253"/>
      <c r="W13" s="253"/>
      <c r="X13" s="253"/>
      <c r="Y13" s="253"/>
      <c r="Z13" s="17"/>
      <c r="AA13" s="75"/>
      <c r="AB13" s="12"/>
      <c r="AC13" s="12"/>
      <c r="AD13" s="12"/>
      <c r="AE13" s="251"/>
      <c r="AF13" s="251"/>
      <c r="AG13" s="251"/>
      <c r="AH13" s="251"/>
      <c r="AI13" s="251"/>
      <c r="AJ13" s="251"/>
    </row>
    <row r="14" spans="1:36" ht="15.9" customHeight="1" x14ac:dyDescent="0.25">
      <c r="A14" s="18"/>
      <c r="B14" s="251" t="s">
        <v>43</v>
      </c>
      <c r="C14" s="251"/>
      <c r="D14" s="251"/>
      <c r="E14" s="251"/>
      <c r="F14" s="251"/>
      <c r="G14" s="253" t="s">
        <v>55</v>
      </c>
      <c r="H14" s="253"/>
      <c r="I14" s="253"/>
      <c r="J14" s="253"/>
      <c r="K14" s="253"/>
      <c r="L14" s="253"/>
      <c r="M14" s="254" t="s">
        <v>27</v>
      </c>
      <c r="N14" s="254"/>
      <c r="O14" s="254"/>
      <c r="P14" s="254"/>
      <c r="Q14" s="254"/>
      <c r="R14" s="254"/>
      <c r="S14" s="254" t="s">
        <v>50</v>
      </c>
      <c r="T14" s="254"/>
      <c r="U14" s="254"/>
      <c r="V14" s="254"/>
      <c r="W14" s="254"/>
      <c r="X14" s="254"/>
      <c r="Y14" s="254"/>
      <c r="Z14" s="19"/>
      <c r="AA14" s="12"/>
      <c r="AB14" s="12"/>
      <c r="AC14" s="12"/>
      <c r="AD14" s="12"/>
      <c r="AE14" s="251"/>
      <c r="AF14" s="251"/>
      <c r="AG14" s="251"/>
      <c r="AH14" s="251"/>
      <c r="AI14" s="251"/>
      <c r="AJ14" s="251"/>
    </row>
    <row r="15" spans="1:36" ht="6" customHeight="1" x14ac:dyDescent="0.25">
      <c r="A15" s="24"/>
      <c r="B15" s="25"/>
      <c r="C15" s="26"/>
      <c r="D15" s="26"/>
      <c r="E15" s="26"/>
      <c r="F15" s="25"/>
      <c r="G15" s="25"/>
      <c r="H15" s="25"/>
      <c r="I15" s="25"/>
      <c r="J15" s="25"/>
      <c r="K15" s="25"/>
      <c r="L15" s="25"/>
      <c r="M15" s="25"/>
      <c r="N15" s="26"/>
      <c r="O15" s="26"/>
      <c r="P15" s="26"/>
      <c r="Q15" s="26"/>
      <c r="R15" s="26"/>
      <c r="S15" s="26"/>
      <c r="T15" s="27"/>
      <c r="U15" s="27"/>
      <c r="V15" s="26"/>
      <c r="W15" s="26"/>
      <c r="X15" s="26"/>
      <c r="Y15" s="26"/>
      <c r="Z15" s="28"/>
      <c r="AE15" s="251"/>
      <c r="AF15" s="251"/>
      <c r="AG15" s="251"/>
      <c r="AH15" s="251"/>
      <c r="AI15" s="251"/>
      <c r="AJ15" s="251"/>
    </row>
    <row r="16" spans="1:36" ht="6" customHeight="1" x14ac:dyDescent="0.25">
      <c r="F16" s="29"/>
      <c r="G16" s="29"/>
      <c r="H16" s="29"/>
      <c r="I16" s="29"/>
      <c r="J16" s="29"/>
      <c r="K16" s="29"/>
      <c r="L16" s="29"/>
      <c r="M16" s="29"/>
      <c r="T16" s="30"/>
      <c r="U16" s="30"/>
      <c r="AE16" s="251"/>
      <c r="AF16" s="251"/>
      <c r="AG16" s="251"/>
      <c r="AH16" s="251"/>
      <c r="AI16" s="251"/>
      <c r="AJ16" s="251"/>
    </row>
    <row r="17" spans="1:40" ht="15.9" customHeight="1" x14ac:dyDescent="0.25">
      <c r="A17" s="7" t="s">
        <v>2</v>
      </c>
      <c r="B17" s="8" t="s">
        <v>18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1"/>
      <c r="AA17" s="14"/>
      <c r="AE17" s="20"/>
      <c r="AI17" s="20"/>
    </row>
    <row r="18" spans="1:40" ht="8.25" customHeight="1" x14ac:dyDescent="0.25">
      <c r="A18" s="13"/>
      <c r="B18" s="31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6"/>
      <c r="AA18" s="14"/>
      <c r="AE18" s="20"/>
      <c r="AI18" s="20"/>
    </row>
    <row r="19" spans="1:40" ht="15.9" customHeight="1" x14ac:dyDescent="0.25">
      <c r="A19" s="13"/>
      <c r="B19" s="251" t="s">
        <v>19</v>
      </c>
      <c r="C19" s="251"/>
      <c r="D19" s="251"/>
      <c r="E19" s="251"/>
      <c r="F19" s="251"/>
      <c r="G19" s="251"/>
      <c r="H19" s="251"/>
      <c r="I19" s="252"/>
      <c r="J19" s="252"/>
      <c r="K19" s="252"/>
      <c r="L19" s="252"/>
      <c r="M19" s="252"/>
      <c r="N19" s="252"/>
      <c r="O19" s="252"/>
      <c r="P19" s="252"/>
      <c r="Q19" s="252"/>
      <c r="R19" s="252"/>
      <c r="S19" s="252"/>
      <c r="T19" s="252"/>
      <c r="U19" s="252"/>
      <c r="V19" s="252"/>
      <c r="W19" s="252"/>
      <c r="X19" s="252"/>
      <c r="Y19" s="252"/>
      <c r="Z19" s="17"/>
      <c r="AA19" s="75"/>
      <c r="AE19" s="20"/>
      <c r="AI19" s="20"/>
    </row>
    <row r="20" spans="1:40" ht="15.9" customHeight="1" x14ac:dyDescent="0.25">
      <c r="A20" s="13"/>
      <c r="B20" s="251" t="s">
        <v>20</v>
      </c>
      <c r="C20" s="251"/>
      <c r="D20" s="251"/>
      <c r="E20" s="251"/>
      <c r="F20" s="251"/>
      <c r="G20" s="251"/>
      <c r="H20" s="251"/>
      <c r="I20" s="166"/>
      <c r="J20" s="166"/>
      <c r="K20" s="166"/>
      <c r="L20" s="166"/>
      <c r="M20" s="166"/>
      <c r="N20" s="166"/>
      <c r="O20" s="166"/>
      <c r="P20" s="166"/>
      <c r="Q20" s="166"/>
      <c r="R20" s="166"/>
      <c r="S20" s="166"/>
      <c r="T20" s="166"/>
      <c r="U20" s="166"/>
      <c r="V20" s="166"/>
      <c r="W20" s="166"/>
      <c r="X20" s="166"/>
      <c r="Y20" s="166"/>
      <c r="Z20" s="17"/>
      <c r="AA20" s="75"/>
      <c r="AE20" s="20"/>
      <c r="AI20" s="20"/>
    </row>
    <row r="21" spans="1:40" ht="7.5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2"/>
      <c r="AA21" s="14"/>
      <c r="AE21" s="20"/>
      <c r="AI21" s="20"/>
    </row>
    <row r="22" spans="1:40" ht="5.25" customHeight="1" x14ac:dyDescent="0.25">
      <c r="F22" s="29"/>
      <c r="G22" s="29"/>
      <c r="H22" s="29"/>
      <c r="I22" s="29"/>
      <c r="J22" s="29"/>
      <c r="K22" s="29"/>
      <c r="L22" s="29"/>
      <c r="M22" s="29"/>
      <c r="T22" s="30"/>
      <c r="U22" s="30"/>
      <c r="AE22" s="20"/>
      <c r="AI22" s="20"/>
      <c r="AM22" s="12"/>
      <c r="AN22" s="12"/>
    </row>
    <row r="23" spans="1:40" ht="15.9" customHeight="1" x14ac:dyDescent="0.25">
      <c r="A23" s="33" t="s">
        <v>2</v>
      </c>
      <c r="B23" s="34" t="s">
        <v>17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21"/>
      <c r="AN23" s="22"/>
    </row>
    <row r="24" spans="1:40" ht="9" customHeight="1" x14ac:dyDescent="0.25">
      <c r="A24" s="18"/>
      <c r="Z24" s="23"/>
    </row>
    <row r="25" spans="1:40" ht="12.75" customHeight="1" x14ac:dyDescent="0.25">
      <c r="A25" s="18"/>
      <c r="Z25" s="23"/>
    </row>
    <row r="26" spans="1:40" ht="12.75" customHeight="1" x14ac:dyDescent="0.25">
      <c r="A26" s="18"/>
      <c r="Z26" s="23"/>
    </row>
    <row r="27" spans="1:40" ht="12.75" customHeight="1" x14ac:dyDescent="0.25">
      <c r="A27" s="18"/>
      <c r="Z27" s="23"/>
    </row>
    <row r="28" spans="1:40" ht="12.75" customHeight="1" x14ac:dyDescent="0.25">
      <c r="A28" s="18"/>
      <c r="Z28" s="23"/>
    </row>
    <row r="29" spans="1:40" ht="12.75" customHeight="1" x14ac:dyDescent="0.25">
      <c r="A29" s="18"/>
      <c r="Z29" s="23"/>
    </row>
    <row r="30" spans="1:40" ht="12.75" customHeight="1" x14ac:dyDescent="0.25">
      <c r="A30" s="18"/>
      <c r="Z30" s="23"/>
    </row>
    <row r="31" spans="1:40" ht="12.75" customHeight="1" x14ac:dyDescent="0.25">
      <c r="A31" s="18"/>
      <c r="Z31" s="23"/>
    </row>
    <row r="32" spans="1:40" ht="12.75" customHeight="1" x14ac:dyDescent="0.25">
      <c r="A32" s="18"/>
      <c r="Z32" s="23"/>
    </row>
    <row r="33" spans="1:34" ht="12.75" customHeight="1" x14ac:dyDescent="0.25">
      <c r="A33" s="18"/>
      <c r="Z33" s="23"/>
    </row>
    <row r="34" spans="1:34" ht="12.75" customHeight="1" x14ac:dyDescent="0.25">
      <c r="A34" s="18"/>
      <c r="Z34" s="23"/>
    </row>
    <row r="35" spans="1:34" ht="12.75" customHeight="1" x14ac:dyDescent="0.25">
      <c r="A35" s="18"/>
      <c r="Z35" s="23"/>
    </row>
    <row r="36" spans="1:34" ht="12.75" customHeight="1" x14ac:dyDescent="0.25">
      <c r="A36" s="18"/>
      <c r="Z36" s="23"/>
    </row>
    <row r="37" spans="1:34" ht="12.75" customHeight="1" x14ac:dyDescent="0.25">
      <c r="A37" s="18"/>
      <c r="Z37" s="23"/>
    </row>
    <row r="38" spans="1:34" ht="12.75" customHeight="1" x14ac:dyDescent="0.25">
      <c r="A38" s="18"/>
      <c r="Z38" s="23"/>
    </row>
    <row r="39" spans="1:34" ht="12.75" customHeight="1" x14ac:dyDescent="0.25">
      <c r="A39" s="18"/>
      <c r="Z39" s="23"/>
    </row>
    <row r="40" spans="1:34" ht="12.75" customHeight="1" x14ac:dyDescent="0.25">
      <c r="A40" s="18"/>
      <c r="Z40" s="23"/>
    </row>
    <row r="41" spans="1:34" ht="12.75" customHeight="1" x14ac:dyDescent="0.25">
      <c r="A41" s="18"/>
      <c r="Z41" s="23"/>
    </row>
    <row r="42" spans="1:34" ht="12.75" customHeight="1" x14ac:dyDescent="0.25">
      <c r="A42" s="18"/>
      <c r="Z42" s="23"/>
    </row>
    <row r="43" spans="1:34" ht="12.75" customHeight="1" x14ac:dyDescent="0.25">
      <c r="A43" s="18"/>
      <c r="Z43" s="23"/>
    </row>
    <row r="44" spans="1:34" ht="12.75" customHeight="1" x14ac:dyDescent="0.25">
      <c r="A44" s="18"/>
      <c r="Z44" s="23"/>
    </row>
    <row r="45" spans="1:34" ht="12.75" customHeight="1" x14ac:dyDescent="0.25">
      <c r="A45" s="18"/>
      <c r="Z45" s="23"/>
    </row>
    <row r="46" spans="1:34" ht="9.75" customHeight="1" thickBot="1" x14ac:dyDescent="0.3">
      <c r="A46" s="18"/>
      <c r="Z46" s="23"/>
    </row>
    <row r="47" spans="1:34" ht="9.75" customHeight="1" x14ac:dyDescent="0.25">
      <c r="A47" s="18"/>
      <c r="Z47" s="23"/>
      <c r="AD47" s="230" t="s">
        <v>16</v>
      </c>
      <c r="AE47" s="232">
        <v>2.6779999999999999</v>
      </c>
      <c r="AF47" s="224"/>
      <c r="AG47" s="235"/>
      <c r="AH47" s="39"/>
    </row>
    <row r="48" spans="1:34" ht="12.75" customHeight="1" thickBot="1" x14ac:dyDescent="0.3">
      <c r="A48" s="18"/>
      <c r="Z48" s="87"/>
      <c r="AD48" s="231"/>
      <c r="AE48" s="233"/>
      <c r="AF48" s="234"/>
      <c r="AG48" s="235"/>
    </row>
    <row r="49" spans="1:34" ht="18.75" customHeight="1" thickBot="1" x14ac:dyDescent="0.3">
      <c r="A49" s="18"/>
      <c r="E49" s="236" t="s">
        <v>11</v>
      </c>
      <c r="F49" s="237"/>
      <c r="G49" s="237"/>
      <c r="H49" s="237"/>
      <c r="I49" s="237"/>
      <c r="J49" s="237"/>
      <c r="K49" s="237"/>
      <c r="L49" s="237"/>
      <c r="M49" s="237"/>
      <c r="N49" s="237"/>
      <c r="O49" s="237"/>
      <c r="P49" s="237"/>
      <c r="Q49" s="237"/>
      <c r="R49" s="237"/>
      <c r="S49" s="237"/>
      <c r="T49" s="237"/>
      <c r="U49" s="238" t="s">
        <v>48</v>
      </c>
      <c r="V49" s="239"/>
      <c r="W49" s="240" t="s">
        <v>12</v>
      </c>
      <c r="X49" s="239"/>
      <c r="Y49" s="241" t="s">
        <v>13</v>
      </c>
      <c r="Z49" s="242"/>
      <c r="AA49" s="82"/>
      <c r="AB49" s="245" t="s">
        <v>46</v>
      </c>
      <c r="AC49" s="246"/>
      <c r="AD49" s="249" t="s">
        <v>14</v>
      </c>
      <c r="AE49" s="222" t="s">
        <v>15</v>
      </c>
      <c r="AF49" s="224"/>
      <c r="AG49" s="224"/>
      <c r="AH49" s="40"/>
    </row>
    <row r="50" spans="1:34" ht="24.9" customHeight="1" thickBot="1" x14ac:dyDescent="0.3">
      <c r="A50" s="5"/>
      <c r="B50" s="41" t="s">
        <v>22</v>
      </c>
      <c r="C50" s="226" t="s">
        <v>10</v>
      </c>
      <c r="D50" s="227"/>
      <c r="E50" s="299">
        <v>6.3E-2</v>
      </c>
      <c r="F50" s="89">
        <v>0.125</v>
      </c>
      <c r="G50" s="42">
        <v>0.25</v>
      </c>
      <c r="H50" s="42">
        <v>0.5</v>
      </c>
      <c r="I50" s="42">
        <v>1</v>
      </c>
      <c r="J50" s="42">
        <v>2</v>
      </c>
      <c r="K50" s="42">
        <v>4</v>
      </c>
      <c r="L50" s="42">
        <v>6.3</v>
      </c>
      <c r="M50" s="42">
        <v>8</v>
      </c>
      <c r="N50" s="42">
        <v>10</v>
      </c>
      <c r="O50" s="42">
        <v>12.5</v>
      </c>
      <c r="P50" s="42">
        <v>14</v>
      </c>
      <c r="Q50" s="74">
        <v>16</v>
      </c>
      <c r="R50" s="74">
        <v>20</v>
      </c>
      <c r="S50" s="42"/>
      <c r="T50" s="74"/>
      <c r="U50" s="180"/>
      <c r="V50" s="182"/>
      <c r="W50" s="181"/>
      <c r="X50" s="182"/>
      <c r="Y50" s="243"/>
      <c r="Z50" s="244"/>
      <c r="AA50" s="82"/>
      <c r="AB50" s="247"/>
      <c r="AC50" s="248"/>
      <c r="AD50" s="250"/>
      <c r="AE50" s="223"/>
      <c r="AF50" s="225"/>
      <c r="AG50" s="224"/>
    </row>
    <row r="51" spans="1:34" ht="24.9" customHeight="1" x14ac:dyDescent="0.25">
      <c r="A51" s="5"/>
      <c r="B51" s="43">
        <v>1</v>
      </c>
      <c r="C51" s="300" t="s">
        <v>71</v>
      </c>
      <c r="D51" s="301"/>
      <c r="E51" s="302">
        <v>6.8</v>
      </c>
      <c r="F51" s="303">
        <v>9</v>
      </c>
      <c r="G51" s="304">
        <v>12.8</v>
      </c>
      <c r="H51" s="304">
        <v>17.2</v>
      </c>
      <c r="I51" s="304">
        <v>23.1</v>
      </c>
      <c r="J51" s="304">
        <v>33.1</v>
      </c>
      <c r="K51" s="304">
        <v>46.7</v>
      </c>
      <c r="L51" s="304">
        <v>60.4</v>
      </c>
      <c r="M51" s="304">
        <v>72.599999999999994</v>
      </c>
      <c r="N51" s="304">
        <v>83.5</v>
      </c>
      <c r="O51" s="304">
        <v>92.9</v>
      </c>
      <c r="P51" s="304">
        <v>95.8</v>
      </c>
      <c r="Q51" s="310">
        <v>100</v>
      </c>
      <c r="R51" s="304"/>
      <c r="S51" s="305"/>
      <c r="T51" s="305"/>
      <c r="U51" s="306">
        <v>172</v>
      </c>
      <c r="V51" s="307"/>
      <c r="W51" s="308">
        <v>4.18</v>
      </c>
      <c r="X51" s="309"/>
      <c r="Y51" s="228">
        <f>IF(W51&lt;&gt;0,AE51,"")</f>
        <v>2.6310249404346546</v>
      </c>
      <c r="Z51" s="229"/>
      <c r="AA51" s="80"/>
      <c r="AB51" s="196">
        <f>(100*W51)/(100-W51)</f>
        <v>4.3623460655395538</v>
      </c>
      <c r="AC51" s="197"/>
      <c r="AD51" s="67">
        <f>(0.25*(100-O51)+2.3*(O51-H51)+12*(H51-E51)+150*(E51))/100</f>
        <v>13.206849999999999</v>
      </c>
      <c r="AE51" s="68">
        <f>(AB51*$AE$47)/(2.65*(AD51)^(1/5))</f>
        <v>2.6310249404346546</v>
      </c>
      <c r="AF51" s="29"/>
      <c r="AG51" s="66"/>
    </row>
    <row r="52" spans="1:34" ht="24.9" customHeight="1" x14ac:dyDescent="0.25">
      <c r="A52" s="5"/>
      <c r="B52" s="44">
        <v>2</v>
      </c>
      <c r="C52" s="295"/>
      <c r="D52" s="296"/>
      <c r="E52" s="107"/>
      <c r="F52" s="108"/>
      <c r="G52" s="109"/>
      <c r="H52" s="109"/>
      <c r="I52" s="109"/>
      <c r="J52" s="109"/>
      <c r="K52" s="109"/>
      <c r="L52" s="109"/>
      <c r="M52" s="109"/>
      <c r="N52" s="109"/>
      <c r="O52" s="109"/>
      <c r="P52" s="109"/>
      <c r="Q52" s="110"/>
      <c r="R52" s="109"/>
      <c r="S52" s="106"/>
      <c r="T52" s="106"/>
      <c r="U52" s="291"/>
      <c r="V52" s="292"/>
      <c r="W52" s="293"/>
      <c r="X52" s="294"/>
      <c r="Y52" s="217" t="str">
        <f>IF(W52&lt;&gt;0,AE52,"")</f>
        <v/>
      </c>
      <c r="Z52" s="218"/>
      <c r="AA52" s="80"/>
      <c r="AB52" s="196">
        <f>(100*W52)/(100-W52)</f>
        <v>0</v>
      </c>
      <c r="AC52" s="197"/>
      <c r="AD52" s="67">
        <f t="shared" ref="AD52:AD58" si="0">(0.25*(100-O52)+2.3*(O52-H52)+12*(H52-E52)+150*(E52))/100</f>
        <v>0.25</v>
      </c>
      <c r="AE52" s="68">
        <f t="shared" ref="AE52:AE58" si="1">(AB52*$AE$47)/(2.65*(AD52)^(1/5))</f>
        <v>0</v>
      </c>
      <c r="AF52" s="29"/>
      <c r="AG52" s="66"/>
    </row>
    <row r="53" spans="1:34" ht="24.9" customHeight="1" x14ac:dyDescent="0.25">
      <c r="A53" s="5"/>
      <c r="B53" s="44">
        <v>3</v>
      </c>
      <c r="C53" s="174"/>
      <c r="D53" s="219"/>
      <c r="E53" s="90"/>
      <c r="F53" s="91"/>
      <c r="G53" s="91"/>
      <c r="H53" s="92"/>
      <c r="I53" s="92"/>
      <c r="J53" s="92"/>
      <c r="K53" s="92"/>
      <c r="L53" s="92"/>
      <c r="M53" s="92"/>
      <c r="N53" s="92"/>
      <c r="O53" s="92"/>
      <c r="P53" s="92"/>
      <c r="Q53" s="112"/>
      <c r="R53" s="92"/>
      <c r="S53" s="92"/>
      <c r="T53" s="93"/>
      <c r="U53" s="171"/>
      <c r="V53" s="172"/>
      <c r="W53" s="220"/>
      <c r="X53" s="221"/>
      <c r="Y53" s="217" t="str">
        <f t="shared" ref="Y53:Y54" si="2">IF(W53&lt;&gt;0,AE53,"")</f>
        <v/>
      </c>
      <c r="Z53" s="218"/>
      <c r="AA53" s="80"/>
      <c r="AB53" s="196">
        <f>(100*W53)/(100-W53)</f>
        <v>0</v>
      </c>
      <c r="AC53" s="197"/>
      <c r="AD53" s="67">
        <f t="shared" si="0"/>
        <v>0.25</v>
      </c>
      <c r="AE53" s="68">
        <f t="shared" si="1"/>
        <v>0</v>
      </c>
      <c r="AF53" s="29"/>
      <c r="AG53" s="66"/>
    </row>
    <row r="54" spans="1:34" ht="24.9" customHeight="1" thickBot="1" x14ac:dyDescent="0.3">
      <c r="A54" s="5"/>
      <c r="B54" s="45">
        <v>4</v>
      </c>
      <c r="C54" s="186"/>
      <c r="D54" s="207"/>
      <c r="E54" s="94"/>
      <c r="F54" s="95"/>
      <c r="G54" s="95"/>
      <c r="H54" s="96"/>
      <c r="I54" s="96"/>
      <c r="J54" s="96"/>
      <c r="K54" s="96"/>
      <c r="L54" s="96"/>
      <c r="M54" s="96"/>
      <c r="N54" s="96"/>
      <c r="O54" s="96"/>
      <c r="P54" s="96"/>
      <c r="Q54" s="113"/>
      <c r="R54" s="96"/>
      <c r="S54" s="96"/>
      <c r="T54" s="97"/>
      <c r="U54" s="208"/>
      <c r="V54" s="209"/>
      <c r="W54" s="210"/>
      <c r="X54" s="211"/>
      <c r="Y54" s="212" t="str">
        <f t="shared" si="2"/>
        <v/>
      </c>
      <c r="Z54" s="213"/>
      <c r="AA54" s="80"/>
      <c r="AB54" s="196">
        <f>(100*W54)/(100-W54)</f>
        <v>0</v>
      </c>
      <c r="AC54" s="197"/>
      <c r="AD54" s="67">
        <f t="shared" si="0"/>
        <v>0.25</v>
      </c>
      <c r="AE54" s="68">
        <f t="shared" si="1"/>
        <v>0</v>
      </c>
      <c r="AF54" s="29"/>
      <c r="AG54" s="66"/>
    </row>
    <row r="55" spans="1:34" ht="10.5" customHeight="1" thickBot="1" x14ac:dyDescent="0.3">
      <c r="A55" s="5"/>
      <c r="B55" s="1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114"/>
      <c r="R55" s="46"/>
      <c r="S55" s="46"/>
      <c r="T55" s="46"/>
      <c r="U55" s="46"/>
      <c r="V55" s="46"/>
      <c r="W55" s="88"/>
      <c r="Z55" s="70"/>
      <c r="AB55" s="85"/>
      <c r="AC55" s="86"/>
      <c r="AD55" s="67"/>
      <c r="AE55" s="68"/>
      <c r="AF55" s="29"/>
      <c r="AG55" s="66"/>
    </row>
    <row r="56" spans="1:34" ht="24.75" hidden="1" customHeight="1" x14ac:dyDescent="0.25">
      <c r="A56" s="5"/>
      <c r="B56" s="214" t="s">
        <v>8</v>
      </c>
      <c r="C56" s="215"/>
      <c r="D56" s="216"/>
      <c r="E56" s="47"/>
      <c r="F56" s="47"/>
      <c r="G56" s="47"/>
      <c r="H56" s="47"/>
      <c r="I56" s="47"/>
      <c r="J56" s="47"/>
      <c r="K56" s="47"/>
      <c r="L56" s="47"/>
      <c r="M56" s="47">
        <v>10</v>
      </c>
      <c r="N56" s="47">
        <v>10</v>
      </c>
      <c r="O56" s="47"/>
      <c r="P56" s="47"/>
      <c r="Q56" s="115">
        <v>50</v>
      </c>
      <c r="R56" s="47"/>
      <c r="S56" s="47">
        <v>70</v>
      </c>
      <c r="T56" s="47"/>
      <c r="U56" s="47"/>
      <c r="V56" s="47"/>
      <c r="W56" s="47"/>
      <c r="X56" s="48"/>
      <c r="Y56" s="49">
        <v>4.5</v>
      </c>
      <c r="Z56" s="49"/>
      <c r="AA56" s="29"/>
      <c r="AB56" s="85"/>
      <c r="AC56" s="86"/>
      <c r="AD56" s="67">
        <f t="shared" si="0"/>
        <v>0.25</v>
      </c>
      <c r="AE56" s="68">
        <f t="shared" si="1"/>
        <v>0</v>
      </c>
      <c r="AF56" s="29"/>
      <c r="AG56" s="66"/>
    </row>
    <row r="57" spans="1:34" ht="18.75" customHeight="1" x14ac:dyDescent="0.25">
      <c r="A57" s="5"/>
      <c r="B57" s="188" t="s">
        <v>7</v>
      </c>
      <c r="C57" s="189"/>
      <c r="D57" s="190"/>
      <c r="E57" s="98">
        <f t="shared" ref="E57:T57" si="3">IF(E51&lt;&gt;0,AVERAGE(E51:E54),"")</f>
        <v>6.8</v>
      </c>
      <c r="F57" s="98">
        <f t="shared" si="3"/>
        <v>9</v>
      </c>
      <c r="G57" s="98">
        <f t="shared" si="3"/>
        <v>12.8</v>
      </c>
      <c r="H57" s="98">
        <f t="shared" si="3"/>
        <v>17.2</v>
      </c>
      <c r="I57" s="98">
        <f t="shared" si="3"/>
        <v>23.1</v>
      </c>
      <c r="J57" s="98">
        <f t="shared" si="3"/>
        <v>33.1</v>
      </c>
      <c r="K57" s="98">
        <f t="shared" si="3"/>
        <v>46.7</v>
      </c>
      <c r="L57" s="98">
        <f t="shared" si="3"/>
        <v>60.4</v>
      </c>
      <c r="M57" s="98">
        <f t="shared" si="3"/>
        <v>72.599999999999994</v>
      </c>
      <c r="N57" s="98">
        <f t="shared" si="3"/>
        <v>83.5</v>
      </c>
      <c r="O57" s="98">
        <f t="shared" si="3"/>
        <v>92.9</v>
      </c>
      <c r="P57" s="98">
        <f t="shared" si="3"/>
        <v>95.8</v>
      </c>
      <c r="Q57" s="111">
        <f t="shared" si="3"/>
        <v>100</v>
      </c>
      <c r="R57" s="98"/>
      <c r="S57" s="98" t="str">
        <f t="shared" si="3"/>
        <v/>
      </c>
      <c r="T57" s="99" t="str">
        <f t="shared" si="3"/>
        <v/>
      </c>
      <c r="U57" s="191">
        <f>IF(U51&lt;&gt;0,AVERAGE(U51:V54),"")</f>
        <v>172</v>
      </c>
      <c r="V57" s="192"/>
      <c r="W57" s="193">
        <f>IF(W51&lt;&gt;0,AVERAGE(W51:X54),"")</f>
        <v>4.18</v>
      </c>
      <c r="X57" s="194"/>
      <c r="Y57" s="193">
        <f>IF(W51&lt;&gt;0,AVERAGE(Y51:Z54),"")</f>
        <v>2.6310249404346546</v>
      </c>
      <c r="Z57" s="195"/>
      <c r="AA57" s="66"/>
      <c r="AB57" s="196">
        <f>(100*W57)/(100-W57)</f>
        <v>4.3623460655395538</v>
      </c>
      <c r="AC57" s="197"/>
      <c r="AD57" s="67">
        <f t="shared" si="0"/>
        <v>13.206849999999999</v>
      </c>
      <c r="AE57" s="68">
        <f t="shared" si="1"/>
        <v>2.6310249404346546</v>
      </c>
      <c r="AF57" s="29"/>
      <c r="AG57" s="66"/>
    </row>
    <row r="58" spans="1:34" ht="21" customHeight="1" x14ac:dyDescent="0.25">
      <c r="A58" s="5"/>
      <c r="B58" s="198" t="s">
        <v>9</v>
      </c>
      <c r="C58" s="199"/>
      <c r="D58" s="200"/>
      <c r="E58" s="100">
        <v>6.9</v>
      </c>
      <c r="F58" s="100">
        <v>9</v>
      </c>
      <c r="G58" s="100">
        <v>12</v>
      </c>
      <c r="H58" s="100">
        <v>16</v>
      </c>
      <c r="I58" s="100">
        <v>22</v>
      </c>
      <c r="J58" s="100">
        <v>32</v>
      </c>
      <c r="K58" s="100">
        <v>47</v>
      </c>
      <c r="L58" s="100">
        <v>61</v>
      </c>
      <c r="M58" s="100">
        <v>69</v>
      </c>
      <c r="N58" s="100">
        <v>80</v>
      </c>
      <c r="O58" s="100">
        <v>92</v>
      </c>
      <c r="P58" s="100">
        <v>98</v>
      </c>
      <c r="Q58" s="116">
        <v>100</v>
      </c>
      <c r="R58" s="100"/>
      <c r="S58" s="100"/>
      <c r="T58" s="101"/>
      <c r="U58" s="201"/>
      <c r="V58" s="202"/>
      <c r="W58" s="203">
        <v>4.4000000000000004</v>
      </c>
      <c r="X58" s="204"/>
      <c r="Y58" s="205">
        <f>AE58</f>
        <v>2.7757408663172658</v>
      </c>
      <c r="Z58" s="206"/>
      <c r="AA58" s="66"/>
      <c r="AB58" s="196">
        <f>(100*W58)/(100-W58)</f>
        <v>4.6025104602510467</v>
      </c>
      <c r="AC58" s="197"/>
      <c r="AD58" s="67">
        <f t="shared" si="0"/>
        <v>13.21</v>
      </c>
      <c r="AE58" s="68">
        <f t="shared" si="1"/>
        <v>2.7757408663172658</v>
      </c>
      <c r="AF58" s="29"/>
      <c r="AG58" s="66"/>
    </row>
    <row r="59" spans="1:34" ht="13.5" customHeight="1" x14ac:dyDescent="0.25">
      <c r="A59" s="5"/>
      <c r="B59" s="50"/>
      <c r="C59" s="51" t="s">
        <v>23</v>
      </c>
      <c r="D59" s="52"/>
      <c r="E59" s="92">
        <f>E58+2</f>
        <v>8.9</v>
      </c>
      <c r="F59" s="92"/>
      <c r="G59" s="92"/>
      <c r="H59" s="92"/>
      <c r="I59" s="92"/>
      <c r="J59" s="92">
        <f>J58+6</f>
        <v>38</v>
      </c>
      <c r="K59" s="92"/>
      <c r="L59" s="92">
        <f>L58+7</f>
        <v>68</v>
      </c>
      <c r="M59" s="92"/>
      <c r="N59" s="92"/>
      <c r="O59" s="92"/>
      <c r="P59" s="92"/>
      <c r="Q59" s="92"/>
      <c r="R59" s="92"/>
      <c r="S59" s="92"/>
      <c r="T59" s="93"/>
      <c r="U59" s="171"/>
      <c r="V59" s="172"/>
      <c r="W59" s="173">
        <f>W58+0.5</f>
        <v>4.9000000000000004</v>
      </c>
      <c r="X59" s="172"/>
      <c r="Y59" s="174"/>
      <c r="Z59" s="175"/>
      <c r="AA59" s="83"/>
      <c r="AB59" s="71"/>
      <c r="AC59" s="69"/>
      <c r="AD59" s="176"/>
      <c r="AE59" s="178" t="s">
        <v>47</v>
      </c>
      <c r="AF59" s="29"/>
      <c r="AG59" s="66"/>
    </row>
    <row r="60" spans="1:34" ht="13.5" customHeight="1" thickBot="1" x14ac:dyDescent="0.3">
      <c r="A60" s="5"/>
      <c r="B60" s="180" t="s">
        <v>24</v>
      </c>
      <c r="C60" s="181"/>
      <c r="D60" s="182"/>
      <c r="E60" s="102">
        <f>E58-2</f>
        <v>4.9000000000000004</v>
      </c>
      <c r="F60" s="102"/>
      <c r="G60" s="103"/>
      <c r="H60" s="103"/>
      <c r="I60" s="103"/>
      <c r="J60" s="102">
        <f>J58-6</f>
        <v>26</v>
      </c>
      <c r="K60" s="103"/>
      <c r="L60" s="102">
        <f>L58-7</f>
        <v>54</v>
      </c>
      <c r="M60" s="102"/>
      <c r="N60" s="103"/>
      <c r="O60" s="103"/>
      <c r="P60" s="103"/>
      <c r="Q60" s="102"/>
      <c r="R60" s="103"/>
      <c r="S60" s="103"/>
      <c r="T60" s="104"/>
      <c r="U60" s="183"/>
      <c r="V60" s="184"/>
      <c r="W60" s="185">
        <f>W58-0.5</f>
        <v>3.9000000000000004</v>
      </c>
      <c r="X60" s="184"/>
      <c r="Y60" s="186"/>
      <c r="Z60" s="187"/>
      <c r="AA60" s="84"/>
      <c r="AB60" s="72"/>
      <c r="AC60" s="73"/>
      <c r="AD60" s="177"/>
      <c r="AE60" s="179"/>
      <c r="AF60" s="29"/>
      <c r="AG60" s="66"/>
    </row>
    <row r="61" spans="1:34" ht="6.75" customHeight="1" x14ac:dyDescent="0.25">
      <c r="A61" s="24"/>
      <c r="B61" s="25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53"/>
    </row>
    <row r="62" spans="1:34" ht="8.25" customHeight="1" x14ac:dyDescent="0.25"/>
    <row r="63" spans="1:34" ht="34.5" customHeight="1" x14ac:dyDescent="0.25">
      <c r="A63" s="54" t="s">
        <v>4</v>
      </c>
      <c r="B63" s="55" t="s">
        <v>21</v>
      </c>
      <c r="C63" s="56"/>
      <c r="D63" s="56"/>
      <c r="E63" s="56"/>
      <c r="F63" s="57"/>
      <c r="G63" s="57"/>
      <c r="H63" s="57"/>
      <c r="I63" s="9"/>
      <c r="J63" s="9"/>
      <c r="K63" s="9"/>
      <c r="L63" s="9"/>
      <c r="M63" s="9"/>
      <c r="N63" s="9"/>
      <c r="O63" s="9"/>
      <c r="P63" s="9"/>
      <c r="Q63" s="57"/>
      <c r="R63" s="9"/>
      <c r="S63" s="9"/>
      <c r="T63" s="9"/>
      <c r="U63" s="148"/>
      <c r="V63" s="148"/>
      <c r="W63" s="148"/>
      <c r="X63" s="148"/>
      <c r="Y63" s="148"/>
      <c r="Z63" s="149"/>
      <c r="AA63" s="81"/>
      <c r="AB63" s="58"/>
      <c r="AC63" s="58"/>
      <c r="AD63" s="59"/>
    </row>
    <row r="64" spans="1:34" ht="27" customHeight="1" x14ac:dyDescent="0.25">
      <c r="A64" s="150" t="s">
        <v>49</v>
      </c>
      <c r="B64" s="151"/>
      <c r="C64" s="151"/>
      <c r="D64" s="151"/>
      <c r="E64" s="151"/>
      <c r="F64" s="151"/>
      <c r="G64" s="151"/>
      <c r="H64" s="151"/>
      <c r="I64" s="151"/>
      <c r="J64" s="151"/>
      <c r="K64" s="151"/>
      <c r="L64" s="151"/>
      <c r="M64" s="151"/>
      <c r="N64" s="151"/>
      <c r="O64" s="151"/>
      <c r="P64" s="151"/>
      <c r="Q64" s="152"/>
      <c r="R64" s="127" t="s">
        <v>32</v>
      </c>
      <c r="S64" s="128"/>
      <c r="T64" s="129"/>
      <c r="U64" s="153" t="s">
        <v>60</v>
      </c>
      <c r="V64" s="154"/>
      <c r="W64" s="154"/>
      <c r="X64" s="154"/>
      <c r="Y64" s="154"/>
      <c r="Z64" s="155"/>
      <c r="AA64" s="76"/>
      <c r="AB64" s="60"/>
      <c r="AC64" s="60"/>
      <c r="AD64" s="59"/>
    </row>
    <row r="65" spans="1:30" ht="15.75" customHeight="1" x14ac:dyDescent="0.25">
      <c r="A65" s="156" t="s">
        <v>59</v>
      </c>
      <c r="B65" s="157"/>
      <c r="C65" s="157"/>
      <c r="D65" s="157"/>
      <c r="E65" s="157"/>
      <c r="F65" s="157"/>
      <c r="G65" s="157"/>
      <c r="H65" s="157"/>
      <c r="I65" s="157"/>
      <c r="J65" s="157"/>
      <c r="K65" s="157"/>
      <c r="L65" s="157"/>
      <c r="M65" s="157"/>
      <c r="N65" s="157"/>
      <c r="O65" s="157"/>
      <c r="P65" s="157"/>
      <c r="Q65" s="158"/>
      <c r="R65" s="127" t="s">
        <v>25</v>
      </c>
      <c r="S65" s="128"/>
      <c r="T65" s="129"/>
      <c r="U65" s="162" t="s">
        <v>61</v>
      </c>
      <c r="V65" s="163"/>
      <c r="W65" s="163"/>
      <c r="X65" s="163"/>
      <c r="Y65" s="163"/>
      <c r="Z65" s="164"/>
      <c r="AA65" s="76"/>
      <c r="AB65" s="60"/>
      <c r="AC65" s="60"/>
      <c r="AD65" s="59"/>
    </row>
    <row r="66" spans="1:30" ht="9" customHeight="1" x14ac:dyDescent="0.25">
      <c r="A66" s="156"/>
      <c r="B66" s="157"/>
      <c r="C66" s="157"/>
      <c r="D66" s="157"/>
      <c r="E66" s="157"/>
      <c r="F66" s="157"/>
      <c r="G66" s="157"/>
      <c r="H66" s="157"/>
      <c r="I66" s="157"/>
      <c r="J66" s="157"/>
      <c r="K66" s="157"/>
      <c r="L66" s="157"/>
      <c r="M66" s="157"/>
      <c r="N66" s="157"/>
      <c r="O66" s="157"/>
      <c r="P66" s="157"/>
      <c r="Q66" s="158"/>
      <c r="R66" s="127"/>
      <c r="S66" s="128"/>
      <c r="T66" s="129"/>
      <c r="U66" s="165"/>
      <c r="V66" s="166"/>
      <c r="W66" s="166"/>
      <c r="X66" s="166"/>
      <c r="Y66" s="166"/>
      <c r="Z66" s="167"/>
      <c r="AA66" s="76"/>
      <c r="AB66" s="60"/>
      <c r="AC66" s="60"/>
      <c r="AD66" s="59"/>
    </row>
    <row r="67" spans="1:30" ht="15.9" customHeight="1" x14ac:dyDescent="0.25">
      <c r="A67" s="159"/>
      <c r="B67" s="160"/>
      <c r="C67" s="160"/>
      <c r="D67" s="160"/>
      <c r="E67" s="160"/>
      <c r="F67" s="160"/>
      <c r="G67" s="160"/>
      <c r="H67" s="160"/>
      <c r="I67" s="160"/>
      <c r="J67" s="160"/>
      <c r="K67" s="160"/>
      <c r="L67" s="160"/>
      <c r="M67" s="160"/>
      <c r="N67" s="160"/>
      <c r="O67" s="160"/>
      <c r="P67" s="160"/>
      <c r="Q67" s="161"/>
      <c r="R67" s="127"/>
      <c r="S67" s="128"/>
      <c r="T67" s="129"/>
      <c r="U67" s="165"/>
      <c r="V67" s="166"/>
      <c r="W67" s="166"/>
      <c r="X67" s="166"/>
      <c r="Y67" s="166"/>
      <c r="Z67" s="167"/>
      <c r="AA67" s="76"/>
      <c r="AB67" s="60"/>
      <c r="AC67" s="60"/>
      <c r="AD67" s="59"/>
    </row>
    <row r="68" spans="1:30" ht="15.9" customHeight="1" x14ac:dyDescent="0.25">
      <c r="A68" s="61" t="s">
        <v>3</v>
      </c>
      <c r="B68" s="62" t="s">
        <v>5</v>
      </c>
      <c r="C68" s="14"/>
      <c r="D68" s="14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4"/>
      <c r="R68" s="127"/>
      <c r="S68" s="128"/>
      <c r="T68" s="129"/>
      <c r="U68" s="168"/>
      <c r="V68" s="169"/>
      <c r="W68" s="169"/>
      <c r="X68" s="169"/>
      <c r="Y68" s="169"/>
      <c r="Z68" s="170"/>
      <c r="AA68" s="76"/>
      <c r="AB68" s="60"/>
      <c r="AC68" s="60"/>
      <c r="AD68" s="59"/>
    </row>
    <row r="69" spans="1:30" ht="15.75" customHeight="1" x14ac:dyDescent="0.25">
      <c r="A69" s="121"/>
      <c r="B69" s="122"/>
      <c r="C69" s="122"/>
      <c r="D69" s="122"/>
      <c r="E69" s="122"/>
      <c r="F69" s="122"/>
      <c r="G69" s="122"/>
      <c r="H69" s="122"/>
      <c r="I69" s="122"/>
      <c r="J69" s="122"/>
      <c r="K69" s="122"/>
      <c r="L69" s="122"/>
      <c r="M69" s="122"/>
      <c r="N69" s="122"/>
      <c r="O69" s="122"/>
      <c r="P69" s="122"/>
      <c r="Q69" s="123"/>
      <c r="R69" s="127" t="s">
        <v>26</v>
      </c>
      <c r="S69" s="128"/>
      <c r="T69" s="129"/>
      <c r="U69" s="133"/>
      <c r="V69" s="134"/>
      <c r="W69" s="134"/>
      <c r="X69" s="134"/>
      <c r="Y69" s="134"/>
      <c r="Z69" s="135"/>
      <c r="AA69" s="77"/>
      <c r="AB69" s="65"/>
      <c r="AC69" s="65"/>
      <c r="AD69" s="59"/>
    </row>
    <row r="70" spans="1:30" ht="15.9" customHeight="1" x14ac:dyDescent="0.25">
      <c r="A70" s="121"/>
      <c r="B70" s="122"/>
      <c r="C70" s="122"/>
      <c r="D70" s="122"/>
      <c r="E70" s="122"/>
      <c r="F70" s="122"/>
      <c r="G70" s="122"/>
      <c r="H70" s="122"/>
      <c r="I70" s="122"/>
      <c r="J70" s="122"/>
      <c r="K70" s="122"/>
      <c r="L70" s="122"/>
      <c r="M70" s="122"/>
      <c r="N70" s="122"/>
      <c r="O70" s="122"/>
      <c r="P70" s="122"/>
      <c r="Q70" s="123"/>
      <c r="R70" s="127"/>
      <c r="S70" s="128"/>
      <c r="T70" s="129"/>
      <c r="U70" s="136"/>
      <c r="V70" s="137"/>
      <c r="W70" s="137"/>
      <c r="X70" s="137"/>
      <c r="Y70" s="137"/>
      <c r="Z70" s="138"/>
      <c r="AA70" s="77"/>
      <c r="AB70" s="65"/>
      <c r="AC70" s="65"/>
      <c r="AD70" s="59"/>
    </row>
    <row r="71" spans="1:30" ht="15.9" customHeight="1" x14ac:dyDescent="0.25">
      <c r="A71" s="121"/>
      <c r="B71" s="122"/>
      <c r="C71" s="122"/>
      <c r="D71" s="122"/>
      <c r="E71" s="122"/>
      <c r="F71" s="122"/>
      <c r="G71" s="122"/>
      <c r="H71" s="122"/>
      <c r="I71" s="122"/>
      <c r="J71" s="122"/>
      <c r="K71" s="122"/>
      <c r="L71" s="122"/>
      <c r="M71" s="122"/>
      <c r="N71" s="122"/>
      <c r="O71" s="122"/>
      <c r="P71" s="122"/>
      <c r="Q71" s="123"/>
      <c r="R71" s="127"/>
      <c r="S71" s="128"/>
      <c r="T71" s="129"/>
      <c r="U71" s="136"/>
      <c r="V71" s="137"/>
      <c r="W71" s="137"/>
      <c r="X71" s="137"/>
      <c r="Y71" s="137"/>
      <c r="Z71" s="138"/>
      <c r="AA71" s="77"/>
      <c r="AB71" s="65"/>
      <c r="AC71" s="65"/>
      <c r="AD71" s="59"/>
    </row>
    <row r="72" spans="1:30" ht="15.75" customHeight="1" x14ac:dyDescent="0.25">
      <c r="A72" s="124"/>
      <c r="B72" s="125"/>
      <c r="C72" s="125"/>
      <c r="D72" s="125"/>
      <c r="E72" s="125"/>
      <c r="F72" s="125"/>
      <c r="G72" s="125"/>
      <c r="H72" s="125"/>
      <c r="I72" s="125"/>
      <c r="J72" s="125"/>
      <c r="K72" s="125"/>
      <c r="L72" s="125"/>
      <c r="M72" s="125"/>
      <c r="N72" s="125"/>
      <c r="O72" s="125"/>
      <c r="P72" s="125"/>
      <c r="Q72" s="126"/>
      <c r="R72" s="130"/>
      <c r="S72" s="131"/>
      <c r="T72" s="132"/>
      <c r="U72" s="139"/>
      <c r="V72" s="140"/>
      <c r="W72" s="140"/>
      <c r="X72" s="140"/>
      <c r="Y72" s="140"/>
      <c r="Z72" s="141"/>
      <c r="AA72" s="77"/>
      <c r="AB72" s="65"/>
      <c r="AC72" s="65"/>
      <c r="AD72" s="59"/>
    </row>
  </sheetData>
  <mergeCells count="106">
    <mergeCell ref="A69:Q72"/>
    <mergeCell ref="R69:T72"/>
    <mergeCell ref="U69:Z72"/>
    <mergeCell ref="U51:V51"/>
    <mergeCell ref="W51:X51"/>
    <mergeCell ref="C51:D51"/>
    <mergeCell ref="U63:Z63"/>
    <mergeCell ref="A64:Q64"/>
    <mergeCell ref="R64:T64"/>
    <mergeCell ref="U64:Z64"/>
    <mergeCell ref="A65:Q67"/>
    <mergeCell ref="R65:T68"/>
    <mergeCell ref="U65:Z68"/>
    <mergeCell ref="U59:V59"/>
    <mergeCell ref="W59:X59"/>
    <mergeCell ref="Y59:Z59"/>
    <mergeCell ref="AD59:AD60"/>
    <mergeCell ref="AE59:AE60"/>
    <mergeCell ref="B60:D60"/>
    <mergeCell ref="U60:V60"/>
    <mergeCell ref="W60:X60"/>
    <mergeCell ref="Y60:Z60"/>
    <mergeCell ref="B57:D57"/>
    <mergeCell ref="U57:V57"/>
    <mergeCell ref="W57:X57"/>
    <mergeCell ref="Y57:Z57"/>
    <mergeCell ref="AB57:AC57"/>
    <mergeCell ref="B58:D58"/>
    <mergeCell ref="U58:V58"/>
    <mergeCell ref="W58:X58"/>
    <mergeCell ref="Y58:Z58"/>
    <mergeCell ref="AB58:AC58"/>
    <mergeCell ref="C54:D54"/>
    <mergeCell ref="U54:V54"/>
    <mergeCell ref="W54:X54"/>
    <mergeCell ref="Y54:Z54"/>
    <mergeCell ref="AB54:AC54"/>
    <mergeCell ref="B56:D56"/>
    <mergeCell ref="C52:D52"/>
    <mergeCell ref="U52:V52"/>
    <mergeCell ref="W52:X52"/>
    <mergeCell ref="Y52:Z52"/>
    <mergeCell ref="AB52:AC52"/>
    <mergeCell ref="C53:D53"/>
    <mergeCell ref="U53:V53"/>
    <mergeCell ref="W53:X53"/>
    <mergeCell ref="Y53:Z53"/>
    <mergeCell ref="AB53:AC53"/>
    <mergeCell ref="AE49:AE50"/>
    <mergeCell ref="AF49:AF50"/>
    <mergeCell ref="AG49:AG50"/>
    <mergeCell ref="C50:D50"/>
    <mergeCell ref="Y51:Z51"/>
    <mergeCell ref="AB51:AC51"/>
    <mergeCell ref="AD47:AD48"/>
    <mergeCell ref="AE47:AE48"/>
    <mergeCell ref="AF47:AF48"/>
    <mergeCell ref="AG47:AG48"/>
    <mergeCell ref="E49:T49"/>
    <mergeCell ref="U49:V50"/>
    <mergeCell ref="W49:X50"/>
    <mergeCell ref="Y49:Z50"/>
    <mergeCell ref="AB49:AC50"/>
    <mergeCell ref="AD49:AD50"/>
    <mergeCell ref="AE15:AJ15"/>
    <mergeCell ref="AE16:AJ16"/>
    <mergeCell ref="B19:H19"/>
    <mergeCell ref="I19:Y19"/>
    <mergeCell ref="B20:H20"/>
    <mergeCell ref="I20:Y20"/>
    <mergeCell ref="AE13:AJ13"/>
    <mergeCell ref="B14:F14"/>
    <mergeCell ref="G14:L14"/>
    <mergeCell ref="M14:R14"/>
    <mergeCell ref="S14:Y14"/>
    <mergeCell ref="AE14:AJ14"/>
    <mergeCell ref="B12:F12"/>
    <mergeCell ref="G12:L12"/>
    <mergeCell ref="M12:R12"/>
    <mergeCell ref="S12:Y12"/>
    <mergeCell ref="G13:L13"/>
    <mergeCell ref="M13:R13"/>
    <mergeCell ref="S13:Y13"/>
    <mergeCell ref="AE10:AI10"/>
    <mergeCell ref="B11:F11"/>
    <mergeCell ref="G11:L11"/>
    <mergeCell ref="M11:R11"/>
    <mergeCell ref="S11:Y11"/>
    <mergeCell ref="AE11:AI11"/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horizontalDpi="300" verticalDpi="300" r:id="rId1"/>
  <headerFooter alignWithMargins="0">
    <oddFooter>&amp;RDG-Q / RE CFE du 28/06/06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687C4-895B-4617-9BE3-DD1B27880726}">
  <sheetPr>
    <pageSetUpPr fitToPage="1"/>
  </sheetPr>
  <dimension ref="A1:AN72"/>
  <sheetViews>
    <sheetView zoomScaleNormal="100" workbookViewId="0">
      <selection activeCell="C51" sqref="C51:X52"/>
    </sheetView>
  </sheetViews>
  <sheetFormatPr baseColWidth="10" defaultColWidth="11.44140625" defaultRowHeight="12.75" customHeight="1" x14ac:dyDescent="0.25"/>
  <cols>
    <col min="1" max="2" width="5.109375" style="29" customWidth="1"/>
    <col min="3" max="27" width="5.109375" style="1" customWidth="1"/>
    <col min="28" max="41" width="11.44140625" style="1" customWidth="1"/>
    <col min="42" max="16384" width="11.44140625" style="1"/>
  </cols>
  <sheetData>
    <row r="1" spans="1:36" ht="12.75" customHeight="1" x14ac:dyDescent="0.25">
      <c r="A1" s="260"/>
      <c r="B1" s="261"/>
      <c r="C1" s="261"/>
      <c r="D1" s="261"/>
      <c r="E1" s="261"/>
      <c r="F1" s="262"/>
      <c r="G1" s="269" t="s">
        <v>34</v>
      </c>
      <c r="H1" s="270"/>
      <c r="I1" s="270"/>
      <c r="J1" s="270"/>
      <c r="K1" s="270"/>
      <c r="L1" s="270"/>
      <c r="M1" s="270"/>
      <c r="N1" s="270"/>
      <c r="O1" s="270"/>
      <c r="P1" s="270"/>
      <c r="Q1" s="270"/>
      <c r="R1" s="270"/>
      <c r="S1" s="270"/>
      <c r="T1" s="271"/>
      <c r="U1" s="272" t="s">
        <v>52</v>
      </c>
      <c r="V1" s="273"/>
      <c r="W1" s="273"/>
      <c r="X1" s="273"/>
      <c r="Y1" s="273"/>
      <c r="Z1" s="274"/>
      <c r="AA1" s="78"/>
    </row>
    <row r="2" spans="1:36" ht="12.75" customHeight="1" x14ac:dyDescent="0.25">
      <c r="A2" s="263"/>
      <c r="B2" s="264"/>
      <c r="C2" s="264"/>
      <c r="D2" s="264"/>
      <c r="E2" s="264"/>
      <c r="F2" s="265"/>
      <c r="G2" s="281" t="s">
        <v>40</v>
      </c>
      <c r="H2" s="282"/>
      <c r="I2" s="282"/>
      <c r="J2" s="282"/>
      <c r="K2" s="282"/>
      <c r="L2" s="282"/>
      <c r="M2" s="282"/>
      <c r="N2" s="282"/>
      <c r="O2" s="282"/>
      <c r="P2" s="282"/>
      <c r="Q2" s="282"/>
      <c r="R2" s="282"/>
      <c r="S2" s="282"/>
      <c r="T2" s="283"/>
      <c r="U2" s="275"/>
      <c r="V2" s="276"/>
      <c r="W2" s="276"/>
      <c r="X2" s="276"/>
      <c r="Y2" s="276"/>
      <c r="Z2" s="277"/>
      <c r="AA2" s="78"/>
    </row>
    <row r="3" spans="1:36" ht="12.75" customHeight="1" x14ac:dyDescent="0.25">
      <c r="A3" s="263"/>
      <c r="B3" s="264"/>
      <c r="C3" s="264"/>
      <c r="D3" s="264"/>
      <c r="E3" s="264"/>
      <c r="F3" s="265"/>
      <c r="G3" s="284"/>
      <c r="H3" s="282"/>
      <c r="I3" s="282"/>
      <c r="J3" s="282"/>
      <c r="K3" s="282"/>
      <c r="L3" s="282"/>
      <c r="M3" s="282"/>
      <c r="N3" s="282"/>
      <c r="O3" s="282"/>
      <c r="P3" s="282"/>
      <c r="Q3" s="282"/>
      <c r="R3" s="282"/>
      <c r="S3" s="282"/>
      <c r="T3" s="283"/>
      <c r="U3" s="275"/>
      <c r="V3" s="276"/>
      <c r="W3" s="276"/>
      <c r="X3" s="276"/>
      <c r="Y3" s="276"/>
      <c r="Z3" s="277"/>
      <c r="AA3" s="78"/>
    </row>
    <row r="4" spans="1:36" ht="12.75" customHeight="1" x14ac:dyDescent="0.25">
      <c r="A4" s="263"/>
      <c r="B4" s="264"/>
      <c r="C4" s="264"/>
      <c r="D4" s="264"/>
      <c r="E4" s="264"/>
      <c r="F4" s="265"/>
      <c r="G4" s="284"/>
      <c r="H4" s="282"/>
      <c r="I4" s="282"/>
      <c r="J4" s="282"/>
      <c r="K4" s="282"/>
      <c r="L4" s="282"/>
      <c r="M4" s="282"/>
      <c r="N4" s="282"/>
      <c r="O4" s="282"/>
      <c r="P4" s="282"/>
      <c r="Q4" s="282"/>
      <c r="R4" s="282"/>
      <c r="S4" s="282"/>
      <c r="T4" s="283"/>
      <c r="U4" s="275"/>
      <c r="V4" s="276"/>
      <c r="W4" s="276"/>
      <c r="X4" s="276"/>
      <c r="Y4" s="276"/>
      <c r="Z4" s="277"/>
      <c r="AA4" s="78"/>
    </row>
    <row r="5" spans="1:36" ht="12.75" customHeight="1" x14ac:dyDescent="0.25">
      <c r="A5" s="263"/>
      <c r="B5" s="264"/>
      <c r="C5" s="264"/>
      <c r="D5" s="264"/>
      <c r="E5" s="264"/>
      <c r="F5" s="265"/>
      <c r="G5" s="284" t="s">
        <v>41</v>
      </c>
      <c r="H5" s="282"/>
      <c r="I5" s="2" t="s">
        <v>35</v>
      </c>
      <c r="J5" s="285">
        <v>2</v>
      </c>
      <c r="K5" s="286"/>
      <c r="L5" s="287" t="s">
        <v>51</v>
      </c>
      <c r="M5" s="285"/>
      <c r="N5" s="285"/>
      <c r="O5" s="286"/>
      <c r="P5" s="288">
        <v>45111</v>
      </c>
      <c r="Q5" s="289"/>
      <c r="R5" s="289"/>
      <c r="S5" s="289"/>
      <c r="T5" s="290"/>
      <c r="U5" s="275"/>
      <c r="V5" s="276"/>
      <c r="W5" s="276"/>
      <c r="X5" s="276"/>
      <c r="Y5" s="276"/>
      <c r="Z5" s="277"/>
      <c r="AA5" s="78"/>
    </row>
    <row r="6" spans="1:36" ht="12.75" customHeight="1" x14ac:dyDescent="0.25">
      <c r="A6" s="266"/>
      <c r="B6" s="267"/>
      <c r="C6" s="267"/>
      <c r="D6" s="267"/>
      <c r="E6" s="267"/>
      <c r="F6" s="268"/>
      <c r="G6" s="3"/>
      <c r="H6" s="4"/>
      <c r="I6" s="4"/>
      <c r="J6" s="256" t="s">
        <v>36</v>
      </c>
      <c r="K6" s="256"/>
      <c r="L6" s="256" t="s">
        <v>37</v>
      </c>
      <c r="M6" s="256"/>
      <c r="N6" s="256"/>
      <c r="O6" s="256"/>
      <c r="P6" s="256" t="s">
        <v>38</v>
      </c>
      <c r="Q6" s="256"/>
      <c r="R6" s="256"/>
      <c r="S6" s="256"/>
      <c r="T6" s="257"/>
      <c r="U6" s="278"/>
      <c r="V6" s="279"/>
      <c r="W6" s="279"/>
      <c r="X6" s="279"/>
      <c r="Y6" s="279"/>
      <c r="Z6" s="280"/>
      <c r="AA6" s="78"/>
    </row>
    <row r="7" spans="1:36" ht="37.5" customHeight="1" x14ac:dyDescent="0.25">
      <c r="A7" s="258" t="s">
        <v>39</v>
      </c>
      <c r="B7" s="258"/>
      <c r="C7" s="258"/>
      <c r="D7" s="258"/>
      <c r="E7" s="258"/>
      <c r="F7" s="258"/>
      <c r="G7" s="259" t="s">
        <v>33</v>
      </c>
      <c r="H7" s="259"/>
      <c r="I7" s="259"/>
      <c r="J7" s="259"/>
      <c r="K7" s="259"/>
      <c r="L7" s="259"/>
      <c r="M7" s="259"/>
      <c r="N7" s="259"/>
      <c r="O7" s="259"/>
      <c r="P7" s="259"/>
      <c r="Q7" s="259"/>
      <c r="R7" s="259"/>
      <c r="S7" s="259"/>
      <c r="T7" s="259"/>
      <c r="U7" s="259"/>
      <c r="V7" s="259"/>
      <c r="W7" s="259"/>
      <c r="X7" s="259"/>
      <c r="Y7" s="259"/>
      <c r="Z7" s="259"/>
      <c r="AA7" s="79"/>
      <c r="AE7" s="6"/>
      <c r="AI7" s="6"/>
    </row>
    <row r="8" spans="1:36" ht="15.9" customHeight="1" x14ac:dyDescent="0.25">
      <c r="A8" s="7" t="s">
        <v>1</v>
      </c>
      <c r="B8" s="8" t="s">
        <v>0</v>
      </c>
      <c r="C8" s="9"/>
      <c r="D8" s="10"/>
      <c r="E8" s="10"/>
      <c r="F8" s="10"/>
      <c r="G8" s="1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1"/>
      <c r="AA8" s="14"/>
      <c r="AB8" s="12"/>
      <c r="AC8" s="12"/>
      <c r="AD8" s="12"/>
      <c r="AE8" s="6"/>
      <c r="AF8" s="12"/>
      <c r="AI8" s="6"/>
    </row>
    <row r="9" spans="1:36" ht="15.9" customHeight="1" x14ac:dyDescent="0.25">
      <c r="A9" s="13"/>
      <c r="B9" s="14"/>
      <c r="C9" s="14"/>
      <c r="D9" s="15"/>
      <c r="E9" s="15"/>
      <c r="F9" s="15"/>
      <c r="G9" s="15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6"/>
      <c r="AA9" s="14"/>
      <c r="AB9" s="12"/>
      <c r="AC9" s="12"/>
      <c r="AD9" s="12"/>
      <c r="AE9" s="6"/>
      <c r="AF9" s="12"/>
      <c r="AI9" s="6"/>
    </row>
    <row r="10" spans="1:36" ht="15.9" customHeight="1" x14ac:dyDescent="0.25">
      <c r="A10" s="13"/>
      <c r="B10" s="251" t="s">
        <v>28</v>
      </c>
      <c r="C10" s="251"/>
      <c r="D10" s="251"/>
      <c r="E10" s="251"/>
      <c r="F10" s="251"/>
      <c r="G10" s="253" t="s">
        <v>53</v>
      </c>
      <c r="H10" s="253"/>
      <c r="I10" s="253"/>
      <c r="J10" s="253"/>
      <c r="K10" s="253"/>
      <c r="L10" s="253"/>
      <c r="M10" s="251" t="s">
        <v>31</v>
      </c>
      <c r="N10" s="251"/>
      <c r="O10" s="251"/>
      <c r="P10" s="251"/>
      <c r="Q10" s="251"/>
      <c r="R10" s="251"/>
      <c r="S10" s="254" t="s">
        <v>56</v>
      </c>
      <c r="T10" s="254"/>
      <c r="U10" s="254"/>
      <c r="V10" s="254"/>
      <c r="W10" s="254"/>
      <c r="X10" s="254"/>
      <c r="Y10" s="254"/>
      <c r="Z10" s="17"/>
      <c r="AA10" s="75"/>
      <c r="AB10" s="12"/>
      <c r="AC10" s="12"/>
      <c r="AD10" s="12"/>
      <c r="AE10" s="251"/>
      <c r="AF10" s="251"/>
      <c r="AG10" s="251"/>
      <c r="AH10" s="251"/>
      <c r="AI10" s="251"/>
    </row>
    <row r="11" spans="1:36" ht="15.9" customHeight="1" x14ac:dyDescent="0.25">
      <c r="A11" s="13"/>
      <c r="B11" s="251" t="s">
        <v>6</v>
      </c>
      <c r="C11" s="251"/>
      <c r="D11" s="251"/>
      <c r="E11" s="251"/>
      <c r="F11" s="251"/>
      <c r="G11" s="253">
        <v>45111</v>
      </c>
      <c r="H11" s="253"/>
      <c r="I11" s="253"/>
      <c r="J11" s="253"/>
      <c r="K11" s="253"/>
      <c r="L11" s="253"/>
      <c r="M11" s="251" t="s">
        <v>45</v>
      </c>
      <c r="N11" s="251"/>
      <c r="O11" s="251"/>
      <c r="P11" s="251"/>
      <c r="Q11" s="251"/>
      <c r="R11" s="251"/>
      <c r="S11" s="254" t="s">
        <v>57</v>
      </c>
      <c r="T11" s="254"/>
      <c r="U11" s="254"/>
      <c r="V11" s="254"/>
      <c r="W11" s="254"/>
      <c r="X11" s="254"/>
      <c r="Y11" s="254"/>
      <c r="Z11" s="17"/>
      <c r="AA11" s="75"/>
      <c r="AB11" s="12"/>
      <c r="AC11" s="12"/>
      <c r="AD11" s="12"/>
      <c r="AE11" s="251"/>
      <c r="AF11" s="251"/>
      <c r="AG11" s="251"/>
      <c r="AH11" s="251"/>
      <c r="AI11" s="251"/>
    </row>
    <row r="12" spans="1:36" ht="15.9" customHeight="1" x14ac:dyDescent="0.25">
      <c r="A12" s="13"/>
      <c r="B12" s="251" t="s">
        <v>29</v>
      </c>
      <c r="C12" s="251"/>
      <c r="D12" s="251"/>
      <c r="E12" s="251"/>
      <c r="F12" s="251"/>
      <c r="G12" s="253">
        <v>45110</v>
      </c>
      <c r="H12" s="253"/>
      <c r="I12" s="253"/>
      <c r="J12" s="253"/>
      <c r="K12" s="253"/>
      <c r="L12" s="253"/>
      <c r="M12" s="255" t="s">
        <v>44</v>
      </c>
      <c r="N12" s="255"/>
      <c r="O12" s="255"/>
      <c r="P12" s="255"/>
      <c r="Q12" s="255"/>
      <c r="R12" s="255"/>
      <c r="S12" s="254">
        <v>110</v>
      </c>
      <c r="T12" s="254"/>
      <c r="U12" s="254"/>
      <c r="V12" s="254"/>
      <c r="W12" s="254"/>
      <c r="X12" s="254"/>
      <c r="Y12" s="254"/>
      <c r="Z12" s="17"/>
      <c r="AA12" s="75"/>
      <c r="AB12" s="12"/>
      <c r="AC12" s="12"/>
      <c r="AD12" s="12"/>
      <c r="AE12" s="6"/>
      <c r="AF12" s="12"/>
      <c r="AI12" s="6"/>
    </row>
    <row r="13" spans="1:36" ht="15.9" customHeight="1" x14ac:dyDescent="0.25">
      <c r="A13" s="13"/>
      <c r="B13" s="105" t="s">
        <v>42</v>
      </c>
      <c r="C13" s="105"/>
      <c r="D13" s="105"/>
      <c r="E13" s="105"/>
      <c r="F13" s="105"/>
      <c r="G13" s="253" t="s">
        <v>64</v>
      </c>
      <c r="H13" s="253"/>
      <c r="I13" s="253"/>
      <c r="J13" s="253"/>
      <c r="K13" s="253"/>
      <c r="L13" s="253"/>
      <c r="M13" s="251" t="s">
        <v>30</v>
      </c>
      <c r="N13" s="251"/>
      <c r="O13" s="251"/>
      <c r="P13" s="251"/>
      <c r="Q13" s="251"/>
      <c r="R13" s="251"/>
      <c r="S13" s="253" t="s">
        <v>66</v>
      </c>
      <c r="T13" s="253"/>
      <c r="U13" s="253"/>
      <c r="V13" s="253"/>
      <c r="W13" s="253"/>
      <c r="X13" s="253"/>
      <c r="Y13" s="253"/>
      <c r="Z13" s="17"/>
      <c r="AA13" s="75"/>
      <c r="AB13" s="12"/>
      <c r="AC13" s="12"/>
      <c r="AD13" s="12"/>
      <c r="AE13" s="251"/>
      <c r="AF13" s="251"/>
      <c r="AG13" s="251"/>
      <c r="AH13" s="251"/>
      <c r="AI13" s="251"/>
      <c r="AJ13" s="251"/>
    </row>
    <row r="14" spans="1:36" ht="15.9" customHeight="1" x14ac:dyDescent="0.25">
      <c r="A14" s="18"/>
      <c r="B14" s="251" t="s">
        <v>43</v>
      </c>
      <c r="C14" s="251"/>
      <c r="D14" s="251"/>
      <c r="E14" s="251"/>
      <c r="F14" s="251"/>
      <c r="G14" s="253" t="s">
        <v>65</v>
      </c>
      <c r="H14" s="253"/>
      <c r="I14" s="253"/>
      <c r="J14" s="253"/>
      <c r="K14" s="253"/>
      <c r="L14" s="253"/>
      <c r="M14" s="254" t="s">
        <v>27</v>
      </c>
      <c r="N14" s="254"/>
      <c r="O14" s="254"/>
      <c r="P14" s="254"/>
      <c r="Q14" s="254"/>
      <c r="R14" s="254"/>
      <c r="S14" s="254" t="s">
        <v>50</v>
      </c>
      <c r="T14" s="254"/>
      <c r="U14" s="254"/>
      <c r="V14" s="254"/>
      <c r="W14" s="254"/>
      <c r="X14" s="254"/>
      <c r="Y14" s="254"/>
      <c r="Z14" s="19"/>
      <c r="AA14" s="12"/>
      <c r="AB14" s="12"/>
      <c r="AC14" s="12"/>
      <c r="AD14" s="12"/>
      <c r="AE14" s="251"/>
      <c r="AF14" s="251"/>
      <c r="AG14" s="251"/>
      <c r="AH14" s="251"/>
      <c r="AI14" s="251"/>
      <c r="AJ14" s="251"/>
    </row>
    <row r="15" spans="1:36" ht="6" customHeight="1" x14ac:dyDescent="0.25">
      <c r="A15" s="24"/>
      <c r="B15" s="25"/>
      <c r="C15" s="26"/>
      <c r="D15" s="26"/>
      <c r="E15" s="26"/>
      <c r="F15" s="25"/>
      <c r="G15" s="25"/>
      <c r="H15" s="25"/>
      <c r="I15" s="25"/>
      <c r="J15" s="25"/>
      <c r="K15" s="25"/>
      <c r="L15" s="25"/>
      <c r="M15" s="25"/>
      <c r="N15" s="26"/>
      <c r="O15" s="26"/>
      <c r="P15" s="26"/>
      <c r="Q15" s="26"/>
      <c r="R15" s="26"/>
      <c r="S15" s="26"/>
      <c r="T15" s="27"/>
      <c r="U15" s="27"/>
      <c r="V15" s="26"/>
      <c r="W15" s="26"/>
      <c r="X15" s="26"/>
      <c r="Y15" s="26"/>
      <c r="Z15" s="28"/>
      <c r="AE15" s="251"/>
      <c r="AF15" s="251"/>
      <c r="AG15" s="251"/>
      <c r="AH15" s="251"/>
      <c r="AI15" s="251"/>
      <c r="AJ15" s="251"/>
    </row>
    <row r="16" spans="1:36" ht="6" customHeight="1" x14ac:dyDescent="0.25">
      <c r="F16" s="29"/>
      <c r="G16" s="29"/>
      <c r="H16" s="29"/>
      <c r="I16" s="29"/>
      <c r="J16" s="29"/>
      <c r="K16" s="29"/>
      <c r="L16" s="29"/>
      <c r="M16" s="29"/>
      <c r="T16" s="30"/>
      <c r="U16" s="30"/>
      <c r="AE16" s="251"/>
      <c r="AF16" s="251"/>
      <c r="AG16" s="251"/>
      <c r="AH16" s="251"/>
      <c r="AI16" s="251"/>
      <c r="AJ16" s="251"/>
    </row>
    <row r="17" spans="1:40" ht="15.9" customHeight="1" x14ac:dyDescent="0.25">
      <c r="A17" s="7" t="s">
        <v>2</v>
      </c>
      <c r="B17" s="8" t="s">
        <v>18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1"/>
      <c r="AA17" s="14"/>
      <c r="AE17" s="20"/>
      <c r="AI17" s="20"/>
    </row>
    <row r="18" spans="1:40" ht="8.25" customHeight="1" x14ac:dyDescent="0.25">
      <c r="A18" s="13"/>
      <c r="B18" s="31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6"/>
      <c r="AA18" s="14"/>
      <c r="AE18" s="20"/>
      <c r="AI18" s="20"/>
    </row>
    <row r="19" spans="1:40" ht="15.9" customHeight="1" x14ac:dyDescent="0.25">
      <c r="A19" s="13"/>
      <c r="B19" s="251" t="s">
        <v>19</v>
      </c>
      <c r="C19" s="251"/>
      <c r="D19" s="251"/>
      <c r="E19" s="251"/>
      <c r="F19" s="251"/>
      <c r="G19" s="251"/>
      <c r="H19" s="251"/>
      <c r="I19" s="252"/>
      <c r="J19" s="252"/>
      <c r="K19" s="252"/>
      <c r="L19" s="252"/>
      <c r="M19" s="252"/>
      <c r="N19" s="252"/>
      <c r="O19" s="252"/>
      <c r="P19" s="252"/>
      <c r="Q19" s="252"/>
      <c r="R19" s="252"/>
      <c r="S19" s="252"/>
      <c r="T19" s="252"/>
      <c r="U19" s="252"/>
      <c r="V19" s="252"/>
      <c r="W19" s="252"/>
      <c r="X19" s="252"/>
      <c r="Y19" s="252"/>
      <c r="Z19" s="17"/>
      <c r="AA19" s="75"/>
      <c r="AE19" s="20"/>
      <c r="AI19" s="20"/>
    </row>
    <row r="20" spans="1:40" ht="15.9" customHeight="1" x14ac:dyDescent="0.25">
      <c r="A20" s="13"/>
      <c r="B20" s="251" t="s">
        <v>20</v>
      </c>
      <c r="C20" s="251"/>
      <c r="D20" s="251"/>
      <c r="E20" s="251"/>
      <c r="F20" s="251"/>
      <c r="G20" s="251"/>
      <c r="H20" s="251"/>
      <c r="I20" s="166"/>
      <c r="J20" s="166"/>
      <c r="K20" s="166"/>
      <c r="L20" s="166"/>
      <c r="M20" s="166"/>
      <c r="N20" s="166"/>
      <c r="O20" s="166"/>
      <c r="P20" s="166"/>
      <c r="Q20" s="166"/>
      <c r="R20" s="166"/>
      <c r="S20" s="166"/>
      <c r="T20" s="166"/>
      <c r="U20" s="166"/>
      <c r="V20" s="166"/>
      <c r="W20" s="166"/>
      <c r="X20" s="166"/>
      <c r="Y20" s="166"/>
      <c r="Z20" s="17"/>
      <c r="AA20" s="75"/>
      <c r="AE20" s="20"/>
      <c r="AI20" s="20"/>
    </row>
    <row r="21" spans="1:40" ht="7.5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2"/>
      <c r="AA21" s="14"/>
      <c r="AE21" s="20"/>
      <c r="AI21" s="20"/>
    </row>
    <row r="22" spans="1:40" ht="5.25" customHeight="1" x14ac:dyDescent="0.25">
      <c r="F22" s="29"/>
      <c r="G22" s="29"/>
      <c r="H22" s="29"/>
      <c r="I22" s="29"/>
      <c r="J22" s="29"/>
      <c r="K22" s="29"/>
      <c r="L22" s="29"/>
      <c r="M22" s="29"/>
      <c r="T22" s="30"/>
      <c r="U22" s="30"/>
      <c r="AE22" s="20"/>
      <c r="AI22" s="20"/>
      <c r="AM22" s="12"/>
      <c r="AN22" s="12"/>
    </row>
    <row r="23" spans="1:40" ht="15.9" customHeight="1" x14ac:dyDescent="0.25">
      <c r="A23" s="33" t="s">
        <v>2</v>
      </c>
      <c r="B23" s="34" t="s">
        <v>17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21"/>
      <c r="AN23" s="22"/>
    </row>
    <row r="24" spans="1:40" ht="9" customHeight="1" x14ac:dyDescent="0.25">
      <c r="A24" s="18"/>
      <c r="Z24" s="23"/>
    </row>
    <row r="25" spans="1:40" ht="12.75" customHeight="1" x14ac:dyDescent="0.25">
      <c r="A25" s="18"/>
      <c r="Z25" s="23"/>
    </row>
    <row r="26" spans="1:40" ht="12.75" customHeight="1" x14ac:dyDescent="0.25">
      <c r="A26" s="18"/>
      <c r="Z26" s="23"/>
    </row>
    <row r="27" spans="1:40" ht="12.75" customHeight="1" x14ac:dyDescent="0.25">
      <c r="A27" s="18"/>
      <c r="Z27" s="23"/>
    </row>
    <row r="28" spans="1:40" ht="12.75" customHeight="1" x14ac:dyDescent="0.25">
      <c r="A28" s="18"/>
      <c r="Z28" s="23"/>
    </row>
    <row r="29" spans="1:40" ht="12.75" customHeight="1" x14ac:dyDescent="0.25">
      <c r="A29" s="18"/>
      <c r="Z29" s="23"/>
    </row>
    <row r="30" spans="1:40" ht="12.75" customHeight="1" x14ac:dyDescent="0.25">
      <c r="A30" s="18"/>
      <c r="Z30" s="23"/>
    </row>
    <row r="31" spans="1:40" ht="12.75" customHeight="1" x14ac:dyDescent="0.25">
      <c r="A31" s="18"/>
      <c r="Z31" s="23"/>
    </row>
    <row r="32" spans="1:40" ht="12.75" customHeight="1" x14ac:dyDescent="0.25">
      <c r="A32" s="18"/>
      <c r="Z32" s="23"/>
    </row>
    <row r="33" spans="1:34" ht="12.75" customHeight="1" x14ac:dyDescent="0.25">
      <c r="A33" s="18"/>
      <c r="Z33" s="23"/>
    </row>
    <row r="34" spans="1:34" ht="12.75" customHeight="1" x14ac:dyDescent="0.25">
      <c r="A34" s="18"/>
      <c r="Z34" s="23"/>
    </row>
    <row r="35" spans="1:34" ht="12.75" customHeight="1" x14ac:dyDescent="0.25">
      <c r="A35" s="18"/>
      <c r="Z35" s="23"/>
    </row>
    <row r="36" spans="1:34" ht="12.75" customHeight="1" x14ac:dyDescent="0.25">
      <c r="A36" s="18"/>
      <c r="Z36" s="23"/>
    </row>
    <row r="37" spans="1:34" ht="12.75" customHeight="1" x14ac:dyDescent="0.25">
      <c r="A37" s="18"/>
      <c r="Z37" s="23"/>
    </row>
    <row r="38" spans="1:34" ht="12.75" customHeight="1" x14ac:dyDescent="0.25">
      <c r="A38" s="18"/>
      <c r="Z38" s="23"/>
    </row>
    <row r="39" spans="1:34" ht="12.75" customHeight="1" x14ac:dyDescent="0.25">
      <c r="A39" s="18"/>
      <c r="Z39" s="23"/>
    </row>
    <row r="40" spans="1:34" ht="12.75" customHeight="1" x14ac:dyDescent="0.25">
      <c r="A40" s="18"/>
      <c r="Z40" s="23"/>
    </row>
    <row r="41" spans="1:34" ht="12.75" customHeight="1" x14ac:dyDescent="0.25">
      <c r="A41" s="18"/>
      <c r="Z41" s="23"/>
    </row>
    <row r="42" spans="1:34" ht="12.75" customHeight="1" x14ac:dyDescent="0.25">
      <c r="A42" s="18"/>
      <c r="Z42" s="23"/>
    </row>
    <row r="43" spans="1:34" ht="12.75" customHeight="1" x14ac:dyDescent="0.25">
      <c r="A43" s="18"/>
      <c r="Z43" s="23"/>
    </row>
    <row r="44" spans="1:34" ht="12.75" customHeight="1" x14ac:dyDescent="0.25">
      <c r="A44" s="18"/>
      <c r="Z44" s="23"/>
    </row>
    <row r="45" spans="1:34" ht="12.75" customHeight="1" x14ac:dyDescent="0.25">
      <c r="A45" s="18"/>
      <c r="Z45" s="23"/>
    </row>
    <row r="46" spans="1:34" ht="9.75" customHeight="1" thickBot="1" x14ac:dyDescent="0.3">
      <c r="A46" s="18"/>
      <c r="Z46" s="23"/>
    </row>
    <row r="47" spans="1:34" ht="9.75" customHeight="1" x14ac:dyDescent="0.25">
      <c r="A47" s="18"/>
      <c r="Z47" s="23"/>
      <c r="AD47" s="230" t="s">
        <v>16</v>
      </c>
      <c r="AE47" s="232">
        <v>2.6469999999999998</v>
      </c>
      <c r="AF47" s="224"/>
      <c r="AG47" s="235"/>
      <c r="AH47" s="39"/>
    </row>
    <row r="48" spans="1:34" ht="12.75" customHeight="1" thickBot="1" x14ac:dyDescent="0.3">
      <c r="A48" s="18"/>
      <c r="Z48" s="87"/>
      <c r="AD48" s="231"/>
      <c r="AE48" s="233"/>
      <c r="AF48" s="234"/>
      <c r="AG48" s="235"/>
    </row>
    <row r="49" spans="1:34" ht="18.75" customHeight="1" thickBot="1" x14ac:dyDescent="0.3">
      <c r="A49" s="18"/>
      <c r="E49" s="236" t="s">
        <v>11</v>
      </c>
      <c r="F49" s="237"/>
      <c r="G49" s="237"/>
      <c r="H49" s="237"/>
      <c r="I49" s="237"/>
      <c r="J49" s="237"/>
      <c r="K49" s="237"/>
      <c r="L49" s="237"/>
      <c r="M49" s="237"/>
      <c r="N49" s="237"/>
      <c r="O49" s="237"/>
      <c r="P49" s="237"/>
      <c r="Q49" s="237"/>
      <c r="R49" s="237"/>
      <c r="S49" s="237"/>
      <c r="T49" s="237"/>
      <c r="U49" s="238" t="s">
        <v>48</v>
      </c>
      <c r="V49" s="239"/>
      <c r="W49" s="240" t="s">
        <v>12</v>
      </c>
      <c r="X49" s="239"/>
      <c r="Y49" s="241" t="s">
        <v>13</v>
      </c>
      <c r="Z49" s="242"/>
      <c r="AA49" s="82"/>
      <c r="AB49" s="245" t="s">
        <v>46</v>
      </c>
      <c r="AC49" s="246"/>
      <c r="AD49" s="249" t="s">
        <v>14</v>
      </c>
      <c r="AE49" s="222" t="s">
        <v>15</v>
      </c>
      <c r="AF49" s="224"/>
      <c r="AG49" s="224"/>
      <c r="AH49" s="40"/>
    </row>
    <row r="50" spans="1:34" ht="24.9" customHeight="1" thickBot="1" x14ac:dyDescent="0.3">
      <c r="A50" s="5"/>
      <c r="B50" s="41" t="s">
        <v>22</v>
      </c>
      <c r="C50" s="226" t="s">
        <v>10</v>
      </c>
      <c r="D50" s="227"/>
      <c r="E50" s="89">
        <v>6.3E-2</v>
      </c>
      <c r="F50" s="89">
        <v>0.125</v>
      </c>
      <c r="G50" s="42">
        <v>0.25</v>
      </c>
      <c r="H50" s="42">
        <v>0.5</v>
      </c>
      <c r="I50" s="42">
        <v>1</v>
      </c>
      <c r="J50" s="42">
        <v>2</v>
      </c>
      <c r="K50" s="42">
        <v>4</v>
      </c>
      <c r="L50" s="42">
        <v>6.3</v>
      </c>
      <c r="M50" s="42">
        <v>8</v>
      </c>
      <c r="N50" s="42">
        <v>10</v>
      </c>
      <c r="O50" s="42">
        <v>12.5</v>
      </c>
      <c r="P50" s="42">
        <v>14</v>
      </c>
      <c r="Q50" s="74">
        <v>16</v>
      </c>
      <c r="R50" s="74">
        <v>20</v>
      </c>
      <c r="S50" s="42"/>
      <c r="T50" s="74"/>
      <c r="U50" s="180"/>
      <c r="V50" s="182"/>
      <c r="W50" s="181"/>
      <c r="X50" s="182"/>
      <c r="Y50" s="243"/>
      <c r="Z50" s="244"/>
      <c r="AA50" s="82"/>
      <c r="AB50" s="247"/>
      <c r="AC50" s="248"/>
      <c r="AD50" s="250"/>
      <c r="AE50" s="223"/>
      <c r="AF50" s="225"/>
      <c r="AG50" s="224"/>
    </row>
    <row r="51" spans="1:34" ht="24.9" customHeight="1" x14ac:dyDescent="0.25">
      <c r="A51" s="5"/>
      <c r="B51" s="43">
        <v>1</v>
      </c>
      <c r="C51" s="142" t="s">
        <v>67</v>
      </c>
      <c r="D51" s="143"/>
      <c r="E51" s="117">
        <v>6.5</v>
      </c>
      <c r="F51" s="118">
        <v>8.3000000000000007</v>
      </c>
      <c r="G51" s="119">
        <v>10.8</v>
      </c>
      <c r="H51" s="119">
        <v>14.3</v>
      </c>
      <c r="I51" s="119">
        <v>19.2</v>
      </c>
      <c r="J51" s="119">
        <v>28.4</v>
      </c>
      <c r="K51" s="119">
        <v>42.3</v>
      </c>
      <c r="L51" s="119">
        <v>59.2</v>
      </c>
      <c r="M51" s="119">
        <v>78.900000000000006</v>
      </c>
      <c r="N51" s="119">
        <v>95.9</v>
      </c>
      <c r="O51" s="119">
        <v>100</v>
      </c>
      <c r="P51" s="119"/>
      <c r="Q51" s="119"/>
      <c r="R51" s="119"/>
      <c r="S51" s="120"/>
      <c r="T51" s="120"/>
      <c r="U51" s="144">
        <v>170</v>
      </c>
      <c r="V51" s="145"/>
      <c r="W51" s="146">
        <v>5.0599999999999996</v>
      </c>
      <c r="X51" s="147"/>
      <c r="Y51" s="228">
        <f>IF(W51&lt;&gt;0,AE51,"")</f>
        <v>3.2043689480507074</v>
      </c>
      <c r="Z51" s="229"/>
      <c r="AA51" s="80"/>
      <c r="AB51" s="196">
        <f>(100*W51)/(100-W51)</f>
        <v>5.3296819043606485</v>
      </c>
      <c r="AC51" s="197"/>
      <c r="AD51" s="67">
        <f>(0.25*(100-O51)+2.3*(O51-H51)+12*(H51-E51)+150*(E51))/100</f>
        <v>12.6571</v>
      </c>
      <c r="AE51" s="68">
        <f>(AB51*$AE$47)/(2.65*(AD51)^(1/5))</f>
        <v>3.2043689480507074</v>
      </c>
      <c r="AF51" s="29"/>
      <c r="AG51" s="66"/>
    </row>
    <row r="52" spans="1:34" ht="24.9" customHeight="1" x14ac:dyDescent="0.25">
      <c r="A52" s="5"/>
      <c r="B52" s="44">
        <v>2</v>
      </c>
      <c r="C52" s="142" t="s">
        <v>68</v>
      </c>
      <c r="D52" s="143"/>
      <c r="E52" s="117">
        <v>7</v>
      </c>
      <c r="F52" s="118">
        <v>8.8000000000000007</v>
      </c>
      <c r="G52" s="119">
        <v>11.5</v>
      </c>
      <c r="H52" s="119">
        <v>15.1</v>
      </c>
      <c r="I52" s="119">
        <v>20.3</v>
      </c>
      <c r="J52" s="119">
        <v>30.1</v>
      </c>
      <c r="K52" s="119">
        <v>46.4</v>
      </c>
      <c r="L52" s="119">
        <v>64.7</v>
      </c>
      <c r="M52" s="119">
        <v>82.4</v>
      </c>
      <c r="N52" s="119">
        <v>96.8</v>
      </c>
      <c r="O52" s="119">
        <v>100</v>
      </c>
      <c r="P52" s="119"/>
      <c r="Q52" s="119"/>
      <c r="R52" s="119"/>
      <c r="S52" s="120"/>
      <c r="T52" s="120"/>
      <c r="U52" s="144">
        <v>167</v>
      </c>
      <c r="V52" s="145"/>
      <c r="W52" s="146">
        <v>5.01</v>
      </c>
      <c r="X52" s="147"/>
      <c r="Y52" s="217">
        <f>IF(W52&lt;&gt;0,AE52,"")</f>
        <v>3.1339133734898779</v>
      </c>
      <c r="Z52" s="218"/>
      <c r="AA52" s="80"/>
      <c r="AB52" s="196">
        <f>(100*W52)/(100-W52)</f>
        <v>5.2742393936203813</v>
      </c>
      <c r="AC52" s="197"/>
      <c r="AD52" s="67">
        <f t="shared" ref="AD52:AD58" si="0">(0.25*(100-O52)+2.3*(O52-H52)+12*(H52-E52)+150*(E52))/100</f>
        <v>13.4247</v>
      </c>
      <c r="AE52" s="68">
        <f t="shared" ref="AE52:AE58" si="1">(AB52*$AE$47)/(2.65*(AD52)^(1/5))</f>
        <v>3.1339133734898779</v>
      </c>
      <c r="AF52" s="29"/>
      <c r="AG52" s="66"/>
    </row>
    <row r="53" spans="1:34" ht="24.9" customHeight="1" x14ac:dyDescent="0.25">
      <c r="A53" s="5"/>
      <c r="B53" s="44">
        <v>3</v>
      </c>
      <c r="C53" s="174"/>
      <c r="D53" s="219"/>
      <c r="E53" s="90"/>
      <c r="F53" s="91"/>
      <c r="G53" s="91"/>
      <c r="H53" s="92"/>
      <c r="I53" s="92"/>
      <c r="J53" s="92"/>
      <c r="K53" s="92"/>
      <c r="L53" s="92"/>
      <c r="M53" s="92"/>
      <c r="N53" s="92"/>
      <c r="O53" s="112"/>
      <c r="P53" s="92"/>
      <c r="Q53" s="92"/>
      <c r="R53" s="92"/>
      <c r="S53" s="92"/>
      <c r="T53" s="93"/>
      <c r="U53" s="171"/>
      <c r="V53" s="172"/>
      <c r="W53" s="220"/>
      <c r="X53" s="221"/>
      <c r="Y53" s="217" t="str">
        <f t="shared" ref="Y53:Y54" si="2">IF(W53&lt;&gt;0,AE53,"")</f>
        <v/>
      </c>
      <c r="Z53" s="218"/>
      <c r="AA53" s="80"/>
      <c r="AB53" s="196">
        <f>(100*W53)/(100-W53)</f>
        <v>0</v>
      </c>
      <c r="AC53" s="197"/>
      <c r="AD53" s="67">
        <f t="shared" si="0"/>
        <v>0.25</v>
      </c>
      <c r="AE53" s="68">
        <f t="shared" si="1"/>
        <v>0</v>
      </c>
      <c r="AF53" s="29"/>
      <c r="AG53" s="66"/>
    </row>
    <row r="54" spans="1:34" ht="24.9" customHeight="1" thickBot="1" x14ac:dyDescent="0.3">
      <c r="A54" s="5"/>
      <c r="B54" s="45">
        <v>4</v>
      </c>
      <c r="C54" s="186"/>
      <c r="D54" s="207"/>
      <c r="E54" s="94"/>
      <c r="F54" s="95"/>
      <c r="G54" s="95"/>
      <c r="H54" s="96"/>
      <c r="I54" s="96"/>
      <c r="J54" s="96"/>
      <c r="K54" s="96"/>
      <c r="L54" s="96"/>
      <c r="M54" s="96"/>
      <c r="N54" s="96"/>
      <c r="O54" s="113"/>
      <c r="P54" s="96"/>
      <c r="Q54" s="96"/>
      <c r="R54" s="96"/>
      <c r="S54" s="96"/>
      <c r="T54" s="97"/>
      <c r="U54" s="208"/>
      <c r="V54" s="209"/>
      <c r="W54" s="210"/>
      <c r="X54" s="211"/>
      <c r="Y54" s="212" t="str">
        <f t="shared" si="2"/>
        <v/>
      </c>
      <c r="Z54" s="213"/>
      <c r="AA54" s="80"/>
      <c r="AB54" s="196">
        <f>(100*W54)/(100-W54)</f>
        <v>0</v>
      </c>
      <c r="AC54" s="197"/>
      <c r="AD54" s="67">
        <f t="shared" si="0"/>
        <v>0.25</v>
      </c>
      <c r="AE54" s="68">
        <f t="shared" si="1"/>
        <v>0</v>
      </c>
      <c r="AF54" s="29"/>
      <c r="AG54" s="66"/>
    </row>
    <row r="55" spans="1:34" ht="10.5" customHeight="1" thickBot="1" x14ac:dyDescent="0.3">
      <c r="A55" s="5"/>
      <c r="B55" s="1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114"/>
      <c r="P55" s="46"/>
      <c r="Q55" s="46"/>
      <c r="R55" s="46"/>
      <c r="S55" s="46"/>
      <c r="T55" s="46"/>
      <c r="U55" s="46"/>
      <c r="V55" s="46"/>
      <c r="W55" s="88"/>
      <c r="Z55" s="70"/>
      <c r="AB55" s="85"/>
      <c r="AC55" s="86"/>
      <c r="AD55" s="67"/>
      <c r="AE55" s="68"/>
      <c r="AF55" s="29"/>
      <c r="AG55" s="66"/>
    </row>
    <row r="56" spans="1:34" ht="24.75" hidden="1" customHeight="1" x14ac:dyDescent="0.25">
      <c r="A56" s="5"/>
      <c r="B56" s="214" t="s">
        <v>8</v>
      </c>
      <c r="C56" s="215"/>
      <c r="D56" s="216"/>
      <c r="E56" s="47"/>
      <c r="F56" s="47"/>
      <c r="G56" s="47"/>
      <c r="H56" s="47"/>
      <c r="I56" s="47"/>
      <c r="J56" s="47"/>
      <c r="K56" s="47"/>
      <c r="L56" s="47"/>
      <c r="M56" s="47">
        <v>10</v>
      </c>
      <c r="N56" s="47">
        <v>10</v>
      </c>
      <c r="O56" s="115"/>
      <c r="P56" s="47"/>
      <c r="Q56" s="47">
        <v>50</v>
      </c>
      <c r="R56" s="47"/>
      <c r="S56" s="47">
        <v>70</v>
      </c>
      <c r="T56" s="47"/>
      <c r="U56" s="47"/>
      <c r="V56" s="47"/>
      <c r="W56" s="47"/>
      <c r="X56" s="48"/>
      <c r="Y56" s="49">
        <v>4.5</v>
      </c>
      <c r="Z56" s="49"/>
      <c r="AA56" s="29"/>
      <c r="AB56" s="85"/>
      <c r="AC56" s="86"/>
      <c r="AD56" s="67">
        <f t="shared" si="0"/>
        <v>0.25</v>
      </c>
      <c r="AE56" s="68">
        <f t="shared" si="1"/>
        <v>0</v>
      </c>
      <c r="AF56" s="29"/>
      <c r="AG56" s="66"/>
    </row>
    <row r="57" spans="1:34" ht="18.75" customHeight="1" x14ac:dyDescent="0.25">
      <c r="A57" s="5"/>
      <c r="B57" s="188" t="s">
        <v>7</v>
      </c>
      <c r="C57" s="189"/>
      <c r="D57" s="190"/>
      <c r="E57" s="98">
        <f t="shared" ref="E57:T57" si="3">IF(E51&lt;&gt;0,AVERAGE(E51:E54),"")</f>
        <v>6.75</v>
      </c>
      <c r="F57" s="98">
        <f t="shared" si="3"/>
        <v>8.5500000000000007</v>
      </c>
      <c r="G57" s="98">
        <f t="shared" si="3"/>
        <v>11.15</v>
      </c>
      <c r="H57" s="98">
        <f t="shared" si="3"/>
        <v>14.7</v>
      </c>
      <c r="I57" s="98">
        <f t="shared" si="3"/>
        <v>19.75</v>
      </c>
      <c r="J57" s="98">
        <f t="shared" si="3"/>
        <v>29.25</v>
      </c>
      <c r="K57" s="98">
        <f t="shared" si="3"/>
        <v>44.349999999999994</v>
      </c>
      <c r="L57" s="98">
        <f t="shared" si="3"/>
        <v>61.95</v>
      </c>
      <c r="M57" s="98">
        <f t="shared" si="3"/>
        <v>80.650000000000006</v>
      </c>
      <c r="N57" s="98">
        <f t="shared" si="3"/>
        <v>96.35</v>
      </c>
      <c r="O57" s="111">
        <f t="shared" si="3"/>
        <v>100</v>
      </c>
      <c r="P57" s="98"/>
      <c r="Q57" s="111"/>
      <c r="R57" s="98"/>
      <c r="S57" s="98" t="str">
        <f t="shared" si="3"/>
        <v/>
      </c>
      <c r="T57" s="99" t="str">
        <f t="shared" si="3"/>
        <v/>
      </c>
      <c r="U57" s="191">
        <f>IF(U51&lt;&gt;0,AVERAGE(U51:V54),"")</f>
        <v>168.5</v>
      </c>
      <c r="V57" s="192"/>
      <c r="W57" s="193">
        <f>IF(W51&lt;&gt;0,AVERAGE(W51:X54),"")</f>
        <v>5.0350000000000001</v>
      </c>
      <c r="X57" s="194"/>
      <c r="Y57" s="193">
        <f>IF(W51&lt;&gt;0,AVERAGE(Y51:Z54),"")</f>
        <v>3.1691411607702928</v>
      </c>
      <c r="Z57" s="195"/>
      <c r="AA57" s="66"/>
      <c r="AB57" s="196">
        <f>(100*W57)/(100-W57)</f>
        <v>5.3019533512346655</v>
      </c>
      <c r="AC57" s="197"/>
      <c r="AD57" s="67">
        <f t="shared" si="0"/>
        <v>13.040899999999999</v>
      </c>
      <c r="AE57" s="68">
        <f t="shared" si="1"/>
        <v>3.1687097250617544</v>
      </c>
      <c r="AF57" s="29"/>
      <c r="AG57" s="66"/>
    </row>
    <row r="58" spans="1:34" ht="21" customHeight="1" x14ac:dyDescent="0.25">
      <c r="A58" s="5"/>
      <c r="B58" s="198" t="s">
        <v>9</v>
      </c>
      <c r="C58" s="199"/>
      <c r="D58" s="200"/>
      <c r="E58" s="100">
        <v>6.5</v>
      </c>
      <c r="F58" s="100">
        <v>8</v>
      </c>
      <c r="G58" s="100">
        <v>11</v>
      </c>
      <c r="H58" s="100">
        <v>16</v>
      </c>
      <c r="I58" s="100">
        <v>21</v>
      </c>
      <c r="J58" s="100">
        <v>30</v>
      </c>
      <c r="K58" s="100">
        <v>44</v>
      </c>
      <c r="L58" s="100">
        <v>60</v>
      </c>
      <c r="M58" s="100">
        <v>76</v>
      </c>
      <c r="N58" s="100">
        <v>95</v>
      </c>
      <c r="O58" s="116">
        <v>100</v>
      </c>
      <c r="P58" s="100"/>
      <c r="Q58" s="100"/>
      <c r="R58" s="100"/>
      <c r="S58" s="100"/>
      <c r="T58" s="101"/>
      <c r="U58" s="201"/>
      <c r="V58" s="202"/>
      <c r="W58" s="203">
        <v>5.4</v>
      </c>
      <c r="X58" s="204"/>
      <c r="Y58" s="205">
        <f>AE58</f>
        <v>3.4230996041984052</v>
      </c>
      <c r="Z58" s="206"/>
      <c r="AA58" s="66"/>
      <c r="AB58" s="196">
        <f>(100*W58)/(100-W58)</f>
        <v>5.7082452431289648</v>
      </c>
      <c r="AC58" s="197"/>
      <c r="AD58" s="67">
        <f t="shared" si="0"/>
        <v>12.822000000000001</v>
      </c>
      <c r="AE58" s="68">
        <f t="shared" si="1"/>
        <v>3.4230996041984052</v>
      </c>
      <c r="AF58" s="29"/>
      <c r="AG58" s="66"/>
    </row>
    <row r="59" spans="1:34" ht="13.5" customHeight="1" x14ac:dyDescent="0.25">
      <c r="A59" s="5"/>
      <c r="B59" s="50"/>
      <c r="C59" s="51" t="s">
        <v>23</v>
      </c>
      <c r="D59" s="52"/>
      <c r="E59" s="92">
        <f>E58+2</f>
        <v>8.5</v>
      </c>
      <c r="F59" s="92"/>
      <c r="G59" s="92"/>
      <c r="H59" s="92"/>
      <c r="I59" s="92"/>
      <c r="J59" s="92">
        <f>J58+6</f>
        <v>36</v>
      </c>
      <c r="K59" s="92"/>
      <c r="L59" s="92">
        <f>L58+7</f>
        <v>67</v>
      </c>
      <c r="M59" s="92"/>
      <c r="N59" s="92"/>
      <c r="O59" s="92"/>
      <c r="P59" s="92"/>
      <c r="Q59" s="92"/>
      <c r="R59" s="92"/>
      <c r="S59" s="92"/>
      <c r="T59" s="93"/>
      <c r="U59" s="171"/>
      <c r="V59" s="172"/>
      <c r="W59" s="173">
        <f>W58+0.5</f>
        <v>5.9</v>
      </c>
      <c r="X59" s="172"/>
      <c r="Y59" s="174"/>
      <c r="Z59" s="175"/>
      <c r="AA59" s="83"/>
      <c r="AB59" s="71"/>
      <c r="AC59" s="69"/>
      <c r="AD59" s="176"/>
      <c r="AE59" s="178" t="s">
        <v>47</v>
      </c>
      <c r="AF59" s="29"/>
      <c r="AG59" s="66"/>
    </row>
    <row r="60" spans="1:34" ht="13.5" customHeight="1" thickBot="1" x14ac:dyDescent="0.3">
      <c r="A60" s="5"/>
      <c r="B60" s="180" t="s">
        <v>24</v>
      </c>
      <c r="C60" s="181"/>
      <c r="D60" s="182"/>
      <c r="E60" s="102">
        <f>E58-2</f>
        <v>4.5</v>
      </c>
      <c r="F60" s="102"/>
      <c r="G60" s="103"/>
      <c r="H60" s="103"/>
      <c r="I60" s="103"/>
      <c r="J60" s="102">
        <f>J58-6</f>
        <v>24</v>
      </c>
      <c r="K60" s="103"/>
      <c r="L60" s="102">
        <f>L58-7</f>
        <v>53</v>
      </c>
      <c r="M60" s="102"/>
      <c r="N60" s="103"/>
      <c r="O60" s="103"/>
      <c r="P60" s="103"/>
      <c r="Q60" s="102"/>
      <c r="R60" s="103"/>
      <c r="S60" s="103"/>
      <c r="T60" s="104"/>
      <c r="U60" s="183"/>
      <c r="V60" s="184"/>
      <c r="W60" s="185">
        <f>W58-0.5</f>
        <v>4.9000000000000004</v>
      </c>
      <c r="X60" s="184"/>
      <c r="Y60" s="186"/>
      <c r="Z60" s="187"/>
      <c r="AA60" s="84"/>
      <c r="AB60" s="72"/>
      <c r="AC60" s="73"/>
      <c r="AD60" s="177"/>
      <c r="AE60" s="179"/>
      <c r="AF60" s="29"/>
      <c r="AG60" s="66"/>
    </row>
    <row r="61" spans="1:34" ht="6.75" customHeight="1" x14ac:dyDescent="0.25">
      <c r="A61" s="24"/>
      <c r="B61" s="25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53"/>
    </row>
    <row r="62" spans="1:34" ht="8.25" customHeight="1" x14ac:dyDescent="0.25"/>
    <row r="63" spans="1:34" ht="34.5" customHeight="1" x14ac:dyDescent="0.25">
      <c r="A63" s="54" t="s">
        <v>4</v>
      </c>
      <c r="B63" s="55" t="s">
        <v>21</v>
      </c>
      <c r="C63" s="56"/>
      <c r="D63" s="56"/>
      <c r="E63" s="56"/>
      <c r="F63" s="57"/>
      <c r="G63" s="57"/>
      <c r="H63" s="57"/>
      <c r="I63" s="9"/>
      <c r="J63" s="9"/>
      <c r="K63" s="9"/>
      <c r="L63" s="9"/>
      <c r="M63" s="9"/>
      <c r="N63" s="9"/>
      <c r="O63" s="9"/>
      <c r="P63" s="9"/>
      <c r="Q63" s="57"/>
      <c r="R63" s="9"/>
      <c r="S63" s="9"/>
      <c r="T63" s="9"/>
      <c r="U63" s="148"/>
      <c r="V63" s="148"/>
      <c r="W63" s="148"/>
      <c r="X63" s="148"/>
      <c r="Y63" s="148"/>
      <c r="Z63" s="149"/>
      <c r="AA63" s="81"/>
      <c r="AB63" s="58"/>
      <c r="AC63" s="58"/>
      <c r="AD63" s="59"/>
    </row>
    <row r="64" spans="1:34" ht="27" customHeight="1" x14ac:dyDescent="0.25">
      <c r="A64" s="150" t="s">
        <v>49</v>
      </c>
      <c r="B64" s="151"/>
      <c r="C64" s="151"/>
      <c r="D64" s="151"/>
      <c r="E64" s="151"/>
      <c r="F64" s="151"/>
      <c r="G64" s="151"/>
      <c r="H64" s="151"/>
      <c r="I64" s="151"/>
      <c r="J64" s="151"/>
      <c r="K64" s="151"/>
      <c r="L64" s="151"/>
      <c r="M64" s="151"/>
      <c r="N64" s="151"/>
      <c r="O64" s="151"/>
      <c r="P64" s="151"/>
      <c r="Q64" s="152"/>
      <c r="R64" s="127" t="s">
        <v>32</v>
      </c>
      <c r="S64" s="128"/>
      <c r="T64" s="129"/>
      <c r="U64" s="153" t="s">
        <v>60</v>
      </c>
      <c r="V64" s="154"/>
      <c r="W64" s="154"/>
      <c r="X64" s="154"/>
      <c r="Y64" s="154"/>
      <c r="Z64" s="155"/>
      <c r="AA64" s="76"/>
      <c r="AB64" s="60"/>
      <c r="AC64" s="60"/>
      <c r="AD64" s="59"/>
    </row>
    <row r="65" spans="1:30" ht="15.75" customHeight="1" x14ac:dyDescent="0.25">
      <c r="A65" s="156" t="s">
        <v>59</v>
      </c>
      <c r="B65" s="157"/>
      <c r="C65" s="157"/>
      <c r="D65" s="157"/>
      <c r="E65" s="157"/>
      <c r="F65" s="157"/>
      <c r="G65" s="157"/>
      <c r="H65" s="157"/>
      <c r="I65" s="157"/>
      <c r="J65" s="157"/>
      <c r="K65" s="157"/>
      <c r="L65" s="157"/>
      <c r="M65" s="157"/>
      <c r="N65" s="157"/>
      <c r="O65" s="157"/>
      <c r="P65" s="157"/>
      <c r="Q65" s="158"/>
      <c r="R65" s="127" t="s">
        <v>25</v>
      </c>
      <c r="S65" s="128"/>
      <c r="T65" s="129"/>
      <c r="U65" s="162" t="s">
        <v>61</v>
      </c>
      <c r="V65" s="163"/>
      <c r="W65" s="163"/>
      <c r="X65" s="163"/>
      <c r="Y65" s="163"/>
      <c r="Z65" s="164"/>
      <c r="AA65" s="76"/>
      <c r="AB65" s="60"/>
      <c r="AC65" s="60"/>
      <c r="AD65" s="59"/>
    </row>
    <row r="66" spans="1:30" ht="9" customHeight="1" x14ac:dyDescent="0.25">
      <c r="A66" s="156"/>
      <c r="B66" s="157"/>
      <c r="C66" s="157"/>
      <c r="D66" s="157"/>
      <c r="E66" s="157"/>
      <c r="F66" s="157"/>
      <c r="G66" s="157"/>
      <c r="H66" s="157"/>
      <c r="I66" s="157"/>
      <c r="J66" s="157"/>
      <c r="K66" s="157"/>
      <c r="L66" s="157"/>
      <c r="M66" s="157"/>
      <c r="N66" s="157"/>
      <c r="O66" s="157"/>
      <c r="P66" s="157"/>
      <c r="Q66" s="158"/>
      <c r="R66" s="127"/>
      <c r="S66" s="128"/>
      <c r="T66" s="129"/>
      <c r="U66" s="165"/>
      <c r="V66" s="166"/>
      <c r="W66" s="166"/>
      <c r="X66" s="166"/>
      <c r="Y66" s="166"/>
      <c r="Z66" s="167"/>
      <c r="AA66" s="76"/>
      <c r="AB66" s="60"/>
      <c r="AC66" s="60"/>
      <c r="AD66" s="59"/>
    </row>
    <row r="67" spans="1:30" ht="15.9" customHeight="1" x14ac:dyDescent="0.25">
      <c r="A67" s="159"/>
      <c r="B67" s="160"/>
      <c r="C67" s="160"/>
      <c r="D67" s="160"/>
      <c r="E67" s="160"/>
      <c r="F67" s="160"/>
      <c r="G67" s="160"/>
      <c r="H67" s="160"/>
      <c r="I67" s="160"/>
      <c r="J67" s="160"/>
      <c r="K67" s="160"/>
      <c r="L67" s="160"/>
      <c r="M67" s="160"/>
      <c r="N67" s="160"/>
      <c r="O67" s="160"/>
      <c r="P67" s="160"/>
      <c r="Q67" s="161"/>
      <c r="R67" s="127"/>
      <c r="S67" s="128"/>
      <c r="T67" s="129"/>
      <c r="U67" s="165"/>
      <c r="V67" s="166"/>
      <c r="W67" s="166"/>
      <c r="X67" s="166"/>
      <c r="Y67" s="166"/>
      <c r="Z67" s="167"/>
      <c r="AA67" s="76"/>
      <c r="AB67" s="60"/>
      <c r="AC67" s="60"/>
      <c r="AD67" s="59"/>
    </row>
    <row r="68" spans="1:30" ht="15.9" customHeight="1" x14ac:dyDescent="0.25">
      <c r="A68" s="61" t="s">
        <v>3</v>
      </c>
      <c r="B68" s="62" t="s">
        <v>5</v>
      </c>
      <c r="C68" s="14"/>
      <c r="D68" s="14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4"/>
      <c r="R68" s="127"/>
      <c r="S68" s="128"/>
      <c r="T68" s="129"/>
      <c r="U68" s="168"/>
      <c r="V68" s="169"/>
      <c r="W68" s="169"/>
      <c r="X68" s="169"/>
      <c r="Y68" s="169"/>
      <c r="Z68" s="170"/>
      <c r="AA68" s="76"/>
      <c r="AB68" s="60"/>
      <c r="AC68" s="60"/>
      <c r="AD68" s="59"/>
    </row>
    <row r="69" spans="1:30" ht="15.75" customHeight="1" x14ac:dyDescent="0.25">
      <c r="A69" s="121"/>
      <c r="B69" s="122"/>
      <c r="C69" s="122"/>
      <c r="D69" s="122"/>
      <c r="E69" s="122"/>
      <c r="F69" s="122"/>
      <c r="G69" s="122"/>
      <c r="H69" s="122"/>
      <c r="I69" s="122"/>
      <c r="J69" s="122"/>
      <c r="K69" s="122"/>
      <c r="L69" s="122"/>
      <c r="M69" s="122"/>
      <c r="N69" s="122"/>
      <c r="O69" s="122"/>
      <c r="P69" s="122"/>
      <c r="Q69" s="123"/>
      <c r="R69" s="127" t="s">
        <v>26</v>
      </c>
      <c r="S69" s="128"/>
      <c r="T69" s="129"/>
      <c r="U69" s="133"/>
      <c r="V69" s="134"/>
      <c r="W69" s="134"/>
      <c r="X69" s="134"/>
      <c r="Y69" s="134"/>
      <c r="Z69" s="135"/>
      <c r="AA69" s="77"/>
      <c r="AB69" s="65"/>
      <c r="AC69" s="65"/>
      <c r="AD69" s="59"/>
    </row>
    <row r="70" spans="1:30" ht="15.9" customHeight="1" x14ac:dyDescent="0.25">
      <c r="A70" s="121"/>
      <c r="B70" s="122"/>
      <c r="C70" s="122"/>
      <c r="D70" s="122"/>
      <c r="E70" s="122"/>
      <c r="F70" s="122"/>
      <c r="G70" s="122"/>
      <c r="H70" s="122"/>
      <c r="I70" s="122"/>
      <c r="J70" s="122"/>
      <c r="K70" s="122"/>
      <c r="L70" s="122"/>
      <c r="M70" s="122"/>
      <c r="N70" s="122"/>
      <c r="O70" s="122"/>
      <c r="P70" s="122"/>
      <c r="Q70" s="123"/>
      <c r="R70" s="127"/>
      <c r="S70" s="128"/>
      <c r="T70" s="129"/>
      <c r="U70" s="136"/>
      <c r="V70" s="137"/>
      <c r="W70" s="137"/>
      <c r="X70" s="137"/>
      <c r="Y70" s="137"/>
      <c r="Z70" s="138"/>
      <c r="AA70" s="77"/>
      <c r="AB70" s="65"/>
      <c r="AC70" s="65"/>
      <c r="AD70" s="59"/>
    </row>
    <row r="71" spans="1:30" ht="15.9" customHeight="1" x14ac:dyDescent="0.25">
      <c r="A71" s="121"/>
      <c r="B71" s="122"/>
      <c r="C71" s="122"/>
      <c r="D71" s="122"/>
      <c r="E71" s="122"/>
      <c r="F71" s="122"/>
      <c r="G71" s="122"/>
      <c r="H71" s="122"/>
      <c r="I71" s="122"/>
      <c r="J71" s="122"/>
      <c r="K71" s="122"/>
      <c r="L71" s="122"/>
      <c r="M71" s="122"/>
      <c r="N71" s="122"/>
      <c r="O71" s="122"/>
      <c r="P71" s="122"/>
      <c r="Q71" s="123"/>
      <c r="R71" s="127"/>
      <c r="S71" s="128"/>
      <c r="T71" s="129"/>
      <c r="U71" s="136"/>
      <c r="V71" s="137"/>
      <c r="W71" s="137"/>
      <c r="X71" s="137"/>
      <c r="Y71" s="137"/>
      <c r="Z71" s="138"/>
      <c r="AA71" s="77"/>
      <c r="AB71" s="65"/>
      <c r="AC71" s="65"/>
      <c r="AD71" s="59"/>
    </row>
    <row r="72" spans="1:30" ht="15.75" customHeight="1" x14ac:dyDescent="0.25">
      <c r="A72" s="124"/>
      <c r="B72" s="125"/>
      <c r="C72" s="125"/>
      <c r="D72" s="125"/>
      <c r="E72" s="125"/>
      <c r="F72" s="125"/>
      <c r="G72" s="125"/>
      <c r="H72" s="125"/>
      <c r="I72" s="125"/>
      <c r="J72" s="125"/>
      <c r="K72" s="125"/>
      <c r="L72" s="125"/>
      <c r="M72" s="125"/>
      <c r="N72" s="125"/>
      <c r="O72" s="125"/>
      <c r="P72" s="125"/>
      <c r="Q72" s="126"/>
      <c r="R72" s="130"/>
      <c r="S72" s="131"/>
      <c r="T72" s="132"/>
      <c r="U72" s="139"/>
      <c r="V72" s="140"/>
      <c r="W72" s="140"/>
      <c r="X72" s="140"/>
      <c r="Y72" s="140"/>
      <c r="Z72" s="141"/>
      <c r="AA72" s="77"/>
      <c r="AB72" s="65"/>
      <c r="AC72" s="65"/>
      <c r="AD72" s="59"/>
    </row>
  </sheetData>
  <mergeCells count="106"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  <mergeCell ref="B12:F12"/>
    <mergeCell ref="G12:L12"/>
    <mergeCell ref="M12:R12"/>
    <mergeCell ref="S12:Y12"/>
    <mergeCell ref="G13:L13"/>
    <mergeCell ref="M13:R13"/>
    <mergeCell ref="S13:Y13"/>
    <mergeCell ref="AE10:AI10"/>
    <mergeCell ref="B11:F11"/>
    <mergeCell ref="G11:L11"/>
    <mergeCell ref="M11:R11"/>
    <mergeCell ref="S11:Y11"/>
    <mergeCell ref="AE11:AI11"/>
    <mergeCell ref="AE15:AJ15"/>
    <mergeCell ref="AE16:AJ16"/>
    <mergeCell ref="B19:H19"/>
    <mergeCell ref="I19:Y19"/>
    <mergeCell ref="B20:H20"/>
    <mergeCell ref="I20:Y20"/>
    <mergeCell ref="AE13:AJ13"/>
    <mergeCell ref="B14:F14"/>
    <mergeCell ref="G14:L14"/>
    <mergeCell ref="M14:R14"/>
    <mergeCell ref="S14:Y14"/>
    <mergeCell ref="AE14:AJ14"/>
    <mergeCell ref="AE49:AE50"/>
    <mergeCell ref="AF49:AF50"/>
    <mergeCell ref="AG49:AG50"/>
    <mergeCell ref="C50:D50"/>
    <mergeCell ref="Y51:Z51"/>
    <mergeCell ref="AB51:AC51"/>
    <mergeCell ref="AD47:AD48"/>
    <mergeCell ref="AE47:AE48"/>
    <mergeCell ref="AF47:AF48"/>
    <mergeCell ref="AG47:AG48"/>
    <mergeCell ref="E49:T49"/>
    <mergeCell ref="U49:V50"/>
    <mergeCell ref="W49:X50"/>
    <mergeCell ref="Y49:Z50"/>
    <mergeCell ref="AB49:AC50"/>
    <mergeCell ref="AD49:AD50"/>
    <mergeCell ref="AB54:AC54"/>
    <mergeCell ref="B56:D56"/>
    <mergeCell ref="Y52:Z52"/>
    <mergeCell ref="AB52:AC52"/>
    <mergeCell ref="C53:D53"/>
    <mergeCell ref="U53:V53"/>
    <mergeCell ref="W53:X53"/>
    <mergeCell ref="Y53:Z53"/>
    <mergeCell ref="AB53:AC53"/>
    <mergeCell ref="AD59:AD60"/>
    <mergeCell ref="AE59:AE60"/>
    <mergeCell ref="B60:D60"/>
    <mergeCell ref="U60:V60"/>
    <mergeCell ref="W60:X60"/>
    <mergeCell ref="Y60:Z60"/>
    <mergeCell ref="B57:D57"/>
    <mergeCell ref="U57:V57"/>
    <mergeCell ref="W57:X57"/>
    <mergeCell ref="Y57:Z57"/>
    <mergeCell ref="AB57:AC57"/>
    <mergeCell ref="B58:D58"/>
    <mergeCell ref="U58:V58"/>
    <mergeCell ref="W58:X58"/>
    <mergeCell ref="Y58:Z58"/>
    <mergeCell ref="AB58:AC58"/>
    <mergeCell ref="A69:Q72"/>
    <mergeCell ref="R69:T72"/>
    <mergeCell ref="U69:Z72"/>
    <mergeCell ref="C52:D52"/>
    <mergeCell ref="U52:V52"/>
    <mergeCell ref="W52:X52"/>
    <mergeCell ref="C51:D51"/>
    <mergeCell ref="U51:V51"/>
    <mergeCell ref="W51:X51"/>
    <mergeCell ref="U63:Z63"/>
    <mergeCell ref="A64:Q64"/>
    <mergeCell ref="R64:T64"/>
    <mergeCell ref="U64:Z64"/>
    <mergeCell ref="A65:Q67"/>
    <mergeCell ref="R65:T68"/>
    <mergeCell ref="U65:Z68"/>
    <mergeCell ref="U59:V59"/>
    <mergeCell ref="W59:X59"/>
    <mergeCell ref="Y59:Z59"/>
    <mergeCell ref="C54:D54"/>
    <mergeCell ref="U54:V54"/>
    <mergeCell ref="W54:X54"/>
    <mergeCell ref="Y54:Z54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horizontalDpi="300" verticalDpi="300" r:id="rId1"/>
  <headerFooter alignWithMargins="0">
    <oddFooter>&amp;RDG-Q / RE CFE du 28/06/06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N72"/>
  <sheetViews>
    <sheetView zoomScale="85" zoomScaleNormal="85" workbookViewId="0">
      <selection activeCell="T53" sqref="T53"/>
    </sheetView>
  </sheetViews>
  <sheetFormatPr baseColWidth="10" defaultColWidth="11.44140625" defaultRowHeight="12.75" customHeight="1" x14ac:dyDescent="0.25"/>
  <cols>
    <col min="1" max="2" width="5.109375" style="29" customWidth="1"/>
    <col min="3" max="27" width="5.109375" style="1" customWidth="1"/>
    <col min="28" max="41" width="11.44140625" style="1" customWidth="1"/>
    <col min="42" max="16384" width="11.44140625" style="1"/>
  </cols>
  <sheetData>
    <row r="1" spans="1:36" ht="12.75" customHeight="1" x14ac:dyDescent="0.25">
      <c r="A1" s="260"/>
      <c r="B1" s="261"/>
      <c r="C1" s="261"/>
      <c r="D1" s="261"/>
      <c r="E1" s="261"/>
      <c r="F1" s="262"/>
      <c r="G1" s="269" t="s">
        <v>34</v>
      </c>
      <c r="H1" s="270"/>
      <c r="I1" s="270"/>
      <c r="J1" s="270"/>
      <c r="K1" s="270"/>
      <c r="L1" s="270"/>
      <c r="M1" s="270"/>
      <c r="N1" s="270"/>
      <c r="O1" s="270"/>
      <c r="P1" s="270"/>
      <c r="Q1" s="270"/>
      <c r="R1" s="270"/>
      <c r="S1" s="270"/>
      <c r="T1" s="271"/>
      <c r="U1" s="272" t="s">
        <v>52</v>
      </c>
      <c r="V1" s="273"/>
      <c r="W1" s="273"/>
      <c r="X1" s="273"/>
      <c r="Y1" s="273"/>
      <c r="Z1" s="274"/>
      <c r="AA1" s="78"/>
    </row>
    <row r="2" spans="1:36" ht="12.75" customHeight="1" x14ac:dyDescent="0.25">
      <c r="A2" s="263"/>
      <c r="B2" s="264"/>
      <c r="C2" s="264"/>
      <c r="D2" s="264"/>
      <c r="E2" s="264"/>
      <c r="F2" s="265"/>
      <c r="G2" s="281" t="s">
        <v>40</v>
      </c>
      <c r="H2" s="282"/>
      <c r="I2" s="282"/>
      <c r="J2" s="282"/>
      <c r="K2" s="282"/>
      <c r="L2" s="282"/>
      <c r="M2" s="282"/>
      <c r="N2" s="282"/>
      <c r="O2" s="282"/>
      <c r="P2" s="282"/>
      <c r="Q2" s="282"/>
      <c r="R2" s="282"/>
      <c r="S2" s="282"/>
      <c r="T2" s="283"/>
      <c r="U2" s="275"/>
      <c r="V2" s="276"/>
      <c r="W2" s="276"/>
      <c r="X2" s="276"/>
      <c r="Y2" s="276"/>
      <c r="Z2" s="277"/>
      <c r="AA2" s="78"/>
    </row>
    <row r="3" spans="1:36" ht="12.75" customHeight="1" x14ac:dyDescent="0.25">
      <c r="A3" s="263"/>
      <c r="B3" s="264"/>
      <c r="C3" s="264"/>
      <c r="D3" s="264"/>
      <c r="E3" s="264"/>
      <c r="F3" s="265"/>
      <c r="G3" s="284"/>
      <c r="H3" s="282"/>
      <c r="I3" s="282"/>
      <c r="J3" s="282"/>
      <c r="K3" s="282"/>
      <c r="L3" s="282"/>
      <c r="M3" s="282"/>
      <c r="N3" s="282"/>
      <c r="O3" s="282"/>
      <c r="P3" s="282"/>
      <c r="Q3" s="282"/>
      <c r="R3" s="282"/>
      <c r="S3" s="282"/>
      <c r="T3" s="283"/>
      <c r="U3" s="275"/>
      <c r="V3" s="276"/>
      <c r="W3" s="276"/>
      <c r="X3" s="276"/>
      <c r="Y3" s="276"/>
      <c r="Z3" s="277"/>
      <c r="AA3" s="78"/>
    </row>
    <row r="4" spans="1:36" ht="12.75" customHeight="1" x14ac:dyDescent="0.25">
      <c r="A4" s="263"/>
      <c r="B4" s="264"/>
      <c r="C4" s="264"/>
      <c r="D4" s="264"/>
      <c r="E4" s="264"/>
      <c r="F4" s="265"/>
      <c r="G4" s="284"/>
      <c r="H4" s="282"/>
      <c r="I4" s="282"/>
      <c r="J4" s="282"/>
      <c r="K4" s="282"/>
      <c r="L4" s="282"/>
      <c r="M4" s="282"/>
      <c r="N4" s="282"/>
      <c r="O4" s="282"/>
      <c r="P4" s="282"/>
      <c r="Q4" s="282"/>
      <c r="R4" s="282"/>
      <c r="S4" s="282"/>
      <c r="T4" s="283"/>
      <c r="U4" s="275"/>
      <c r="V4" s="276"/>
      <c r="W4" s="276"/>
      <c r="X4" s="276"/>
      <c r="Y4" s="276"/>
      <c r="Z4" s="277"/>
      <c r="AA4" s="78"/>
    </row>
    <row r="5" spans="1:36" ht="12.75" customHeight="1" x14ac:dyDescent="0.25">
      <c r="A5" s="263"/>
      <c r="B5" s="264"/>
      <c r="C5" s="264"/>
      <c r="D5" s="264"/>
      <c r="E5" s="264"/>
      <c r="F5" s="265"/>
      <c r="G5" s="284" t="s">
        <v>41</v>
      </c>
      <c r="H5" s="282"/>
      <c r="I5" s="2" t="s">
        <v>35</v>
      </c>
      <c r="J5" s="285">
        <v>1</v>
      </c>
      <c r="K5" s="286"/>
      <c r="L5" s="287" t="s">
        <v>51</v>
      </c>
      <c r="M5" s="285"/>
      <c r="N5" s="285"/>
      <c r="O5" s="286"/>
      <c r="P5" s="288">
        <v>44728</v>
      </c>
      <c r="Q5" s="289"/>
      <c r="R5" s="289"/>
      <c r="S5" s="289"/>
      <c r="T5" s="290"/>
      <c r="U5" s="275"/>
      <c r="V5" s="276"/>
      <c r="W5" s="276"/>
      <c r="X5" s="276"/>
      <c r="Y5" s="276"/>
      <c r="Z5" s="277"/>
      <c r="AA5" s="78"/>
    </row>
    <row r="6" spans="1:36" ht="12.75" customHeight="1" x14ac:dyDescent="0.25">
      <c r="A6" s="266"/>
      <c r="B6" s="267"/>
      <c r="C6" s="267"/>
      <c r="D6" s="267"/>
      <c r="E6" s="267"/>
      <c r="F6" s="268"/>
      <c r="G6" s="3"/>
      <c r="H6" s="4"/>
      <c r="I6" s="4"/>
      <c r="J6" s="256" t="s">
        <v>36</v>
      </c>
      <c r="K6" s="256"/>
      <c r="L6" s="256" t="s">
        <v>37</v>
      </c>
      <c r="M6" s="256"/>
      <c r="N6" s="256"/>
      <c r="O6" s="256"/>
      <c r="P6" s="256" t="s">
        <v>38</v>
      </c>
      <c r="Q6" s="256"/>
      <c r="R6" s="256"/>
      <c r="S6" s="256"/>
      <c r="T6" s="257"/>
      <c r="U6" s="278"/>
      <c r="V6" s="279"/>
      <c r="W6" s="279"/>
      <c r="X6" s="279"/>
      <c r="Y6" s="279"/>
      <c r="Z6" s="280"/>
      <c r="AA6" s="78"/>
    </row>
    <row r="7" spans="1:36" ht="37.5" customHeight="1" x14ac:dyDescent="0.25">
      <c r="A7" s="258" t="s">
        <v>39</v>
      </c>
      <c r="B7" s="258"/>
      <c r="C7" s="258"/>
      <c r="D7" s="258"/>
      <c r="E7" s="258"/>
      <c r="F7" s="258"/>
      <c r="G7" s="259" t="s">
        <v>33</v>
      </c>
      <c r="H7" s="259"/>
      <c r="I7" s="259"/>
      <c r="J7" s="259"/>
      <c r="K7" s="259"/>
      <c r="L7" s="259"/>
      <c r="M7" s="259"/>
      <c r="N7" s="259"/>
      <c r="O7" s="259"/>
      <c r="P7" s="259"/>
      <c r="Q7" s="259"/>
      <c r="R7" s="259"/>
      <c r="S7" s="259"/>
      <c r="T7" s="259"/>
      <c r="U7" s="259"/>
      <c r="V7" s="259"/>
      <c r="W7" s="259"/>
      <c r="X7" s="259"/>
      <c r="Y7" s="259"/>
      <c r="Z7" s="259"/>
      <c r="AA7" s="79"/>
      <c r="AE7" s="6"/>
      <c r="AI7" s="6"/>
    </row>
    <row r="8" spans="1:36" ht="15.9" customHeight="1" x14ac:dyDescent="0.25">
      <c r="A8" s="7" t="s">
        <v>1</v>
      </c>
      <c r="B8" s="8" t="s">
        <v>0</v>
      </c>
      <c r="C8" s="9"/>
      <c r="D8" s="10"/>
      <c r="E8" s="10"/>
      <c r="F8" s="10"/>
      <c r="G8" s="1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1"/>
      <c r="AA8" s="14"/>
      <c r="AB8" s="12"/>
      <c r="AC8" s="12"/>
      <c r="AD8" s="12"/>
      <c r="AE8" s="6"/>
      <c r="AF8" s="12"/>
      <c r="AI8" s="6"/>
    </row>
    <row r="9" spans="1:36" ht="15.9" customHeight="1" x14ac:dyDescent="0.25">
      <c r="A9" s="13"/>
      <c r="B9" s="14"/>
      <c r="C9" s="14"/>
      <c r="D9" s="15"/>
      <c r="E9" s="15"/>
      <c r="F9" s="15"/>
      <c r="G9" s="15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6"/>
      <c r="AA9" s="14"/>
      <c r="AB9" s="12"/>
      <c r="AC9" s="12"/>
      <c r="AD9" s="12"/>
      <c r="AE9" s="6"/>
      <c r="AF9" s="12"/>
      <c r="AI9" s="6"/>
    </row>
    <row r="10" spans="1:36" ht="15.9" customHeight="1" x14ac:dyDescent="0.25">
      <c r="A10" s="13"/>
      <c r="B10" s="251" t="s">
        <v>28</v>
      </c>
      <c r="C10" s="251"/>
      <c r="D10" s="251"/>
      <c r="E10" s="251"/>
      <c r="F10" s="251"/>
      <c r="G10" s="253" t="s">
        <v>53</v>
      </c>
      <c r="H10" s="253"/>
      <c r="I10" s="253"/>
      <c r="J10" s="253"/>
      <c r="K10" s="253"/>
      <c r="L10" s="253"/>
      <c r="M10" s="251" t="s">
        <v>31</v>
      </c>
      <c r="N10" s="251"/>
      <c r="O10" s="251"/>
      <c r="P10" s="251"/>
      <c r="Q10" s="251"/>
      <c r="R10" s="251"/>
      <c r="S10" s="254" t="s">
        <v>56</v>
      </c>
      <c r="T10" s="254"/>
      <c r="U10" s="254"/>
      <c r="V10" s="254"/>
      <c r="W10" s="254"/>
      <c r="X10" s="254"/>
      <c r="Y10" s="254"/>
      <c r="Z10" s="17"/>
      <c r="AA10" s="75"/>
      <c r="AB10" s="12"/>
      <c r="AC10" s="12"/>
      <c r="AD10" s="12"/>
      <c r="AE10" s="251"/>
      <c r="AF10" s="251"/>
      <c r="AG10" s="251"/>
      <c r="AH10" s="251"/>
      <c r="AI10" s="251"/>
    </row>
    <row r="11" spans="1:36" ht="15.9" customHeight="1" x14ac:dyDescent="0.25">
      <c r="A11" s="13"/>
      <c r="B11" s="251" t="s">
        <v>6</v>
      </c>
      <c r="C11" s="251"/>
      <c r="D11" s="251"/>
      <c r="E11" s="251"/>
      <c r="F11" s="251"/>
      <c r="G11" s="253">
        <v>44728</v>
      </c>
      <c r="H11" s="253"/>
      <c r="I11" s="253"/>
      <c r="J11" s="253"/>
      <c r="K11" s="253"/>
      <c r="L11" s="253"/>
      <c r="M11" s="251" t="s">
        <v>45</v>
      </c>
      <c r="N11" s="251"/>
      <c r="O11" s="251"/>
      <c r="P11" s="251"/>
      <c r="Q11" s="251"/>
      <c r="R11" s="251"/>
      <c r="S11" s="254" t="s">
        <v>57</v>
      </c>
      <c r="T11" s="254"/>
      <c r="U11" s="254"/>
      <c r="V11" s="254"/>
      <c r="W11" s="254"/>
      <c r="X11" s="254"/>
      <c r="Y11" s="254"/>
      <c r="Z11" s="17"/>
      <c r="AA11" s="75"/>
      <c r="AB11" s="12"/>
      <c r="AC11" s="12"/>
      <c r="AD11" s="12"/>
      <c r="AE11" s="251"/>
      <c r="AF11" s="251"/>
      <c r="AG11" s="251"/>
      <c r="AH11" s="251"/>
      <c r="AI11" s="251"/>
    </row>
    <row r="12" spans="1:36" ht="15.9" customHeight="1" x14ac:dyDescent="0.25">
      <c r="A12" s="13"/>
      <c r="B12" s="251" t="s">
        <v>29</v>
      </c>
      <c r="C12" s="251"/>
      <c r="D12" s="251"/>
      <c r="E12" s="251"/>
      <c r="F12" s="251"/>
      <c r="G12" s="253">
        <v>44727</v>
      </c>
      <c r="H12" s="253"/>
      <c r="I12" s="253"/>
      <c r="J12" s="253"/>
      <c r="K12" s="253"/>
      <c r="L12" s="253"/>
      <c r="M12" s="255" t="s">
        <v>44</v>
      </c>
      <c r="N12" s="255"/>
      <c r="O12" s="255"/>
      <c r="P12" s="255"/>
      <c r="Q12" s="255"/>
      <c r="R12" s="255"/>
      <c r="S12" s="254">
        <v>157</v>
      </c>
      <c r="T12" s="254"/>
      <c r="U12" s="254"/>
      <c r="V12" s="254"/>
      <c r="W12" s="254"/>
      <c r="X12" s="254"/>
      <c r="Y12" s="254"/>
      <c r="Z12" s="17"/>
      <c r="AA12" s="75"/>
      <c r="AB12" s="12"/>
      <c r="AC12" s="12"/>
      <c r="AD12" s="12"/>
      <c r="AE12" s="6"/>
      <c r="AF12" s="12"/>
      <c r="AI12" s="6"/>
    </row>
    <row r="13" spans="1:36" ht="15.9" customHeight="1" x14ac:dyDescent="0.25">
      <c r="A13" s="13"/>
      <c r="B13" s="105" t="s">
        <v>42</v>
      </c>
      <c r="C13" s="105"/>
      <c r="D13" s="105"/>
      <c r="E13" s="105"/>
      <c r="F13" s="105"/>
      <c r="G13" s="253" t="s">
        <v>54</v>
      </c>
      <c r="H13" s="253"/>
      <c r="I13" s="253"/>
      <c r="J13" s="253"/>
      <c r="K13" s="253"/>
      <c r="L13" s="253"/>
      <c r="M13" s="251" t="s">
        <v>30</v>
      </c>
      <c r="N13" s="251"/>
      <c r="O13" s="251"/>
      <c r="P13" s="251"/>
      <c r="Q13" s="251"/>
      <c r="R13" s="251"/>
      <c r="S13" s="253" t="s">
        <v>58</v>
      </c>
      <c r="T13" s="253"/>
      <c r="U13" s="253"/>
      <c r="V13" s="253"/>
      <c r="W13" s="253"/>
      <c r="X13" s="253"/>
      <c r="Y13" s="253"/>
      <c r="Z13" s="17"/>
      <c r="AA13" s="75"/>
      <c r="AB13" s="12"/>
      <c r="AC13" s="12"/>
      <c r="AD13" s="12"/>
      <c r="AE13" s="251"/>
      <c r="AF13" s="251"/>
      <c r="AG13" s="251"/>
      <c r="AH13" s="251"/>
      <c r="AI13" s="251"/>
      <c r="AJ13" s="251"/>
    </row>
    <row r="14" spans="1:36" ht="15.9" customHeight="1" x14ac:dyDescent="0.25">
      <c r="A14" s="18"/>
      <c r="B14" s="251" t="s">
        <v>43</v>
      </c>
      <c r="C14" s="251"/>
      <c r="D14" s="251"/>
      <c r="E14" s="251"/>
      <c r="F14" s="251"/>
      <c r="G14" s="253" t="s">
        <v>55</v>
      </c>
      <c r="H14" s="253"/>
      <c r="I14" s="253"/>
      <c r="J14" s="253"/>
      <c r="K14" s="253"/>
      <c r="L14" s="253"/>
      <c r="M14" s="254" t="s">
        <v>27</v>
      </c>
      <c r="N14" s="254"/>
      <c r="O14" s="254"/>
      <c r="P14" s="254"/>
      <c r="Q14" s="254"/>
      <c r="R14" s="254"/>
      <c r="S14" s="254" t="s">
        <v>50</v>
      </c>
      <c r="T14" s="254"/>
      <c r="U14" s="254"/>
      <c r="V14" s="254"/>
      <c r="W14" s="254"/>
      <c r="X14" s="254"/>
      <c r="Y14" s="254"/>
      <c r="Z14" s="19"/>
      <c r="AA14" s="12"/>
      <c r="AB14" s="12"/>
      <c r="AC14" s="12"/>
      <c r="AD14" s="12"/>
      <c r="AE14" s="251"/>
      <c r="AF14" s="251"/>
      <c r="AG14" s="251"/>
      <c r="AH14" s="251"/>
      <c r="AI14" s="251"/>
      <c r="AJ14" s="251"/>
    </row>
    <row r="15" spans="1:36" ht="6" customHeight="1" x14ac:dyDescent="0.25">
      <c r="A15" s="24"/>
      <c r="B15" s="25"/>
      <c r="C15" s="26"/>
      <c r="D15" s="26"/>
      <c r="E15" s="26"/>
      <c r="F15" s="25"/>
      <c r="G15" s="25"/>
      <c r="H15" s="25"/>
      <c r="I15" s="25"/>
      <c r="J15" s="25"/>
      <c r="K15" s="25"/>
      <c r="L15" s="25"/>
      <c r="M15" s="25"/>
      <c r="N15" s="26"/>
      <c r="O15" s="26"/>
      <c r="P15" s="26"/>
      <c r="Q15" s="26"/>
      <c r="R15" s="26"/>
      <c r="S15" s="26"/>
      <c r="T15" s="27"/>
      <c r="U15" s="27"/>
      <c r="V15" s="26"/>
      <c r="W15" s="26"/>
      <c r="X15" s="26"/>
      <c r="Y15" s="26"/>
      <c r="Z15" s="28"/>
      <c r="AE15" s="251"/>
      <c r="AF15" s="251"/>
      <c r="AG15" s="251"/>
      <c r="AH15" s="251"/>
      <c r="AI15" s="251"/>
      <c r="AJ15" s="251"/>
    </row>
    <row r="16" spans="1:36" ht="6" customHeight="1" x14ac:dyDescent="0.25">
      <c r="F16" s="29"/>
      <c r="G16" s="29"/>
      <c r="H16" s="29"/>
      <c r="I16" s="29"/>
      <c r="J16" s="29"/>
      <c r="K16" s="29"/>
      <c r="L16" s="29"/>
      <c r="M16" s="29"/>
      <c r="T16" s="30"/>
      <c r="U16" s="30"/>
      <c r="AE16" s="251"/>
      <c r="AF16" s="251"/>
      <c r="AG16" s="251"/>
      <c r="AH16" s="251"/>
      <c r="AI16" s="251"/>
      <c r="AJ16" s="251"/>
    </row>
    <row r="17" spans="1:40" ht="15.9" customHeight="1" x14ac:dyDescent="0.25">
      <c r="A17" s="7" t="s">
        <v>2</v>
      </c>
      <c r="B17" s="8" t="s">
        <v>18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1"/>
      <c r="AA17" s="14"/>
      <c r="AE17" s="20"/>
      <c r="AI17" s="20"/>
    </row>
    <row r="18" spans="1:40" ht="8.25" customHeight="1" x14ac:dyDescent="0.25">
      <c r="A18" s="13"/>
      <c r="B18" s="31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6"/>
      <c r="AA18" s="14"/>
      <c r="AE18" s="20"/>
      <c r="AI18" s="20"/>
    </row>
    <row r="19" spans="1:40" ht="15.9" customHeight="1" x14ac:dyDescent="0.25">
      <c r="A19" s="13"/>
      <c r="B19" s="251" t="s">
        <v>19</v>
      </c>
      <c r="C19" s="251"/>
      <c r="D19" s="251"/>
      <c r="E19" s="251"/>
      <c r="F19" s="251"/>
      <c r="G19" s="251"/>
      <c r="H19" s="251"/>
      <c r="I19" s="252"/>
      <c r="J19" s="252"/>
      <c r="K19" s="252"/>
      <c r="L19" s="252"/>
      <c r="M19" s="252"/>
      <c r="N19" s="252"/>
      <c r="O19" s="252"/>
      <c r="P19" s="252"/>
      <c r="Q19" s="252"/>
      <c r="R19" s="252"/>
      <c r="S19" s="252"/>
      <c r="T19" s="252"/>
      <c r="U19" s="252"/>
      <c r="V19" s="252"/>
      <c r="W19" s="252"/>
      <c r="X19" s="252"/>
      <c r="Y19" s="252"/>
      <c r="Z19" s="17"/>
      <c r="AA19" s="75"/>
      <c r="AE19" s="20"/>
      <c r="AI19" s="20"/>
    </row>
    <row r="20" spans="1:40" ht="15.9" customHeight="1" x14ac:dyDescent="0.25">
      <c r="A20" s="13"/>
      <c r="B20" s="251" t="s">
        <v>20</v>
      </c>
      <c r="C20" s="251"/>
      <c r="D20" s="251"/>
      <c r="E20" s="251"/>
      <c r="F20" s="251"/>
      <c r="G20" s="251"/>
      <c r="H20" s="251"/>
      <c r="I20" s="166"/>
      <c r="J20" s="166"/>
      <c r="K20" s="166"/>
      <c r="L20" s="166"/>
      <c r="M20" s="166"/>
      <c r="N20" s="166"/>
      <c r="O20" s="166"/>
      <c r="P20" s="166"/>
      <c r="Q20" s="166"/>
      <c r="R20" s="166"/>
      <c r="S20" s="166"/>
      <c r="T20" s="166"/>
      <c r="U20" s="166"/>
      <c r="V20" s="166"/>
      <c r="W20" s="166"/>
      <c r="X20" s="166"/>
      <c r="Y20" s="166"/>
      <c r="Z20" s="17"/>
      <c r="AA20" s="75"/>
      <c r="AE20" s="20"/>
      <c r="AI20" s="20"/>
    </row>
    <row r="21" spans="1:40" ht="7.5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2"/>
      <c r="AA21" s="14"/>
      <c r="AE21" s="20"/>
      <c r="AI21" s="20"/>
    </row>
    <row r="22" spans="1:40" ht="5.25" customHeight="1" x14ac:dyDescent="0.25">
      <c r="F22" s="29"/>
      <c r="G22" s="29"/>
      <c r="H22" s="29"/>
      <c r="I22" s="29"/>
      <c r="J22" s="29"/>
      <c r="K22" s="29"/>
      <c r="L22" s="29"/>
      <c r="M22" s="29"/>
      <c r="T22" s="30"/>
      <c r="U22" s="30"/>
      <c r="AE22" s="20"/>
      <c r="AI22" s="20"/>
      <c r="AM22" s="12"/>
      <c r="AN22" s="12"/>
    </row>
    <row r="23" spans="1:40" ht="15.9" customHeight="1" x14ac:dyDescent="0.25">
      <c r="A23" s="33" t="s">
        <v>2</v>
      </c>
      <c r="B23" s="34" t="s">
        <v>17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21"/>
      <c r="AN23" s="22"/>
    </row>
    <row r="24" spans="1:40" ht="9" customHeight="1" x14ac:dyDescent="0.25">
      <c r="A24" s="18"/>
      <c r="Z24" s="23"/>
    </row>
    <row r="25" spans="1:40" ht="12.75" customHeight="1" x14ac:dyDescent="0.25">
      <c r="A25" s="18"/>
      <c r="Z25" s="23"/>
    </row>
    <row r="26" spans="1:40" ht="12.75" customHeight="1" x14ac:dyDescent="0.25">
      <c r="A26" s="18"/>
      <c r="Z26" s="23"/>
    </row>
    <row r="27" spans="1:40" ht="12.75" customHeight="1" x14ac:dyDescent="0.25">
      <c r="A27" s="18"/>
      <c r="Z27" s="23"/>
    </row>
    <row r="28" spans="1:40" ht="12.75" customHeight="1" x14ac:dyDescent="0.25">
      <c r="A28" s="18"/>
      <c r="Z28" s="23"/>
    </row>
    <row r="29" spans="1:40" ht="12.75" customHeight="1" x14ac:dyDescent="0.25">
      <c r="A29" s="18"/>
      <c r="Z29" s="23"/>
    </row>
    <row r="30" spans="1:40" ht="12.75" customHeight="1" x14ac:dyDescent="0.25">
      <c r="A30" s="18"/>
      <c r="Z30" s="23"/>
    </row>
    <row r="31" spans="1:40" ht="12.75" customHeight="1" x14ac:dyDescent="0.25">
      <c r="A31" s="18"/>
      <c r="Z31" s="23"/>
    </row>
    <row r="32" spans="1:40" ht="12.75" customHeight="1" x14ac:dyDescent="0.25">
      <c r="A32" s="18"/>
      <c r="Z32" s="23"/>
    </row>
    <row r="33" spans="1:34" ht="12.75" customHeight="1" x14ac:dyDescent="0.25">
      <c r="A33" s="18"/>
      <c r="Z33" s="23"/>
    </row>
    <row r="34" spans="1:34" ht="12.75" customHeight="1" x14ac:dyDescent="0.25">
      <c r="A34" s="18"/>
      <c r="Z34" s="23"/>
    </row>
    <row r="35" spans="1:34" ht="12.75" customHeight="1" x14ac:dyDescent="0.25">
      <c r="A35" s="18"/>
      <c r="Z35" s="23"/>
    </row>
    <row r="36" spans="1:34" ht="12.75" customHeight="1" x14ac:dyDescent="0.25">
      <c r="A36" s="18"/>
      <c r="Z36" s="23"/>
    </row>
    <row r="37" spans="1:34" ht="12.75" customHeight="1" x14ac:dyDescent="0.25">
      <c r="A37" s="18"/>
      <c r="Z37" s="23"/>
    </row>
    <row r="38" spans="1:34" ht="12.75" customHeight="1" x14ac:dyDescent="0.25">
      <c r="A38" s="18"/>
      <c r="Z38" s="23"/>
    </row>
    <row r="39" spans="1:34" ht="12.75" customHeight="1" x14ac:dyDescent="0.25">
      <c r="A39" s="18"/>
      <c r="Z39" s="23"/>
    </row>
    <row r="40" spans="1:34" ht="12.75" customHeight="1" x14ac:dyDescent="0.25">
      <c r="A40" s="18"/>
      <c r="Z40" s="23"/>
    </row>
    <row r="41" spans="1:34" ht="12.75" customHeight="1" x14ac:dyDescent="0.25">
      <c r="A41" s="18"/>
      <c r="Z41" s="23"/>
    </row>
    <row r="42" spans="1:34" ht="12.75" customHeight="1" x14ac:dyDescent="0.25">
      <c r="A42" s="18"/>
      <c r="Z42" s="23"/>
    </row>
    <row r="43" spans="1:34" ht="12.75" customHeight="1" x14ac:dyDescent="0.25">
      <c r="A43" s="18"/>
      <c r="Z43" s="23"/>
    </row>
    <row r="44" spans="1:34" ht="12.75" customHeight="1" x14ac:dyDescent="0.25">
      <c r="A44" s="18"/>
      <c r="Z44" s="23"/>
    </row>
    <row r="45" spans="1:34" ht="12.75" customHeight="1" x14ac:dyDescent="0.25">
      <c r="A45" s="18"/>
      <c r="Z45" s="23"/>
    </row>
    <row r="46" spans="1:34" ht="9.75" customHeight="1" thickBot="1" x14ac:dyDescent="0.3">
      <c r="A46" s="18"/>
      <c r="Z46" s="23"/>
    </row>
    <row r="47" spans="1:34" ht="9.75" customHeight="1" x14ac:dyDescent="0.25">
      <c r="A47" s="18"/>
      <c r="Z47" s="23"/>
      <c r="AD47" s="230" t="s">
        <v>16</v>
      </c>
      <c r="AE47" s="232">
        <v>2.67</v>
      </c>
      <c r="AF47" s="224"/>
      <c r="AG47" s="235"/>
      <c r="AH47" s="39"/>
    </row>
    <row r="48" spans="1:34" ht="12.75" customHeight="1" thickBot="1" x14ac:dyDescent="0.3">
      <c r="A48" s="18"/>
      <c r="Z48" s="87"/>
      <c r="AD48" s="231"/>
      <c r="AE48" s="233"/>
      <c r="AF48" s="234"/>
      <c r="AG48" s="235"/>
    </row>
    <row r="49" spans="1:34" ht="18.75" customHeight="1" thickBot="1" x14ac:dyDescent="0.3">
      <c r="A49" s="18"/>
      <c r="E49" s="236" t="s">
        <v>11</v>
      </c>
      <c r="F49" s="237"/>
      <c r="G49" s="237"/>
      <c r="H49" s="237"/>
      <c r="I49" s="237"/>
      <c r="J49" s="237"/>
      <c r="K49" s="237"/>
      <c r="L49" s="237"/>
      <c r="M49" s="237"/>
      <c r="N49" s="237"/>
      <c r="O49" s="237"/>
      <c r="P49" s="237"/>
      <c r="Q49" s="237"/>
      <c r="R49" s="237"/>
      <c r="S49" s="237"/>
      <c r="T49" s="237"/>
      <c r="U49" s="238" t="s">
        <v>48</v>
      </c>
      <c r="V49" s="239"/>
      <c r="W49" s="240" t="s">
        <v>12</v>
      </c>
      <c r="X49" s="239"/>
      <c r="Y49" s="241" t="s">
        <v>13</v>
      </c>
      <c r="Z49" s="242"/>
      <c r="AA49" s="82"/>
      <c r="AB49" s="245" t="s">
        <v>46</v>
      </c>
      <c r="AC49" s="246"/>
      <c r="AD49" s="249" t="s">
        <v>14</v>
      </c>
      <c r="AE49" s="222" t="s">
        <v>15</v>
      </c>
      <c r="AF49" s="224"/>
      <c r="AG49" s="224"/>
      <c r="AH49" s="40"/>
    </row>
    <row r="50" spans="1:34" ht="24.9" customHeight="1" thickBot="1" x14ac:dyDescent="0.3">
      <c r="A50" s="5"/>
      <c r="B50" s="41" t="s">
        <v>22</v>
      </c>
      <c r="C50" s="226" t="s">
        <v>10</v>
      </c>
      <c r="D50" s="227"/>
      <c r="E50" s="89">
        <v>6.3E-2</v>
      </c>
      <c r="F50" s="89">
        <v>0.125</v>
      </c>
      <c r="G50" s="42">
        <v>0.25</v>
      </c>
      <c r="H50" s="42">
        <v>0.5</v>
      </c>
      <c r="I50" s="42">
        <v>1</v>
      </c>
      <c r="J50" s="42">
        <v>2</v>
      </c>
      <c r="K50" s="42">
        <v>4</v>
      </c>
      <c r="L50" s="42">
        <v>6.3</v>
      </c>
      <c r="M50" s="42">
        <v>8</v>
      </c>
      <c r="N50" s="42">
        <v>10</v>
      </c>
      <c r="O50" s="42">
        <v>12.5</v>
      </c>
      <c r="P50" s="42">
        <v>14</v>
      </c>
      <c r="Q50" s="74">
        <v>16</v>
      </c>
      <c r="R50" s="74">
        <v>20</v>
      </c>
      <c r="S50" s="42"/>
      <c r="T50" s="74"/>
      <c r="U50" s="180"/>
      <c r="V50" s="182"/>
      <c r="W50" s="181"/>
      <c r="X50" s="182"/>
      <c r="Y50" s="243"/>
      <c r="Z50" s="244"/>
      <c r="AA50" s="82"/>
      <c r="AB50" s="247"/>
      <c r="AC50" s="248"/>
      <c r="AD50" s="250"/>
      <c r="AE50" s="223"/>
      <c r="AF50" s="225"/>
      <c r="AG50" s="224"/>
    </row>
    <row r="51" spans="1:34" ht="24.9" customHeight="1" x14ac:dyDescent="0.25">
      <c r="A51" s="5"/>
      <c r="B51" s="43">
        <v>1</v>
      </c>
      <c r="C51" s="295" t="s">
        <v>62</v>
      </c>
      <c r="D51" s="296"/>
      <c r="E51" s="107">
        <v>7.4</v>
      </c>
      <c r="F51" s="108">
        <v>9.4</v>
      </c>
      <c r="G51" s="109">
        <v>12.3</v>
      </c>
      <c r="H51" s="109">
        <v>16.100000000000001</v>
      </c>
      <c r="I51" s="109">
        <v>21.2</v>
      </c>
      <c r="J51" s="109">
        <v>29.7</v>
      </c>
      <c r="K51" s="109">
        <v>42.2</v>
      </c>
      <c r="L51" s="109">
        <v>55.9</v>
      </c>
      <c r="M51" s="109">
        <v>64.2</v>
      </c>
      <c r="N51" s="109">
        <v>74.3</v>
      </c>
      <c r="O51" s="109">
        <v>88.2</v>
      </c>
      <c r="P51" s="109">
        <v>95.1</v>
      </c>
      <c r="Q51" s="110">
        <v>100</v>
      </c>
      <c r="R51" s="109"/>
      <c r="S51" s="106"/>
      <c r="T51" s="106"/>
      <c r="U51" s="291">
        <v>165</v>
      </c>
      <c r="V51" s="292"/>
      <c r="W51" s="293">
        <v>4.22</v>
      </c>
      <c r="X51" s="294"/>
      <c r="Y51" s="228">
        <f>IF(W51&lt;&gt;0,AE51,"")</f>
        <v>2.6249876564434715</v>
      </c>
      <c r="Z51" s="229"/>
      <c r="AA51" s="80"/>
      <c r="AB51" s="196">
        <f>(100*W51)/(100-W51)</f>
        <v>4.4059302568385883</v>
      </c>
      <c r="AC51" s="197"/>
      <c r="AD51" s="67">
        <f>(0.25*(100-O51)+2.3*(O51-H51)+12*(H51-E51)+150*(E51))/100</f>
        <v>13.831799999999998</v>
      </c>
      <c r="AE51" s="68">
        <f>(AB51*$AE$47)/(2.65*(AD51)^(1/5))</f>
        <v>2.6249876564434715</v>
      </c>
      <c r="AF51" s="29"/>
      <c r="AG51" s="66"/>
    </row>
    <row r="52" spans="1:34" ht="24.9" customHeight="1" x14ac:dyDescent="0.25">
      <c r="A52" s="5"/>
      <c r="B52" s="44">
        <v>2</v>
      </c>
      <c r="C52" s="295" t="s">
        <v>63</v>
      </c>
      <c r="D52" s="296"/>
      <c r="E52" s="107">
        <v>7.7</v>
      </c>
      <c r="F52" s="108">
        <v>9.6999999999999993</v>
      </c>
      <c r="G52" s="109">
        <v>12.4</v>
      </c>
      <c r="H52" s="109">
        <v>16.100000000000001</v>
      </c>
      <c r="I52" s="109">
        <v>21.2</v>
      </c>
      <c r="J52" s="109">
        <v>30.8</v>
      </c>
      <c r="K52" s="109">
        <v>47.6</v>
      </c>
      <c r="L52" s="109">
        <v>65.900000000000006</v>
      </c>
      <c r="M52" s="109">
        <v>76.2</v>
      </c>
      <c r="N52" s="109">
        <v>85.4</v>
      </c>
      <c r="O52" s="109">
        <v>92</v>
      </c>
      <c r="P52" s="109">
        <v>97.6</v>
      </c>
      <c r="Q52" s="110">
        <v>100</v>
      </c>
      <c r="R52" s="109"/>
      <c r="S52" s="106"/>
      <c r="T52" s="106"/>
      <c r="U52" s="291">
        <v>168</v>
      </c>
      <c r="V52" s="292"/>
      <c r="W52" s="293">
        <v>4.34</v>
      </c>
      <c r="X52" s="294"/>
      <c r="Y52" s="217">
        <f>IF(W52&lt;&gt;0,AE52,"")</f>
        <v>2.6841927383668649</v>
      </c>
      <c r="Z52" s="218"/>
      <c r="AA52" s="80"/>
      <c r="AB52" s="196">
        <f>(100*W52)/(100-W52)</f>
        <v>4.5369015262387622</v>
      </c>
      <c r="AC52" s="197"/>
      <c r="AD52" s="67">
        <f t="shared" ref="AD52:AD58" si="0">(0.25*(100-O52)+2.3*(O52-H52)+12*(H52-E52)+150*(E52))/100</f>
        <v>14.323699999999999</v>
      </c>
      <c r="AE52" s="68">
        <f t="shared" ref="AE52:AE58" si="1">(AB52*$AE$47)/(2.65*(AD52)^(1/5))</f>
        <v>2.6841927383668649</v>
      </c>
      <c r="AF52" s="29"/>
      <c r="AG52" s="66"/>
    </row>
    <row r="53" spans="1:34" ht="24.9" customHeight="1" x14ac:dyDescent="0.25">
      <c r="A53" s="5"/>
      <c r="B53" s="44">
        <v>3</v>
      </c>
      <c r="C53" s="174"/>
      <c r="D53" s="219"/>
      <c r="E53" s="90"/>
      <c r="F53" s="91"/>
      <c r="G53" s="91"/>
      <c r="H53" s="92"/>
      <c r="I53" s="92"/>
      <c r="J53" s="92"/>
      <c r="K53" s="92"/>
      <c r="L53" s="92"/>
      <c r="M53" s="92"/>
      <c r="N53" s="92"/>
      <c r="O53" s="92"/>
      <c r="P53" s="92"/>
      <c r="Q53" s="92"/>
      <c r="R53" s="92"/>
      <c r="S53" s="92"/>
      <c r="T53" s="93"/>
      <c r="U53" s="171"/>
      <c r="V53" s="172"/>
      <c r="W53" s="220"/>
      <c r="X53" s="221"/>
      <c r="Y53" s="217" t="str">
        <f t="shared" ref="Y53:Y54" si="2">IF(W53&lt;&gt;0,AE53,"")</f>
        <v/>
      </c>
      <c r="Z53" s="218"/>
      <c r="AA53" s="80"/>
      <c r="AB53" s="196">
        <f>(100*W53)/(100-W53)</f>
        <v>0</v>
      </c>
      <c r="AC53" s="197"/>
      <c r="AD53" s="67">
        <f t="shared" si="0"/>
        <v>0.25</v>
      </c>
      <c r="AE53" s="68">
        <f t="shared" si="1"/>
        <v>0</v>
      </c>
      <c r="AF53" s="29"/>
      <c r="AG53" s="66"/>
    </row>
    <row r="54" spans="1:34" ht="24.9" customHeight="1" thickBot="1" x14ac:dyDescent="0.3">
      <c r="A54" s="5"/>
      <c r="B54" s="45">
        <v>4</v>
      </c>
      <c r="C54" s="186"/>
      <c r="D54" s="207"/>
      <c r="E54" s="94"/>
      <c r="F54" s="95"/>
      <c r="G54" s="95"/>
      <c r="H54" s="96"/>
      <c r="I54" s="96"/>
      <c r="J54" s="96"/>
      <c r="K54" s="96"/>
      <c r="L54" s="96"/>
      <c r="M54" s="96"/>
      <c r="N54" s="96"/>
      <c r="O54" s="96"/>
      <c r="P54" s="96"/>
      <c r="Q54" s="96"/>
      <c r="R54" s="96"/>
      <c r="S54" s="96"/>
      <c r="T54" s="97"/>
      <c r="U54" s="208"/>
      <c r="V54" s="209"/>
      <c r="W54" s="210"/>
      <c r="X54" s="211"/>
      <c r="Y54" s="212" t="str">
        <f t="shared" si="2"/>
        <v/>
      </c>
      <c r="Z54" s="213"/>
      <c r="AA54" s="80"/>
      <c r="AB54" s="196">
        <f>(100*W54)/(100-W54)</f>
        <v>0</v>
      </c>
      <c r="AC54" s="197"/>
      <c r="AD54" s="67">
        <f t="shared" si="0"/>
        <v>0.25</v>
      </c>
      <c r="AE54" s="68">
        <f t="shared" si="1"/>
        <v>0</v>
      </c>
      <c r="AF54" s="29"/>
      <c r="AG54" s="66"/>
    </row>
    <row r="55" spans="1:34" ht="10.5" customHeight="1" thickBot="1" x14ac:dyDescent="0.3">
      <c r="A55" s="5"/>
      <c r="B55" s="1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88"/>
      <c r="Z55" s="70"/>
      <c r="AB55" s="85"/>
      <c r="AC55" s="86"/>
      <c r="AD55" s="67"/>
      <c r="AE55" s="68"/>
      <c r="AF55" s="29"/>
      <c r="AG55" s="66"/>
    </row>
    <row r="56" spans="1:34" ht="24.75" hidden="1" customHeight="1" x14ac:dyDescent="0.25">
      <c r="A56" s="5"/>
      <c r="B56" s="214" t="s">
        <v>8</v>
      </c>
      <c r="C56" s="215"/>
      <c r="D56" s="216"/>
      <c r="E56" s="47"/>
      <c r="F56" s="47"/>
      <c r="G56" s="47"/>
      <c r="H56" s="47"/>
      <c r="I56" s="47"/>
      <c r="J56" s="47"/>
      <c r="K56" s="47"/>
      <c r="L56" s="47"/>
      <c r="M56" s="47">
        <v>10</v>
      </c>
      <c r="N56" s="47">
        <v>10</v>
      </c>
      <c r="O56" s="47"/>
      <c r="P56" s="47"/>
      <c r="Q56" s="47">
        <v>50</v>
      </c>
      <c r="R56" s="47"/>
      <c r="S56" s="47">
        <v>70</v>
      </c>
      <c r="T56" s="47"/>
      <c r="U56" s="47"/>
      <c r="V56" s="47"/>
      <c r="W56" s="47"/>
      <c r="X56" s="48"/>
      <c r="Y56" s="49">
        <v>4.5</v>
      </c>
      <c r="Z56" s="49"/>
      <c r="AA56" s="29"/>
      <c r="AB56" s="85"/>
      <c r="AC56" s="86"/>
      <c r="AD56" s="67">
        <f t="shared" si="0"/>
        <v>0.25</v>
      </c>
      <c r="AE56" s="68">
        <f t="shared" si="1"/>
        <v>0</v>
      </c>
      <c r="AF56" s="29"/>
      <c r="AG56" s="66"/>
    </row>
    <row r="57" spans="1:34" ht="18.75" customHeight="1" x14ac:dyDescent="0.25">
      <c r="A57" s="5"/>
      <c r="B57" s="188" t="s">
        <v>7</v>
      </c>
      <c r="C57" s="189"/>
      <c r="D57" s="190"/>
      <c r="E57" s="98">
        <f t="shared" ref="E57:T57" si="3">IF(E51&lt;&gt;0,AVERAGE(E51:E54),"")</f>
        <v>7.5500000000000007</v>
      </c>
      <c r="F57" s="98">
        <f t="shared" si="3"/>
        <v>9.5500000000000007</v>
      </c>
      <c r="G57" s="98">
        <f t="shared" si="3"/>
        <v>12.350000000000001</v>
      </c>
      <c r="H57" s="98">
        <f t="shared" si="3"/>
        <v>16.100000000000001</v>
      </c>
      <c r="I57" s="98">
        <f t="shared" si="3"/>
        <v>21.2</v>
      </c>
      <c r="J57" s="98">
        <f t="shared" si="3"/>
        <v>30.25</v>
      </c>
      <c r="K57" s="98">
        <f t="shared" si="3"/>
        <v>44.900000000000006</v>
      </c>
      <c r="L57" s="98">
        <f t="shared" si="3"/>
        <v>60.900000000000006</v>
      </c>
      <c r="M57" s="98">
        <f t="shared" si="3"/>
        <v>70.2</v>
      </c>
      <c r="N57" s="98">
        <f t="shared" si="3"/>
        <v>79.849999999999994</v>
      </c>
      <c r="O57" s="98">
        <f t="shared" si="3"/>
        <v>90.1</v>
      </c>
      <c r="P57" s="98">
        <f t="shared" si="3"/>
        <v>96.35</v>
      </c>
      <c r="Q57" s="111">
        <f t="shared" si="3"/>
        <v>100</v>
      </c>
      <c r="R57" s="98"/>
      <c r="S57" s="98" t="str">
        <f t="shared" si="3"/>
        <v/>
      </c>
      <c r="T57" s="99" t="str">
        <f t="shared" si="3"/>
        <v/>
      </c>
      <c r="U57" s="191">
        <f>IF(U51&lt;&gt;0,AVERAGE(U51:V54),"")</f>
        <v>166.5</v>
      </c>
      <c r="V57" s="192"/>
      <c r="W57" s="193">
        <f>IF(W51&lt;&gt;0,AVERAGE(W51:X54),"")</f>
        <v>4.2799999999999994</v>
      </c>
      <c r="X57" s="194"/>
      <c r="Y57" s="193">
        <f>IF(W51&lt;&gt;0,AVERAGE(Y51:Z54),"")</f>
        <v>2.6545901974051684</v>
      </c>
      <c r="Z57" s="195"/>
      <c r="AA57" s="66"/>
      <c r="AB57" s="196">
        <f>(100*W57)/(100-W57)</f>
        <v>4.4713748432929368</v>
      </c>
      <c r="AC57" s="197"/>
      <c r="AD57" s="67">
        <f t="shared" si="0"/>
        <v>14.077750000000002</v>
      </c>
      <c r="AE57" s="68">
        <f t="shared" si="1"/>
        <v>2.6546044421606334</v>
      </c>
      <c r="AF57" s="29"/>
      <c r="AG57" s="66"/>
    </row>
    <row r="58" spans="1:34" ht="21" customHeight="1" x14ac:dyDescent="0.25">
      <c r="A58" s="5"/>
      <c r="B58" s="198" t="s">
        <v>9</v>
      </c>
      <c r="C58" s="199"/>
      <c r="D58" s="200"/>
      <c r="E58" s="100">
        <v>6.2</v>
      </c>
      <c r="F58" s="100">
        <v>8</v>
      </c>
      <c r="G58" s="100">
        <v>12</v>
      </c>
      <c r="H58" s="100">
        <v>16</v>
      </c>
      <c r="I58" s="100">
        <v>22</v>
      </c>
      <c r="J58" s="100">
        <v>30</v>
      </c>
      <c r="K58" s="100">
        <v>43</v>
      </c>
      <c r="L58" s="100">
        <v>59</v>
      </c>
      <c r="M58" s="100">
        <v>68</v>
      </c>
      <c r="N58" s="100">
        <v>77</v>
      </c>
      <c r="O58" s="100">
        <v>91</v>
      </c>
      <c r="P58" s="100">
        <v>98</v>
      </c>
      <c r="Q58" s="100"/>
      <c r="R58" s="100"/>
      <c r="S58" s="100"/>
      <c r="T58" s="101"/>
      <c r="U58" s="201"/>
      <c r="V58" s="202"/>
      <c r="W58" s="203">
        <v>4.4000000000000004</v>
      </c>
      <c r="X58" s="204"/>
      <c r="Y58" s="205">
        <f>AE58</f>
        <v>2.8107424726304413</v>
      </c>
      <c r="Z58" s="206"/>
      <c r="AA58" s="66"/>
      <c r="AB58" s="196">
        <f>(100*W58)/(100-W58)</f>
        <v>4.6025104602510467</v>
      </c>
      <c r="AC58" s="197"/>
      <c r="AD58" s="67">
        <f t="shared" si="0"/>
        <v>12.2235</v>
      </c>
      <c r="AE58" s="68">
        <f t="shared" si="1"/>
        <v>2.8107424726304413</v>
      </c>
      <c r="AF58" s="29"/>
      <c r="AG58" s="66"/>
    </row>
    <row r="59" spans="1:34" ht="13.5" customHeight="1" x14ac:dyDescent="0.25">
      <c r="A59" s="5"/>
      <c r="B59" s="50"/>
      <c r="C59" s="51" t="s">
        <v>23</v>
      </c>
      <c r="D59" s="52"/>
      <c r="E59" s="92">
        <f>E58+2</f>
        <v>8.1999999999999993</v>
      </c>
      <c r="F59" s="92"/>
      <c r="G59" s="92"/>
      <c r="H59" s="92"/>
      <c r="I59" s="92"/>
      <c r="J59" s="92">
        <f>J58+6</f>
        <v>36</v>
      </c>
      <c r="K59" s="92"/>
      <c r="L59" s="92">
        <f>L58+7</f>
        <v>66</v>
      </c>
      <c r="M59" s="92"/>
      <c r="N59" s="92"/>
      <c r="O59" s="92"/>
      <c r="P59" s="92"/>
      <c r="Q59" s="92"/>
      <c r="R59" s="92"/>
      <c r="S59" s="92"/>
      <c r="T59" s="93"/>
      <c r="U59" s="171"/>
      <c r="V59" s="172"/>
      <c r="W59" s="173">
        <f>W58+0.5</f>
        <v>4.9000000000000004</v>
      </c>
      <c r="X59" s="172"/>
      <c r="Y59" s="174"/>
      <c r="Z59" s="175"/>
      <c r="AA59" s="83"/>
      <c r="AB59" s="71"/>
      <c r="AC59" s="69"/>
      <c r="AD59" s="176"/>
      <c r="AE59" s="178" t="s">
        <v>47</v>
      </c>
      <c r="AF59" s="29"/>
      <c r="AG59" s="66"/>
    </row>
    <row r="60" spans="1:34" ht="13.5" customHeight="1" thickBot="1" x14ac:dyDescent="0.3">
      <c r="A60" s="5"/>
      <c r="B60" s="180" t="s">
        <v>24</v>
      </c>
      <c r="C60" s="181"/>
      <c r="D60" s="182"/>
      <c r="E60" s="102">
        <f>E58-2</f>
        <v>4.2</v>
      </c>
      <c r="F60" s="102"/>
      <c r="G60" s="103"/>
      <c r="H60" s="103"/>
      <c r="I60" s="103"/>
      <c r="J60" s="102">
        <f>J58-6</f>
        <v>24</v>
      </c>
      <c r="K60" s="103"/>
      <c r="L60" s="102">
        <f>L58-7</f>
        <v>52</v>
      </c>
      <c r="M60" s="102"/>
      <c r="N60" s="103"/>
      <c r="O60" s="103"/>
      <c r="P60" s="103"/>
      <c r="Q60" s="102"/>
      <c r="R60" s="103"/>
      <c r="S60" s="103"/>
      <c r="T60" s="104"/>
      <c r="U60" s="183"/>
      <c r="V60" s="184"/>
      <c r="W60" s="185">
        <f>W58-0.5</f>
        <v>3.9000000000000004</v>
      </c>
      <c r="X60" s="184"/>
      <c r="Y60" s="186"/>
      <c r="Z60" s="187"/>
      <c r="AA60" s="84"/>
      <c r="AB60" s="72"/>
      <c r="AC60" s="73"/>
      <c r="AD60" s="177"/>
      <c r="AE60" s="179"/>
      <c r="AF60" s="29"/>
      <c r="AG60" s="66"/>
    </row>
    <row r="61" spans="1:34" ht="6.75" customHeight="1" x14ac:dyDescent="0.25">
      <c r="A61" s="24"/>
      <c r="B61" s="25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53"/>
    </row>
    <row r="62" spans="1:34" ht="8.25" customHeight="1" x14ac:dyDescent="0.25"/>
    <row r="63" spans="1:34" ht="34.5" customHeight="1" x14ac:dyDescent="0.25">
      <c r="A63" s="54" t="s">
        <v>4</v>
      </c>
      <c r="B63" s="55" t="s">
        <v>21</v>
      </c>
      <c r="C63" s="56"/>
      <c r="D63" s="56"/>
      <c r="E63" s="56"/>
      <c r="F63" s="57"/>
      <c r="G63" s="57"/>
      <c r="H63" s="57"/>
      <c r="I63" s="9"/>
      <c r="J63" s="9"/>
      <c r="K63" s="9"/>
      <c r="L63" s="9"/>
      <c r="M63" s="9"/>
      <c r="N63" s="9"/>
      <c r="O63" s="9"/>
      <c r="P63" s="9"/>
      <c r="Q63" s="57"/>
      <c r="R63" s="9"/>
      <c r="S63" s="9"/>
      <c r="T63" s="9"/>
      <c r="U63" s="148"/>
      <c r="V63" s="148"/>
      <c r="W63" s="148"/>
      <c r="X63" s="148"/>
      <c r="Y63" s="148"/>
      <c r="Z63" s="149"/>
      <c r="AA63" s="81"/>
      <c r="AB63" s="58"/>
      <c r="AC63" s="58"/>
      <c r="AD63" s="59"/>
    </row>
    <row r="64" spans="1:34" ht="27" customHeight="1" x14ac:dyDescent="0.25">
      <c r="A64" s="150" t="s">
        <v>49</v>
      </c>
      <c r="B64" s="151"/>
      <c r="C64" s="151"/>
      <c r="D64" s="151"/>
      <c r="E64" s="151"/>
      <c r="F64" s="151"/>
      <c r="G64" s="151"/>
      <c r="H64" s="151"/>
      <c r="I64" s="151"/>
      <c r="J64" s="151"/>
      <c r="K64" s="151"/>
      <c r="L64" s="151"/>
      <c r="M64" s="151"/>
      <c r="N64" s="151"/>
      <c r="O64" s="151"/>
      <c r="P64" s="151"/>
      <c r="Q64" s="152"/>
      <c r="R64" s="127" t="s">
        <v>32</v>
      </c>
      <c r="S64" s="128"/>
      <c r="T64" s="129"/>
      <c r="U64" s="153" t="s">
        <v>60</v>
      </c>
      <c r="V64" s="154"/>
      <c r="W64" s="154"/>
      <c r="X64" s="154"/>
      <c r="Y64" s="154"/>
      <c r="Z64" s="155"/>
      <c r="AA64" s="76"/>
      <c r="AB64" s="60"/>
      <c r="AC64" s="60"/>
      <c r="AD64" s="59"/>
    </row>
    <row r="65" spans="1:30" ht="15.75" customHeight="1" x14ac:dyDescent="0.25">
      <c r="A65" s="156" t="s">
        <v>59</v>
      </c>
      <c r="B65" s="157"/>
      <c r="C65" s="157"/>
      <c r="D65" s="157"/>
      <c r="E65" s="157"/>
      <c r="F65" s="157"/>
      <c r="G65" s="157"/>
      <c r="H65" s="157"/>
      <c r="I65" s="157"/>
      <c r="J65" s="157"/>
      <c r="K65" s="157"/>
      <c r="L65" s="157"/>
      <c r="M65" s="157"/>
      <c r="N65" s="157"/>
      <c r="O65" s="157"/>
      <c r="P65" s="157"/>
      <c r="Q65" s="158"/>
      <c r="R65" s="127" t="s">
        <v>25</v>
      </c>
      <c r="S65" s="128"/>
      <c r="T65" s="129"/>
      <c r="U65" s="162" t="s">
        <v>61</v>
      </c>
      <c r="V65" s="163"/>
      <c r="W65" s="163"/>
      <c r="X65" s="163"/>
      <c r="Y65" s="163"/>
      <c r="Z65" s="164"/>
      <c r="AA65" s="76"/>
      <c r="AB65" s="60"/>
      <c r="AC65" s="60"/>
      <c r="AD65" s="59"/>
    </row>
    <row r="66" spans="1:30" ht="9" customHeight="1" x14ac:dyDescent="0.25">
      <c r="A66" s="156"/>
      <c r="B66" s="157"/>
      <c r="C66" s="157"/>
      <c r="D66" s="157"/>
      <c r="E66" s="157"/>
      <c r="F66" s="157"/>
      <c r="G66" s="157"/>
      <c r="H66" s="157"/>
      <c r="I66" s="157"/>
      <c r="J66" s="157"/>
      <c r="K66" s="157"/>
      <c r="L66" s="157"/>
      <c r="M66" s="157"/>
      <c r="N66" s="157"/>
      <c r="O66" s="157"/>
      <c r="P66" s="157"/>
      <c r="Q66" s="158"/>
      <c r="R66" s="127"/>
      <c r="S66" s="128"/>
      <c r="T66" s="129"/>
      <c r="U66" s="165"/>
      <c r="V66" s="166"/>
      <c r="W66" s="166"/>
      <c r="X66" s="166"/>
      <c r="Y66" s="166"/>
      <c r="Z66" s="167"/>
      <c r="AA66" s="76"/>
      <c r="AB66" s="60"/>
      <c r="AC66" s="60"/>
      <c r="AD66" s="59"/>
    </row>
    <row r="67" spans="1:30" ht="15.9" customHeight="1" x14ac:dyDescent="0.25">
      <c r="A67" s="159"/>
      <c r="B67" s="160"/>
      <c r="C67" s="160"/>
      <c r="D67" s="160"/>
      <c r="E67" s="160"/>
      <c r="F67" s="160"/>
      <c r="G67" s="160"/>
      <c r="H67" s="160"/>
      <c r="I67" s="160"/>
      <c r="J67" s="160"/>
      <c r="K67" s="160"/>
      <c r="L67" s="160"/>
      <c r="M67" s="160"/>
      <c r="N67" s="160"/>
      <c r="O67" s="160"/>
      <c r="P67" s="160"/>
      <c r="Q67" s="161"/>
      <c r="R67" s="127"/>
      <c r="S67" s="128"/>
      <c r="T67" s="129"/>
      <c r="U67" s="165"/>
      <c r="V67" s="166"/>
      <c r="W67" s="166"/>
      <c r="X67" s="166"/>
      <c r="Y67" s="166"/>
      <c r="Z67" s="167"/>
      <c r="AA67" s="76"/>
      <c r="AB67" s="60"/>
      <c r="AC67" s="60"/>
      <c r="AD67" s="59"/>
    </row>
    <row r="68" spans="1:30" ht="15.9" customHeight="1" x14ac:dyDescent="0.25">
      <c r="A68" s="61" t="s">
        <v>3</v>
      </c>
      <c r="B68" s="62" t="s">
        <v>5</v>
      </c>
      <c r="C68" s="14"/>
      <c r="D68" s="14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4"/>
      <c r="R68" s="127"/>
      <c r="S68" s="128"/>
      <c r="T68" s="129"/>
      <c r="U68" s="168"/>
      <c r="V68" s="169"/>
      <c r="W68" s="169"/>
      <c r="X68" s="169"/>
      <c r="Y68" s="169"/>
      <c r="Z68" s="170"/>
      <c r="AA68" s="76"/>
      <c r="AB68" s="60"/>
      <c r="AC68" s="60"/>
      <c r="AD68" s="59"/>
    </row>
    <row r="69" spans="1:30" ht="15.75" customHeight="1" x14ac:dyDescent="0.25">
      <c r="A69" s="121"/>
      <c r="B69" s="122"/>
      <c r="C69" s="122"/>
      <c r="D69" s="122"/>
      <c r="E69" s="122"/>
      <c r="F69" s="122"/>
      <c r="G69" s="122"/>
      <c r="H69" s="122"/>
      <c r="I69" s="122"/>
      <c r="J69" s="122"/>
      <c r="K69" s="122"/>
      <c r="L69" s="122"/>
      <c r="M69" s="122"/>
      <c r="N69" s="122"/>
      <c r="O69" s="122"/>
      <c r="P69" s="122"/>
      <c r="Q69" s="123"/>
      <c r="R69" s="127" t="s">
        <v>26</v>
      </c>
      <c r="S69" s="128"/>
      <c r="T69" s="129"/>
      <c r="U69" s="133"/>
      <c r="V69" s="134"/>
      <c r="W69" s="134"/>
      <c r="X69" s="134"/>
      <c r="Y69" s="134"/>
      <c r="Z69" s="135"/>
      <c r="AA69" s="77"/>
      <c r="AB69" s="65"/>
      <c r="AC69" s="65"/>
      <c r="AD69" s="59"/>
    </row>
    <row r="70" spans="1:30" ht="15.9" customHeight="1" x14ac:dyDescent="0.25">
      <c r="A70" s="121"/>
      <c r="B70" s="122"/>
      <c r="C70" s="122"/>
      <c r="D70" s="122"/>
      <c r="E70" s="122"/>
      <c r="F70" s="122"/>
      <c r="G70" s="122"/>
      <c r="H70" s="122"/>
      <c r="I70" s="122"/>
      <c r="J70" s="122"/>
      <c r="K70" s="122"/>
      <c r="L70" s="122"/>
      <c r="M70" s="122"/>
      <c r="N70" s="122"/>
      <c r="O70" s="122"/>
      <c r="P70" s="122"/>
      <c r="Q70" s="123"/>
      <c r="R70" s="127"/>
      <c r="S70" s="128"/>
      <c r="T70" s="129"/>
      <c r="U70" s="136"/>
      <c r="V70" s="137"/>
      <c r="W70" s="137"/>
      <c r="X70" s="137"/>
      <c r="Y70" s="137"/>
      <c r="Z70" s="138"/>
      <c r="AA70" s="77"/>
      <c r="AB70" s="65"/>
      <c r="AC70" s="65"/>
      <c r="AD70" s="59"/>
    </row>
    <row r="71" spans="1:30" ht="15.9" customHeight="1" x14ac:dyDescent="0.25">
      <c r="A71" s="121"/>
      <c r="B71" s="122"/>
      <c r="C71" s="122"/>
      <c r="D71" s="122"/>
      <c r="E71" s="122"/>
      <c r="F71" s="122"/>
      <c r="G71" s="122"/>
      <c r="H71" s="122"/>
      <c r="I71" s="122"/>
      <c r="J71" s="122"/>
      <c r="K71" s="122"/>
      <c r="L71" s="122"/>
      <c r="M71" s="122"/>
      <c r="N71" s="122"/>
      <c r="O71" s="122"/>
      <c r="P71" s="122"/>
      <c r="Q71" s="123"/>
      <c r="R71" s="127"/>
      <c r="S71" s="128"/>
      <c r="T71" s="129"/>
      <c r="U71" s="136"/>
      <c r="V71" s="137"/>
      <c r="W71" s="137"/>
      <c r="X71" s="137"/>
      <c r="Y71" s="137"/>
      <c r="Z71" s="138"/>
      <c r="AA71" s="77"/>
      <c r="AB71" s="65"/>
      <c r="AC71" s="65"/>
      <c r="AD71" s="59"/>
    </row>
    <row r="72" spans="1:30" ht="15.75" customHeight="1" x14ac:dyDescent="0.25">
      <c r="A72" s="124"/>
      <c r="B72" s="125"/>
      <c r="C72" s="125"/>
      <c r="D72" s="125"/>
      <c r="E72" s="125"/>
      <c r="F72" s="125"/>
      <c r="G72" s="125"/>
      <c r="H72" s="125"/>
      <c r="I72" s="125"/>
      <c r="J72" s="125"/>
      <c r="K72" s="125"/>
      <c r="L72" s="125"/>
      <c r="M72" s="125"/>
      <c r="N72" s="125"/>
      <c r="O72" s="125"/>
      <c r="P72" s="125"/>
      <c r="Q72" s="126"/>
      <c r="R72" s="130"/>
      <c r="S72" s="131"/>
      <c r="T72" s="132"/>
      <c r="U72" s="139"/>
      <c r="V72" s="140"/>
      <c r="W72" s="140"/>
      <c r="X72" s="140"/>
      <c r="Y72" s="140"/>
      <c r="Z72" s="141"/>
      <c r="AA72" s="77"/>
      <c r="AB72" s="65"/>
      <c r="AC72" s="65"/>
      <c r="AD72" s="59"/>
    </row>
  </sheetData>
  <mergeCells count="106">
    <mergeCell ref="AE10:AI10"/>
    <mergeCell ref="AE11:AI11"/>
    <mergeCell ref="AE13:AJ13"/>
    <mergeCell ref="AE14:AJ14"/>
    <mergeCell ref="AE15:AJ15"/>
    <mergeCell ref="AE16:AJ16"/>
    <mergeCell ref="B14:F14"/>
    <mergeCell ref="S11:Y11"/>
    <mergeCell ref="M11:R11"/>
    <mergeCell ref="B12:F12"/>
    <mergeCell ref="G11:L11"/>
    <mergeCell ref="B11:F11"/>
    <mergeCell ref="G12:L12"/>
    <mergeCell ref="G13:L13"/>
    <mergeCell ref="G14:L14"/>
    <mergeCell ref="B19:H19"/>
    <mergeCell ref="I19:Y19"/>
    <mergeCell ref="R69:T72"/>
    <mergeCell ref="U65:Z68"/>
    <mergeCell ref="A69:Q72"/>
    <mergeCell ref="U69:Z72"/>
    <mergeCell ref="R65:T68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  <mergeCell ref="P6:T6"/>
    <mergeCell ref="A7:F7"/>
    <mergeCell ref="G7:Z7"/>
    <mergeCell ref="B10:F10"/>
    <mergeCell ref="G10:L10"/>
    <mergeCell ref="M10:R10"/>
    <mergeCell ref="U54:V54"/>
    <mergeCell ref="C53:D53"/>
    <mergeCell ref="C54:D54"/>
    <mergeCell ref="C51:D51"/>
    <mergeCell ref="C52:D52"/>
    <mergeCell ref="U52:V52"/>
    <mergeCell ref="AG47:AG48"/>
    <mergeCell ref="AF49:AF50"/>
    <mergeCell ref="AG49:AG50"/>
    <mergeCell ref="AF47:AF48"/>
    <mergeCell ref="AD49:AD50"/>
    <mergeCell ref="AE49:AE50"/>
    <mergeCell ref="E49:T49"/>
    <mergeCell ref="U49:V50"/>
    <mergeCell ref="W49:X50"/>
    <mergeCell ref="Y49:Z50"/>
    <mergeCell ref="AB49:AC50"/>
    <mergeCell ref="AD47:AD48"/>
    <mergeCell ref="AE47:AE48"/>
    <mergeCell ref="AB57:AC57"/>
    <mergeCell ref="AB58:AC58"/>
    <mergeCell ref="AE59:AE60"/>
    <mergeCell ref="M12:R12"/>
    <mergeCell ref="S12:Y12"/>
    <mergeCell ref="M13:R13"/>
    <mergeCell ref="S13:Y13"/>
    <mergeCell ref="M14:R14"/>
    <mergeCell ref="S14:Y14"/>
    <mergeCell ref="AD59:AD60"/>
    <mergeCell ref="AB51:AC51"/>
    <mergeCell ref="AB52:AC52"/>
    <mergeCell ref="AB53:AC53"/>
    <mergeCell ref="AB54:AC54"/>
    <mergeCell ref="U57:V57"/>
    <mergeCell ref="Y57:Z57"/>
    <mergeCell ref="U51:V51"/>
    <mergeCell ref="W51:X51"/>
    <mergeCell ref="W52:X52"/>
    <mergeCell ref="Y51:Z51"/>
    <mergeCell ref="Y52:Z52"/>
    <mergeCell ref="Y53:Z53"/>
    <mergeCell ref="Y54:Z54"/>
    <mergeCell ref="U53:V53"/>
    <mergeCell ref="B20:H20"/>
    <mergeCell ref="I20:Y20"/>
    <mergeCell ref="C50:D50"/>
    <mergeCell ref="A65:Q67"/>
    <mergeCell ref="W53:X53"/>
    <mergeCell ref="W54:X54"/>
    <mergeCell ref="Y58:Z58"/>
    <mergeCell ref="Y59:Z59"/>
    <mergeCell ref="Y60:Z60"/>
    <mergeCell ref="U58:V58"/>
    <mergeCell ref="U59:V59"/>
    <mergeCell ref="U60:V60"/>
    <mergeCell ref="W57:X57"/>
    <mergeCell ref="W58:X58"/>
    <mergeCell ref="W59:X59"/>
    <mergeCell ref="W60:X60"/>
    <mergeCell ref="U63:Z63"/>
    <mergeCell ref="U64:Z64"/>
    <mergeCell ref="B58:D58"/>
    <mergeCell ref="R64:T64"/>
    <mergeCell ref="B60:D60"/>
    <mergeCell ref="A64:Q64"/>
    <mergeCell ref="B57:D57"/>
    <mergeCell ref="B56:D56"/>
  </mergeCells>
  <phoneticPr fontId="0" type="noConversion"/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horizontalDpi="300" verticalDpi="300" r:id="rId1"/>
  <headerFooter alignWithMargins="0">
    <oddFooter>&amp;RDG-Q / RE CFE du 28/06/06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4</vt:i4>
      </vt:variant>
    </vt:vector>
  </HeadingPairs>
  <TitlesOfParts>
    <vt:vector size="8" baseType="lpstr">
      <vt:lpstr>Nuit 17-181225 BBSG 110 Rouget</vt:lpstr>
      <vt:lpstr>Nuit 17-181225 GB 157 Rouget</vt:lpstr>
      <vt:lpstr>030723</vt:lpstr>
      <vt:lpstr>150622</vt:lpstr>
      <vt:lpstr>'030723'!Zone_d_impression</vt:lpstr>
      <vt:lpstr>'150622'!Zone_d_impression</vt:lpstr>
      <vt:lpstr>'Nuit 17-181225 BBSG 110 Rouget'!Zone_d_impression</vt:lpstr>
      <vt:lpstr>'Nuit 17-181225 GB 157 Rouget'!Zone_d_impression</vt:lpstr>
    </vt:vector>
  </TitlesOfParts>
  <Company>AB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MONTET F.</dc:creator>
  <cp:lastModifiedBy>Frédéric MONTET</cp:lastModifiedBy>
  <cp:lastPrinted>2025-12-18T03:10:27Z</cp:lastPrinted>
  <dcterms:created xsi:type="dcterms:W3CDTF">2004-11-13T18:13:05Z</dcterms:created>
  <dcterms:modified xsi:type="dcterms:W3CDTF">2025-12-18T03:10:36Z</dcterms:modified>
</cp:coreProperties>
</file>