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2\69\RA L2HC Rillieux - les balcons de Sermenaz\Essais de laboratoire\Enrobés\"/>
    </mc:Choice>
  </mc:AlternateContent>
  <xr:revisionPtr revIDLastSave="0" documentId="13_ncr:1_{12007711-D215-4EFF-BD6B-ABEAF2E5EB03}" xr6:coauthVersionLast="47" xr6:coauthVersionMax="47" xr10:uidLastSave="{00000000-0000-0000-0000-000000000000}"/>
  <bookViews>
    <workbookView xWindow="28680" yWindow="660" windowWidth="19440" windowHeight="15600" xr2:uid="{00000000-000D-0000-FFFF-FFFF00000000}"/>
  </bookViews>
  <sheets>
    <sheet name="200622" sheetId="1" r:id="rId1"/>
  </sheets>
  <definedNames>
    <definedName name="_xlnm.Print_Area" localSheetId="0">'200622'!$A$1:$Z$52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5" i="1" l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F27" i="1" l="1"/>
  <c r="N36" i="1" l="1"/>
  <c r="Q36" i="1" s="1"/>
  <c r="T36" i="1" s="1"/>
  <c r="N39" i="1"/>
  <c r="Q39" i="1" s="1"/>
  <c r="T39" i="1" s="1"/>
  <c r="N38" i="1"/>
  <c r="Q38" i="1" s="1"/>
  <c r="T38" i="1" s="1"/>
  <c r="N35" i="1"/>
  <c r="Q35" i="1" s="1"/>
  <c r="T35" i="1" s="1"/>
  <c r="N37" i="1"/>
  <c r="Q37" i="1" s="1"/>
  <c r="T37" i="1" s="1"/>
</calcChain>
</file>

<file path=xl/sharedStrings.xml><?xml version="1.0" encoding="utf-8"?>
<sst xmlns="http://schemas.openxmlformats.org/spreadsheetml/2006/main" count="72" uniqueCount="64">
  <si>
    <t>COMPTE RENDU D'ESSAIS</t>
  </si>
  <si>
    <t>Rillieux - Les balcons de Sermenaz</t>
  </si>
  <si>
    <t>MASSE VOLUMIQUE DES ENROBES
(NF EN 12697-6-A1)</t>
  </si>
  <si>
    <t>n°</t>
  </si>
  <si>
    <t>22/06/2022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</si>
  <si>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</si>
  <si>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</si>
  <si>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</si>
  <si>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</si>
  <si>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</si>
  <si>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</si>
  <si>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</si>
  <si>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F. Montet</t>
  </si>
  <si>
    <t>Opérateur :</t>
  </si>
  <si>
    <t>Nature du produit :</t>
  </si>
  <si>
    <t>GB 0/14 Classe 3</t>
  </si>
  <si>
    <t>Date de(s) prélèvement(s) :</t>
  </si>
  <si>
    <t>Provenance :</t>
  </si>
  <si>
    <t>P2R</t>
  </si>
  <si>
    <t>Date de(s) essai(s) :</t>
  </si>
  <si>
    <t>Couche :</t>
  </si>
  <si>
    <t>Base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</si>
  <si>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</si>
  <si>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</si>
  <si>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</si>
  <si>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</si>
  <si>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</si>
  <si>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</si>
  <si>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</si>
  <si>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</si>
  <si>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</si>
  <si>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r>
      <t>kg/m</t>
    </r>
    <r>
      <rPr>
        <b/>
        <vertAlign val="superscript"/>
        <sz val="10"/>
        <color rgb="FF000000"/>
        <rFont val="Century Gothic"/>
      </rPr>
      <t>3</t>
    </r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</si>
  <si>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</si>
  <si>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</si>
  <si>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</si>
  <si>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</si>
  <si>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</si>
  <si>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</si>
  <si>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</si>
  <si>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r>
      <t>Masse volumique de l'éprouvette
(kg/m</t>
    </r>
    <r>
      <rPr>
        <b/>
        <vertAlign val="superscript"/>
        <sz val="10"/>
        <color rgb="FF000000"/>
        <rFont val="Century Gothic"/>
      </rPr>
      <t>3)</t>
    </r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</si>
  <si>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</si>
  <si>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</si>
  <si>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</si>
  <si>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</si>
  <si>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</si>
  <si>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</si>
  <si>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Sc1</t>
  </si>
  <si>
    <t>Sc2</t>
  </si>
  <si>
    <t>Sc3</t>
  </si>
  <si>
    <t>Sc4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</si>
  <si>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</si>
  <si>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</si>
  <si>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</si>
  <si>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</si>
  <si>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</si>
  <si>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</si>
  <si>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</si>
  <si>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</si>
  <si>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7/</t>
  </si>
  <si>
    <t>COMMENTAIRES</t>
  </si>
  <si>
    <t>Visa</t>
  </si>
  <si>
    <t>Sc5</t>
  </si>
  <si>
    <t>RA L2HC</t>
  </si>
  <si>
    <t>0 ≤ %vides ≤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</si>
</sst>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alibri"/>
    </font>
    <font>
      <sz val="11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b/>
      <vertAlign val="superscript"/>
      <sz val="10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right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1" fillId="0" borderId="8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7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9" fillId="0" borderId="0" xfId="0" applyFont="1"/>
    <xf numFmtId="0" fontId="6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10" fillId="0" borderId="6" xfId="0" applyFont="1" applyBorder="1" applyProtection="1">
      <protection hidden="1"/>
    </xf>
    <xf numFmtId="0" fontId="6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0" fillId="0" borderId="0" xfId="0"/>
    <xf numFmtId="165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 applyProtection="1">
      <alignment horizontal="left"/>
      <protection locked="0"/>
    </xf>
    <xf numFmtId="0" fontId="8" fillId="0" borderId="1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6" fontId="6" fillId="0" borderId="0" xfId="0" applyNumberFormat="1" applyFont="1" applyAlignment="1" applyProtection="1">
      <alignment horizontal="center" vertical="center"/>
      <protection locked="0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5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4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9"/>
  <sheetViews>
    <sheetView tabSelected="1" topLeftCell="A25" workbookViewId="0">
      <selection activeCell="AB12" sqref="AB12"/>
    </sheetView>
  </sheetViews>
  <sheetFormatPr baseColWidth="10" defaultColWidth="11.44140625" defaultRowHeight="12.75" customHeight="1" x14ac:dyDescent="0.25"/>
  <cols>
    <col min="1" max="1" width="5.109375" style="54" customWidth="1"/>
    <col min="2" max="26" width="5.109375" style="1" customWidth="1"/>
    <col min="27" max="27" width="20" style="1" customWidth="1"/>
    <col min="28" max="28" width="28.109375" style="1" customWidth="1"/>
    <col min="29" max="29" width="22.88671875" style="1" customWidth="1"/>
    <col min="30" max="30" width="29.33203125" style="1" customWidth="1"/>
    <col min="31" max="31" width="11.44140625" style="1"/>
  </cols>
  <sheetData>
    <row r="1" spans="1:32" ht="12.75" customHeight="1" x14ac:dyDescent="0.25">
      <c r="A1" s="94"/>
      <c r="B1" s="97"/>
      <c r="C1" s="97"/>
      <c r="D1" s="97"/>
      <c r="E1" s="97"/>
      <c r="F1" s="114"/>
      <c r="G1" s="171" t="s">
        <v>0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3"/>
      <c r="U1" s="174" t="s">
        <v>1</v>
      </c>
      <c r="V1" s="175"/>
      <c r="W1" s="175"/>
      <c r="X1" s="175"/>
      <c r="Y1" s="175"/>
      <c r="Z1" s="176"/>
    </row>
    <row r="2" spans="1:32" ht="12.75" customHeight="1" x14ac:dyDescent="0.3">
      <c r="A2" s="95"/>
      <c r="B2" s="98"/>
      <c r="C2" s="98"/>
      <c r="D2" s="98"/>
      <c r="E2" s="98"/>
      <c r="F2" s="115"/>
      <c r="G2" s="183" t="s">
        <v>2</v>
      </c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77"/>
      <c r="V2" s="178"/>
      <c r="W2" s="178"/>
      <c r="X2" s="178"/>
      <c r="Y2" s="178"/>
      <c r="Z2" s="179"/>
      <c r="AA2" s="68"/>
      <c r="AB2" s="68"/>
    </row>
    <row r="3" spans="1:32" ht="12.75" customHeight="1" x14ac:dyDescent="0.3">
      <c r="A3" s="95"/>
      <c r="B3" s="98"/>
      <c r="C3" s="98"/>
      <c r="D3" s="98"/>
      <c r="E3" s="98"/>
      <c r="F3" s="115"/>
      <c r="G3" s="183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5"/>
      <c r="U3" s="177"/>
      <c r="V3" s="178"/>
      <c r="W3" s="178"/>
      <c r="X3" s="178"/>
      <c r="Y3" s="178"/>
      <c r="Z3" s="179"/>
      <c r="AA3" s="68"/>
      <c r="AB3" s="68"/>
    </row>
    <row r="4" spans="1:32" ht="12.75" customHeight="1" x14ac:dyDescent="0.3">
      <c r="A4" s="95"/>
      <c r="B4" s="98"/>
      <c r="C4" s="98"/>
      <c r="D4" s="98"/>
      <c r="E4" s="98"/>
      <c r="F4" s="115"/>
      <c r="G4" s="183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7"/>
      <c r="V4" s="178"/>
      <c r="W4" s="178"/>
      <c r="X4" s="178"/>
      <c r="Y4" s="178"/>
      <c r="Z4" s="179"/>
      <c r="AA4" s="68"/>
      <c r="AB4" s="68"/>
    </row>
    <row r="5" spans="1:32" ht="12.75" customHeight="1" x14ac:dyDescent="0.3">
      <c r="A5" s="95"/>
      <c r="B5" s="98"/>
      <c r="C5" s="98"/>
      <c r="D5" s="98"/>
      <c r="E5" s="98"/>
      <c r="F5" s="115"/>
      <c r="G5" s="186"/>
      <c r="H5" s="187"/>
      <c r="I5" s="2" t="s">
        <v>3</v>
      </c>
      <c r="J5" s="188">
        <v>1</v>
      </c>
      <c r="K5" s="189"/>
      <c r="L5" s="190" t="s">
        <v>62</v>
      </c>
      <c r="M5" s="191"/>
      <c r="N5" s="191"/>
      <c r="O5" s="192"/>
      <c r="P5" s="193" t="s">
        <v>4</v>
      </c>
      <c r="Q5" s="194"/>
      <c r="R5" s="194"/>
      <c r="S5" s="194"/>
      <c r="T5" s="195"/>
      <c r="U5" s="177"/>
      <c r="V5" s="178"/>
      <c r="W5" s="178"/>
      <c r="X5" s="178"/>
      <c r="Y5" s="178"/>
      <c r="Z5" s="179"/>
      <c r="AA5" s="68"/>
      <c r="AB5" s="68"/>
    </row>
    <row r="6" spans="1:32" ht="12.75" customHeight="1" x14ac:dyDescent="0.25">
      <c r="A6" s="96"/>
      <c r="B6" s="99"/>
      <c r="C6" s="99"/>
      <c r="D6" s="99"/>
      <c r="E6" s="99"/>
      <c r="F6" s="116"/>
      <c r="G6" s="3"/>
      <c r="H6" s="4"/>
      <c r="I6" s="4"/>
      <c r="J6" s="167" t="s">
        <v>5</v>
      </c>
      <c r="K6" s="167"/>
      <c r="L6" s="167" t="s">
        <v>6</v>
      </c>
      <c r="M6" s="167"/>
      <c r="N6" s="167"/>
      <c r="O6" s="167"/>
      <c r="P6" s="167" t="s">
        <v>7</v>
      </c>
      <c r="Q6" s="167"/>
      <c r="R6" s="167"/>
      <c r="S6" s="167"/>
      <c r="T6" s="168"/>
      <c r="U6" s="180"/>
      <c r="V6" s="181"/>
      <c r="W6" s="181"/>
      <c r="X6" s="181"/>
      <c r="Y6" s="181"/>
      <c r="Z6" s="182"/>
    </row>
    <row r="7" spans="1:32" ht="37.5" customHeight="1" x14ac:dyDescent="0.25">
      <c r="A7" s="169" t="s">
        <v>8</v>
      </c>
      <c r="B7" s="169"/>
      <c r="C7" s="169"/>
      <c r="D7" s="169"/>
      <c r="E7" s="169"/>
      <c r="F7" s="169"/>
      <c r="G7" s="170" t="s">
        <v>9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spans="1:32" ht="15.9" customHeight="1" x14ac:dyDescent="0.3">
      <c r="A8" s="73" t="s">
        <v>10</v>
      </c>
      <c r="B8" s="74" t="s">
        <v>11</v>
      </c>
      <c r="C8" s="75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  <c r="AB8" s="72"/>
      <c r="AF8" s="69" t="s">
        <v>12</v>
      </c>
    </row>
    <row r="9" spans="1:32" ht="8.25" customHeight="1" x14ac:dyDescent="0.3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  <c r="AB9" s="72"/>
      <c r="AF9" s="69" t="s">
        <v>4</v>
      </c>
    </row>
    <row r="10" spans="1:32" ht="15.9" customHeight="1" x14ac:dyDescent="0.3">
      <c r="A10" s="10"/>
      <c r="B10" s="142" t="s">
        <v>13</v>
      </c>
      <c r="C10" s="142"/>
      <c r="D10" s="142"/>
      <c r="E10" s="142"/>
      <c r="F10" s="142"/>
      <c r="G10" s="142"/>
      <c r="H10" s="143" t="s">
        <v>12</v>
      </c>
      <c r="I10" s="143"/>
      <c r="J10" s="143"/>
      <c r="K10" s="143"/>
      <c r="L10" s="143"/>
      <c r="M10" s="143"/>
      <c r="N10" s="142" t="s">
        <v>14</v>
      </c>
      <c r="O10" s="142"/>
      <c r="P10" s="142"/>
      <c r="Q10" s="142"/>
      <c r="R10" s="142"/>
      <c r="S10" s="156" t="s">
        <v>15</v>
      </c>
      <c r="T10" s="156"/>
      <c r="U10" s="156"/>
      <c r="V10" s="156"/>
      <c r="W10" s="156"/>
      <c r="X10" s="156"/>
      <c r="Y10" s="156"/>
      <c r="Z10" s="14"/>
      <c r="AB10" s="72"/>
      <c r="AF10" s="69" t="s">
        <v>4</v>
      </c>
    </row>
    <row r="11" spans="1:32" ht="15.9" customHeight="1" x14ac:dyDescent="0.3">
      <c r="A11" s="10"/>
      <c r="B11" s="142" t="s">
        <v>16</v>
      </c>
      <c r="C11" s="142"/>
      <c r="D11" s="142"/>
      <c r="E11" s="142"/>
      <c r="F11" s="142"/>
      <c r="G11" s="142"/>
      <c r="H11" s="143">
        <v>44732</v>
      </c>
      <c r="I11" s="143"/>
      <c r="J11" s="143"/>
      <c r="K11" s="143"/>
      <c r="L11" s="143"/>
      <c r="M11" s="143"/>
      <c r="N11" s="142" t="s">
        <v>17</v>
      </c>
      <c r="O11" s="142"/>
      <c r="P11" s="142"/>
      <c r="Q11" s="142"/>
      <c r="R11" s="142"/>
      <c r="S11" s="156" t="s">
        <v>18</v>
      </c>
      <c r="T11" s="156"/>
      <c r="U11" s="156"/>
      <c r="V11" s="156"/>
      <c r="W11" s="156"/>
      <c r="X11" s="156"/>
      <c r="Y11" s="156"/>
      <c r="Z11" s="14"/>
      <c r="AB11" s="72"/>
      <c r="AF11" s="69" t="s">
        <v>15</v>
      </c>
    </row>
    <row r="12" spans="1:32" ht="15.9" customHeight="1" x14ac:dyDescent="0.3">
      <c r="A12" s="10"/>
      <c r="B12" s="142" t="s">
        <v>19</v>
      </c>
      <c r="C12" s="142"/>
      <c r="D12" s="142"/>
      <c r="E12" s="142"/>
      <c r="F12" s="142"/>
      <c r="G12" s="142"/>
      <c r="H12" s="143" t="s">
        <v>4</v>
      </c>
      <c r="I12" s="143"/>
      <c r="J12" s="143"/>
      <c r="K12" s="143"/>
      <c r="L12" s="143"/>
      <c r="M12" s="143"/>
      <c r="N12" s="142" t="s">
        <v>20</v>
      </c>
      <c r="O12" s="142"/>
      <c r="P12" s="142"/>
      <c r="Q12" s="142"/>
      <c r="R12" s="142"/>
      <c r="S12" s="156" t="s">
        <v>21</v>
      </c>
      <c r="T12" s="156"/>
      <c r="U12" s="156"/>
      <c r="V12" s="156"/>
      <c r="W12" s="156"/>
      <c r="X12" s="156"/>
      <c r="Y12" s="156"/>
      <c r="Z12" s="14"/>
      <c r="AB12" s="72"/>
      <c r="AF12" s="69" t="s">
        <v>18</v>
      </c>
    </row>
    <row r="13" spans="1:32" ht="8.25" customHeight="1" x14ac:dyDescent="0.3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  <c r="AB13" s="72"/>
      <c r="AF13" s="69" t="s">
        <v>21</v>
      </c>
    </row>
    <row r="14" spans="1:32" s="19" customFormat="1" ht="15" customHeight="1" x14ac:dyDescent="0.25">
      <c r="B14" s="20"/>
      <c r="C14" s="20"/>
      <c r="K14" s="21"/>
      <c r="L14" s="20"/>
      <c r="M14" s="22"/>
    </row>
    <row r="15" spans="1:32" s="19" customFormat="1" ht="13.8" customHeight="1" x14ac:dyDescent="0.25">
      <c r="A15" s="73" t="s">
        <v>22</v>
      </c>
      <c r="B15" s="76" t="s">
        <v>23</v>
      </c>
      <c r="C15" s="77"/>
      <c r="D15" s="77"/>
      <c r="E15" s="77"/>
      <c r="F15" s="77"/>
      <c r="G15" s="77"/>
      <c r="H15" s="7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32" s="19" customFormat="1" ht="13.8" customHeight="1" x14ac:dyDescent="0.25">
      <c r="A16" s="78"/>
      <c r="B16" s="79"/>
      <c r="C16" s="80"/>
      <c r="D16" s="80"/>
      <c r="E16" s="80"/>
      <c r="F16" s="80"/>
      <c r="G16" s="80"/>
      <c r="H16" s="80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32" s="19" customFormat="1" ht="15" customHeight="1" x14ac:dyDescent="0.25">
      <c r="A17" s="78"/>
      <c r="B17" s="113" t="s">
        <v>24</v>
      </c>
      <c r="C17" s="113"/>
      <c r="D17" s="113"/>
      <c r="E17" s="113"/>
      <c r="F17" s="113"/>
      <c r="G17" s="113"/>
      <c r="H17" s="113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27"/>
    </row>
    <row r="18" spans="1:32" s="19" customFormat="1" ht="15" customHeight="1" x14ac:dyDescent="0.25">
      <c r="A18" s="78"/>
      <c r="B18" s="113" t="s">
        <v>25</v>
      </c>
      <c r="C18" s="113"/>
      <c r="D18" s="113"/>
      <c r="E18" s="113"/>
      <c r="F18" s="113"/>
      <c r="G18" s="113"/>
      <c r="H18" s="113"/>
      <c r="I18" s="210" t="s">
        <v>63</v>
      </c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7"/>
    </row>
    <row r="19" spans="1:32" s="19" customFormat="1" ht="13.2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30"/>
    </row>
    <row r="20" spans="1:32" ht="12.75" customHeight="1" x14ac:dyDescent="0.25">
      <c r="A20" s="12"/>
      <c r="B20" s="11"/>
      <c r="C20" s="11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3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32" ht="15.9" customHeight="1" x14ac:dyDescent="0.25">
      <c r="A21" s="5" t="s">
        <v>26</v>
      </c>
      <c r="B21" s="6" t="s">
        <v>27</v>
      </c>
      <c r="C21" s="32"/>
      <c r="D21" s="33"/>
      <c r="E21" s="33"/>
      <c r="F21" s="33"/>
      <c r="G21" s="33"/>
      <c r="H21" s="32"/>
      <c r="I21" s="32"/>
      <c r="J21" s="32"/>
      <c r="K21" s="32"/>
      <c r="L21" s="3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32" ht="12.75" customHeigh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3"/>
    </row>
    <row r="23" spans="1:32" ht="12.7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3"/>
    </row>
    <row r="24" spans="1:32" ht="12.75" customHeight="1" x14ac:dyDescent="0.25">
      <c r="A24" s="10"/>
      <c r="B24" s="129" t="s">
        <v>28</v>
      </c>
      <c r="C24" s="123"/>
      <c r="D24" s="123"/>
      <c r="E24" s="123"/>
      <c r="F24" s="123">
        <v>22</v>
      </c>
      <c r="G24" s="123"/>
      <c r="H24" s="123"/>
      <c r="I24" s="123"/>
      <c r="J24" s="117" t="s">
        <v>29</v>
      </c>
      <c r="K24" s="117"/>
      <c r="L24" s="118"/>
      <c r="M24" s="11"/>
      <c r="N24" s="11"/>
      <c r="O24" s="129" t="s">
        <v>30</v>
      </c>
      <c r="P24" s="130"/>
      <c r="Q24" s="130"/>
      <c r="R24" s="130"/>
      <c r="S24" s="123">
        <v>890</v>
      </c>
      <c r="T24" s="123"/>
      <c r="U24" s="123"/>
      <c r="V24" s="123"/>
      <c r="W24" s="117" t="s">
        <v>31</v>
      </c>
      <c r="X24" s="117"/>
      <c r="Y24" s="118"/>
      <c r="Z24" s="13"/>
      <c r="AA24" s="81"/>
    </row>
    <row r="25" spans="1:32" ht="12.75" customHeight="1" x14ac:dyDescent="0.25">
      <c r="A25" s="10"/>
      <c r="B25" s="136"/>
      <c r="C25" s="124"/>
      <c r="D25" s="124"/>
      <c r="E25" s="124"/>
      <c r="F25" s="124"/>
      <c r="G25" s="124"/>
      <c r="H25" s="124"/>
      <c r="I25" s="124"/>
      <c r="J25" s="119"/>
      <c r="K25" s="119"/>
      <c r="L25" s="120"/>
      <c r="M25" s="11"/>
      <c r="N25" s="11"/>
      <c r="O25" s="131"/>
      <c r="P25" s="132"/>
      <c r="Q25" s="132"/>
      <c r="R25" s="132"/>
      <c r="S25" s="124"/>
      <c r="T25" s="124"/>
      <c r="U25" s="124"/>
      <c r="V25" s="124"/>
      <c r="W25" s="119"/>
      <c r="X25" s="119"/>
      <c r="Y25" s="120"/>
      <c r="Z25" s="13"/>
      <c r="AA25" s="81"/>
    </row>
    <row r="26" spans="1:32" ht="12.75" customHeight="1" x14ac:dyDescent="0.25">
      <c r="A26" s="10"/>
      <c r="B26" s="137"/>
      <c r="C26" s="125"/>
      <c r="D26" s="125"/>
      <c r="E26" s="125"/>
      <c r="F26" s="125"/>
      <c r="G26" s="125"/>
      <c r="H26" s="125"/>
      <c r="I26" s="125"/>
      <c r="J26" s="121"/>
      <c r="K26" s="121"/>
      <c r="L26" s="122"/>
      <c r="M26" s="11"/>
      <c r="N26" s="11"/>
      <c r="O26" s="133"/>
      <c r="P26" s="134"/>
      <c r="Q26" s="134"/>
      <c r="R26" s="134"/>
      <c r="S26" s="125"/>
      <c r="T26" s="125"/>
      <c r="U26" s="125"/>
      <c r="V26" s="125"/>
      <c r="W26" s="121"/>
      <c r="X26" s="121"/>
      <c r="Y26" s="122"/>
      <c r="Z26" s="13"/>
      <c r="AA26" s="81"/>
    </row>
    <row r="27" spans="1:32" ht="12.75" customHeight="1" x14ac:dyDescent="0.25">
      <c r="A27" s="10"/>
      <c r="B27" s="129" t="s">
        <v>32</v>
      </c>
      <c r="C27" s="130"/>
      <c r="D27" s="130"/>
      <c r="E27" s="130"/>
      <c r="F27" s="126">
        <f>IF(F24&lt;&gt;"",(997.1*(SUM(AD35:AD55))),"")</f>
        <v>997.79796999999996</v>
      </c>
      <c r="G27" s="126"/>
      <c r="H27" s="126"/>
      <c r="I27" s="126"/>
      <c r="J27" s="117" t="s">
        <v>33</v>
      </c>
      <c r="K27" s="117"/>
      <c r="L27" s="118"/>
      <c r="M27" s="11"/>
      <c r="N27" s="11"/>
      <c r="O27" s="135" t="s">
        <v>34</v>
      </c>
      <c r="P27" s="123"/>
      <c r="Q27" s="123"/>
      <c r="R27" s="123"/>
      <c r="S27" s="123">
        <v>2486</v>
      </c>
      <c r="T27" s="123"/>
      <c r="U27" s="123"/>
      <c r="V27" s="123"/>
      <c r="W27" s="117" t="s">
        <v>33</v>
      </c>
      <c r="X27" s="117"/>
      <c r="Y27" s="118"/>
      <c r="Z27" s="13"/>
      <c r="AA27" s="81"/>
    </row>
    <row r="28" spans="1:32" ht="12.75" customHeight="1" x14ac:dyDescent="0.25">
      <c r="A28" s="10"/>
      <c r="B28" s="131"/>
      <c r="C28" s="132"/>
      <c r="D28" s="132"/>
      <c r="E28" s="132"/>
      <c r="F28" s="127"/>
      <c r="G28" s="127"/>
      <c r="H28" s="127"/>
      <c r="I28" s="127"/>
      <c r="J28" s="119"/>
      <c r="K28" s="119"/>
      <c r="L28" s="120"/>
      <c r="M28" s="11"/>
      <c r="N28" s="11"/>
      <c r="O28" s="136"/>
      <c r="P28" s="124"/>
      <c r="Q28" s="124"/>
      <c r="R28" s="124"/>
      <c r="S28" s="124"/>
      <c r="T28" s="124"/>
      <c r="U28" s="124"/>
      <c r="V28" s="124"/>
      <c r="W28" s="119"/>
      <c r="X28" s="119"/>
      <c r="Y28" s="120"/>
      <c r="Z28" s="13"/>
      <c r="AA28" s="81"/>
    </row>
    <row r="29" spans="1:32" ht="12.75" customHeight="1" x14ac:dyDescent="0.25">
      <c r="A29" s="10"/>
      <c r="B29" s="133"/>
      <c r="C29" s="134"/>
      <c r="D29" s="134"/>
      <c r="E29" s="134"/>
      <c r="F29" s="128"/>
      <c r="G29" s="128"/>
      <c r="H29" s="128"/>
      <c r="I29" s="128"/>
      <c r="J29" s="121"/>
      <c r="K29" s="121"/>
      <c r="L29" s="122"/>
      <c r="M29" s="11"/>
      <c r="N29" s="11"/>
      <c r="O29" s="137"/>
      <c r="P29" s="125"/>
      <c r="Q29" s="125"/>
      <c r="R29" s="125"/>
      <c r="S29" s="125"/>
      <c r="T29" s="125"/>
      <c r="U29" s="125"/>
      <c r="V29" s="125"/>
      <c r="W29" s="121"/>
      <c r="X29" s="121"/>
      <c r="Y29" s="122"/>
      <c r="Z29" s="13"/>
    </row>
    <row r="30" spans="1:32" ht="12.75" customHeight="1" x14ac:dyDescent="0.3">
      <c r="A30" s="10"/>
      <c r="B30" s="34"/>
      <c r="C30" s="35"/>
      <c r="D30" s="36"/>
      <c r="I30" s="37"/>
      <c r="J30" s="37"/>
      <c r="K30" s="11"/>
      <c r="L30" s="11"/>
      <c r="M30" s="11"/>
      <c r="N30" s="11"/>
      <c r="O30" s="11"/>
      <c r="P30" s="35"/>
      <c r="Q30" s="35"/>
      <c r="R30" s="35"/>
      <c r="S30" s="35"/>
      <c r="T30" s="35"/>
      <c r="U30" s="35"/>
      <c r="V30" s="35"/>
      <c r="W30" s="36"/>
      <c r="X30" s="11"/>
      <c r="Y30" s="11"/>
      <c r="Z30" s="13"/>
      <c r="AA30" s="70"/>
      <c r="AB30" s="70"/>
      <c r="AC30" s="70"/>
      <c r="AD30" s="70"/>
      <c r="AE30" s="70"/>
      <c r="AF30" s="70"/>
    </row>
    <row r="31" spans="1:32" ht="12.75" customHeight="1" x14ac:dyDescent="0.25">
      <c r="A31" s="10"/>
      <c r="B31" s="34"/>
      <c r="C31" s="35"/>
      <c r="D31" s="36"/>
      <c r="E31" s="37"/>
      <c r="F31" s="38"/>
      <c r="G31" s="35"/>
      <c r="H31" s="36"/>
      <c r="I31" s="37"/>
      <c r="J31" s="37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3"/>
    </row>
    <row r="32" spans="1:32" ht="19.5" customHeight="1" x14ac:dyDescent="0.25">
      <c r="A32" s="10"/>
      <c r="B32" s="139" t="s">
        <v>35</v>
      </c>
      <c r="C32" s="140"/>
      <c r="D32" s="140"/>
      <c r="E32" s="140" t="s">
        <v>36</v>
      </c>
      <c r="F32" s="140"/>
      <c r="G32" s="140"/>
      <c r="H32" s="140" t="s">
        <v>37</v>
      </c>
      <c r="I32" s="140"/>
      <c r="J32" s="140"/>
      <c r="K32" s="140" t="s">
        <v>38</v>
      </c>
      <c r="L32" s="140"/>
      <c r="M32" s="140"/>
      <c r="N32" s="140" t="s">
        <v>39</v>
      </c>
      <c r="O32" s="140"/>
      <c r="P32" s="140"/>
      <c r="Q32" s="140" t="s">
        <v>40</v>
      </c>
      <c r="R32" s="140"/>
      <c r="S32" s="140"/>
      <c r="T32" s="164" t="s">
        <v>41</v>
      </c>
      <c r="U32" s="164"/>
      <c r="V32" s="164"/>
      <c r="W32" s="140" t="s">
        <v>42</v>
      </c>
      <c r="X32" s="140"/>
      <c r="Y32" s="165"/>
      <c r="Z32" s="13"/>
      <c r="AB32" s="94" t="s">
        <v>43</v>
      </c>
      <c r="AC32" s="97" t="s">
        <v>44</v>
      </c>
      <c r="AD32" s="114" t="s">
        <v>45</v>
      </c>
    </row>
    <row r="33" spans="1:30" ht="19.5" customHeight="1" x14ac:dyDescent="0.25">
      <c r="A33" s="10"/>
      <c r="B33" s="141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24"/>
      <c r="U33" s="124"/>
      <c r="V33" s="124"/>
      <c r="W33" s="132"/>
      <c r="X33" s="132"/>
      <c r="Y33" s="166"/>
      <c r="Z33" s="13"/>
      <c r="AB33" s="95"/>
      <c r="AC33" s="98"/>
      <c r="AD33" s="115"/>
    </row>
    <row r="34" spans="1:30" ht="19.5" customHeight="1" thickBot="1" x14ac:dyDescent="0.3">
      <c r="A34" s="10"/>
      <c r="B34" s="141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7"/>
      <c r="U34" s="197"/>
      <c r="V34" s="197"/>
      <c r="W34" s="196"/>
      <c r="X34" s="196"/>
      <c r="Y34" s="166"/>
      <c r="Z34" s="13"/>
      <c r="AB34" s="96"/>
      <c r="AC34" s="99"/>
      <c r="AD34" s="116"/>
    </row>
    <row r="35" spans="1:30" ht="25.5" customHeight="1" x14ac:dyDescent="0.25">
      <c r="A35" s="10"/>
      <c r="B35" s="198" t="s">
        <v>46</v>
      </c>
      <c r="C35" s="199"/>
      <c r="D35" s="199"/>
      <c r="E35" s="199">
        <v>1884</v>
      </c>
      <c r="F35" s="199"/>
      <c r="G35" s="199"/>
      <c r="H35" s="199">
        <v>1899.5</v>
      </c>
      <c r="I35" s="199"/>
      <c r="J35" s="199"/>
      <c r="K35" s="199">
        <v>1095</v>
      </c>
      <c r="L35" s="199"/>
      <c r="M35" s="199"/>
      <c r="N35" s="200">
        <f>IF(E35&lt;&gt;"",E35/(((H35-K35)/$F$27)-((H35-E35)/$S$24)),"")</f>
        <v>2388.2573421393363</v>
      </c>
      <c r="O35" s="200"/>
      <c r="P35" s="200"/>
      <c r="Q35" s="200">
        <f>IF(N35&lt;&gt;"",(N35/$S$27)*100,"")</f>
        <v>96.068276031349015</v>
      </c>
      <c r="R35" s="200"/>
      <c r="S35" s="200"/>
      <c r="T35" s="200">
        <f>IF(Q35&lt;&gt;"",100-Q35,"")</f>
        <v>3.9317239686509851</v>
      </c>
      <c r="U35" s="200"/>
      <c r="V35" s="200"/>
      <c r="W35" s="199">
        <v>8.5</v>
      </c>
      <c r="X35" s="199"/>
      <c r="Y35" s="201"/>
      <c r="Z35" s="13"/>
      <c r="AB35" s="10">
        <v>10</v>
      </c>
      <c r="AC35" s="12">
        <v>1.0026999999999999</v>
      </c>
      <c r="AD35" s="39" t="str">
        <f t="shared" ref="AD35:AD55" si="0">IF($F$24=AB35,AC35,"")</f>
        <v/>
      </c>
    </row>
    <row r="36" spans="1:30" ht="25.5" customHeight="1" x14ac:dyDescent="0.25">
      <c r="A36" s="10"/>
      <c r="B36" s="202" t="s">
        <v>47</v>
      </c>
      <c r="C36" s="100"/>
      <c r="D36" s="100"/>
      <c r="E36" s="101">
        <v>1885.7</v>
      </c>
      <c r="F36" s="101"/>
      <c r="G36" s="101"/>
      <c r="H36" s="101">
        <v>1901.5</v>
      </c>
      <c r="I36" s="101"/>
      <c r="J36" s="101"/>
      <c r="K36" s="101">
        <v>1099.4000000000001</v>
      </c>
      <c r="L36" s="101"/>
      <c r="M36" s="101"/>
      <c r="N36" s="82">
        <f>IF(E36&lt;&gt;"",E36/(((H36-K36)/$F$27)-((H36-E36)/$S$24)),"")</f>
        <v>2398.7513196723939</v>
      </c>
      <c r="O36" s="82"/>
      <c r="P36" s="82"/>
      <c r="Q36" s="82">
        <f>IF(N36&lt;&gt;"",(N36/$S$27)*100,"")</f>
        <v>96.490399021415683</v>
      </c>
      <c r="R36" s="82"/>
      <c r="S36" s="82"/>
      <c r="T36" s="82">
        <f>IF(Q36&lt;&gt;"",100-Q36,"")</f>
        <v>3.5096009785843165</v>
      </c>
      <c r="U36" s="82"/>
      <c r="V36" s="82"/>
      <c r="W36" s="100">
        <v>9</v>
      </c>
      <c r="X36" s="100"/>
      <c r="Y36" s="203"/>
      <c r="Z36" s="13"/>
      <c r="AB36" s="10">
        <v>11</v>
      </c>
      <c r="AC36" s="12">
        <v>1.0025999999999999</v>
      </c>
      <c r="AD36" s="39" t="str">
        <f t="shared" si="0"/>
        <v/>
      </c>
    </row>
    <row r="37" spans="1:30" ht="25.5" customHeight="1" x14ac:dyDescent="0.25">
      <c r="A37" s="10"/>
      <c r="B37" s="202" t="s">
        <v>48</v>
      </c>
      <c r="C37" s="100"/>
      <c r="D37" s="100"/>
      <c r="E37" s="101">
        <v>1664.6</v>
      </c>
      <c r="F37" s="101"/>
      <c r="G37" s="101"/>
      <c r="H37" s="101">
        <v>1678.1</v>
      </c>
      <c r="I37" s="101"/>
      <c r="J37" s="101"/>
      <c r="K37" s="101">
        <v>968.7</v>
      </c>
      <c r="L37" s="101"/>
      <c r="M37" s="101"/>
      <c r="N37" s="82">
        <f>IF(E37&lt;&gt;"",E37/(((H37-K37)/$F$27)-((H37-E37)/$S$24)),"")</f>
        <v>2392.364342727155</v>
      </c>
      <c r="O37" s="82"/>
      <c r="P37" s="82"/>
      <c r="Q37" s="82">
        <f>IF(N37&lt;&gt;"",(N37/$S$27)*100,"")</f>
        <v>96.233481203827637</v>
      </c>
      <c r="R37" s="82"/>
      <c r="S37" s="82"/>
      <c r="T37" s="82">
        <f>IF(Q37&lt;&gt;"",100-Q37,"")</f>
        <v>3.7665187961723632</v>
      </c>
      <c r="U37" s="82"/>
      <c r="V37" s="82"/>
      <c r="W37" s="100">
        <v>8</v>
      </c>
      <c r="X37" s="100"/>
      <c r="Y37" s="203"/>
      <c r="Z37" s="13"/>
      <c r="AB37" s="10">
        <v>12</v>
      </c>
      <c r="AC37" s="12">
        <v>1.0024999999999999</v>
      </c>
      <c r="AD37" s="39" t="str">
        <f t="shared" si="0"/>
        <v/>
      </c>
    </row>
    <row r="38" spans="1:30" ht="25.5" customHeight="1" x14ac:dyDescent="0.25">
      <c r="A38" s="10"/>
      <c r="B38" s="204" t="s">
        <v>49</v>
      </c>
      <c r="C38" s="83"/>
      <c r="D38" s="83"/>
      <c r="E38" s="101">
        <v>1707.9</v>
      </c>
      <c r="F38" s="101"/>
      <c r="G38" s="101"/>
      <c r="H38" s="101">
        <v>1721.3</v>
      </c>
      <c r="I38" s="101"/>
      <c r="J38" s="101"/>
      <c r="K38" s="101">
        <v>995.2</v>
      </c>
      <c r="L38" s="101"/>
      <c r="M38" s="101"/>
      <c r="N38" s="82">
        <f>IF(E38&lt;&gt;"",E38/(((H38-K38)/$F$27)-((H38-E38)/$S$24)),"")</f>
        <v>2396.5607302059457</v>
      </c>
      <c r="O38" s="82"/>
      <c r="P38" s="82"/>
      <c r="Q38" s="82">
        <f>IF(N38&lt;&gt;"",(N38/$S$27)*100,"")</f>
        <v>96.402281987367076</v>
      </c>
      <c r="R38" s="82"/>
      <c r="S38" s="82"/>
      <c r="T38" s="82">
        <f>IF(Q38&lt;&gt;"",100-Q38,"")</f>
        <v>3.5977180126329245</v>
      </c>
      <c r="U38" s="82"/>
      <c r="V38" s="82"/>
      <c r="W38" s="83">
        <v>8</v>
      </c>
      <c r="X38" s="83"/>
      <c r="Y38" s="205"/>
      <c r="Z38" s="13"/>
      <c r="AB38" s="10">
        <v>13</v>
      </c>
      <c r="AC38" s="12">
        <v>1.0023</v>
      </c>
      <c r="AD38" s="39" t="str">
        <f t="shared" si="0"/>
        <v/>
      </c>
    </row>
    <row r="39" spans="1:30" ht="25.5" customHeight="1" thickBot="1" x14ac:dyDescent="0.3">
      <c r="A39" s="10"/>
      <c r="B39" s="206" t="s">
        <v>61</v>
      </c>
      <c r="C39" s="207"/>
      <c r="D39" s="207"/>
      <c r="E39" s="207">
        <v>1975.5</v>
      </c>
      <c r="F39" s="207"/>
      <c r="G39" s="207"/>
      <c r="H39" s="207">
        <v>1990.9</v>
      </c>
      <c r="I39" s="207"/>
      <c r="J39" s="207"/>
      <c r="K39" s="207">
        <v>1147.2</v>
      </c>
      <c r="L39" s="207"/>
      <c r="M39" s="207"/>
      <c r="N39" s="208">
        <f>IF(E39&lt;&gt;"",E39/(((H39-K39)/$F$27)-((H39-E39)/$S$24)),"")</f>
        <v>2385.1246976866187</v>
      </c>
      <c r="O39" s="208"/>
      <c r="P39" s="208"/>
      <c r="Q39" s="208">
        <f>IF(N39&lt;&gt;"",(N39/$S$27)*100,"")</f>
        <v>95.942264589164068</v>
      </c>
      <c r="R39" s="208"/>
      <c r="S39" s="208"/>
      <c r="T39" s="208">
        <f>IF(Q39&lt;&gt;"",100-Q39,"")</f>
        <v>4.0577354108359316</v>
      </c>
      <c r="U39" s="208"/>
      <c r="V39" s="208"/>
      <c r="W39" s="207">
        <v>9</v>
      </c>
      <c r="X39" s="207"/>
      <c r="Y39" s="209"/>
      <c r="Z39" s="13"/>
      <c r="AB39" s="10">
        <v>14</v>
      </c>
      <c r="AC39" s="12">
        <v>1.0022</v>
      </c>
      <c r="AD39" s="39" t="str">
        <f t="shared" si="0"/>
        <v/>
      </c>
    </row>
    <row r="40" spans="1:30" ht="12.75" customHeight="1" x14ac:dyDescent="0.25">
      <c r="A40" s="12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  <c r="O40" s="56"/>
      <c r="P40" s="56"/>
      <c r="Q40" s="57"/>
      <c r="R40" s="57"/>
      <c r="S40" s="57"/>
      <c r="T40" s="57"/>
      <c r="U40" s="57"/>
      <c r="V40" s="57"/>
      <c r="W40" s="55"/>
      <c r="X40" s="55"/>
      <c r="Y40" s="55"/>
      <c r="Z40" s="13"/>
      <c r="AB40" s="10">
        <v>15</v>
      </c>
      <c r="AC40" s="12">
        <v>1.0021</v>
      </c>
      <c r="AD40" s="39" t="str">
        <f t="shared" si="0"/>
        <v/>
      </c>
    </row>
    <row r="41" spans="1:30" ht="15.9" customHeight="1" x14ac:dyDescent="0.25">
      <c r="A41" s="44"/>
      <c r="B41" s="4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18"/>
      <c r="AB41" s="10">
        <v>16</v>
      </c>
      <c r="AC41" s="12">
        <v>1.0019</v>
      </c>
      <c r="AD41" s="39" t="str">
        <f t="shared" si="0"/>
        <v/>
      </c>
    </row>
    <row r="42" spans="1:30" ht="12.75" customHeight="1" x14ac:dyDescent="0.25">
      <c r="A42" s="46"/>
      <c r="B42" s="4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AB42" s="10">
        <v>17</v>
      </c>
      <c r="AC42" s="12">
        <v>1.0017</v>
      </c>
      <c r="AD42" s="39" t="str">
        <f t="shared" si="0"/>
        <v/>
      </c>
    </row>
    <row r="43" spans="1:30" s="19" customFormat="1" ht="30.75" customHeight="1" x14ac:dyDescent="0.3">
      <c r="A43" s="48" t="s">
        <v>50</v>
      </c>
      <c r="B43" s="49" t="s">
        <v>51</v>
      </c>
      <c r="C43" s="50"/>
      <c r="D43" s="50"/>
      <c r="E43" s="50"/>
      <c r="F43" s="51"/>
      <c r="G43" s="51"/>
      <c r="H43" s="51"/>
      <c r="I43" s="7"/>
      <c r="J43" s="7"/>
      <c r="K43" s="7"/>
      <c r="L43" s="7"/>
      <c r="M43" s="7"/>
      <c r="N43" s="7"/>
      <c r="O43" s="7"/>
      <c r="P43" s="7"/>
      <c r="Q43" s="51"/>
      <c r="R43" s="7"/>
      <c r="S43" s="7"/>
      <c r="T43" s="7"/>
      <c r="U43" s="157"/>
      <c r="V43" s="157"/>
      <c r="W43" s="157"/>
      <c r="X43" s="158"/>
      <c r="Y43" s="158"/>
      <c r="Z43" s="159"/>
      <c r="AA43" s="71"/>
      <c r="AB43" s="10">
        <v>18</v>
      </c>
      <c r="AC43" s="12">
        <v>1.0016</v>
      </c>
      <c r="AD43" s="39" t="str">
        <f t="shared" si="0"/>
        <v/>
      </c>
    </row>
    <row r="44" spans="1:30" s="19" customFormat="1" ht="28.5" customHeight="1" x14ac:dyDescent="0.3">
      <c r="A44" s="90" t="s">
        <v>52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2"/>
      <c r="R44" s="150" t="s">
        <v>53</v>
      </c>
      <c r="S44" s="151"/>
      <c r="T44" s="152"/>
      <c r="U44" s="160" t="s">
        <v>54</v>
      </c>
      <c r="V44" s="161"/>
      <c r="W44" s="161"/>
      <c r="X44" s="162"/>
      <c r="Y44" s="162"/>
      <c r="Z44" s="163"/>
      <c r="AA44" s="71"/>
      <c r="AB44" s="10">
        <v>19</v>
      </c>
      <c r="AC44" s="12">
        <v>1.0014000000000001</v>
      </c>
      <c r="AD44" s="39" t="str">
        <f t="shared" si="0"/>
        <v/>
      </c>
    </row>
    <row r="45" spans="1:30" s="19" customFormat="1" ht="14.25" customHeight="1" x14ac:dyDescent="0.3">
      <c r="A45" s="84" t="s">
        <v>55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6"/>
      <c r="R45" s="150" t="s">
        <v>56</v>
      </c>
      <c r="S45" s="151"/>
      <c r="T45" s="152"/>
      <c r="U45" s="102" t="s">
        <v>57</v>
      </c>
      <c r="V45" s="103"/>
      <c r="W45" s="103"/>
      <c r="X45" s="104"/>
      <c r="Y45" s="104"/>
      <c r="Z45" s="105"/>
      <c r="AA45" s="71"/>
      <c r="AB45" s="10">
        <v>20</v>
      </c>
      <c r="AC45" s="12">
        <v>1.0012000000000001</v>
      </c>
      <c r="AD45" s="39" t="str">
        <f t="shared" si="0"/>
        <v/>
      </c>
    </row>
    <row r="46" spans="1:30" s="19" customFormat="1" ht="9" customHeight="1" x14ac:dyDescent="0.3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6"/>
      <c r="R46" s="150"/>
      <c r="S46" s="151"/>
      <c r="T46" s="152"/>
      <c r="U46" s="106"/>
      <c r="V46" s="107"/>
      <c r="W46" s="107"/>
      <c r="X46" s="93"/>
      <c r="Y46" s="93"/>
      <c r="Z46" s="108"/>
      <c r="AA46" s="71"/>
      <c r="AB46" s="10">
        <v>21</v>
      </c>
      <c r="AC46" s="40">
        <v>1.0009999999999999</v>
      </c>
      <c r="AD46" s="39" t="str">
        <f t="shared" si="0"/>
        <v/>
      </c>
    </row>
    <row r="47" spans="1:30" s="19" customFormat="1" ht="12.75" customHeight="1" x14ac:dyDescent="0.3">
      <c r="A47" s="8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9"/>
      <c r="R47" s="150"/>
      <c r="S47" s="151"/>
      <c r="T47" s="152"/>
      <c r="U47" s="106"/>
      <c r="V47" s="107"/>
      <c r="W47" s="107"/>
      <c r="X47" s="93"/>
      <c r="Y47" s="93"/>
      <c r="Z47" s="108"/>
      <c r="AA47" s="71"/>
      <c r="AB47" s="10">
        <v>22</v>
      </c>
      <c r="AC47" s="12">
        <v>1.0006999999999999</v>
      </c>
      <c r="AD47" s="39">
        <f t="shared" si="0"/>
        <v>1.0006999999999999</v>
      </c>
    </row>
    <row r="48" spans="1:30" s="19" customFormat="1" ht="14.25" customHeight="1" x14ac:dyDescent="0.25">
      <c r="A48" s="41" t="s">
        <v>58</v>
      </c>
      <c r="B48" s="52" t="s">
        <v>59</v>
      </c>
      <c r="C48" s="11"/>
      <c r="D48" s="11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42"/>
      <c r="R48" s="150"/>
      <c r="S48" s="151"/>
      <c r="T48" s="152"/>
      <c r="U48" s="109"/>
      <c r="V48" s="110"/>
      <c r="W48" s="110"/>
      <c r="X48" s="111"/>
      <c r="Y48" s="111"/>
      <c r="Z48" s="112"/>
      <c r="AB48" s="10">
        <v>23</v>
      </c>
      <c r="AC48" s="12">
        <v>1.0004999999999999</v>
      </c>
      <c r="AD48" s="39" t="str">
        <f t="shared" si="0"/>
        <v/>
      </c>
    </row>
    <row r="49" spans="1:30" s="19" customFormat="1" ht="12.75" customHeight="1" x14ac:dyDescent="0.25">
      <c r="A49" s="144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6"/>
      <c r="R49" s="150" t="s">
        <v>60</v>
      </c>
      <c r="S49" s="151"/>
      <c r="T49" s="152"/>
      <c r="U49" s="58"/>
      <c r="V49" s="59"/>
      <c r="W49" s="59"/>
      <c r="X49" s="60"/>
      <c r="Y49" s="60"/>
      <c r="Z49" s="61"/>
      <c r="AB49" s="10">
        <v>24</v>
      </c>
      <c r="AC49" s="12">
        <v>1.0003</v>
      </c>
      <c r="AD49" s="39" t="str">
        <f t="shared" si="0"/>
        <v/>
      </c>
    </row>
    <row r="50" spans="1:30" s="19" customFormat="1" ht="16.5" customHeight="1" x14ac:dyDescent="0.25">
      <c r="A50" s="144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6"/>
      <c r="R50" s="150"/>
      <c r="S50" s="151"/>
      <c r="T50" s="152"/>
      <c r="U50" s="62"/>
      <c r="V50" s="93"/>
      <c r="W50" s="93"/>
      <c r="X50" s="93"/>
      <c r="Y50" s="93"/>
      <c r="Z50" s="63"/>
      <c r="AB50" s="10">
        <v>25</v>
      </c>
      <c r="AC50" s="40">
        <v>1</v>
      </c>
      <c r="AD50" s="39" t="str">
        <f t="shared" si="0"/>
        <v/>
      </c>
    </row>
    <row r="51" spans="1:30" s="19" customFormat="1" ht="15.6" customHeight="1" x14ac:dyDescent="0.25">
      <c r="A51" s="144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6"/>
      <c r="R51" s="150"/>
      <c r="S51" s="151"/>
      <c r="T51" s="152"/>
      <c r="U51" s="62"/>
      <c r="V51" s="93"/>
      <c r="W51" s="93"/>
      <c r="X51" s="93"/>
      <c r="Y51" s="93"/>
      <c r="Z51" s="63"/>
      <c r="AB51" s="10">
        <v>26</v>
      </c>
      <c r="AC51" s="12">
        <v>0.99970000000000003</v>
      </c>
      <c r="AD51" s="39" t="str">
        <f t="shared" si="0"/>
        <v/>
      </c>
    </row>
    <row r="52" spans="1:30" s="19" customFormat="1" ht="15" customHeight="1" x14ac:dyDescent="0.25">
      <c r="A52" s="147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9"/>
      <c r="R52" s="153"/>
      <c r="S52" s="154"/>
      <c r="T52" s="155"/>
      <c r="U52" s="64"/>
      <c r="V52" s="65"/>
      <c r="W52" s="65"/>
      <c r="X52" s="66"/>
      <c r="Y52" s="66"/>
      <c r="Z52" s="67"/>
      <c r="AB52" s="10">
        <v>27</v>
      </c>
      <c r="AC52" s="12">
        <v>0.99950000000000006</v>
      </c>
      <c r="AD52" s="39" t="str">
        <f t="shared" si="0"/>
        <v/>
      </c>
    </row>
    <row r="53" spans="1:30" ht="12.75" customHeight="1" x14ac:dyDescent="0.25">
      <c r="AB53" s="10">
        <v>28</v>
      </c>
      <c r="AC53" s="12">
        <v>0.99919999999999998</v>
      </c>
      <c r="AD53" s="39" t="str">
        <f t="shared" si="0"/>
        <v/>
      </c>
    </row>
    <row r="54" spans="1:30" ht="12.75" customHeight="1" x14ac:dyDescent="0.25">
      <c r="P54" s="11"/>
      <c r="Q54" s="11"/>
      <c r="R54" s="11"/>
      <c r="S54" s="11"/>
      <c r="T54" s="11"/>
      <c r="U54" s="11"/>
      <c r="V54" s="11"/>
      <c r="W54" s="11"/>
      <c r="AB54" s="10">
        <v>29</v>
      </c>
      <c r="AC54" s="12">
        <v>0.99890000000000001</v>
      </c>
      <c r="AD54" s="39" t="str">
        <f t="shared" si="0"/>
        <v/>
      </c>
    </row>
    <row r="55" spans="1:30" ht="12.75" customHeight="1" x14ac:dyDescent="0.25">
      <c r="P55" s="11"/>
      <c r="Q55" s="11"/>
      <c r="R55" s="11"/>
      <c r="S55" s="11"/>
      <c r="T55" s="11"/>
      <c r="U55" s="11"/>
      <c r="V55" s="11"/>
      <c r="W55" s="11"/>
      <c r="AB55" s="15">
        <v>30</v>
      </c>
      <c r="AC55" s="16">
        <v>0.99860000000000004</v>
      </c>
      <c r="AD55" s="43" t="str">
        <f t="shared" si="0"/>
        <v/>
      </c>
    </row>
    <row r="56" spans="1:30" ht="12.75" customHeight="1" x14ac:dyDescent="0.25">
      <c r="P56" s="11"/>
      <c r="Q56" s="11"/>
      <c r="R56" s="11"/>
      <c r="S56" s="11"/>
      <c r="T56" s="11"/>
      <c r="U56" s="11"/>
      <c r="V56" s="11"/>
      <c r="W56" s="11"/>
    </row>
    <row r="57" spans="1:30" ht="12.75" customHeight="1" x14ac:dyDescent="0.25">
      <c r="P57" s="11"/>
      <c r="Q57" s="11"/>
      <c r="R57" s="11"/>
      <c r="S57" s="11"/>
      <c r="T57" s="11"/>
      <c r="U57" s="11"/>
      <c r="V57" s="11"/>
      <c r="W57" s="11"/>
    </row>
    <row r="58" spans="1:30" ht="12.75" customHeight="1" x14ac:dyDescent="0.25">
      <c r="P58" s="11"/>
      <c r="Q58" s="11"/>
      <c r="R58" s="11"/>
      <c r="S58" s="11"/>
      <c r="T58" s="11"/>
      <c r="U58" s="11"/>
      <c r="V58" s="11"/>
      <c r="W58" s="11"/>
    </row>
    <row r="59" spans="1:30" ht="12.75" customHeight="1" x14ac:dyDescent="0.25">
      <c r="P59" s="11"/>
      <c r="Q59" s="11"/>
      <c r="R59" s="11"/>
      <c r="S59" s="11"/>
      <c r="T59" s="11"/>
      <c r="U59" s="11"/>
      <c r="V59" s="11"/>
      <c r="W59" s="11"/>
    </row>
  </sheetData>
  <sheetProtection formatCells="0" formatColumns="0" formatRows="0" insertColumns="0" insertRows="0" insertHyperlinks="0" deleteColumns="0" deleteRows="0" selectLockedCells="1" sort="0" autoFilter="0" pivotTables="0"/>
  <mergeCells count="102"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Y11"/>
    <mergeCell ref="R44:T44"/>
    <mergeCell ref="U43:Z43"/>
    <mergeCell ref="U44:Z44"/>
    <mergeCell ref="S12:Y12"/>
    <mergeCell ref="T32:V34"/>
    <mergeCell ref="W32:Y34"/>
    <mergeCell ref="Q37:S37"/>
    <mergeCell ref="T37:V37"/>
    <mergeCell ref="W37:Y37"/>
    <mergeCell ref="Q35:S35"/>
    <mergeCell ref="I17:Y17"/>
    <mergeCell ref="T39:V39"/>
    <mergeCell ref="W39:Y39"/>
    <mergeCell ref="H38:J38"/>
    <mergeCell ref="K38:M38"/>
    <mergeCell ref="B24:E26"/>
    <mergeCell ref="B27:E29"/>
    <mergeCell ref="N10:R10"/>
    <mergeCell ref="N11:R11"/>
    <mergeCell ref="N12:R12"/>
    <mergeCell ref="H10:M10"/>
    <mergeCell ref="H11:M11"/>
    <mergeCell ref="H12:M12"/>
    <mergeCell ref="B18:H18"/>
    <mergeCell ref="B12:G12"/>
    <mergeCell ref="B11:G11"/>
    <mergeCell ref="B17:H17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W27:Y29"/>
    <mergeCell ref="I18:Y18"/>
    <mergeCell ref="B32:D34"/>
    <mergeCell ref="E32:G34"/>
    <mergeCell ref="H32:J34"/>
    <mergeCell ref="B37:D37"/>
    <mergeCell ref="E37:G37"/>
    <mergeCell ref="H37:J37"/>
    <mergeCell ref="U45:Z48"/>
    <mergeCell ref="T35:V35"/>
    <mergeCell ref="W35:Y35"/>
    <mergeCell ref="B39:D39"/>
    <mergeCell ref="E39:G39"/>
    <mergeCell ref="R45:T48"/>
    <mergeCell ref="K37:M37"/>
    <mergeCell ref="N37:P37"/>
    <mergeCell ref="B38:D38"/>
    <mergeCell ref="E38:G38"/>
    <mergeCell ref="N38:P38"/>
    <mergeCell ref="B35:D35"/>
    <mergeCell ref="E35:G35"/>
    <mergeCell ref="AB32:AB34"/>
    <mergeCell ref="AC32:AC34"/>
    <mergeCell ref="B36:D36"/>
    <mergeCell ref="E36:G36"/>
    <mergeCell ref="H36:J36"/>
    <mergeCell ref="K36:M36"/>
    <mergeCell ref="N36:P36"/>
    <mergeCell ref="Q36:S36"/>
    <mergeCell ref="T36:V36"/>
    <mergeCell ref="W36:Y36"/>
    <mergeCell ref="K32:M34"/>
    <mergeCell ref="N32:P34"/>
    <mergeCell ref="Q32:S34"/>
    <mergeCell ref="H35:J35"/>
    <mergeCell ref="K35:M35"/>
    <mergeCell ref="N35:P35"/>
    <mergeCell ref="T38:V38"/>
    <mergeCell ref="W38:Y38"/>
    <mergeCell ref="A45:Q47"/>
    <mergeCell ref="A44:Q44"/>
    <mergeCell ref="V50:Y51"/>
    <mergeCell ref="A49:Q52"/>
    <mergeCell ref="R49:T52"/>
    <mergeCell ref="H39:J39"/>
    <mergeCell ref="K39:M39"/>
    <mergeCell ref="N39:P39"/>
    <mergeCell ref="Q39:S39"/>
    <mergeCell ref="Q38:S38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200622</vt:lpstr>
      <vt:lpstr>'200622'!Zone_d_impression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2022-06-22T07:19:47Z</cp:lastPrinted>
  <dcterms:created xsi:type="dcterms:W3CDTF">2004-11-13T18:13:05Z</dcterms:created>
  <dcterms:modified xsi:type="dcterms:W3CDTF">2022-06-22T07:28:30Z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