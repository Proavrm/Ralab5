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L14C  Lyon 7e - Réfection de tranchées\Essais de laboratoire\Enrobés\"/>
    </mc:Choice>
  </mc:AlternateContent>
  <xr:revisionPtr revIDLastSave="0" documentId="13_ncr:1_{DF174DC3-0335-40CA-A38E-753C9D08D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90725 GB Farge" sheetId="3" r:id="rId1"/>
    <sheet name="290725 BBSG Farge" sheetId="1" r:id="rId2"/>
  </sheets>
  <definedNames>
    <definedName name="_xlnm.Print_Area" localSheetId="1">'290725 BBSG Farge'!$A$1:$Z$62</definedName>
    <definedName name="_xlnm.Print_Area" localSheetId="0">'290725 GB Farge'!$A$1:$Z$62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" i="3" l="1"/>
  <c r="AD36" i="3"/>
  <c r="AD37" i="3"/>
  <c r="AD38" i="3"/>
  <c r="AD3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39" i="1"/>
  <c r="AD38" i="1"/>
  <c r="AD37" i="1"/>
  <c r="AD36" i="1"/>
  <c r="AD35" i="1"/>
  <c r="F27" i="3" l="1"/>
  <c r="F27" i="1"/>
</calcChain>
</file>

<file path=xl/sharedStrings.xml><?xml version="1.0" encoding="utf-8"?>
<sst xmlns="http://schemas.openxmlformats.org/spreadsheetml/2006/main" count="148" uniqueCount="77">
  <si>
    <t>COMPTE RENDU D'ESSAIS</t>
  </si>
  <si>
    <t>MASSE VOLUMIQUE DES ENROBES
(NF EN 12697-6-A1)</t>
  </si>
  <si>
    <t>n°</t>
  </si>
  <si>
    <t>RA L14C</t>
  </si>
  <si>
    <t>30/07/2025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</si>
  <si>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</si>
  <si>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</si>
  <si>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</si>
  <si>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</si>
  <si>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</si>
  <si>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</si>
  <si>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</si>
  <si>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F. Montet</t>
  </si>
  <si>
    <t>29/07/2025</t>
  </si>
  <si>
    <t>Opérateur :</t>
  </si>
  <si>
    <t>Nature du produit :</t>
  </si>
  <si>
    <t>BBSG 0/10 Classe 3</t>
  </si>
  <si>
    <t>Date de(s) prélèvement(s) :</t>
  </si>
  <si>
    <t>Provenance :</t>
  </si>
  <si>
    <t>P2R</t>
  </si>
  <si>
    <t>Date de(s) essai(s) :</t>
  </si>
  <si>
    <t>Couche :</t>
  </si>
  <si>
    <t>Roulement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</si>
  <si>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</si>
  <si>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</si>
  <si>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</si>
  <si>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</si>
  <si>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</si>
  <si>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</si>
  <si>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</si>
  <si>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</si>
  <si>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</si>
  <si>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1"/>
        <color rgb="FF000000"/>
        <rFont val="Century Gothic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</si>
  <si>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</si>
  <si>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</si>
  <si>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</si>
  <si>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</si>
  <si>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</si>
  <si>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</si>
  <si>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</si>
  <si>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1"/>
        <color rgb="FF000000"/>
        <rFont val="Century Gothic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</si>
  <si>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</si>
  <si>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</si>
  <si>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</si>
  <si>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</si>
  <si>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</si>
  <si>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</si>
  <si>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SC1</t>
  </si>
  <si>
    <t>SC2</t>
  </si>
  <si>
    <t>SC4</t>
  </si>
  <si>
    <t>SC5</t>
  </si>
  <si>
    <t>SC6</t>
  </si>
  <si>
    <t>4/</t>
  </si>
  <si>
    <t>CONCLUSIONS</t>
  </si>
  <si>
    <t>Contrôle</t>
  </si>
  <si>
    <t>Nom</t>
  </si>
  <si>
    <t>F. MONTET</t>
  </si>
  <si>
    <t>Conforme</t>
  </si>
  <si>
    <t>Fonction</t>
  </si>
  <si>
    <t>Technicien de laboratoire</t>
  </si>
  <si>
    <t>5/</t>
  </si>
  <si>
    <t>COMMENTAIRES</t>
  </si>
  <si>
    <t>Visa</t>
  </si>
  <si>
    <t>Lyon 7eme - réfection de tranchées</t>
  </si>
  <si>
    <t>C1</t>
  </si>
  <si>
    <t>C2</t>
  </si>
  <si>
    <t>C4</t>
  </si>
  <si>
    <t>C5</t>
  </si>
  <si>
    <t>C6</t>
  </si>
  <si>
    <t>4% ≤ % vides ≤ 8%</t>
  </si>
  <si>
    <r>
      <t>Masse volumique de l'éprouvette
(kg/m</t>
    </r>
    <r>
      <rPr>
        <b/>
        <vertAlign val="superscript"/>
        <sz val="11"/>
        <color rgb="FF000000"/>
        <rFont val="Century Gothic"/>
        <family val="2"/>
      </rPr>
      <t>3)</t>
    </r>
  </si>
  <si>
    <r>
      <t>kg/m</t>
    </r>
    <r>
      <rPr>
        <b/>
        <vertAlign val="superscript"/>
        <sz val="11"/>
        <color rgb="FF000000"/>
        <rFont val="Century Gothic"/>
        <family val="2"/>
      </rPr>
      <t>3</t>
    </r>
  </si>
  <si>
    <t>Base</t>
  </si>
  <si>
    <t>GB 0/14 Classe 3</t>
  </si>
  <si>
    <t>Formule 110.
Carottes sur boulevard Farge.</t>
  </si>
  <si>
    <t>Formule 156.
Carottes sur boulevard Farge.
1 carotte à 9,4% de vides qui est admissible.</t>
  </si>
  <si>
    <t>0% ≤ % vides ≤ 9% avec tolérance jusqu'à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</si>
</sst>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30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alibri"/>
    </font>
    <font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b/>
      <vertAlign val="superscript"/>
      <sz val="11"/>
      <color rgb="FF000000"/>
      <name val="Century Gothic"/>
    </font>
    <font>
      <sz val="8"/>
      <name val="Arial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sz val="11"/>
      <color rgb="FF000000"/>
      <name val="Calibri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6" fillId="0" borderId="0"/>
  </cellStyleXfs>
  <cellXfs count="36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0" fillId="0" borderId="2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6" fillId="0" borderId="2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/>
      <protection hidden="1"/>
    </xf>
    <xf numFmtId="165" fontId="10" fillId="0" borderId="15" xfId="0" applyNumberFormat="1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20" xfId="0" applyFont="1" applyBorder="1" applyAlignment="1" applyProtection="1">
      <alignment horizontal="center" vertical="center" wrapText="1"/>
      <protection hidden="1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/>
      <protection locked="0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/>
      <protection locked="0"/>
    </xf>
    <xf numFmtId="0" fontId="16" fillId="0" borderId="0" xfId="1"/>
    <xf numFmtId="0" fontId="17" fillId="0" borderId="0" xfId="1" applyFont="1" applyAlignment="1" applyProtection="1">
      <alignment vertical="center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vertical="center"/>
      <protection hidden="1"/>
    </xf>
    <xf numFmtId="0" fontId="17" fillId="0" borderId="2" xfId="1" applyFont="1" applyBorder="1" applyAlignment="1" applyProtection="1">
      <alignment horizontal="center" vertical="center"/>
      <protection hidden="1"/>
    </xf>
    <xf numFmtId="0" fontId="17" fillId="0" borderId="1" xfId="1" applyFont="1" applyBorder="1" applyAlignment="1" applyProtection="1">
      <alignment horizontal="center" vertical="center"/>
      <protection hidden="1"/>
    </xf>
    <xf numFmtId="164" fontId="17" fillId="0" borderId="7" xfId="1" applyNumberFormat="1" applyFont="1" applyBorder="1" applyAlignment="1" applyProtection="1">
      <alignment vertical="center"/>
      <protection hidden="1"/>
    </xf>
    <xf numFmtId="0" fontId="17" fillId="0" borderId="6" xfId="1" applyFont="1" applyBorder="1" applyAlignment="1" applyProtection="1">
      <alignment horizontal="center" vertical="center"/>
      <protection hidden="1"/>
    </xf>
    <xf numFmtId="164" fontId="17" fillId="0" borderId="0" xfId="1" applyNumberFormat="1" applyFont="1" applyAlignment="1" applyProtection="1">
      <alignment horizontal="center" vertical="center"/>
      <protection hidden="1"/>
    </xf>
    <xf numFmtId="0" fontId="17" fillId="0" borderId="0" xfId="1" applyFont="1" applyProtection="1">
      <protection hidden="1"/>
    </xf>
    <xf numFmtId="0" fontId="17" fillId="0" borderId="8" xfId="1" applyFont="1" applyBorder="1" applyAlignment="1" applyProtection="1">
      <alignment vertical="center" wrapText="1"/>
      <protection locked="0"/>
    </xf>
    <xf numFmtId="0" fontId="17" fillId="0" borderId="2" xfId="1" applyFont="1" applyBorder="1" applyAlignment="1" applyProtection="1">
      <alignment vertical="center" wrapText="1"/>
      <protection locked="0"/>
    </xf>
    <xf numFmtId="0" fontId="17" fillId="0" borderId="1" xfId="1" applyFont="1" applyBorder="1" applyAlignment="1" applyProtection="1">
      <alignment vertical="center" wrapText="1"/>
      <protection locked="0"/>
    </xf>
    <xf numFmtId="0" fontId="18" fillId="0" borderId="8" xfId="1" applyFont="1" applyBorder="1" applyAlignment="1" applyProtection="1">
      <alignment horizontal="center" vertical="center"/>
      <protection hidden="1"/>
    </xf>
    <xf numFmtId="0" fontId="18" fillId="0" borderId="2" xfId="1" applyFont="1" applyBorder="1" applyAlignment="1" applyProtection="1">
      <alignment horizontal="center" vertical="center"/>
      <protection hidden="1"/>
    </xf>
    <xf numFmtId="0" fontId="18" fillId="0" borderId="1" xfId="1" applyFont="1" applyBorder="1" applyAlignment="1" applyProtection="1">
      <alignment horizontal="center" vertical="center"/>
      <protection hidden="1"/>
    </xf>
    <xf numFmtId="0" fontId="15" fillId="0" borderId="8" xfId="1" applyFont="1" applyBorder="1" applyAlignment="1" applyProtection="1">
      <alignment horizontal="left" vertical="center" wrapText="1"/>
      <protection locked="0"/>
    </xf>
    <xf numFmtId="0" fontId="15" fillId="0" borderId="2" xfId="1" applyFont="1" applyBorder="1" applyAlignment="1" applyProtection="1">
      <alignment horizontal="left" vertical="center" wrapText="1"/>
      <protection locked="0"/>
    </xf>
    <xf numFmtId="0" fontId="15" fillId="0" borderId="1" xfId="1" applyFont="1" applyBorder="1" applyAlignment="1" applyProtection="1">
      <alignment horizontal="left" vertical="center" wrapText="1"/>
      <protection locked="0"/>
    </xf>
    <xf numFmtId="0" fontId="15" fillId="0" borderId="7" xfId="1" applyFont="1" applyBorder="1" applyAlignment="1" applyProtection="1">
      <alignment vertical="center"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6" xfId="1" applyFont="1" applyBorder="1" applyAlignment="1" applyProtection="1">
      <alignment vertical="center" wrapText="1"/>
      <protection locked="0"/>
    </xf>
    <xf numFmtId="0" fontId="18" fillId="0" borderId="7" xfId="1" applyFont="1" applyBorder="1" applyAlignment="1" applyProtection="1">
      <alignment horizontal="center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0" fontId="18" fillId="0" borderId="6" xfId="1" applyFont="1" applyBorder="1" applyAlignment="1" applyProtection="1">
      <alignment horizontal="center" vertical="center"/>
      <protection hidden="1"/>
    </xf>
    <xf numFmtId="0" fontId="15" fillId="0" borderId="7" xfId="1" applyFont="1" applyBorder="1" applyAlignment="1" applyProtection="1">
      <alignment horizontal="left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15" fillId="0" borderId="6" xfId="1" applyFont="1" applyBorder="1" applyAlignment="1" applyProtection="1">
      <alignment horizontal="left" vertical="center" wrapText="1"/>
      <protection locked="0"/>
    </xf>
    <xf numFmtId="0" fontId="15" fillId="0" borderId="5" xfId="1" applyFont="1" applyBorder="1" applyAlignment="1" applyProtection="1">
      <alignment vertical="center" wrapText="1"/>
      <protection locked="0"/>
    </xf>
    <xf numFmtId="0" fontId="15" fillId="0" borderId="4" xfId="1" applyFont="1" applyBorder="1" applyAlignment="1" applyProtection="1">
      <alignment vertical="center" wrapText="1"/>
      <protection locked="0"/>
    </xf>
    <xf numFmtId="0" fontId="15" fillId="0" borderId="3" xfId="1" applyFont="1" applyBorder="1" applyAlignment="1" applyProtection="1">
      <alignment vertical="center" wrapText="1"/>
      <protection locked="0"/>
    </xf>
    <xf numFmtId="0" fontId="15" fillId="0" borderId="8" xfId="1" applyFont="1" applyBorder="1" applyAlignment="1" applyProtection="1">
      <alignment horizontal="center" vertical="center" wrapText="1"/>
      <protection locked="0"/>
    </xf>
    <xf numFmtId="0" fontId="15" fillId="0" borderId="2" xfId="1" applyFont="1" applyBorder="1" applyAlignment="1" applyProtection="1">
      <alignment horizontal="center" vertical="center" wrapText="1"/>
      <protection locked="0"/>
    </xf>
    <xf numFmtId="0" fontId="15" fillId="0" borderId="1" xfId="1" applyFont="1" applyBorder="1" applyAlignment="1" applyProtection="1">
      <alignment horizontal="center" vertical="center" wrapText="1"/>
      <protection locked="0"/>
    </xf>
    <xf numFmtId="0" fontId="19" fillId="0" borderId="7" xfId="1" applyFont="1" applyBorder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20" fillId="0" borderId="0" xfId="1" applyFont="1" applyAlignment="1" applyProtection="1">
      <alignment vertical="center"/>
      <protection hidden="1"/>
    </xf>
    <xf numFmtId="0" fontId="21" fillId="0" borderId="6" xfId="1" applyFont="1" applyBorder="1" applyAlignment="1" applyProtection="1">
      <alignment horizontal="center" vertical="center"/>
      <protection hidden="1"/>
    </xf>
    <xf numFmtId="0" fontId="22" fillId="0" borderId="0" xfId="1" applyFont="1"/>
    <xf numFmtId="0" fontId="15" fillId="0" borderId="7" xfId="1" applyFont="1" applyBorder="1" applyAlignment="1" applyProtection="1">
      <alignment horizontal="center" vertical="center" wrapText="1"/>
      <protection locked="0"/>
    </xf>
    <xf numFmtId="0" fontId="15" fillId="0" borderId="6" xfId="1" applyFont="1" applyBorder="1" applyAlignment="1" applyProtection="1">
      <alignment horizontal="center" vertical="center" wrapText="1"/>
      <protection locked="0"/>
    </xf>
    <xf numFmtId="0" fontId="21" fillId="0" borderId="8" xfId="1" applyFont="1" applyBorder="1" applyAlignment="1" applyProtection="1">
      <alignment horizontal="center" vertical="center"/>
      <protection hidden="1"/>
    </xf>
    <xf numFmtId="0" fontId="21" fillId="0" borderId="2" xfId="1" applyFont="1" applyBorder="1" applyAlignment="1" applyProtection="1">
      <alignment horizontal="center" vertical="center"/>
      <protection hidden="1"/>
    </xf>
    <xf numFmtId="0" fontId="21" fillId="0" borderId="1" xfId="1" applyFont="1" applyBorder="1" applyAlignment="1" applyProtection="1">
      <alignment horizontal="center" vertical="center"/>
      <protection hidden="1"/>
    </xf>
    <xf numFmtId="0" fontId="15" fillId="0" borderId="5" xfId="1" applyFont="1" applyBorder="1" applyAlignment="1" applyProtection="1">
      <alignment horizontal="center" vertical="center" wrapText="1"/>
      <protection locked="0"/>
    </xf>
    <xf numFmtId="0" fontId="15" fillId="0" borderId="4" xfId="1" applyFont="1" applyBorder="1" applyAlignment="1" applyProtection="1">
      <alignment horizontal="center" vertical="center" wrapText="1"/>
      <protection locked="0"/>
    </xf>
    <xf numFmtId="0" fontId="15" fillId="0" borderId="3" xfId="1" applyFont="1" applyBorder="1" applyAlignment="1" applyProtection="1">
      <alignment horizontal="center" vertical="center" wrapText="1"/>
      <protection locked="0"/>
    </xf>
    <xf numFmtId="0" fontId="21" fillId="0" borderId="7" xfId="1" applyFont="1" applyBorder="1" applyAlignment="1" applyProtection="1">
      <alignment horizontal="center"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21" fillId="0" borderId="6" xfId="1" applyFont="1" applyBorder="1" applyAlignment="1" applyProtection="1">
      <alignment horizontal="center" vertical="center"/>
      <protection hidden="1"/>
    </xf>
    <xf numFmtId="0" fontId="15" fillId="0" borderId="20" xfId="1" applyFont="1" applyBorder="1" applyAlignment="1" applyProtection="1">
      <alignment horizontal="center" vertical="center" wrapText="1"/>
      <protection locked="0"/>
    </xf>
    <xf numFmtId="0" fontId="15" fillId="0" borderId="11" xfId="1" applyFont="1" applyBorder="1" applyAlignment="1" applyProtection="1">
      <alignment horizontal="center" vertical="center" wrapText="1"/>
      <protection locked="0"/>
    </xf>
    <xf numFmtId="0" fontId="15" fillId="0" borderId="21" xfId="1" applyFont="1" applyBorder="1" applyAlignment="1" applyProtection="1">
      <alignment horizontal="center" vertical="center" wrapText="1"/>
      <protection locked="0"/>
    </xf>
    <xf numFmtId="0" fontId="21" fillId="0" borderId="14" xfId="1" applyFont="1" applyBorder="1" applyAlignment="1" applyProtection="1">
      <alignment horizontal="center" vertical="center"/>
      <protection hidden="1"/>
    </xf>
    <xf numFmtId="0" fontId="21" fillId="0" borderId="13" xfId="1" applyFont="1" applyBorder="1" applyAlignment="1" applyProtection="1">
      <alignment horizontal="center" vertical="center"/>
      <protection hidden="1"/>
    </xf>
    <xf numFmtId="0" fontId="21" fillId="0" borderId="12" xfId="1" applyFont="1" applyBorder="1" applyAlignment="1" applyProtection="1">
      <alignment horizontal="center" vertical="center"/>
      <protection hidden="1"/>
    </xf>
    <xf numFmtId="0" fontId="17" fillId="0" borderId="20" xfId="1" applyFont="1" applyBorder="1" applyAlignment="1" applyProtection="1">
      <alignment horizontal="center" vertical="center" wrapText="1"/>
      <protection hidden="1"/>
    </xf>
    <xf numFmtId="0" fontId="17" fillId="0" borderId="11" xfId="1" applyFont="1" applyBorder="1" applyAlignment="1" applyProtection="1">
      <alignment horizontal="center" vertical="center" wrapText="1"/>
      <protection hidden="1"/>
    </xf>
    <xf numFmtId="0" fontId="18" fillId="0" borderId="11" xfId="1" applyFont="1" applyBorder="1" applyAlignment="1" applyProtection="1">
      <alignment horizontal="center" vertical="center" wrapText="1"/>
      <protection hidden="1"/>
    </xf>
    <xf numFmtId="0" fontId="17" fillId="0" borderId="4" xfId="1" applyFont="1" applyBorder="1" applyAlignment="1" applyProtection="1">
      <alignment vertical="center"/>
      <protection hidden="1"/>
    </xf>
    <xf numFmtId="0" fontId="17" fillId="0" borderId="10" xfId="1" applyFont="1" applyBorder="1" applyAlignment="1" applyProtection="1">
      <alignment vertical="center"/>
      <protection hidden="1"/>
    </xf>
    <xf numFmtId="0" fontId="23" fillId="0" borderId="10" xfId="1" applyFont="1" applyBorder="1" applyAlignment="1" applyProtection="1">
      <alignment vertical="center"/>
      <protection hidden="1"/>
    </xf>
    <xf numFmtId="0" fontId="20" fillId="0" borderId="10" xfId="1" applyFont="1" applyBorder="1" applyAlignment="1" applyProtection="1">
      <alignment vertical="center"/>
      <protection hidden="1"/>
    </xf>
    <xf numFmtId="0" fontId="21" fillId="0" borderId="9" xfId="1" applyFont="1" applyBorder="1" applyAlignment="1" applyProtection="1">
      <alignment horizontal="center" vertical="center"/>
      <protection hidden="1"/>
    </xf>
    <xf numFmtId="0" fontId="24" fillId="0" borderId="0" xfId="1" applyFont="1" applyAlignment="1" applyProtection="1">
      <alignment vertical="center"/>
      <protection hidden="1"/>
    </xf>
    <xf numFmtId="0" fontId="24" fillId="0" borderId="0" xfId="1" applyFont="1" applyAlignment="1" applyProtection="1">
      <alignment horizontal="center" vertical="center"/>
      <protection hidden="1"/>
    </xf>
    <xf numFmtId="0" fontId="17" fillId="0" borderId="8" xfId="1" applyFont="1" applyBorder="1" applyAlignment="1" applyProtection="1">
      <alignment vertical="center"/>
      <protection hidden="1"/>
    </xf>
    <xf numFmtId="0" fontId="17" fillId="0" borderId="2" xfId="1" applyFont="1" applyBorder="1" applyAlignment="1" applyProtection="1">
      <alignment vertical="center"/>
      <protection hidden="1"/>
    </xf>
    <xf numFmtId="0" fontId="24" fillId="0" borderId="2" xfId="1" applyFont="1" applyBorder="1" applyAlignment="1" applyProtection="1">
      <alignment vertical="center"/>
      <protection hidden="1"/>
    </xf>
    <xf numFmtId="0" fontId="24" fillId="0" borderId="1" xfId="1" applyFont="1" applyBorder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vertical="center"/>
      <protection hidden="1"/>
    </xf>
    <xf numFmtId="0" fontId="17" fillId="0" borderId="0" xfId="1" applyFont="1" applyAlignment="1">
      <alignment vertical="center"/>
    </xf>
    <xf numFmtId="2" fontId="17" fillId="0" borderId="0" xfId="1" applyNumberFormat="1" applyFont="1" applyAlignment="1">
      <alignment vertical="center"/>
    </xf>
    <xf numFmtId="165" fontId="17" fillId="0" borderId="0" xfId="1" applyNumberFormat="1" applyFont="1" applyAlignment="1">
      <alignment vertical="center"/>
    </xf>
    <xf numFmtId="0" fontId="17" fillId="0" borderId="25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165" fontId="15" fillId="0" borderId="15" xfId="1" applyNumberFormat="1" applyFont="1" applyBorder="1" applyAlignment="1">
      <alignment horizontal="center" vertical="center"/>
    </xf>
    <xf numFmtId="0" fontId="15" fillId="0" borderId="26" xfId="1" applyFont="1" applyBorder="1" applyAlignment="1">
      <alignment horizontal="center" vertical="center"/>
    </xf>
    <xf numFmtId="0" fontId="17" fillId="0" borderId="8" xfId="1" applyFont="1" applyBorder="1" applyAlignment="1" applyProtection="1">
      <alignment horizontal="center" vertical="center" wrapText="1"/>
      <protection hidden="1"/>
    </xf>
    <xf numFmtId="0" fontId="17" fillId="0" borderId="2" xfId="1" applyFont="1" applyBorder="1" applyAlignment="1" applyProtection="1">
      <alignment horizontal="center" vertical="center" wrapText="1"/>
      <protection hidden="1"/>
    </xf>
    <xf numFmtId="0" fontId="17" fillId="0" borderId="1" xfId="1" applyFont="1" applyBorder="1" applyAlignment="1" applyProtection="1">
      <alignment horizontal="center" vertical="center" wrapText="1"/>
      <protection hidden="1"/>
    </xf>
    <xf numFmtId="0" fontId="25" fillId="0" borderId="24" xfId="1" applyFont="1" applyBorder="1" applyAlignment="1">
      <alignment horizontal="center" vertical="center" wrapText="1"/>
    </xf>
    <xf numFmtId="0" fontId="25" fillId="0" borderId="2" xfId="1" applyFont="1" applyBorder="1" applyAlignment="1">
      <alignment horizontal="center" vertical="center" wrapText="1"/>
    </xf>
    <xf numFmtId="0" fontId="25" fillId="0" borderId="2" xfId="1" applyFont="1" applyBorder="1" applyAlignment="1">
      <alignment horizontal="center" vertical="center"/>
    </xf>
    <xf numFmtId="0" fontId="25" fillId="0" borderId="29" xfId="1" applyFont="1" applyBorder="1" applyAlignment="1">
      <alignment horizontal="center" vertical="center" wrapText="1"/>
    </xf>
    <xf numFmtId="0" fontId="17" fillId="0" borderId="7" xfId="1" applyFont="1" applyBorder="1" applyAlignment="1" applyProtection="1">
      <alignment horizontal="center" vertical="center" wrapText="1"/>
      <protection hidden="1"/>
    </xf>
    <xf numFmtId="0" fontId="17" fillId="0" borderId="0" xfId="1" applyFont="1" applyAlignment="1" applyProtection="1">
      <alignment horizontal="center" vertical="center" wrapText="1"/>
      <protection hidden="1"/>
    </xf>
    <xf numFmtId="0" fontId="17" fillId="0" borderId="6" xfId="1" applyFont="1" applyBorder="1" applyAlignment="1" applyProtection="1">
      <alignment horizontal="center" vertical="center" wrapText="1"/>
      <protection hidden="1"/>
    </xf>
    <xf numFmtId="0" fontId="25" fillId="0" borderId="23" xfId="1" applyFont="1" applyBorder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25" fillId="0" borderId="0" xfId="1" applyFont="1" applyAlignment="1">
      <alignment horizontal="center" vertical="center"/>
    </xf>
    <xf numFmtId="0" fontId="25" fillId="0" borderId="28" xfId="1" applyFont="1" applyBorder="1" applyAlignment="1">
      <alignment horizontal="center" vertical="center" wrapText="1"/>
    </xf>
    <xf numFmtId="0" fontId="17" fillId="0" borderId="5" xfId="1" applyFont="1" applyBorder="1" applyAlignment="1" applyProtection="1">
      <alignment horizontal="center" vertical="center" wrapText="1"/>
      <protection hidden="1"/>
    </xf>
    <xf numFmtId="0" fontId="17" fillId="0" borderId="4" xfId="1" applyFont="1" applyBorder="1" applyAlignment="1" applyProtection="1">
      <alignment horizontal="center" vertical="center" wrapText="1"/>
      <protection hidden="1"/>
    </xf>
    <xf numFmtId="0" fontId="17" fillId="0" borderId="3" xfId="1" applyFont="1" applyBorder="1" applyAlignment="1" applyProtection="1">
      <alignment horizontal="center" vertical="center" wrapText="1"/>
      <protection hidden="1"/>
    </xf>
    <xf numFmtId="0" fontId="25" fillId="0" borderId="22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/>
    </xf>
    <xf numFmtId="0" fontId="25" fillId="0" borderId="27" xfId="1" applyFont="1" applyBorder="1" applyAlignment="1">
      <alignment horizontal="center" vertical="center" wrapText="1"/>
    </xf>
    <xf numFmtId="0" fontId="17" fillId="0" borderId="0" xfId="1" applyFont="1"/>
    <xf numFmtId="0" fontId="24" fillId="0" borderId="0" xfId="1" applyFont="1"/>
    <xf numFmtId="0" fontId="24" fillId="0" borderId="0" xfId="1" applyFont="1" applyAlignment="1">
      <alignment horizontal="center"/>
    </xf>
    <xf numFmtId="0" fontId="24" fillId="0" borderId="0" xfId="1" applyFont="1" applyAlignment="1">
      <alignment horizontal="right"/>
    </xf>
    <xf numFmtId="0" fontId="24" fillId="0" borderId="0" xfId="1" applyFont="1" applyAlignment="1">
      <alignment horizontal="right" wrapText="1"/>
    </xf>
    <xf numFmtId="0" fontId="25" fillId="0" borderId="8" xfId="1" applyFont="1" applyBorder="1" applyAlignment="1">
      <alignment horizontal="left" vertical="center"/>
    </xf>
    <xf numFmtId="0" fontId="25" fillId="0" borderId="2" xfId="1" applyFont="1" applyBorder="1" applyAlignment="1">
      <alignment horizontal="left" vertical="center"/>
    </xf>
    <xf numFmtId="0" fontId="25" fillId="0" borderId="1" xfId="1" applyFont="1" applyBorder="1" applyAlignment="1">
      <alignment horizontal="center" vertical="center"/>
    </xf>
    <xf numFmtId="165" fontId="25" fillId="0" borderId="2" xfId="1" applyNumberFormat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left" vertical="center"/>
    </xf>
    <xf numFmtId="0" fontId="25" fillId="0" borderId="0" xfId="1" applyFont="1" applyAlignment="1">
      <alignment horizontal="left" vertical="center"/>
    </xf>
    <xf numFmtId="0" fontId="25" fillId="0" borderId="6" xfId="1" applyFont="1" applyBorder="1" applyAlignment="1">
      <alignment horizontal="center" vertical="center"/>
    </xf>
    <xf numFmtId="165" fontId="25" fillId="0" borderId="0" xfId="1" applyNumberFormat="1" applyFont="1" applyAlignment="1">
      <alignment horizontal="center" vertical="center"/>
    </xf>
    <xf numFmtId="0" fontId="25" fillId="0" borderId="6" xfId="1" applyFont="1" applyBorder="1" applyAlignment="1">
      <alignment horizontal="center" vertical="center" wrapText="1"/>
    </xf>
    <xf numFmtId="0" fontId="25" fillId="0" borderId="5" xfId="1" applyFont="1" applyBorder="1" applyAlignment="1">
      <alignment horizontal="left" vertical="center"/>
    </xf>
    <xf numFmtId="0" fontId="25" fillId="0" borderId="4" xfId="1" applyFont="1" applyBorder="1" applyAlignment="1">
      <alignment horizontal="left" vertical="center"/>
    </xf>
    <xf numFmtId="0" fontId="25" fillId="0" borderId="4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165" fontId="25" fillId="0" borderId="4" xfId="1" applyNumberFormat="1" applyFont="1" applyBorder="1" applyAlignment="1">
      <alignment horizontal="center" vertical="center"/>
    </xf>
    <xf numFmtId="0" fontId="25" fillId="0" borderId="4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 wrapText="1"/>
    </xf>
    <xf numFmtId="0" fontId="17" fillId="0" borderId="5" xfId="1" applyFont="1" applyBorder="1" applyAlignment="1" applyProtection="1">
      <alignment vertical="center"/>
      <protection hidden="1"/>
    </xf>
    <xf numFmtId="0" fontId="23" fillId="0" borderId="4" xfId="1" applyFont="1" applyBorder="1" applyAlignment="1" applyProtection="1">
      <alignment vertical="center"/>
      <protection hidden="1"/>
    </xf>
    <xf numFmtId="0" fontId="23" fillId="0" borderId="4" xfId="1" applyFont="1" applyBorder="1" applyAlignment="1" applyProtection="1">
      <alignment horizontal="center" vertical="center"/>
      <protection hidden="1"/>
    </xf>
    <xf numFmtId="0" fontId="20" fillId="0" borderId="4" xfId="1" applyFont="1" applyBorder="1" applyAlignment="1" applyProtection="1">
      <alignment vertical="center"/>
      <protection hidden="1"/>
    </xf>
    <xf numFmtId="0" fontId="21" fillId="0" borderId="3" xfId="1" applyFont="1" applyBorder="1" applyAlignment="1" applyProtection="1">
      <alignment horizontal="center" vertical="center"/>
      <protection hidden="1"/>
    </xf>
    <xf numFmtId="0" fontId="17" fillId="0" borderId="0" xfId="1" applyFont="1" applyAlignment="1" applyProtection="1">
      <alignment horizontal="left" vertical="center"/>
      <protection hidden="1"/>
    </xf>
    <xf numFmtId="0" fontId="17" fillId="0" borderId="8" xfId="1" applyFont="1" applyBorder="1" applyProtection="1">
      <protection hidden="1"/>
    </xf>
    <xf numFmtId="0" fontId="17" fillId="0" borderId="2" xfId="1" applyFont="1" applyBorder="1" applyProtection="1">
      <protection hidden="1"/>
    </xf>
    <xf numFmtId="0" fontId="17" fillId="0" borderId="1" xfId="1" applyFont="1" applyBorder="1" applyProtection="1">
      <protection hidden="1"/>
    </xf>
    <xf numFmtId="0" fontId="19" fillId="0" borderId="7" xfId="1" applyFont="1" applyBorder="1" applyAlignment="1" applyProtection="1">
      <alignment horizontal="left"/>
      <protection hidden="1"/>
    </xf>
    <xf numFmtId="0" fontId="15" fillId="0" borderId="0" xfId="1" applyFont="1" applyAlignment="1" applyProtection="1">
      <alignment horizontal="left"/>
      <protection locked="0"/>
    </xf>
    <xf numFmtId="0" fontId="15" fillId="0" borderId="0" xfId="1" applyFont="1" applyAlignment="1" applyProtection="1">
      <alignment horizontal="left"/>
      <protection hidden="1"/>
    </xf>
    <xf numFmtId="0" fontId="15" fillId="0" borderId="6" xfId="1" applyFont="1" applyBorder="1" applyProtection="1">
      <protection hidden="1"/>
    </xf>
    <xf numFmtId="0" fontId="17" fillId="0" borderId="7" xfId="1" applyFont="1" applyBorder="1" applyProtection="1">
      <protection hidden="1"/>
    </xf>
    <xf numFmtId="0" fontId="15" fillId="0" borderId="0" xfId="1" applyFont="1" applyProtection="1">
      <protection hidden="1"/>
    </xf>
    <xf numFmtId="0" fontId="25" fillId="0" borderId="0" xfId="1" applyFont="1" applyProtection="1">
      <protection hidden="1"/>
    </xf>
    <xf numFmtId="0" fontId="17" fillId="0" borderId="5" xfId="1" applyFont="1" applyBorder="1" applyProtection="1">
      <protection hidden="1"/>
    </xf>
    <xf numFmtId="0" fontId="17" fillId="0" borderId="4" xfId="1" applyFont="1" applyBorder="1" applyProtection="1">
      <protection hidden="1"/>
    </xf>
    <xf numFmtId="0" fontId="15" fillId="0" borderId="4" xfId="1" applyFont="1" applyBorder="1" applyProtection="1"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25" fillId="0" borderId="3" xfId="1" applyFont="1" applyBorder="1" applyAlignment="1" applyProtection="1">
      <alignment horizontal="center" vertical="center"/>
      <protection hidden="1"/>
    </xf>
    <xf numFmtId="14" fontId="25" fillId="0" borderId="0" xfId="1" applyNumberFormat="1" applyFont="1" applyAlignment="1" applyProtection="1">
      <alignment horizontal="center"/>
      <protection hidden="1"/>
    </xf>
    <xf numFmtId="0" fontId="18" fillId="0" borderId="0" xfId="1" applyFont="1" applyAlignment="1" applyProtection="1">
      <alignment horizontal="right"/>
      <protection hidden="1"/>
    </xf>
    <xf numFmtId="0" fontId="20" fillId="0" borderId="0" xfId="1" applyFont="1" applyAlignment="1" applyProtection="1">
      <alignment horizontal="right"/>
      <protection hidden="1"/>
    </xf>
    <xf numFmtId="0" fontId="15" fillId="0" borderId="2" xfId="1" applyFont="1" applyBorder="1" applyAlignment="1" applyProtection="1">
      <alignment vertical="center"/>
      <protection hidden="1"/>
    </xf>
    <xf numFmtId="0" fontId="15" fillId="0" borderId="2" xfId="1" applyFont="1" applyBorder="1" applyAlignment="1" applyProtection="1">
      <alignment horizontal="left" vertical="center"/>
      <protection hidden="1"/>
    </xf>
    <xf numFmtId="0" fontId="15" fillId="0" borderId="2" xfId="1" applyFont="1" applyBorder="1" applyAlignment="1" applyProtection="1">
      <alignment horizontal="center" vertical="center"/>
      <protection hidden="1"/>
    </xf>
    <xf numFmtId="0" fontId="19" fillId="0" borderId="7" xfId="1" applyFont="1" applyBorder="1" applyAlignment="1" applyProtection="1">
      <alignment horizontal="left" vertical="center"/>
      <protection hidden="1"/>
    </xf>
    <xf numFmtId="0" fontId="15" fillId="0" borderId="0" xfId="1" applyFont="1" applyAlignment="1" applyProtection="1">
      <alignment horizontal="left" vertical="center"/>
      <protection locked="0"/>
    </xf>
    <xf numFmtId="0" fontId="15" fillId="0" borderId="0" xfId="1" applyFont="1" applyAlignment="1" applyProtection="1">
      <alignment horizontal="left" vertical="center"/>
      <protection hidden="1"/>
    </xf>
    <xf numFmtId="14" fontId="15" fillId="0" borderId="0" xfId="1" applyNumberFormat="1" applyFont="1" applyAlignment="1" applyProtection="1">
      <alignment horizontal="left" vertical="center"/>
      <protection locked="0"/>
    </xf>
    <xf numFmtId="0" fontId="17" fillId="0" borderId="4" xfId="1" applyFont="1" applyBorder="1" applyAlignment="1" applyProtection="1">
      <alignment horizontal="center" vertical="center"/>
      <protection hidden="1"/>
    </xf>
    <xf numFmtId="0" fontId="15" fillId="0" borderId="4" xfId="1" applyFont="1" applyBorder="1" applyAlignment="1" applyProtection="1">
      <alignment vertical="center"/>
      <protection hidden="1"/>
    </xf>
    <xf numFmtId="0" fontId="19" fillId="0" borderId="11" xfId="1" applyFont="1" applyBorder="1" applyAlignment="1" applyProtection="1">
      <alignment horizontal="center" vertical="center"/>
      <protection hidden="1"/>
    </xf>
    <xf numFmtId="0" fontId="21" fillId="0" borderId="11" xfId="1" applyFont="1" applyBorder="1" applyAlignment="1" applyProtection="1">
      <alignment horizontal="center" vertical="center"/>
      <protection hidden="1"/>
    </xf>
    <xf numFmtId="0" fontId="28" fillId="0" borderId="8" xfId="1" applyFont="1" applyBorder="1" applyAlignment="1" applyProtection="1">
      <alignment horizontal="center" vertical="center"/>
      <protection hidden="1"/>
    </xf>
    <xf numFmtId="0" fontId="28" fillId="0" borderId="2" xfId="1" applyFont="1" applyBorder="1" applyAlignment="1" applyProtection="1">
      <alignment horizontal="center" vertical="center"/>
      <protection hidden="1"/>
    </xf>
    <xf numFmtId="0" fontId="17" fillId="0" borderId="1" xfId="1" applyFont="1" applyBorder="1" applyAlignment="1" applyProtection="1">
      <alignment vertical="center"/>
      <protection hidden="1"/>
    </xf>
    <xf numFmtId="14" fontId="25" fillId="0" borderId="7" xfId="1" applyNumberFormat="1" applyFont="1" applyBorder="1" applyAlignment="1" applyProtection="1">
      <alignment horizontal="center" vertical="center"/>
      <protection locked="0"/>
    </xf>
    <xf numFmtId="14" fontId="25" fillId="0" borderId="0" xfId="1" applyNumberFormat="1" applyFont="1" applyAlignment="1" applyProtection="1">
      <alignment horizontal="center" vertical="center"/>
      <protection locked="0"/>
    </xf>
    <xf numFmtId="14" fontId="25" fillId="0" borderId="6" xfId="1" applyNumberFormat="1" applyFont="1" applyBorder="1" applyAlignment="1" applyProtection="1">
      <alignment horizontal="center" vertical="center"/>
      <protection locked="0"/>
    </xf>
    <xf numFmtId="0" fontId="25" fillId="0" borderId="7" xfId="1" applyFont="1" applyBorder="1" applyAlignment="1" applyProtection="1">
      <alignment horizontal="center" vertical="center"/>
      <protection locked="0"/>
    </xf>
    <xf numFmtId="0" fontId="25" fillId="0" borderId="0" xfId="1" applyFont="1" applyAlignment="1" applyProtection="1">
      <alignment horizontal="center" vertical="center"/>
      <protection locked="0"/>
    </xf>
    <xf numFmtId="0" fontId="25" fillId="0" borderId="6" xfId="1" applyFont="1" applyBorder="1" applyAlignment="1" applyProtection="1">
      <alignment horizontal="center" vertical="center"/>
      <protection locked="0"/>
    </xf>
    <xf numFmtId="166" fontId="25" fillId="0" borderId="7" xfId="1" applyNumberFormat="1" applyFont="1" applyBorder="1" applyAlignment="1" applyProtection="1">
      <alignment horizontal="center" vertical="center"/>
      <protection locked="0"/>
    </xf>
    <xf numFmtId="166" fontId="25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right" vertical="center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21" fillId="0" borderId="6" xfId="1" applyFont="1" applyBorder="1" applyAlignment="1" applyProtection="1">
      <alignment horizontal="center" vertical="center" wrapText="1"/>
      <protection hidden="1"/>
    </xf>
    <xf numFmtId="0" fontId="27" fillId="0" borderId="7" xfId="1" applyFont="1" applyBorder="1" applyAlignment="1" applyProtection="1">
      <alignment horizontal="center" vertical="center" wrapText="1"/>
      <protection hidden="1"/>
    </xf>
    <xf numFmtId="0" fontId="27" fillId="0" borderId="0" xfId="1" applyFont="1" applyAlignment="1" applyProtection="1">
      <alignment horizontal="center" vertical="center" wrapText="1"/>
      <protection hidden="1"/>
    </xf>
    <xf numFmtId="0" fontId="27" fillId="0" borderId="6" xfId="1" applyFont="1" applyBorder="1" applyAlignment="1" applyProtection="1">
      <alignment horizontal="center" vertical="center" wrapText="1"/>
      <protection hidden="1"/>
    </xf>
    <xf numFmtId="0" fontId="24" fillId="0" borderId="5" xfId="1" applyFont="1" applyBorder="1" applyAlignment="1" applyProtection="1">
      <alignment horizontal="center" vertical="center"/>
      <protection hidden="1"/>
    </xf>
    <xf numFmtId="0" fontId="24" fillId="0" borderId="4" xfId="1" applyFont="1" applyBorder="1" applyAlignment="1" applyProtection="1">
      <alignment horizontal="center" vertical="center"/>
      <protection hidden="1"/>
    </xf>
    <xf numFmtId="0" fontId="24" fillId="0" borderId="3" xfId="1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55898D41-FBE6-4E0F-8621-18DE2C9331F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7F27695-CB4D-4259-9F0C-48380246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" y="33528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479F-F252-4F37-8D1E-5341C2B89B16}">
  <sheetPr>
    <pageSetUpPr fitToPage="1"/>
  </sheetPr>
  <dimension ref="A1:AF69"/>
  <sheetViews>
    <sheetView tabSelected="1" topLeftCell="A48" workbookViewId="0">
      <selection activeCell="T16" sqref="T16"/>
    </sheetView>
  </sheetViews>
  <sheetFormatPr baseColWidth="10" defaultColWidth="11.44140625" defaultRowHeight="12.75" customHeight="1" x14ac:dyDescent="0.25"/>
  <cols>
    <col min="1" max="1" width="5.109375" style="185" customWidth="1"/>
    <col min="2" max="26" width="5.109375" style="184" customWidth="1"/>
    <col min="27" max="27" width="20" style="184" customWidth="1"/>
    <col min="28" max="28" width="28.109375" style="184" customWidth="1"/>
    <col min="29" max="29" width="22.88671875" style="184" customWidth="1"/>
    <col min="30" max="30" width="29.33203125" style="184" customWidth="1"/>
    <col min="31" max="31" width="11.44140625" style="184"/>
    <col min="32" max="16384" width="11.44140625" style="183"/>
  </cols>
  <sheetData>
    <row r="1" spans="1:32" ht="12.75" customHeight="1" x14ac:dyDescent="0.25">
      <c r="A1" s="280"/>
      <c r="B1" s="279"/>
      <c r="C1" s="279"/>
      <c r="D1" s="279"/>
      <c r="E1" s="279"/>
      <c r="F1" s="278"/>
      <c r="G1" s="361" t="s">
        <v>0</v>
      </c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59"/>
      <c r="U1" s="85" t="s">
        <v>63</v>
      </c>
      <c r="V1" s="86"/>
      <c r="W1" s="86"/>
      <c r="X1" s="86"/>
      <c r="Y1" s="86"/>
      <c r="Z1" s="87"/>
    </row>
    <row r="2" spans="1:32" ht="12.75" customHeight="1" x14ac:dyDescent="0.3">
      <c r="A2" s="273"/>
      <c r="B2" s="272"/>
      <c r="C2" s="272"/>
      <c r="D2" s="272"/>
      <c r="E2" s="272"/>
      <c r="F2" s="271"/>
      <c r="G2" s="358" t="s">
        <v>1</v>
      </c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6"/>
      <c r="U2" s="88"/>
      <c r="V2" s="89"/>
      <c r="W2" s="89"/>
      <c r="X2" s="89"/>
      <c r="Y2" s="89"/>
      <c r="Z2" s="90"/>
      <c r="AA2" s="221"/>
      <c r="AB2" s="221"/>
    </row>
    <row r="3" spans="1:32" ht="12.75" customHeight="1" x14ac:dyDescent="0.3">
      <c r="A3" s="273"/>
      <c r="B3" s="272"/>
      <c r="C3" s="272"/>
      <c r="D3" s="272"/>
      <c r="E3" s="272"/>
      <c r="F3" s="271"/>
      <c r="G3" s="358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6"/>
      <c r="U3" s="88"/>
      <c r="V3" s="89"/>
      <c r="W3" s="89"/>
      <c r="X3" s="89"/>
      <c r="Y3" s="89"/>
      <c r="Z3" s="90"/>
      <c r="AA3" s="221"/>
      <c r="AB3" s="221"/>
    </row>
    <row r="4" spans="1:32" ht="12.75" customHeight="1" x14ac:dyDescent="0.3">
      <c r="A4" s="273"/>
      <c r="B4" s="272"/>
      <c r="C4" s="272"/>
      <c r="D4" s="272"/>
      <c r="E4" s="272"/>
      <c r="F4" s="271"/>
      <c r="G4" s="358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6"/>
      <c r="U4" s="88"/>
      <c r="V4" s="89"/>
      <c r="W4" s="89"/>
      <c r="X4" s="89"/>
      <c r="Y4" s="89"/>
      <c r="Z4" s="90"/>
      <c r="AA4" s="221"/>
      <c r="AB4" s="221"/>
    </row>
    <row r="5" spans="1:32" ht="12.75" customHeight="1" x14ac:dyDescent="0.3">
      <c r="A5" s="273"/>
      <c r="B5" s="272"/>
      <c r="C5" s="272"/>
      <c r="D5" s="272"/>
      <c r="E5" s="272"/>
      <c r="F5" s="271"/>
      <c r="G5" s="355"/>
      <c r="H5" s="354"/>
      <c r="I5" s="353" t="s">
        <v>2</v>
      </c>
      <c r="J5" s="352">
        <v>2</v>
      </c>
      <c r="K5" s="351"/>
      <c r="L5" s="350" t="s">
        <v>3</v>
      </c>
      <c r="M5" s="349"/>
      <c r="N5" s="349"/>
      <c r="O5" s="348"/>
      <c r="P5" s="347" t="s">
        <v>4</v>
      </c>
      <c r="Q5" s="346"/>
      <c r="R5" s="346"/>
      <c r="S5" s="346"/>
      <c r="T5" s="345"/>
      <c r="U5" s="88"/>
      <c r="V5" s="89"/>
      <c r="W5" s="89"/>
      <c r="X5" s="89"/>
      <c r="Y5" s="89"/>
      <c r="Z5" s="90"/>
      <c r="AA5" s="221"/>
      <c r="AB5" s="221"/>
    </row>
    <row r="6" spans="1:32" ht="12.75" customHeight="1" x14ac:dyDescent="0.25">
      <c r="A6" s="266"/>
      <c r="B6" s="265"/>
      <c r="C6" s="265"/>
      <c r="D6" s="265"/>
      <c r="E6" s="265"/>
      <c r="F6" s="264"/>
      <c r="G6" s="344"/>
      <c r="H6" s="250"/>
      <c r="I6" s="250"/>
      <c r="J6" s="343" t="s">
        <v>5</v>
      </c>
      <c r="K6" s="343"/>
      <c r="L6" s="343" t="s">
        <v>6</v>
      </c>
      <c r="M6" s="343"/>
      <c r="N6" s="343"/>
      <c r="O6" s="343"/>
      <c r="P6" s="343" t="s">
        <v>7</v>
      </c>
      <c r="Q6" s="343"/>
      <c r="R6" s="343"/>
      <c r="S6" s="343"/>
      <c r="T6" s="342"/>
      <c r="U6" s="91"/>
      <c r="V6" s="92"/>
      <c r="W6" s="92"/>
      <c r="X6" s="92"/>
      <c r="Y6" s="92"/>
      <c r="Z6" s="93"/>
    </row>
    <row r="7" spans="1:32" ht="36.6" customHeight="1" x14ac:dyDescent="0.25">
      <c r="A7" s="341" t="s">
        <v>8</v>
      </c>
      <c r="B7" s="341"/>
      <c r="C7" s="341"/>
      <c r="D7" s="341"/>
      <c r="E7" s="341"/>
      <c r="F7" s="341"/>
      <c r="G7" s="340" t="s">
        <v>9</v>
      </c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  <c r="W7" s="340"/>
      <c r="X7" s="340"/>
      <c r="Y7" s="340"/>
      <c r="Z7" s="340"/>
    </row>
    <row r="8" spans="1:32" ht="15.9" customHeight="1" x14ac:dyDescent="0.3">
      <c r="A8" s="327" t="s">
        <v>10</v>
      </c>
      <c r="B8" s="326" t="s">
        <v>11</v>
      </c>
      <c r="C8" s="339"/>
      <c r="D8" s="338"/>
      <c r="E8" s="338"/>
      <c r="F8" s="338"/>
      <c r="G8" s="338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307"/>
      <c r="AB8" s="221"/>
      <c r="AF8" s="221" t="s">
        <v>12</v>
      </c>
    </row>
    <row r="9" spans="1:32" ht="8.25" customHeight="1" x14ac:dyDescent="0.3">
      <c r="A9" s="190"/>
      <c r="D9" s="185"/>
      <c r="E9" s="185"/>
      <c r="F9" s="185"/>
      <c r="G9" s="185"/>
      <c r="Z9" s="253"/>
      <c r="AB9" s="221"/>
      <c r="AF9" s="221" t="s">
        <v>13</v>
      </c>
    </row>
    <row r="10" spans="1:32" ht="15.9" customHeight="1" x14ac:dyDescent="0.3">
      <c r="A10" s="190"/>
      <c r="B10" s="336" t="s">
        <v>14</v>
      </c>
      <c r="C10" s="336"/>
      <c r="D10" s="336"/>
      <c r="E10" s="336"/>
      <c r="F10" s="336"/>
      <c r="G10" s="336"/>
      <c r="H10" s="337" t="s">
        <v>12</v>
      </c>
      <c r="I10" s="337"/>
      <c r="J10" s="337"/>
      <c r="K10" s="337"/>
      <c r="L10" s="337"/>
      <c r="M10" s="337"/>
      <c r="N10" s="336" t="s">
        <v>15</v>
      </c>
      <c r="O10" s="336"/>
      <c r="P10" s="336"/>
      <c r="Q10" s="336"/>
      <c r="R10" s="336"/>
      <c r="S10" s="335" t="s">
        <v>73</v>
      </c>
      <c r="T10" s="335"/>
      <c r="U10" s="335"/>
      <c r="V10" s="335"/>
      <c r="W10" s="335"/>
      <c r="X10" s="335"/>
      <c r="Y10" s="335"/>
      <c r="Z10" s="334"/>
      <c r="AB10" s="221"/>
      <c r="AF10" s="221" t="s">
        <v>4</v>
      </c>
    </row>
    <row r="11" spans="1:32" ht="15.9" customHeight="1" x14ac:dyDescent="0.3">
      <c r="A11" s="190"/>
      <c r="B11" s="336" t="s">
        <v>17</v>
      </c>
      <c r="C11" s="336"/>
      <c r="D11" s="336"/>
      <c r="E11" s="336"/>
      <c r="F11" s="336"/>
      <c r="G11" s="336"/>
      <c r="H11" s="337" t="s">
        <v>13</v>
      </c>
      <c r="I11" s="337"/>
      <c r="J11" s="337"/>
      <c r="K11" s="337"/>
      <c r="L11" s="337"/>
      <c r="M11" s="337"/>
      <c r="N11" s="336" t="s">
        <v>18</v>
      </c>
      <c r="O11" s="336"/>
      <c r="P11" s="336"/>
      <c r="Q11" s="336"/>
      <c r="R11" s="336"/>
      <c r="S11" s="335" t="s">
        <v>19</v>
      </c>
      <c r="T11" s="335"/>
      <c r="U11" s="335"/>
      <c r="V11" s="335"/>
      <c r="W11" s="335"/>
      <c r="X11" s="335"/>
      <c r="Y11" s="335"/>
      <c r="Z11" s="334"/>
      <c r="AB11" s="221"/>
      <c r="AF11" s="221" t="s">
        <v>73</v>
      </c>
    </row>
    <row r="12" spans="1:32" ht="15.9" customHeight="1" x14ac:dyDescent="0.3">
      <c r="A12" s="190"/>
      <c r="B12" s="336" t="s">
        <v>20</v>
      </c>
      <c r="C12" s="336"/>
      <c r="D12" s="336"/>
      <c r="E12" s="336"/>
      <c r="F12" s="336"/>
      <c r="G12" s="336"/>
      <c r="H12" s="337" t="s">
        <v>4</v>
      </c>
      <c r="I12" s="337"/>
      <c r="J12" s="337"/>
      <c r="K12" s="337"/>
      <c r="L12" s="337"/>
      <c r="M12" s="337"/>
      <c r="N12" s="336" t="s">
        <v>21</v>
      </c>
      <c r="O12" s="336"/>
      <c r="P12" s="336"/>
      <c r="Q12" s="336"/>
      <c r="R12" s="336"/>
      <c r="S12" s="335" t="s">
        <v>72</v>
      </c>
      <c r="T12" s="335"/>
      <c r="U12" s="335"/>
      <c r="V12" s="335"/>
      <c r="W12" s="335"/>
      <c r="X12" s="335"/>
      <c r="Y12" s="335"/>
      <c r="Z12" s="334"/>
      <c r="AB12" s="221"/>
      <c r="AF12" s="221" t="s">
        <v>19</v>
      </c>
    </row>
    <row r="13" spans="1:32" ht="8.25" customHeight="1" x14ac:dyDescent="0.3">
      <c r="A13" s="188"/>
      <c r="B13" s="331"/>
      <c r="C13" s="331"/>
      <c r="D13" s="333"/>
      <c r="E13" s="333"/>
      <c r="F13" s="333"/>
      <c r="G13" s="333"/>
      <c r="H13" s="331"/>
      <c r="I13" s="331"/>
      <c r="J13" s="331"/>
      <c r="K13" s="331"/>
      <c r="L13" s="331"/>
      <c r="M13" s="331"/>
      <c r="N13" s="332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249"/>
      <c r="AB13" s="221"/>
      <c r="AF13" s="221" t="s">
        <v>72</v>
      </c>
    </row>
    <row r="14" spans="1:32" s="192" customFormat="1" ht="15" customHeight="1" x14ac:dyDescent="0.25">
      <c r="B14" s="329"/>
      <c r="C14" s="329"/>
      <c r="K14" s="330"/>
      <c r="L14" s="329"/>
      <c r="M14" s="328"/>
    </row>
    <row r="15" spans="1:32" s="192" customFormat="1" ht="16.2" customHeight="1" x14ac:dyDescent="0.25">
      <c r="A15" s="327" t="s">
        <v>23</v>
      </c>
      <c r="B15" s="326" t="s">
        <v>24</v>
      </c>
      <c r="C15" s="325"/>
      <c r="D15" s="325"/>
      <c r="E15" s="325"/>
      <c r="F15" s="325"/>
      <c r="G15" s="325"/>
      <c r="H15" s="325"/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3"/>
    </row>
    <row r="16" spans="1:32" s="192" customFormat="1" ht="13.8" customHeight="1" x14ac:dyDescent="0.25">
      <c r="A16" s="319"/>
      <c r="B16" s="322"/>
      <c r="C16" s="321"/>
      <c r="D16" s="321"/>
      <c r="E16" s="321"/>
      <c r="F16" s="321"/>
      <c r="G16" s="321"/>
      <c r="H16" s="321"/>
      <c r="Z16" s="320"/>
    </row>
    <row r="17" spans="1:32" s="192" customFormat="1" ht="15" customHeight="1" x14ac:dyDescent="0.25">
      <c r="A17" s="319"/>
      <c r="B17" s="318" t="s">
        <v>25</v>
      </c>
      <c r="C17" s="318"/>
      <c r="D17" s="318"/>
      <c r="E17" s="318"/>
      <c r="F17" s="318"/>
      <c r="G17" s="318"/>
      <c r="H17" s="318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6"/>
    </row>
    <row r="18" spans="1:32" s="192" customFormat="1" ht="15" customHeight="1" x14ac:dyDescent="0.25">
      <c r="A18" s="319"/>
      <c r="B18" s="318" t="s">
        <v>26</v>
      </c>
      <c r="C18" s="318"/>
      <c r="D18" s="318"/>
      <c r="E18" s="318"/>
      <c r="F18" s="318"/>
      <c r="G18" s="318"/>
      <c r="H18" s="318"/>
      <c r="I18" s="182" t="s">
        <v>76</v>
      </c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316"/>
    </row>
    <row r="19" spans="1:32" s="192" customFormat="1" ht="13.2" customHeight="1" x14ac:dyDescent="0.25">
      <c r="A19" s="315"/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3"/>
    </row>
    <row r="20" spans="1:32" ht="12.75" customHeight="1" x14ac:dyDescent="0.25">
      <c r="D20" s="185"/>
      <c r="E20" s="185"/>
      <c r="F20" s="185"/>
      <c r="G20" s="185"/>
      <c r="N20" s="312"/>
    </row>
    <row r="21" spans="1:32" ht="15.9" customHeight="1" x14ac:dyDescent="0.25">
      <c r="A21" s="311" t="s">
        <v>27</v>
      </c>
      <c r="B21" s="310" t="s">
        <v>28</v>
      </c>
      <c r="C21" s="308"/>
      <c r="D21" s="309"/>
      <c r="E21" s="309"/>
      <c r="F21" s="309"/>
      <c r="G21" s="309"/>
      <c r="H21" s="308"/>
      <c r="I21" s="308"/>
      <c r="J21" s="308"/>
      <c r="K21" s="308"/>
      <c r="L21" s="308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307"/>
    </row>
    <row r="22" spans="1:32" ht="12.75" customHeight="1" x14ac:dyDescent="0.25">
      <c r="A22" s="190"/>
      <c r="Z22" s="253"/>
    </row>
    <row r="23" spans="1:32" ht="12.75" customHeight="1" x14ac:dyDescent="0.25">
      <c r="A23" s="190"/>
      <c r="Z23" s="253"/>
    </row>
    <row r="24" spans="1:32" ht="12.75" customHeight="1" x14ac:dyDescent="0.25">
      <c r="A24" s="190"/>
      <c r="B24" s="306" t="s">
        <v>29</v>
      </c>
      <c r="C24" s="302"/>
      <c r="D24" s="302"/>
      <c r="E24" s="302"/>
      <c r="F24" s="302">
        <v>24</v>
      </c>
      <c r="G24" s="302"/>
      <c r="H24" s="302"/>
      <c r="I24" s="302"/>
      <c r="J24" s="301" t="s">
        <v>30</v>
      </c>
      <c r="K24" s="301"/>
      <c r="L24" s="300"/>
      <c r="O24" s="306" t="s">
        <v>31</v>
      </c>
      <c r="P24" s="305"/>
      <c r="Q24" s="305"/>
      <c r="R24" s="305"/>
      <c r="S24" s="302">
        <v>890</v>
      </c>
      <c r="T24" s="302"/>
      <c r="U24" s="302"/>
      <c r="V24" s="302"/>
      <c r="W24" s="301" t="s">
        <v>71</v>
      </c>
      <c r="X24" s="301"/>
      <c r="Y24" s="300"/>
      <c r="Z24" s="253"/>
      <c r="AA24" s="183"/>
    </row>
    <row r="25" spans="1:32" ht="12.75" customHeight="1" x14ac:dyDescent="0.25">
      <c r="A25" s="190"/>
      <c r="B25" s="297"/>
      <c r="C25" s="276"/>
      <c r="D25" s="276"/>
      <c r="E25" s="276"/>
      <c r="F25" s="276"/>
      <c r="G25" s="276"/>
      <c r="H25" s="276"/>
      <c r="I25" s="276"/>
      <c r="J25" s="296"/>
      <c r="K25" s="296"/>
      <c r="L25" s="295"/>
      <c r="O25" s="299"/>
      <c r="P25" s="275"/>
      <c r="Q25" s="275"/>
      <c r="R25" s="275"/>
      <c r="S25" s="276"/>
      <c r="T25" s="276"/>
      <c r="U25" s="276"/>
      <c r="V25" s="276"/>
      <c r="W25" s="296"/>
      <c r="X25" s="296"/>
      <c r="Y25" s="295"/>
      <c r="Z25" s="253"/>
      <c r="AA25" s="183"/>
    </row>
    <row r="26" spans="1:32" ht="12.75" customHeight="1" x14ac:dyDescent="0.25">
      <c r="A26" s="190"/>
      <c r="B26" s="292"/>
      <c r="C26" s="269"/>
      <c r="D26" s="269"/>
      <c r="E26" s="269"/>
      <c r="F26" s="269"/>
      <c r="G26" s="269"/>
      <c r="H26" s="269"/>
      <c r="I26" s="269"/>
      <c r="J26" s="291"/>
      <c r="K26" s="291"/>
      <c r="L26" s="290"/>
      <c r="O26" s="294"/>
      <c r="P26" s="268"/>
      <c r="Q26" s="268"/>
      <c r="R26" s="268"/>
      <c r="S26" s="269"/>
      <c r="T26" s="269"/>
      <c r="U26" s="269"/>
      <c r="V26" s="269"/>
      <c r="W26" s="291"/>
      <c r="X26" s="291"/>
      <c r="Y26" s="290"/>
      <c r="Z26" s="253"/>
      <c r="AA26" s="183"/>
    </row>
    <row r="27" spans="1:32" ht="12.75" customHeight="1" x14ac:dyDescent="0.25">
      <c r="A27" s="190"/>
      <c r="B27" s="306" t="s">
        <v>33</v>
      </c>
      <c r="C27" s="305"/>
      <c r="D27" s="305"/>
      <c r="E27" s="305"/>
      <c r="F27" s="304">
        <f>IF(F24&lt;&gt;"",(997.1*(SUM(AD35:AD69))),"")</f>
        <v>997.39913000000001</v>
      </c>
      <c r="G27" s="304"/>
      <c r="H27" s="304"/>
      <c r="I27" s="304"/>
      <c r="J27" s="301" t="s">
        <v>34</v>
      </c>
      <c r="K27" s="301"/>
      <c r="L27" s="300"/>
      <c r="O27" s="303" t="s">
        <v>35</v>
      </c>
      <c r="P27" s="302"/>
      <c r="Q27" s="302"/>
      <c r="R27" s="302"/>
      <c r="S27" s="302">
        <v>2480</v>
      </c>
      <c r="T27" s="302"/>
      <c r="U27" s="302"/>
      <c r="V27" s="302"/>
      <c r="W27" s="301" t="s">
        <v>34</v>
      </c>
      <c r="X27" s="301"/>
      <c r="Y27" s="300"/>
      <c r="Z27" s="253"/>
      <c r="AA27" s="183"/>
    </row>
    <row r="28" spans="1:32" ht="12.75" customHeight="1" x14ac:dyDescent="0.25">
      <c r="A28" s="190"/>
      <c r="B28" s="299"/>
      <c r="C28" s="275"/>
      <c r="D28" s="275"/>
      <c r="E28" s="275"/>
      <c r="F28" s="298"/>
      <c r="G28" s="298"/>
      <c r="H28" s="298"/>
      <c r="I28" s="298"/>
      <c r="J28" s="296"/>
      <c r="K28" s="296"/>
      <c r="L28" s="295"/>
      <c r="O28" s="297"/>
      <c r="P28" s="276"/>
      <c r="Q28" s="276"/>
      <c r="R28" s="276"/>
      <c r="S28" s="276"/>
      <c r="T28" s="276"/>
      <c r="U28" s="276"/>
      <c r="V28" s="276"/>
      <c r="W28" s="296"/>
      <c r="X28" s="296"/>
      <c r="Y28" s="295"/>
      <c r="Z28" s="253"/>
      <c r="AA28" s="183"/>
    </row>
    <row r="29" spans="1:32" ht="12.75" customHeight="1" x14ac:dyDescent="0.25">
      <c r="A29" s="190"/>
      <c r="B29" s="294"/>
      <c r="C29" s="268"/>
      <c r="D29" s="268"/>
      <c r="E29" s="268"/>
      <c r="F29" s="293"/>
      <c r="G29" s="293"/>
      <c r="H29" s="293"/>
      <c r="I29" s="293"/>
      <c r="J29" s="291"/>
      <c r="K29" s="291"/>
      <c r="L29" s="290"/>
      <c r="O29" s="292"/>
      <c r="P29" s="269"/>
      <c r="Q29" s="269"/>
      <c r="R29" s="269"/>
      <c r="S29" s="269"/>
      <c r="T29" s="269"/>
      <c r="U29" s="269"/>
      <c r="V29" s="269"/>
      <c r="W29" s="291"/>
      <c r="X29" s="291"/>
      <c r="Y29" s="290"/>
      <c r="Z29" s="253"/>
    </row>
    <row r="30" spans="1:32" ht="12.75" customHeight="1" x14ac:dyDescent="0.3">
      <c r="A30" s="190"/>
      <c r="B30" s="289"/>
      <c r="C30" s="287"/>
      <c r="D30" s="286"/>
      <c r="I30" s="285"/>
      <c r="J30" s="285"/>
      <c r="P30" s="287"/>
      <c r="Q30" s="287"/>
      <c r="R30" s="287"/>
      <c r="S30" s="287"/>
      <c r="T30" s="287"/>
      <c r="U30" s="287"/>
      <c r="V30" s="287"/>
      <c r="W30" s="286"/>
      <c r="Z30" s="253"/>
      <c r="AA30" s="221"/>
      <c r="AB30" s="221"/>
      <c r="AC30" s="221"/>
      <c r="AD30" s="221"/>
      <c r="AE30" s="221"/>
      <c r="AF30" s="221"/>
    </row>
    <row r="31" spans="1:32" ht="12.75" customHeight="1" thickBot="1" x14ac:dyDescent="0.3">
      <c r="A31" s="190"/>
      <c r="B31" s="289"/>
      <c r="C31" s="287"/>
      <c r="D31" s="286"/>
      <c r="E31" s="285"/>
      <c r="F31" s="288"/>
      <c r="G31" s="287"/>
      <c r="H31" s="286"/>
      <c r="I31" s="285"/>
      <c r="J31" s="285"/>
      <c r="Z31" s="253"/>
    </row>
    <row r="32" spans="1:32" ht="19.5" customHeight="1" x14ac:dyDescent="0.25">
      <c r="A32" s="190"/>
      <c r="B32" s="284" t="s">
        <v>36</v>
      </c>
      <c r="C32" s="282"/>
      <c r="D32" s="282"/>
      <c r="E32" s="282" t="s">
        <v>37</v>
      </c>
      <c r="F32" s="282"/>
      <c r="G32" s="282"/>
      <c r="H32" s="282" t="s">
        <v>38</v>
      </c>
      <c r="I32" s="282"/>
      <c r="J32" s="282"/>
      <c r="K32" s="282" t="s">
        <v>39</v>
      </c>
      <c r="L32" s="282"/>
      <c r="M32" s="282"/>
      <c r="N32" s="282" t="s">
        <v>70</v>
      </c>
      <c r="O32" s="282"/>
      <c r="P32" s="282"/>
      <c r="Q32" s="282" t="s">
        <v>41</v>
      </c>
      <c r="R32" s="282"/>
      <c r="S32" s="282"/>
      <c r="T32" s="283" t="s">
        <v>42</v>
      </c>
      <c r="U32" s="283"/>
      <c r="V32" s="283"/>
      <c r="W32" s="282" t="s">
        <v>43</v>
      </c>
      <c r="X32" s="282"/>
      <c r="Y32" s="281"/>
      <c r="Z32" s="253"/>
      <c r="AB32" s="280" t="s">
        <v>44</v>
      </c>
      <c r="AC32" s="279" t="s">
        <v>45</v>
      </c>
      <c r="AD32" s="278" t="s">
        <v>46</v>
      </c>
    </row>
    <row r="33" spans="1:30" ht="19.5" customHeight="1" x14ac:dyDescent="0.25">
      <c r="A33" s="190"/>
      <c r="B33" s="277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6"/>
      <c r="U33" s="276"/>
      <c r="V33" s="276"/>
      <c r="W33" s="275"/>
      <c r="X33" s="275"/>
      <c r="Y33" s="274"/>
      <c r="Z33" s="253"/>
      <c r="AB33" s="273"/>
      <c r="AC33" s="272"/>
      <c r="AD33" s="271"/>
    </row>
    <row r="34" spans="1:30" ht="19.5" customHeight="1" x14ac:dyDescent="0.25">
      <c r="A34" s="190"/>
      <c r="B34" s="270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9"/>
      <c r="U34" s="269"/>
      <c r="V34" s="269"/>
      <c r="W34" s="268"/>
      <c r="X34" s="268"/>
      <c r="Y34" s="267"/>
      <c r="Z34" s="253"/>
      <c r="AB34" s="266"/>
      <c r="AC34" s="265"/>
      <c r="AD34" s="264"/>
    </row>
    <row r="35" spans="1:30" ht="25.5" customHeight="1" x14ac:dyDescent="0.25">
      <c r="A35" s="190"/>
      <c r="B35" s="263" t="s">
        <v>47</v>
      </c>
      <c r="C35" s="261"/>
      <c r="D35" s="261"/>
      <c r="E35" s="261">
        <v>2509.8000000000002</v>
      </c>
      <c r="F35" s="261"/>
      <c r="G35" s="261"/>
      <c r="H35" s="261">
        <v>2542.5</v>
      </c>
      <c r="I35" s="261"/>
      <c r="J35" s="261"/>
      <c r="K35" s="261">
        <v>1426.7</v>
      </c>
      <c r="L35" s="261"/>
      <c r="M35" s="261"/>
      <c r="N35" s="262">
        <v>2319.6999999999998</v>
      </c>
      <c r="O35" s="262"/>
      <c r="P35" s="262"/>
      <c r="Q35" s="262">
        <v>93.5</v>
      </c>
      <c r="R35" s="262"/>
      <c r="S35" s="262"/>
      <c r="T35" s="262">
        <v>6.5</v>
      </c>
      <c r="U35" s="262"/>
      <c r="V35" s="262"/>
      <c r="W35" s="261">
        <v>11</v>
      </c>
      <c r="X35" s="261"/>
      <c r="Y35" s="260"/>
      <c r="Z35" s="253"/>
      <c r="AB35" s="190">
        <v>10</v>
      </c>
      <c r="AC35" s="185">
        <v>1.0026999999999999</v>
      </c>
      <c r="AD35" s="189" t="str">
        <f>IF($F$24=AB35,AC35,"")</f>
        <v/>
      </c>
    </row>
    <row r="36" spans="1:30" ht="25.5" customHeight="1" x14ac:dyDescent="0.25">
      <c r="A36" s="190"/>
      <c r="B36" s="263" t="s">
        <v>48</v>
      </c>
      <c r="C36" s="261"/>
      <c r="D36" s="261"/>
      <c r="E36" s="261">
        <v>2043.5</v>
      </c>
      <c r="F36" s="261"/>
      <c r="G36" s="261"/>
      <c r="H36" s="261">
        <v>2069.8000000000002</v>
      </c>
      <c r="I36" s="261"/>
      <c r="J36" s="261"/>
      <c r="K36" s="261">
        <v>1133.4000000000001</v>
      </c>
      <c r="L36" s="261"/>
      <c r="M36" s="261"/>
      <c r="N36" s="262">
        <v>2247.4</v>
      </c>
      <c r="O36" s="262"/>
      <c r="P36" s="262"/>
      <c r="Q36" s="262">
        <v>90.6</v>
      </c>
      <c r="R36" s="262"/>
      <c r="S36" s="262"/>
      <c r="T36" s="262">
        <v>9.4</v>
      </c>
      <c r="U36" s="262"/>
      <c r="V36" s="262"/>
      <c r="W36" s="261">
        <v>9</v>
      </c>
      <c r="X36" s="261"/>
      <c r="Y36" s="260"/>
      <c r="Z36" s="253"/>
      <c r="AB36" s="190">
        <v>10</v>
      </c>
      <c r="AC36" s="185">
        <v>1.0026999999999999</v>
      </c>
      <c r="AD36" s="189" t="str">
        <f>IF($F$24=AB35,AC35,"")</f>
        <v/>
      </c>
    </row>
    <row r="37" spans="1:30" ht="25.5" customHeight="1" x14ac:dyDescent="0.25">
      <c r="A37" s="190"/>
      <c r="B37" s="263" t="s">
        <v>49</v>
      </c>
      <c r="C37" s="261"/>
      <c r="D37" s="261"/>
      <c r="E37" s="261">
        <v>1803.2</v>
      </c>
      <c r="F37" s="261"/>
      <c r="G37" s="261"/>
      <c r="H37" s="261">
        <v>1829.4</v>
      </c>
      <c r="I37" s="261"/>
      <c r="J37" s="261"/>
      <c r="K37" s="261">
        <v>1012.8</v>
      </c>
      <c r="L37" s="261"/>
      <c r="M37" s="261"/>
      <c r="N37" s="262">
        <v>2284.6</v>
      </c>
      <c r="O37" s="262"/>
      <c r="P37" s="262"/>
      <c r="Q37" s="262">
        <v>92.1</v>
      </c>
      <c r="R37" s="262"/>
      <c r="S37" s="262"/>
      <c r="T37" s="262">
        <v>7.9</v>
      </c>
      <c r="U37" s="262"/>
      <c r="V37" s="262"/>
      <c r="W37" s="261">
        <v>8.1999999999999993</v>
      </c>
      <c r="X37" s="261"/>
      <c r="Y37" s="260"/>
      <c r="Z37" s="253"/>
      <c r="AB37" s="190">
        <v>10</v>
      </c>
      <c r="AC37" s="185">
        <v>1.0026999999999999</v>
      </c>
      <c r="AD37" s="189" t="str">
        <f>IF($F$24=AB35,AC35,"")</f>
        <v/>
      </c>
    </row>
    <row r="38" spans="1:30" ht="25.5" customHeight="1" x14ac:dyDescent="0.25">
      <c r="A38" s="190"/>
      <c r="B38" s="263" t="s">
        <v>50</v>
      </c>
      <c r="C38" s="261"/>
      <c r="D38" s="261"/>
      <c r="E38" s="261">
        <v>1245.2</v>
      </c>
      <c r="F38" s="261"/>
      <c r="G38" s="261"/>
      <c r="H38" s="261">
        <v>1261</v>
      </c>
      <c r="I38" s="261"/>
      <c r="J38" s="261"/>
      <c r="K38" s="261">
        <v>704.5</v>
      </c>
      <c r="L38" s="261"/>
      <c r="M38" s="261"/>
      <c r="N38" s="262">
        <v>2305.1</v>
      </c>
      <c r="O38" s="262"/>
      <c r="P38" s="262"/>
      <c r="Q38" s="262">
        <v>92.9</v>
      </c>
      <c r="R38" s="262"/>
      <c r="S38" s="262"/>
      <c r="T38" s="262">
        <v>7.1</v>
      </c>
      <c r="U38" s="262"/>
      <c r="V38" s="262"/>
      <c r="W38" s="261">
        <v>5.3</v>
      </c>
      <c r="X38" s="261"/>
      <c r="Y38" s="260"/>
      <c r="Z38" s="253"/>
      <c r="AB38" s="190">
        <v>10</v>
      </c>
      <c r="AC38" s="185">
        <v>1.0026999999999999</v>
      </c>
      <c r="AD38" s="189" t="str">
        <f>IF($F$24=AB35,AC35,"")</f>
        <v/>
      </c>
    </row>
    <row r="39" spans="1:30" ht="25.5" customHeight="1" x14ac:dyDescent="0.25">
      <c r="A39" s="190"/>
      <c r="B39" s="263" t="s">
        <v>51</v>
      </c>
      <c r="C39" s="261"/>
      <c r="D39" s="261"/>
      <c r="E39" s="261">
        <v>1674.7</v>
      </c>
      <c r="F39" s="261"/>
      <c r="G39" s="261"/>
      <c r="H39" s="261">
        <v>1697.2</v>
      </c>
      <c r="I39" s="261"/>
      <c r="J39" s="261"/>
      <c r="K39" s="261">
        <v>944.4</v>
      </c>
      <c r="L39" s="261"/>
      <c r="M39" s="261"/>
      <c r="N39" s="262">
        <v>2295.6999999999998</v>
      </c>
      <c r="O39" s="262"/>
      <c r="P39" s="262"/>
      <c r="Q39" s="262">
        <v>92.6</v>
      </c>
      <c r="R39" s="262"/>
      <c r="S39" s="262"/>
      <c r="T39" s="262">
        <v>7.4</v>
      </c>
      <c r="U39" s="262"/>
      <c r="V39" s="262"/>
      <c r="W39" s="261">
        <v>7.2</v>
      </c>
      <c r="X39" s="261"/>
      <c r="Y39" s="260"/>
      <c r="Z39" s="253"/>
      <c r="AB39" s="190">
        <v>10</v>
      </c>
      <c r="AC39" s="185">
        <v>1.0026999999999999</v>
      </c>
      <c r="AD39" s="189" t="str">
        <f>IF($F$24=AB35,AC35,"")</f>
        <v/>
      </c>
    </row>
    <row r="40" spans="1:30" ht="25.5" customHeight="1" x14ac:dyDescent="0.25">
      <c r="A40" s="190"/>
      <c r="B40" s="263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2"/>
      <c r="O40" s="262"/>
      <c r="P40" s="262"/>
      <c r="Q40" s="262"/>
      <c r="R40" s="262"/>
      <c r="S40" s="262"/>
      <c r="T40" s="262"/>
      <c r="U40" s="262"/>
      <c r="V40" s="262"/>
      <c r="W40" s="261"/>
      <c r="X40" s="261"/>
      <c r="Y40" s="260"/>
      <c r="Z40" s="253"/>
      <c r="AB40" s="190"/>
      <c r="AC40" s="185"/>
      <c r="AD40" s="189"/>
    </row>
    <row r="41" spans="1:30" ht="25.5" customHeight="1" x14ac:dyDescent="0.25">
      <c r="A41" s="190"/>
      <c r="B41" s="263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2"/>
      <c r="O41" s="262"/>
      <c r="P41" s="262"/>
      <c r="Q41" s="262"/>
      <c r="R41" s="262"/>
      <c r="S41" s="262"/>
      <c r="T41" s="262"/>
      <c r="U41" s="262"/>
      <c r="V41" s="262"/>
      <c r="W41" s="261"/>
      <c r="X41" s="261"/>
      <c r="Y41" s="260"/>
      <c r="Z41" s="253"/>
      <c r="AB41" s="190"/>
      <c r="AC41" s="185"/>
      <c r="AD41" s="189"/>
    </row>
    <row r="42" spans="1:30" ht="25.5" customHeight="1" x14ac:dyDescent="0.25">
      <c r="A42" s="190"/>
      <c r="B42" s="263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2"/>
      <c r="O42" s="262"/>
      <c r="P42" s="262"/>
      <c r="Q42" s="262"/>
      <c r="R42" s="262"/>
      <c r="S42" s="262"/>
      <c r="T42" s="262"/>
      <c r="U42" s="262"/>
      <c r="V42" s="262"/>
      <c r="W42" s="261"/>
      <c r="X42" s="261"/>
      <c r="Y42" s="260"/>
      <c r="Z42" s="253"/>
      <c r="AB42" s="190"/>
      <c r="AC42" s="185"/>
      <c r="AD42" s="189"/>
    </row>
    <row r="43" spans="1:30" ht="25.5" customHeight="1" x14ac:dyDescent="0.25">
      <c r="A43" s="190"/>
      <c r="B43" s="263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2"/>
      <c r="O43" s="262"/>
      <c r="P43" s="262"/>
      <c r="Q43" s="262"/>
      <c r="R43" s="262"/>
      <c r="S43" s="262"/>
      <c r="T43" s="262"/>
      <c r="U43" s="262"/>
      <c r="V43" s="262"/>
      <c r="W43" s="261"/>
      <c r="X43" s="261"/>
      <c r="Y43" s="260"/>
      <c r="Z43" s="253"/>
      <c r="AB43" s="190"/>
      <c r="AC43" s="185"/>
      <c r="AD43" s="189"/>
    </row>
    <row r="44" spans="1:30" ht="25.5" customHeight="1" x14ac:dyDescent="0.25">
      <c r="A44" s="190"/>
      <c r="B44" s="263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2"/>
      <c r="O44" s="262"/>
      <c r="P44" s="262"/>
      <c r="Q44" s="262"/>
      <c r="R44" s="262"/>
      <c r="S44" s="262"/>
      <c r="T44" s="262"/>
      <c r="U44" s="262"/>
      <c r="V44" s="262"/>
      <c r="W44" s="261"/>
      <c r="X44" s="261"/>
      <c r="Y44" s="260"/>
      <c r="Z44" s="253"/>
      <c r="AB44" s="190"/>
      <c r="AC44" s="185"/>
      <c r="AD44" s="189"/>
    </row>
    <row r="45" spans="1:30" ht="25.5" customHeight="1" x14ac:dyDescent="0.25">
      <c r="A45" s="190"/>
      <c r="B45" s="263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2"/>
      <c r="O45" s="262"/>
      <c r="P45" s="262"/>
      <c r="Q45" s="262"/>
      <c r="R45" s="262"/>
      <c r="S45" s="262"/>
      <c r="T45" s="262"/>
      <c r="U45" s="262"/>
      <c r="V45" s="262"/>
      <c r="W45" s="261"/>
      <c r="X45" s="261"/>
      <c r="Y45" s="260"/>
      <c r="Z45" s="253"/>
      <c r="AB45" s="190"/>
      <c r="AC45" s="185"/>
      <c r="AD45" s="189"/>
    </row>
    <row r="46" spans="1:30" ht="25.5" customHeight="1" x14ac:dyDescent="0.25">
      <c r="A46" s="190"/>
      <c r="B46" s="263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2"/>
      <c r="O46" s="262"/>
      <c r="P46" s="262"/>
      <c r="Q46" s="262"/>
      <c r="R46" s="262"/>
      <c r="S46" s="262"/>
      <c r="T46" s="262"/>
      <c r="U46" s="262"/>
      <c r="V46" s="262"/>
      <c r="W46" s="261"/>
      <c r="X46" s="261"/>
      <c r="Y46" s="260"/>
      <c r="Z46" s="253"/>
      <c r="AB46" s="190"/>
      <c r="AC46" s="185"/>
      <c r="AD46" s="189"/>
    </row>
    <row r="47" spans="1:30" ht="25.5" customHeight="1" x14ac:dyDescent="0.25">
      <c r="A47" s="190"/>
      <c r="B47" s="263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2"/>
      <c r="O47" s="262"/>
      <c r="P47" s="262"/>
      <c r="Q47" s="262"/>
      <c r="R47" s="262"/>
      <c r="S47" s="262"/>
      <c r="T47" s="262"/>
      <c r="U47" s="262"/>
      <c r="V47" s="262"/>
      <c r="W47" s="261"/>
      <c r="X47" s="261"/>
      <c r="Y47" s="260"/>
      <c r="Z47" s="253"/>
      <c r="AB47" s="190"/>
      <c r="AC47" s="185"/>
      <c r="AD47" s="189"/>
    </row>
    <row r="48" spans="1:30" ht="25.5" customHeight="1" x14ac:dyDescent="0.25">
      <c r="A48" s="190"/>
      <c r="B48" s="263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2"/>
      <c r="O48" s="262"/>
      <c r="P48" s="262"/>
      <c r="Q48" s="262"/>
      <c r="R48" s="262"/>
      <c r="S48" s="262"/>
      <c r="T48" s="262"/>
      <c r="U48" s="262"/>
      <c r="V48" s="262"/>
      <c r="W48" s="261"/>
      <c r="X48" s="261"/>
      <c r="Y48" s="260"/>
      <c r="Z48" s="253"/>
      <c r="AB48" s="190"/>
      <c r="AC48" s="185"/>
      <c r="AD48" s="189"/>
    </row>
    <row r="49" spans="1:30" ht="25.5" customHeight="1" x14ac:dyDescent="0.25">
      <c r="A49" s="190"/>
      <c r="B49" s="263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2"/>
      <c r="O49" s="262"/>
      <c r="P49" s="262"/>
      <c r="Q49" s="262"/>
      <c r="R49" s="262"/>
      <c r="S49" s="262"/>
      <c r="T49" s="262"/>
      <c r="U49" s="262"/>
      <c r="V49" s="262"/>
      <c r="W49" s="261"/>
      <c r="X49" s="261"/>
      <c r="Y49" s="260"/>
      <c r="Z49" s="253"/>
      <c r="AB49" s="190"/>
      <c r="AC49" s="185"/>
      <c r="AD49" s="189"/>
    </row>
    <row r="50" spans="1:30" ht="25.5" customHeight="1" thickBot="1" x14ac:dyDescent="0.3">
      <c r="A50" s="190"/>
      <c r="B50" s="259"/>
      <c r="C50" s="258"/>
      <c r="D50" s="258"/>
      <c r="E50" s="258"/>
      <c r="F50" s="25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7"/>
      <c r="Z50" s="253"/>
      <c r="AB50" s="190">
        <v>11</v>
      </c>
      <c r="AC50" s="185">
        <v>1.0025999999999999</v>
      </c>
      <c r="AD50" s="189" t="str">
        <f>IF($F$24=AB50,AC50,"")</f>
        <v/>
      </c>
    </row>
    <row r="51" spans="1:30" ht="12.75" customHeight="1" x14ac:dyDescent="0.25"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6"/>
      <c r="O51" s="256"/>
      <c r="P51" s="256"/>
      <c r="Q51" s="255"/>
      <c r="R51" s="255"/>
      <c r="S51" s="255"/>
      <c r="T51" s="255"/>
      <c r="U51" s="255"/>
      <c r="V51" s="255"/>
      <c r="W51" s="254"/>
      <c r="X51" s="254"/>
      <c r="Y51" s="254"/>
      <c r="Z51" s="253"/>
      <c r="AB51" s="190">
        <v>12</v>
      </c>
      <c r="AC51" s="185">
        <v>1.0024999999999999</v>
      </c>
      <c r="AD51" s="189" t="str">
        <f>IF($F$24=AB51,AC51,"")</f>
        <v/>
      </c>
    </row>
    <row r="52" spans="1:30" ht="15.9" customHeight="1" x14ac:dyDescent="0.25">
      <c r="A52" s="252"/>
      <c r="B52" s="251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49"/>
      <c r="AB52" s="190">
        <v>13</v>
      </c>
      <c r="AC52" s="185">
        <v>1.0023</v>
      </c>
      <c r="AD52" s="189" t="str">
        <f>IF($F$24=AB52,AC52,"")</f>
        <v/>
      </c>
    </row>
    <row r="53" spans="1:30" ht="12.75" customHeight="1" x14ac:dyDescent="0.25">
      <c r="A53" s="248"/>
      <c r="B53" s="247"/>
      <c r="AB53" s="190">
        <v>14</v>
      </c>
      <c r="AC53" s="185">
        <v>1.0022</v>
      </c>
      <c r="AD53" s="189" t="str">
        <f>IF($F$24=AB53,AC53,"")</f>
        <v/>
      </c>
    </row>
    <row r="54" spans="1:30" s="192" customFormat="1" ht="15.6" customHeight="1" x14ac:dyDescent="0.3">
      <c r="A54" s="246" t="s">
        <v>52</v>
      </c>
      <c r="B54" s="245" t="s">
        <v>53</v>
      </c>
      <c r="C54" s="244"/>
      <c r="D54" s="244"/>
      <c r="E54" s="244"/>
      <c r="F54" s="243"/>
      <c r="G54" s="243"/>
      <c r="H54" s="243"/>
      <c r="I54" s="242"/>
      <c r="J54" s="242"/>
      <c r="K54" s="242"/>
      <c r="L54" s="242"/>
      <c r="M54" s="242"/>
      <c r="N54" s="242"/>
      <c r="O54" s="242"/>
      <c r="P54" s="242"/>
      <c r="Q54" s="243"/>
      <c r="R54" s="242"/>
      <c r="S54" s="242"/>
      <c r="T54" s="242"/>
      <c r="U54" s="241"/>
      <c r="V54" s="241"/>
      <c r="W54" s="241"/>
      <c r="X54" s="240"/>
      <c r="Y54" s="240"/>
      <c r="Z54" s="239"/>
      <c r="AA54" s="221"/>
      <c r="AB54" s="190">
        <v>15</v>
      </c>
      <c r="AC54" s="185">
        <v>1.0021</v>
      </c>
      <c r="AD54" s="189" t="str">
        <f>IF($F$24=AB54,AC54,"")</f>
        <v/>
      </c>
    </row>
    <row r="55" spans="1:30" s="192" customFormat="1" ht="25.8" customHeight="1" x14ac:dyDescent="0.3">
      <c r="A55" s="238" t="s">
        <v>54</v>
      </c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6"/>
      <c r="R55" s="207" t="s">
        <v>55</v>
      </c>
      <c r="S55" s="206"/>
      <c r="T55" s="205"/>
      <c r="U55" s="235" t="s">
        <v>56</v>
      </c>
      <c r="V55" s="234"/>
      <c r="W55" s="234"/>
      <c r="X55" s="234"/>
      <c r="Y55" s="234"/>
      <c r="Z55" s="233"/>
      <c r="AA55" s="221"/>
      <c r="AB55" s="190">
        <v>16</v>
      </c>
      <c r="AC55" s="185">
        <v>1.0019</v>
      </c>
      <c r="AD55" s="189" t="str">
        <f>IF($F$24=AB55,AC55,"")</f>
        <v/>
      </c>
    </row>
    <row r="56" spans="1:30" s="192" customFormat="1" ht="15.6" customHeight="1" x14ac:dyDescent="0.3">
      <c r="A56" s="232" t="s">
        <v>57</v>
      </c>
      <c r="B56" s="231"/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0"/>
      <c r="R56" s="207" t="s">
        <v>58</v>
      </c>
      <c r="S56" s="206"/>
      <c r="T56" s="205"/>
      <c r="U56" s="229" t="s">
        <v>59</v>
      </c>
      <c r="V56" s="228"/>
      <c r="W56" s="228"/>
      <c r="X56" s="228"/>
      <c r="Y56" s="228"/>
      <c r="Z56" s="227"/>
      <c r="AA56" s="221"/>
      <c r="AB56" s="190">
        <v>17</v>
      </c>
      <c r="AC56" s="185">
        <v>1.0017</v>
      </c>
      <c r="AD56" s="189" t="str">
        <f>IF($F$24=AB56,AC56,"")</f>
        <v/>
      </c>
    </row>
    <row r="57" spans="1:30" s="192" customFormat="1" ht="15.6" customHeight="1" x14ac:dyDescent="0.3">
      <c r="A57" s="226"/>
      <c r="B57" s="225"/>
      <c r="C57" s="225"/>
      <c r="D57" s="225"/>
      <c r="E57" s="225"/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4"/>
      <c r="R57" s="207"/>
      <c r="S57" s="206"/>
      <c r="T57" s="205"/>
      <c r="U57" s="223"/>
      <c r="V57" s="203"/>
      <c r="W57" s="203"/>
      <c r="X57" s="203"/>
      <c r="Y57" s="203"/>
      <c r="Z57" s="222"/>
      <c r="AA57" s="221"/>
      <c r="AB57" s="190">
        <v>18</v>
      </c>
      <c r="AC57" s="185">
        <v>1.0016</v>
      </c>
      <c r="AD57" s="189" t="str">
        <f>IF($F$24=AB57,AC57,"")</f>
        <v/>
      </c>
    </row>
    <row r="58" spans="1:30" s="192" customFormat="1" ht="15.6" customHeight="1" x14ac:dyDescent="0.25">
      <c r="A58" s="220" t="s">
        <v>60</v>
      </c>
      <c r="B58" s="219" t="s">
        <v>61</v>
      </c>
      <c r="C58" s="184"/>
      <c r="D58" s="184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7"/>
      <c r="R58" s="207"/>
      <c r="S58" s="206"/>
      <c r="T58" s="205"/>
      <c r="U58" s="216"/>
      <c r="V58" s="215"/>
      <c r="W58" s="215"/>
      <c r="X58" s="215"/>
      <c r="Y58" s="215"/>
      <c r="Z58" s="214"/>
      <c r="AB58" s="190">
        <v>19</v>
      </c>
      <c r="AC58" s="185">
        <v>1.0014000000000001</v>
      </c>
      <c r="AD58" s="189" t="str">
        <f>IF($F$24=AB58,AC58,"")</f>
        <v/>
      </c>
    </row>
    <row r="59" spans="1:30" s="192" customFormat="1" ht="15.6" customHeight="1" x14ac:dyDescent="0.25">
      <c r="A59" s="210" t="s">
        <v>75</v>
      </c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8"/>
      <c r="R59" s="207" t="s">
        <v>62</v>
      </c>
      <c r="S59" s="206"/>
      <c r="T59" s="205"/>
      <c r="U59" s="213"/>
      <c r="V59" s="212"/>
      <c r="W59" s="212"/>
      <c r="X59" s="212"/>
      <c r="Y59" s="212"/>
      <c r="Z59" s="211"/>
      <c r="AB59" s="190">
        <v>20</v>
      </c>
      <c r="AC59" s="185">
        <v>1.0012000000000001</v>
      </c>
      <c r="AD59" s="189" t="str">
        <f>IF($F$24=AB59,AC59,"")</f>
        <v/>
      </c>
    </row>
    <row r="60" spans="1:30" s="192" customFormat="1" ht="15.6" customHeight="1" x14ac:dyDescent="0.25">
      <c r="A60" s="210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8"/>
      <c r="R60" s="207"/>
      <c r="S60" s="206"/>
      <c r="T60" s="205"/>
      <c r="U60" s="204"/>
      <c r="V60" s="203"/>
      <c r="W60" s="203"/>
      <c r="X60" s="203"/>
      <c r="Y60" s="203"/>
      <c r="Z60" s="202"/>
      <c r="AB60" s="190">
        <v>21</v>
      </c>
      <c r="AC60" s="191">
        <v>1.0009999999999999</v>
      </c>
      <c r="AD60" s="189" t="str">
        <f>IF($F$24=AB60,AC60,"")</f>
        <v/>
      </c>
    </row>
    <row r="61" spans="1:30" s="192" customFormat="1" ht="15.6" customHeight="1" x14ac:dyDescent="0.25">
      <c r="A61" s="210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8"/>
      <c r="R61" s="207"/>
      <c r="S61" s="206"/>
      <c r="T61" s="205"/>
      <c r="U61" s="204"/>
      <c r="V61" s="203"/>
      <c r="W61" s="203"/>
      <c r="X61" s="203"/>
      <c r="Y61" s="203"/>
      <c r="Z61" s="202"/>
      <c r="AB61" s="190">
        <v>22</v>
      </c>
      <c r="AC61" s="185">
        <v>1.0006999999999999</v>
      </c>
      <c r="AD61" s="189" t="str">
        <f>IF($F$24=AB61,AC61,"")</f>
        <v/>
      </c>
    </row>
    <row r="62" spans="1:30" s="192" customFormat="1" ht="15.6" customHeight="1" x14ac:dyDescent="0.25">
      <c r="A62" s="201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199"/>
      <c r="R62" s="198"/>
      <c r="S62" s="197"/>
      <c r="T62" s="196"/>
      <c r="U62" s="195"/>
      <c r="V62" s="194"/>
      <c r="W62" s="194"/>
      <c r="X62" s="194"/>
      <c r="Y62" s="194"/>
      <c r="Z62" s="193"/>
      <c r="AB62" s="190">
        <v>23</v>
      </c>
      <c r="AC62" s="185">
        <v>1.0004999999999999</v>
      </c>
      <c r="AD62" s="189" t="str">
        <f>IF($F$24=AB62,AC62,"")</f>
        <v/>
      </c>
    </row>
    <row r="63" spans="1:30" ht="12.75" customHeight="1" x14ac:dyDescent="0.25">
      <c r="AB63" s="190">
        <v>24</v>
      </c>
      <c r="AC63" s="185">
        <v>1.0003</v>
      </c>
      <c r="AD63" s="189">
        <f>IF($F$24=AB63,AC63,"")</f>
        <v>1.0003</v>
      </c>
    </row>
    <row r="64" spans="1:30" ht="12.75" customHeight="1" x14ac:dyDescent="0.25">
      <c r="AB64" s="190">
        <v>25</v>
      </c>
      <c r="AC64" s="191">
        <v>1</v>
      </c>
      <c r="AD64" s="189" t="str">
        <f>IF($F$24=AB64,AC64,"")</f>
        <v/>
      </c>
    </row>
    <row r="65" spans="28:30" ht="12.75" customHeight="1" x14ac:dyDescent="0.25">
      <c r="AB65" s="190">
        <v>26</v>
      </c>
      <c r="AC65" s="185">
        <v>0.99970000000000003</v>
      </c>
      <c r="AD65" s="189" t="str">
        <f>IF($F$24=AB65,AC65,"")</f>
        <v/>
      </c>
    </row>
    <row r="66" spans="28:30" ht="12.75" customHeight="1" x14ac:dyDescent="0.25">
      <c r="AB66" s="190">
        <v>27</v>
      </c>
      <c r="AC66" s="185">
        <v>0.99950000000000006</v>
      </c>
      <c r="AD66" s="189" t="str">
        <f>IF($F$24=AB66,AC66,"")</f>
        <v/>
      </c>
    </row>
    <row r="67" spans="28:30" ht="12.75" customHeight="1" x14ac:dyDescent="0.25">
      <c r="AB67" s="190">
        <v>28</v>
      </c>
      <c r="AC67" s="185">
        <v>0.99919999999999998</v>
      </c>
      <c r="AD67" s="189" t="str">
        <f>IF($F$24=AB67,AC67,"")</f>
        <v/>
      </c>
    </row>
    <row r="68" spans="28:30" ht="12.75" customHeight="1" x14ac:dyDescent="0.25">
      <c r="AB68" s="190">
        <v>29</v>
      </c>
      <c r="AC68" s="185">
        <v>0.99890000000000001</v>
      </c>
      <c r="AD68" s="189" t="str">
        <f>IF($F$24=AB68,AC68,"")</f>
        <v/>
      </c>
    </row>
    <row r="69" spans="28:30" ht="12.75" customHeight="1" x14ac:dyDescent="0.25">
      <c r="AB69" s="188">
        <v>30</v>
      </c>
      <c r="AC69" s="187">
        <v>0.99860000000000004</v>
      </c>
      <c r="AD69" s="186" t="str">
        <f>IF($F$24=AB69,AC69,"")</f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90">
    <mergeCell ref="T49:V49"/>
    <mergeCell ref="W49:Y49"/>
    <mergeCell ref="B49:D49"/>
    <mergeCell ref="E49:G49"/>
    <mergeCell ref="H49:J49"/>
    <mergeCell ref="K49:M49"/>
    <mergeCell ref="N49:P49"/>
    <mergeCell ref="Q49:S49"/>
    <mergeCell ref="T47:V47"/>
    <mergeCell ref="W47:Y47"/>
    <mergeCell ref="B48:D48"/>
    <mergeCell ref="E48:G48"/>
    <mergeCell ref="H48:J48"/>
    <mergeCell ref="K48:M48"/>
    <mergeCell ref="N48:P48"/>
    <mergeCell ref="Q48:S48"/>
    <mergeCell ref="T48:V48"/>
    <mergeCell ref="W48:Y48"/>
    <mergeCell ref="B47:D47"/>
    <mergeCell ref="E47:G47"/>
    <mergeCell ref="H47:J47"/>
    <mergeCell ref="K47:M47"/>
    <mergeCell ref="N47:P47"/>
    <mergeCell ref="Q47:S47"/>
    <mergeCell ref="T45:V45"/>
    <mergeCell ref="W45:Y45"/>
    <mergeCell ref="B46:D46"/>
    <mergeCell ref="E46:G46"/>
    <mergeCell ref="H46:J46"/>
    <mergeCell ref="K46:M46"/>
    <mergeCell ref="N46:P46"/>
    <mergeCell ref="Q46:S46"/>
    <mergeCell ref="T46:V46"/>
    <mergeCell ref="W46:Y46"/>
    <mergeCell ref="B45:D45"/>
    <mergeCell ref="E45:G45"/>
    <mergeCell ref="H45:J45"/>
    <mergeCell ref="K45:M45"/>
    <mergeCell ref="N45:P45"/>
    <mergeCell ref="Q45:S45"/>
    <mergeCell ref="T43:V43"/>
    <mergeCell ref="W43:Y43"/>
    <mergeCell ref="B44:D44"/>
    <mergeCell ref="E44:G44"/>
    <mergeCell ref="H44:J44"/>
    <mergeCell ref="K44:M44"/>
    <mergeCell ref="N44:P44"/>
    <mergeCell ref="Q44:S44"/>
    <mergeCell ref="T44:V44"/>
    <mergeCell ref="W44:Y44"/>
    <mergeCell ref="B43:D43"/>
    <mergeCell ref="E43:G43"/>
    <mergeCell ref="H43:J43"/>
    <mergeCell ref="K43:M43"/>
    <mergeCell ref="N43:P43"/>
    <mergeCell ref="Q43:S43"/>
    <mergeCell ref="T41:V41"/>
    <mergeCell ref="W41:Y41"/>
    <mergeCell ref="B42:D42"/>
    <mergeCell ref="E42:G42"/>
    <mergeCell ref="H42:J42"/>
    <mergeCell ref="K42:M42"/>
    <mergeCell ref="N42:P42"/>
    <mergeCell ref="Q42:S42"/>
    <mergeCell ref="T42:V42"/>
    <mergeCell ref="W42:Y42"/>
    <mergeCell ref="B41:D41"/>
    <mergeCell ref="E41:G41"/>
    <mergeCell ref="H41:J41"/>
    <mergeCell ref="K41:M41"/>
    <mergeCell ref="N41:P41"/>
    <mergeCell ref="Q41:S41"/>
    <mergeCell ref="B40:D40"/>
    <mergeCell ref="E40:G40"/>
    <mergeCell ref="H40:J40"/>
    <mergeCell ref="K40:M40"/>
    <mergeCell ref="N40:P40"/>
    <mergeCell ref="Q40:S40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B27:E29"/>
    <mergeCell ref="B18:H18"/>
    <mergeCell ref="B17:H17"/>
    <mergeCell ref="E35:G35"/>
    <mergeCell ref="N35:P35"/>
    <mergeCell ref="A1:F6"/>
    <mergeCell ref="G1:T1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K50:M50"/>
    <mergeCell ref="N50:P50"/>
    <mergeCell ref="Q36:S36"/>
    <mergeCell ref="T36:V36"/>
    <mergeCell ref="A7:F7"/>
    <mergeCell ref="G7:Z7"/>
    <mergeCell ref="B10:G10"/>
    <mergeCell ref="H12:M12"/>
    <mergeCell ref="S11:Y11"/>
    <mergeCell ref="B12:G12"/>
    <mergeCell ref="Q32:S34"/>
    <mergeCell ref="R55:T55"/>
    <mergeCell ref="U54:Z54"/>
    <mergeCell ref="U55:Z55"/>
    <mergeCell ref="S12:Y12"/>
    <mergeCell ref="T32:V34"/>
    <mergeCell ref="W32:Y34"/>
    <mergeCell ref="Q35:S35"/>
    <mergeCell ref="I17:Y17"/>
    <mergeCell ref="I18:Y18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A59:Q62"/>
    <mergeCell ref="R56:T58"/>
    <mergeCell ref="R59:T62"/>
    <mergeCell ref="H35:J35"/>
    <mergeCell ref="K35:M35"/>
    <mergeCell ref="AD32:AD34"/>
    <mergeCell ref="E32:G34"/>
    <mergeCell ref="H32:J34"/>
    <mergeCell ref="K32:M34"/>
    <mergeCell ref="N32:P34"/>
    <mergeCell ref="V60:Y61"/>
    <mergeCell ref="AB32:AB34"/>
    <mergeCell ref="AC32:AC34"/>
    <mergeCell ref="U56:Z58"/>
    <mergeCell ref="T35:V35"/>
    <mergeCell ref="W35:Y35"/>
    <mergeCell ref="T50:V50"/>
    <mergeCell ref="W50:Y50"/>
    <mergeCell ref="T40:V40"/>
    <mergeCell ref="W40:Y40"/>
    <mergeCell ref="E36:G36"/>
    <mergeCell ref="H36:J36"/>
    <mergeCell ref="K36:M36"/>
    <mergeCell ref="N36:P36"/>
    <mergeCell ref="A56:Q57"/>
    <mergeCell ref="A55:Q55"/>
    <mergeCell ref="B50:D50"/>
    <mergeCell ref="E50:G50"/>
    <mergeCell ref="Q50:S50"/>
    <mergeCell ref="H50:J50"/>
    <mergeCell ref="W36:Y36"/>
    <mergeCell ref="B37:D37"/>
    <mergeCell ref="E37:G37"/>
    <mergeCell ref="H37:J37"/>
    <mergeCell ref="K37:M37"/>
    <mergeCell ref="N37:P37"/>
    <mergeCell ref="Q37:S37"/>
    <mergeCell ref="T37:V37"/>
    <mergeCell ref="W37:Y37"/>
    <mergeCell ref="B36:D36"/>
    <mergeCell ref="W39:Y39"/>
    <mergeCell ref="B38:D38"/>
    <mergeCell ref="E38:G38"/>
    <mergeCell ref="H38:J38"/>
    <mergeCell ref="K38:M38"/>
    <mergeCell ref="N38:P38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</mergeCells>
  <phoneticPr fontId="29" type="noConversion"/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9"/>
  <sheetViews>
    <sheetView topLeftCell="A50" workbookViewId="0">
      <selection activeCell="I18" sqref="I18:Y18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73"/>
      <c r="B1" s="74"/>
      <c r="C1" s="74"/>
      <c r="D1" s="74"/>
      <c r="E1" s="74"/>
      <c r="F1" s="75"/>
      <c r="G1" s="82" t="s">
        <v>0</v>
      </c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  <c r="U1" s="85" t="s">
        <v>63</v>
      </c>
      <c r="V1" s="86"/>
      <c r="W1" s="86"/>
      <c r="X1" s="86"/>
      <c r="Y1" s="86"/>
      <c r="Z1" s="87"/>
    </row>
    <row r="2" spans="1:32" ht="12.75" customHeight="1" x14ac:dyDescent="0.3">
      <c r="A2" s="76"/>
      <c r="B2" s="77"/>
      <c r="C2" s="77"/>
      <c r="D2" s="77"/>
      <c r="E2" s="77"/>
      <c r="F2" s="78"/>
      <c r="G2" s="94" t="s">
        <v>1</v>
      </c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6"/>
      <c r="U2" s="88"/>
      <c r="V2" s="89"/>
      <c r="W2" s="89"/>
      <c r="X2" s="89"/>
      <c r="Y2" s="89"/>
      <c r="Z2" s="90"/>
      <c r="AA2" s="57"/>
      <c r="AB2" s="57"/>
    </row>
    <row r="3" spans="1:32" ht="12.75" customHeight="1" x14ac:dyDescent="0.3">
      <c r="A3" s="76"/>
      <c r="B3" s="77"/>
      <c r="C3" s="77"/>
      <c r="D3" s="77"/>
      <c r="E3" s="77"/>
      <c r="F3" s="78"/>
      <c r="G3" s="94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6"/>
      <c r="U3" s="88"/>
      <c r="V3" s="89"/>
      <c r="W3" s="89"/>
      <c r="X3" s="89"/>
      <c r="Y3" s="89"/>
      <c r="Z3" s="90"/>
      <c r="AA3" s="57"/>
      <c r="AB3" s="57"/>
    </row>
    <row r="4" spans="1:32" ht="12.75" customHeight="1" x14ac:dyDescent="0.3">
      <c r="A4" s="76"/>
      <c r="B4" s="77"/>
      <c r="C4" s="77"/>
      <c r="D4" s="77"/>
      <c r="E4" s="77"/>
      <c r="F4" s="78"/>
      <c r="G4" s="94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8"/>
      <c r="V4" s="89"/>
      <c r="W4" s="89"/>
      <c r="X4" s="89"/>
      <c r="Y4" s="89"/>
      <c r="Z4" s="90"/>
      <c r="AA4" s="57"/>
      <c r="AB4" s="57"/>
    </row>
    <row r="5" spans="1:32" ht="12.75" customHeight="1" x14ac:dyDescent="0.3">
      <c r="A5" s="76"/>
      <c r="B5" s="77"/>
      <c r="C5" s="77"/>
      <c r="D5" s="77"/>
      <c r="E5" s="77"/>
      <c r="F5" s="78"/>
      <c r="G5" s="97"/>
      <c r="H5" s="98"/>
      <c r="I5" s="2" t="s">
        <v>2</v>
      </c>
      <c r="J5" s="99">
        <v>1</v>
      </c>
      <c r="K5" s="100"/>
      <c r="L5" s="101" t="s">
        <v>3</v>
      </c>
      <c r="M5" s="102"/>
      <c r="N5" s="102"/>
      <c r="O5" s="103"/>
      <c r="P5" s="104" t="s">
        <v>4</v>
      </c>
      <c r="Q5" s="105"/>
      <c r="R5" s="105"/>
      <c r="S5" s="105"/>
      <c r="T5" s="106"/>
      <c r="U5" s="88"/>
      <c r="V5" s="89"/>
      <c r="W5" s="89"/>
      <c r="X5" s="89"/>
      <c r="Y5" s="89"/>
      <c r="Z5" s="90"/>
      <c r="AA5" s="57"/>
      <c r="AB5" s="57"/>
    </row>
    <row r="6" spans="1:32" ht="12.75" customHeight="1" x14ac:dyDescent="0.25">
      <c r="A6" s="79"/>
      <c r="B6" s="80"/>
      <c r="C6" s="80"/>
      <c r="D6" s="80"/>
      <c r="E6" s="80"/>
      <c r="F6" s="81"/>
      <c r="G6" s="3"/>
      <c r="H6" s="4"/>
      <c r="I6" s="4"/>
      <c r="J6" s="107" t="s">
        <v>5</v>
      </c>
      <c r="K6" s="107"/>
      <c r="L6" s="107" t="s">
        <v>6</v>
      </c>
      <c r="M6" s="107"/>
      <c r="N6" s="107"/>
      <c r="O6" s="107"/>
      <c r="P6" s="107" t="s">
        <v>7</v>
      </c>
      <c r="Q6" s="107"/>
      <c r="R6" s="107"/>
      <c r="S6" s="107"/>
      <c r="T6" s="108"/>
      <c r="U6" s="91"/>
      <c r="V6" s="92"/>
      <c r="W6" s="92"/>
      <c r="X6" s="92"/>
      <c r="Y6" s="92"/>
      <c r="Z6" s="93"/>
    </row>
    <row r="7" spans="1:32" ht="36.6" customHeight="1" x14ac:dyDescent="0.25">
      <c r="A7" s="130" t="s">
        <v>8</v>
      </c>
      <c r="B7" s="130"/>
      <c r="C7" s="130"/>
      <c r="D7" s="130"/>
      <c r="E7" s="130"/>
      <c r="F7" s="130"/>
      <c r="G7" s="131" t="s">
        <v>9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32" ht="15.9" customHeight="1" x14ac:dyDescent="0.3">
      <c r="A8" s="58" t="s">
        <v>10</v>
      </c>
      <c r="B8" s="59" t="s">
        <v>11</v>
      </c>
      <c r="C8" s="60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57"/>
      <c r="AF8" s="57" t="s">
        <v>12</v>
      </c>
    </row>
    <row r="9" spans="1:32" ht="8.25" customHeight="1" x14ac:dyDescent="0.3">
      <c r="A9" s="10"/>
      <c r="D9" s="11"/>
      <c r="E9" s="11"/>
      <c r="F9" s="11"/>
      <c r="G9" s="11"/>
      <c r="Z9" s="12"/>
      <c r="AB9" s="57"/>
      <c r="AF9" s="57" t="s">
        <v>13</v>
      </c>
    </row>
    <row r="10" spans="1:32" ht="15.9" customHeight="1" x14ac:dyDescent="0.3">
      <c r="A10" s="10"/>
      <c r="B10" s="111" t="s">
        <v>14</v>
      </c>
      <c r="C10" s="111"/>
      <c r="D10" s="111"/>
      <c r="E10" s="111"/>
      <c r="F10" s="111"/>
      <c r="G10" s="111"/>
      <c r="H10" s="112" t="s">
        <v>12</v>
      </c>
      <c r="I10" s="112"/>
      <c r="J10" s="112"/>
      <c r="K10" s="112"/>
      <c r="L10" s="112"/>
      <c r="M10" s="112"/>
      <c r="N10" s="111" t="s">
        <v>15</v>
      </c>
      <c r="O10" s="111"/>
      <c r="P10" s="111"/>
      <c r="Q10" s="111"/>
      <c r="R10" s="111"/>
      <c r="S10" s="132" t="s">
        <v>16</v>
      </c>
      <c r="T10" s="132"/>
      <c r="U10" s="132"/>
      <c r="V10" s="132"/>
      <c r="W10" s="132"/>
      <c r="X10" s="132"/>
      <c r="Y10" s="132"/>
      <c r="Z10" s="13"/>
      <c r="AB10" s="57"/>
      <c r="AF10" s="57" t="s">
        <v>4</v>
      </c>
    </row>
    <row r="11" spans="1:32" ht="15.9" customHeight="1" x14ac:dyDescent="0.3">
      <c r="A11" s="10"/>
      <c r="B11" s="111" t="s">
        <v>17</v>
      </c>
      <c r="C11" s="111"/>
      <c r="D11" s="111"/>
      <c r="E11" s="111"/>
      <c r="F11" s="111"/>
      <c r="G11" s="111"/>
      <c r="H11" s="112" t="s">
        <v>13</v>
      </c>
      <c r="I11" s="112"/>
      <c r="J11" s="112"/>
      <c r="K11" s="112"/>
      <c r="L11" s="112"/>
      <c r="M11" s="112"/>
      <c r="N11" s="111" t="s">
        <v>18</v>
      </c>
      <c r="O11" s="111"/>
      <c r="P11" s="111"/>
      <c r="Q11" s="111"/>
      <c r="R11" s="111"/>
      <c r="S11" s="132" t="s">
        <v>19</v>
      </c>
      <c r="T11" s="132"/>
      <c r="U11" s="132"/>
      <c r="V11" s="132"/>
      <c r="W11" s="132"/>
      <c r="X11" s="132"/>
      <c r="Y11" s="132"/>
      <c r="Z11" s="13"/>
      <c r="AB11" s="57"/>
      <c r="AF11" s="57" t="s">
        <v>16</v>
      </c>
    </row>
    <row r="12" spans="1:32" ht="15.9" customHeight="1" x14ac:dyDescent="0.3">
      <c r="A12" s="10"/>
      <c r="B12" s="111" t="s">
        <v>20</v>
      </c>
      <c r="C12" s="111"/>
      <c r="D12" s="111"/>
      <c r="E12" s="111"/>
      <c r="F12" s="111"/>
      <c r="G12" s="111"/>
      <c r="H12" s="112" t="s">
        <v>4</v>
      </c>
      <c r="I12" s="112"/>
      <c r="J12" s="112"/>
      <c r="K12" s="112"/>
      <c r="L12" s="112"/>
      <c r="M12" s="112"/>
      <c r="N12" s="111" t="s">
        <v>21</v>
      </c>
      <c r="O12" s="111"/>
      <c r="P12" s="111"/>
      <c r="Q12" s="111"/>
      <c r="R12" s="111"/>
      <c r="S12" s="132" t="s">
        <v>22</v>
      </c>
      <c r="T12" s="132"/>
      <c r="U12" s="132"/>
      <c r="V12" s="132"/>
      <c r="W12" s="132"/>
      <c r="X12" s="132"/>
      <c r="Y12" s="132"/>
      <c r="Z12" s="13"/>
      <c r="AB12" s="57"/>
      <c r="AF12" s="57" t="s">
        <v>19</v>
      </c>
    </row>
    <row r="13" spans="1:32" ht="8.25" customHeight="1" x14ac:dyDescent="0.3">
      <c r="A13" s="14"/>
      <c r="B13" s="65"/>
      <c r="C13" s="65"/>
      <c r="D13" s="66"/>
      <c r="E13" s="66"/>
      <c r="F13" s="66"/>
      <c r="G13" s="66"/>
      <c r="H13" s="65"/>
      <c r="I13" s="65"/>
      <c r="J13" s="65"/>
      <c r="K13" s="65"/>
      <c r="L13" s="65"/>
      <c r="M13" s="65"/>
      <c r="N13" s="67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16"/>
      <c r="AB13" s="57"/>
      <c r="AF13" s="57" t="s">
        <v>22</v>
      </c>
    </row>
    <row r="14" spans="1:32" s="17" customFormat="1" ht="15" customHeight="1" x14ac:dyDescent="0.25">
      <c r="B14" s="18"/>
      <c r="C14" s="18"/>
      <c r="K14" s="19"/>
      <c r="L14" s="18"/>
      <c r="M14" s="20"/>
    </row>
    <row r="15" spans="1:32" s="17" customFormat="1" ht="16.2" customHeight="1" x14ac:dyDescent="0.25">
      <c r="A15" s="58" t="s">
        <v>23</v>
      </c>
      <c r="B15" s="59" t="s">
        <v>24</v>
      </c>
      <c r="C15" s="61"/>
      <c r="D15" s="61"/>
      <c r="E15" s="61"/>
      <c r="F15" s="61"/>
      <c r="G15" s="61"/>
      <c r="H15" s="6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2" s="17" customFormat="1" ht="13.8" customHeight="1" x14ac:dyDescent="0.25">
      <c r="A16" s="62"/>
      <c r="B16" s="63"/>
      <c r="C16" s="64"/>
      <c r="D16" s="64"/>
      <c r="E16" s="64"/>
      <c r="F16" s="64"/>
      <c r="G16" s="64"/>
      <c r="H16" s="64"/>
      <c r="Z16" s="23"/>
    </row>
    <row r="17" spans="1:32" s="17" customFormat="1" ht="15" customHeight="1" x14ac:dyDescent="0.25">
      <c r="A17" s="62"/>
      <c r="B17" s="128" t="s">
        <v>25</v>
      </c>
      <c r="C17" s="128"/>
      <c r="D17" s="128"/>
      <c r="E17" s="128"/>
      <c r="F17" s="128"/>
      <c r="G17" s="128"/>
      <c r="H17" s="128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24"/>
    </row>
    <row r="18" spans="1:32" s="17" customFormat="1" ht="15" customHeight="1" x14ac:dyDescent="0.25">
      <c r="A18" s="62"/>
      <c r="B18" s="128" t="s">
        <v>26</v>
      </c>
      <c r="C18" s="128"/>
      <c r="D18" s="128"/>
      <c r="E18" s="128"/>
      <c r="F18" s="128"/>
      <c r="G18" s="128"/>
      <c r="H18" s="128"/>
      <c r="I18" s="182" t="s">
        <v>69</v>
      </c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24"/>
    </row>
    <row r="19" spans="1:32" s="17" customFormat="1" ht="13.2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2" ht="12.75" customHeight="1" x14ac:dyDescent="0.25">
      <c r="D20" s="11"/>
      <c r="E20" s="11"/>
      <c r="F20" s="11"/>
      <c r="G20" s="11"/>
      <c r="N20" s="28"/>
    </row>
    <row r="21" spans="1:32" ht="15.9" customHeight="1" x14ac:dyDescent="0.25">
      <c r="A21" s="5" t="s">
        <v>27</v>
      </c>
      <c r="B21" s="6" t="s">
        <v>28</v>
      </c>
      <c r="C21" s="29"/>
      <c r="D21" s="30"/>
      <c r="E21" s="30"/>
      <c r="F21" s="30"/>
      <c r="G21" s="30"/>
      <c r="H21" s="29"/>
      <c r="I21" s="29"/>
      <c r="J21" s="29"/>
      <c r="K21" s="29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119" t="s">
        <v>29</v>
      </c>
      <c r="C24" s="120"/>
      <c r="D24" s="120"/>
      <c r="E24" s="120"/>
      <c r="F24" s="120">
        <v>24</v>
      </c>
      <c r="G24" s="120"/>
      <c r="H24" s="120"/>
      <c r="I24" s="120"/>
      <c r="J24" s="149" t="s">
        <v>30</v>
      </c>
      <c r="K24" s="149"/>
      <c r="L24" s="150"/>
      <c r="O24" s="119" t="s">
        <v>31</v>
      </c>
      <c r="P24" s="125"/>
      <c r="Q24" s="125"/>
      <c r="R24" s="125"/>
      <c r="S24" s="120">
        <v>890</v>
      </c>
      <c r="T24" s="120"/>
      <c r="U24" s="120"/>
      <c r="V24" s="120"/>
      <c r="W24" s="149" t="s">
        <v>32</v>
      </c>
      <c r="X24" s="149"/>
      <c r="Y24" s="150"/>
      <c r="Z24" s="12"/>
      <c r="AA24"/>
    </row>
    <row r="25" spans="1:32" ht="12.75" customHeight="1" x14ac:dyDescent="0.25">
      <c r="A25" s="10"/>
      <c r="B25" s="121"/>
      <c r="C25" s="122"/>
      <c r="D25" s="122"/>
      <c r="E25" s="122"/>
      <c r="F25" s="122"/>
      <c r="G25" s="122"/>
      <c r="H25" s="122"/>
      <c r="I25" s="122"/>
      <c r="J25" s="151"/>
      <c r="K25" s="151"/>
      <c r="L25" s="152"/>
      <c r="O25" s="126"/>
      <c r="P25" s="116"/>
      <c r="Q25" s="116"/>
      <c r="R25" s="116"/>
      <c r="S25" s="122"/>
      <c r="T25" s="122"/>
      <c r="U25" s="122"/>
      <c r="V25" s="122"/>
      <c r="W25" s="151"/>
      <c r="X25" s="151"/>
      <c r="Y25" s="152"/>
      <c r="Z25" s="12"/>
      <c r="AA25"/>
    </row>
    <row r="26" spans="1:32" ht="12.75" customHeight="1" x14ac:dyDescent="0.25">
      <c r="A26" s="10"/>
      <c r="B26" s="123"/>
      <c r="C26" s="124"/>
      <c r="D26" s="124"/>
      <c r="E26" s="124"/>
      <c r="F26" s="124"/>
      <c r="G26" s="124"/>
      <c r="H26" s="124"/>
      <c r="I26" s="124"/>
      <c r="J26" s="153"/>
      <c r="K26" s="153"/>
      <c r="L26" s="154"/>
      <c r="O26" s="127"/>
      <c r="P26" s="118"/>
      <c r="Q26" s="118"/>
      <c r="R26" s="118"/>
      <c r="S26" s="124"/>
      <c r="T26" s="124"/>
      <c r="U26" s="124"/>
      <c r="V26" s="124"/>
      <c r="W26" s="153"/>
      <c r="X26" s="153"/>
      <c r="Y26" s="154"/>
      <c r="Z26" s="12"/>
      <c r="AA26"/>
    </row>
    <row r="27" spans="1:32" ht="12.75" customHeight="1" x14ac:dyDescent="0.25">
      <c r="A27" s="10"/>
      <c r="B27" s="119" t="s">
        <v>33</v>
      </c>
      <c r="C27" s="125"/>
      <c r="D27" s="125"/>
      <c r="E27" s="125"/>
      <c r="F27" s="155">
        <f>IF(F24&lt;&gt;"",(997.1*(SUM(AD35:AD69))),"")</f>
        <v>997.39913000000001</v>
      </c>
      <c r="G27" s="155"/>
      <c r="H27" s="155"/>
      <c r="I27" s="155"/>
      <c r="J27" s="149" t="s">
        <v>34</v>
      </c>
      <c r="K27" s="149"/>
      <c r="L27" s="150"/>
      <c r="O27" s="158" t="s">
        <v>35</v>
      </c>
      <c r="P27" s="120"/>
      <c r="Q27" s="120"/>
      <c r="R27" s="120"/>
      <c r="S27" s="120">
        <v>2440</v>
      </c>
      <c r="T27" s="120"/>
      <c r="U27" s="120"/>
      <c r="V27" s="120"/>
      <c r="W27" s="149" t="s">
        <v>34</v>
      </c>
      <c r="X27" s="149"/>
      <c r="Y27" s="150"/>
      <c r="Z27" s="12"/>
      <c r="AA27"/>
    </row>
    <row r="28" spans="1:32" ht="12.75" customHeight="1" x14ac:dyDescent="0.25">
      <c r="A28" s="10"/>
      <c r="B28" s="126"/>
      <c r="C28" s="116"/>
      <c r="D28" s="116"/>
      <c r="E28" s="116"/>
      <c r="F28" s="156"/>
      <c r="G28" s="156"/>
      <c r="H28" s="156"/>
      <c r="I28" s="156"/>
      <c r="J28" s="151"/>
      <c r="K28" s="151"/>
      <c r="L28" s="152"/>
      <c r="O28" s="121"/>
      <c r="P28" s="122"/>
      <c r="Q28" s="122"/>
      <c r="R28" s="122"/>
      <c r="S28" s="122"/>
      <c r="T28" s="122"/>
      <c r="U28" s="122"/>
      <c r="V28" s="122"/>
      <c r="W28" s="151"/>
      <c r="X28" s="151"/>
      <c r="Y28" s="152"/>
      <c r="Z28" s="12"/>
      <c r="AA28"/>
    </row>
    <row r="29" spans="1:32" ht="12.75" customHeight="1" x14ac:dyDescent="0.25">
      <c r="A29" s="10"/>
      <c r="B29" s="127"/>
      <c r="C29" s="118"/>
      <c r="D29" s="118"/>
      <c r="E29" s="118"/>
      <c r="F29" s="157"/>
      <c r="G29" s="157"/>
      <c r="H29" s="157"/>
      <c r="I29" s="157"/>
      <c r="J29" s="153"/>
      <c r="K29" s="153"/>
      <c r="L29" s="154"/>
      <c r="O29" s="123"/>
      <c r="P29" s="124"/>
      <c r="Q29" s="124"/>
      <c r="R29" s="124"/>
      <c r="S29" s="124"/>
      <c r="T29" s="124"/>
      <c r="U29" s="124"/>
      <c r="V29" s="124"/>
      <c r="W29" s="153"/>
      <c r="X29" s="153"/>
      <c r="Y29" s="154"/>
      <c r="Z29" s="12"/>
    </row>
    <row r="30" spans="1:32" ht="12.75" customHeight="1" x14ac:dyDescent="0.3">
      <c r="A30" s="10"/>
      <c r="B30" s="31"/>
      <c r="C30" s="32"/>
      <c r="D30" s="33"/>
      <c r="I30" s="34"/>
      <c r="J30" s="34"/>
      <c r="P30" s="32"/>
      <c r="Q30" s="32"/>
      <c r="R30" s="32"/>
      <c r="S30" s="32"/>
      <c r="T30" s="32"/>
      <c r="U30" s="32"/>
      <c r="V30" s="32"/>
      <c r="W30" s="33"/>
      <c r="Z30" s="12"/>
      <c r="AA30" s="57"/>
      <c r="AB30" s="57"/>
      <c r="AC30" s="57"/>
      <c r="AD30" s="57"/>
      <c r="AE30" s="57"/>
      <c r="AF30" s="57"/>
    </row>
    <row r="31" spans="1:32" ht="12.75" customHeight="1" x14ac:dyDescent="0.25">
      <c r="A31" s="10"/>
      <c r="B31" s="31"/>
      <c r="C31" s="32"/>
      <c r="D31" s="33"/>
      <c r="E31" s="34"/>
      <c r="F31" s="35"/>
      <c r="G31" s="32"/>
      <c r="H31" s="33"/>
      <c r="I31" s="34"/>
      <c r="J31" s="34"/>
      <c r="Z31" s="12"/>
    </row>
    <row r="32" spans="1:32" ht="19.5" customHeight="1" x14ac:dyDescent="0.25">
      <c r="A32" s="10"/>
      <c r="B32" s="113" t="s">
        <v>36</v>
      </c>
      <c r="C32" s="114"/>
      <c r="D32" s="114"/>
      <c r="E32" s="114" t="s">
        <v>37</v>
      </c>
      <c r="F32" s="114"/>
      <c r="G32" s="114"/>
      <c r="H32" s="114" t="s">
        <v>38</v>
      </c>
      <c r="I32" s="114"/>
      <c r="J32" s="114"/>
      <c r="K32" s="114" t="s">
        <v>39</v>
      </c>
      <c r="L32" s="114"/>
      <c r="M32" s="114"/>
      <c r="N32" s="114" t="s">
        <v>40</v>
      </c>
      <c r="O32" s="114"/>
      <c r="P32" s="114"/>
      <c r="Q32" s="114" t="s">
        <v>41</v>
      </c>
      <c r="R32" s="114"/>
      <c r="S32" s="114"/>
      <c r="T32" s="142" t="s">
        <v>42</v>
      </c>
      <c r="U32" s="142"/>
      <c r="V32" s="142"/>
      <c r="W32" s="114" t="s">
        <v>43</v>
      </c>
      <c r="X32" s="114"/>
      <c r="Y32" s="143"/>
      <c r="Z32" s="12"/>
      <c r="AB32" s="73" t="s">
        <v>44</v>
      </c>
      <c r="AC32" s="74" t="s">
        <v>45</v>
      </c>
      <c r="AD32" s="75" t="s">
        <v>46</v>
      </c>
    </row>
    <row r="33" spans="1:30" ht="19.5" customHeight="1" x14ac:dyDescent="0.25">
      <c r="A33" s="10"/>
      <c r="B33" s="115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22"/>
      <c r="U33" s="122"/>
      <c r="V33" s="122"/>
      <c r="W33" s="116"/>
      <c r="X33" s="116"/>
      <c r="Y33" s="144"/>
      <c r="Z33" s="12"/>
      <c r="AB33" s="76"/>
      <c r="AC33" s="77"/>
      <c r="AD33" s="78"/>
    </row>
    <row r="34" spans="1:30" ht="19.5" customHeight="1" x14ac:dyDescent="0.25">
      <c r="A34" s="10"/>
      <c r="B34" s="117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24"/>
      <c r="U34" s="124"/>
      <c r="V34" s="124"/>
      <c r="W34" s="118"/>
      <c r="X34" s="118"/>
      <c r="Y34" s="145"/>
      <c r="Z34" s="12"/>
      <c r="AB34" s="79"/>
      <c r="AC34" s="80"/>
      <c r="AD34" s="81"/>
    </row>
    <row r="35" spans="1:30" ht="25.5" customHeight="1" x14ac:dyDescent="0.25">
      <c r="A35" s="10"/>
      <c r="B35" s="109" t="s">
        <v>64</v>
      </c>
      <c r="C35" s="110"/>
      <c r="D35" s="110"/>
      <c r="E35" s="110">
        <v>1257.3</v>
      </c>
      <c r="F35" s="110"/>
      <c r="G35" s="110"/>
      <c r="H35" s="110">
        <v>1278.5</v>
      </c>
      <c r="I35" s="110"/>
      <c r="J35" s="110"/>
      <c r="K35" s="110">
        <v>703.6</v>
      </c>
      <c r="L35" s="110"/>
      <c r="M35" s="110"/>
      <c r="N35" s="129">
        <v>2275.3000000000002</v>
      </c>
      <c r="O35" s="129"/>
      <c r="P35" s="129"/>
      <c r="Q35" s="129">
        <v>93.3</v>
      </c>
      <c r="R35" s="129"/>
      <c r="S35" s="129"/>
      <c r="T35" s="129">
        <v>6.7</v>
      </c>
      <c r="U35" s="129"/>
      <c r="V35" s="129"/>
      <c r="W35" s="110">
        <v>5.5</v>
      </c>
      <c r="X35" s="110"/>
      <c r="Y35" s="177"/>
      <c r="Z35" s="12"/>
      <c r="AB35" s="10">
        <v>10</v>
      </c>
      <c r="AC35" s="11">
        <v>1.0026999999999999</v>
      </c>
      <c r="AD35" s="36" t="str">
        <f>IF($F$24=AB35,AC35,"")</f>
        <v/>
      </c>
    </row>
    <row r="36" spans="1:30" ht="25.5" customHeight="1" x14ac:dyDescent="0.25">
      <c r="A36" s="10"/>
      <c r="B36" s="109" t="s">
        <v>65</v>
      </c>
      <c r="C36" s="110"/>
      <c r="D36" s="110"/>
      <c r="E36" s="110">
        <v>963.7</v>
      </c>
      <c r="F36" s="110"/>
      <c r="G36" s="110"/>
      <c r="H36" s="110">
        <v>981.5</v>
      </c>
      <c r="I36" s="110"/>
      <c r="J36" s="110"/>
      <c r="K36" s="110">
        <v>540.20000000000005</v>
      </c>
      <c r="L36" s="110"/>
      <c r="M36" s="110"/>
      <c r="N36" s="129">
        <v>2281.1999999999998</v>
      </c>
      <c r="O36" s="129"/>
      <c r="P36" s="129"/>
      <c r="Q36" s="129">
        <v>93.5</v>
      </c>
      <c r="R36" s="129"/>
      <c r="S36" s="129"/>
      <c r="T36" s="129">
        <v>6.5</v>
      </c>
      <c r="U36" s="129"/>
      <c r="V36" s="129"/>
      <c r="W36" s="110">
        <v>4.3</v>
      </c>
      <c r="X36" s="110"/>
      <c r="Y36" s="177"/>
      <c r="Z36" s="12"/>
      <c r="AB36" s="10">
        <v>10</v>
      </c>
      <c r="AC36" s="11">
        <v>1.0026999999999999</v>
      </c>
      <c r="AD36" s="36" t="str">
        <f>IF($F$24=AB35,AC35,"")</f>
        <v/>
      </c>
    </row>
    <row r="37" spans="1:30" ht="25.5" customHeight="1" x14ac:dyDescent="0.25">
      <c r="A37" s="10"/>
      <c r="B37" s="109" t="s">
        <v>66</v>
      </c>
      <c r="C37" s="110"/>
      <c r="D37" s="110"/>
      <c r="E37" s="110">
        <v>851.7</v>
      </c>
      <c r="F37" s="110"/>
      <c r="G37" s="110"/>
      <c r="H37" s="110">
        <v>868.1</v>
      </c>
      <c r="I37" s="110"/>
      <c r="J37" s="110"/>
      <c r="K37" s="110">
        <v>476.7</v>
      </c>
      <c r="L37" s="110"/>
      <c r="M37" s="110"/>
      <c r="N37" s="129">
        <v>2277.3000000000002</v>
      </c>
      <c r="O37" s="129"/>
      <c r="P37" s="129"/>
      <c r="Q37" s="129">
        <v>93.3</v>
      </c>
      <c r="R37" s="129"/>
      <c r="S37" s="129"/>
      <c r="T37" s="129">
        <v>6.7</v>
      </c>
      <c r="U37" s="129"/>
      <c r="V37" s="129"/>
      <c r="W37" s="110">
        <v>3.8</v>
      </c>
      <c r="X37" s="110"/>
      <c r="Y37" s="177"/>
      <c r="Z37" s="12"/>
      <c r="AB37" s="10">
        <v>10</v>
      </c>
      <c r="AC37" s="11">
        <v>1.0026999999999999</v>
      </c>
      <c r="AD37" s="36" t="str">
        <f>IF($F$24=AB35,AC35,"")</f>
        <v/>
      </c>
    </row>
    <row r="38" spans="1:30" ht="25.5" customHeight="1" x14ac:dyDescent="0.25">
      <c r="A38" s="10"/>
      <c r="B38" s="109" t="s">
        <v>67</v>
      </c>
      <c r="C38" s="110"/>
      <c r="D38" s="110"/>
      <c r="E38" s="110">
        <v>1065.5</v>
      </c>
      <c r="F38" s="110"/>
      <c r="G38" s="110"/>
      <c r="H38" s="110">
        <v>1082.3</v>
      </c>
      <c r="I38" s="110"/>
      <c r="J38" s="110"/>
      <c r="K38" s="110">
        <v>594.29999999999995</v>
      </c>
      <c r="L38" s="110"/>
      <c r="M38" s="110"/>
      <c r="N38" s="129">
        <v>2265.1</v>
      </c>
      <c r="O38" s="129"/>
      <c r="P38" s="129"/>
      <c r="Q38" s="129">
        <v>92.8</v>
      </c>
      <c r="R38" s="129"/>
      <c r="S38" s="129"/>
      <c r="T38" s="129">
        <v>7.2</v>
      </c>
      <c r="U38" s="129"/>
      <c r="V38" s="129"/>
      <c r="W38" s="110">
        <v>4.8</v>
      </c>
      <c r="X38" s="110"/>
      <c r="Y38" s="177"/>
      <c r="Z38" s="12"/>
      <c r="AB38" s="10">
        <v>10</v>
      </c>
      <c r="AC38" s="11">
        <v>1.0026999999999999</v>
      </c>
      <c r="AD38" s="36" t="str">
        <f>IF($F$24=AB35,AC35,"")</f>
        <v/>
      </c>
    </row>
    <row r="39" spans="1:30" ht="25.5" customHeight="1" x14ac:dyDescent="0.25">
      <c r="A39" s="10"/>
      <c r="B39" s="109" t="s">
        <v>68</v>
      </c>
      <c r="C39" s="110"/>
      <c r="D39" s="110"/>
      <c r="E39" s="110">
        <v>949.1</v>
      </c>
      <c r="F39" s="110"/>
      <c r="G39" s="110"/>
      <c r="H39" s="110">
        <v>966.1</v>
      </c>
      <c r="I39" s="110"/>
      <c r="J39" s="110"/>
      <c r="K39" s="110">
        <v>532.9</v>
      </c>
      <c r="L39" s="110"/>
      <c r="M39" s="110"/>
      <c r="N39" s="129">
        <v>2285.6999999999998</v>
      </c>
      <c r="O39" s="129"/>
      <c r="P39" s="129"/>
      <c r="Q39" s="129">
        <v>93.7</v>
      </c>
      <c r="R39" s="129"/>
      <c r="S39" s="129"/>
      <c r="T39" s="129">
        <v>6.3</v>
      </c>
      <c r="U39" s="129"/>
      <c r="V39" s="129"/>
      <c r="W39" s="110">
        <v>4.2</v>
      </c>
      <c r="X39" s="110"/>
      <c r="Y39" s="177"/>
      <c r="Z39" s="12"/>
      <c r="AB39" s="10">
        <v>10</v>
      </c>
      <c r="AC39" s="11">
        <v>1.0026999999999999</v>
      </c>
      <c r="AD39" s="36" t="str">
        <f>IF($F$24=AB35,AC35,"")</f>
        <v/>
      </c>
    </row>
    <row r="40" spans="1:30" ht="25.5" customHeight="1" x14ac:dyDescent="0.25">
      <c r="A40" s="10"/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29"/>
      <c r="O40" s="129"/>
      <c r="P40" s="129"/>
      <c r="Q40" s="129"/>
      <c r="R40" s="129"/>
      <c r="S40" s="129"/>
      <c r="T40" s="129"/>
      <c r="U40" s="129"/>
      <c r="V40" s="129"/>
      <c r="W40" s="110"/>
      <c r="X40" s="110"/>
      <c r="Y40" s="177"/>
      <c r="Z40" s="12"/>
      <c r="AB40" s="10"/>
      <c r="AC40" s="11"/>
      <c r="AD40" s="36"/>
    </row>
    <row r="41" spans="1:30" ht="25.5" customHeight="1" x14ac:dyDescent="0.25">
      <c r="A41" s="10"/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29"/>
      <c r="O41" s="129"/>
      <c r="P41" s="129"/>
      <c r="Q41" s="129"/>
      <c r="R41" s="129"/>
      <c r="S41" s="129"/>
      <c r="T41" s="129"/>
      <c r="U41" s="129"/>
      <c r="V41" s="129"/>
      <c r="W41" s="110"/>
      <c r="X41" s="110"/>
      <c r="Y41" s="177"/>
      <c r="Z41" s="12"/>
      <c r="AB41" s="10"/>
      <c r="AC41" s="11"/>
      <c r="AD41" s="36"/>
    </row>
    <row r="42" spans="1:30" ht="25.5" customHeight="1" x14ac:dyDescent="0.25">
      <c r="A42" s="10"/>
      <c r="B42" s="109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29"/>
      <c r="O42" s="129"/>
      <c r="P42" s="129"/>
      <c r="Q42" s="129"/>
      <c r="R42" s="129"/>
      <c r="S42" s="129"/>
      <c r="T42" s="129"/>
      <c r="U42" s="129"/>
      <c r="V42" s="129"/>
      <c r="W42" s="110"/>
      <c r="X42" s="110"/>
      <c r="Y42" s="177"/>
      <c r="Z42" s="12"/>
      <c r="AB42" s="10"/>
      <c r="AC42" s="11"/>
      <c r="AD42" s="36"/>
    </row>
    <row r="43" spans="1:30" ht="25.5" customHeight="1" x14ac:dyDescent="0.25">
      <c r="A43" s="10"/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29"/>
      <c r="O43" s="129"/>
      <c r="P43" s="129"/>
      <c r="Q43" s="129"/>
      <c r="R43" s="129"/>
      <c r="S43" s="129"/>
      <c r="T43" s="129"/>
      <c r="U43" s="129"/>
      <c r="V43" s="129"/>
      <c r="W43" s="110"/>
      <c r="X43" s="110"/>
      <c r="Y43" s="177"/>
      <c r="Z43" s="12"/>
      <c r="AB43" s="10"/>
      <c r="AC43" s="11"/>
      <c r="AD43" s="36"/>
    </row>
    <row r="44" spans="1:30" ht="25.5" customHeight="1" x14ac:dyDescent="0.25">
      <c r="A44" s="10"/>
      <c r="B44" s="109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29"/>
      <c r="O44" s="129"/>
      <c r="P44" s="129"/>
      <c r="Q44" s="129"/>
      <c r="R44" s="129"/>
      <c r="S44" s="129"/>
      <c r="T44" s="129"/>
      <c r="U44" s="129"/>
      <c r="V44" s="129"/>
      <c r="W44" s="110"/>
      <c r="X44" s="110"/>
      <c r="Y44" s="177"/>
      <c r="Z44" s="12"/>
      <c r="AB44" s="10"/>
      <c r="AC44" s="11"/>
      <c r="AD44" s="36"/>
    </row>
    <row r="45" spans="1:30" ht="25.5" customHeight="1" x14ac:dyDescent="0.25">
      <c r="A45" s="10"/>
      <c r="B45" s="109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29"/>
      <c r="O45" s="129"/>
      <c r="P45" s="129"/>
      <c r="Q45" s="129"/>
      <c r="R45" s="129"/>
      <c r="S45" s="129"/>
      <c r="T45" s="129"/>
      <c r="U45" s="129"/>
      <c r="V45" s="129"/>
      <c r="W45" s="110"/>
      <c r="X45" s="110"/>
      <c r="Y45" s="177"/>
      <c r="Z45" s="12"/>
      <c r="AB45" s="10"/>
      <c r="AC45" s="11"/>
      <c r="AD45" s="36"/>
    </row>
    <row r="46" spans="1:30" ht="25.5" customHeight="1" x14ac:dyDescent="0.25">
      <c r="A46" s="10"/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29"/>
      <c r="O46" s="129"/>
      <c r="P46" s="129"/>
      <c r="Q46" s="129"/>
      <c r="R46" s="129"/>
      <c r="S46" s="129"/>
      <c r="T46" s="129"/>
      <c r="U46" s="129"/>
      <c r="V46" s="129"/>
      <c r="W46" s="110"/>
      <c r="X46" s="110"/>
      <c r="Y46" s="177"/>
      <c r="Z46" s="12"/>
      <c r="AB46" s="10"/>
      <c r="AC46" s="11"/>
      <c r="AD46" s="36"/>
    </row>
    <row r="47" spans="1:30" ht="25.5" customHeight="1" x14ac:dyDescent="0.25">
      <c r="A47" s="10"/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29"/>
      <c r="O47" s="129"/>
      <c r="P47" s="129"/>
      <c r="Q47" s="129"/>
      <c r="R47" s="129"/>
      <c r="S47" s="129"/>
      <c r="T47" s="129"/>
      <c r="U47" s="129"/>
      <c r="V47" s="129"/>
      <c r="W47" s="110"/>
      <c r="X47" s="110"/>
      <c r="Y47" s="177"/>
      <c r="Z47" s="12"/>
      <c r="AB47" s="10"/>
      <c r="AC47" s="11"/>
      <c r="AD47" s="36"/>
    </row>
    <row r="48" spans="1:30" ht="25.5" customHeight="1" x14ac:dyDescent="0.25">
      <c r="A48" s="10"/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29"/>
      <c r="O48" s="129"/>
      <c r="P48" s="129"/>
      <c r="Q48" s="129"/>
      <c r="R48" s="129"/>
      <c r="S48" s="129"/>
      <c r="T48" s="129"/>
      <c r="U48" s="129"/>
      <c r="V48" s="129"/>
      <c r="W48" s="110"/>
      <c r="X48" s="110"/>
      <c r="Y48" s="177"/>
      <c r="Z48" s="12"/>
      <c r="AB48" s="10"/>
      <c r="AC48" s="11"/>
      <c r="AD48" s="36"/>
    </row>
    <row r="49" spans="1:30" ht="25.5" customHeight="1" x14ac:dyDescent="0.25">
      <c r="A49" s="10"/>
      <c r="B49" s="109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29"/>
      <c r="O49" s="129"/>
      <c r="P49" s="129"/>
      <c r="Q49" s="129"/>
      <c r="R49" s="129"/>
      <c r="S49" s="129"/>
      <c r="T49" s="129"/>
      <c r="U49" s="129"/>
      <c r="V49" s="129"/>
      <c r="W49" s="110"/>
      <c r="X49" s="110"/>
      <c r="Y49" s="177"/>
      <c r="Z49" s="12"/>
      <c r="AB49" s="10"/>
      <c r="AC49" s="11"/>
      <c r="AD49" s="36"/>
    </row>
    <row r="50" spans="1:30" ht="25.5" customHeight="1" x14ac:dyDescent="0.25">
      <c r="A50" s="10"/>
      <c r="B50" s="178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8"/>
      <c r="Z50" s="12"/>
      <c r="AB50" s="10">
        <v>11</v>
      </c>
      <c r="AC50" s="11">
        <v>1.0025999999999999</v>
      </c>
      <c r="AD50" s="36" t="str">
        <f t="shared" ref="AD50:AD69" si="0">IF($F$24=AB50,AC50,"")</f>
        <v/>
      </c>
    </row>
    <row r="51" spans="1:30" ht="12.75" customHeight="1" x14ac:dyDescent="0.2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2"/>
      <c r="O51" s="52"/>
      <c r="P51" s="52"/>
      <c r="Q51" s="53"/>
      <c r="R51" s="53"/>
      <c r="S51" s="53"/>
      <c r="T51" s="53"/>
      <c r="U51" s="53"/>
      <c r="V51" s="53"/>
      <c r="W51" s="51"/>
      <c r="X51" s="51"/>
      <c r="Y51" s="51"/>
      <c r="Z51" s="12"/>
      <c r="AB51" s="10">
        <v>12</v>
      </c>
      <c r="AC51" s="11">
        <v>1.0024999999999999</v>
      </c>
      <c r="AD51" s="36" t="str">
        <f t="shared" si="0"/>
        <v/>
      </c>
    </row>
    <row r="52" spans="1:30" ht="15.9" customHeight="1" x14ac:dyDescent="0.25">
      <c r="A52" s="41"/>
      <c r="B52" s="4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6"/>
      <c r="AB52" s="10">
        <v>13</v>
      </c>
      <c r="AC52" s="11">
        <v>1.0023</v>
      </c>
      <c r="AD52" s="36" t="str">
        <f t="shared" si="0"/>
        <v/>
      </c>
    </row>
    <row r="53" spans="1:30" ht="12.75" customHeight="1" x14ac:dyDescent="0.25">
      <c r="A53" s="43"/>
      <c r="B53" s="44"/>
      <c r="AB53" s="10">
        <v>14</v>
      </c>
      <c r="AC53" s="11">
        <v>1.0022</v>
      </c>
      <c r="AD53" s="36" t="str">
        <f t="shared" si="0"/>
        <v/>
      </c>
    </row>
    <row r="54" spans="1:30" s="17" customFormat="1" ht="15.6" customHeight="1" x14ac:dyDescent="0.3">
      <c r="A54" s="45" t="s">
        <v>52</v>
      </c>
      <c r="B54" s="46" t="s">
        <v>53</v>
      </c>
      <c r="C54" s="47"/>
      <c r="D54" s="47"/>
      <c r="E54" s="47"/>
      <c r="F54" s="48"/>
      <c r="G54" s="48"/>
      <c r="H54" s="48"/>
      <c r="I54" s="7"/>
      <c r="J54" s="7"/>
      <c r="K54" s="7"/>
      <c r="L54" s="7"/>
      <c r="M54" s="7"/>
      <c r="N54" s="7"/>
      <c r="O54" s="7"/>
      <c r="P54" s="7"/>
      <c r="Q54" s="48"/>
      <c r="R54" s="7"/>
      <c r="S54" s="7"/>
      <c r="T54" s="7"/>
      <c r="U54" s="136"/>
      <c r="V54" s="136"/>
      <c r="W54" s="136"/>
      <c r="X54" s="137"/>
      <c r="Y54" s="137"/>
      <c r="Z54" s="138"/>
      <c r="AA54" s="57"/>
      <c r="AB54" s="10">
        <v>15</v>
      </c>
      <c r="AC54" s="11">
        <v>1.0021</v>
      </c>
      <c r="AD54" s="36" t="str">
        <f t="shared" si="0"/>
        <v/>
      </c>
    </row>
    <row r="55" spans="1:30" s="17" customFormat="1" ht="25.8" customHeight="1" x14ac:dyDescent="0.3">
      <c r="A55" s="165" t="s">
        <v>54</v>
      </c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7"/>
      <c r="R55" s="133" t="s">
        <v>55</v>
      </c>
      <c r="S55" s="134"/>
      <c r="T55" s="135"/>
      <c r="U55" s="139" t="s">
        <v>56</v>
      </c>
      <c r="V55" s="140"/>
      <c r="W55" s="140"/>
      <c r="X55" s="140"/>
      <c r="Y55" s="140"/>
      <c r="Z55" s="141"/>
      <c r="AA55" s="57"/>
      <c r="AB55" s="10">
        <v>16</v>
      </c>
      <c r="AC55" s="11">
        <v>1.0019</v>
      </c>
      <c r="AD55" s="36" t="str">
        <f t="shared" si="0"/>
        <v/>
      </c>
    </row>
    <row r="56" spans="1:30" s="17" customFormat="1" ht="15.6" customHeight="1" x14ac:dyDescent="0.3">
      <c r="A56" s="159" t="s">
        <v>57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1"/>
      <c r="R56" s="133" t="s">
        <v>58</v>
      </c>
      <c r="S56" s="134"/>
      <c r="T56" s="135"/>
      <c r="U56" s="169" t="s">
        <v>59</v>
      </c>
      <c r="V56" s="170"/>
      <c r="W56" s="170"/>
      <c r="X56" s="170"/>
      <c r="Y56" s="170"/>
      <c r="Z56" s="171"/>
      <c r="AA56" s="57"/>
      <c r="AB56" s="10">
        <v>17</v>
      </c>
      <c r="AC56" s="11">
        <v>1.0017</v>
      </c>
      <c r="AD56" s="36" t="str">
        <f t="shared" si="0"/>
        <v/>
      </c>
    </row>
    <row r="57" spans="1:30" s="17" customFormat="1" ht="15.6" customHeight="1" x14ac:dyDescent="0.3">
      <c r="A57" s="162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4"/>
      <c r="R57" s="133"/>
      <c r="S57" s="134"/>
      <c r="T57" s="135"/>
      <c r="U57" s="172"/>
      <c r="V57" s="168"/>
      <c r="W57" s="168"/>
      <c r="X57" s="168"/>
      <c r="Y57" s="168"/>
      <c r="Z57" s="173"/>
      <c r="AA57" s="57"/>
      <c r="AB57" s="10">
        <v>18</v>
      </c>
      <c r="AC57" s="11">
        <v>1.0016</v>
      </c>
      <c r="AD57" s="36" t="str">
        <f t="shared" si="0"/>
        <v/>
      </c>
    </row>
    <row r="58" spans="1:30" s="17" customFormat="1" ht="15.6" customHeight="1" x14ac:dyDescent="0.25">
      <c r="A58" s="38" t="s">
        <v>60</v>
      </c>
      <c r="B58" s="49" t="s">
        <v>61</v>
      </c>
      <c r="C58" s="1"/>
      <c r="D58" s="1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39"/>
      <c r="R58" s="133"/>
      <c r="S58" s="134"/>
      <c r="T58" s="135"/>
      <c r="U58" s="174"/>
      <c r="V58" s="175"/>
      <c r="W58" s="175"/>
      <c r="X58" s="175"/>
      <c r="Y58" s="175"/>
      <c r="Z58" s="176"/>
      <c r="AB58" s="10">
        <v>19</v>
      </c>
      <c r="AC58" s="11">
        <v>1.0014000000000001</v>
      </c>
      <c r="AD58" s="36" t="str">
        <f t="shared" si="0"/>
        <v/>
      </c>
    </row>
    <row r="59" spans="1:30" s="17" customFormat="1" ht="15.6" customHeight="1" x14ac:dyDescent="0.25">
      <c r="A59" s="210" t="s">
        <v>74</v>
      </c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8"/>
      <c r="R59" s="133" t="s">
        <v>62</v>
      </c>
      <c r="S59" s="134"/>
      <c r="T59" s="135"/>
      <c r="U59" s="68"/>
      <c r="V59" s="69"/>
      <c r="W59" s="69"/>
      <c r="X59" s="69"/>
      <c r="Y59" s="69"/>
      <c r="Z59" s="70"/>
      <c r="AB59" s="10">
        <v>20</v>
      </c>
      <c r="AC59" s="11">
        <v>1.0012000000000001</v>
      </c>
      <c r="AD59" s="36" t="str">
        <f t="shared" si="0"/>
        <v/>
      </c>
    </row>
    <row r="60" spans="1:30" s="17" customFormat="1" ht="15.6" customHeight="1" x14ac:dyDescent="0.25">
      <c r="A60" s="210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8"/>
      <c r="R60" s="133"/>
      <c r="S60" s="134"/>
      <c r="T60" s="135"/>
      <c r="U60" s="71"/>
      <c r="V60" s="168"/>
      <c r="W60" s="168"/>
      <c r="X60" s="168"/>
      <c r="Y60" s="168"/>
      <c r="Z60" s="72"/>
      <c r="AB60" s="10">
        <v>21</v>
      </c>
      <c r="AC60" s="37">
        <v>1.0009999999999999</v>
      </c>
      <c r="AD60" s="36" t="str">
        <f t="shared" si="0"/>
        <v/>
      </c>
    </row>
    <row r="61" spans="1:30" s="17" customFormat="1" ht="15.6" customHeight="1" x14ac:dyDescent="0.25">
      <c r="A61" s="210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8"/>
      <c r="R61" s="133"/>
      <c r="S61" s="134"/>
      <c r="T61" s="135"/>
      <c r="U61" s="71"/>
      <c r="V61" s="168"/>
      <c r="W61" s="168"/>
      <c r="X61" s="168"/>
      <c r="Y61" s="168"/>
      <c r="Z61" s="72"/>
      <c r="AB61" s="10">
        <v>22</v>
      </c>
      <c r="AC61" s="11">
        <v>1.0006999999999999</v>
      </c>
      <c r="AD61" s="36" t="str">
        <f t="shared" si="0"/>
        <v/>
      </c>
    </row>
    <row r="62" spans="1:30" s="17" customFormat="1" ht="15.6" customHeight="1" x14ac:dyDescent="0.25">
      <c r="A62" s="201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199"/>
      <c r="R62" s="179"/>
      <c r="S62" s="180"/>
      <c r="T62" s="181"/>
      <c r="U62" s="54"/>
      <c r="V62" s="55"/>
      <c r="W62" s="55"/>
      <c r="X62" s="55"/>
      <c r="Y62" s="55"/>
      <c r="Z62" s="56"/>
      <c r="AB62" s="10">
        <v>23</v>
      </c>
      <c r="AC62" s="11">
        <v>1.0004999999999999</v>
      </c>
      <c r="AD62" s="36" t="str">
        <f t="shared" si="0"/>
        <v/>
      </c>
    </row>
    <row r="63" spans="1:30" ht="12.75" customHeight="1" x14ac:dyDescent="0.25">
      <c r="AB63" s="10">
        <v>24</v>
      </c>
      <c r="AC63" s="11">
        <v>1.0003</v>
      </c>
      <c r="AD63" s="36">
        <f t="shared" si="0"/>
        <v>1.0003</v>
      </c>
    </row>
    <row r="64" spans="1:30" ht="12.75" customHeight="1" x14ac:dyDescent="0.25">
      <c r="AB64" s="10">
        <v>25</v>
      </c>
      <c r="AC64" s="37">
        <v>1</v>
      </c>
      <c r="AD64" s="36" t="str">
        <f t="shared" si="0"/>
        <v/>
      </c>
    </row>
    <row r="65" spans="28:30" ht="12.75" customHeight="1" x14ac:dyDescent="0.25">
      <c r="AB65" s="10">
        <v>26</v>
      </c>
      <c r="AC65" s="11">
        <v>0.99970000000000003</v>
      </c>
      <c r="AD65" s="36" t="str">
        <f t="shared" si="0"/>
        <v/>
      </c>
    </row>
    <row r="66" spans="28:30" ht="12.75" customHeight="1" x14ac:dyDescent="0.25">
      <c r="AB66" s="10">
        <v>27</v>
      </c>
      <c r="AC66" s="11">
        <v>0.99950000000000006</v>
      </c>
      <c r="AD66" s="36" t="str">
        <f t="shared" si="0"/>
        <v/>
      </c>
    </row>
    <row r="67" spans="28:30" ht="12.75" customHeight="1" x14ac:dyDescent="0.25">
      <c r="AB67" s="10">
        <v>28</v>
      </c>
      <c r="AC67" s="11">
        <v>0.99919999999999998</v>
      </c>
      <c r="AD67" s="36" t="str">
        <f t="shared" si="0"/>
        <v/>
      </c>
    </row>
    <row r="68" spans="28:30" ht="12.75" customHeight="1" x14ac:dyDescent="0.25">
      <c r="AB68" s="10">
        <v>29</v>
      </c>
      <c r="AC68" s="11">
        <v>0.99890000000000001</v>
      </c>
      <c r="AD68" s="36" t="str">
        <f t="shared" si="0"/>
        <v/>
      </c>
    </row>
    <row r="69" spans="28:30" ht="12.75" customHeight="1" x14ac:dyDescent="0.25">
      <c r="AB69" s="14">
        <v>30</v>
      </c>
      <c r="AC69" s="15">
        <v>0.99860000000000004</v>
      </c>
      <c r="AD69" s="40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90">
    <mergeCell ref="Q48:S48"/>
    <mergeCell ref="T48:V48"/>
    <mergeCell ref="W48:Y48"/>
    <mergeCell ref="B49:D49"/>
    <mergeCell ref="E49:G49"/>
    <mergeCell ref="H49:J49"/>
    <mergeCell ref="K49:M49"/>
    <mergeCell ref="N49:P49"/>
    <mergeCell ref="Q49:S49"/>
    <mergeCell ref="T49:V49"/>
    <mergeCell ref="W49:Y49"/>
    <mergeCell ref="B48:D48"/>
    <mergeCell ref="E48:G48"/>
    <mergeCell ref="H48:J48"/>
    <mergeCell ref="K48:M48"/>
    <mergeCell ref="N48:P48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W47:Y47"/>
    <mergeCell ref="B46:D46"/>
    <mergeCell ref="E46:G46"/>
    <mergeCell ref="H46:J46"/>
    <mergeCell ref="K46:M46"/>
    <mergeCell ref="N46:P46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5:Y45"/>
    <mergeCell ref="B44:D44"/>
    <mergeCell ref="E44:G44"/>
    <mergeCell ref="H44:J44"/>
    <mergeCell ref="K44:M44"/>
    <mergeCell ref="N44:P44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1:Y41"/>
    <mergeCell ref="B40:D40"/>
    <mergeCell ref="E40:G40"/>
    <mergeCell ref="H40:J40"/>
    <mergeCell ref="K40:M40"/>
    <mergeCell ref="N40:P40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39:Y39"/>
    <mergeCell ref="B38:D38"/>
    <mergeCell ref="E38:G38"/>
    <mergeCell ref="H38:J38"/>
    <mergeCell ref="K38:M38"/>
    <mergeCell ref="N38:P38"/>
    <mergeCell ref="W36:Y36"/>
    <mergeCell ref="B37:D37"/>
    <mergeCell ref="E37:G37"/>
    <mergeCell ref="H37:J37"/>
    <mergeCell ref="K37:M37"/>
    <mergeCell ref="N37:P37"/>
    <mergeCell ref="Q37:S37"/>
    <mergeCell ref="T37:V37"/>
    <mergeCell ref="W37:Y37"/>
    <mergeCell ref="B36:D36"/>
    <mergeCell ref="E36:G36"/>
    <mergeCell ref="H36:J36"/>
    <mergeCell ref="K36:M36"/>
    <mergeCell ref="N36:P36"/>
    <mergeCell ref="A56:Q57"/>
    <mergeCell ref="A55:Q55"/>
    <mergeCell ref="V60:Y61"/>
    <mergeCell ref="AB32:AB34"/>
    <mergeCell ref="AC32:AC34"/>
    <mergeCell ref="U56:Z58"/>
    <mergeCell ref="T35:V35"/>
    <mergeCell ref="W35:Y35"/>
    <mergeCell ref="B50:D50"/>
    <mergeCell ref="E50:G50"/>
    <mergeCell ref="T50:V50"/>
    <mergeCell ref="A59:Q62"/>
    <mergeCell ref="R56:T58"/>
    <mergeCell ref="R59:T62"/>
    <mergeCell ref="H35:J35"/>
    <mergeCell ref="K35:M35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32:G34"/>
    <mergeCell ref="H32:J34"/>
    <mergeCell ref="K32:M34"/>
    <mergeCell ref="N32:P34"/>
    <mergeCell ref="Q32:S34"/>
    <mergeCell ref="R55:T55"/>
    <mergeCell ref="U54:Z54"/>
    <mergeCell ref="U55:Z55"/>
    <mergeCell ref="S12:Y12"/>
    <mergeCell ref="T32:V34"/>
    <mergeCell ref="W32:Y34"/>
    <mergeCell ref="Q35:S35"/>
    <mergeCell ref="I17:Y17"/>
    <mergeCell ref="I18:Y18"/>
    <mergeCell ref="Q50:S50"/>
    <mergeCell ref="W50:Y50"/>
    <mergeCell ref="H50:J50"/>
    <mergeCell ref="K50:M50"/>
    <mergeCell ref="N50:P50"/>
    <mergeCell ref="Q36:S36"/>
    <mergeCell ref="T36:V36"/>
    <mergeCell ref="A7:F7"/>
    <mergeCell ref="G7:Z7"/>
    <mergeCell ref="B10:G10"/>
    <mergeCell ref="H12:M12"/>
    <mergeCell ref="S11:Y11"/>
    <mergeCell ref="B12:G12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B27:E29"/>
    <mergeCell ref="B18:H18"/>
    <mergeCell ref="B17:H17"/>
    <mergeCell ref="E35:G35"/>
    <mergeCell ref="N35:P35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</mergeCells>
  <phoneticPr fontId="14" type="noConversion"/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290725 GB Farge</vt:lpstr>
      <vt:lpstr>290725 BBSG Farge</vt:lpstr>
      <vt:lpstr>'290725 BBSG Farge'!Zone_d_impression</vt:lpstr>
      <vt:lpstr>'290725 GB Farge'!Zone_d_impression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2025-07-30T12:56:17Z</cp:lastPrinted>
  <dcterms:created xsi:type="dcterms:W3CDTF">2004-11-13T18:13:05Z</dcterms:created>
  <dcterms:modified xsi:type="dcterms:W3CDTF">2025-07-30T12:56:24Z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