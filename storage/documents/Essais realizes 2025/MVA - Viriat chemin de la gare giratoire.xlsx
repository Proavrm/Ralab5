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4\01\RA O03A  CD01 - Viriat RD975 Ch. Gare Giratoire\Essais de laboratoire\Enrobés\"/>
    </mc:Choice>
  </mc:AlternateContent>
  <xr:revisionPtr revIDLastSave="0" documentId="13_ncr:1_{027C500A-D4D7-4C0F-95DF-380ECE9FE9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80125 GB4" sheetId="2" r:id="rId1"/>
    <sheet name="171224 GB4" sheetId="1" r:id="rId2"/>
  </sheets>
  <definedNames>
    <definedName name="_xlnm.Print_Area" localSheetId="0">'080125 GB4'!$A$1:$Z$58</definedName>
    <definedName name="_xlnm.Print_Area" localSheetId="1">'171224 GB4'!$A$1:$Z$58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5" i="2" l="1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35" i="2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36" i="1"/>
  <c r="AD35" i="1"/>
  <c r="F27" i="2" l="1"/>
  <c r="F27" i="1"/>
</calcChain>
</file>

<file path=xl/sharedStrings.xml><?xml version="1.0" encoding="utf-8"?>
<sst xmlns="http://schemas.openxmlformats.org/spreadsheetml/2006/main" count="139" uniqueCount="66">
  <si>
    <t>COMPTE RENDU D'ESSAIS</t>
  </si>
  <si>
    <t>MASSE VOLUMIQUE DES ENROBES
(NF EN 12697-6-A1)</t>
  </si>
  <si>
    <t>n°</t>
  </si>
  <si>
    <t>RA O03C</t>
  </si>
  <si>
    <t>20/12/2024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</si>
  <si>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</si>
  <si>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</si>
  <si>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</si>
  <si>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</si>
  <si>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</si>
  <si>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</si>
  <si>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</si>
  <si>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F. Montet</t>
  </si>
  <si>
    <t>17/12/2024</t>
  </si>
  <si>
    <t>Opérateur :</t>
  </si>
  <si>
    <t>Nature du produit :</t>
  </si>
  <si>
    <t>GB 0/14 Classe 4</t>
  </si>
  <si>
    <t>Date de(s) prélèvement(s) :</t>
  </si>
  <si>
    <t>Provenance :</t>
  </si>
  <si>
    <t>SEG</t>
  </si>
  <si>
    <t>Date de(s) essai(s) :</t>
  </si>
  <si>
    <t>Couche :</t>
  </si>
  <si>
    <t>Base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</si>
  <si>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</si>
  <si>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</si>
  <si>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</si>
  <si>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</si>
  <si>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</si>
  <si>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</si>
  <si>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</si>
  <si>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</si>
  <si>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</si>
  <si>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1"/>
        <color rgb="FF000000"/>
        <rFont val="Century Gothic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</si>
  <si>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</si>
  <si>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</si>
  <si>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</si>
  <si>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</si>
  <si>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</si>
  <si>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</si>
  <si>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</si>
  <si>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1"/>
        <color rgb="FF000000"/>
        <rFont val="Century Gothic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</si>
  <si>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</si>
  <si>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</si>
  <si>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</si>
  <si>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</si>
  <si>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</si>
  <si>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</si>
  <si>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SC2</t>
  </si>
  <si>
    <t>SC3</t>
  </si>
  <si>
    <t>4/</t>
  </si>
  <si>
    <t>CONCLUSIONS</t>
  </si>
  <si>
    <t>Contrôle</t>
  </si>
  <si>
    <t>Nom</t>
  </si>
  <si>
    <t>F. MONTET</t>
  </si>
  <si>
    <t>Conforme</t>
  </si>
  <si>
    <t>Fonction</t>
  </si>
  <si>
    <t>Technicien de laboratoire</t>
  </si>
  <si>
    <t>5/</t>
  </si>
  <si>
    <t>COMMENTAIRES</t>
  </si>
  <si>
    <t>Visa</t>
  </si>
  <si>
    <t>CD01 - RD975/RD29a
Viriat - Ch. de la Gare
Aménagement carrefour et giratoire</t>
  </si>
  <si>
    <r>
      <t xml:space="preserve">%vides </t>
    </r>
    <r>
      <rPr>
        <sz val="11"/>
        <color rgb="FF000000"/>
        <rFont val="Aptos Narrow"/>
        <family val="2"/>
      </rPr>
      <t>≤</t>
    </r>
    <r>
      <rPr>
        <sz val="11"/>
        <color rgb="FF000000"/>
        <rFont val="Century Gothic"/>
        <family val="2"/>
      </rPr>
      <t xml:space="preserve"> 8%</t>
    </r>
  </si>
  <si>
    <t>09/01/2025</t>
  </si>
  <si>
    <t>08/01/2025</t>
  </si>
  <si>
    <t>Fondation</t>
  </si>
  <si>
    <t>SC4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</si>
</sst>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17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alibri"/>
    </font>
    <font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b/>
      <vertAlign val="superscript"/>
      <sz val="11"/>
      <color rgb="FF000000"/>
      <name val="Century Gothic"/>
    </font>
    <font>
      <sz val="8"/>
      <name val="Arial"/>
    </font>
    <font>
      <sz val="11"/>
      <color rgb="FF000000"/>
      <name val="Aptos Narrow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165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  <xf numFmtId="0" fontId="1" fillId="0" borderId="25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155F8A2-65E1-45D3-B162-17D91AC40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" y="32385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CE98-B848-40B5-9D3B-5D1380477673}">
  <sheetPr>
    <pageSetUpPr fitToPage="1"/>
  </sheetPr>
  <dimension ref="A1:AF65"/>
  <sheetViews>
    <sheetView tabSelected="1" topLeftCell="A35" workbookViewId="0">
      <selection activeCell="S21" sqref="S21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87"/>
      <c r="B1" s="90"/>
      <c r="C1" s="90"/>
      <c r="D1" s="90"/>
      <c r="E1" s="90"/>
      <c r="F1" s="115"/>
      <c r="G1" s="162" t="s">
        <v>0</v>
      </c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4"/>
      <c r="U1" s="165" t="s">
        <v>60</v>
      </c>
      <c r="V1" s="166"/>
      <c r="W1" s="166"/>
      <c r="X1" s="166"/>
      <c r="Y1" s="166"/>
      <c r="Z1" s="167"/>
    </row>
    <row r="2" spans="1:32" ht="12.75" customHeight="1" x14ac:dyDescent="0.3">
      <c r="A2" s="88"/>
      <c r="B2" s="91"/>
      <c r="C2" s="91"/>
      <c r="D2" s="91"/>
      <c r="E2" s="91"/>
      <c r="F2" s="116"/>
      <c r="G2" s="174" t="s">
        <v>1</v>
      </c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6"/>
      <c r="U2" s="168"/>
      <c r="V2" s="169"/>
      <c r="W2" s="169"/>
      <c r="X2" s="169"/>
      <c r="Y2" s="169"/>
      <c r="Z2" s="170"/>
      <c r="AA2" s="57"/>
      <c r="AB2" s="57"/>
    </row>
    <row r="3" spans="1:32" ht="12.75" customHeight="1" x14ac:dyDescent="0.3">
      <c r="A3" s="88"/>
      <c r="B3" s="91"/>
      <c r="C3" s="91"/>
      <c r="D3" s="91"/>
      <c r="E3" s="91"/>
      <c r="F3" s="116"/>
      <c r="G3" s="174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6"/>
      <c r="U3" s="168"/>
      <c r="V3" s="169"/>
      <c r="W3" s="169"/>
      <c r="X3" s="169"/>
      <c r="Y3" s="169"/>
      <c r="Z3" s="170"/>
      <c r="AA3" s="57"/>
      <c r="AB3" s="57"/>
    </row>
    <row r="4" spans="1:32" ht="12.75" customHeight="1" x14ac:dyDescent="0.3">
      <c r="A4" s="88"/>
      <c r="B4" s="91"/>
      <c r="C4" s="91"/>
      <c r="D4" s="91"/>
      <c r="E4" s="91"/>
      <c r="F4" s="116"/>
      <c r="G4" s="174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68"/>
      <c r="V4" s="169"/>
      <c r="W4" s="169"/>
      <c r="X4" s="169"/>
      <c r="Y4" s="169"/>
      <c r="Z4" s="170"/>
      <c r="AA4" s="57"/>
      <c r="AB4" s="57"/>
    </row>
    <row r="5" spans="1:32" ht="12.75" customHeight="1" x14ac:dyDescent="0.3">
      <c r="A5" s="88"/>
      <c r="B5" s="91"/>
      <c r="C5" s="91"/>
      <c r="D5" s="91"/>
      <c r="E5" s="91"/>
      <c r="F5" s="116"/>
      <c r="G5" s="177"/>
      <c r="H5" s="178"/>
      <c r="I5" s="2" t="s">
        <v>2</v>
      </c>
      <c r="J5" s="179">
        <v>2</v>
      </c>
      <c r="K5" s="180"/>
      <c r="L5" s="181" t="s">
        <v>3</v>
      </c>
      <c r="M5" s="182"/>
      <c r="N5" s="182"/>
      <c r="O5" s="183"/>
      <c r="P5" s="184" t="s">
        <v>62</v>
      </c>
      <c r="Q5" s="185"/>
      <c r="R5" s="185"/>
      <c r="S5" s="185"/>
      <c r="T5" s="186"/>
      <c r="U5" s="168"/>
      <c r="V5" s="169"/>
      <c r="W5" s="169"/>
      <c r="X5" s="169"/>
      <c r="Y5" s="169"/>
      <c r="Z5" s="170"/>
      <c r="AA5" s="57"/>
      <c r="AB5" s="57"/>
    </row>
    <row r="6" spans="1:32" ht="12.75" customHeight="1" x14ac:dyDescent="0.25">
      <c r="A6" s="89"/>
      <c r="B6" s="92"/>
      <c r="C6" s="92"/>
      <c r="D6" s="92"/>
      <c r="E6" s="92"/>
      <c r="F6" s="117"/>
      <c r="G6" s="3"/>
      <c r="H6" s="4"/>
      <c r="I6" s="4"/>
      <c r="J6" s="187" t="s">
        <v>5</v>
      </c>
      <c r="K6" s="187"/>
      <c r="L6" s="187" t="s">
        <v>6</v>
      </c>
      <c r="M6" s="187"/>
      <c r="N6" s="187"/>
      <c r="O6" s="187"/>
      <c r="P6" s="187" t="s">
        <v>7</v>
      </c>
      <c r="Q6" s="187"/>
      <c r="R6" s="187"/>
      <c r="S6" s="187"/>
      <c r="T6" s="188"/>
      <c r="U6" s="171"/>
      <c r="V6" s="172"/>
      <c r="W6" s="172"/>
      <c r="X6" s="172"/>
      <c r="Y6" s="172"/>
      <c r="Z6" s="173"/>
    </row>
    <row r="7" spans="1:32" ht="36.6" customHeight="1" x14ac:dyDescent="0.25">
      <c r="A7" s="154" t="s">
        <v>8</v>
      </c>
      <c r="B7" s="154"/>
      <c r="C7" s="154"/>
      <c r="D7" s="154"/>
      <c r="E7" s="154"/>
      <c r="F7" s="154"/>
      <c r="G7" s="155" t="s">
        <v>9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32" ht="15.9" customHeight="1" x14ac:dyDescent="0.3">
      <c r="A8" s="58" t="s">
        <v>10</v>
      </c>
      <c r="B8" s="59" t="s">
        <v>11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12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63</v>
      </c>
    </row>
    <row r="10" spans="1:32" ht="15.9" customHeight="1" x14ac:dyDescent="0.3">
      <c r="A10" s="10"/>
      <c r="B10" s="156" t="s">
        <v>14</v>
      </c>
      <c r="C10" s="156"/>
      <c r="D10" s="156"/>
      <c r="E10" s="156"/>
      <c r="F10" s="156"/>
      <c r="G10" s="156"/>
      <c r="H10" s="157" t="s">
        <v>12</v>
      </c>
      <c r="I10" s="157"/>
      <c r="J10" s="157"/>
      <c r="K10" s="157"/>
      <c r="L10" s="157"/>
      <c r="M10" s="157"/>
      <c r="N10" s="156" t="s">
        <v>15</v>
      </c>
      <c r="O10" s="156"/>
      <c r="P10" s="156"/>
      <c r="Q10" s="156"/>
      <c r="R10" s="156"/>
      <c r="S10" s="146" t="s">
        <v>16</v>
      </c>
      <c r="T10" s="146"/>
      <c r="U10" s="146"/>
      <c r="V10" s="146"/>
      <c r="W10" s="146"/>
      <c r="X10" s="146"/>
      <c r="Y10" s="146"/>
      <c r="Z10" s="13"/>
      <c r="AB10" s="57"/>
      <c r="AF10" s="57" t="s">
        <v>62</v>
      </c>
    </row>
    <row r="11" spans="1:32" ht="15.9" customHeight="1" x14ac:dyDescent="0.3">
      <c r="A11" s="10"/>
      <c r="B11" s="156" t="s">
        <v>17</v>
      </c>
      <c r="C11" s="156"/>
      <c r="D11" s="156"/>
      <c r="E11" s="156"/>
      <c r="F11" s="156"/>
      <c r="G11" s="156"/>
      <c r="H11" s="157" t="s">
        <v>63</v>
      </c>
      <c r="I11" s="157"/>
      <c r="J11" s="157"/>
      <c r="K11" s="157"/>
      <c r="L11" s="157"/>
      <c r="M11" s="157"/>
      <c r="N11" s="156" t="s">
        <v>18</v>
      </c>
      <c r="O11" s="156"/>
      <c r="P11" s="156"/>
      <c r="Q11" s="156"/>
      <c r="R11" s="156"/>
      <c r="S11" s="146" t="s">
        <v>19</v>
      </c>
      <c r="T11" s="146"/>
      <c r="U11" s="146"/>
      <c r="V11" s="146"/>
      <c r="W11" s="146"/>
      <c r="X11" s="146"/>
      <c r="Y11" s="146"/>
      <c r="Z11" s="13"/>
      <c r="AB11" s="57"/>
      <c r="AF11" s="57" t="s">
        <v>16</v>
      </c>
    </row>
    <row r="12" spans="1:32" ht="15.9" customHeight="1" x14ac:dyDescent="0.3">
      <c r="A12" s="10"/>
      <c r="B12" s="156" t="s">
        <v>20</v>
      </c>
      <c r="C12" s="156"/>
      <c r="D12" s="156"/>
      <c r="E12" s="156"/>
      <c r="F12" s="156"/>
      <c r="G12" s="156"/>
      <c r="H12" s="157" t="s">
        <v>62</v>
      </c>
      <c r="I12" s="157"/>
      <c r="J12" s="157"/>
      <c r="K12" s="157"/>
      <c r="L12" s="157"/>
      <c r="M12" s="157"/>
      <c r="N12" s="156" t="s">
        <v>21</v>
      </c>
      <c r="O12" s="156"/>
      <c r="P12" s="156"/>
      <c r="Q12" s="156"/>
      <c r="R12" s="156"/>
      <c r="S12" s="146" t="s">
        <v>64</v>
      </c>
      <c r="T12" s="146"/>
      <c r="U12" s="146"/>
      <c r="V12" s="146"/>
      <c r="W12" s="146"/>
      <c r="X12" s="146"/>
      <c r="Y12" s="146"/>
      <c r="Z12" s="13"/>
      <c r="AB12" s="57"/>
      <c r="AF12" s="57" t="s">
        <v>19</v>
      </c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64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23</v>
      </c>
      <c r="B15" s="59" t="s">
        <v>24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161" t="s">
        <v>25</v>
      </c>
      <c r="C17" s="161"/>
      <c r="D17" s="161"/>
      <c r="E17" s="161"/>
      <c r="F17" s="161"/>
      <c r="G17" s="161"/>
      <c r="H17" s="16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24"/>
    </row>
    <row r="18" spans="1:32" s="17" customFormat="1" ht="15" customHeight="1" x14ac:dyDescent="0.3">
      <c r="A18" s="62"/>
      <c r="B18" s="161" t="s">
        <v>26</v>
      </c>
      <c r="C18" s="161"/>
      <c r="D18" s="161"/>
      <c r="E18" s="161"/>
      <c r="F18" s="161"/>
      <c r="G18" s="161"/>
      <c r="H18" s="161"/>
      <c r="I18" s="152" t="s">
        <v>61</v>
      </c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27</v>
      </c>
      <c r="B21" s="6" t="s">
        <v>28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130" t="s">
        <v>29</v>
      </c>
      <c r="C24" s="124"/>
      <c r="D24" s="124"/>
      <c r="E24" s="124"/>
      <c r="F24" s="124">
        <v>19</v>
      </c>
      <c r="G24" s="124"/>
      <c r="H24" s="124"/>
      <c r="I24" s="124"/>
      <c r="J24" s="118" t="s">
        <v>30</v>
      </c>
      <c r="K24" s="118"/>
      <c r="L24" s="119"/>
      <c r="O24" s="130" t="s">
        <v>31</v>
      </c>
      <c r="P24" s="131"/>
      <c r="Q24" s="131"/>
      <c r="R24" s="131"/>
      <c r="S24" s="124">
        <v>890</v>
      </c>
      <c r="T24" s="124"/>
      <c r="U24" s="124"/>
      <c r="V24" s="124"/>
      <c r="W24" s="118" t="s">
        <v>32</v>
      </c>
      <c r="X24" s="118"/>
      <c r="Y24" s="119"/>
      <c r="Z24" s="12"/>
      <c r="AA24"/>
    </row>
    <row r="25" spans="1:32" ht="12.75" customHeight="1" x14ac:dyDescent="0.25">
      <c r="A25" s="10"/>
      <c r="B25" s="137"/>
      <c r="C25" s="125"/>
      <c r="D25" s="125"/>
      <c r="E25" s="125"/>
      <c r="F25" s="125"/>
      <c r="G25" s="125"/>
      <c r="H25" s="125"/>
      <c r="I25" s="125"/>
      <c r="J25" s="120"/>
      <c r="K25" s="120"/>
      <c r="L25" s="121"/>
      <c r="O25" s="132"/>
      <c r="P25" s="133"/>
      <c r="Q25" s="133"/>
      <c r="R25" s="133"/>
      <c r="S25" s="125"/>
      <c r="T25" s="125"/>
      <c r="U25" s="125"/>
      <c r="V25" s="125"/>
      <c r="W25" s="120"/>
      <c r="X25" s="120"/>
      <c r="Y25" s="121"/>
      <c r="Z25" s="12"/>
      <c r="AA25"/>
    </row>
    <row r="26" spans="1:32" ht="12.75" customHeight="1" x14ac:dyDescent="0.25">
      <c r="A26" s="10"/>
      <c r="B26" s="138"/>
      <c r="C26" s="126"/>
      <c r="D26" s="126"/>
      <c r="E26" s="126"/>
      <c r="F26" s="126"/>
      <c r="G26" s="126"/>
      <c r="H26" s="126"/>
      <c r="I26" s="126"/>
      <c r="J26" s="122"/>
      <c r="K26" s="122"/>
      <c r="L26" s="123"/>
      <c r="O26" s="134"/>
      <c r="P26" s="135"/>
      <c r="Q26" s="135"/>
      <c r="R26" s="135"/>
      <c r="S26" s="126"/>
      <c r="T26" s="126"/>
      <c r="U26" s="126"/>
      <c r="V26" s="126"/>
      <c r="W26" s="122"/>
      <c r="X26" s="122"/>
      <c r="Y26" s="123"/>
      <c r="Z26" s="12"/>
      <c r="AA26"/>
    </row>
    <row r="27" spans="1:32" ht="12.75" customHeight="1" x14ac:dyDescent="0.25">
      <c r="A27" s="10"/>
      <c r="B27" s="130" t="s">
        <v>33</v>
      </c>
      <c r="C27" s="131"/>
      <c r="D27" s="131"/>
      <c r="E27" s="131"/>
      <c r="F27" s="127">
        <f>IF(F24&lt;&gt;"",(997.1*(SUM(AD35:AD65))),"")</f>
        <v>998.49594000000013</v>
      </c>
      <c r="G27" s="127"/>
      <c r="H27" s="127"/>
      <c r="I27" s="127"/>
      <c r="J27" s="118" t="s">
        <v>34</v>
      </c>
      <c r="K27" s="118"/>
      <c r="L27" s="119"/>
      <c r="O27" s="136" t="s">
        <v>35</v>
      </c>
      <c r="P27" s="124"/>
      <c r="Q27" s="124"/>
      <c r="R27" s="124"/>
      <c r="S27" s="124">
        <v>2503</v>
      </c>
      <c r="T27" s="124"/>
      <c r="U27" s="124"/>
      <c r="V27" s="124"/>
      <c r="W27" s="118" t="s">
        <v>34</v>
      </c>
      <c r="X27" s="118"/>
      <c r="Y27" s="119"/>
      <c r="Z27" s="12"/>
      <c r="AA27"/>
    </row>
    <row r="28" spans="1:32" ht="12.75" customHeight="1" x14ac:dyDescent="0.25">
      <c r="A28" s="10"/>
      <c r="B28" s="132"/>
      <c r="C28" s="133"/>
      <c r="D28" s="133"/>
      <c r="E28" s="133"/>
      <c r="F28" s="128"/>
      <c r="G28" s="128"/>
      <c r="H28" s="128"/>
      <c r="I28" s="128"/>
      <c r="J28" s="120"/>
      <c r="K28" s="120"/>
      <c r="L28" s="121"/>
      <c r="O28" s="137"/>
      <c r="P28" s="125"/>
      <c r="Q28" s="125"/>
      <c r="R28" s="125"/>
      <c r="S28" s="125"/>
      <c r="T28" s="125"/>
      <c r="U28" s="125"/>
      <c r="V28" s="125"/>
      <c r="W28" s="120"/>
      <c r="X28" s="120"/>
      <c r="Y28" s="121"/>
      <c r="Z28" s="12"/>
      <c r="AA28"/>
    </row>
    <row r="29" spans="1:32" ht="12.75" customHeight="1" x14ac:dyDescent="0.25">
      <c r="A29" s="10"/>
      <c r="B29" s="134"/>
      <c r="C29" s="135"/>
      <c r="D29" s="135"/>
      <c r="E29" s="135"/>
      <c r="F29" s="129"/>
      <c r="G29" s="129"/>
      <c r="H29" s="129"/>
      <c r="I29" s="129"/>
      <c r="J29" s="122"/>
      <c r="K29" s="122"/>
      <c r="L29" s="123"/>
      <c r="O29" s="138"/>
      <c r="P29" s="126"/>
      <c r="Q29" s="126"/>
      <c r="R29" s="126"/>
      <c r="S29" s="126"/>
      <c r="T29" s="126"/>
      <c r="U29" s="126"/>
      <c r="V29" s="126"/>
      <c r="W29" s="122"/>
      <c r="X29" s="122"/>
      <c r="Y29" s="123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thickBot="1" x14ac:dyDescent="0.3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158" t="s">
        <v>36</v>
      </c>
      <c r="C32" s="139"/>
      <c r="D32" s="139"/>
      <c r="E32" s="139" t="s">
        <v>37</v>
      </c>
      <c r="F32" s="139"/>
      <c r="G32" s="139"/>
      <c r="H32" s="139" t="s">
        <v>38</v>
      </c>
      <c r="I32" s="139"/>
      <c r="J32" s="139"/>
      <c r="K32" s="139" t="s">
        <v>39</v>
      </c>
      <c r="L32" s="139"/>
      <c r="M32" s="139"/>
      <c r="N32" s="139" t="s">
        <v>40</v>
      </c>
      <c r="O32" s="139"/>
      <c r="P32" s="139"/>
      <c r="Q32" s="139" t="s">
        <v>41</v>
      </c>
      <c r="R32" s="139"/>
      <c r="S32" s="139"/>
      <c r="T32" s="147" t="s">
        <v>42</v>
      </c>
      <c r="U32" s="147"/>
      <c r="V32" s="147"/>
      <c r="W32" s="139" t="s">
        <v>43</v>
      </c>
      <c r="X32" s="139"/>
      <c r="Y32" s="148"/>
      <c r="Z32" s="12"/>
      <c r="AB32" s="87" t="s">
        <v>44</v>
      </c>
      <c r="AC32" s="90" t="s">
        <v>45</v>
      </c>
      <c r="AD32" s="115" t="s">
        <v>46</v>
      </c>
    </row>
    <row r="33" spans="1:30" ht="19.5" customHeight="1" x14ac:dyDescent="0.25">
      <c r="A33" s="10"/>
      <c r="B33" s="159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25"/>
      <c r="U33" s="125"/>
      <c r="V33" s="125"/>
      <c r="W33" s="133"/>
      <c r="X33" s="133"/>
      <c r="Y33" s="149"/>
      <c r="Z33" s="12"/>
      <c r="AB33" s="88"/>
      <c r="AC33" s="91"/>
      <c r="AD33" s="116"/>
    </row>
    <row r="34" spans="1:30" ht="19.5" customHeight="1" x14ac:dyDescent="0.25">
      <c r="A34" s="10"/>
      <c r="B34" s="160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26"/>
      <c r="U34" s="126"/>
      <c r="V34" s="126"/>
      <c r="W34" s="135"/>
      <c r="X34" s="135"/>
      <c r="Y34" s="150"/>
      <c r="Z34" s="12"/>
      <c r="AB34" s="89"/>
      <c r="AC34" s="92"/>
      <c r="AD34" s="117"/>
    </row>
    <row r="35" spans="1:30" ht="25.5" customHeight="1" x14ac:dyDescent="0.25">
      <c r="A35" s="10"/>
      <c r="B35" s="76" t="s">
        <v>65</v>
      </c>
      <c r="C35" s="74"/>
      <c r="D35" s="74"/>
      <c r="E35" s="74">
        <v>2144.1</v>
      </c>
      <c r="F35" s="74"/>
      <c r="G35" s="74"/>
      <c r="H35" s="74">
        <v>2170</v>
      </c>
      <c r="I35" s="74"/>
      <c r="J35" s="74"/>
      <c r="K35" s="74">
        <v>1212.9000000000001</v>
      </c>
      <c r="L35" s="74"/>
      <c r="M35" s="74"/>
      <c r="N35" s="73">
        <v>2306.9</v>
      </c>
      <c r="O35" s="73"/>
      <c r="P35" s="73"/>
      <c r="Q35" s="73">
        <v>92.2</v>
      </c>
      <c r="R35" s="73"/>
      <c r="S35" s="73"/>
      <c r="T35" s="73">
        <v>7.8</v>
      </c>
      <c r="U35" s="73"/>
      <c r="V35" s="73"/>
      <c r="W35" s="74">
        <v>15</v>
      </c>
      <c r="X35" s="74"/>
      <c r="Y35" s="75"/>
      <c r="Z35" s="12"/>
      <c r="AB35" s="10">
        <v>10</v>
      </c>
      <c r="AC35" s="11">
        <v>1.0026999999999999</v>
      </c>
      <c r="AD35" s="36" t="str">
        <f t="shared" ref="AD35:AD65" si="0">IF($F$24=AB35,AC35,"")</f>
        <v/>
      </c>
    </row>
    <row r="36" spans="1:30" ht="25.5" customHeight="1" x14ac:dyDescent="0.25">
      <c r="A36" s="10"/>
      <c r="B36" s="76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3"/>
      <c r="O36" s="73"/>
      <c r="P36" s="73"/>
      <c r="Q36" s="73"/>
      <c r="R36" s="73"/>
      <c r="S36" s="73"/>
      <c r="T36" s="73"/>
      <c r="U36" s="73"/>
      <c r="V36" s="73"/>
      <c r="W36" s="74"/>
      <c r="X36" s="74"/>
      <c r="Y36" s="75"/>
      <c r="Z36" s="12"/>
      <c r="AB36" s="10"/>
      <c r="AC36" s="11"/>
      <c r="AD36" s="36"/>
    </row>
    <row r="37" spans="1:30" ht="25.5" customHeight="1" x14ac:dyDescent="0.25">
      <c r="A37" s="10"/>
      <c r="B37" s="76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3"/>
      <c r="O37" s="73"/>
      <c r="P37" s="73"/>
      <c r="Q37" s="73"/>
      <c r="R37" s="73"/>
      <c r="S37" s="73"/>
      <c r="T37" s="73"/>
      <c r="U37" s="73"/>
      <c r="V37" s="73"/>
      <c r="W37" s="74"/>
      <c r="X37" s="74"/>
      <c r="Y37" s="75"/>
      <c r="Z37" s="12"/>
      <c r="AB37" s="10"/>
      <c r="AC37" s="11"/>
      <c r="AD37" s="36"/>
    </row>
    <row r="38" spans="1:30" ht="25.5" customHeight="1" x14ac:dyDescent="0.25">
      <c r="A38" s="10"/>
      <c r="B38" s="76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3"/>
      <c r="O38" s="73"/>
      <c r="P38" s="73"/>
      <c r="Q38" s="73"/>
      <c r="R38" s="73"/>
      <c r="S38" s="73"/>
      <c r="T38" s="73"/>
      <c r="U38" s="73"/>
      <c r="V38" s="73"/>
      <c r="W38" s="74"/>
      <c r="X38" s="74"/>
      <c r="Y38" s="75"/>
      <c r="Z38" s="12"/>
      <c r="AB38" s="10"/>
      <c r="AC38" s="11"/>
      <c r="AD38" s="36"/>
    </row>
    <row r="39" spans="1:30" ht="25.5" customHeight="1" x14ac:dyDescent="0.25">
      <c r="A39" s="10"/>
      <c r="B39" s="76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3"/>
      <c r="O39" s="73"/>
      <c r="P39" s="73"/>
      <c r="Q39" s="73"/>
      <c r="R39" s="73"/>
      <c r="S39" s="73"/>
      <c r="T39" s="73"/>
      <c r="U39" s="73"/>
      <c r="V39" s="73"/>
      <c r="W39" s="74"/>
      <c r="X39" s="74"/>
      <c r="Y39" s="75"/>
      <c r="Z39" s="12"/>
      <c r="AB39" s="10"/>
      <c r="AC39" s="11"/>
      <c r="AD39" s="36"/>
    </row>
    <row r="40" spans="1:30" ht="25.5" customHeight="1" x14ac:dyDescent="0.25">
      <c r="A40" s="10"/>
      <c r="B40" s="76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3"/>
      <c r="O40" s="73"/>
      <c r="P40" s="73"/>
      <c r="Q40" s="73"/>
      <c r="R40" s="73"/>
      <c r="S40" s="73"/>
      <c r="T40" s="73"/>
      <c r="U40" s="73"/>
      <c r="V40" s="73"/>
      <c r="W40" s="74"/>
      <c r="X40" s="74"/>
      <c r="Y40" s="75"/>
      <c r="Z40" s="12"/>
      <c r="AB40" s="10"/>
      <c r="AC40" s="11"/>
      <c r="AD40" s="36"/>
    </row>
    <row r="41" spans="1:30" ht="25.5" customHeight="1" x14ac:dyDescent="0.25">
      <c r="A41" s="10"/>
      <c r="B41" s="76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3"/>
      <c r="O41" s="73"/>
      <c r="P41" s="73"/>
      <c r="Q41" s="73"/>
      <c r="R41" s="73"/>
      <c r="S41" s="73"/>
      <c r="T41" s="73"/>
      <c r="U41" s="73"/>
      <c r="V41" s="73"/>
      <c r="W41" s="74"/>
      <c r="X41" s="74"/>
      <c r="Y41" s="75"/>
      <c r="Z41" s="12"/>
      <c r="AB41" s="10"/>
      <c r="AC41" s="11"/>
      <c r="AD41" s="36"/>
    </row>
    <row r="42" spans="1:30" ht="25.5" customHeight="1" x14ac:dyDescent="0.25">
      <c r="A42" s="10"/>
      <c r="B42" s="76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3"/>
      <c r="O42" s="73"/>
      <c r="P42" s="73"/>
      <c r="Q42" s="73"/>
      <c r="R42" s="73"/>
      <c r="S42" s="73"/>
      <c r="T42" s="73"/>
      <c r="U42" s="73"/>
      <c r="V42" s="73"/>
      <c r="W42" s="74"/>
      <c r="X42" s="74"/>
      <c r="Y42" s="75"/>
      <c r="Z42" s="12"/>
      <c r="AB42" s="10"/>
      <c r="AC42" s="11"/>
      <c r="AD42" s="36"/>
    </row>
    <row r="43" spans="1:30" ht="25.5" customHeight="1" x14ac:dyDescent="0.25">
      <c r="A43" s="10"/>
      <c r="B43" s="76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3"/>
      <c r="O43" s="73"/>
      <c r="P43" s="73"/>
      <c r="Q43" s="73"/>
      <c r="R43" s="73"/>
      <c r="S43" s="73"/>
      <c r="T43" s="73"/>
      <c r="U43" s="73"/>
      <c r="V43" s="73"/>
      <c r="W43" s="74"/>
      <c r="X43" s="74"/>
      <c r="Y43" s="75"/>
      <c r="Z43" s="12"/>
      <c r="AB43" s="10"/>
      <c r="AC43" s="11"/>
      <c r="AD43" s="36"/>
    </row>
    <row r="44" spans="1:30" ht="25.5" customHeight="1" x14ac:dyDescent="0.25">
      <c r="A44" s="10"/>
      <c r="B44" s="76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3"/>
      <c r="O44" s="73"/>
      <c r="P44" s="73"/>
      <c r="Q44" s="73"/>
      <c r="R44" s="73"/>
      <c r="S44" s="73"/>
      <c r="T44" s="73"/>
      <c r="U44" s="73"/>
      <c r="V44" s="73"/>
      <c r="W44" s="74"/>
      <c r="X44" s="74"/>
      <c r="Y44" s="75"/>
      <c r="Z44" s="12"/>
      <c r="AB44" s="10"/>
      <c r="AC44" s="11"/>
      <c r="AD44" s="36"/>
    </row>
    <row r="45" spans="1:30" ht="25.5" customHeight="1" x14ac:dyDescent="0.25">
      <c r="A45" s="10"/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3"/>
      <c r="O45" s="73"/>
      <c r="P45" s="73"/>
      <c r="Q45" s="73"/>
      <c r="R45" s="73"/>
      <c r="S45" s="73"/>
      <c r="T45" s="73"/>
      <c r="U45" s="73"/>
      <c r="V45" s="73"/>
      <c r="W45" s="74"/>
      <c r="X45" s="74"/>
      <c r="Y45" s="75"/>
      <c r="Z45" s="12"/>
      <c r="AB45" s="10"/>
      <c r="AC45" s="11"/>
      <c r="AD45" s="36"/>
    </row>
    <row r="46" spans="1:30" ht="25.5" customHeight="1" thickBot="1" x14ac:dyDescent="0.3">
      <c r="A46" s="10"/>
      <c r="B46" s="101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53"/>
      <c r="Z46" s="12"/>
      <c r="AB46" s="10">
        <v>11</v>
      </c>
      <c r="AC46" s="11">
        <v>1.0025999999999999</v>
      </c>
      <c r="AD46" s="36" t="str">
        <f t="shared" si="0"/>
        <v/>
      </c>
    </row>
    <row r="47" spans="1:30" ht="12.75" customHeight="1" x14ac:dyDescent="0.25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2"/>
      <c r="O47" s="52"/>
      <c r="P47" s="52"/>
      <c r="Q47" s="53"/>
      <c r="R47" s="53"/>
      <c r="S47" s="53"/>
      <c r="T47" s="53"/>
      <c r="U47" s="53"/>
      <c r="V47" s="53"/>
      <c r="W47" s="51"/>
      <c r="X47" s="51"/>
      <c r="Y47" s="51"/>
      <c r="Z47" s="12"/>
      <c r="AB47" s="10">
        <v>12</v>
      </c>
      <c r="AC47" s="11">
        <v>1.0024999999999999</v>
      </c>
      <c r="AD47" s="36" t="str">
        <f t="shared" si="0"/>
        <v/>
      </c>
    </row>
    <row r="48" spans="1:30" ht="15.9" customHeight="1" x14ac:dyDescent="0.25">
      <c r="A48" s="41"/>
      <c r="B48" s="4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16"/>
      <c r="AB48" s="10">
        <v>13</v>
      </c>
      <c r="AC48" s="11">
        <v>1.0023</v>
      </c>
      <c r="AD48" s="36" t="str">
        <f t="shared" si="0"/>
        <v/>
      </c>
    </row>
    <row r="49" spans="1:30" ht="12.75" customHeight="1" x14ac:dyDescent="0.25">
      <c r="A49" s="43"/>
      <c r="B49" s="44"/>
      <c r="AB49" s="10">
        <v>14</v>
      </c>
      <c r="AC49" s="11">
        <v>1.0022</v>
      </c>
      <c r="AD49" s="36" t="str">
        <f t="shared" si="0"/>
        <v/>
      </c>
    </row>
    <row r="50" spans="1:30" s="17" customFormat="1" ht="15.6" customHeight="1" x14ac:dyDescent="0.3">
      <c r="A50" s="45" t="s">
        <v>49</v>
      </c>
      <c r="B50" s="46" t="s">
        <v>50</v>
      </c>
      <c r="C50" s="47"/>
      <c r="D50" s="47"/>
      <c r="E50" s="47"/>
      <c r="F50" s="48"/>
      <c r="G50" s="48"/>
      <c r="H50" s="48"/>
      <c r="I50" s="7"/>
      <c r="J50" s="7"/>
      <c r="K50" s="7"/>
      <c r="L50" s="7"/>
      <c r="M50" s="7"/>
      <c r="N50" s="7"/>
      <c r="O50" s="7"/>
      <c r="P50" s="7"/>
      <c r="Q50" s="48"/>
      <c r="R50" s="7"/>
      <c r="S50" s="7"/>
      <c r="T50" s="7"/>
      <c r="U50" s="140"/>
      <c r="V50" s="140"/>
      <c r="W50" s="140"/>
      <c r="X50" s="141"/>
      <c r="Y50" s="141"/>
      <c r="Z50" s="142"/>
      <c r="AA50" s="57"/>
      <c r="AB50" s="10">
        <v>15</v>
      </c>
      <c r="AC50" s="11">
        <v>1.0021</v>
      </c>
      <c r="AD50" s="36" t="str">
        <f t="shared" si="0"/>
        <v/>
      </c>
    </row>
    <row r="51" spans="1:30" s="17" customFormat="1" ht="25.8" customHeight="1" x14ac:dyDescent="0.3">
      <c r="A51" s="83" t="s">
        <v>51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5"/>
      <c r="R51" s="109" t="s">
        <v>52</v>
      </c>
      <c r="S51" s="110"/>
      <c r="T51" s="111"/>
      <c r="U51" s="143" t="s">
        <v>53</v>
      </c>
      <c r="V51" s="144"/>
      <c r="W51" s="144"/>
      <c r="X51" s="144"/>
      <c r="Y51" s="144"/>
      <c r="Z51" s="145"/>
      <c r="AA51" s="57"/>
      <c r="AB51" s="10">
        <v>16</v>
      </c>
      <c r="AC51" s="11">
        <v>1.0019</v>
      </c>
      <c r="AD51" s="36" t="str">
        <f t="shared" si="0"/>
        <v/>
      </c>
    </row>
    <row r="52" spans="1:30" s="17" customFormat="1" ht="15.6" customHeight="1" x14ac:dyDescent="0.3">
      <c r="A52" s="77" t="s">
        <v>54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9"/>
      <c r="R52" s="109" t="s">
        <v>55</v>
      </c>
      <c r="S52" s="110"/>
      <c r="T52" s="111"/>
      <c r="U52" s="93" t="s">
        <v>56</v>
      </c>
      <c r="V52" s="94"/>
      <c r="W52" s="94"/>
      <c r="X52" s="94"/>
      <c r="Y52" s="94"/>
      <c r="Z52" s="95"/>
      <c r="AA52" s="57"/>
      <c r="AB52" s="10">
        <v>17</v>
      </c>
      <c r="AC52" s="11">
        <v>1.0017</v>
      </c>
      <c r="AD52" s="36" t="str">
        <f t="shared" si="0"/>
        <v/>
      </c>
    </row>
    <row r="53" spans="1:30" s="17" customFormat="1" ht="15.6" customHeight="1" x14ac:dyDescent="0.3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2"/>
      <c r="R53" s="109"/>
      <c r="S53" s="110"/>
      <c r="T53" s="111"/>
      <c r="U53" s="96"/>
      <c r="V53" s="86"/>
      <c r="W53" s="86"/>
      <c r="X53" s="86"/>
      <c r="Y53" s="86"/>
      <c r="Z53" s="97"/>
      <c r="AA53" s="57"/>
      <c r="AB53" s="10">
        <v>18</v>
      </c>
      <c r="AC53" s="11">
        <v>1.0016</v>
      </c>
      <c r="AD53" s="36" t="str">
        <f t="shared" si="0"/>
        <v/>
      </c>
    </row>
    <row r="54" spans="1:30" s="17" customFormat="1" ht="15.6" customHeight="1" x14ac:dyDescent="0.25">
      <c r="A54" s="38" t="s">
        <v>57</v>
      </c>
      <c r="B54" s="49" t="s">
        <v>58</v>
      </c>
      <c r="C54" s="1"/>
      <c r="D54" s="1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39"/>
      <c r="R54" s="109"/>
      <c r="S54" s="110"/>
      <c r="T54" s="111"/>
      <c r="U54" s="98"/>
      <c r="V54" s="99"/>
      <c r="W54" s="99"/>
      <c r="X54" s="99"/>
      <c r="Y54" s="99"/>
      <c r="Z54" s="100"/>
      <c r="AB54" s="10">
        <v>19</v>
      </c>
      <c r="AC54" s="11">
        <v>1.0014000000000001</v>
      </c>
      <c r="AD54" s="36">
        <f t="shared" si="0"/>
        <v>1.0014000000000001</v>
      </c>
    </row>
    <row r="55" spans="1:30" s="17" customFormat="1" ht="15.6" customHeight="1" x14ac:dyDescent="0.25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5"/>
      <c r="R55" s="109" t="s">
        <v>59</v>
      </c>
      <c r="S55" s="110"/>
      <c r="T55" s="111"/>
      <c r="U55" s="68"/>
      <c r="V55" s="69"/>
      <c r="W55" s="69"/>
      <c r="X55" s="69"/>
      <c r="Y55" s="69"/>
      <c r="Z55" s="70"/>
      <c r="AB55" s="10">
        <v>20</v>
      </c>
      <c r="AC55" s="11">
        <v>1.0012000000000001</v>
      </c>
      <c r="AD55" s="36" t="str">
        <f t="shared" si="0"/>
        <v/>
      </c>
    </row>
    <row r="56" spans="1:30" s="17" customFormat="1" ht="15.6" customHeight="1" x14ac:dyDescent="0.25">
      <c r="A56" s="103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5"/>
      <c r="R56" s="109"/>
      <c r="S56" s="110"/>
      <c r="T56" s="111"/>
      <c r="U56" s="71"/>
      <c r="V56" s="86"/>
      <c r="W56" s="86"/>
      <c r="X56" s="86"/>
      <c r="Y56" s="86"/>
      <c r="Z56" s="72"/>
      <c r="AB56" s="10">
        <v>21</v>
      </c>
      <c r="AC56" s="37">
        <v>1.0009999999999999</v>
      </c>
      <c r="AD56" s="36" t="str">
        <f t="shared" si="0"/>
        <v/>
      </c>
    </row>
    <row r="57" spans="1:30" s="17" customFormat="1" ht="15.6" customHeight="1" x14ac:dyDescent="0.25">
      <c r="A57" s="103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5"/>
      <c r="R57" s="109"/>
      <c r="S57" s="110"/>
      <c r="T57" s="111"/>
      <c r="U57" s="71"/>
      <c r="V57" s="86"/>
      <c r="W57" s="86"/>
      <c r="X57" s="86"/>
      <c r="Y57" s="86"/>
      <c r="Z57" s="72"/>
      <c r="AB57" s="10">
        <v>22</v>
      </c>
      <c r="AC57" s="11">
        <v>1.0006999999999999</v>
      </c>
      <c r="AD57" s="36" t="str">
        <f t="shared" si="0"/>
        <v/>
      </c>
    </row>
    <row r="58" spans="1:30" s="17" customFormat="1" ht="15.6" customHeight="1" x14ac:dyDescent="0.25">
      <c r="A58" s="106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8"/>
      <c r="R58" s="112"/>
      <c r="S58" s="113"/>
      <c r="T58" s="114"/>
      <c r="U58" s="54"/>
      <c r="V58" s="55"/>
      <c r="W58" s="55"/>
      <c r="X58" s="55"/>
      <c r="Y58" s="55"/>
      <c r="Z58" s="56"/>
      <c r="AB58" s="10">
        <v>23</v>
      </c>
      <c r="AC58" s="11">
        <v>1.0004999999999999</v>
      </c>
      <c r="AD58" s="36" t="str">
        <f t="shared" si="0"/>
        <v/>
      </c>
    </row>
    <row r="59" spans="1:30" ht="12.75" customHeight="1" x14ac:dyDescent="0.25">
      <c r="AB59" s="10">
        <v>24</v>
      </c>
      <c r="AC59" s="11">
        <v>1.0003</v>
      </c>
      <c r="AD59" s="36" t="str">
        <f t="shared" si="0"/>
        <v/>
      </c>
    </row>
    <row r="60" spans="1:30" ht="12.75" customHeight="1" x14ac:dyDescent="0.25">
      <c r="AB60" s="10">
        <v>25</v>
      </c>
      <c r="AC60" s="37">
        <v>1</v>
      </c>
      <c r="AD60" s="36" t="str">
        <f t="shared" si="0"/>
        <v/>
      </c>
    </row>
    <row r="61" spans="1:30" ht="12.75" customHeight="1" x14ac:dyDescent="0.25">
      <c r="AB61" s="10">
        <v>26</v>
      </c>
      <c r="AC61" s="11">
        <v>0.99970000000000003</v>
      </c>
      <c r="AD61" s="36" t="str">
        <f t="shared" si="0"/>
        <v/>
      </c>
    </row>
    <row r="62" spans="1:30" ht="12.75" customHeight="1" x14ac:dyDescent="0.25">
      <c r="AB62" s="10">
        <v>27</v>
      </c>
      <c r="AC62" s="11">
        <v>0.99950000000000006</v>
      </c>
      <c r="AD62" s="36" t="str">
        <f t="shared" si="0"/>
        <v/>
      </c>
    </row>
    <row r="63" spans="1:30" ht="12.75" customHeight="1" x14ac:dyDescent="0.25">
      <c r="AB63" s="10">
        <v>28</v>
      </c>
      <c r="AC63" s="11">
        <v>0.99919999999999998</v>
      </c>
      <c r="AD63" s="36" t="str">
        <f t="shared" si="0"/>
        <v/>
      </c>
    </row>
    <row r="64" spans="1:30" ht="12.75" customHeight="1" x14ac:dyDescent="0.25">
      <c r="AB64" s="10">
        <v>29</v>
      </c>
      <c r="AC64" s="11">
        <v>0.99890000000000001</v>
      </c>
      <c r="AD64" s="36" t="str">
        <f t="shared" si="0"/>
        <v/>
      </c>
    </row>
    <row r="65" spans="28:30" ht="12.75" customHeight="1" x14ac:dyDescent="0.25">
      <c r="AB65" s="14">
        <v>30</v>
      </c>
      <c r="AC65" s="15">
        <v>0.99860000000000004</v>
      </c>
      <c r="AD65" s="40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58"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Q44:S44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Q42:S42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1:Y41"/>
    <mergeCell ref="B40:D40"/>
    <mergeCell ref="E40:G40"/>
    <mergeCell ref="H40:J40"/>
    <mergeCell ref="K40:M40"/>
    <mergeCell ref="N40:P40"/>
    <mergeCell ref="Q40:S40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39:Y39"/>
    <mergeCell ref="B38:D38"/>
    <mergeCell ref="E38:G38"/>
    <mergeCell ref="H38:J38"/>
    <mergeCell ref="K38:M38"/>
    <mergeCell ref="N38:P38"/>
    <mergeCell ref="Q38:S38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A55:Q58"/>
    <mergeCell ref="R55:T58"/>
    <mergeCell ref="V56:Y57"/>
    <mergeCell ref="B36:D36"/>
    <mergeCell ref="E36:G36"/>
    <mergeCell ref="H36:J36"/>
    <mergeCell ref="K36:M36"/>
    <mergeCell ref="N36:P36"/>
    <mergeCell ref="Q36:S36"/>
    <mergeCell ref="T36:V36"/>
    <mergeCell ref="W46:Y46"/>
    <mergeCell ref="U50:Z50"/>
    <mergeCell ref="A51:Q51"/>
    <mergeCell ref="R51:T51"/>
    <mergeCell ref="U51:Z51"/>
    <mergeCell ref="A52:Q53"/>
    <mergeCell ref="R52:T54"/>
    <mergeCell ref="U52:Z54"/>
    <mergeCell ref="Q35:S35"/>
    <mergeCell ref="T35:V35"/>
    <mergeCell ref="W35:Y35"/>
    <mergeCell ref="B46:D46"/>
    <mergeCell ref="E46:G46"/>
    <mergeCell ref="H46:J46"/>
    <mergeCell ref="K46:M46"/>
    <mergeCell ref="N46:P46"/>
    <mergeCell ref="Q46:S46"/>
    <mergeCell ref="T46:V46"/>
    <mergeCell ref="T32:V34"/>
    <mergeCell ref="W32:Y34"/>
    <mergeCell ref="AB32:AB34"/>
    <mergeCell ref="AC32:AC34"/>
    <mergeCell ref="AD32:AD34"/>
    <mergeCell ref="B35:D35"/>
    <mergeCell ref="E35:G35"/>
    <mergeCell ref="H35:J35"/>
    <mergeCell ref="K35:M35"/>
    <mergeCell ref="N35:P35"/>
    <mergeCell ref="B32:D34"/>
    <mergeCell ref="E32:G34"/>
    <mergeCell ref="H32:J34"/>
    <mergeCell ref="K32:M34"/>
    <mergeCell ref="N32:P34"/>
    <mergeCell ref="Q32:S34"/>
    <mergeCell ref="B27:E29"/>
    <mergeCell ref="F27:I29"/>
    <mergeCell ref="J27:L29"/>
    <mergeCell ref="O27:R29"/>
    <mergeCell ref="S27:V29"/>
    <mergeCell ref="W27:Y29"/>
    <mergeCell ref="B17:H17"/>
    <mergeCell ref="I17:Y17"/>
    <mergeCell ref="B18:H18"/>
    <mergeCell ref="I18:Y18"/>
    <mergeCell ref="B24:E26"/>
    <mergeCell ref="F24:I26"/>
    <mergeCell ref="J24:L26"/>
    <mergeCell ref="O24:R26"/>
    <mergeCell ref="S24:V26"/>
    <mergeCell ref="W24:Y2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honeticPr fontId="14" type="noConversion"/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5"/>
  <sheetViews>
    <sheetView workbookViewId="0">
      <selection activeCell="I18" sqref="I18:Y18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87"/>
      <c r="B1" s="90"/>
      <c r="C1" s="90"/>
      <c r="D1" s="90"/>
      <c r="E1" s="90"/>
      <c r="F1" s="115"/>
      <c r="G1" s="162" t="s">
        <v>0</v>
      </c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4"/>
      <c r="U1" s="165" t="s">
        <v>60</v>
      </c>
      <c r="V1" s="166"/>
      <c r="W1" s="166"/>
      <c r="X1" s="166"/>
      <c r="Y1" s="166"/>
      <c r="Z1" s="167"/>
    </row>
    <row r="2" spans="1:32" ht="12.75" customHeight="1" x14ac:dyDescent="0.3">
      <c r="A2" s="88"/>
      <c r="B2" s="91"/>
      <c r="C2" s="91"/>
      <c r="D2" s="91"/>
      <c r="E2" s="91"/>
      <c r="F2" s="116"/>
      <c r="G2" s="174" t="s">
        <v>1</v>
      </c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6"/>
      <c r="U2" s="168"/>
      <c r="V2" s="169"/>
      <c r="W2" s="169"/>
      <c r="X2" s="169"/>
      <c r="Y2" s="169"/>
      <c r="Z2" s="170"/>
      <c r="AA2" s="57"/>
      <c r="AB2" s="57"/>
    </row>
    <row r="3" spans="1:32" ht="12.75" customHeight="1" x14ac:dyDescent="0.3">
      <c r="A3" s="88"/>
      <c r="B3" s="91"/>
      <c r="C3" s="91"/>
      <c r="D3" s="91"/>
      <c r="E3" s="91"/>
      <c r="F3" s="116"/>
      <c r="G3" s="174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6"/>
      <c r="U3" s="168"/>
      <c r="V3" s="169"/>
      <c r="W3" s="169"/>
      <c r="X3" s="169"/>
      <c r="Y3" s="169"/>
      <c r="Z3" s="170"/>
      <c r="AA3" s="57"/>
      <c r="AB3" s="57"/>
    </row>
    <row r="4" spans="1:32" ht="12.75" customHeight="1" x14ac:dyDescent="0.3">
      <c r="A4" s="88"/>
      <c r="B4" s="91"/>
      <c r="C4" s="91"/>
      <c r="D4" s="91"/>
      <c r="E4" s="91"/>
      <c r="F4" s="116"/>
      <c r="G4" s="174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6"/>
      <c r="U4" s="168"/>
      <c r="V4" s="169"/>
      <c r="W4" s="169"/>
      <c r="X4" s="169"/>
      <c r="Y4" s="169"/>
      <c r="Z4" s="170"/>
      <c r="AA4" s="57"/>
      <c r="AB4" s="57"/>
    </row>
    <row r="5" spans="1:32" ht="12.75" customHeight="1" x14ac:dyDescent="0.3">
      <c r="A5" s="88"/>
      <c r="B5" s="91"/>
      <c r="C5" s="91"/>
      <c r="D5" s="91"/>
      <c r="E5" s="91"/>
      <c r="F5" s="116"/>
      <c r="G5" s="177"/>
      <c r="H5" s="178"/>
      <c r="I5" s="2" t="s">
        <v>2</v>
      </c>
      <c r="J5" s="179">
        <v>1</v>
      </c>
      <c r="K5" s="180"/>
      <c r="L5" s="181" t="s">
        <v>3</v>
      </c>
      <c r="M5" s="182"/>
      <c r="N5" s="182"/>
      <c r="O5" s="183"/>
      <c r="P5" s="184" t="s">
        <v>4</v>
      </c>
      <c r="Q5" s="185"/>
      <c r="R5" s="185"/>
      <c r="S5" s="185"/>
      <c r="T5" s="186"/>
      <c r="U5" s="168"/>
      <c r="V5" s="169"/>
      <c r="W5" s="169"/>
      <c r="X5" s="169"/>
      <c r="Y5" s="169"/>
      <c r="Z5" s="170"/>
      <c r="AA5" s="57"/>
      <c r="AB5" s="57"/>
    </row>
    <row r="6" spans="1:32" ht="12.75" customHeight="1" x14ac:dyDescent="0.25">
      <c r="A6" s="89"/>
      <c r="B6" s="92"/>
      <c r="C6" s="92"/>
      <c r="D6" s="92"/>
      <c r="E6" s="92"/>
      <c r="F6" s="117"/>
      <c r="G6" s="3"/>
      <c r="H6" s="4"/>
      <c r="I6" s="4"/>
      <c r="J6" s="187" t="s">
        <v>5</v>
      </c>
      <c r="K6" s="187"/>
      <c r="L6" s="187" t="s">
        <v>6</v>
      </c>
      <c r="M6" s="187"/>
      <c r="N6" s="187"/>
      <c r="O6" s="187"/>
      <c r="P6" s="187" t="s">
        <v>7</v>
      </c>
      <c r="Q6" s="187"/>
      <c r="R6" s="187"/>
      <c r="S6" s="187"/>
      <c r="T6" s="188"/>
      <c r="U6" s="171"/>
      <c r="V6" s="172"/>
      <c r="W6" s="172"/>
      <c r="X6" s="172"/>
      <c r="Y6" s="172"/>
      <c r="Z6" s="173"/>
    </row>
    <row r="7" spans="1:32" ht="36.6" customHeight="1" x14ac:dyDescent="0.25">
      <c r="A7" s="154" t="s">
        <v>8</v>
      </c>
      <c r="B7" s="154"/>
      <c r="C7" s="154"/>
      <c r="D7" s="154"/>
      <c r="E7" s="154"/>
      <c r="F7" s="154"/>
      <c r="G7" s="155" t="s">
        <v>9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32" ht="15.9" customHeight="1" x14ac:dyDescent="0.3">
      <c r="A8" s="58" t="s">
        <v>10</v>
      </c>
      <c r="B8" s="59" t="s">
        <v>11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12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13</v>
      </c>
    </row>
    <row r="10" spans="1:32" ht="15.9" customHeight="1" x14ac:dyDescent="0.3">
      <c r="A10" s="10"/>
      <c r="B10" s="156" t="s">
        <v>14</v>
      </c>
      <c r="C10" s="156"/>
      <c r="D10" s="156"/>
      <c r="E10" s="156"/>
      <c r="F10" s="156"/>
      <c r="G10" s="156"/>
      <c r="H10" s="157" t="s">
        <v>12</v>
      </c>
      <c r="I10" s="157"/>
      <c r="J10" s="157"/>
      <c r="K10" s="157"/>
      <c r="L10" s="157"/>
      <c r="M10" s="157"/>
      <c r="N10" s="156" t="s">
        <v>15</v>
      </c>
      <c r="O10" s="156"/>
      <c r="P10" s="156"/>
      <c r="Q10" s="156"/>
      <c r="R10" s="156"/>
      <c r="S10" s="146" t="s">
        <v>16</v>
      </c>
      <c r="T10" s="146"/>
      <c r="U10" s="146"/>
      <c r="V10" s="146"/>
      <c r="W10" s="146"/>
      <c r="X10" s="146"/>
      <c r="Y10" s="146"/>
      <c r="Z10" s="13"/>
      <c r="AB10" s="57"/>
      <c r="AF10" s="57" t="s">
        <v>4</v>
      </c>
    </row>
    <row r="11" spans="1:32" ht="15.9" customHeight="1" x14ac:dyDescent="0.3">
      <c r="A11" s="10"/>
      <c r="B11" s="156" t="s">
        <v>17</v>
      </c>
      <c r="C11" s="156"/>
      <c r="D11" s="156"/>
      <c r="E11" s="156"/>
      <c r="F11" s="156"/>
      <c r="G11" s="156"/>
      <c r="H11" s="157" t="s">
        <v>13</v>
      </c>
      <c r="I11" s="157"/>
      <c r="J11" s="157"/>
      <c r="K11" s="157"/>
      <c r="L11" s="157"/>
      <c r="M11" s="157"/>
      <c r="N11" s="156" t="s">
        <v>18</v>
      </c>
      <c r="O11" s="156"/>
      <c r="P11" s="156"/>
      <c r="Q11" s="156"/>
      <c r="R11" s="156"/>
      <c r="S11" s="146" t="s">
        <v>19</v>
      </c>
      <c r="T11" s="146"/>
      <c r="U11" s="146"/>
      <c r="V11" s="146"/>
      <c r="W11" s="146"/>
      <c r="X11" s="146"/>
      <c r="Y11" s="146"/>
      <c r="Z11" s="13"/>
      <c r="AB11" s="57"/>
      <c r="AF11" s="57" t="s">
        <v>16</v>
      </c>
    </row>
    <row r="12" spans="1:32" ht="15.9" customHeight="1" x14ac:dyDescent="0.3">
      <c r="A12" s="10"/>
      <c r="B12" s="156" t="s">
        <v>20</v>
      </c>
      <c r="C12" s="156"/>
      <c r="D12" s="156"/>
      <c r="E12" s="156"/>
      <c r="F12" s="156"/>
      <c r="G12" s="156"/>
      <c r="H12" s="157" t="s">
        <v>4</v>
      </c>
      <c r="I12" s="157"/>
      <c r="J12" s="157"/>
      <c r="K12" s="157"/>
      <c r="L12" s="157"/>
      <c r="M12" s="157"/>
      <c r="N12" s="156" t="s">
        <v>21</v>
      </c>
      <c r="O12" s="156"/>
      <c r="P12" s="156"/>
      <c r="Q12" s="156"/>
      <c r="R12" s="156"/>
      <c r="S12" s="146" t="s">
        <v>22</v>
      </c>
      <c r="T12" s="146"/>
      <c r="U12" s="146"/>
      <c r="V12" s="146"/>
      <c r="W12" s="146"/>
      <c r="X12" s="146"/>
      <c r="Y12" s="146"/>
      <c r="Z12" s="13"/>
      <c r="AB12" s="57"/>
      <c r="AF12" s="57" t="s">
        <v>19</v>
      </c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22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23</v>
      </c>
      <c r="B15" s="59" t="s">
        <v>24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161" t="s">
        <v>25</v>
      </c>
      <c r="C17" s="161"/>
      <c r="D17" s="161"/>
      <c r="E17" s="161"/>
      <c r="F17" s="161"/>
      <c r="G17" s="161"/>
      <c r="H17" s="16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24"/>
    </row>
    <row r="18" spans="1:32" s="17" customFormat="1" ht="15" customHeight="1" x14ac:dyDescent="0.3">
      <c r="A18" s="62"/>
      <c r="B18" s="161" t="s">
        <v>26</v>
      </c>
      <c r="C18" s="161"/>
      <c r="D18" s="161"/>
      <c r="E18" s="161"/>
      <c r="F18" s="161"/>
      <c r="G18" s="161"/>
      <c r="H18" s="161"/>
      <c r="I18" s="152" t="s">
        <v>61</v>
      </c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27</v>
      </c>
      <c r="B21" s="6" t="s">
        <v>28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130" t="s">
        <v>29</v>
      </c>
      <c r="C24" s="124"/>
      <c r="D24" s="124"/>
      <c r="E24" s="124"/>
      <c r="F24" s="124">
        <v>19</v>
      </c>
      <c r="G24" s="124"/>
      <c r="H24" s="124"/>
      <c r="I24" s="124"/>
      <c r="J24" s="118" t="s">
        <v>30</v>
      </c>
      <c r="K24" s="118"/>
      <c r="L24" s="119"/>
      <c r="O24" s="130" t="s">
        <v>31</v>
      </c>
      <c r="P24" s="131"/>
      <c r="Q24" s="131"/>
      <c r="R24" s="131"/>
      <c r="S24" s="124">
        <v>890</v>
      </c>
      <c r="T24" s="124"/>
      <c r="U24" s="124"/>
      <c r="V24" s="124"/>
      <c r="W24" s="118" t="s">
        <v>32</v>
      </c>
      <c r="X24" s="118"/>
      <c r="Y24" s="119"/>
      <c r="Z24" s="12"/>
      <c r="AA24"/>
    </row>
    <row r="25" spans="1:32" ht="12.75" customHeight="1" x14ac:dyDescent="0.25">
      <c r="A25" s="10"/>
      <c r="B25" s="137"/>
      <c r="C25" s="125"/>
      <c r="D25" s="125"/>
      <c r="E25" s="125"/>
      <c r="F25" s="125"/>
      <c r="G25" s="125"/>
      <c r="H25" s="125"/>
      <c r="I25" s="125"/>
      <c r="J25" s="120"/>
      <c r="K25" s="120"/>
      <c r="L25" s="121"/>
      <c r="O25" s="132"/>
      <c r="P25" s="133"/>
      <c r="Q25" s="133"/>
      <c r="R25" s="133"/>
      <c r="S25" s="125"/>
      <c r="T25" s="125"/>
      <c r="U25" s="125"/>
      <c r="V25" s="125"/>
      <c r="W25" s="120"/>
      <c r="X25" s="120"/>
      <c r="Y25" s="121"/>
      <c r="Z25" s="12"/>
      <c r="AA25"/>
    </row>
    <row r="26" spans="1:32" ht="12.75" customHeight="1" x14ac:dyDescent="0.25">
      <c r="A26" s="10"/>
      <c r="B26" s="138"/>
      <c r="C26" s="126"/>
      <c r="D26" s="126"/>
      <c r="E26" s="126"/>
      <c r="F26" s="126"/>
      <c r="G26" s="126"/>
      <c r="H26" s="126"/>
      <c r="I26" s="126"/>
      <c r="J26" s="122"/>
      <c r="K26" s="122"/>
      <c r="L26" s="123"/>
      <c r="O26" s="134"/>
      <c r="P26" s="135"/>
      <c r="Q26" s="135"/>
      <c r="R26" s="135"/>
      <c r="S26" s="126"/>
      <c r="T26" s="126"/>
      <c r="U26" s="126"/>
      <c r="V26" s="126"/>
      <c r="W26" s="122"/>
      <c r="X26" s="122"/>
      <c r="Y26" s="123"/>
      <c r="Z26" s="12"/>
      <c r="AA26"/>
    </row>
    <row r="27" spans="1:32" ht="12.75" customHeight="1" x14ac:dyDescent="0.25">
      <c r="A27" s="10"/>
      <c r="B27" s="130" t="s">
        <v>33</v>
      </c>
      <c r="C27" s="131"/>
      <c r="D27" s="131"/>
      <c r="E27" s="131"/>
      <c r="F27" s="127">
        <f>IF(F24&lt;&gt;"",(997.1*(SUM(AD35:AD65))),"")</f>
        <v>998.49594000000013</v>
      </c>
      <c r="G27" s="127"/>
      <c r="H27" s="127"/>
      <c r="I27" s="127"/>
      <c r="J27" s="118" t="s">
        <v>34</v>
      </c>
      <c r="K27" s="118"/>
      <c r="L27" s="119"/>
      <c r="O27" s="136" t="s">
        <v>35</v>
      </c>
      <c r="P27" s="124"/>
      <c r="Q27" s="124"/>
      <c r="R27" s="124"/>
      <c r="S27" s="124">
        <v>2503</v>
      </c>
      <c r="T27" s="124"/>
      <c r="U27" s="124"/>
      <c r="V27" s="124"/>
      <c r="W27" s="118" t="s">
        <v>34</v>
      </c>
      <c r="X27" s="118"/>
      <c r="Y27" s="119"/>
      <c r="Z27" s="12"/>
      <c r="AA27"/>
    </row>
    <row r="28" spans="1:32" ht="12.75" customHeight="1" x14ac:dyDescent="0.25">
      <c r="A28" s="10"/>
      <c r="B28" s="132"/>
      <c r="C28" s="133"/>
      <c r="D28" s="133"/>
      <c r="E28" s="133"/>
      <c r="F28" s="128"/>
      <c r="G28" s="128"/>
      <c r="H28" s="128"/>
      <c r="I28" s="128"/>
      <c r="J28" s="120"/>
      <c r="K28" s="120"/>
      <c r="L28" s="121"/>
      <c r="O28" s="137"/>
      <c r="P28" s="125"/>
      <c r="Q28" s="125"/>
      <c r="R28" s="125"/>
      <c r="S28" s="125"/>
      <c r="T28" s="125"/>
      <c r="U28" s="125"/>
      <c r="V28" s="125"/>
      <c r="W28" s="120"/>
      <c r="X28" s="120"/>
      <c r="Y28" s="121"/>
      <c r="Z28" s="12"/>
      <c r="AA28"/>
    </row>
    <row r="29" spans="1:32" ht="12.75" customHeight="1" x14ac:dyDescent="0.25">
      <c r="A29" s="10"/>
      <c r="B29" s="134"/>
      <c r="C29" s="135"/>
      <c r="D29" s="135"/>
      <c r="E29" s="135"/>
      <c r="F29" s="129"/>
      <c r="G29" s="129"/>
      <c r="H29" s="129"/>
      <c r="I29" s="129"/>
      <c r="J29" s="122"/>
      <c r="K29" s="122"/>
      <c r="L29" s="123"/>
      <c r="O29" s="138"/>
      <c r="P29" s="126"/>
      <c r="Q29" s="126"/>
      <c r="R29" s="126"/>
      <c r="S29" s="126"/>
      <c r="T29" s="126"/>
      <c r="U29" s="126"/>
      <c r="V29" s="126"/>
      <c r="W29" s="122"/>
      <c r="X29" s="122"/>
      <c r="Y29" s="123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x14ac:dyDescent="0.25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158" t="s">
        <v>36</v>
      </c>
      <c r="C32" s="139"/>
      <c r="D32" s="139"/>
      <c r="E32" s="139" t="s">
        <v>37</v>
      </c>
      <c r="F32" s="139"/>
      <c r="G32" s="139"/>
      <c r="H32" s="139" t="s">
        <v>38</v>
      </c>
      <c r="I32" s="139"/>
      <c r="J32" s="139"/>
      <c r="K32" s="139" t="s">
        <v>39</v>
      </c>
      <c r="L32" s="139"/>
      <c r="M32" s="139"/>
      <c r="N32" s="139" t="s">
        <v>40</v>
      </c>
      <c r="O32" s="139"/>
      <c r="P32" s="139"/>
      <c r="Q32" s="139" t="s">
        <v>41</v>
      </c>
      <c r="R32" s="139"/>
      <c r="S32" s="139"/>
      <c r="T32" s="147" t="s">
        <v>42</v>
      </c>
      <c r="U32" s="147"/>
      <c r="V32" s="147"/>
      <c r="W32" s="139" t="s">
        <v>43</v>
      </c>
      <c r="X32" s="139"/>
      <c r="Y32" s="148"/>
      <c r="Z32" s="12"/>
      <c r="AB32" s="87" t="s">
        <v>44</v>
      </c>
      <c r="AC32" s="90" t="s">
        <v>45</v>
      </c>
      <c r="AD32" s="115" t="s">
        <v>46</v>
      </c>
    </row>
    <row r="33" spans="1:30" ht="19.5" customHeight="1" x14ac:dyDescent="0.25">
      <c r="A33" s="10"/>
      <c r="B33" s="159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25"/>
      <c r="U33" s="125"/>
      <c r="V33" s="125"/>
      <c r="W33" s="133"/>
      <c r="X33" s="133"/>
      <c r="Y33" s="149"/>
      <c r="Z33" s="12"/>
      <c r="AB33" s="88"/>
      <c r="AC33" s="91"/>
      <c r="AD33" s="116"/>
    </row>
    <row r="34" spans="1:30" ht="19.5" customHeight="1" x14ac:dyDescent="0.25">
      <c r="A34" s="10"/>
      <c r="B34" s="160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26"/>
      <c r="U34" s="126"/>
      <c r="V34" s="126"/>
      <c r="W34" s="135"/>
      <c r="X34" s="135"/>
      <c r="Y34" s="150"/>
      <c r="Z34" s="12"/>
      <c r="AB34" s="89"/>
      <c r="AC34" s="92"/>
      <c r="AD34" s="117"/>
    </row>
    <row r="35" spans="1:30" ht="25.5" customHeight="1" x14ac:dyDescent="0.25">
      <c r="A35" s="10"/>
      <c r="B35" s="76" t="s">
        <v>47</v>
      </c>
      <c r="C35" s="74"/>
      <c r="D35" s="74"/>
      <c r="E35" s="74">
        <v>713.7</v>
      </c>
      <c r="F35" s="74"/>
      <c r="G35" s="74"/>
      <c r="H35" s="74">
        <v>733.3</v>
      </c>
      <c r="I35" s="74"/>
      <c r="J35" s="74"/>
      <c r="K35" s="74">
        <v>403.4</v>
      </c>
      <c r="L35" s="74"/>
      <c r="M35" s="74"/>
      <c r="N35" s="73">
        <v>2314.4</v>
      </c>
      <c r="O35" s="73"/>
      <c r="P35" s="73"/>
      <c r="Q35" s="73">
        <v>92.5</v>
      </c>
      <c r="R35" s="73"/>
      <c r="S35" s="73"/>
      <c r="T35" s="73">
        <v>7.5</v>
      </c>
      <c r="U35" s="73"/>
      <c r="V35" s="73"/>
      <c r="W35" s="74">
        <v>5</v>
      </c>
      <c r="X35" s="74"/>
      <c r="Y35" s="75"/>
      <c r="Z35" s="12"/>
      <c r="AB35" s="10">
        <v>10</v>
      </c>
      <c r="AC35" s="11">
        <v>1.0026999999999999</v>
      </c>
      <c r="AD35" s="36" t="str">
        <f>IF($F$24=AB35,AC35,"")</f>
        <v/>
      </c>
    </row>
    <row r="36" spans="1:30" ht="25.5" customHeight="1" x14ac:dyDescent="0.25">
      <c r="A36" s="10"/>
      <c r="B36" s="76" t="s">
        <v>48</v>
      </c>
      <c r="C36" s="74"/>
      <c r="D36" s="74"/>
      <c r="E36" s="74">
        <v>848.1</v>
      </c>
      <c r="F36" s="74"/>
      <c r="G36" s="74"/>
      <c r="H36" s="74">
        <v>866.1</v>
      </c>
      <c r="I36" s="74"/>
      <c r="J36" s="74"/>
      <c r="K36" s="74">
        <v>483.6</v>
      </c>
      <c r="L36" s="74"/>
      <c r="M36" s="74"/>
      <c r="N36" s="73">
        <v>2337.3000000000002</v>
      </c>
      <c r="O36" s="73"/>
      <c r="P36" s="73"/>
      <c r="Q36" s="73">
        <v>93.4</v>
      </c>
      <c r="R36" s="73"/>
      <c r="S36" s="73"/>
      <c r="T36" s="73">
        <v>6.6</v>
      </c>
      <c r="U36" s="73"/>
      <c r="V36" s="73"/>
      <c r="W36" s="74">
        <v>5.5</v>
      </c>
      <c r="X36" s="74"/>
      <c r="Y36" s="75"/>
      <c r="Z36" s="12"/>
      <c r="AB36" s="10">
        <v>10</v>
      </c>
      <c r="AC36" s="11">
        <v>1.0026999999999999</v>
      </c>
      <c r="AD36" s="36" t="str">
        <f>IF($F$24=AB35,AC35,"")</f>
        <v/>
      </c>
    </row>
    <row r="37" spans="1:30" ht="25.5" customHeight="1" x14ac:dyDescent="0.25">
      <c r="A37" s="10"/>
      <c r="B37" s="76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3"/>
      <c r="O37" s="73"/>
      <c r="P37" s="73"/>
      <c r="Q37" s="73"/>
      <c r="R37" s="73"/>
      <c r="S37" s="73"/>
      <c r="T37" s="73"/>
      <c r="U37" s="73"/>
      <c r="V37" s="73"/>
      <c r="W37" s="74"/>
      <c r="X37" s="74"/>
      <c r="Y37" s="75"/>
      <c r="Z37" s="12"/>
      <c r="AB37" s="10"/>
      <c r="AC37" s="11"/>
      <c r="AD37" s="36"/>
    </row>
    <row r="38" spans="1:30" ht="25.5" customHeight="1" x14ac:dyDescent="0.25">
      <c r="A38" s="10"/>
      <c r="B38" s="76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3"/>
      <c r="O38" s="73"/>
      <c r="P38" s="73"/>
      <c r="Q38" s="73"/>
      <c r="R38" s="73"/>
      <c r="S38" s="73"/>
      <c r="T38" s="73"/>
      <c r="U38" s="73"/>
      <c r="V38" s="73"/>
      <c r="W38" s="74"/>
      <c r="X38" s="74"/>
      <c r="Y38" s="75"/>
      <c r="Z38" s="12"/>
      <c r="AB38" s="10"/>
      <c r="AC38" s="11"/>
      <c r="AD38" s="36"/>
    </row>
    <row r="39" spans="1:30" ht="25.5" customHeight="1" x14ac:dyDescent="0.25">
      <c r="A39" s="10"/>
      <c r="B39" s="76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3"/>
      <c r="O39" s="73"/>
      <c r="P39" s="73"/>
      <c r="Q39" s="73"/>
      <c r="R39" s="73"/>
      <c r="S39" s="73"/>
      <c r="T39" s="73"/>
      <c r="U39" s="73"/>
      <c r="V39" s="73"/>
      <c r="W39" s="74"/>
      <c r="X39" s="74"/>
      <c r="Y39" s="75"/>
      <c r="Z39" s="12"/>
      <c r="AB39" s="10"/>
      <c r="AC39" s="11"/>
      <c r="AD39" s="36"/>
    </row>
    <row r="40" spans="1:30" ht="25.5" customHeight="1" x14ac:dyDescent="0.25">
      <c r="A40" s="10"/>
      <c r="B40" s="76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3"/>
      <c r="O40" s="73"/>
      <c r="P40" s="73"/>
      <c r="Q40" s="73"/>
      <c r="R40" s="73"/>
      <c r="S40" s="73"/>
      <c r="T40" s="73"/>
      <c r="U40" s="73"/>
      <c r="V40" s="73"/>
      <c r="W40" s="74"/>
      <c r="X40" s="74"/>
      <c r="Y40" s="75"/>
      <c r="Z40" s="12"/>
      <c r="AB40" s="10"/>
      <c r="AC40" s="11"/>
      <c r="AD40" s="36"/>
    </row>
    <row r="41" spans="1:30" ht="25.5" customHeight="1" x14ac:dyDescent="0.25">
      <c r="A41" s="10"/>
      <c r="B41" s="76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3"/>
      <c r="O41" s="73"/>
      <c r="P41" s="73"/>
      <c r="Q41" s="73"/>
      <c r="R41" s="73"/>
      <c r="S41" s="73"/>
      <c r="T41" s="73"/>
      <c r="U41" s="73"/>
      <c r="V41" s="73"/>
      <c r="W41" s="74"/>
      <c r="X41" s="74"/>
      <c r="Y41" s="75"/>
      <c r="Z41" s="12"/>
      <c r="AB41" s="10"/>
      <c r="AC41" s="11"/>
      <c r="AD41" s="36"/>
    </row>
    <row r="42" spans="1:30" ht="25.5" customHeight="1" x14ac:dyDescent="0.25">
      <c r="A42" s="10"/>
      <c r="B42" s="76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3"/>
      <c r="O42" s="73"/>
      <c r="P42" s="73"/>
      <c r="Q42" s="73"/>
      <c r="R42" s="73"/>
      <c r="S42" s="73"/>
      <c r="T42" s="73"/>
      <c r="U42" s="73"/>
      <c r="V42" s="73"/>
      <c r="W42" s="74"/>
      <c r="X42" s="74"/>
      <c r="Y42" s="75"/>
      <c r="Z42" s="12"/>
      <c r="AB42" s="10"/>
      <c r="AC42" s="11"/>
      <c r="AD42" s="36"/>
    </row>
    <row r="43" spans="1:30" ht="25.5" customHeight="1" x14ac:dyDescent="0.25">
      <c r="A43" s="10"/>
      <c r="B43" s="76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3"/>
      <c r="O43" s="73"/>
      <c r="P43" s="73"/>
      <c r="Q43" s="73"/>
      <c r="R43" s="73"/>
      <c r="S43" s="73"/>
      <c r="T43" s="73"/>
      <c r="U43" s="73"/>
      <c r="V43" s="73"/>
      <c r="W43" s="74"/>
      <c r="X43" s="74"/>
      <c r="Y43" s="75"/>
      <c r="Z43" s="12"/>
      <c r="AB43" s="10"/>
      <c r="AC43" s="11"/>
      <c r="AD43" s="36"/>
    </row>
    <row r="44" spans="1:30" ht="25.5" customHeight="1" x14ac:dyDescent="0.25">
      <c r="A44" s="10"/>
      <c r="B44" s="76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3"/>
      <c r="O44" s="73"/>
      <c r="P44" s="73"/>
      <c r="Q44" s="73"/>
      <c r="R44" s="73"/>
      <c r="S44" s="73"/>
      <c r="T44" s="73"/>
      <c r="U44" s="73"/>
      <c r="V44" s="73"/>
      <c r="W44" s="74"/>
      <c r="X44" s="74"/>
      <c r="Y44" s="75"/>
      <c r="Z44" s="12"/>
      <c r="AB44" s="10"/>
      <c r="AC44" s="11"/>
      <c r="AD44" s="36"/>
    </row>
    <row r="45" spans="1:30" ht="25.5" customHeight="1" x14ac:dyDescent="0.25">
      <c r="A45" s="10"/>
      <c r="B45" s="76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3"/>
      <c r="O45" s="73"/>
      <c r="P45" s="73"/>
      <c r="Q45" s="73"/>
      <c r="R45" s="73"/>
      <c r="S45" s="73"/>
      <c r="T45" s="73"/>
      <c r="U45" s="73"/>
      <c r="V45" s="73"/>
      <c r="W45" s="74"/>
      <c r="X45" s="74"/>
      <c r="Y45" s="75"/>
      <c r="Z45" s="12"/>
      <c r="AB45" s="10"/>
      <c r="AC45" s="11"/>
      <c r="AD45" s="36"/>
    </row>
    <row r="46" spans="1:30" ht="25.5" customHeight="1" x14ac:dyDescent="0.25">
      <c r="A46" s="10"/>
      <c r="B46" s="101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53"/>
      <c r="Z46" s="12"/>
      <c r="AB46" s="10">
        <v>11</v>
      </c>
      <c r="AC46" s="11">
        <v>1.0025999999999999</v>
      </c>
      <c r="AD46" s="36" t="str">
        <f t="shared" ref="AD46:AD65" si="0">IF($F$24=AB46,AC46,"")</f>
        <v/>
      </c>
    </row>
    <row r="47" spans="1:30" ht="12.75" customHeight="1" x14ac:dyDescent="0.25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2"/>
      <c r="O47" s="52"/>
      <c r="P47" s="52"/>
      <c r="Q47" s="53"/>
      <c r="R47" s="53"/>
      <c r="S47" s="53"/>
      <c r="T47" s="53"/>
      <c r="U47" s="53"/>
      <c r="V47" s="53"/>
      <c r="W47" s="51"/>
      <c r="X47" s="51"/>
      <c r="Y47" s="51"/>
      <c r="Z47" s="12"/>
      <c r="AB47" s="10">
        <v>12</v>
      </c>
      <c r="AC47" s="11">
        <v>1.0024999999999999</v>
      </c>
      <c r="AD47" s="36" t="str">
        <f t="shared" si="0"/>
        <v/>
      </c>
    </row>
    <row r="48" spans="1:30" ht="15.9" customHeight="1" x14ac:dyDescent="0.25">
      <c r="A48" s="41"/>
      <c r="B48" s="4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16"/>
      <c r="AB48" s="10">
        <v>13</v>
      </c>
      <c r="AC48" s="11">
        <v>1.0023</v>
      </c>
      <c r="AD48" s="36" t="str">
        <f t="shared" si="0"/>
        <v/>
      </c>
    </row>
    <row r="49" spans="1:30" ht="12.75" customHeight="1" x14ac:dyDescent="0.25">
      <c r="A49" s="43"/>
      <c r="B49" s="44"/>
      <c r="AB49" s="10">
        <v>14</v>
      </c>
      <c r="AC49" s="11">
        <v>1.0022</v>
      </c>
      <c r="AD49" s="36" t="str">
        <f t="shared" si="0"/>
        <v/>
      </c>
    </row>
    <row r="50" spans="1:30" s="17" customFormat="1" ht="15.6" customHeight="1" x14ac:dyDescent="0.3">
      <c r="A50" s="45" t="s">
        <v>49</v>
      </c>
      <c r="B50" s="46" t="s">
        <v>50</v>
      </c>
      <c r="C50" s="47"/>
      <c r="D50" s="47"/>
      <c r="E50" s="47"/>
      <c r="F50" s="48"/>
      <c r="G50" s="48"/>
      <c r="H50" s="48"/>
      <c r="I50" s="7"/>
      <c r="J50" s="7"/>
      <c r="K50" s="7"/>
      <c r="L50" s="7"/>
      <c r="M50" s="7"/>
      <c r="N50" s="7"/>
      <c r="O50" s="7"/>
      <c r="P50" s="7"/>
      <c r="Q50" s="48"/>
      <c r="R50" s="7"/>
      <c r="S50" s="7"/>
      <c r="T50" s="7"/>
      <c r="U50" s="140"/>
      <c r="V50" s="140"/>
      <c r="W50" s="140"/>
      <c r="X50" s="141"/>
      <c r="Y50" s="141"/>
      <c r="Z50" s="142"/>
      <c r="AA50" s="57"/>
      <c r="AB50" s="10">
        <v>15</v>
      </c>
      <c r="AC50" s="11">
        <v>1.0021</v>
      </c>
      <c r="AD50" s="36" t="str">
        <f t="shared" si="0"/>
        <v/>
      </c>
    </row>
    <row r="51" spans="1:30" s="17" customFormat="1" ht="25.8" customHeight="1" x14ac:dyDescent="0.3">
      <c r="A51" s="83" t="s">
        <v>51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5"/>
      <c r="R51" s="109" t="s">
        <v>52</v>
      </c>
      <c r="S51" s="110"/>
      <c r="T51" s="111"/>
      <c r="U51" s="143" t="s">
        <v>53</v>
      </c>
      <c r="V51" s="144"/>
      <c r="W51" s="144"/>
      <c r="X51" s="144"/>
      <c r="Y51" s="144"/>
      <c r="Z51" s="145"/>
      <c r="AA51" s="57"/>
      <c r="AB51" s="10">
        <v>16</v>
      </c>
      <c r="AC51" s="11">
        <v>1.0019</v>
      </c>
      <c r="AD51" s="36" t="str">
        <f t="shared" si="0"/>
        <v/>
      </c>
    </row>
    <row r="52" spans="1:30" s="17" customFormat="1" ht="15.6" customHeight="1" x14ac:dyDescent="0.3">
      <c r="A52" s="77" t="s">
        <v>54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9"/>
      <c r="R52" s="109" t="s">
        <v>55</v>
      </c>
      <c r="S52" s="110"/>
      <c r="T52" s="111"/>
      <c r="U52" s="93" t="s">
        <v>56</v>
      </c>
      <c r="V52" s="94"/>
      <c r="W52" s="94"/>
      <c r="X52" s="94"/>
      <c r="Y52" s="94"/>
      <c r="Z52" s="95"/>
      <c r="AA52" s="57"/>
      <c r="AB52" s="10">
        <v>17</v>
      </c>
      <c r="AC52" s="11">
        <v>1.0017</v>
      </c>
      <c r="AD52" s="36" t="str">
        <f t="shared" si="0"/>
        <v/>
      </c>
    </row>
    <row r="53" spans="1:30" s="17" customFormat="1" ht="15.6" customHeight="1" x14ac:dyDescent="0.3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2"/>
      <c r="R53" s="109"/>
      <c r="S53" s="110"/>
      <c r="T53" s="111"/>
      <c r="U53" s="96"/>
      <c r="V53" s="86"/>
      <c r="W53" s="86"/>
      <c r="X53" s="86"/>
      <c r="Y53" s="86"/>
      <c r="Z53" s="97"/>
      <c r="AA53" s="57"/>
      <c r="AB53" s="10">
        <v>18</v>
      </c>
      <c r="AC53" s="11">
        <v>1.0016</v>
      </c>
      <c r="AD53" s="36" t="str">
        <f t="shared" si="0"/>
        <v/>
      </c>
    </row>
    <row r="54" spans="1:30" s="17" customFormat="1" ht="15.6" customHeight="1" x14ac:dyDescent="0.25">
      <c r="A54" s="38" t="s">
        <v>57</v>
      </c>
      <c r="B54" s="49" t="s">
        <v>58</v>
      </c>
      <c r="C54" s="1"/>
      <c r="D54" s="1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39"/>
      <c r="R54" s="109"/>
      <c r="S54" s="110"/>
      <c r="T54" s="111"/>
      <c r="U54" s="98"/>
      <c r="V54" s="99"/>
      <c r="W54" s="99"/>
      <c r="X54" s="99"/>
      <c r="Y54" s="99"/>
      <c r="Z54" s="100"/>
      <c r="AB54" s="10">
        <v>19</v>
      </c>
      <c r="AC54" s="11">
        <v>1.0014000000000001</v>
      </c>
      <c r="AD54" s="36">
        <f t="shared" si="0"/>
        <v>1.0014000000000001</v>
      </c>
    </row>
    <row r="55" spans="1:30" s="17" customFormat="1" ht="15.6" customHeight="1" x14ac:dyDescent="0.25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5"/>
      <c r="R55" s="109" t="s">
        <v>59</v>
      </c>
      <c r="S55" s="110"/>
      <c r="T55" s="111"/>
      <c r="U55" s="68"/>
      <c r="V55" s="69"/>
      <c r="W55" s="69"/>
      <c r="X55" s="69"/>
      <c r="Y55" s="69"/>
      <c r="Z55" s="70"/>
      <c r="AB55" s="10">
        <v>20</v>
      </c>
      <c r="AC55" s="11">
        <v>1.0012000000000001</v>
      </c>
      <c r="AD55" s="36" t="str">
        <f t="shared" si="0"/>
        <v/>
      </c>
    </row>
    <row r="56" spans="1:30" s="17" customFormat="1" ht="15.6" customHeight="1" x14ac:dyDescent="0.25">
      <c r="A56" s="103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5"/>
      <c r="R56" s="109"/>
      <c r="S56" s="110"/>
      <c r="T56" s="111"/>
      <c r="U56" s="71"/>
      <c r="V56" s="86"/>
      <c r="W56" s="86"/>
      <c r="X56" s="86"/>
      <c r="Y56" s="86"/>
      <c r="Z56" s="72"/>
      <c r="AB56" s="10">
        <v>21</v>
      </c>
      <c r="AC56" s="37">
        <v>1.0009999999999999</v>
      </c>
      <c r="AD56" s="36" t="str">
        <f t="shared" si="0"/>
        <v/>
      </c>
    </row>
    <row r="57" spans="1:30" s="17" customFormat="1" ht="15.6" customHeight="1" x14ac:dyDescent="0.25">
      <c r="A57" s="103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5"/>
      <c r="R57" s="109"/>
      <c r="S57" s="110"/>
      <c r="T57" s="111"/>
      <c r="U57" s="71"/>
      <c r="V57" s="86"/>
      <c r="W57" s="86"/>
      <c r="X57" s="86"/>
      <c r="Y57" s="86"/>
      <c r="Z57" s="72"/>
      <c r="AB57" s="10">
        <v>22</v>
      </c>
      <c r="AC57" s="11">
        <v>1.0006999999999999</v>
      </c>
      <c r="AD57" s="36" t="str">
        <f t="shared" si="0"/>
        <v/>
      </c>
    </row>
    <row r="58" spans="1:30" s="17" customFormat="1" ht="15.6" customHeight="1" x14ac:dyDescent="0.25">
      <c r="A58" s="106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8"/>
      <c r="R58" s="112"/>
      <c r="S58" s="113"/>
      <c r="T58" s="114"/>
      <c r="U58" s="54"/>
      <c r="V58" s="55"/>
      <c r="W58" s="55"/>
      <c r="X58" s="55"/>
      <c r="Y58" s="55"/>
      <c r="Z58" s="56"/>
      <c r="AB58" s="10">
        <v>23</v>
      </c>
      <c r="AC58" s="11">
        <v>1.0004999999999999</v>
      </c>
      <c r="AD58" s="36" t="str">
        <f t="shared" si="0"/>
        <v/>
      </c>
    </row>
    <row r="59" spans="1:30" ht="12.75" customHeight="1" x14ac:dyDescent="0.25">
      <c r="AB59" s="10">
        <v>24</v>
      </c>
      <c r="AC59" s="11">
        <v>1.0003</v>
      </c>
      <c r="AD59" s="36" t="str">
        <f t="shared" si="0"/>
        <v/>
      </c>
    </row>
    <row r="60" spans="1:30" ht="12.75" customHeight="1" x14ac:dyDescent="0.25">
      <c r="AB60" s="10">
        <v>25</v>
      </c>
      <c r="AC60" s="37">
        <v>1</v>
      </c>
      <c r="AD60" s="36" t="str">
        <f t="shared" si="0"/>
        <v/>
      </c>
    </row>
    <row r="61" spans="1:30" ht="12.75" customHeight="1" x14ac:dyDescent="0.25">
      <c r="AB61" s="10">
        <v>26</v>
      </c>
      <c r="AC61" s="11">
        <v>0.99970000000000003</v>
      </c>
      <c r="AD61" s="36" t="str">
        <f t="shared" si="0"/>
        <v/>
      </c>
    </row>
    <row r="62" spans="1:30" ht="12.75" customHeight="1" x14ac:dyDescent="0.25">
      <c r="AB62" s="10">
        <v>27</v>
      </c>
      <c r="AC62" s="11">
        <v>0.99950000000000006</v>
      </c>
      <c r="AD62" s="36" t="str">
        <f t="shared" si="0"/>
        <v/>
      </c>
    </row>
    <row r="63" spans="1:30" ht="12.75" customHeight="1" x14ac:dyDescent="0.25">
      <c r="AB63" s="10">
        <v>28</v>
      </c>
      <c r="AC63" s="11">
        <v>0.99919999999999998</v>
      </c>
      <c r="AD63" s="36" t="str">
        <f t="shared" si="0"/>
        <v/>
      </c>
    </row>
    <row r="64" spans="1:30" ht="12.75" customHeight="1" x14ac:dyDescent="0.25">
      <c r="AB64" s="10">
        <v>29</v>
      </c>
      <c r="AC64" s="11">
        <v>0.99890000000000001</v>
      </c>
      <c r="AD64" s="36" t="str">
        <f t="shared" si="0"/>
        <v/>
      </c>
    </row>
    <row r="65" spans="28:30" ht="12.75" customHeight="1" x14ac:dyDescent="0.25">
      <c r="AB65" s="14">
        <v>30</v>
      </c>
      <c r="AC65" s="15">
        <v>0.99860000000000004</v>
      </c>
      <c r="AD65" s="40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58"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G10"/>
    <mergeCell ref="H12:M12"/>
    <mergeCell ref="S11:Y11"/>
    <mergeCell ref="B12:G12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B27:E29"/>
    <mergeCell ref="B18:H18"/>
    <mergeCell ref="B17:H17"/>
    <mergeCell ref="E35:G35"/>
    <mergeCell ref="N35:P35"/>
    <mergeCell ref="S12:Y12"/>
    <mergeCell ref="T32:V34"/>
    <mergeCell ref="W32:Y34"/>
    <mergeCell ref="Q35:S35"/>
    <mergeCell ref="I17:Y17"/>
    <mergeCell ref="I18:Y18"/>
    <mergeCell ref="Q46:S46"/>
    <mergeCell ref="W46:Y46"/>
    <mergeCell ref="H46:J46"/>
    <mergeCell ref="K46:M46"/>
    <mergeCell ref="N46:P46"/>
    <mergeCell ref="Q36:S36"/>
    <mergeCell ref="T36:V36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32:G34"/>
    <mergeCell ref="H32:J34"/>
    <mergeCell ref="K32:M34"/>
    <mergeCell ref="N32:P34"/>
    <mergeCell ref="Q32:S34"/>
    <mergeCell ref="A52:Q53"/>
    <mergeCell ref="A51:Q51"/>
    <mergeCell ref="V56:Y57"/>
    <mergeCell ref="AB32:AB34"/>
    <mergeCell ref="AC32:AC34"/>
    <mergeCell ref="U52:Z54"/>
    <mergeCell ref="T35:V35"/>
    <mergeCell ref="W35:Y35"/>
    <mergeCell ref="B46:D46"/>
    <mergeCell ref="E46:G46"/>
    <mergeCell ref="T46:V46"/>
    <mergeCell ref="A55:Q58"/>
    <mergeCell ref="R52:T54"/>
    <mergeCell ref="R55:T58"/>
    <mergeCell ref="H35:J35"/>
    <mergeCell ref="K35:M35"/>
    <mergeCell ref="R51:T51"/>
    <mergeCell ref="U50:Z50"/>
    <mergeCell ref="U51:Z51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B36:D36"/>
    <mergeCell ref="E36:G36"/>
    <mergeCell ref="H36:J36"/>
    <mergeCell ref="K36:M36"/>
    <mergeCell ref="N36:P36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39:Y39"/>
    <mergeCell ref="B38:D38"/>
    <mergeCell ref="E38:G38"/>
    <mergeCell ref="H38:J38"/>
    <mergeCell ref="K38:M38"/>
    <mergeCell ref="N38:P38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1:Y41"/>
    <mergeCell ref="B40:D40"/>
    <mergeCell ref="E40:G40"/>
    <mergeCell ref="H40:J40"/>
    <mergeCell ref="K40:M40"/>
    <mergeCell ref="N40:P40"/>
  </mergeCells>
  <phoneticPr fontId="14" type="noConversion"/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080125 GB4</vt:lpstr>
      <vt:lpstr>171224 GB4</vt:lpstr>
      <vt:lpstr>'080125 GB4'!Zone_d_impression</vt:lpstr>
      <vt:lpstr>'171224 GB4'!Zone_d_impression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2025-01-09T08:16:41Z</cp:lastPrinted>
  <dcterms:created xsi:type="dcterms:W3CDTF">2004-11-13T18:13:05Z</dcterms:created>
  <dcterms:modified xsi:type="dcterms:W3CDTF">2025-01-09T08:17:33Z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