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01\RA M1AK  CD01 - Entretien RD Val Saône Bresse\Essais de Laboratoire\"/>
    </mc:Choice>
  </mc:AlternateContent>
  <xr:revisionPtr revIDLastSave="0" documentId="13_ncr:1_{8679AFCA-4A42-40FC-8EF3-DF62CA3872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80425 BBSG Foissiat RD01" sheetId="9" r:id="rId1"/>
  </sheets>
  <definedNames>
    <definedName name="_xlnm.Print_Area" localSheetId="0">'080425 BBSG Foissiat RD01'!$A$1:$Z$79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66" i="9" l="1"/>
  <c r="R66" i="9"/>
  <c r="L68" i="9" l="1"/>
  <c r="L69" i="9"/>
  <c r="U66" i="9" l="1"/>
  <c r="W66" i="9"/>
  <c r="AD65" i="9" l="1"/>
  <c r="AE65" i="9" s="1"/>
  <c r="AD67" i="9"/>
  <c r="AD61" i="9"/>
  <c r="AD62" i="9"/>
  <c r="AD63" i="9"/>
  <c r="AD60" i="9"/>
  <c r="AB66" i="9" l="1"/>
  <c r="AB63" i="9"/>
  <c r="AE63" i="9" s="1"/>
  <c r="AB62" i="9"/>
  <c r="AE62" i="9" s="1"/>
  <c r="AB61" i="9"/>
  <c r="AE61" i="9" s="1"/>
  <c r="AB60" i="9"/>
  <c r="AB67" i="9"/>
  <c r="W69" i="9"/>
  <c r="W68" i="9"/>
  <c r="Y62" i="9"/>
  <c r="AE67" i="9" l="1"/>
  <c r="Y67" i="9" s="1"/>
  <c r="AE60" i="9"/>
  <c r="Y60" i="9" s="1"/>
  <c r="Y61" i="9"/>
  <c r="Y63" i="9"/>
  <c r="J69" i="9"/>
  <c r="J68" i="9"/>
  <c r="E69" i="9"/>
  <c r="E68" i="9"/>
  <c r="Y66" i="9" l="1"/>
  <c r="J66" i="9"/>
  <c r="P66" i="9"/>
  <c r="E66" i="9"/>
  <c r="F66" i="9"/>
  <c r="G66" i="9"/>
  <c r="H66" i="9"/>
  <c r="I66" i="9"/>
  <c r="K66" i="9"/>
  <c r="L66" i="9"/>
  <c r="M66" i="9"/>
  <c r="N66" i="9"/>
  <c r="O66" i="9"/>
  <c r="S66" i="9"/>
  <c r="T66" i="9"/>
  <c r="AD66" i="9" l="1"/>
  <c r="AE66" i="9" s="1"/>
</calcChain>
</file>

<file path=xl/sharedStrings.xml><?xml version="1.0" encoding="utf-8"?>
<sst xmlns="http://schemas.openxmlformats.org/spreadsheetml/2006/main" count="68" uniqueCount="67">
  <si>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</si>
  <si>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</si>
  <si>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</si>
  <si>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</si>
  <si>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</si>
  <si>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</si>
  <si>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</si>
  <si>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</si>
  <si>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</si>
  <si>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</si>
  <si>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</si>
  <si>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</si>
  <si>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</si>
  <si>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</si>
  <si>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</si>
  <si>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</si>
  <si>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</si>
  <si>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</si>
  <si>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</si>
  <si>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</si>
  <si>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</si>
  <si>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</si>
  <si>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</si>
  <si>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</si>
  <si>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</si>
  <si>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</si>
  <si>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</si>
  <si>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</si>
  <si>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</si>
  <si>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</si>
  <si>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</si>
  <si>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</si>
  <si>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</si>
  <si>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</si>
  <si>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</si>
  <si>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</si>
  <si>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</si>
  <si>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</si>
  <si>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</si>
  <si>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</si>
  <si>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</si>
  <si>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</si>
  <si>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</si>
  <si>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</si>
  <si>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</si>
  <si>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</si>
  <si>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</si>
  <si>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</si>
  <si>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</si>
  <si>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</si>
  <si>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</si>
  <si>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Fonction</t>
  </si>
  <si>
    <t>CD01
Entretien RD
Val Saône Bresse</t>
  </si>
  <si>
    <t>RA M1KA</t>
  </si>
  <si>
    <t>Sylvain LHOPITAL</t>
  </si>
  <si>
    <t>09/04/2025</t>
  </si>
  <si>
    <t>08/04/2025</t>
  </si>
  <si>
    <t>SEG Chêne en Semine</t>
  </si>
  <si>
    <t>Foissiat RD01 Chamandre</t>
  </si>
  <si>
    <t>100PA20</t>
  </si>
  <si>
    <t>Roulement</t>
  </si>
  <si>
    <t>10:40</t>
  </si>
  <si>
    <t>11:15</t>
  </si>
  <si>
    <t>Chef de Section Laboratoire</t>
  </si>
  <si>
    <t>BBSG 0/10 Classe 3 R20</t>
  </si>
  <si>
    <t>EB 10 ROUL 50/70 20%AE</t>
  </si>
  <si>
    <t>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</si>
</sst>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/>
  </cellStyleXfs>
  <cellXfs count="27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164" fontId="20" fillId="0" borderId="63" xfId="0" applyNumberFormat="1" applyFont="1" applyBorder="1" applyAlignment="1">
      <alignment horizontal="center" vertical="center" wrapText="1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164" fontId="20" fillId="0" borderId="63" xfId="0" applyNumberFormat="1" applyFont="1" applyBorder="1" applyAlignment="1" applyProtection="1">
      <alignment horizontal="center" vertical="center"/>
      <protection locked="0"/>
    </xf>
    <xf numFmtId="164" fontId="20" fillId="0" borderId="6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2" fontId="20" fillId="0" borderId="60" xfId="0" applyNumberFormat="1" applyFont="1" applyBorder="1" applyAlignment="1" applyProtection="1">
      <alignment horizontal="center" vertical="center"/>
      <protection locked="0"/>
    </xf>
    <xf numFmtId="2" fontId="20" fillId="0" borderId="62" xfId="0" applyNumberFormat="1" applyFont="1" applyBorder="1" applyAlignment="1" applyProtection="1">
      <alignment horizontal="center" vertical="center"/>
      <protection locked="0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9" fillId="0" borderId="60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left" vertical="center"/>
    </xf>
    <xf numFmtId="0" fontId="22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14" fontId="22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164" fontId="20" fillId="0" borderId="64" xfId="0" applyNumberFormat="1" applyFont="1" applyBorder="1" applyAlignment="1" applyProtection="1">
      <alignment horizontal="center" vertical="center"/>
      <protection locked="0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1" fillId="0" borderId="65" xfId="0" applyFont="1" applyBorder="1" applyAlignment="1" applyProtection="1">
      <alignment horizontal="center" vertical="center" wrapText="1"/>
      <protection locked="0"/>
    </xf>
    <xf numFmtId="0" fontId="21" fillId="0" borderId="66" xfId="0" applyFont="1" applyBorder="1" applyAlignment="1" applyProtection="1">
      <alignment horizontal="center" vertical="center" wrapText="1"/>
      <protection locked="0"/>
    </xf>
    <xf numFmtId="0" fontId="21" fillId="0" borderId="67" xfId="0" applyFont="1" applyBorder="1" applyAlignment="1" applyProtection="1">
      <alignment horizontal="center" vertical="center" wrapText="1"/>
      <protection locked="0"/>
    </xf>
    <xf numFmtId="0" fontId="21" fillId="0" borderId="68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60" xfId="0" applyFont="1" applyBorder="1" applyAlignment="1" applyProtection="1">
      <alignment horizontal="center" vertical="center" wrapText="1"/>
      <protection locked="0"/>
    </xf>
    <xf numFmtId="0" fontId="21" fillId="0" borderId="61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'080425 BBSG Foissiat RD01'!$E$59:$O$59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'080425 BBSG Foissiat RD01'!$E$66:$O$66</c:f>
              <c:numCache>
                <c:formatCode>0.0</c:formatCode>
                <c:ptCount val="11"/>
                <c:pt idx="0">
                  <c:v>7.85</c:v>
                </c:pt>
                <c:pt idx="1">
                  <c:v>9.9499999999999993</c:v>
                </c:pt>
                <c:pt idx="2">
                  <c:v>12.8</c:v>
                </c:pt>
                <c:pt idx="3">
                  <c:v>16.399999999999999</c:v>
                </c:pt>
                <c:pt idx="4">
                  <c:v>21.8</c:v>
                </c:pt>
                <c:pt idx="5">
                  <c:v>31.849999999999998</c:v>
                </c:pt>
                <c:pt idx="6">
                  <c:v>47.05</c:v>
                </c:pt>
                <c:pt idx="7">
                  <c:v>63.3</c:v>
                </c:pt>
                <c:pt idx="8">
                  <c:v>79.8</c:v>
                </c:pt>
                <c:pt idx="9">
                  <c:v>95.45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'080425 BBSG Foissiat RD01'!$E$59:$W$59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'080425 BBSG Foissiat RD01'!$E$67:$W$67</c:f>
              <c:numCache>
                <c:formatCode>0.0</c:formatCode>
                <c:ptCount val="19"/>
                <c:pt idx="0">
                  <c:v>7.1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46</c:v>
                </c:pt>
                <c:pt idx="7">
                  <c:v>64</c:v>
                </c:pt>
                <c:pt idx="8">
                  <c:v>80</c:v>
                </c:pt>
                <c:pt idx="9">
                  <c:v>95</c:v>
                </c:pt>
                <c:pt idx="1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'080425 BBSG Foissiat RD01'!$E$59:$W$59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'080425 BBSG Foissiat RD01'!$E$65:$W$65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'080425 BBSG Foissiat RD01'!$E$59:$W$59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'080425 BBSG Foissiat RD01'!$E$69:$W$69</c:f>
              <c:numCache>
                <c:formatCode>0.0</c:formatCode>
                <c:ptCount val="19"/>
                <c:pt idx="0">
                  <c:v>5.0999999999999996</c:v>
                </c:pt>
                <c:pt idx="5">
                  <c:v>26</c:v>
                </c:pt>
                <c:pt idx="7">
                  <c:v>57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'080425 BBSG Foissiat RD01'!$E$59:$W$59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'080425 BBSG Foissiat RD01'!$E$68:$W$68</c:f>
              <c:numCache>
                <c:formatCode>0.0</c:formatCode>
                <c:ptCount val="19"/>
                <c:pt idx="0">
                  <c:v>9.1</c:v>
                </c:pt>
                <c:pt idx="5">
                  <c:v>38</c:v>
                </c:pt>
                <c:pt idx="7">
                  <c:v>71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25</xdr:row>
      <xdr:rowOff>0</xdr:rowOff>
    </xdr:from>
    <xdr:to>
      <xdr:col>25</xdr:col>
      <xdr:colOff>167640</xdr:colOff>
      <xdr:row>55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9"/>
  <sheetViews>
    <sheetView tabSelected="1" topLeftCell="A60" zoomScaleNormal="100" workbookViewId="0">
      <selection activeCell="AD82" sqref="AD8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41"/>
      <c r="B1" s="242"/>
      <c r="C1" s="242"/>
      <c r="D1" s="242"/>
      <c r="E1" s="242"/>
      <c r="F1" s="243"/>
      <c r="G1" s="250" t="s">
        <v>33</v>
      </c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2"/>
      <c r="U1" s="253" t="s">
        <v>52</v>
      </c>
      <c r="V1" s="254"/>
      <c r="W1" s="254"/>
      <c r="X1" s="254"/>
      <c r="Y1" s="254"/>
      <c r="Z1" s="255"/>
      <c r="AA1" s="78"/>
    </row>
    <row r="2" spans="1:36" ht="12.6" customHeight="1" x14ac:dyDescent="0.25">
      <c r="A2" s="244"/>
      <c r="B2" s="245"/>
      <c r="C2" s="245"/>
      <c r="D2" s="245"/>
      <c r="E2" s="245"/>
      <c r="F2" s="246"/>
      <c r="G2" s="261" t="s">
        <v>39</v>
      </c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3"/>
      <c r="U2" s="256"/>
      <c r="V2" s="257"/>
      <c r="W2" s="257"/>
      <c r="X2" s="257"/>
      <c r="Y2" s="257"/>
      <c r="Z2" s="258"/>
      <c r="AA2" s="78"/>
    </row>
    <row r="3" spans="1:36" ht="12.6" customHeight="1" x14ac:dyDescent="0.25">
      <c r="A3" s="244"/>
      <c r="B3" s="245"/>
      <c r="C3" s="245"/>
      <c r="D3" s="245"/>
      <c r="E3" s="245"/>
      <c r="F3" s="246"/>
      <c r="G3" s="264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3"/>
      <c r="U3" s="256"/>
      <c r="V3" s="257"/>
      <c r="W3" s="257"/>
      <c r="X3" s="257"/>
      <c r="Y3" s="257"/>
      <c r="Z3" s="258"/>
      <c r="AA3" s="78"/>
    </row>
    <row r="4" spans="1:36" ht="12.6" customHeight="1" x14ac:dyDescent="0.25">
      <c r="A4" s="244"/>
      <c r="B4" s="245"/>
      <c r="C4" s="245"/>
      <c r="D4" s="245"/>
      <c r="E4" s="245"/>
      <c r="F4" s="246"/>
      <c r="G4" s="264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3"/>
      <c r="U4" s="256"/>
      <c r="V4" s="257"/>
      <c r="W4" s="257"/>
      <c r="X4" s="257"/>
      <c r="Y4" s="257"/>
      <c r="Z4" s="258"/>
      <c r="AA4" s="78"/>
    </row>
    <row r="5" spans="1:36" ht="12.6" customHeight="1" x14ac:dyDescent="0.25">
      <c r="A5" s="244"/>
      <c r="B5" s="245"/>
      <c r="C5" s="245"/>
      <c r="D5" s="245"/>
      <c r="E5" s="245"/>
      <c r="F5" s="246"/>
      <c r="G5" s="264" t="s">
        <v>40</v>
      </c>
      <c r="H5" s="262"/>
      <c r="I5" s="2" t="s">
        <v>34</v>
      </c>
      <c r="J5" s="226">
        <v>1</v>
      </c>
      <c r="K5" s="265"/>
      <c r="L5" s="266" t="s">
        <v>53</v>
      </c>
      <c r="M5" s="226"/>
      <c r="N5" s="226"/>
      <c r="O5" s="265"/>
      <c r="P5" s="267">
        <v>45756</v>
      </c>
      <c r="Q5" s="268"/>
      <c r="R5" s="268"/>
      <c r="S5" s="268"/>
      <c r="T5" s="269"/>
      <c r="U5" s="256"/>
      <c r="V5" s="257"/>
      <c r="W5" s="257"/>
      <c r="X5" s="257"/>
      <c r="Y5" s="257"/>
      <c r="Z5" s="258"/>
      <c r="AA5" s="78"/>
    </row>
    <row r="6" spans="1:36" ht="12.6" customHeight="1" x14ac:dyDescent="0.25">
      <c r="A6" s="247"/>
      <c r="B6" s="248"/>
      <c r="C6" s="248"/>
      <c r="D6" s="248"/>
      <c r="E6" s="248"/>
      <c r="F6" s="249"/>
      <c r="G6" s="3"/>
      <c r="H6" s="4"/>
      <c r="I6" s="4"/>
      <c r="J6" s="270" t="s">
        <v>35</v>
      </c>
      <c r="K6" s="270"/>
      <c r="L6" s="270" t="s">
        <v>36</v>
      </c>
      <c r="M6" s="270"/>
      <c r="N6" s="270"/>
      <c r="O6" s="270"/>
      <c r="P6" s="270" t="s">
        <v>37</v>
      </c>
      <c r="Q6" s="270"/>
      <c r="R6" s="270"/>
      <c r="S6" s="270"/>
      <c r="T6" s="271"/>
      <c r="U6" s="259"/>
      <c r="V6" s="260"/>
      <c r="W6" s="260"/>
      <c r="X6" s="260"/>
      <c r="Y6" s="260"/>
      <c r="Z6" s="260"/>
      <c r="AA6" s="78"/>
    </row>
    <row r="7" spans="1:36" ht="36.6" customHeight="1" x14ac:dyDescent="0.25">
      <c r="A7" s="272" t="s">
        <v>38</v>
      </c>
      <c r="B7" s="272"/>
      <c r="C7" s="272"/>
      <c r="D7" s="272"/>
      <c r="E7" s="272"/>
      <c r="F7" s="272"/>
      <c r="G7" s="273" t="s">
        <v>32</v>
      </c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174" t="s">
        <v>27</v>
      </c>
      <c r="C10" s="174"/>
      <c r="D10" s="174"/>
      <c r="E10" s="174"/>
      <c r="F10" s="174"/>
      <c r="G10" s="175" t="s">
        <v>54</v>
      </c>
      <c r="H10" s="175"/>
      <c r="I10" s="175"/>
      <c r="J10" s="175"/>
      <c r="K10" s="175"/>
      <c r="L10" s="175"/>
      <c r="M10" s="174" t="s">
        <v>30</v>
      </c>
      <c r="N10" s="174"/>
      <c r="O10" s="174"/>
      <c r="P10" s="174"/>
      <c r="Q10" s="174"/>
      <c r="R10" s="174"/>
      <c r="S10" s="173" t="s">
        <v>57</v>
      </c>
      <c r="T10" s="173"/>
      <c r="U10" s="173"/>
      <c r="V10" s="173"/>
      <c r="W10" s="173"/>
      <c r="X10" s="173"/>
      <c r="Y10" s="173"/>
      <c r="Z10" s="17"/>
      <c r="AA10" s="75"/>
      <c r="AB10" s="12"/>
      <c r="AC10" s="12"/>
      <c r="AD10" s="12"/>
      <c r="AE10" s="117"/>
      <c r="AF10" s="117"/>
      <c r="AG10" s="117"/>
      <c r="AH10" s="117"/>
      <c r="AI10" s="117"/>
    </row>
    <row r="11" spans="1:36" ht="15.9" customHeight="1" x14ac:dyDescent="0.25">
      <c r="A11" s="13"/>
      <c r="B11" s="174" t="s">
        <v>6</v>
      </c>
      <c r="C11" s="174"/>
      <c r="D11" s="174"/>
      <c r="E11" s="174"/>
      <c r="F11" s="174"/>
      <c r="G11" s="175" t="s">
        <v>55</v>
      </c>
      <c r="H11" s="175"/>
      <c r="I11" s="175"/>
      <c r="J11" s="175"/>
      <c r="K11" s="175"/>
      <c r="L11" s="175"/>
      <c r="M11" s="174" t="s">
        <v>44</v>
      </c>
      <c r="N11" s="174"/>
      <c r="O11" s="174"/>
      <c r="P11" s="174"/>
      <c r="Q11" s="174"/>
      <c r="R11" s="174"/>
      <c r="S11" s="173" t="s">
        <v>58</v>
      </c>
      <c r="T11" s="173"/>
      <c r="U11" s="173"/>
      <c r="V11" s="173"/>
      <c r="W11" s="173"/>
      <c r="X11" s="173"/>
      <c r="Y11" s="173"/>
      <c r="Z11" s="17"/>
      <c r="AA11" s="75"/>
      <c r="AB11" s="12"/>
      <c r="AC11" s="12"/>
      <c r="AD11" s="12"/>
      <c r="AE11" s="117"/>
      <c r="AF11" s="117"/>
      <c r="AG11" s="117"/>
      <c r="AH11" s="117"/>
      <c r="AI11" s="117"/>
    </row>
    <row r="12" spans="1:36" ht="15.9" customHeight="1" x14ac:dyDescent="0.25">
      <c r="A12" s="13"/>
      <c r="B12" s="174" t="s">
        <v>28</v>
      </c>
      <c r="C12" s="174"/>
      <c r="D12" s="174"/>
      <c r="E12" s="174"/>
      <c r="F12" s="174"/>
      <c r="G12" s="175" t="s">
        <v>56</v>
      </c>
      <c r="H12" s="175"/>
      <c r="I12" s="175"/>
      <c r="J12" s="175"/>
      <c r="K12" s="175"/>
      <c r="L12" s="175"/>
      <c r="M12" s="172" t="s">
        <v>43</v>
      </c>
      <c r="N12" s="172"/>
      <c r="O12" s="172"/>
      <c r="P12" s="172"/>
      <c r="Q12" s="172"/>
      <c r="R12" s="172"/>
      <c r="S12" s="173" t="s">
        <v>59</v>
      </c>
      <c r="T12" s="173"/>
      <c r="U12" s="173"/>
      <c r="V12" s="173"/>
      <c r="W12" s="173"/>
      <c r="X12" s="173"/>
      <c r="Y12" s="173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74" t="s">
        <v>41</v>
      </c>
      <c r="C13" s="274"/>
      <c r="D13" s="274"/>
      <c r="E13" s="274"/>
      <c r="F13" s="274"/>
      <c r="G13" s="175" t="s">
        <v>65</v>
      </c>
      <c r="H13" s="175"/>
      <c r="I13" s="175"/>
      <c r="J13" s="175"/>
      <c r="K13" s="175"/>
      <c r="L13" s="175"/>
      <c r="M13" s="174" t="s">
        <v>29</v>
      </c>
      <c r="N13" s="174"/>
      <c r="O13" s="174"/>
      <c r="P13" s="174"/>
      <c r="Q13" s="174"/>
      <c r="R13" s="174"/>
      <c r="S13" s="175" t="s">
        <v>60</v>
      </c>
      <c r="T13" s="175"/>
      <c r="U13" s="175"/>
      <c r="V13" s="175"/>
      <c r="W13" s="175"/>
      <c r="X13" s="175"/>
      <c r="Y13" s="175"/>
      <c r="Z13" s="17"/>
      <c r="AA13" s="75"/>
      <c r="AB13" s="12"/>
      <c r="AC13" s="12"/>
      <c r="AD13" s="12"/>
      <c r="AE13" s="117"/>
      <c r="AF13" s="117"/>
      <c r="AG13" s="117"/>
      <c r="AH13" s="117"/>
      <c r="AI13" s="117"/>
      <c r="AJ13" s="117"/>
    </row>
    <row r="14" spans="1:36" ht="15.9" customHeight="1" x14ac:dyDescent="0.25">
      <c r="A14" s="18"/>
      <c r="B14" s="174" t="s">
        <v>42</v>
      </c>
      <c r="C14" s="174"/>
      <c r="D14" s="174"/>
      <c r="E14" s="174"/>
      <c r="F14" s="174"/>
      <c r="G14" s="175" t="s">
        <v>64</v>
      </c>
      <c r="H14" s="175"/>
      <c r="I14" s="175"/>
      <c r="J14" s="175"/>
      <c r="K14" s="175"/>
      <c r="L14" s="175"/>
      <c r="M14" s="176" t="s">
        <v>26</v>
      </c>
      <c r="N14" s="176"/>
      <c r="O14" s="176"/>
      <c r="P14" s="176"/>
      <c r="Q14" s="176"/>
      <c r="R14" s="176"/>
      <c r="S14" s="176" t="s">
        <v>49</v>
      </c>
      <c r="T14" s="176"/>
      <c r="U14" s="176"/>
      <c r="V14" s="176"/>
      <c r="W14" s="176"/>
      <c r="X14" s="176"/>
      <c r="Y14" s="176"/>
      <c r="Z14" s="19"/>
      <c r="AA14" s="12"/>
      <c r="AB14" s="12"/>
      <c r="AC14" s="12"/>
      <c r="AD14" s="12"/>
      <c r="AE14" s="117"/>
      <c r="AF14" s="117"/>
      <c r="AG14" s="117"/>
      <c r="AH14" s="117"/>
      <c r="AI14" s="117"/>
      <c r="AJ14" s="117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7"/>
      <c r="AF15" s="117"/>
      <c r="AG15" s="117"/>
      <c r="AH15" s="117"/>
      <c r="AI15" s="117"/>
      <c r="AJ15" s="117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7"/>
      <c r="AF16" s="117"/>
      <c r="AG16" s="117"/>
      <c r="AH16" s="117"/>
      <c r="AI16" s="117"/>
      <c r="AJ16" s="117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174" t="s">
        <v>19</v>
      </c>
      <c r="C19" s="174"/>
      <c r="D19" s="174"/>
      <c r="E19" s="174"/>
      <c r="F19" s="174"/>
      <c r="G19" s="174"/>
      <c r="H19" s="174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17"/>
      <c r="AA19" s="75"/>
      <c r="AE19" s="20"/>
      <c r="AI19" s="20"/>
    </row>
    <row r="20" spans="1:40" ht="15.9" customHeight="1" x14ac:dyDescent="0.25">
      <c r="A20" s="13"/>
      <c r="B20" s="174" t="s">
        <v>20</v>
      </c>
      <c r="C20" s="174"/>
      <c r="D20" s="174"/>
      <c r="E20" s="174"/>
      <c r="F20" s="174"/>
      <c r="G20" s="174"/>
      <c r="H20" s="174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222" t="s">
        <v>16</v>
      </c>
      <c r="AE56" s="224"/>
      <c r="AF56" s="202"/>
      <c r="AG56" s="201"/>
      <c r="AH56" s="39"/>
    </row>
    <row r="57" spans="1:34" ht="12.75" customHeight="1" thickBot="1" x14ac:dyDescent="0.3">
      <c r="A57" s="18"/>
      <c r="Z57" s="87"/>
      <c r="AD57" s="223"/>
      <c r="AE57" s="225"/>
      <c r="AF57" s="204"/>
      <c r="AG57" s="201"/>
    </row>
    <row r="58" spans="1:34" ht="18.75" customHeight="1" thickBot="1" x14ac:dyDescent="0.3">
      <c r="A58" s="18"/>
      <c r="E58" s="209" t="s">
        <v>11</v>
      </c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1" t="s">
        <v>47</v>
      </c>
      <c r="V58" s="212"/>
      <c r="W58" s="213" t="s">
        <v>12</v>
      </c>
      <c r="X58" s="212"/>
      <c r="Y58" s="214" t="s">
        <v>13</v>
      </c>
      <c r="Z58" s="215"/>
      <c r="AA58" s="82"/>
      <c r="AB58" s="218" t="s">
        <v>45</v>
      </c>
      <c r="AC58" s="219"/>
      <c r="AD58" s="205" t="s">
        <v>14</v>
      </c>
      <c r="AE58" s="207" t="s">
        <v>15</v>
      </c>
      <c r="AF58" s="202"/>
      <c r="AG58" s="202"/>
      <c r="AH58" s="40"/>
    </row>
    <row r="59" spans="1:34" ht="24.9" customHeight="1" thickBot="1" x14ac:dyDescent="0.3">
      <c r="A59" s="5"/>
      <c r="B59" s="41" t="s">
        <v>22</v>
      </c>
      <c r="C59" s="184" t="s">
        <v>10</v>
      </c>
      <c r="D59" s="185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159"/>
      <c r="V59" s="161"/>
      <c r="W59" s="160"/>
      <c r="X59" s="161"/>
      <c r="Y59" s="216"/>
      <c r="Z59" s="217"/>
      <c r="AA59" s="82"/>
      <c r="AB59" s="220"/>
      <c r="AC59" s="221"/>
      <c r="AD59" s="206"/>
      <c r="AE59" s="208"/>
      <c r="AF59" s="203"/>
      <c r="AG59" s="202"/>
    </row>
    <row r="60" spans="1:34" ht="24.9" customHeight="1" x14ac:dyDescent="0.25">
      <c r="A60" s="5"/>
      <c r="B60" s="43">
        <v>1</v>
      </c>
      <c r="C60" s="146" t="s">
        <v>61</v>
      </c>
      <c r="D60" s="147"/>
      <c r="E60" s="113">
        <v>7.9</v>
      </c>
      <c r="F60" s="114">
        <v>10</v>
      </c>
      <c r="G60" s="115">
        <v>13.1</v>
      </c>
      <c r="H60" s="115">
        <v>16.8</v>
      </c>
      <c r="I60" s="115">
        <v>22.3</v>
      </c>
      <c r="J60" s="115">
        <v>32.299999999999997</v>
      </c>
      <c r="K60" s="115">
        <v>46.9</v>
      </c>
      <c r="L60" s="115">
        <v>63.3</v>
      </c>
      <c r="M60" s="115">
        <v>79.599999999999994</v>
      </c>
      <c r="N60" s="115">
        <v>94.9</v>
      </c>
      <c r="O60" s="115">
        <v>100</v>
      </c>
      <c r="P60" s="115"/>
      <c r="Q60" s="115"/>
      <c r="R60" s="115"/>
      <c r="S60" s="116"/>
      <c r="T60" s="116"/>
      <c r="U60" s="195">
        <v>158</v>
      </c>
      <c r="V60" s="196"/>
      <c r="W60" s="122">
        <v>5.22</v>
      </c>
      <c r="X60" s="123"/>
      <c r="Y60" s="189">
        <f>IF(W60&lt;&gt;0,AE60,"")</f>
        <v>0</v>
      </c>
      <c r="Z60" s="190"/>
      <c r="AA60" s="80"/>
      <c r="AB60" s="168">
        <f>(100*W60)/(100-W60)</f>
        <v>5.5074910318632622</v>
      </c>
      <c r="AC60" s="169"/>
      <c r="AD60" s="67">
        <f>(0.25*(100-O60)+2.3*(O60-H60)+12*(H60-E60)+150*(E60))/100</f>
        <v>14.831599999999998</v>
      </c>
      <c r="AE60" s="68">
        <f>(AB60*$AE$56)/(2.65*(AD60)^(1/5))</f>
        <v>0</v>
      </c>
      <c r="AF60" s="29"/>
      <c r="AG60" s="66"/>
    </row>
    <row r="61" spans="1:34" ht="24.9" customHeight="1" x14ac:dyDescent="0.25">
      <c r="A61" s="5"/>
      <c r="B61" s="44">
        <v>2</v>
      </c>
      <c r="C61" s="146" t="s">
        <v>62</v>
      </c>
      <c r="D61" s="147"/>
      <c r="E61" s="113">
        <v>7.8</v>
      </c>
      <c r="F61" s="114">
        <v>9.9</v>
      </c>
      <c r="G61" s="115">
        <v>12.5</v>
      </c>
      <c r="H61" s="115">
        <v>16</v>
      </c>
      <c r="I61" s="115">
        <v>21.3</v>
      </c>
      <c r="J61" s="115">
        <v>31.4</v>
      </c>
      <c r="K61" s="115">
        <v>47.2</v>
      </c>
      <c r="L61" s="115">
        <v>63.3</v>
      </c>
      <c r="M61" s="115">
        <v>80</v>
      </c>
      <c r="N61" s="115">
        <v>96</v>
      </c>
      <c r="O61" s="115">
        <v>100</v>
      </c>
      <c r="P61" s="115"/>
      <c r="Q61" s="115"/>
      <c r="R61" s="115"/>
      <c r="S61" s="116"/>
      <c r="T61" s="116"/>
      <c r="U61" s="195">
        <v>170</v>
      </c>
      <c r="V61" s="196"/>
      <c r="W61" s="122">
        <v>4.97</v>
      </c>
      <c r="X61" s="123"/>
      <c r="Y61" s="191">
        <f>IF(W61&lt;&gt;0,AE61,"")</f>
        <v>0</v>
      </c>
      <c r="Z61" s="192"/>
      <c r="AA61" s="80"/>
      <c r="AB61" s="168">
        <f>(100*W61)/(100-W61)</f>
        <v>5.2299273913500999</v>
      </c>
      <c r="AC61" s="169"/>
      <c r="AD61" s="67">
        <f t="shared" ref="AD61:AD67" si="0">(0.25*(100-O61)+2.3*(O61-H61)+12*(H61-E61)+150*(E61))/100</f>
        <v>14.616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130"/>
      <c r="D62" s="199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3"/>
      <c r="U62" s="136"/>
      <c r="V62" s="137"/>
      <c r="W62" s="124"/>
      <c r="X62" s="125"/>
      <c r="Y62" s="191" t="str">
        <f t="shared" ref="Y62:Y63" si="2">IF(W62&lt;&gt;0,AE62,"")</f>
        <v/>
      </c>
      <c r="Z62" s="192"/>
      <c r="AA62" s="80"/>
      <c r="AB62" s="168">
        <f>(100*W62)/(100-W62)</f>
        <v>0</v>
      </c>
      <c r="AC62" s="1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132"/>
      <c r="D63" s="200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7"/>
      <c r="U63" s="197"/>
      <c r="V63" s="198"/>
      <c r="W63" s="126"/>
      <c r="X63" s="127"/>
      <c r="Y63" s="193" t="str">
        <f t="shared" si="2"/>
        <v/>
      </c>
      <c r="Z63" s="194"/>
      <c r="AA63" s="80"/>
      <c r="AB63" s="168">
        <f>(100*W63)/(100-W63)</f>
        <v>0</v>
      </c>
      <c r="AC63" s="1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186" t="s">
        <v>8</v>
      </c>
      <c r="C65" s="187"/>
      <c r="D65" s="188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47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165" t="s">
        <v>7</v>
      </c>
      <c r="C66" s="166"/>
      <c r="D66" s="167"/>
      <c r="E66" s="98">
        <f t="shared" ref="E66:T66" si="3">IF(E60&lt;&gt;0,AVERAGE(E60:E63),"")</f>
        <v>7.85</v>
      </c>
      <c r="F66" s="98">
        <f t="shared" si="3"/>
        <v>9.9499999999999993</v>
      </c>
      <c r="G66" s="98">
        <f t="shared" si="3"/>
        <v>12.8</v>
      </c>
      <c r="H66" s="98">
        <f t="shared" si="3"/>
        <v>16.399999999999999</v>
      </c>
      <c r="I66" s="98">
        <f t="shared" si="3"/>
        <v>21.8</v>
      </c>
      <c r="J66" s="98">
        <f t="shared" si="3"/>
        <v>31.849999999999998</v>
      </c>
      <c r="K66" s="98">
        <f t="shared" si="3"/>
        <v>47.05</v>
      </c>
      <c r="L66" s="98">
        <f t="shared" si="3"/>
        <v>63.3</v>
      </c>
      <c r="M66" s="98">
        <f t="shared" si="3"/>
        <v>79.8</v>
      </c>
      <c r="N66" s="98">
        <f t="shared" si="3"/>
        <v>95.45</v>
      </c>
      <c r="O66" s="98">
        <f t="shared" si="3"/>
        <v>100</v>
      </c>
      <c r="P66" s="98" t="str">
        <f t="shared" si="3"/>
        <v/>
      </c>
      <c r="Q66" s="98" t="str">
        <f t="shared" si="3"/>
        <v/>
      </c>
      <c r="R66" s="98" t="str">
        <f t="shared" si="3"/>
        <v/>
      </c>
      <c r="S66" s="98" t="str">
        <f t="shared" si="3"/>
        <v/>
      </c>
      <c r="T66" s="99" t="str">
        <f t="shared" si="3"/>
        <v/>
      </c>
      <c r="U66" s="179">
        <f>IF(U60&lt;&gt;0,AVERAGE(U60:V63),"")</f>
        <v>164</v>
      </c>
      <c r="V66" s="180"/>
      <c r="W66" s="140">
        <f>IF(W60&lt;&gt;0,AVERAGE(W60:X63),"")</f>
        <v>5.0949999999999998</v>
      </c>
      <c r="X66" s="141"/>
      <c r="Y66" s="181">
        <f>IF(W60&lt;&gt;0,AVERAGE(Y60:Z63),"")</f>
        <v>0</v>
      </c>
      <c r="Z66" s="182"/>
      <c r="AA66" s="66"/>
      <c r="AB66" s="168">
        <f>(100*W66)/(100-W66)</f>
        <v>5.3685264211580002</v>
      </c>
      <c r="AC66" s="169"/>
      <c r="AD66" s="67">
        <f t="shared" si="0"/>
        <v>14.723800000000001</v>
      </c>
      <c r="AE66" s="68">
        <f t="shared" si="1"/>
        <v>0</v>
      </c>
      <c r="AF66" s="29"/>
      <c r="AG66" s="66"/>
    </row>
    <row r="67" spans="1:33" ht="21" customHeight="1" x14ac:dyDescent="0.25">
      <c r="A67" s="5"/>
      <c r="B67" s="153" t="s">
        <v>9</v>
      </c>
      <c r="C67" s="154"/>
      <c r="D67" s="155"/>
      <c r="E67" s="100">
        <v>7.1</v>
      </c>
      <c r="F67" s="100"/>
      <c r="G67" s="100">
        <v>12</v>
      </c>
      <c r="H67" s="100">
        <v>16</v>
      </c>
      <c r="I67" s="100">
        <v>22</v>
      </c>
      <c r="J67" s="100">
        <v>32</v>
      </c>
      <c r="K67" s="100">
        <v>46</v>
      </c>
      <c r="L67" s="100">
        <v>64</v>
      </c>
      <c r="M67" s="100">
        <v>80</v>
      </c>
      <c r="N67" s="100">
        <v>95</v>
      </c>
      <c r="O67" s="100">
        <v>100</v>
      </c>
      <c r="P67" s="100"/>
      <c r="Q67" s="100"/>
      <c r="R67" s="100"/>
      <c r="S67" s="100"/>
      <c r="T67" s="101"/>
      <c r="U67" s="134"/>
      <c r="V67" s="135"/>
      <c r="W67" s="142">
        <v>5.4</v>
      </c>
      <c r="X67" s="143"/>
      <c r="Y67" s="128">
        <f>AE67</f>
        <v>0</v>
      </c>
      <c r="Z67" s="129"/>
      <c r="AA67" s="66"/>
      <c r="AB67" s="168">
        <f>(100*W67)/(100-W67)</f>
        <v>5.7082452431289648</v>
      </c>
      <c r="AC67" s="169"/>
      <c r="AD67" s="67">
        <f t="shared" si="0"/>
        <v>13.65</v>
      </c>
      <c r="AE67" s="68">
        <f t="shared" si="1"/>
        <v>0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</v>
      </c>
      <c r="F68" s="92"/>
      <c r="G68" s="92"/>
      <c r="H68" s="92"/>
      <c r="I68" s="92"/>
      <c r="J68" s="92">
        <f>J67+6</f>
        <v>38</v>
      </c>
      <c r="K68" s="92"/>
      <c r="L68" s="92">
        <f>L67+7</f>
        <v>71</v>
      </c>
      <c r="M68" s="92"/>
      <c r="N68" s="92"/>
      <c r="O68" s="92"/>
      <c r="P68" s="92"/>
      <c r="Q68" s="92"/>
      <c r="R68" s="92"/>
      <c r="S68" s="92"/>
      <c r="T68" s="93"/>
      <c r="U68" s="136"/>
      <c r="V68" s="137"/>
      <c r="W68" s="144">
        <f>W67+0.5</f>
        <v>5.9</v>
      </c>
      <c r="X68" s="137"/>
      <c r="Y68" s="130"/>
      <c r="Z68" s="131"/>
      <c r="AA68" s="83"/>
      <c r="AB68" s="71"/>
      <c r="AC68" s="69"/>
      <c r="AD68" s="177"/>
      <c r="AE68" s="170" t="s">
        <v>46</v>
      </c>
      <c r="AF68" s="29"/>
      <c r="AG68" s="66"/>
    </row>
    <row r="69" spans="1:33" ht="13.5" customHeight="1" thickBot="1" x14ac:dyDescent="0.3">
      <c r="A69" s="5"/>
      <c r="B69" s="159" t="s">
        <v>24</v>
      </c>
      <c r="C69" s="160"/>
      <c r="D69" s="161"/>
      <c r="E69" s="102">
        <f>E67-2</f>
        <v>5.0999999999999996</v>
      </c>
      <c r="F69" s="102"/>
      <c r="G69" s="103"/>
      <c r="H69" s="103"/>
      <c r="I69" s="103"/>
      <c r="J69" s="102">
        <f>J67-6</f>
        <v>26</v>
      </c>
      <c r="K69" s="103"/>
      <c r="L69" s="102">
        <f>L67-7</f>
        <v>57</v>
      </c>
      <c r="M69" s="102"/>
      <c r="N69" s="103"/>
      <c r="O69" s="103"/>
      <c r="P69" s="103"/>
      <c r="Q69" s="102"/>
      <c r="R69" s="103"/>
      <c r="S69" s="103"/>
      <c r="T69" s="104"/>
      <c r="U69" s="138"/>
      <c r="V69" s="139"/>
      <c r="W69" s="145">
        <f>W67-0.5</f>
        <v>4.9000000000000004</v>
      </c>
      <c r="X69" s="139"/>
      <c r="Y69" s="132"/>
      <c r="Z69" s="133"/>
      <c r="AA69" s="84"/>
      <c r="AB69" s="72"/>
      <c r="AC69" s="73"/>
      <c r="AD69" s="178"/>
      <c r="AE69" s="171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5.6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148"/>
      <c r="V72" s="148"/>
      <c r="W72" s="148"/>
      <c r="X72" s="148"/>
      <c r="Y72" s="148"/>
      <c r="Z72" s="149"/>
      <c r="AA72" s="81"/>
      <c r="AB72" s="58"/>
      <c r="AC72" s="58"/>
      <c r="AD72" s="59"/>
    </row>
    <row r="73" spans="1:33" ht="26.4" customHeight="1" x14ac:dyDescent="0.25">
      <c r="A73" s="162" t="s">
        <v>48</v>
      </c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4"/>
      <c r="R73" s="156" t="s">
        <v>31</v>
      </c>
      <c r="S73" s="157"/>
      <c r="T73" s="158"/>
      <c r="U73" s="150" t="s">
        <v>54</v>
      </c>
      <c r="V73" s="151"/>
      <c r="W73" s="151"/>
      <c r="X73" s="151"/>
      <c r="Y73" s="151"/>
      <c r="Z73" s="152"/>
      <c r="AA73" s="76"/>
      <c r="AB73" s="60"/>
      <c r="AC73" s="60"/>
      <c r="AD73" s="59"/>
    </row>
    <row r="74" spans="1:33" ht="26.4" customHeight="1" x14ac:dyDescent="0.25">
      <c r="A74" s="119" t="s">
        <v>66</v>
      </c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1"/>
      <c r="R74" s="156" t="s">
        <v>51</v>
      </c>
      <c r="S74" s="157"/>
      <c r="T74" s="158"/>
      <c r="U74" s="230" t="s">
        <v>63</v>
      </c>
      <c r="V74" s="183"/>
      <c r="W74" s="183"/>
      <c r="X74" s="183"/>
      <c r="Y74" s="183"/>
      <c r="Z74" s="231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156"/>
      <c r="S75" s="157"/>
      <c r="T75" s="158"/>
      <c r="U75" s="232"/>
      <c r="V75" s="233"/>
      <c r="W75" s="233"/>
      <c r="X75" s="233"/>
      <c r="Y75" s="233"/>
      <c r="Z75" s="234"/>
      <c r="AA75" s="76"/>
      <c r="AB75" s="60"/>
      <c r="AC75" s="60"/>
      <c r="AD75" s="59"/>
    </row>
    <row r="76" spans="1:33" ht="15.6" customHeight="1" x14ac:dyDescent="0.25">
      <c r="A76" s="235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  <c r="M76" s="236"/>
      <c r="N76" s="236"/>
      <c r="O76" s="236"/>
      <c r="P76" s="236"/>
      <c r="Q76" s="237"/>
      <c r="R76" s="156" t="s">
        <v>25</v>
      </c>
      <c r="S76" s="157"/>
      <c r="T76" s="158"/>
      <c r="U76" s="105"/>
      <c r="V76" s="106"/>
      <c r="W76" s="106"/>
      <c r="X76" s="106"/>
      <c r="Y76" s="106"/>
      <c r="Z76" s="107"/>
      <c r="AA76" s="77"/>
      <c r="AB76" s="65"/>
      <c r="AC76" s="65"/>
      <c r="AD76" s="59"/>
    </row>
    <row r="77" spans="1:33" ht="15.6" customHeight="1" x14ac:dyDescent="0.25">
      <c r="A77" s="235"/>
      <c r="B77" s="236"/>
      <c r="C77" s="236"/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7"/>
      <c r="R77" s="156"/>
      <c r="S77" s="157"/>
      <c r="T77" s="158"/>
      <c r="U77" s="108"/>
      <c r="V77" s="118"/>
      <c r="W77" s="118"/>
      <c r="X77" s="118"/>
      <c r="Y77" s="118"/>
      <c r="Z77" s="109"/>
      <c r="AA77" s="77"/>
      <c r="AB77" s="65"/>
      <c r="AC77" s="65"/>
      <c r="AD77" s="59"/>
    </row>
    <row r="78" spans="1:33" ht="15.6" customHeight="1" x14ac:dyDescent="0.25">
      <c r="A78" s="235"/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7"/>
      <c r="R78" s="156"/>
      <c r="S78" s="157"/>
      <c r="T78" s="158"/>
      <c r="U78" s="108"/>
      <c r="V78" s="118"/>
      <c r="W78" s="118"/>
      <c r="X78" s="118"/>
      <c r="Y78" s="118"/>
      <c r="Z78" s="109"/>
      <c r="AA78" s="77"/>
      <c r="AB78" s="65"/>
      <c r="AC78" s="65"/>
      <c r="AD78" s="59"/>
    </row>
    <row r="79" spans="1:33" ht="15.6" customHeight="1" x14ac:dyDescent="0.25">
      <c r="A79" s="238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40"/>
      <c r="R79" s="227"/>
      <c r="S79" s="228"/>
      <c r="T79" s="229"/>
      <c r="U79" s="110"/>
      <c r="V79" s="111"/>
      <c r="W79" s="111"/>
      <c r="X79" s="111"/>
      <c r="Y79" s="111"/>
      <c r="Z79" s="112"/>
      <c r="AA79" s="77"/>
      <c r="AB79" s="65"/>
      <c r="AC79" s="65"/>
      <c r="AD79" s="59"/>
    </row>
  </sheetData>
  <mergeCells count="101"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R76:T79"/>
    <mergeCell ref="U74:Z75"/>
    <mergeCell ref="A76:Q79"/>
    <mergeCell ref="R74:T75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AG56:AG57"/>
    <mergeCell ref="AF58:AF59"/>
    <mergeCell ref="AG58:AG59"/>
    <mergeCell ref="AF56:AF57"/>
    <mergeCell ref="AD58:AD59"/>
    <mergeCell ref="AE58:AE59"/>
    <mergeCell ref="E58:T58"/>
    <mergeCell ref="U58:V59"/>
    <mergeCell ref="W58:X59"/>
    <mergeCell ref="Y58:Z59"/>
    <mergeCell ref="AB58:AC59"/>
    <mergeCell ref="AD56:AD57"/>
    <mergeCell ref="AE56:AE57"/>
    <mergeCell ref="C60:D60"/>
    <mergeCell ref="C59:D59"/>
    <mergeCell ref="B65:D65"/>
    <mergeCell ref="Y60:Z60"/>
    <mergeCell ref="Y61:Z61"/>
    <mergeCell ref="Y62:Z62"/>
    <mergeCell ref="Y63:Z63"/>
    <mergeCell ref="U60:V60"/>
    <mergeCell ref="U61:V61"/>
    <mergeCell ref="U62:V62"/>
    <mergeCell ref="U63:V63"/>
    <mergeCell ref="W60:X60"/>
    <mergeCell ref="C62:D62"/>
    <mergeCell ref="C63:D63"/>
    <mergeCell ref="AB66:AC66"/>
    <mergeCell ref="AB67:AC67"/>
    <mergeCell ref="AE68:AE69"/>
    <mergeCell ref="M12:R12"/>
    <mergeCell ref="S12:Y12"/>
    <mergeCell ref="M13:R13"/>
    <mergeCell ref="S13:Y13"/>
    <mergeCell ref="M14:R14"/>
    <mergeCell ref="S14:Y14"/>
    <mergeCell ref="AD68:AD69"/>
    <mergeCell ref="AB60:AC60"/>
    <mergeCell ref="AB61:AC61"/>
    <mergeCell ref="AB62:AC62"/>
    <mergeCell ref="AB63:AC63"/>
    <mergeCell ref="U66:V66"/>
    <mergeCell ref="Y66:Z66"/>
    <mergeCell ref="I20:Y20"/>
    <mergeCell ref="V77:Y78"/>
    <mergeCell ref="A74:Q74"/>
    <mergeCell ref="W61:X61"/>
    <mergeCell ref="W62:X62"/>
    <mergeCell ref="W63:X63"/>
    <mergeCell ref="Y67:Z67"/>
    <mergeCell ref="Y68:Z68"/>
    <mergeCell ref="Y69:Z69"/>
    <mergeCell ref="U67:V67"/>
    <mergeCell ref="U68:V68"/>
    <mergeCell ref="U69:V69"/>
    <mergeCell ref="W66:X66"/>
    <mergeCell ref="W67:X67"/>
    <mergeCell ref="W68:X68"/>
    <mergeCell ref="W69:X69"/>
    <mergeCell ref="C61:D61"/>
    <mergeCell ref="U72:Z72"/>
    <mergeCell ref="U73:Z73"/>
    <mergeCell ref="B67:D67"/>
    <mergeCell ref="R73:T73"/>
    <mergeCell ref="B69:D69"/>
    <mergeCell ref="A73:Q73"/>
    <mergeCell ref="B66:D66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080425 BBSG Foissiat RD01</vt:lpstr>
      <vt:lpstr>'080425 BBSG Foissiat RD01'!Zone_d_impression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2025-04-09T12:25:22Z</cp:lastPrinted>
  <dcterms:created xsi:type="dcterms:W3CDTF">2004-11-13T18:13:05Z</dcterms:created>
  <dcterms:modified xsi:type="dcterms:W3CDTF">2025-12-05T06:34:48Z</dcterms:modified>
</cp:coreProperties>
</file>