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N78C  Vaux en Velin - T9 La Soie_Charpenne\Essais de Laboratoire\Portances\"/>
    </mc:Choice>
  </mc:AlternateContent>
  <xr:revisionPtr revIDLastSave="0" documentId="13_ncr:1_{0F68CD04-E39E-4DD9-B2F8-7C4BCAFF7A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9012 Keolis" sheetId="12" r:id="rId1"/>
    <sheet name="130125 Keolis UTS" sheetId="11" r:id="rId2"/>
    <sheet name="130125 repere car" sheetId="10" r:id="rId3"/>
    <sheet name="170924 Numerobis" sheetId="8" r:id="rId4"/>
    <sheet name="200824 - CdR 23 All. Mens" sheetId="7" r:id="rId5"/>
    <sheet name="050724 P. Marcellin" sheetId="6" r:id="rId6"/>
    <sheet name="010724 P. Marcellin" sheetId="5" r:id="rId7"/>
    <sheet name="270524 (2)" sheetId="4" r:id="rId8"/>
    <sheet name="270524" sheetId="3" r:id="rId9"/>
    <sheet name="060524" sheetId="2" r:id="rId10"/>
    <sheet name="240124 CdR Allée Mens" sheetId="1" r:id="rId11"/>
  </sheets>
  <definedNames>
    <definedName name="_xlnm.Print_Area" localSheetId="6">'010724 P. Marcellin'!$A$1:$Z$69</definedName>
    <definedName name="_xlnm.Print_Area" localSheetId="5">'050724 P. Marcellin'!$A$1:$Z$69</definedName>
    <definedName name="_xlnm.Print_Area" localSheetId="9">'060524'!$A$1:$Z$61</definedName>
    <definedName name="_xlnm.Print_Area" localSheetId="1">'130125 Keolis UTS'!$A$1:$Z$60</definedName>
    <definedName name="_xlnm.Print_Area" localSheetId="2">'130125 repere car'!$A$1:$Z$60</definedName>
    <definedName name="_xlnm.Print_Area" localSheetId="3">'170924 Numerobis'!$A$1:$Z$69</definedName>
    <definedName name="_xlnm.Print_Area" localSheetId="4">'200824 - CdR 23 All. Mens'!$A$1:$Z$69</definedName>
    <definedName name="_xlnm.Print_Area" localSheetId="10">'240124 CdR Allée Mens'!$A$1:$Z$69</definedName>
    <definedName name="_xlnm.Print_Area" localSheetId="8">'270524'!$A$1:$Z$60</definedName>
    <definedName name="_xlnm.Print_Area" localSheetId="7">'270524 (2)'!$A$1:$Z$60</definedName>
    <definedName name="_xlnm.Print_Area" localSheetId="0">'29012 Keolis'!$A$1:$Z$59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12" l="1"/>
  <c r="H46" i="12"/>
  <c r="H47" i="12"/>
  <c r="H46" i="11"/>
  <c r="H47" i="11"/>
  <c r="H48" i="11"/>
  <c r="H46" i="10"/>
  <c r="H47" i="10"/>
  <c r="H48" i="10"/>
  <c r="H55" i="8"/>
  <c r="H56" i="8"/>
  <c r="H57" i="8"/>
  <c r="H55" i="7"/>
  <c r="H56" i="7"/>
  <c r="H57" i="7"/>
  <c r="H55" i="6"/>
  <c r="H56" i="6"/>
  <c r="H57" i="6"/>
  <c r="H55" i="5"/>
  <c r="H56" i="5"/>
  <c r="H57" i="5"/>
  <c r="H46" i="4"/>
  <c r="H47" i="4"/>
  <c r="H48" i="4"/>
  <c r="H46" i="3"/>
  <c r="H47" i="3"/>
  <c r="H48" i="3"/>
  <c r="H47" i="2"/>
  <c r="H48" i="2"/>
  <c r="H49" i="2"/>
  <c r="H57" i="1"/>
  <c r="H56" i="1"/>
  <c r="H55" i="1"/>
</calcChain>
</file>

<file path=xl/sharedStrings.xml><?xml version="1.0" encoding="utf-8"?>
<sst xmlns="http://schemas.openxmlformats.org/spreadsheetml/2006/main" count="617" uniqueCount="94">
  <si>
    <t>COMPTE RENDU D'ESSAIS</t>
  </si>
  <si>
    <t>PORTANCES DES PLATES-FORMES DYNAPLAQUE 
(NF P 94-117-2 d'octobre 2004)</t>
  </si>
  <si>
    <t>PLD N°</t>
  </si>
  <si>
    <t>RA N78C</t>
  </si>
  <si>
    <t>24/01/2024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</si>
  <si>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</si>
  <si>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</si>
  <si>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</si>
  <si>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</si>
  <si>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</si>
  <si>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</si>
  <si>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</si>
  <si>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</si>
  <si>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</si>
  <si>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</si>
  <si>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0/31,5</t>
  </si>
  <si>
    <t>Date de(s) essai(s) :</t>
  </si>
  <si>
    <t>Météo :</t>
  </si>
  <si>
    <t>Beau</t>
  </si>
  <si>
    <t>Partie de l'ouvrage :</t>
  </si>
  <si>
    <t>Voirie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</si>
  <si>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</si>
  <si>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</si>
  <si>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</si>
  <si>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</si>
  <si>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</si>
  <si>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</si>
  <si>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</si>
  <si>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</si>
  <si>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</si>
  <si>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</si>
  <si>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</si>
  <si>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</si>
  <si>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</si>
  <si>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</si>
  <si>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</si>
  <si>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</si>
  <si>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</si>
  <si>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</si>
  <si>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</si>
  <si>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</si>
  <si>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</si>
  <si>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</si>
  <si>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</si>
  <si>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</si>
  <si>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Pour information</t>
  </si>
  <si>
    <t>Fonction</t>
  </si>
  <si>
    <t>Chef de section laboratoire</t>
  </si>
  <si>
    <t>6/</t>
  </si>
  <si>
    <t>COMMENTAIRES</t>
  </si>
  <si>
    <t>Visa</t>
  </si>
  <si>
    <r>
      <t xml:space="preserve">Vaulx en Velin La Soie Villeurbanne Charpenne
</t>
    </r>
    <r>
      <rPr>
        <b/>
        <sz val="12"/>
        <color rgb="FF000000"/>
        <rFont val="Century Gothic"/>
        <family val="2"/>
      </rPr>
      <t>Travaux préparatoires T9</t>
    </r>
  </si>
  <si>
    <t>Technicien de laboratoire</t>
  </si>
  <si>
    <t>Conforme</t>
  </si>
  <si>
    <t>F. MONTET</t>
  </si>
  <si>
    <t xml:space="preserve"> 100.00</t>
  </si>
  <si>
    <t>Pluie</t>
  </si>
  <si>
    <t>06/05/2024</t>
  </si>
  <si>
    <t>GR 0/31.5</t>
  </si>
  <si>
    <t>F. Montet</t>
  </si>
  <si>
    <t>CDR 36 allée du Mens</t>
  </si>
  <si>
    <t>Non conforme</t>
  </si>
  <si>
    <t>&lt;20</t>
  </si>
  <si>
    <t>Batiment</t>
  </si>
  <si>
    <t>Allée du Mens</t>
  </si>
  <si>
    <t>Caniveau</t>
  </si>
  <si>
    <t>CDR</t>
  </si>
  <si>
    <t>Couvert</t>
  </si>
  <si>
    <t>27/05/2024</t>
  </si>
  <si>
    <t>Parking</t>
  </si>
  <si>
    <t>0/31,5</t>
  </si>
  <si>
    <t>CDR entrée particulier</t>
  </si>
  <si>
    <t>FdF</t>
  </si>
  <si>
    <t>01/07/2024</t>
  </si>
  <si>
    <t>Grave alluvionnaire</t>
  </si>
  <si>
    <t>100.00</t>
  </si>
  <si>
    <t>Zone Tranchée drainante</t>
  </si>
  <si>
    <t>Côté P. Marcellin</t>
  </si>
  <si>
    <t>CdF</t>
  </si>
  <si>
    <t>05/07/2024</t>
  </si>
  <si>
    <t>GDNT 0/80</t>
  </si>
  <si>
    <t>CdR - Parking Lenoir</t>
  </si>
  <si>
    <t>20/08/2024</t>
  </si>
  <si>
    <t>Oui</t>
  </si>
  <si>
    <t>Boulodrome</t>
  </si>
  <si>
    <t>CdR - Parking Numerobis</t>
  </si>
  <si>
    <t>17/09/2024</t>
  </si>
  <si>
    <t>La plateforme Numerobis est conforme</t>
  </si>
  <si>
    <t>13/01/2025</t>
  </si>
  <si>
    <t>Matériaux du site</t>
  </si>
  <si>
    <t>Arase plateforme repere car</t>
  </si>
  <si>
    <t>CDF Tranchée dépôt Keolis UTS</t>
  </si>
  <si>
    <t>Grave sableuse</t>
  </si>
  <si>
    <t>29/01/2025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</si>
</sst>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5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b/>
      <sz val="12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</font>
    <font>
      <sz val="11"/>
      <color rgb="FF000000"/>
      <name val="Century Gothic"/>
    </font>
    <font>
      <b/>
      <u/>
      <sz val="11"/>
      <color rgb="FF000000"/>
      <name val="Century Gothic"/>
    </font>
    <font>
      <sz val="12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23" fillId="0" borderId="0"/>
  </cellStyleXfs>
  <cellXfs count="82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3" xfId="0" applyFont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5" xfId="0" applyFont="1" applyBorder="1" applyAlignment="1">
      <alignment horizontal="center"/>
    </xf>
    <xf numFmtId="0" fontId="12" fillId="0" borderId="0" xfId="0" applyFont="1" applyAlignment="1" applyProtection="1">
      <alignment vertical="center"/>
      <protection hidden="1"/>
    </xf>
    <xf numFmtId="0" fontId="12" fillId="0" borderId="0" xfId="0" applyFont="1" applyAlignment="1" applyProtection="1">
      <alignment horizontal="center" vertical="center"/>
      <protection hidden="1"/>
    </xf>
    <xf numFmtId="0" fontId="12" fillId="0" borderId="0" xfId="0" applyFont="1" applyProtection="1">
      <protection hidden="1"/>
    </xf>
    <xf numFmtId="0" fontId="13" fillId="0" borderId="4" xfId="0" applyFont="1" applyBorder="1" applyAlignment="1" applyProtection="1">
      <alignment vertical="center"/>
      <protection locked="0"/>
    </xf>
    <xf numFmtId="0" fontId="14" fillId="0" borderId="4" xfId="0" applyFont="1" applyBorder="1" applyAlignment="1" applyProtection="1">
      <alignment vertical="center"/>
      <protection hidden="1"/>
    </xf>
    <xf numFmtId="0" fontId="13" fillId="0" borderId="4" xfId="0" applyFont="1" applyBorder="1" applyAlignment="1" applyProtection="1">
      <alignment vertical="center" wrapText="1"/>
      <protection locked="0"/>
    </xf>
    <xf numFmtId="0" fontId="12" fillId="0" borderId="8" xfId="0" applyFont="1" applyBorder="1" applyAlignment="1" applyProtection="1">
      <alignment vertical="center" wrapText="1"/>
      <protection locked="0"/>
    </xf>
    <xf numFmtId="0" fontId="12" fillId="0" borderId="2" xfId="0" applyFont="1" applyBorder="1" applyAlignment="1" applyProtection="1">
      <alignment vertical="center" wrapText="1"/>
      <protection locked="0"/>
    </xf>
    <xf numFmtId="0" fontId="12" fillId="0" borderId="1" xfId="0" applyFont="1" applyBorder="1" applyAlignment="1" applyProtection="1">
      <alignment vertical="center" wrapText="1"/>
      <protection locked="0"/>
    </xf>
    <xf numFmtId="0" fontId="12" fillId="0" borderId="7" xfId="0" applyFont="1" applyBorder="1" applyAlignment="1" applyProtection="1">
      <alignment vertical="center" wrapText="1"/>
      <protection locked="0"/>
    </xf>
    <xf numFmtId="0" fontId="12" fillId="0" borderId="6" xfId="0" applyFont="1" applyBorder="1" applyAlignment="1" applyProtection="1">
      <alignment vertical="center" wrapText="1"/>
      <protection locked="0"/>
    </xf>
    <xf numFmtId="0" fontId="12" fillId="0" borderId="5" xfId="0" applyFont="1" applyBorder="1" applyAlignment="1" applyProtection="1">
      <alignment vertical="center" wrapText="1"/>
      <protection locked="0"/>
    </xf>
    <xf numFmtId="0" fontId="12" fillId="0" borderId="4" xfId="0" applyFont="1" applyBorder="1" applyAlignment="1" applyProtection="1">
      <alignment vertical="center" wrapText="1"/>
      <protection locked="0"/>
    </xf>
    <xf numFmtId="0" fontId="12" fillId="0" borderId="3" xfId="0" applyFont="1" applyBorder="1" applyAlignment="1" applyProtection="1">
      <alignment vertical="center" wrapText="1"/>
      <protection locked="0"/>
    </xf>
    <xf numFmtId="0" fontId="15" fillId="0" borderId="7" xfId="0" applyFont="1" applyBorder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7" fillId="0" borderId="6" xfId="0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14" fillId="0" borderId="9" xfId="0" applyFont="1" applyBorder="1" applyAlignment="1" applyProtection="1">
      <alignment horizontal="center" vertical="center" wrapText="1"/>
      <protection hidden="1"/>
    </xf>
    <xf numFmtId="0" fontId="14" fillId="0" borderId="4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vertical="center"/>
      <protection hidden="1"/>
    </xf>
    <xf numFmtId="0" fontId="12" fillId="0" borderId="13" xfId="0" applyFont="1" applyBorder="1" applyAlignment="1" applyProtection="1">
      <alignment vertical="center"/>
      <protection hidden="1"/>
    </xf>
    <xf numFmtId="0" fontId="18" fillId="0" borderId="13" xfId="0" applyFont="1" applyBorder="1" applyAlignment="1" applyProtection="1">
      <alignment vertical="center"/>
      <protection hidden="1"/>
    </xf>
    <xf numFmtId="0" fontId="16" fillId="0" borderId="4" xfId="0" applyFont="1" applyBorder="1" applyAlignment="1" applyProtection="1">
      <alignment vertical="center"/>
      <protection hidden="1"/>
    </xf>
    <xf numFmtId="0" fontId="17" fillId="0" borderId="3" xfId="0" applyFont="1" applyBorder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vertical="center"/>
      <protection hidden="1"/>
    </xf>
    <xf numFmtId="0" fontId="12" fillId="0" borderId="2" xfId="0" applyFont="1" applyBorder="1" applyAlignment="1" applyProtection="1">
      <alignment vertical="center"/>
      <protection hidden="1"/>
    </xf>
    <xf numFmtId="0" fontId="19" fillId="0" borderId="1" xfId="0" applyFont="1" applyBorder="1" applyAlignment="1" applyProtection="1">
      <alignment vertical="center"/>
      <protection hidden="1"/>
    </xf>
    <xf numFmtId="0" fontId="19" fillId="0" borderId="1" xfId="0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/>
      <protection hidden="1"/>
    </xf>
    <xf numFmtId="0" fontId="12" fillId="0" borderId="6" xfId="0" applyFont="1" applyBorder="1" applyAlignment="1" applyProtection="1">
      <alignment horizontal="center" vertical="center"/>
      <protection hidden="1"/>
    </xf>
    <xf numFmtId="0" fontId="20" fillId="0" borderId="12" xfId="0" applyFont="1" applyBorder="1" applyAlignment="1">
      <alignment horizontal="center"/>
    </xf>
    <xf numFmtId="0" fontId="20" fillId="0" borderId="11" xfId="0" applyFont="1" applyBorder="1" applyAlignment="1">
      <alignment horizontal="center"/>
    </xf>
    <xf numFmtId="0" fontId="12" fillId="0" borderId="6" xfId="0" applyFont="1" applyBorder="1" applyAlignment="1" applyProtection="1">
      <alignment vertical="center"/>
      <protection hidden="1"/>
    </xf>
    <xf numFmtId="0" fontId="12" fillId="0" borderId="5" xfId="0" applyFont="1" applyBorder="1" applyAlignment="1" applyProtection="1">
      <alignment vertical="center"/>
      <protection hidden="1"/>
    </xf>
    <xf numFmtId="0" fontId="13" fillId="0" borderId="4" xfId="0" applyFont="1" applyBorder="1"/>
    <xf numFmtId="0" fontId="18" fillId="0" borderId="4" xfId="0" applyFont="1" applyBorder="1" applyAlignment="1" applyProtection="1">
      <alignment vertical="center"/>
      <protection hidden="1"/>
    </xf>
    <xf numFmtId="0" fontId="18" fillId="0" borderId="4" xfId="0" applyFont="1" applyBorder="1" applyAlignment="1" applyProtection="1">
      <alignment horizontal="center" vertical="center"/>
      <protection hidden="1"/>
    </xf>
    <xf numFmtId="0" fontId="16" fillId="0" borderId="3" xfId="0" applyFont="1" applyBorder="1" applyAlignment="1" applyProtection="1">
      <alignment vertical="center"/>
      <protection hidden="1"/>
    </xf>
    <xf numFmtId="0" fontId="17" fillId="0" borderId="3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12" fillId="0" borderId="8" xfId="0" applyFont="1" applyBorder="1" applyProtection="1">
      <protection hidden="1"/>
    </xf>
    <xf numFmtId="0" fontId="12" fillId="0" borderId="2" xfId="0" applyFont="1" applyBorder="1" applyProtection="1">
      <protection hidden="1"/>
    </xf>
    <xf numFmtId="0" fontId="12" fillId="0" borderId="1" xfId="0" applyFont="1" applyBorder="1" applyProtection="1">
      <protection hidden="1"/>
    </xf>
    <xf numFmtId="0" fontId="15" fillId="0" borderId="7" xfId="0" applyFont="1" applyBorder="1" applyAlignment="1" applyProtection="1">
      <alignment horizontal="left"/>
      <protection hidden="1"/>
    </xf>
    <xf numFmtId="0" fontId="13" fillId="0" borderId="0" xfId="0" applyFont="1" applyAlignment="1" applyProtection="1">
      <alignment horizontal="left"/>
      <protection locked="0"/>
    </xf>
    <xf numFmtId="0" fontId="12" fillId="0" borderId="6" xfId="0" applyFont="1" applyBorder="1" applyProtection="1">
      <protection hidden="1"/>
    </xf>
    <xf numFmtId="0" fontId="12" fillId="0" borderId="7" xfId="0" applyFont="1" applyBorder="1" applyProtection="1">
      <protection hidden="1"/>
    </xf>
    <xf numFmtId="0" fontId="17" fillId="0" borderId="0" xfId="0" applyFont="1" applyProtection="1">
      <protection hidden="1"/>
    </xf>
    <xf numFmtId="0" fontId="12" fillId="0" borderId="5" xfId="0" applyFont="1" applyBorder="1" applyProtection="1">
      <protection hidden="1"/>
    </xf>
    <xf numFmtId="0" fontId="12" fillId="0" borderId="4" xfId="0" applyFont="1" applyBorder="1" applyProtection="1">
      <protection hidden="1"/>
    </xf>
    <xf numFmtId="0" fontId="16" fillId="0" borderId="4" xfId="0" applyFont="1" applyBorder="1" applyProtection="1">
      <protection hidden="1"/>
    </xf>
    <xf numFmtId="14" fontId="20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right"/>
      <protection hidden="1"/>
    </xf>
    <xf numFmtId="0" fontId="16" fillId="0" borderId="0" xfId="0" applyFont="1" applyAlignment="1" applyProtection="1">
      <alignment horizontal="right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5" fillId="0" borderId="7" xfId="0" applyFont="1" applyBorder="1" applyAlignment="1" applyProtection="1">
      <alignment horizontal="left" vertical="center"/>
      <protection hidden="1"/>
    </xf>
    <xf numFmtId="0" fontId="12" fillId="0" borderId="4" xfId="0" applyFont="1" applyBorder="1" applyAlignment="1" applyProtection="1">
      <alignment horizontal="center" vertical="center"/>
      <protection hidden="1"/>
    </xf>
    <xf numFmtId="0" fontId="12" fillId="0" borderId="1" xfId="0" applyFont="1" applyBorder="1" applyAlignment="1" applyProtection="1">
      <alignment vertical="center"/>
      <protection hidden="1"/>
    </xf>
    <xf numFmtId="0" fontId="23" fillId="0" borderId="0" xfId="1"/>
    <xf numFmtId="0" fontId="1" fillId="0" borderId="0" xfId="1" applyFont="1" applyAlignment="1" applyProtection="1">
      <alignment vertical="center"/>
      <protection hidden="1"/>
    </xf>
    <xf numFmtId="0" fontId="1" fillId="0" borderId="0" xfId="1" applyFont="1" applyAlignment="1" applyProtection="1">
      <alignment horizontal="center" vertical="center"/>
      <protection hidden="1"/>
    </xf>
    <xf numFmtId="0" fontId="1" fillId="0" borderId="0" xfId="1" applyFont="1" applyProtection="1">
      <protection hidden="1"/>
    </xf>
    <xf numFmtId="0" fontId="7" fillId="0" borderId="4" xfId="1" applyFont="1" applyBorder="1" applyAlignment="1" applyProtection="1">
      <alignment vertical="center"/>
      <protection locked="0"/>
    </xf>
    <xf numFmtId="0" fontId="5" fillId="0" borderId="4" xfId="1" applyFont="1" applyBorder="1" applyAlignment="1" applyProtection="1">
      <alignment vertical="center"/>
      <protection hidden="1"/>
    </xf>
    <xf numFmtId="0" fontId="7" fillId="0" borderId="4" xfId="1" applyFont="1" applyBorder="1" applyAlignment="1" applyProtection="1">
      <alignment vertical="center" wrapText="1"/>
      <protection locked="0"/>
    </xf>
    <xf numFmtId="0" fontId="1" fillId="0" borderId="8" xfId="1" applyFont="1" applyBorder="1" applyAlignment="1" applyProtection="1">
      <alignment vertical="center" wrapText="1"/>
      <protection locked="0"/>
    </xf>
    <xf numFmtId="0" fontId="1" fillId="0" borderId="2" xfId="1" applyFont="1" applyBorder="1" applyAlignment="1" applyProtection="1">
      <alignment vertical="center" wrapText="1"/>
      <protection locked="0"/>
    </xf>
    <xf numFmtId="0" fontId="1" fillId="0" borderId="1" xfId="1" applyFont="1" applyBorder="1" applyAlignment="1" applyProtection="1">
      <alignment vertical="center" wrapText="1"/>
      <protection locked="0"/>
    </xf>
    <xf numFmtId="0" fontId="1" fillId="0" borderId="7" xfId="1" applyFont="1" applyBorder="1" applyAlignment="1" applyProtection="1">
      <alignment vertical="center" wrapText="1"/>
      <protection locked="0"/>
    </xf>
    <xf numFmtId="0" fontId="1" fillId="0" borderId="6" xfId="1" applyFont="1" applyBorder="1" applyAlignment="1" applyProtection="1">
      <alignment vertical="center" wrapText="1"/>
      <protection locked="0"/>
    </xf>
    <xf numFmtId="0" fontId="1" fillId="0" borderId="5" xfId="1" applyFont="1" applyBorder="1" applyAlignment="1" applyProtection="1">
      <alignment vertical="center" wrapText="1"/>
      <protection locked="0"/>
    </xf>
    <xf numFmtId="0" fontId="1" fillId="0" borderId="4" xfId="1" applyFont="1" applyBorder="1" applyAlignment="1" applyProtection="1">
      <alignment vertical="center" wrapText="1"/>
      <protection locked="0"/>
    </xf>
    <xf numFmtId="0" fontId="1" fillId="0" borderId="3" xfId="1" applyFont="1" applyBorder="1" applyAlignment="1" applyProtection="1">
      <alignment vertical="center" wrapText="1"/>
      <protection locked="0"/>
    </xf>
    <xf numFmtId="0" fontId="4" fillId="0" borderId="7" xfId="1" applyFont="1" applyBorder="1" applyAlignment="1" applyProtection="1">
      <alignment vertical="center"/>
      <protection hidden="1"/>
    </xf>
    <xf numFmtId="0" fontId="4" fillId="0" borderId="0" xfId="1" applyFont="1" applyAlignment="1" applyProtection="1">
      <alignment vertical="center"/>
      <protection hidden="1"/>
    </xf>
    <xf numFmtId="0" fontId="3" fillId="0" borderId="0" xfId="1" applyFont="1" applyAlignment="1" applyProtection="1">
      <alignment vertical="center"/>
      <protection hidden="1"/>
    </xf>
    <xf numFmtId="0" fontId="2" fillId="0" borderId="6" xfId="1" applyFont="1" applyBorder="1" applyAlignment="1" applyProtection="1">
      <alignment horizontal="center" vertical="center"/>
      <protection hidden="1"/>
    </xf>
    <xf numFmtId="0" fontId="1" fillId="0" borderId="10" xfId="1" applyFont="1" applyBorder="1" applyAlignment="1" applyProtection="1">
      <alignment horizontal="center" vertical="center" wrapText="1"/>
      <protection hidden="1"/>
    </xf>
    <xf numFmtId="0" fontId="1" fillId="0" borderId="9" xfId="1" applyFont="1" applyBorder="1" applyAlignment="1" applyProtection="1">
      <alignment horizontal="center" vertical="center" wrapText="1"/>
      <protection hidden="1"/>
    </xf>
    <xf numFmtId="0" fontId="5" fillId="0" borderId="9" xfId="1" applyFont="1" applyBorder="1" applyAlignment="1" applyProtection="1">
      <alignment horizontal="center" vertical="center" wrapText="1"/>
      <protection hidden="1"/>
    </xf>
    <xf numFmtId="0" fontId="5" fillId="0" borderId="4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vertical="center"/>
      <protection hidden="1"/>
    </xf>
    <xf numFmtId="0" fontId="1" fillId="0" borderId="13" xfId="1" applyFont="1" applyBorder="1" applyAlignment="1" applyProtection="1">
      <alignment vertical="center"/>
      <protection hidden="1"/>
    </xf>
    <xf numFmtId="0" fontId="8" fillId="0" borderId="13" xfId="1" applyFont="1" applyBorder="1" applyAlignment="1" applyProtection="1">
      <alignment vertical="center"/>
      <protection hidden="1"/>
    </xf>
    <xf numFmtId="0" fontId="3" fillId="0" borderId="4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vertical="center"/>
      <protection hidden="1"/>
    </xf>
    <xf numFmtId="0" fontId="9" fillId="0" borderId="0" xfId="1" applyFont="1" applyAlignment="1" applyProtection="1">
      <alignment vertical="center"/>
      <protection hidden="1"/>
    </xf>
    <xf numFmtId="0" fontId="9" fillId="0" borderId="0" xfId="1" applyFont="1" applyAlignment="1" applyProtection="1">
      <alignment horizontal="center" vertical="center"/>
      <protection hidden="1"/>
    </xf>
    <xf numFmtId="0" fontId="1" fillId="0" borderId="8" xfId="1" applyFont="1" applyBorder="1" applyAlignment="1" applyProtection="1">
      <alignment vertical="center"/>
      <protection hidden="1"/>
    </xf>
    <xf numFmtId="0" fontId="1" fillId="0" borderId="2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vertical="center"/>
      <protection hidden="1"/>
    </xf>
    <xf numFmtId="0" fontId="9" fillId="0" borderId="1" xfId="1" applyFont="1" applyBorder="1" applyAlignment="1" applyProtection="1">
      <alignment horizontal="center" vertical="center"/>
      <protection hidden="1"/>
    </xf>
    <xf numFmtId="0" fontId="1" fillId="0" borderId="7" xfId="1" applyFont="1" applyBorder="1" applyAlignment="1" applyProtection="1">
      <alignment vertical="center"/>
      <protection hidden="1"/>
    </xf>
    <xf numFmtId="0" fontId="1" fillId="0" borderId="6" xfId="1" applyFont="1" applyBorder="1" applyAlignment="1" applyProtection="1">
      <alignment horizontal="center" vertical="center"/>
      <protection hidden="1"/>
    </xf>
    <xf numFmtId="0" fontId="6" fillId="0" borderId="12" xfId="1" applyFont="1" applyBorder="1" applyAlignment="1">
      <alignment horizontal="center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10" xfId="1" applyFont="1" applyBorder="1" applyAlignment="1">
      <alignment vertical="center"/>
    </xf>
    <xf numFmtId="0" fontId="7" fillId="0" borderId="9" xfId="1" applyFont="1" applyBorder="1" applyAlignment="1">
      <alignment vertical="center"/>
    </xf>
    <xf numFmtId="164" fontId="7" fillId="0" borderId="14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/>
    </xf>
    <xf numFmtId="0" fontId="7" fillId="0" borderId="4" xfId="1" applyFont="1" applyBorder="1"/>
    <xf numFmtId="0" fontId="1" fillId="0" borderId="6" xfId="1" applyFont="1" applyBorder="1" applyAlignment="1" applyProtection="1">
      <alignment vertical="center"/>
      <protection hidden="1"/>
    </xf>
    <xf numFmtId="0" fontId="1" fillId="0" borderId="5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vertical="center"/>
      <protection hidden="1"/>
    </xf>
    <xf numFmtId="0" fontId="8" fillId="0" borderId="4" xfId="1" applyFont="1" applyBorder="1" applyAlignment="1" applyProtection="1">
      <alignment horizontal="center" vertical="center"/>
      <protection hidden="1"/>
    </xf>
    <xf numFmtId="0" fontId="3" fillId="0" borderId="3" xfId="1" applyFont="1" applyBorder="1" applyAlignment="1" applyProtection="1">
      <alignment vertical="center"/>
      <protection hidden="1"/>
    </xf>
    <xf numFmtId="0" fontId="2" fillId="0" borderId="3" xfId="1" applyFont="1" applyBorder="1" applyAlignment="1" applyProtection="1">
      <alignment horizontal="center" vertical="center"/>
      <protection hidden="1"/>
    </xf>
    <xf numFmtId="0" fontId="1" fillId="0" borderId="0" xfId="1" applyFont="1" applyAlignment="1" applyProtection="1">
      <alignment horizontal="left" vertical="center"/>
      <protection hidden="1"/>
    </xf>
    <xf numFmtId="0" fontId="1" fillId="0" borderId="8" xfId="1" applyFont="1" applyBorder="1" applyProtection="1">
      <protection hidden="1"/>
    </xf>
    <xf numFmtId="0" fontId="1" fillId="0" borderId="2" xfId="1" applyFont="1" applyBorder="1" applyProtection="1">
      <protection hidden="1"/>
    </xf>
    <xf numFmtId="0" fontId="1" fillId="0" borderId="1" xfId="1" applyFont="1" applyBorder="1" applyProtection="1">
      <protection hidden="1"/>
    </xf>
    <xf numFmtId="0" fontId="4" fillId="0" borderId="7" xfId="1" applyFont="1" applyBorder="1" applyAlignment="1" applyProtection="1">
      <alignment horizontal="left"/>
      <protection hidden="1"/>
    </xf>
    <xf numFmtId="0" fontId="7" fillId="0" borderId="0" xfId="1" applyFont="1" applyAlignment="1" applyProtection="1">
      <alignment horizontal="left"/>
      <protection locked="0"/>
    </xf>
    <xf numFmtId="0" fontId="1" fillId="0" borderId="6" xfId="1" applyFont="1" applyBorder="1" applyProtection="1">
      <protection hidden="1"/>
    </xf>
    <xf numFmtId="0" fontId="1" fillId="0" borderId="7" xfId="1" applyFont="1" applyBorder="1" applyProtection="1">
      <protection hidden="1"/>
    </xf>
    <xf numFmtId="0" fontId="2" fillId="0" borderId="0" xfId="1" applyFont="1" applyProtection="1">
      <protection hidden="1"/>
    </xf>
    <xf numFmtId="0" fontId="1" fillId="0" borderId="5" xfId="1" applyFont="1" applyBorder="1" applyProtection="1">
      <protection hidden="1"/>
    </xf>
    <xf numFmtId="0" fontId="1" fillId="0" borderId="4" xfId="1" applyFont="1" applyBorder="1" applyProtection="1">
      <protection hidden="1"/>
    </xf>
    <xf numFmtId="0" fontId="3" fillId="0" borderId="4" xfId="1" applyFont="1" applyBorder="1" applyProtection="1">
      <protection hidden="1"/>
    </xf>
    <xf numFmtId="14" fontId="6" fillId="0" borderId="0" xfId="1" applyNumberFormat="1" applyFont="1" applyAlignment="1" applyProtection="1">
      <alignment horizontal="center"/>
      <protection hidden="1"/>
    </xf>
    <xf numFmtId="0" fontId="5" fillId="0" borderId="0" xfId="1" applyFont="1" applyAlignment="1" applyProtection="1">
      <alignment horizontal="right"/>
      <protection hidden="1"/>
    </xf>
    <xf numFmtId="0" fontId="3" fillId="0" borderId="0" xfId="1" applyFont="1" applyAlignment="1" applyProtection="1">
      <alignment horizontal="right"/>
      <protection hidden="1"/>
    </xf>
    <xf numFmtId="0" fontId="1" fillId="0" borderId="2" xfId="1" applyFont="1" applyBorder="1" applyAlignment="1" applyProtection="1">
      <alignment horizontal="left" vertical="center"/>
      <protection hidden="1"/>
    </xf>
    <xf numFmtId="0" fontId="1" fillId="0" borderId="2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horizontal="center" vertical="center"/>
      <protection hidden="1"/>
    </xf>
    <xf numFmtId="0" fontId="4" fillId="0" borderId="7" xfId="1" applyFont="1" applyBorder="1" applyAlignment="1" applyProtection="1">
      <alignment horizontal="left" vertical="center"/>
      <protection hidden="1"/>
    </xf>
    <xf numFmtId="0" fontId="1" fillId="0" borderId="4" xfId="1" applyFont="1" applyBorder="1" applyAlignment="1" applyProtection="1">
      <alignment horizontal="center" vertical="center"/>
      <protection hidden="1"/>
    </xf>
    <xf numFmtId="0" fontId="1" fillId="0" borderId="1" xfId="1" applyFont="1" applyBorder="1" applyAlignment="1" applyProtection="1">
      <alignment vertical="center"/>
      <protection hidden="1"/>
    </xf>
    <xf numFmtId="0" fontId="6" fillId="0" borderId="15" xfId="1" applyFont="1" applyBorder="1" applyAlignment="1">
      <alignment horizontal="center"/>
    </xf>
    <xf numFmtId="0" fontId="24" fillId="0" borderId="0" xfId="0" applyFont="1" applyAlignment="1" applyProtection="1">
      <alignment vertic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0" xfId="0" applyFont="1" applyProtection="1">
      <protection hidden="1"/>
    </xf>
    <xf numFmtId="0" fontId="25" fillId="0" borderId="4" xfId="0" applyFont="1" applyBorder="1" applyAlignment="1" applyProtection="1">
      <alignment vertical="center"/>
      <protection locked="0"/>
    </xf>
    <xf numFmtId="0" fontId="26" fillId="0" borderId="4" xfId="0" applyFont="1" applyBorder="1" applyAlignment="1" applyProtection="1">
      <alignment vertical="center"/>
      <protection hidden="1"/>
    </xf>
    <xf numFmtId="0" fontId="25" fillId="0" borderId="4" xfId="0" applyFont="1" applyBorder="1" applyAlignment="1" applyProtection="1">
      <alignment vertical="center" wrapText="1"/>
      <protection locked="0"/>
    </xf>
    <xf numFmtId="0" fontId="24" fillId="0" borderId="8" xfId="0" applyFont="1" applyBorder="1" applyAlignment="1" applyProtection="1">
      <alignment vertical="center" wrapText="1"/>
      <protection locked="0"/>
    </xf>
    <xf numFmtId="0" fontId="24" fillId="0" borderId="2" xfId="0" applyFont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0" borderId="7" xfId="0" applyFont="1" applyBorder="1" applyAlignment="1" applyProtection="1">
      <alignment vertical="center" wrapText="1"/>
      <protection locked="0"/>
    </xf>
    <xf numFmtId="0" fontId="24" fillId="0" borderId="6" xfId="0" applyFont="1" applyBorder="1" applyAlignment="1" applyProtection="1">
      <alignment vertical="center" wrapText="1"/>
      <protection locked="0"/>
    </xf>
    <xf numFmtId="0" fontId="24" fillId="0" borderId="5" xfId="0" applyFont="1" applyBorder="1" applyAlignment="1" applyProtection="1">
      <alignment vertical="center" wrapText="1"/>
      <protection locked="0"/>
    </xf>
    <xf numFmtId="0" fontId="24" fillId="0" borderId="4" xfId="0" applyFont="1" applyBorder="1" applyAlignment="1" applyProtection="1">
      <alignment vertical="center" wrapText="1"/>
      <protection locked="0"/>
    </xf>
    <xf numFmtId="0" fontId="24" fillId="0" borderId="3" xfId="0" applyFont="1" applyBorder="1" applyAlignment="1" applyProtection="1">
      <alignment vertical="center" wrapText="1"/>
      <protection locked="0"/>
    </xf>
    <xf numFmtId="0" fontId="27" fillId="0" borderId="7" xfId="0" applyFont="1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28" fillId="0" borderId="0" xfId="0" applyFont="1" applyAlignment="1" applyProtection="1">
      <alignment vertical="center"/>
      <protection hidden="1"/>
    </xf>
    <xf numFmtId="0" fontId="29" fillId="0" borderId="6" xfId="0" applyFont="1" applyBorder="1" applyAlignment="1" applyProtection="1">
      <alignment horizontal="center" vertical="center"/>
      <protection hidden="1"/>
    </xf>
    <xf numFmtId="0" fontId="24" fillId="0" borderId="10" xfId="0" applyFont="1" applyBorder="1" applyAlignment="1" applyProtection="1">
      <alignment horizontal="center" vertical="center" wrapText="1"/>
      <protection hidden="1"/>
    </xf>
    <xf numFmtId="0" fontId="24" fillId="0" borderId="9" xfId="0" applyFont="1" applyBorder="1" applyAlignment="1" applyProtection="1">
      <alignment horizontal="center" vertical="center" wrapText="1"/>
      <protection hidden="1"/>
    </xf>
    <xf numFmtId="0" fontId="26" fillId="0" borderId="9" xfId="0" applyFont="1" applyBorder="1" applyAlignment="1" applyProtection="1">
      <alignment horizontal="center" vertical="center" wrapText="1"/>
      <protection hidden="1"/>
    </xf>
    <xf numFmtId="0" fontId="26" fillId="0" borderId="4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vertical="center"/>
      <protection hidden="1"/>
    </xf>
    <xf numFmtId="0" fontId="24" fillId="0" borderId="13" xfId="0" applyFont="1" applyBorder="1" applyAlignment="1" applyProtection="1">
      <alignment vertical="center"/>
      <protection hidden="1"/>
    </xf>
    <xf numFmtId="0" fontId="30" fillId="0" borderId="13" xfId="0" applyFont="1" applyBorder="1" applyAlignment="1" applyProtection="1">
      <alignment vertical="center"/>
      <protection hidden="1"/>
    </xf>
    <xf numFmtId="0" fontId="28" fillId="0" borderId="4" xfId="0" applyFont="1" applyBorder="1" applyAlignment="1" applyProtection="1">
      <alignment vertical="center"/>
      <protection hidden="1"/>
    </xf>
    <xf numFmtId="0" fontId="29" fillId="0" borderId="3" xfId="0" applyFont="1" applyBorder="1" applyAlignment="1" applyProtection="1">
      <alignment vertical="center"/>
      <protection hidden="1"/>
    </xf>
    <xf numFmtId="0" fontId="31" fillId="0" borderId="0" xfId="0" applyFont="1" applyAlignment="1" applyProtection="1">
      <alignment vertical="center"/>
      <protection hidden="1"/>
    </xf>
    <xf numFmtId="0" fontId="31" fillId="0" borderId="0" xfId="0" applyFont="1" applyAlignment="1" applyProtection="1">
      <alignment horizontal="center" vertical="center"/>
      <protection hidden="1"/>
    </xf>
    <xf numFmtId="0" fontId="24" fillId="0" borderId="8" xfId="0" applyFont="1" applyBorder="1" applyAlignment="1" applyProtection="1">
      <alignment vertical="center"/>
      <protection hidden="1"/>
    </xf>
    <xf numFmtId="0" fontId="24" fillId="0" borderId="2" xfId="0" applyFont="1" applyBorder="1" applyAlignment="1" applyProtection="1">
      <alignment vertical="center"/>
      <protection hidden="1"/>
    </xf>
    <xf numFmtId="0" fontId="31" fillId="0" borderId="1" xfId="0" applyFont="1" applyBorder="1" applyAlignment="1" applyProtection="1">
      <alignment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24" fillId="0" borderId="7" xfId="0" applyFont="1" applyBorder="1" applyAlignment="1" applyProtection="1">
      <alignment vertical="center"/>
      <protection hidden="1"/>
    </xf>
    <xf numFmtId="0" fontId="24" fillId="0" borderId="6" xfId="0" applyFont="1" applyBorder="1" applyAlignment="1" applyProtection="1">
      <alignment horizontal="center" vertical="center"/>
      <protection hidden="1"/>
    </xf>
    <xf numFmtId="0" fontId="32" fillId="0" borderId="12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25" fillId="0" borderId="4" xfId="0" applyFont="1" applyBorder="1"/>
    <xf numFmtId="0" fontId="24" fillId="0" borderId="6" xfId="0" applyFont="1" applyBorder="1" applyAlignment="1" applyProtection="1">
      <alignment vertical="center"/>
      <protection hidden="1"/>
    </xf>
    <xf numFmtId="0" fontId="24" fillId="0" borderId="5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vertical="center"/>
      <protection hidden="1"/>
    </xf>
    <xf numFmtId="0" fontId="30" fillId="0" borderId="4" xfId="0" applyFont="1" applyBorder="1" applyAlignment="1" applyProtection="1">
      <alignment horizontal="center" vertical="center"/>
      <protection hidden="1"/>
    </xf>
    <xf numFmtId="0" fontId="28" fillId="0" borderId="3" xfId="0" applyFont="1" applyBorder="1" applyAlignment="1" applyProtection="1">
      <alignment vertical="center"/>
      <protection hidden="1"/>
    </xf>
    <xf numFmtId="0" fontId="29" fillId="0" borderId="3" xfId="0" applyFont="1" applyBorder="1" applyAlignment="1" applyProtection="1">
      <alignment horizontal="center" vertical="center"/>
      <protection hidden="1"/>
    </xf>
    <xf numFmtId="0" fontId="24" fillId="0" borderId="0" xfId="0" applyFont="1" applyAlignment="1" applyProtection="1">
      <alignment horizontal="left" vertical="center"/>
      <protection hidden="1"/>
    </xf>
    <xf numFmtId="0" fontId="24" fillId="0" borderId="8" xfId="0" applyFont="1" applyBorder="1" applyProtection="1">
      <protection hidden="1"/>
    </xf>
    <xf numFmtId="0" fontId="24" fillId="0" borderId="2" xfId="0" applyFont="1" applyBorder="1" applyProtection="1">
      <protection hidden="1"/>
    </xf>
    <xf numFmtId="0" fontId="24" fillId="0" borderId="1" xfId="0" applyFont="1" applyBorder="1" applyProtection="1">
      <protection hidden="1"/>
    </xf>
    <xf numFmtId="0" fontId="27" fillId="0" borderId="7" xfId="0" applyFont="1" applyBorder="1" applyAlignment="1" applyProtection="1">
      <alignment horizontal="left"/>
      <protection hidden="1"/>
    </xf>
    <xf numFmtId="0" fontId="25" fillId="0" borderId="0" xfId="0" applyFont="1" applyAlignment="1" applyProtection="1">
      <alignment horizontal="left"/>
      <protection locked="0"/>
    </xf>
    <xf numFmtId="0" fontId="24" fillId="0" borderId="6" xfId="0" applyFont="1" applyBorder="1" applyProtection="1">
      <protection hidden="1"/>
    </xf>
    <xf numFmtId="0" fontId="24" fillId="0" borderId="7" xfId="0" applyFont="1" applyBorder="1" applyProtection="1">
      <protection hidden="1"/>
    </xf>
    <xf numFmtId="0" fontId="29" fillId="0" borderId="0" xfId="0" applyFont="1" applyProtection="1">
      <protection hidden="1"/>
    </xf>
    <xf numFmtId="0" fontId="24" fillId="0" borderId="5" xfId="0" applyFont="1" applyBorder="1" applyProtection="1">
      <protection hidden="1"/>
    </xf>
    <xf numFmtId="0" fontId="24" fillId="0" borderId="4" xfId="0" applyFont="1" applyBorder="1" applyProtection="1">
      <protection hidden="1"/>
    </xf>
    <xf numFmtId="0" fontId="28" fillId="0" borderId="4" xfId="0" applyFont="1" applyBorder="1" applyProtection="1">
      <protection hidden="1"/>
    </xf>
    <xf numFmtId="14" fontId="32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8" fillId="0" borderId="0" xfId="0" applyFont="1" applyAlignment="1" applyProtection="1">
      <alignment horizontal="right"/>
      <protection hidden="1"/>
    </xf>
    <xf numFmtId="0" fontId="24" fillId="0" borderId="2" xfId="0" applyFont="1" applyBorder="1" applyAlignment="1" applyProtection="1">
      <alignment horizontal="left" vertical="center"/>
      <protection hidden="1"/>
    </xf>
    <xf numFmtId="0" fontId="24" fillId="0" borderId="2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horizontal="center" vertical="center"/>
      <protection hidden="1"/>
    </xf>
    <xf numFmtId="0" fontId="27" fillId="0" borderId="7" xfId="0" applyFont="1" applyBorder="1" applyAlignment="1" applyProtection="1">
      <alignment horizontal="left" vertical="center"/>
      <protection hidden="1"/>
    </xf>
    <xf numFmtId="0" fontId="24" fillId="0" borderId="4" xfId="0" applyFont="1" applyBorder="1" applyAlignment="1" applyProtection="1">
      <alignment horizontal="center" vertical="center"/>
      <protection hidden="1"/>
    </xf>
    <xf numFmtId="0" fontId="24" fillId="0" borderId="1" xfId="0" applyFont="1" applyBorder="1" applyAlignment="1" applyProtection="1">
      <alignment vertical="center"/>
      <protection hidden="1"/>
    </xf>
    <xf numFmtId="0" fontId="7" fillId="0" borderId="14" xfId="1" applyFont="1" applyBorder="1" applyAlignment="1" applyProtection="1">
      <alignment horizontal="center" vertical="center" wrapText="1"/>
      <protection locked="0"/>
    </xf>
    <xf numFmtId="0" fontId="7" fillId="0" borderId="9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10" xfId="1" applyFont="1" applyBorder="1" applyAlignment="1" applyProtection="1">
      <alignment horizontal="center" vertical="center" wrapText="1"/>
      <protection locked="0"/>
    </xf>
    <xf numFmtId="0" fontId="2" fillId="0" borderId="6" xfId="1" applyFont="1" applyBorder="1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/>
      <protection hidden="1"/>
    </xf>
    <xf numFmtId="0" fontId="2" fillId="0" borderId="7" xfId="1" applyFont="1" applyBorder="1" applyAlignment="1" applyProtection="1">
      <alignment horizontal="center" vertical="center"/>
      <protection hidden="1"/>
    </xf>
    <xf numFmtId="0" fontId="2" fillId="0" borderId="1" xfId="1" applyFont="1" applyBorder="1" applyAlignment="1" applyProtection="1">
      <alignment horizontal="center" vertical="center"/>
      <protection hidden="1"/>
    </xf>
    <xf numFmtId="0" fontId="2" fillId="0" borderId="2" xfId="1" applyFont="1" applyBorder="1" applyAlignment="1" applyProtection="1">
      <alignment horizontal="center" vertical="center"/>
      <protection hidden="1"/>
    </xf>
    <xf numFmtId="0" fontId="2" fillId="0" borderId="8" xfId="1" applyFont="1" applyBorder="1" applyAlignment="1" applyProtection="1">
      <alignment horizontal="center" vertical="center"/>
      <protection hidden="1"/>
    </xf>
    <xf numFmtId="0" fontId="5" fillId="0" borderId="6" xfId="1" applyFont="1" applyBorder="1" applyAlignment="1" applyProtection="1">
      <alignment horizontal="center" vertical="center"/>
      <protection hidden="1"/>
    </xf>
    <xf numFmtId="0" fontId="5" fillId="0" borderId="0" xfId="1" applyFont="1" applyAlignment="1" applyProtection="1">
      <alignment horizontal="center" vertical="center"/>
      <protection hidden="1"/>
    </xf>
    <xf numFmtId="0" fontId="5" fillId="0" borderId="7" xfId="1" applyFont="1" applyBorder="1" applyAlignment="1" applyProtection="1">
      <alignment horizontal="center" vertical="center"/>
      <protection hidden="1"/>
    </xf>
    <xf numFmtId="0" fontId="7" fillId="0" borderId="3" xfId="1" applyFont="1" applyBorder="1" applyAlignment="1" applyProtection="1">
      <alignment horizontal="center" vertical="center" wrapText="1"/>
      <protection locked="0"/>
    </xf>
    <xf numFmtId="0" fontId="7" fillId="0" borderId="4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" fillId="0" borderId="5" xfId="1" applyFont="1" applyBorder="1" applyAlignment="1" applyProtection="1">
      <alignment horizontal="center" vertical="center" wrapText="1"/>
      <protection locked="0"/>
    </xf>
    <xf numFmtId="0" fontId="7" fillId="0" borderId="6" xfId="1" applyFont="1" applyBorder="1" applyAlignment="1" applyProtection="1">
      <alignment horizontal="center" vertical="center" wrapText="1"/>
      <protection locked="0"/>
    </xf>
    <xf numFmtId="0" fontId="7" fillId="0" borderId="0" xfId="1" applyFont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wrapText="1"/>
      <protection locked="0"/>
    </xf>
    <xf numFmtId="0" fontId="1" fillId="0" borderId="7" xfId="1" applyFont="1" applyBorder="1" applyAlignment="1" applyProtection="1">
      <alignment horizontal="center" vertical="center" wrapText="1"/>
      <protection locked="0"/>
    </xf>
    <xf numFmtId="0" fontId="7" fillId="0" borderId="1" xfId="1" applyFont="1" applyBorder="1" applyAlignment="1" applyProtection="1">
      <alignment horizontal="center" vertical="center" wrapText="1"/>
      <protection locked="0"/>
    </xf>
    <xf numFmtId="0" fontId="7" fillId="0" borderId="2" xfId="1" applyFont="1" applyBorder="1" applyAlignment="1" applyProtection="1">
      <alignment horizontal="center" vertical="center" wrapText="1"/>
      <protection locked="0"/>
    </xf>
    <xf numFmtId="0" fontId="1" fillId="0" borderId="2" xfId="1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164" fontId="6" fillId="0" borderId="14" xfId="1" applyNumberFormat="1" applyFont="1" applyBorder="1" applyAlignment="1">
      <alignment horizontal="center" vertical="center"/>
    </xf>
    <xf numFmtId="0" fontId="7" fillId="0" borderId="9" xfId="1" applyFont="1" applyBorder="1"/>
    <xf numFmtId="0" fontId="7" fillId="0" borderId="10" xfId="1" applyFont="1" applyBorder="1"/>
    <xf numFmtId="0" fontId="7" fillId="0" borderId="0" xfId="1" applyFont="1" applyAlignment="1" applyProtection="1">
      <alignment horizontal="left"/>
      <protection hidden="1"/>
    </xf>
    <xf numFmtId="0" fontId="7" fillId="0" borderId="0" xfId="1" applyFont="1" applyAlignment="1" applyProtection="1">
      <alignment horizontal="left" vertical="center"/>
      <protection hidden="1"/>
    </xf>
    <xf numFmtId="0" fontId="2" fillId="0" borderId="33" xfId="1" applyFont="1" applyBorder="1" applyAlignment="1" applyProtection="1">
      <alignment horizontal="center" vertical="center"/>
      <protection hidden="1"/>
    </xf>
    <xf numFmtId="0" fontId="2" fillId="0" borderId="34" xfId="1" applyFont="1" applyBorder="1" applyAlignment="1" applyProtection="1">
      <alignment horizontal="center" vertical="center"/>
      <protection hidden="1"/>
    </xf>
    <xf numFmtId="0" fontId="2" fillId="0" borderId="35" xfId="1" applyFont="1" applyBorder="1" applyAlignment="1" applyProtection="1">
      <alignment horizontal="center" vertical="center"/>
      <protection hidden="1"/>
    </xf>
    <xf numFmtId="0" fontId="10" fillId="0" borderId="3" xfId="1" applyFont="1" applyBorder="1" applyAlignment="1" applyProtection="1">
      <alignment horizontal="center" vertical="center" wrapText="1"/>
      <protection locked="0"/>
    </xf>
    <xf numFmtId="0" fontId="10" fillId="0" borderId="4" xfId="1" applyFont="1" applyBorder="1" applyAlignment="1" applyProtection="1">
      <alignment horizontal="center" vertical="center" wrapText="1"/>
      <protection locked="0"/>
    </xf>
    <xf numFmtId="0" fontId="10" fillId="0" borderId="5" xfId="1" applyFont="1" applyBorder="1" applyAlignment="1" applyProtection="1">
      <alignment horizontal="center" vertical="center" wrapText="1"/>
      <protection locked="0"/>
    </xf>
    <xf numFmtId="0" fontId="10" fillId="0" borderId="6" xfId="1" applyFont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horizontal="center" vertical="center" wrapText="1"/>
      <protection locked="0"/>
    </xf>
    <xf numFmtId="0" fontId="10" fillId="0" borderId="7" xfId="1" applyFont="1" applyBorder="1" applyAlignment="1" applyProtection="1">
      <alignment horizontal="center" vertical="center" wrapText="1"/>
      <protection locked="0"/>
    </xf>
    <xf numFmtId="0" fontId="10" fillId="0" borderId="1" xfId="1" applyFont="1" applyBorder="1" applyAlignment="1" applyProtection="1">
      <alignment horizontal="center" vertical="center" wrapText="1"/>
      <protection locked="0"/>
    </xf>
    <xf numFmtId="0" fontId="10" fillId="0" borderId="2" xfId="1" applyFont="1" applyBorder="1" applyAlignment="1" applyProtection="1">
      <alignment horizontal="center" vertical="center" wrapText="1"/>
      <protection locked="0"/>
    </xf>
    <xf numFmtId="0" fontId="10" fillId="0" borderId="8" xfId="1" applyFont="1" applyBorder="1" applyAlignment="1" applyProtection="1">
      <alignment horizontal="center" vertical="center" wrapText="1"/>
      <protection locked="0"/>
    </xf>
    <xf numFmtId="0" fontId="7" fillId="0" borderId="14" xfId="1" applyFont="1" applyBorder="1" applyAlignment="1" applyProtection="1">
      <alignment horizontal="center"/>
      <protection locked="0"/>
    </xf>
    <xf numFmtId="0" fontId="7" fillId="0" borderId="9" xfId="1" applyFont="1" applyBorder="1" applyAlignment="1" applyProtection="1">
      <alignment horizontal="center"/>
      <protection locked="0"/>
    </xf>
    <xf numFmtId="0" fontId="7" fillId="0" borderId="10" xfId="1" applyFont="1" applyBorder="1" applyAlignment="1" applyProtection="1">
      <alignment horizontal="center"/>
      <protection locked="0"/>
    </xf>
    <xf numFmtId="0" fontId="7" fillId="0" borderId="17" xfId="1" applyFont="1" applyBorder="1" applyAlignment="1" applyProtection="1">
      <alignment horizontal="center" vertical="center" wrapText="1"/>
      <protection locked="0"/>
    </xf>
    <xf numFmtId="0" fontId="7" fillId="0" borderId="18" xfId="1" applyFont="1" applyBorder="1" applyAlignment="1" applyProtection="1">
      <alignment horizontal="center" vertical="center" wrapText="1"/>
      <protection locked="0"/>
    </xf>
    <xf numFmtId="0" fontId="7" fillId="0" borderId="19" xfId="1" applyFont="1" applyBorder="1" applyAlignment="1" applyProtection="1">
      <alignment horizontal="center" vertical="center" wrapText="1"/>
      <protection locked="0"/>
    </xf>
    <xf numFmtId="0" fontId="7" fillId="0" borderId="20" xfId="1" applyFont="1" applyBorder="1" applyAlignment="1" applyProtection="1">
      <alignment horizontal="center" vertical="center" wrapText="1"/>
      <protection locked="0"/>
    </xf>
    <xf numFmtId="0" fontId="7" fillId="0" borderId="21" xfId="1" applyFont="1" applyBorder="1" applyAlignment="1" applyProtection="1">
      <alignment horizontal="center" vertical="center" wrapText="1"/>
      <protection locked="0"/>
    </xf>
    <xf numFmtId="0" fontId="7" fillId="0" borderId="22" xfId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7" fillId="0" borderId="6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center" vertical="center"/>
      <protection locked="0"/>
    </xf>
    <xf numFmtId="0" fontId="7" fillId="0" borderId="23" xfId="1" applyFont="1" applyBorder="1" applyAlignment="1" applyProtection="1">
      <alignment horizontal="center" vertical="center"/>
      <protection locked="0"/>
    </xf>
    <xf numFmtId="0" fontId="7" fillId="0" borderId="20" xfId="1" applyFont="1" applyBorder="1" applyAlignment="1" applyProtection="1">
      <alignment horizontal="center" vertical="center"/>
      <protection locked="0"/>
    </xf>
    <xf numFmtId="0" fontId="7" fillId="0" borderId="0" xfId="1" applyFont="1" applyAlignment="1" applyProtection="1">
      <alignment horizontal="left" vertical="center"/>
      <protection locked="0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7" fillId="0" borderId="0" xfId="1" applyFont="1" applyAlignment="1" applyProtection="1">
      <alignment horizontal="left"/>
      <protection locked="0"/>
    </xf>
    <xf numFmtId="164" fontId="7" fillId="0" borderId="23" xfId="1" applyNumberFormat="1" applyFont="1" applyBorder="1" applyAlignment="1">
      <alignment horizontal="center" vertical="center"/>
    </xf>
    <xf numFmtId="164" fontId="7" fillId="0" borderId="20" xfId="1" applyNumberFormat="1" applyFont="1" applyBorder="1" applyAlignment="1">
      <alignment horizontal="center" vertical="center"/>
    </xf>
    <xf numFmtId="164" fontId="7" fillId="0" borderId="36" xfId="1" applyNumberFormat="1" applyFont="1" applyBorder="1" applyAlignment="1">
      <alignment horizontal="center" vertical="center"/>
    </xf>
    <xf numFmtId="0" fontId="7" fillId="0" borderId="23" xfId="1" applyFont="1" applyBorder="1" applyAlignment="1" applyProtection="1">
      <alignment horizontal="center"/>
      <protection locked="0"/>
    </xf>
    <xf numFmtId="0" fontId="7" fillId="0" borderId="20" xfId="1" applyFont="1" applyBorder="1" applyAlignment="1" applyProtection="1">
      <alignment horizontal="center"/>
      <protection locked="0"/>
    </xf>
    <xf numFmtId="0" fontId="7" fillId="0" borderId="36" xfId="1" applyFont="1" applyBorder="1" applyAlignment="1" applyProtection="1">
      <alignment horizontal="center"/>
      <protection locked="0"/>
    </xf>
    <xf numFmtId="0" fontId="6" fillId="0" borderId="6" xfId="1" applyFont="1" applyBorder="1" applyAlignment="1" applyProtection="1">
      <alignment horizontal="center" vertical="center" wrapText="1"/>
      <protection hidden="1"/>
    </xf>
    <xf numFmtId="0" fontId="6" fillId="0" borderId="0" xfId="1" applyFont="1" applyAlignment="1" applyProtection="1">
      <alignment horizontal="center" vertical="center" wrapText="1"/>
      <protection hidden="1"/>
    </xf>
    <xf numFmtId="0" fontId="2" fillId="0" borderId="9" xfId="1" applyFont="1" applyBorder="1" applyAlignment="1" applyProtection="1">
      <alignment horizontal="center" vertical="center"/>
      <protection hidden="1"/>
    </xf>
    <xf numFmtId="0" fontId="4" fillId="0" borderId="9" xfId="1" applyFont="1" applyBorder="1" applyAlignment="1" applyProtection="1">
      <alignment horizontal="center" vertical="center"/>
      <protection hidden="1"/>
    </xf>
    <xf numFmtId="14" fontId="7" fillId="0" borderId="0" xfId="1" applyNumberFormat="1" applyFont="1" applyAlignment="1" applyProtection="1">
      <alignment horizontal="left" vertical="center"/>
      <protection locked="0"/>
    </xf>
    <xf numFmtId="0" fontId="6" fillId="0" borderId="0" xfId="1" applyFont="1" applyAlignment="1" applyProtection="1">
      <alignment horizontal="center" vertical="center"/>
      <protection hidden="1"/>
    </xf>
    <xf numFmtId="0" fontId="6" fillId="0" borderId="7" xfId="1" applyFont="1" applyBorder="1" applyAlignment="1" applyProtection="1">
      <alignment horizontal="center" vertical="center"/>
      <protection hidden="1"/>
    </xf>
    <xf numFmtId="0" fontId="11" fillId="0" borderId="2" xfId="1" applyFont="1" applyBorder="1" applyAlignment="1" applyProtection="1">
      <alignment horizontal="center" vertical="center"/>
      <protection hidden="1"/>
    </xf>
    <xf numFmtId="0" fontId="6" fillId="0" borderId="6" xfId="1" applyFont="1" applyBorder="1" applyAlignment="1" applyProtection="1">
      <alignment horizontal="center" vertical="center"/>
      <protection locked="0"/>
    </xf>
    <xf numFmtId="0" fontId="6" fillId="0" borderId="0" xfId="1" applyFont="1" applyAlignment="1" applyProtection="1">
      <alignment horizontal="center" vertical="center"/>
      <protection locked="0"/>
    </xf>
    <xf numFmtId="0" fontId="6" fillId="0" borderId="7" xfId="1" applyFont="1" applyBorder="1" applyAlignment="1" applyProtection="1">
      <alignment horizontal="center" vertical="center"/>
      <protection locked="0"/>
    </xf>
    <xf numFmtId="14" fontId="6" fillId="0" borderId="6" xfId="1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Alignment="1" applyProtection="1">
      <alignment horizontal="center" vertical="center"/>
      <protection locked="0"/>
    </xf>
    <xf numFmtId="14" fontId="6" fillId="0" borderId="7" xfId="1" applyNumberFormat="1" applyFont="1" applyBorder="1" applyAlignment="1" applyProtection="1">
      <alignment horizontal="center" vertical="center"/>
      <protection locked="0"/>
    </xf>
    <xf numFmtId="0" fontId="11" fillId="0" borderId="8" xfId="1" applyFont="1" applyBorder="1" applyAlignment="1" applyProtection="1">
      <alignment horizontal="center" vertical="center"/>
      <protection hidden="1"/>
    </xf>
    <xf numFmtId="164" fontId="7" fillId="0" borderId="14" xfId="1" applyNumberFormat="1" applyFont="1" applyBorder="1" applyAlignment="1">
      <alignment horizontal="center" vertical="center"/>
    </xf>
    <xf numFmtId="0" fontId="7" fillId="0" borderId="9" xfId="1" applyFont="1" applyBorder="1" applyAlignment="1">
      <alignment vertical="center"/>
    </xf>
    <xf numFmtId="0" fontId="7" fillId="0" borderId="10" xfId="1" applyFont="1" applyBorder="1" applyAlignment="1">
      <alignment vertical="center"/>
    </xf>
    <xf numFmtId="0" fontId="1" fillId="0" borderId="3" xfId="1" applyFont="1" applyBorder="1" applyAlignment="1" applyProtection="1">
      <alignment horizontal="center" vertical="center" wrapText="1"/>
      <protection hidden="1"/>
    </xf>
    <xf numFmtId="0" fontId="1" fillId="0" borderId="4" xfId="1" applyFont="1" applyBorder="1" applyAlignment="1" applyProtection="1">
      <alignment horizontal="center" vertical="center" wrapText="1"/>
      <protection hidden="1"/>
    </xf>
    <xf numFmtId="0" fontId="1" fillId="0" borderId="5" xfId="1" applyFont="1" applyBorder="1" applyAlignment="1" applyProtection="1">
      <alignment horizontal="center" vertical="center" wrapText="1"/>
      <protection hidden="1"/>
    </xf>
    <xf numFmtId="0" fontId="1" fillId="0" borderId="6" xfId="1" applyFont="1" applyBorder="1" applyAlignment="1" applyProtection="1">
      <alignment horizontal="center" vertical="center" wrapText="1"/>
      <protection hidden="1"/>
    </xf>
    <xf numFmtId="0" fontId="1" fillId="0" borderId="0" xfId="1" applyFont="1" applyAlignment="1" applyProtection="1">
      <alignment horizontal="center" vertical="center" wrapText="1"/>
      <protection hidden="1"/>
    </xf>
    <xf numFmtId="0" fontId="1" fillId="0" borderId="7" xfId="1" applyFont="1" applyBorder="1" applyAlignment="1" applyProtection="1">
      <alignment horizontal="center" vertical="center" wrapText="1"/>
      <protection hidden="1"/>
    </xf>
    <xf numFmtId="0" fontId="1" fillId="0" borderId="1" xfId="1" applyFont="1" applyBorder="1" applyAlignment="1" applyProtection="1">
      <alignment horizontal="center" vertical="center" wrapText="1"/>
      <protection hidden="1"/>
    </xf>
    <xf numFmtId="0" fontId="1" fillId="0" borderId="2" xfId="1" applyFont="1" applyBorder="1" applyAlignment="1" applyProtection="1">
      <alignment horizontal="center" vertical="center" wrapText="1"/>
      <protection hidden="1"/>
    </xf>
    <xf numFmtId="0" fontId="1" fillId="0" borderId="8" xfId="1" applyFont="1" applyBorder="1" applyAlignment="1" applyProtection="1">
      <alignment horizontal="center" vertical="center" wrapText="1"/>
      <protection hidden="1"/>
    </xf>
    <xf numFmtId="0" fontId="9" fillId="0" borderId="3" xfId="1" applyFont="1" applyBorder="1" applyAlignment="1" applyProtection="1">
      <alignment horizontal="center" vertical="center"/>
      <protection hidden="1"/>
    </xf>
    <xf numFmtId="0" fontId="9" fillId="0" borderId="4" xfId="1" applyFont="1" applyBorder="1" applyAlignment="1" applyProtection="1">
      <alignment horizontal="center" vertical="center"/>
      <protection hidden="1"/>
    </xf>
    <xf numFmtId="0" fontId="9" fillId="0" borderId="5" xfId="1" applyFont="1" applyBorder="1" applyAlignment="1" applyProtection="1">
      <alignment horizontal="center" vertical="center"/>
      <protection hidden="1"/>
    </xf>
    <xf numFmtId="0" fontId="10" fillId="0" borderId="6" xfId="1" applyFont="1" applyBorder="1" applyAlignment="1" applyProtection="1">
      <alignment horizontal="center" vertical="center" wrapText="1"/>
      <protection hidden="1"/>
    </xf>
    <xf numFmtId="0" fontId="10" fillId="0" borderId="0" xfId="1" applyFont="1" applyAlignment="1" applyProtection="1">
      <alignment horizontal="center" vertical="center" wrapText="1"/>
      <protection hidden="1"/>
    </xf>
    <xf numFmtId="0" fontId="10" fillId="0" borderId="7" xfId="1" applyFont="1" applyBorder="1" applyAlignment="1" applyProtection="1">
      <alignment horizontal="center" vertical="center" wrapText="1"/>
      <protection hidden="1"/>
    </xf>
    <xf numFmtId="14" fontId="1" fillId="0" borderId="0" xfId="1" applyNumberFormat="1" applyFont="1" applyAlignment="1" applyProtection="1">
      <alignment horizontal="left" vertical="center"/>
      <protection locked="0"/>
    </xf>
    <xf numFmtId="0" fontId="7" fillId="0" borderId="6" xfId="1" applyFont="1" applyBorder="1" applyAlignment="1" applyProtection="1">
      <alignment horizontal="left" vertical="center" wrapText="1"/>
      <protection locked="0"/>
    </xf>
    <xf numFmtId="0" fontId="7" fillId="0" borderId="0" xfId="1" applyFont="1" applyAlignment="1" applyProtection="1">
      <alignment horizontal="left" vertical="center" wrapText="1"/>
      <protection locked="0"/>
    </xf>
    <xf numFmtId="0" fontId="7" fillId="0" borderId="7" xfId="1" applyFont="1" applyBorder="1" applyAlignment="1" applyProtection="1">
      <alignment horizontal="left" vertical="center" wrapText="1"/>
      <protection locked="0"/>
    </xf>
    <xf numFmtId="0" fontId="7" fillId="0" borderId="1" xfId="1" applyFont="1" applyBorder="1" applyAlignment="1" applyProtection="1">
      <alignment horizontal="left" vertical="center" wrapText="1"/>
      <protection locked="0"/>
    </xf>
    <xf numFmtId="0" fontId="7" fillId="0" borderId="2" xfId="1" applyFont="1" applyBorder="1" applyAlignment="1" applyProtection="1">
      <alignment horizontal="left" vertical="center" wrapText="1"/>
      <protection locked="0"/>
    </xf>
    <xf numFmtId="0" fontId="7" fillId="0" borderId="8" xfId="1" applyFont="1" applyBorder="1" applyAlignment="1" applyProtection="1">
      <alignment horizontal="left" vertical="center" wrapText="1"/>
      <protection locked="0"/>
    </xf>
    <xf numFmtId="0" fontId="5" fillId="0" borderId="1" xfId="1" applyFont="1" applyBorder="1" applyAlignment="1" applyProtection="1">
      <alignment horizontal="center" vertical="center"/>
      <protection hidden="1"/>
    </xf>
    <xf numFmtId="0" fontId="5" fillId="0" borderId="2" xfId="1" applyFont="1" applyBorder="1" applyAlignment="1" applyProtection="1">
      <alignment horizontal="center" vertical="center"/>
      <protection hidden="1"/>
    </xf>
    <xf numFmtId="0" fontId="5" fillId="0" borderId="8" xfId="1" applyFont="1" applyBorder="1" applyAlignment="1" applyProtection="1">
      <alignment horizontal="center" vertical="center"/>
      <protection hidden="1"/>
    </xf>
    <xf numFmtId="0" fontId="6" fillId="0" borderId="30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31" xfId="1" applyFont="1" applyBorder="1" applyAlignment="1">
      <alignment horizontal="center" vertical="center"/>
    </xf>
    <xf numFmtId="0" fontId="6" fillId="0" borderId="25" xfId="1" applyFont="1" applyBorder="1" applyAlignment="1">
      <alignment horizontal="center" vertical="center"/>
    </xf>
    <xf numFmtId="0" fontId="6" fillId="0" borderId="26" xfId="1" applyFont="1" applyBorder="1" applyAlignment="1">
      <alignment horizontal="center" vertical="center"/>
    </xf>
    <xf numFmtId="0" fontId="6" fillId="0" borderId="32" xfId="1" applyFont="1" applyBorder="1" applyAlignment="1">
      <alignment horizontal="center" vertical="center"/>
    </xf>
    <xf numFmtId="0" fontId="6" fillId="0" borderId="28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164" fontId="6" fillId="0" borderId="24" xfId="1" applyNumberFormat="1" applyFont="1" applyBorder="1" applyAlignment="1">
      <alignment horizontal="center" vertical="center"/>
    </xf>
    <xf numFmtId="0" fontId="7" fillId="0" borderId="25" xfId="1" applyFont="1" applyBorder="1"/>
    <xf numFmtId="0" fontId="7" fillId="0" borderId="26" xfId="1" applyFont="1" applyBorder="1"/>
    <xf numFmtId="164" fontId="6" fillId="0" borderId="27" xfId="1" applyNumberFormat="1" applyFont="1" applyBorder="1" applyAlignment="1">
      <alignment horizontal="center" vertical="top"/>
    </xf>
    <xf numFmtId="0" fontId="7" fillId="0" borderId="28" xfId="1" applyFont="1" applyBorder="1" applyAlignment="1">
      <alignment vertical="top"/>
    </xf>
    <xf numFmtId="0" fontId="7" fillId="0" borderId="29" xfId="1" applyFont="1" applyBorder="1" applyAlignment="1">
      <alignment vertical="top"/>
    </xf>
    <xf numFmtId="0" fontId="7" fillId="0" borderId="0" xfId="1" applyFont="1" applyAlignment="1" applyProtection="1">
      <alignment horizontal="center"/>
      <protection locked="0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/>
    <xf numFmtId="0" fontId="7" fillId="0" borderId="8" xfId="1" applyFont="1" applyBorder="1"/>
    <xf numFmtId="0" fontId="6" fillId="0" borderId="3" xfId="1" applyFont="1" applyBorder="1" applyAlignment="1">
      <alignment horizontal="center" vertical="center"/>
    </xf>
    <xf numFmtId="0" fontId="7" fillId="0" borderId="4" xfId="1" applyFont="1" applyBorder="1"/>
    <xf numFmtId="0" fontId="7" fillId="0" borderId="5" xfId="1" applyFont="1" applyBorder="1"/>
    <xf numFmtId="0" fontId="7" fillId="0" borderId="15" xfId="1" applyFont="1" applyBorder="1" applyAlignment="1" applyProtection="1">
      <alignment horizontal="center" vertical="center"/>
      <protection hidden="1"/>
    </xf>
    <xf numFmtId="0" fontId="7" fillId="0" borderId="16" xfId="1" applyFont="1" applyBorder="1" applyAlignment="1" applyProtection="1">
      <alignment horizontal="center" vertical="center"/>
      <protection hidden="1"/>
    </xf>
    <xf numFmtId="0" fontId="7" fillId="0" borderId="4" xfId="1" applyFont="1" applyBorder="1" applyAlignment="1">
      <alignment horizontal="center"/>
    </xf>
    <xf numFmtId="0" fontId="25" fillId="0" borderId="14" xfId="0" applyFont="1" applyBorder="1" applyAlignment="1" applyProtection="1">
      <alignment horizontal="center"/>
      <protection locked="0"/>
    </xf>
    <xf numFmtId="0" fontId="25" fillId="0" borderId="9" xfId="0" applyFont="1" applyBorder="1" applyAlignment="1" applyProtection="1">
      <alignment horizontal="center"/>
      <protection locked="0"/>
    </xf>
    <xf numFmtId="0" fontId="25" fillId="0" borderId="10" xfId="0" applyFont="1" applyBorder="1" applyAlignment="1" applyProtection="1">
      <alignment horizontal="center"/>
      <protection locked="0"/>
    </xf>
    <xf numFmtId="164" fontId="25" fillId="0" borderId="14" xfId="0" applyNumberFormat="1" applyFont="1" applyBorder="1" applyAlignment="1">
      <alignment horizontal="center" vertical="center"/>
    </xf>
    <xf numFmtId="0" fontId="25" fillId="0" borderId="9" xfId="0" applyFont="1" applyBorder="1" applyAlignment="1">
      <alignment vertical="center"/>
    </xf>
    <xf numFmtId="0" fontId="25" fillId="0" borderId="10" xfId="0" applyFont="1" applyBorder="1" applyAlignment="1">
      <alignment vertical="center"/>
    </xf>
    <xf numFmtId="0" fontId="29" fillId="0" borderId="6" xfId="0" applyFont="1" applyBorder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0" fontId="29" fillId="0" borderId="7" xfId="0" applyFont="1" applyBorder="1" applyAlignment="1" applyProtection="1">
      <alignment horizontal="center" vertical="center"/>
      <protection hidden="1"/>
    </xf>
    <xf numFmtId="0" fontId="29" fillId="0" borderId="1" xfId="0" applyFont="1" applyBorder="1" applyAlignment="1" applyProtection="1">
      <alignment horizontal="center" vertical="center"/>
      <protection hidden="1"/>
    </xf>
    <xf numFmtId="0" fontId="29" fillId="0" borderId="2" xfId="0" applyFont="1" applyBorder="1" applyAlignment="1" applyProtection="1">
      <alignment horizontal="center" vertical="center"/>
      <protection hidden="1"/>
    </xf>
    <xf numFmtId="0" fontId="29" fillId="0" borderId="8" xfId="0" applyFont="1" applyBorder="1" applyAlignment="1" applyProtection="1">
      <alignment horizontal="center" vertical="center"/>
      <protection hidden="1"/>
    </xf>
    <xf numFmtId="0" fontId="26" fillId="0" borderId="6" xfId="0" applyFont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0" fontId="26" fillId="0" borderId="7" xfId="0" applyFont="1" applyBorder="1" applyAlignment="1" applyProtection="1">
      <alignment horizontal="center" vertical="center"/>
      <protection hidden="1"/>
    </xf>
    <xf numFmtId="0" fontId="25" fillId="0" borderId="3" xfId="0" applyFont="1" applyBorder="1" applyAlignment="1" applyProtection="1">
      <alignment horizontal="center" vertical="center" wrapText="1"/>
      <protection locked="0"/>
    </xf>
    <xf numFmtId="0" fontId="25" fillId="0" borderId="4" xfId="0" applyFont="1" applyBorder="1" applyAlignment="1" applyProtection="1">
      <alignment horizontal="center" vertical="center" wrapText="1"/>
      <protection locked="0"/>
    </xf>
    <xf numFmtId="0" fontId="24" fillId="0" borderId="4" xfId="0" applyFont="1" applyBorder="1" applyAlignment="1" applyProtection="1">
      <alignment horizontal="center" vertical="center" wrapText="1"/>
      <protection locked="0"/>
    </xf>
    <xf numFmtId="0" fontId="24" fillId="0" borderId="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vertical="center" wrapText="1"/>
      <protection locked="0"/>
    </xf>
    <xf numFmtId="0" fontId="24" fillId="0" borderId="0" xfId="0" applyFont="1" applyAlignment="1" applyProtection="1">
      <alignment horizontal="center" vertical="center" wrapText="1"/>
      <protection locked="0"/>
    </xf>
    <xf numFmtId="0" fontId="24" fillId="0" borderId="7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24" fillId="0" borderId="8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left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9" fillId="0" borderId="33" xfId="0" applyFont="1" applyBorder="1" applyAlignment="1" applyProtection="1">
      <alignment horizontal="center" vertical="center"/>
      <protection hidden="1"/>
    </xf>
    <xf numFmtId="0" fontId="29" fillId="0" borderId="34" xfId="0" applyFont="1" applyBorder="1" applyAlignment="1" applyProtection="1">
      <alignment horizontal="center" vertical="center"/>
      <protection hidden="1"/>
    </xf>
    <xf numFmtId="0" fontId="29" fillId="0" borderId="35" xfId="0" applyFont="1" applyBorder="1" applyAlignment="1" applyProtection="1">
      <alignment horizontal="center" vertical="center"/>
      <protection hidden="1"/>
    </xf>
    <xf numFmtId="0" fontId="25" fillId="0" borderId="14" xfId="0" applyFont="1" applyBorder="1" applyAlignment="1" applyProtection="1">
      <alignment horizontal="center" vertical="center" wrapText="1"/>
      <protection locked="0"/>
    </xf>
    <xf numFmtId="0" fontId="25" fillId="0" borderId="9" xfId="0" applyFont="1" applyBorder="1" applyAlignment="1" applyProtection="1">
      <alignment horizontal="center" vertical="center" wrapText="1"/>
      <protection locked="0"/>
    </xf>
    <xf numFmtId="0" fontId="24" fillId="0" borderId="9" xfId="0" applyFont="1" applyBorder="1" applyAlignment="1" applyProtection="1">
      <alignment horizontal="center" vertical="center" wrapText="1"/>
      <protection locked="0"/>
    </xf>
    <xf numFmtId="0" fontId="24" fillId="0" borderId="10" xfId="0" applyFont="1" applyBorder="1" applyAlignment="1" applyProtection="1">
      <alignment horizontal="center" vertical="center" wrapText="1"/>
      <protection locked="0"/>
    </xf>
    <xf numFmtId="0" fontId="25" fillId="0" borderId="17" xfId="0" applyFont="1" applyBorder="1" applyAlignment="1" applyProtection="1">
      <alignment horizontal="center" vertical="center" wrapText="1"/>
      <protection locked="0"/>
    </xf>
    <xf numFmtId="0" fontId="25" fillId="0" borderId="18" xfId="0" applyFont="1" applyBorder="1" applyAlignment="1" applyProtection="1">
      <alignment horizontal="center" vertical="center" wrapText="1"/>
      <protection locked="0"/>
    </xf>
    <xf numFmtId="0" fontId="25" fillId="0" borderId="19" xfId="0" applyFont="1" applyBorder="1" applyAlignment="1" applyProtection="1">
      <alignment horizontal="center" vertical="center" wrapText="1"/>
      <protection locked="0"/>
    </xf>
    <xf numFmtId="0" fontId="25" fillId="0" borderId="20" xfId="0" applyFont="1" applyBorder="1" applyAlignment="1" applyProtection="1">
      <alignment horizontal="center" vertical="center" wrapText="1"/>
      <protection locked="0"/>
    </xf>
    <xf numFmtId="0" fontId="25" fillId="0" borderId="21" xfId="0" applyFont="1" applyBorder="1" applyAlignment="1" applyProtection="1">
      <alignment horizontal="center" vertical="center" wrapText="1"/>
      <protection locked="0"/>
    </xf>
    <xf numFmtId="0" fontId="25" fillId="0" borderId="22" xfId="0" applyFont="1" applyBorder="1" applyAlignment="1" applyProtection="1">
      <alignment horizontal="center" vertical="center"/>
      <protection locked="0"/>
    </xf>
    <xf numFmtId="0" fontId="25" fillId="0" borderId="17" xfId="0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5" fillId="0" borderId="23" xfId="0" applyFont="1" applyBorder="1" applyAlignment="1" applyProtection="1">
      <alignment horizontal="center" vertical="center"/>
      <protection locked="0"/>
    </xf>
    <xf numFmtId="0" fontId="25" fillId="0" borderId="20" xfId="0" applyFont="1" applyBorder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left" vertical="center"/>
      <protection locked="0"/>
    </xf>
    <xf numFmtId="0" fontId="32" fillId="0" borderId="4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25" fillId="0" borderId="0" xfId="0" applyFont="1" applyAlignment="1" applyProtection="1">
      <alignment horizontal="left"/>
      <protection locked="0"/>
    </xf>
    <xf numFmtId="164" fontId="25" fillId="0" borderId="23" xfId="0" applyNumberFormat="1" applyFont="1" applyBorder="1" applyAlignment="1">
      <alignment horizontal="center" vertical="center"/>
    </xf>
    <xf numFmtId="164" fontId="25" fillId="0" borderId="20" xfId="0" applyNumberFormat="1" applyFont="1" applyBorder="1" applyAlignment="1">
      <alignment horizontal="center" vertical="center"/>
    </xf>
    <xf numFmtId="164" fontId="25" fillId="0" borderId="36" xfId="0" applyNumberFormat="1" applyFont="1" applyBorder="1" applyAlignment="1">
      <alignment horizontal="center" vertical="center"/>
    </xf>
    <xf numFmtId="0" fontId="25" fillId="0" borderId="23" xfId="0" applyFont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locked="0"/>
    </xf>
    <xf numFmtId="0" fontId="25" fillId="0" borderId="36" xfId="0" applyFont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 vertical="center"/>
      <protection hidden="1"/>
    </xf>
    <xf numFmtId="0" fontId="32" fillId="0" borderId="7" xfId="0" applyFont="1" applyBorder="1" applyAlignment="1" applyProtection="1">
      <alignment horizontal="center" vertical="center"/>
      <protection hidden="1"/>
    </xf>
    <xf numFmtId="0" fontId="34" fillId="0" borderId="2" xfId="0" applyFont="1" applyBorder="1" applyAlignment="1" applyProtection="1">
      <alignment horizontal="center" vertical="center"/>
      <protection hidden="1"/>
    </xf>
    <xf numFmtId="0" fontId="32" fillId="0" borderId="6" xfId="0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14" fontId="32" fillId="0" borderId="6" xfId="0" applyNumberFormat="1" applyFont="1" applyBorder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center" vertical="center"/>
      <protection locked="0"/>
    </xf>
    <xf numFmtId="14" fontId="32" fillId="0" borderId="7" xfId="0" applyNumberFormat="1" applyFont="1" applyBorder="1" applyAlignment="1" applyProtection="1">
      <alignment horizontal="center" vertical="center"/>
      <protection locked="0"/>
    </xf>
    <xf numFmtId="0" fontId="34" fillId="0" borderId="8" xfId="0" applyFont="1" applyBorder="1" applyAlignment="1" applyProtection="1">
      <alignment horizontal="center" vertical="center"/>
      <protection hidden="1"/>
    </xf>
    <xf numFmtId="0" fontId="24" fillId="0" borderId="3" xfId="0" applyFont="1" applyBorder="1" applyAlignment="1" applyProtection="1">
      <alignment horizontal="center" vertical="center" wrapText="1"/>
      <protection hidden="1"/>
    </xf>
    <xf numFmtId="0" fontId="24" fillId="0" borderId="4" xfId="0" applyFont="1" applyBorder="1" applyAlignment="1" applyProtection="1">
      <alignment horizontal="center" vertical="center" wrapText="1"/>
      <protection hidden="1"/>
    </xf>
    <xf numFmtId="0" fontId="24" fillId="0" borderId="5" xfId="0" applyFont="1" applyBorder="1" applyAlignment="1" applyProtection="1">
      <alignment horizontal="center" vertical="center" wrapText="1"/>
      <protection hidden="1"/>
    </xf>
    <xf numFmtId="0" fontId="24" fillId="0" borderId="6" xfId="0" applyFont="1" applyBorder="1" applyAlignment="1" applyProtection="1">
      <alignment horizontal="center" vertical="center" wrapText="1"/>
      <protection hidden="1"/>
    </xf>
    <xf numFmtId="0" fontId="24" fillId="0" borderId="0" xfId="0" applyFont="1" applyAlignment="1" applyProtection="1">
      <alignment horizontal="center" vertical="center" wrapText="1"/>
      <protection hidden="1"/>
    </xf>
    <xf numFmtId="0" fontId="24" fillId="0" borderId="7" xfId="0" applyFont="1" applyBorder="1" applyAlignment="1" applyProtection="1">
      <alignment horizontal="center" vertical="center" wrapText="1"/>
      <protection hidden="1"/>
    </xf>
    <xf numFmtId="0" fontId="24" fillId="0" borderId="1" xfId="0" applyFont="1" applyBorder="1" applyAlignment="1" applyProtection="1">
      <alignment horizontal="center" vertical="center" wrapText="1"/>
      <protection hidden="1"/>
    </xf>
    <xf numFmtId="0" fontId="24" fillId="0" borderId="2" xfId="0" applyFont="1" applyBorder="1" applyAlignment="1" applyProtection="1">
      <alignment horizontal="center" vertical="center" wrapText="1"/>
      <protection hidden="1"/>
    </xf>
    <xf numFmtId="0" fontId="24" fillId="0" borderId="8" xfId="0" applyFont="1" applyBorder="1" applyAlignment="1" applyProtection="1">
      <alignment horizontal="center" vertical="center" wrapText="1"/>
      <protection hidden="1"/>
    </xf>
    <xf numFmtId="0" fontId="31" fillId="0" borderId="3" xfId="0" applyFont="1" applyBorder="1" applyAlignment="1" applyProtection="1">
      <alignment horizontal="center" vertical="center"/>
      <protection hidden="1"/>
    </xf>
    <xf numFmtId="0" fontId="31" fillId="0" borderId="4" xfId="0" applyFont="1" applyBorder="1" applyAlignment="1" applyProtection="1">
      <alignment horizontal="center" vertical="center"/>
      <protection hidden="1"/>
    </xf>
    <xf numFmtId="0" fontId="31" fillId="0" borderId="5" xfId="0" applyFont="1" applyBorder="1" applyAlignment="1" applyProtection="1">
      <alignment horizontal="center" vertical="center"/>
      <protection hidden="1"/>
    </xf>
    <xf numFmtId="0" fontId="33" fillId="0" borderId="6" xfId="0" applyFont="1" applyBorder="1" applyAlignment="1" applyProtection="1">
      <alignment horizontal="center" vertical="center" wrapText="1"/>
      <protection hidden="1"/>
    </xf>
    <xf numFmtId="0" fontId="33" fillId="0" borderId="0" xfId="0" applyFont="1" applyAlignment="1" applyProtection="1">
      <alignment horizontal="center" vertical="center" wrapText="1"/>
      <protection hidden="1"/>
    </xf>
    <xf numFmtId="0" fontId="33" fillId="0" borderId="7" xfId="0" applyFont="1" applyBorder="1" applyAlignment="1" applyProtection="1">
      <alignment horizontal="center" vertical="center" wrapText="1"/>
      <protection hidden="1"/>
    </xf>
    <xf numFmtId="0" fontId="32" fillId="0" borderId="6" xfId="0" applyFont="1" applyBorder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29" fillId="0" borderId="9" xfId="0" applyFont="1" applyBorder="1" applyAlignment="1" applyProtection="1">
      <alignment horizontal="center" vertical="center"/>
      <protection hidden="1"/>
    </xf>
    <xf numFmtId="0" fontId="27" fillId="0" borderId="9" xfId="0" applyFont="1" applyBorder="1" applyAlignment="1" applyProtection="1">
      <alignment horizontal="center" vertical="center"/>
      <protection hidden="1"/>
    </xf>
    <xf numFmtId="14" fontId="25" fillId="0" borderId="0" xfId="0" applyNumberFormat="1" applyFont="1" applyAlignment="1" applyProtection="1">
      <alignment horizontal="left" vertical="center"/>
      <protection locked="0"/>
    </xf>
    <xf numFmtId="0" fontId="25" fillId="0" borderId="6" xfId="0" applyFont="1" applyBorder="1" applyAlignment="1" applyProtection="1">
      <alignment horizontal="left" vertical="center" wrapText="1"/>
      <protection locked="0"/>
    </xf>
    <xf numFmtId="0" fontId="25" fillId="0" borderId="0" xfId="0" applyFont="1" applyAlignment="1" applyProtection="1">
      <alignment horizontal="left" vertical="center" wrapText="1"/>
      <protection locked="0"/>
    </xf>
    <xf numFmtId="0" fontId="25" fillId="0" borderId="7" xfId="0" applyFont="1" applyBorder="1" applyAlignment="1" applyProtection="1">
      <alignment horizontal="left" vertical="center" wrapText="1"/>
      <protection locked="0"/>
    </xf>
    <xf numFmtId="0" fontId="25" fillId="0" borderId="1" xfId="0" applyFont="1" applyBorder="1" applyAlignment="1" applyProtection="1">
      <alignment horizontal="left" vertical="center" wrapText="1"/>
      <protection locked="0"/>
    </xf>
    <xf numFmtId="0" fontId="25" fillId="0" borderId="2" xfId="0" applyFont="1" applyBorder="1" applyAlignment="1" applyProtection="1">
      <alignment horizontal="left" vertical="center" wrapText="1"/>
      <protection locked="0"/>
    </xf>
    <xf numFmtId="0" fontId="25" fillId="0" borderId="8" xfId="0" applyFont="1" applyBorder="1" applyAlignment="1" applyProtection="1">
      <alignment horizontal="left" vertical="center" wrapText="1"/>
      <protection locked="0"/>
    </xf>
    <xf numFmtId="0" fontId="26" fillId="0" borderId="1" xfId="0" applyFont="1" applyBorder="1" applyAlignment="1" applyProtection="1">
      <alignment horizontal="center" vertical="center"/>
      <protection hidden="1"/>
    </xf>
    <xf numFmtId="0" fontId="26" fillId="0" borderId="2" xfId="0" applyFont="1" applyBorder="1" applyAlignment="1" applyProtection="1">
      <alignment horizontal="center" vertical="center"/>
      <protection hidden="1"/>
    </xf>
    <xf numFmtId="0" fontId="26" fillId="0" borderId="8" xfId="0" applyFont="1" applyBorder="1" applyAlignment="1" applyProtection="1">
      <alignment horizontal="center" vertical="center"/>
      <protection hidden="1"/>
    </xf>
    <xf numFmtId="0" fontId="32" fillId="0" borderId="30" xfId="0" applyFont="1" applyBorder="1" applyAlignment="1">
      <alignment horizontal="center" vertical="center"/>
    </xf>
    <xf numFmtId="0" fontId="32" fillId="0" borderId="9" xfId="0" applyFont="1" applyBorder="1" applyAlignment="1">
      <alignment horizontal="center" vertical="center"/>
    </xf>
    <xf numFmtId="0" fontId="32" fillId="0" borderId="10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6" xfId="0" applyFont="1" applyBorder="1" applyAlignment="1">
      <alignment horizontal="center" vertical="center"/>
    </xf>
    <xf numFmtId="0" fontId="32" fillId="0" borderId="32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164" fontId="32" fillId="0" borderId="24" xfId="0" applyNumberFormat="1" applyFont="1" applyBorder="1" applyAlignment="1">
      <alignment horizontal="center" vertical="center"/>
    </xf>
    <xf numFmtId="0" fontId="25" fillId="0" borderId="25" xfId="0" applyFont="1" applyBorder="1"/>
    <xf numFmtId="0" fontId="25" fillId="0" borderId="26" xfId="0" applyFont="1" applyBorder="1"/>
    <xf numFmtId="164" fontId="32" fillId="0" borderId="27" xfId="0" applyNumberFormat="1" applyFont="1" applyBorder="1" applyAlignment="1">
      <alignment horizontal="center" vertical="top"/>
    </xf>
    <xf numFmtId="0" fontId="25" fillId="0" borderId="28" xfId="0" applyFont="1" applyBorder="1" applyAlignment="1">
      <alignment vertical="top"/>
    </xf>
    <xf numFmtId="0" fontId="25" fillId="0" borderId="29" xfId="0" applyFont="1" applyBorder="1" applyAlignment="1">
      <alignment vertical="top"/>
    </xf>
    <xf numFmtId="164" fontId="32" fillId="0" borderId="14" xfId="0" applyNumberFormat="1" applyFont="1" applyBorder="1" applyAlignment="1">
      <alignment horizontal="center" vertical="center"/>
    </xf>
    <xf numFmtId="0" fontId="25" fillId="0" borderId="9" xfId="0" applyFont="1" applyBorder="1"/>
    <xf numFmtId="0" fontId="25" fillId="0" borderId="10" xfId="0" applyFont="1" applyBorder="1"/>
    <xf numFmtId="0" fontId="25" fillId="0" borderId="0" xfId="0" applyFont="1" applyAlignment="1" applyProtection="1">
      <alignment horizontal="center"/>
      <protection locked="0"/>
    </xf>
    <xf numFmtId="0" fontId="32" fillId="0" borderId="1" xfId="0" applyFont="1" applyBorder="1" applyAlignment="1">
      <alignment horizontal="center" vertical="center"/>
    </xf>
    <xf numFmtId="0" fontId="25" fillId="0" borderId="2" xfId="0" applyFont="1" applyBorder="1"/>
    <xf numFmtId="0" fontId="25" fillId="0" borderId="8" xfId="0" applyFont="1" applyBorder="1"/>
    <xf numFmtId="0" fontId="32" fillId="0" borderId="3" xfId="0" applyFont="1" applyBorder="1" applyAlignment="1">
      <alignment horizontal="center" vertical="center"/>
    </xf>
    <xf numFmtId="0" fontId="25" fillId="0" borderId="4" xfId="0" applyFont="1" applyBorder="1"/>
    <xf numFmtId="0" fontId="25" fillId="0" borderId="5" xfId="0" applyFont="1" applyBorder="1"/>
    <xf numFmtId="0" fontId="25" fillId="0" borderId="15" xfId="0" applyFont="1" applyBorder="1" applyAlignment="1" applyProtection="1">
      <alignment horizontal="center" vertical="center"/>
      <protection hidden="1"/>
    </xf>
    <xf numFmtId="0" fontId="25" fillId="0" borderId="16" xfId="0" applyFont="1" applyBorder="1" applyAlignment="1" applyProtection="1">
      <alignment horizontal="center" vertical="center"/>
      <protection hidden="1"/>
    </xf>
    <xf numFmtId="0" fontId="25" fillId="0" borderId="4" xfId="0" applyFont="1" applyBorder="1" applyAlignment="1">
      <alignment horizontal="center"/>
    </xf>
    <xf numFmtId="0" fontId="7" fillId="0" borderId="24" xfId="1" applyFont="1" applyBorder="1" applyAlignment="1" applyProtection="1">
      <alignment horizontal="center"/>
      <protection locked="0"/>
    </xf>
    <xf numFmtId="0" fontId="7" fillId="0" borderId="25" xfId="1" applyFont="1" applyBorder="1" applyAlignment="1" applyProtection="1">
      <alignment horizontal="center"/>
      <protection locked="0"/>
    </xf>
    <xf numFmtId="0" fontId="7" fillId="0" borderId="26" xfId="1" applyFont="1" applyBorder="1" applyAlignment="1" applyProtection="1">
      <alignment horizontal="center"/>
      <protection locked="0"/>
    </xf>
    <xf numFmtId="164" fontId="7" fillId="0" borderId="24" xfId="1" applyNumberFormat="1" applyFont="1" applyBorder="1" applyAlignment="1">
      <alignment horizontal="center" vertical="center"/>
    </xf>
    <xf numFmtId="164" fontId="7" fillId="0" borderId="25" xfId="1" applyNumberFormat="1" applyFont="1" applyBorder="1" applyAlignment="1">
      <alignment horizontal="center" vertical="center"/>
    </xf>
    <xf numFmtId="164" fontId="7" fillId="0" borderId="26" xfId="1" applyNumberFormat="1" applyFont="1" applyBorder="1" applyAlignment="1">
      <alignment horizontal="center" vertical="center"/>
    </xf>
    <xf numFmtId="0" fontId="7" fillId="0" borderId="3" xfId="1" applyFont="1" applyBorder="1" applyAlignment="1" applyProtection="1">
      <alignment horizontal="left" vertical="center"/>
      <protection locked="0"/>
    </xf>
    <xf numFmtId="0" fontId="7" fillId="0" borderId="4" xfId="1" applyFont="1" applyBorder="1" applyAlignment="1" applyProtection="1">
      <alignment horizontal="left" vertical="center"/>
      <protection locked="0"/>
    </xf>
    <xf numFmtId="0" fontId="7" fillId="0" borderId="5" xfId="1" applyFont="1" applyBorder="1" applyAlignment="1" applyProtection="1">
      <alignment horizontal="left" vertical="center"/>
      <protection locked="0"/>
    </xf>
    <xf numFmtId="0" fontId="7" fillId="0" borderId="6" xfId="1" applyFont="1" applyBorder="1" applyAlignment="1" applyProtection="1">
      <alignment horizontal="left" vertical="center"/>
      <protection locked="0"/>
    </xf>
    <xf numFmtId="0" fontId="7" fillId="0" borderId="7" xfId="1" applyFont="1" applyBorder="1" applyAlignment="1" applyProtection="1">
      <alignment horizontal="left" vertical="center"/>
      <protection locked="0"/>
    </xf>
    <xf numFmtId="0" fontId="7" fillId="0" borderId="1" xfId="1" applyFont="1" applyBorder="1" applyAlignment="1" applyProtection="1">
      <alignment horizontal="left" vertical="center"/>
      <protection locked="0"/>
    </xf>
    <xf numFmtId="0" fontId="7" fillId="0" borderId="2" xfId="1" applyFont="1" applyBorder="1" applyAlignment="1" applyProtection="1">
      <alignment horizontal="left" vertical="center"/>
      <protection locked="0"/>
    </xf>
    <xf numFmtId="0" fontId="7" fillId="0" borderId="8" xfId="1" applyFont="1" applyBorder="1" applyAlignment="1" applyProtection="1">
      <alignment horizontal="left" vertical="center"/>
      <protection locked="0"/>
    </xf>
    <xf numFmtId="0" fontId="7" fillId="0" borderId="3" xfId="1" applyFont="1" applyBorder="1" applyAlignment="1" applyProtection="1">
      <alignment horizontal="center" vertical="center"/>
      <protection locked="0"/>
    </xf>
    <xf numFmtId="0" fontId="7" fillId="0" borderId="4" xfId="1" applyFont="1" applyBorder="1" applyAlignment="1" applyProtection="1">
      <alignment horizontal="center" vertical="center"/>
      <protection locked="0"/>
    </xf>
    <xf numFmtId="0" fontId="7" fillId="0" borderId="5" xfId="1" applyFont="1" applyBorder="1" applyAlignment="1" applyProtection="1">
      <alignment horizontal="center" vertical="center"/>
      <protection locked="0"/>
    </xf>
    <xf numFmtId="0" fontId="7" fillId="0" borderId="7" xfId="1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 applyProtection="1">
      <alignment horizontal="center" vertical="center"/>
      <protection locked="0"/>
    </xf>
    <xf numFmtId="0" fontId="7" fillId="0" borderId="2" xfId="1" applyFont="1" applyBorder="1" applyAlignment="1" applyProtection="1">
      <alignment horizontal="center" vertical="center"/>
      <protection locked="0"/>
    </xf>
    <xf numFmtId="0" fontId="7" fillId="0" borderId="8" xfId="1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hidden="1"/>
    </xf>
    <xf numFmtId="0" fontId="20" fillId="0" borderId="7" xfId="0" applyFont="1" applyBorder="1" applyAlignment="1" applyProtection="1">
      <alignment horizontal="center" vertical="center"/>
      <protection hidden="1"/>
    </xf>
    <xf numFmtId="0" fontId="20" fillId="0" borderId="6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" fillId="0" borderId="0" xfId="1" applyFont="1" applyAlignment="1" applyProtection="1">
      <alignment horizontal="center" vertical="center" textRotation="90"/>
      <protection hidden="1"/>
    </xf>
    <xf numFmtId="0" fontId="13" fillId="0" borderId="0" xfId="0" applyFont="1" applyAlignment="1" applyProtection="1">
      <alignment horizontal="center" vertical="center" wrapText="1"/>
      <protection locked="0"/>
    </xf>
    <xf numFmtId="0" fontId="13" fillId="0" borderId="0" xfId="0" applyFont="1" applyAlignment="1" applyProtection="1">
      <alignment horizontal="center"/>
      <protection locked="0"/>
    </xf>
    <xf numFmtId="164" fontId="13" fillId="0" borderId="14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3" fillId="0" borderId="14" xfId="0" applyFon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20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8" xfId="0" applyFont="1" applyBorder="1"/>
    <xf numFmtId="0" fontId="20" fillId="0" borderId="3" xfId="0" applyFont="1" applyBorder="1" applyAlignment="1">
      <alignment horizontal="center" vertical="center"/>
    </xf>
    <xf numFmtId="0" fontId="13" fillId="0" borderId="4" xfId="0" applyFont="1" applyBorder="1"/>
    <xf numFmtId="0" fontId="13" fillId="0" borderId="5" xfId="0" applyFont="1" applyBorder="1"/>
    <xf numFmtId="0" fontId="13" fillId="0" borderId="0" xfId="0" applyFont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 vertical="center" wrapText="1"/>
      <protection locked="0"/>
    </xf>
    <xf numFmtId="0" fontId="13" fillId="0" borderId="0" xfId="0" applyFont="1" applyAlignment="1" applyProtection="1">
      <alignment horizontal="left" vertical="center" wrapText="1"/>
      <protection locked="0"/>
    </xf>
    <xf numFmtId="0" fontId="13" fillId="0" borderId="7" xfId="0" applyFont="1" applyBorder="1" applyAlignment="1" applyProtection="1">
      <alignment horizontal="left" vertical="center" wrapText="1"/>
      <protection locked="0"/>
    </xf>
    <xf numFmtId="0" fontId="13" fillId="0" borderId="1" xfId="0" applyFont="1" applyBorder="1" applyAlignment="1" applyProtection="1">
      <alignment horizontal="left" vertical="center" wrapText="1"/>
      <protection locked="0"/>
    </xf>
    <xf numFmtId="0" fontId="13" fillId="0" borderId="2" xfId="0" applyFont="1" applyBorder="1" applyAlignment="1" applyProtection="1">
      <alignment horizontal="left" vertical="center" wrapText="1"/>
      <protection locked="0"/>
    </xf>
    <xf numFmtId="0" fontId="13" fillId="0" borderId="8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center" vertical="center"/>
      <protection hidden="1"/>
    </xf>
    <xf numFmtId="0" fontId="14" fillId="0" borderId="0" xfId="0" applyFont="1" applyAlignment="1" applyProtection="1">
      <alignment horizontal="center" vertical="center"/>
      <protection hidden="1"/>
    </xf>
    <xf numFmtId="0" fontId="14" fillId="0" borderId="7" xfId="0" applyFont="1" applyBorder="1" applyAlignment="1" applyProtection="1">
      <alignment horizontal="center" vertical="center"/>
      <protection hidden="1"/>
    </xf>
    <xf numFmtId="0" fontId="14" fillId="0" borderId="1" xfId="0" applyFont="1" applyBorder="1" applyAlignment="1" applyProtection="1">
      <alignment horizontal="center" vertical="center"/>
      <protection hidden="1"/>
    </xf>
    <xf numFmtId="0" fontId="14" fillId="0" borderId="2" xfId="0" applyFont="1" applyBorder="1" applyAlignment="1" applyProtection="1">
      <alignment horizontal="center" vertical="center"/>
      <protection hidden="1"/>
    </xf>
    <xf numFmtId="0" fontId="14" fillId="0" borderId="8" xfId="0" applyFont="1" applyBorder="1" applyAlignment="1" applyProtection="1">
      <alignment horizontal="center" vertical="center"/>
      <protection hidden="1"/>
    </xf>
    <xf numFmtId="0" fontId="13" fillId="0" borderId="15" xfId="0" applyFont="1" applyBorder="1" applyAlignment="1" applyProtection="1">
      <alignment horizontal="center" vertical="center"/>
      <protection hidden="1"/>
    </xf>
    <xf numFmtId="0" fontId="13" fillId="0" borderId="16" xfId="0" applyFont="1" applyBorder="1" applyAlignment="1" applyProtection="1">
      <alignment horizontal="center" vertical="center"/>
      <protection hidden="1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0" borderId="20" xfId="0" applyFont="1" applyBorder="1" applyAlignment="1" applyProtection="1">
      <alignment horizontal="center"/>
      <protection locked="0"/>
    </xf>
    <xf numFmtId="0" fontId="13" fillId="0" borderId="36" xfId="0" applyFont="1" applyBorder="1" applyAlignment="1" applyProtection="1">
      <alignment horizontal="center"/>
      <protection locked="0"/>
    </xf>
    <xf numFmtId="0" fontId="20" fillId="0" borderId="30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7" fillId="0" borderId="9" xfId="0" applyFont="1" applyBorder="1" applyAlignment="1" applyProtection="1">
      <alignment horizontal="center" vertical="center"/>
      <protection hidden="1"/>
    </xf>
    <xf numFmtId="0" fontId="15" fillId="0" borderId="9" xfId="0" applyFont="1" applyBorder="1" applyAlignment="1" applyProtection="1">
      <alignment horizontal="center" vertical="center"/>
      <protection hidden="1"/>
    </xf>
    <xf numFmtId="14" fontId="13" fillId="0" borderId="0" xfId="0" applyNumberFormat="1" applyFont="1" applyAlignment="1" applyProtection="1">
      <alignment horizontal="left" vertical="center"/>
      <protection locked="0"/>
    </xf>
    <xf numFmtId="0" fontId="22" fillId="0" borderId="2" xfId="0" applyFont="1" applyBorder="1" applyAlignment="1" applyProtection="1">
      <alignment horizontal="center" vertical="center"/>
      <protection hidden="1"/>
    </xf>
    <xf numFmtId="14" fontId="20" fillId="0" borderId="6" xfId="0" applyNumberFormat="1" applyFont="1" applyBorder="1" applyAlignment="1" applyProtection="1">
      <alignment horizontal="center" vertical="center"/>
      <protection locked="0"/>
    </xf>
    <xf numFmtId="14" fontId="20" fillId="0" borderId="0" xfId="0" applyNumberFormat="1" applyFont="1" applyAlignment="1" applyProtection="1">
      <alignment horizontal="center" vertical="center"/>
      <protection locked="0"/>
    </xf>
    <xf numFmtId="14" fontId="20" fillId="0" borderId="7" xfId="0" applyNumberFormat="1" applyFont="1" applyBorder="1" applyAlignment="1" applyProtection="1">
      <alignment horizontal="center" vertical="center"/>
      <protection locked="0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9" fillId="0" borderId="4" xfId="0" applyFont="1" applyBorder="1" applyAlignment="1" applyProtection="1">
      <alignment horizontal="center" vertical="center"/>
      <protection hidden="1"/>
    </xf>
    <xf numFmtId="0" fontId="19" fillId="0" borderId="5" xfId="0" applyFont="1" applyBorder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left" vertical="center"/>
      <protection hidden="1"/>
    </xf>
    <xf numFmtId="0" fontId="13" fillId="0" borderId="0" xfId="0" applyFont="1" applyAlignment="1" applyProtection="1">
      <alignment horizontal="left" vertical="center"/>
      <protection locked="0"/>
    </xf>
    <xf numFmtId="0" fontId="22" fillId="0" borderId="8" xfId="0" applyFont="1" applyBorder="1" applyAlignment="1" applyProtection="1">
      <alignment horizontal="center" vertical="center"/>
      <protection hidden="1"/>
    </xf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18" xfId="0" applyFont="1" applyBorder="1" applyAlignment="1" applyProtection="1">
      <alignment horizontal="center" vertical="center" wrapText="1"/>
      <protection locked="0"/>
    </xf>
    <xf numFmtId="0" fontId="13" fillId="0" borderId="19" xfId="0" applyFont="1" applyBorder="1" applyAlignment="1" applyProtection="1">
      <alignment horizontal="center" vertical="center" wrapText="1"/>
      <protection locked="0"/>
    </xf>
    <xf numFmtId="0" fontId="13" fillId="0" borderId="20" xfId="0" applyFont="1" applyBorder="1" applyAlignment="1" applyProtection="1">
      <alignment horizontal="center" vertical="center" wrapText="1"/>
      <protection locked="0"/>
    </xf>
    <xf numFmtId="0" fontId="13" fillId="0" borderId="21" xfId="0" applyFont="1" applyBorder="1" applyAlignment="1" applyProtection="1">
      <alignment horizontal="center" vertical="center" wrapText="1"/>
      <protection locked="0"/>
    </xf>
    <xf numFmtId="0" fontId="13" fillId="0" borderId="22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0" borderId="6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23" xfId="0" applyFont="1" applyBorder="1" applyAlignment="1" applyProtection="1">
      <alignment horizontal="center" vertical="center"/>
      <protection locked="0"/>
    </xf>
    <xf numFmtId="0" fontId="13" fillId="0" borderId="20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left"/>
      <protection locked="0"/>
    </xf>
    <xf numFmtId="164" fontId="13" fillId="0" borderId="23" xfId="0" applyNumberFormat="1" applyFont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36" xfId="0" applyNumberFormat="1" applyFont="1" applyBorder="1" applyAlignment="1">
      <alignment horizontal="center" vertical="center"/>
    </xf>
    <xf numFmtId="0" fontId="21" fillId="0" borderId="6" xfId="0" applyFont="1" applyBorder="1" applyAlignment="1" applyProtection="1">
      <alignment horizontal="center" vertical="center" wrapText="1"/>
      <protection hidden="1"/>
    </xf>
    <xf numFmtId="0" fontId="21" fillId="0" borderId="0" xfId="0" applyFont="1" applyAlignment="1" applyProtection="1">
      <alignment horizontal="center" vertical="center" wrapText="1"/>
      <protection hidden="1"/>
    </xf>
    <xf numFmtId="0" fontId="21" fillId="0" borderId="7" xfId="0" applyFont="1" applyBorder="1" applyAlignment="1" applyProtection="1">
      <alignment horizontal="center" vertical="center" wrapText="1"/>
      <protection hidden="1"/>
    </xf>
    <xf numFmtId="0" fontId="20" fillId="0" borderId="6" xfId="0" applyFont="1" applyBorder="1" applyAlignment="1" applyProtection="1">
      <alignment horizontal="center" vertical="center" wrapText="1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17" fillId="0" borderId="33" xfId="0" applyFont="1" applyBorder="1" applyAlignment="1" applyProtection="1">
      <alignment horizontal="center" vertical="center"/>
      <protection hidden="1"/>
    </xf>
    <xf numFmtId="0" fontId="17" fillId="0" borderId="34" xfId="0" applyFont="1" applyBorder="1" applyAlignment="1" applyProtection="1">
      <alignment horizontal="center" vertical="center"/>
      <protection hidden="1"/>
    </xf>
    <xf numFmtId="0" fontId="17" fillId="0" borderId="35" xfId="0" applyFont="1" applyBorder="1" applyAlignment="1" applyProtection="1">
      <alignment horizontal="center" vertical="center"/>
      <protection hidden="1"/>
    </xf>
    <xf numFmtId="0" fontId="13" fillId="0" borderId="14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12" fillId="0" borderId="9" xfId="0" applyFont="1" applyBorder="1" applyAlignment="1" applyProtection="1">
      <alignment horizontal="center" vertical="center" wrapText="1"/>
      <protection locked="0"/>
    </xf>
    <xf numFmtId="0" fontId="12" fillId="0" borderId="10" xfId="0" applyFont="1" applyBorder="1" applyAlignment="1" applyProtection="1">
      <alignment horizontal="center" vertical="center" wrapText="1"/>
      <protection locked="0"/>
    </xf>
    <xf numFmtId="0" fontId="17" fillId="0" borderId="6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7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8" xfId="0" applyFont="1" applyBorder="1" applyAlignment="1" applyProtection="1">
      <alignment horizontal="center" vertical="center"/>
      <protection hidden="1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13" fillId="0" borderId="23" xfId="0" applyFont="1" applyBorder="1" applyAlignment="1" applyProtection="1">
      <alignment horizontal="center"/>
      <protection locked="0"/>
    </xf>
    <xf numFmtId="164" fontId="20" fillId="0" borderId="24" xfId="0" applyNumberFormat="1" applyFont="1" applyBorder="1" applyAlignment="1">
      <alignment horizontal="center" vertical="center"/>
    </xf>
    <xf numFmtId="0" fontId="13" fillId="0" borderId="25" xfId="0" applyFont="1" applyBorder="1"/>
    <xf numFmtId="0" fontId="13" fillId="0" borderId="26" xfId="0" applyFont="1" applyBorder="1"/>
    <xf numFmtId="164" fontId="20" fillId="0" borderId="27" xfId="0" applyNumberFormat="1" applyFont="1" applyBorder="1" applyAlignment="1">
      <alignment horizontal="center" vertical="top"/>
    </xf>
    <xf numFmtId="0" fontId="13" fillId="0" borderId="28" xfId="0" applyFont="1" applyBorder="1" applyAlignment="1">
      <alignment vertical="top"/>
    </xf>
    <xf numFmtId="0" fontId="13" fillId="0" borderId="29" xfId="0" applyFont="1" applyBorder="1" applyAlignment="1">
      <alignment vertical="top"/>
    </xf>
    <xf numFmtId="164" fontId="20" fillId="0" borderId="14" xfId="0" applyNumberFormat="1" applyFont="1" applyBorder="1" applyAlignment="1">
      <alignment horizontal="center" vertical="center"/>
    </xf>
    <xf numFmtId="0" fontId="13" fillId="0" borderId="9" xfId="0" applyFont="1" applyBorder="1"/>
    <xf numFmtId="0" fontId="13" fillId="0" borderId="10" xfId="0" applyFont="1" applyBorder="1"/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164" fontId="7" fillId="0" borderId="14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16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24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6" xfId="0" applyFont="1" applyBorder="1" applyAlignment="1" applyProtection="1">
      <alignment horizontal="center"/>
      <protection locked="0"/>
    </xf>
    <xf numFmtId="0" fontId="6" fillId="0" borderId="30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164" fontId="6" fillId="0" borderId="14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left" vertical="center"/>
      <protection locked="0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7" fillId="0" borderId="17" xfId="0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 applyProtection="1">
      <alignment horizontal="center" vertical="center" wrapText="1"/>
      <protection locked="0"/>
    </xf>
    <xf numFmtId="0" fontId="7" fillId="0" borderId="19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21" xfId="0" applyFont="1" applyBorder="1" applyAlignment="1" applyProtection="1">
      <alignment horizontal="center" vertical="center" wrapText="1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20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/>
      <protection locked="0"/>
    </xf>
    <xf numFmtId="164" fontId="7" fillId="0" borderId="24" xfId="0" applyNumberFormat="1" applyFont="1" applyBorder="1" applyAlignment="1">
      <alignment horizontal="center" vertical="center"/>
    </xf>
    <xf numFmtId="164" fontId="7" fillId="0" borderId="25" xfId="0" applyNumberFormat="1" applyFont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7" fillId="0" borderId="25" xfId="0" applyFont="1" applyBorder="1"/>
    <xf numFmtId="0" fontId="7" fillId="0" borderId="26" xfId="0" applyFont="1" applyBorder="1"/>
    <xf numFmtId="164" fontId="6" fillId="0" borderId="27" xfId="0" applyNumberFormat="1" applyFont="1" applyBorder="1" applyAlignment="1">
      <alignment horizontal="center" vertical="top"/>
    </xf>
    <xf numFmtId="0" fontId="7" fillId="0" borderId="28" xfId="0" applyFont="1" applyBorder="1" applyAlignment="1">
      <alignment vertical="top"/>
    </xf>
    <xf numFmtId="0" fontId="7" fillId="0" borderId="29" xfId="0" applyFont="1" applyBorder="1" applyAlignment="1">
      <alignment vertical="top"/>
    </xf>
  </cellXfs>
  <cellStyles count="2">
    <cellStyle name="Normal" xfId="0" builtinId="0"/>
    <cellStyle name="Normal 2" xfId="1" xr:uid="{3CE9E857-0A2D-4748-9A9B-CDE00D3A1C2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6755D17-261A-44A8-BD65-031F5C55C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>
    <xdr:from>
      <xdr:col>17</xdr:col>
      <xdr:colOff>0</xdr:colOff>
      <xdr:row>24</xdr:row>
      <xdr:rowOff>0</xdr:rowOff>
    </xdr:from>
    <xdr:to>
      <xdr:col>17</xdr:col>
      <xdr:colOff>0</xdr:colOff>
      <xdr:row>44</xdr:row>
      <xdr:rowOff>190500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4408BDBB-54DF-4B24-9674-D5D154E5013C}"/>
            </a:ext>
          </a:extLst>
        </xdr:cNvPr>
        <xdr:cNvCxnSpPr/>
      </xdr:nvCxnSpPr>
      <xdr:spPr>
        <a:xfrm>
          <a:off x="5958840" y="4457700"/>
          <a:ext cx="0" cy="5067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0</xdr:colOff>
      <xdr:row>31</xdr:row>
      <xdr:rowOff>0</xdr:rowOff>
    </xdr:from>
    <xdr:ext cx="264560" cy="1325171"/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434C34F3-D93C-4706-B49A-786761D5E086}"/>
            </a:ext>
          </a:extLst>
        </xdr:cNvPr>
        <xdr:cNvSpPr txBox="1"/>
      </xdr:nvSpPr>
      <xdr:spPr>
        <a:xfrm rot="5400000">
          <a:off x="5779054" y="6694886"/>
          <a:ext cx="13251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Rue</a:t>
          </a:r>
          <a:r>
            <a:rPr lang="fr-FR" sz="1100" kern="1200" baseline="0"/>
            <a:t> de la Poudrette</a:t>
          </a:r>
          <a:endParaRPr lang="fr-FR" sz="1100" kern="1200"/>
        </a:p>
      </xdr:txBody>
    </xdr:sp>
    <xdr:clientData/>
  </xdr:oneCellAnchor>
  <xdr:twoCellAnchor>
    <xdr:from>
      <xdr:col>19</xdr:col>
      <xdr:colOff>0</xdr:colOff>
      <xdr:row>24</xdr:row>
      <xdr:rowOff>0</xdr:rowOff>
    </xdr:from>
    <xdr:to>
      <xdr:col>19</xdr:col>
      <xdr:colOff>0</xdr:colOff>
      <xdr:row>44</xdr:row>
      <xdr:rowOff>190500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F73FD1EF-815B-4292-B838-CC9871CA3B39}"/>
            </a:ext>
          </a:extLst>
        </xdr:cNvPr>
        <xdr:cNvCxnSpPr/>
      </xdr:nvCxnSpPr>
      <xdr:spPr>
        <a:xfrm>
          <a:off x="6659880" y="4457700"/>
          <a:ext cx="0" cy="5067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26</xdr:row>
      <xdr:rowOff>236220</xdr:rowOff>
    </xdr:from>
    <xdr:to>
      <xdr:col>20</xdr:col>
      <xdr:colOff>7620</xdr:colOff>
      <xdr:row>43</xdr:row>
      <xdr:rowOff>15240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1CD55EC5-63D1-49E6-953F-87E4F9EA07E4}"/>
            </a:ext>
          </a:extLst>
        </xdr:cNvPr>
        <xdr:cNvCxnSpPr/>
      </xdr:nvCxnSpPr>
      <xdr:spPr>
        <a:xfrm flipH="1">
          <a:off x="7010400" y="5181600"/>
          <a:ext cx="7620" cy="3924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24</xdr:row>
      <xdr:rowOff>0</xdr:rowOff>
    </xdr:from>
    <xdr:to>
      <xdr:col>21</xdr:col>
      <xdr:colOff>81915</xdr:colOff>
      <xdr:row>24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21453F3C-BA78-4F8F-943B-7F84D20C3AB4}"/>
            </a:ext>
          </a:extLst>
        </xdr:cNvPr>
        <xdr:cNvCxnSpPr/>
      </xdr:nvCxnSpPr>
      <xdr:spPr>
        <a:xfrm>
          <a:off x="7010400" y="4457700"/>
          <a:ext cx="4324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27</xdr:row>
      <xdr:rowOff>0</xdr:rowOff>
    </xdr:from>
    <xdr:to>
      <xdr:col>21</xdr:col>
      <xdr:colOff>81915</xdr:colOff>
      <xdr:row>27</xdr:row>
      <xdr:rowOff>0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CD7AA576-DC9A-4A2D-829D-731EF64435EF}"/>
            </a:ext>
          </a:extLst>
        </xdr:cNvPr>
        <xdr:cNvCxnSpPr/>
      </xdr:nvCxnSpPr>
      <xdr:spPr>
        <a:xfrm>
          <a:off x="7010400" y="5189220"/>
          <a:ext cx="4324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175260</xdr:colOff>
      <xdr:row>24</xdr:row>
      <xdr:rowOff>68580</xdr:rowOff>
    </xdr:from>
    <xdr:ext cx="699135" cy="43678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0F701E60-7928-4F09-8618-4B4F33EE24E4}"/>
            </a:ext>
          </a:extLst>
        </xdr:cNvPr>
        <xdr:cNvSpPr txBox="1"/>
      </xdr:nvSpPr>
      <xdr:spPr>
        <a:xfrm>
          <a:off x="6835140" y="4526280"/>
          <a:ext cx="69913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kern="1200"/>
            <a:t>Portail</a:t>
          </a:r>
          <a:r>
            <a:rPr lang="fr-FR" sz="1100" kern="1200" baseline="0"/>
            <a:t> d'e</a:t>
          </a:r>
          <a:r>
            <a:rPr lang="fr-FR" sz="1100" kern="1200"/>
            <a:t>ntrée</a:t>
          </a:r>
        </a:p>
      </xdr:txBody>
    </xdr:sp>
    <xdr:clientData/>
  </xdr:oneCellAnchor>
  <xdr:twoCellAnchor>
    <xdr:from>
      <xdr:col>20</xdr:col>
      <xdr:colOff>0</xdr:colOff>
      <xdr:row>47</xdr:row>
      <xdr:rowOff>0</xdr:rowOff>
    </xdr:from>
    <xdr:to>
      <xdr:col>21</xdr:col>
      <xdr:colOff>81915</xdr:colOff>
      <xdr:row>47</xdr:row>
      <xdr:rowOff>0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880EB92F-AC72-4F7E-A634-76A945029A9E}"/>
            </a:ext>
          </a:extLst>
        </xdr:cNvPr>
        <xdr:cNvCxnSpPr/>
      </xdr:nvCxnSpPr>
      <xdr:spPr>
        <a:xfrm>
          <a:off x="7010400" y="9928860"/>
          <a:ext cx="4324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0</xdr:rowOff>
    </xdr:from>
    <xdr:to>
      <xdr:col>21</xdr:col>
      <xdr:colOff>81915</xdr:colOff>
      <xdr:row>43</xdr:row>
      <xdr:rowOff>0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0216A304-0CE2-43EE-B80A-01E87760C03F}"/>
            </a:ext>
          </a:extLst>
        </xdr:cNvPr>
        <xdr:cNvCxnSpPr/>
      </xdr:nvCxnSpPr>
      <xdr:spPr>
        <a:xfrm>
          <a:off x="7010400" y="9090660"/>
          <a:ext cx="43243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0</xdr:colOff>
      <xdr:row>45</xdr:row>
      <xdr:rowOff>0</xdr:rowOff>
    </xdr:from>
    <xdr:ext cx="699135" cy="436786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2D0E9BB8-FE3D-4512-8B32-1BB13B229AC5}"/>
            </a:ext>
          </a:extLst>
        </xdr:cNvPr>
        <xdr:cNvSpPr txBox="1"/>
      </xdr:nvSpPr>
      <xdr:spPr>
        <a:xfrm>
          <a:off x="7010400" y="9532620"/>
          <a:ext cx="69913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kern="1200"/>
            <a:t>Portail</a:t>
          </a:r>
          <a:r>
            <a:rPr lang="fr-FR" sz="1100" kern="1200" baseline="0"/>
            <a:t> de sortie</a:t>
          </a:r>
          <a:endParaRPr lang="fr-FR" sz="1100" kern="1200"/>
        </a:p>
      </xdr:txBody>
    </xdr:sp>
    <xdr:clientData/>
  </xdr:oneCellAnchor>
  <xdr:oneCellAnchor>
    <xdr:from>
      <xdr:col>21</xdr:col>
      <xdr:colOff>266700</xdr:colOff>
      <xdr:row>27</xdr:row>
      <xdr:rowOff>121920</xdr:rowOff>
    </xdr:from>
    <xdr:ext cx="288669" cy="342786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385D12EC-AD8B-4D03-B3AB-6556CAC12268}"/>
            </a:ext>
          </a:extLst>
        </xdr:cNvPr>
        <xdr:cNvSpPr txBox="1"/>
      </xdr:nvSpPr>
      <xdr:spPr>
        <a:xfrm>
          <a:off x="7627620" y="531114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1</a:t>
          </a:r>
        </a:p>
      </xdr:txBody>
    </xdr:sp>
    <xdr:clientData/>
  </xdr:oneCellAnchor>
  <xdr:oneCellAnchor>
    <xdr:from>
      <xdr:col>21</xdr:col>
      <xdr:colOff>312420</xdr:colOff>
      <xdr:row>32</xdr:row>
      <xdr:rowOff>30480</xdr:rowOff>
    </xdr:from>
    <xdr:ext cx="288669" cy="342786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0D378F96-078E-4963-AD0E-B35E0AAA1676}"/>
            </a:ext>
          </a:extLst>
        </xdr:cNvPr>
        <xdr:cNvSpPr txBox="1"/>
      </xdr:nvSpPr>
      <xdr:spPr>
        <a:xfrm>
          <a:off x="7673340" y="643890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3</a:t>
          </a:r>
        </a:p>
      </xdr:txBody>
    </xdr:sp>
    <xdr:clientData/>
  </xdr:oneCellAnchor>
  <xdr:oneCellAnchor>
    <xdr:from>
      <xdr:col>21</xdr:col>
      <xdr:colOff>281940</xdr:colOff>
      <xdr:row>29</xdr:row>
      <xdr:rowOff>175260</xdr:rowOff>
    </xdr:from>
    <xdr:ext cx="288669" cy="342786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AB2D489C-AC7A-4C86-A7D9-EA4A94926DCC}"/>
            </a:ext>
          </a:extLst>
        </xdr:cNvPr>
        <xdr:cNvSpPr txBox="1"/>
      </xdr:nvSpPr>
      <xdr:spPr>
        <a:xfrm>
          <a:off x="7642860" y="585216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2</a:t>
          </a:r>
        </a:p>
      </xdr:txBody>
    </xdr:sp>
    <xdr:clientData/>
  </xdr:oneCellAnchor>
  <xdr:oneCellAnchor>
    <xdr:from>
      <xdr:col>23</xdr:col>
      <xdr:colOff>167640</xdr:colOff>
      <xdr:row>37</xdr:row>
      <xdr:rowOff>175260</xdr:rowOff>
    </xdr:from>
    <xdr:ext cx="288669" cy="342786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86C2E08A-5AE1-4E6B-BFB2-BB4019ED3E8D}"/>
            </a:ext>
          </a:extLst>
        </xdr:cNvPr>
        <xdr:cNvSpPr txBox="1"/>
      </xdr:nvSpPr>
      <xdr:spPr>
        <a:xfrm>
          <a:off x="8229600" y="780288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6</a:t>
          </a:r>
        </a:p>
      </xdr:txBody>
    </xdr:sp>
    <xdr:clientData/>
  </xdr:oneCellAnchor>
  <xdr:oneCellAnchor>
    <xdr:from>
      <xdr:col>21</xdr:col>
      <xdr:colOff>327660</xdr:colOff>
      <xdr:row>34</xdr:row>
      <xdr:rowOff>91440</xdr:rowOff>
    </xdr:from>
    <xdr:ext cx="288669" cy="342786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7CFC58AD-6BCA-4A00-B304-4DC6676BE0C8}"/>
            </a:ext>
          </a:extLst>
        </xdr:cNvPr>
        <xdr:cNvSpPr txBox="1"/>
      </xdr:nvSpPr>
      <xdr:spPr>
        <a:xfrm>
          <a:off x="7688580" y="698754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4</a:t>
          </a:r>
        </a:p>
      </xdr:txBody>
    </xdr:sp>
    <xdr:clientData/>
  </xdr:oneCellAnchor>
  <xdr:oneCellAnchor>
    <xdr:from>
      <xdr:col>21</xdr:col>
      <xdr:colOff>342901</xdr:colOff>
      <xdr:row>36</xdr:row>
      <xdr:rowOff>129540</xdr:rowOff>
    </xdr:from>
    <xdr:ext cx="259080" cy="342786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1DE252AB-B4DA-478E-AB57-184B741E14EC}"/>
            </a:ext>
          </a:extLst>
        </xdr:cNvPr>
        <xdr:cNvSpPr txBox="1"/>
      </xdr:nvSpPr>
      <xdr:spPr>
        <a:xfrm flipH="1">
          <a:off x="7703821" y="7513320"/>
          <a:ext cx="25908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600" kern="1200"/>
            <a:t>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C5AB969B-8F92-4524-8E0F-18A554C1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twoCellAnchor>
    <xdr:from>
      <xdr:col>19</xdr:col>
      <xdr:colOff>257175</xdr:colOff>
      <xdr:row>29</xdr:row>
      <xdr:rowOff>0</xdr:rowOff>
    </xdr:from>
    <xdr:to>
      <xdr:col>20</xdr:col>
      <xdr:colOff>339090</xdr:colOff>
      <xdr:row>29</xdr:row>
      <xdr:rowOff>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76DFB47F-24C5-4EC2-A7A0-EE42F8B76FAC}"/>
            </a:ext>
          </a:extLst>
        </xdr:cNvPr>
        <xdr:cNvCxnSpPr/>
      </xdr:nvCxnSpPr>
      <xdr:spPr>
        <a:xfrm>
          <a:off x="15095220" y="4972050"/>
          <a:ext cx="86487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276225</xdr:colOff>
      <xdr:row>32</xdr:row>
      <xdr:rowOff>0</xdr:rowOff>
    </xdr:from>
    <xdr:to>
      <xdr:col>21</xdr:col>
      <xdr:colOff>9525</xdr:colOff>
      <xdr:row>32</xdr:row>
      <xdr:rowOff>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791F95ED-3242-4D77-8222-E332A9221804}"/>
            </a:ext>
          </a:extLst>
        </xdr:cNvPr>
        <xdr:cNvCxnSpPr/>
      </xdr:nvCxnSpPr>
      <xdr:spPr>
        <a:xfrm>
          <a:off x="15118080" y="5486400"/>
          <a:ext cx="12954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257175</xdr:colOff>
      <xdr:row>24</xdr:row>
      <xdr:rowOff>0</xdr:rowOff>
    </xdr:from>
    <xdr:to>
      <xdr:col>19</xdr:col>
      <xdr:colOff>257175</xdr:colOff>
      <xdr:row>41</xdr:row>
      <xdr:rowOff>148590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754867CE-33AE-46A4-9BAF-1493A0FA0BC1}"/>
            </a:ext>
          </a:extLst>
        </xdr:cNvPr>
        <xdr:cNvCxnSpPr/>
      </xdr:nvCxnSpPr>
      <xdr:spPr>
        <a:xfrm>
          <a:off x="15095220" y="4114800"/>
          <a:ext cx="0" cy="3063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24</xdr:row>
      <xdr:rowOff>0</xdr:rowOff>
    </xdr:from>
    <xdr:to>
      <xdr:col>17</xdr:col>
      <xdr:colOff>0</xdr:colOff>
      <xdr:row>41</xdr:row>
      <xdr:rowOff>148590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6ABDD71E-F26B-4AC7-BB00-45A73E8926ED}"/>
            </a:ext>
          </a:extLst>
        </xdr:cNvPr>
        <xdr:cNvCxnSpPr/>
      </xdr:nvCxnSpPr>
      <xdr:spPr>
        <a:xfrm>
          <a:off x="13277850" y="4114800"/>
          <a:ext cx="0" cy="3063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1906</xdr:colOff>
      <xdr:row>29</xdr:row>
      <xdr:rowOff>96596</xdr:rowOff>
    </xdr:from>
    <xdr:ext cx="264560" cy="1325171"/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5F2A9A5-15C7-4315-B15B-F42A2FC32DC7}"/>
            </a:ext>
          </a:extLst>
        </xdr:cNvPr>
        <xdr:cNvSpPr txBox="1"/>
      </xdr:nvSpPr>
      <xdr:spPr>
        <a:xfrm rot="5400000">
          <a:off x="13530500" y="5595142"/>
          <a:ext cx="13251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Rue</a:t>
          </a:r>
          <a:r>
            <a:rPr lang="fr-FR" sz="1100" kern="1200" baseline="0"/>
            <a:t> de la Poudrette</a:t>
          </a:r>
          <a:endParaRPr lang="fr-FR" sz="1100" kern="1200"/>
        </a:p>
      </xdr:txBody>
    </xdr:sp>
    <xdr:clientData/>
  </xdr:oneCellAnchor>
  <xdr:oneCellAnchor>
    <xdr:from>
      <xdr:col>19</xdr:col>
      <xdr:colOff>110490</xdr:colOff>
      <xdr:row>29</xdr:row>
      <xdr:rowOff>154305</xdr:rowOff>
    </xdr:from>
    <xdr:ext cx="699135" cy="436786"/>
    <xdr:sp macro="" textlink="">
      <xdr:nvSpPr>
        <xdr:cNvPr id="9" name="ZoneTexte 8">
          <a:extLst>
            <a:ext uri="{FF2B5EF4-FFF2-40B4-BE49-F238E27FC236}">
              <a16:creationId xmlns:a16="http://schemas.microsoft.com/office/drawing/2014/main" id="{324AFF72-A75F-46C8-98F5-6C0C95ED4967}"/>
            </a:ext>
          </a:extLst>
        </xdr:cNvPr>
        <xdr:cNvSpPr txBox="1"/>
      </xdr:nvSpPr>
      <xdr:spPr>
        <a:xfrm>
          <a:off x="14950440" y="5126355"/>
          <a:ext cx="69913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kern="1200"/>
            <a:t>Portail</a:t>
          </a:r>
          <a:r>
            <a:rPr lang="fr-FR" sz="1100" kern="1200" baseline="0"/>
            <a:t> d'e</a:t>
          </a:r>
          <a:r>
            <a:rPr lang="fr-FR" sz="1100" kern="1200"/>
            <a:t>ntrée</a:t>
          </a:r>
        </a:p>
      </xdr:txBody>
    </xdr:sp>
    <xdr:clientData/>
  </xdr:oneCellAnchor>
  <xdr:oneCellAnchor>
    <xdr:from>
      <xdr:col>20</xdr:col>
      <xdr:colOff>114300</xdr:colOff>
      <xdr:row>23</xdr:row>
      <xdr:rowOff>0</xdr:rowOff>
    </xdr:from>
    <xdr:ext cx="1289685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DE654D8A-2CB5-4EF8-9F45-2871CF18F277}"/>
            </a:ext>
          </a:extLst>
        </xdr:cNvPr>
        <xdr:cNvSpPr txBox="1"/>
      </xdr:nvSpPr>
      <xdr:spPr>
        <a:xfrm>
          <a:off x="15735300" y="3943350"/>
          <a:ext cx="128968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 kern="1200"/>
            <a:t>Parking provisoire</a:t>
          </a:r>
        </a:p>
      </xdr:txBody>
    </xdr:sp>
    <xdr:clientData/>
  </xdr:oneCellAnchor>
  <xdr:oneCellAnchor>
    <xdr:from>
      <xdr:col>21</xdr:col>
      <xdr:colOff>190500</xdr:colOff>
      <xdr:row>24</xdr:row>
      <xdr:rowOff>148590</xdr:rowOff>
    </xdr:from>
    <xdr:ext cx="288669" cy="342786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37F2160F-2A37-4C84-AC23-DDC0513A7D6C}"/>
            </a:ext>
          </a:extLst>
        </xdr:cNvPr>
        <xdr:cNvSpPr txBox="1"/>
      </xdr:nvSpPr>
      <xdr:spPr>
        <a:xfrm>
          <a:off x="16592550" y="426339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1</a:t>
          </a:r>
        </a:p>
      </xdr:txBody>
    </xdr:sp>
    <xdr:clientData/>
  </xdr:oneCellAnchor>
  <xdr:oneCellAnchor>
    <xdr:from>
      <xdr:col>21</xdr:col>
      <xdr:colOff>217170</xdr:colOff>
      <xdr:row>27</xdr:row>
      <xdr:rowOff>5715</xdr:rowOff>
    </xdr:from>
    <xdr:ext cx="288669" cy="342786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A12B3A1-3E3C-4038-A633-25F966077812}"/>
            </a:ext>
          </a:extLst>
        </xdr:cNvPr>
        <xdr:cNvSpPr txBox="1"/>
      </xdr:nvSpPr>
      <xdr:spPr>
        <a:xfrm>
          <a:off x="16617315" y="463677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2</a:t>
          </a:r>
        </a:p>
      </xdr:txBody>
    </xdr:sp>
    <xdr:clientData/>
  </xdr:oneCellAnchor>
  <xdr:oneCellAnchor>
    <xdr:from>
      <xdr:col>21</xdr:col>
      <xdr:colOff>224790</xdr:colOff>
      <xdr:row>28</xdr:row>
      <xdr:rowOff>205740</xdr:rowOff>
    </xdr:from>
    <xdr:ext cx="288669" cy="342786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DDAF9E15-816A-4FB8-9D3C-38BF7351C77B}"/>
            </a:ext>
          </a:extLst>
        </xdr:cNvPr>
        <xdr:cNvSpPr txBox="1"/>
      </xdr:nvSpPr>
      <xdr:spPr>
        <a:xfrm>
          <a:off x="16626840" y="497205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3</a:t>
          </a:r>
        </a:p>
      </xdr:txBody>
    </xdr:sp>
    <xdr:clientData/>
  </xdr:oneCellAnchor>
  <xdr:oneCellAnchor>
    <xdr:from>
      <xdr:col>21</xdr:col>
      <xdr:colOff>255270</xdr:colOff>
      <xdr:row>32</xdr:row>
      <xdr:rowOff>192405</xdr:rowOff>
    </xdr:from>
    <xdr:ext cx="288669" cy="342786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7C276CEE-4352-40A3-9804-51639482C98B}"/>
            </a:ext>
          </a:extLst>
        </xdr:cNvPr>
        <xdr:cNvSpPr txBox="1"/>
      </xdr:nvSpPr>
      <xdr:spPr>
        <a:xfrm>
          <a:off x="16655415" y="5659755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5</a:t>
          </a:r>
        </a:p>
      </xdr:txBody>
    </xdr:sp>
    <xdr:clientData/>
  </xdr:oneCellAnchor>
  <xdr:oneCellAnchor>
    <xdr:from>
      <xdr:col>21</xdr:col>
      <xdr:colOff>236220</xdr:colOff>
      <xdr:row>30</xdr:row>
      <xdr:rowOff>192405</xdr:rowOff>
    </xdr:from>
    <xdr:ext cx="288669" cy="342786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7E22456F-F10F-4110-A32D-A29DA97BCDF1}"/>
            </a:ext>
          </a:extLst>
        </xdr:cNvPr>
        <xdr:cNvSpPr txBox="1"/>
      </xdr:nvSpPr>
      <xdr:spPr>
        <a:xfrm>
          <a:off x="16640175" y="5316855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4</a:t>
          </a:r>
        </a:p>
      </xdr:txBody>
    </xdr:sp>
    <xdr:clientData/>
  </xdr:oneCellAnchor>
  <xdr:twoCellAnchor>
    <xdr:from>
      <xdr:col>21</xdr:col>
      <xdr:colOff>0</xdr:colOff>
      <xdr:row>32</xdr:row>
      <xdr:rowOff>0</xdr:rowOff>
    </xdr:from>
    <xdr:to>
      <xdr:col>21</xdr:col>
      <xdr:colOff>0</xdr:colOff>
      <xdr:row>41</xdr:row>
      <xdr:rowOff>76200</xdr:rowOff>
    </xdr:to>
    <xdr:cxnSp macro="">
      <xdr:nvCxnSpPr>
        <xdr:cNvPr id="16" name="Connecteur droit 15">
          <a:extLst>
            <a:ext uri="{FF2B5EF4-FFF2-40B4-BE49-F238E27FC236}">
              <a16:creationId xmlns:a16="http://schemas.microsoft.com/office/drawing/2014/main" id="{A8D2CB23-52D3-4B20-B7A3-5D27DA9E88B5}"/>
            </a:ext>
          </a:extLst>
        </xdr:cNvPr>
        <xdr:cNvCxnSpPr/>
      </xdr:nvCxnSpPr>
      <xdr:spPr>
        <a:xfrm>
          <a:off x="16402050" y="5486400"/>
          <a:ext cx="0" cy="1619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33</xdr:row>
      <xdr:rowOff>238125</xdr:rowOff>
    </xdr:from>
    <xdr:to>
      <xdr:col>23</xdr:col>
      <xdr:colOff>0</xdr:colOff>
      <xdr:row>41</xdr:row>
      <xdr:rowOff>76200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98FA0F25-2759-4355-9619-FC0B17B0162C}"/>
            </a:ext>
          </a:extLst>
        </xdr:cNvPr>
        <xdr:cNvCxnSpPr/>
      </xdr:nvCxnSpPr>
      <xdr:spPr>
        <a:xfrm>
          <a:off x="17964150" y="5831205"/>
          <a:ext cx="0" cy="12744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34</xdr:row>
      <xdr:rowOff>0</xdr:rowOff>
    </xdr:from>
    <xdr:to>
      <xdr:col>24</xdr:col>
      <xdr:colOff>85725</xdr:colOff>
      <xdr:row>34</xdr:row>
      <xdr:rowOff>0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C1FACA43-CEAA-435A-9F3D-9CE2E5ABC9AD}"/>
            </a:ext>
          </a:extLst>
        </xdr:cNvPr>
        <xdr:cNvCxnSpPr/>
      </xdr:nvCxnSpPr>
      <xdr:spPr>
        <a:xfrm>
          <a:off x="17964150" y="5829300"/>
          <a:ext cx="8686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EBC8375-5A2D-4A92-8860-7AB62B9B0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>
    <xdr:from>
      <xdr:col>19</xdr:col>
      <xdr:colOff>7620</xdr:colOff>
      <xdr:row>24</xdr:row>
      <xdr:rowOff>7620</xdr:rowOff>
    </xdr:from>
    <xdr:to>
      <xdr:col>19</xdr:col>
      <xdr:colOff>7620</xdr:colOff>
      <xdr:row>36</xdr:row>
      <xdr:rowOff>22860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2737FE9E-D774-6985-68FC-F2AA6C2F2CD0}"/>
            </a:ext>
          </a:extLst>
        </xdr:cNvPr>
        <xdr:cNvCxnSpPr/>
      </xdr:nvCxnSpPr>
      <xdr:spPr>
        <a:xfrm>
          <a:off x="6667500" y="4465320"/>
          <a:ext cx="0" cy="29413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35</xdr:row>
      <xdr:rowOff>236220</xdr:rowOff>
    </xdr:from>
    <xdr:to>
      <xdr:col>21</xdr:col>
      <xdr:colOff>342900</xdr:colOff>
      <xdr:row>36</xdr:row>
      <xdr:rowOff>7620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3BD22FBF-2776-4447-8ACC-66962ABCCE27}"/>
            </a:ext>
          </a:extLst>
        </xdr:cNvPr>
        <xdr:cNvCxnSpPr/>
      </xdr:nvCxnSpPr>
      <xdr:spPr>
        <a:xfrm flipV="1">
          <a:off x="6659880" y="7376160"/>
          <a:ext cx="1043940" cy="15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15240</xdr:colOff>
      <xdr:row>23</xdr:row>
      <xdr:rowOff>190500</xdr:rowOff>
    </xdr:from>
    <xdr:to>
      <xdr:col>21</xdr:col>
      <xdr:colOff>342900</xdr:colOff>
      <xdr:row>24</xdr:row>
      <xdr:rowOff>0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A124D10A-1C1F-4C70-BA42-33EE890F7472}"/>
            </a:ext>
          </a:extLst>
        </xdr:cNvPr>
        <xdr:cNvCxnSpPr/>
      </xdr:nvCxnSpPr>
      <xdr:spPr>
        <a:xfrm>
          <a:off x="6675120" y="4450080"/>
          <a:ext cx="102870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342900</xdr:colOff>
      <xdr:row>37</xdr:row>
      <xdr:rowOff>167640</xdr:rowOff>
    </xdr:from>
    <xdr:ext cx="1079078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CE8FC54A-F99C-6D78-AF38-B8BEB86AE242}"/>
            </a:ext>
          </a:extLst>
        </xdr:cNvPr>
        <xdr:cNvSpPr txBox="1"/>
      </xdr:nvSpPr>
      <xdr:spPr>
        <a:xfrm>
          <a:off x="7002780" y="7795260"/>
          <a:ext cx="107907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Portail</a:t>
          </a:r>
          <a:r>
            <a:rPr lang="fr-FR" sz="1100" kern="1200" baseline="0"/>
            <a:t> d'e</a:t>
          </a:r>
          <a:r>
            <a:rPr lang="fr-FR" sz="1100" kern="1200"/>
            <a:t>ntrée</a:t>
          </a:r>
        </a:p>
      </xdr:txBody>
    </xdr:sp>
    <xdr:clientData/>
  </xdr:oneCellAnchor>
  <xdr:twoCellAnchor>
    <xdr:from>
      <xdr:col>18</xdr:col>
      <xdr:colOff>335280</xdr:colOff>
      <xdr:row>40</xdr:row>
      <xdr:rowOff>0</xdr:rowOff>
    </xdr:from>
    <xdr:to>
      <xdr:col>21</xdr:col>
      <xdr:colOff>342900</xdr:colOff>
      <xdr:row>40</xdr:row>
      <xdr:rowOff>0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3E41DDB3-18CB-497A-9460-E1227B0C07E2}"/>
            </a:ext>
          </a:extLst>
        </xdr:cNvPr>
        <xdr:cNvCxnSpPr/>
      </xdr:nvCxnSpPr>
      <xdr:spPr>
        <a:xfrm>
          <a:off x="6644640" y="8359140"/>
          <a:ext cx="10591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175260</xdr:colOff>
      <xdr:row>25</xdr:row>
      <xdr:rowOff>60960</xdr:rowOff>
    </xdr:from>
    <xdr:to>
      <xdr:col>21</xdr:col>
      <xdr:colOff>205740</xdr:colOff>
      <xdr:row>26</xdr:row>
      <xdr:rowOff>190500</xdr:rowOff>
    </xdr:to>
    <xdr:sp macro="" textlink="">
      <xdr:nvSpPr>
        <xdr:cNvPr id="16" name="Organigramme : Connecteur 15">
          <a:extLst>
            <a:ext uri="{FF2B5EF4-FFF2-40B4-BE49-F238E27FC236}">
              <a16:creationId xmlns:a16="http://schemas.microsoft.com/office/drawing/2014/main" id="{3D31600F-BA82-BEFA-DF24-AADAB57282DB}"/>
            </a:ext>
          </a:extLst>
        </xdr:cNvPr>
        <xdr:cNvSpPr/>
      </xdr:nvSpPr>
      <xdr:spPr>
        <a:xfrm>
          <a:off x="7185660" y="4762500"/>
          <a:ext cx="381000" cy="373380"/>
        </a:xfrm>
        <a:prstGeom prst="flowChartConnector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 kern="1200"/>
        </a:p>
      </xdr:txBody>
    </xdr:sp>
    <xdr:clientData/>
  </xdr:twoCellAnchor>
  <xdr:oneCellAnchor>
    <xdr:from>
      <xdr:col>21</xdr:col>
      <xdr:colOff>0</xdr:colOff>
      <xdr:row>24</xdr:row>
      <xdr:rowOff>0</xdr:rowOff>
    </xdr:from>
    <xdr:ext cx="588816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57AED2F3-9D06-445D-97A4-546C67778548}"/>
            </a:ext>
          </a:extLst>
        </xdr:cNvPr>
        <xdr:cNvSpPr txBox="1"/>
      </xdr:nvSpPr>
      <xdr:spPr>
        <a:xfrm>
          <a:off x="7360920" y="4457700"/>
          <a:ext cx="588816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Regard</a:t>
          </a:r>
        </a:p>
      </xdr:txBody>
    </xdr:sp>
    <xdr:clientData/>
  </xdr:oneCellAnchor>
  <xdr:oneCellAnchor>
    <xdr:from>
      <xdr:col>21</xdr:col>
      <xdr:colOff>106680</xdr:colOff>
      <xdr:row>27</xdr:row>
      <xdr:rowOff>15240</xdr:rowOff>
    </xdr:from>
    <xdr:ext cx="288669" cy="342786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CD085AB4-77D1-40E8-B51C-988741B51F0C}"/>
            </a:ext>
          </a:extLst>
        </xdr:cNvPr>
        <xdr:cNvSpPr txBox="1"/>
      </xdr:nvSpPr>
      <xdr:spPr>
        <a:xfrm>
          <a:off x="7467600" y="520446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1</a:t>
          </a:r>
        </a:p>
      </xdr:txBody>
    </xdr:sp>
    <xdr:clientData/>
  </xdr:oneCellAnchor>
  <xdr:oneCellAnchor>
    <xdr:from>
      <xdr:col>21</xdr:col>
      <xdr:colOff>0</xdr:colOff>
      <xdr:row>30</xdr:row>
      <xdr:rowOff>0</xdr:rowOff>
    </xdr:from>
    <xdr:ext cx="288669" cy="342786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BF1F49FC-D089-4656-9936-CC14850CF860}"/>
            </a:ext>
          </a:extLst>
        </xdr:cNvPr>
        <xdr:cNvSpPr txBox="1"/>
      </xdr:nvSpPr>
      <xdr:spPr>
        <a:xfrm>
          <a:off x="7360920" y="592074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2</a:t>
          </a:r>
        </a:p>
      </xdr:txBody>
    </xdr:sp>
    <xdr:clientData/>
  </xdr:oneCellAnchor>
  <xdr:oneCellAnchor>
    <xdr:from>
      <xdr:col>21</xdr:col>
      <xdr:colOff>129540</xdr:colOff>
      <xdr:row>33</xdr:row>
      <xdr:rowOff>91440</xdr:rowOff>
    </xdr:from>
    <xdr:ext cx="288669" cy="342786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1385B826-2D29-4137-B13B-189E0EEBA7D9}"/>
            </a:ext>
          </a:extLst>
        </xdr:cNvPr>
        <xdr:cNvSpPr txBox="1"/>
      </xdr:nvSpPr>
      <xdr:spPr>
        <a:xfrm>
          <a:off x="7490460" y="6743700"/>
          <a:ext cx="28866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600" kern="1200"/>
            <a:t>3</a:t>
          </a:r>
        </a:p>
      </xdr:txBody>
    </xdr:sp>
    <xdr:clientData/>
  </xdr:oneCellAnchor>
  <xdr:twoCellAnchor>
    <xdr:from>
      <xdr:col>18</xdr:col>
      <xdr:colOff>220980</xdr:colOff>
      <xdr:row>23</xdr:row>
      <xdr:rowOff>76200</xdr:rowOff>
    </xdr:from>
    <xdr:to>
      <xdr:col>18</xdr:col>
      <xdr:colOff>220980</xdr:colOff>
      <xdr:row>41</xdr:row>
      <xdr:rowOff>91440</xdr:rowOff>
    </xdr:to>
    <xdr:cxnSp macro="">
      <xdr:nvCxnSpPr>
        <xdr:cNvPr id="27" name="Connecteur droit 26">
          <a:extLst>
            <a:ext uri="{FF2B5EF4-FFF2-40B4-BE49-F238E27FC236}">
              <a16:creationId xmlns:a16="http://schemas.microsoft.com/office/drawing/2014/main" id="{23388055-8A2A-4134-80BA-43CDEA4B618C}"/>
            </a:ext>
          </a:extLst>
        </xdr:cNvPr>
        <xdr:cNvCxnSpPr/>
      </xdr:nvCxnSpPr>
      <xdr:spPr>
        <a:xfrm>
          <a:off x="6530340" y="4335780"/>
          <a:ext cx="0" cy="4358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160020</xdr:colOff>
      <xdr:row>23</xdr:row>
      <xdr:rowOff>53340</xdr:rowOff>
    </xdr:from>
    <xdr:to>
      <xdr:col>16</xdr:col>
      <xdr:colOff>160020</xdr:colOff>
      <xdr:row>41</xdr:row>
      <xdr:rowOff>68580</xdr:rowOff>
    </xdr:to>
    <xdr:cxnSp macro="">
      <xdr:nvCxnSpPr>
        <xdr:cNvPr id="28" name="Connecteur droit 27">
          <a:extLst>
            <a:ext uri="{FF2B5EF4-FFF2-40B4-BE49-F238E27FC236}">
              <a16:creationId xmlns:a16="http://schemas.microsoft.com/office/drawing/2014/main" id="{C31FD3CD-54F5-40C4-B354-A68EEBAAD564}"/>
            </a:ext>
          </a:extLst>
        </xdr:cNvPr>
        <xdr:cNvCxnSpPr/>
      </xdr:nvCxnSpPr>
      <xdr:spPr>
        <a:xfrm>
          <a:off x="5768340" y="4312920"/>
          <a:ext cx="0" cy="43586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63022</xdr:colOff>
      <xdr:row>30</xdr:row>
      <xdr:rowOff>66518</xdr:rowOff>
    </xdr:from>
    <xdr:ext cx="264560" cy="1518364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7F071BF2-7D30-41DE-A945-06E4E6A9B126}"/>
            </a:ext>
          </a:extLst>
        </xdr:cNvPr>
        <xdr:cNvSpPr txBox="1"/>
      </xdr:nvSpPr>
      <xdr:spPr>
        <a:xfrm rot="5400000">
          <a:off x="5394960" y="6614160"/>
          <a:ext cx="15183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 kern="1200"/>
            <a:t>Avenue Roger Salengro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126620F8-6473-4066-8F9E-BC8F61400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64</xdr:row>
      <xdr:rowOff>47626</xdr:rowOff>
    </xdr:from>
    <xdr:ext cx="1809750" cy="719889"/>
    <xdr:pic>
      <xdr:nvPicPr>
        <xdr:cNvPr id="3" name="Image 2">
          <a:extLst>
            <a:ext uri="{FF2B5EF4-FFF2-40B4-BE49-F238E27FC236}">
              <a16:creationId xmlns:a16="http://schemas.microsoft.com/office/drawing/2014/main" id="{E7F2DAED-39C4-4DD2-B908-96900218F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4225" y="13923646"/>
          <a:ext cx="1809750" cy="719889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D80A8CDF-AA3A-4363-8C40-DA3DB0C6B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64</xdr:row>
      <xdr:rowOff>47626</xdr:rowOff>
    </xdr:from>
    <xdr:ext cx="1809750" cy="719889"/>
    <xdr:pic>
      <xdr:nvPicPr>
        <xdr:cNvPr id="3" name="Image 2">
          <a:extLst>
            <a:ext uri="{FF2B5EF4-FFF2-40B4-BE49-F238E27FC236}">
              <a16:creationId xmlns:a16="http://schemas.microsoft.com/office/drawing/2014/main" id="{3BF74307-B91E-4189-A5B7-FC009A711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730" y="11022331"/>
          <a:ext cx="1809750" cy="719889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B6C94FA5-5670-41C6-8C28-876809D5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64</xdr:row>
      <xdr:rowOff>47626</xdr:rowOff>
    </xdr:from>
    <xdr:ext cx="1809750" cy="719889"/>
    <xdr:pic>
      <xdr:nvPicPr>
        <xdr:cNvPr id="3" name="Image 2">
          <a:extLst>
            <a:ext uri="{FF2B5EF4-FFF2-40B4-BE49-F238E27FC236}">
              <a16:creationId xmlns:a16="http://schemas.microsoft.com/office/drawing/2014/main" id="{51DAB948-9F88-431F-90FD-92F66B2F8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6730" y="11022331"/>
          <a:ext cx="1809750" cy="719889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8C6D6FE-25A6-40A0-A322-0B3BB08EA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  <xdr:oneCellAnchor>
    <xdr:from>
      <xdr:col>20</xdr:col>
      <xdr:colOff>133350</xdr:colOff>
      <xdr:row>64</xdr:row>
      <xdr:rowOff>57151</xdr:rowOff>
    </xdr:from>
    <xdr:ext cx="1767840" cy="699188"/>
    <xdr:pic>
      <xdr:nvPicPr>
        <xdr:cNvPr id="3" name="Image 2">
          <a:extLst>
            <a:ext uri="{FF2B5EF4-FFF2-40B4-BE49-F238E27FC236}">
              <a16:creationId xmlns:a16="http://schemas.microsoft.com/office/drawing/2014/main" id="{242A0204-1E6B-4D70-AB23-833BCF64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50540" y="11026141"/>
          <a:ext cx="1767840" cy="699188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5E9E1A47-E908-47F4-B0E4-4A40CF163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879D08C6-0AA4-42A4-A681-3C46F11EE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>
    <xdr:from>
      <xdr:col>17</xdr:col>
      <xdr:colOff>342900</xdr:colOff>
      <xdr:row>22</xdr:row>
      <xdr:rowOff>190500</xdr:rowOff>
    </xdr:from>
    <xdr:to>
      <xdr:col>20</xdr:col>
      <xdr:colOff>342900</xdr:colOff>
      <xdr:row>23</xdr:row>
      <xdr:rowOff>0</xdr:rowOff>
    </xdr:to>
    <xdr:cxnSp macro="">
      <xdr:nvCxnSpPr>
        <xdr:cNvPr id="4" name="Connecteur droit 3">
          <a:extLst>
            <a:ext uri="{FF2B5EF4-FFF2-40B4-BE49-F238E27FC236}">
              <a16:creationId xmlns:a16="http://schemas.microsoft.com/office/drawing/2014/main" id="{AB579DAC-2C04-48F5-B9B1-6A0F1224A89D}"/>
            </a:ext>
          </a:extLst>
        </xdr:cNvPr>
        <xdr:cNvCxnSpPr/>
      </xdr:nvCxnSpPr>
      <xdr:spPr>
        <a:xfrm>
          <a:off x="13685520" y="3855720"/>
          <a:ext cx="23545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335280</xdr:colOff>
      <xdr:row>37</xdr:row>
      <xdr:rowOff>0</xdr:rowOff>
    </xdr:from>
    <xdr:to>
      <xdr:col>20</xdr:col>
      <xdr:colOff>335280</xdr:colOff>
      <xdr:row>37</xdr:row>
      <xdr:rowOff>7620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81145006-7F14-4322-A005-EE3D3C023F08}"/>
            </a:ext>
          </a:extLst>
        </xdr:cNvPr>
        <xdr:cNvCxnSpPr/>
      </xdr:nvCxnSpPr>
      <xdr:spPr>
        <a:xfrm>
          <a:off x="13677900" y="6202680"/>
          <a:ext cx="235458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23</xdr:row>
      <xdr:rowOff>7620</xdr:rowOff>
    </xdr:from>
    <xdr:to>
      <xdr:col>18</xdr:col>
      <xdr:colOff>0</xdr:colOff>
      <xdr:row>36</xdr:row>
      <xdr:rowOff>236220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52AEFCE9-1685-4DD9-B0F2-8B4D1EA566D1}"/>
            </a:ext>
          </a:extLst>
        </xdr:cNvPr>
        <xdr:cNvCxnSpPr/>
      </xdr:nvCxnSpPr>
      <xdr:spPr>
        <a:xfrm>
          <a:off x="14127480" y="3863340"/>
          <a:ext cx="0" cy="23393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24</xdr:row>
      <xdr:rowOff>236220</xdr:rowOff>
    </xdr:from>
    <xdr:to>
      <xdr:col>22</xdr:col>
      <xdr:colOff>342900</xdr:colOff>
      <xdr:row>25</xdr:row>
      <xdr:rowOff>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886D60D0-2032-4E92-B64A-1EB31A13BDE8}"/>
            </a:ext>
          </a:extLst>
        </xdr:cNvPr>
        <xdr:cNvCxnSpPr/>
      </xdr:nvCxnSpPr>
      <xdr:spPr>
        <a:xfrm flipV="1">
          <a:off x="15697200" y="4191000"/>
          <a:ext cx="19126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31</xdr:row>
      <xdr:rowOff>0</xdr:rowOff>
    </xdr:from>
    <xdr:to>
      <xdr:col>22</xdr:col>
      <xdr:colOff>342900</xdr:colOff>
      <xdr:row>31</xdr:row>
      <xdr:rowOff>7620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3FD95960-5F3C-4080-BFC5-DCD70244C329}"/>
            </a:ext>
          </a:extLst>
        </xdr:cNvPr>
        <xdr:cNvCxnSpPr/>
      </xdr:nvCxnSpPr>
      <xdr:spPr>
        <a:xfrm flipV="1">
          <a:off x="15697200" y="5196840"/>
          <a:ext cx="1912620" cy="76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342900</xdr:colOff>
      <xdr:row>24</xdr:row>
      <xdr:rowOff>236220</xdr:rowOff>
    </xdr:from>
    <xdr:to>
      <xdr:col>20</xdr:col>
      <xdr:colOff>0</xdr:colOff>
      <xdr:row>31</xdr:row>
      <xdr:rowOff>7620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EB934F8C-FDE2-4CF0-8AE1-FF992122B5F9}"/>
            </a:ext>
          </a:extLst>
        </xdr:cNvPr>
        <xdr:cNvCxnSpPr/>
      </xdr:nvCxnSpPr>
      <xdr:spPr>
        <a:xfrm flipH="1">
          <a:off x="15255240" y="4191000"/>
          <a:ext cx="441960" cy="10134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76200</xdr:colOff>
      <xdr:row>23</xdr:row>
      <xdr:rowOff>121920</xdr:rowOff>
    </xdr:from>
    <xdr:ext cx="228600" cy="264560"/>
    <xdr:sp macro="" textlink="">
      <xdr:nvSpPr>
        <xdr:cNvPr id="10" name="ZoneTexte 9">
          <a:extLst>
            <a:ext uri="{FF2B5EF4-FFF2-40B4-BE49-F238E27FC236}">
              <a16:creationId xmlns:a16="http://schemas.microsoft.com/office/drawing/2014/main" id="{6304CD81-0404-480A-90B8-CB3570159F20}"/>
            </a:ext>
          </a:extLst>
        </xdr:cNvPr>
        <xdr:cNvSpPr txBox="1"/>
      </xdr:nvSpPr>
      <xdr:spPr>
        <a:xfrm>
          <a:off x="14988540" y="3977640"/>
          <a:ext cx="2286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100"/>
            <a:t>1</a:t>
          </a:r>
        </a:p>
      </xdr:txBody>
    </xdr:sp>
    <xdr:clientData/>
  </xdr:oneCellAnchor>
  <xdr:oneCellAnchor>
    <xdr:from>
      <xdr:col>18</xdr:col>
      <xdr:colOff>175260</xdr:colOff>
      <xdr:row>24</xdr:row>
      <xdr:rowOff>137160</xdr:rowOff>
    </xdr:from>
    <xdr:ext cx="256160" cy="264560"/>
    <xdr:sp macro="" textlink="">
      <xdr:nvSpPr>
        <xdr:cNvPr id="11" name="ZoneTexte 10">
          <a:extLst>
            <a:ext uri="{FF2B5EF4-FFF2-40B4-BE49-F238E27FC236}">
              <a16:creationId xmlns:a16="http://schemas.microsoft.com/office/drawing/2014/main" id="{7A81927E-6D49-4D04-862E-ADAFA5F750BB}"/>
            </a:ext>
          </a:extLst>
        </xdr:cNvPr>
        <xdr:cNvSpPr txBox="1"/>
      </xdr:nvSpPr>
      <xdr:spPr>
        <a:xfrm>
          <a:off x="14302740" y="416052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2</a:t>
          </a:r>
        </a:p>
      </xdr:txBody>
    </xdr:sp>
    <xdr:clientData/>
  </xdr:oneCellAnchor>
  <xdr:oneCellAnchor>
    <xdr:from>
      <xdr:col>18</xdr:col>
      <xdr:colOff>182880</xdr:colOff>
      <xdr:row>26</xdr:row>
      <xdr:rowOff>38100</xdr:rowOff>
    </xdr:from>
    <xdr:ext cx="256160" cy="264560"/>
    <xdr:sp macro="" textlink="">
      <xdr:nvSpPr>
        <xdr:cNvPr id="12" name="ZoneTexte 11">
          <a:extLst>
            <a:ext uri="{FF2B5EF4-FFF2-40B4-BE49-F238E27FC236}">
              <a16:creationId xmlns:a16="http://schemas.microsoft.com/office/drawing/2014/main" id="{742D3507-254A-43B3-8C92-AA4D6D0C7D3B}"/>
            </a:ext>
          </a:extLst>
        </xdr:cNvPr>
        <xdr:cNvSpPr txBox="1"/>
      </xdr:nvSpPr>
      <xdr:spPr>
        <a:xfrm>
          <a:off x="14310360" y="439674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3</a:t>
          </a:r>
        </a:p>
      </xdr:txBody>
    </xdr:sp>
    <xdr:clientData/>
  </xdr:oneCellAnchor>
  <xdr:oneCellAnchor>
    <xdr:from>
      <xdr:col>18</xdr:col>
      <xdr:colOff>190500</xdr:colOff>
      <xdr:row>27</xdr:row>
      <xdr:rowOff>160020</xdr:rowOff>
    </xdr:from>
    <xdr:ext cx="256160" cy="264560"/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7160E7F5-47A7-4E57-8D34-347CF845B017}"/>
            </a:ext>
          </a:extLst>
        </xdr:cNvPr>
        <xdr:cNvSpPr txBox="1"/>
      </xdr:nvSpPr>
      <xdr:spPr>
        <a:xfrm>
          <a:off x="14317980" y="468630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4</a:t>
          </a:r>
        </a:p>
      </xdr:txBody>
    </xdr:sp>
    <xdr:clientData/>
  </xdr:oneCellAnchor>
  <xdr:oneCellAnchor>
    <xdr:from>
      <xdr:col>18</xdr:col>
      <xdr:colOff>198120</xdr:colOff>
      <xdr:row>28</xdr:row>
      <xdr:rowOff>236220</xdr:rowOff>
    </xdr:from>
    <xdr:ext cx="256160" cy="264560"/>
    <xdr:sp macro="" textlink="">
      <xdr:nvSpPr>
        <xdr:cNvPr id="14" name="ZoneTexte 13">
          <a:extLst>
            <a:ext uri="{FF2B5EF4-FFF2-40B4-BE49-F238E27FC236}">
              <a16:creationId xmlns:a16="http://schemas.microsoft.com/office/drawing/2014/main" id="{71CA4498-1F70-40FD-954C-95EBF7F0C720}"/>
            </a:ext>
          </a:extLst>
        </xdr:cNvPr>
        <xdr:cNvSpPr txBox="1"/>
      </xdr:nvSpPr>
      <xdr:spPr>
        <a:xfrm>
          <a:off x="14325600" y="486156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5</a:t>
          </a:r>
        </a:p>
      </xdr:txBody>
    </xdr:sp>
    <xdr:clientData/>
  </xdr:oneCellAnchor>
  <xdr:oneCellAnchor>
    <xdr:from>
      <xdr:col>18</xdr:col>
      <xdr:colOff>198120</xdr:colOff>
      <xdr:row>30</xdr:row>
      <xdr:rowOff>91440</xdr:rowOff>
    </xdr:from>
    <xdr:ext cx="256160" cy="264560"/>
    <xdr:sp macro="" textlink="">
      <xdr:nvSpPr>
        <xdr:cNvPr id="15" name="ZoneTexte 14">
          <a:extLst>
            <a:ext uri="{FF2B5EF4-FFF2-40B4-BE49-F238E27FC236}">
              <a16:creationId xmlns:a16="http://schemas.microsoft.com/office/drawing/2014/main" id="{CADEF14E-975D-426C-9536-DCF23AEE77D9}"/>
            </a:ext>
          </a:extLst>
        </xdr:cNvPr>
        <xdr:cNvSpPr txBox="1"/>
      </xdr:nvSpPr>
      <xdr:spPr>
        <a:xfrm>
          <a:off x="14325600" y="512064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6</a:t>
          </a:r>
        </a:p>
      </xdr:txBody>
    </xdr:sp>
    <xdr:clientData/>
  </xdr:oneCellAnchor>
  <xdr:oneCellAnchor>
    <xdr:from>
      <xdr:col>18</xdr:col>
      <xdr:colOff>274320</xdr:colOff>
      <xdr:row>31</xdr:row>
      <xdr:rowOff>144780</xdr:rowOff>
    </xdr:from>
    <xdr:ext cx="256160" cy="264560"/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1F58F37D-4ED2-4145-8379-F7ECBEAFE991}"/>
            </a:ext>
          </a:extLst>
        </xdr:cNvPr>
        <xdr:cNvSpPr txBox="1"/>
      </xdr:nvSpPr>
      <xdr:spPr>
        <a:xfrm>
          <a:off x="14401800" y="534162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7</a:t>
          </a:r>
        </a:p>
      </xdr:txBody>
    </xdr:sp>
    <xdr:clientData/>
  </xdr:oneCellAnchor>
  <xdr:oneCellAnchor>
    <xdr:from>
      <xdr:col>18</xdr:col>
      <xdr:colOff>205740</xdr:colOff>
      <xdr:row>32</xdr:row>
      <xdr:rowOff>205740</xdr:rowOff>
    </xdr:from>
    <xdr:ext cx="256160" cy="264560"/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06306B9C-8E7D-4016-A3B9-59D741648986}"/>
            </a:ext>
          </a:extLst>
        </xdr:cNvPr>
        <xdr:cNvSpPr txBox="1"/>
      </xdr:nvSpPr>
      <xdr:spPr>
        <a:xfrm>
          <a:off x="14333220" y="553212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8</a:t>
          </a:r>
        </a:p>
      </xdr:txBody>
    </xdr:sp>
    <xdr:clientData/>
  </xdr:oneCellAnchor>
  <xdr:oneCellAnchor>
    <xdr:from>
      <xdr:col>18</xdr:col>
      <xdr:colOff>304800</xdr:colOff>
      <xdr:row>34</xdr:row>
      <xdr:rowOff>76200</xdr:rowOff>
    </xdr:from>
    <xdr:ext cx="256160" cy="264560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7872B3B0-5FE6-429F-BACF-283917B3EEA9}"/>
            </a:ext>
          </a:extLst>
        </xdr:cNvPr>
        <xdr:cNvSpPr txBox="1"/>
      </xdr:nvSpPr>
      <xdr:spPr>
        <a:xfrm>
          <a:off x="14432280" y="577596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9</a:t>
          </a:r>
        </a:p>
      </xdr:txBody>
    </xdr:sp>
    <xdr:clientData/>
  </xdr:oneCellAnchor>
  <xdr:oneCellAnchor>
    <xdr:from>
      <xdr:col>19</xdr:col>
      <xdr:colOff>45720</xdr:colOff>
      <xdr:row>35</xdr:row>
      <xdr:rowOff>213360</xdr:rowOff>
    </xdr:from>
    <xdr:ext cx="327654" cy="264560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40E269D9-BE04-4AB3-8EB7-FB049F72BC6D}"/>
            </a:ext>
          </a:extLst>
        </xdr:cNvPr>
        <xdr:cNvSpPr txBox="1"/>
      </xdr:nvSpPr>
      <xdr:spPr>
        <a:xfrm>
          <a:off x="14958060" y="603504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/>
            <a:t>10</a:t>
          </a:r>
        </a:p>
      </xdr:txBody>
    </xdr:sp>
    <xdr:clientData/>
  </xdr:oneCellAnchor>
  <xdr:twoCellAnchor>
    <xdr:from>
      <xdr:col>19</xdr:col>
      <xdr:colOff>99060</xdr:colOff>
      <xdr:row>24</xdr:row>
      <xdr:rowOff>228600</xdr:rowOff>
    </xdr:from>
    <xdr:to>
      <xdr:col>19</xdr:col>
      <xdr:colOff>106680</xdr:colOff>
      <xdr:row>31</xdr:row>
      <xdr:rowOff>0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704B87BF-42AD-4D4B-80EC-578087D8954D}"/>
            </a:ext>
          </a:extLst>
        </xdr:cNvPr>
        <xdr:cNvCxnSpPr/>
      </xdr:nvCxnSpPr>
      <xdr:spPr>
        <a:xfrm flipH="1">
          <a:off x="15011400" y="4191000"/>
          <a:ext cx="7620" cy="10058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91440</xdr:colOff>
      <xdr:row>31</xdr:row>
      <xdr:rowOff>0</xdr:rowOff>
    </xdr:from>
    <xdr:to>
      <xdr:col>19</xdr:col>
      <xdr:colOff>335280</xdr:colOff>
      <xdr:row>32</xdr:row>
      <xdr:rowOff>114300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939AE3F6-35BD-448B-994B-2FBAB01506DC}"/>
            </a:ext>
          </a:extLst>
        </xdr:cNvPr>
        <xdr:cNvCxnSpPr/>
      </xdr:nvCxnSpPr>
      <xdr:spPr>
        <a:xfrm>
          <a:off x="15003780" y="5196840"/>
          <a:ext cx="243840" cy="2819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80900</xdr:colOff>
      <xdr:row>23</xdr:row>
      <xdr:rowOff>137160</xdr:rowOff>
    </xdr:from>
    <xdr:to>
      <xdr:col>22</xdr:col>
      <xdr:colOff>297180</xdr:colOff>
      <xdr:row>25</xdr:row>
      <xdr:rowOff>25600</xdr:rowOff>
    </xdr:to>
    <xdr:cxnSp macro="">
      <xdr:nvCxnSpPr>
        <xdr:cNvPr id="22" name="Connecteur droit avec flèche 21">
          <a:extLst>
            <a:ext uri="{FF2B5EF4-FFF2-40B4-BE49-F238E27FC236}">
              <a16:creationId xmlns:a16="http://schemas.microsoft.com/office/drawing/2014/main" id="{C4D495AB-0CC9-409D-B024-936CF9AD7BED}"/>
            </a:ext>
          </a:extLst>
        </xdr:cNvPr>
        <xdr:cNvCxnSpPr>
          <a:endCxn id="11" idx="3"/>
        </xdr:cNvCxnSpPr>
      </xdr:nvCxnSpPr>
      <xdr:spPr>
        <a:xfrm flipH="1">
          <a:off x="14993240" y="3992880"/>
          <a:ext cx="2570860" cy="223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240705E2-B2B1-4AF7-8266-B8AEC7FA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  <xdr:twoCellAnchor>
    <xdr:from>
      <xdr:col>16</xdr:col>
      <xdr:colOff>342900</xdr:colOff>
      <xdr:row>25</xdr:row>
      <xdr:rowOff>0</xdr:rowOff>
    </xdr:from>
    <xdr:to>
      <xdr:col>25</xdr:col>
      <xdr:colOff>15240</xdr:colOff>
      <xdr:row>25</xdr:row>
      <xdr:rowOff>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B955E950-4F7A-DCE5-A515-37C5F4E20E53}"/>
            </a:ext>
          </a:extLst>
        </xdr:cNvPr>
        <xdr:cNvCxnSpPr/>
      </xdr:nvCxnSpPr>
      <xdr:spPr>
        <a:xfrm>
          <a:off x="5951220" y="4701540"/>
          <a:ext cx="28270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27</xdr:row>
      <xdr:rowOff>0</xdr:rowOff>
    </xdr:from>
    <xdr:to>
      <xdr:col>25</xdr:col>
      <xdr:colOff>22860</xdr:colOff>
      <xdr:row>27</xdr:row>
      <xdr:rowOff>0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A0E0D827-7388-47AA-910C-1C93C6F93324}"/>
            </a:ext>
          </a:extLst>
        </xdr:cNvPr>
        <xdr:cNvCxnSpPr/>
      </xdr:nvCxnSpPr>
      <xdr:spPr>
        <a:xfrm>
          <a:off x="5958840" y="5189220"/>
          <a:ext cx="28270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27</xdr:row>
      <xdr:rowOff>0</xdr:rowOff>
    </xdr:from>
    <xdr:to>
      <xdr:col>19</xdr:col>
      <xdr:colOff>7620</xdr:colOff>
      <xdr:row>37</xdr:row>
      <xdr:rowOff>30480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70DE1271-2DD8-4C2B-83E7-50249523B4C6}"/>
            </a:ext>
          </a:extLst>
        </xdr:cNvPr>
        <xdr:cNvCxnSpPr/>
      </xdr:nvCxnSpPr>
      <xdr:spPr>
        <a:xfrm flipH="1">
          <a:off x="6659880" y="5189220"/>
          <a:ext cx="7620" cy="2468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27</xdr:row>
      <xdr:rowOff>0</xdr:rowOff>
    </xdr:from>
    <xdr:to>
      <xdr:col>23</xdr:col>
      <xdr:colOff>7620</xdr:colOff>
      <xdr:row>37</xdr:row>
      <xdr:rowOff>30480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B29C5CF2-F41B-4FD3-8CD5-42F8ED1C5CC2}"/>
            </a:ext>
          </a:extLst>
        </xdr:cNvPr>
        <xdr:cNvCxnSpPr/>
      </xdr:nvCxnSpPr>
      <xdr:spPr>
        <a:xfrm flipH="1">
          <a:off x="8061960" y="5189220"/>
          <a:ext cx="7620" cy="2468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</xdr:col>
      <xdr:colOff>30480</xdr:colOff>
      <xdr:row>25</xdr:row>
      <xdr:rowOff>45720</xdr:rowOff>
    </xdr:from>
    <xdr:ext cx="1338828" cy="265265"/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5C7B562C-9E0E-4FE1-FAF4-E2AC99005C76}"/>
            </a:ext>
          </a:extLst>
        </xdr:cNvPr>
        <xdr:cNvSpPr txBox="1"/>
      </xdr:nvSpPr>
      <xdr:spPr>
        <a:xfrm>
          <a:off x="6690360" y="4747260"/>
          <a:ext cx="1338828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>
              <a:latin typeface="Century Gothic" panose="020B0502020202020204" pitchFamily="34" charset="0"/>
            </a:rPr>
            <a:t>36</a:t>
          </a:r>
          <a:r>
            <a:rPr lang="fr-FR" sz="1100" baseline="0">
              <a:latin typeface="Century Gothic" panose="020B0502020202020204" pitchFamily="34" charset="0"/>
            </a:rPr>
            <a:t> allée du Mens</a:t>
          </a:r>
          <a:endParaRPr lang="fr-FR" sz="1100"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19</xdr:col>
      <xdr:colOff>0</xdr:colOff>
      <xdr:row>37</xdr:row>
      <xdr:rowOff>236220</xdr:rowOff>
    </xdr:from>
    <xdr:ext cx="1438279" cy="265265"/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FB8D8D3B-66ED-3112-F0D3-1E534D602A81}"/>
            </a:ext>
          </a:extLst>
        </xdr:cNvPr>
        <xdr:cNvSpPr txBox="1"/>
      </xdr:nvSpPr>
      <xdr:spPr>
        <a:xfrm>
          <a:off x="6659880" y="7863840"/>
          <a:ext cx="1438279" cy="2652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100">
              <a:latin typeface="Century Gothic" panose="020B0502020202020204" pitchFamily="34" charset="0"/>
            </a:rPr>
            <a:t>Plattard</a:t>
          </a:r>
          <a:r>
            <a:rPr lang="fr-FR" sz="1100" baseline="0">
              <a:latin typeface="Century Gothic" panose="020B0502020202020204" pitchFamily="34" charset="0"/>
            </a:rPr>
            <a:t> carrelage</a:t>
          </a:r>
          <a:endParaRPr lang="fr-FR" sz="1100">
            <a:latin typeface="Century Gothic" panose="020B0502020202020204" pitchFamily="34" charset="0"/>
          </a:endParaRPr>
        </a:p>
      </xdr:txBody>
    </xdr:sp>
    <xdr:clientData/>
  </xdr:oneCellAnchor>
  <xdr:oneCellAnchor>
    <xdr:from>
      <xdr:col>19</xdr:col>
      <xdr:colOff>220980</xdr:colOff>
      <xdr:row>35</xdr:row>
      <xdr:rowOff>60960</xdr:rowOff>
    </xdr:from>
    <xdr:ext cx="269946" cy="281039"/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B64D303C-BF08-0B9F-BDAB-BAA5251609B8}"/>
            </a:ext>
          </a:extLst>
        </xdr:cNvPr>
        <xdr:cNvSpPr txBox="1"/>
      </xdr:nvSpPr>
      <xdr:spPr>
        <a:xfrm>
          <a:off x="6880860" y="7200900"/>
          <a:ext cx="26994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latin typeface="Century Gothic" panose="020B0502020202020204" pitchFamily="34" charset="0"/>
            </a:rPr>
            <a:t>1</a:t>
          </a:r>
        </a:p>
      </xdr:txBody>
    </xdr:sp>
    <xdr:clientData/>
  </xdr:oneCellAnchor>
  <xdr:oneCellAnchor>
    <xdr:from>
      <xdr:col>19</xdr:col>
      <xdr:colOff>243840</xdr:colOff>
      <xdr:row>31</xdr:row>
      <xdr:rowOff>129540</xdr:rowOff>
    </xdr:from>
    <xdr:ext cx="269946" cy="281039"/>
    <xdr:sp macro="" textlink="">
      <xdr:nvSpPr>
        <xdr:cNvPr id="21" name="ZoneTexte 20">
          <a:extLst>
            <a:ext uri="{FF2B5EF4-FFF2-40B4-BE49-F238E27FC236}">
              <a16:creationId xmlns:a16="http://schemas.microsoft.com/office/drawing/2014/main" id="{590D3864-34B7-4418-A365-48254D07B379}"/>
            </a:ext>
          </a:extLst>
        </xdr:cNvPr>
        <xdr:cNvSpPr txBox="1"/>
      </xdr:nvSpPr>
      <xdr:spPr>
        <a:xfrm>
          <a:off x="6903720" y="6294120"/>
          <a:ext cx="26994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latin typeface="Century Gothic" panose="020B0502020202020204" pitchFamily="34" charset="0"/>
            </a:rPr>
            <a:t>2</a:t>
          </a:r>
        </a:p>
      </xdr:txBody>
    </xdr:sp>
    <xdr:clientData/>
  </xdr:oneCellAnchor>
  <xdr:oneCellAnchor>
    <xdr:from>
      <xdr:col>19</xdr:col>
      <xdr:colOff>259080</xdr:colOff>
      <xdr:row>28</xdr:row>
      <xdr:rowOff>7620</xdr:rowOff>
    </xdr:from>
    <xdr:ext cx="269946" cy="281039"/>
    <xdr:sp macro="" textlink="">
      <xdr:nvSpPr>
        <xdr:cNvPr id="22" name="ZoneTexte 21">
          <a:extLst>
            <a:ext uri="{FF2B5EF4-FFF2-40B4-BE49-F238E27FC236}">
              <a16:creationId xmlns:a16="http://schemas.microsoft.com/office/drawing/2014/main" id="{951703A4-C091-4969-A6BA-3FEE5351402A}"/>
            </a:ext>
          </a:extLst>
        </xdr:cNvPr>
        <xdr:cNvSpPr txBox="1"/>
      </xdr:nvSpPr>
      <xdr:spPr>
        <a:xfrm>
          <a:off x="6918960" y="5440680"/>
          <a:ext cx="26994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latin typeface="Century Gothic" panose="020B0502020202020204" pitchFamily="34" charset="0"/>
            </a:rPr>
            <a:t>3</a:t>
          </a:r>
        </a:p>
      </xdr:txBody>
    </xdr:sp>
    <xdr:clientData/>
  </xdr:oneCellAnchor>
  <xdr:oneCellAnchor>
    <xdr:from>
      <xdr:col>21</xdr:col>
      <xdr:colOff>259080</xdr:colOff>
      <xdr:row>28</xdr:row>
      <xdr:rowOff>7620</xdr:rowOff>
    </xdr:from>
    <xdr:ext cx="269946" cy="281039"/>
    <xdr:sp macro="" textlink="">
      <xdr:nvSpPr>
        <xdr:cNvPr id="23" name="ZoneTexte 22">
          <a:extLst>
            <a:ext uri="{FF2B5EF4-FFF2-40B4-BE49-F238E27FC236}">
              <a16:creationId xmlns:a16="http://schemas.microsoft.com/office/drawing/2014/main" id="{30B07D29-0F87-47D4-B4BB-95277C9D6F24}"/>
            </a:ext>
          </a:extLst>
        </xdr:cNvPr>
        <xdr:cNvSpPr txBox="1"/>
      </xdr:nvSpPr>
      <xdr:spPr>
        <a:xfrm>
          <a:off x="7620000" y="5440680"/>
          <a:ext cx="26994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latin typeface="Century Gothic" panose="020B0502020202020204" pitchFamily="34" charset="0"/>
            </a:rPr>
            <a:t>4</a:t>
          </a:r>
        </a:p>
      </xdr:txBody>
    </xdr:sp>
    <xdr:clientData/>
  </xdr:oneCellAnchor>
  <xdr:oneCellAnchor>
    <xdr:from>
      <xdr:col>21</xdr:col>
      <xdr:colOff>243840</xdr:colOff>
      <xdr:row>31</xdr:row>
      <xdr:rowOff>114300</xdr:rowOff>
    </xdr:from>
    <xdr:ext cx="269946" cy="281039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E47C6950-B82D-490A-8EF7-3A67F8047968}"/>
            </a:ext>
          </a:extLst>
        </xdr:cNvPr>
        <xdr:cNvSpPr txBox="1"/>
      </xdr:nvSpPr>
      <xdr:spPr>
        <a:xfrm>
          <a:off x="7604760" y="6278880"/>
          <a:ext cx="26994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latin typeface="Century Gothic" panose="020B0502020202020204" pitchFamily="34" charset="0"/>
            </a:rPr>
            <a:t>5</a:t>
          </a:r>
        </a:p>
      </xdr:txBody>
    </xdr:sp>
    <xdr:clientData/>
  </xdr:oneCellAnchor>
  <xdr:oneCellAnchor>
    <xdr:from>
      <xdr:col>21</xdr:col>
      <xdr:colOff>266700</xdr:colOff>
      <xdr:row>35</xdr:row>
      <xdr:rowOff>53340</xdr:rowOff>
    </xdr:from>
    <xdr:ext cx="269946" cy="281039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63FB2803-B410-4725-AF98-B2A1AA652F71}"/>
            </a:ext>
          </a:extLst>
        </xdr:cNvPr>
        <xdr:cNvSpPr txBox="1"/>
      </xdr:nvSpPr>
      <xdr:spPr>
        <a:xfrm>
          <a:off x="7627620" y="7193280"/>
          <a:ext cx="269946" cy="2810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fr-FR" sz="1200">
              <a:latin typeface="Century Gothic" panose="020B0502020202020204" pitchFamily="34" charset="0"/>
            </a:rPr>
            <a:t>6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133350</xdr:colOff>
      <xdr:row>64</xdr:row>
      <xdr:rowOff>57151</xdr:rowOff>
    </xdr:from>
    <xdr:to>
      <xdr:col>25</xdr:col>
      <xdr:colOff>144780</xdr:colOff>
      <xdr:row>67</xdr:row>
      <xdr:rowOff>152454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282BF92-A7A1-824E-3228-F3F271835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81850" y="14097001"/>
          <a:ext cx="1773555" cy="6953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70129-F26C-4639-BCD4-95E68DDB1822}">
  <sheetPr>
    <pageSetUpPr fitToPage="1"/>
  </sheetPr>
  <dimension ref="A1:AA66"/>
  <sheetViews>
    <sheetView tabSelected="1" topLeftCell="A44" workbookViewId="0">
      <selection activeCell="AC37" sqref="AC37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481"/>
      <c r="B1" s="482"/>
      <c r="C1" s="482"/>
      <c r="D1" s="482"/>
      <c r="E1" s="482"/>
      <c r="F1" s="483"/>
      <c r="G1" s="490" t="s">
        <v>0</v>
      </c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2"/>
      <c r="U1" s="309" t="s">
        <v>51</v>
      </c>
      <c r="V1" s="310"/>
      <c r="W1" s="310"/>
      <c r="X1" s="310"/>
      <c r="Y1" s="310"/>
      <c r="Z1" s="311"/>
    </row>
    <row r="2" spans="1:26" ht="12.75" customHeight="1" x14ac:dyDescent="0.25">
      <c r="A2" s="484"/>
      <c r="B2" s="485"/>
      <c r="C2" s="485"/>
      <c r="D2" s="485"/>
      <c r="E2" s="485"/>
      <c r="F2" s="486"/>
      <c r="G2" s="493" t="s">
        <v>1</v>
      </c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5"/>
      <c r="U2" s="312"/>
      <c r="V2" s="313"/>
      <c r="W2" s="313"/>
      <c r="X2" s="313"/>
      <c r="Y2" s="313"/>
      <c r="Z2" s="314"/>
    </row>
    <row r="3" spans="1:26" ht="12.75" customHeight="1" x14ac:dyDescent="0.25">
      <c r="A3" s="484"/>
      <c r="B3" s="485"/>
      <c r="C3" s="485"/>
      <c r="D3" s="485"/>
      <c r="E3" s="485"/>
      <c r="F3" s="486"/>
      <c r="G3" s="493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5"/>
      <c r="U3" s="312"/>
      <c r="V3" s="313"/>
      <c r="W3" s="313"/>
      <c r="X3" s="313"/>
      <c r="Y3" s="313"/>
      <c r="Z3" s="314"/>
    </row>
    <row r="4" spans="1:26" ht="12.75" customHeight="1" x14ac:dyDescent="0.25">
      <c r="A4" s="484"/>
      <c r="B4" s="485"/>
      <c r="C4" s="485"/>
      <c r="D4" s="485"/>
      <c r="E4" s="485"/>
      <c r="F4" s="486"/>
      <c r="G4" s="493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5"/>
      <c r="U4" s="312"/>
      <c r="V4" s="313"/>
      <c r="W4" s="313"/>
      <c r="X4" s="313"/>
      <c r="Y4" s="313"/>
      <c r="Z4" s="314"/>
    </row>
    <row r="5" spans="1:26" ht="12.75" customHeight="1" x14ac:dyDescent="0.25">
      <c r="A5" s="484"/>
      <c r="B5" s="485"/>
      <c r="C5" s="485"/>
      <c r="D5" s="485"/>
      <c r="E5" s="485"/>
      <c r="F5" s="486"/>
      <c r="G5" s="496" t="s">
        <v>2</v>
      </c>
      <c r="H5" s="497"/>
      <c r="I5" s="471">
        <v>11</v>
      </c>
      <c r="J5" s="471"/>
      <c r="K5" s="472"/>
      <c r="L5" s="474" t="s">
        <v>3</v>
      </c>
      <c r="M5" s="475"/>
      <c r="N5" s="475"/>
      <c r="O5" s="476"/>
      <c r="P5" s="477" t="s">
        <v>93</v>
      </c>
      <c r="Q5" s="478"/>
      <c r="R5" s="478"/>
      <c r="S5" s="478"/>
      <c r="T5" s="479"/>
      <c r="U5" s="312"/>
      <c r="V5" s="313"/>
      <c r="W5" s="313"/>
      <c r="X5" s="313"/>
      <c r="Y5" s="313"/>
      <c r="Z5" s="314"/>
    </row>
    <row r="6" spans="1:26" ht="12.75" customHeight="1" x14ac:dyDescent="0.25">
      <c r="A6" s="487"/>
      <c r="B6" s="488"/>
      <c r="C6" s="488"/>
      <c r="D6" s="488"/>
      <c r="E6" s="488"/>
      <c r="F6" s="489"/>
      <c r="G6" s="275"/>
      <c r="H6" s="241"/>
      <c r="I6" s="473" t="s">
        <v>5</v>
      </c>
      <c r="J6" s="473"/>
      <c r="K6" s="473"/>
      <c r="L6" s="473" t="s">
        <v>6</v>
      </c>
      <c r="M6" s="473"/>
      <c r="N6" s="473"/>
      <c r="O6" s="473"/>
      <c r="P6" s="473" t="s">
        <v>7</v>
      </c>
      <c r="Q6" s="473"/>
      <c r="R6" s="473"/>
      <c r="S6" s="473"/>
      <c r="T6" s="480"/>
      <c r="U6" s="315"/>
      <c r="V6" s="316"/>
      <c r="W6" s="316"/>
      <c r="X6" s="316"/>
      <c r="Y6" s="316"/>
      <c r="Z6" s="317"/>
    </row>
    <row r="7" spans="1:26" ht="36.6" customHeight="1" x14ac:dyDescent="0.25">
      <c r="A7" s="498" t="s">
        <v>8</v>
      </c>
      <c r="B7" s="498"/>
      <c r="C7" s="498"/>
      <c r="D7" s="498"/>
      <c r="E7" s="498"/>
      <c r="F7" s="498"/>
      <c r="G7" s="499" t="s">
        <v>9</v>
      </c>
      <c r="H7" s="499"/>
      <c r="I7" s="499"/>
      <c r="J7" s="499"/>
      <c r="K7" s="499"/>
      <c r="L7" s="499"/>
      <c r="M7" s="499"/>
      <c r="N7" s="499"/>
      <c r="O7" s="499"/>
      <c r="P7" s="499"/>
      <c r="Q7" s="499"/>
      <c r="R7" s="499"/>
      <c r="S7" s="499"/>
      <c r="T7" s="499"/>
      <c r="U7" s="499"/>
      <c r="V7" s="499"/>
      <c r="W7" s="499"/>
      <c r="X7" s="499"/>
      <c r="Y7" s="499"/>
      <c r="Z7" s="499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440" t="s">
        <v>12</v>
      </c>
      <c r="C10" s="440"/>
      <c r="D10" s="440"/>
      <c r="E10" s="440"/>
      <c r="F10" s="440"/>
      <c r="G10" s="440"/>
      <c r="H10" s="500" t="s">
        <v>59</v>
      </c>
      <c r="I10" s="500"/>
      <c r="J10" s="500"/>
      <c r="K10" s="500"/>
      <c r="L10" s="500"/>
      <c r="M10" s="500"/>
      <c r="N10" s="440" t="s">
        <v>14</v>
      </c>
      <c r="O10" s="440"/>
      <c r="P10" s="440"/>
      <c r="Q10" s="440"/>
      <c r="R10" s="440"/>
      <c r="S10" s="459" t="s">
        <v>92</v>
      </c>
      <c r="T10" s="459"/>
      <c r="U10" s="459"/>
      <c r="V10" s="459"/>
      <c r="W10" s="459"/>
      <c r="X10" s="459"/>
      <c r="Y10" s="459"/>
      <c r="Z10" s="273"/>
    </row>
    <row r="11" spans="1:26" ht="15.9" customHeight="1" x14ac:dyDescent="0.25">
      <c r="A11" s="245"/>
      <c r="B11" s="440" t="s">
        <v>16</v>
      </c>
      <c r="C11" s="440"/>
      <c r="D11" s="440"/>
      <c r="E11" s="440"/>
      <c r="F11" s="440"/>
      <c r="G11" s="440"/>
      <c r="H11" s="500" t="s">
        <v>93</v>
      </c>
      <c r="I11" s="500"/>
      <c r="J11" s="500"/>
      <c r="K11" s="500"/>
      <c r="L11" s="500"/>
      <c r="M11" s="500"/>
      <c r="N11" s="440" t="s">
        <v>17</v>
      </c>
      <c r="O11" s="440"/>
      <c r="P11" s="440"/>
      <c r="Q11" s="440"/>
      <c r="R11" s="440"/>
      <c r="S11" s="459" t="s">
        <v>18</v>
      </c>
      <c r="T11" s="459"/>
      <c r="U11" s="459"/>
      <c r="V11" s="459"/>
      <c r="W11" s="459"/>
      <c r="X11" s="459"/>
      <c r="Y11" s="459"/>
      <c r="Z11" s="273"/>
    </row>
    <row r="12" spans="1:26" ht="15.9" customHeight="1" x14ac:dyDescent="0.25">
      <c r="A12" s="245"/>
      <c r="B12" s="440" t="s">
        <v>19</v>
      </c>
      <c r="C12" s="440"/>
      <c r="D12" s="440"/>
      <c r="E12" s="440"/>
      <c r="F12" s="440"/>
      <c r="G12" s="440"/>
      <c r="H12" s="377" t="s">
        <v>91</v>
      </c>
      <c r="I12" s="377"/>
      <c r="J12" s="377"/>
      <c r="K12" s="377"/>
      <c r="L12" s="377"/>
      <c r="M12" s="377"/>
      <c r="N12" s="440" t="s">
        <v>21</v>
      </c>
      <c r="O12" s="440"/>
      <c r="P12" s="440"/>
      <c r="Q12" s="440"/>
      <c r="R12" s="440"/>
      <c r="S12" s="459" t="s">
        <v>22</v>
      </c>
      <c r="T12" s="459"/>
      <c r="U12" s="459"/>
      <c r="V12" s="459"/>
      <c r="W12" s="459"/>
      <c r="X12" s="459"/>
      <c r="Y12" s="459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439" t="s">
        <v>25</v>
      </c>
      <c r="C17" s="439"/>
      <c r="D17" s="439"/>
      <c r="E17" s="439"/>
      <c r="F17" s="439"/>
      <c r="G17" s="439"/>
      <c r="H17" s="439"/>
      <c r="I17" s="464"/>
      <c r="J17" s="464"/>
      <c r="K17" s="464"/>
      <c r="L17" s="464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  <c r="Z17" s="259"/>
    </row>
    <row r="18" spans="1:26" s="213" customFormat="1" ht="15" customHeight="1" x14ac:dyDescent="0.25">
      <c r="A18" s="261"/>
      <c r="B18" s="439" t="s">
        <v>26</v>
      </c>
      <c r="C18" s="439"/>
      <c r="D18" s="439"/>
      <c r="E18" s="439"/>
      <c r="F18" s="439"/>
      <c r="G18" s="439"/>
      <c r="H18" s="439"/>
      <c r="I18" s="528" t="s">
        <v>27</v>
      </c>
      <c r="J18" s="528"/>
      <c r="K18" s="260">
        <v>50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537" t="s">
        <v>31</v>
      </c>
      <c r="K21" s="537"/>
      <c r="L21" s="537"/>
      <c r="M21" s="537"/>
      <c r="N21" s="537"/>
      <c r="O21" s="537"/>
      <c r="P21" s="537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535" t="s">
        <v>32</v>
      </c>
      <c r="C23" s="460" t="s">
        <v>33</v>
      </c>
      <c r="D23" s="460"/>
      <c r="E23" s="460"/>
      <c r="F23" s="460"/>
      <c r="G23" s="461"/>
      <c r="H23" s="532" t="s">
        <v>34</v>
      </c>
      <c r="I23" s="533"/>
      <c r="J23" s="534"/>
      <c r="K23" s="460" t="s">
        <v>35</v>
      </c>
      <c r="L23" s="460"/>
      <c r="M23" s="460"/>
      <c r="N23" s="460"/>
      <c r="O23" s="460"/>
      <c r="P23" s="461"/>
      <c r="Z23" s="244"/>
    </row>
    <row r="24" spans="1:26" ht="15.75" customHeight="1" x14ac:dyDescent="0.25">
      <c r="A24" s="245"/>
      <c r="B24" s="536"/>
      <c r="C24" s="462"/>
      <c r="D24" s="462"/>
      <c r="E24" s="462"/>
      <c r="F24" s="462"/>
      <c r="G24" s="463"/>
      <c r="H24" s="529" t="s">
        <v>36</v>
      </c>
      <c r="I24" s="530"/>
      <c r="J24" s="531"/>
      <c r="K24" s="462"/>
      <c r="L24" s="462"/>
      <c r="M24" s="462"/>
      <c r="N24" s="462"/>
      <c r="O24" s="462"/>
      <c r="P24" s="463"/>
      <c r="Z24" s="244"/>
    </row>
    <row r="25" spans="1:26" ht="19.5" customHeight="1" x14ac:dyDescent="0.25">
      <c r="A25" s="245"/>
      <c r="B25" s="247">
        <v>1</v>
      </c>
      <c r="C25" s="412"/>
      <c r="D25" s="413"/>
      <c r="E25" s="413"/>
      <c r="F25" s="413"/>
      <c r="G25" s="414"/>
      <c r="H25" s="415">
        <v>73</v>
      </c>
      <c r="I25" s="416"/>
      <c r="J25" s="417"/>
      <c r="K25" s="412"/>
      <c r="L25" s="413"/>
      <c r="M25" s="413"/>
      <c r="N25" s="413"/>
      <c r="O25" s="413"/>
      <c r="P25" s="414"/>
      <c r="Z25" s="244"/>
    </row>
    <row r="26" spans="1:26" ht="19.5" customHeight="1" x14ac:dyDescent="0.25">
      <c r="A26" s="245"/>
      <c r="B26" s="247">
        <v>2</v>
      </c>
      <c r="C26" s="412"/>
      <c r="D26" s="413"/>
      <c r="E26" s="413"/>
      <c r="F26" s="413"/>
      <c r="G26" s="414"/>
      <c r="H26" s="415">
        <v>91</v>
      </c>
      <c r="I26" s="416"/>
      <c r="J26" s="417"/>
      <c r="K26" s="412"/>
      <c r="L26" s="413"/>
      <c r="M26" s="413"/>
      <c r="N26" s="413"/>
      <c r="O26" s="413"/>
      <c r="P26" s="414"/>
      <c r="Z26" s="244"/>
    </row>
    <row r="27" spans="1:26" ht="19.5" customHeight="1" x14ac:dyDescent="0.25">
      <c r="A27" s="245"/>
      <c r="B27" s="247">
        <v>3</v>
      </c>
      <c r="C27" s="412"/>
      <c r="D27" s="413"/>
      <c r="E27" s="413"/>
      <c r="F27" s="413"/>
      <c r="G27" s="414"/>
      <c r="H27" s="415">
        <v>58</v>
      </c>
      <c r="I27" s="416"/>
      <c r="J27" s="417"/>
      <c r="K27" s="412"/>
      <c r="L27" s="413"/>
      <c r="M27" s="413"/>
      <c r="N27" s="413"/>
      <c r="O27" s="413"/>
      <c r="P27" s="414"/>
      <c r="Z27" s="244"/>
    </row>
    <row r="28" spans="1:26" ht="19.5" customHeight="1" x14ac:dyDescent="0.25">
      <c r="A28" s="245"/>
      <c r="B28" s="247">
        <v>4</v>
      </c>
      <c r="C28" s="412"/>
      <c r="D28" s="413"/>
      <c r="E28" s="413"/>
      <c r="F28" s="413"/>
      <c r="G28" s="414"/>
      <c r="H28" s="415">
        <v>74</v>
      </c>
      <c r="I28" s="416"/>
      <c r="J28" s="417"/>
      <c r="K28" s="412"/>
      <c r="L28" s="413"/>
      <c r="M28" s="413"/>
      <c r="N28" s="413"/>
      <c r="O28" s="413"/>
      <c r="P28" s="414"/>
      <c r="Z28" s="244"/>
    </row>
    <row r="29" spans="1:26" ht="19.5" customHeight="1" x14ac:dyDescent="0.25">
      <c r="A29" s="245"/>
      <c r="B29" s="247">
        <v>5</v>
      </c>
      <c r="C29" s="412"/>
      <c r="D29" s="413"/>
      <c r="E29" s="413"/>
      <c r="F29" s="413"/>
      <c r="G29" s="414"/>
      <c r="H29" s="415">
        <v>81</v>
      </c>
      <c r="I29" s="416"/>
      <c r="J29" s="417"/>
      <c r="K29" s="412"/>
      <c r="L29" s="413"/>
      <c r="M29" s="413"/>
      <c r="N29" s="413"/>
      <c r="O29" s="413"/>
      <c r="P29" s="414"/>
      <c r="Z29" s="244"/>
    </row>
    <row r="30" spans="1:26" ht="19.5" customHeight="1" x14ac:dyDescent="0.25">
      <c r="A30" s="245"/>
      <c r="B30" s="247">
        <v>6</v>
      </c>
      <c r="C30" s="412"/>
      <c r="D30" s="413"/>
      <c r="E30" s="413"/>
      <c r="F30" s="413"/>
      <c r="G30" s="414"/>
      <c r="H30" s="415">
        <v>55</v>
      </c>
      <c r="I30" s="416"/>
      <c r="J30" s="417"/>
      <c r="K30" s="412"/>
      <c r="L30" s="413"/>
      <c r="M30" s="413"/>
      <c r="N30" s="413"/>
      <c r="O30" s="413"/>
      <c r="P30" s="414"/>
      <c r="Z30" s="244"/>
    </row>
    <row r="31" spans="1:26" ht="19.5" customHeight="1" x14ac:dyDescent="0.25">
      <c r="A31" s="245"/>
      <c r="B31" s="247"/>
      <c r="C31" s="412"/>
      <c r="D31" s="413"/>
      <c r="E31" s="413"/>
      <c r="F31" s="413"/>
      <c r="G31" s="414"/>
      <c r="H31" s="415"/>
      <c r="I31" s="416"/>
      <c r="J31" s="417"/>
      <c r="K31" s="412"/>
      <c r="L31" s="413"/>
      <c r="M31" s="413"/>
      <c r="N31" s="413"/>
      <c r="O31" s="413"/>
      <c r="P31" s="414"/>
      <c r="Z31" s="244"/>
    </row>
    <row r="32" spans="1:26" ht="19.5" customHeight="1" x14ac:dyDescent="0.25">
      <c r="A32" s="245"/>
      <c r="B32" s="247"/>
      <c r="C32" s="412"/>
      <c r="D32" s="413"/>
      <c r="E32" s="413"/>
      <c r="F32" s="413"/>
      <c r="G32" s="414"/>
      <c r="H32" s="415"/>
      <c r="I32" s="416"/>
      <c r="J32" s="417"/>
      <c r="K32" s="412"/>
      <c r="L32" s="413"/>
      <c r="M32" s="413"/>
      <c r="N32" s="413"/>
      <c r="O32" s="413"/>
      <c r="P32" s="414"/>
      <c r="Z32" s="244"/>
    </row>
    <row r="33" spans="1:26" ht="19.5" customHeight="1" x14ac:dyDescent="0.25">
      <c r="A33" s="245"/>
      <c r="B33" s="247"/>
      <c r="C33" s="412"/>
      <c r="D33" s="413"/>
      <c r="E33" s="413"/>
      <c r="F33" s="413"/>
      <c r="G33" s="414"/>
      <c r="H33" s="415"/>
      <c r="I33" s="416"/>
      <c r="J33" s="417"/>
      <c r="K33" s="412"/>
      <c r="L33" s="413"/>
      <c r="M33" s="413"/>
      <c r="N33" s="413"/>
      <c r="O33" s="413"/>
      <c r="P33" s="414"/>
      <c r="Z33" s="244"/>
    </row>
    <row r="34" spans="1:26" ht="19.5" customHeight="1" x14ac:dyDescent="0.25">
      <c r="A34" s="245"/>
      <c r="B34" s="247"/>
      <c r="C34" s="412"/>
      <c r="D34" s="413"/>
      <c r="E34" s="413"/>
      <c r="F34" s="413"/>
      <c r="G34" s="414"/>
      <c r="H34" s="415"/>
      <c r="I34" s="416"/>
      <c r="J34" s="417"/>
      <c r="K34" s="412"/>
      <c r="L34" s="413"/>
      <c r="M34" s="413"/>
      <c r="N34" s="413"/>
      <c r="O34" s="413"/>
      <c r="P34" s="414"/>
      <c r="Z34" s="244"/>
    </row>
    <row r="35" spans="1:26" ht="19.5" customHeight="1" x14ac:dyDescent="0.25">
      <c r="A35" s="245"/>
      <c r="B35" s="247"/>
      <c r="C35" s="412"/>
      <c r="D35" s="413"/>
      <c r="E35" s="413"/>
      <c r="F35" s="413"/>
      <c r="G35" s="414"/>
      <c r="H35" s="415"/>
      <c r="I35" s="416"/>
      <c r="J35" s="417"/>
      <c r="K35" s="412"/>
      <c r="L35" s="413"/>
      <c r="M35" s="413"/>
      <c r="N35" s="413"/>
      <c r="O35" s="413"/>
      <c r="P35" s="414"/>
      <c r="Z35" s="244"/>
    </row>
    <row r="36" spans="1:26" ht="19.5" customHeight="1" x14ac:dyDescent="0.25">
      <c r="A36" s="245"/>
      <c r="B36" s="247"/>
      <c r="C36" s="412"/>
      <c r="D36" s="413"/>
      <c r="E36" s="413"/>
      <c r="F36" s="413"/>
      <c r="G36" s="414"/>
      <c r="H36" s="415"/>
      <c r="I36" s="416"/>
      <c r="J36" s="417"/>
      <c r="K36" s="412"/>
      <c r="L36" s="413"/>
      <c r="M36" s="413"/>
      <c r="N36" s="413"/>
      <c r="O36" s="413"/>
      <c r="P36" s="414"/>
      <c r="Z36" s="244"/>
    </row>
    <row r="37" spans="1:26" ht="19.5" customHeight="1" x14ac:dyDescent="0.25">
      <c r="A37" s="245"/>
      <c r="B37" s="247"/>
      <c r="C37" s="412"/>
      <c r="D37" s="413"/>
      <c r="E37" s="413"/>
      <c r="F37" s="413"/>
      <c r="G37" s="414"/>
      <c r="H37" s="415"/>
      <c r="I37" s="416"/>
      <c r="J37" s="417"/>
      <c r="K37" s="412"/>
      <c r="L37" s="413"/>
      <c r="M37" s="413"/>
      <c r="N37" s="413"/>
      <c r="O37" s="413"/>
      <c r="P37" s="414"/>
      <c r="Z37" s="244"/>
    </row>
    <row r="38" spans="1:26" ht="19.5" customHeight="1" x14ac:dyDescent="0.25">
      <c r="A38" s="245"/>
      <c r="B38" s="247"/>
      <c r="C38" s="412"/>
      <c r="D38" s="413"/>
      <c r="E38" s="413"/>
      <c r="F38" s="413"/>
      <c r="G38" s="414"/>
      <c r="H38" s="415"/>
      <c r="I38" s="416"/>
      <c r="J38" s="417"/>
      <c r="K38" s="412"/>
      <c r="L38" s="413"/>
      <c r="M38" s="413"/>
      <c r="N38" s="413"/>
      <c r="O38" s="413"/>
      <c r="P38" s="414"/>
      <c r="Z38" s="244"/>
    </row>
    <row r="39" spans="1:26" ht="19.5" customHeight="1" x14ac:dyDescent="0.25">
      <c r="A39" s="245"/>
      <c r="B39" s="247"/>
      <c r="C39" s="412"/>
      <c r="D39" s="413"/>
      <c r="E39" s="413"/>
      <c r="F39" s="413"/>
      <c r="G39" s="414"/>
      <c r="H39" s="415"/>
      <c r="I39" s="416"/>
      <c r="J39" s="417"/>
      <c r="K39" s="412"/>
      <c r="L39" s="413"/>
      <c r="M39" s="413"/>
      <c r="N39" s="413"/>
      <c r="O39" s="413"/>
      <c r="P39" s="414"/>
      <c r="Z39" s="244"/>
    </row>
    <row r="40" spans="1:26" ht="19.5" customHeight="1" x14ac:dyDescent="0.25">
      <c r="A40" s="245"/>
      <c r="B40" s="247"/>
      <c r="C40" s="412"/>
      <c r="D40" s="413"/>
      <c r="E40" s="413"/>
      <c r="F40" s="413"/>
      <c r="G40" s="414"/>
      <c r="H40" s="415"/>
      <c r="I40" s="416"/>
      <c r="J40" s="417"/>
      <c r="K40" s="412"/>
      <c r="L40" s="413"/>
      <c r="M40" s="413"/>
      <c r="N40" s="413"/>
      <c r="O40" s="413"/>
      <c r="P40" s="414"/>
      <c r="Z40" s="244"/>
    </row>
    <row r="41" spans="1:26" ht="19.5" customHeight="1" x14ac:dyDescent="0.25">
      <c r="A41" s="245"/>
      <c r="B41" s="247"/>
      <c r="C41" s="412"/>
      <c r="D41" s="413"/>
      <c r="E41" s="413"/>
      <c r="F41" s="413"/>
      <c r="G41" s="414"/>
      <c r="H41" s="415"/>
      <c r="I41" s="416"/>
      <c r="J41" s="417"/>
      <c r="K41" s="412"/>
      <c r="L41" s="413"/>
      <c r="M41" s="413"/>
      <c r="N41" s="413"/>
      <c r="O41" s="413"/>
      <c r="P41" s="414"/>
      <c r="Z41" s="244"/>
    </row>
    <row r="42" spans="1:26" ht="19.5" customHeight="1" x14ac:dyDescent="0.25">
      <c r="A42" s="245"/>
      <c r="B42" s="247"/>
      <c r="C42" s="412"/>
      <c r="D42" s="413"/>
      <c r="E42" s="413"/>
      <c r="F42" s="413"/>
      <c r="G42" s="414"/>
      <c r="H42" s="415"/>
      <c r="I42" s="416"/>
      <c r="J42" s="417"/>
      <c r="K42" s="412"/>
      <c r="L42" s="413"/>
      <c r="M42" s="413"/>
      <c r="N42" s="413"/>
      <c r="O42" s="413"/>
      <c r="P42" s="414"/>
      <c r="Z42" s="244"/>
    </row>
    <row r="43" spans="1:26" ht="19.5" customHeight="1" x14ac:dyDescent="0.25">
      <c r="A43" s="245"/>
      <c r="B43" s="247"/>
      <c r="C43" s="412"/>
      <c r="D43" s="413"/>
      <c r="E43" s="413"/>
      <c r="F43" s="413"/>
      <c r="G43" s="414"/>
      <c r="H43" s="415"/>
      <c r="I43" s="416"/>
      <c r="J43" s="417"/>
      <c r="K43" s="412"/>
      <c r="L43" s="413"/>
      <c r="M43" s="413"/>
      <c r="N43" s="413"/>
      <c r="O43" s="413"/>
      <c r="P43" s="414"/>
      <c r="Z43" s="244"/>
    </row>
    <row r="44" spans="1:26" ht="19.5" customHeight="1" thickBot="1" x14ac:dyDescent="0.3">
      <c r="A44" s="245"/>
      <c r="B44" s="246"/>
      <c r="C44" s="469"/>
      <c r="D44" s="469"/>
      <c r="E44" s="469"/>
      <c r="F44" s="469"/>
      <c r="G44" s="470"/>
      <c r="H44" s="465"/>
      <c r="I44" s="466"/>
      <c r="J44" s="467"/>
      <c r="K44" s="468"/>
      <c r="L44" s="469"/>
      <c r="M44" s="469"/>
      <c r="N44" s="469"/>
      <c r="O44" s="469"/>
      <c r="P44" s="470"/>
      <c r="Z44" s="244"/>
    </row>
    <row r="45" spans="1:26" ht="15.75" customHeight="1" x14ac:dyDescent="0.25">
      <c r="A45" s="245"/>
      <c r="B45" s="516" t="s">
        <v>37</v>
      </c>
      <c r="C45" s="517"/>
      <c r="D45" s="517"/>
      <c r="E45" s="517"/>
      <c r="F45" s="517"/>
      <c r="G45" s="518"/>
      <c r="H45" s="522">
        <f>AVERAGE(H25:J44)</f>
        <v>72</v>
      </c>
      <c r="I45" s="523"/>
      <c r="J45" s="524"/>
      <c r="K45" s="453" t="s">
        <v>55</v>
      </c>
      <c r="L45" s="454"/>
      <c r="M45" s="448" t="s">
        <v>38</v>
      </c>
      <c r="N45" s="448"/>
      <c r="O45" s="448"/>
      <c r="P45" s="449"/>
      <c r="Z45" s="244"/>
    </row>
    <row r="46" spans="1:26" ht="15.75" customHeight="1" x14ac:dyDescent="0.25">
      <c r="A46" s="245"/>
      <c r="B46" s="510" t="s">
        <v>39</v>
      </c>
      <c r="C46" s="511"/>
      <c r="D46" s="511"/>
      <c r="E46" s="511"/>
      <c r="F46" s="511"/>
      <c r="G46" s="512"/>
      <c r="H46" s="525">
        <f>IF(COUNTIF(H25:J44,"*&lt;20*"),"&lt;20",MIN(H25:J44))</f>
        <v>55</v>
      </c>
      <c r="I46" s="526"/>
      <c r="J46" s="527"/>
      <c r="K46" s="455"/>
      <c r="L46" s="456"/>
      <c r="M46" s="432"/>
      <c r="N46" s="432"/>
      <c r="O46" s="432"/>
      <c r="P46" s="450"/>
      <c r="Z46" s="244"/>
    </row>
    <row r="47" spans="1:26" ht="15.75" customHeight="1" thickBot="1" x14ac:dyDescent="0.3">
      <c r="A47" s="245"/>
      <c r="B47" s="513" t="s">
        <v>40</v>
      </c>
      <c r="C47" s="514"/>
      <c r="D47" s="514"/>
      <c r="E47" s="514"/>
      <c r="F47" s="514"/>
      <c r="G47" s="515"/>
      <c r="H47" s="519">
        <f>IF(COUNTIF(H25:J44,"*&gt;250*"),"&gt;250",MAX(H25:J44))</f>
        <v>91</v>
      </c>
      <c r="I47" s="520"/>
      <c r="J47" s="521"/>
      <c r="K47" s="457"/>
      <c r="L47" s="458"/>
      <c r="M47" s="451"/>
      <c r="N47" s="451"/>
      <c r="O47" s="451"/>
      <c r="P47" s="452"/>
      <c r="Z47" s="244"/>
    </row>
    <row r="48" spans="1:26" ht="15.9" customHeight="1" x14ac:dyDescent="0.25">
      <c r="A48" s="243"/>
      <c r="B48" s="242"/>
      <c r="C48" s="241"/>
      <c r="D48" s="241"/>
      <c r="E48" s="241"/>
      <c r="F48" s="241"/>
      <c r="G48" s="241"/>
      <c r="H48" s="241"/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0"/>
    </row>
    <row r="49" spans="1:26" ht="12.75" customHeight="1" x14ac:dyDescent="0.25">
      <c r="A49" s="239"/>
      <c r="B49" s="238"/>
    </row>
    <row r="50" spans="1:26" s="213" customFormat="1" ht="15.6" customHeight="1" x14ac:dyDescent="0.25">
      <c r="A50" s="237" t="s">
        <v>41</v>
      </c>
      <c r="B50" s="236" t="s">
        <v>42</v>
      </c>
      <c r="C50" s="235"/>
      <c r="D50" s="235"/>
      <c r="E50" s="235"/>
      <c r="F50" s="234"/>
      <c r="G50" s="234"/>
      <c r="H50" s="234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2"/>
      <c r="V50" s="231"/>
      <c r="W50" s="231"/>
      <c r="X50" s="230"/>
      <c r="Y50" s="230"/>
      <c r="Z50" s="229"/>
    </row>
    <row r="51" spans="1:26" s="213" customFormat="1" ht="28.5" customHeight="1" x14ac:dyDescent="0.25">
      <c r="A51" s="441" t="s">
        <v>43</v>
      </c>
      <c r="B51" s="442"/>
      <c r="C51" s="442"/>
      <c r="D51" s="442"/>
      <c r="E51" s="442"/>
      <c r="F51" s="442"/>
      <c r="G51" s="442"/>
      <c r="H51" s="442"/>
      <c r="I51" s="442"/>
      <c r="J51" s="442"/>
      <c r="K51" s="442"/>
      <c r="L51" s="442"/>
      <c r="M51" s="442"/>
      <c r="N51" s="442"/>
      <c r="O51" s="442"/>
      <c r="P51" s="442"/>
      <c r="Q51" s="443"/>
      <c r="R51" s="424" t="s">
        <v>44</v>
      </c>
      <c r="S51" s="425"/>
      <c r="T51" s="426"/>
      <c r="U51" s="444" t="s">
        <v>54</v>
      </c>
      <c r="V51" s="445"/>
      <c r="W51" s="445"/>
      <c r="X51" s="446"/>
      <c r="Y51" s="446"/>
      <c r="Z51" s="447"/>
    </row>
    <row r="52" spans="1:26" s="213" customFormat="1" ht="15.6" customHeight="1" x14ac:dyDescent="0.25">
      <c r="A52" s="418" t="s">
        <v>53</v>
      </c>
      <c r="B52" s="419"/>
      <c r="C52" s="419"/>
      <c r="D52" s="419"/>
      <c r="E52" s="419"/>
      <c r="F52" s="419"/>
      <c r="G52" s="419"/>
      <c r="H52" s="419"/>
      <c r="I52" s="419"/>
      <c r="J52" s="419"/>
      <c r="K52" s="419"/>
      <c r="L52" s="419"/>
      <c r="M52" s="419"/>
      <c r="N52" s="419"/>
      <c r="O52" s="419"/>
      <c r="P52" s="419"/>
      <c r="Q52" s="420"/>
      <c r="R52" s="424" t="s">
        <v>46</v>
      </c>
      <c r="S52" s="425"/>
      <c r="T52" s="426"/>
      <c r="U52" s="427" t="s">
        <v>52</v>
      </c>
      <c r="V52" s="428"/>
      <c r="W52" s="428"/>
      <c r="X52" s="429"/>
      <c r="Y52" s="429"/>
      <c r="Z52" s="430"/>
    </row>
    <row r="53" spans="1:26" s="213" customFormat="1" ht="15.6" customHeight="1" x14ac:dyDescent="0.25">
      <c r="A53" s="421"/>
      <c r="B53" s="422"/>
      <c r="C53" s="422"/>
      <c r="D53" s="422"/>
      <c r="E53" s="422"/>
      <c r="F53" s="422"/>
      <c r="G53" s="422"/>
      <c r="H53" s="422"/>
      <c r="I53" s="422"/>
      <c r="J53" s="422"/>
      <c r="K53" s="422"/>
      <c r="L53" s="422"/>
      <c r="M53" s="422"/>
      <c r="N53" s="422"/>
      <c r="O53" s="422"/>
      <c r="P53" s="422"/>
      <c r="Q53" s="423"/>
      <c r="R53" s="424"/>
      <c r="S53" s="425"/>
      <c r="T53" s="426"/>
      <c r="U53" s="431"/>
      <c r="V53" s="432"/>
      <c r="W53" s="432"/>
      <c r="X53" s="433"/>
      <c r="Y53" s="433"/>
      <c r="Z53" s="434"/>
    </row>
    <row r="54" spans="1:26" s="213" customFormat="1" ht="15.6" customHeight="1" x14ac:dyDescent="0.25">
      <c r="A54" s="228" t="s">
        <v>48</v>
      </c>
      <c r="B54" s="227" t="s">
        <v>49</v>
      </c>
      <c r="C54" s="211"/>
      <c r="D54" s="211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5"/>
      <c r="R54" s="424"/>
      <c r="S54" s="425"/>
      <c r="T54" s="426"/>
      <c r="U54" s="435"/>
      <c r="V54" s="436"/>
      <c r="W54" s="436"/>
      <c r="X54" s="437"/>
      <c r="Y54" s="437"/>
      <c r="Z54" s="438"/>
    </row>
    <row r="55" spans="1:26" s="213" customFormat="1" ht="15.6" customHeight="1" x14ac:dyDescent="0.25">
      <c r="A55" s="501"/>
      <c r="B55" s="502"/>
      <c r="C55" s="502"/>
      <c r="D55" s="502"/>
      <c r="E55" s="502"/>
      <c r="F55" s="502"/>
      <c r="G55" s="502"/>
      <c r="H55" s="502"/>
      <c r="I55" s="502"/>
      <c r="J55" s="502"/>
      <c r="K55" s="502"/>
      <c r="L55" s="502"/>
      <c r="M55" s="502"/>
      <c r="N55" s="502"/>
      <c r="O55" s="502"/>
      <c r="P55" s="502"/>
      <c r="Q55" s="503"/>
      <c r="R55" s="424" t="s">
        <v>50</v>
      </c>
      <c r="S55" s="425"/>
      <c r="T55" s="426"/>
      <c r="U55" s="224"/>
      <c r="V55" s="223"/>
      <c r="W55" s="223"/>
      <c r="X55" s="223"/>
      <c r="Y55" s="223"/>
      <c r="Z55" s="222"/>
    </row>
    <row r="56" spans="1:26" s="213" customFormat="1" ht="15.6" customHeight="1" x14ac:dyDescent="0.25">
      <c r="A56" s="501"/>
      <c r="B56" s="502"/>
      <c r="C56" s="502"/>
      <c r="D56" s="502"/>
      <c r="E56" s="502"/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02"/>
      <c r="Q56" s="503"/>
      <c r="R56" s="424"/>
      <c r="S56" s="425"/>
      <c r="T56" s="426"/>
      <c r="U56" s="221"/>
      <c r="V56" s="432"/>
      <c r="W56" s="432"/>
      <c r="X56" s="432"/>
      <c r="Y56" s="432"/>
      <c r="Z56" s="220"/>
    </row>
    <row r="57" spans="1:26" s="213" customFormat="1" ht="15.6" customHeight="1" x14ac:dyDescent="0.25">
      <c r="A57" s="501"/>
      <c r="B57" s="502"/>
      <c r="C57" s="502"/>
      <c r="D57" s="502"/>
      <c r="E57" s="502"/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  <c r="Q57" s="503"/>
      <c r="R57" s="424"/>
      <c r="S57" s="425"/>
      <c r="T57" s="426"/>
      <c r="U57" s="221"/>
      <c r="V57" s="432"/>
      <c r="W57" s="432"/>
      <c r="X57" s="432"/>
      <c r="Y57" s="432"/>
      <c r="Z57" s="220"/>
    </row>
    <row r="58" spans="1:26" s="213" customFormat="1" ht="15.6" customHeight="1" x14ac:dyDescent="0.25">
      <c r="A58" s="504"/>
      <c r="B58" s="505"/>
      <c r="C58" s="505"/>
      <c r="D58" s="505"/>
      <c r="E58" s="505"/>
      <c r="F58" s="505"/>
      <c r="G58" s="505"/>
      <c r="H58" s="505"/>
      <c r="I58" s="505"/>
      <c r="J58" s="505"/>
      <c r="K58" s="505"/>
      <c r="L58" s="505"/>
      <c r="M58" s="505"/>
      <c r="N58" s="505"/>
      <c r="O58" s="505"/>
      <c r="P58" s="505"/>
      <c r="Q58" s="506"/>
      <c r="R58" s="507"/>
      <c r="S58" s="508"/>
      <c r="T58" s="509"/>
      <c r="U58" s="219"/>
      <c r="V58" s="218"/>
      <c r="W58" s="218"/>
      <c r="X58" s="218"/>
      <c r="Y58" s="218"/>
      <c r="Z58" s="217"/>
    </row>
    <row r="59" spans="1:26" s="213" customFormat="1" ht="15" customHeight="1" x14ac:dyDescent="0.25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5"/>
      <c r="S59" s="215"/>
      <c r="T59" s="215"/>
      <c r="U59" s="214"/>
      <c r="V59" s="214"/>
      <c r="W59" s="214"/>
      <c r="X59" s="214"/>
      <c r="Y59" s="214"/>
      <c r="Z59" s="214"/>
    </row>
    <row r="61" spans="1:26" ht="12.75" customHeight="1" x14ac:dyDescent="0.25">
      <c r="A61" s="211"/>
    </row>
    <row r="62" spans="1:26" ht="12.75" customHeight="1" x14ac:dyDescent="0.25">
      <c r="A62" s="211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2">
    <mergeCell ref="U51:Z51"/>
    <mergeCell ref="A52:Q53"/>
    <mergeCell ref="R52:T54"/>
    <mergeCell ref="U52:Z54"/>
    <mergeCell ref="H46:J46"/>
    <mergeCell ref="B17:H17"/>
    <mergeCell ref="B12:G12"/>
    <mergeCell ref="B11:G11"/>
    <mergeCell ref="A51:Q51"/>
    <mergeCell ref="R51:T51"/>
    <mergeCell ref="U1:Z6"/>
    <mergeCell ref="K25:P25"/>
    <mergeCell ref="M45:P47"/>
    <mergeCell ref="K45:L47"/>
    <mergeCell ref="S12:Y12"/>
    <mergeCell ref="K23:P24"/>
    <mergeCell ref="I17:Y17"/>
    <mergeCell ref="S11:Y11"/>
    <mergeCell ref="H44:J44"/>
    <mergeCell ref="K44:P4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K28:P28"/>
    <mergeCell ref="C29:G29"/>
    <mergeCell ref="H29:J29"/>
    <mergeCell ref="K29:P29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A55:Q58"/>
    <mergeCell ref="R55:T58"/>
    <mergeCell ref="K26:P26"/>
    <mergeCell ref="C27:G27"/>
    <mergeCell ref="H27:J27"/>
    <mergeCell ref="K27:P27"/>
    <mergeCell ref="C44:G44"/>
    <mergeCell ref="B46:G46"/>
    <mergeCell ref="B47:G47"/>
    <mergeCell ref="B45:G45"/>
    <mergeCell ref="C26:G26"/>
    <mergeCell ref="H26:J26"/>
    <mergeCell ref="C28:G28"/>
    <mergeCell ref="H28:J28"/>
    <mergeCell ref="H47:J47"/>
    <mergeCell ref="H45:J45"/>
    <mergeCell ref="V56:Y5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89802-854F-4682-9BDA-F30BDC83F74D}">
  <sheetPr>
    <pageSetUpPr fitToPage="1"/>
  </sheetPr>
  <dimension ref="A1:AA67"/>
  <sheetViews>
    <sheetView topLeftCell="A18" workbookViewId="0">
      <selection activeCell="H12" sqref="H12:M12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  <col min="28" max="16384" width="11.44140625" style="138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309" t="s">
        <v>51</v>
      </c>
      <c r="V1" s="310"/>
      <c r="W1" s="310"/>
      <c r="X1" s="310"/>
      <c r="Y1" s="310"/>
      <c r="Z1" s="311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312"/>
      <c r="V2" s="313"/>
      <c r="W2" s="313"/>
      <c r="X2" s="313"/>
      <c r="Y2" s="313"/>
      <c r="Z2" s="314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312"/>
      <c r="V3" s="313"/>
      <c r="W3" s="313"/>
      <c r="X3" s="313"/>
      <c r="Y3" s="313"/>
      <c r="Z3" s="314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312"/>
      <c r="V4" s="313"/>
      <c r="W4" s="313"/>
      <c r="X4" s="313"/>
      <c r="Y4" s="313"/>
      <c r="Z4" s="314"/>
    </row>
    <row r="5" spans="1:26" ht="12.75" customHeight="1" x14ac:dyDescent="0.25">
      <c r="A5" s="365"/>
      <c r="B5" s="366"/>
      <c r="C5" s="366"/>
      <c r="D5" s="366"/>
      <c r="E5" s="366"/>
      <c r="F5" s="367"/>
      <c r="G5" s="344" t="s">
        <v>2</v>
      </c>
      <c r="H5" s="345"/>
      <c r="I5" s="349">
        <v>10</v>
      </c>
      <c r="J5" s="349"/>
      <c r="K5" s="350"/>
      <c r="L5" s="352" t="s">
        <v>3</v>
      </c>
      <c r="M5" s="353"/>
      <c r="N5" s="353"/>
      <c r="O5" s="354"/>
      <c r="P5" s="355" t="s">
        <v>88</v>
      </c>
      <c r="Q5" s="356"/>
      <c r="R5" s="356"/>
      <c r="S5" s="356"/>
      <c r="T5" s="357"/>
      <c r="U5" s="312"/>
      <c r="V5" s="313"/>
      <c r="W5" s="313"/>
      <c r="X5" s="313"/>
      <c r="Y5" s="313"/>
      <c r="Z5" s="314"/>
    </row>
    <row r="6" spans="1:26" ht="12.75" customHeight="1" x14ac:dyDescent="0.25">
      <c r="A6" s="368"/>
      <c r="B6" s="369"/>
      <c r="C6" s="369"/>
      <c r="D6" s="369"/>
      <c r="E6" s="369"/>
      <c r="F6" s="370"/>
      <c r="G6" s="209"/>
      <c r="H6" s="169"/>
      <c r="I6" s="351" t="s">
        <v>5</v>
      </c>
      <c r="J6" s="351"/>
      <c r="K6" s="351"/>
      <c r="L6" s="351" t="s">
        <v>6</v>
      </c>
      <c r="M6" s="351"/>
      <c r="N6" s="351"/>
      <c r="O6" s="351"/>
      <c r="P6" s="351" t="s">
        <v>7</v>
      </c>
      <c r="Q6" s="351"/>
      <c r="R6" s="351"/>
      <c r="S6" s="351"/>
      <c r="T6" s="358"/>
      <c r="U6" s="315"/>
      <c r="V6" s="316"/>
      <c r="W6" s="316"/>
      <c r="X6" s="316"/>
      <c r="Y6" s="316"/>
      <c r="Z6" s="317"/>
    </row>
    <row r="7" spans="1:26" ht="36.6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9" customHeight="1" x14ac:dyDescent="0.25">
      <c r="A8" s="188" t="s">
        <v>10</v>
      </c>
      <c r="B8" s="164" t="s">
        <v>11</v>
      </c>
      <c r="C8" s="161"/>
      <c r="D8" s="208"/>
      <c r="E8" s="208"/>
      <c r="F8" s="208"/>
      <c r="G8" s="208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84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305" t="s">
        <v>12</v>
      </c>
      <c r="C10" s="305"/>
      <c r="D10" s="305"/>
      <c r="E10" s="305"/>
      <c r="F10" s="305"/>
      <c r="G10" s="305"/>
      <c r="H10" s="348" t="s">
        <v>59</v>
      </c>
      <c r="I10" s="348"/>
      <c r="J10" s="348"/>
      <c r="K10" s="348"/>
      <c r="L10" s="348"/>
      <c r="M10" s="348"/>
      <c r="N10" s="305" t="s">
        <v>14</v>
      </c>
      <c r="O10" s="305"/>
      <c r="P10" s="305"/>
      <c r="Q10" s="305"/>
      <c r="R10" s="305"/>
      <c r="S10" s="332" t="s">
        <v>92</v>
      </c>
      <c r="T10" s="332"/>
      <c r="U10" s="332"/>
      <c r="V10" s="332"/>
      <c r="W10" s="332"/>
      <c r="X10" s="332"/>
      <c r="Y10" s="332"/>
      <c r="Z10" s="207"/>
    </row>
    <row r="11" spans="1:26" ht="15.9" customHeight="1" x14ac:dyDescent="0.25">
      <c r="A11" s="173"/>
      <c r="B11" s="305" t="s">
        <v>16</v>
      </c>
      <c r="C11" s="305"/>
      <c r="D11" s="305"/>
      <c r="E11" s="305"/>
      <c r="F11" s="305"/>
      <c r="G11" s="305"/>
      <c r="H11" s="348" t="s">
        <v>88</v>
      </c>
      <c r="I11" s="348"/>
      <c r="J11" s="348"/>
      <c r="K11" s="348"/>
      <c r="L11" s="348"/>
      <c r="M11" s="348"/>
      <c r="N11" s="305" t="s">
        <v>17</v>
      </c>
      <c r="O11" s="305"/>
      <c r="P11" s="305"/>
      <c r="Q11" s="305"/>
      <c r="R11" s="305"/>
      <c r="S11" s="332" t="s">
        <v>18</v>
      </c>
      <c r="T11" s="332"/>
      <c r="U11" s="332"/>
      <c r="V11" s="332"/>
      <c r="W11" s="332"/>
      <c r="X11" s="332"/>
      <c r="Y11" s="332"/>
      <c r="Z11" s="207"/>
    </row>
    <row r="12" spans="1:26" ht="15.9" customHeight="1" x14ac:dyDescent="0.25">
      <c r="A12" s="173"/>
      <c r="B12" s="305" t="s">
        <v>19</v>
      </c>
      <c r="C12" s="305"/>
      <c r="D12" s="305"/>
      <c r="E12" s="305"/>
      <c r="F12" s="305"/>
      <c r="G12" s="305"/>
      <c r="H12" s="377" t="s">
        <v>91</v>
      </c>
      <c r="I12" s="377"/>
      <c r="J12" s="377"/>
      <c r="K12" s="377"/>
      <c r="L12" s="377"/>
      <c r="M12" s="377"/>
      <c r="N12" s="305" t="s">
        <v>21</v>
      </c>
      <c r="O12" s="305"/>
      <c r="P12" s="305"/>
      <c r="Q12" s="305"/>
      <c r="R12" s="305"/>
      <c r="S12" s="332" t="s">
        <v>22</v>
      </c>
      <c r="T12" s="332"/>
      <c r="U12" s="332"/>
      <c r="V12" s="332"/>
      <c r="W12" s="332"/>
      <c r="X12" s="332"/>
      <c r="Y12" s="332"/>
      <c r="Z12" s="207"/>
    </row>
    <row r="13" spans="1:26" ht="8.25" customHeight="1" x14ac:dyDescent="0.25">
      <c r="A13" s="206"/>
      <c r="B13" s="169"/>
      <c r="C13" s="169"/>
      <c r="D13" s="205"/>
      <c r="E13" s="205"/>
      <c r="F13" s="205"/>
      <c r="G13" s="205"/>
      <c r="H13" s="169"/>
      <c r="I13" s="169"/>
      <c r="J13" s="169"/>
      <c r="K13" s="169"/>
      <c r="L13" s="169"/>
      <c r="M13" s="169"/>
      <c r="N13" s="204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202"/>
      <c r="C14" s="202"/>
      <c r="K14" s="203"/>
      <c r="L14" s="202"/>
      <c r="M14" s="201"/>
    </row>
    <row r="15" spans="1:26" s="141" customFormat="1" ht="15.6" customHeight="1" x14ac:dyDescent="0.25">
      <c r="A15" s="188" t="s">
        <v>23</v>
      </c>
      <c r="B15" s="200" t="s">
        <v>24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8"/>
    </row>
    <row r="16" spans="1:26" s="141" customFormat="1" ht="15" customHeight="1" x14ac:dyDescent="0.25">
      <c r="A16" s="195"/>
      <c r="B16" s="197"/>
      <c r="Z16" s="196"/>
    </row>
    <row r="17" spans="1:26" s="141" customFormat="1" ht="15" customHeight="1" x14ac:dyDescent="0.25">
      <c r="A17" s="195"/>
      <c r="B17" s="304" t="s">
        <v>25</v>
      </c>
      <c r="C17" s="304"/>
      <c r="D17" s="304"/>
      <c r="E17" s="304"/>
      <c r="F17" s="304"/>
      <c r="G17" s="304"/>
      <c r="H17" s="304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193"/>
    </row>
    <row r="18" spans="1:26" s="141" customFormat="1" ht="15" customHeight="1" x14ac:dyDescent="0.25">
      <c r="A18" s="195"/>
      <c r="B18" s="304" t="s">
        <v>26</v>
      </c>
      <c r="C18" s="304"/>
      <c r="D18" s="304"/>
      <c r="E18" s="304"/>
      <c r="F18" s="304"/>
      <c r="G18" s="304"/>
      <c r="H18" s="304"/>
      <c r="I18" s="402" t="s">
        <v>27</v>
      </c>
      <c r="J18" s="402"/>
      <c r="K18" s="194">
        <v>50</v>
      </c>
      <c r="L18" s="194" t="s">
        <v>28</v>
      </c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3"/>
    </row>
    <row r="19" spans="1:26" s="141" customFormat="1" ht="13.2" customHeight="1" x14ac:dyDescent="0.25">
      <c r="A19" s="192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0"/>
    </row>
    <row r="20" spans="1:26" ht="12.75" customHeight="1" x14ac:dyDescent="0.25">
      <c r="D20" s="140"/>
      <c r="E20" s="140"/>
      <c r="F20" s="140"/>
      <c r="G20" s="140"/>
      <c r="N20" s="189"/>
    </row>
    <row r="21" spans="1:26" ht="15.9" customHeight="1" x14ac:dyDescent="0.25">
      <c r="A21" s="188" t="s">
        <v>29</v>
      </c>
      <c r="B21" s="187" t="s">
        <v>30</v>
      </c>
      <c r="C21" s="185"/>
      <c r="D21" s="186"/>
      <c r="E21" s="186"/>
      <c r="F21" s="186"/>
      <c r="G21" s="186"/>
      <c r="H21" s="185"/>
      <c r="I21" s="185"/>
      <c r="J21" s="411" t="s">
        <v>31</v>
      </c>
      <c r="K21" s="411"/>
      <c r="L21" s="411"/>
      <c r="M21" s="411"/>
      <c r="N21" s="411"/>
      <c r="O21" s="411"/>
      <c r="P21" s="411"/>
      <c r="Q21" s="182">
        <v>600</v>
      </c>
      <c r="R21" s="161"/>
      <c r="S21" s="161"/>
      <c r="T21" s="161"/>
      <c r="U21" s="161"/>
      <c r="V21" s="161"/>
      <c r="W21" s="161"/>
      <c r="X21" s="161"/>
      <c r="Y21" s="161"/>
      <c r="Z21" s="184"/>
    </row>
    <row r="22" spans="1:26" ht="12.75" customHeight="1" x14ac:dyDescent="0.25">
      <c r="A22" s="173"/>
      <c r="B22" s="183"/>
      <c r="Z22" s="172"/>
    </row>
    <row r="23" spans="1:26" ht="15.75" customHeight="1" x14ac:dyDescent="0.25">
      <c r="A23" s="173"/>
      <c r="B23" s="409" t="s">
        <v>32</v>
      </c>
      <c r="C23" s="333" t="s">
        <v>33</v>
      </c>
      <c r="D23" s="333"/>
      <c r="E23" s="333"/>
      <c r="F23" s="333"/>
      <c r="G23" s="334"/>
      <c r="H23" s="406" t="s">
        <v>34</v>
      </c>
      <c r="I23" s="407"/>
      <c r="J23" s="408"/>
      <c r="K23" s="333" t="s">
        <v>35</v>
      </c>
      <c r="L23" s="333"/>
      <c r="M23" s="333"/>
      <c r="N23" s="333"/>
      <c r="O23" s="333"/>
      <c r="P23" s="334"/>
      <c r="Z23" s="172"/>
    </row>
    <row r="24" spans="1:26" ht="15.75" customHeight="1" x14ac:dyDescent="0.25">
      <c r="A24" s="173"/>
      <c r="B24" s="410"/>
      <c r="C24" s="335"/>
      <c r="D24" s="335"/>
      <c r="E24" s="335"/>
      <c r="F24" s="335"/>
      <c r="G24" s="336"/>
      <c r="H24" s="403" t="s">
        <v>36</v>
      </c>
      <c r="I24" s="404"/>
      <c r="J24" s="405"/>
      <c r="K24" s="335"/>
      <c r="L24" s="335"/>
      <c r="M24" s="335"/>
      <c r="N24" s="335"/>
      <c r="O24" s="335"/>
      <c r="P24" s="336"/>
      <c r="Z24" s="172"/>
    </row>
    <row r="25" spans="1:26" ht="19.5" customHeight="1" x14ac:dyDescent="0.25">
      <c r="A25" s="173"/>
      <c r="B25" s="181">
        <v>1</v>
      </c>
      <c r="C25" s="318"/>
      <c r="D25" s="319"/>
      <c r="E25" s="319"/>
      <c r="F25" s="319"/>
      <c r="G25" s="320"/>
      <c r="H25" s="359">
        <v>64</v>
      </c>
      <c r="I25" s="360"/>
      <c r="J25" s="361"/>
      <c r="K25" s="318"/>
      <c r="L25" s="319"/>
      <c r="M25" s="319"/>
      <c r="N25" s="319"/>
      <c r="O25" s="319"/>
      <c r="P25" s="320"/>
      <c r="Z25" s="172"/>
    </row>
    <row r="26" spans="1:26" ht="19.5" customHeight="1" x14ac:dyDescent="0.25">
      <c r="A26" s="173"/>
      <c r="B26" s="181">
        <v>2</v>
      </c>
      <c r="C26" s="318"/>
      <c r="D26" s="319"/>
      <c r="E26" s="319"/>
      <c r="F26" s="319"/>
      <c r="G26" s="320"/>
      <c r="H26" s="359">
        <v>99</v>
      </c>
      <c r="I26" s="360"/>
      <c r="J26" s="361"/>
      <c r="K26" s="318"/>
      <c r="L26" s="319"/>
      <c r="M26" s="319"/>
      <c r="N26" s="319"/>
      <c r="O26" s="319"/>
      <c r="P26" s="320"/>
      <c r="Z26" s="172"/>
    </row>
    <row r="27" spans="1:26" ht="19.5" customHeight="1" x14ac:dyDescent="0.25">
      <c r="A27" s="173"/>
      <c r="B27" s="181">
        <v>3</v>
      </c>
      <c r="C27" s="318"/>
      <c r="D27" s="319"/>
      <c r="E27" s="319"/>
      <c r="F27" s="319"/>
      <c r="G27" s="320"/>
      <c r="H27" s="359">
        <v>106</v>
      </c>
      <c r="I27" s="360"/>
      <c r="J27" s="361"/>
      <c r="K27" s="318"/>
      <c r="L27" s="319"/>
      <c r="M27" s="319"/>
      <c r="N27" s="319"/>
      <c r="O27" s="319"/>
      <c r="P27" s="320"/>
      <c r="Z27" s="172"/>
    </row>
    <row r="28" spans="1:26" ht="19.5" customHeight="1" x14ac:dyDescent="0.25">
      <c r="A28" s="173"/>
      <c r="B28" s="181">
        <v>4</v>
      </c>
      <c r="C28" s="318"/>
      <c r="D28" s="319"/>
      <c r="E28" s="319"/>
      <c r="F28" s="319"/>
      <c r="G28" s="320"/>
      <c r="H28" s="359">
        <v>84</v>
      </c>
      <c r="I28" s="360"/>
      <c r="J28" s="361"/>
      <c r="K28" s="318"/>
      <c r="L28" s="319"/>
      <c r="M28" s="319"/>
      <c r="N28" s="319"/>
      <c r="O28" s="319"/>
      <c r="P28" s="320"/>
      <c r="Z28" s="172"/>
    </row>
    <row r="29" spans="1:26" ht="19.5" customHeight="1" x14ac:dyDescent="0.25">
      <c r="A29" s="173"/>
      <c r="B29" s="181">
        <v>5</v>
      </c>
      <c r="C29" s="318"/>
      <c r="D29" s="319"/>
      <c r="E29" s="319"/>
      <c r="F29" s="319"/>
      <c r="G29" s="320"/>
      <c r="H29" s="359">
        <v>65</v>
      </c>
      <c r="I29" s="360"/>
      <c r="J29" s="361"/>
      <c r="K29" s="318"/>
      <c r="L29" s="319"/>
      <c r="M29" s="319"/>
      <c r="N29" s="319"/>
      <c r="O29" s="319"/>
      <c r="P29" s="320"/>
      <c r="Z29" s="172"/>
    </row>
    <row r="30" spans="1:26" ht="19.5" customHeight="1" x14ac:dyDescent="0.25">
      <c r="A30" s="173"/>
      <c r="B30" s="181"/>
      <c r="C30" s="318"/>
      <c r="D30" s="319"/>
      <c r="E30" s="319"/>
      <c r="F30" s="319"/>
      <c r="G30" s="320"/>
      <c r="H30" s="359"/>
      <c r="I30" s="360"/>
      <c r="J30" s="361"/>
      <c r="K30" s="318"/>
      <c r="L30" s="319"/>
      <c r="M30" s="319"/>
      <c r="N30" s="319"/>
      <c r="O30" s="319"/>
      <c r="P30" s="320"/>
      <c r="Z30" s="172"/>
    </row>
    <row r="31" spans="1:26" ht="19.5" customHeight="1" x14ac:dyDescent="0.25">
      <c r="A31" s="173"/>
      <c r="B31" s="181"/>
      <c r="C31" s="318"/>
      <c r="D31" s="319"/>
      <c r="E31" s="319"/>
      <c r="F31" s="319"/>
      <c r="G31" s="320"/>
      <c r="H31" s="359"/>
      <c r="I31" s="360"/>
      <c r="J31" s="361"/>
      <c r="K31" s="318"/>
      <c r="L31" s="319"/>
      <c r="M31" s="319"/>
      <c r="N31" s="319"/>
      <c r="O31" s="319"/>
      <c r="P31" s="320"/>
      <c r="Z31" s="172"/>
    </row>
    <row r="32" spans="1:26" ht="19.5" customHeight="1" x14ac:dyDescent="0.25">
      <c r="A32" s="173"/>
      <c r="B32" s="181"/>
      <c r="C32" s="318"/>
      <c r="D32" s="319"/>
      <c r="E32" s="319"/>
      <c r="F32" s="319"/>
      <c r="G32" s="320"/>
      <c r="H32" s="359"/>
      <c r="I32" s="360"/>
      <c r="J32" s="361"/>
      <c r="K32" s="318"/>
      <c r="L32" s="319"/>
      <c r="M32" s="319"/>
      <c r="N32" s="319"/>
      <c r="O32" s="319"/>
      <c r="P32" s="320"/>
      <c r="Z32" s="172"/>
    </row>
    <row r="33" spans="1:26" ht="19.5" customHeight="1" x14ac:dyDescent="0.25">
      <c r="A33" s="173"/>
      <c r="B33" s="181"/>
      <c r="C33" s="318"/>
      <c r="D33" s="319"/>
      <c r="E33" s="319"/>
      <c r="F33" s="319"/>
      <c r="G33" s="320"/>
      <c r="H33" s="359"/>
      <c r="I33" s="360"/>
      <c r="J33" s="361"/>
      <c r="K33" s="318"/>
      <c r="L33" s="319"/>
      <c r="M33" s="319"/>
      <c r="N33" s="319"/>
      <c r="O33" s="319"/>
      <c r="P33" s="320"/>
      <c r="Z33" s="172"/>
    </row>
    <row r="34" spans="1:26" ht="19.5" customHeight="1" x14ac:dyDescent="0.25">
      <c r="A34" s="173"/>
      <c r="B34" s="181"/>
      <c r="C34" s="318"/>
      <c r="D34" s="319"/>
      <c r="E34" s="319"/>
      <c r="F34" s="319"/>
      <c r="G34" s="320"/>
      <c r="H34" s="359"/>
      <c r="I34" s="360"/>
      <c r="J34" s="361"/>
      <c r="K34" s="318"/>
      <c r="L34" s="319"/>
      <c r="M34" s="319"/>
      <c r="N34" s="319"/>
      <c r="O34" s="319"/>
      <c r="P34" s="320"/>
      <c r="Z34" s="172"/>
    </row>
    <row r="35" spans="1:26" ht="19.5" customHeight="1" x14ac:dyDescent="0.25">
      <c r="A35" s="173"/>
      <c r="B35" s="181"/>
      <c r="C35" s="318"/>
      <c r="D35" s="319"/>
      <c r="E35" s="319"/>
      <c r="F35" s="319"/>
      <c r="G35" s="320"/>
      <c r="H35" s="359"/>
      <c r="I35" s="360"/>
      <c r="J35" s="361"/>
      <c r="K35" s="318"/>
      <c r="L35" s="319"/>
      <c r="M35" s="319"/>
      <c r="N35" s="319"/>
      <c r="O35" s="319"/>
      <c r="P35" s="320"/>
      <c r="Z35" s="172"/>
    </row>
    <row r="36" spans="1:26" ht="19.5" customHeight="1" x14ac:dyDescent="0.25">
      <c r="A36" s="173"/>
      <c r="B36" s="181"/>
      <c r="C36" s="318"/>
      <c r="D36" s="319"/>
      <c r="E36" s="319"/>
      <c r="F36" s="319"/>
      <c r="G36" s="320"/>
      <c r="H36" s="359"/>
      <c r="I36" s="360"/>
      <c r="J36" s="361"/>
      <c r="K36" s="318"/>
      <c r="L36" s="319"/>
      <c r="M36" s="319"/>
      <c r="N36" s="319"/>
      <c r="O36" s="319"/>
      <c r="P36" s="320"/>
      <c r="Z36" s="172"/>
    </row>
    <row r="37" spans="1:26" ht="19.5" customHeight="1" x14ac:dyDescent="0.25">
      <c r="A37" s="173"/>
      <c r="B37" s="181"/>
      <c r="C37" s="318"/>
      <c r="D37" s="319"/>
      <c r="E37" s="319"/>
      <c r="F37" s="319"/>
      <c r="G37" s="320"/>
      <c r="H37" s="359"/>
      <c r="I37" s="360"/>
      <c r="J37" s="361"/>
      <c r="K37" s="318"/>
      <c r="L37" s="319"/>
      <c r="M37" s="319"/>
      <c r="N37" s="319"/>
      <c r="O37" s="319"/>
      <c r="P37" s="320"/>
      <c r="Z37" s="172"/>
    </row>
    <row r="38" spans="1:26" ht="19.5" customHeight="1" x14ac:dyDescent="0.25">
      <c r="A38" s="173"/>
      <c r="B38" s="181"/>
      <c r="C38" s="318"/>
      <c r="D38" s="319"/>
      <c r="E38" s="319"/>
      <c r="F38" s="319"/>
      <c r="G38" s="320"/>
      <c r="H38" s="359"/>
      <c r="I38" s="360"/>
      <c r="J38" s="361"/>
      <c r="K38" s="318"/>
      <c r="L38" s="319"/>
      <c r="M38" s="319"/>
      <c r="N38" s="319"/>
      <c r="O38" s="319"/>
      <c r="P38" s="320"/>
      <c r="Z38" s="172"/>
    </row>
    <row r="39" spans="1:26" ht="19.5" customHeight="1" x14ac:dyDescent="0.25">
      <c r="A39" s="173"/>
      <c r="B39" s="181"/>
      <c r="C39" s="318"/>
      <c r="D39" s="319"/>
      <c r="E39" s="319"/>
      <c r="F39" s="319"/>
      <c r="G39" s="320"/>
      <c r="H39" s="359"/>
      <c r="I39" s="360"/>
      <c r="J39" s="361"/>
      <c r="K39" s="318"/>
      <c r="L39" s="319"/>
      <c r="M39" s="319"/>
      <c r="N39" s="319"/>
      <c r="O39" s="319"/>
      <c r="P39" s="320"/>
      <c r="Z39" s="172"/>
    </row>
    <row r="40" spans="1:26" ht="19.5" customHeight="1" x14ac:dyDescent="0.25">
      <c r="A40" s="173"/>
      <c r="B40" s="181"/>
      <c r="C40" s="318"/>
      <c r="D40" s="319"/>
      <c r="E40" s="319"/>
      <c r="F40" s="319"/>
      <c r="G40" s="320"/>
      <c r="H40" s="359"/>
      <c r="I40" s="360"/>
      <c r="J40" s="361"/>
      <c r="K40" s="318"/>
      <c r="L40" s="319"/>
      <c r="M40" s="319"/>
      <c r="N40" s="319"/>
      <c r="O40" s="319"/>
      <c r="P40" s="320"/>
      <c r="Z40" s="172"/>
    </row>
    <row r="41" spans="1:26" ht="19.5" customHeight="1" x14ac:dyDescent="0.25">
      <c r="A41" s="173"/>
      <c r="B41" s="181"/>
      <c r="C41" s="318"/>
      <c r="D41" s="319"/>
      <c r="E41" s="319"/>
      <c r="F41" s="319"/>
      <c r="G41" s="320"/>
      <c r="H41" s="359"/>
      <c r="I41" s="360"/>
      <c r="J41" s="361"/>
      <c r="K41" s="318"/>
      <c r="L41" s="319"/>
      <c r="M41" s="319"/>
      <c r="N41" s="319"/>
      <c r="O41" s="319"/>
      <c r="P41" s="320"/>
      <c r="Z41" s="172"/>
    </row>
    <row r="42" spans="1:26" ht="19.5" customHeight="1" x14ac:dyDescent="0.25">
      <c r="A42" s="173"/>
      <c r="B42" s="181"/>
      <c r="C42" s="318"/>
      <c r="D42" s="319"/>
      <c r="E42" s="319"/>
      <c r="F42" s="319"/>
      <c r="G42" s="320"/>
      <c r="H42" s="359"/>
      <c r="I42" s="360"/>
      <c r="J42" s="361"/>
      <c r="K42" s="318"/>
      <c r="L42" s="319"/>
      <c r="M42" s="319"/>
      <c r="N42" s="319"/>
      <c r="O42" s="319"/>
      <c r="P42" s="320"/>
      <c r="Z42" s="172"/>
    </row>
    <row r="43" spans="1:26" ht="19.5" customHeight="1" x14ac:dyDescent="0.25">
      <c r="A43" s="173"/>
      <c r="B43" s="181"/>
      <c r="C43" s="318"/>
      <c r="D43" s="319"/>
      <c r="E43" s="319"/>
      <c r="F43" s="319"/>
      <c r="G43" s="320"/>
      <c r="H43" s="359"/>
      <c r="I43" s="360"/>
      <c r="J43" s="361"/>
      <c r="K43" s="318"/>
      <c r="L43" s="319"/>
      <c r="M43" s="319"/>
      <c r="N43" s="319"/>
      <c r="O43" s="319"/>
      <c r="P43" s="320"/>
      <c r="Z43" s="172"/>
    </row>
    <row r="44" spans="1:26" ht="19.5" customHeight="1" x14ac:dyDescent="0.25">
      <c r="A44" s="173"/>
      <c r="B44" s="181"/>
      <c r="C44" s="318"/>
      <c r="D44" s="319"/>
      <c r="E44" s="319"/>
      <c r="F44" s="319"/>
      <c r="G44" s="320"/>
      <c r="H44" s="359"/>
      <c r="I44" s="360"/>
      <c r="J44" s="361"/>
      <c r="K44" s="318"/>
      <c r="L44" s="319"/>
      <c r="M44" s="319"/>
      <c r="N44" s="319"/>
      <c r="O44" s="319"/>
      <c r="P44" s="320"/>
      <c r="Z44" s="172"/>
    </row>
    <row r="45" spans="1:26" ht="19.5" customHeight="1" thickBot="1" x14ac:dyDescent="0.3">
      <c r="A45" s="173"/>
      <c r="B45" s="174"/>
      <c r="C45" s="342"/>
      <c r="D45" s="342"/>
      <c r="E45" s="342"/>
      <c r="F45" s="342"/>
      <c r="G45" s="343"/>
      <c r="H45" s="338"/>
      <c r="I45" s="339"/>
      <c r="J45" s="340"/>
      <c r="K45" s="341"/>
      <c r="L45" s="342"/>
      <c r="M45" s="342"/>
      <c r="N45" s="342"/>
      <c r="O45" s="342"/>
      <c r="P45" s="343"/>
      <c r="Z45" s="172"/>
    </row>
    <row r="46" spans="1:26" ht="15.75" customHeight="1" x14ac:dyDescent="0.25">
      <c r="A46" s="173"/>
      <c r="B46" s="393" t="s">
        <v>37</v>
      </c>
      <c r="C46" s="394"/>
      <c r="D46" s="394"/>
      <c r="E46" s="394"/>
      <c r="F46" s="394"/>
      <c r="G46" s="395"/>
      <c r="H46" s="399">
        <f>AVERAGE(H25:J45)</f>
        <v>83.6</v>
      </c>
      <c r="I46" s="400"/>
      <c r="J46" s="401"/>
      <c r="K46" s="326" t="s">
        <v>55</v>
      </c>
      <c r="L46" s="327"/>
      <c r="M46" s="321" t="s">
        <v>38</v>
      </c>
      <c r="N46" s="321"/>
      <c r="O46" s="321"/>
      <c r="P46" s="322"/>
      <c r="Z46" s="172"/>
    </row>
    <row r="47" spans="1:26" ht="15.75" customHeight="1" x14ac:dyDescent="0.25">
      <c r="A47" s="173"/>
      <c r="B47" s="387" t="s">
        <v>39</v>
      </c>
      <c r="C47" s="388"/>
      <c r="D47" s="388"/>
      <c r="E47" s="388"/>
      <c r="F47" s="388"/>
      <c r="G47" s="389"/>
      <c r="H47" s="301">
        <f>IF(COUNTIF(H25:J45,"*&lt;20*"),"&lt;20",MIN(H25:J45))</f>
        <v>64</v>
      </c>
      <c r="I47" s="302"/>
      <c r="J47" s="303"/>
      <c r="K47" s="328"/>
      <c r="L47" s="329"/>
      <c r="M47" s="294"/>
      <c r="N47" s="294"/>
      <c r="O47" s="294"/>
      <c r="P47" s="323"/>
      <c r="Z47" s="172"/>
    </row>
    <row r="48" spans="1:26" ht="15.75" customHeight="1" thickBot="1" x14ac:dyDescent="0.3">
      <c r="A48" s="173"/>
      <c r="B48" s="390" t="s">
        <v>40</v>
      </c>
      <c r="C48" s="391"/>
      <c r="D48" s="391"/>
      <c r="E48" s="391"/>
      <c r="F48" s="391"/>
      <c r="G48" s="392"/>
      <c r="H48" s="396">
        <f>IF(COUNTIF(H25:J45,"*&gt;250*"),"&gt;250",MAX(H25:J45))</f>
        <v>106</v>
      </c>
      <c r="I48" s="397"/>
      <c r="J48" s="398"/>
      <c r="K48" s="330"/>
      <c r="L48" s="331"/>
      <c r="M48" s="324"/>
      <c r="N48" s="324"/>
      <c r="O48" s="324"/>
      <c r="P48" s="325"/>
      <c r="Z48" s="172"/>
    </row>
    <row r="49" spans="1:26" ht="15.9" customHeight="1" x14ac:dyDescent="0.25">
      <c r="A49" s="171"/>
      <c r="B49" s="170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8"/>
    </row>
    <row r="50" spans="1:26" ht="12.75" customHeight="1" x14ac:dyDescent="0.25">
      <c r="A50" s="167"/>
      <c r="B50" s="166"/>
    </row>
    <row r="51" spans="1:26" s="141" customFormat="1" ht="15.6" customHeight="1" x14ac:dyDescent="0.25">
      <c r="A51" s="165" t="s">
        <v>41</v>
      </c>
      <c r="B51" s="164" t="s">
        <v>42</v>
      </c>
      <c r="C51" s="163"/>
      <c r="D51" s="163"/>
      <c r="E51" s="163"/>
      <c r="F51" s="162"/>
      <c r="G51" s="162"/>
      <c r="H51" s="162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0"/>
      <c r="V51" s="159"/>
      <c r="W51" s="159"/>
      <c r="X51" s="158"/>
      <c r="Y51" s="158"/>
      <c r="Z51" s="157"/>
    </row>
    <row r="52" spans="1:26" s="141" customFormat="1" ht="28.5" customHeight="1" x14ac:dyDescent="0.25">
      <c r="A52" s="306" t="s">
        <v>43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8"/>
      <c r="R52" s="286" t="s">
        <v>44</v>
      </c>
      <c r="S52" s="287"/>
      <c r="T52" s="288"/>
      <c r="U52" s="276" t="s">
        <v>54</v>
      </c>
      <c r="V52" s="277"/>
      <c r="W52" s="277"/>
      <c r="X52" s="278"/>
      <c r="Y52" s="278"/>
      <c r="Z52" s="279"/>
    </row>
    <row r="53" spans="1:26" s="141" customFormat="1" ht="15.6" customHeight="1" x14ac:dyDescent="0.25">
      <c r="A53" s="280" t="s">
        <v>53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2"/>
      <c r="R53" s="286" t="s">
        <v>46</v>
      </c>
      <c r="S53" s="287"/>
      <c r="T53" s="288"/>
      <c r="U53" s="289" t="s">
        <v>52</v>
      </c>
      <c r="V53" s="290"/>
      <c r="W53" s="290"/>
      <c r="X53" s="291"/>
      <c r="Y53" s="291"/>
      <c r="Z53" s="292"/>
    </row>
    <row r="54" spans="1:26" s="141" customFormat="1" ht="15.6" customHeight="1" x14ac:dyDescent="0.25">
      <c r="A54" s="283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5"/>
      <c r="R54" s="286"/>
      <c r="S54" s="287"/>
      <c r="T54" s="288"/>
      <c r="U54" s="293"/>
      <c r="V54" s="294"/>
      <c r="W54" s="294"/>
      <c r="X54" s="295"/>
      <c r="Y54" s="295"/>
      <c r="Z54" s="296"/>
    </row>
    <row r="55" spans="1:26" s="141" customFormat="1" ht="15.6" customHeight="1" x14ac:dyDescent="0.25">
      <c r="A55" s="156" t="s">
        <v>48</v>
      </c>
      <c r="B55" s="155" t="s">
        <v>49</v>
      </c>
      <c r="C55" s="139"/>
      <c r="D55" s="139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3"/>
      <c r="R55" s="286"/>
      <c r="S55" s="287"/>
      <c r="T55" s="288"/>
      <c r="U55" s="297"/>
      <c r="V55" s="298"/>
      <c r="W55" s="298"/>
      <c r="X55" s="299"/>
      <c r="Y55" s="299"/>
      <c r="Z55" s="300"/>
    </row>
    <row r="56" spans="1:26" s="141" customFormat="1" ht="15.6" customHeight="1" x14ac:dyDescent="0.25">
      <c r="A56" s="378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80"/>
      <c r="R56" s="286" t="s">
        <v>50</v>
      </c>
      <c r="S56" s="287"/>
      <c r="T56" s="288"/>
      <c r="U56" s="152"/>
      <c r="V56" s="151"/>
      <c r="W56" s="151"/>
      <c r="X56" s="151"/>
      <c r="Y56" s="151"/>
      <c r="Z56" s="150"/>
    </row>
    <row r="57" spans="1:26" s="141" customFormat="1" ht="15.6" customHeight="1" x14ac:dyDescent="0.25">
      <c r="A57" s="378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80"/>
      <c r="R57" s="286"/>
      <c r="S57" s="287"/>
      <c r="T57" s="288"/>
      <c r="U57" s="149"/>
      <c r="V57" s="294"/>
      <c r="W57" s="294"/>
      <c r="X57" s="294"/>
      <c r="Y57" s="294"/>
      <c r="Z57" s="148"/>
    </row>
    <row r="58" spans="1:26" s="141" customFormat="1" ht="15.6" customHeight="1" x14ac:dyDescent="0.25">
      <c r="A58" s="378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80"/>
      <c r="R58" s="286"/>
      <c r="S58" s="287"/>
      <c r="T58" s="288"/>
      <c r="U58" s="149"/>
      <c r="V58" s="294"/>
      <c r="W58" s="294"/>
      <c r="X58" s="294"/>
      <c r="Y58" s="294"/>
      <c r="Z58" s="148"/>
    </row>
    <row r="59" spans="1:26" s="141" customFormat="1" ht="15.6" customHeight="1" x14ac:dyDescent="0.25">
      <c r="A59" s="381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383"/>
      <c r="R59" s="384"/>
      <c r="S59" s="385"/>
      <c r="T59" s="386"/>
      <c r="U59" s="147"/>
      <c r="V59" s="146"/>
      <c r="W59" s="146"/>
      <c r="X59" s="146"/>
      <c r="Y59" s="146"/>
      <c r="Z59" s="145"/>
    </row>
    <row r="60" spans="1:26" s="141" customFormat="1" ht="15" customHeight="1" x14ac:dyDescent="0.25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3"/>
      <c r="S60" s="143"/>
      <c r="T60" s="143"/>
      <c r="U60" s="142"/>
      <c r="V60" s="142"/>
      <c r="W60" s="142"/>
      <c r="X60" s="142"/>
      <c r="Y60" s="142"/>
      <c r="Z60" s="142"/>
    </row>
    <row r="62" spans="1:26" ht="12.75" customHeight="1" x14ac:dyDescent="0.25">
      <c r="A62" s="139"/>
    </row>
    <row r="63" spans="1:26" ht="12.75" customHeight="1" x14ac:dyDescent="0.25">
      <c r="A63" s="139"/>
    </row>
    <row r="64" spans="1:26" ht="12.75" customHeight="1" x14ac:dyDescent="0.25">
      <c r="A64" s="139"/>
    </row>
    <row r="65" spans="1:1" ht="12.75" customHeight="1" x14ac:dyDescent="0.25">
      <c r="A65" s="139"/>
    </row>
    <row r="66" spans="1:1" ht="12.75" customHeight="1" x14ac:dyDescent="0.25">
      <c r="A66" s="139"/>
    </row>
    <row r="67" spans="1:1" ht="12.75" customHeight="1" x14ac:dyDescent="0.25">
      <c r="A67" s="139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K42:P42"/>
    <mergeCell ref="C43:G43"/>
    <mergeCell ref="H43:J43"/>
    <mergeCell ref="K43:P43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K34:P34"/>
    <mergeCell ref="C35:G35"/>
    <mergeCell ref="H35:J35"/>
    <mergeCell ref="K35:P35"/>
    <mergeCell ref="C36:G36"/>
    <mergeCell ref="H36:J36"/>
    <mergeCell ref="K36:P36"/>
    <mergeCell ref="C37:G3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H37:J37"/>
    <mergeCell ref="K37:P37"/>
    <mergeCell ref="C38:G38"/>
    <mergeCell ref="H38:J38"/>
    <mergeCell ref="K38:P38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54F8-46AA-4640-9A91-2A530C0CAEA0}">
  <sheetPr>
    <pageSetUpPr fitToPage="1"/>
  </sheetPr>
  <dimension ref="A1:AA67"/>
  <sheetViews>
    <sheetView topLeftCell="A24"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212" customWidth="1"/>
    <col min="2" max="26" width="5.109375" style="211" customWidth="1"/>
    <col min="27" max="27" width="11.44140625" style="211"/>
  </cols>
  <sheetData>
    <row r="1" spans="1:26" ht="12.75" customHeight="1" x14ac:dyDescent="0.25">
      <c r="A1" s="481"/>
      <c r="B1" s="482"/>
      <c r="C1" s="482"/>
      <c r="D1" s="482"/>
      <c r="E1" s="482"/>
      <c r="F1" s="483"/>
      <c r="G1" s="490" t="s">
        <v>0</v>
      </c>
      <c r="H1" s="491"/>
      <c r="I1" s="491"/>
      <c r="J1" s="491"/>
      <c r="K1" s="491"/>
      <c r="L1" s="491"/>
      <c r="M1" s="491"/>
      <c r="N1" s="491"/>
      <c r="O1" s="491"/>
      <c r="P1" s="491"/>
      <c r="Q1" s="491"/>
      <c r="R1" s="491"/>
      <c r="S1" s="491"/>
      <c r="T1" s="492"/>
      <c r="U1" s="309" t="s">
        <v>51</v>
      </c>
      <c r="V1" s="310"/>
      <c r="W1" s="310"/>
      <c r="X1" s="310"/>
      <c r="Y1" s="310"/>
      <c r="Z1" s="311"/>
    </row>
    <row r="2" spans="1:26" ht="12.75" customHeight="1" x14ac:dyDescent="0.25">
      <c r="A2" s="484"/>
      <c r="B2" s="485"/>
      <c r="C2" s="485"/>
      <c r="D2" s="485"/>
      <c r="E2" s="485"/>
      <c r="F2" s="486"/>
      <c r="G2" s="493" t="s">
        <v>1</v>
      </c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5"/>
      <c r="U2" s="312"/>
      <c r="V2" s="313"/>
      <c r="W2" s="313"/>
      <c r="X2" s="313"/>
      <c r="Y2" s="313"/>
      <c r="Z2" s="314"/>
    </row>
    <row r="3" spans="1:26" ht="12.75" customHeight="1" x14ac:dyDescent="0.25">
      <c r="A3" s="484"/>
      <c r="B3" s="485"/>
      <c r="C3" s="485"/>
      <c r="D3" s="485"/>
      <c r="E3" s="485"/>
      <c r="F3" s="486"/>
      <c r="G3" s="493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5"/>
      <c r="U3" s="312"/>
      <c r="V3" s="313"/>
      <c r="W3" s="313"/>
      <c r="X3" s="313"/>
      <c r="Y3" s="313"/>
      <c r="Z3" s="314"/>
    </row>
    <row r="4" spans="1:26" ht="12.75" customHeight="1" x14ac:dyDescent="0.25">
      <c r="A4" s="484"/>
      <c r="B4" s="485"/>
      <c r="C4" s="485"/>
      <c r="D4" s="485"/>
      <c r="E4" s="485"/>
      <c r="F4" s="486"/>
      <c r="G4" s="493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5"/>
      <c r="U4" s="312"/>
      <c r="V4" s="313"/>
      <c r="W4" s="313"/>
      <c r="X4" s="313"/>
      <c r="Y4" s="313"/>
      <c r="Z4" s="314"/>
    </row>
    <row r="5" spans="1:26" ht="12.75" customHeight="1" x14ac:dyDescent="0.25">
      <c r="A5" s="484"/>
      <c r="B5" s="485"/>
      <c r="C5" s="485"/>
      <c r="D5" s="485"/>
      <c r="E5" s="485"/>
      <c r="F5" s="486"/>
      <c r="G5" s="496" t="s">
        <v>2</v>
      </c>
      <c r="H5" s="497"/>
      <c r="I5" s="471">
        <v>9</v>
      </c>
      <c r="J5" s="471"/>
      <c r="K5" s="472"/>
      <c r="L5" s="474" t="s">
        <v>3</v>
      </c>
      <c r="M5" s="475"/>
      <c r="N5" s="475"/>
      <c r="O5" s="476"/>
      <c r="P5" s="477" t="s">
        <v>88</v>
      </c>
      <c r="Q5" s="478"/>
      <c r="R5" s="478"/>
      <c r="S5" s="478"/>
      <c r="T5" s="479"/>
      <c r="U5" s="312"/>
      <c r="V5" s="313"/>
      <c r="W5" s="313"/>
      <c r="X5" s="313"/>
      <c r="Y5" s="313"/>
      <c r="Z5" s="314"/>
    </row>
    <row r="6" spans="1:26" ht="12.75" customHeight="1" x14ac:dyDescent="0.25">
      <c r="A6" s="487"/>
      <c r="B6" s="488"/>
      <c r="C6" s="488"/>
      <c r="D6" s="488"/>
      <c r="E6" s="488"/>
      <c r="F6" s="489"/>
      <c r="G6" s="275"/>
      <c r="H6" s="241"/>
      <c r="I6" s="473" t="s">
        <v>5</v>
      </c>
      <c r="J6" s="473"/>
      <c r="K6" s="473"/>
      <c r="L6" s="473" t="s">
        <v>6</v>
      </c>
      <c r="M6" s="473"/>
      <c r="N6" s="473"/>
      <c r="O6" s="473"/>
      <c r="P6" s="473" t="s">
        <v>7</v>
      </c>
      <c r="Q6" s="473"/>
      <c r="R6" s="473"/>
      <c r="S6" s="473"/>
      <c r="T6" s="480"/>
      <c r="U6" s="315"/>
      <c r="V6" s="316"/>
      <c r="W6" s="316"/>
      <c r="X6" s="316"/>
      <c r="Y6" s="316"/>
      <c r="Z6" s="317"/>
    </row>
    <row r="7" spans="1:26" ht="36.6" customHeight="1" x14ac:dyDescent="0.25">
      <c r="A7" s="498" t="s">
        <v>8</v>
      </c>
      <c r="B7" s="498"/>
      <c r="C7" s="498"/>
      <c r="D7" s="498"/>
      <c r="E7" s="498"/>
      <c r="F7" s="498"/>
      <c r="G7" s="499" t="s">
        <v>9</v>
      </c>
      <c r="H7" s="499"/>
      <c r="I7" s="499"/>
      <c r="J7" s="499"/>
      <c r="K7" s="499"/>
      <c r="L7" s="499"/>
      <c r="M7" s="499"/>
      <c r="N7" s="499"/>
      <c r="O7" s="499"/>
      <c r="P7" s="499"/>
      <c r="Q7" s="499"/>
      <c r="R7" s="499"/>
      <c r="S7" s="499"/>
      <c r="T7" s="499"/>
      <c r="U7" s="499"/>
      <c r="V7" s="499"/>
      <c r="W7" s="499"/>
      <c r="X7" s="499"/>
      <c r="Y7" s="499"/>
      <c r="Z7" s="499"/>
    </row>
    <row r="8" spans="1:26" ht="15.9" customHeight="1" x14ac:dyDescent="0.25">
      <c r="A8" s="254" t="s">
        <v>10</v>
      </c>
      <c r="B8" s="236" t="s">
        <v>11</v>
      </c>
      <c r="C8" s="233"/>
      <c r="D8" s="274"/>
      <c r="E8" s="274"/>
      <c r="F8" s="274"/>
      <c r="G8" s="274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50"/>
    </row>
    <row r="9" spans="1:26" ht="8.25" customHeight="1" x14ac:dyDescent="0.25">
      <c r="A9" s="245"/>
      <c r="D9" s="212"/>
      <c r="E9" s="212"/>
      <c r="F9" s="212"/>
      <c r="G9" s="212"/>
      <c r="Z9" s="244"/>
    </row>
    <row r="10" spans="1:26" ht="15.9" customHeight="1" x14ac:dyDescent="0.25">
      <c r="A10" s="245"/>
      <c r="B10" s="440" t="s">
        <v>12</v>
      </c>
      <c r="C10" s="440"/>
      <c r="D10" s="440"/>
      <c r="E10" s="440"/>
      <c r="F10" s="440"/>
      <c r="G10" s="440"/>
      <c r="H10" s="500" t="s">
        <v>59</v>
      </c>
      <c r="I10" s="500"/>
      <c r="J10" s="500"/>
      <c r="K10" s="500"/>
      <c r="L10" s="500"/>
      <c r="M10" s="500"/>
      <c r="N10" s="440" t="s">
        <v>14</v>
      </c>
      <c r="O10" s="440"/>
      <c r="P10" s="440"/>
      <c r="Q10" s="440"/>
      <c r="R10" s="440"/>
      <c r="S10" s="459" t="s">
        <v>89</v>
      </c>
      <c r="T10" s="459"/>
      <c r="U10" s="459"/>
      <c r="V10" s="459"/>
      <c r="W10" s="459"/>
      <c r="X10" s="459"/>
      <c r="Y10" s="459"/>
      <c r="Z10" s="273"/>
    </row>
    <row r="11" spans="1:26" ht="15.9" customHeight="1" x14ac:dyDescent="0.25">
      <c r="A11" s="245"/>
      <c r="B11" s="440" t="s">
        <v>16</v>
      </c>
      <c r="C11" s="440"/>
      <c r="D11" s="440"/>
      <c r="E11" s="440"/>
      <c r="F11" s="440"/>
      <c r="G11" s="440"/>
      <c r="H11" s="500" t="s">
        <v>88</v>
      </c>
      <c r="I11" s="500"/>
      <c r="J11" s="500"/>
      <c r="K11" s="500"/>
      <c r="L11" s="500"/>
      <c r="M11" s="500"/>
      <c r="N11" s="440" t="s">
        <v>17</v>
      </c>
      <c r="O11" s="440"/>
      <c r="P11" s="440"/>
      <c r="Q11" s="440"/>
      <c r="R11" s="440"/>
      <c r="S11" s="459" t="s">
        <v>18</v>
      </c>
      <c r="T11" s="459"/>
      <c r="U11" s="459"/>
      <c r="V11" s="459"/>
      <c r="W11" s="459"/>
      <c r="X11" s="459"/>
      <c r="Y11" s="459"/>
      <c r="Z11" s="273"/>
    </row>
    <row r="12" spans="1:26" ht="15.9" customHeight="1" x14ac:dyDescent="0.25">
      <c r="A12" s="245"/>
      <c r="B12" s="440" t="s">
        <v>19</v>
      </c>
      <c r="C12" s="440"/>
      <c r="D12" s="440"/>
      <c r="E12" s="440"/>
      <c r="F12" s="440"/>
      <c r="G12" s="440"/>
      <c r="H12" s="500" t="s">
        <v>90</v>
      </c>
      <c r="I12" s="500"/>
      <c r="J12" s="500"/>
      <c r="K12" s="500"/>
      <c r="L12" s="500"/>
      <c r="M12" s="500"/>
      <c r="N12" s="440" t="s">
        <v>21</v>
      </c>
      <c r="O12" s="440"/>
      <c r="P12" s="440"/>
      <c r="Q12" s="440"/>
      <c r="R12" s="440"/>
      <c r="S12" s="459" t="s">
        <v>22</v>
      </c>
      <c r="T12" s="459"/>
      <c r="U12" s="459"/>
      <c r="V12" s="459"/>
      <c r="W12" s="459"/>
      <c r="X12" s="459"/>
      <c r="Y12" s="459"/>
      <c r="Z12" s="273"/>
    </row>
    <row r="13" spans="1:26" ht="8.25" customHeight="1" x14ac:dyDescent="0.25">
      <c r="A13" s="272"/>
      <c r="B13" s="241"/>
      <c r="C13" s="241"/>
      <c r="D13" s="271"/>
      <c r="E13" s="271"/>
      <c r="F13" s="271"/>
      <c r="G13" s="271"/>
      <c r="H13" s="241"/>
      <c r="I13" s="241"/>
      <c r="J13" s="241"/>
      <c r="K13" s="241"/>
      <c r="L13" s="241"/>
      <c r="M13" s="241"/>
      <c r="N13" s="270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0"/>
    </row>
    <row r="14" spans="1:26" s="213" customFormat="1" ht="15" customHeight="1" x14ac:dyDescent="0.25">
      <c r="B14" s="268"/>
      <c r="C14" s="268"/>
      <c r="K14" s="269"/>
      <c r="L14" s="268"/>
      <c r="M14" s="267"/>
    </row>
    <row r="15" spans="1:26" s="213" customFormat="1" ht="15.6" customHeight="1" x14ac:dyDescent="0.25">
      <c r="A15" s="254" t="s">
        <v>23</v>
      </c>
      <c r="B15" s="266" t="s">
        <v>24</v>
      </c>
      <c r="C15" s="265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4"/>
    </row>
    <row r="16" spans="1:26" s="213" customFormat="1" ht="15" customHeight="1" x14ac:dyDescent="0.25">
      <c r="A16" s="261"/>
      <c r="B16" s="263"/>
      <c r="Z16" s="262"/>
    </row>
    <row r="17" spans="1:26" s="213" customFormat="1" ht="15" customHeight="1" x14ac:dyDescent="0.25">
      <c r="A17" s="261"/>
      <c r="B17" s="439" t="s">
        <v>25</v>
      </c>
      <c r="C17" s="439"/>
      <c r="D17" s="439"/>
      <c r="E17" s="439"/>
      <c r="F17" s="439"/>
      <c r="G17" s="439"/>
      <c r="H17" s="439"/>
      <c r="I17" s="464"/>
      <c r="J17" s="464"/>
      <c r="K17" s="464"/>
      <c r="L17" s="464"/>
      <c r="M17" s="464"/>
      <c r="N17" s="464"/>
      <c r="O17" s="464"/>
      <c r="P17" s="464"/>
      <c r="Q17" s="464"/>
      <c r="R17" s="464"/>
      <c r="S17" s="464"/>
      <c r="T17" s="464"/>
      <c r="U17" s="464"/>
      <c r="V17" s="464"/>
      <c r="W17" s="464"/>
      <c r="X17" s="464"/>
      <c r="Y17" s="464"/>
      <c r="Z17" s="259"/>
    </row>
    <row r="18" spans="1:26" s="213" customFormat="1" ht="15" customHeight="1" x14ac:dyDescent="0.25">
      <c r="A18" s="261"/>
      <c r="B18" s="439" t="s">
        <v>26</v>
      </c>
      <c r="C18" s="439"/>
      <c r="D18" s="439"/>
      <c r="E18" s="439"/>
      <c r="F18" s="439"/>
      <c r="G18" s="439"/>
      <c r="H18" s="439"/>
      <c r="I18" s="528" t="s">
        <v>27</v>
      </c>
      <c r="J18" s="528"/>
      <c r="K18" s="260">
        <v>50</v>
      </c>
      <c r="L18" s="260" t="s">
        <v>28</v>
      </c>
      <c r="M18" s="260"/>
      <c r="N18" s="260"/>
      <c r="O18" s="260"/>
      <c r="P18" s="260"/>
      <c r="Q18" s="260"/>
      <c r="R18" s="260"/>
      <c r="S18" s="260"/>
      <c r="T18" s="260"/>
      <c r="U18" s="260"/>
      <c r="V18" s="260"/>
      <c r="W18" s="260"/>
      <c r="X18" s="260"/>
      <c r="Y18" s="260"/>
      <c r="Z18" s="259"/>
    </row>
    <row r="19" spans="1:26" s="213" customFormat="1" ht="13.2" customHeight="1" x14ac:dyDescent="0.25">
      <c r="A19" s="258"/>
      <c r="B19" s="257"/>
      <c r="C19" s="257"/>
      <c r="D19" s="257"/>
      <c r="E19" s="257"/>
      <c r="F19" s="257"/>
      <c r="G19" s="257"/>
      <c r="H19" s="257"/>
      <c r="I19" s="257"/>
      <c r="J19" s="257"/>
      <c r="K19" s="257"/>
      <c r="L19" s="257"/>
      <c r="M19" s="257"/>
      <c r="N19" s="257"/>
      <c r="O19" s="257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6"/>
    </row>
    <row r="20" spans="1:26" ht="12.75" customHeight="1" x14ac:dyDescent="0.25">
      <c r="D20" s="212"/>
      <c r="E20" s="212"/>
      <c r="F20" s="212"/>
      <c r="G20" s="212"/>
      <c r="N20" s="255"/>
    </row>
    <row r="21" spans="1:26" ht="15.9" customHeight="1" x14ac:dyDescent="0.25">
      <c r="A21" s="254" t="s">
        <v>29</v>
      </c>
      <c r="B21" s="253" t="s">
        <v>30</v>
      </c>
      <c r="C21" s="251"/>
      <c r="D21" s="252"/>
      <c r="E21" s="252"/>
      <c r="F21" s="252"/>
      <c r="G21" s="252"/>
      <c r="H21" s="251"/>
      <c r="I21" s="251"/>
      <c r="J21" s="537" t="s">
        <v>31</v>
      </c>
      <c r="K21" s="537"/>
      <c r="L21" s="537"/>
      <c r="M21" s="537"/>
      <c r="N21" s="537"/>
      <c r="O21" s="537"/>
      <c r="P21" s="537"/>
      <c r="Q21" s="248">
        <v>600</v>
      </c>
      <c r="R21" s="233"/>
      <c r="S21" s="233"/>
      <c r="T21" s="233"/>
      <c r="U21" s="233"/>
      <c r="V21" s="233"/>
      <c r="W21" s="233"/>
      <c r="X21" s="233"/>
      <c r="Y21" s="233"/>
      <c r="Z21" s="250"/>
    </row>
    <row r="22" spans="1:26" ht="12.75" customHeight="1" x14ac:dyDescent="0.25">
      <c r="A22" s="245"/>
      <c r="B22" s="249"/>
      <c r="Z22" s="244"/>
    </row>
    <row r="23" spans="1:26" ht="15.75" customHeight="1" x14ac:dyDescent="0.25">
      <c r="A23" s="245"/>
      <c r="B23" s="535" t="s">
        <v>32</v>
      </c>
      <c r="C23" s="460" t="s">
        <v>33</v>
      </c>
      <c r="D23" s="460"/>
      <c r="E23" s="460"/>
      <c r="F23" s="460"/>
      <c r="G23" s="461"/>
      <c r="H23" s="532" t="s">
        <v>34</v>
      </c>
      <c r="I23" s="533"/>
      <c r="J23" s="534"/>
      <c r="K23" s="460" t="s">
        <v>35</v>
      </c>
      <c r="L23" s="460"/>
      <c r="M23" s="460"/>
      <c r="N23" s="460"/>
      <c r="O23" s="460"/>
      <c r="P23" s="461"/>
      <c r="Z23" s="244"/>
    </row>
    <row r="24" spans="1:26" ht="15.75" customHeight="1" x14ac:dyDescent="0.25">
      <c r="A24" s="245"/>
      <c r="B24" s="536"/>
      <c r="C24" s="462"/>
      <c r="D24" s="462"/>
      <c r="E24" s="462"/>
      <c r="F24" s="462"/>
      <c r="G24" s="463"/>
      <c r="H24" s="529" t="s">
        <v>36</v>
      </c>
      <c r="I24" s="530"/>
      <c r="J24" s="531"/>
      <c r="K24" s="462"/>
      <c r="L24" s="462"/>
      <c r="M24" s="462"/>
      <c r="N24" s="462"/>
      <c r="O24" s="462"/>
      <c r="P24" s="463"/>
      <c r="Z24" s="244"/>
    </row>
    <row r="25" spans="1:26" ht="19.5" customHeight="1" x14ac:dyDescent="0.25">
      <c r="A25" s="245"/>
      <c r="B25" s="247">
        <v>1</v>
      </c>
      <c r="C25" s="412"/>
      <c r="D25" s="413"/>
      <c r="E25" s="413"/>
      <c r="F25" s="413"/>
      <c r="G25" s="414"/>
      <c r="H25" s="415">
        <v>90</v>
      </c>
      <c r="I25" s="416"/>
      <c r="J25" s="417"/>
      <c r="K25" s="412"/>
      <c r="L25" s="413"/>
      <c r="M25" s="413"/>
      <c r="N25" s="413"/>
      <c r="O25" s="413"/>
      <c r="P25" s="414"/>
      <c r="Z25" s="244"/>
    </row>
    <row r="26" spans="1:26" ht="19.5" customHeight="1" x14ac:dyDescent="0.25">
      <c r="A26" s="245"/>
      <c r="B26" s="247">
        <v>2</v>
      </c>
      <c r="C26" s="412"/>
      <c r="D26" s="413"/>
      <c r="E26" s="413"/>
      <c r="F26" s="413"/>
      <c r="G26" s="414"/>
      <c r="H26" s="415">
        <v>122</v>
      </c>
      <c r="I26" s="416"/>
      <c r="J26" s="417"/>
      <c r="K26" s="412"/>
      <c r="L26" s="413"/>
      <c r="M26" s="413"/>
      <c r="N26" s="413"/>
      <c r="O26" s="413"/>
      <c r="P26" s="414"/>
      <c r="Z26" s="244"/>
    </row>
    <row r="27" spans="1:26" ht="19.5" customHeight="1" x14ac:dyDescent="0.25">
      <c r="A27" s="245"/>
      <c r="B27" s="247">
        <v>3</v>
      </c>
      <c r="C27" s="412"/>
      <c r="D27" s="413"/>
      <c r="E27" s="413"/>
      <c r="F27" s="413"/>
      <c r="G27" s="414"/>
      <c r="H27" s="415">
        <v>66</v>
      </c>
      <c r="I27" s="416"/>
      <c r="J27" s="417"/>
      <c r="K27" s="412"/>
      <c r="L27" s="413"/>
      <c r="M27" s="413"/>
      <c r="N27" s="413"/>
      <c r="O27" s="413"/>
      <c r="P27" s="414"/>
      <c r="Z27" s="244"/>
    </row>
    <row r="28" spans="1:26" ht="19.5" customHeight="1" x14ac:dyDescent="0.25">
      <c r="A28" s="245"/>
      <c r="B28" s="247"/>
      <c r="C28" s="412"/>
      <c r="D28" s="413"/>
      <c r="E28" s="413"/>
      <c r="F28" s="413"/>
      <c r="G28" s="414"/>
      <c r="H28" s="415"/>
      <c r="I28" s="416"/>
      <c r="J28" s="417"/>
      <c r="K28" s="412"/>
      <c r="L28" s="413"/>
      <c r="M28" s="413"/>
      <c r="N28" s="413"/>
      <c r="O28" s="413"/>
      <c r="P28" s="414"/>
      <c r="Z28" s="244"/>
    </row>
    <row r="29" spans="1:26" ht="19.5" customHeight="1" x14ac:dyDescent="0.25">
      <c r="A29" s="245"/>
      <c r="B29" s="247"/>
      <c r="C29" s="412"/>
      <c r="D29" s="413"/>
      <c r="E29" s="413"/>
      <c r="F29" s="413"/>
      <c r="G29" s="414"/>
      <c r="H29" s="415"/>
      <c r="I29" s="416"/>
      <c r="J29" s="417"/>
      <c r="K29" s="412"/>
      <c r="L29" s="413"/>
      <c r="M29" s="413"/>
      <c r="N29" s="413"/>
      <c r="O29" s="413"/>
      <c r="P29" s="414"/>
      <c r="Z29" s="244"/>
    </row>
    <row r="30" spans="1:26" ht="19.5" customHeight="1" x14ac:dyDescent="0.25">
      <c r="A30" s="245"/>
      <c r="B30" s="247"/>
      <c r="C30" s="412"/>
      <c r="D30" s="413"/>
      <c r="E30" s="413"/>
      <c r="F30" s="413"/>
      <c r="G30" s="414"/>
      <c r="H30" s="415"/>
      <c r="I30" s="416"/>
      <c r="J30" s="417"/>
      <c r="K30" s="412"/>
      <c r="L30" s="413"/>
      <c r="M30" s="413"/>
      <c r="N30" s="413"/>
      <c r="O30" s="413"/>
      <c r="P30" s="414"/>
      <c r="Z30" s="244"/>
    </row>
    <row r="31" spans="1:26" ht="19.5" customHeight="1" x14ac:dyDescent="0.25">
      <c r="A31" s="245"/>
      <c r="B31" s="247"/>
      <c r="C31" s="412"/>
      <c r="D31" s="413"/>
      <c r="E31" s="413"/>
      <c r="F31" s="413"/>
      <c r="G31" s="414"/>
      <c r="H31" s="415"/>
      <c r="I31" s="416"/>
      <c r="J31" s="417"/>
      <c r="K31" s="412"/>
      <c r="L31" s="413"/>
      <c r="M31" s="413"/>
      <c r="N31" s="413"/>
      <c r="O31" s="413"/>
      <c r="P31" s="414"/>
      <c r="Z31" s="244"/>
    </row>
    <row r="32" spans="1:26" ht="19.5" customHeight="1" x14ac:dyDescent="0.25">
      <c r="A32" s="245"/>
      <c r="B32" s="247"/>
      <c r="C32" s="412"/>
      <c r="D32" s="413"/>
      <c r="E32" s="413"/>
      <c r="F32" s="413"/>
      <c r="G32" s="414"/>
      <c r="H32" s="415"/>
      <c r="I32" s="416"/>
      <c r="J32" s="417"/>
      <c r="K32" s="412"/>
      <c r="L32" s="413"/>
      <c r="M32" s="413"/>
      <c r="N32" s="413"/>
      <c r="O32" s="413"/>
      <c r="P32" s="414"/>
      <c r="Z32" s="244"/>
    </row>
    <row r="33" spans="1:26" ht="19.5" customHeight="1" x14ac:dyDescent="0.25">
      <c r="A33" s="245"/>
      <c r="B33" s="247"/>
      <c r="C33" s="412"/>
      <c r="D33" s="413"/>
      <c r="E33" s="413"/>
      <c r="F33" s="413"/>
      <c r="G33" s="414"/>
      <c r="H33" s="415"/>
      <c r="I33" s="416"/>
      <c r="J33" s="417"/>
      <c r="K33" s="412"/>
      <c r="L33" s="413"/>
      <c r="M33" s="413"/>
      <c r="N33" s="413"/>
      <c r="O33" s="413"/>
      <c r="P33" s="414"/>
      <c r="Z33" s="244"/>
    </row>
    <row r="34" spans="1:26" ht="19.5" customHeight="1" x14ac:dyDescent="0.25">
      <c r="A34" s="245"/>
      <c r="B34" s="247"/>
      <c r="C34" s="412"/>
      <c r="D34" s="413"/>
      <c r="E34" s="413"/>
      <c r="F34" s="413"/>
      <c r="G34" s="414"/>
      <c r="H34" s="415"/>
      <c r="I34" s="416"/>
      <c r="J34" s="417"/>
      <c r="K34" s="412"/>
      <c r="L34" s="413"/>
      <c r="M34" s="413"/>
      <c r="N34" s="413"/>
      <c r="O34" s="413"/>
      <c r="P34" s="414"/>
      <c r="Z34" s="244"/>
    </row>
    <row r="35" spans="1:26" ht="19.5" customHeight="1" x14ac:dyDescent="0.25">
      <c r="A35" s="245"/>
      <c r="B35" s="247"/>
      <c r="C35" s="412"/>
      <c r="D35" s="413"/>
      <c r="E35" s="413"/>
      <c r="F35" s="413"/>
      <c r="G35" s="414"/>
      <c r="H35" s="415"/>
      <c r="I35" s="416"/>
      <c r="J35" s="417"/>
      <c r="K35" s="412"/>
      <c r="L35" s="413"/>
      <c r="M35" s="413"/>
      <c r="N35" s="413"/>
      <c r="O35" s="413"/>
      <c r="P35" s="414"/>
      <c r="Z35" s="244"/>
    </row>
    <row r="36" spans="1:26" ht="19.5" customHeight="1" x14ac:dyDescent="0.25">
      <c r="A36" s="245"/>
      <c r="B36" s="247"/>
      <c r="C36" s="412"/>
      <c r="D36" s="413"/>
      <c r="E36" s="413"/>
      <c r="F36" s="413"/>
      <c r="G36" s="414"/>
      <c r="H36" s="415"/>
      <c r="I36" s="416"/>
      <c r="J36" s="417"/>
      <c r="K36" s="412"/>
      <c r="L36" s="413"/>
      <c r="M36" s="413"/>
      <c r="N36" s="413"/>
      <c r="O36" s="413"/>
      <c r="P36" s="414"/>
      <c r="Z36" s="244"/>
    </row>
    <row r="37" spans="1:26" ht="19.5" customHeight="1" x14ac:dyDescent="0.25">
      <c r="A37" s="245"/>
      <c r="B37" s="247"/>
      <c r="C37" s="412"/>
      <c r="D37" s="413"/>
      <c r="E37" s="413"/>
      <c r="F37" s="413"/>
      <c r="G37" s="414"/>
      <c r="H37" s="415"/>
      <c r="I37" s="416"/>
      <c r="J37" s="417"/>
      <c r="K37" s="412"/>
      <c r="L37" s="413"/>
      <c r="M37" s="413"/>
      <c r="N37" s="413"/>
      <c r="O37" s="413"/>
      <c r="P37" s="414"/>
      <c r="Z37" s="244"/>
    </row>
    <row r="38" spans="1:26" ht="19.5" customHeight="1" x14ac:dyDescent="0.25">
      <c r="A38" s="245"/>
      <c r="B38" s="247"/>
      <c r="C38" s="412"/>
      <c r="D38" s="413"/>
      <c r="E38" s="413"/>
      <c r="F38" s="413"/>
      <c r="G38" s="414"/>
      <c r="H38" s="415"/>
      <c r="I38" s="416"/>
      <c r="J38" s="417"/>
      <c r="K38" s="412"/>
      <c r="L38" s="413"/>
      <c r="M38" s="413"/>
      <c r="N38" s="413"/>
      <c r="O38" s="413"/>
      <c r="P38" s="414"/>
      <c r="Z38" s="244"/>
    </row>
    <row r="39" spans="1:26" ht="19.5" customHeight="1" x14ac:dyDescent="0.25">
      <c r="A39" s="245"/>
      <c r="B39" s="247"/>
      <c r="C39" s="412"/>
      <c r="D39" s="413"/>
      <c r="E39" s="413"/>
      <c r="F39" s="413"/>
      <c r="G39" s="414"/>
      <c r="H39" s="415"/>
      <c r="I39" s="416"/>
      <c r="J39" s="417"/>
      <c r="K39" s="412"/>
      <c r="L39" s="413"/>
      <c r="M39" s="413"/>
      <c r="N39" s="413"/>
      <c r="O39" s="413"/>
      <c r="P39" s="414"/>
      <c r="Z39" s="244"/>
    </row>
    <row r="40" spans="1:26" ht="19.5" customHeight="1" x14ac:dyDescent="0.25">
      <c r="A40" s="245"/>
      <c r="B40" s="247"/>
      <c r="C40" s="412"/>
      <c r="D40" s="413"/>
      <c r="E40" s="413"/>
      <c r="F40" s="413"/>
      <c r="G40" s="414"/>
      <c r="H40" s="415"/>
      <c r="I40" s="416"/>
      <c r="J40" s="417"/>
      <c r="K40" s="412"/>
      <c r="L40" s="413"/>
      <c r="M40" s="413"/>
      <c r="N40" s="413"/>
      <c r="O40" s="413"/>
      <c r="P40" s="414"/>
      <c r="Z40" s="244"/>
    </row>
    <row r="41" spans="1:26" ht="19.5" customHeight="1" x14ac:dyDescent="0.25">
      <c r="A41" s="245"/>
      <c r="B41" s="247"/>
      <c r="C41" s="412"/>
      <c r="D41" s="413"/>
      <c r="E41" s="413"/>
      <c r="F41" s="413"/>
      <c r="G41" s="414"/>
      <c r="H41" s="415"/>
      <c r="I41" s="416"/>
      <c r="J41" s="417"/>
      <c r="K41" s="412"/>
      <c r="L41" s="413"/>
      <c r="M41" s="413"/>
      <c r="N41" s="413"/>
      <c r="O41" s="413"/>
      <c r="P41" s="414"/>
      <c r="Z41" s="244"/>
    </row>
    <row r="42" spans="1:26" ht="19.5" customHeight="1" x14ac:dyDescent="0.25">
      <c r="A42" s="245"/>
      <c r="B42" s="247"/>
      <c r="C42" s="412"/>
      <c r="D42" s="413"/>
      <c r="E42" s="413"/>
      <c r="F42" s="413"/>
      <c r="G42" s="414"/>
      <c r="H42" s="415"/>
      <c r="I42" s="416"/>
      <c r="J42" s="417"/>
      <c r="K42" s="412"/>
      <c r="L42" s="413"/>
      <c r="M42" s="413"/>
      <c r="N42" s="413"/>
      <c r="O42" s="413"/>
      <c r="P42" s="414"/>
      <c r="Z42" s="244"/>
    </row>
    <row r="43" spans="1:26" ht="19.5" customHeight="1" x14ac:dyDescent="0.25">
      <c r="A43" s="245"/>
      <c r="B43" s="247"/>
      <c r="C43" s="412"/>
      <c r="D43" s="413"/>
      <c r="E43" s="413"/>
      <c r="F43" s="413"/>
      <c r="G43" s="414"/>
      <c r="H43" s="415"/>
      <c r="I43" s="416"/>
      <c r="J43" s="417"/>
      <c r="K43" s="412"/>
      <c r="L43" s="413"/>
      <c r="M43" s="413"/>
      <c r="N43" s="413"/>
      <c r="O43" s="413"/>
      <c r="P43" s="414"/>
      <c r="Z43" s="244"/>
    </row>
    <row r="44" spans="1:26" ht="19.5" customHeight="1" x14ac:dyDescent="0.25">
      <c r="A44" s="245"/>
      <c r="B44" s="247"/>
      <c r="C44" s="412"/>
      <c r="D44" s="413"/>
      <c r="E44" s="413"/>
      <c r="F44" s="413"/>
      <c r="G44" s="414"/>
      <c r="H44" s="415"/>
      <c r="I44" s="416"/>
      <c r="J44" s="417"/>
      <c r="K44" s="412"/>
      <c r="L44" s="413"/>
      <c r="M44" s="413"/>
      <c r="N44" s="413"/>
      <c r="O44" s="413"/>
      <c r="P44" s="414"/>
      <c r="Z44" s="244"/>
    </row>
    <row r="45" spans="1:26" ht="19.5" customHeight="1" thickBot="1" x14ac:dyDescent="0.3">
      <c r="A45" s="245"/>
      <c r="B45" s="246"/>
      <c r="C45" s="469"/>
      <c r="D45" s="469"/>
      <c r="E45" s="469"/>
      <c r="F45" s="469"/>
      <c r="G45" s="470"/>
      <c r="H45" s="465"/>
      <c r="I45" s="466"/>
      <c r="J45" s="467"/>
      <c r="K45" s="468"/>
      <c r="L45" s="469"/>
      <c r="M45" s="469"/>
      <c r="N45" s="469"/>
      <c r="O45" s="469"/>
      <c r="P45" s="470"/>
      <c r="Z45" s="244"/>
    </row>
    <row r="46" spans="1:26" ht="15.75" customHeight="1" x14ac:dyDescent="0.25">
      <c r="A46" s="245"/>
      <c r="B46" s="516" t="s">
        <v>37</v>
      </c>
      <c r="C46" s="517"/>
      <c r="D46" s="517"/>
      <c r="E46" s="517"/>
      <c r="F46" s="517"/>
      <c r="G46" s="518"/>
      <c r="H46" s="522">
        <f>AVERAGE(H25:J45)</f>
        <v>92.666666666666671</v>
      </c>
      <c r="I46" s="523"/>
      <c r="J46" s="524"/>
      <c r="K46" s="453" t="s">
        <v>55</v>
      </c>
      <c r="L46" s="454"/>
      <c r="M46" s="448" t="s">
        <v>38</v>
      </c>
      <c r="N46" s="448"/>
      <c r="O46" s="448"/>
      <c r="P46" s="449"/>
      <c r="Z46" s="244"/>
    </row>
    <row r="47" spans="1:26" ht="15.75" customHeight="1" x14ac:dyDescent="0.25">
      <c r="A47" s="245"/>
      <c r="B47" s="510" t="s">
        <v>39</v>
      </c>
      <c r="C47" s="511"/>
      <c r="D47" s="511"/>
      <c r="E47" s="511"/>
      <c r="F47" s="511"/>
      <c r="G47" s="512"/>
      <c r="H47" s="525">
        <f>IF(COUNTIF(H25:J45,"*&lt;20*"),"&lt;20",MIN(H25:J45))</f>
        <v>66</v>
      </c>
      <c r="I47" s="526"/>
      <c r="J47" s="527"/>
      <c r="K47" s="455"/>
      <c r="L47" s="456"/>
      <c r="M47" s="432"/>
      <c r="N47" s="432"/>
      <c r="O47" s="432"/>
      <c r="P47" s="450"/>
      <c r="Z47" s="244"/>
    </row>
    <row r="48" spans="1:26" ht="15.75" customHeight="1" thickBot="1" x14ac:dyDescent="0.3">
      <c r="A48" s="245"/>
      <c r="B48" s="513" t="s">
        <v>40</v>
      </c>
      <c r="C48" s="514"/>
      <c r="D48" s="514"/>
      <c r="E48" s="514"/>
      <c r="F48" s="514"/>
      <c r="G48" s="515"/>
      <c r="H48" s="519">
        <f>IF(COUNTIF(H25:J45,"*&gt;250*"),"&gt;250",MAX(H25:J45))</f>
        <v>122</v>
      </c>
      <c r="I48" s="520"/>
      <c r="J48" s="521"/>
      <c r="K48" s="457"/>
      <c r="L48" s="458"/>
      <c r="M48" s="451"/>
      <c r="N48" s="451"/>
      <c r="O48" s="451"/>
      <c r="P48" s="452"/>
      <c r="Z48" s="244"/>
    </row>
    <row r="49" spans="1:26" ht="15.9" customHeight="1" x14ac:dyDescent="0.25">
      <c r="A49" s="243"/>
      <c r="B49" s="242"/>
      <c r="C49" s="241"/>
      <c r="D49" s="241"/>
      <c r="E49" s="241"/>
      <c r="F49" s="241"/>
      <c r="G49" s="241"/>
      <c r="H49" s="241"/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0"/>
    </row>
    <row r="50" spans="1:26" ht="12.75" customHeight="1" x14ac:dyDescent="0.25">
      <c r="A50" s="239"/>
      <c r="B50" s="238"/>
    </row>
    <row r="51" spans="1:26" s="213" customFormat="1" ht="15.6" customHeight="1" x14ac:dyDescent="0.25">
      <c r="A51" s="237" t="s">
        <v>41</v>
      </c>
      <c r="B51" s="236" t="s">
        <v>42</v>
      </c>
      <c r="C51" s="235"/>
      <c r="D51" s="235"/>
      <c r="E51" s="235"/>
      <c r="F51" s="234"/>
      <c r="G51" s="234"/>
      <c r="H51" s="234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2"/>
      <c r="V51" s="231"/>
      <c r="W51" s="231"/>
      <c r="X51" s="230"/>
      <c r="Y51" s="230"/>
      <c r="Z51" s="229"/>
    </row>
    <row r="52" spans="1:26" s="213" customFormat="1" ht="28.5" customHeight="1" x14ac:dyDescent="0.25">
      <c r="A52" s="441" t="s">
        <v>43</v>
      </c>
      <c r="B52" s="442"/>
      <c r="C52" s="442"/>
      <c r="D52" s="442"/>
      <c r="E52" s="442"/>
      <c r="F52" s="442"/>
      <c r="G52" s="442"/>
      <c r="H52" s="442"/>
      <c r="I52" s="442"/>
      <c r="J52" s="442"/>
      <c r="K52" s="442"/>
      <c r="L52" s="442"/>
      <c r="M52" s="442"/>
      <c r="N52" s="442"/>
      <c r="O52" s="442"/>
      <c r="P52" s="442"/>
      <c r="Q52" s="443"/>
      <c r="R52" s="424" t="s">
        <v>44</v>
      </c>
      <c r="S52" s="425"/>
      <c r="T52" s="426"/>
      <c r="U52" s="444" t="s">
        <v>54</v>
      </c>
      <c r="V52" s="445"/>
      <c r="W52" s="445"/>
      <c r="X52" s="446"/>
      <c r="Y52" s="446"/>
      <c r="Z52" s="447"/>
    </row>
    <row r="53" spans="1:26" s="213" customFormat="1" ht="15.6" customHeight="1" x14ac:dyDescent="0.25">
      <c r="A53" s="418" t="s">
        <v>53</v>
      </c>
      <c r="B53" s="419"/>
      <c r="C53" s="419"/>
      <c r="D53" s="419"/>
      <c r="E53" s="419"/>
      <c r="F53" s="419"/>
      <c r="G53" s="419"/>
      <c r="H53" s="419"/>
      <c r="I53" s="419"/>
      <c r="J53" s="419"/>
      <c r="K53" s="419"/>
      <c r="L53" s="419"/>
      <c r="M53" s="419"/>
      <c r="N53" s="419"/>
      <c r="O53" s="419"/>
      <c r="P53" s="419"/>
      <c r="Q53" s="420"/>
      <c r="R53" s="424" t="s">
        <v>46</v>
      </c>
      <c r="S53" s="425"/>
      <c r="T53" s="426"/>
      <c r="U53" s="427" t="s">
        <v>52</v>
      </c>
      <c r="V53" s="428"/>
      <c r="W53" s="428"/>
      <c r="X53" s="429"/>
      <c r="Y53" s="429"/>
      <c r="Z53" s="430"/>
    </row>
    <row r="54" spans="1:26" s="213" customFormat="1" ht="15.6" customHeight="1" x14ac:dyDescent="0.25">
      <c r="A54" s="421"/>
      <c r="B54" s="422"/>
      <c r="C54" s="422"/>
      <c r="D54" s="422"/>
      <c r="E54" s="422"/>
      <c r="F54" s="422"/>
      <c r="G54" s="422"/>
      <c r="H54" s="422"/>
      <c r="I54" s="422"/>
      <c r="J54" s="422"/>
      <c r="K54" s="422"/>
      <c r="L54" s="422"/>
      <c r="M54" s="422"/>
      <c r="N54" s="422"/>
      <c r="O54" s="422"/>
      <c r="P54" s="422"/>
      <c r="Q54" s="423"/>
      <c r="R54" s="424"/>
      <c r="S54" s="425"/>
      <c r="T54" s="426"/>
      <c r="U54" s="431"/>
      <c r="V54" s="432"/>
      <c r="W54" s="432"/>
      <c r="X54" s="433"/>
      <c r="Y54" s="433"/>
      <c r="Z54" s="434"/>
    </row>
    <row r="55" spans="1:26" s="213" customFormat="1" ht="15.6" customHeight="1" x14ac:dyDescent="0.25">
      <c r="A55" s="228" t="s">
        <v>48</v>
      </c>
      <c r="B55" s="227" t="s">
        <v>49</v>
      </c>
      <c r="C55" s="211"/>
      <c r="D55" s="211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5"/>
      <c r="R55" s="424"/>
      <c r="S55" s="425"/>
      <c r="T55" s="426"/>
      <c r="U55" s="435"/>
      <c r="V55" s="436"/>
      <c r="W55" s="436"/>
      <c r="X55" s="437"/>
      <c r="Y55" s="437"/>
      <c r="Z55" s="438"/>
    </row>
    <row r="56" spans="1:26" s="213" customFormat="1" ht="15.6" customHeight="1" x14ac:dyDescent="0.25">
      <c r="A56" s="501"/>
      <c r="B56" s="502"/>
      <c r="C56" s="502"/>
      <c r="D56" s="502"/>
      <c r="E56" s="502"/>
      <c r="F56" s="502"/>
      <c r="G56" s="502"/>
      <c r="H56" s="502"/>
      <c r="I56" s="502"/>
      <c r="J56" s="502"/>
      <c r="K56" s="502"/>
      <c r="L56" s="502"/>
      <c r="M56" s="502"/>
      <c r="N56" s="502"/>
      <c r="O56" s="502"/>
      <c r="P56" s="502"/>
      <c r="Q56" s="503"/>
      <c r="R56" s="424" t="s">
        <v>50</v>
      </c>
      <c r="S56" s="425"/>
      <c r="T56" s="426"/>
      <c r="U56" s="224"/>
      <c r="V56" s="223"/>
      <c r="W56" s="223"/>
      <c r="X56" s="223"/>
      <c r="Y56" s="223"/>
      <c r="Z56" s="222"/>
    </row>
    <row r="57" spans="1:26" s="213" customFormat="1" ht="15.6" customHeight="1" x14ac:dyDescent="0.25">
      <c r="A57" s="501"/>
      <c r="B57" s="502"/>
      <c r="C57" s="502"/>
      <c r="D57" s="502"/>
      <c r="E57" s="502"/>
      <c r="F57" s="502"/>
      <c r="G57" s="502"/>
      <c r="H57" s="502"/>
      <c r="I57" s="502"/>
      <c r="J57" s="502"/>
      <c r="K57" s="502"/>
      <c r="L57" s="502"/>
      <c r="M57" s="502"/>
      <c r="N57" s="502"/>
      <c r="O57" s="502"/>
      <c r="P57" s="502"/>
      <c r="Q57" s="503"/>
      <c r="R57" s="424"/>
      <c r="S57" s="425"/>
      <c r="T57" s="426"/>
      <c r="U57" s="221"/>
      <c r="V57" s="432"/>
      <c r="W57" s="432"/>
      <c r="X57" s="432"/>
      <c r="Y57" s="432"/>
      <c r="Z57" s="220"/>
    </row>
    <row r="58" spans="1:26" s="213" customFormat="1" ht="15.6" customHeight="1" x14ac:dyDescent="0.25">
      <c r="A58" s="501"/>
      <c r="B58" s="502"/>
      <c r="C58" s="502"/>
      <c r="D58" s="502"/>
      <c r="E58" s="502"/>
      <c r="F58" s="502"/>
      <c r="G58" s="502"/>
      <c r="H58" s="502"/>
      <c r="I58" s="502"/>
      <c r="J58" s="502"/>
      <c r="K58" s="502"/>
      <c r="L58" s="502"/>
      <c r="M58" s="502"/>
      <c r="N58" s="502"/>
      <c r="O58" s="502"/>
      <c r="P58" s="502"/>
      <c r="Q58" s="503"/>
      <c r="R58" s="424"/>
      <c r="S58" s="425"/>
      <c r="T58" s="426"/>
      <c r="U58" s="221"/>
      <c r="V58" s="432"/>
      <c r="W58" s="432"/>
      <c r="X58" s="432"/>
      <c r="Y58" s="432"/>
      <c r="Z58" s="220"/>
    </row>
    <row r="59" spans="1:26" s="213" customFormat="1" ht="15.6" customHeight="1" x14ac:dyDescent="0.25">
      <c r="A59" s="504"/>
      <c r="B59" s="505"/>
      <c r="C59" s="505"/>
      <c r="D59" s="505"/>
      <c r="E59" s="505"/>
      <c r="F59" s="505"/>
      <c r="G59" s="505"/>
      <c r="H59" s="505"/>
      <c r="I59" s="505"/>
      <c r="J59" s="505"/>
      <c r="K59" s="505"/>
      <c r="L59" s="505"/>
      <c r="M59" s="505"/>
      <c r="N59" s="505"/>
      <c r="O59" s="505"/>
      <c r="P59" s="505"/>
      <c r="Q59" s="506"/>
      <c r="R59" s="507"/>
      <c r="S59" s="508"/>
      <c r="T59" s="509"/>
      <c r="U59" s="219"/>
      <c r="V59" s="218"/>
      <c r="W59" s="218"/>
      <c r="X59" s="218"/>
      <c r="Y59" s="218"/>
      <c r="Z59" s="217"/>
    </row>
    <row r="60" spans="1:26" s="213" customFormat="1" ht="15" customHeight="1" x14ac:dyDescent="0.25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5"/>
      <c r="S60" s="215"/>
      <c r="T60" s="215"/>
      <c r="U60" s="214"/>
      <c r="V60" s="214"/>
      <c r="W60" s="214"/>
      <c r="X60" s="214"/>
      <c r="Y60" s="214"/>
      <c r="Z60" s="214"/>
    </row>
    <row r="62" spans="1:26" ht="12.75" customHeight="1" x14ac:dyDescent="0.25">
      <c r="A62" s="211"/>
    </row>
    <row r="63" spans="1:26" ht="12.75" customHeight="1" x14ac:dyDescent="0.25">
      <c r="A63" s="211"/>
    </row>
    <row r="64" spans="1:26" ht="12.75" customHeight="1" x14ac:dyDescent="0.25">
      <c r="A64" s="211"/>
    </row>
    <row r="65" spans="1:1" ht="12.75" customHeight="1" x14ac:dyDescent="0.25">
      <c r="A65" s="211"/>
    </row>
    <row r="66" spans="1:1" ht="12.75" customHeight="1" x14ac:dyDescent="0.25">
      <c r="A66" s="211"/>
    </row>
    <row r="67" spans="1:1" ht="12.75" customHeight="1" x14ac:dyDescent="0.25">
      <c r="A67" s="211"/>
    </row>
  </sheetData>
  <sheetProtection formatCells="0" formatColumns="0" formatRows="0" insertColumns="0" insertRows="0" insertHyperlinks="0" deleteColumns="0" deleteRows="0" selectLockedCells="1" sort="0" autoFilter="0" pivotTables="0"/>
  <mergeCells count="115"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56:Q59"/>
    <mergeCell ref="R56:T59"/>
    <mergeCell ref="K26:P26"/>
    <mergeCell ref="C27:G27"/>
    <mergeCell ref="H27:J27"/>
    <mergeCell ref="K27:P27"/>
    <mergeCell ref="C45:G45"/>
    <mergeCell ref="B47:G47"/>
    <mergeCell ref="B48:G48"/>
    <mergeCell ref="B46:G46"/>
    <mergeCell ref="C26:G26"/>
    <mergeCell ref="H26:J26"/>
    <mergeCell ref="H48:J48"/>
    <mergeCell ref="H46:J46"/>
    <mergeCell ref="H47:J47"/>
    <mergeCell ref="C34:G34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U1:Z6"/>
    <mergeCell ref="K25:P25"/>
    <mergeCell ref="M46:P48"/>
    <mergeCell ref="K46:L48"/>
    <mergeCell ref="S12:Y12"/>
    <mergeCell ref="K23:P24"/>
    <mergeCell ref="I17:Y17"/>
    <mergeCell ref="S11:Y11"/>
    <mergeCell ref="H45:J45"/>
    <mergeCell ref="K45:P45"/>
    <mergeCell ref="I5:K5"/>
    <mergeCell ref="I6:K6"/>
    <mergeCell ref="L5:O5"/>
    <mergeCell ref="P5:T5"/>
    <mergeCell ref="L6:O6"/>
    <mergeCell ref="P6:T6"/>
    <mergeCell ref="N12:R12"/>
    <mergeCell ref="H12:M12"/>
    <mergeCell ref="H11:M11"/>
    <mergeCell ref="N11:R11"/>
    <mergeCell ref="B17:H17"/>
    <mergeCell ref="B12:G12"/>
    <mergeCell ref="B11:G11"/>
    <mergeCell ref="A52:Q52"/>
    <mergeCell ref="R52:T52"/>
    <mergeCell ref="U52:Z52"/>
    <mergeCell ref="H30:J30"/>
    <mergeCell ref="K30:P30"/>
    <mergeCell ref="C31:G31"/>
    <mergeCell ref="H31:J31"/>
    <mergeCell ref="A53:Q54"/>
    <mergeCell ref="R53:T55"/>
    <mergeCell ref="U53:Z55"/>
    <mergeCell ref="C28:G28"/>
    <mergeCell ref="H28:J28"/>
    <mergeCell ref="K28:P28"/>
    <mergeCell ref="C29:G29"/>
    <mergeCell ref="H29:J29"/>
    <mergeCell ref="K29:P29"/>
    <mergeCell ref="C30:G30"/>
    <mergeCell ref="H34:J34"/>
    <mergeCell ref="K34:P34"/>
    <mergeCell ref="C35:G35"/>
    <mergeCell ref="H35:J35"/>
    <mergeCell ref="K35:P35"/>
    <mergeCell ref="C36:G36"/>
    <mergeCell ref="H36:J36"/>
    <mergeCell ref="K36:P36"/>
    <mergeCell ref="K31:P31"/>
    <mergeCell ref="C32:G32"/>
    <mergeCell ref="H32:J32"/>
    <mergeCell ref="K32:P32"/>
    <mergeCell ref="C33:G33"/>
    <mergeCell ref="H33:J33"/>
    <mergeCell ref="K33:P33"/>
    <mergeCell ref="C39:G39"/>
    <mergeCell ref="H39:J39"/>
    <mergeCell ref="K39:P39"/>
    <mergeCell ref="C40:G40"/>
    <mergeCell ref="H40:J40"/>
    <mergeCell ref="K40:P40"/>
    <mergeCell ref="C37:G37"/>
    <mergeCell ref="H37:J37"/>
    <mergeCell ref="K37:P37"/>
    <mergeCell ref="C38:G38"/>
    <mergeCell ref="H38:J38"/>
    <mergeCell ref="K38:P38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49DF-E5F8-4161-AB9E-4290337DA51A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  <col min="28" max="16384" width="11.44140625" style="138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309" t="s">
        <v>51</v>
      </c>
      <c r="V1" s="310"/>
      <c r="W1" s="310"/>
      <c r="X1" s="310"/>
      <c r="Y1" s="310"/>
      <c r="Z1" s="311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312"/>
      <c r="V2" s="313"/>
      <c r="W2" s="313"/>
      <c r="X2" s="313"/>
      <c r="Y2" s="313"/>
      <c r="Z2" s="314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312"/>
      <c r="V3" s="313"/>
      <c r="W3" s="313"/>
      <c r="X3" s="313"/>
      <c r="Y3" s="313"/>
      <c r="Z3" s="314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312"/>
      <c r="V4" s="313"/>
      <c r="W4" s="313"/>
      <c r="X4" s="313"/>
      <c r="Y4" s="313"/>
      <c r="Z4" s="314"/>
    </row>
    <row r="5" spans="1:26" ht="12.75" customHeight="1" x14ac:dyDescent="0.25">
      <c r="A5" s="365"/>
      <c r="B5" s="366"/>
      <c r="C5" s="366"/>
      <c r="D5" s="366"/>
      <c r="E5" s="366"/>
      <c r="F5" s="367"/>
      <c r="G5" s="344" t="s">
        <v>2</v>
      </c>
      <c r="H5" s="345"/>
      <c r="I5" s="349">
        <v>8</v>
      </c>
      <c r="J5" s="349"/>
      <c r="K5" s="350"/>
      <c r="L5" s="352" t="s">
        <v>3</v>
      </c>
      <c r="M5" s="353"/>
      <c r="N5" s="353"/>
      <c r="O5" s="354"/>
      <c r="P5" s="355" t="s">
        <v>86</v>
      </c>
      <c r="Q5" s="356"/>
      <c r="R5" s="356"/>
      <c r="S5" s="356"/>
      <c r="T5" s="357"/>
      <c r="U5" s="312"/>
      <c r="V5" s="313"/>
      <c r="W5" s="313"/>
      <c r="X5" s="313"/>
      <c r="Y5" s="313"/>
      <c r="Z5" s="314"/>
    </row>
    <row r="6" spans="1:26" ht="12.75" customHeight="1" x14ac:dyDescent="0.25">
      <c r="A6" s="368"/>
      <c r="B6" s="369"/>
      <c r="C6" s="369"/>
      <c r="D6" s="369"/>
      <c r="E6" s="369"/>
      <c r="F6" s="370"/>
      <c r="G6" s="209"/>
      <c r="H6" s="169"/>
      <c r="I6" s="351" t="s">
        <v>5</v>
      </c>
      <c r="J6" s="351"/>
      <c r="K6" s="351"/>
      <c r="L6" s="351" t="s">
        <v>6</v>
      </c>
      <c r="M6" s="351"/>
      <c r="N6" s="351"/>
      <c r="O6" s="351"/>
      <c r="P6" s="351" t="s">
        <v>7</v>
      </c>
      <c r="Q6" s="351"/>
      <c r="R6" s="351"/>
      <c r="S6" s="351"/>
      <c r="T6" s="358"/>
      <c r="U6" s="315"/>
      <c r="V6" s="316"/>
      <c r="W6" s="316"/>
      <c r="X6" s="316"/>
      <c r="Y6" s="316"/>
      <c r="Z6" s="317"/>
    </row>
    <row r="7" spans="1:26" ht="36.6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9" customHeight="1" x14ac:dyDescent="0.25">
      <c r="A8" s="188" t="s">
        <v>10</v>
      </c>
      <c r="B8" s="164" t="s">
        <v>11</v>
      </c>
      <c r="C8" s="161"/>
      <c r="D8" s="208"/>
      <c r="E8" s="208"/>
      <c r="F8" s="208"/>
      <c r="G8" s="208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84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305" t="s">
        <v>12</v>
      </c>
      <c r="C10" s="305"/>
      <c r="D10" s="305"/>
      <c r="E10" s="305"/>
      <c r="F10" s="305"/>
      <c r="G10" s="305"/>
      <c r="H10" s="348" t="s">
        <v>13</v>
      </c>
      <c r="I10" s="348"/>
      <c r="J10" s="348"/>
      <c r="K10" s="348"/>
      <c r="L10" s="348"/>
      <c r="M10" s="348"/>
      <c r="N10" s="305" t="s">
        <v>14</v>
      </c>
      <c r="O10" s="305"/>
      <c r="P10" s="305"/>
      <c r="Q10" s="305"/>
      <c r="R10" s="305"/>
      <c r="S10" s="332" t="s">
        <v>15</v>
      </c>
      <c r="T10" s="332"/>
      <c r="U10" s="332"/>
      <c r="V10" s="332"/>
      <c r="W10" s="332"/>
      <c r="X10" s="332"/>
      <c r="Y10" s="332"/>
      <c r="Z10" s="207"/>
    </row>
    <row r="11" spans="1:26" ht="15.9" customHeight="1" x14ac:dyDescent="0.25">
      <c r="A11" s="173"/>
      <c r="B11" s="305" t="s">
        <v>16</v>
      </c>
      <c r="C11" s="305"/>
      <c r="D11" s="305"/>
      <c r="E11" s="305"/>
      <c r="F11" s="305"/>
      <c r="G11" s="305"/>
      <c r="H11" s="348" t="s">
        <v>86</v>
      </c>
      <c r="I11" s="348"/>
      <c r="J11" s="348"/>
      <c r="K11" s="348"/>
      <c r="L11" s="348"/>
      <c r="M11" s="348"/>
      <c r="N11" s="305" t="s">
        <v>17</v>
      </c>
      <c r="O11" s="305"/>
      <c r="P11" s="305"/>
      <c r="Q11" s="305"/>
      <c r="R11" s="305"/>
      <c r="S11" s="332" t="s">
        <v>67</v>
      </c>
      <c r="T11" s="332"/>
      <c r="U11" s="332"/>
      <c r="V11" s="332"/>
      <c r="W11" s="332"/>
      <c r="X11" s="332"/>
      <c r="Y11" s="332"/>
      <c r="Z11" s="207"/>
    </row>
    <row r="12" spans="1:26" ht="15.9" customHeight="1" x14ac:dyDescent="0.25">
      <c r="A12" s="173"/>
      <c r="B12" s="305" t="s">
        <v>19</v>
      </c>
      <c r="C12" s="305"/>
      <c r="D12" s="305"/>
      <c r="E12" s="305"/>
      <c r="F12" s="305"/>
      <c r="G12" s="305"/>
      <c r="H12" s="348" t="s">
        <v>85</v>
      </c>
      <c r="I12" s="348"/>
      <c r="J12" s="348"/>
      <c r="K12" s="348"/>
      <c r="L12" s="348"/>
      <c r="M12" s="348"/>
      <c r="N12" s="305" t="s">
        <v>21</v>
      </c>
      <c r="O12" s="305"/>
      <c r="P12" s="305"/>
      <c r="Q12" s="305"/>
      <c r="R12" s="305"/>
      <c r="S12" s="332" t="s">
        <v>83</v>
      </c>
      <c r="T12" s="332"/>
      <c r="U12" s="332"/>
      <c r="V12" s="332"/>
      <c r="W12" s="332"/>
      <c r="X12" s="332"/>
      <c r="Y12" s="332"/>
      <c r="Z12" s="207"/>
    </row>
    <row r="13" spans="1:26" ht="8.25" customHeight="1" x14ac:dyDescent="0.25">
      <c r="A13" s="206"/>
      <c r="B13" s="169"/>
      <c r="C13" s="169"/>
      <c r="D13" s="205"/>
      <c r="E13" s="205"/>
      <c r="F13" s="205"/>
      <c r="G13" s="205"/>
      <c r="H13" s="169"/>
      <c r="I13" s="169"/>
      <c r="J13" s="169"/>
      <c r="K13" s="169"/>
      <c r="L13" s="169"/>
      <c r="M13" s="169"/>
      <c r="N13" s="204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202"/>
      <c r="C14" s="202"/>
      <c r="K14" s="203"/>
      <c r="L14" s="202"/>
      <c r="M14" s="201"/>
    </row>
    <row r="15" spans="1:26" s="141" customFormat="1" ht="15.6" customHeight="1" x14ac:dyDescent="0.25">
      <c r="A15" s="188" t="s">
        <v>23</v>
      </c>
      <c r="B15" s="200" t="s">
        <v>24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8"/>
    </row>
    <row r="16" spans="1:26" s="141" customFormat="1" ht="15" customHeight="1" x14ac:dyDescent="0.25">
      <c r="A16" s="195"/>
      <c r="B16" s="197"/>
      <c r="Z16" s="196"/>
    </row>
    <row r="17" spans="1:26" s="141" customFormat="1" ht="15" customHeight="1" x14ac:dyDescent="0.25">
      <c r="A17" s="195"/>
      <c r="B17" s="304" t="s">
        <v>25</v>
      </c>
      <c r="C17" s="304"/>
      <c r="D17" s="304"/>
      <c r="E17" s="304"/>
      <c r="F17" s="304"/>
      <c r="G17" s="304"/>
      <c r="H17" s="304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193"/>
    </row>
    <row r="18" spans="1:26" s="141" customFormat="1" ht="15" customHeight="1" x14ac:dyDescent="0.25">
      <c r="A18" s="195"/>
      <c r="B18" s="304" t="s">
        <v>26</v>
      </c>
      <c r="C18" s="304"/>
      <c r="D18" s="304"/>
      <c r="E18" s="304"/>
      <c r="F18" s="304"/>
      <c r="G18" s="304"/>
      <c r="H18" s="304"/>
      <c r="I18" s="402" t="s">
        <v>27</v>
      </c>
      <c r="J18" s="402"/>
      <c r="K18" s="194">
        <v>50</v>
      </c>
      <c r="L18" s="194" t="s">
        <v>28</v>
      </c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3"/>
    </row>
    <row r="19" spans="1:26" s="141" customFormat="1" ht="13.2" customHeight="1" x14ac:dyDescent="0.25">
      <c r="A19" s="192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0"/>
    </row>
    <row r="20" spans="1:26" ht="12.75" customHeight="1" x14ac:dyDescent="0.25">
      <c r="D20" s="140"/>
      <c r="E20" s="140"/>
      <c r="F20" s="140"/>
      <c r="G20" s="140"/>
      <c r="N20" s="189"/>
    </row>
    <row r="21" spans="1:26" ht="15.9" customHeight="1" x14ac:dyDescent="0.25">
      <c r="A21" s="188" t="s">
        <v>29</v>
      </c>
      <c r="B21" s="187" t="s">
        <v>30</v>
      </c>
      <c r="C21" s="185"/>
      <c r="D21" s="186"/>
      <c r="E21" s="186"/>
      <c r="F21" s="186"/>
      <c r="G21" s="186"/>
      <c r="H21" s="185"/>
      <c r="I21" s="185"/>
      <c r="J21" s="411" t="s">
        <v>31</v>
      </c>
      <c r="K21" s="411"/>
      <c r="L21" s="411"/>
      <c r="M21" s="411"/>
      <c r="N21" s="411"/>
      <c r="O21" s="411"/>
      <c r="P21" s="411"/>
      <c r="Q21" s="182">
        <v>600</v>
      </c>
      <c r="R21" s="161"/>
      <c r="S21" s="161"/>
      <c r="T21" s="161"/>
      <c r="U21" s="161"/>
      <c r="V21" s="161"/>
      <c r="W21" s="161"/>
      <c r="X21" s="161"/>
      <c r="Y21" s="161"/>
      <c r="Z21" s="184"/>
    </row>
    <row r="22" spans="1:26" ht="12.75" customHeight="1" x14ac:dyDescent="0.25">
      <c r="A22" s="173"/>
      <c r="B22" s="183"/>
      <c r="Z22" s="172"/>
    </row>
    <row r="23" spans="1:26" ht="15.75" customHeight="1" x14ac:dyDescent="0.25">
      <c r="A23" s="173"/>
      <c r="B23" s="409" t="s">
        <v>32</v>
      </c>
      <c r="C23" s="333" t="s">
        <v>33</v>
      </c>
      <c r="D23" s="333"/>
      <c r="E23" s="333"/>
      <c r="F23" s="333"/>
      <c r="G23" s="334"/>
      <c r="H23" s="406" t="s">
        <v>34</v>
      </c>
      <c r="I23" s="407"/>
      <c r="J23" s="408"/>
      <c r="K23" s="333" t="s">
        <v>35</v>
      </c>
      <c r="L23" s="333"/>
      <c r="M23" s="333"/>
      <c r="N23" s="333"/>
      <c r="O23" s="333"/>
      <c r="P23" s="334"/>
      <c r="Z23" s="172"/>
    </row>
    <row r="24" spans="1:26" ht="15.75" customHeight="1" x14ac:dyDescent="0.25">
      <c r="A24" s="173"/>
      <c r="B24" s="410"/>
      <c r="C24" s="335"/>
      <c r="D24" s="335"/>
      <c r="E24" s="335"/>
      <c r="F24" s="335"/>
      <c r="G24" s="336"/>
      <c r="H24" s="403" t="s">
        <v>36</v>
      </c>
      <c r="I24" s="404"/>
      <c r="J24" s="405"/>
      <c r="K24" s="335"/>
      <c r="L24" s="335"/>
      <c r="M24" s="335"/>
      <c r="N24" s="335"/>
      <c r="O24" s="335"/>
      <c r="P24" s="336"/>
      <c r="Z24" s="172"/>
    </row>
    <row r="25" spans="1:26" ht="19.5" customHeight="1" x14ac:dyDescent="0.25">
      <c r="A25" s="173"/>
      <c r="B25" s="181">
        <v>1</v>
      </c>
      <c r="C25" s="318"/>
      <c r="D25" s="319"/>
      <c r="E25" s="319"/>
      <c r="F25" s="319"/>
      <c r="G25" s="320"/>
      <c r="H25" s="359">
        <v>77</v>
      </c>
      <c r="I25" s="360"/>
      <c r="J25" s="361"/>
      <c r="K25" s="318"/>
      <c r="L25" s="319"/>
      <c r="M25" s="319"/>
      <c r="N25" s="319"/>
      <c r="O25" s="319"/>
      <c r="P25" s="320"/>
      <c r="Z25" s="172"/>
    </row>
    <row r="26" spans="1:26" ht="19.5" customHeight="1" x14ac:dyDescent="0.25">
      <c r="A26" s="173"/>
      <c r="B26" s="181">
        <v>2</v>
      </c>
      <c r="C26" s="318"/>
      <c r="D26" s="319"/>
      <c r="E26" s="319"/>
      <c r="F26" s="319"/>
      <c r="G26" s="320"/>
      <c r="H26" s="359">
        <v>102</v>
      </c>
      <c r="I26" s="360"/>
      <c r="J26" s="361"/>
      <c r="K26" s="318"/>
      <c r="L26" s="319"/>
      <c r="M26" s="319"/>
      <c r="N26" s="319"/>
      <c r="O26" s="319"/>
      <c r="P26" s="320"/>
      <c r="Z26" s="172"/>
    </row>
    <row r="27" spans="1:26" ht="19.5" customHeight="1" x14ac:dyDescent="0.25">
      <c r="A27" s="173"/>
      <c r="B27" s="181">
        <v>3</v>
      </c>
      <c r="C27" s="318"/>
      <c r="D27" s="319"/>
      <c r="E27" s="319"/>
      <c r="F27" s="319"/>
      <c r="G27" s="320"/>
      <c r="H27" s="359">
        <v>74</v>
      </c>
      <c r="I27" s="360"/>
      <c r="J27" s="361"/>
      <c r="K27" s="318"/>
      <c r="L27" s="319"/>
      <c r="M27" s="319"/>
      <c r="N27" s="319"/>
      <c r="O27" s="319"/>
      <c r="P27" s="320"/>
      <c r="Z27" s="172"/>
    </row>
    <row r="28" spans="1:26" ht="19.5" customHeight="1" x14ac:dyDescent="0.25">
      <c r="A28" s="173"/>
      <c r="B28" s="181">
        <v>4</v>
      </c>
      <c r="C28" s="318"/>
      <c r="D28" s="319"/>
      <c r="E28" s="319"/>
      <c r="F28" s="319"/>
      <c r="G28" s="320"/>
      <c r="H28" s="359">
        <v>89</v>
      </c>
      <c r="I28" s="360"/>
      <c r="J28" s="361"/>
      <c r="K28" s="318"/>
      <c r="L28" s="319"/>
      <c r="M28" s="319"/>
      <c r="N28" s="319"/>
      <c r="O28" s="319"/>
      <c r="P28" s="320"/>
      <c r="Z28" s="172"/>
    </row>
    <row r="29" spans="1:26" ht="19.5" customHeight="1" x14ac:dyDescent="0.25">
      <c r="A29" s="173"/>
      <c r="B29" s="181">
        <v>5</v>
      </c>
      <c r="C29" s="318"/>
      <c r="D29" s="319"/>
      <c r="E29" s="319"/>
      <c r="F29" s="319"/>
      <c r="G29" s="320"/>
      <c r="H29" s="359">
        <v>128</v>
      </c>
      <c r="I29" s="360"/>
      <c r="J29" s="361"/>
      <c r="K29" s="318"/>
      <c r="L29" s="319"/>
      <c r="M29" s="319"/>
      <c r="N29" s="319"/>
      <c r="O29" s="319"/>
      <c r="P29" s="320"/>
      <c r="Z29" s="172"/>
    </row>
    <row r="30" spans="1:26" ht="19.5" customHeight="1" x14ac:dyDescent="0.25">
      <c r="A30" s="173"/>
      <c r="B30" s="181">
        <v>6</v>
      </c>
      <c r="C30" s="318"/>
      <c r="D30" s="319"/>
      <c r="E30" s="319"/>
      <c r="F30" s="319"/>
      <c r="G30" s="320"/>
      <c r="H30" s="359">
        <v>119</v>
      </c>
      <c r="I30" s="360"/>
      <c r="J30" s="361"/>
      <c r="K30" s="318"/>
      <c r="L30" s="319"/>
      <c r="M30" s="319"/>
      <c r="N30" s="319"/>
      <c r="O30" s="319"/>
      <c r="P30" s="320"/>
      <c r="Z30" s="172"/>
    </row>
    <row r="31" spans="1:26" ht="19.5" customHeight="1" x14ac:dyDescent="0.25">
      <c r="A31" s="173"/>
      <c r="B31" s="181">
        <v>7</v>
      </c>
      <c r="C31" s="318"/>
      <c r="D31" s="319"/>
      <c r="E31" s="319"/>
      <c r="F31" s="319"/>
      <c r="G31" s="320"/>
      <c r="H31" s="359">
        <v>71</v>
      </c>
      <c r="I31" s="360"/>
      <c r="J31" s="361"/>
      <c r="K31" s="318"/>
      <c r="L31" s="319"/>
      <c r="M31" s="319"/>
      <c r="N31" s="319"/>
      <c r="O31" s="319"/>
      <c r="P31" s="320"/>
      <c r="Z31" s="172"/>
    </row>
    <row r="32" spans="1:26" ht="19.5" customHeight="1" x14ac:dyDescent="0.25">
      <c r="A32" s="173"/>
      <c r="B32" s="181">
        <v>8</v>
      </c>
      <c r="C32" s="318"/>
      <c r="D32" s="319"/>
      <c r="E32" s="319"/>
      <c r="F32" s="319"/>
      <c r="G32" s="320"/>
      <c r="H32" s="359">
        <v>107</v>
      </c>
      <c r="I32" s="360"/>
      <c r="J32" s="361"/>
      <c r="K32" s="318"/>
      <c r="L32" s="319"/>
      <c r="M32" s="319"/>
      <c r="N32" s="319"/>
      <c r="O32" s="319"/>
      <c r="P32" s="320"/>
      <c r="Z32" s="172"/>
    </row>
    <row r="33" spans="1:26" ht="19.5" customHeight="1" x14ac:dyDescent="0.25">
      <c r="A33" s="173"/>
      <c r="B33" s="181">
        <v>9</v>
      </c>
      <c r="C33" s="318"/>
      <c r="D33" s="319"/>
      <c r="E33" s="319"/>
      <c r="F33" s="319"/>
      <c r="G33" s="320"/>
      <c r="H33" s="359">
        <v>65</v>
      </c>
      <c r="I33" s="360"/>
      <c r="J33" s="361"/>
      <c r="K33" s="318"/>
      <c r="L33" s="319"/>
      <c r="M33" s="319"/>
      <c r="N33" s="319"/>
      <c r="O33" s="319"/>
      <c r="P33" s="320"/>
      <c r="Z33" s="172"/>
    </row>
    <row r="34" spans="1:26" ht="19.5" customHeight="1" x14ac:dyDescent="0.25">
      <c r="A34" s="173"/>
      <c r="B34" s="181">
        <v>10</v>
      </c>
      <c r="C34" s="318"/>
      <c r="D34" s="319"/>
      <c r="E34" s="319"/>
      <c r="F34" s="319"/>
      <c r="G34" s="320"/>
      <c r="H34" s="359">
        <v>86</v>
      </c>
      <c r="I34" s="360"/>
      <c r="J34" s="361"/>
      <c r="K34" s="318"/>
      <c r="L34" s="319"/>
      <c r="M34" s="319"/>
      <c r="N34" s="319"/>
      <c r="O34" s="319"/>
      <c r="P34" s="320"/>
      <c r="Z34" s="172"/>
    </row>
    <row r="35" spans="1:26" ht="19.5" customHeight="1" x14ac:dyDescent="0.25">
      <c r="A35" s="173"/>
      <c r="B35" s="181">
        <v>11</v>
      </c>
      <c r="C35" s="318"/>
      <c r="D35" s="319"/>
      <c r="E35" s="319"/>
      <c r="F35" s="319"/>
      <c r="G35" s="320"/>
      <c r="H35" s="359">
        <v>140</v>
      </c>
      <c r="I35" s="360"/>
      <c r="J35" s="361"/>
      <c r="K35" s="318"/>
      <c r="L35" s="319"/>
      <c r="M35" s="319"/>
      <c r="N35" s="319"/>
      <c r="O35" s="319"/>
      <c r="P35" s="320"/>
      <c r="Z35" s="172"/>
    </row>
    <row r="36" spans="1:26" ht="19.5" customHeight="1" x14ac:dyDescent="0.25">
      <c r="A36" s="173"/>
      <c r="B36" s="181">
        <v>12</v>
      </c>
      <c r="C36" s="318"/>
      <c r="D36" s="319"/>
      <c r="E36" s="319"/>
      <c r="F36" s="319"/>
      <c r="G36" s="320"/>
      <c r="H36" s="359">
        <v>87</v>
      </c>
      <c r="I36" s="360"/>
      <c r="J36" s="361"/>
      <c r="K36" s="318"/>
      <c r="L36" s="319"/>
      <c r="M36" s="319"/>
      <c r="N36" s="319"/>
      <c r="O36" s="319"/>
      <c r="P36" s="320"/>
      <c r="Z36" s="172"/>
    </row>
    <row r="37" spans="1:26" ht="19.5" customHeight="1" x14ac:dyDescent="0.25">
      <c r="A37" s="173"/>
      <c r="B37" s="181">
        <v>13</v>
      </c>
      <c r="C37" s="318"/>
      <c r="D37" s="319"/>
      <c r="E37" s="319"/>
      <c r="F37" s="319"/>
      <c r="G37" s="320"/>
      <c r="H37" s="359">
        <v>105</v>
      </c>
      <c r="I37" s="360"/>
      <c r="J37" s="361"/>
      <c r="K37" s="318"/>
      <c r="L37" s="319"/>
      <c r="M37" s="319"/>
      <c r="N37" s="319"/>
      <c r="O37" s="319"/>
      <c r="P37" s="320"/>
      <c r="Z37" s="172"/>
    </row>
    <row r="38" spans="1:26" ht="19.5" customHeight="1" x14ac:dyDescent="0.25">
      <c r="A38" s="173"/>
      <c r="B38" s="181">
        <v>14</v>
      </c>
      <c r="C38" s="318"/>
      <c r="D38" s="319"/>
      <c r="E38" s="319"/>
      <c r="F38" s="319"/>
      <c r="G38" s="320"/>
      <c r="H38" s="359">
        <v>93</v>
      </c>
      <c r="I38" s="360"/>
      <c r="J38" s="361"/>
      <c r="K38" s="318"/>
      <c r="L38" s="319"/>
      <c r="M38" s="319"/>
      <c r="N38" s="319"/>
      <c r="O38" s="319"/>
      <c r="P38" s="320"/>
      <c r="Z38" s="172"/>
    </row>
    <row r="39" spans="1:26" ht="19.5" customHeight="1" x14ac:dyDescent="0.25">
      <c r="A39" s="173"/>
      <c r="B39" s="181">
        <v>15</v>
      </c>
      <c r="C39" s="318"/>
      <c r="D39" s="319"/>
      <c r="E39" s="319"/>
      <c r="F39" s="319"/>
      <c r="G39" s="320"/>
      <c r="H39" s="359">
        <v>64</v>
      </c>
      <c r="I39" s="360"/>
      <c r="J39" s="361"/>
      <c r="K39" s="318"/>
      <c r="L39" s="319"/>
      <c r="M39" s="319"/>
      <c r="N39" s="319"/>
      <c r="O39" s="319"/>
      <c r="P39" s="320"/>
      <c r="Z39" s="172"/>
    </row>
    <row r="40" spans="1:26" ht="19.5" customHeight="1" x14ac:dyDescent="0.25">
      <c r="A40" s="173"/>
      <c r="B40" s="181">
        <v>16</v>
      </c>
      <c r="C40" s="318"/>
      <c r="D40" s="319"/>
      <c r="E40" s="319"/>
      <c r="F40" s="319"/>
      <c r="G40" s="320"/>
      <c r="H40" s="359">
        <v>71</v>
      </c>
      <c r="I40" s="360"/>
      <c r="J40" s="361"/>
      <c r="K40" s="318"/>
      <c r="L40" s="319"/>
      <c r="M40" s="319"/>
      <c r="N40" s="319"/>
      <c r="O40" s="319"/>
      <c r="P40" s="320"/>
      <c r="Z40" s="172"/>
    </row>
    <row r="41" spans="1:26" ht="19.5" customHeight="1" x14ac:dyDescent="0.25">
      <c r="A41" s="173"/>
      <c r="B41" s="181">
        <v>17</v>
      </c>
      <c r="C41" s="552" t="s">
        <v>84</v>
      </c>
      <c r="D41" s="553"/>
      <c r="E41" s="553"/>
      <c r="F41" s="553"/>
      <c r="G41" s="554"/>
      <c r="H41" s="359">
        <v>55</v>
      </c>
      <c r="I41" s="360"/>
      <c r="J41" s="361"/>
      <c r="K41" s="544" t="s">
        <v>45</v>
      </c>
      <c r="L41" s="545"/>
      <c r="M41" s="545"/>
      <c r="N41" s="545"/>
      <c r="O41" s="545"/>
      <c r="P41" s="546"/>
      <c r="Z41" s="172"/>
    </row>
    <row r="42" spans="1:26" ht="19.5" customHeight="1" x14ac:dyDescent="0.25">
      <c r="A42" s="173"/>
      <c r="B42" s="181">
        <v>18</v>
      </c>
      <c r="C42" s="328"/>
      <c r="D42" s="329"/>
      <c r="E42" s="329"/>
      <c r="F42" s="329"/>
      <c r="G42" s="555"/>
      <c r="H42" s="359">
        <v>52</v>
      </c>
      <c r="I42" s="360"/>
      <c r="J42" s="361"/>
      <c r="K42" s="547"/>
      <c r="L42" s="332"/>
      <c r="M42" s="332"/>
      <c r="N42" s="332"/>
      <c r="O42" s="332"/>
      <c r="P42" s="548"/>
      <c r="Z42" s="172"/>
    </row>
    <row r="43" spans="1:26" ht="19.5" customHeight="1" x14ac:dyDescent="0.25">
      <c r="A43" s="173"/>
      <c r="B43" s="181">
        <v>19</v>
      </c>
      <c r="C43" s="328"/>
      <c r="D43" s="329"/>
      <c r="E43" s="329"/>
      <c r="F43" s="329"/>
      <c r="G43" s="555"/>
      <c r="H43" s="359">
        <v>42</v>
      </c>
      <c r="I43" s="360"/>
      <c r="J43" s="361"/>
      <c r="K43" s="547"/>
      <c r="L43" s="332"/>
      <c r="M43" s="332"/>
      <c r="N43" s="332"/>
      <c r="O43" s="332"/>
      <c r="P43" s="548"/>
      <c r="Z43" s="172"/>
    </row>
    <row r="44" spans="1:26" ht="19.5" customHeight="1" x14ac:dyDescent="0.25">
      <c r="A44" s="173"/>
      <c r="B44" s="181">
        <v>20</v>
      </c>
      <c r="C44" s="328"/>
      <c r="D44" s="329"/>
      <c r="E44" s="329"/>
      <c r="F44" s="329"/>
      <c r="G44" s="555"/>
      <c r="H44" s="359">
        <v>45</v>
      </c>
      <c r="I44" s="360"/>
      <c r="J44" s="361"/>
      <c r="K44" s="547"/>
      <c r="L44" s="332"/>
      <c r="M44" s="332"/>
      <c r="N44" s="332"/>
      <c r="O44" s="332"/>
      <c r="P44" s="548"/>
      <c r="Z44" s="172"/>
    </row>
    <row r="45" spans="1:26" ht="19.5" customHeight="1" x14ac:dyDescent="0.25">
      <c r="A45" s="173"/>
      <c r="B45" s="181">
        <v>21</v>
      </c>
      <c r="C45" s="556"/>
      <c r="D45" s="557"/>
      <c r="E45" s="557"/>
      <c r="F45" s="557"/>
      <c r="G45" s="558"/>
      <c r="H45" s="359">
        <v>34</v>
      </c>
      <c r="I45" s="360"/>
      <c r="J45" s="361"/>
      <c r="K45" s="549"/>
      <c r="L45" s="550"/>
      <c r="M45" s="550"/>
      <c r="N45" s="550"/>
      <c r="O45" s="550"/>
      <c r="P45" s="551"/>
      <c r="Z45" s="172"/>
    </row>
    <row r="46" spans="1:26" ht="19.5" customHeight="1" x14ac:dyDescent="0.25">
      <c r="A46" s="173"/>
      <c r="B46" s="210"/>
      <c r="C46" s="177"/>
      <c r="D46" s="176"/>
      <c r="E46" s="176"/>
      <c r="F46" s="176"/>
      <c r="G46" s="175"/>
      <c r="H46" s="180"/>
      <c r="I46" s="179"/>
      <c r="J46" s="178"/>
      <c r="K46" s="177"/>
      <c r="L46" s="176"/>
      <c r="M46" s="176"/>
      <c r="N46" s="176"/>
      <c r="O46" s="176"/>
      <c r="P46" s="175"/>
      <c r="Z46" s="172"/>
    </row>
    <row r="47" spans="1:26" ht="19.5" customHeight="1" x14ac:dyDescent="0.25">
      <c r="A47" s="173"/>
      <c r="B47" s="210"/>
      <c r="C47" s="177"/>
      <c r="D47" s="176"/>
      <c r="E47" s="176"/>
      <c r="F47" s="176"/>
      <c r="G47" s="175"/>
      <c r="H47" s="180"/>
      <c r="I47" s="179"/>
      <c r="J47" s="178"/>
      <c r="K47" s="177"/>
      <c r="L47" s="176"/>
      <c r="M47" s="176"/>
      <c r="N47" s="176"/>
      <c r="O47" s="176"/>
      <c r="P47" s="175"/>
      <c r="Z47" s="172"/>
    </row>
    <row r="48" spans="1:26" ht="19.5" customHeight="1" x14ac:dyDescent="0.25">
      <c r="A48" s="173"/>
      <c r="B48" s="210"/>
      <c r="C48" s="177"/>
      <c r="D48" s="176"/>
      <c r="E48" s="176"/>
      <c r="F48" s="176"/>
      <c r="G48" s="175"/>
      <c r="H48" s="180"/>
      <c r="I48" s="179"/>
      <c r="J48" s="178"/>
      <c r="K48" s="177"/>
      <c r="L48" s="176"/>
      <c r="M48" s="176"/>
      <c r="N48" s="176"/>
      <c r="O48" s="176"/>
      <c r="P48" s="175"/>
      <c r="Z48" s="172"/>
    </row>
    <row r="49" spans="1:26" ht="19.5" customHeight="1" x14ac:dyDescent="0.25">
      <c r="A49" s="173"/>
      <c r="B49" s="210"/>
      <c r="C49" s="177"/>
      <c r="D49" s="176"/>
      <c r="E49" s="176"/>
      <c r="F49" s="176"/>
      <c r="G49" s="175"/>
      <c r="H49" s="180"/>
      <c r="I49" s="179"/>
      <c r="J49" s="178"/>
      <c r="K49" s="177"/>
      <c r="L49" s="176"/>
      <c r="M49" s="176"/>
      <c r="N49" s="176"/>
      <c r="O49" s="176"/>
      <c r="P49" s="175"/>
      <c r="Z49" s="172"/>
    </row>
    <row r="50" spans="1:26" ht="19.5" customHeight="1" x14ac:dyDescent="0.25">
      <c r="A50" s="173"/>
      <c r="B50" s="210"/>
      <c r="C50" s="177"/>
      <c r="D50" s="176"/>
      <c r="E50" s="176"/>
      <c r="F50" s="176"/>
      <c r="G50" s="175"/>
      <c r="H50" s="180"/>
      <c r="I50" s="179"/>
      <c r="J50" s="178"/>
      <c r="K50" s="177"/>
      <c r="L50" s="176"/>
      <c r="M50" s="176"/>
      <c r="N50" s="176"/>
      <c r="O50" s="176"/>
      <c r="P50" s="175"/>
      <c r="Z50" s="172"/>
    </row>
    <row r="51" spans="1:26" ht="19.5" customHeight="1" x14ac:dyDescent="0.25">
      <c r="A51" s="173"/>
      <c r="B51" s="210"/>
      <c r="C51" s="177"/>
      <c r="D51" s="176"/>
      <c r="E51" s="176"/>
      <c r="F51" s="176"/>
      <c r="G51" s="175"/>
      <c r="H51" s="180"/>
      <c r="I51" s="179"/>
      <c r="J51" s="178"/>
      <c r="K51" s="177"/>
      <c r="L51" s="176"/>
      <c r="M51" s="176"/>
      <c r="N51" s="176"/>
      <c r="O51" s="176"/>
      <c r="P51" s="175"/>
      <c r="Z51" s="172"/>
    </row>
    <row r="52" spans="1:26" ht="19.5" customHeight="1" x14ac:dyDescent="0.25">
      <c r="A52" s="173"/>
      <c r="B52" s="210"/>
      <c r="C52" s="177"/>
      <c r="D52" s="176"/>
      <c r="E52" s="176"/>
      <c r="F52" s="176"/>
      <c r="G52" s="175"/>
      <c r="H52" s="180"/>
      <c r="I52" s="179"/>
      <c r="J52" s="178"/>
      <c r="K52" s="177"/>
      <c r="L52" s="176"/>
      <c r="M52" s="176"/>
      <c r="N52" s="176"/>
      <c r="O52" s="176"/>
      <c r="P52" s="175"/>
      <c r="Z52" s="172"/>
    </row>
    <row r="53" spans="1:26" ht="19.5" customHeight="1" x14ac:dyDescent="0.25">
      <c r="A53" s="173"/>
      <c r="B53" s="210"/>
      <c r="C53" s="177"/>
      <c r="D53" s="176"/>
      <c r="E53" s="176"/>
      <c r="F53" s="176"/>
      <c r="G53" s="175"/>
      <c r="H53" s="180"/>
      <c r="I53" s="179"/>
      <c r="J53" s="178"/>
      <c r="K53" s="177"/>
      <c r="L53" s="176"/>
      <c r="M53" s="176"/>
      <c r="N53" s="176"/>
      <c r="O53" s="176"/>
      <c r="P53" s="175"/>
      <c r="Z53" s="172"/>
    </row>
    <row r="54" spans="1:26" ht="19.5" customHeight="1" thickBot="1" x14ac:dyDescent="0.3">
      <c r="A54" s="173"/>
      <c r="B54" s="174"/>
      <c r="C54" s="538"/>
      <c r="D54" s="539"/>
      <c r="E54" s="539"/>
      <c r="F54" s="539"/>
      <c r="G54" s="540"/>
      <c r="H54" s="541"/>
      <c r="I54" s="542"/>
      <c r="J54" s="543"/>
      <c r="K54" s="538"/>
      <c r="L54" s="539"/>
      <c r="M54" s="539"/>
      <c r="N54" s="539"/>
      <c r="O54" s="539"/>
      <c r="P54" s="540"/>
      <c r="Z54" s="172"/>
    </row>
    <row r="55" spans="1:26" ht="15.75" customHeight="1" x14ac:dyDescent="0.25">
      <c r="A55" s="173"/>
      <c r="B55" s="393" t="s">
        <v>37</v>
      </c>
      <c r="C55" s="394"/>
      <c r="D55" s="394"/>
      <c r="E55" s="394"/>
      <c r="F55" s="394"/>
      <c r="G55" s="395"/>
      <c r="H55" s="399">
        <f>AVERAGE(H25:J54)</f>
        <v>81.238095238095241</v>
      </c>
      <c r="I55" s="400"/>
      <c r="J55" s="401"/>
      <c r="K55" s="326"/>
      <c r="L55" s="327"/>
      <c r="M55" s="321" t="s">
        <v>38</v>
      </c>
      <c r="N55" s="321"/>
      <c r="O55" s="321"/>
      <c r="P55" s="322"/>
      <c r="Z55" s="172"/>
    </row>
    <row r="56" spans="1:26" ht="15.75" customHeight="1" x14ac:dyDescent="0.25">
      <c r="A56" s="173"/>
      <c r="B56" s="387" t="s">
        <v>39</v>
      </c>
      <c r="C56" s="388"/>
      <c r="D56" s="388"/>
      <c r="E56" s="388"/>
      <c r="F56" s="388"/>
      <c r="G56" s="389"/>
      <c r="H56" s="301">
        <f>IF(COUNTIF(H25:J54,"*&lt;20*"),"&lt;20",MIN(H25:J54))</f>
        <v>34</v>
      </c>
      <c r="I56" s="302"/>
      <c r="J56" s="303"/>
      <c r="K56" s="328"/>
      <c r="L56" s="329"/>
      <c r="M56" s="294"/>
      <c r="N56" s="294"/>
      <c r="O56" s="294"/>
      <c r="P56" s="323"/>
      <c r="Z56" s="172"/>
    </row>
    <row r="57" spans="1:26" ht="15.75" customHeight="1" thickBot="1" x14ac:dyDescent="0.3">
      <c r="A57" s="173"/>
      <c r="B57" s="390" t="s">
        <v>40</v>
      </c>
      <c r="C57" s="391"/>
      <c r="D57" s="391"/>
      <c r="E57" s="391"/>
      <c r="F57" s="391"/>
      <c r="G57" s="392"/>
      <c r="H57" s="396">
        <f>IF(COUNTIF(H25:J54,"*&gt;250*"),"&gt;250",MAX(H25:J54))</f>
        <v>140</v>
      </c>
      <c r="I57" s="397"/>
      <c r="J57" s="398"/>
      <c r="K57" s="330"/>
      <c r="L57" s="331"/>
      <c r="M57" s="324"/>
      <c r="N57" s="324"/>
      <c r="O57" s="324"/>
      <c r="P57" s="325"/>
      <c r="Z57" s="172"/>
    </row>
    <row r="58" spans="1:26" ht="15.9" customHeight="1" x14ac:dyDescent="0.25">
      <c r="A58" s="171"/>
      <c r="B58" s="170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8"/>
    </row>
    <row r="59" spans="1:26" ht="12.75" customHeight="1" x14ac:dyDescent="0.25">
      <c r="A59" s="167"/>
      <c r="B59" s="166"/>
    </row>
    <row r="60" spans="1:26" s="141" customFormat="1" ht="15.6" customHeight="1" x14ac:dyDescent="0.25">
      <c r="A60" s="165" t="s">
        <v>41</v>
      </c>
      <c r="B60" s="164" t="s">
        <v>42</v>
      </c>
      <c r="C60" s="163"/>
      <c r="D60" s="163"/>
      <c r="E60" s="163"/>
      <c r="F60" s="162"/>
      <c r="G60" s="162"/>
      <c r="H60" s="162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0"/>
      <c r="V60" s="159"/>
      <c r="W60" s="159"/>
      <c r="X60" s="158"/>
      <c r="Y60" s="158"/>
      <c r="Z60" s="157"/>
    </row>
    <row r="61" spans="1:26" s="141" customFormat="1" ht="28.5" customHeight="1" x14ac:dyDescent="0.25">
      <c r="A61" s="306" t="s">
        <v>43</v>
      </c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8"/>
      <c r="R61" s="286" t="s">
        <v>44</v>
      </c>
      <c r="S61" s="287"/>
      <c r="T61" s="288"/>
      <c r="U61" s="276" t="s">
        <v>13</v>
      </c>
      <c r="V61" s="277"/>
      <c r="W61" s="277"/>
      <c r="X61" s="278"/>
      <c r="Y61" s="278"/>
      <c r="Z61" s="279"/>
    </row>
    <row r="62" spans="1:26" s="141" customFormat="1" ht="15.6" customHeight="1" x14ac:dyDescent="0.25">
      <c r="A62" s="280" t="s">
        <v>53</v>
      </c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2"/>
      <c r="R62" s="286" t="s">
        <v>46</v>
      </c>
      <c r="S62" s="287"/>
      <c r="T62" s="288"/>
      <c r="U62" s="289" t="s">
        <v>47</v>
      </c>
      <c r="V62" s="290"/>
      <c r="W62" s="290"/>
      <c r="X62" s="291"/>
      <c r="Y62" s="291"/>
      <c r="Z62" s="292"/>
    </row>
    <row r="63" spans="1:26" s="141" customFormat="1" ht="15.6" customHeight="1" x14ac:dyDescent="0.25">
      <c r="A63" s="283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5"/>
      <c r="R63" s="286"/>
      <c r="S63" s="287"/>
      <c r="T63" s="288"/>
      <c r="U63" s="293"/>
      <c r="V63" s="294"/>
      <c r="W63" s="294"/>
      <c r="X63" s="295"/>
      <c r="Y63" s="295"/>
      <c r="Z63" s="296"/>
    </row>
    <row r="64" spans="1:26" s="141" customFormat="1" ht="15.6" customHeight="1" x14ac:dyDescent="0.25">
      <c r="A64" s="156" t="s">
        <v>48</v>
      </c>
      <c r="B64" s="155" t="s">
        <v>49</v>
      </c>
      <c r="C64" s="139"/>
      <c r="D64" s="139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3"/>
      <c r="R64" s="286"/>
      <c r="S64" s="287"/>
      <c r="T64" s="288"/>
      <c r="U64" s="297"/>
      <c r="V64" s="298"/>
      <c r="W64" s="298"/>
      <c r="X64" s="299"/>
      <c r="Y64" s="299"/>
      <c r="Z64" s="300"/>
    </row>
    <row r="65" spans="1:26" s="141" customFormat="1" ht="15.6" customHeight="1" x14ac:dyDescent="0.25">
      <c r="A65" s="378" t="s">
        <v>87</v>
      </c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80"/>
      <c r="R65" s="286" t="s">
        <v>50</v>
      </c>
      <c r="S65" s="287"/>
      <c r="T65" s="288"/>
      <c r="U65" s="152"/>
      <c r="V65" s="151"/>
      <c r="W65" s="151"/>
      <c r="X65" s="151"/>
      <c r="Y65" s="151"/>
      <c r="Z65" s="150"/>
    </row>
    <row r="66" spans="1:26" s="141" customFormat="1" ht="15.6" customHeight="1" x14ac:dyDescent="0.25">
      <c r="A66" s="378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80"/>
      <c r="R66" s="286"/>
      <c r="S66" s="287"/>
      <c r="T66" s="288"/>
      <c r="U66" s="149"/>
      <c r="V66" s="294"/>
      <c r="W66" s="294"/>
      <c r="X66" s="294"/>
      <c r="Y66" s="294"/>
      <c r="Z66" s="148"/>
    </row>
    <row r="67" spans="1:26" s="141" customFormat="1" ht="15.6" customHeight="1" x14ac:dyDescent="0.25">
      <c r="A67" s="378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80"/>
      <c r="R67" s="286"/>
      <c r="S67" s="287"/>
      <c r="T67" s="288"/>
      <c r="U67" s="149"/>
      <c r="V67" s="294"/>
      <c r="W67" s="294"/>
      <c r="X67" s="294"/>
      <c r="Y67" s="294"/>
      <c r="Z67" s="148"/>
    </row>
    <row r="68" spans="1:26" s="141" customFormat="1" ht="15.6" customHeight="1" x14ac:dyDescent="0.25">
      <c r="A68" s="381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383"/>
      <c r="R68" s="384"/>
      <c r="S68" s="385"/>
      <c r="T68" s="386"/>
      <c r="U68" s="147"/>
      <c r="V68" s="146"/>
      <c r="W68" s="146"/>
      <c r="X68" s="146"/>
      <c r="Y68" s="146"/>
      <c r="Z68" s="145"/>
    </row>
    <row r="69" spans="1:26" s="141" customFormat="1" ht="15" customHeight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3"/>
      <c r="S69" s="143"/>
      <c r="T69" s="143"/>
      <c r="U69" s="142"/>
      <c r="V69" s="142"/>
      <c r="W69" s="142"/>
      <c r="X69" s="142"/>
      <c r="Y69" s="142"/>
      <c r="Z69" s="142"/>
    </row>
    <row r="71" spans="1:26" ht="12.75" customHeight="1" x14ac:dyDescent="0.25">
      <c r="A71" s="139"/>
    </row>
    <row r="72" spans="1:26" ht="12.75" customHeight="1" x14ac:dyDescent="0.25">
      <c r="A72" s="139"/>
    </row>
    <row r="73" spans="1:26" ht="12.75" customHeight="1" x14ac:dyDescent="0.25">
      <c r="A73" s="139"/>
    </row>
    <row r="74" spans="1:26" ht="12.75" customHeight="1" x14ac:dyDescent="0.25">
      <c r="A74" s="139"/>
    </row>
    <row r="75" spans="1:26" ht="12.75" customHeight="1" x14ac:dyDescent="0.25">
      <c r="A75" s="139"/>
    </row>
    <row r="76" spans="1:26" ht="12.75" customHeight="1" x14ac:dyDescent="0.25">
      <c r="A76" s="139"/>
    </row>
  </sheetData>
  <sheetProtection formatCells="0" formatColumns="0" formatRows="0" insertColumns="0" insertRows="0" insertHyperlinks="0" deleteColumns="0" deleteRows="0" selectLockedCells="1" sort="0" autoFilter="0" pivotTables="0"/>
  <mergeCells count="110">
    <mergeCell ref="A62:Q63"/>
    <mergeCell ref="R62:T64"/>
    <mergeCell ref="U62:Z64"/>
    <mergeCell ref="K41:P45"/>
    <mergeCell ref="C41:G45"/>
    <mergeCell ref="H56:J56"/>
    <mergeCell ref="B17:H17"/>
    <mergeCell ref="B12:G12"/>
    <mergeCell ref="C29:G29"/>
    <mergeCell ref="H29:J29"/>
    <mergeCell ref="K29:P29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H41:J41"/>
    <mergeCell ref="A61:Q61"/>
    <mergeCell ref="R61:T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K28:P28"/>
    <mergeCell ref="U61:Z61"/>
    <mergeCell ref="C36:G36"/>
    <mergeCell ref="H36:J36"/>
    <mergeCell ref="K36:P36"/>
    <mergeCell ref="C37:G37"/>
    <mergeCell ref="A1:F6"/>
    <mergeCell ref="G1:T1"/>
    <mergeCell ref="B10:G10"/>
    <mergeCell ref="S10:Y10"/>
    <mergeCell ref="N10:R10"/>
    <mergeCell ref="G2:T4"/>
    <mergeCell ref="N12:R12"/>
    <mergeCell ref="H12:M12"/>
    <mergeCell ref="H11:M11"/>
    <mergeCell ref="N11:R11"/>
    <mergeCell ref="B11:G11"/>
    <mergeCell ref="H33:J33"/>
    <mergeCell ref="K33:P33"/>
    <mergeCell ref="C34:G34"/>
    <mergeCell ref="H34:J34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H55:J55"/>
    <mergeCell ref="K34:P34"/>
    <mergeCell ref="C35:G35"/>
    <mergeCell ref="H35:J35"/>
    <mergeCell ref="K35:P35"/>
    <mergeCell ref="H42:J42"/>
    <mergeCell ref="H43:J43"/>
    <mergeCell ref="H44:J44"/>
    <mergeCell ref="H45:J4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B73B-E848-40D8-A81C-7EE5CE5DE0D8}">
  <sheetPr>
    <pageSetUpPr fitToPage="1"/>
  </sheetPr>
  <dimension ref="A1:AA76"/>
  <sheetViews>
    <sheetView topLeftCell="A48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  <col min="28" max="16384" width="11.44140625" style="138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309" t="s">
        <v>51</v>
      </c>
      <c r="V1" s="310"/>
      <c r="W1" s="310"/>
      <c r="X1" s="310"/>
      <c r="Y1" s="310"/>
      <c r="Z1" s="311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312"/>
      <c r="V2" s="313"/>
      <c r="W2" s="313"/>
      <c r="X2" s="313"/>
      <c r="Y2" s="313"/>
      <c r="Z2" s="314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312"/>
      <c r="V3" s="313"/>
      <c r="W3" s="313"/>
      <c r="X3" s="313"/>
      <c r="Y3" s="313"/>
      <c r="Z3" s="314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312"/>
      <c r="V4" s="313"/>
      <c r="W4" s="313"/>
      <c r="X4" s="313"/>
      <c r="Y4" s="313"/>
      <c r="Z4" s="314"/>
    </row>
    <row r="5" spans="1:26" ht="12.75" customHeight="1" x14ac:dyDescent="0.25">
      <c r="A5" s="365"/>
      <c r="B5" s="366"/>
      <c r="C5" s="366"/>
      <c r="D5" s="366"/>
      <c r="E5" s="366"/>
      <c r="F5" s="367"/>
      <c r="G5" s="344" t="s">
        <v>2</v>
      </c>
      <c r="H5" s="345"/>
      <c r="I5" s="349">
        <v>7</v>
      </c>
      <c r="J5" s="349"/>
      <c r="K5" s="350"/>
      <c r="L5" s="352" t="s">
        <v>3</v>
      </c>
      <c r="M5" s="353"/>
      <c r="N5" s="353"/>
      <c r="O5" s="354"/>
      <c r="P5" s="355" t="s">
        <v>82</v>
      </c>
      <c r="Q5" s="356"/>
      <c r="R5" s="356"/>
      <c r="S5" s="356"/>
      <c r="T5" s="357"/>
      <c r="U5" s="312"/>
      <c r="V5" s="313"/>
      <c r="W5" s="313"/>
      <c r="X5" s="313"/>
      <c r="Y5" s="313"/>
      <c r="Z5" s="314"/>
    </row>
    <row r="6" spans="1:26" ht="12.75" customHeight="1" x14ac:dyDescent="0.25">
      <c r="A6" s="368"/>
      <c r="B6" s="369"/>
      <c r="C6" s="369"/>
      <c r="D6" s="369"/>
      <c r="E6" s="369"/>
      <c r="F6" s="370"/>
      <c r="G6" s="209"/>
      <c r="H6" s="169"/>
      <c r="I6" s="351" t="s">
        <v>5</v>
      </c>
      <c r="J6" s="351"/>
      <c r="K6" s="351"/>
      <c r="L6" s="351" t="s">
        <v>6</v>
      </c>
      <c r="M6" s="351"/>
      <c r="N6" s="351"/>
      <c r="O6" s="351"/>
      <c r="P6" s="351" t="s">
        <v>7</v>
      </c>
      <c r="Q6" s="351"/>
      <c r="R6" s="351"/>
      <c r="S6" s="351"/>
      <c r="T6" s="358"/>
      <c r="U6" s="315"/>
      <c r="V6" s="316"/>
      <c r="W6" s="316"/>
      <c r="X6" s="316"/>
      <c r="Y6" s="316"/>
      <c r="Z6" s="317"/>
    </row>
    <row r="7" spans="1:26" ht="36.6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9" customHeight="1" x14ac:dyDescent="0.25">
      <c r="A8" s="188" t="s">
        <v>10</v>
      </c>
      <c r="B8" s="164" t="s">
        <v>11</v>
      </c>
      <c r="C8" s="161"/>
      <c r="D8" s="208"/>
      <c r="E8" s="208"/>
      <c r="F8" s="208"/>
      <c r="G8" s="208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84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305" t="s">
        <v>12</v>
      </c>
      <c r="C10" s="305"/>
      <c r="D10" s="305"/>
      <c r="E10" s="305"/>
      <c r="F10" s="305"/>
      <c r="G10" s="305"/>
      <c r="H10" s="348" t="s">
        <v>13</v>
      </c>
      <c r="I10" s="348"/>
      <c r="J10" s="348"/>
      <c r="K10" s="348"/>
      <c r="L10" s="348"/>
      <c r="M10" s="348"/>
      <c r="N10" s="305" t="s">
        <v>14</v>
      </c>
      <c r="O10" s="305"/>
      <c r="P10" s="305"/>
      <c r="Q10" s="305"/>
      <c r="R10" s="305"/>
      <c r="S10" s="332" t="s">
        <v>15</v>
      </c>
      <c r="T10" s="332"/>
      <c r="U10" s="332"/>
      <c r="V10" s="332"/>
      <c r="W10" s="332"/>
      <c r="X10" s="332"/>
      <c r="Y10" s="332"/>
      <c r="Z10" s="207"/>
    </row>
    <row r="11" spans="1:26" ht="15.9" customHeight="1" x14ac:dyDescent="0.25">
      <c r="A11" s="173"/>
      <c r="B11" s="305" t="s">
        <v>16</v>
      </c>
      <c r="C11" s="305"/>
      <c r="D11" s="305"/>
      <c r="E11" s="305"/>
      <c r="F11" s="305"/>
      <c r="G11" s="305"/>
      <c r="H11" s="348" t="s">
        <v>82</v>
      </c>
      <c r="I11" s="348"/>
      <c r="J11" s="348"/>
      <c r="K11" s="348"/>
      <c r="L11" s="348"/>
      <c r="M11" s="348"/>
      <c r="N11" s="305" t="s">
        <v>17</v>
      </c>
      <c r="O11" s="305"/>
      <c r="P11" s="305"/>
      <c r="Q11" s="305"/>
      <c r="R11" s="305"/>
      <c r="S11" s="332" t="s">
        <v>18</v>
      </c>
      <c r="T11" s="332"/>
      <c r="U11" s="332"/>
      <c r="V11" s="332"/>
      <c r="W11" s="332"/>
      <c r="X11" s="332"/>
      <c r="Y11" s="332"/>
      <c r="Z11" s="207"/>
    </row>
    <row r="12" spans="1:26" ht="15.9" customHeight="1" x14ac:dyDescent="0.25">
      <c r="A12" s="173"/>
      <c r="B12" s="305" t="s">
        <v>19</v>
      </c>
      <c r="C12" s="305"/>
      <c r="D12" s="305"/>
      <c r="E12" s="305"/>
      <c r="F12" s="305"/>
      <c r="G12" s="305"/>
      <c r="H12" s="348" t="s">
        <v>81</v>
      </c>
      <c r="I12" s="348"/>
      <c r="J12" s="348"/>
      <c r="K12" s="348"/>
      <c r="L12" s="348"/>
      <c r="M12" s="348"/>
      <c r="N12" s="305" t="s">
        <v>21</v>
      </c>
      <c r="O12" s="305"/>
      <c r="P12" s="305"/>
      <c r="Q12" s="305"/>
      <c r="R12" s="305"/>
      <c r="S12" s="332" t="s">
        <v>83</v>
      </c>
      <c r="T12" s="332"/>
      <c r="U12" s="332"/>
      <c r="V12" s="332"/>
      <c r="W12" s="332"/>
      <c r="X12" s="332"/>
      <c r="Y12" s="332"/>
      <c r="Z12" s="207"/>
    </row>
    <row r="13" spans="1:26" ht="8.25" customHeight="1" x14ac:dyDescent="0.25">
      <c r="A13" s="206"/>
      <c r="B13" s="169"/>
      <c r="C13" s="169"/>
      <c r="D13" s="205"/>
      <c r="E13" s="205"/>
      <c r="F13" s="205"/>
      <c r="G13" s="205"/>
      <c r="H13" s="169"/>
      <c r="I13" s="169"/>
      <c r="J13" s="169"/>
      <c r="K13" s="169"/>
      <c r="L13" s="169"/>
      <c r="M13" s="169"/>
      <c r="N13" s="204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202"/>
      <c r="C14" s="202"/>
      <c r="K14" s="203"/>
      <c r="L14" s="202"/>
      <c r="M14" s="201"/>
    </row>
    <row r="15" spans="1:26" s="141" customFormat="1" ht="15.6" customHeight="1" x14ac:dyDescent="0.25">
      <c r="A15" s="188" t="s">
        <v>23</v>
      </c>
      <c r="B15" s="200" t="s">
        <v>24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8"/>
    </row>
    <row r="16" spans="1:26" s="141" customFormat="1" ht="15" customHeight="1" x14ac:dyDescent="0.25">
      <c r="A16" s="195"/>
      <c r="B16" s="197"/>
      <c r="Z16" s="196"/>
    </row>
    <row r="17" spans="1:26" s="141" customFormat="1" ht="15" customHeight="1" x14ac:dyDescent="0.25">
      <c r="A17" s="195"/>
      <c r="B17" s="304" t="s">
        <v>25</v>
      </c>
      <c r="C17" s="304"/>
      <c r="D17" s="304"/>
      <c r="E17" s="304"/>
      <c r="F17" s="304"/>
      <c r="G17" s="304"/>
      <c r="H17" s="304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193"/>
    </row>
    <row r="18" spans="1:26" s="141" customFormat="1" ht="15" customHeight="1" x14ac:dyDescent="0.25">
      <c r="A18" s="195"/>
      <c r="B18" s="304" t="s">
        <v>26</v>
      </c>
      <c r="C18" s="304"/>
      <c r="D18" s="304"/>
      <c r="E18" s="304"/>
      <c r="F18" s="304"/>
      <c r="G18" s="304"/>
      <c r="H18" s="304"/>
      <c r="I18" s="402" t="s">
        <v>27</v>
      </c>
      <c r="J18" s="402"/>
      <c r="K18" s="194">
        <v>50</v>
      </c>
      <c r="L18" s="194" t="s">
        <v>28</v>
      </c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3"/>
    </row>
    <row r="19" spans="1:26" s="141" customFormat="1" ht="13.2" customHeight="1" x14ac:dyDescent="0.25">
      <c r="A19" s="192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0"/>
    </row>
    <row r="20" spans="1:26" ht="12.75" customHeight="1" x14ac:dyDescent="0.25">
      <c r="D20" s="140"/>
      <c r="E20" s="140"/>
      <c r="F20" s="140"/>
      <c r="G20" s="140"/>
      <c r="N20" s="189"/>
    </row>
    <row r="21" spans="1:26" ht="15.9" customHeight="1" x14ac:dyDescent="0.25">
      <c r="A21" s="188" t="s">
        <v>29</v>
      </c>
      <c r="B21" s="187" t="s">
        <v>30</v>
      </c>
      <c r="C21" s="185"/>
      <c r="D21" s="186"/>
      <c r="E21" s="186"/>
      <c r="F21" s="186"/>
      <c r="G21" s="186"/>
      <c r="H21" s="185"/>
      <c r="I21" s="185"/>
      <c r="J21" s="411" t="s">
        <v>31</v>
      </c>
      <c r="K21" s="411"/>
      <c r="L21" s="411"/>
      <c r="M21" s="411"/>
      <c r="N21" s="411"/>
      <c r="O21" s="411"/>
      <c r="P21" s="411"/>
      <c r="Q21" s="182">
        <v>600</v>
      </c>
      <c r="R21" s="161"/>
      <c r="S21" s="161"/>
      <c r="T21" s="161"/>
      <c r="U21" s="161"/>
      <c r="V21" s="161"/>
      <c r="W21" s="161"/>
      <c r="X21" s="161"/>
      <c r="Y21" s="161"/>
      <c r="Z21" s="184"/>
    </row>
    <row r="22" spans="1:26" ht="12.75" customHeight="1" x14ac:dyDescent="0.25">
      <c r="A22" s="173"/>
      <c r="B22" s="183"/>
      <c r="Z22" s="172"/>
    </row>
    <row r="23" spans="1:26" ht="15.75" customHeight="1" x14ac:dyDescent="0.25">
      <c r="A23" s="173"/>
      <c r="B23" s="409" t="s">
        <v>32</v>
      </c>
      <c r="C23" s="333" t="s">
        <v>33</v>
      </c>
      <c r="D23" s="333"/>
      <c r="E23" s="333"/>
      <c r="F23" s="333"/>
      <c r="G23" s="334"/>
      <c r="H23" s="406" t="s">
        <v>34</v>
      </c>
      <c r="I23" s="407"/>
      <c r="J23" s="408"/>
      <c r="K23" s="333" t="s">
        <v>35</v>
      </c>
      <c r="L23" s="333"/>
      <c r="M23" s="333"/>
      <c r="N23" s="333"/>
      <c r="O23" s="333"/>
      <c r="P23" s="334"/>
      <c r="Z23" s="172"/>
    </row>
    <row r="24" spans="1:26" ht="15.75" customHeight="1" x14ac:dyDescent="0.25">
      <c r="A24" s="173"/>
      <c r="B24" s="410"/>
      <c r="C24" s="335"/>
      <c r="D24" s="335"/>
      <c r="E24" s="335"/>
      <c r="F24" s="335"/>
      <c r="G24" s="336"/>
      <c r="H24" s="403" t="s">
        <v>36</v>
      </c>
      <c r="I24" s="404"/>
      <c r="J24" s="405"/>
      <c r="K24" s="335"/>
      <c r="L24" s="335"/>
      <c r="M24" s="335"/>
      <c r="N24" s="335"/>
      <c r="O24" s="335"/>
      <c r="P24" s="336"/>
      <c r="Z24" s="172"/>
    </row>
    <row r="25" spans="1:26" ht="19.5" customHeight="1" x14ac:dyDescent="0.25">
      <c r="A25" s="173"/>
      <c r="B25" s="181">
        <v>1</v>
      </c>
      <c r="C25" s="318"/>
      <c r="D25" s="319"/>
      <c r="E25" s="319"/>
      <c r="F25" s="319"/>
      <c r="G25" s="320"/>
      <c r="H25" s="359">
        <v>51</v>
      </c>
      <c r="I25" s="360"/>
      <c r="J25" s="361"/>
      <c r="K25" s="318"/>
      <c r="L25" s="319"/>
      <c r="M25" s="319"/>
      <c r="N25" s="319"/>
      <c r="O25" s="319"/>
      <c r="P25" s="320"/>
      <c r="Z25" s="172"/>
    </row>
    <row r="26" spans="1:26" ht="19.5" customHeight="1" x14ac:dyDescent="0.25">
      <c r="A26" s="173"/>
      <c r="B26" s="181">
        <v>2</v>
      </c>
      <c r="C26" s="318"/>
      <c r="D26" s="319"/>
      <c r="E26" s="319"/>
      <c r="F26" s="319"/>
      <c r="G26" s="320"/>
      <c r="H26" s="359">
        <v>82</v>
      </c>
      <c r="I26" s="360"/>
      <c r="J26" s="361"/>
      <c r="K26" s="318"/>
      <c r="L26" s="319"/>
      <c r="M26" s="319"/>
      <c r="N26" s="319"/>
      <c r="O26" s="319"/>
      <c r="P26" s="320"/>
      <c r="Z26" s="172"/>
    </row>
    <row r="27" spans="1:26" ht="19.5" customHeight="1" x14ac:dyDescent="0.25">
      <c r="A27" s="173"/>
      <c r="B27" s="181">
        <v>3</v>
      </c>
      <c r="C27" s="318"/>
      <c r="D27" s="319"/>
      <c r="E27" s="319"/>
      <c r="F27" s="319"/>
      <c r="G27" s="320"/>
      <c r="H27" s="359">
        <v>124</v>
      </c>
      <c r="I27" s="360"/>
      <c r="J27" s="361"/>
      <c r="K27" s="318"/>
      <c r="L27" s="319"/>
      <c r="M27" s="319"/>
      <c r="N27" s="319"/>
      <c r="O27" s="319"/>
      <c r="P27" s="320"/>
      <c r="Z27" s="172"/>
    </row>
    <row r="28" spans="1:26" ht="19.5" customHeight="1" x14ac:dyDescent="0.25">
      <c r="A28" s="173"/>
      <c r="B28" s="181">
        <v>4</v>
      </c>
      <c r="C28" s="318"/>
      <c r="D28" s="319"/>
      <c r="E28" s="319"/>
      <c r="F28" s="319"/>
      <c r="G28" s="320"/>
      <c r="H28" s="359">
        <v>114</v>
      </c>
      <c r="I28" s="360"/>
      <c r="J28" s="361"/>
      <c r="K28" s="318"/>
      <c r="L28" s="319"/>
      <c r="M28" s="319"/>
      <c r="N28" s="319"/>
      <c r="O28" s="319"/>
      <c r="P28" s="320"/>
      <c r="Z28" s="172"/>
    </row>
    <row r="29" spans="1:26" ht="19.5" customHeight="1" x14ac:dyDescent="0.25">
      <c r="A29" s="173"/>
      <c r="B29" s="181">
        <v>5</v>
      </c>
      <c r="C29" s="318"/>
      <c r="D29" s="319"/>
      <c r="E29" s="319"/>
      <c r="F29" s="319"/>
      <c r="G29" s="320"/>
      <c r="H29" s="359">
        <v>140</v>
      </c>
      <c r="I29" s="360"/>
      <c r="J29" s="361"/>
      <c r="K29" s="318"/>
      <c r="L29" s="319"/>
      <c r="M29" s="319"/>
      <c r="N29" s="319"/>
      <c r="O29" s="319"/>
      <c r="P29" s="320"/>
      <c r="Z29" s="172"/>
    </row>
    <row r="30" spans="1:26" ht="19.5" customHeight="1" x14ac:dyDescent="0.25">
      <c r="A30" s="173"/>
      <c r="B30" s="181">
        <v>6</v>
      </c>
      <c r="C30" s="318"/>
      <c r="D30" s="319"/>
      <c r="E30" s="319"/>
      <c r="F30" s="319"/>
      <c r="G30" s="320"/>
      <c r="H30" s="359">
        <v>137</v>
      </c>
      <c r="I30" s="360"/>
      <c r="J30" s="361"/>
      <c r="K30" s="318"/>
      <c r="L30" s="319"/>
      <c r="M30" s="319"/>
      <c r="N30" s="319"/>
      <c r="O30" s="319"/>
      <c r="P30" s="320"/>
      <c r="Z30" s="172"/>
    </row>
    <row r="31" spans="1:26" ht="19.5" customHeight="1" x14ac:dyDescent="0.25">
      <c r="A31" s="173"/>
      <c r="B31" s="181">
        <v>7</v>
      </c>
      <c r="C31" s="318"/>
      <c r="D31" s="319"/>
      <c r="E31" s="319"/>
      <c r="F31" s="319"/>
      <c r="G31" s="320"/>
      <c r="H31" s="359">
        <v>95</v>
      </c>
      <c r="I31" s="360"/>
      <c r="J31" s="361"/>
      <c r="K31" s="318"/>
      <c r="L31" s="319"/>
      <c r="M31" s="319"/>
      <c r="N31" s="319"/>
      <c r="O31" s="319"/>
      <c r="P31" s="320"/>
      <c r="Z31" s="172"/>
    </row>
    <row r="32" spans="1:26" ht="19.5" customHeight="1" x14ac:dyDescent="0.25">
      <c r="A32" s="173"/>
      <c r="B32" s="181">
        <v>8</v>
      </c>
      <c r="C32" s="318"/>
      <c r="D32" s="319"/>
      <c r="E32" s="319"/>
      <c r="F32" s="319"/>
      <c r="G32" s="320"/>
      <c r="H32" s="359">
        <v>138</v>
      </c>
      <c r="I32" s="360"/>
      <c r="J32" s="361"/>
      <c r="K32" s="318"/>
      <c r="L32" s="319"/>
      <c r="M32" s="319"/>
      <c r="N32" s="319"/>
      <c r="O32" s="319"/>
      <c r="P32" s="320"/>
      <c r="Z32" s="172"/>
    </row>
    <row r="33" spans="1:26" ht="19.5" customHeight="1" x14ac:dyDescent="0.25">
      <c r="A33" s="173"/>
      <c r="B33" s="181">
        <v>9</v>
      </c>
      <c r="C33" s="318"/>
      <c r="D33" s="319"/>
      <c r="E33" s="319"/>
      <c r="F33" s="319"/>
      <c r="G33" s="320"/>
      <c r="H33" s="359">
        <v>94</v>
      </c>
      <c r="I33" s="360"/>
      <c r="J33" s="361"/>
      <c r="K33" s="318"/>
      <c r="L33" s="319"/>
      <c r="M33" s="319"/>
      <c r="N33" s="319"/>
      <c r="O33" s="319"/>
      <c r="P33" s="320"/>
      <c r="Z33" s="172"/>
    </row>
    <row r="34" spans="1:26" ht="19.5" customHeight="1" x14ac:dyDescent="0.25">
      <c r="A34" s="173"/>
      <c r="B34" s="181">
        <v>10</v>
      </c>
      <c r="C34" s="318"/>
      <c r="D34" s="319"/>
      <c r="E34" s="319"/>
      <c r="F34" s="319"/>
      <c r="G34" s="320"/>
      <c r="H34" s="359">
        <v>133</v>
      </c>
      <c r="I34" s="360"/>
      <c r="J34" s="361"/>
      <c r="K34" s="318"/>
      <c r="L34" s="319"/>
      <c r="M34" s="319"/>
      <c r="N34" s="319"/>
      <c r="O34" s="319"/>
      <c r="P34" s="320"/>
      <c r="Z34" s="172"/>
    </row>
    <row r="35" spans="1:26" ht="19.5" customHeight="1" x14ac:dyDescent="0.25">
      <c r="A35" s="173"/>
      <c r="B35" s="210"/>
      <c r="C35" s="177"/>
      <c r="D35" s="176"/>
      <c r="E35" s="176"/>
      <c r="F35" s="176"/>
      <c r="G35" s="175"/>
      <c r="H35" s="180"/>
      <c r="I35" s="179"/>
      <c r="J35" s="178"/>
      <c r="K35" s="177"/>
      <c r="L35" s="176"/>
      <c r="M35" s="176"/>
      <c r="N35" s="176"/>
      <c r="O35" s="176"/>
      <c r="P35" s="175"/>
      <c r="Z35" s="172"/>
    </row>
    <row r="36" spans="1:26" ht="19.5" customHeight="1" x14ac:dyDescent="0.25">
      <c r="A36" s="173"/>
      <c r="B36" s="210"/>
      <c r="C36" s="177"/>
      <c r="D36" s="176"/>
      <c r="E36" s="176"/>
      <c r="F36" s="176"/>
      <c r="G36" s="175"/>
      <c r="H36" s="180"/>
      <c r="I36" s="179"/>
      <c r="J36" s="178"/>
      <c r="K36" s="177"/>
      <c r="L36" s="176"/>
      <c r="M36" s="176"/>
      <c r="N36" s="176"/>
      <c r="O36" s="176"/>
      <c r="P36" s="175"/>
      <c r="Z36" s="172"/>
    </row>
    <row r="37" spans="1:26" ht="19.5" customHeight="1" x14ac:dyDescent="0.25">
      <c r="A37" s="173"/>
      <c r="B37" s="210"/>
      <c r="C37" s="177"/>
      <c r="D37" s="176"/>
      <c r="E37" s="176"/>
      <c r="F37" s="176"/>
      <c r="G37" s="175"/>
      <c r="H37" s="180"/>
      <c r="I37" s="179"/>
      <c r="J37" s="178"/>
      <c r="K37" s="177"/>
      <c r="L37" s="176"/>
      <c r="M37" s="176"/>
      <c r="N37" s="176"/>
      <c r="O37" s="176"/>
      <c r="P37" s="175"/>
      <c r="Z37" s="172"/>
    </row>
    <row r="38" spans="1:26" ht="19.5" customHeight="1" x14ac:dyDescent="0.25">
      <c r="A38" s="173"/>
      <c r="B38" s="210"/>
      <c r="C38" s="177"/>
      <c r="D38" s="176"/>
      <c r="E38" s="176"/>
      <c r="F38" s="176"/>
      <c r="G38" s="175"/>
      <c r="H38" s="180"/>
      <c r="I38" s="179"/>
      <c r="J38" s="178"/>
      <c r="K38" s="177"/>
      <c r="L38" s="176"/>
      <c r="M38" s="176"/>
      <c r="N38" s="176"/>
      <c r="O38" s="176"/>
      <c r="P38" s="175"/>
      <c r="Z38" s="172"/>
    </row>
    <row r="39" spans="1:26" ht="19.5" customHeight="1" x14ac:dyDescent="0.25">
      <c r="A39" s="173"/>
      <c r="B39" s="210"/>
      <c r="C39" s="177"/>
      <c r="D39" s="176"/>
      <c r="E39" s="176"/>
      <c r="F39" s="176"/>
      <c r="G39" s="175"/>
      <c r="H39" s="180"/>
      <c r="I39" s="179"/>
      <c r="J39" s="178"/>
      <c r="K39" s="177"/>
      <c r="L39" s="176"/>
      <c r="M39" s="176"/>
      <c r="N39" s="176"/>
      <c r="O39" s="176"/>
      <c r="P39" s="175"/>
      <c r="Z39" s="172"/>
    </row>
    <row r="40" spans="1:26" ht="19.5" customHeight="1" x14ac:dyDescent="0.25">
      <c r="A40" s="173"/>
      <c r="B40" s="210"/>
      <c r="C40" s="177"/>
      <c r="D40" s="176"/>
      <c r="E40" s="176"/>
      <c r="F40" s="176"/>
      <c r="G40" s="175"/>
      <c r="H40" s="180"/>
      <c r="I40" s="179"/>
      <c r="J40" s="178"/>
      <c r="K40" s="177"/>
      <c r="L40" s="176"/>
      <c r="M40" s="176"/>
      <c r="N40" s="176"/>
      <c r="O40" s="176"/>
      <c r="P40" s="175"/>
      <c r="Z40" s="172"/>
    </row>
    <row r="41" spans="1:26" ht="19.5" customHeight="1" x14ac:dyDescent="0.25">
      <c r="A41" s="173"/>
      <c r="B41" s="210"/>
      <c r="C41" s="177"/>
      <c r="D41" s="176"/>
      <c r="E41" s="176"/>
      <c r="F41" s="176"/>
      <c r="G41" s="175"/>
      <c r="H41" s="180"/>
      <c r="I41" s="179"/>
      <c r="J41" s="178"/>
      <c r="K41" s="177"/>
      <c r="L41" s="176"/>
      <c r="M41" s="176"/>
      <c r="N41" s="176"/>
      <c r="O41" s="176"/>
      <c r="P41" s="175"/>
      <c r="Z41" s="172"/>
    </row>
    <row r="42" spans="1:26" ht="19.5" customHeight="1" x14ac:dyDescent="0.25">
      <c r="A42" s="173"/>
      <c r="B42" s="210"/>
      <c r="C42" s="177"/>
      <c r="D42" s="176"/>
      <c r="E42" s="176"/>
      <c r="F42" s="176"/>
      <c r="G42" s="175"/>
      <c r="H42" s="180"/>
      <c r="I42" s="179"/>
      <c r="J42" s="178"/>
      <c r="K42" s="177"/>
      <c r="L42" s="176"/>
      <c r="M42" s="176"/>
      <c r="N42" s="176"/>
      <c r="O42" s="176"/>
      <c r="P42" s="175"/>
      <c r="Z42" s="172"/>
    </row>
    <row r="43" spans="1:26" ht="19.5" customHeight="1" x14ac:dyDescent="0.25">
      <c r="A43" s="173"/>
      <c r="B43" s="210"/>
      <c r="C43" s="177"/>
      <c r="D43" s="176"/>
      <c r="E43" s="176"/>
      <c r="F43" s="176"/>
      <c r="G43" s="175"/>
      <c r="H43" s="180"/>
      <c r="I43" s="179"/>
      <c r="J43" s="178"/>
      <c r="K43" s="177"/>
      <c r="L43" s="176"/>
      <c r="M43" s="176"/>
      <c r="N43" s="176"/>
      <c r="O43" s="176"/>
      <c r="P43" s="175"/>
      <c r="Z43" s="172"/>
    </row>
    <row r="44" spans="1:26" ht="19.5" customHeight="1" x14ac:dyDescent="0.25">
      <c r="A44" s="173"/>
      <c r="B44" s="210"/>
      <c r="C44" s="177"/>
      <c r="D44" s="176"/>
      <c r="E44" s="176"/>
      <c r="F44" s="176"/>
      <c r="G44" s="175"/>
      <c r="H44" s="180"/>
      <c r="I44" s="179"/>
      <c r="J44" s="178"/>
      <c r="K44" s="177"/>
      <c r="L44" s="176"/>
      <c r="M44" s="176"/>
      <c r="N44" s="176"/>
      <c r="O44" s="176"/>
      <c r="P44" s="175"/>
      <c r="Z44" s="172"/>
    </row>
    <row r="45" spans="1:26" ht="19.5" customHeight="1" x14ac:dyDescent="0.25">
      <c r="A45" s="173"/>
      <c r="B45" s="210"/>
      <c r="C45" s="177"/>
      <c r="D45" s="176"/>
      <c r="E45" s="176"/>
      <c r="F45" s="176"/>
      <c r="G45" s="175"/>
      <c r="H45" s="180"/>
      <c r="I45" s="179"/>
      <c r="J45" s="178"/>
      <c r="K45" s="177"/>
      <c r="L45" s="176"/>
      <c r="M45" s="176"/>
      <c r="N45" s="176"/>
      <c r="O45" s="176"/>
      <c r="P45" s="175"/>
      <c r="Z45" s="172"/>
    </row>
    <row r="46" spans="1:26" ht="19.5" customHeight="1" x14ac:dyDescent="0.25">
      <c r="A46" s="173"/>
      <c r="B46" s="210"/>
      <c r="C46" s="177"/>
      <c r="D46" s="176"/>
      <c r="E46" s="176"/>
      <c r="F46" s="176"/>
      <c r="G46" s="175"/>
      <c r="H46" s="180"/>
      <c r="I46" s="179"/>
      <c r="J46" s="178"/>
      <c r="K46" s="177"/>
      <c r="L46" s="176"/>
      <c r="M46" s="176"/>
      <c r="N46" s="176"/>
      <c r="O46" s="176"/>
      <c r="P46" s="175"/>
      <c r="Z46" s="172"/>
    </row>
    <row r="47" spans="1:26" ht="19.5" customHeight="1" x14ac:dyDescent="0.25">
      <c r="A47" s="173"/>
      <c r="B47" s="210"/>
      <c r="C47" s="177"/>
      <c r="D47" s="176"/>
      <c r="E47" s="176"/>
      <c r="F47" s="176"/>
      <c r="G47" s="175"/>
      <c r="H47" s="180"/>
      <c r="I47" s="179"/>
      <c r="J47" s="178"/>
      <c r="K47" s="177"/>
      <c r="L47" s="176"/>
      <c r="M47" s="176"/>
      <c r="N47" s="176"/>
      <c r="O47" s="176"/>
      <c r="P47" s="175"/>
      <c r="Z47" s="172"/>
    </row>
    <row r="48" spans="1:26" ht="19.5" customHeight="1" x14ac:dyDescent="0.25">
      <c r="A48" s="173"/>
      <c r="B48" s="210"/>
      <c r="C48" s="177"/>
      <c r="D48" s="176"/>
      <c r="E48" s="176"/>
      <c r="F48" s="176"/>
      <c r="G48" s="175"/>
      <c r="H48" s="180"/>
      <c r="I48" s="179"/>
      <c r="J48" s="178"/>
      <c r="K48" s="177"/>
      <c r="L48" s="176"/>
      <c r="M48" s="176"/>
      <c r="N48" s="176"/>
      <c r="O48" s="176"/>
      <c r="P48" s="175"/>
      <c r="Z48" s="172"/>
    </row>
    <row r="49" spans="1:26" ht="19.5" customHeight="1" x14ac:dyDescent="0.25">
      <c r="A49" s="173"/>
      <c r="B49" s="210"/>
      <c r="C49" s="177"/>
      <c r="D49" s="176"/>
      <c r="E49" s="176"/>
      <c r="F49" s="176"/>
      <c r="G49" s="175"/>
      <c r="H49" s="180"/>
      <c r="I49" s="179"/>
      <c r="J49" s="178"/>
      <c r="K49" s="177"/>
      <c r="L49" s="176"/>
      <c r="M49" s="176"/>
      <c r="N49" s="176"/>
      <c r="O49" s="176"/>
      <c r="P49" s="175"/>
      <c r="Z49" s="172"/>
    </row>
    <row r="50" spans="1:26" ht="19.5" customHeight="1" x14ac:dyDescent="0.25">
      <c r="A50" s="173"/>
      <c r="B50" s="210"/>
      <c r="C50" s="177"/>
      <c r="D50" s="176"/>
      <c r="E50" s="176"/>
      <c r="F50" s="176"/>
      <c r="G50" s="175"/>
      <c r="H50" s="180"/>
      <c r="I50" s="179"/>
      <c r="J50" s="178"/>
      <c r="K50" s="177"/>
      <c r="L50" s="176"/>
      <c r="M50" s="176"/>
      <c r="N50" s="176"/>
      <c r="O50" s="176"/>
      <c r="P50" s="175"/>
      <c r="Z50" s="172"/>
    </row>
    <row r="51" spans="1:26" ht="19.5" customHeight="1" x14ac:dyDescent="0.25">
      <c r="A51" s="173"/>
      <c r="B51" s="210"/>
      <c r="C51" s="177"/>
      <c r="D51" s="176"/>
      <c r="E51" s="176"/>
      <c r="F51" s="176"/>
      <c r="G51" s="175"/>
      <c r="H51" s="180"/>
      <c r="I51" s="179"/>
      <c r="J51" s="178"/>
      <c r="K51" s="177"/>
      <c r="L51" s="176"/>
      <c r="M51" s="176"/>
      <c r="N51" s="176"/>
      <c r="O51" s="176"/>
      <c r="P51" s="175"/>
      <c r="Z51" s="172"/>
    </row>
    <row r="52" spans="1:26" ht="19.5" customHeight="1" x14ac:dyDescent="0.25">
      <c r="A52" s="173"/>
      <c r="B52" s="210"/>
      <c r="C52" s="177"/>
      <c r="D52" s="176"/>
      <c r="E52" s="176"/>
      <c r="F52" s="176"/>
      <c r="G52" s="175"/>
      <c r="H52" s="180"/>
      <c r="I52" s="179"/>
      <c r="J52" s="178"/>
      <c r="K52" s="177"/>
      <c r="L52" s="176"/>
      <c r="M52" s="176"/>
      <c r="N52" s="176"/>
      <c r="O52" s="176"/>
      <c r="P52" s="175"/>
      <c r="Z52" s="172"/>
    </row>
    <row r="53" spans="1:26" ht="19.5" customHeight="1" x14ac:dyDescent="0.25">
      <c r="A53" s="173"/>
      <c r="B53" s="210"/>
      <c r="C53" s="177"/>
      <c r="D53" s="176"/>
      <c r="E53" s="176"/>
      <c r="F53" s="176"/>
      <c r="G53" s="175"/>
      <c r="H53" s="180"/>
      <c r="I53" s="179"/>
      <c r="J53" s="178"/>
      <c r="K53" s="177"/>
      <c r="L53" s="176"/>
      <c r="M53" s="176"/>
      <c r="N53" s="176"/>
      <c r="O53" s="176"/>
      <c r="P53" s="175"/>
      <c r="Z53" s="172"/>
    </row>
    <row r="54" spans="1:26" ht="19.5" customHeight="1" thickBot="1" x14ac:dyDescent="0.3">
      <c r="A54" s="173"/>
      <c r="B54" s="174"/>
      <c r="C54" s="538"/>
      <c r="D54" s="539"/>
      <c r="E54" s="539"/>
      <c r="F54" s="539"/>
      <c r="G54" s="540"/>
      <c r="H54" s="541"/>
      <c r="I54" s="542"/>
      <c r="J54" s="543"/>
      <c r="K54" s="538"/>
      <c r="L54" s="539"/>
      <c r="M54" s="539"/>
      <c r="N54" s="539"/>
      <c r="O54" s="539"/>
      <c r="P54" s="540"/>
      <c r="Z54" s="172"/>
    </row>
    <row r="55" spans="1:26" ht="15.75" customHeight="1" x14ac:dyDescent="0.25">
      <c r="A55" s="173"/>
      <c r="B55" s="393" t="s">
        <v>37</v>
      </c>
      <c r="C55" s="394"/>
      <c r="D55" s="394"/>
      <c r="E55" s="394"/>
      <c r="F55" s="394"/>
      <c r="G55" s="395"/>
      <c r="H55" s="399">
        <f>AVERAGE(H25:J54)</f>
        <v>110.8</v>
      </c>
      <c r="I55" s="400"/>
      <c r="J55" s="401"/>
      <c r="K55" s="326" t="s">
        <v>55</v>
      </c>
      <c r="L55" s="327"/>
      <c r="M55" s="321" t="s">
        <v>38</v>
      </c>
      <c r="N55" s="321"/>
      <c r="O55" s="321"/>
      <c r="P55" s="322"/>
      <c r="Z55" s="172"/>
    </row>
    <row r="56" spans="1:26" ht="15.75" customHeight="1" x14ac:dyDescent="0.25">
      <c r="A56" s="173"/>
      <c r="B56" s="387" t="s">
        <v>39</v>
      </c>
      <c r="C56" s="388"/>
      <c r="D56" s="388"/>
      <c r="E56" s="388"/>
      <c r="F56" s="388"/>
      <c r="G56" s="389"/>
      <c r="H56" s="301">
        <f>IF(COUNTIF(H25:J54,"*&lt;20*"),"&lt;20",MIN(H25:J54))</f>
        <v>51</v>
      </c>
      <c r="I56" s="302"/>
      <c r="J56" s="303"/>
      <c r="K56" s="328"/>
      <c r="L56" s="329"/>
      <c r="M56" s="294"/>
      <c r="N56" s="294"/>
      <c r="O56" s="294"/>
      <c r="P56" s="323"/>
      <c r="Z56" s="172"/>
    </row>
    <row r="57" spans="1:26" ht="15.75" customHeight="1" thickBot="1" x14ac:dyDescent="0.3">
      <c r="A57" s="173"/>
      <c r="B57" s="390" t="s">
        <v>40</v>
      </c>
      <c r="C57" s="391"/>
      <c r="D57" s="391"/>
      <c r="E57" s="391"/>
      <c r="F57" s="391"/>
      <c r="G57" s="392"/>
      <c r="H57" s="396">
        <f>IF(COUNTIF(H25:J54,"*&gt;250*"),"&gt;250",MAX(H25:J54))</f>
        <v>140</v>
      </c>
      <c r="I57" s="397"/>
      <c r="J57" s="398"/>
      <c r="K57" s="330"/>
      <c r="L57" s="331"/>
      <c r="M57" s="324"/>
      <c r="N57" s="324"/>
      <c r="O57" s="324"/>
      <c r="P57" s="325"/>
      <c r="Z57" s="172"/>
    </row>
    <row r="58" spans="1:26" ht="15.9" customHeight="1" x14ac:dyDescent="0.25">
      <c r="A58" s="171"/>
      <c r="B58" s="170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8"/>
    </row>
    <row r="59" spans="1:26" ht="12.75" customHeight="1" x14ac:dyDescent="0.25">
      <c r="A59" s="167"/>
      <c r="B59" s="166"/>
    </row>
    <row r="60" spans="1:26" s="141" customFormat="1" ht="15.6" customHeight="1" x14ac:dyDescent="0.25">
      <c r="A60" s="165" t="s">
        <v>41</v>
      </c>
      <c r="B60" s="164" t="s">
        <v>42</v>
      </c>
      <c r="C60" s="163"/>
      <c r="D60" s="163"/>
      <c r="E60" s="163"/>
      <c r="F60" s="162"/>
      <c r="G60" s="162"/>
      <c r="H60" s="162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0"/>
      <c r="V60" s="159"/>
      <c r="W60" s="159"/>
      <c r="X60" s="158"/>
      <c r="Y60" s="158"/>
      <c r="Z60" s="157"/>
    </row>
    <row r="61" spans="1:26" s="141" customFormat="1" ht="28.5" customHeight="1" x14ac:dyDescent="0.25">
      <c r="A61" s="306" t="s">
        <v>43</v>
      </c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8"/>
      <c r="R61" s="286" t="s">
        <v>44</v>
      </c>
      <c r="S61" s="287"/>
      <c r="T61" s="288"/>
      <c r="U61" s="276" t="s">
        <v>13</v>
      </c>
      <c r="V61" s="277"/>
      <c r="W61" s="277"/>
      <c r="X61" s="278"/>
      <c r="Y61" s="278"/>
      <c r="Z61" s="279"/>
    </row>
    <row r="62" spans="1:26" s="141" customFormat="1" ht="15.6" customHeight="1" x14ac:dyDescent="0.25">
      <c r="A62" s="280" t="s">
        <v>53</v>
      </c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2"/>
      <c r="R62" s="286" t="s">
        <v>46</v>
      </c>
      <c r="S62" s="287"/>
      <c r="T62" s="288"/>
      <c r="U62" s="289" t="s">
        <v>47</v>
      </c>
      <c r="V62" s="290"/>
      <c r="W62" s="290"/>
      <c r="X62" s="291"/>
      <c r="Y62" s="291"/>
      <c r="Z62" s="292"/>
    </row>
    <row r="63" spans="1:26" s="141" customFormat="1" ht="15.6" customHeight="1" x14ac:dyDescent="0.25">
      <c r="A63" s="283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5"/>
      <c r="R63" s="286"/>
      <c r="S63" s="287"/>
      <c r="T63" s="288"/>
      <c r="U63" s="293"/>
      <c r="V63" s="294"/>
      <c r="W63" s="294"/>
      <c r="X63" s="295"/>
      <c r="Y63" s="295"/>
      <c r="Z63" s="296"/>
    </row>
    <row r="64" spans="1:26" s="141" customFormat="1" ht="15.6" customHeight="1" x14ac:dyDescent="0.25">
      <c r="A64" s="156" t="s">
        <v>48</v>
      </c>
      <c r="B64" s="155" t="s">
        <v>49</v>
      </c>
      <c r="C64" s="139"/>
      <c r="D64" s="139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3"/>
      <c r="R64" s="286"/>
      <c r="S64" s="287"/>
      <c r="T64" s="288"/>
      <c r="U64" s="297"/>
      <c r="V64" s="298"/>
      <c r="W64" s="298"/>
      <c r="X64" s="299"/>
      <c r="Y64" s="299"/>
      <c r="Z64" s="300"/>
    </row>
    <row r="65" spans="1:26" s="141" customFormat="1" ht="15.6" customHeight="1" x14ac:dyDescent="0.25">
      <c r="A65" s="378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80"/>
      <c r="R65" s="286" t="s">
        <v>50</v>
      </c>
      <c r="S65" s="287"/>
      <c r="T65" s="288"/>
      <c r="U65" s="152"/>
      <c r="V65" s="151"/>
      <c r="W65" s="151"/>
      <c r="X65" s="151"/>
      <c r="Y65" s="151"/>
      <c r="Z65" s="150"/>
    </row>
    <row r="66" spans="1:26" s="141" customFormat="1" ht="15.6" customHeight="1" x14ac:dyDescent="0.25">
      <c r="A66" s="378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80"/>
      <c r="R66" s="286"/>
      <c r="S66" s="287"/>
      <c r="T66" s="288"/>
      <c r="U66" s="149"/>
      <c r="V66" s="294"/>
      <c r="W66" s="294"/>
      <c r="X66" s="294"/>
      <c r="Y66" s="294"/>
      <c r="Z66" s="148"/>
    </row>
    <row r="67" spans="1:26" s="141" customFormat="1" ht="15.6" customHeight="1" x14ac:dyDescent="0.25">
      <c r="A67" s="378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80"/>
      <c r="R67" s="286"/>
      <c r="S67" s="287"/>
      <c r="T67" s="288"/>
      <c r="U67" s="149"/>
      <c r="V67" s="294"/>
      <c r="W67" s="294"/>
      <c r="X67" s="294"/>
      <c r="Y67" s="294"/>
      <c r="Z67" s="148"/>
    </row>
    <row r="68" spans="1:26" s="141" customFormat="1" ht="15.6" customHeight="1" x14ac:dyDescent="0.25">
      <c r="A68" s="381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383"/>
      <c r="R68" s="384"/>
      <c r="S68" s="385"/>
      <c r="T68" s="386"/>
      <c r="U68" s="147"/>
      <c r="V68" s="146"/>
      <c r="W68" s="146"/>
      <c r="X68" s="146"/>
      <c r="Y68" s="146"/>
      <c r="Z68" s="145"/>
    </row>
    <row r="69" spans="1:26" s="141" customFormat="1" ht="15" customHeight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3"/>
      <c r="S69" s="143"/>
      <c r="T69" s="143"/>
      <c r="U69" s="142"/>
      <c r="V69" s="142"/>
      <c r="W69" s="142"/>
      <c r="X69" s="142"/>
      <c r="Y69" s="142"/>
      <c r="Z69" s="142"/>
    </row>
    <row r="71" spans="1:26" ht="12.75" customHeight="1" x14ac:dyDescent="0.25">
      <c r="A71" s="139"/>
    </row>
    <row r="72" spans="1:26" ht="12.75" customHeight="1" x14ac:dyDescent="0.25">
      <c r="A72" s="139"/>
    </row>
    <row r="73" spans="1:26" ht="12.75" customHeight="1" x14ac:dyDescent="0.25">
      <c r="A73" s="139"/>
    </row>
    <row r="74" spans="1:26" ht="12.75" customHeight="1" x14ac:dyDescent="0.25">
      <c r="A74" s="139"/>
    </row>
    <row r="75" spans="1:26" ht="12.75" customHeight="1" x14ac:dyDescent="0.25">
      <c r="A75" s="139"/>
    </row>
    <row r="76" spans="1:26" ht="12.75" customHeight="1" x14ac:dyDescent="0.25">
      <c r="A76" s="139"/>
    </row>
  </sheetData>
  <sheetProtection formatCells="0" formatColumns="0" formatRows="0" insertColumns="0" insertRows="0" insertHyperlinks="0" deleteColumns="0" deleteRows="0" selectLockedCells="1" sort="0" autoFilter="0" pivotTables="0"/>
  <mergeCells count="85">
    <mergeCell ref="U61:Z61"/>
    <mergeCell ref="A62:Q63"/>
    <mergeCell ref="R62:T64"/>
    <mergeCell ref="U62:Z64"/>
    <mergeCell ref="H56:J56"/>
    <mergeCell ref="B17:H17"/>
    <mergeCell ref="B12:G12"/>
    <mergeCell ref="B11:G11"/>
    <mergeCell ref="A61:Q61"/>
    <mergeCell ref="R61:T61"/>
    <mergeCell ref="H12:M12"/>
    <mergeCell ref="H11:M11"/>
    <mergeCell ref="N11:R11"/>
    <mergeCell ref="C34:G34"/>
    <mergeCell ref="H34:J34"/>
    <mergeCell ref="K34:P34"/>
    <mergeCell ref="C32:G32"/>
    <mergeCell ref="H32:J32"/>
    <mergeCell ref="K32:P32"/>
    <mergeCell ref="C33:G33"/>
    <mergeCell ref="H33:J33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G5:H5"/>
    <mergeCell ref="K28:P28"/>
    <mergeCell ref="C29:G29"/>
    <mergeCell ref="H29:J29"/>
    <mergeCell ref="K29:P29"/>
    <mergeCell ref="N12:R12"/>
    <mergeCell ref="H55:J5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K31:P3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C28:G28"/>
    <mergeCell ref="H28:J28"/>
    <mergeCell ref="H57:J57"/>
    <mergeCell ref="K33:P33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0:G30"/>
    <mergeCell ref="H30:J30"/>
    <mergeCell ref="K30:P30"/>
    <mergeCell ref="C31:G31"/>
    <mergeCell ref="H31:J31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91CF7-5206-4789-91AB-B6E7EF9029EC}">
  <sheetPr>
    <pageSetUpPr fitToPage="1"/>
  </sheetPr>
  <dimension ref="A1:AA76"/>
  <sheetViews>
    <sheetView topLeftCell="A44"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  <col min="28" max="16384" width="11.44140625" style="138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309" t="s">
        <v>51</v>
      </c>
      <c r="V1" s="310"/>
      <c r="W1" s="310"/>
      <c r="X1" s="310"/>
      <c r="Y1" s="310"/>
      <c r="Z1" s="311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312"/>
      <c r="V2" s="313"/>
      <c r="W2" s="313"/>
      <c r="X2" s="313"/>
      <c r="Y2" s="313"/>
      <c r="Z2" s="314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312"/>
      <c r="V3" s="313"/>
      <c r="W3" s="313"/>
      <c r="X3" s="313"/>
      <c r="Y3" s="313"/>
      <c r="Z3" s="314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312"/>
      <c r="V4" s="313"/>
      <c r="W4" s="313"/>
      <c r="X4" s="313"/>
      <c r="Y4" s="313"/>
      <c r="Z4" s="314"/>
    </row>
    <row r="5" spans="1:26" ht="12.75" customHeight="1" x14ac:dyDescent="0.25">
      <c r="A5" s="365"/>
      <c r="B5" s="366"/>
      <c r="C5" s="366"/>
      <c r="D5" s="366"/>
      <c r="E5" s="366"/>
      <c r="F5" s="367"/>
      <c r="G5" s="344" t="s">
        <v>2</v>
      </c>
      <c r="H5" s="345"/>
      <c r="I5" s="349">
        <v>6</v>
      </c>
      <c r="J5" s="349"/>
      <c r="K5" s="350"/>
      <c r="L5" s="352" t="s">
        <v>3</v>
      </c>
      <c r="M5" s="353"/>
      <c r="N5" s="353"/>
      <c r="O5" s="354"/>
      <c r="P5" s="355" t="s">
        <v>79</v>
      </c>
      <c r="Q5" s="356"/>
      <c r="R5" s="356"/>
      <c r="S5" s="356"/>
      <c r="T5" s="357"/>
      <c r="U5" s="312"/>
      <c r="V5" s="313"/>
      <c r="W5" s="313"/>
      <c r="X5" s="313"/>
      <c r="Y5" s="313"/>
      <c r="Z5" s="314"/>
    </row>
    <row r="6" spans="1:26" ht="12.75" customHeight="1" x14ac:dyDescent="0.25">
      <c r="A6" s="368"/>
      <c r="B6" s="369"/>
      <c r="C6" s="369"/>
      <c r="D6" s="369"/>
      <c r="E6" s="369"/>
      <c r="F6" s="370"/>
      <c r="G6" s="209"/>
      <c r="H6" s="169"/>
      <c r="I6" s="351" t="s">
        <v>5</v>
      </c>
      <c r="J6" s="351"/>
      <c r="K6" s="351"/>
      <c r="L6" s="351" t="s">
        <v>6</v>
      </c>
      <c r="M6" s="351"/>
      <c r="N6" s="351"/>
      <c r="O6" s="351"/>
      <c r="P6" s="351" t="s">
        <v>7</v>
      </c>
      <c r="Q6" s="351"/>
      <c r="R6" s="351"/>
      <c r="S6" s="351"/>
      <c r="T6" s="358"/>
      <c r="U6" s="315"/>
      <c r="V6" s="316"/>
      <c r="W6" s="316"/>
      <c r="X6" s="316"/>
      <c r="Y6" s="316"/>
      <c r="Z6" s="317"/>
    </row>
    <row r="7" spans="1:26" ht="36.6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9" customHeight="1" x14ac:dyDescent="0.25">
      <c r="A8" s="188" t="s">
        <v>10</v>
      </c>
      <c r="B8" s="164" t="s">
        <v>11</v>
      </c>
      <c r="C8" s="161"/>
      <c r="D8" s="208"/>
      <c r="E8" s="208"/>
      <c r="F8" s="208"/>
      <c r="G8" s="208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84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305" t="s">
        <v>12</v>
      </c>
      <c r="C10" s="305"/>
      <c r="D10" s="305"/>
      <c r="E10" s="305"/>
      <c r="F10" s="305"/>
      <c r="G10" s="305"/>
      <c r="H10" s="348" t="s">
        <v>13</v>
      </c>
      <c r="I10" s="348"/>
      <c r="J10" s="348"/>
      <c r="K10" s="348"/>
      <c r="L10" s="348"/>
      <c r="M10" s="348"/>
      <c r="N10" s="305" t="s">
        <v>14</v>
      </c>
      <c r="O10" s="305"/>
      <c r="P10" s="305"/>
      <c r="Q10" s="305"/>
      <c r="R10" s="305"/>
      <c r="S10" s="332" t="s">
        <v>80</v>
      </c>
      <c r="T10" s="332"/>
      <c r="U10" s="332"/>
      <c r="V10" s="332"/>
      <c r="W10" s="332"/>
      <c r="X10" s="332"/>
      <c r="Y10" s="332"/>
      <c r="Z10" s="207"/>
    </row>
    <row r="11" spans="1:26" ht="15.9" customHeight="1" x14ac:dyDescent="0.25">
      <c r="A11" s="173"/>
      <c r="B11" s="305" t="s">
        <v>16</v>
      </c>
      <c r="C11" s="305"/>
      <c r="D11" s="305"/>
      <c r="E11" s="305"/>
      <c r="F11" s="305"/>
      <c r="G11" s="305"/>
      <c r="H11" s="348" t="s">
        <v>79</v>
      </c>
      <c r="I11" s="348"/>
      <c r="J11" s="348"/>
      <c r="K11" s="348"/>
      <c r="L11" s="348"/>
      <c r="M11" s="348"/>
      <c r="N11" s="305" t="s">
        <v>17</v>
      </c>
      <c r="O11" s="305"/>
      <c r="P11" s="305"/>
      <c r="Q11" s="305"/>
      <c r="R11" s="305"/>
      <c r="S11" s="332" t="s">
        <v>18</v>
      </c>
      <c r="T11" s="332"/>
      <c r="U11" s="332"/>
      <c r="V11" s="332"/>
      <c r="W11" s="332"/>
      <c r="X11" s="332"/>
      <c r="Y11" s="332"/>
      <c r="Z11" s="207"/>
    </row>
    <row r="12" spans="1:26" ht="15.9" customHeight="1" x14ac:dyDescent="0.25">
      <c r="A12" s="173"/>
      <c r="B12" s="305" t="s">
        <v>19</v>
      </c>
      <c r="C12" s="305"/>
      <c r="D12" s="305"/>
      <c r="E12" s="305"/>
      <c r="F12" s="305"/>
      <c r="G12" s="305"/>
      <c r="H12" s="348" t="s">
        <v>78</v>
      </c>
      <c r="I12" s="348"/>
      <c r="J12" s="348"/>
      <c r="K12" s="348"/>
      <c r="L12" s="348"/>
      <c r="M12" s="348"/>
      <c r="N12" s="305" t="s">
        <v>21</v>
      </c>
      <c r="O12" s="305"/>
      <c r="P12" s="305"/>
      <c r="Q12" s="305"/>
      <c r="R12" s="305"/>
      <c r="S12" s="332" t="s">
        <v>22</v>
      </c>
      <c r="T12" s="332"/>
      <c r="U12" s="332"/>
      <c r="V12" s="332"/>
      <c r="W12" s="332"/>
      <c r="X12" s="332"/>
      <c r="Y12" s="332"/>
      <c r="Z12" s="207"/>
    </row>
    <row r="13" spans="1:26" ht="8.25" customHeight="1" x14ac:dyDescent="0.25">
      <c r="A13" s="206"/>
      <c r="B13" s="169"/>
      <c r="C13" s="169"/>
      <c r="D13" s="205"/>
      <c r="E13" s="205"/>
      <c r="F13" s="205"/>
      <c r="G13" s="205"/>
      <c r="H13" s="169"/>
      <c r="I13" s="169"/>
      <c r="J13" s="169"/>
      <c r="K13" s="169"/>
      <c r="L13" s="169"/>
      <c r="M13" s="169"/>
      <c r="N13" s="204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202"/>
      <c r="C14" s="202"/>
      <c r="K14" s="203"/>
      <c r="L14" s="202"/>
      <c r="M14" s="201"/>
    </row>
    <row r="15" spans="1:26" s="141" customFormat="1" ht="15.6" customHeight="1" x14ac:dyDescent="0.25">
      <c r="A15" s="188" t="s">
        <v>23</v>
      </c>
      <c r="B15" s="200" t="s">
        <v>24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8"/>
    </row>
    <row r="16" spans="1:26" s="141" customFormat="1" ht="15" customHeight="1" x14ac:dyDescent="0.25">
      <c r="A16" s="195"/>
      <c r="B16" s="197"/>
      <c r="Z16" s="196"/>
    </row>
    <row r="17" spans="1:26" s="141" customFormat="1" ht="15" customHeight="1" x14ac:dyDescent="0.25">
      <c r="A17" s="195"/>
      <c r="B17" s="304" t="s">
        <v>25</v>
      </c>
      <c r="C17" s="304"/>
      <c r="D17" s="304"/>
      <c r="E17" s="304"/>
      <c r="F17" s="304"/>
      <c r="G17" s="304"/>
      <c r="H17" s="304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193"/>
    </row>
    <row r="18" spans="1:26" s="141" customFormat="1" ht="15" customHeight="1" x14ac:dyDescent="0.25">
      <c r="A18" s="195"/>
      <c r="B18" s="304" t="s">
        <v>26</v>
      </c>
      <c r="C18" s="304"/>
      <c r="D18" s="304"/>
      <c r="E18" s="304"/>
      <c r="F18" s="304"/>
      <c r="G18" s="304"/>
      <c r="H18" s="304"/>
      <c r="I18" s="402" t="s">
        <v>27</v>
      </c>
      <c r="J18" s="402"/>
      <c r="K18" s="194">
        <v>50</v>
      </c>
      <c r="L18" s="194" t="s">
        <v>28</v>
      </c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3"/>
    </row>
    <row r="19" spans="1:26" s="141" customFormat="1" ht="13.2" customHeight="1" x14ac:dyDescent="0.25">
      <c r="A19" s="192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0"/>
    </row>
    <row r="20" spans="1:26" ht="12.75" customHeight="1" x14ac:dyDescent="0.25">
      <c r="D20" s="140"/>
      <c r="E20" s="140"/>
      <c r="F20" s="140"/>
      <c r="G20" s="140"/>
      <c r="N20" s="189"/>
    </row>
    <row r="21" spans="1:26" ht="15.9" customHeight="1" x14ac:dyDescent="0.25">
      <c r="A21" s="188" t="s">
        <v>29</v>
      </c>
      <c r="B21" s="187" t="s">
        <v>30</v>
      </c>
      <c r="C21" s="185"/>
      <c r="D21" s="186"/>
      <c r="E21" s="186"/>
      <c r="F21" s="186"/>
      <c r="G21" s="186"/>
      <c r="H21" s="185"/>
      <c r="I21" s="185"/>
      <c r="J21" s="411" t="s">
        <v>31</v>
      </c>
      <c r="K21" s="411"/>
      <c r="L21" s="411"/>
      <c r="M21" s="411"/>
      <c r="N21" s="411"/>
      <c r="O21" s="411"/>
      <c r="P21" s="411"/>
      <c r="Q21" s="182">
        <v>600</v>
      </c>
      <c r="R21" s="161"/>
      <c r="S21" s="161"/>
      <c r="T21" s="161"/>
      <c r="U21" s="161"/>
      <c r="V21" s="161"/>
      <c r="W21" s="161"/>
      <c r="X21" s="161"/>
      <c r="Y21" s="161"/>
      <c r="Z21" s="184"/>
    </row>
    <row r="22" spans="1:26" ht="12.75" customHeight="1" x14ac:dyDescent="0.25">
      <c r="A22" s="173"/>
      <c r="B22" s="183"/>
      <c r="Z22" s="172"/>
    </row>
    <row r="23" spans="1:26" ht="15.75" customHeight="1" x14ac:dyDescent="0.25">
      <c r="A23" s="173"/>
      <c r="B23" s="409" t="s">
        <v>32</v>
      </c>
      <c r="C23" s="333" t="s">
        <v>33</v>
      </c>
      <c r="D23" s="333"/>
      <c r="E23" s="333"/>
      <c r="F23" s="333"/>
      <c r="G23" s="334"/>
      <c r="H23" s="406" t="s">
        <v>34</v>
      </c>
      <c r="I23" s="407"/>
      <c r="J23" s="408"/>
      <c r="K23" s="333" t="s">
        <v>35</v>
      </c>
      <c r="L23" s="333"/>
      <c r="M23" s="333"/>
      <c r="N23" s="333"/>
      <c r="O23" s="333"/>
      <c r="P23" s="334"/>
      <c r="Z23" s="172"/>
    </row>
    <row r="24" spans="1:26" ht="15.75" customHeight="1" x14ac:dyDescent="0.25">
      <c r="A24" s="173"/>
      <c r="B24" s="410"/>
      <c r="C24" s="335"/>
      <c r="D24" s="335"/>
      <c r="E24" s="335"/>
      <c r="F24" s="335"/>
      <c r="G24" s="336"/>
      <c r="H24" s="403" t="s">
        <v>36</v>
      </c>
      <c r="I24" s="404"/>
      <c r="J24" s="405"/>
      <c r="K24" s="335"/>
      <c r="L24" s="335"/>
      <c r="M24" s="335"/>
      <c r="N24" s="335"/>
      <c r="O24" s="335"/>
      <c r="P24" s="336"/>
      <c r="Z24" s="172"/>
    </row>
    <row r="25" spans="1:26" ht="19.5" customHeight="1" x14ac:dyDescent="0.25">
      <c r="A25" s="173"/>
      <c r="B25" s="181">
        <v>1</v>
      </c>
      <c r="C25" s="318" t="s">
        <v>77</v>
      </c>
      <c r="D25" s="319"/>
      <c r="E25" s="319"/>
      <c r="F25" s="319"/>
      <c r="G25" s="320"/>
      <c r="H25" s="359">
        <v>114</v>
      </c>
      <c r="I25" s="360"/>
      <c r="J25" s="361"/>
      <c r="K25" s="318"/>
      <c r="L25" s="319"/>
      <c r="M25" s="319"/>
      <c r="N25" s="319"/>
      <c r="O25" s="319"/>
      <c r="P25" s="320"/>
      <c r="Z25" s="172"/>
    </row>
    <row r="26" spans="1:26" ht="19.5" customHeight="1" x14ac:dyDescent="0.25">
      <c r="A26" s="173"/>
      <c r="B26" s="181">
        <v>2</v>
      </c>
      <c r="C26" s="318"/>
      <c r="D26" s="319"/>
      <c r="E26" s="319"/>
      <c r="F26" s="319"/>
      <c r="G26" s="320"/>
      <c r="H26" s="359">
        <v>131</v>
      </c>
      <c r="I26" s="360"/>
      <c r="J26" s="361"/>
      <c r="K26" s="318"/>
      <c r="L26" s="319"/>
      <c r="M26" s="319"/>
      <c r="N26" s="319"/>
      <c r="O26" s="319"/>
      <c r="P26" s="320"/>
      <c r="Z26" s="172"/>
    </row>
    <row r="27" spans="1:26" ht="19.5" customHeight="1" x14ac:dyDescent="0.25">
      <c r="A27" s="173"/>
      <c r="B27" s="181">
        <v>3</v>
      </c>
      <c r="C27" s="318"/>
      <c r="D27" s="319"/>
      <c r="E27" s="319"/>
      <c r="F27" s="319"/>
      <c r="G27" s="320"/>
      <c r="H27" s="359">
        <v>77</v>
      </c>
      <c r="I27" s="360"/>
      <c r="J27" s="361"/>
      <c r="K27" s="318"/>
      <c r="L27" s="319"/>
      <c r="M27" s="319"/>
      <c r="N27" s="319"/>
      <c r="O27" s="319"/>
      <c r="P27" s="320"/>
      <c r="Z27" s="172"/>
    </row>
    <row r="28" spans="1:26" ht="19.5" customHeight="1" x14ac:dyDescent="0.25">
      <c r="A28" s="173"/>
      <c r="B28" s="181">
        <v>4</v>
      </c>
      <c r="C28" s="318"/>
      <c r="D28" s="319"/>
      <c r="E28" s="319"/>
      <c r="F28" s="319"/>
      <c r="G28" s="320"/>
      <c r="H28" s="359">
        <v>54</v>
      </c>
      <c r="I28" s="360"/>
      <c r="J28" s="361"/>
      <c r="K28" s="318" t="s">
        <v>76</v>
      </c>
      <c r="L28" s="319"/>
      <c r="M28" s="319"/>
      <c r="N28" s="319"/>
      <c r="O28" s="319"/>
      <c r="P28" s="320"/>
      <c r="Z28" s="172"/>
    </row>
    <row r="29" spans="1:26" ht="19.5" customHeight="1" x14ac:dyDescent="0.25">
      <c r="A29" s="173"/>
      <c r="B29" s="181">
        <v>5</v>
      </c>
      <c r="C29" s="318"/>
      <c r="D29" s="319"/>
      <c r="E29" s="319"/>
      <c r="F29" s="319"/>
      <c r="G29" s="320"/>
      <c r="H29" s="359">
        <v>52</v>
      </c>
      <c r="I29" s="360"/>
      <c r="J29" s="361"/>
      <c r="K29" s="318" t="s">
        <v>76</v>
      </c>
      <c r="L29" s="319"/>
      <c r="M29" s="319"/>
      <c r="N29" s="319"/>
      <c r="O29" s="319"/>
      <c r="P29" s="320"/>
      <c r="Z29" s="172"/>
    </row>
    <row r="30" spans="1:26" ht="19.5" customHeight="1" x14ac:dyDescent="0.25">
      <c r="A30" s="173"/>
      <c r="B30" s="181">
        <v>6</v>
      </c>
      <c r="C30" s="318"/>
      <c r="D30" s="319"/>
      <c r="E30" s="319"/>
      <c r="F30" s="319"/>
      <c r="G30" s="320"/>
      <c r="H30" s="359">
        <v>75</v>
      </c>
      <c r="I30" s="360"/>
      <c r="J30" s="361"/>
      <c r="K30" s="318"/>
      <c r="L30" s="319"/>
      <c r="M30" s="319"/>
      <c r="N30" s="319"/>
      <c r="O30" s="319"/>
      <c r="P30" s="320"/>
      <c r="Z30" s="172"/>
    </row>
    <row r="31" spans="1:26" ht="19.5" customHeight="1" x14ac:dyDescent="0.25">
      <c r="A31" s="173"/>
      <c r="B31" s="181">
        <v>7</v>
      </c>
      <c r="C31" s="318"/>
      <c r="D31" s="319"/>
      <c r="E31" s="319"/>
      <c r="F31" s="319"/>
      <c r="G31" s="320"/>
      <c r="H31" s="359">
        <v>93</v>
      </c>
      <c r="I31" s="360"/>
      <c r="J31" s="361"/>
      <c r="K31" s="318"/>
      <c r="L31" s="319"/>
      <c r="M31" s="319"/>
      <c r="N31" s="319"/>
      <c r="O31" s="319"/>
      <c r="P31" s="320"/>
      <c r="Z31" s="172"/>
    </row>
    <row r="32" spans="1:26" ht="19.5" customHeight="1" x14ac:dyDescent="0.25">
      <c r="A32" s="173"/>
      <c r="B32" s="181">
        <v>8</v>
      </c>
      <c r="C32" s="318"/>
      <c r="D32" s="319"/>
      <c r="E32" s="319"/>
      <c r="F32" s="319"/>
      <c r="G32" s="320"/>
      <c r="H32" s="359">
        <v>89</v>
      </c>
      <c r="I32" s="360"/>
      <c r="J32" s="361"/>
      <c r="K32" s="318"/>
      <c r="L32" s="319"/>
      <c r="M32" s="319"/>
      <c r="N32" s="319"/>
      <c r="O32" s="319"/>
      <c r="P32" s="320"/>
      <c r="Z32" s="172"/>
    </row>
    <row r="33" spans="1:26" ht="19.5" customHeight="1" x14ac:dyDescent="0.25">
      <c r="A33" s="173"/>
      <c r="B33" s="210"/>
      <c r="C33" s="177"/>
      <c r="D33" s="176"/>
      <c r="E33" s="176"/>
      <c r="F33" s="176"/>
      <c r="G33" s="175"/>
      <c r="H33" s="180"/>
      <c r="I33" s="179"/>
      <c r="J33" s="178"/>
      <c r="K33" s="177"/>
      <c r="L33" s="176"/>
      <c r="M33" s="176"/>
      <c r="N33" s="176"/>
      <c r="O33" s="176"/>
      <c r="P33" s="175"/>
      <c r="Z33" s="172"/>
    </row>
    <row r="34" spans="1:26" ht="19.5" customHeight="1" x14ac:dyDescent="0.25">
      <c r="A34" s="173"/>
      <c r="B34" s="210"/>
      <c r="C34" s="177"/>
      <c r="D34" s="176"/>
      <c r="E34" s="176"/>
      <c r="F34" s="176"/>
      <c r="G34" s="175"/>
      <c r="H34" s="180"/>
      <c r="I34" s="179"/>
      <c r="J34" s="178"/>
      <c r="K34" s="177"/>
      <c r="L34" s="176"/>
      <c r="M34" s="176"/>
      <c r="N34" s="176"/>
      <c r="O34" s="176"/>
      <c r="P34" s="175"/>
      <c r="Z34" s="172"/>
    </row>
    <row r="35" spans="1:26" ht="19.5" customHeight="1" x14ac:dyDescent="0.25">
      <c r="A35" s="173"/>
      <c r="B35" s="210"/>
      <c r="C35" s="177"/>
      <c r="D35" s="176"/>
      <c r="E35" s="176"/>
      <c r="F35" s="176"/>
      <c r="G35" s="175"/>
      <c r="H35" s="180"/>
      <c r="I35" s="179"/>
      <c r="J35" s="178"/>
      <c r="K35" s="177"/>
      <c r="L35" s="176"/>
      <c r="M35" s="176"/>
      <c r="N35" s="176"/>
      <c r="O35" s="176"/>
      <c r="P35" s="175"/>
      <c r="Z35" s="172"/>
    </row>
    <row r="36" spans="1:26" ht="19.5" customHeight="1" x14ac:dyDescent="0.25">
      <c r="A36" s="173"/>
      <c r="B36" s="210"/>
      <c r="C36" s="177"/>
      <c r="D36" s="176"/>
      <c r="E36" s="176"/>
      <c r="F36" s="176"/>
      <c r="G36" s="175"/>
      <c r="H36" s="180"/>
      <c r="I36" s="179"/>
      <c r="J36" s="178"/>
      <c r="K36" s="177"/>
      <c r="L36" s="176"/>
      <c r="M36" s="176"/>
      <c r="N36" s="176"/>
      <c r="O36" s="176"/>
      <c r="P36" s="175"/>
      <c r="Z36" s="172"/>
    </row>
    <row r="37" spans="1:26" ht="19.5" customHeight="1" x14ac:dyDescent="0.25">
      <c r="A37" s="173"/>
      <c r="B37" s="210"/>
      <c r="C37" s="177"/>
      <c r="D37" s="176"/>
      <c r="E37" s="176"/>
      <c r="F37" s="176"/>
      <c r="G37" s="175"/>
      <c r="H37" s="180"/>
      <c r="I37" s="179"/>
      <c r="J37" s="178"/>
      <c r="K37" s="177"/>
      <c r="L37" s="176"/>
      <c r="M37" s="176"/>
      <c r="N37" s="176"/>
      <c r="O37" s="176"/>
      <c r="P37" s="175"/>
      <c r="Z37" s="172"/>
    </row>
    <row r="38" spans="1:26" ht="19.5" customHeight="1" x14ac:dyDescent="0.25">
      <c r="A38" s="173"/>
      <c r="B38" s="210"/>
      <c r="C38" s="177"/>
      <c r="D38" s="176"/>
      <c r="E38" s="176"/>
      <c r="F38" s="176"/>
      <c r="G38" s="175"/>
      <c r="H38" s="180"/>
      <c r="I38" s="179"/>
      <c r="J38" s="178"/>
      <c r="K38" s="177"/>
      <c r="L38" s="176"/>
      <c r="M38" s="176"/>
      <c r="N38" s="176"/>
      <c r="O38" s="176"/>
      <c r="P38" s="175"/>
      <c r="Z38" s="172"/>
    </row>
    <row r="39" spans="1:26" ht="19.5" customHeight="1" x14ac:dyDescent="0.25">
      <c r="A39" s="173"/>
      <c r="B39" s="210"/>
      <c r="C39" s="177"/>
      <c r="D39" s="176"/>
      <c r="E39" s="176"/>
      <c r="F39" s="176"/>
      <c r="G39" s="175"/>
      <c r="H39" s="180"/>
      <c r="I39" s="179"/>
      <c r="J39" s="178"/>
      <c r="K39" s="177"/>
      <c r="L39" s="176"/>
      <c r="M39" s="176"/>
      <c r="N39" s="176"/>
      <c r="O39" s="176"/>
      <c r="P39" s="175"/>
      <c r="Z39" s="172"/>
    </row>
    <row r="40" spans="1:26" ht="19.5" customHeight="1" x14ac:dyDescent="0.25">
      <c r="A40" s="173"/>
      <c r="B40" s="210"/>
      <c r="C40" s="177"/>
      <c r="D40" s="176"/>
      <c r="E40" s="176"/>
      <c r="F40" s="176"/>
      <c r="G40" s="175"/>
      <c r="H40" s="180"/>
      <c r="I40" s="179"/>
      <c r="J40" s="178"/>
      <c r="K40" s="177"/>
      <c r="L40" s="176"/>
      <c r="M40" s="176"/>
      <c r="N40" s="176"/>
      <c r="O40" s="176"/>
      <c r="P40" s="175"/>
      <c r="Z40" s="172"/>
    </row>
    <row r="41" spans="1:26" ht="19.5" customHeight="1" x14ac:dyDescent="0.25">
      <c r="A41" s="173"/>
      <c r="B41" s="210"/>
      <c r="C41" s="177"/>
      <c r="D41" s="176"/>
      <c r="E41" s="176"/>
      <c r="F41" s="176"/>
      <c r="G41" s="175"/>
      <c r="H41" s="180"/>
      <c r="I41" s="179"/>
      <c r="J41" s="178"/>
      <c r="K41" s="177"/>
      <c r="L41" s="176"/>
      <c r="M41" s="176"/>
      <c r="N41" s="176"/>
      <c r="O41" s="176"/>
      <c r="P41" s="175"/>
      <c r="Z41" s="172"/>
    </row>
    <row r="42" spans="1:26" ht="19.5" customHeight="1" x14ac:dyDescent="0.25">
      <c r="A42" s="173"/>
      <c r="B42" s="210"/>
      <c r="C42" s="177"/>
      <c r="D42" s="176"/>
      <c r="E42" s="176"/>
      <c r="F42" s="176"/>
      <c r="G42" s="175"/>
      <c r="H42" s="180"/>
      <c r="I42" s="179"/>
      <c r="J42" s="178"/>
      <c r="K42" s="177"/>
      <c r="L42" s="176"/>
      <c r="M42" s="176"/>
      <c r="N42" s="176"/>
      <c r="O42" s="176"/>
      <c r="P42" s="175"/>
      <c r="Z42" s="172"/>
    </row>
    <row r="43" spans="1:26" ht="19.5" customHeight="1" x14ac:dyDescent="0.25">
      <c r="A43" s="173"/>
      <c r="B43" s="210"/>
      <c r="C43" s="177"/>
      <c r="D43" s="176"/>
      <c r="E43" s="176"/>
      <c r="F43" s="176"/>
      <c r="G43" s="175"/>
      <c r="H43" s="180"/>
      <c r="I43" s="179"/>
      <c r="J43" s="178"/>
      <c r="K43" s="177"/>
      <c r="L43" s="176"/>
      <c r="M43" s="176"/>
      <c r="N43" s="176"/>
      <c r="O43" s="176"/>
      <c r="P43" s="175"/>
      <c r="Z43" s="172"/>
    </row>
    <row r="44" spans="1:26" ht="19.5" customHeight="1" x14ac:dyDescent="0.25">
      <c r="A44" s="173"/>
      <c r="B44" s="210"/>
      <c r="C44" s="177"/>
      <c r="D44" s="176"/>
      <c r="E44" s="176"/>
      <c r="F44" s="176"/>
      <c r="G44" s="175"/>
      <c r="H44" s="180"/>
      <c r="I44" s="179"/>
      <c r="J44" s="178"/>
      <c r="K44" s="177"/>
      <c r="L44" s="176"/>
      <c r="M44" s="176"/>
      <c r="N44" s="176"/>
      <c r="O44" s="176"/>
      <c r="P44" s="175"/>
      <c r="Z44" s="172"/>
    </row>
    <row r="45" spans="1:26" ht="19.5" customHeight="1" x14ac:dyDescent="0.25">
      <c r="A45" s="173"/>
      <c r="B45" s="210"/>
      <c r="C45" s="177"/>
      <c r="D45" s="176"/>
      <c r="E45" s="176"/>
      <c r="F45" s="176"/>
      <c r="G45" s="175"/>
      <c r="H45" s="180"/>
      <c r="I45" s="179"/>
      <c r="J45" s="178"/>
      <c r="K45" s="177"/>
      <c r="L45" s="176"/>
      <c r="M45" s="176"/>
      <c r="N45" s="176"/>
      <c r="O45" s="176"/>
      <c r="P45" s="175"/>
      <c r="Z45" s="172"/>
    </row>
    <row r="46" spans="1:26" ht="19.5" customHeight="1" x14ac:dyDescent="0.25">
      <c r="A46" s="173"/>
      <c r="B46" s="210"/>
      <c r="C46" s="177"/>
      <c r="D46" s="176"/>
      <c r="E46" s="176"/>
      <c r="F46" s="176"/>
      <c r="G46" s="175"/>
      <c r="H46" s="180"/>
      <c r="I46" s="179"/>
      <c r="J46" s="178"/>
      <c r="K46" s="177"/>
      <c r="L46" s="176"/>
      <c r="M46" s="176"/>
      <c r="N46" s="176"/>
      <c r="O46" s="176"/>
      <c r="P46" s="175"/>
      <c r="Z46" s="172"/>
    </row>
    <row r="47" spans="1:26" ht="19.5" customHeight="1" x14ac:dyDescent="0.25">
      <c r="A47" s="173"/>
      <c r="B47" s="210"/>
      <c r="C47" s="177"/>
      <c r="D47" s="176"/>
      <c r="E47" s="176"/>
      <c r="F47" s="176"/>
      <c r="G47" s="175"/>
      <c r="H47" s="180"/>
      <c r="I47" s="179"/>
      <c r="J47" s="178"/>
      <c r="K47" s="177"/>
      <c r="L47" s="176"/>
      <c r="M47" s="176"/>
      <c r="N47" s="176"/>
      <c r="O47" s="176"/>
      <c r="P47" s="175"/>
      <c r="Z47" s="172"/>
    </row>
    <row r="48" spans="1:26" ht="19.5" customHeight="1" x14ac:dyDescent="0.25">
      <c r="A48" s="173"/>
      <c r="B48" s="210"/>
      <c r="C48" s="177"/>
      <c r="D48" s="176"/>
      <c r="E48" s="176"/>
      <c r="F48" s="176"/>
      <c r="G48" s="175"/>
      <c r="H48" s="180"/>
      <c r="I48" s="179"/>
      <c r="J48" s="178"/>
      <c r="K48" s="177"/>
      <c r="L48" s="176"/>
      <c r="M48" s="176"/>
      <c r="N48" s="176"/>
      <c r="O48" s="176"/>
      <c r="P48" s="175"/>
      <c r="Z48" s="172"/>
    </row>
    <row r="49" spans="1:26" ht="19.5" customHeight="1" x14ac:dyDescent="0.25">
      <c r="A49" s="173"/>
      <c r="B49" s="210"/>
      <c r="C49" s="177"/>
      <c r="D49" s="176"/>
      <c r="E49" s="176"/>
      <c r="F49" s="176"/>
      <c r="G49" s="175"/>
      <c r="H49" s="180"/>
      <c r="I49" s="179"/>
      <c r="J49" s="178"/>
      <c r="K49" s="177"/>
      <c r="L49" s="176"/>
      <c r="M49" s="176"/>
      <c r="N49" s="176"/>
      <c r="O49" s="176"/>
      <c r="P49" s="175"/>
      <c r="Z49" s="172"/>
    </row>
    <row r="50" spans="1:26" ht="19.5" customHeight="1" x14ac:dyDescent="0.25">
      <c r="A50" s="173"/>
      <c r="B50" s="210"/>
      <c r="C50" s="177"/>
      <c r="D50" s="176"/>
      <c r="E50" s="176"/>
      <c r="F50" s="176"/>
      <c r="G50" s="175"/>
      <c r="H50" s="180"/>
      <c r="I50" s="179"/>
      <c r="J50" s="178"/>
      <c r="K50" s="177"/>
      <c r="L50" s="176"/>
      <c r="M50" s="176"/>
      <c r="N50" s="176"/>
      <c r="O50" s="176"/>
      <c r="P50" s="175"/>
      <c r="Z50" s="172"/>
    </row>
    <row r="51" spans="1:26" ht="19.5" customHeight="1" x14ac:dyDescent="0.25">
      <c r="A51" s="173"/>
      <c r="B51" s="210"/>
      <c r="C51" s="177"/>
      <c r="D51" s="176"/>
      <c r="E51" s="176"/>
      <c r="F51" s="176"/>
      <c r="G51" s="175"/>
      <c r="H51" s="180"/>
      <c r="I51" s="179"/>
      <c r="J51" s="178"/>
      <c r="K51" s="177"/>
      <c r="L51" s="176"/>
      <c r="M51" s="176"/>
      <c r="N51" s="176"/>
      <c r="O51" s="176"/>
      <c r="P51" s="175"/>
      <c r="Z51" s="172"/>
    </row>
    <row r="52" spans="1:26" ht="19.5" customHeight="1" x14ac:dyDescent="0.25">
      <c r="A52" s="173"/>
      <c r="B52" s="210"/>
      <c r="C52" s="177"/>
      <c r="D52" s="176"/>
      <c r="E52" s="176"/>
      <c r="F52" s="176"/>
      <c r="G52" s="175"/>
      <c r="H52" s="180"/>
      <c r="I52" s="179"/>
      <c r="J52" s="178"/>
      <c r="K52" s="177"/>
      <c r="L52" s="176"/>
      <c r="M52" s="176"/>
      <c r="N52" s="176"/>
      <c r="O52" s="176"/>
      <c r="P52" s="175"/>
      <c r="Z52" s="172"/>
    </row>
    <row r="53" spans="1:26" ht="19.5" customHeight="1" x14ac:dyDescent="0.25">
      <c r="A53" s="173"/>
      <c r="B53" s="210"/>
      <c r="C53" s="177"/>
      <c r="D53" s="176"/>
      <c r="E53" s="176"/>
      <c r="F53" s="176"/>
      <c r="G53" s="175"/>
      <c r="H53" s="180"/>
      <c r="I53" s="179"/>
      <c r="J53" s="178"/>
      <c r="K53" s="177"/>
      <c r="L53" s="176"/>
      <c r="M53" s="176"/>
      <c r="N53" s="176"/>
      <c r="O53" s="176"/>
      <c r="P53" s="175"/>
      <c r="Z53" s="172"/>
    </row>
    <row r="54" spans="1:26" ht="19.5" customHeight="1" thickBot="1" x14ac:dyDescent="0.3">
      <c r="A54" s="173"/>
      <c r="B54" s="174"/>
      <c r="C54" s="538"/>
      <c r="D54" s="539"/>
      <c r="E54" s="539"/>
      <c r="F54" s="539"/>
      <c r="G54" s="540"/>
      <c r="H54" s="541"/>
      <c r="I54" s="542"/>
      <c r="J54" s="543"/>
      <c r="K54" s="538"/>
      <c r="L54" s="539"/>
      <c r="M54" s="539"/>
      <c r="N54" s="539"/>
      <c r="O54" s="539"/>
      <c r="P54" s="540"/>
      <c r="Z54" s="172"/>
    </row>
    <row r="55" spans="1:26" ht="15.75" customHeight="1" x14ac:dyDescent="0.25">
      <c r="A55" s="173"/>
      <c r="B55" s="393" t="s">
        <v>37</v>
      </c>
      <c r="C55" s="394"/>
      <c r="D55" s="394"/>
      <c r="E55" s="394"/>
      <c r="F55" s="394"/>
      <c r="G55" s="395"/>
      <c r="H55" s="399">
        <f>AVERAGE(H25:J54)</f>
        <v>85.625</v>
      </c>
      <c r="I55" s="400"/>
      <c r="J55" s="401"/>
      <c r="K55" s="326" t="s">
        <v>75</v>
      </c>
      <c r="L55" s="327"/>
      <c r="M55" s="321" t="s">
        <v>38</v>
      </c>
      <c r="N55" s="321"/>
      <c r="O55" s="321"/>
      <c r="P55" s="322"/>
      <c r="Z55" s="172"/>
    </row>
    <row r="56" spans="1:26" ht="15.75" customHeight="1" x14ac:dyDescent="0.25">
      <c r="A56" s="173"/>
      <c r="B56" s="387" t="s">
        <v>39</v>
      </c>
      <c r="C56" s="388"/>
      <c r="D56" s="388"/>
      <c r="E56" s="388"/>
      <c r="F56" s="388"/>
      <c r="G56" s="389"/>
      <c r="H56" s="301">
        <f>IF(COUNTIF(H25:J54,"*&lt;20*"),"&lt;20",MIN(H25:J54))</f>
        <v>52</v>
      </c>
      <c r="I56" s="302"/>
      <c r="J56" s="303"/>
      <c r="K56" s="328"/>
      <c r="L56" s="329"/>
      <c r="M56" s="294"/>
      <c r="N56" s="294"/>
      <c r="O56" s="294"/>
      <c r="P56" s="323"/>
      <c r="Z56" s="172"/>
    </row>
    <row r="57" spans="1:26" ht="15.75" customHeight="1" thickBot="1" x14ac:dyDescent="0.3">
      <c r="A57" s="173"/>
      <c r="B57" s="390" t="s">
        <v>40</v>
      </c>
      <c r="C57" s="391"/>
      <c r="D57" s="391"/>
      <c r="E57" s="391"/>
      <c r="F57" s="391"/>
      <c r="G57" s="392"/>
      <c r="H57" s="396">
        <f>IF(COUNTIF(H25:J54,"*&gt;250*"),"&gt;250",MAX(H25:J54))</f>
        <v>131</v>
      </c>
      <c r="I57" s="397"/>
      <c r="J57" s="398"/>
      <c r="K57" s="330"/>
      <c r="L57" s="331"/>
      <c r="M57" s="324"/>
      <c r="N57" s="324"/>
      <c r="O57" s="324"/>
      <c r="P57" s="325"/>
      <c r="Z57" s="172"/>
    </row>
    <row r="58" spans="1:26" ht="15.9" customHeight="1" x14ac:dyDescent="0.25">
      <c r="A58" s="171"/>
      <c r="B58" s="170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8"/>
    </row>
    <row r="59" spans="1:26" ht="12.75" customHeight="1" x14ac:dyDescent="0.25">
      <c r="A59" s="167"/>
      <c r="B59" s="166"/>
    </row>
    <row r="60" spans="1:26" s="141" customFormat="1" ht="15.6" customHeight="1" x14ac:dyDescent="0.25">
      <c r="A60" s="165" t="s">
        <v>41</v>
      </c>
      <c r="B60" s="164" t="s">
        <v>42</v>
      </c>
      <c r="C60" s="163"/>
      <c r="D60" s="163"/>
      <c r="E60" s="163"/>
      <c r="F60" s="162"/>
      <c r="G60" s="162"/>
      <c r="H60" s="162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0"/>
      <c r="V60" s="159"/>
      <c r="W60" s="159"/>
      <c r="X60" s="158"/>
      <c r="Y60" s="158"/>
      <c r="Z60" s="157"/>
    </row>
    <row r="61" spans="1:26" s="141" customFormat="1" ht="28.5" customHeight="1" x14ac:dyDescent="0.25">
      <c r="A61" s="306" t="s">
        <v>43</v>
      </c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8"/>
      <c r="R61" s="286" t="s">
        <v>44</v>
      </c>
      <c r="S61" s="287"/>
      <c r="T61" s="288"/>
      <c r="U61" s="276" t="s">
        <v>13</v>
      </c>
      <c r="V61" s="277"/>
      <c r="W61" s="277"/>
      <c r="X61" s="278"/>
      <c r="Y61" s="278"/>
      <c r="Z61" s="279"/>
    </row>
    <row r="62" spans="1:26" s="141" customFormat="1" ht="15.6" customHeight="1" x14ac:dyDescent="0.25">
      <c r="A62" s="280" t="s">
        <v>53</v>
      </c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2"/>
      <c r="R62" s="286" t="s">
        <v>46</v>
      </c>
      <c r="S62" s="287"/>
      <c r="T62" s="288"/>
      <c r="U62" s="289" t="s">
        <v>47</v>
      </c>
      <c r="V62" s="290"/>
      <c r="W62" s="290"/>
      <c r="X62" s="291"/>
      <c r="Y62" s="291"/>
      <c r="Z62" s="292"/>
    </row>
    <row r="63" spans="1:26" s="141" customFormat="1" ht="15.6" customHeight="1" x14ac:dyDescent="0.25">
      <c r="A63" s="283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5"/>
      <c r="R63" s="286"/>
      <c r="S63" s="287"/>
      <c r="T63" s="288"/>
      <c r="U63" s="293"/>
      <c r="V63" s="294"/>
      <c r="W63" s="294"/>
      <c r="X63" s="295"/>
      <c r="Y63" s="295"/>
      <c r="Z63" s="296"/>
    </row>
    <row r="64" spans="1:26" s="141" customFormat="1" ht="15.6" customHeight="1" x14ac:dyDescent="0.25">
      <c r="A64" s="156" t="s">
        <v>48</v>
      </c>
      <c r="B64" s="155" t="s">
        <v>49</v>
      </c>
      <c r="C64" s="139"/>
      <c r="D64" s="139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3"/>
      <c r="R64" s="286"/>
      <c r="S64" s="287"/>
      <c r="T64" s="288"/>
      <c r="U64" s="297"/>
      <c r="V64" s="298"/>
      <c r="W64" s="298"/>
      <c r="X64" s="299"/>
      <c r="Y64" s="299"/>
      <c r="Z64" s="300"/>
    </row>
    <row r="65" spans="1:26" s="141" customFormat="1" ht="15.6" customHeight="1" x14ac:dyDescent="0.25">
      <c r="A65" s="378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80"/>
      <c r="R65" s="286" t="s">
        <v>50</v>
      </c>
      <c r="S65" s="287"/>
      <c r="T65" s="288"/>
      <c r="U65" s="152"/>
      <c r="V65" s="151"/>
      <c r="W65" s="151"/>
      <c r="X65" s="151"/>
      <c r="Y65" s="151"/>
      <c r="Z65" s="150"/>
    </row>
    <row r="66" spans="1:26" s="141" customFormat="1" ht="15.6" customHeight="1" x14ac:dyDescent="0.25">
      <c r="A66" s="378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80"/>
      <c r="R66" s="286"/>
      <c r="S66" s="287"/>
      <c r="T66" s="288"/>
      <c r="U66" s="149"/>
      <c r="V66" s="294"/>
      <c r="W66" s="294"/>
      <c r="X66" s="294"/>
      <c r="Y66" s="294"/>
      <c r="Z66" s="148"/>
    </row>
    <row r="67" spans="1:26" s="141" customFormat="1" ht="15.6" customHeight="1" x14ac:dyDescent="0.25">
      <c r="A67" s="378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80"/>
      <c r="R67" s="286"/>
      <c r="S67" s="287"/>
      <c r="T67" s="288"/>
      <c r="U67" s="149"/>
      <c r="V67" s="294"/>
      <c r="W67" s="294"/>
      <c r="X67" s="294"/>
      <c r="Y67" s="294"/>
      <c r="Z67" s="148"/>
    </row>
    <row r="68" spans="1:26" s="141" customFormat="1" ht="15.6" customHeight="1" x14ac:dyDescent="0.25">
      <c r="A68" s="381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383"/>
      <c r="R68" s="384"/>
      <c r="S68" s="385"/>
      <c r="T68" s="386"/>
      <c r="U68" s="147"/>
      <c r="V68" s="146"/>
      <c r="W68" s="146"/>
      <c r="X68" s="146"/>
      <c r="Y68" s="146"/>
      <c r="Z68" s="145"/>
    </row>
    <row r="69" spans="1:26" s="141" customFormat="1" ht="15" customHeight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3"/>
      <c r="S69" s="143"/>
      <c r="T69" s="143"/>
      <c r="U69" s="142"/>
      <c r="V69" s="142"/>
      <c r="W69" s="142"/>
      <c r="X69" s="142"/>
      <c r="Y69" s="142"/>
      <c r="Z69" s="142"/>
    </row>
    <row r="71" spans="1:26" ht="12.75" customHeight="1" x14ac:dyDescent="0.25">
      <c r="A71" s="139"/>
    </row>
    <row r="72" spans="1:26" ht="12.75" customHeight="1" x14ac:dyDescent="0.25">
      <c r="A72" s="139"/>
    </row>
    <row r="73" spans="1:26" ht="12.75" customHeight="1" x14ac:dyDescent="0.25">
      <c r="A73" s="139"/>
    </row>
    <row r="74" spans="1:26" ht="12.75" customHeight="1" x14ac:dyDescent="0.25">
      <c r="A74" s="139"/>
    </row>
    <row r="75" spans="1:26" ht="12.75" customHeight="1" x14ac:dyDescent="0.25">
      <c r="A75" s="139"/>
    </row>
    <row r="76" spans="1:26" ht="12.75" customHeight="1" x14ac:dyDescent="0.25">
      <c r="A76" s="139"/>
    </row>
  </sheetData>
  <sheetProtection formatCells="0" formatColumns="0" formatRows="0" insertColumns="0" insertRows="0" insertHyperlinks="0" deleteColumns="0" deleteRows="0" selectLockedCells="1" sort="0" autoFilter="0" pivotTables="0"/>
  <mergeCells count="79">
    <mergeCell ref="V66:Y67"/>
    <mergeCell ref="I18:J18"/>
    <mergeCell ref="H25:J25"/>
    <mergeCell ref="C25:G25"/>
    <mergeCell ref="H24:J24"/>
    <mergeCell ref="H23:J23"/>
    <mergeCell ref="B18:H18"/>
    <mergeCell ref="C27:G27"/>
    <mergeCell ref="H27:J27"/>
    <mergeCell ref="K27:P27"/>
    <mergeCell ref="C31:G31"/>
    <mergeCell ref="H31:J31"/>
    <mergeCell ref="K31:P31"/>
    <mergeCell ref="H29:J29"/>
    <mergeCell ref="K29:P29"/>
    <mergeCell ref="C30:G30"/>
    <mergeCell ref="A65:Q68"/>
    <mergeCell ref="R65:T68"/>
    <mergeCell ref="K26:P26"/>
    <mergeCell ref="C28:G28"/>
    <mergeCell ref="H28:J28"/>
    <mergeCell ref="K28:P28"/>
    <mergeCell ref="C54:G54"/>
    <mergeCell ref="B56:G56"/>
    <mergeCell ref="B57:G57"/>
    <mergeCell ref="B55:G55"/>
    <mergeCell ref="C26:G26"/>
    <mergeCell ref="H26:J26"/>
    <mergeCell ref="C29:G29"/>
    <mergeCell ref="C32:G32"/>
    <mergeCell ref="H32:J32"/>
    <mergeCell ref="K32:P32"/>
    <mergeCell ref="L6:O6"/>
    <mergeCell ref="P6:T6"/>
    <mergeCell ref="K30:P30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N12:R12"/>
    <mergeCell ref="H12:M12"/>
    <mergeCell ref="H11:M11"/>
    <mergeCell ref="N11:R11"/>
    <mergeCell ref="B11:G1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10:M10"/>
    <mergeCell ref="I5:K5"/>
    <mergeCell ref="I6:K6"/>
    <mergeCell ref="L5:O5"/>
    <mergeCell ref="P5:T5"/>
    <mergeCell ref="H57:J57"/>
    <mergeCell ref="H55:J55"/>
    <mergeCell ref="H56:J56"/>
    <mergeCell ref="B17:H17"/>
    <mergeCell ref="B12:G12"/>
    <mergeCell ref="B23:B24"/>
    <mergeCell ref="C23:G24"/>
    <mergeCell ref="J21:P21"/>
    <mergeCell ref="H30:J30"/>
    <mergeCell ref="A61:Q61"/>
    <mergeCell ref="R61:T61"/>
    <mergeCell ref="U61:Z6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4DC2-6D6C-4150-A2C3-C2B86CE83707}">
  <sheetPr>
    <pageSetUpPr fitToPage="1"/>
  </sheetPr>
  <dimension ref="A1:AA76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  <col min="28" max="16384" width="11.44140625" style="138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309" t="s">
        <v>51</v>
      </c>
      <c r="V1" s="310"/>
      <c r="W1" s="310"/>
      <c r="X1" s="310"/>
      <c r="Y1" s="310"/>
      <c r="Z1" s="311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312"/>
      <c r="V2" s="313"/>
      <c r="W2" s="313"/>
      <c r="X2" s="313"/>
      <c r="Y2" s="313"/>
      <c r="Z2" s="314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312"/>
      <c r="V3" s="313"/>
      <c r="W3" s="313"/>
      <c r="X3" s="313"/>
      <c r="Y3" s="313"/>
      <c r="Z3" s="314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312"/>
      <c r="V4" s="313"/>
      <c r="W4" s="313"/>
      <c r="X4" s="313"/>
      <c r="Y4" s="313"/>
      <c r="Z4" s="314"/>
    </row>
    <row r="5" spans="1:26" ht="12.75" customHeight="1" x14ac:dyDescent="0.25">
      <c r="A5" s="365"/>
      <c r="B5" s="366"/>
      <c r="C5" s="366"/>
      <c r="D5" s="366"/>
      <c r="E5" s="366"/>
      <c r="F5" s="367"/>
      <c r="G5" s="344" t="s">
        <v>2</v>
      </c>
      <c r="H5" s="345"/>
      <c r="I5" s="349">
        <v>5</v>
      </c>
      <c r="J5" s="349"/>
      <c r="K5" s="350"/>
      <c r="L5" s="352" t="s">
        <v>3</v>
      </c>
      <c r="M5" s="353"/>
      <c r="N5" s="353"/>
      <c r="O5" s="354"/>
      <c r="P5" s="355" t="s">
        <v>73</v>
      </c>
      <c r="Q5" s="356"/>
      <c r="R5" s="356"/>
      <c r="S5" s="356"/>
      <c r="T5" s="357"/>
      <c r="U5" s="312"/>
      <c r="V5" s="313"/>
      <c r="W5" s="313"/>
      <c r="X5" s="313"/>
      <c r="Y5" s="313"/>
      <c r="Z5" s="314"/>
    </row>
    <row r="6" spans="1:26" ht="12.75" customHeight="1" x14ac:dyDescent="0.25">
      <c r="A6" s="368"/>
      <c r="B6" s="369"/>
      <c r="C6" s="369"/>
      <c r="D6" s="369"/>
      <c r="E6" s="369"/>
      <c r="F6" s="370"/>
      <c r="G6" s="209"/>
      <c r="H6" s="169"/>
      <c r="I6" s="351" t="s">
        <v>5</v>
      </c>
      <c r="J6" s="351"/>
      <c r="K6" s="351"/>
      <c r="L6" s="351" t="s">
        <v>6</v>
      </c>
      <c r="M6" s="351"/>
      <c r="N6" s="351"/>
      <c r="O6" s="351"/>
      <c r="P6" s="351" t="s">
        <v>7</v>
      </c>
      <c r="Q6" s="351"/>
      <c r="R6" s="351"/>
      <c r="S6" s="351"/>
      <c r="T6" s="358"/>
      <c r="U6" s="315"/>
      <c r="V6" s="316"/>
      <c r="W6" s="316"/>
      <c r="X6" s="316"/>
      <c r="Y6" s="316"/>
      <c r="Z6" s="317"/>
    </row>
    <row r="7" spans="1:26" ht="36.6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9" customHeight="1" x14ac:dyDescent="0.25">
      <c r="A8" s="188" t="s">
        <v>10</v>
      </c>
      <c r="B8" s="164" t="s">
        <v>11</v>
      </c>
      <c r="C8" s="161"/>
      <c r="D8" s="208"/>
      <c r="E8" s="208"/>
      <c r="F8" s="208"/>
      <c r="G8" s="208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84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305" t="s">
        <v>12</v>
      </c>
      <c r="C10" s="305"/>
      <c r="D10" s="305"/>
      <c r="E10" s="305"/>
      <c r="F10" s="305"/>
      <c r="G10" s="305"/>
      <c r="H10" s="348" t="s">
        <v>13</v>
      </c>
      <c r="I10" s="348"/>
      <c r="J10" s="348"/>
      <c r="K10" s="348"/>
      <c r="L10" s="348"/>
      <c r="M10" s="348"/>
      <c r="N10" s="305" t="s">
        <v>14</v>
      </c>
      <c r="O10" s="305"/>
      <c r="P10" s="305"/>
      <c r="Q10" s="305"/>
      <c r="R10" s="305"/>
      <c r="S10" s="332" t="s">
        <v>74</v>
      </c>
      <c r="T10" s="332"/>
      <c r="U10" s="332"/>
      <c r="V10" s="332"/>
      <c r="W10" s="332"/>
      <c r="X10" s="332"/>
      <c r="Y10" s="332"/>
      <c r="Z10" s="207"/>
    </row>
    <row r="11" spans="1:26" ht="15.9" customHeight="1" x14ac:dyDescent="0.25">
      <c r="A11" s="173"/>
      <c r="B11" s="305" t="s">
        <v>16</v>
      </c>
      <c r="C11" s="305"/>
      <c r="D11" s="305"/>
      <c r="E11" s="305"/>
      <c r="F11" s="305"/>
      <c r="G11" s="305"/>
      <c r="H11" s="348" t="s">
        <v>73</v>
      </c>
      <c r="I11" s="348"/>
      <c r="J11" s="348"/>
      <c r="K11" s="348"/>
      <c r="L11" s="348"/>
      <c r="M11" s="348"/>
      <c r="N11" s="305" t="s">
        <v>17</v>
      </c>
      <c r="O11" s="305"/>
      <c r="P11" s="305"/>
      <c r="Q11" s="305"/>
      <c r="R11" s="305"/>
      <c r="S11" s="332" t="s">
        <v>18</v>
      </c>
      <c r="T11" s="332"/>
      <c r="U11" s="332"/>
      <c r="V11" s="332"/>
      <c r="W11" s="332"/>
      <c r="X11" s="332"/>
      <c r="Y11" s="332"/>
      <c r="Z11" s="207"/>
    </row>
    <row r="12" spans="1:26" ht="15.9" customHeight="1" x14ac:dyDescent="0.25">
      <c r="A12" s="173"/>
      <c r="B12" s="305" t="s">
        <v>19</v>
      </c>
      <c r="C12" s="305"/>
      <c r="D12" s="305"/>
      <c r="E12" s="305"/>
      <c r="F12" s="305"/>
      <c r="G12" s="305"/>
      <c r="H12" s="348" t="s">
        <v>72</v>
      </c>
      <c r="I12" s="348"/>
      <c r="J12" s="348"/>
      <c r="K12" s="348"/>
      <c r="L12" s="348"/>
      <c r="M12" s="348"/>
      <c r="N12" s="305" t="s">
        <v>21</v>
      </c>
      <c r="O12" s="305"/>
      <c r="P12" s="305"/>
      <c r="Q12" s="305"/>
      <c r="R12" s="305"/>
      <c r="S12" s="332" t="s">
        <v>22</v>
      </c>
      <c r="T12" s="332"/>
      <c r="U12" s="332"/>
      <c r="V12" s="332"/>
      <c r="W12" s="332"/>
      <c r="X12" s="332"/>
      <c r="Y12" s="332"/>
      <c r="Z12" s="207"/>
    </row>
    <row r="13" spans="1:26" ht="8.25" customHeight="1" x14ac:dyDescent="0.25">
      <c r="A13" s="206"/>
      <c r="B13" s="169"/>
      <c r="C13" s="169"/>
      <c r="D13" s="205"/>
      <c r="E13" s="205"/>
      <c r="F13" s="205"/>
      <c r="G13" s="205"/>
      <c r="H13" s="169"/>
      <c r="I13" s="169"/>
      <c r="J13" s="169"/>
      <c r="K13" s="169"/>
      <c r="L13" s="169"/>
      <c r="M13" s="169"/>
      <c r="N13" s="204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202"/>
      <c r="C14" s="202"/>
      <c r="K14" s="203"/>
      <c r="L14" s="202"/>
      <c r="M14" s="201"/>
    </row>
    <row r="15" spans="1:26" s="141" customFormat="1" ht="15.6" customHeight="1" x14ac:dyDescent="0.25">
      <c r="A15" s="188" t="s">
        <v>23</v>
      </c>
      <c r="B15" s="200" t="s">
        <v>24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8"/>
    </row>
    <row r="16" spans="1:26" s="141" customFormat="1" ht="15" customHeight="1" x14ac:dyDescent="0.25">
      <c r="A16" s="195"/>
      <c r="B16" s="197"/>
      <c r="Z16" s="196"/>
    </row>
    <row r="17" spans="1:26" s="141" customFormat="1" ht="15" customHeight="1" x14ac:dyDescent="0.25">
      <c r="A17" s="195"/>
      <c r="B17" s="304" t="s">
        <v>25</v>
      </c>
      <c r="C17" s="304"/>
      <c r="D17" s="304"/>
      <c r="E17" s="304"/>
      <c r="F17" s="304"/>
      <c r="G17" s="304"/>
      <c r="H17" s="304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193"/>
    </row>
    <row r="18" spans="1:26" s="141" customFormat="1" ht="15" customHeight="1" x14ac:dyDescent="0.25">
      <c r="A18" s="195"/>
      <c r="B18" s="304" t="s">
        <v>26</v>
      </c>
      <c r="C18" s="304"/>
      <c r="D18" s="304"/>
      <c r="E18" s="304"/>
      <c r="F18" s="304"/>
      <c r="G18" s="304"/>
      <c r="H18" s="304"/>
      <c r="I18" s="402" t="s">
        <v>27</v>
      </c>
      <c r="J18" s="402"/>
      <c r="K18" s="194">
        <v>50</v>
      </c>
      <c r="L18" s="194" t="s">
        <v>28</v>
      </c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3"/>
    </row>
    <row r="19" spans="1:26" s="141" customFormat="1" ht="13.2" customHeight="1" x14ac:dyDescent="0.25">
      <c r="A19" s="192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0"/>
    </row>
    <row r="20" spans="1:26" ht="12.75" customHeight="1" x14ac:dyDescent="0.25">
      <c r="D20" s="140"/>
      <c r="E20" s="140"/>
      <c r="F20" s="140"/>
      <c r="G20" s="140"/>
      <c r="N20" s="189"/>
    </row>
    <row r="21" spans="1:26" ht="15.9" customHeight="1" x14ac:dyDescent="0.25">
      <c r="A21" s="188" t="s">
        <v>29</v>
      </c>
      <c r="B21" s="187" t="s">
        <v>30</v>
      </c>
      <c r="C21" s="185"/>
      <c r="D21" s="186"/>
      <c r="E21" s="186"/>
      <c r="F21" s="186"/>
      <c r="G21" s="186"/>
      <c r="H21" s="185"/>
      <c r="I21" s="185"/>
      <c r="J21" s="411" t="s">
        <v>31</v>
      </c>
      <c r="K21" s="411"/>
      <c r="L21" s="411"/>
      <c r="M21" s="411"/>
      <c r="N21" s="411"/>
      <c r="O21" s="411"/>
      <c r="P21" s="411"/>
      <c r="Q21" s="182">
        <v>600</v>
      </c>
      <c r="R21" s="161"/>
      <c r="S21" s="161"/>
      <c r="T21" s="161"/>
      <c r="U21" s="161"/>
      <c r="V21" s="161"/>
      <c r="W21" s="161"/>
      <c r="X21" s="161"/>
      <c r="Y21" s="161"/>
      <c r="Z21" s="184"/>
    </row>
    <row r="22" spans="1:26" ht="12.75" customHeight="1" x14ac:dyDescent="0.25">
      <c r="A22" s="173"/>
      <c r="B22" s="183"/>
      <c r="Z22" s="172"/>
    </row>
    <row r="23" spans="1:26" ht="15.75" customHeight="1" x14ac:dyDescent="0.25">
      <c r="A23" s="173"/>
      <c r="B23" s="409" t="s">
        <v>32</v>
      </c>
      <c r="C23" s="333" t="s">
        <v>33</v>
      </c>
      <c r="D23" s="333"/>
      <c r="E23" s="333"/>
      <c r="F23" s="333"/>
      <c r="G23" s="334"/>
      <c r="H23" s="406" t="s">
        <v>34</v>
      </c>
      <c r="I23" s="407"/>
      <c r="J23" s="408"/>
      <c r="K23" s="333" t="s">
        <v>35</v>
      </c>
      <c r="L23" s="333"/>
      <c r="M23" s="333"/>
      <c r="N23" s="333"/>
      <c r="O23" s="333"/>
      <c r="P23" s="334"/>
      <c r="Z23" s="172"/>
    </row>
    <row r="24" spans="1:26" ht="15.75" customHeight="1" x14ac:dyDescent="0.25">
      <c r="A24" s="173"/>
      <c r="B24" s="410"/>
      <c r="C24" s="335"/>
      <c r="D24" s="335"/>
      <c r="E24" s="335"/>
      <c r="F24" s="335"/>
      <c r="G24" s="336"/>
      <c r="H24" s="403" t="s">
        <v>36</v>
      </c>
      <c r="I24" s="404"/>
      <c r="J24" s="405"/>
      <c r="K24" s="335"/>
      <c r="L24" s="335"/>
      <c r="M24" s="335"/>
      <c r="N24" s="335"/>
      <c r="O24" s="335"/>
      <c r="P24" s="336"/>
      <c r="Z24" s="172"/>
    </row>
    <row r="25" spans="1:26" ht="19.5" customHeight="1" x14ac:dyDescent="0.25">
      <c r="A25" s="173"/>
      <c r="B25" s="181">
        <v>1</v>
      </c>
      <c r="C25" s="318"/>
      <c r="D25" s="319"/>
      <c r="E25" s="319"/>
      <c r="F25" s="319"/>
      <c r="G25" s="320"/>
      <c r="H25" s="359">
        <v>184</v>
      </c>
      <c r="I25" s="360"/>
      <c r="J25" s="361"/>
      <c r="K25" s="318"/>
      <c r="L25" s="319"/>
      <c r="M25" s="319"/>
      <c r="N25" s="319"/>
      <c r="O25" s="319"/>
      <c r="P25" s="320"/>
      <c r="Z25" s="172"/>
    </row>
    <row r="26" spans="1:26" ht="19.5" customHeight="1" x14ac:dyDescent="0.25">
      <c r="A26" s="173"/>
      <c r="B26" s="181">
        <v>2</v>
      </c>
      <c r="C26" s="318"/>
      <c r="D26" s="319"/>
      <c r="E26" s="319"/>
      <c r="F26" s="319"/>
      <c r="G26" s="320"/>
      <c r="H26" s="359">
        <v>136</v>
      </c>
      <c r="I26" s="360"/>
      <c r="J26" s="361"/>
      <c r="K26" s="318"/>
      <c r="L26" s="319"/>
      <c r="M26" s="319"/>
      <c r="N26" s="319"/>
      <c r="O26" s="319"/>
      <c r="P26" s="320"/>
      <c r="Z26" s="172"/>
    </row>
    <row r="27" spans="1:26" ht="19.5" customHeight="1" x14ac:dyDescent="0.25">
      <c r="A27" s="173"/>
      <c r="B27" s="181">
        <v>3</v>
      </c>
      <c r="C27" s="318"/>
      <c r="D27" s="319"/>
      <c r="E27" s="319"/>
      <c r="F27" s="319"/>
      <c r="G27" s="320"/>
      <c r="H27" s="359">
        <v>107</v>
      </c>
      <c r="I27" s="360"/>
      <c r="J27" s="361"/>
      <c r="K27" s="318"/>
      <c r="L27" s="319"/>
      <c r="M27" s="319"/>
      <c r="N27" s="319"/>
      <c r="O27" s="319"/>
      <c r="P27" s="320"/>
      <c r="Z27" s="172"/>
    </row>
    <row r="28" spans="1:26" ht="19.5" customHeight="1" x14ac:dyDescent="0.25">
      <c r="A28" s="173"/>
      <c r="B28" s="210"/>
      <c r="C28" s="177"/>
      <c r="D28" s="176"/>
      <c r="E28" s="176"/>
      <c r="F28" s="176"/>
      <c r="G28" s="175"/>
      <c r="H28" s="180"/>
      <c r="I28" s="179"/>
      <c r="J28" s="178"/>
      <c r="K28" s="177"/>
      <c r="L28" s="176"/>
      <c r="M28" s="176"/>
      <c r="N28" s="176"/>
      <c r="O28" s="176"/>
      <c r="P28" s="175"/>
      <c r="Z28" s="172"/>
    </row>
    <row r="29" spans="1:26" ht="19.5" customHeight="1" x14ac:dyDescent="0.25">
      <c r="A29" s="173"/>
      <c r="B29" s="210"/>
      <c r="C29" s="177"/>
      <c r="D29" s="176"/>
      <c r="E29" s="176"/>
      <c r="F29" s="176"/>
      <c r="G29" s="175"/>
      <c r="H29" s="180"/>
      <c r="I29" s="179"/>
      <c r="J29" s="178"/>
      <c r="K29" s="177"/>
      <c r="L29" s="176"/>
      <c r="M29" s="176"/>
      <c r="N29" s="176"/>
      <c r="O29" s="176"/>
      <c r="P29" s="175"/>
      <c r="Z29" s="172"/>
    </row>
    <row r="30" spans="1:26" ht="19.5" customHeight="1" x14ac:dyDescent="0.25">
      <c r="A30" s="173"/>
      <c r="B30" s="210"/>
      <c r="C30" s="177"/>
      <c r="D30" s="176"/>
      <c r="E30" s="176"/>
      <c r="F30" s="176"/>
      <c r="G30" s="175"/>
      <c r="H30" s="180"/>
      <c r="I30" s="179"/>
      <c r="J30" s="178"/>
      <c r="K30" s="177"/>
      <c r="L30" s="176"/>
      <c r="M30" s="176"/>
      <c r="N30" s="176"/>
      <c r="O30" s="176"/>
      <c r="P30" s="175"/>
      <c r="Z30" s="172"/>
    </row>
    <row r="31" spans="1:26" ht="19.5" customHeight="1" x14ac:dyDescent="0.25">
      <c r="A31" s="173"/>
      <c r="B31" s="210"/>
      <c r="C31" s="177"/>
      <c r="D31" s="176"/>
      <c r="E31" s="176"/>
      <c r="F31" s="176"/>
      <c r="G31" s="175"/>
      <c r="H31" s="180"/>
      <c r="I31" s="179"/>
      <c r="J31" s="178"/>
      <c r="K31" s="177"/>
      <c r="L31" s="176"/>
      <c r="M31" s="176"/>
      <c r="N31" s="176"/>
      <c r="O31" s="176"/>
      <c r="P31" s="175"/>
      <c r="Z31" s="172"/>
    </row>
    <row r="32" spans="1:26" ht="19.5" customHeight="1" x14ac:dyDescent="0.25">
      <c r="A32" s="173"/>
      <c r="B32" s="210"/>
      <c r="C32" s="177"/>
      <c r="D32" s="176"/>
      <c r="E32" s="176"/>
      <c r="F32" s="176"/>
      <c r="G32" s="175"/>
      <c r="H32" s="180"/>
      <c r="I32" s="179"/>
      <c r="J32" s="178"/>
      <c r="K32" s="177"/>
      <c r="L32" s="176"/>
      <c r="M32" s="176"/>
      <c r="N32" s="176"/>
      <c r="O32" s="176"/>
      <c r="P32" s="175"/>
      <c r="Z32" s="172"/>
    </row>
    <row r="33" spans="1:26" ht="19.5" customHeight="1" x14ac:dyDescent="0.25">
      <c r="A33" s="173"/>
      <c r="B33" s="210"/>
      <c r="C33" s="177"/>
      <c r="D33" s="176"/>
      <c r="E33" s="176"/>
      <c r="F33" s="176"/>
      <c r="G33" s="175"/>
      <c r="H33" s="180"/>
      <c r="I33" s="179"/>
      <c r="J33" s="178"/>
      <c r="K33" s="177"/>
      <c r="L33" s="176"/>
      <c r="M33" s="176"/>
      <c r="N33" s="176"/>
      <c r="O33" s="176"/>
      <c r="P33" s="175"/>
      <c r="Z33" s="172"/>
    </row>
    <row r="34" spans="1:26" ht="19.5" customHeight="1" x14ac:dyDescent="0.25">
      <c r="A34" s="173"/>
      <c r="B34" s="210"/>
      <c r="C34" s="177"/>
      <c r="D34" s="176"/>
      <c r="E34" s="176"/>
      <c r="F34" s="176"/>
      <c r="G34" s="175"/>
      <c r="H34" s="180"/>
      <c r="I34" s="179"/>
      <c r="J34" s="178"/>
      <c r="K34" s="177"/>
      <c r="L34" s="176"/>
      <c r="M34" s="176"/>
      <c r="N34" s="176"/>
      <c r="O34" s="176"/>
      <c r="P34" s="175"/>
      <c r="Z34" s="172"/>
    </row>
    <row r="35" spans="1:26" ht="19.5" customHeight="1" x14ac:dyDescent="0.25">
      <c r="A35" s="173"/>
      <c r="B35" s="210"/>
      <c r="C35" s="177"/>
      <c r="D35" s="176"/>
      <c r="E35" s="176"/>
      <c r="F35" s="176"/>
      <c r="G35" s="175"/>
      <c r="H35" s="180"/>
      <c r="I35" s="179"/>
      <c r="J35" s="178"/>
      <c r="K35" s="177"/>
      <c r="L35" s="176"/>
      <c r="M35" s="176"/>
      <c r="N35" s="176"/>
      <c r="O35" s="176"/>
      <c r="P35" s="175"/>
      <c r="Z35" s="172"/>
    </row>
    <row r="36" spans="1:26" ht="19.5" customHeight="1" x14ac:dyDescent="0.25">
      <c r="A36" s="173"/>
      <c r="B36" s="210"/>
      <c r="C36" s="177"/>
      <c r="D36" s="176"/>
      <c r="E36" s="176"/>
      <c r="F36" s="176"/>
      <c r="G36" s="175"/>
      <c r="H36" s="180"/>
      <c r="I36" s="179"/>
      <c r="J36" s="178"/>
      <c r="K36" s="177"/>
      <c r="L36" s="176"/>
      <c r="M36" s="176"/>
      <c r="N36" s="176"/>
      <c r="O36" s="176"/>
      <c r="P36" s="175"/>
      <c r="Z36" s="172"/>
    </row>
    <row r="37" spans="1:26" ht="19.5" customHeight="1" x14ac:dyDescent="0.25">
      <c r="A37" s="173"/>
      <c r="B37" s="210"/>
      <c r="C37" s="177"/>
      <c r="D37" s="176"/>
      <c r="E37" s="176"/>
      <c r="F37" s="176"/>
      <c r="G37" s="175"/>
      <c r="H37" s="180"/>
      <c r="I37" s="179"/>
      <c r="J37" s="178"/>
      <c r="K37" s="177"/>
      <c r="L37" s="176"/>
      <c r="M37" s="176"/>
      <c r="N37" s="176"/>
      <c r="O37" s="176"/>
      <c r="P37" s="175"/>
      <c r="Z37" s="172"/>
    </row>
    <row r="38" spans="1:26" ht="19.5" customHeight="1" x14ac:dyDescent="0.25">
      <c r="A38" s="173"/>
      <c r="B38" s="210"/>
      <c r="C38" s="177"/>
      <c r="D38" s="176"/>
      <c r="E38" s="176"/>
      <c r="F38" s="176"/>
      <c r="G38" s="175"/>
      <c r="H38" s="180"/>
      <c r="I38" s="179"/>
      <c r="J38" s="178"/>
      <c r="K38" s="177"/>
      <c r="L38" s="176"/>
      <c r="M38" s="176"/>
      <c r="N38" s="176"/>
      <c r="O38" s="176"/>
      <c r="P38" s="175"/>
      <c r="Z38" s="172"/>
    </row>
    <row r="39" spans="1:26" ht="19.5" customHeight="1" x14ac:dyDescent="0.25">
      <c r="A39" s="173"/>
      <c r="B39" s="210"/>
      <c r="C39" s="177"/>
      <c r="D39" s="176"/>
      <c r="E39" s="176"/>
      <c r="F39" s="176"/>
      <c r="G39" s="175"/>
      <c r="H39" s="180"/>
      <c r="I39" s="179"/>
      <c r="J39" s="178"/>
      <c r="K39" s="177"/>
      <c r="L39" s="176"/>
      <c r="M39" s="176"/>
      <c r="N39" s="176"/>
      <c r="O39" s="176"/>
      <c r="P39" s="175"/>
      <c r="Z39" s="172"/>
    </row>
    <row r="40" spans="1:26" ht="19.5" customHeight="1" x14ac:dyDescent="0.25">
      <c r="A40" s="173"/>
      <c r="B40" s="210"/>
      <c r="C40" s="177"/>
      <c r="D40" s="176"/>
      <c r="E40" s="176"/>
      <c r="F40" s="176"/>
      <c r="G40" s="175"/>
      <c r="H40" s="180"/>
      <c r="I40" s="179"/>
      <c r="J40" s="178"/>
      <c r="K40" s="177"/>
      <c r="L40" s="176"/>
      <c r="M40" s="176"/>
      <c r="N40" s="176"/>
      <c r="O40" s="176"/>
      <c r="P40" s="175"/>
      <c r="Z40" s="172"/>
    </row>
    <row r="41" spans="1:26" ht="19.5" customHeight="1" x14ac:dyDescent="0.25">
      <c r="A41" s="173"/>
      <c r="B41" s="210"/>
      <c r="C41" s="177"/>
      <c r="D41" s="176"/>
      <c r="E41" s="176"/>
      <c r="F41" s="176"/>
      <c r="G41" s="175"/>
      <c r="H41" s="180"/>
      <c r="I41" s="179"/>
      <c r="J41" s="178"/>
      <c r="K41" s="177"/>
      <c r="L41" s="176"/>
      <c r="M41" s="176"/>
      <c r="N41" s="176"/>
      <c r="O41" s="176"/>
      <c r="P41" s="175"/>
      <c r="Z41" s="172"/>
    </row>
    <row r="42" spans="1:26" ht="19.5" customHeight="1" x14ac:dyDescent="0.25">
      <c r="A42" s="173"/>
      <c r="B42" s="210"/>
      <c r="C42" s="177"/>
      <c r="D42" s="176"/>
      <c r="E42" s="176"/>
      <c r="F42" s="176"/>
      <c r="G42" s="175"/>
      <c r="H42" s="180"/>
      <c r="I42" s="179"/>
      <c r="J42" s="178"/>
      <c r="K42" s="177"/>
      <c r="L42" s="176"/>
      <c r="M42" s="176"/>
      <c r="N42" s="176"/>
      <c r="O42" s="176"/>
      <c r="P42" s="175"/>
      <c r="Z42" s="172"/>
    </row>
    <row r="43" spans="1:26" ht="19.5" customHeight="1" x14ac:dyDescent="0.25">
      <c r="A43" s="173"/>
      <c r="B43" s="210"/>
      <c r="C43" s="177"/>
      <c r="D43" s="176"/>
      <c r="E43" s="176"/>
      <c r="F43" s="176"/>
      <c r="G43" s="175"/>
      <c r="H43" s="180"/>
      <c r="I43" s="179"/>
      <c r="J43" s="178"/>
      <c r="K43" s="177"/>
      <c r="L43" s="176"/>
      <c r="M43" s="176"/>
      <c r="N43" s="176"/>
      <c r="O43" s="176"/>
      <c r="P43" s="175"/>
      <c r="Z43" s="172"/>
    </row>
    <row r="44" spans="1:26" ht="19.5" customHeight="1" x14ac:dyDescent="0.25">
      <c r="A44" s="173"/>
      <c r="B44" s="210"/>
      <c r="C44" s="177"/>
      <c r="D44" s="176"/>
      <c r="E44" s="176"/>
      <c r="F44" s="176"/>
      <c r="G44" s="175"/>
      <c r="H44" s="180"/>
      <c r="I44" s="179"/>
      <c r="J44" s="178"/>
      <c r="K44" s="177"/>
      <c r="L44" s="176"/>
      <c r="M44" s="176"/>
      <c r="N44" s="176"/>
      <c r="O44" s="176"/>
      <c r="P44" s="175"/>
      <c r="Z44" s="172"/>
    </row>
    <row r="45" spans="1:26" ht="19.5" customHeight="1" x14ac:dyDescent="0.25">
      <c r="A45" s="173"/>
      <c r="B45" s="210"/>
      <c r="C45" s="177"/>
      <c r="D45" s="176"/>
      <c r="E45" s="176"/>
      <c r="F45" s="176"/>
      <c r="G45" s="175"/>
      <c r="H45" s="180"/>
      <c r="I45" s="179"/>
      <c r="J45" s="178"/>
      <c r="K45" s="177"/>
      <c r="L45" s="176"/>
      <c r="M45" s="176"/>
      <c r="N45" s="176"/>
      <c r="O45" s="176"/>
      <c r="P45" s="175"/>
      <c r="Z45" s="172"/>
    </row>
    <row r="46" spans="1:26" ht="19.5" customHeight="1" x14ac:dyDescent="0.25">
      <c r="A46" s="173"/>
      <c r="B46" s="210"/>
      <c r="C46" s="177"/>
      <c r="D46" s="176"/>
      <c r="E46" s="176"/>
      <c r="F46" s="176"/>
      <c r="G46" s="175"/>
      <c r="H46" s="180"/>
      <c r="I46" s="179"/>
      <c r="J46" s="178"/>
      <c r="K46" s="177"/>
      <c r="L46" s="176"/>
      <c r="M46" s="176"/>
      <c r="N46" s="176"/>
      <c r="O46" s="176"/>
      <c r="P46" s="175"/>
      <c r="Z46" s="172"/>
    </row>
    <row r="47" spans="1:26" ht="19.5" customHeight="1" x14ac:dyDescent="0.25">
      <c r="A47" s="173"/>
      <c r="B47" s="210"/>
      <c r="C47" s="177"/>
      <c r="D47" s="176"/>
      <c r="E47" s="176"/>
      <c r="F47" s="176"/>
      <c r="G47" s="175"/>
      <c r="H47" s="180"/>
      <c r="I47" s="179"/>
      <c r="J47" s="178"/>
      <c r="K47" s="177"/>
      <c r="L47" s="176"/>
      <c r="M47" s="176"/>
      <c r="N47" s="176"/>
      <c r="O47" s="176"/>
      <c r="P47" s="175"/>
      <c r="Z47" s="172"/>
    </row>
    <row r="48" spans="1:26" ht="19.5" customHeight="1" x14ac:dyDescent="0.25">
      <c r="A48" s="173"/>
      <c r="B48" s="210"/>
      <c r="C48" s="177"/>
      <c r="D48" s="176"/>
      <c r="E48" s="176"/>
      <c r="F48" s="176"/>
      <c r="G48" s="175"/>
      <c r="H48" s="180"/>
      <c r="I48" s="179"/>
      <c r="J48" s="178"/>
      <c r="K48" s="177"/>
      <c r="L48" s="176"/>
      <c r="M48" s="176"/>
      <c r="N48" s="176"/>
      <c r="O48" s="176"/>
      <c r="P48" s="175"/>
      <c r="Z48" s="172"/>
    </row>
    <row r="49" spans="1:26" ht="19.5" customHeight="1" x14ac:dyDescent="0.25">
      <c r="A49" s="173"/>
      <c r="B49" s="210"/>
      <c r="C49" s="177"/>
      <c r="D49" s="176"/>
      <c r="E49" s="176"/>
      <c r="F49" s="176"/>
      <c r="G49" s="175"/>
      <c r="H49" s="180"/>
      <c r="I49" s="179"/>
      <c r="J49" s="178"/>
      <c r="K49" s="177"/>
      <c r="L49" s="176"/>
      <c r="M49" s="176"/>
      <c r="N49" s="176"/>
      <c r="O49" s="176"/>
      <c r="P49" s="175"/>
      <c r="Z49" s="172"/>
    </row>
    <row r="50" spans="1:26" ht="19.5" customHeight="1" x14ac:dyDescent="0.25">
      <c r="A50" s="173"/>
      <c r="B50" s="210"/>
      <c r="C50" s="177"/>
      <c r="D50" s="176"/>
      <c r="E50" s="176"/>
      <c r="F50" s="176"/>
      <c r="G50" s="175"/>
      <c r="H50" s="180"/>
      <c r="I50" s="179"/>
      <c r="J50" s="178"/>
      <c r="K50" s="177"/>
      <c r="L50" s="176"/>
      <c r="M50" s="176"/>
      <c r="N50" s="176"/>
      <c r="O50" s="176"/>
      <c r="P50" s="175"/>
      <c r="Z50" s="172"/>
    </row>
    <row r="51" spans="1:26" ht="19.5" customHeight="1" x14ac:dyDescent="0.25">
      <c r="A51" s="173"/>
      <c r="B51" s="210"/>
      <c r="C51" s="177"/>
      <c r="D51" s="176"/>
      <c r="E51" s="176"/>
      <c r="F51" s="176"/>
      <c r="G51" s="175"/>
      <c r="H51" s="180"/>
      <c r="I51" s="179"/>
      <c r="J51" s="178"/>
      <c r="K51" s="177"/>
      <c r="L51" s="176"/>
      <c r="M51" s="176"/>
      <c r="N51" s="176"/>
      <c r="O51" s="176"/>
      <c r="P51" s="175"/>
      <c r="Z51" s="172"/>
    </row>
    <row r="52" spans="1:26" ht="19.5" customHeight="1" x14ac:dyDescent="0.25">
      <c r="A52" s="173"/>
      <c r="B52" s="210"/>
      <c r="C52" s="177"/>
      <c r="D52" s="176"/>
      <c r="E52" s="176"/>
      <c r="F52" s="176"/>
      <c r="G52" s="175"/>
      <c r="H52" s="180"/>
      <c r="I52" s="179"/>
      <c r="J52" s="178"/>
      <c r="K52" s="177"/>
      <c r="L52" s="176"/>
      <c r="M52" s="176"/>
      <c r="N52" s="176"/>
      <c r="O52" s="176"/>
      <c r="P52" s="175"/>
      <c r="Z52" s="172"/>
    </row>
    <row r="53" spans="1:26" ht="19.5" customHeight="1" x14ac:dyDescent="0.25">
      <c r="A53" s="173"/>
      <c r="B53" s="210"/>
      <c r="C53" s="177"/>
      <c r="D53" s="176"/>
      <c r="E53" s="176"/>
      <c r="F53" s="176"/>
      <c r="G53" s="175"/>
      <c r="H53" s="180"/>
      <c r="I53" s="179"/>
      <c r="J53" s="178"/>
      <c r="K53" s="177"/>
      <c r="L53" s="176"/>
      <c r="M53" s="176"/>
      <c r="N53" s="176"/>
      <c r="O53" s="176"/>
      <c r="P53" s="175"/>
      <c r="Z53" s="172"/>
    </row>
    <row r="54" spans="1:26" ht="19.5" customHeight="1" thickBot="1" x14ac:dyDescent="0.3">
      <c r="A54" s="173"/>
      <c r="B54" s="174"/>
      <c r="C54" s="538"/>
      <c r="D54" s="539"/>
      <c r="E54" s="539"/>
      <c r="F54" s="539"/>
      <c r="G54" s="540"/>
      <c r="H54" s="541"/>
      <c r="I54" s="542"/>
      <c r="J54" s="543"/>
      <c r="K54" s="538"/>
      <c r="L54" s="539"/>
      <c r="M54" s="539"/>
      <c r="N54" s="539"/>
      <c r="O54" s="539"/>
      <c r="P54" s="540"/>
      <c r="Z54" s="172"/>
    </row>
    <row r="55" spans="1:26" ht="15.75" customHeight="1" x14ac:dyDescent="0.25">
      <c r="A55" s="173"/>
      <c r="B55" s="393" t="s">
        <v>37</v>
      </c>
      <c r="C55" s="394"/>
      <c r="D55" s="394"/>
      <c r="E55" s="394"/>
      <c r="F55" s="394"/>
      <c r="G55" s="395"/>
      <c r="H55" s="399">
        <f>AVERAGE(H25:J54)</f>
        <v>142.33333333333334</v>
      </c>
      <c r="I55" s="400"/>
      <c r="J55" s="401"/>
      <c r="K55" s="326" t="s">
        <v>55</v>
      </c>
      <c r="L55" s="327"/>
      <c r="M55" s="321" t="s">
        <v>38</v>
      </c>
      <c r="N55" s="321"/>
      <c r="O55" s="321"/>
      <c r="P55" s="322"/>
      <c r="Z55" s="172"/>
    </row>
    <row r="56" spans="1:26" ht="15.75" customHeight="1" x14ac:dyDescent="0.25">
      <c r="A56" s="173"/>
      <c r="B56" s="387" t="s">
        <v>39</v>
      </c>
      <c r="C56" s="388"/>
      <c r="D56" s="388"/>
      <c r="E56" s="388"/>
      <c r="F56" s="388"/>
      <c r="G56" s="389"/>
      <c r="H56" s="301">
        <f>IF(COUNTIF(H25:J54,"*&lt;20*"),"&lt;20",MIN(H25:J54))</f>
        <v>107</v>
      </c>
      <c r="I56" s="302"/>
      <c r="J56" s="303"/>
      <c r="K56" s="328"/>
      <c r="L56" s="329"/>
      <c r="M56" s="294"/>
      <c r="N56" s="294"/>
      <c r="O56" s="294"/>
      <c r="P56" s="323"/>
      <c r="Z56" s="172"/>
    </row>
    <row r="57" spans="1:26" ht="15.75" customHeight="1" thickBot="1" x14ac:dyDescent="0.3">
      <c r="A57" s="173"/>
      <c r="B57" s="390" t="s">
        <v>40</v>
      </c>
      <c r="C57" s="391"/>
      <c r="D57" s="391"/>
      <c r="E57" s="391"/>
      <c r="F57" s="391"/>
      <c r="G57" s="392"/>
      <c r="H57" s="396">
        <f>IF(COUNTIF(H25:J54,"*&gt;250*"),"&gt;250",MAX(H25:J54))</f>
        <v>184</v>
      </c>
      <c r="I57" s="397"/>
      <c r="J57" s="398"/>
      <c r="K57" s="330"/>
      <c r="L57" s="331"/>
      <c r="M57" s="324"/>
      <c r="N57" s="324"/>
      <c r="O57" s="324"/>
      <c r="P57" s="325"/>
      <c r="Z57" s="172"/>
    </row>
    <row r="58" spans="1:26" ht="15.9" customHeight="1" x14ac:dyDescent="0.25">
      <c r="A58" s="171"/>
      <c r="B58" s="170"/>
      <c r="C58" s="169"/>
      <c r="D58" s="169"/>
      <c r="E58" s="169"/>
      <c r="F58" s="169"/>
      <c r="G58" s="169"/>
      <c r="H58" s="169"/>
      <c r="I58" s="169"/>
      <c r="J58" s="169"/>
      <c r="K58" s="169"/>
      <c r="L58" s="169"/>
      <c r="M58" s="169"/>
      <c r="N58" s="169"/>
      <c r="O58" s="169"/>
      <c r="P58" s="169"/>
      <c r="Q58" s="169"/>
      <c r="R58" s="169"/>
      <c r="S58" s="169"/>
      <c r="T58" s="169"/>
      <c r="U58" s="169"/>
      <c r="V58" s="169"/>
      <c r="W58" s="169"/>
      <c r="X58" s="169"/>
      <c r="Y58" s="169"/>
      <c r="Z58" s="168"/>
    </row>
    <row r="59" spans="1:26" ht="12.75" customHeight="1" x14ac:dyDescent="0.25">
      <c r="A59" s="167"/>
      <c r="B59" s="166"/>
    </row>
    <row r="60" spans="1:26" s="141" customFormat="1" ht="15.6" customHeight="1" x14ac:dyDescent="0.25">
      <c r="A60" s="165" t="s">
        <v>41</v>
      </c>
      <c r="B60" s="164" t="s">
        <v>42</v>
      </c>
      <c r="C60" s="163"/>
      <c r="D60" s="163"/>
      <c r="E60" s="163"/>
      <c r="F60" s="162"/>
      <c r="G60" s="162"/>
      <c r="H60" s="162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0"/>
      <c r="V60" s="159"/>
      <c r="W60" s="159"/>
      <c r="X60" s="158"/>
      <c r="Y60" s="158"/>
      <c r="Z60" s="157"/>
    </row>
    <row r="61" spans="1:26" s="141" customFormat="1" ht="28.5" customHeight="1" x14ac:dyDescent="0.25">
      <c r="A61" s="306" t="s">
        <v>43</v>
      </c>
      <c r="B61" s="307"/>
      <c r="C61" s="307"/>
      <c r="D61" s="307"/>
      <c r="E61" s="307"/>
      <c r="F61" s="307"/>
      <c r="G61" s="307"/>
      <c r="H61" s="307"/>
      <c r="I61" s="307"/>
      <c r="J61" s="307"/>
      <c r="K61" s="307"/>
      <c r="L61" s="307"/>
      <c r="M61" s="307"/>
      <c r="N61" s="307"/>
      <c r="O61" s="307"/>
      <c r="P61" s="307"/>
      <c r="Q61" s="308"/>
      <c r="R61" s="286" t="s">
        <v>44</v>
      </c>
      <c r="S61" s="287"/>
      <c r="T61" s="288"/>
      <c r="U61" s="276" t="s">
        <v>13</v>
      </c>
      <c r="V61" s="277"/>
      <c r="W61" s="277"/>
      <c r="X61" s="278"/>
      <c r="Y61" s="278"/>
      <c r="Z61" s="279"/>
    </row>
    <row r="62" spans="1:26" s="141" customFormat="1" ht="15.6" customHeight="1" x14ac:dyDescent="0.25">
      <c r="A62" s="280" t="s">
        <v>45</v>
      </c>
      <c r="B62" s="281"/>
      <c r="C62" s="281"/>
      <c r="D62" s="281"/>
      <c r="E62" s="281"/>
      <c r="F62" s="281"/>
      <c r="G62" s="281"/>
      <c r="H62" s="281"/>
      <c r="I62" s="281"/>
      <c r="J62" s="281"/>
      <c r="K62" s="281"/>
      <c r="L62" s="281"/>
      <c r="M62" s="281"/>
      <c r="N62" s="281"/>
      <c r="O62" s="281"/>
      <c r="P62" s="281"/>
      <c r="Q62" s="282"/>
      <c r="R62" s="286" t="s">
        <v>46</v>
      </c>
      <c r="S62" s="287"/>
      <c r="T62" s="288"/>
      <c r="U62" s="289" t="s">
        <v>47</v>
      </c>
      <c r="V62" s="290"/>
      <c r="W62" s="290"/>
      <c r="X62" s="291"/>
      <c r="Y62" s="291"/>
      <c r="Z62" s="292"/>
    </row>
    <row r="63" spans="1:26" s="141" customFormat="1" ht="15.6" customHeight="1" x14ac:dyDescent="0.25">
      <c r="A63" s="283"/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5"/>
      <c r="R63" s="286"/>
      <c r="S63" s="287"/>
      <c r="T63" s="288"/>
      <c r="U63" s="293"/>
      <c r="V63" s="294"/>
      <c r="W63" s="294"/>
      <c r="X63" s="295"/>
      <c r="Y63" s="295"/>
      <c r="Z63" s="296"/>
    </row>
    <row r="64" spans="1:26" s="141" customFormat="1" ht="15.6" customHeight="1" x14ac:dyDescent="0.25">
      <c r="A64" s="156" t="s">
        <v>48</v>
      </c>
      <c r="B64" s="155" t="s">
        <v>49</v>
      </c>
      <c r="C64" s="139"/>
      <c r="D64" s="139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3"/>
      <c r="R64" s="286"/>
      <c r="S64" s="287"/>
      <c r="T64" s="288"/>
      <c r="U64" s="297"/>
      <c r="V64" s="298"/>
      <c r="W64" s="298"/>
      <c r="X64" s="299"/>
      <c r="Y64" s="299"/>
      <c r="Z64" s="300"/>
    </row>
    <row r="65" spans="1:26" s="141" customFormat="1" ht="15.6" customHeight="1" x14ac:dyDescent="0.25">
      <c r="A65" s="378"/>
      <c r="B65" s="379"/>
      <c r="C65" s="379"/>
      <c r="D65" s="379"/>
      <c r="E65" s="379"/>
      <c r="F65" s="379"/>
      <c r="G65" s="379"/>
      <c r="H65" s="379"/>
      <c r="I65" s="379"/>
      <c r="J65" s="379"/>
      <c r="K65" s="379"/>
      <c r="L65" s="379"/>
      <c r="M65" s="379"/>
      <c r="N65" s="379"/>
      <c r="O65" s="379"/>
      <c r="P65" s="379"/>
      <c r="Q65" s="380"/>
      <c r="R65" s="286" t="s">
        <v>50</v>
      </c>
      <c r="S65" s="287"/>
      <c r="T65" s="288"/>
      <c r="U65" s="152"/>
      <c r="V65" s="151"/>
      <c r="W65" s="151"/>
      <c r="X65" s="151"/>
      <c r="Y65" s="151"/>
      <c r="Z65" s="150"/>
    </row>
    <row r="66" spans="1:26" s="141" customFormat="1" ht="15.6" customHeight="1" x14ac:dyDescent="0.25">
      <c r="A66" s="378"/>
      <c r="B66" s="379"/>
      <c r="C66" s="379"/>
      <c r="D66" s="379"/>
      <c r="E66" s="379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80"/>
      <c r="R66" s="286"/>
      <c r="S66" s="287"/>
      <c r="T66" s="288"/>
      <c r="U66" s="149"/>
      <c r="V66" s="294"/>
      <c r="W66" s="294"/>
      <c r="X66" s="294"/>
      <c r="Y66" s="294"/>
      <c r="Z66" s="148"/>
    </row>
    <row r="67" spans="1:26" s="141" customFormat="1" ht="15.6" customHeight="1" x14ac:dyDescent="0.25">
      <c r="A67" s="378"/>
      <c r="B67" s="379"/>
      <c r="C67" s="379"/>
      <c r="D67" s="379"/>
      <c r="E67" s="379"/>
      <c r="F67" s="379"/>
      <c r="G67" s="379"/>
      <c r="H67" s="379"/>
      <c r="I67" s="379"/>
      <c r="J67" s="379"/>
      <c r="K67" s="379"/>
      <c r="L67" s="379"/>
      <c r="M67" s="379"/>
      <c r="N67" s="379"/>
      <c r="O67" s="379"/>
      <c r="P67" s="379"/>
      <c r="Q67" s="380"/>
      <c r="R67" s="286"/>
      <c r="S67" s="287"/>
      <c r="T67" s="288"/>
      <c r="U67" s="149"/>
      <c r="V67" s="294"/>
      <c r="W67" s="294"/>
      <c r="X67" s="294"/>
      <c r="Y67" s="294"/>
      <c r="Z67" s="148"/>
    </row>
    <row r="68" spans="1:26" s="141" customFormat="1" ht="15.6" customHeight="1" x14ac:dyDescent="0.25">
      <c r="A68" s="381"/>
      <c r="B68" s="382"/>
      <c r="C68" s="382"/>
      <c r="D68" s="382"/>
      <c r="E68" s="382"/>
      <c r="F68" s="382"/>
      <c r="G68" s="382"/>
      <c r="H68" s="382"/>
      <c r="I68" s="382"/>
      <c r="J68" s="382"/>
      <c r="K68" s="382"/>
      <c r="L68" s="382"/>
      <c r="M68" s="382"/>
      <c r="N68" s="382"/>
      <c r="O68" s="382"/>
      <c r="P68" s="382"/>
      <c r="Q68" s="383"/>
      <c r="R68" s="384"/>
      <c r="S68" s="385"/>
      <c r="T68" s="386"/>
      <c r="U68" s="147"/>
      <c r="V68" s="146"/>
      <c r="W68" s="146"/>
      <c r="X68" s="146"/>
      <c r="Y68" s="146"/>
      <c r="Z68" s="145"/>
    </row>
    <row r="69" spans="1:26" s="141" customFormat="1" ht="15" customHeight="1" x14ac:dyDescent="0.25">
      <c r="A69" s="144"/>
      <c r="B69" s="144"/>
      <c r="C69" s="144"/>
      <c r="D69" s="144"/>
      <c r="E69" s="144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43"/>
      <c r="S69" s="143"/>
      <c r="T69" s="143"/>
      <c r="U69" s="142"/>
      <c r="V69" s="142"/>
      <c r="W69" s="142"/>
      <c r="X69" s="142"/>
      <c r="Y69" s="142"/>
      <c r="Z69" s="142"/>
    </row>
    <row r="71" spans="1:26" ht="12.75" customHeight="1" x14ac:dyDescent="0.25">
      <c r="A71" s="139"/>
    </row>
    <row r="72" spans="1:26" ht="12.75" customHeight="1" x14ac:dyDescent="0.25">
      <c r="A72" s="139"/>
    </row>
    <row r="73" spans="1:26" ht="12.75" customHeight="1" x14ac:dyDescent="0.25">
      <c r="A73" s="139"/>
    </row>
    <row r="74" spans="1:26" ht="12.75" customHeight="1" x14ac:dyDescent="0.25">
      <c r="A74" s="139"/>
    </row>
    <row r="75" spans="1:26" ht="12.75" customHeight="1" x14ac:dyDescent="0.25">
      <c r="A75" s="139"/>
    </row>
    <row r="76" spans="1:26" ht="12.75" customHeight="1" x14ac:dyDescent="0.25">
      <c r="A76" s="139"/>
    </row>
  </sheetData>
  <sheetProtection formatCells="0" formatColumns="0" formatRows="0" insertColumns="0" insertRows="0" insertHyperlinks="0" deleteColumns="0" deleteRows="0" selectLockedCells="1" sort="0" autoFilter="0" pivotTables="0"/>
  <mergeCells count="64">
    <mergeCell ref="B17:H17"/>
    <mergeCell ref="B12:G12"/>
    <mergeCell ref="N12:R12"/>
    <mergeCell ref="H12:M12"/>
    <mergeCell ref="H56:J56"/>
    <mergeCell ref="B11:G11"/>
    <mergeCell ref="A61:Q61"/>
    <mergeCell ref="R61:T61"/>
    <mergeCell ref="U61:Z61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I5:K5"/>
    <mergeCell ref="I6:K6"/>
    <mergeCell ref="B10:G10"/>
    <mergeCell ref="S10:Y10"/>
    <mergeCell ref="N10:R10"/>
    <mergeCell ref="G2:T4"/>
    <mergeCell ref="G5:H5"/>
    <mergeCell ref="A7:F7"/>
    <mergeCell ref="G7:Z7"/>
    <mergeCell ref="H10:M10"/>
    <mergeCell ref="L5:O5"/>
    <mergeCell ref="P5:T5"/>
    <mergeCell ref="L6:O6"/>
    <mergeCell ref="P6:T6"/>
    <mergeCell ref="A1:F6"/>
    <mergeCell ref="G1:T1"/>
    <mergeCell ref="H11:M11"/>
    <mergeCell ref="N11:R11"/>
    <mergeCell ref="A65:Q68"/>
    <mergeCell ref="R65:T68"/>
    <mergeCell ref="K26:P26"/>
    <mergeCell ref="C27:G27"/>
    <mergeCell ref="H27:J27"/>
    <mergeCell ref="K27:P27"/>
    <mergeCell ref="C54:G54"/>
    <mergeCell ref="B56:G56"/>
    <mergeCell ref="B57:G57"/>
    <mergeCell ref="B55:G55"/>
    <mergeCell ref="C26:G26"/>
    <mergeCell ref="H26:J26"/>
    <mergeCell ref="H57:J57"/>
    <mergeCell ref="H55:J55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A62:Q63"/>
    <mergeCell ref="R62:T64"/>
    <mergeCell ref="U62:Z64"/>
  </mergeCells>
  <printOptions horizontalCentered="1"/>
  <pageMargins left="0.39370078740157" right="0.39370078740157" top="0.39370078740157" bottom="0.39370078740157" header="0" footer="0.19685039370078999"/>
  <pageSetup paperSize="9" scale="70" orientation="portrait" r:id="rId1"/>
  <headerFooter alignWithMargins="0">
    <oddFooter>&amp;RDG-Q / CRE PLW12 du 06/04/2011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48E1-812A-4CFB-BE2E-A5FFC09D9091}">
  <sheetPr>
    <pageSetUpPr fitToPage="1"/>
  </sheetPr>
  <dimension ref="A1:AA67"/>
  <sheetViews>
    <sheetView workbookViewId="0">
      <selection activeCell="W16" sqref="W16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  <col min="28" max="16384" width="11.44140625" style="138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564" t="s">
        <v>51</v>
      </c>
      <c r="V1" s="565"/>
      <c r="W1" s="565"/>
      <c r="X1" s="565"/>
      <c r="Y1" s="565"/>
      <c r="Z1" s="566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567"/>
      <c r="V2" s="568"/>
      <c r="W2" s="568"/>
      <c r="X2" s="568"/>
      <c r="Y2" s="568"/>
      <c r="Z2" s="569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567"/>
      <c r="V3" s="568"/>
      <c r="W3" s="568"/>
      <c r="X3" s="568"/>
      <c r="Y3" s="568"/>
      <c r="Z3" s="569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567"/>
      <c r="V4" s="568"/>
      <c r="W4" s="568"/>
      <c r="X4" s="568"/>
      <c r="Y4" s="568"/>
      <c r="Z4" s="569"/>
    </row>
    <row r="5" spans="1:26" ht="12.75" customHeight="1" x14ac:dyDescent="0.25">
      <c r="A5" s="365"/>
      <c r="B5" s="366"/>
      <c r="C5" s="366"/>
      <c r="D5" s="366"/>
      <c r="E5" s="366"/>
      <c r="F5" s="367"/>
      <c r="G5" s="344" t="s">
        <v>2</v>
      </c>
      <c r="H5" s="345"/>
      <c r="I5" s="559">
        <v>4</v>
      </c>
      <c r="J5" s="559"/>
      <c r="K5" s="560"/>
      <c r="L5" s="561" t="s">
        <v>3</v>
      </c>
      <c r="M5" s="562"/>
      <c r="N5" s="562"/>
      <c r="O5" s="563"/>
      <c r="P5" s="355" t="s">
        <v>68</v>
      </c>
      <c r="Q5" s="356"/>
      <c r="R5" s="356"/>
      <c r="S5" s="356"/>
      <c r="T5" s="357"/>
      <c r="U5" s="567"/>
      <c r="V5" s="568"/>
      <c r="W5" s="568"/>
      <c r="X5" s="568"/>
      <c r="Y5" s="568"/>
      <c r="Z5" s="569"/>
    </row>
    <row r="6" spans="1:26" ht="12.75" customHeight="1" x14ac:dyDescent="0.25">
      <c r="A6" s="368"/>
      <c r="B6" s="369"/>
      <c r="C6" s="369"/>
      <c r="D6" s="369"/>
      <c r="E6" s="369"/>
      <c r="F6" s="370"/>
      <c r="G6" s="209"/>
      <c r="H6" s="169"/>
      <c r="I6" s="351" t="s">
        <v>5</v>
      </c>
      <c r="J6" s="351"/>
      <c r="K6" s="351"/>
      <c r="L6" s="351" t="s">
        <v>6</v>
      </c>
      <c r="M6" s="351"/>
      <c r="N6" s="351"/>
      <c r="O6" s="351"/>
      <c r="P6" s="351" t="s">
        <v>7</v>
      </c>
      <c r="Q6" s="351"/>
      <c r="R6" s="351"/>
      <c r="S6" s="351"/>
      <c r="T6" s="358"/>
      <c r="U6" s="570"/>
      <c r="V6" s="571"/>
      <c r="W6" s="571"/>
      <c r="X6" s="571"/>
      <c r="Y6" s="571"/>
      <c r="Z6" s="572"/>
    </row>
    <row r="7" spans="1:26" ht="36.6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9" customHeight="1" x14ac:dyDescent="0.25">
      <c r="A8" s="188" t="s">
        <v>10</v>
      </c>
      <c r="B8" s="164" t="s">
        <v>11</v>
      </c>
      <c r="C8" s="161"/>
      <c r="D8" s="208"/>
      <c r="E8" s="208"/>
      <c r="F8" s="208"/>
      <c r="G8" s="208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84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305" t="s">
        <v>12</v>
      </c>
      <c r="C10" s="305"/>
      <c r="D10" s="305"/>
      <c r="E10" s="305"/>
      <c r="F10" s="305"/>
      <c r="G10" s="305"/>
      <c r="H10" s="348" t="s">
        <v>59</v>
      </c>
      <c r="I10" s="348"/>
      <c r="J10" s="348"/>
      <c r="K10" s="348"/>
      <c r="L10" s="348"/>
      <c r="M10" s="348"/>
      <c r="N10" s="305" t="s">
        <v>14</v>
      </c>
      <c r="O10" s="305"/>
      <c r="P10" s="305"/>
      <c r="Q10" s="305"/>
      <c r="R10" s="305"/>
      <c r="S10" s="332" t="s">
        <v>70</v>
      </c>
      <c r="T10" s="332"/>
      <c r="U10" s="332"/>
      <c r="V10" s="332"/>
      <c r="W10" s="332"/>
      <c r="X10" s="332"/>
      <c r="Y10" s="332"/>
      <c r="Z10" s="207"/>
    </row>
    <row r="11" spans="1:26" ht="15.9" customHeight="1" x14ac:dyDescent="0.25">
      <c r="A11" s="173"/>
      <c r="B11" s="305" t="s">
        <v>16</v>
      </c>
      <c r="C11" s="305"/>
      <c r="D11" s="305"/>
      <c r="E11" s="305"/>
      <c r="F11" s="305"/>
      <c r="G11" s="305"/>
      <c r="H11" s="348" t="s">
        <v>68</v>
      </c>
      <c r="I11" s="348"/>
      <c r="J11" s="348"/>
      <c r="K11" s="348"/>
      <c r="L11" s="348"/>
      <c r="M11" s="348"/>
      <c r="N11" s="305" t="s">
        <v>17</v>
      </c>
      <c r="O11" s="305"/>
      <c r="P11" s="305"/>
      <c r="Q11" s="305"/>
      <c r="R11" s="305"/>
      <c r="S11" s="332" t="s">
        <v>67</v>
      </c>
      <c r="T11" s="332"/>
      <c r="U11" s="332"/>
      <c r="V11" s="332"/>
      <c r="W11" s="332"/>
      <c r="X11" s="332"/>
      <c r="Y11" s="332"/>
      <c r="Z11" s="207"/>
    </row>
    <row r="12" spans="1:26" ht="15.9" customHeight="1" x14ac:dyDescent="0.25">
      <c r="A12" s="173"/>
      <c r="B12" s="305" t="s">
        <v>19</v>
      </c>
      <c r="C12" s="305"/>
      <c r="D12" s="305"/>
      <c r="E12" s="305"/>
      <c r="F12" s="305"/>
      <c r="G12" s="305"/>
      <c r="H12" s="348" t="s">
        <v>71</v>
      </c>
      <c r="I12" s="348"/>
      <c r="J12" s="348"/>
      <c r="K12" s="348"/>
      <c r="L12" s="348"/>
      <c r="M12" s="348"/>
      <c r="N12" s="305" t="s">
        <v>21</v>
      </c>
      <c r="O12" s="305"/>
      <c r="P12" s="305"/>
      <c r="Q12" s="305"/>
      <c r="R12" s="305"/>
      <c r="S12" s="332" t="s">
        <v>22</v>
      </c>
      <c r="T12" s="332"/>
      <c r="U12" s="332"/>
      <c r="V12" s="332"/>
      <c r="W12" s="332"/>
      <c r="X12" s="332"/>
      <c r="Y12" s="332"/>
      <c r="Z12" s="207"/>
    </row>
    <row r="13" spans="1:26" ht="8.25" customHeight="1" x14ac:dyDescent="0.25">
      <c r="A13" s="206"/>
      <c r="B13" s="169"/>
      <c r="C13" s="169"/>
      <c r="D13" s="205"/>
      <c r="E13" s="205"/>
      <c r="F13" s="205"/>
      <c r="G13" s="205"/>
      <c r="H13" s="169"/>
      <c r="I13" s="169"/>
      <c r="J13" s="169"/>
      <c r="K13" s="169"/>
      <c r="L13" s="169"/>
      <c r="M13" s="169"/>
      <c r="N13" s="204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202"/>
      <c r="C14" s="202"/>
      <c r="K14" s="203"/>
      <c r="L14" s="202"/>
      <c r="M14" s="201"/>
    </row>
    <row r="15" spans="1:26" s="141" customFormat="1" ht="15.6" customHeight="1" x14ac:dyDescent="0.25">
      <c r="A15" s="188" t="s">
        <v>23</v>
      </c>
      <c r="B15" s="200" t="s">
        <v>24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8"/>
    </row>
    <row r="16" spans="1:26" s="141" customFormat="1" ht="15" customHeight="1" x14ac:dyDescent="0.25">
      <c r="A16" s="195"/>
      <c r="B16" s="197"/>
      <c r="Z16" s="196"/>
    </row>
    <row r="17" spans="1:26" s="141" customFormat="1" ht="15" customHeight="1" x14ac:dyDescent="0.25">
      <c r="A17" s="195"/>
      <c r="B17" s="304" t="s">
        <v>25</v>
      </c>
      <c r="C17" s="304"/>
      <c r="D17" s="304"/>
      <c r="E17" s="304"/>
      <c r="F17" s="304"/>
      <c r="G17" s="304"/>
      <c r="H17" s="304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193"/>
    </row>
    <row r="18" spans="1:26" s="141" customFormat="1" ht="15" customHeight="1" x14ac:dyDescent="0.25">
      <c r="A18" s="195"/>
      <c r="B18" s="304" t="s">
        <v>26</v>
      </c>
      <c r="C18" s="304"/>
      <c r="D18" s="304"/>
      <c r="E18" s="304"/>
      <c r="F18" s="304"/>
      <c r="G18" s="304"/>
      <c r="H18" s="304"/>
      <c r="I18" s="402" t="s">
        <v>27</v>
      </c>
      <c r="J18" s="402"/>
      <c r="K18" s="194">
        <v>50</v>
      </c>
      <c r="L18" s="194" t="s">
        <v>28</v>
      </c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3"/>
    </row>
    <row r="19" spans="1:26" s="141" customFormat="1" ht="13.2" customHeight="1" x14ac:dyDescent="0.25">
      <c r="A19" s="192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0"/>
    </row>
    <row r="20" spans="1:26" ht="12.75" customHeight="1" x14ac:dyDescent="0.25">
      <c r="D20" s="140"/>
      <c r="E20" s="140"/>
      <c r="F20" s="140"/>
      <c r="G20" s="140"/>
      <c r="N20" s="189"/>
    </row>
    <row r="21" spans="1:26" ht="15.9" customHeight="1" x14ac:dyDescent="0.25">
      <c r="A21" s="188" t="s">
        <v>29</v>
      </c>
      <c r="B21" s="187" t="s">
        <v>30</v>
      </c>
      <c r="C21" s="185"/>
      <c r="D21" s="186"/>
      <c r="E21" s="186"/>
      <c r="F21" s="186"/>
      <c r="G21" s="186"/>
      <c r="H21" s="185"/>
      <c r="I21" s="185"/>
      <c r="J21" s="411" t="s">
        <v>31</v>
      </c>
      <c r="K21" s="411"/>
      <c r="L21" s="411"/>
      <c r="M21" s="411"/>
      <c r="N21" s="411"/>
      <c r="O21" s="411"/>
      <c r="P21" s="411"/>
      <c r="Q21" s="182">
        <v>600</v>
      </c>
      <c r="R21" s="161"/>
      <c r="S21" s="161"/>
      <c r="T21" s="161"/>
      <c r="U21" s="161"/>
      <c r="V21" s="161"/>
      <c r="W21" s="161"/>
      <c r="X21" s="161"/>
      <c r="Y21" s="161"/>
      <c r="Z21" s="184"/>
    </row>
    <row r="22" spans="1:26" ht="12.75" customHeight="1" x14ac:dyDescent="0.25">
      <c r="A22" s="173"/>
      <c r="B22" s="183"/>
      <c r="Z22" s="172"/>
    </row>
    <row r="23" spans="1:26" ht="15.75" customHeight="1" x14ac:dyDescent="0.25">
      <c r="A23" s="173"/>
      <c r="B23" s="409" t="s">
        <v>32</v>
      </c>
      <c r="C23" s="333" t="s">
        <v>33</v>
      </c>
      <c r="D23" s="333"/>
      <c r="E23" s="333"/>
      <c r="F23" s="333"/>
      <c r="G23" s="334"/>
      <c r="H23" s="406" t="s">
        <v>34</v>
      </c>
      <c r="I23" s="407"/>
      <c r="J23" s="408"/>
      <c r="K23" s="333" t="s">
        <v>35</v>
      </c>
      <c r="L23" s="333"/>
      <c r="M23" s="333"/>
      <c r="N23" s="333"/>
      <c r="O23" s="333"/>
      <c r="P23" s="334"/>
      <c r="Z23" s="172"/>
    </row>
    <row r="24" spans="1:26" ht="15.75" customHeight="1" x14ac:dyDescent="0.25">
      <c r="A24" s="173"/>
      <c r="B24" s="410"/>
      <c r="C24" s="335"/>
      <c r="D24" s="335"/>
      <c r="E24" s="335"/>
      <c r="F24" s="335"/>
      <c r="G24" s="336"/>
      <c r="H24" s="403" t="s">
        <v>36</v>
      </c>
      <c r="I24" s="404"/>
      <c r="J24" s="405"/>
      <c r="K24" s="335"/>
      <c r="L24" s="335"/>
      <c r="M24" s="335"/>
      <c r="N24" s="335"/>
      <c r="O24" s="335"/>
      <c r="P24" s="336"/>
      <c r="Z24" s="172"/>
    </row>
    <row r="25" spans="1:26" ht="19.5" customHeight="1" x14ac:dyDescent="0.25">
      <c r="A25" s="173"/>
      <c r="B25" s="181">
        <v>1</v>
      </c>
      <c r="C25" s="552" t="s">
        <v>69</v>
      </c>
      <c r="D25" s="553"/>
      <c r="E25" s="553"/>
      <c r="F25" s="553"/>
      <c r="G25" s="554"/>
      <c r="H25" s="359">
        <v>66</v>
      </c>
      <c r="I25" s="360"/>
      <c r="J25" s="361"/>
      <c r="K25" s="318"/>
      <c r="L25" s="319"/>
      <c r="M25" s="319"/>
      <c r="N25" s="319"/>
      <c r="O25" s="319"/>
      <c r="P25" s="320"/>
      <c r="Z25" s="172"/>
    </row>
    <row r="26" spans="1:26" ht="19.5" customHeight="1" x14ac:dyDescent="0.25">
      <c r="A26" s="173"/>
      <c r="B26" s="181">
        <v>2</v>
      </c>
      <c r="C26" s="556"/>
      <c r="D26" s="557"/>
      <c r="E26" s="557"/>
      <c r="F26" s="557"/>
      <c r="G26" s="558"/>
      <c r="H26" s="359">
        <v>82</v>
      </c>
      <c r="I26" s="360"/>
      <c r="J26" s="361"/>
      <c r="K26" s="318"/>
      <c r="L26" s="319"/>
      <c r="M26" s="319"/>
      <c r="N26" s="319"/>
      <c r="O26" s="319"/>
      <c r="P26" s="320"/>
      <c r="Z26" s="172"/>
    </row>
    <row r="27" spans="1:26" ht="19.5" customHeight="1" x14ac:dyDescent="0.25">
      <c r="A27" s="173"/>
      <c r="B27" s="181">
        <v>3</v>
      </c>
      <c r="C27" s="552" t="s">
        <v>20</v>
      </c>
      <c r="D27" s="553"/>
      <c r="E27" s="553"/>
      <c r="F27" s="553"/>
      <c r="G27" s="554"/>
      <c r="H27" s="359">
        <v>52</v>
      </c>
      <c r="I27" s="360"/>
      <c r="J27" s="361"/>
      <c r="K27" s="318"/>
      <c r="L27" s="319"/>
      <c r="M27" s="319"/>
      <c r="N27" s="319"/>
      <c r="O27" s="319"/>
      <c r="P27" s="320"/>
      <c r="Z27" s="172"/>
    </row>
    <row r="28" spans="1:26" ht="19.5" customHeight="1" x14ac:dyDescent="0.25">
      <c r="A28" s="173"/>
      <c r="B28" s="181">
        <v>4</v>
      </c>
      <c r="C28" s="328"/>
      <c r="D28" s="329"/>
      <c r="E28" s="329"/>
      <c r="F28" s="329"/>
      <c r="G28" s="555"/>
      <c r="H28" s="359">
        <v>52</v>
      </c>
      <c r="I28" s="360"/>
      <c r="J28" s="361"/>
      <c r="K28" s="318"/>
      <c r="L28" s="319"/>
      <c r="M28" s="319"/>
      <c r="N28" s="319"/>
      <c r="O28" s="319"/>
      <c r="P28" s="320"/>
      <c r="Z28" s="172"/>
    </row>
    <row r="29" spans="1:26" ht="19.5" customHeight="1" x14ac:dyDescent="0.25">
      <c r="A29" s="173"/>
      <c r="B29" s="181">
        <v>5</v>
      </c>
      <c r="C29" s="556"/>
      <c r="D29" s="557"/>
      <c r="E29" s="557"/>
      <c r="F29" s="557"/>
      <c r="G29" s="558"/>
      <c r="H29" s="359">
        <v>55</v>
      </c>
      <c r="I29" s="360"/>
      <c r="J29" s="361"/>
      <c r="K29" s="318"/>
      <c r="L29" s="319"/>
      <c r="M29" s="319"/>
      <c r="N29" s="319"/>
      <c r="O29" s="319"/>
      <c r="P29" s="320"/>
      <c r="Z29" s="172"/>
    </row>
    <row r="30" spans="1:26" ht="19.5" customHeight="1" x14ac:dyDescent="0.25">
      <c r="A30" s="173"/>
      <c r="B30" s="181"/>
      <c r="C30" s="318"/>
      <c r="D30" s="319"/>
      <c r="E30" s="319"/>
      <c r="F30" s="319"/>
      <c r="G30" s="320"/>
      <c r="H30" s="359"/>
      <c r="I30" s="360"/>
      <c r="J30" s="361"/>
      <c r="K30" s="318"/>
      <c r="L30" s="319"/>
      <c r="M30" s="319"/>
      <c r="N30" s="319"/>
      <c r="O30" s="319"/>
      <c r="P30" s="320"/>
      <c r="Z30" s="172"/>
    </row>
    <row r="31" spans="1:26" ht="19.5" customHeight="1" x14ac:dyDescent="0.25">
      <c r="A31" s="173"/>
      <c r="B31" s="181"/>
      <c r="C31" s="318"/>
      <c r="D31" s="319"/>
      <c r="E31" s="319"/>
      <c r="F31" s="319"/>
      <c r="G31" s="320"/>
      <c r="H31" s="359"/>
      <c r="I31" s="360"/>
      <c r="J31" s="361"/>
      <c r="K31" s="318"/>
      <c r="L31" s="319"/>
      <c r="M31" s="319"/>
      <c r="N31" s="319"/>
      <c r="O31" s="319"/>
      <c r="P31" s="320"/>
      <c r="Z31" s="172"/>
    </row>
    <row r="32" spans="1:26" ht="19.5" customHeight="1" x14ac:dyDescent="0.25">
      <c r="A32" s="173"/>
      <c r="B32" s="181"/>
      <c r="C32" s="318"/>
      <c r="D32" s="319"/>
      <c r="E32" s="319"/>
      <c r="F32" s="319"/>
      <c r="G32" s="320"/>
      <c r="H32" s="359"/>
      <c r="I32" s="360"/>
      <c r="J32" s="361"/>
      <c r="K32" s="318"/>
      <c r="L32" s="319"/>
      <c r="M32" s="319"/>
      <c r="N32" s="319"/>
      <c r="O32" s="319"/>
      <c r="P32" s="320"/>
      <c r="Z32" s="172"/>
    </row>
    <row r="33" spans="1:26" ht="19.5" customHeight="1" x14ac:dyDescent="0.25">
      <c r="A33" s="173"/>
      <c r="B33" s="181"/>
      <c r="C33" s="318"/>
      <c r="D33" s="319"/>
      <c r="E33" s="319"/>
      <c r="F33" s="319"/>
      <c r="G33" s="320"/>
      <c r="H33" s="359"/>
      <c r="I33" s="360"/>
      <c r="J33" s="361"/>
      <c r="K33" s="318"/>
      <c r="L33" s="319"/>
      <c r="M33" s="319"/>
      <c r="N33" s="319"/>
      <c r="O33" s="319"/>
      <c r="P33" s="320"/>
      <c r="Z33" s="172"/>
    </row>
    <row r="34" spans="1:26" ht="19.5" customHeight="1" x14ac:dyDescent="0.25">
      <c r="A34" s="173"/>
      <c r="B34" s="181"/>
      <c r="C34" s="318"/>
      <c r="D34" s="319"/>
      <c r="E34" s="319"/>
      <c r="F34" s="319"/>
      <c r="G34" s="320"/>
      <c r="H34" s="359"/>
      <c r="I34" s="360"/>
      <c r="J34" s="361"/>
      <c r="K34" s="318"/>
      <c r="L34" s="319"/>
      <c r="M34" s="319"/>
      <c r="N34" s="319"/>
      <c r="O34" s="319"/>
      <c r="P34" s="320"/>
      <c r="Z34" s="172"/>
    </row>
    <row r="35" spans="1:26" ht="19.5" customHeight="1" x14ac:dyDescent="0.25">
      <c r="A35" s="173"/>
      <c r="B35" s="181"/>
      <c r="C35" s="318"/>
      <c r="D35" s="319"/>
      <c r="E35" s="319"/>
      <c r="F35" s="319"/>
      <c r="G35" s="320"/>
      <c r="H35" s="359"/>
      <c r="I35" s="360"/>
      <c r="J35" s="361"/>
      <c r="K35" s="318"/>
      <c r="L35" s="319"/>
      <c r="M35" s="319"/>
      <c r="N35" s="319"/>
      <c r="O35" s="319"/>
      <c r="P35" s="320"/>
      <c r="Z35" s="172"/>
    </row>
    <row r="36" spans="1:26" ht="19.5" customHeight="1" x14ac:dyDescent="0.25">
      <c r="A36" s="173"/>
      <c r="B36" s="181"/>
      <c r="C36" s="318"/>
      <c r="D36" s="319"/>
      <c r="E36" s="319"/>
      <c r="F36" s="319"/>
      <c r="G36" s="320"/>
      <c r="H36" s="359"/>
      <c r="I36" s="360"/>
      <c r="J36" s="361"/>
      <c r="K36" s="318"/>
      <c r="L36" s="319"/>
      <c r="M36" s="319"/>
      <c r="N36" s="319"/>
      <c r="O36" s="319"/>
      <c r="P36" s="320"/>
      <c r="Z36" s="172"/>
    </row>
    <row r="37" spans="1:26" ht="19.5" customHeight="1" x14ac:dyDescent="0.25">
      <c r="A37" s="173"/>
      <c r="B37" s="181"/>
      <c r="C37" s="318"/>
      <c r="D37" s="319"/>
      <c r="E37" s="319"/>
      <c r="F37" s="319"/>
      <c r="G37" s="320"/>
      <c r="H37" s="359"/>
      <c r="I37" s="360"/>
      <c r="J37" s="361"/>
      <c r="K37" s="318"/>
      <c r="L37" s="319"/>
      <c r="M37" s="319"/>
      <c r="N37" s="319"/>
      <c r="O37" s="319"/>
      <c r="P37" s="320"/>
      <c r="Z37" s="172"/>
    </row>
    <row r="38" spans="1:26" ht="19.5" customHeight="1" x14ac:dyDescent="0.25">
      <c r="A38" s="173"/>
      <c r="B38" s="181"/>
      <c r="C38" s="318"/>
      <c r="D38" s="319"/>
      <c r="E38" s="319"/>
      <c r="F38" s="319"/>
      <c r="G38" s="320"/>
      <c r="H38" s="359"/>
      <c r="I38" s="360"/>
      <c r="J38" s="361"/>
      <c r="K38" s="318"/>
      <c r="L38" s="319"/>
      <c r="M38" s="319"/>
      <c r="N38" s="319"/>
      <c r="O38" s="319"/>
      <c r="P38" s="320"/>
      <c r="Z38" s="172"/>
    </row>
    <row r="39" spans="1:26" ht="19.5" customHeight="1" x14ac:dyDescent="0.25">
      <c r="A39" s="173"/>
      <c r="B39" s="181"/>
      <c r="C39" s="318"/>
      <c r="D39" s="319"/>
      <c r="E39" s="319"/>
      <c r="F39" s="319"/>
      <c r="G39" s="320"/>
      <c r="H39" s="359"/>
      <c r="I39" s="360"/>
      <c r="J39" s="361"/>
      <c r="K39" s="318"/>
      <c r="L39" s="319"/>
      <c r="M39" s="319"/>
      <c r="N39" s="319"/>
      <c r="O39" s="319"/>
      <c r="P39" s="320"/>
      <c r="Z39" s="172"/>
    </row>
    <row r="40" spans="1:26" ht="19.5" customHeight="1" x14ac:dyDescent="0.25">
      <c r="A40" s="173"/>
      <c r="B40" s="181"/>
      <c r="C40" s="318"/>
      <c r="D40" s="319"/>
      <c r="E40" s="319"/>
      <c r="F40" s="319"/>
      <c r="G40" s="320"/>
      <c r="H40" s="359"/>
      <c r="I40" s="360"/>
      <c r="J40" s="361"/>
      <c r="K40" s="318"/>
      <c r="L40" s="319"/>
      <c r="M40" s="319"/>
      <c r="N40" s="319"/>
      <c r="O40" s="319"/>
      <c r="P40" s="320"/>
      <c r="Z40" s="172"/>
    </row>
    <row r="41" spans="1:26" ht="19.5" customHeight="1" x14ac:dyDescent="0.25">
      <c r="A41" s="173"/>
      <c r="B41" s="181"/>
      <c r="C41" s="318"/>
      <c r="D41" s="319"/>
      <c r="E41" s="319"/>
      <c r="F41" s="319"/>
      <c r="G41" s="320"/>
      <c r="H41" s="359"/>
      <c r="I41" s="360"/>
      <c r="J41" s="361"/>
      <c r="K41" s="318"/>
      <c r="L41" s="319"/>
      <c r="M41" s="319"/>
      <c r="N41" s="319"/>
      <c r="O41" s="319"/>
      <c r="P41" s="320"/>
      <c r="Z41" s="172"/>
    </row>
    <row r="42" spans="1:26" ht="19.5" customHeight="1" x14ac:dyDescent="0.25">
      <c r="A42" s="173"/>
      <c r="B42" s="181"/>
      <c r="C42" s="318"/>
      <c r="D42" s="319"/>
      <c r="E42" s="319"/>
      <c r="F42" s="319"/>
      <c r="G42" s="320"/>
      <c r="H42" s="359"/>
      <c r="I42" s="360"/>
      <c r="J42" s="361"/>
      <c r="K42" s="318"/>
      <c r="L42" s="319"/>
      <c r="M42" s="319"/>
      <c r="N42" s="319"/>
      <c r="O42" s="319"/>
      <c r="P42" s="320"/>
      <c r="Z42" s="172"/>
    </row>
    <row r="43" spans="1:26" ht="19.5" customHeight="1" x14ac:dyDescent="0.25">
      <c r="A43" s="173"/>
      <c r="B43" s="181"/>
      <c r="C43" s="318"/>
      <c r="D43" s="319"/>
      <c r="E43" s="319"/>
      <c r="F43" s="319"/>
      <c r="G43" s="320"/>
      <c r="H43" s="359"/>
      <c r="I43" s="360"/>
      <c r="J43" s="361"/>
      <c r="K43" s="318"/>
      <c r="L43" s="319"/>
      <c r="M43" s="319"/>
      <c r="N43" s="319"/>
      <c r="O43" s="319"/>
      <c r="P43" s="320"/>
      <c r="Z43" s="172"/>
    </row>
    <row r="44" spans="1:26" ht="19.5" customHeight="1" x14ac:dyDescent="0.25">
      <c r="A44" s="173"/>
      <c r="B44" s="181"/>
      <c r="C44" s="318"/>
      <c r="D44" s="319"/>
      <c r="E44" s="319"/>
      <c r="F44" s="319"/>
      <c r="G44" s="320"/>
      <c r="H44" s="359"/>
      <c r="I44" s="360"/>
      <c r="J44" s="361"/>
      <c r="K44" s="318"/>
      <c r="L44" s="319"/>
      <c r="M44" s="319"/>
      <c r="N44" s="319"/>
      <c r="O44" s="319"/>
      <c r="P44" s="320"/>
      <c r="Z44" s="172"/>
    </row>
    <row r="45" spans="1:26" ht="19.5" customHeight="1" thickBot="1" x14ac:dyDescent="0.3">
      <c r="A45" s="173"/>
      <c r="B45" s="174"/>
      <c r="C45" s="342"/>
      <c r="D45" s="342"/>
      <c r="E45" s="342"/>
      <c r="F45" s="342"/>
      <c r="G45" s="343"/>
      <c r="H45" s="338"/>
      <c r="I45" s="339"/>
      <c r="J45" s="340"/>
      <c r="K45" s="341"/>
      <c r="L45" s="342"/>
      <c r="M45" s="342"/>
      <c r="N45" s="342"/>
      <c r="O45" s="342"/>
      <c r="P45" s="343"/>
      <c r="Z45" s="172"/>
    </row>
    <row r="46" spans="1:26" ht="15.75" customHeight="1" x14ac:dyDescent="0.25">
      <c r="A46" s="173"/>
      <c r="B46" s="393" t="s">
        <v>37</v>
      </c>
      <c r="C46" s="394"/>
      <c r="D46" s="394"/>
      <c r="E46" s="394"/>
      <c r="F46" s="394"/>
      <c r="G46" s="395"/>
      <c r="H46" s="399">
        <f>AVERAGE(H25:J45)</f>
        <v>61.4</v>
      </c>
      <c r="I46" s="400"/>
      <c r="J46" s="401"/>
      <c r="K46" s="326" t="s">
        <v>55</v>
      </c>
      <c r="L46" s="327"/>
      <c r="M46" s="321" t="s">
        <v>38</v>
      </c>
      <c r="N46" s="321"/>
      <c r="O46" s="321"/>
      <c r="P46" s="322"/>
      <c r="Z46" s="172"/>
    </row>
    <row r="47" spans="1:26" ht="15.75" customHeight="1" x14ac:dyDescent="0.25">
      <c r="A47" s="173"/>
      <c r="B47" s="387" t="s">
        <v>39</v>
      </c>
      <c r="C47" s="388"/>
      <c r="D47" s="388"/>
      <c r="E47" s="388"/>
      <c r="F47" s="388"/>
      <c r="G47" s="389"/>
      <c r="H47" s="301">
        <f>IF(COUNTIF(H25:J45,"*&lt;20*"),"&lt;20",MIN(H25:J45))</f>
        <v>52</v>
      </c>
      <c r="I47" s="302"/>
      <c r="J47" s="303"/>
      <c r="K47" s="328"/>
      <c r="L47" s="329"/>
      <c r="M47" s="294"/>
      <c r="N47" s="294"/>
      <c r="O47" s="294"/>
      <c r="P47" s="323"/>
      <c r="Z47" s="172"/>
    </row>
    <row r="48" spans="1:26" ht="15.75" customHeight="1" thickBot="1" x14ac:dyDescent="0.3">
      <c r="A48" s="173"/>
      <c r="B48" s="390" t="s">
        <v>40</v>
      </c>
      <c r="C48" s="391"/>
      <c r="D48" s="391"/>
      <c r="E48" s="391"/>
      <c r="F48" s="391"/>
      <c r="G48" s="392"/>
      <c r="H48" s="396">
        <f>IF(COUNTIF(H25:J45,"*&gt;250*"),"&gt;250",MAX(H25:J45))</f>
        <v>82</v>
      </c>
      <c r="I48" s="397"/>
      <c r="J48" s="398"/>
      <c r="K48" s="330"/>
      <c r="L48" s="331"/>
      <c r="M48" s="324"/>
      <c r="N48" s="324"/>
      <c r="O48" s="324"/>
      <c r="P48" s="325"/>
      <c r="Z48" s="172"/>
    </row>
    <row r="49" spans="1:26" ht="15.9" customHeight="1" x14ac:dyDescent="0.25">
      <c r="A49" s="171"/>
      <c r="B49" s="170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8"/>
    </row>
    <row r="50" spans="1:26" ht="12.75" customHeight="1" x14ac:dyDescent="0.25">
      <c r="A50" s="167"/>
      <c r="B50" s="166"/>
    </row>
    <row r="51" spans="1:26" s="141" customFormat="1" ht="15.6" customHeight="1" x14ac:dyDescent="0.25">
      <c r="A51" s="165" t="s">
        <v>41</v>
      </c>
      <c r="B51" s="164" t="s">
        <v>42</v>
      </c>
      <c r="C51" s="163"/>
      <c r="D51" s="163"/>
      <c r="E51" s="163"/>
      <c r="F51" s="162"/>
      <c r="G51" s="162"/>
      <c r="H51" s="162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0"/>
      <c r="V51" s="159"/>
      <c r="W51" s="159"/>
      <c r="X51" s="158"/>
      <c r="Y51" s="158"/>
      <c r="Z51" s="157"/>
    </row>
    <row r="52" spans="1:26" s="141" customFormat="1" ht="28.5" customHeight="1" x14ac:dyDescent="0.25">
      <c r="A52" s="306" t="s">
        <v>43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8"/>
      <c r="R52" s="286" t="s">
        <v>44</v>
      </c>
      <c r="S52" s="287"/>
      <c r="T52" s="288"/>
      <c r="U52" s="276" t="s">
        <v>54</v>
      </c>
      <c r="V52" s="277"/>
      <c r="W52" s="277"/>
      <c r="X52" s="278"/>
      <c r="Y52" s="278"/>
      <c r="Z52" s="279"/>
    </row>
    <row r="53" spans="1:26" s="141" customFormat="1" ht="15.6" customHeight="1" x14ac:dyDescent="0.25">
      <c r="A53" s="280" t="s">
        <v>53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2"/>
      <c r="R53" s="286" t="s">
        <v>46</v>
      </c>
      <c r="S53" s="287"/>
      <c r="T53" s="288"/>
      <c r="U53" s="289" t="s">
        <v>52</v>
      </c>
      <c r="V53" s="290"/>
      <c r="W53" s="290"/>
      <c r="X53" s="291"/>
      <c r="Y53" s="291"/>
      <c r="Z53" s="292"/>
    </row>
    <row r="54" spans="1:26" s="141" customFormat="1" ht="15.6" customHeight="1" x14ac:dyDescent="0.25">
      <c r="A54" s="283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5"/>
      <c r="R54" s="286"/>
      <c r="S54" s="287"/>
      <c r="T54" s="288"/>
      <c r="U54" s="293"/>
      <c r="V54" s="294"/>
      <c r="W54" s="294"/>
      <c r="X54" s="295"/>
      <c r="Y54" s="295"/>
      <c r="Z54" s="296"/>
    </row>
    <row r="55" spans="1:26" s="141" customFormat="1" ht="15.6" customHeight="1" x14ac:dyDescent="0.25">
      <c r="A55" s="156" t="s">
        <v>48</v>
      </c>
      <c r="B55" s="155" t="s">
        <v>49</v>
      </c>
      <c r="C55" s="139"/>
      <c r="D55" s="139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3"/>
      <c r="R55" s="286"/>
      <c r="S55" s="287"/>
      <c r="T55" s="288"/>
      <c r="U55" s="297"/>
      <c r="V55" s="298"/>
      <c r="W55" s="298"/>
      <c r="X55" s="299"/>
      <c r="Y55" s="299"/>
      <c r="Z55" s="300"/>
    </row>
    <row r="56" spans="1:26" s="141" customFormat="1" ht="15.6" customHeight="1" x14ac:dyDescent="0.25">
      <c r="A56" s="378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80"/>
      <c r="R56" s="286" t="s">
        <v>50</v>
      </c>
      <c r="S56" s="287"/>
      <c r="T56" s="288"/>
      <c r="U56" s="152"/>
      <c r="V56" s="151"/>
      <c r="W56" s="151"/>
      <c r="X56" s="151"/>
      <c r="Y56" s="151"/>
      <c r="Z56" s="150"/>
    </row>
    <row r="57" spans="1:26" s="141" customFormat="1" ht="15.6" customHeight="1" x14ac:dyDescent="0.25">
      <c r="A57" s="378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80"/>
      <c r="R57" s="286"/>
      <c r="S57" s="287"/>
      <c r="T57" s="288"/>
      <c r="U57" s="149"/>
      <c r="V57" s="294"/>
      <c r="W57" s="294"/>
      <c r="X57" s="294"/>
      <c r="Y57" s="294"/>
      <c r="Z57" s="148"/>
    </row>
    <row r="58" spans="1:26" s="141" customFormat="1" ht="15.6" customHeight="1" x14ac:dyDescent="0.25">
      <c r="A58" s="378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80"/>
      <c r="R58" s="286"/>
      <c r="S58" s="287"/>
      <c r="T58" s="288"/>
      <c r="U58" s="149"/>
      <c r="V58" s="294"/>
      <c r="W58" s="294"/>
      <c r="X58" s="294"/>
      <c r="Y58" s="294"/>
      <c r="Z58" s="148"/>
    </row>
    <row r="59" spans="1:26" s="141" customFormat="1" ht="15.6" customHeight="1" x14ac:dyDescent="0.25">
      <c r="A59" s="381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383"/>
      <c r="R59" s="384"/>
      <c r="S59" s="385"/>
      <c r="T59" s="386"/>
      <c r="U59" s="147"/>
      <c r="V59" s="146"/>
      <c r="W59" s="146"/>
      <c r="X59" s="146"/>
      <c r="Y59" s="146"/>
      <c r="Z59" s="145"/>
    </row>
    <row r="60" spans="1:26" s="141" customFormat="1" ht="15" customHeight="1" x14ac:dyDescent="0.25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3"/>
      <c r="S60" s="143"/>
      <c r="T60" s="143"/>
      <c r="U60" s="142"/>
      <c r="V60" s="142"/>
      <c r="W60" s="142"/>
      <c r="X60" s="142"/>
      <c r="Y60" s="142"/>
      <c r="Z60" s="142"/>
    </row>
    <row r="62" spans="1:26" ht="12.75" customHeight="1" x14ac:dyDescent="0.25">
      <c r="A62" s="139"/>
    </row>
    <row r="63" spans="1:26" ht="12.75" customHeight="1" x14ac:dyDescent="0.25">
      <c r="A63" s="139"/>
    </row>
    <row r="64" spans="1:26" ht="12.75" customHeight="1" x14ac:dyDescent="0.25">
      <c r="A64" s="139"/>
    </row>
    <row r="65" spans="1:1" ht="12.75" customHeight="1" x14ac:dyDescent="0.25">
      <c r="A65" s="139"/>
    </row>
    <row r="66" spans="1:1" ht="12.75" customHeight="1" x14ac:dyDescent="0.25">
      <c r="A66" s="139"/>
    </row>
    <row r="67" spans="1:1" ht="12.75" customHeight="1" x14ac:dyDescent="0.25">
      <c r="A67" s="139"/>
    </row>
  </sheetData>
  <sheetProtection formatCells="0" formatColumns="0" formatRows="0" insertColumns="0" insertRows="0" insertHyperlinks="0" deleteColumns="0" deleteRows="0" selectLockedCells="1" sort="0" autoFilter="0" pivotTables="0"/>
  <mergeCells count="112">
    <mergeCell ref="V57:Y58"/>
    <mergeCell ref="I18:J18"/>
    <mergeCell ref="H25:J25"/>
    <mergeCell ref="H24:J24"/>
    <mergeCell ref="H23:J23"/>
    <mergeCell ref="B18:H18"/>
    <mergeCell ref="B23:B24"/>
    <mergeCell ref="C23:G24"/>
    <mergeCell ref="J21:P21"/>
    <mergeCell ref="A56:Q59"/>
    <mergeCell ref="R56:T59"/>
    <mergeCell ref="K26:P26"/>
    <mergeCell ref="H27:J27"/>
    <mergeCell ref="K27:P27"/>
    <mergeCell ref="C45:G45"/>
    <mergeCell ref="B47:G47"/>
    <mergeCell ref="B48:G48"/>
    <mergeCell ref="B46:G46"/>
    <mergeCell ref="H26:J26"/>
    <mergeCell ref="H28:J28"/>
    <mergeCell ref="H48:J48"/>
    <mergeCell ref="H46:J46"/>
    <mergeCell ref="K25:P25"/>
    <mergeCell ref="M46:P48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K46:L48"/>
    <mergeCell ref="S12:Y12"/>
    <mergeCell ref="K23:P24"/>
    <mergeCell ref="I17:Y17"/>
    <mergeCell ref="S11:Y11"/>
    <mergeCell ref="H45:J45"/>
    <mergeCell ref="K45:P45"/>
    <mergeCell ref="G5:H5"/>
    <mergeCell ref="K28:P28"/>
    <mergeCell ref="H29:J29"/>
    <mergeCell ref="K29:P29"/>
    <mergeCell ref="N12:R12"/>
    <mergeCell ref="H12:M12"/>
    <mergeCell ref="H11:M11"/>
    <mergeCell ref="N11:R11"/>
    <mergeCell ref="B17:H17"/>
    <mergeCell ref="B12:G12"/>
    <mergeCell ref="B11:G11"/>
    <mergeCell ref="C30:G30"/>
    <mergeCell ref="H30:J30"/>
    <mergeCell ref="K30:P30"/>
    <mergeCell ref="C31:G31"/>
    <mergeCell ref="H31:J31"/>
    <mergeCell ref="K31:P31"/>
    <mergeCell ref="A52:Q52"/>
    <mergeCell ref="R52:T52"/>
    <mergeCell ref="C32:G32"/>
    <mergeCell ref="H32:J32"/>
    <mergeCell ref="K32:P32"/>
    <mergeCell ref="C33:G33"/>
    <mergeCell ref="U52:Z52"/>
    <mergeCell ref="A53:Q54"/>
    <mergeCell ref="R53:T55"/>
    <mergeCell ref="U53:Z55"/>
    <mergeCell ref="H47:J47"/>
    <mergeCell ref="H36:J36"/>
    <mergeCell ref="K36:P36"/>
    <mergeCell ref="C37:G37"/>
    <mergeCell ref="H37:J37"/>
    <mergeCell ref="K37:P37"/>
    <mergeCell ref="H33:J33"/>
    <mergeCell ref="K33:P33"/>
    <mergeCell ref="C34:G34"/>
    <mergeCell ref="H34:J34"/>
    <mergeCell ref="K34:P34"/>
    <mergeCell ref="C35:G35"/>
    <mergeCell ref="H35:J35"/>
    <mergeCell ref="K35:P35"/>
    <mergeCell ref="C44:G44"/>
    <mergeCell ref="H44:J44"/>
    <mergeCell ref="K44:P44"/>
    <mergeCell ref="C27:G29"/>
    <mergeCell ref="C25:G26"/>
    <mergeCell ref="C42:G42"/>
    <mergeCell ref="H42:J42"/>
    <mergeCell ref="K42:P42"/>
    <mergeCell ref="C43:G43"/>
    <mergeCell ref="H43:J43"/>
    <mergeCell ref="K43:P43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36:G36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79DE-2CB0-4C29-9DF7-A8D1C0EC1298}">
  <sheetPr>
    <pageSetUpPr fitToPage="1"/>
  </sheetPr>
  <dimension ref="A1:AA67"/>
  <sheetViews>
    <sheetView workbookViewId="0">
      <selection activeCell="G1" sqref="G1:Z6"/>
    </sheetView>
  </sheetViews>
  <sheetFormatPr baseColWidth="10" defaultColWidth="11.44140625" defaultRowHeight="12.75" customHeight="1" x14ac:dyDescent="0.25"/>
  <cols>
    <col min="1" max="1" width="5.109375" style="140" customWidth="1"/>
    <col min="2" max="26" width="5.109375" style="139" customWidth="1"/>
    <col min="27" max="27" width="11.44140625" style="139"/>
    <col min="28" max="16384" width="11.44140625" style="138"/>
  </cols>
  <sheetData>
    <row r="1" spans="1:26" ht="12.75" customHeight="1" x14ac:dyDescent="0.25">
      <c r="A1" s="362"/>
      <c r="B1" s="363"/>
      <c r="C1" s="363"/>
      <c r="D1" s="363"/>
      <c r="E1" s="363"/>
      <c r="F1" s="364"/>
      <c r="G1" s="371" t="s">
        <v>0</v>
      </c>
      <c r="H1" s="372"/>
      <c r="I1" s="372"/>
      <c r="J1" s="372"/>
      <c r="K1" s="372"/>
      <c r="L1" s="372"/>
      <c r="M1" s="372"/>
      <c r="N1" s="372"/>
      <c r="O1" s="372"/>
      <c r="P1" s="372"/>
      <c r="Q1" s="372"/>
      <c r="R1" s="372"/>
      <c r="S1" s="372"/>
      <c r="T1" s="373"/>
      <c r="U1" s="564" t="s">
        <v>51</v>
      </c>
      <c r="V1" s="565"/>
      <c r="W1" s="565"/>
      <c r="X1" s="565"/>
      <c r="Y1" s="565"/>
      <c r="Z1" s="566"/>
    </row>
    <row r="2" spans="1:26" ht="12.75" customHeight="1" x14ac:dyDescent="0.25">
      <c r="A2" s="365"/>
      <c r="B2" s="366"/>
      <c r="C2" s="366"/>
      <c r="D2" s="366"/>
      <c r="E2" s="366"/>
      <c r="F2" s="367"/>
      <c r="G2" s="374" t="s">
        <v>1</v>
      </c>
      <c r="H2" s="375"/>
      <c r="I2" s="375"/>
      <c r="J2" s="375"/>
      <c r="K2" s="375"/>
      <c r="L2" s="375"/>
      <c r="M2" s="375"/>
      <c r="N2" s="375"/>
      <c r="O2" s="375"/>
      <c r="P2" s="375"/>
      <c r="Q2" s="375"/>
      <c r="R2" s="375"/>
      <c r="S2" s="375"/>
      <c r="T2" s="376"/>
      <c r="U2" s="567"/>
      <c r="V2" s="568"/>
      <c r="W2" s="568"/>
      <c r="X2" s="568"/>
      <c r="Y2" s="568"/>
      <c r="Z2" s="569"/>
    </row>
    <row r="3" spans="1:26" ht="12.75" customHeight="1" x14ac:dyDescent="0.25">
      <c r="A3" s="365"/>
      <c r="B3" s="366"/>
      <c r="C3" s="366"/>
      <c r="D3" s="366"/>
      <c r="E3" s="366"/>
      <c r="F3" s="367"/>
      <c r="G3" s="374"/>
      <c r="H3" s="375"/>
      <c r="I3" s="375"/>
      <c r="J3" s="375"/>
      <c r="K3" s="375"/>
      <c r="L3" s="375"/>
      <c r="M3" s="375"/>
      <c r="N3" s="375"/>
      <c r="O3" s="375"/>
      <c r="P3" s="375"/>
      <c r="Q3" s="375"/>
      <c r="R3" s="375"/>
      <c r="S3" s="375"/>
      <c r="T3" s="376"/>
      <c r="U3" s="567"/>
      <c r="V3" s="568"/>
      <c r="W3" s="568"/>
      <c r="X3" s="568"/>
      <c r="Y3" s="568"/>
      <c r="Z3" s="569"/>
    </row>
    <row r="4" spans="1:26" ht="12.75" customHeight="1" x14ac:dyDescent="0.25">
      <c r="A4" s="365"/>
      <c r="B4" s="366"/>
      <c r="C4" s="366"/>
      <c r="D4" s="366"/>
      <c r="E4" s="366"/>
      <c r="F4" s="367"/>
      <c r="G4" s="374"/>
      <c r="H4" s="375"/>
      <c r="I4" s="375"/>
      <c r="J4" s="375"/>
      <c r="K4" s="375"/>
      <c r="L4" s="375"/>
      <c r="M4" s="375"/>
      <c r="N4" s="375"/>
      <c r="O4" s="375"/>
      <c r="P4" s="375"/>
      <c r="Q4" s="375"/>
      <c r="R4" s="375"/>
      <c r="S4" s="375"/>
      <c r="T4" s="376"/>
      <c r="U4" s="567"/>
      <c r="V4" s="568"/>
      <c r="W4" s="568"/>
      <c r="X4" s="568"/>
      <c r="Y4" s="568"/>
      <c r="Z4" s="569"/>
    </row>
    <row r="5" spans="1:26" ht="12.75" customHeight="1" x14ac:dyDescent="0.25">
      <c r="A5" s="365"/>
      <c r="B5" s="366"/>
      <c r="C5" s="366"/>
      <c r="D5" s="366"/>
      <c r="E5" s="366"/>
      <c r="F5" s="367"/>
      <c r="G5" s="344" t="s">
        <v>2</v>
      </c>
      <c r="H5" s="345"/>
      <c r="I5" s="559">
        <v>3</v>
      </c>
      <c r="J5" s="559"/>
      <c r="K5" s="560"/>
      <c r="L5" s="561" t="s">
        <v>3</v>
      </c>
      <c r="M5" s="562"/>
      <c r="N5" s="562"/>
      <c r="O5" s="563"/>
      <c r="P5" s="355" t="s">
        <v>68</v>
      </c>
      <c r="Q5" s="356"/>
      <c r="R5" s="356"/>
      <c r="S5" s="356"/>
      <c r="T5" s="357"/>
      <c r="U5" s="567"/>
      <c r="V5" s="568"/>
      <c r="W5" s="568"/>
      <c r="X5" s="568"/>
      <c r="Y5" s="568"/>
      <c r="Z5" s="569"/>
    </row>
    <row r="6" spans="1:26" ht="12.75" customHeight="1" x14ac:dyDescent="0.25">
      <c r="A6" s="368"/>
      <c r="B6" s="369"/>
      <c r="C6" s="369"/>
      <c r="D6" s="369"/>
      <c r="E6" s="369"/>
      <c r="F6" s="370"/>
      <c r="G6" s="209"/>
      <c r="H6" s="169"/>
      <c r="I6" s="351" t="s">
        <v>5</v>
      </c>
      <c r="J6" s="351"/>
      <c r="K6" s="351"/>
      <c r="L6" s="351" t="s">
        <v>6</v>
      </c>
      <c r="M6" s="351"/>
      <c r="N6" s="351"/>
      <c r="O6" s="351"/>
      <c r="P6" s="351" t="s">
        <v>7</v>
      </c>
      <c r="Q6" s="351"/>
      <c r="R6" s="351"/>
      <c r="S6" s="351"/>
      <c r="T6" s="358"/>
      <c r="U6" s="570"/>
      <c r="V6" s="571"/>
      <c r="W6" s="571"/>
      <c r="X6" s="571"/>
      <c r="Y6" s="571"/>
      <c r="Z6" s="572"/>
    </row>
    <row r="7" spans="1:26" ht="36.6" customHeight="1" x14ac:dyDescent="0.25">
      <c r="A7" s="346" t="s">
        <v>8</v>
      </c>
      <c r="B7" s="346"/>
      <c r="C7" s="346"/>
      <c r="D7" s="346"/>
      <c r="E7" s="346"/>
      <c r="F7" s="346"/>
      <c r="G7" s="347" t="s">
        <v>9</v>
      </c>
      <c r="H7" s="347"/>
      <c r="I7" s="347"/>
      <c r="J7" s="347"/>
      <c r="K7" s="347"/>
      <c r="L7" s="347"/>
      <c r="M7" s="347"/>
      <c r="N7" s="347"/>
      <c r="O7" s="347"/>
      <c r="P7" s="347"/>
      <c r="Q7" s="347"/>
      <c r="R7" s="347"/>
      <c r="S7" s="347"/>
      <c r="T7" s="347"/>
      <c r="U7" s="347"/>
      <c r="V7" s="347"/>
      <c r="W7" s="347"/>
      <c r="X7" s="347"/>
      <c r="Y7" s="347"/>
      <c r="Z7" s="347"/>
    </row>
    <row r="8" spans="1:26" ht="15.9" customHeight="1" x14ac:dyDescent="0.25">
      <c r="A8" s="188" t="s">
        <v>10</v>
      </c>
      <c r="B8" s="164" t="s">
        <v>11</v>
      </c>
      <c r="C8" s="161"/>
      <c r="D8" s="208"/>
      <c r="E8" s="208"/>
      <c r="F8" s="208"/>
      <c r="G8" s="208"/>
      <c r="H8" s="161"/>
      <c r="I8" s="161"/>
      <c r="J8" s="161"/>
      <c r="K8" s="161"/>
      <c r="L8" s="161"/>
      <c r="M8" s="161"/>
      <c r="N8" s="161"/>
      <c r="O8" s="161"/>
      <c r="P8" s="161"/>
      <c r="Q8" s="161"/>
      <c r="R8" s="161"/>
      <c r="S8" s="161"/>
      <c r="T8" s="161"/>
      <c r="U8" s="161"/>
      <c r="V8" s="161"/>
      <c r="W8" s="161"/>
      <c r="X8" s="161"/>
      <c r="Y8" s="161"/>
      <c r="Z8" s="184"/>
    </row>
    <row r="9" spans="1:26" ht="8.25" customHeight="1" x14ac:dyDescent="0.25">
      <c r="A9" s="173"/>
      <c r="D9" s="140"/>
      <c r="E9" s="140"/>
      <c r="F9" s="140"/>
      <c r="G9" s="140"/>
      <c r="Z9" s="172"/>
    </row>
    <row r="10" spans="1:26" ht="15.9" customHeight="1" x14ac:dyDescent="0.25">
      <c r="A10" s="173"/>
      <c r="B10" s="305" t="s">
        <v>12</v>
      </c>
      <c r="C10" s="305"/>
      <c r="D10" s="305"/>
      <c r="E10" s="305"/>
      <c r="F10" s="305"/>
      <c r="G10" s="305"/>
      <c r="H10" s="348" t="s">
        <v>59</v>
      </c>
      <c r="I10" s="348"/>
      <c r="J10" s="348"/>
      <c r="K10" s="348"/>
      <c r="L10" s="348"/>
      <c r="M10" s="348"/>
      <c r="N10" s="305" t="s">
        <v>14</v>
      </c>
      <c r="O10" s="305"/>
      <c r="P10" s="305"/>
      <c r="Q10" s="305"/>
      <c r="R10" s="305"/>
      <c r="S10" s="332" t="s">
        <v>58</v>
      </c>
      <c r="T10" s="332"/>
      <c r="U10" s="332"/>
      <c r="V10" s="332"/>
      <c r="W10" s="332"/>
      <c r="X10" s="332"/>
      <c r="Y10" s="332"/>
      <c r="Z10" s="207"/>
    </row>
    <row r="11" spans="1:26" ht="15.9" customHeight="1" x14ac:dyDescent="0.25">
      <c r="A11" s="173"/>
      <c r="B11" s="305" t="s">
        <v>16</v>
      </c>
      <c r="C11" s="305"/>
      <c r="D11" s="305"/>
      <c r="E11" s="305"/>
      <c r="F11" s="305"/>
      <c r="G11" s="305"/>
      <c r="H11" s="348" t="s">
        <v>68</v>
      </c>
      <c r="I11" s="348"/>
      <c r="J11" s="348"/>
      <c r="K11" s="348"/>
      <c r="L11" s="348"/>
      <c r="M11" s="348"/>
      <c r="N11" s="305" t="s">
        <v>17</v>
      </c>
      <c r="O11" s="305"/>
      <c r="P11" s="305"/>
      <c r="Q11" s="305"/>
      <c r="R11" s="305"/>
      <c r="S11" s="332" t="s">
        <v>67</v>
      </c>
      <c r="T11" s="332"/>
      <c r="U11" s="332"/>
      <c r="V11" s="332"/>
      <c r="W11" s="332"/>
      <c r="X11" s="332"/>
      <c r="Y11" s="332"/>
      <c r="Z11" s="207"/>
    </row>
    <row r="12" spans="1:26" ht="15.9" customHeight="1" x14ac:dyDescent="0.25">
      <c r="A12" s="173"/>
      <c r="B12" s="305" t="s">
        <v>19</v>
      </c>
      <c r="C12" s="305"/>
      <c r="D12" s="305"/>
      <c r="E12" s="305"/>
      <c r="F12" s="305"/>
      <c r="G12" s="305"/>
      <c r="H12" s="348" t="s">
        <v>66</v>
      </c>
      <c r="I12" s="348"/>
      <c r="J12" s="348"/>
      <c r="K12" s="348"/>
      <c r="L12" s="348"/>
      <c r="M12" s="348"/>
      <c r="N12" s="305" t="s">
        <v>21</v>
      </c>
      <c r="O12" s="305"/>
      <c r="P12" s="305"/>
      <c r="Q12" s="305"/>
      <c r="R12" s="305"/>
      <c r="S12" s="332" t="s">
        <v>22</v>
      </c>
      <c r="T12" s="332"/>
      <c r="U12" s="332"/>
      <c r="V12" s="332"/>
      <c r="W12" s="332"/>
      <c r="X12" s="332"/>
      <c r="Y12" s="332"/>
      <c r="Z12" s="207"/>
    </row>
    <row r="13" spans="1:26" ht="8.25" customHeight="1" x14ac:dyDescent="0.25">
      <c r="A13" s="206"/>
      <c r="B13" s="169"/>
      <c r="C13" s="169"/>
      <c r="D13" s="205"/>
      <c r="E13" s="205"/>
      <c r="F13" s="205"/>
      <c r="G13" s="205"/>
      <c r="H13" s="169"/>
      <c r="I13" s="169"/>
      <c r="J13" s="169"/>
      <c r="K13" s="169"/>
      <c r="L13" s="169"/>
      <c r="M13" s="169"/>
      <c r="N13" s="204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8"/>
    </row>
    <row r="14" spans="1:26" s="141" customFormat="1" ht="15" customHeight="1" x14ac:dyDescent="0.25">
      <c r="B14" s="202"/>
      <c r="C14" s="202"/>
      <c r="K14" s="203"/>
      <c r="L14" s="202"/>
      <c r="M14" s="201"/>
    </row>
    <row r="15" spans="1:26" s="141" customFormat="1" ht="15.6" customHeight="1" x14ac:dyDescent="0.25">
      <c r="A15" s="188" t="s">
        <v>23</v>
      </c>
      <c r="B15" s="200" t="s">
        <v>24</v>
      </c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8"/>
    </row>
    <row r="16" spans="1:26" s="141" customFormat="1" ht="15" customHeight="1" x14ac:dyDescent="0.25">
      <c r="A16" s="195"/>
      <c r="B16" s="197"/>
      <c r="Z16" s="196"/>
    </row>
    <row r="17" spans="1:26" s="141" customFormat="1" ht="15" customHeight="1" x14ac:dyDescent="0.25">
      <c r="A17" s="195"/>
      <c r="B17" s="304" t="s">
        <v>25</v>
      </c>
      <c r="C17" s="304"/>
      <c r="D17" s="304"/>
      <c r="E17" s="304"/>
      <c r="F17" s="304"/>
      <c r="G17" s="304"/>
      <c r="H17" s="304"/>
      <c r="I17" s="337"/>
      <c r="J17" s="337"/>
      <c r="K17" s="337"/>
      <c r="L17" s="337"/>
      <c r="M17" s="337"/>
      <c r="N17" s="337"/>
      <c r="O17" s="337"/>
      <c r="P17" s="337"/>
      <c r="Q17" s="337"/>
      <c r="R17" s="337"/>
      <c r="S17" s="337"/>
      <c r="T17" s="337"/>
      <c r="U17" s="337"/>
      <c r="V17" s="337"/>
      <c r="W17" s="337"/>
      <c r="X17" s="337"/>
      <c r="Y17" s="337"/>
      <c r="Z17" s="193"/>
    </row>
    <row r="18" spans="1:26" s="141" customFormat="1" ht="15" customHeight="1" x14ac:dyDescent="0.25">
      <c r="A18" s="195"/>
      <c r="B18" s="304" t="s">
        <v>26</v>
      </c>
      <c r="C18" s="304"/>
      <c r="D18" s="304"/>
      <c r="E18" s="304"/>
      <c r="F18" s="304"/>
      <c r="G18" s="304"/>
      <c r="H18" s="304"/>
      <c r="I18" s="402" t="s">
        <v>27</v>
      </c>
      <c r="J18" s="402"/>
      <c r="K18" s="194">
        <v>50</v>
      </c>
      <c r="L18" s="194" t="s">
        <v>28</v>
      </c>
      <c r="M18" s="194"/>
      <c r="N18" s="194"/>
      <c r="O18" s="194"/>
      <c r="P18" s="194"/>
      <c r="Q18" s="194"/>
      <c r="R18" s="194"/>
      <c r="S18" s="194"/>
      <c r="T18" s="194"/>
      <c r="U18" s="194"/>
      <c r="V18" s="194"/>
      <c r="W18" s="194"/>
      <c r="X18" s="194"/>
      <c r="Y18" s="194"/>
      <c r="Z18" s="193"/>
    </row>
    <row r="19" spans="1:26" s="141" customFormat="1" ht="13.2" customHeight="1" x14ac:dyDescent="0.25">
      <c r="A19" s="192"/>
      <c r="B19" s="191"/>
      <c r="C19" s="191"/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/>
      <c r="T19" s="191"/>
      <c r="U19" s="191"/>
      <c r="V19" s="191"/>
      <c r="W19" s="191"/>
      <c r="X19" s="191"/>
      <c r="Y19" s="191"/>
      <c r="Z19" s="190"/>
    </row>
    <row r="20" spans="1:26" ht="12.75" customHeight="1" x14ac:dyDescent="0.25">
      <c r="D20" s="140"/>
      <c r="E20" s="140"/>
      <c r="F20" s="140"/>
      <c r="G20" s="140"/>
      <c r="N20" s="189"/>
    </row>
    <row r="21" spans="1:26" ht="15.9" customHeight="1" x14ac:dyDescent="0.25">
      <c r="A21" s="188" t="s">
        <v>29</v>
      </c>
      <c r="B21" s="187" t="s">
        <v>30</v>
      </c>
      <c r="C21" s="185"/>
      <c r="D21" s="186"/>
      <c r="E21" s="186"/>
      <c r="F21" s="186"/>
      <c r="G21" s="186"/>
      <c r="H21" s="185"/>
      <c r="I21" s="185"/>
      <c r="J21" s="411" t="s">
        <v>31</v>
      </c>
      <c r="K21" s="411"/>
      <c r="L21" s="411"/>
      <c r="M21" s="411"/>
      <c r="N21" s="411"/>
      <c r="O21" s="411"/>
      <c r="P21" s="411"/>
      <c r="Q21" s="182">
        <v>600</v>
      </c>
      <c r="R21" s="161"/>
      <c r="S21" s="161"/>
      <c r="T21" s="161"/>
      <c r="U21" s="161"/>
      <c r="V21" s="161"/>
      <c r="W21" s="161"/>
      <c r="X21" s="161"/>
      <c r="Y21" s="161"/>
      <c r="Z21" s="184"/>
    </row>
    <row r="22" spans="1:26" ht="12.75" customHeight="1" x14ac:dyDescent="0.25">
      <c r="A22" s="173"/>
      <c r="B22" s="183"/>
      <c r="Z22" s="172"/>
    </row>
    <row r="23" spans="1:26" ht="15.75" customHeight="1" x14ac:dyDescent="0.25">
      <c r="A23" s="173"/>
      <c r="B23" s="409" t="s">
        <v>32</v>
      </c>
      <c r="C23" s="333" t="s">
        <v>33</v>
      </c>
      <c r="D23" s="333"/>
      <c r="E23" s="333"/>
      <c r="F23" s="333"/>
      <c r="G23" s="334"/>
      <c r="H23" s="406" t="s">
        <v>34</v>
      </c>
      <c r="I23" s="407"/>
      <c r="J23" s="408"/>
      <c r="K23" s="333" t="s">
        <v>35</v>
      </c>
      <c r="L23" s="333"/>
      <c r="M23" s="333"/>
      <c r="N23" s="333"/>
      <c r="O23" s="333"/>
      <c r="P23" s="334"/>
      <c r="Z23" s="172"/>
    </row>
    <row r="24" spans="1:26" ht="15.75" customHeight="1" x14ac:dyDescent="0.25">
      <c r="A24" s="173"/>
      <c r="B24" s="410"/>
      <c r="C24" s="335"/>
      <c r="D24" s="335"/>
      <c r="E24" s="335"/>
      <c r="F24" s="335"/>
      <c r="G24" s="336"/>
      <c r="H24" s="403" t="s">
        <v>36</v>
      </c>
      <c r="I24" s="404"/>
      <c r="J24" s="405"/>
      <c r="K24" s="335"/>
      <c r="L24" s="335"/>
      <c r="M24" s="335"/>
      <c r="N24" s="335"/>
      <c r="O24" s="335"/>
      <c r="P24" s="336"/>
      <c r="X24" s="139" t="s">
        <v>65</v>
      </c>
      <c r="Z24" s="172"/>
    </row>
    <row r="25" spans="1:26" ht="19.5" customHeight="1" x14ac:dyDescent="0.25">
      <c r="A25" s="173"/>
      <c r="B25" s="181">
        <v>1</v>
      </c>
      <c r="C25" s="318"/>
      <c r="D25" s="319"/>
      <c r="E25" s="319"/>
      <c r="F25" s="319"/>
      <c r="G25" s="320"/>
      <c r="H25" s="359" t="s">
        <v>62</v>
      </c>
      <c r="I25" s="360"/>
      <c r="J25" s="361"/>
      <c r="K25" s="318"/>
      <c r="L25" s="319"/>
      <c r="M25" s="319"/>
      <c r="N25" s="319"/>
      <c r="O25" s="319"/>
      <c r="P25" s="320"/>
      <c r="Z25" s="172"/>
    </row>
    <row r="26" spans="1:26" ht="19.5" customHeight="1" x14ac:dyDescent="0.25">
      <c r="A26" s="173"/>
      <c r="B26" s="181">
        <v>2</v>
      </c>
      <c r="C26" s="318"/>
      <c r="D26" s="319"/>
      <c r="E26" s="319"/>
      <c r="F26" s="319"/>
      <c r="G26" s="320"/>
      <c r="H26" s="359" t="s">
        <v>62</v>
      </c>
      <c r="I26" s="360"/>
      <c r="J26" s="361"/>
      <c r="K26" s="318"/>
      <c r="L26" s="319"/>
      <c r="M26" s="319"/>
      <c r="N26" s="319"/>
      <c r="O26" s="319"/>
      <c r="P26" s="320"/>
      <c r="R26" s="573" t="s">
        <v>64</v>
      </c>
      <c r="Z26" s="172"/>
    </row>
    <row r="27" spans="1:26" ht="19.5" customHeight="1" x14ac:dyDescent="0.25">
      <c r="A27" s="173"/>
      <c r="B27" s="181">
        <v>3</v>
      </c>
      <c r="C27" s="318"/>
      <c r="D27" s="319"/>
      <c r="E27" s="319"/>
      <c r="F27" s="319"/>
      <c r="G27" s="320"/>
      <c r="H27" s="359">
        <v>25</v>
      </c>
      <c r="I27" s="360"/>
      <c r="J27" s="361"/>
      <c r="K27" s="318"/>
      <c r="L27" s="319"/>
      <c r="M27" s="319"/>
      <c r="N27" s="319"/>
      <c r="O27" s="319"/>
      <c r="P27" s="320"/>
      <c r="R27" s="573"/>
      <c r="Z27" s="172"/>
    </row>
    <row r="28" spans="1:26" ht="19.5" customHeight="1" x14ac:dyDescent="0.25">
      <c r="A28" s="173"/>
      <c r="B28" s="181">
        <v>4</v>
      </c>
      <c r="C28" s="318"/>
      <c r="D28" s="319"/>
      <c r="E28" s="319"/>
      <c r="F28" s="319"/>
      <c r="G28" s="320"/>
      <c r="H28" s="359" t="s">
        <v>62</v>
      </c>
      <c r="I28" s="360"/>
      <c r="J28" s="361"/>
      <c r="K28" s="318"/>
      <c r="L28" s="319"/>
      <c r="M28" s="319"/>
      <c r="N28" s="319"/>
      <c r="O28" s="319"/>
      <c r="P28" s="320"/>
      <c r="R28" s="573"/>
      <c r="V28" s="139" t="s">
        <v>63</v>
      </c>
      <c r="Z28" s="172"/>
    </row>
    <row r="29" spans="1:26" ht="19.5" customHeight="1" x14ac:dyDescent="0.25">
      <c r="A29" s="173"/>
      <c r="B29" s="181">
        <v>5</v>
      </c>
      <c r="C29" s="318"/>
      <c r="D29" s="319"/>
      <c r="E29" s="319"/>
      <c r="F29" s="319"/>
      <c r="G29" s="320"/>
      <c r="H29" s="359" t="s">
        <v>62</v>
      </c>
      <c r="I29" s="360"/>
      <c r="J29" s="361"/>
      <c r="K29" s="318"/>
      <c r="L29" s="319"/>
      <c r="M29" s="319"/>
      <c r="N29" s="319"/>
      <c r="O29" s="319"/>
      <c r="P29" s="320"/>
      <c r="R29" s="573"/>
      <c r="Z29" s="172"/>
    </row>
    <row r="30" spans="1:26" ht="19.5" customHeight="1" x14ac:dyDescent="0.25">
      <c r="A30" s="173"/>
      <c r="B30" s="181">
        <v>6</v>
      </c>
      <c r="C30" s="318"/>
      <c r="D30" s="319"/>
      <c r="E30" s="319"/>
      <c r="F30" s="319"/>
      <c r="G30" s="320"/>
      <c r="H30" s="359">
        <v>25</v>
      </c>
      <c r="I30" s="360"/>
      <c r="J30" s="361"/>
      <c r="K30" s="318"/>
      <c r="L30" s="319"/>
      <c r="M30" s="319"/>
      <c r="N30" s="319"/>
      <c r="O30" s="319"/>
      <c r="P30" s="320"/>
      <c r="R30" s="573"/>
      <c r="Z30" s="172"/>
    </row>
    <row r="31" spans="1:26" ht="19.5" customHeight="1" x14ac:dyDescent="0.25">
      <c r="A31" s="173"/>
      <c r="B31" s="181">
        <v>7</v>
      </c>
      <c r="C31" s="318"/>
      <c r="D31" s="319"/>
      <c r="E31" s="319"/>
      <c r="F31" s="319"/>
      <c r="G31" s="320"/>
      <c r="H31" s="359">
        <v>33</v>
      </c>
      <c r="I31" s="360"/>
      <c r="J31" s="361"/>
      <c r="K31" s="318"/>
      <c r="L31" s="319"/>
      <c r="M31" s="319"/>
      <c r="N31" s="319"/>
      <c r="O31" s="319"/>
      <c r="P31" s="320"/>
      <c r="Z31" s="172"/>
    </row>
    <row r="32" spans="1:26" ht="19.5" customHeight="1" x14ac:dyDescent="0.25">
      <c r="A32" s="173"/>
      <c r="B32" s="181">
        <v>8</v>
      </c>
      <c r="C32" s="318"/>
      <c r="D32" s="319"/>
      <c r="E32" s="319"/>
      <c r="F32" s="319"/>
      <c r="G32" s="320"/>
      <c r="H32" s="359">
        <v>52</v>
      </c>
      <c r="I32" s="360"/>
      <c r="J32" s="361"/>
      <c r="K32" s="318"/>
      <c r="L32" s="319"/>
      <c r="M32" s="319"/>
      <c r="N32" s="319"/>
      <c r="O32" s="319"/>
      <c r="P32" s="320"/>
      <c r="Z32" s="172"/>
    </row>
    <row r="33" spans="1:26" ht="19.5" customHeight="1" x14ac:dyDescent="0.25">
      <c r="A33" s="173"/>
      <c r="B33" s="181">
        <v>9</v>
      </c>
      <c r="C33" s="318"/>
      <c r="D33" s="319"/>
      <c r="E33" s="319"/>
      <c r="F33" s="319"/>
      <c r="G33" s="320"/>
      <c r="H33" s="359">
        <v>23</v>
      </c>
      <c r="I33" s="360"/>
      <c r="J33" s="361"/>
      <c r="K33" s="318"/>
      <c r="L33" s="319"/>
      <c r="M33" s="319"/>
      <c r="N33" s="319"/>
      <c r="O33" s="319"/>
      <c r="P33" s="320"/>
      <c r="Z33" s="172"/>
    </row>
    <row r="34" spans="1:26" ht="19.5" customHeight="1" x14ac:dyDescent="0.25">
      <c r="A34" s="173"/>
      <c r="B34" s="181">
        <v>10</v>
      </c>
      <c r="C34" s="318"/>
      <c r="D34" s="319"/>
      <c r="E34" s="319"/>
      <c r="F34" s="319"/>
      <c r="G34" s="320"/>
      <c r="H34" s="359">
        <v>30</v>
      </c>
      <c r="I34" s="360"/>
      <c r="J34" s="361"/>
      <c r="K34" s="318"/>
      <c r="L34" s="319"/>
      <c r="M34" s="319"/>
      <c r="N34" s="319"/>
      <c r="O34" s="319"/>
      <c r="P34" s="320"/>
      <c r="Z34" s="172"/>
    </row>
    <row r="35" spans="1:26" ht="19.5" customHeight="1" x14ac:dyDescent="0.25">
      <c r="A35" s="173"/>
      <c r="B35" s="181"/>
      <c r="C35" s="318"/>
      <c r="D35" s="319"/>
      <c r="E35" s="319"/>
      <c r="F35" s="319"/>
      <c r="G35" s="320"/>
      <c r="H35" s="359"/>
      <c r="I35" s="360"/>
      <c r="J35" s="361"/>
      <c r="K35" s="318"/>
      <c r="L35" s="319"/>
      <c r="M35" s="319"/>
      <c r="N35" s="319"/>
      <c r="O35" s="319"/>
      <c r="P35" s="320"/>
      <c r="Z35" s="172"/>
    </row>
    <row r="36" spans="1:26" ht="19.5" customHeight="1" x14ac:dyDescent="0.25">
      <c r="A36" s="173"/>
      <c r="B36" s="181"/>
      <c r="C36" s="318"/>
      <c r="D36" s="319"/>
      <c r="E36" s="319"/>
      <c r="F36" s="319"/>
      <c r="G36" s="320"/>
      <c r="H36" s="359"/>
      <c r="I36" s="360"/>
      <c r="J36" s="361"/>
      <c r="K36" s="318"/>
      <c r="L36" s="319"/>
      <c r="M36" s="319"/>
      <c r="N36" s="319"/>
      <c r="O36" s="319"/>
      <c r="P36" s="320"/>
      <c r="Z36" s="172"/>
    </row>
    <row r="37" spans="1:26" ht="19.5" customHeight="1" x14ac:dyDescent="0.25">
      <c r="A37" s="173"/>
      <c r="B37" s="181"/>
      <c r="C37" s="318"/>
      <c r="D37" s="319"/>
      <c r="E37" s="319"/>
      <c r="F37" s="319"/>
      <c r="G37" s="320"/>
      <c r="H37" s="359"/>
      <c r="I37" s="360"/>
      <c r="J37" s="361"/>
      <c r="K37" s="318"/>
      <c r="L37" s="319"/>
      <c r="M37" s="319"/>
      <c r="N37" s="319"/>
      <c r="O37" s="319"/>
      <c r="P37" s="320"/>
      <c r="Z37" s="172"/>
    </row>
    <row r="38" spans="1:26" ht="19.5" customHeight="1" x14ac:dyDescent="0.25">
      <c r="A38" s="173"/>
      <c r="B38" s="181"/>
      <c r="C38" s="318"/>
      <c r="D38" s="319"/>
      <c r="E38" s="319"/>
      <c r="F38" s="319"/>
      <c r="G38" s="320"/>
      <c r="H38" s="359"/>
      <c r="I38" s="360"/>
      <c r="J38" s="361"/>
      <c r="K38" s="318"/>
      <c r="L38" s="319"/>
      <c r="M38" s="319"/>
      <c r="N38" s="319"/>
      <c r="O38" s="319"/>
      <c r="P38" s="320"/>
      <c r="Z38" s="172"/>
    </row>
    <row r="39" spans="1:26" ht="19.5" customHeight="1" x14ac:dyDescent="0.25">
      <c r="A39" s="173"/>
      <c r="B39" s="181"/>
      <c r="C39" s="318"/>
      <c r="D39" s="319"/>
      <c r="E39" s="319"/>
      <c r="F39" s="319"/>
      <c r="G39" s="320"/>
      <c r="H39" s="359"/>
      <c r="I39" s="360"/>
      <c r="J39" s="361"/>
      <c r="K39" s="318"/>
      <c r="L39" s="319"/>
      <c r="M39" s="319"/>
      <c r="N39" s="319"/>
      <c r="O39" s="319"/>
      <c r="P39" s="320"/>
      <c r="Z39" s="172"/>
    </row>
    <row r="40" spans="1:26" ht="19.5" customHeight="1" x14ac:dyDescent="0.25">
      <c r="A40" s="173"/>
      <c r="B40" s="181"/>
      <c r="C40" s="318"/>
      <c r="D40" s="319"/>
      <c r="E40" s="319"/>
      <c r="F40" s="319"/>
      <c r="G40" s="320"/>
      <c r="H40" s="359"/>
      <c r="I40" s="360"/>
      <c r="J40" s="361"/>
      <c r="K40" s="318"/>
      <c r="L40" s="319"/>
      <c r="M40" s="319"/>
      <c r="N40" s="319"/>
      <c r="O40" s="319"/>
      <c r="P40" s="320"/>
      <c r="Z40" s="172"/>
    </row>
    <row r="41" spans="1:26" ht="19.5" customHeight="1" x14ac:dyDescent="0.25">
      <c r="A41" s="173"/>
      <c r="B41" s="181"/>
      <c r="C41" s="318"/>
      <c r="D41" s="319"/>
      <c r="E41" s="319"/>
      <c r="F41" s="319"/>
      <c r="G41" s="320"/>
      <c r="H41" s="359"/>
      <c r="I41" s="360"/>
      <c r="J41" s="361"/>
      <c r="K41" s="318"/>
      <c r="L41" s="319"/>
      <c r="M41" s="319"/>
      <c r="N41" s="319"/>
      <c r="O41" s="319"/>
      <c r="P41" s="320"/>
      <c r="Z41" s="172"/>
    </row>
    <row r="42" spans="1:26" ht="19.5" customHeight="1" x14ac:dyDescent="0.25">
      <c r="A42" s="173"/>
      <c r="B42" s="181"/>
      <c r="C42" s="318"/>
      <c r="D42" s="319"/>
      <c r="E42" s="319"/>
      <c r="F42" s="319"/>
      <c r="G42" s="320"/>
      <c r="H42" s="359"/>
      <c r="I42" s="360"/>
      <c r="J42" s="361"/>
      <c r="K42" s="318"/>
      <c r="L42" s="319"/>
      <c r="M42" s="319"/>
      <c r="N42" s="319"/>
      <c r="O42" s="319"/>
      <c r="P42" s="320"/>
      <c r="Z42" s="172"/>
    </row>
    <row r="43" spans="1:26" ht="19.5" customHeight="1" x14ac:dyDescent="0.25">
      <c r="A43" s="173"/>
      <c r="B43" s="181"/>
      <c r="C43" s="318"/>
      <c r="D43" s="319"/>
      <c r="E43" s="319"/>
      <c r="F43" s="319"/>
      <c r="G43" s="320"/>
      <c r="H43" s="359"/>
      <c r="I43" s="360"/>
      <c r="J43" s="361"/>
      <c r="K43" s="318"/>
      <c r="L43" s="319"/>
      <c r="M43" s="319"/>
      <c r="N43" s="319"/>
      <c r="O43" s="319"/>
      <c r="P43" s="320"/>
      <c r="Z43" s="172"/>
    </row>
    <row r="44" spans="1:26" ht="19.5" customHeight="1" x14ac:dyDescent="0.25">
      <c r="A44" s="173"/>
      <c r="B44" s="181"/>
      <c r="C44" s="318"/>
      <c r="D44" s="319"/>
      <c r="E44" s="319"/>
      <c r="F44" s="319"/>
      <c r="G44" s="320"/>
      <c r="H44" s="359"/>
      <c r="I44" s="360"/>
      <c r="J44" s="361"/>
      <c r="K44" s="318"/>
      <c r="L44" s="319"/>
      <c r="M44" s="319"/>
      <c r="N44" s="319"/>
      <c r="O44" s="319"/>
      <c r="P44" s="320"/>
      <c r="Z44" s="172"/>
    </row>
    <row r="45" spans="1:26" ht="19.5" customHeight="1" thickBot="1" x14ac:dyDescent="0.3">
      <c r="A45" s="173"/>
      <c r="B45" s="174"/>
      <c r="C45" s="342"/>
      <c r="D45" s="342"/>
      <c r="E45" s="342"/>
      <c r="F45" s="342"/>
      <c r="G45" s="343"/>
      <c r="H45" s="338"/>
      <c r="I45" s="339"/>
      <c r="J45" s="340"/>
      <c r="K45" s="341"/>
      <c r="L45" s="342"/>
      <c r="M45" s="342"/>
      <c r="N45" s="342"/>
      <c r="O45" s="342"/>
      <c r="P45" s="343"/>
      <c r="Z45" s="172"/>
    </row>
    <row r="46" spans="1:26" ht="15.75" customHeight="1" x14ac:dyDescent="0.25">
      <c r="A46" s="173"/>
      <c r="B46" s="393" t="s">
        <v>37</v>
      </c>
      <c r="C46" s="394"/>
      <c r="D46" s="394"/>
      <c r="E46" s="394"/>
      <c r="F46" s="394"/>
      <c r="G46" s="395"/>
      <c r="H46" s="399">
        <f>AVERAGE(H25:J45)</f>
        <v>31.333333333333332</v>
      </c>
      <c r="I46" s="400"/>
      <c r="J46" s="401"/>
      <c r="K46" s="326">
        <v>10</v>
      </c>
      <c r="L46" s="327"/>
      <c r="M46" s="321" t="s">
        <v>38</v>
      </c>
      <c r="N46" s="321"/>
      <c r="O46" s="321"/>
      <c r="P46" s="322"/>
      <c r="Z46" s="172"/>
    </row>
    <row r="47" spans="1:26" ht="15.75" customHeight="1" x14ac:dyDescent="0.25">
      <c r="A47" s="173"/>
      <c r="B47" s="387" t="s">
        <v>39</v>
      </c>
      <c r="C47" s="388"/>
      <c r="D47" s="388"/>
      <c r="E47" s="388"/>
      <c r="F47" s="388"/>
      <c r="G47" s="389"/>
      <c r="H47" s="301" t="str">
        <f>IF(COUNTIF(H25:J45,"*&lt;20*"),"&lt;20",MIN(H25:J45))</f>
        <v>&lt;20</v>
      </c>
      <c r="I47" s="302"/>
      <c r="J47" s="303"/>
      <c r="K47" s="328"/>
      <c r="L47" s="329"/>
      <c r="M47" s="294"/>
      <c r="N47" s="294"/>
      <c r="O47" s="294"/>
      <c r="P47" s="323"/>
      <c r="Z47" s="172"/>
    </row>
    <row r="48" spans="1:26" ht="15.75" customHeight="1" thickBot="1" x14ac:dyDescent="0.3">
      <c r="A48" s="173"/>
      <c r="B48" s="390" t="s">
        <v>40</v>
      </c>
      <c r="C48" s="391"/>
      <c r="D48" s="391"/>
      <c r="E48" s="391"/>
      <c r="F48" s="391"/>
      <c r="G48" s="392"/>
      <c r="H48" s="396">
        <f>IF(COUNTIF(H25:J45,"*&gt;250*"),"&gt;250",MAX(H25:J45))</f>
        <v>52</v>
      </c>
      <c r="I48" s="397"/>
      <c r="J48" s="398"/>
      <c r="K48" s="330"/>
      <c r="L48" s="331"/>
      <c r="M48" s="324"/>
      <c r="N48" s="324"/>
      <c r="O48" s="324"/>
      <c r="P48" s="325"/>
      <c r="Z48" s="172"/>
    </row>
    <row r="49" spans="1:26" ht="15.9" customHeight="1" x14ac:dyDescent="0.25">
      <c r="A49" s="171"/>
      <c r="B49" s="170"/>
      <c r="C49" s="169"/>
      <c r="D49" s="169"/>
      <c r="E49" s="169"/>
      <c r="F49" s="169"/>
      <c r="G49" s="169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8"/>
    </row>
    <row r="50" spans="1:26" ht="12.75" customHeight="1" x14ac:dyDescent="0.25">
      <c r="A50" s="167"/>
      <c r="B50" s="166"/>
    </row>
    <row r="51" spans="1:26" s="141" customFormat="1" ht="15.6" customHeight="1" x14ac:dyDescent="0.25">
      <c r="A51" s="165" t="s">
        <v>41</v>
      </c>
      <c r="B51" s="164" t="s">
        <v>42</v>
      </c>
      <c r="C51" s="163"/>
      <c r="D51" s="163"/>
      <c r="E51" s="163"/>
      <c r="F51" s="162"/>
      <c r="G51" s="162"/>
      <c r="H51" s="162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0"/>
      <c r="V51" s="159"/>
      <c r="W51" s="159"/>
      <c r="X51" s="158"/>
      <c r="Y51" s="158"/>
      <c r="Z51" s="157"/>
    </row>
    <row r="52" spans="1:26" s="141" customFormat="1" ht="28.5" customHeight="1" x14ac:dyDescent="0.25">
      <c r="A52" s="306" t="s">
        <v>43</v>
      </c>
      <c r="B52" s="307"/>
      <c r="C52" s="307"/>
      <c r="D52" s="307"/>
      <c r="E52" s="307"/>
      <c r="F52" s="307"/>
      <c r="G52" s="307"/>
      <c r="H52" s="307"/>
      <c r="I52" s="307"/>
      <c r="J52" s="307"/>
      <c r="K52" s="307"/>
      <c r="L52" s="307"/>
      <c r="M52" s="307"/>
      <c r="N52" s="307"/>
      <c r="O52" s="307"/>
      <c r="P52" s="307"/>
      <c r="Q52" s="308"/>
      <c r="R52" s="286" t="s">
        <v>44</v>
      </c>
      <c r="S52" s="287"/>
      <c r="T52" s="288"/>
      <c r="U52" s="276" t="s">
        <v>54</v>
      </c>
      <c r="V52" s="277"/>
      <c r="W52" s="277"/>
      <c r="X52" s="278"/>
      <c r="Y52" s="278"/>
      <c r="Z52" s="279"/>
    </row>
    <row r="53" spans="1:26" s="141" customFormat="1" ht="15.6" customHeight="1" x14ac:dyDescent="0.25">
      <c r="A53" s="280" t="s">
        <v>61</v>
      </c>
      <c r="B53" s="281"/>
      <c r="C53" s="281"/>
      <c r="D53" s="281"/>
      <c r="E53" s="281"/>
      <c r="F53" s="281"/>
      <c r="G53" s="281"/>
      <c r="H53" s="281"/>
      <c r="I53" s="281"/>
      <c r="J53" s="281"/>
      <c r="K53" s="281"/>
      <c r="L53" s="281"/>
      <c r="M53" s="281"/>
      <c r="N53" s="281"/>
      <c r="O53" s="281"/>
      <c r="P53" s="281"/>
      <c r="Q53" s="282"/>
      <c r="R53" s="286" t="s">
        <v>46</v>
      </c>
      <c r="S53" s="287"/>
      <c r="T53" s="288"/>
      <c r="U53" s="289" t="s">
        <v>52</v>
      </c>
      <c r="V53" s="290"/>
      <c r="W53" s="290"/>
      <c r="X53" s="291"/>
      <c r="Y53" s="291"/>
      <c r="Z53" s="292"/>
    </row>
    <row r="54" spans="1:26" s="141" customFormat="1" ht="15.6" customHeight="1" x14ac:dyDescent="0.25">
      <c r="A54" s="283"/>
      <c r="B54" s="284"/>
      <c r="C54" s="284"/>
      <c r="D54" s="284"/>
      <c r="E54" s="284"/>
      <c r="F54" s="284"/>
      <c r="G54" s="284"/>
      <c r="H54" s="284"/>
      <c r="I54" s="284"/>
      <c r="J54" s="284"/>
      <c r="K54" s="284"/>
      <c r="L54" s="284"/>
      <c r="M54" s="284"/>
      <c r="N54" s="284"/>
      <c r="O54" s="284"/>
      <c r="P54" s="284"/>
      <c r="Q54" s="285"/>
      <c r="R54" s="286"/>
      <c r="S54" s="287"/>
      <c r="T54" s="288"/>
      <c r="U54" s="293"/>
      <c r="V54" s="294"/>
      <c r="W54" s="294"/>
      <c r="X54" s="295"/>
      <c r="Y54" s="295"/>
      <c r="Z54" s="296"/>
    </row>
    <row r="55" spans="1:26" s="141" customFormat="1" ht="15.6" customHeight="1" x14ac:dyDescent="0.25">
      <c r="A55" s="156" t="s">
        <v>48</v>
      </c>
      <c r="B55" s="155" t="s">
        <v>49</v>
      </c>
      <c r="C55" s="139"/>
      <c r="D55" s="139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3"/>
      <c r="R55" s="286"/>
      <c r="S55" s="287"/>
      <c r="T55" s="288"/>
      <c r="U55" s="297"/>
      <c r="V55" s="298"/>
      <c r="W55" s="298"/>
      <c r="X55" s="299"/>
      <c r="Y55" s="299"/>
      <c r="Z55" s="300"/>
    </row>
    <row r="56" spans="1:26" s="141" customFormat="1" ht="15.6" customHeight="1" x14ac:dyDescent="0.25">
      <c r="A56" s="378"/>
      <c r="B56" s="379"/>
      <c r="C56" s="379"/>
      <c r="D56" s="379"/>
      <c r="E56" s="379"/>
      <c r="F56" s="379"/>
      <c r="G56" s="379"/>
      <c r="H56" s="379"/>
      <c r="I56" s="379"/>
      <c r="J56" s="379"/>
      <c r="K56" s="379"/>
      <c r="L56" s="379"/>
      <c r="M56" s="379"/>
      <c r="N56" s="379"/>
      <c r="O56" s="379"/>
      <c r="P56" s="379"/>
      <c r="Q56" s="380"/>
      <c r="R56" s="286" t="s">
        <v>50</v>
      </c>
      <c r="S56" s="287"/>
      <c r="T56" s="288"/>
      <c r="U56" s="152"/>
      <c r="V56" s="151"/>
      <c r="W56" s="151"/>
      <c r="X56" s="151"/>
      <c r="Y56" s="151"/>
      <c r="Z56" s="150"/>
    </row>
    <row r="57" spans="1:26" s="141" customFormat="1" ht="15.6" customHeight="1" x14ac:dyDescent="0.25">
      <c r="A57" s="378"/>
      <c r="B57" s="379"/>
      <c r="C57" s="379"/>
      <c r="D57" s="379"/>
      <c r="E57" s="379"/>
      <c r="F57" s="379"/>
      <c r="G57" s="379"/>
      <c r="H57" s="379"/>
      <c r="I57" s="379"/>
      <c r="J57" s="379"/>
      <c r="K57" s="379"/>
      <c r="L57" s="379"/>
      <c r="M57" s="379"/>
      <c r="N57" s="379"/>
      <c r="O57" s="379"/>
      <c r="P57" s="379"/>
      <c r="Q57" s="380"/>
      <c r="R57" s="286"/>
      <c r="S57" s="287"/>
      <c r="T57" s="288"/>
      <c r="U57" s="149"/>
      <c r="V57" s="294"/>
      <c r="W57" s="294"/>
      <c r="X57" s="294"/>
      <c r="Y57" s="294"/>
      <c r="Z57" s="148"/>
    </row>
    <row r="58" spans="1:26" s="141" customFormat="1" ht="15.6" customHeight="1" x14ac:dyDescent="0.25">
      <c r="A58" s="378"/>
      <c r="B58" s="379"/>
      <c r="C58" s="379"/>
      <c r="D58" s="379"/>
      <c r="E58" s="379"/>
      <c r="F58" s="379"/>
      <c r="G58" s="379"/>
      <c r="H58" s="379"/>
      <c r="I58" s="379"/>
      <c r="J58" s="379"/>
      <c r="K58" s="379"/>
      <c r="L58" s="379"/>
      <c r="M58" s="379"/>
      <c r="N58" s="379"/>
      <c r="O58" s="379"/>
      <c r="P58" s="379"/>
      <c r="Q58" s="380"/>
      <c r="R58" s="286"/>
      <c r="S58" s="287"/>
      <c r="T58" s="288"/>
      <c r="U58" s="149"/>
      <c r="V58" s="294"/>
      <c r="W58" s="294"/>
      <c r="X58" s="294"/>
      <c r="Y58" s="294"/>
      <c r="Z58" s="148"/>
    </row>
    <row r="59" spans="1:26" s="141" customFormat="1" ht="15.6" customHeight="1" x14ac:dyDescent="0.25">
      <c r="A59" s="381"/>
      <c r="B59" s="382"/>
      <c r="C59" s="382"/>
      <c r="D59" s="382"/>
      <c r="E59" s="382"/>
      <c r="F59" s="382"/>
      <c r="G59" s="382"/>
      <c r="H59" s="382"/>
      <c r="I59" s="382"/>
      <c r="J59" s="382"/>
      <c r="K59" s="382"/>
      <c r="L59" s="382"/>
      <c r="M59" s="382"/>
      <c r="N59" s="382"/>
      <c r="O59" s="382"/>
      <c r="P59" s="382"/>
      <c r="Q59" s="383"/>
      <c r="R59" s="384"/>
      <c r="S59" s="385"/>
      <c r="T59" s="386"/>
      <c r="U59" s="147"/>
      <c r="V59" s="146"/>
      <c r="W59" s="146"/>
      <c r="X59" s="146"/>
      <c r="Y59" s="146"/>
      <c r="Z59" s="145"/>
    </row>
    <row r="60" spans="1:26" s="141" customFormat="1" ht="15" customHeight="1" x14ac:dyDescent="0.25">
      <c r="A60" s="144"/>
      <c r="B60" s="144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3"/>
      <c r="S60" s="143"/>
      <c r="T60" s="143"/>
      <c r="U60" s="142"/>
      <c r="V60" s="142"/>
      <c r="W60" s="142"/>
      <c r="X60" s="142"/>
      <c r="Y60" s="142"/>
      <c r="Z60" s="142"/>
    </row>
    <row r="62" spans="1:26" ht="12.75" customHeight="1" x14ac:dyDescent="0.25">
      <c r="A62" s="139"/>
    </row>
    <row r="63" spans="1:26" ht="12.75" customHeight="1" x14ac:dyDescent="0.25">
      <c r="A63" s="139"/>
    </row>
    <row r="64" spans="1:26" ht="12.75" customHeight="1" x14ac:dyDescent="0.25">
      <c r="A64" s="139"/>
    </row>
    <row r="65" spans="1:1" ht="12.75" customHeight="1" x14ac:dyDescent="0.25">
      <c r="A65" s="139"/>
    </row>
    <row r="66" spans="1:1" ht="12.75" customHeight="1" x14ac:dyDescent="0.25">
      <c r="A66" s="139"/>
    </row>
    <row r="67" spans="1:1" ht="12.75" customHeight="1" x14ac:dyDescent="0.25">
      <c r="A67" s="139"/>
    </row>
  </sheetData>
  <sheetProtection formatCells="0" formatColumns="0" formatRows="0" insertColumns="0" insertRows="0" insertHyperlinks="0" deleteColumns="0" deleteRows="0" selectLockedCells="1" sort="0" autoFilter="0" pivotTables="0"/>
  <mergeCells count="116">
    <mergeCell ref="K31:P31"/>
    <mergeCell ref="C35:G35"/>
    <mergeCell ref="A56:Q59"/>
    <mergeCell ref="R56:T59"/>
    <mergeCell ref="K26:P26"/>
    <mergeCell ref="K35:P35"/>
    <mergeCell ref="K42:P42"/>
    <mergeCell ref="C43:G43"/>
    <mergeCell ref="H43:J43"/>
    <mergeCell ref="C36:G36"/>
    <mergeCell ref="H36:J36"/>
    <mergeCell ref="K36:P36"/>
    <mergeCell ref="K43:P43"/>
    <mergeCell ref="V57:Y58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33:G33"/>
    <mergeCell ref="H33:J33"/>
    <mergeCell ref="K33:P33"/>
    <mergeCell ref="C30:G30"/>
    <mergeCell ref="H30:J30"/>
    <mergeCell ref="K30:P30"/>
    <mergeCell ref="C31:G31"/>
    <mergeCell ref="C45:G45"/>
    <mergeCell ref="B47:G47"/>
    <mergeCell ref="B48:G48"/>
    <mergeCell ref="B46:G46"/>
    <mergeCell ref="C26:G26"/>
    <mergeCell ref="H26:J26"/>
    <mergeCell ref="C28:G28"/>
    <mergeCell ref="H28:J28"/>
    <mergeCell ref="H48:J48"/>
    <mergeCell ref="H46:J46"/>
    <mergeCell ref="H35:J35"/>
    <mergeCell ref="C32:G32"/>
    <mergeCell ref="H42:J42"/>
    <mergeCell ref="H31:J31"/>
    <mergeCell ref="M46:P48"/>
    <mergeCell ref="K46:L48"/>
    <mergeCell ref="S12:Y12"/>
    <mergeCell ref="K23:P24"/>
    <mergeCell ref="I17:Y17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U1:Z6"/>
    <mergeCell ref="C27:G27"/>
    <mergeCell ref="H27:J27"/>
    <mergeCell ref="K27:P27"/>
    <mergeCell ref="S11:Y11"/>
    <mergeCell ref="H45:J45"/>
    <mergeCell ref="K45:P45"/>
    <mergeCell ref="G5:H5"/>
    <mergeCell ref="K28:P28"/>
    <mergeCell ref="C29:G29"/>
    <mergeCell ref="H29:J29"/>
    <mergeCell ref="K29:P29"/>
    <mergeCell ref="N12:R12"/>
    <mergeCell ref="H12:M12"/>
    <mergeCell ref="H11:M11"/>
    <mergeCell ref="N11:R11"/>
    <mergeCell ref="C37:G37"/>
    <mergeCell ref="H37:J37"/>
    <mergeCell ref="K37:P37"/>
    <mergeCell ref="C38:G38"/>
    <mergeCell ref="H38:J38"/>
    <mergeCell ref="H32:J32"/>
    <mergeCell ref="K32:P32"/>
    <mergeCell ref="K25:P25"/>
    <mergeCell ref="C34:G34"/>
    <mergeCell ref="H34:J34"/>
    <mergeCell ref="K34:P34"/>
    <mergeCell ref="R26:R30"/>
    <mergeCell ref="U52:Z52"/>
    <mergeCell ref="A53:Q54"/>
    <mergeCell ref="R53:T55"/>
    <mergeCell ref="U53:Z55"/>
    <mergeCell ref="H47:J47"/>
    <mergeCell ref="B17:H17"/>
    <mergeCell ref="B12:G12"/>
    <mergeCell ref="B11:G11"/>
    <mergeCell ref="A52:Q52"/>
    <mergeCell ref="R52:T52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1043-FFBA-44B0-9A0A-B0D6DB0E3626}">
  <sheetPr>
    <pageSetUpPr fitToPage="1"/>
  </sheetPr>
  <dimension ref="A1:AA68"/>
  <sheetViews>
    <sheetView topLeftCell="A8" workbookViewId="0">
      <selection activeCell="I5" sqref="I5:O5"/>
    </sheetView>
  </sheetViews>
  <sheetFormatPr baseColWidth="10" defaultColWidth="11.44140625" defaultRowHeight="12.75" customHeight="1" x14ac:dyDescent="0.25"/>
  <cols>
    <col min="1" max="1" width="5.109375" style="74" customWidth="1"/>
    <col min="2" max="26" width="5.109375" style="73" customWidth="1"/>
    <col min="27" max="27" width="11.44140625" style="73"/>
  </cols>
  <sheetData>
    <row r="1" spans="1:26" ht="12.75" customHeight="1" x14ac:dyDescent="0.25">
      <c r="A1" s="626"/>
      <c r="B1" s="627"/>
      <c r="C1" s="627"/>
      <c r="D1" s="627"/>
      <c r="E1" s="627"/>
      <c r="F1" s="628"/>
      <c r="G1" s="635" t="s">
        <v>0</v>
      </c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7"/>
      <c r="U1" s="564" t="s">
        <v>51</v>
      </c>
      <c r="V1" s="565"/>
      <c r="W1" s="565"/>
      <c r="X1" s="565"/>
      <c r="Y1" s="565"/>
      <c r="Z1" s="566"/>
    </row>
    <row r="2" spans="1:26" ht="12.75" customHeight="1" x14ac:dyDescent="0.25">
      <c r="A2" s="629"/>
      <c r="B2" s="630"/>
      <c r="C2" s="630"/>
      <c r="D2" s="630"/>
      <c r="E2" s="630"/>
      <c r="F2" s="631"/>
      <c r="G2" s="656" t="s">
        <v>1</v>
      </c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8"/>
      <c r="U2" s="567"/>
      <c r="V2" s="568"/>
      <c r="W2" s="568"/>
      <c r="X2" s="568"/>
      <c r="Y2" s="568"/>
      <c r="Z2" s="569"/>
    </row>
    <row r="3" spans="1:26" ht="12.75" customHeight="1" x14ac:dyDescent="0.25">
      <c r="A3" s="629"/>
      <c r="B3" s="630"/>
      <c r="C3" s="630"/>
      <c r="D3" s="630"/>
      <c r="E3" s="630"/>
      <c r="F3" s="631"/>
      <c r="G3" s="656"/>
      <c r="H3" s="657"/>
      <c r="I3" s="657"/>
      <c r="J3" s="657"/>
      <c r="K3" s="657"/>
      <c r="L3" s="657"/>
      <c r="M3" s="657"/>
      <c r="N3" s="657"/>
      <c r="O3" s="657"/>
      <c r="P3" s="657"/>
      <c r="Q3" s="657"/>
      <c r="R3" s="657"/>
      <c r="S3" s="657"/>
      <c r="T3" s="658"/>
      <c r="U3" s="567"/>
      <c r="V3" s="568"/>
      <c r="W3" s="568"/>
      <c r="X3" s="568"/>
      <c r="Y3" s="568"/>
      <c r="Z3" s="569"/>
    </row>
    <row r="4" spans="1:26" ht="12.75" customHeight="1" x14ac:dyDescent="0.25">
      <c r="A4" s="629"/>
      <c r="B4" s="630"/>
      <c r="C4" s="630"/>
      <c r="D4" s="630"/>
      <c r="E4" s="630"/>
      <c r="F4" s="631"/>
      <c r="G4" s="656"/>
      <c r="H4" s="657"/>
      <c r="I4" s="657"/>
      <c r="J4" s="657"/>
      <c r="K4" s="657"/>
      <c r="L4" s="657"/>
      <c r="M4" s="657"/>
      <c r="N4" s="657"/>
      <c r="O4" s="657"/>
      <c r="P4" s="657"/>
      <c r="Q4" s="657"/>
      <c r="R4" s="657"/>
      <c r="S4" s="657"/>
      <c r="T4" s="658"/>
      <c r="U4" s="567"/>
      <c r="V4" s="568"/>
      <c r="W4" s="568"/>
      <c r="X4" s="568"/>
      <c r="Y4" s="568"/>
      <c r="Z4" s="569"/>
    </row>
    <row r="5" spans="1:26" ht="12.75" customHeight="1" x14ac:dyDescent="0.25">
      <c r="A5" s="629"/>
      <c r="B5" s="630"/>
      <c r="C5" s="630"/>
      <c r="D5" s="630"/>
      <c r="E5" s="630"/>
      <c r="F5" s="631"/>
      <c r="G5" s="659" t="s">
        <v>2</v>
      </c>
      <c r="H5" s="660"/>
      <c r="I5" s="559">
        <v>2</v>
      </c>
      <c r="J5" s="559"/>
      <c r="K5" s="560"/>
      <c r="L5" s="561" t="s">
        <v>3</v>
      </c>
      <c r="M5" s="562"/>
      <c r="N5" s="562"/>
      <c r="O5" s="563"/>
      <c r="P5" s="623" t="s">
        <v>57</v>
      </c>
      <c r="Q5" s="624"/>
      <c r="R5" s="624"/>
      <c r="S5" s="624"/>
      <c r="T5" s="625"/>
      <c r="U5" s="567"/>
      <c r="V5" s="568"/>
      <c r="W5" s="568"/>
      <c r="X5" s="568"/>
      <c r="Y5" s="568"/>
      <c r="Z5" s="569"/>
    </row>
    <row r="6" spans="1:26" ht="12.75" customHeight="1" x14ac:dyDescent="0.25">
      <c r="A6" s="632"/>
      <c r="B6" s="633"/>
      <c r="C6" s="633"/>
      <c r="D6" s="633"/>
      <c r="E6" s="633"/>
      <c r="F6" s="634"/>
      <c r="G6" s="137"/>
      <c r="H6" s="103"/>
      <c r="I6" s="622" t="s">
        <v>5</v>
      </c>
      <c r="J6" s="622"/>
      <c r="K6" s="622"/>
      <c r="L6" s="622" t="s">
        <v>6</v>
      </c>
      <c r="M6" s="622"/>
      <c r="N6" s="622"/>
      <c r="O6" s="622"/>
      <c r="P6" s="622" t="s">
        <v>7</v>
      </c>
      <c r="Q6" s="622"/>
      <c r="R6" s="622"/>
      <c r="S6" s="622"/>
      <c r="T6" s="640"/>
      <c r="U6" s="570"/>
      <c r="V6" s="571"/>
      <c r="W6" s="571"/>
      <c r="X6" s="571"/>
      <c r="Y6" s="571"/>
      <c r="Z6" s="572"/>
    </row>
    <row r="7" spans="1:26" ht="36.6" customHeight="1" x14ac:dyDescent="0.25">
      <c r="A7" s="619" t="s">
        <v>8</v>
      </c>
      <c r="B7" s="619"/>
      <c r="C7" s="619"/>
      <c r="D7" s="619"/>
      <c r="E7" s="619"/>
      <c r="F7" s="619"/>
      <c r="G7" s="620" t="s">
        <v>9</v>
      </c>
      <c r="H7" s="620"/>
      <c r="I7" s="620"/>
      <c r="J7" s="620"/>
      <c r="K7" s="620"/>
      <c r="L7" s="620"/>
      <c r="M7" s="620"/>
      <c r="N7" s="620"/>
      <c r="O7" s="620"/>
      <c r="P7" s="620"/>
      <c r="Q7" s="620"/>
      <c r="R7" s="620"/>
      <c r="S7" s="620"/>
      <c r="T7" s="620"/>
      <c r="U7" s="620"/>
      <c r="V7" s="620"/>
      <c r="W7" s="620"/>
      <c r="X7" s="620"/>
      <c r="Y7" s="620"/>
      <c r="Z7" s="620"/>
    </row>
    <row r="8" spans="1:26" ht="15.9" customHeight="1" x14ac:dyDescent="0.25">
      <c r="A8" s="116" t="s">
        <v>10</v>
      </c>
      <c r="B8" s="98" t="s">
        <v>11</v>
      </c>
      <c r="C8" s="95"/>
      <c r="D8" s="136"/>
      <c r="E8" s="136"/>
      <c r="F8" s="136"/>
      <c r="G8" s="136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111"/>
    </row>
    <row r="9" spans="1:26" ht="8.25" customHeight="1" x14ac:dyDescent="0.25">
      <c r="A9" s="107"/>
      <c r="D9" s="74"/>
      <c r="E9" s="74"/>
      <c r="F9" s="74"/>
      <c r="G9" s="74"/>
      <c r="Z9" s="106"/>
    </row>
    <row r="10" spans="1:26" ht="15.9" customHeight="1" x14ac:dyDescent="0.25">
      <c r="A10" s="107"/>
      <c r="B10" s="638" t="s">
        <v>12</v>
      </c>
      <c r="C10" s="638"/>
      <c r="D10" s="638"/>
      <c r="E10" s="638"/>
      <c r="F10" s="638"/>
      <c r="G10" s="638"/>
      <c r="H10" s="621" t="s">
        <v>59</v>
      </c>
      <c r="I10" s="621"/>
      <c r="J10" s="621"/>
      <c r="K10" s="621"/>
      <c r="L10" s="621"/>
      <c r="M10" s="621"/>
      <c r="N10" s="638" t="s">
        <v>14</v>
      </c>
      <c r="O10" s="638"/>
      <c r="P10" s="638"/>
      <c r="Q10" s="638"/>
      <c r="R10" s="638"/>
      <c r="S10" s="639" t="s">
        <v>58</v>
      </c>
      <c r="T10" s="639"/>
      <c r="U10" s="639"/>
      <c r="V10" s="639"/>
      <c r="W10" s="639"/>
      <c r="X10" s="639"/>
      <c r="Y10" s="639"/>
      <c r="Z10" s="135"/>
    </row>
    <row r="11" spans="1:26" ht="15.9" customHeight="1" x14ac:dyDescent="0.25">
      <c r="A11" s="107"/>
      <c r="B11" s="638" t="s">
        <v>16</v>
      </c>
      <c r="C11" s="638"/>
      <c r="D11" s="638"/>
      <c r="E11" s="638"/>
      <c r="F11" s="638"/>
      <c r="G11" s="638"/>
      <c r="H11" s="621" t="s">
        <v>57</v>
      </c>
      <c r="I11" s="621"/>
      <c r="J11" s="621"/>
      <c r="K11" s="621"/>
      <c r="L11" s="621"/>
      <c r="M11" s="621"/>
      <c r="N11" s="638" t="s">
        <v>17</v>
      </c>
      <c r="O11" s="638"/>
      <c r="P11" s="638"/>
      <c r="Q11" s="638"/>
      <c r="R11" s="638"/>
      <c r="S11" s="639" t="s">
        <v>56</v>
      </c>
      <c r="T11" s="639"/>
      <c r="U11" s="639"/>
      <c r="V11" s="639"/>
      <c r="W11" s="639"/>
      <c r="X11" s="639"/>
      <c r="Y11" s="639"/>
      <c r="Z11" s="135"/>
    </row>
    <row r="12" spans="1:26" ht="15.9" customHeight="1" x14ac:dyDescent="0.25">
      <c r="A12" s="107"/>
      <c r="B12" s="638" t="s">
        <v>19</v>
      </c>
      <c r="C12" s="638"/>
      <c r="D12" s="638"/>
      <c r="E12" s="638"/>
      <c r="F12" s="638"/>
      <c r="G12" s="638"/>
      <c r="H12" s="621" t="s">
        <v>60</v>
      </c>
      <c r="I12" s="621"/>
      <c r="J12" s="621"/>
      <c r="K12" s="621"/>
      <c r="L12" s="621"/>
      <c r="M12" s="621"/>
      <c r="N12" s="638" t="s">
        <v>21</v>
      </c>
      <c r="O12" s="638"/>
      <c r="P12" s="638"/>
      <c r="Q12" s="638"/>
      <c r="R12" s="638"/>
      <c r="S12" s="639" t="s">
        <v>22</v>
      </c>
      <c r="T12" s="639"/>
      <c r="U12" s="639"/>
      <c r="V12" s="639"/>
      <c r="W12" s="639"/>
      <c r="X12" s="639"/>
      <c r="Y12" s="639"/>
      <c r="Z12" s="135"/>
    </row>
    <row r="13" spans="1:26" ht="8.25" customHeight="1" x14ac:dyDescent="0.25">
      <c r="A13" s="134"/>
      <c r="B13" s="103"/>
      <c r="C13" s="103"/>
      <c r="D13" s="133"/>
      <c r="E13" s="133"/>
      <c r="F13" s="133"/>
      <c r="G13" s="133"/>
      <c r="H13" s="103"/>
      <c r="I13" s="103"/>
      <c r="J13" s="103"/>
      <c r="K13" s="103"/>
      <c r="L13" s="103"/>
      <c r="M13" s="103"/>
      <c r="N13" s="132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2"/>
    </row>
    <row r="14" spans="1:26" s="75" customFormat="1" ht="15" customHeight="1" x14ac:dyDescent="0.25">
      <c r="B14" s="130"/>
      <c r="C14" s="130"/>
      <c r="K14" s="131"/>
      <c r="L14" s="130"/>
      <c r="M14" s="129"/>
    </row>
    <row r="15" spans="1:26" s="75" customFormat="1" ht="15.6" customHeight="1" x14ac:dyDescent="0.25">
      <c r="A15" s="116" t="s">
        <v>23</v>
      </c>
      <c r="B15" s="128" t="s">
        <v>24</v>
      </c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6"/>
    </row>
    <row r="16" spans="1:26" s="75" customFormat="1" ht="15" customHeight="1" x14ac:dyDescent="0.25">
      <c r="A16" s="123"/>
      <c r="B16" s="125"/>
      <c r="Z16" s="124"/>
    </row>
    <row r="17" spans="1:26" s="75" customFormat="1" ht="15" customHeight="1" x14ac:dyDescent="0.25">
      <c r="A17" s="123"/>
      <c r="B17" s="588" t="s">
        <v>25</v>
      </c>
      <c r="C17" s="588"/>
      <c r="D17" s="588"/>
      <c r="E17" s="588"/>
      <c r="F17" s="588"/>
      <c r="G17" s="588"/>
      <c r="H17" s="588"/>
      <c r="I17" s="652"/>
      <c r="J17" s="652"/>
      <c r="K17" s="652"/>
      <c r="L17" s="652"/>
      <c r="M17" s="652"/>
      <c r="N17" s="652"/>
      <c r="O17" s="652"/>
      <c r="P17" s="652"/>
      <c r="Q17" s="652"/>
      <c r="R17" s="652"/>
      <c r="S17" s="652"/>
      <c r="T17" s="652"/>
      <c r="U17" s="652"/>
      <c r="V17" s="652"/>
      <c r="W17" s="652"/>
      <c r="X17" s="652"/>
      <c r="Y17" s="652"/>
      <c r="Z17" s="121"/>
    </row>
    <row r="18" spans="1:26" s="75" customFormat="1" ht="15" customHeight="1" x14ac:dyDescent="0.25">
      <c r="A18" s="123"/>
      <c r="B18" s="588" t="s">
        <v>26</v>
      </c>
      <c r="C18" s="588"/>
      <c r="D18" s="588"/>
      <c r="E18" s="588"/>
      <c r="F18" s="588"/>
      <c r="G18" s="588"/>
      <c r="H18" s="588"/>
      <c r="I18" s="575" t="s">
        <v>27</v>
      </c>
      <c r="J18" s="575"/>
      <c r="K18" s="122">
        <v>50</v>
      </c>
      <c r="L18" s="122" t="s">
        <v>28</v>
      </c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1"/>
    </row>
    <row r="19" spans="1:26" s="75" customFormat="1" ht="13.2" customHeight="1" x14ac:dyDescent="0.25">
      <c r="A19" s="120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19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8"/>
    </row>
    <row r="20" spans="1:26" ht="12.75" customHeight="1" x14ac:dyDescent="0.25">
      <c r="D20" s="74"/>
      <c r="E20" s="74"/>
      <c r="F20" s="74"/>
      <c r="G20" s="74"/>
      <c r="N20" s="117"/>
    </row>
    <row r="21" spans="1:26" ht="15.9" customHeight="1" x14ac:dyDescent="0.25">
      <c r="A21" s="116" t="s">
        <v>29</v>
      </c>
      <c r="B21" s="115" t="s">
        <v>30</v>
      </c>
      <c r="C21" s="113"/>
      <c r="D21" s="114"/>
      <c r="E21" s="114"/>
      <c r="F21" s="114"/>
      <c r="G21" s="114"/>
      <c r="H21" s="113"/>
      <c r="I21" s="113"/>
      <c r="J21" s="607" t="s">
        <v>31</v>
      </c>
      <c r="K21" s="607"/>
      <c r="L21" s="607"/>
      <c r="M21" s="607"/>
      <c r="N21" s="607"/>
      <c r="O21" s="607"/>
      <c r="P21" s="607"/>
      <c r="Q21" s="112">
        <v>600</v>
      </c>
      <c r="R21" s="95"/>
      <c r="S21" s="95"/>
      <c r="T21" s="95"/>
      <c r="U21" s="95"/>
      <c r="V21" s="95"/>
      <c r="W21" s="95"/>
      <c r="X21" s="95"/>
      <c r="Y21" s="95"/>
      <c r="Z21" s="111"/>
    </row>
    <row r="22" spans="1:26" ht="12.75" customHeight="1" x14ac:dyDescent="0.25">
      <c r="A22" s="107"/>
      <c r="B22" s="110"/>
      <c r="Z22" s="106"/>
    </row>
    <row r="23" spans="1:26" ht="15.75" customHeight="1" x14ac:dyDescent="0.25">
      <c r="A23" s="107"/>
      <c r="B23" s="601" t="s">
        <v>32</v>
      </c>
      <c r="C23" s="603" t="s">
        <v>33</v>
      </c>
      <c r="D23" s="603"/>
      <c r="E23" s="603"/>
      <c r="F23" s="603"/>
      <c r="G23" s="604"/>
      <c r="H23" s="585" t="s">
        <v>34</v>
      </c>
      <c r="I23" s="586"/>
      <c r="J23" s="587"/>
      <c r="K23" s="603" t="s">
        <v>35</v>
      </c>
      <c r="L23" s="603"/>
      <c r="M23" s="603"/>
      <c r="N23" s="603"/>
      <c r="O23" s="603"/>
      <c r="P23" s="604"/>
      <c r="Z23" s="106"/>
    </row>
    <row r="24" spans="1:26" ht="15.75" customHeight="1" x14ac:dyDescent="0.25">
      <c r="A24" s="107"/>
      <c r="B24" s="602"/>
      <c r="C24" s="605"/>
      <c r="D24" s="605"/>
      <c r="E24" s="605"/>
      <c r="F24" s="605"/>
      <c r="G24" s="606"/>
      <c r="H24" s="582" t="s">
        <v>36</v>
      </c>
      <c r="I24" s="583"/>
      <c r="J24" s="584"/>
      <c r="K24" s="605"/>
      <c r="L24" s="605"/>
      <c r="M24" s="605"/>
      <c r="N24" s="605"/>
      <c r="O24" s="605"/>
      <c r="P24" s="606"/>
      <c r="Z24" s="106"/>
    </row>
    <row r="25" spans="1:26" ht="19.5" customHeight="1" x14ac:dyDescent="0.25">
      <c r="A25" s="107"/>
      <c r="B25" s="109">
        <v>1</v>
      </c>
      <c r="C25" s="579"/>
      <c r="D25" s="580"/>
      <c r="E25" s="580"/>
      <c r="F25" s="580"/>
      <c r="G25" s="581"/>
      <c r="H25" s="576">
        <v>65</v>
      </c>
      <c r="I25" s="577"/>
      <c r="J25" s="578"/>
      <c r="K25" s="579"/>
      <c r="L25" s="580"/>
      <c r="M25" s="580"/>
      <c r="N25" s="580"/>
      <c r="O25" s="580"/>
      <c r="P25" s="581"/>
      <c r="Z25" s="106"/>
    </row>
    <row r="26" spans="1:26" ht="19.5" customHeight="1" x14ac:dyDescent="0.25">
      <c r="A26" s="107"/>
      <c r="B26" s="109">
        <v>2</v>
      </c>
      <c r="C26" s="579"/>
      <c r="D26" s="580"/>
      <c r="E26" s="580"/>
      <c r="F26" s="580"/>
      <c r="G26" s="581"/>
      <c r="H26" s="576">
        <v>84</v>
      </c>
      <c r="I26" s="577"/>
      <c r="J26" s="578"/>
      <c r="K26" s="579"/>
      <c r="L26" s="580"/>
      <c r="M26" s="580"/>
      <c r="N26" s="580"/>
      <c r="O26" s="580"/>
      <c r="P26" s="581"/>
      <c r="Z26" s="106"/>
    </row>
    <row r="27" spans="1:26" ht="19.5" customHeight="1" x14ac:dyDescent="0.25">
      <c r="A27" s="107"/>
      <c r="B27" s="109">
        <v>3</v>
      </c>
      <c r="C27" s="579"/>
      <c r="D27" s="580"/>
      <c r="E27" s="580"/>
      <c r="F27" s="580"/>
      <c r="G27" s="581"/>
      <c r="H27" s="576">
        <v>62</v>
      </c>
      <c r="I27" s="577"/>
      <c r="J27" s="578"/>
      <c r="K27" s="579"/>
      <c r="L27" s="580"/>
      <c r="M27" s="580"/>
      <c r="N27" s="580"/>
      <c r="O27" s="580"/>
      <c r="P27" s="581"/>
      <c r="Z27" s="106"/>
    </row>
    <row r="28" spans="1:26" ht="19.5" customHeight="1" x14ac:dyDescent="0.25">
      <c r="A28" s="107"/>
      <c r="B28" s="109">
        <v>4</v>
      </c>
      <c r="C28" s="579"/>
      <c r="D28" s="580"/>
      <c r="E28" s="580"/>
      <c r="F28" s="580"/>
      <c r="G28" s="581"/>
      <c r="H28" s="576">
        <v>95</v>
      </c>
      <c r="I28" s="577"/>
      <c r="J28" s="578"/>
      <c r="K28" s="579"/>
      <c r="L28" s="580"/>
      <c r="M28" s="580"/>
      <c r="N28" s="580"/>
      <c r="O28" s="580"/>
      <c r="P28" s="581"/>
      <c r="Z28" s="106"/>
    </row>
    <row r="29" spans="1:26" ht="19.5" customHeight="1" x14ac:dyDescent="0.25">
      <c r="A29" s="107"/>
      <c r="B29" s="109">
        <v>5</v>
      </c>
      <c r="C29" s="579"/>
      <c r="D29" s="580"/>
      <c r="E29" s="580"/>
      <c r="F29" s="580"/>
      <c r="G29" s="581"/>
      <c r="H29" s="576">
        <v>102</v>
      </c>
      <c r="I29" s="577"/>
      <c r="J29" s="578"/>
      <c r="K29" s="579"/>
      <c r="L29" s="580"/>
      <c r="M29" s="580"/>
      <c r="N29" s="580"/>
      <c r="O29" s="580"/>
      <c r="P29" s="581"/>
      <c r="Z29" s="106"/>
    </row>
    <row r="30" spans="1:26" ht="19.5" customHeight="1" x14ac:dyDescent="0.25">
      <c r="A30" s="107"/>
      <c r="B30" s="109">
        <v>6</v>
      </c>
      <c r="C30" s="579"/>
      <c r="D30" s="580"/>
      <c r="E30" s="580"/>
      <c r="F30" s="580"/>
      <c r="G30" s="581"/>
      <c r="H30" s="576">
        <v>112</v>
      </c>
      <c r="I30" s="577"/>
      <c r="J30" s="578"/>
      <c r="K30" s="579"/>
      <c r="L30" s="580"/>
      <c r="M30" s="580"/>
      <c r="N30" s="580"/>
      <c r="O30" s="580"/>
      <c r="P30" s="581"/>
      <c r="Z30" s="106"/>
    </row>
    <row r="31" spans="1:26" ht="19.5" customHeight="1" x14ac:dyDescent="0.25">
      <c r="A31" s="107"/>
      <c r="B31" s="109"/>
      <c r="C31" s="579"/>
      <c r="D31" s="580"/>
      <c r="E31" s="580"/>
      <c r="F31" s="580"/>
      <c r="G31" s="581"/>
      <c r="H31" s="576"/>
      <c r="I31" s="577"/>
      <c r="J31" s="578"/>
      <c r="K31" s="579"/>
      <c r="L31" s="580"/>
      <c r="M31" s="580"/>
      <c r="N31" s="580"/>
      <c r="O31" s="580"/>
      <c r="P31" s="581"/>
      <c r="Z31" s="106"/>
    </row>
    <row r="32" spans="1:26" ht="19.5" customHeight="1" x14ac:dyDescent="0.25">
      <c r="A32" s="107"/>
      <c r="B32" s="109"/>
      <c r="C32" s="579"/>
      <c r="D32" s="580"/>
      <c r="E32" s="580"/>
      <c r="F32" s="580"/>
      <c r="G32" s="581"/>
      <c r="H32" s="576"/>
      <c r="I32" s="577"/>
      <c r="J32" s="578"/>
      <c r="K32" s="579"/>
      <c r="L32" s="580"/>
      <c r="M32" s="580"/>
      <c r="N32" s="580"/>
      <c r="O32" s="580"/>
      <c r="P32" s="581"/>
      <c r="Z32" s="106"/>
    </row>
    <row r="33" spans="1:26" ht="19.5" customHeight="1" x14ac:dyDescent="0.25">
      <c r="A33" s="107"/>
      <c r="B33" s="109"/>
      <c r="C33" s="579"/>
      <c r="D33" s="580"/>
      <c r="E33" s="580"/>
      <c r="F33" s="580"/>
      <c r="G33" s="581"/>
      <c r="H33" s="576"/>
      <c r="I33" s="577"/>
      <c r="J33" s="578"/>
      <c r="K33" s="579"/>
      <c r="L33" s="580"/>
      <c r="M33" s="580"/>
      <c r="N33" s="580"/>
      <c r="O33" s="580"/>
      <c r="P33" s="581"/>
      <c r="Z33" s="106"/>
    </row>
    <row r="34" spans="1:26" ht="19.5" customHeight="1" x14ac:dyDescent="0.25">
      <c r="A34" s="107"/>
      <c r="B34" s="109"/>
      <c r="C34" s="579"/>
      <c r="D34" s="580"/>
      <c r="E34" s="580"/>
      <c r="F34" s="580"/>
      <c r="G34" s="581"/>
      <c r="H34" s="576"/>
      <c r="I34" s="577"/>
      <c r="J34" s="578"/>
      <c r="K34" s="579"/>
      <c r="L34" s="580"/>
      <c r="M34" s="580"/>
      <c r="N34" s="580"/>
      <c r="O34" s="580"/>
      <c r="P34" s="581"/>
      <c r="Z34" s="106"/>
    </row>
    <row r="35" spans="1:26" ht="19.5" customHeight="1" x14ac:dyDescent="0.25">
      <c r="A35" s="107"/>
      <c r="B35" s="109"/>
      <c r="C35" s="579"/>
      <c r="D35" s="580"/>
      <c r="E35" s="580"/>
      <c r="F35" s="580"/>
      <c r="G35" s="581"/>
      <c r="H35" s="576"/>
      <c r="I35" s="577"/>
      <c r="J35" s="578"/>
      <c r="K35" s="579"/>
      <c r="L35" s="580"/>
      <c r="M35" s="580"/>
      <c r="N35" s="580"/>
      <c r="O35" s="580"/>
      <c r="P35" s="581"/>
      <c r="Z35" s="106"/>
    </row>
    <row r="36" spans="1:26" ht="19.5" customHeight="1" x14ac:dyDescent="0.25">
      <c r="A36" s="107"/>
      <c r="B36" s="109"/>
      <c r="C36" s="579"/>
      <c r="D36" s="580"/>
      <c r="E36" s="580"/>
      <c r="F36" s="580"/>
      <c r="G36" s="581"/>
      <c r="H36" s="576"/>
      <c r="I36" s="577"/>
      <c r="J36" s="578"/>
      <c r="K36" s="579"/>
      <c r="L36" s="580"/>
      <c r="M36" s="580"/>
      <c r="N36" s="580"/>
      <c r="O36" s="580"/>
      <c r="P36" s="581"/>
      <c r="Z36" s="106"/>
    </row>
    <row r="37" spans="1:26" ht="19.5" customHeight="1" x14ac:dyDescent="0.25">
      <c r="A37" s="107"/>
      <c r="B37" s="109"/>
      <c r="C37" s="579"/>
      <c r="D37" s="580"/>
      <c r="E37" s="580"/>
      <c r="F37" s="580"/>
      <c r="G37" s="581"/>
      <c r="H37" s="576"/>
      <c r="I37" s="577"/>
      <c r="J37" s="578"/>
      <c r="K37" s="579"/>
      <c r="L37" s="580"/>
      <c r="M37" s="580"/>
      <c r="N37" s="580"/>
      <c r="O37" s="580"/>
      <c r="P37" s="581"/>
      <c r="Z37" s="106"/>
    </row>
    <row r="38" spans="1:26" ht="19.5" customHeight="1" x14ac:dyDescent="0.25">
      <c r="A38" s="107"/>
      <c r="B38" s="109"/>
      <c r="C38" s="579"/>
      <c r="D38" s="580"/>
      <c r="E38" s="580"/>
      <c r="F38" s="580"/>
      <c r="G38" s="581"/>
      <c r="H38" s="576"/>
      <c r="I38" s="577"/>
      <c r="J38" s="578"/>
      <c r="K38" s="579"/>
      <c r="L38" s="580"/>
      <c r="M38" s="580"/>
      <c r="N38" s="580"/>
      <c r="O38" s="580"/>
      <c r="P38" s="581"/>
      <c r="Z38" s="106"/>
    </row>
    <row r="39" spans="1:26" ht="19.5" customHeight="1" x14ac:dyDescent="0.25">
      <c r="A39" s="107"/>
      <c r="B39" s="109"/>
      <c r="C39" s="579"/>
      <c r="D39" s="580"/>
      <c r="E39" s="580"/>
      <c r="F39" s="580"/>
      <c r="G39" s="581"/>
      <c r="H39" s="576"/>
      <c r="I39" s="577"/>
      <c r="J39" s="578"/>
      <c r="K39" s="579"/>
      <c r="L39" s="580"/>
      <c r="M39" s="580"/>
      <c r="N39" s="580"/>
      <c r="O39" s="580"/>
      <c r="P39" s="581"/>
      <c r="Z39" s="106"/>
    </row>
    <row r="40" spans="1:26" ht="19.5" customHeight="1" x14ac:dyDescent="0.25">
      <c r="A40" s="107"/>
      <c r="B40" s="109"/>
      <c r="C40" s="579"/>
      <c r="D40" s="580"/>
      <c r="E40" s="580"/>
      <c r="F40" s="580"/>
      <c r="G40" s="581"/>
      <c r="H40" s="576"/>
      <c r="I40" s="577"/>
      <c r="J40" s="578"/>
      <c r="K40" s="579"/>
      <c r="L40" s="580"/>
      <c r="M40" s="580"/>
      <c r="N40" s="580"/>
      <c r="O40" s="580"/>
      <c r="P40" s="581"/>
      <c r="Z40" s="106"/>
    </row>
    <row r="41" spans="1:26" ht="19.5" customHeight="1" x14ac:dyDescent="0.25">
      <c r="A41" s="107"/>
      <c r="B41" s="109"/>
      <c r="C41" s="579"/>
      <c r="D41" s="580"/>
      <c r="E41" s="580"/>
      <c r="F41" s="580"/>
      <c r="G41" s="581"/>
      <c r="H41" s="576"/>
      <c r="I41" s="577"/>
      <c r="J41" s="578"/>
      <c r="K41" s="579"/>
      <c r="L41" s="580"/>
      <c r="M41" s="580"/>
      <c r="N41" s="580"/>
      <c r="O41" s="580"/>
      <c r="P41" s="581"/>
      <c r="Z41" s="106"/>
    </row>
    <row r="42" spans="1:26" ht="19.5" customHeight="1" x14ac:dyDescent="0.25">
      <c r="A42" s="107"/>
      <c r="B42" s="109"/>
      <c r="C42" s="579"/>
      <c r="D42" s="580"/>
      <c r="E42" s="580"/>
      <c r="F42" s="580"/>
      <c r="G42" s="581"/>
      <c r="H42" s="576"/>
      <c r="I42" s="577"/>
      <c r="J42" s="578"/>
      <c r="K42" s="579"/>
      <c r="L42" s="580"/>
      <c r="M42" s="580"/>
      <c r="N42" s="580"/>
      <c r="O42" s="580"/>
      <c r="P42" s="581"/>
      <c r="Z42" s="106"/>
    </row>
    <row r="43" spans="1:26" ht="19.5" customHeight="1" x14ac:dyDescent="0.25">
      <c r="A43" s="107"/>
      <c r="B43" s="109"/>
      <c r="C43" s="579"/>
      <c r="D43" s="580"/>
      <c r="E43" s="580"/>
      <c r="F43" s="580"/>
      <c r="G43" s="581"/>
      <c r="H43" s="576"/>
      <c r="I43" s="577"/>
      <c r="J43" s="578"/>
      <c r="K43" s="579"/>
      <c r="L43" s="580"/>
      <c r="M43" s="580"/>
      <c r="N43" s="580"/>
      <c r="O43" s="580"/>
      <c r="P43" s="581"/>
      <c r="Z43" s="106"/>
    </row>
    <row r="44" spans="1:26" ht="19.5" customHeight="1" x14ac:dyDescent="0.25">
      <c r="A44" s="107"/>
      <c r="B44" s="109"/>
      <c r="C44" s="579"/>
      <c r="D44" s="580"/>
      <c r="E44" s="580"/>
      <c r="F44" s="580"/>
      <c r="G44" s="581"/>
      <c r="H44" s="576"/>
      <c r="I44" s="577"/>
      <c r="J44" s="578"/>
      <c r="K44" s="579"/>
      <c r="L44" s="580"/>
      <c r="M44" s="580"/>
      <c r="N44" s="580"/>
      <c r="O44" s="580"/>
      <c r="P44" s="581"/>
      <c r="Z44" s="106"/>
    </row>
    <row r="45" spans="1:26" ht="19.5" customHeight="1" x14ac:dyDescent="0.25">
      <c r="A45" s="107"/>
      <c r="B45" s="109"/>
      <c r="C45" s="579"/>
      <c r="D45" s="580"/>
      <c r="E45" s="580"/>
      <c r="F45" s="580"/>
      <c r="G45" s="581"/>
      <c r="H45" s="576"/>
      <c r="I45" s="577"/>
      <c r="J45" s="578"/>
      <c r="K45" s="579"/>
      <c r="L45" s="580"/>
      <c r="M45" s="580"/>
      <c r="N45" s="580"/>
      <c r="O45" s="580"/>
      <c r="P45" s="581"/>
      <c r="Z45" s="106"/>
    </row>
    <row r="46" spans="1:26" ht="19.5" customHeight="1" thickBot="1" x14ac:dyDescent="0.3">
      <c r="A46" s="107"/>
      <c r="B46" s="108"/>
      <c r="C46" s="608"/>
      <c r="D46" s="608"/>
      <c r="E46" s="608"/>
      <c r="F46" s="608"/>
      <c r="G46" s="609"/>
      <c r="H46" s="653"/>
      <c r="I46" s="654"/>
      <c r="J46" s="655"/>
      <c r="K46" s="685"/>
      <c r="L46" s="608"/>
      <c r="M46" s="608"/>
      <c r="N46" s="608"/>
      <c r="O46" s="608"/>
      <c r="P46" s="609"/>
      <c r="Z46" s="106"/>
    </row>
    <row r="47" spans="1:26" ht="15.75" customHeight="1" x14ac:dyDescent="0.25">
      <c r="A47" s="107"/>
      <c r="B47" s="616" t="s">
        <v>37</v>
      </c>
      <c r="C47" s="617"/>
      <c r="D47" s="617"/>
      <c r="E47" s="617"/>
      <c r="F47" s="617"/>
      <c r="G47" s="618"/>
      <c r="H47" s="689">
        <f>AVERAGE(H25:J46)</f>
        <v>86.666666666666671</v>
      </c>
      <c r="I47" s="690"/>
      <c r="J47" s="691"/>
      <c r="K47" s="646" t="s">
        <v>55</v>
      </c>
      <c r="L47" s="647"/>
      <c r="M47" s="641" t="s">
        <v>38</v>
      </c>
      <c r="N47" s="641"/>
      <c r="O47" s="641"/>
      <c r="P47" s="642"/>
      <c r="Z47" s="106"/>
    </row>
    <row r="48" spans="1:26" ht="15.75" customHeight="1" x14ac:dyDescent="0.25">
      <c r="A48" s="107"/>
      <c r="B48" s="610" t="s">
        <v>39</v>
      </c>
      <c r="C48" s="611"/>
      <c r="D48" s="611"/>
      <c r="E48" s="611"/>
      <c r="F48" s="611"/>
      <c r="G48" s="612"/>
      <c r="H48" s="692">
        <f>IF(COUNTIF(H25:J46,"*&lt;20*"),"&lt;20",MIN(H25:J46))</f>
        <v>62</v>
      </c>
      <c r="I48" s="693"/>
      <c r="J48" s="694"/>
      <c r="K48" s="648"/>
      <c r="L48" s="649"/>
      <c r="M48" s="574"/>
      <c r="N48" s="574"/>
      <c r="O48" s="574"/>
      <c r="P48" s="643"/>
      <c r="Z48" s="106"/>
    </row>
    <row r="49" spans="1:26" ht="15.75" customHeight="1" thickBot="1" x14ac:dyDescent="0.3">
      <c r="A49" s="107"/>
      <c r="B49" s="613" t="s">
        <v>40</v>
      </c>
      <c r="C49" s="614"/>
      <c r="D49" s="614"/>
      <c r="E49" s="614"/>
      <c r="F49" s="614"/>
      <c r="G49" s="615"/>
      <c r="H49" s="686">
        <f>IF(COUNTIF(H25:J46,"*&gt;250*"),"&gt;250",MAX(H25:J46))</f>
        <v>112</v>
      </c>
      <c r="I49" s="687"/>
      <c r="J49" s="688"/>
      <c r="K49" s="650"/>
      <c r="L49" s="651"/>
      <c r="M49" s="644"/>
      <c r="N49" s="644"/>
      <c r="O49" s="644"/>
      <c r="P49" s="645"/>
      <c r="Z49" s="106"/>
    </row>
    <row r="50" spans="1:26" ht="15.9" customHeight="1" x14ac:dyDescent="0.25">
      <c r="A50" s="105"/>
      <c r="B50" s="104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2"/>
    </row>
    <row r="51" spans="1:26" ht="12.75" customHeight="1" x14ac:dyDescent="0.25">
      <c r="A51" s="101"/>
      <c r="B51" s="100"/>
    </row>
    <row r="52" spans="1:26" s="75" customFormat="1" ht="15.6" customHeight="1" x14ac:dyDescent="0.25">
      <c r="A52" s="99" t="s">
        <v>41</v>
      </c>
      <c r="B52" s="98" t="s">
        <v>42</v>
      </c>
      <c r="C52" s="97"/>
      <c r="D52" s="97"/>
      <c r="E52" s="97"/>
      <c r="F52" s="96"/>
      <c r="G52" s="96"/>
      <c r="H52" s="96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4"/>
      <c r="V52" s="93"/>
      <c r="W52" s="93"/>
      <c r="X52" s="92"/>
      <c r="Y52" s="92"/>
      <c r="Z52" s="91"/>
    </row>
    <row r="53" spans="1:26" s="75" customFormat="1" ht="28.5" customHeight="1" x14ac:dyDescent="0.25">
      <c r="A53" s="661" t="s">
        <v>43</v>
      </c>
      <c r="B53" s="662"/>
      <c r="C53" s="662"/>
      <c r="D53" s="662"/>
      <c r="E53" s="662"/>
      <c r="F53" s="662"/>
      <c r="G53" s="662"/>
      <c r="H53" s="662"/>
      <c r="I53" s="662"/>
      <c r="J53" s="662"/>
      <c r="K53" s="662"/>
      <c r="L53" s="662"/>
      <c r="M53" s="662"/>
      <c r="N53" s="662"/>
      <c r="O53" s="662"/>
      <c r="P53" s="662"/>
      <c r="Q53" s="663"/>
      <c r="R53" s="595" t="s">
        <v>44</v>
      </c>
      <c r="S53" s="596"/>
      <c r="T53" s="597"/>
      <c r="U53" s="664" t="s">
        <v>54</v>
      </c>
      <c r="V53" s="665"/>
      <c r="W53" s="665"/>
      <c r="X53" s="666"/>
      <c r="Y53" s="666"/>
      <c r="Z53" s="667"/>
    </row>
    <row r="54" spans="1:26" s="75" customFormat="1" ht="15.6" customHeight="1" x14ac:dyDescent="0.25">
      <c r="A54" s="668" t="s">
        <v>53</v>
      </c>
      <c r="B54" s="669"/>
      <c r="C54" s="669"/>
      <c r="D54" s="669"/>
      <c r="E54" s="669"/>
      <c r="F54" s="669"/>
      <c r="G54" s="669"/>
      <c r="H54" s="669"/>
      <c r="I54" s="669"/>
      <c r="J54" s="669"/>
      <c r="K54" s="669"/>
      <c r="L54" s="669"/>
      <c r="M54" s="669"/>
      <c r="N54" s="669"/>
      <c r="O54" s="669"/>
      <c r="P54" s="669"/>
      <c r="Q54" s="670"/>
      <c r="R54" s="595" t="s">
        <v>46</v>
      </c>
      <c r="S54" s="596"/>
      <c r="T54" s="597"/>
      <c r="U54" s="674" t="s">
        <v>52</v>
      </c>
      <c r="V54" s="675"/>
      <c r="W54" s="675"/>
      <c r="X54" s="676"/>
      <c r="Y54" s="676"/>
      <c r="Z54" s="677"/>
    </row>
    <row r="55" spans="1:26" s="75" customFormat="1" ht="15.6" customHeight="1" x14ac:dyDescent="0.25">
      <c r="A55" s="671"/>
      <c r="B55" s="672"/>
      <c r="C55" s="672"/>
      <c r="D55" s="672"/>
      <c r="E55" s="672"/>
      <c r="F55" s="672"/>
      <c r="G55" s="672"/>
      <c r="H55" s="672"/>
      <c r="I55" s="672"/>
      <c r="J55" s="672"/>
      <c r="K55" s="672"/>
      <c r="L55" s="672"/>
      <c r="M55" s="672"/>
      <c r="N55" s="672"/>
      <c r="O55" s="672"/>
      <c r="P55" s="672"/>
      <c r="Q55" s="673"/>
      <c r="R55" s="595"/>
      <c r="S55" s="596"/>
      <c r="T55" s="597"/>
      <c r="U55" s="678"/>
      <c r="V55" s="574"/>
      <c r="W55" s="574"/>
      <c r="X55" s="679"/>
      <c r="Y55" s="679"/>
      <c r="Z55" s="680"/>
    </row>
    <row r="56" spans="1:26" s="75" customFormat="1" ht="15.6" customHeight="1" x14ac:dyDescent="0.25">
      <c r="A56" s="90" t="s">
        <v>48</v>
      </c>
      <c r="B56" s="89" t="s">
        <v>49</v>
      </c>
      <c r="C56" s="73"/>
      <c r="D56" s="73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7"/>
      <c r="R56" s="595"/>
      <c r="S56" s="596"/>
      <c r="T56" s="597"/>
      <c r="U56" s="681"/>
      <c r="V56" s="682"/>
      <c r="W56" s="682"/>
      <c r="X56" s="683"/>
      <c r="Y56" s="683"/>
      <c r="Z56" s="684"/>
    </row>
    <row r="57" spans="1:26" s="75" customFormat="1" ht="15.6" customHeight="1" x14ac:dyDescent="0.25">
      <c r="A57" s="589"/>
      <c r="B57" s="590"/>
      <c r="C57" s="590"/>
      <c r="D57" s="590"/>
      <c r="E57" s="590"/>
      <c r="F57" s="590"/>
      <c r="G57" s="590"/>
      <c r="H57" s="590"/>
      <c r="I57" s="590"/>
      <c r="J57" s="590"/>
      <c r="K57" s="590"/>
      <c r="L57" s="590"/>
      <c r="M57" s="590"/>
      <c r="N57" s="590"/>
      <c r="O57" s="590"/>
      <c r="P57" s="590"/>
      <c r="Q57" s="591"/>
      <c r="R57" s="595" t="s">
        <v>50</v>
      </c>
      <c r="S57" s="596"/>
      <c r="T57" s="597"/>
      <c r="U57" s="86"/>
      <c r="V57" s="85"/>
      <c r="W57" s="85"/>
      <c r="X57" s="85"/>
      <c r="Y57" s="85"/>
      <c r="Z57" s="84"/>
    </row>
    <row r="58" spans="1:26" s="75" customFormat="1" ht="15.6" customHeight="1" x14ac:dyDescent="0.25">
      <c r="A58" s="589"/>
      <c r="B58" s="590"/>
      <c r="C58" s="590"/>
      <c r="D58" s="590"/>
      <c r="E58" s="590"/>
      <c r="F58" s="590"/>
      <c r="G58" s="590"/>
      <c r="H58" s="590"/>
      <c r="I58" s="590"/>
      <c r="J58" s="590"/>
      <c r="K58" s="590"/>
      <c r="L58" s="590"/>
      <c r="M58" s="590"/>
      <c r="N58" s="590"/>
      <c r="O58" s="590"/>
      <c r="P58" s="590"/>
      <c r="Q58" s="591"/>
      <c r="R58" s="595"/>
      <c r="S58" s="596"/>
      <c r="T58" s="597"/>
      <c r="U58" s="83"/>
      <c r="V58" s="574"/>
      <c r="W58" s="574"/>
      <c r="X58" s="574"/>
      <c r="Y58" s="574"/>
      <c r="Z58" s="82"/>
    </row>
    <row r="59" spans="1:26" s="75" customFormat="1" ht="15.6" customHeight="1" x14ac:dyDescent="0.25">
      <c r="A59" s="589"/>
      <c r="B59" s="590"/>
      <c r="C59" s="590"/>
      <c r="D59" s="590"/>
      <c r="E59" s="590"/>
      <c r="F59" s="590"/>
      <c r="G59" s="590"/>
      <c r="H59" s="590"/>
      <c r="I59" s="590"/>
      <c r="J59" s="590"/>
      <c r="K59" s="590"/>
      <c r="L59" s="590"/>
      <c r="M59" s="590"/>
      <c r="N59" s="590"/>
      <c r="O59" s="590"/>
      <c r="P59" s="590"/>
      <c r="Q59" s="591"/>
      <c r="R59" s="595"/>
      <c r="S59" s="596"/>
      <c r="T59" s="597"/>
      <c r="U59" s="83"/>
      <c r="V59" s="574"/>
      <c r="W59" s="574"/>
      <c r="X59" s="574"/>
      <c r="Y59" s="574"/>
      <c r="Z59" s="82"/>
    </row>
    <row r="60" spans="1:26" s="75" customFormat="1" ht="15.6" customHeight="1" x14ac:dyDescent="0.25">
      <c r="A60" s="592"/>
      <c r="B60" s="593"/>
      <c r="C60" s="593"/>
      <c r="D60" s="593"/>
      <c r="E60" s="593"/>
      <c r="F60" s="593"/>
      <c r="G60" s="593"/>
      <c r="H60" s="593"/>
      <c r="I60" s="593"/>
      <c r="J60" s="593"/>
      <c r="K60" s="593"/>
      <c r="L60" s="593"/>
      <c r="M60" s="593"/>
      <c r="N60" s="593"/>
      <c r="O60" s="593"/>
      <c r="P60" s="593"/>
      <c r="Q60" s="594"/>
      <c r="R60" s="598"/>
      <c r="S60" s="599"/>
      <c r="T60" s="600"/>
      <c r="U60" s="81"/>
      <c r="V60" s="80"/>
      <c r="W60" s="80"/>
      <c r="X60" s="80"/>
      <c r="Y60" s="80"/>
      <c r="Z60" s="79"/>
    </row>
    <row r="61" spans="1:26" s="75" customFormat="1" ht="15" customHeight="1" x14ac:dyDescent="0.25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7"/>
      <c r="S61" s="77"/>
      <c r="T61" s="77"/>
      <c r="U61" s="76"/>
      <c r="V61" s="76"/>
      <c r="W61" s="76"/>
      <c r="X61" s="76"/>
      <c r="Y61" s="76"/>
      <c r="Z61" s="76"/>
    </row>
    <row r="63" spans="1:26" ht="12.75" customHeight="1" x14ac:dyDescent="0.25">
      <c r="A63" s="73"/>
    </row>
    <row r="64" spans="1:26" ht="12.75" customHeight="1" x14ac:dyDescent="0.25">
      <c r="A64" s="73"/>
    </row>
    <row r="65" spans="1:1" ht="12.75" customHeight="1" x14ac:dyDescent="0.25">
      <c r="A65" s="73"/>
    </row>
    <row r="66" spans="1:1" ht="12.75" customHeight="1" x14ac:dyDescent="0.25">
      <c r="A66" s="73"/>
    </row>
    <row r="67" spans="1:1" ht="12.75" customHeight="1" x14ac:dyDescent="0.25">
      <c r="A67" s="73"/>
    </row>
    <row r="68" spans="1:1" ht="12.75" customHeight="1" x14ac:dyDescent="0.25">
      <c r="A68" s="73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4:G44"/>
    <mergeCell ref="H44:J44"/>
    <mergeCell ref="K44:P44"/>
    <mergeCell ref="C45:G45"/>
    <mergeCell ref="H45:J45"/>
    <mergeCell ref="K45:P45"/>
    <mergeCell ref="C42:G42"/>
    <mergeCell ref="H42:J42"/>
    <mergeCell ref="K42:P42"/>
    <mergeCell ref="C43:G43"/>
    <mergeCell ref="H43:J43"/>
    <mergeCell ref="K43:P43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A53:Q53"/>
    <mergeCell ref="R53:T53"/>
    <mergeCell ref="U53:Z53"/>
    <mergeCell ref="A54:Q55"/>
    <mergeCell ref="R54:T56"/>
    <mergeCell ref="U54:Z56"/>
    <mergeCell ref="C31:G31"/>
    <mergeCell ref="H31:J31"/>
    <mergeCell ref="K31:P31"/>
    <mergeCell ref="K46:P46"/>
    <mergeCell ref="H49:J49"/>
    <mergeCell ref="H47:J47"/>
    <mergeCell ref="H48:J48"/>
    <mergeCell ref="C32:G32"/>
    <mergeCell ref="H32:J32"/>
    <mergeCell ref="K32:P32"/>
    <mergeCell ref="C33:G33"/>
    <mergeCell ref="C36:G36"/>
    <mergeCell ref="H36:J36"/>
    <mergeCell ref="K36:P36"/>
    <mergeCell ref="C37:G37"/>
    <mergeCell ref="H37:J37"/>
    <mergeCell ref="K37:P37"/>
    <mergeCell ref="H33:J33"/>
    <mergeCell ref="M47:P49"/>
    <mergeCell ref="K47:L49"/>
    <mergeCell ref="S12:Y12"/>
    <mergeCell ref="K23:P24"/>
    <mergeCell ref="I17:Y17"/>
    <mergeCell ref="S11:Y11"/>
    <mergeCell ref="H46:J46"/>
    <mergeCell ref="G2:T4"/>
    <mergeCell ref="G5:H5"/>
    <mergeCell ref="C29:G29"/>
    <mergeCell ref="H29:J29"/>
    <mergeCell ref="K29:P29"/>
    <mergeCell ref="B11:G11"/>
    <mergeCell ref="B17:H17"/>
    <mergeCell ref="B12:G12"/>
    <mergeCell ref="K33:P33"/>
    <mergeCell ref="C34:G34"/>
    <mergeCell ref="H34:J34"/>
    <mergeCell ref="K34:P34"/>
    <mergeCell ref="C35:G35"/>
    <mergeCell ref="H35:J35"/>
    <mergeCell ref="K35:P35"/>
    <mergeCell ref="C40:G40"/>
    <mergeCell ref="H40:J40"/>
    <mergeCell ref="H30:J30"/>
    <mergeCell ref="K30:P30"/>
    <mergeCell ref="A7:F7"/>
    <mergeCell ref="G7:Z7"/>
    <mergeCell ref="H10:M10"/>
    <mergeCell ref="I5:K5"/>
    <mergeCell ref="I6:K6"/>
    <mergeCell ref="L5:O5"/>
    <mergeCell ref="P5:T5"/>
    <mergeCell ref="L6:O6"/>
    <mergeCell ref="H28:J28"/>
    <mergeCell ref="K28:P28"/>
    <mergeCell ref="A1:F6"/>
    <mergeCell ref="G1:T1"/>
    <mergeCell ref="B10:G10"/>
    <mergeCell ref="S10:Y10"/>
    <mergeCell ref="N10:R10"/>
    <mergeCell ref="N12:R12"/>
    <mergeCell ref="H12:M12"/>
    <mergeCell ref="H11:M11"/>
    <mergeCell ref="N11:R11"/>
    <mergeCell ref="P6:T6"/>
    <mergeCell ref="U1:Z6"/>
    <mergeCell ref="K25:P25"/>
    <mergeCell ref="V58:Y59"/>
    <mergeCell ref="I18:J18"/>
    <mergeCell ref="H25:J25"/>
    <mergeCell ref="C25:G25"/>
    <mergeCell ref="H24:J24"/>
    <mergeCell ref="H23:J23"/>
    <mergeCell ref="B18:H18"/>
    <mergeCell ref="A57:Q60"/>
    <mergeCell ref="R57:T60"/>
    <mergeCell ref="K26:P26"/>
    <mergeCell ref="C27:G27"/>
    <mergeCell ref="H27:J27"/>
    <mergeCell ref="K27:P27"/>
    <mergeCell ref="B23:B24"/>
    <mergeCell ref="C23:G24"/>
    <mergeCell ref="J21:P21"/>
    <mergeCell ref="C46:G46"/>
    <mergeCell ref="B48:G48"/>
    <mergeCell ref="B49:G49"/>
    <mergeCell ref="B47:G47"/>
    <mergeCell ref="C26:G26"/>
    <mergeCell ref="H26:J26"/>
    <mergeCell ref="C28:G28"/>
    <mergeCell ref="C30:G30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workbookViewId="0">
      <selection activeCell="U61" sqref="U61:Z68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757"/>
      <c r="B1" s="758"/>
      <c r="C1" s="758"/>
      <c r="D1" s="758"/>
      <c r="E1" s="758"/>
      <c r="F1" s="759"/>
      <c r="G1" s="766" t="s">
        <v>0</v>
      </c>
      <c r="H1" s="767"/>
      <c r="I1" s="767"/>
      <c r="J1" s="767"/>
      <c r="K1" s="767"/>
      <c r="L1" s="767"/>
      <c r="M1" s="767"/>
      <c r="N1" s="767"/>
      <c r="O1" s="767"/>
      <c r="P1" s="767"/>
      <c r="Q1" s="767"/>
      <c r="R1" s="767"/>
      <c r="S1" s="767"/>
      <c r="T1" s="768"/>
      <c r="U1" s="564" t="s">
        <v>51</v>
      </c>
      <c r="V1" s="565"/>
      <c r="W1" s="565"/>
      <c r="X1" s="565"/>
      <c r="Y1" s="565"/>
      <c r="Z1" s="566"/>
    </row>
    <row r="2" spans="1:26" ht="12.75" customHeight="1" x14ac:dyDescent="0.25">
      <c r="A2" s="760"/>
      <c r="B2" s="761"/>
      <c r="C2" s="761"/>
      <c r="D2" s="761"/>
      <c r="E2" s="761"/>
      <c r="F2" s="762"/>
      <c r="G2" s="770" t="s">
        <v>1</v>
      </c>
      <c r="H2" s="771"/>
      <c r="I2" s="771"/>
      <c r="J2" s="771"/>
      <c r="K2" s="771"/>
      <c r="L2" s="771"/>
      <c r="M2" s="771"/>
      <c r="N2" s="771"/>
      <c r="O2" s="771"/>
      <c r="P2" s="771"/>
      <c r="Q2" s="771"/>
      <c r="R2" s="771"/>
      <c r="S2" s="771"/>
      <c r="T2" s="772"/>
      <c r="U2" s="567"/>
      <c r="V2" s="568"/>
      <c r="W2" s="568"/>
      <c r="X2" s="568"/>
      <c r="Y2" s="568"/>
      <c r="Z2" s="569"/>
    </row>
    <row r="3" spans="1:26" ht="12.75" customHeight="1" x14ac:dyDescent="0.25">
      <c r="A3" s="760"/>
      <c r="B3" s="761"/>
      <c r="C3" s="761"/>
      <c r="D3" s="761"/>
      <c r="E3" s="761"/>
      <c r="F3" s="762"/>
      <c r="G3" s="770"/>
      <c r="H3" s="771"/>
      <c r="I3" s="771"/>
      <c r="J3" s="771"/>
      <c r="K3" s="771"/>
      <c r="L3" s="771"/>
      <c r="M3" s="771"/>
      <c r="N3" s="771"/>
      <c r="O3" s="771"/>
      <c r="P3" s="771"/>
      <c r="Q3" s="771"/>
      <c r="R3" s="771"/>
      <c r="S3" s="771"/>
      <c r="T3" s="772"/>
      <c r="U3" s="567"/>
      <c r="V3" s="568"/>
      <c r="W3" s="568"/>
      <c r="X3" s="568"/>
      <c r="Y3" s="568"/>
      <c r="Z3" s="569"/>
    </row>
    <row r="4" spans="1:26" ht="12.75" customHeight="1" x14ac:dyDescent="0.25">
      <c r="A4" s="760"/>
      <c r="B4" s="761"/>
      <c r="C4" s="761"/>
      <c r="D4" s="761"/>
      <c r="E4" s="761"/>
      <c r="F4" s="762"/>
      <c r="G4" s="770"/>
      <c r="H4" s="771"/>
      <c r="I4" s="771"/>
      <c r="J4" s="771"/>
      <c r="K4" s="771"/>
      <c r="L4" s="771"/>
      <c r="M4" s="771"/>
      <c r="N4" s="771"/>
      <c r="O4" s="771"/>
      <c r="P4" s="771"/>
      <c r="Q4" s="771"/>
      <c r="R4" s="771"/>
      <c r="S4" s="771"/>
      <c r="T4" s="772"/>
      <c r="U4" s="567"/>
      <c r="V4" s="568"/>
      <c r="W4" s="568"/>
      <c r="X4" s="568"/>
      <c r="Y4" s="568"/>
      <c r="Z4" s="569"/>
    </row>
    <row r="5" spans="1:26" ht="12.75" customHeight="1" x14ac:dyDescent="0.25">
      <c r="A5" s="760"/>
      <c r="B5" s="761"/>
      <c r="C5" s="761"/>
      <c r="D5" s="761"/>
      <c r="E5" s="761"/>
      <c r="F5" s="762"/>
      <c r="G5" s="773" t="s">
        <v>2</v>
      </c>
      <c r="H5" s="774"/>
      <c r="I5" s="777">
        <v>1</v>
      </c>
      <c r="J5" s="777"/>
      <c r="K5" s="778"/>
      <c r="L5" s="746" t="s">
        <v>3</v>
      </c>
      <c r="M5" s="747"/>
      <c r="N5" s="747"/>
      <c r="O5" s="748"/>
      <c r="P5" s="749" t="s">
        <v>4</v>
      </c>
      <c r="Q5" s="750"/>
      <c r="R5" s="750"/>
      <c r="S5" s="750"/>
      <c r="T5" s="751"/>
      <c r="U5" s="567"/>
      <c r="V5" s="568"/>
      <c r="W5" s="568"/>
      <c r="X5" s="568"/>
      <c r="Y5" s="568"/>
      <c r="Z5" s="569"/>
    </row>
    <row r="6" spans="1:26" ht="12.75" customHeight="1" x14ac:dyDescent="0.25">
      <c r="A6" s="763"/>
      <c r="B6" s="764"/>
      <c r="C6" s="764"/>
      <c r="D6" s="764"/>
      <c r="E6" s="764"/>
      <c r="F6" s="765"/>
      <c r="G6" s="2"/>
      <c r="H6" s="3"/>
      <c r="I6" s="752" t="s">
        <v>5</v>
      </c>
      <c r="J6" s="752"/>
      <c r="K6" s="752"/>
      <c r="L6" s="752" t="s">
        <v>6</v>
      </c>
      <c r="M6" s="752"/>
      <c r="N6" s="752"/>
      <c r="O6" s="752"/>
      <c r="P6" s="752" t="s">
        <v>7</v>
      </c>
      <c r="Q6" s="752"/>
      <c r="R6" s="752"/>
      <c r="S6" s="752"/>
      <c r="T6" s="753"/>
      <c r="U6" s="570"/>
      <c r="V6" s="571"/>
      <c r="W6" s="571"/>
      <c r="X6" s="571"/>
      <c r="Y6" s="571"/>
      <c r="Z6" s="572"/>
    </row>
    <row r="7" spans="1:26" ht="36.6" customHeight="1" x14ac:dyDescent="0.25">
      <c r="A7" s="775" t="s">
        <v>8</v>
      </c>
      <c r="B7" s="775"/>
      <c r="C7" s="775"/>
      <c r="D7" s="775"/>
      <c r="E7" s="775"/>
      <c r="F7" s="775"/>
      <c r="G7" s="776" t="s">
        <v>9</v>
      </c>
      <c r="H7" s="776"/>
      <c r="I7" s="776"/>
      <c r="J7" s="776"/>
      <c r="K7" s="776"/>
      <c r="L7" s="776"/>
      <c r="M7" s="776"/>
      <c r="N7" s="776"/>
      <c r="O7" s="776"/>
      <c r="P7" s="776"/>
      <c r="Q7" s="776"/>
      <c r="R7" s="776"/>
      <c r="S7" s="776"/>
      <c r="T7" s="776"/>
      <c r="U7" s="776"/>
      <c r="V7" s="776"/>
      <c r="W7" s="776"/>
      <c r="X7" s="776"/>
      <c r="Y7" s="776"/>
      <c r="Z7" s="776"/>
    </row>
    <row r="8" spans="1:26" ht="15.9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738" t="s">
        <v>12</v>
      </c>
      <c r="C10" s="738"/>
      <c r="D10" s="738"/>
      <c r="E10" s="738"/>
      <c r="F10" s="738"/>
      <c r="G10" s="738"/>
      <c r="H10" s="739" t="s">
        <v>13</v>
      </c>
      <c r="I10" s="739"/>
      <c r="J10" s="739"/>
      <c r="K10" s="739"/>
      <c r="L10" s="739"/>
      <c r="M10" s="739"/>
      <c r="N10" s="738" t="s">
        <v>14</v>
      </c>
      <c r="O10" s="738"/>
      <c r="P10" s="738"/>
      <c r="Q10" s="738"/>
      <c r="R10" s="738"/>
      <c r="S10" s="769" t="s">
        <v>15</v>
      </c>
      <c r="T10" s="769"/>
      <c r="U10" s="769"/>
      <c r="V10" s="769"/>
      <c r="W10" s="769"/>
      <c r="X10" s="769"/>
      <c r="Y10" s="769"/>
      <c r="Z10" s="12"/>
    </row>
    <row r="11" spans="1:26" ht="15.9" customHeight="1" x14ac:dyDescent="0.25">
      <c r="A11" s="9"/>
      <c r="B11" s="738" t="s">
        <v>16</v>
      </c>
      <c r="C11" s="738"/>
      <c r="D11" s="738"/>
      <c r="E11" s="738"/>
      <c r="F11" s="738"/>
      <c r="G11" s="738"/>
      <c r="H11" s="739" t="s">
        <v>4</v>
      </c>
      <c r="I11" s="739"/>
      <c r="J11" s="739"/>
      <c r="K11" s="739"/>
      <c r="L11" s="739"/>
      <c r="M11" s="739"/>
      <c r="N11" s="738" t="s">
        <v>17</v>
      </c>
      <c r="O11" s="738"/>
      <c r="P11" s="738"/>
      <c r="Q11" s="738"/>
      <c r="R11" s="738"/>
      <c r="S11" s="769" t="s">
        <v>18</v>
      </c>
      <c r="T11" s="769"/>
      <c r="U11" s="769"/>
      <c r="V11" s="769"/>
      <c r="W11" s="769"/>
      <c r="X11" s="769"/>
      <c r="Y11" s="769"/>
      <c r="Z11" s="12"/>
    </row>
    <row r="12" spans="1:26" ht="15.9" customHeight="1" x14ac:dyDescent="0.25">
      <c r="A12" s="9"/>
      <c r="B12" s="738" t="s">
        <v>19</v>
      </c>
      <c r="C12" s="738"/>
      <c r="D12" s="738"/>
      <c r="E12" s="738"/>
      <c r="F12" s="738"/>
      <c r="G12" s="738"/>
      <c r="H12" s="739" t="s">
        <v>20</v>
      </c>
      <c r="I12" s="739"/>
      <c r="J12" s="739"/>
      <c r="K12" s="739"/>
      <c r="L12" s="739"/>
      <c r="M12" s="739"/>
      <c r="N12" s="738" t="s">
        <v>21</v>
      </c>
      <c r="O12" s="738"/>
      <c r="P12" s="738"/>
      <c r="Q12" s="738"/>
      <c r="R12" s="738"/>
      <c r="S12" s="769" t="s">
        <v>22</v>
      </c>
      <c r="T12" s="769"/>
      <c r="U12" s="769"/>
      <c r="V12" s="769"/>
      <c r="W12" s="769"/>
      <c r="X12" s="769"/>
      <c r="Y12" s="769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23</v>
      </c>
      <c r="B15" s="21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709" t="s">
        <v>25</v>
      </c>
      <c r="C17" s="709"/>
      <c r="D17" s="709"/>
      <c r="E17" s="709"/>
      <c r="F17" s="709"/>
      <c r="G17" s="709"/>
      <c r="H17" s="709"/>
      <c r="I17" s="811"/>
      <c r="J17" s="811"/>
      <c r="K17" s="811"/>
      <c r="L17" s="811"/>
      <c r="M17" s="811"/>
      <c r="N17" s="811"/>
      <c r="O17" s="811"/>
      <c r="P17" s="811"/>
      <c r="Q17" s="811"/>
      <c r="R17" s="811"/>
      <c r="S17" s="811"/>
      <c r="T17" s="811"/>
      <c r="U17" s="811"/>
      <c r="V17" s="811"/>
      <c r="W17" s="811"/>
      <c r="X17" s="811"/>
      <c r="Y17" s="811"/>
      <c r="Z17" s="28"/>
    </row>
    <row r="18" spans="1:26" s="17" customFormat="1" ht="15" customHeight="1" x14ac:dyDescent="0.25">
      <c r="A18" s="24"/>
      <c r="B18" s="709" t="s">
        <v>26</v>
      </c>
      <c r="C18" s="709"/>
      <c r="D18" s="709"/>
      <c r="E18" s="709"/>
      <c r="F18" s="709"/>
      <c r="G18" s="709"/>
      <c r="H18" s="709"/>
      <c r="I18" s="696" t="s">
        <v>27</v>
      </c>
      <c r="J18" s="696"/>
      <c r="K18" s="27"/>
      <c r="L18" s="27" t="s">
        <v>28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29</v>
      </c>
      <c r="B21" s="38" t="s">
        <v>30</v>
      </c>
      <c r="C21" s="33"/>
      <c r="D21" s="34"/>
      <c r="E21" s="34"/>
      <c r="F21" s="34"/>
      <c r="G21" s="34"/>
      <c r="H21" s="33"/>
      <c r="I21" s="33"/>
      <c r="J21" s="716" t="s">
        <v>31</v>
      </c>
      <c r="K21" s="716"/>
      <c r="L21" s="716"/>
      <c r="M21" s="716"/>
      <c r="N21" s="716"/>
      <c r="O21" s="716"/>
      <c r="P21" s="716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710" t="s">
        <v>32</v>
      </c>
      <c r="C23" s="712" t="s">
        <v>33</v>
      </c>
      <c r="D23" s="712"/>
      <c r="E23" s="712"/>
      <c r="F23" s="712"/>
      <c r="G23" s="713"/>
      <c r="H23" s="706" t="s">
        <v>34</v>
      </c>
      <c r="I23" s="707"/>
      <c r="J23" s="708"/>
      <c r="K23" s="712" t="s">
        <v>35</v>
      </c>
      <c r="L23" s="712"/>
      <c r="M23" s="712"/>
      <c r="N23" s="712"/>
      <c r="O23" s="712"/>
      <c r="P23" s="713"/>
      <c r="Z23" s="11"/>
    </row>
    <row r="24" spans="1:26" ht="15.75" customHeight="1" x14ac:dyDescent="0.25">
      <c r="A24" s="9"/>
      <c r="B24" s="711"/>
      <c r="C24" s="714"/>
      <c r="D24" s="714"/>
      <c r="E24" s="714"/>
      <c r="F24" s="714"/>
      <c r="G24" s="715"/>
      <c r="H24" s="703" t="s">
        <v>36</v>
      </c>
      <c r="I24" s="704"/>
      <c r="J24" s="705"/>
      <c r="K24" s="714"/>
      <c r="L24" s="714"/>
      <c r="M24" s="714"/>
      <c r="N24" s="714"/>
      <c r="O24" s="714"/>
      <c r="P24" s="715"/>
      <c r="Z24" s="11"/>
    </row>
    <row r="25" spans="1:26" ht="19.5" customHeight="1" x14ac:dyDescent="0.25">
      <c r="A25" s="9"/>
      <c r="B25" s="45">
        <v>1</v>
      </c>
      <c r="C25" s="700"/>
      <c r="D25" s="701"/>
      <c r="E25" s="701"/>
      <c r="F25" s="701"/>
      <c r="G25" s="702"/>
      <c r="H25" s="697">
        <v>38</v>
      </c>
      <c r="I25" s="698"/>
      <c r="J25" s="699"/>
      <c r="K25" s="700"/>
      <c r="L25" s="701"/>
      <c r="M25" s="701"/>
      <c r="N25" s="701"/>
      <c r="O25" s="701"/>
      <c r="P25" s="702"/>
      <c r="Z25" s="11"/>
    </row>
    <row r="26" spans="1:26" ht="19.5" customHeight="1" x14ac:dyDescent="0.25">
      <c r="A26" s="9"/>
      <c r="B26" s="45">
        <v>2</v>
      </c>
      <c r="C26" s="700"/>
      <c r="D26" s="701"/>
      <c r="E26" s="701"/>
      <c r="F26" s="701"/>
      <c r="G26" s="702"/>
      <c r="H26" s="697">
        <v>35</v>
      </c>
      <c r="I26" s="698"/>
      <c r="J26" s="699"/>
      <c r="K26" s="700"/>
      <c r="L26" s="701"/>
      <c r="M26" s="701"/>
      <c r="N26" s="701"/>
      <c r="O26" s="701"/>
      <c r="P26" s="702"/>
      <c r="Z26" s="11"/>
    </row>
    <row r="27" spans="1:26" ht="19.5" customHeight="1" x14ac:dyDescent="0.25">
      <c r="A27" s="9"/>
      <c r="B27" s="45">
        <v>3</v>
      </c>
      <c r="C27" s="700"/>
      <c r="D27" s="701"/>
      <c r="E27" s="701"/>
      <c r="F27" s="701"/>
      <c r="G27" s="702"/>
      <c r="H27" s="697">
        <v>52</v>
      </c>
      <c r="I27" s="698"/>
      <c r="J27" s="699"/>
      <c r="K27" s="700"/>
      <c r="L27" s="701"/>
      <c r="M27" s="701"/>
      <c r="N27" s="701"/>
      <c r="O27" s="701"/>
      <c r="P27" s="702"/>
      <c r="Z27" s="11"/>
    </row>
    <row r="28" spans="1:26" ht="19.5" customHeight="1" x14ac:dyDescent="0.25">
      <c r="A28" s="9"/>
      <c r="B28" s="45">
        <v>4</v>
      </c>
      <c r="C28" s="700"/>
      <c r="D28" s="701"/>
      <c r="E28" s="701"/>
      <c r="F28" s="701"/>
      <c r="G28" s="702"/>
      <c r="H28" s="697">
        <v>59</v>
      </c>
      <c r="I28" s="698"/>
      <c r="J28" s="699"/>
      <c r="K28" s="700"/>
      <c r="L28" s="701"/>
      <c r="M28" s="701"/>
      <c r="N28" s="701"/>
      <c r="O28" s="701"/>
      <c r="P28" s="702"/>
      <c r="Z28" s="11"/>
    </row>
    <row r="29" spans="1:26" ht="19.5" customHeight="1" x14ac:dyDescent="0.25">
      <c r="A29" s="9"/>
      <c r="B29" s="45">
        <v>5</v>
      </c>
      <c r="C29" s="700"/>
      <c r="D29" s="701"/>
      <c r="E29" s="701"/>
      <c r="F29" s="701"/>
      <c r="G29" s="702"/>
      <c r="H29" s="697">
        <v>56</v>
      </c>
      <c r="I29" s="698"/>
      <c r="J29" s="699"/>
      <c r="K29" s="700"/>
      <c r="L29" s="701"/>
      <c r="M29" s="701"/>
      <c r="N29" s="701"/>
      <c r="O29" s="701"/>
      <c r="P29" s="702"/>
      <c r="Z29" s="11"/>
    </row>
    <row r="30" spans="1:26" ht="19.5" customHeight="1" x14ac:dyDescent="0.25">
      <c r="A30" s="9"/>
      <c r="B30" s="45">
        <v>6</v>
      </c>
      <c r="C30" s="700"/>
      <c r="D30" s="701"/>
      <c r="E30" s="701"/>
      <c r="F30" s="701"/>
      <c r="G30" s="702"/>
      <c r="H30" s="697">
        <v>67</v>
      </c>
      <c r="I30" s="698"/>
      <c r="J30" s="699"/>
      <c r="K30" s="700"/>
      <c r="L30" s="701"/>
      <c r="M30" s="701"/>
      <c r="N30" s="701"/>
      <c r="O30" s="701"/>
      <c r="P30" s="702"/>
      <c r="Z30" s="11"/>
    </row>
    <row r="31" spans="1:26" ht="19.5" customHeight="1" x14ac:dyDescent="0.25">
      <c r="A31" s="9"/>
      <c r="B31" s="72"/>
      <c r="C31" s="69"/>
      <c r="D31" s="70"/>
      <c r="E31" s="70"/>
      <c r="F31" s="70"/>
      <c r="G31" s="71"/>
      <c r="H31" s="66"/>
      <c r="I31" s="67"/>
      <c r="J31" s="68"/>
      <c r="K31" s="69"/>
      <c r="L31" s="70"/>
      <c r="M31" s="70"/>
      <c r="N31" s="70"/>
      <c r="O31" s="70"/>
      <c r="P31" s="71"/>
      <c r="Z31" s="11"/>
    </row>
    <row r="32" spans="1:26" ht="19.5" customHeight="1" x14ac:dyDescent="0.25">
      <c r="A32" s="9"/>
      <c r="B32" s="72"/>
      <c r="C32" s="69"/>
      <c r="D32" s="70"/>
      <c r="E32" s="70"/>
      <c r="F32" s="70"/>
      <c r="G32" s="71"/>
      <c r="H32" s="66"/>
      <c r="I32" s="67"/>
      <c r="J32" s="68"/>
      <c r="K32" s="69"/>
      <c r="L32" s="70"/>
      <c r="M32" s="70"/>
      <c r="N32" s="70"/>
      <c r="O32" s="70"/>
      <c r="P32" s="71"/>
      <c r="Z32" s="11"/>
    </row>
    <row r="33" spans="1:26" ht="19.5" customHeight="1" x14ac:dyDescent="0.25">
      <c r="A33" s="9"/>
      <c r="B33" s="72"/>
      <c r="C33" s="69"/>
      <c r="D33" s="70"/>
      <c r="E33" s="70"/>
      <c r="F33" s="70"/>
      <c r="G33" s="71"/>
      <c r="H33" s="66"/>
      <c r="I33" s="67"/>
      <c r="J33" s="68"/>
      <c r="K33" s="69"/>
      <c r="L33" s="70"/>
      <c r="M33" s="70"/>
      <c r="N33" s="70"/>
      <c r="O33" s="70"/>
      <c r="P33" s="71"/>
      <c r="Z33" s="11"/>
    </row>
    <row r="34" spans="1:26" ht="19.5" customHeight="1" x14ac:dyDescent="0.25">
      <c r="A34" s="9"/>
      <c r="B34" s="72"/>
      <c r="C34" s="69"/>
      <c r="D34" s="70"/>
      <c r="E34" s="70"/>
      <c r="F34" s="70"/>
      <c r="G34" s="71"/>
      <c r="H34" s="66"/>
      <c r="I34" s="67"/>
      <c r="J34" s="68"/>
      <c r="K34" s="69"/>
      <c r="L34" s="70"/>
      <c r="M34" s="70"/>
      <c r="N34" s="70"/>
      <c r="O34" s="70"/>
      <c r="P34" s="71"/>
      <c r="Z34" s="11"/>
    </row>
    <row r="35" spans="1:26" ht="19.5" customHeight="1" x14ac:dyDescent="0.25">
      <c r="A35" s="9"/>
      <c r="B35" s="72"/>
      <c r="C35" s="69"/>
      <c r="D35" s="70"/>
      <c r="E35" s="70"/>
      <c r="F35" s="70"/>
      <c r="G35" s="71"/>
      <c r="H35" s="66"/>
      <c r="I35" s="67"/>
      <c r="J35" s="68"/>
      <c r="K35" s="69"/>
      <c r="L35" s="70"/>
      <c r="M35" s="70"/>
      <c r="N35" s="70"/>
      <c r="O35" s="70"/>
      <c r="P35" s="71"/>
      <c r="Z35" s="11"/>
    </row>
    <row r="36" spans="1:26" ht="19.5" customHeight="1" x14ac:dyDescent="0.25">
      <c r="A36" s="9"/>
      <c r="B36" s="72"/>
      <c r="C36" s="69"/>
      <c r="D36" s="70"/>
      <c r="E36" s="70"/>
      <c r="F36" s="70"/>
      <c r="G36" s="71"/>
      <c r="H36" s="66"/>
      <c r="I36" s="67"/>
      <c r="J36" s="68"/>
      <c r="K36" s="69"/>
      <c r="L36" s="70"/>
      <c r="M36" s="70"/>
      <c r="N36" s="70"/>
      <c r="O36" s="70"/>
      <c r="P36" s="71"/>
      <c r="Z36" s="11"/>
    </row>
    <row r="37" spans="1:26" ht="19.5" customHeight="1" x14ac:dyDescent="0.25">
      <c r="A37" s="9"/>
      <c r="B37" s="72"/>
      <c r="C37" s="69"/>
      <c r="D37" s="70"/>
      <c r="E37" s="70"/>
      <c r="F37" s="70"/>
      <c r="G37" s="71"/>
      <c r="H37" s="66"/>
      <c r="I37" s="67"/>
      <c r="J37" s="68"/>
      <c r="K37" s="69"/>
      <c r="L37" s="70"/>
      <c r="M37" s="70"/>
      <c r="N37" s="70"/>
      <c r="O37" s="70"/>
      <c r="P37" s="71"/>
      <c r="Z37" s="11"/>
    </row>
    <row r="38" spans="1:26" ht="19.5" customHeight="1" x14ac:dyDescent="0.25">
      <c r="A38" s="9"/>
      <c r="B38" s="72"/>
      <c r="C38" s="69"/>
      <c r="D38" s="70"/>
      <c r="E38" s="70"/>
      <c r="F38" s="70"/>
      <c r="G38" s="71"/>
      <c r="H38" s="66"/>
      <c r="I38" s="67"/>
      <c r="J38" s="68"/>
      <c r="K38" s="69"/>
      <c r="L38" s="70"/>
      <c r="M38" s="70"/>
      <c r="N38" s="70"/>
      <c r="O38" s="70"/>
      <c r="P38" s="71"/>
      <c r="Z38" s="11"/>
    </row>
    <row r="39" spans="1:26" ht="19.5" customHeight="1" x14ac:dyDescent="0.25">
      <c r="A39" s="9"/>
      <c r="B39" s="72"/>
      <c r="C39" s="69"/>
      <c r="D39" s="70"/>
      <c r="E39" s="70"/>
      <c r="F39" s="70"/>
      <c r="G39" s="71"/>
      <c r="H39" s="66"/>
      <c r="I39" s="67"/>
      <c r="J39" s="68"/>
      <c r="K39" s="69"/>
      <c r="L39" s="70"/>
      <c r="M39" s="70"/>
      <c r="N39" s="70"/>
      <c r="O39" s="70"/>
      <c r="P39" s="71"/>
      <c r="Z39" s="11"/>
    </row>
    <row r="40" spans="1:26" ht="19.5" customHeight="1" x14ac:dyDescent="0.25">
      <c r="A40" s="9"/>
      <c r="B40" s="72"/>
      <c r="C40" s="69"/>
      <c r="D40" s="70"/>
      <c r="E40" s="70"/>
      <c r="F40" s="70"/>
      <c r="G40" s="71"/>
      <c r="H40" s="66"/>
      <c r="I40" s="67"/>
      <c r="J40" s="68"/>
      <c r="K40" s="69"/>
      <c r="L40" s="70"/>
      <c r="M40" s="70"/>
      <c r="N40" s="70"/>
      <c r="O40" s="70"/>
      <c r="P40" s="71"/>
      <c r="Z40" s="11"/>
    </row>
    <row r="41" spans="1:26" ht="19.5" customHeight="1" x14ac:dyDescent="0.25">
      <c r="A41" s="9"/>
      <c r="B41" s="72"/>
      <c r="C41" s="69"/>
      <c r="D41" s="70"/>
      <c r="E41" s="70"/>
      <c r="F41" s="70"/>
      <c r="G41" s="71"/>
      <c r="H41" s="66"/>
      <c r="I41" s="67"/>
      <c r="J41" s="68"/>
      <c r="K41" s="69"/>
      <c r="L41" s="70"/>
      <c r="M41" s="70"/>
      <c r="N41" s="70"/>
      <c r="O41" s="70"/>
      <c r="P41" s="71"/>
      <c r="Z41" s="11"/>
    </row>
    <row r="42" spans="1:26" ht="19.5" customHeight="1" x14ac:dyDescent="0.25">
      <c r="A42" s="9"/>
      <c r="B42" s="72"/>
      <c r="C42" s="69"/>
      <c r="D42" s="70"/>
      <c r="E42" s="70"/>
      <c r="F42" s="70"/>
      <c r="G42" s="71"/>
      <c r="H42" s="66"/>
      <c r="I42" s="67"/>
      <c r="J42" s="68"/>
      <c r="K42" s="69"/>
      <c r="L42" s="70"/>
      <c r="M42" s="70"/>
      <c r="N42" s="70"/>
      <c r="O42" s="70"/>
      <c r="P42" s="71"/>
      <c r="Z42" s="11"/>
    </row>
    <row r="43" spans="1:26" ht="19.5" customHeight="1" x14ac:dyDescent="0.25">
      <c r="A43" s="9"/>
      <c r="B43" s="72"/>
      <c r="C43" s="69"/>
      <c r="D43" s="70"/>
      <c r="E43" s="70"/>
      <c r="F43" s="70"/>
      <c r="G43" s="71"/>
      <c r="H43" s="66"/>
      <c r="I43" s="67"/>
      <c r="J43" s="68"/>
      <c r="K43" s="69"/>
      <c r="L43" s="70"/>
      <c r="M43" s="70"/>
      <c r="N43" s="70"/>
      <c r="O43" s="70"/>
      <c r="P43" s="71"/>
      <c r="Z43" s="11"/>
    </row>
    <row r="44" spans="1:26" ht="19.5" customHeight="1" x14ac:dyDescent="0.25">
      <c r="A44" s="9"/>
      <c r="B44" s="72"/>
      <c r="C44" s="69"/>
      <c r="D44" s="70"/>
      <c r="E44" s="70"/>
      <c r="F44" s="70"/>
      <c r="G44" s="71"/>
      <c r="H44" s="66"/>
      <c r="I44" s="67"/>
      <c r="J44" s="68"/>
      <c r="K44" s="69"/>
      <c r="L44" s="70"/>
      <c r="M44" s="70"/>
      <c r="N44" s="70"/>
      <c r="O44" s="70"/>
      <c r="P44" s="71"/>
      <c r="Z44" s="11"/>
    </row>
    <row r="45" spans="1:26" ht="19.5" customHeight="1" x14ac:dyDescent="0.25">
      <c r="A45" s="9"/>
      <c r="B45" s="72"/>
      <c r="C45" s="69"/>
      <c r="D45" s="70"/>
      <c r="E45" s="70"/>
      <c r="F45" s="70"/>
      <c r="G45" s="71"/>
      <c r="H45" s="66"/>
      <c r="I45" s="67"/>
      <c r="J45" s="68"/>
      <c r="K45" s="69"/>
      <c r="L45" s="70"/>
      <c r="M45" s="70"/>
      <c r="N45" s="70"/>
      <c r="O45" s="70"/>
      <c r="P45" s="71"/>
      <c r="Z45" s="11"/>
    </row>
    <row r="46" spans="1:26" ht="19.5" customHeight="1" x14ac:dyDescent="0.25">
      <c r="A46" s="9"/>
      <c r="B46" s="72"/>
      <c r="C46" s="69"/>
      <c r="D46" s="70"/>
      <c r="E46" s="70"/>
      <c r="F46" s="70"/>
      <c r="G46" s="71"/>
      <c r="H46" s="66"/>
      <c r="I46" s="67"/>
      <c r="J46" s="68"/>
      <c r="K46" s="69"/>
      <c r="L46" s="70"/>
      <c r="M46" s="70"/>
      <c r="N46" s="70"/>
      <c r="O46" s="70"/>
      <c r="P46" s="71"/>
      <c r="Z46" s="11"/>
    </row>
    <row r="47" spans="1:26" ht="19.5" customHeight="1" x14ac:dyDescent="0.25">
      <c r="A47" s="9"/>
      <c r="B47" s="72"/>
      <c r="C47" s="69"/>
      <c r="D47" s="70"/>
      <c r="E47" s="70"/>
      <c r="F47" s="70"/>
      <c r="G47" s="71"/>
      <c r="H47" s="66"/>
      <c r="I47" s="67"/>
      <c r="J47" s="68"/>
      <c r="K47" s="69"/>
      <c r="L47" s="70"/>
      <c r="M47" s="70"/>
      <c r="N47" s="70"/>
      <c r="O47" s="70"/>
      <c r="P47" s="71"/>
      <c r="Z47" s="11"/>
    </row>
    <row r="48" spans="1:26" ht="19.5" customHeight="1" x14ac:dyDescent="0.25">
      <c r="A48" s="9"/>
      <c r="B48" s="72"/>
      <c r="C48" s="69"/>
      <c r="D48" s="70"/>
      <c r="E48" s="70"/>
      <c r="F48" s="70"/>
      <c r="G48" s="71"/>
      <c r="H48" s="66"/>
      <c r="I48" s="67"/>
      <c r="J48" s="68"/>
      <c r="K48" s="69"/>
      <c r="L48" s="70"/>
      <c r="M48" s="70"/>
      <c r="N48" s="70"/>
      <c r="O48" s="70"/>
      <c r="P48" s="71"/>
      <c r="Z48" s="11"/>
    </row>
    <row r="49" spans="1:26" ht="19.5" customHeight="1" x14ac:dyDescent="0.25">
      <c r="A49" s="9"/>
      <c r="B49" s="72"/>
      <c r="C49" s="69"/>
      <c r="D49" s="70"/>
      <c r="E49" s="70"/>
      <c r="F49" s="70"/>
      <c r="G49" s="71"/>
      <c r="H49" s="66"/>
      <c r="I49" s="67"/>
      <c r="J49" s="68"/>
      <c r="K49" s="69"/>
      <c r="L49" s="70"/>
      <c r="M49" s="70"/>
      <c r="N49" s="70"/>
      <c r="O49" s="70"/>
      <c r="P49" s="71"/>
      <c r="Z49" s="11"/>
    </row>
    <row r="50" spans="1:26" ht="19.5" customHeight="1" x14ac:dyDescent="0.25">
      <c r="A50" s="9"/>
      <c r="B50" s="72"/>
      <c r="C50" s="69"/>
      <c r="D50" s="70"/>
      <c r="E50" s="70"/>
      <c r="F50" s="70"/>
      <c r="G50" s="71"/>
      <c r="H50" s="66"/>
      <c r="I50" s="67"/>
      <c r="J50" s="68"/>
      <c r="K50" s="69"/>
      <c r="L50" s="70"/>
      <c r="M50" s="70"/>
      <c r="N50" s="70"/>
      <c r="O50" s="70"/>
      <c r="P50" s="71"/>
      <c r="Z50" s="11"/>
    </row>
    <row r="51" spans="1:26" ht="19.5" customHeight="1" x14ac:dyDescent="0.25">
      <c r="A51" s="9"/>
      <c r="B51" s="72"/>
      <c r="C51" s="69"/>
      <c r="D51" s="70"/>
      <c r="E51" s="70"/>
      <c r="F51" s="70"/>
      <c r="G51" s="71"/>
      <c r="H51" s="66"/>
      <c r="I51" s="67"/>
      <c r="J51" s="68"/>
      <c r="K51" s="69"/>
      <c r="L51" s="70"/>
      <c r="M51" s="70"/>
      <c r="N51" s="70"/>
      <c r="O51" s="70"/>
      <c r="P51" s="71"/>
      <c r="Z51" s="11"/>
    </row>
    <row r="52" spans="1:26" ht="19.5" customHeight="1" x14ac:dyDescent="0.25">
      <c r="A52" s="9"/>
      <c r="B52" s="72"/>
      <c r="C52" s="69"/>
      <c r="D52" s="70"/>
      <c r="E52" s="70"/>
      <c r="F52" s="70"/>
      <c r="G52" s="71"/>
      <c r="H52" s="66"/>
      <c r="I52" s="67"/>
      <c r="J52" s="68"/>
      <c r="K52" s="69"/>
      <c r="L52" s="70"/>
      <c r="M52" s="70"/>
      <c r="N52" s="70"/>
      <c r="O52" s="70"/>
      <c r="P52" s="71"/>
      <c r="Z52" s="11"/>
    </row>
    <row r="53" spans="1:26" ht="19.5" customHeight="1" x14ac:dyDescent="0.25">
      <c r="A53" s="9"/>
      <c r="B53" s="72"/>
      <c r="C53" s="69"/>
      <c r="D53" s="70"/>
      <c r="E53" s="70"/>
      <c r="F53" s="70"/>
      <c r="G53" s="71"/>
      <c r="H53" s="66"/>
      <c r="I53" s="67"/>
      <c r="J53" s="68"/>
      <c r="K53" s="69"/>
      <c r="L53" s="70"/>
      <c r="M53" s="70"/>
      <c r="N53" s="70"/>
      <c r="O53" s="70"/>
      <c r="P53" s="71"/>
      <c r="Z53" s="11"/>
    </row>
    <row r="54" spans="1:26" ht="19.5" customHeight="1" x14ac:dyDescent="0.25">
      <c r="A54" s="9"/>
      <c r="B54" s="46"/>
      <c r="C54" s="717"/>
      <c r="D54" s="718"/>
      <c r="E54" s="718"/>
      <c r="F54" s="718"/>
      <c r="G54" s="719"/>
      <c r="H54" s="812"/>
      <c r="I54" s="813"/>
      <c r="J54" s="814"/>
      <c r="K54" s="717"/>
      <c r="L54" s="718"/>
      <c r="M54" s="718"/>
      <c r="N54" s="718"/>
      <c r="O54" s="718"/>
      <c r="P54" s="719"/>
      <c r="Z54" s="11"/>
    </row>
    <row r="55" spans="1:26" ht="15.75" customHeight="1" x14ac:dyDescent="0.25">
      <c r="A55" s="9"/>
      <c r="B55" s="743" t="s">
        <v>37</v>
      </c>
      <c r="C55" s="744"/>
      <c r="D55" s="744"/>
      <c r="E55" s="744"/>
      <c r="F55" s="744"/>
      <c r="G55" s="745"/>
      <c r="H55" s="818">
        <f>AVERAGE(H25:J54)</f>
        <v>51.166666666666664</v>
      </c>
      <c r="I55" s="819"/>
      <c r="J55" s="820"/>
      <c r="K55" s="805"/>
      <c r="L55" s="806"/>
      <c r="M55" s="800" t="s">
        <v>38</v>
      </c>
      <c r="N55" s="800"/>
      <c r="O55" s="800"/>
      <c r="P55" s="801"/>
      <c r="Z55" s="11"/>
    </row>
    <row r="56" spans="1:26" ht="15.75" customHeight="1" x14ac:dyDescent="0.25">
      <c r="A56" s="9"/>
      <c r="B56" s="720" t="s">
        <v>39</v>
      </c>
      <c r="C56" s="721"/>
      <c r="D56" s="721"/>
      <c r="E56" s="721"/>
      <c r="F56" s="721"/>
      <c r="G56" s="722"/>
      <c r="H56" s="754">
        <f>IF(COUNTIF(H25:J54,"*&lt;20*"),"&lt;20",MIN(H25:J54))</f>
        <v>35</v>
      </c>
      <c r="I56" s="755"/>
      <c r="J56" s="756"/>
      <c r="K56" s="807"/>
      <c r="L56" s="808"/>
      <c r="M56" s="695"/>
      <c r="N56" s="695"/>
      <c r="O56" s="695"/>
      <c r="P56" s="802"/>
      <c r="Z56" s="11"/>
    </row>
    <row r="57" spans="1:26" ht="15.75" customHeight="1" x14ac:dyDescent="0.25">
      <c r="A57" s="9"/>
      <c r="B57" s="723" t="s">
        <v>40</v>
      </c>
      <c r="C57" s="724"/>
      <c r="D57" s="724"/>
      <c r="E57" s="724"/>
      <c r="F57" s="724"/>
      <c r="G57" s="725"/>
      <c r="H57" s="815">
        <f>IF(COUNTIF(H25:J54,"*&gt;250*"),"&gt;250",MAX(H25:J54))</f>
        <v>67</v>
      </c>
      <c r="I57" s="816"/>
      <c r="J57" s="817"/>
      <c r="K57" s="809"/>
      <c r="L57" s="810"/>
      <c r="M57" s="803"/>
      <c r="N57" s="803"/>
      <c r="O57" s="803"/>
      <c r="P57" s="804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8" t="s">
        <v>41</v>
      </c>
      <c r="B60" s="5" t="s">
        <v>42</v>
      </c>
      <c r="C60" s="49"/>
      <c r="D60" s="49"/>
      <c r="E60" s="49"/>
      <c r="F60" s="50"/>
      <c r="G60" s="50"/>
      <c r="H60" s="50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1"/>
      <c r="V60" s="52"/>
      <c r="W60" s="52"/>
      <c r="X60" s="42"/>
      <c r="Y60" s="42"/>
      <c r="Z60" s="43"/>
    </row>
    <row r="61" spans="1:26" s="17" customFormat="1" ht="28.5" customHeight="1" x14ac:dyDescent="0.25">
      <c r="A61" s="740" t="s">
        <v>43</v>
      </c>
      <c r="B61" s="741"/>
      <c r="C61" s="741"/>
      <c r="D61" s="741"/>
      <c r="E61" s="741"/>
      <c r="F61" s="741"/>
      <c r="G61" s="741"/>
      <c r="H61" s="741"/>
      <c r="I61" s="741"/>
      <c r="J61" s="741"/>
      <c r="K61" s="741"/>
      <c r="L61" s="741"/>
      <c r="M61" s="741"/>
      <c r="N61" s="741"/>
      <c r="O61" s="741"/>
      <c r="P61" s="741"/>
      <c r="Q61" s="742"/>
      <c r="R61" s="732" t="s">
        <v>44</v>
      </c>
      <c r="S61" s="733"/>
      <c r="T61" s="734"/>
      <c r="U61" s="779" t="s">
        <v>13</v>
      </c>
      <c r="V61" s="780"/>
      <c r="W61" s="780"/>
      <c r="X61" s="781"/>
      <c r="Y61" s="781"/>
      <c r="Z61" s="782"/>
    </row>
    <row r="62" spans="1:26" s="17" customFormat="1" ht="15.6" customHeight="1" x14ac:dyDescent="0.25">
      <c r="A62" s="783" t="s">
        <v>45</v>
      </c>
      <c r="B62" s="784"/>
      <c r="C62" s="784"/>
      <c r="D62" s="784"/>
      <c r="E62" s="784"/>
      <c r="F62" s="784"/>
      <c r="G62" s="784"/>
      <c r="H62" s="784"/>
      <c r="I62" s="784"/>
      <c r="J62" s="784"/>
      <c r="K62" s="784"/>
      <c r="L62" s="784"/>
      <c r="M62" s="784"/>
      <c r="N62" s="784"/>
      <c r="O62" s="784"/>
      <c r="P62" s="784"/>
      <c r="Q62" s="785"/>
      <c r="R62" s="732" t="s">
        <v>46</v>
      </c>
      <c r="S62" s="733"/>
      <c r="T62" s="734"/>
      <c r="U62" s="789" t="s">
        <v>47</v>
      </c>
      <c r="V62" s="790"/>
      <c r="W62" s="790"/>
      <c r="X62" s="791"/>
      <c r="Y62" s="791"/>
      <c r="Z62" s="792"/>
    </row>
    <row r="63" spans="1:26" s="17" customFormat="1" ht="15.6" customHeight="1" x14ac:dyDescent="0.25">
      <c r="A63" s="786"/>
      <c r="B63" s="787"/>
      <c r="C63" s="787"/>
      <c r="D63" s="787"/>
      <c r="E63" s="787"/>
      <c r="F63" s="787"/>
      <c r="G63" s="787"/>
      <c r="H63" s="787"/>
      <c r="I63" s="787"/>
      <c r="J63" s="787"/>
      <c r="K63" s="787"/>
      <c r="L63" s="787"/>
      <c r="M63" s="787"/>
      <c r="N63" s="787"/>
      <c r="O63" s="787"/>
      <c r="P63" s="787"/>
      <c r="Q63" s="788"/>
      <c r="R63" s="732"/>
      <c r="S63" s="733"/>
      <c r="T63" s="734"/>
      <c r="U63" s="793"/>
      <c r="V63" s="695"/>
      <c r="W63" s="695"/>
      <c r="X63" s="794"/>
      <c r="Y63" s="794"/>
      <c r="Z63" s="795"/>
    </row>
    <row r="64" spans="1:26" s="17" customFormat="1" ht="15.6" customHeight="1" x14ac:dyDescent="0.25">
      <c r="A64" s="55" t="s">
        <v>48</v>
      </c>
      <c r="B64" s="56" t="s">
        <v>49</v>
      </c>
      <c r="C64" s="1"/>
      <c r="D64" s="1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7"/>
      <c r="R64" s="732"/>
      <c r="S64" s="733"/>
      <c r="T64" s="734"/>
      <c r="U64" s="796"/>
      <c r="V64" s="797"/>
      <c r="W64" s="797"/>
      <c r="X64" s="798"/>
      <c r="Y64" s="798"/>
      <c r="Z64" s="799"/>
    </row>
    <row r="65" spans="1:26" s="17" customFormat="1" ht="15.6" customHeight="1" x14ac:dyDescent="0.25">
      <c r="A65" s="726"/>
      <c r="B65" s="727"/>
      <c r="C65" s="727"/>
      <c r="D65" s="727"/>
      <c r="E65" s="727"/>
      <c r="F65" s="727"/>
      <c r="G65" s="727"/>
      <c r="H65" s="727"/>
      <c r="I65" s="727"/>
      <c r="J65" s="727"/>
      <c r="K65" s="727"/>
      <c r="L65" s="727"/>
      <c r="M65" s="727"/>
      <c r="N65" s="727"/>
      <c r="O65" s="727"/>
      <c r="P65" s="727"/>
      <c r="Q65" s="728"/>
      <c r="R65" s="732" t="s">
        <v>50</v>
      </c>
      <c r="S65" s="733"/>
      <c r="T65" s="734"/>
      <c r="U65" s="58"/>
      <c r="V65" s="59"/>
      <c r="W65" s="59"/>
      <c r="X65" s="59"/>
      <c r="Y65" s="59"/>
      <c r="Z65" s="60"/>
    </row>
    <row r="66" spans="1:26" s="17" customFormat="1" ht="15.6" customHeight="1" x14ac:dyDescent="0.25">
      <c r="A66" s="726"/>
      <c r="B66" s="727"/>
      <c r="C66" s="727"/>
      <c r="D66" s="727"/>
      <c r="E66" s="727"/>
      <c r="F66" s="727"/>
      <c r="G66" s="727"/>
      <c r="H66" s="727"/>
      <c r="I66" s="727"/>
      <c r="J66" s="727"/>
      <c r="K66" s="727"/>
      <c r="L66" s="727"/>
      <c r="M66" s="727"/>
      <c r="N66" s="727"/>
      <c r="O66" s="727"/>
      <c r="P66" s="727"/>
      <c r="Q66" s="728"/>
      <c r="R66" s="732"/>
      <c r="S66" s="733"/>
      <c r="T66" s="734"/>
      <c r="U66" s="61"/>
      <c r="V66" s="695"/>
      <c r="W66" s="695"/>
      <c r="X66" s="695"/>
      <c r="Y66" s="695"/>
      <c r="Z66" s="62"/>
    </row>
    <row r="67" spans="1:26" s="17" customFormat="1" ht="15.6" customHeight="1" x14ac:dyDescent="0.25">
      <c r="A67" s="726"/>
      <c r="B67" s="727"/>
      <c r="C67" s="727"/>
      <c r="D67" s="727"/>
      <c r="E67" s="727"/>
      <c r="F67" s="727"/>
      <c r="G67" s="727"/>
      <c r="H67" s="727"/>
      <c r="I67" s="727"/>
      <c r="J67" s="727"/>
      <c r="K67" s="727"/>
      <c r="L67" s="727"/>
      <c r="M67" s="727"/>
      <c r="N67" s="727"/>
      <c r="O67" s="727"/>
      <c r="P67" s="727"/>
      <c r="Q67" s="728"/>
      <c r="R67" s="732"/>
      <c r="S67" s="733"/>
      <c r="T67" s="734"/>
      <c r="U67" s="61"/>
      <c r="V67" s="695"/>
      <c r="W67" s="695"/>
      <c r="X67" s="695"/>
      <c r="Y67" s="695"/>
      <c r="Z67" s="62"/>
    </row>
    <row r="68" spans="1:26" s="17" customFormat="1" ht="15.6" customHeight="1" x14ac:dyDescent="0.25">
      <c r="A68" s="729"/>
      <c r="B68" s="730"/>
      <c r="C68" s="730"/>
      <c r="D68" s="730"/>
      <c r="E68" s="730"/>
      <c r="F68" s="730"/>
      <c r="G68" s="730"/>
      <c r="H68" s="730"/>
      <c r="I68" s="730"/>
      <c r="J68" s="730"/>
      <c r="K68" s="730"/>
      <c r="L68" s="730"/>
      <c r="M68" s="730"/>
      <c r="N68" s="730"/>
      <c r="O68" s="730"/>
      <c r="P68" s="730"/>
      <c r="Q68" s="731"/>
      <c r="R68" s="735"/>
      <c r="S68" s="736"/>
      <c r="T68" s="737"/>
      <c r="U68" s="63"/>
      <c r="V68" s="64"/>
      <c r="W68" s="64"/>
      <c r="X68" s="64"/>
      <c r="Y68" s="64"/>
      <c r="Z68" s="65"/>
    </row>
    <row r="69" spans="1:26" s="17" customFormat="1" ht="15" customHeight="1" x14ac:dyDescent="0.25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54"/>
      <c r="S69" s="54"/>
      <c r="T69" s="54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73">
    <mergeCell ref="U61:Z61"/>
    <mergeCell ref="A62:Q63"/>
    <mergeCell ref="R62:T64"/>
    <mergeCell ref="U62:Z64"/>
    <mergeCell ref="U1:Z6"/>
    <mergeCell ref="K25:P25"/>
    <mergeCell ref="M55:P57"/>
    <mergeCell ref="K55:L57"/>
    <mergeCell ref="S12:Y12"/>
    <mergeCell ref="K23:P24"/>
    <mergeCell ref="I17:Y17"/>
    <mergeCell ref="S11:Y11"/>
    <mergeCell ref="H54:J54"/>
    <mergeCell ref="K54:P54"/>
    <mergeCell ref="H57:J57"/>
    <mergeCell ref="H55:J55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A61:Q61"/>
    <mergeCell ref="R61:T61"/>
    <mergeCell ref="B55:G55"/>
    <mergeCell ref="C26:G26"/>
    <mergeCell ref="L5:O5"/>
    <mergeCell ref="P5:T5"/>
    <mergeCell ref="L6:O6"/>
    <mergeCell ref="P6:T6"/>
    <mergeCell ref="H11:M11"/>
    <mergeCell ref="N11:R11"/>
    <mergeCell ref="H56:J56"/>
    <mergeCell ref="B17:H17"/>
    <mergeCell ref="B12:G12"/>
    <mergeCell ref="B11:G11"/>
    <mergeCell ref="A1:F6"/>
    <mergeCell ref="G1:T1"/>
    <mergeCell ref="N12:R12"/>
    <mergeCell ref="H12:M12"/>
    <mergeCell ref="C30:G30"/>
    <mergeCell ref="H30:J30"/>
    <mergeCell ref="K30:P30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54:G54"/>
    <mergeCell ref="B56:G56"/>
    <mergeCell ref="B57:G57"/>
    <mergeCell ref="H26:J26"/>
    <mergeCell ref="A65:Q68"/>
    <mergeCell ref="R65:T68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11</vt:i4>
      </vt:variant>
    </vt:vector>
  </HeadingPairs>
  <TitlesOfParts>
    <vt:vector size="22" baseType="lpstr">
      <vt:lpstr>29012 Keolis</vt:lpstr>
      <vt:lpstr>130125 Keolis UTS</vt:lpstr>
      <vt:lpstr>130125 repere car</vt:lpstr>
      <vt:lpstr>170924 Numerobis</vt:lpstr>
      <vt:lpstr>200824 - CdR 23 All. Mens</vt:lpstr>
      <vt:lpstr>050724 P. Marcellin</vt:lpstr>
      <vt:lpstr>010724 P. Marcellin</vt:lpstr>
      <vt:lpstr>270524 (2)</vt:lpstr>
      <vt:lpstr>270524</vt:lpstr>
      <vt:lpstr>060524</vt:lpstr>
      <vt:lpstr>240124 CdR Allée Mens</vt:lpstr>
      <vt:lpstr>'010724 P. Marcellin'!Zone_d_impression</vt:lpstr>
      <vt:lpstr>'050724 P. Marcellin'!Zone_d_impression</vt:lpstr>
      <vt:lpstr>'060524'!Zone_d_impression</vt:lpstr>
      <vt:lpstr>'130125 Keolis UTS'!Zone_d_impression</vt:lpstr>
      <vt:lpstr>'130125 repere car'!Zone_d_impression</vt:lpstr>
      <vt:lpstr>'170924 Numerobis'!Zone_d_impression</vt:lpstr>
      <vt:lpstr>'200824 - CdR 23 All. Mens'!Zone_d_impression</vt:lpstr>
      <vt:lpstr>'240124 CdR Allée Mens'!Zone_d_impression</vt:lpstr>
      <vt:lpstr>'270524'!Zone_d_impression</vt:lpstr>
      <vt:lpstr>'270524 (2)'!Zone_d_impression</vt:lpstr>
      <vt:lpstr>'29012 Keolis'!Zone_d_impression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Frédéric</cp:lastModifiedBy>
  <cp:lastPrinted>2025-01-29T11:10:04Z</cp:lastPrinted>
  <dcterms:created xsi:type="dcterms:W3CDTF">2004-11-13T18:13:05Z</dcterms:created>
  <dcterms:modified xsi:type="dcterms:W3CDTF">2025-01-29T11:10:08Z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