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Auvergne\RA O83E  Tortebesse - VSB Projet Eolien\Essais de Laboratoire\"/>
    </mc:Choice>
  </mc:AlternateContent>
  <xr:revisionPtr revIDLastSave="0" documentId="13_ncr:1_{1D91BD4A-C5EA-4882-B313-BFE0823DA40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040625 (3)" sheetId="5" r:id="rId1"/>
    <sheet name="040625 (2)" sheetId="4" r:id="rId2"/>
    <sheet name="040625" sheetId="2" r:id="rId3"/>
    <sheet name="161024" sheetId="1" r:id="rId4"/>
  </sheets>
  <definedNames>
    <definedName name="_xlnm.Print_Area" localSheetId="2">'040625'!$A$1:$Z$69</definedName>
    <definedName name="_xlnm.Print_Area" localSheetId="1">'040625 (2)'!$A$1:$Z$70</definedName>
    <definedName name="_xlnm.Print_Area" localSheetId="0">'040625 (3)'!$A$1:$Z$69</definedName>
    <definedName name="_xlnm.Print_Area" localSheetId="3">'161024'!$A$1:$Z$70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5" l="1"/>
  <c r="H56" i="5"/>
  <c r="H55" i="5"/>
  <c r="H58" i="4"/>
  <c r="H57" i="4"/>
  <c r="H56" i="4"/>
  <c r="H55" i="2"/>
  <c r="H56" i="2"/>
  <c r="H57" i="2"/>
  <c r="H58" i="1"/>
  <c r="H57" i="1"/>
  <c r="H56" i="1"/>
</calcChain>
</file>

<file path=xl/sharedStrings.xml><?xml version="1.0" encoding="utf-8"?>
<sst xmlns="http://schemas.openxmlformats.org/spreadsheetml/2006/main" count="275" uniqueCount="92">
  <si>
    <t>COMPTE RENDU D'ESSAIS</t>
  </si>
  <si>
    <t>PORTANCES DES PLATES-FORMES DYNAPLAQUE 
(NF P 94-117-2 d'octobre 2004)</t>
  </si>
  <si>
    <t>PLD N°</t>
  </si>
  <si>
    <t>16/10/2024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</si>
  <si>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</si>
  <si>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</si>
  <si>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</si>
  <si>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</si>
  <si>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</si>
  <si>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</si>
  <si>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</si>
  <si>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</si>
  <si>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</si>
  <si>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</si>
  <si>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concassée</t>
  </si>
  <si>
    <t>Date de(s) essai(s) :</t>
  </si>
  <si>
    <t>Météo :</t>
  </si>
  <si>
    <t>Couvert</t>
  </si>
  <si>
    <t>Partie de l'ouvrage :</t>
  </si>
  <si>
    <t>Piste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</si>
  <si>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</si>
  <si>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</si>
  <si>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</si>
  <si>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</si>
  <si>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</si>
  <si>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</si>
  <si>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</si>
  <si>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</si>
  <si>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</si>
  <si>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</si>
  <si>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</si>
  <si>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</si>
  <si>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</si>
  <si>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</si>
  <si>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</si>
  <si>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</si>
  <si>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Raccordement route</t>
  </si>
  <si>
    <t>&lt;20</t>
  </si>
  <si>
    <t>P19</t>
  </si>
  <si>
    <t>P21</t>
  </si>
  <si>
    <t>P23</t>
  </si>
  <si>
    <t>P25</t>
  </si>
  <si>
    <t>P27</t>
  </si>
  <si>
    <t>P30</t>
  </si>
  <si>
    <t>P32</t>
  </si>
  <si>
    <t>P34</t>
  </si>
  <si>
    <t>aire éolienne</t>
  </si>
  <si>
    <t>Moyenne</t>
  </si>
  <si>
    <t xml:space="preserve"> 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</si>
  <si>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</si>
  <si>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</si>
  <si>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</si>
  <si>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</si>
  <si>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</si>
  <si>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</si>
  <si>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</si>
  <si>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Fonction</t>
  </si>
  <si>
    <t>Chef de section laboratoire</t>
  </si>
  <si>
    <t>6/</t>
  </si>
  <si>
    <t>COMMENTAIRES</t>
  </si>
  <si>
    <t>Visa</t>
  </si>
  <si>
    <t>Tortebesse
VSB
Projet  éolien</t>
  </si>
  <si>
    <t>Aire de retournement</t>
  </si>
  <si>
    <t>Non conforme</t>
  </si>
  <si>
    <t>RA O83E</t>
  </si>
  <si>
    <t>E15 nacelle</t>
  </si>
  <si>
    <t>E15 grue</t>
  </si>
  <si>
    <t>piste</t>
  </si>
  <si>
    <t>E14 nacelle</t>
  </si>
  <si>
    <t>E14 grue</t>
  </si>
  <si>
    <t>E13 nacelle</t>
  </si>
  <si>
    <t>E13 grue</t>
  </si>
  <si>
    <t>E12 nacelle</t>
  </si>
  <si>
    <t>E12 grue</t>
  </si>
  <si>
    <t>E11 nacelle</t>
  </si>
  <si>
    <t>E11 grue</t>
  </si>
  <si>
    <t>E10 nacelle</t>
  </si>
  <si>
    <t>E10 grue</t>
  </si>
  <si>
    <t>E9 nacelle</t>
  </si>
  <si>
    <t>E9 grue</t>
  </si>
  <si>
    <t>E8 nacelle</t>
  </si>
  <si>
    <t>E8 grue</t>
  </si>
  <si>
    <t>E7 nacelle</t>
  </si>
  <si>
    <t>E7 grue</t>
  </si>
  <si>
    <t>E6 Nacelle</t>
  </si>
  <si>
    <t>E6 Grue</t>
  </si>
  <si>
    <t>Oui</t>
  </si>
  <si>
    <t>PF Grue et piste d'accès</t>
  </si>
  <si>
    <t>Pluie</t>
  </si>
  <si>
    <t>04/06/2025</t>
  </si>
  <si>
    <t xml:space="preserve">Piste : </t>
  </si>
  <si>
    <t xml:space="preserve">PF Eoliennes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</si>
</sst>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sz val="12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2" xfId="0" applyFont="1" applyBorder="1" applyAlignment="1" applyProtection="1">
      <alignment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protection hidden="1"/>
    </xf>
    <xf numFmtId="0" fontId="13" fillId="0" borderId="4" xfId="0" applyFont="1" applyBorder="1" applyAlignment="1" applyProtection="1">
      <alignment vertical="center"/>
      <protection locked="0"/>
    </xf>
    <xf numFmtId="0" fontId="14" fillId="0" borderId="4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 wrapText="1"/>
      <protection locked="0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2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7" xfId="0" applyFont="1" applyBorder="1" applyAlignment="1" applyProtection="1">
      <alignment vertical="center" wrapText="1"/>
      <protection locked="0"/>
    </xf>
    <xf numFmtId="0" fontId="12" fillId="0" borderId="6" xfId="0" applyFont="1" applyBorder="1" applyAlignment="1" applyProtection="1">
      <alignment vertical="center" wrapText="1"/>
      <protection locked="0"/>
    </xf>
    <xf numFmtId="0" fontId="12" fillId="0" borderId="5" xfId="0" applyFont="1" applyBorder="1" applyAlignment="1" applyProtection="1">
      <alignment vertical="center" wrapText="1"/>
      <protection locked="0"/>
    </xf>
    <xf numFmtId="0" fontId="12" fillId="0" borderId="4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5" fillId="0" borderId="7" xfId="0" applyFont="1" applyBorder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6" xfId="0" applyFont="1" applyBorder="1" applyAlignment="1" applyProtection="1">
      <alignment horizontal="center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14" fillId="0" borderId="9" xfId="0" applyFont="1" applyBorder="1" applyAlignment="1" applyProtection="1">
      <alignment horizontal="center" vertical="center" wrapText="1"/>
      <protection hidden="1"/>
    </xf>
    <xf numFmtId="0" fontId="14" fillId="0" borderId="4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8" fillId="0" borderId="12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17" fillId="0" borderId="3" xfId="0" applyFont="1" applyBorder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vertical="center"/>
      <protection hidden="1"/>
    </xf>
    <xf numFmtId="0" fontId="12" fillId="0" borderId="2" xfId="0" applyFont="1" applyBorder="1" applyAlignment="1" applyProtection="1">
      <alignment vertical="center"/>
      <protection hidden="1"/>
    </xf>
    <xf numFmtId="0" fontId="19" fillId="0" borderId="1" xfId="0" applyFont="1" applyBorder="1" applyAlignment="1" applyProtection="1">
      <alignment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20" fillId="0" borderId="36" xfId="0" applyFont="1" applyBorder="1" applyAlignment="1">
      <alignment horizontal="center"/>
    </xf>
    <xf numFmtId="0" fontId="13" fillId="0" borderId="10" xfId="0" applyFont="1" applyBorder="1" applyAlignment="1" applyProtection="1">
      <alignment horizont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13" fillId="0" borderId="13" xfId="0" applyFont="1" applyBorder="1" applyAlignment="1" applyProtection="1">
      <alignment horizontal="center"/>
      <protection locked="0"/>
    </xf>
    <xf numFmtId="0" fontId="13" fillId="0" borderId="10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164" fontId="13" fillId="0" borderId="13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13" fillId="0" borderId="4" xfId="0" applyFont="1" applyBorder="1"/>
    <xf numFmtId="0" fontId="12" fillId="0" borderId="6" xfId="0" applyFont="1" applyBorder="1" applyAlignment="1" applyProtection="1">
      <alignment vertical="center"/>
      <protection hidden="1"/>
    </xf>
    <xf numFmtId="0" fontId="12" fillId="0" borderId="5" xfId="0" applyFont="1" applyBorder="1" applyAlignment="1" applyProtection="1">
      <alignment vertical="center"/>
      <protection hidden="1"/>
    </xf>
    <xf numFmtId="0" fontId="18" fillId="0" borderId="4" xfId="0" applyFont="1" applyBorder="1" applyAlignment="1" applyProtection="1">
      <alignment vertical="center"/>
      <protection hidden="1"/>
    </xf>
    <xf numFmtId="0" fontId="18" fillId="0" borderId="4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17" fillId="0" borderId="3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8" xfId="0" applyFont="1" applyBorder="1" applyProtection="1">
      <protection hidden="1"/>
    </xf>
    <xf numFmtId="0" fontId="12" fillId="0" borderId="2" xfId="0" applyFont="1" applyBorder="1" applyProtection="1">
      <protection hidden="1"/>
    </xf>
    <xf numFmtId="0" fontId="12" fillId="0" borderId="1" xfId="0" applyFont="1" applyBorder="1" applyProtection="1">
      <protection hidden="1"/>
    </xf>
    <xf numFmtId="0" fontId="15" fillId="0" borderId="7" xfId="0" applyFont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2" fillId="0" borderId="6" xfId="0" applyFont="1" applyBorder="1" applyProtection="1">
      <protection hidden="1"/>
    </xf>
    <xf numFmtId="0" fontId="12" fillId="0" borderId="7" xfId="0" applyFont="1" applyBorder="1" applyProtection="1">
      <protection hidden="1"/>
    </xf>
    <xf numFmtId="0" fontId="17" fillId="0" borderId="0" xfId="0" applyFont="1" applyProtection="1">
      <protection hidden="1"/>
    </xf>
    <xf numFmtId="0" fontId="12" fillId="0" borderId="5" xfId="0" applyFont="1" applyBorder="1" applyProtection="1">
      <protection hidden="1"/>
    </xf>
    <xf numFmtId="0" fontId="12" fillId="0" borderId="4" xfId="0" applyFont="1" applyBorder="1" applyProtection="1">
      <protection hidden="1"/>
    </xf>
    <xf numFmtId="0" fontId="16" fillId="0" borderId="4" xfId="0" applyFont="1" applyBorder="1" applyProtection="1">
      <protection hidden="1"/>
    </xf>
    <xf numFmtId="14" fontId="20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right"/>
      <protection hidden="1"/>
    </xf>
    <xf numFmtId="0" fontId="16" fillId="0" borderId="0" xfId="0" applyFont="1" applyAlignment="1" applyProtection="1">
      <alignment horizontal="right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5" fillId="0" borderId="7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vertical="center"/>
      <protection hidden="1"/>
    </xf>
    <xf numFmtId="0" fontId="20" fillId="0" borderId="14" xfId="0" applyFont="1" applyBorder="1" applyAlignment="1">
      <alignment horizontal="center"/>
    </xf>
    <xf numFmtId="164" fontId="13" fillId="0" borderId="9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0" fontId="13" fillId="0" borderId="13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right"/>
      <protection hidden="1"/>
    </xf>
    <xf numFmtId="0" fontId="13" fillId="0" borderId="0" xfId="0" applyFont="1" applyAlignment="1" applyProtection="1">
      <alignment horizontal="right"/>
      <protection locked="0"/>
    </xf>
    <xf numFmtId="0" fontId="13" fillId="0" borderId="0" xfId="0" applyFont="1" applyAlignment="1" applyProtection="1">
      <alignment horizontal="center"/>
      <protection locked="0"/>
    </xf>
    <xf numFmtId="0" fontId="17" fillId="0" borderId="32" xfId="0" applyFont="1" applyBorder="1" applyAlignment="1" applyProtection="1">
      <alignment horizontal="center" vertical="center"/>
      <protection hidden="1"/>
    </xf>
    <xf numFmtId="0" fontId="17" fillId="0" borderId="33" xfId="0" applyFont="1" applyBorder="1" applyAlignment="1" applyProtection="1">
      <alignment horizontal="center" vertical="center"/>
      <protection hidden="1"/>
    </xf>
    <xf numFmtId="0" fontId="17" fillId="0" borderId="34" xfId="0" applyFont="1" applyBorder="1" applyAlignment="1" applyProtection="1">
      <alignment horizontal="center" vertical="center"/>
      <protection hidden="1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7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17" fillId="0" borderId="8" xfId="0" applyFont="1" applyBorder="1" applyAlignment="1" applyProtection="1">
      <alignment horizontal="center" vertical="center"/>
      <protection hidden="1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20" fillId="0" borderId="3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64" fontId="20" fillId="0" borderId="26" xfId="0" applyNumberFormat="1" applyFont="1" applyBorder="1" applyAlignment="1">
      <alignment horizontal="center" vertical="top"/>
    </xf>
    <xf numFmtId="0" fontId="13" fillId="0" borderId="27" xfId="0" applyFont="1" applyBorder="1" applyAlignment="1">
      <alignment vertical="top"/>
    </xf>
    <xf numFmtId="0" fontId="13" fillId="0" borderId="28" xfId="0" applyFont="1" applyBorder="1" applyAlignment="1">
      <alignment vertical="top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22" xfId="0" applyFont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 wrapText="1"/>
      <protection locked="0"/>
    </xf>
    <xf numFmtId="0" fontId="13" fillId="0" borderId="17" xfId="0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3" fillId="0" borderId="19" xfId="0" applyFont="1" applyBorder="1" applyAlignment="1" applyProtection="1">
      <alignment horizontal="center" vertical="center"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20" fillId="0" borderId="2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64" fontId="20" fillId="0" borderId="13" xfId="0" applyNumberFormat="1" applyFont="1" applyBorder="1" applyAlignment="1">
      <alignment horizontal="center" vertical="center"/>
    </xf>
    <xf numFmtId="0" fontId="13" fillId="0" borderId="9" xfId="0" applyFont="1" applyBorder="1"/>
    <xf numFmtId="0" fontId="13" fillId="0" borderId="10" xfId="0" applyFont="1" applyBorder="1"/>
    <xf numFmtId="0" fontId="20" fillId="0" borderId="30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/>
    </xf>
    <xf numFmtId="0" fontId="13" fillId="0" borderId="24" xfId="0" applyFont="1" applyBorder="1"/>
    <xf numFmtId="0" fontId="13" fillId="0" borderId="25" xfId="0" applyFont="1" applyBorder="1"/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164" fontId="13" fillId="0" borderId="13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0" fontId="13" fillId="0" borderId="13" xfId="0" applyFont="1" applyBorder="1" applyAlignment="1" applyProtection="1">
      <alignment horizont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13" fillId="0" borderId="23" xfId="0" applyFont="1" applyBorder="1" applyAlignment="1" applyProtection="1">
      <alignment horizontal="center"/>
      <protection locked="0"/>
    </xf>
    <xf numFmtId="0" fontId="13" fillId="0" borderId="24" xfId="0" applyFont="1" applyBorder="1" applyAlignment="1" applyProtection="1">
      <alignment horizontal="center"/>
      <protection locked="0"/>
    </xf>
    <xf numFmtId="0" fontId="13" fillId="0" borderId="25" xfId="0" applyFont="1" applyBorder="1" applyAlignment="1" applyProtection="1">
      <alignment horizontal="center"/>
      <protection locked="0"/>
    </xf>
    <xf numFmtId="164" fontId="13" fillId="0" borderId="23" xfId="0" applyNumberFormat="1" applyFont="1" applyBorder="1" applyAlignment="1">
      <alignment horizontal="center" vertical="center"/>
    </xf>
    <xf numFmtId="164" fontId="13" fillId="0" borderId="24" xfId="0" applyNumberFormat="1" applyFont="1" applyBorder="1" applyAlignment="1">
      <alignment horizontal="center" vertical="center"/>
    </xf>
    <xf numFmtId="164" fontId="13" fillId="0" borderId="25" xfId="0" applyNumberFormat="1" applyFont="1" applyBorder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locked="0"/>
    </xf>
    <xf numFmtId="0" fontId="13" fillId="0" borderId="4" xfId="0" applyFont="1" applyBorder="1" applyAlignment="1">
      <alignment horizontal="center"/>
    </xf>
    <xf numFmtId="0" fontId="13" fillId="0" borderId="14" xfId="0" applyFont="1" applyBorder="1" applyAlignment="1" applyProtection="1">
      <alignment horizontal="center" vertical="center"/>
      <protection hidden="1"/>
    </xf>
    <xf numFmtId="0" fontId="13" fillId="0" borderId="15" xfId="0" applyFont="1" applyBorder="1" applyAlignment="1" applyProtection="1">
      <alignment horizontal="center" vertical="center"/>
      <protection hidden="1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/>
    <xf numFmtId="0" fontId="20" fillId="0" borderId="1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8" xfId="0" applyFont="1" applyBorder="1"/>
    <xf numFmtId="0" fontId="13" fillId="0" borderId="0" xfId="0" applyFont="1" applyAlignment="1" applyProtection="1">
      <alignment horizontal="left" vertical="center"/>
      <protection hidden="1"/>
    </xf>
    <xf numFmtId="14" fontId="13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22" fillId="0" borderId="2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/>
      <protection hidden="1"/>
    </xf>
    <xf numFmtId="0" fontId="17" fillId="0" borderId="9" xfId="0" applyFont="1" applyBorder="1" applyAlignment="1" applyProtection="1">
      <alignment horizontal="center" vertical="center"/>
      <protection hidden="1"/>
    </xf>
    <xf numFmtId="0" fontId="15" fillId="0" borderId="9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0" fontId="19" fillId="0" borderId="4" xfId="0" applyFont="1" applyBorder="1" applyAlignment="1" applyProtection="1">
      <alignment horizontal="center" vertical="center"/>
      <protection hidden="1"/>
    </xf>
    <xf numFmtId="0" fontId="19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20" fillId="0" borderId="6" xfId="0" applyFont="1" applyBorder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0" fillId="0" borderId="7" xfId="0" applyFont="1" applyBorder="1" applyAlignment="1" applyProtection="1">
      <alignment horizontal="center" vertical="center"/>
      <protection hidden="1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14" fontId="20" fillId="0" borderId="6" xfId="0" applyNumberFormat="1" applyFont="1" applyBorder="1" applyAlignment="1" applyProtection="1">
      <alignment horizontal="center" vertical="center"/>
      <protection locked="0"/>
    </xf>
    <xf numFmtId="14" fontId="20" fillId="0" borderId="0" xfId="0" applyNumberFormat="1" applyFont="1" applyAlignment="1" applyProtection="1">
      <alignment horizontal="center" vertical="center"/>
      <protection locked="0"/>
    </xf>
    <xf numFmtId="14" fontId="20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right"/>
      <protection locked="0"/>
    </xf>
    <xf numFmtId="164" fontId="13" fillId="0" borderId="22" xfId="0" applyNumberFormat="1" applyFont="1" applyBorder="1" applyAlignment="1">
      <alignment horizontal="center" vertical="center"/>
    </xf>
    <xf numFmtId="164" fontId="13" fillId="0" borderId="19" xfId="0" applyNumberFormat="1" applyFont="1" applyBorder="1" applyAlignment="1">
      <alignment horizontal="center" vertical="center"/>
    </xf>
    <xf numFmtId="164" fontId="13" fillId="0" borderId="35" xfId="0" applyNumberFormat="1" applyFont="1" applyBorder="1" applyAlignment="1">
      <alignment horizontal="center" vertical="center"/>
    </xf>
    <xf numFmtId="0" fontId="13" fillId="0" borderId="22" xfId="0" applyFont="1" applyBorder="1" applyAlignment="1" applyProtection="1">
      <alignment horizontal="center"/>
      <protection locked="0"/>
    </xf>
    <xf numFmtId="0" fontId="13" fillId="0" borderId="19" xfId="0" applyFont="1" applyBorder="1" applyAlignment="1" applyProtection="1">
      <alignment horizontal="center"/>
      <protection locked="0"/>
    </xf>
    <xf numFmtId="0" fontId="13" fillId="0" borderId="35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2" fillId="0" borderId="32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3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6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6" fillId="0" borderId="23" xfId="0" applyNumberFormat="1" applyFont="1" applyBorder="1" applyAlignment="1">
      <alignment horizontal="center" vertical="center"/>
    </xf>
    <xf numFmtId="0" fontId="7" fillId="0" borderId="24" xfId="0" applyFont="1" applyBorder="1"/>
    <xf numFmtId="0" fontId="7" fillId="0" borderId="25" xfId="0" applyFont="1" applyBorder="1"/>
    <xf numFmtId="164" fontId="6" fillId="0" borderId="26" xfId="0" applyNumberFormat="1" applyFont="1" applyBorder="1" applyAlignment="1">
      <alignment horizontal="center" vertical="top"/>
    </xf>
    <xf numFmtId="0" fontId="7" fillId="0" borderId="27" xfId="0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2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C4D271C-D9E3-4662-B936-016001539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123825</xdr:colOff>
      <xdr:row>64</xdr:row>
      <xdr:rowOff>38100</xdr:rowOff>
    </xdr:from>
    <xdr:to>
      <xdr:col>25</xdr:col>
      <xdr:colOff>188595</xdr:colOff>
      <xdr:row>67</xdr:row>
      <xdr:rowOff>171198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EE801C3-6384-4ADF-99CE-F1A59E8BB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4230" y="17049750"/>
          <a:ext cx="1824990" cy="7331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508C23D-719D-4E71-B401-E22035E80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123825</xdr:colOff>
      <xdr:row>65</xdr:row>
      <xdr:rowOff>38100</xdr:rowOff>
    </xdr:from>
    <xdr:to>
      <xdr:col>25</xdr:col>
      <xdr:colOff>188595</xdr:colOff>
      <xdr:row>68</xdr:row>
      <xdr:rowOff>171198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7F17188-88BC-47F7-AA3C-96E182C7E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4230" y="14077950"/>
          <a:ext cx="1824990" cy="7255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881970D-1065-478A-8593-397D8EC29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123825</xdr:colOff>
      <xdr:row>64</xdr:row>
      <xdr:rowOff>38100</xdr:rowOff>
    </xdr:from>
    <xdr:to>
      <xdr:col>25</xdr:col>
      <xdr:colOff>188595</xdr:colOff>
      <xdr:row>67</xdr:row>
      <xdr:rowOff>173103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14809D8-EE90-B4CF-5174-8A493C8D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4077950"/>
          <a:ext cx="1826895" cy="7236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190500</xdr:colOff>
      <xdr:row>65</xdr:row>
      <xdr:rowOff>76201</xdr:rowOff>
    </xdr:from>
    <xdr:to>
      <xdr:col>25</xdr:col>
      <xdr:colOff>140970</xdr:colOff>
      <xdr:row>68</xdr:row>
      <xdr:rowOff>152760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1088694-B7C0-D63B-239D-81F77B466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4363701"/>
          <a:ext cx="1714500" cy="676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EA97-8641-41B9-A70E-4DEAFCD13672}">
  <sheetPr>
    <pageSetUpPr fitToPage="1"/>
  </sheetPr>
  <dimension ref="A1:AA76"/>
  <sheetViews>
    <sheetView topLeftCell="A32" workbookViewId="0">
      <selection activeCell="K58" sqref="K58"/>
    </sheetView>
  </sheetViews>
  <sheetFormatPr baseColWidth="10" defaultColWidth="11.44140625" defaultRowHeight="12.75" customHeight="1" x14ac:dyDescent="0.25"/>
  <cols>
    <col min="1" max="1" width="5.109375" style="66" customWidth="1"/>
    <col min="2" max="26" width="5.109375" style="65" customWidth="1"/>
    <col min="27" max="27" width="11.44140625" style="65"/>
  </cols>
  <sheetData>
    <row r="1" spans="1:26" ht="12.75" customHeight="1" x14ac:dyDescent="0.25">
      <c r="A1" s="253"/>
      <c r="B1" s="254"/>
      <c r="C1" s="254"/>
      <c r="D1" s="254"/>
      <c r="E1" s="254"/>
      <c r="F1" s="255"/>
      <c r="G1" s="262" t="s">
        <v>0</v>
      </c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4"/>
      <c r="U1" s="265" t="s">
        <v>61</v>
      </c>
      <c r="V1" s="266"/>
      <c r="W1" s="266"/>
      <c r="X1" s="266"/>
      <c r="Y1" s="266"/>
      <c r="Z1" s="267"/>
    </row>
    <row r="2" spans="1:26" ht="12.75" customHeight="1" x14ac:dyDescent="0.25">
      <c r="A2" s="256"/>
      <c r="B2" s="257"/>
      <c r="C2" s="257"/>
      <c r="D2" s="257"/>
      <c r="E2" s="257"/>
      <c r="F2" s="258"/>
      <c r="G2" s="274" t="s">
        <v>1</v>
      </c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6"/>
      <c r="U2" s="268"/>
      <c r="V2" s="269"/>
      <c r="W2" s="269"/>
      <c r="X2" s="269"/>
      <c r="Y2" s="269"/>
      <c r="Z2" s="270"/>
    </row>
    <row r="3" spans="1:26" ht="12.75" customHeight="1" x14ac:dyDescent="0.25">
      <c r="A3" s="256"/>
      <c r="B3" s="257"/>
      <c r="C3" s="257"/>
      <c r="D3" s="257"/>
      <c r="E3" s="257"/>
      <c r="F3" s="258"/>
      <c r="G3" s="274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6"/>
      <c r="U3" s="268"/>
      <c r="V3" s="269"/>
      <c r="W3" s="269"/>
      <c r="X3" s="269"/>
      <c r="Y3" s="269"/>
      <c r="Z3" s="270"/>
    </row>
    <row r="4" spans="1:26" ht="12.75" customHeight="1" x14ac:dyDescent="0.25">
      <c r="A4" s="256"/>
      <c r="B4" s="257"/>
      <c r="C4" s="257"/>
      <c r="D4" s="257"/>
      <c r="E4" s="257"/>
      <c r="F4" s="258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68"/>
      <c r="V4" s="269"/>
      <c r="W4" s="269"/>
      <c r="X4" s="269"/>
      <c r="Y4" s="269"/>
      <c r="Z4" s="270"/>
    </row>
    <row r="5" spans="1:26" ht="12.75" customHeight="1" x14ac:dyDescent="0.25">
      <c r="A5" s="256"/>
      <c r="B5" s="257"/>
      <c r="C5" s="257"/>
      <c r="D5" s="257"/>
      <c r="E5" s="257"/>
      <c r="F5" s="258"/>
      <c r="G5" s="277" t="s">
        <v>2</v>
      </c>
      <c r="H5" s="278"/>
      <c r="I5" s="279">
        <v>4</v>
      </c>
      <c r="J5" s="279"/>
      <c r="K5" s="280"/>
      <c r="L5" s="281" t="s">
        <v>64</v>
      </c>
      <c r="M5" s="282"/>
      <c r="N5" s="282"/>
      <c r="O5" s="283"/>
      <c r="P5" s="284" t="s">
        <v>89</v>
      </c>
      <c r="Q5" s="285"/>
      <c r="R5" s="285"/>
      <c r="S5" s="285"/>
      <c r="T5" s="286"/>
      <c r="U5" s="268"/>
      <c r="V5" s="269"/>
      <c r="W5" s="269"/>
      <c r="X5" s="269"/>
      <c r="Y5" s="269"/>
      <c r="Z5" s="270"/>
    </row>
    <row r="6" spans="1:26" ht="12.75" customHeight="1" x14ac:dyDescent="0.25">
      <c r="A6" s="259"/>
      <c r="B6" s="260"/>
      <c r="C6" s="260"/>
      <c r="D6" s="260"/>
      <c r="E6" s="260"/>
      <c r="F6" s="261"/>
      <c r="G6" s="136"/>
      <c r="H6" s="95"/>
      <c r="I6" s="249" t="s">
        <v>4</v>
      </c>
      <c r="J6" s="249"/>
      <c r="K6" s="249"/>
      <c r="L6" s="249" t="s">
        <v>5</v>
      </c>
      <c r="M6" s="249"/>
      <c r="N6" s="249"/>
      <c r="O6" s="249"/>
      <c r="P6" s="249" t="s">
        <v>6</v>
      </c>
      <c r="Q6" s="249"/>
      <c r="R6" s="249"/>
      <c r="S6" s="249"/>
      <c r="T6" s="250"/>
      <c r="U6" s="271"/>
      <c r="V6" s="272"/>
      <c r="W6" s="272"/>
      <c r="X6" s="272"/>
      <c r="Y6" s="272"/>
      <c r="Z6" s="273"/>
    </row>
    <row r="7" spans="1:26" ht="36.6" customHeight="1" x14ac:dyDescent="0.25">
      <c r="A7" s="251" t="s">
        <v>7</v>
      </c>
      <c r="B7" s="251"/>
      <c r="C7" s="251"/>
      <c r="D7" s="251"/>
      <c r="E7" s="251"/>
      <c r="F7" s="251"/>
      <c r="G7" s="252" t="s">
        <v>8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spans="1:26" ht="15.9" customHeight="1" x14ac:dyDescent="0.25">
      <c r="A8" s="114" t="s">
        <v>9</v>
      </c>
      <c r="B8" s="90" t="s">
        <v>10</v>
      </c>
      <c r="C8" s="87"/>
      <c r="D8" s="135"/>
      <c r="E8" s="135"/>
      <c r="F8" s="135"/>
      <c r="G8" s="135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110"/>
    </row>
    <row r="9" spans="1:26" ht="8.25" customHeight="1" x14ac:dyDescent="0.25">
      <c r="A9" s="99"/>
      <c r="D9" s="66"/>
      <c r="E9" s="66"/>
      <c r="F9" s="66"/>
      <c r="G9" s="66"/>
      <c r="Z9" s="98"/>
    </row>
    <row r="10" spans="1:26" ht="15.9" customHeight="1" x14ac:dyDescent="0.25">
      <c r="A10" s="99"/>
      <c r="B10" s="246" t="s">
        <v>11</v>
      </c>
      <c r="C10" s="246"/>
      <c r="D10" s="246"/>
      <c r="E10" s="246"/>
      <c r="F10" s="246"/>
      <c r="G10" s="246"/>
      <c r="H10" s="247" t="s">
        <v>12</v>
      </c>
      <c r="I10" s="247"/>
      <c r="J10" s="247"/>
      <c r="K10" s="247"/>
      <c r="L10" s="247"/>
      <c r="M10" s="247"/>
      <c r="N10" s="246" t="s">
        <v>13</v>
      </c>
      <c r="O10" s="246"/>
      <c r="P10" s="246"/>
      <c r="Q10" s="246"/>
      <c r="R10" s="246"/>
      <c r="S10" s="248" t="s">
        <v>14</v>
      </c>
      <c r="T10" s="248"/>
      <c r="U10" s="248"/>
      <c r="V10" s="248"/>
      <c r="W10" s="248"/>
      <c r="X10" s="248"/>
      <c r="Y10" s="248"/>
      <c r="Z10" s="134"/>
    </row>
    <row r="11" spans="1:26" ht="15.9" customHeight="1" x14ac:dyDescent="0.25">
      <c r="A11" s="99"/>
      <c r="B11" s="246" t="s">
        <v>15</v>
      </c>
      <c r="C11" s="246"/>
      <c r="D11" s="246"/>
      <c r="E11" s="246"/>
      <c r="F11" s="246"/>
      <c r="G11" s="246"/>
      <c r="H11" s="247" t="s">
        <v>89</v>
      </c>
      <c r="I11" s="247"/>
      <c r="J11" s="247"/>
      <c r="K11" s="247"/>
      <c r="L11" s="247"/>
      <c r="M11" s="247"/>
      <c r="N11" s="246" t="s">
        <v>16</v>
      </c>
      <c r="O11" s="246"/>
      <c r="P11" s="246"/>
      <c r="Q11" s="246"/>
      <c r="R11" s="246"/>
      <c r="S11" s="248" t="s">
        <v>88</v>
      </c>
      <c r="T11" s="248"/>
      <c r="U11" s="248"/>
      <c r="V11" s="248"/>
      <c r="W11" s="248"/>
      <c r="X11" s="248"/>
      <c r="Y11" s="248"/>
      <c r="Z11" s="134"/>
    </row>
    <row r="12" spans="1:26" ht="15.9" customHeight="1" x14ac:dyDescent="0.25">
      <c r="A12" s="99"/>
      <c r="B12" s="246" t="s">
        <v>18</v>
      </c>
      <c r="C12" s="246"/>
      <c r="D12" s="246"/>
      <c r="E12" s="246"/>
      <c r="F12" s="246"/>
      <c r="G12" s="246"/>
      <c r="H12" s="247" t="s">
        <v>87</v>
      </c>
      <c r="I12" s="247"/>
      <c r="J12" s="247"/>
      <c r="K12" s="247"/>
      <c r="L12" s="247"/>
      <c r="M12" s="247"/>
      <c r="N12" s="246" t="s">
        <v>20</v>
      </c>
      <c r="O12" s="246"/>
      <c r="P12" s="246"/>
      <c r="Q12" s="246"/>
      <c r="R12" s="246"/>
      <c r="S12" s="248" t="s">
        <v>86</v>
      </c>
      <c r="T12" s="248"/>
      <c r="U12" s="248"/>
      <c r="V12" s="248"/>
      <c r="W12" s="248"/>
      <c r="X12" s="248"/>
      <c r="Y12" s="248"/>
      <c r="Z12" s="134"/>
    </row>
    <row r="13" spans="1:26" ht="8.25" customHeight="1" x14ac:dyDescent="0.25">
      <c r="A13" s="133"/>
      <c r="B13" s="95"/>
      <c r="C13" s="95"/>
      <c r="D13" s="132"/>
      <c r="E13" s="132"/>
      <c r="F13" s="132"/>
      <c r="G13" s="132"/>
      <c r="H13" s="95"/>
      <c r="I13" s="95"/>
      <c r="J13" s="95"/>
      <c r="K13" s="95"/>
      <c r="L13" s="95"/>
      <c r="M13" s="95"/>
      <c r="N13" s="131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4"/>
    </row>
    <row r="14" spans="1:26" s="67" customFormat="1" ht="15" customHeight="1" x14ac:dyDescent="0.25">
      <c r="B14" s="129"/>
      <c r="C14" s="129"/>
      <c r="K14" s="130"/>
      <c r="L14" s="129"/>
      <c r="M14" s="128"/>
    </row>
    <row r="15" spans="1:26" s="67" customFormat="1" ht="15.6" customHeight="1" x14ac:dyDescent="0.25">
      <c r="A15" s="114" t="s">
        <v>22</v>
      </c>
      <c r="B15" s="127" t="s">
        <v>23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5"/>
    </row>
    <row r="16" spans="1:26" s="67" customFormat="1" ht="15" customHeight="1" x14ac:dyDescent="0.25">
      <c r="A16" s="122"/>
      <c r="B16" s="124"/>
      <c r="Z16" s="123"/>
    </row>
    <row r="17" spans="1:26" s="67" customFormat="1" ht="15" customHeight="1" x14ac:dyDescent="0.25">
      <c r="A17" s="122"/>
      <c r="B17" s="231" t="s">
        <v>24</v>
      </c>
      <c r="C17" s="231"/>
      <c r="D17" s="231"/>
      <c r="E17" s="231"/>
      <c r="F17" s="231"/>
      <c r="G17" s="231"/>
      <c r="H17" s="231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119"/>
    </row>
    <row r="18" spans="1:26" s="67" customFormat="1" ht="15" customHeight="1" x14ac:dyDescent="0.25">
      <c r="A18" s="122"/>
      <c r="B18" s="231" t="s">
        <v>25</v>
      </c>
      <c r="C18" s="231"/>
      <c r="D18" s="231"/>
      <c r="E18" s="231"/>
      <c r="F18" s="231"/>
      <c r="G18" s="231"/>
      <c r="H18" s="231"/>
      <c r="I18" s="156" t="s">
        <v>90</v>
      </c>
      <c r="J18" s="156"/>
      <c r="K18" s="158" t="s">
        <v>26</v>
      </c>
      <c r="L18" s="158"/>
      <c r="M18" s="121">
        <v>70</v>
      </c>
      <c r="N18" s="120" t="s">
        <v>27</v>
      </c>
      <c r="O18" s="120"/>
      <c r="P18" s="120"/>
      <c r="Q18" s="157" t="s">
        <v>91</v>
      </c>
      <c r="R18" s="157"/>
      <c r="S18" s="157"/>
      <c r="T18" s="158" t="s">
        <v>26</v>
      </c>
      <c r="U18" s="158"/>
      <c r="V18" s="121">
        <v>90</v>
      </c>
      <c r="W18" s="120" t="s">
        <v>27</v>
      </c>
      <c r="X18" s="120"/>
      <c r="Y18" s="120"/>
      <c r="Z18" s="119"/>
    </row>
    <row r="19" spans="1:26" s="67" customFormat="1" ht="13.2" customHeight="1" x14ac:dyDescent="0.25">
      <c r="A19" s="118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6"/>
    </row>
    <row r="20" spans="1:26" ht="12.75" customHeight="1" x14ac:dyDescent="0.25">
      <c r="D20" s="66"/>
      <c r="E20" s="66"/>
      <c r="F20" s="66"/>
      <c r="G20" s="66"/>
      <c r="N20" s="115"/>
    </row>
    <row r="21" spans="1:26" ht="15.9" customHeight="1" x14ac:dyDescent="0.25">
      <c r="A21" s="114" t="s">
        <v>28</v>
      </c>
      <c r="B21" s="113" t="s">
        <v>29</v>
      </c>
      <c r="C21" s="111"/>
      <c r="D21" s="112"/>
      <c r="E21" s="112"/>
      <c r="F21" s="112"/>
      <c r="G21" s="112"/>
      <c r="H21" s="111"/>
      <c r="I21" s="111"/>
      <c r="J21" s="233" t="s">
        <v>30</v>
      </c>
      <c r="K21" s="233"/>
      <c r="L21" s="233"/>
      <c r="M21" s="233"/>
      <c r="N21" s="233"/>
      <c r="O21" s="233"/>
      <c r="P21" s="233"/>
      <c r="Q21" s="108">
        <v>600</v>
      </c>
      <c r="R21" s="87"/>
      <c r="S21" s="87"/>
      <c r="T21" s="87"/>
      <c r="U21" s="87"/>
      <c r="V21" s="87"/>
      <c r="W21" s="87"/>
      <c r="X21" s="87"/>
      <c r="Y21" s="87"/>
      <c r="Z21" s="110"/>
    </row>
    <row r="22" spans="1:26" ht="12.75" customHeight="1" x14ac:dyDescent="0.25">
      <c r="A22" s="99"/>
      <c r="B22" s="109"/>
      <c r="Z22" s="98"/>
    </row>
    <row r="23" spans="1:26" ht="15.75" customHeight="1" x14ac:dyDescent="0.25">
      <c r="A23" s="99"/>
      <c r="B23" s="234" t="s">
        <v>31</v>
      </c>
      <c r="C23" s="236" t="s">
        <v>32</v>
      </c>
      <c r="D23" s="236"/>
      <c r="E23" s="236"/>
      <c r="F23" s="236"/>
      <c r="G23" s="237"/>
      <c r="H23" s="240" t="s">
        <v>33</v>
      </c>
      <c r="I23" s="241"/>
      <c r="J23" s="242"/>
      <c r="K23" s="236" t="s">
        <v>34</v>
      </c>
      <c r="L23" s="236"/>
      <c r="M23" s="236"/>
      <c r="N23" s="236"/>
      <c r="O23" s="236"/>
      <c r="P23" s="237"/>
      <c r="Z23" s="98"/>
    </row>
    <row r="24" spans="1:26" ht="15.75" customHeight="1" x14ac:dyDescent="0.25">
      <c r="A24" s="99"/>
      <c r="B24" s="235"/>
      <c r="C24" s="238"/>
      <c r="D24" s="238"/>
      <c r="E24" s="238"/>
      <c r="F24" s="238"/>
      <c r="G24" s="239"/>
      <c r="H24" s="243" t="s">
        <v>35</v>
      </c>
      <c r="I24" s="244"/>
      <c r="J24" s="245"/>
      <c r="K24" s="238"/>
      <c r="L24" s="238"/>
      <c r="M24" s="238"/>
      <c r="N24" s="238"/>
      <c r="O24" s="238"/>
      <c r="P24" s="239"/>
      <c r="Z24" s="98"/>
    </row>
    <row r="25" spans="1:26" ht="19.5" customHeight="1" x14ac:dyDescent="0.25">
      <c r="A25" s="99"/>
      <c r="B25" s="107">
        <v>58</v>
      </c>
      <c r="C25" s="212" t="s">
        <v>69</v>
      </c>
      <c r="D25" s="213"/>
      <c r="E25" s="213"/>
      <c r="F25" s="213"/>
      <c r="G25" s="214"/>
      <c r="H25" s="218">
        <v>108</v>
      </c>
      <c r="I25" s="219"/>
      <c r="J25" s="220"/>
      <c r="K25" s="221"/>
      <c r="L25" s="222"/>
      <c r="M25" s="222"/>
      <c r="N25" s="222"/>
      <c r="O25" s="222"/>
      <c r="P25" s="223"/>
      <c r="Z25" s="98"/>
    </row>
    <row r="26" spans="1:26" ht="19.5" customHeight="1" x14ac:dyDescent="0.25">
      <c r="A26" s="99"/>
      <c r="B26" s="107">
        <v>59</v>
      </c>
      <c r="C26" s="191"/>
      <c r="D26" s="192"/>
      <c r="E26" s="192"/>
      <c r="F26" s="192"/>
      <c r="G26" s="230"/>
      <c r="H26" s="218">
        <v>56</v>
      </c>
      <c r="I26" s="219"/>
      <c r="J26" s="220"/>
      <c r="K26" s="221"/>
      <c r="L26" s="222"/>
      <c r="M26" s="222"/>
      <c r="N26" s="222"/>
      <c r="O26" s="222"/>
      <c r="P26" s="223"/>
      <c r="Z26" s="98"/>
    </row>
    <row r="27" spans="1:26" ht="19.5" customHeight="1" x14ac:dyDescent="0.25">
      <c r="A27" s="99"/>
      <c r="B27" s="107">
        <v>60</v>
      </c>
      <c r="C27" s="191"/>
      <c r="D27" s="192"/>
      <c r="E27" s="192"/>
      <c r="F27" s="192"/>
      <c r="G27" s="230"/>
      <c r="H27" s="218">
        <v>86</v>
      </c>
      <c r="I27" s="219"/>
      <c r="J27" s="220"/>
      <c r="K27" s="221"/>
      <c r="L27" s="222"/>
      <c r="M27" s="222"/>
      <c r="N27" s="222"/>
      <c r="O27" s="222"/>
      <c r="P27" s="223"/>
      <c r="Z27" s="98"/>
    </row>
    <row r="28" spans="1:26" ht="19.5" customHeight="1" x14ac:dyDescent="0.25">
      <c r="A28" s="99"/>
      <c r="B28" s="107">
        <v>61</v>
      </c>
      <c r="C28" s="215"/>
      <c r="D28" s="216"/>
      <c r="E28" s="216"/>
      <c r="F28" s="216"/>
      <c r="G28" s="217"/>
      <c r="H28" s="218">
        <v>99</v>
      </c>
      <c r="I28" s="219"/>
      <c r="J28" s="220"/>
      <c r="K28" s="221"/>
      <c r="L28" s="222"/>
      <c r="M28" s="222"/>
      <c r="N28" s="222"/>
      <c r="O28" s="222"/>
      <c r="P28" s="223"/>
      <c r="Z28" s="98"/>
    </row>
    <row r="29" spans="1:26" ht="19.5" customHeight="1" x14ac:dyDescent="0.25">
      <c r="A29" s="99"/>
      <c r="B29" s="107">
        <v>62</v>
      </c>
      <c r="C29" s="212" t="s">
        <v>68</v>
      </c>
      <c r="D29" s="213"/>
      <c r="E29" s="213"/>
      <c r="F29" s="213"/>
      <c r="G29" s="214"/>
      <c r="H29" s="218">
        <v>110</v>
      </c>
      <c r="I29" s="219"/>
      <c r="J29" s="220"/>
      <c r="K29" s="221"/>
      <c r="L29" s="222"/>
      <c r="M29" s="222"/>
      <c r="N29" s="222"/>
      <c r="O29" s="222"/>
      <c r="P29" s="223"/>
      <c r="Z29" s="98"/>
    </row>
    <row r="30" spans="1:26" ht="19.5" customHeight="1" x14ac:dyDescent="0.25">
      <c r="A30" s="99"/>
      <c r="B30" s="107">
        <v>63</v>
      </c>
      <c r="C30" s="215"/>
      <c r="D30" s="216"/>
      <c r="E30" s="216"/>
      <c r="F30" s="216"/>
      <c r="G30" s="217"/>
      <c r="H30" s="218">
        <v>88</v>
      </c>
      <c r="I30" s="219"/>
      <c r="J30" s="220"/>
      <c r="K30" s="221"/>
      <c r="L30" s="222"/>
      <c r="M30" s="222"/>
      <c r="N30" s="222"/>
      <c r="O30" s="222"/>
      <c r="P30" s="223"/>
      <c r="Z30" s="98"/>
    </row>
    <row r="31" spans="1:26" ht="19.5" customHeight="1" x14ac:dyDescent="0.25">
      <c r="A31" s="99"/>
      <c r="B31" s="107">
        <v>64</v>
      </c>
      <c r="C31" s="221" t="s">
        <v>67</v>
      </c>
      <c r="D31" s="222"/>
      <c r="E31" s="222"/>
      <c r="F31" s="222"/>
      <c r="G31" s="223"/>
      <c r="H31" s="218">
        <v>92</v>
      </c>
      <c r="I31" s="219"/>
      <c r="J31" s="220"/>
      <c r="K31" s="221"/>
      <c r="L31" s="222"/>
      <c r="M31" s="222"/>
      <c r="N31" s="222"/>
      <c r="O31" s="222"/>
      <c r="P31" s="223"/>
      <c r="Z31" s="98"/>
    </row>
    <row r="32" spans="1:26" ht="19.5" customHeight="1" x14ac:dyDescent="0.25">
      <c r="A32" s="99"/>
      <c r="B32" s="107">
        <v>65</v>
      </c>
      <c r="C32" s="212" t="s">
        <v>66</v>
      </c>
      <c r="D32" s="213"/>
      <c r="E32" s="213"/>
      <c r="F32" s="213"/>
      <c r="G32" s="214"/>
      <c r="H32" s="218">
        <v>109</v>
      </c>
      <c r="I32" s="219"/>
      <c r="J32" s="220"/>
      <c r="K32" s="221"/>
      <c r="L32" s="222"/>
      <c r="M32" s="222"/>
      <c r="N32" s="222"/>
      <c r="O32" s="222"/>
      <c r="P32" s="223"/>
      <c r="Z32" s="98"/>
    </row>
    <row r="33" spans="1:26" ht="19.5" customHeight="1" x14ac:dyDescent="0.25">
      <c r="A33" s="99"/>
      <c r="B33" s="107">
        <v>66</v>
      </c>
      <c r="C33" s="191"/>
      <c r="D33" s="192"/>
      <c r="E33" s="192"/>
      <c r="F33" s="192"/>
      <c r="G33" s="230"/>
      <c r="H33" s="218">
        <v>62</v>
      </c>
      <c r="I33" s="219"/>
      <c r="J33" s="220"/>
      <c r="K33" s="221"/>
      <c r="L33" s="222"/>
      <c r="M33" s="222"/>
      <c r="N33" s="222"/>
      <c r="O33" s="222"/>
      <c r="P33" s="223"/>
      <c r="Z33" s="98"/>
    </row>
    <row r="34" spans="1:26" ht="19.5" customHeight="1" x14ac:dyDescent="0.25">
      <c r="A34" s="99"/>
      <c r="B34" s="107">
        <v>67</v>
      </c>
      <c r="C34" s="191"/>
      <c r="D34" s="192"/>
      <c r="E34" s="192"/>
      <c r="F34" s="192"/>
      <c r="G34" s="230"/>
      <c r="H34" s="218">
        <v>93</v>
      </c>
      <c r="I34" s="219"/>
      <c r="J34" s="220"/>
      <c r="K34" s="221"/>
      <c r="L34" s="222"/>
      <c r="M34" s="222"/>
      <c r="N34" s="222"/>
      <c r="O34" s="222"/>
      <c r="P34" s="223"/>
      <c r="Z34" s="98"/>
    </row>
    <row r="35" spans="1:26" ht="19.5" customHeight="1" x14ac:dyDescent="0.25">
      <c r="A35" s="99"/>
      <c r="B35" s="107">
        <v>68</v>
      </c>
      <c r="C35" s="215"/>
      <c r="D35" s="216"/>
      <c r="E35" s="216"/>
      <c r="F35" s="216"/>
      <c r="G35" s="217"/>
      <c r="H35" s="218">
        <v>70</v>
      </c>
      <c r="I35" s="219"/>
      <c r="J35" s="220"/>
      <c r="K35" s="221"/>
      <c r="L35" s="222"/>
      <c r="M35" s="222"/>
      <c r="N35" s="222"/>
      <c r="O35" s="222"/>
      <c r="P35" s="223"/>
      <c r="Z35" s="98"/>
    </row>
    <row r="36" spans="1:26" ht="19.5" customHeight="1" x14ac:dyDescent="0.25">
      <c r="A36" s="99"/>
      <c r="B36" s="107">
        <v>69</v>
      </c>
      <c r="C36" s="212" t="s">
        <v>65</v>
      </c>
      <c r="D36" s="213"/>
      <c r="E36" s="213"/>
      <c r="F36" s="213"/>
      <c r="G36" s="214"/>
      <c r="H36" s="218">
        <v>63</v>
      </c>
      <c r="I36" s="219"/>
      <c r="J36" s="220"/>
      <c r="K36" s="221"/>
      <c r="L36" s="222"/>
      <c r="M36" s="222"/>
      <c r="N36" s="222"/>
      <c r="O36" s="222"/>
      <c r="P36" s="223"/>
      <c r="Z36" s="98"/>
    </row>
    <row r="37" spans="1:26" ht="19.5" customHeight="1" x14ac:dyDescent="0.25">
      <c r="A37" s="99"/>
      <c r="B37" s="107">
        <v>70</v>
      </c>
      <c r="C37" s="215"/>
      <c r="D37" s="216"/>
      <c r="E37" s="216"/>
      <c r="F37" s="216"/>
      <c r="G37" s="217"/>
      <c r="H37" s="218">
        <v>74</v>
      </c>
      <c r="I37" s="219"/>
      <c r="J37" s="220"/>
      <c r="K37" s="221"/>
      <c r="L37" s="222"/>
      <c r="M37" s="222"/>
      <c r="N37" s="222"/>
      <c r="O37" s="222"/>
      <c r="P37" s="223"/>
      <c r="Z37" s="98"/>
    </row>
    <row r="38" spans="1:26" ht="19.5" customHeight="1" x14ac:dyDescent="0.25">
      <c r="A38" s="99"/>
      <c r="B38" s="137"/>
      <c r="C38" s="140"/>
      <c r="D38" s="141"/>
      <c r="E38" s="141"/>
      <c r="F38" s="141"/>
      <c r="G38" s="142"/>
      <c r="H38" s="106"/>
      <c r="I38" s="138"/>
      <c r="J38" s="139"/>
      <c r="K38" s="103"/>
      <c r="L38" s="102"/>
      <c r="M38" s="102"/>
      <c r="N38" s="102"/>
      <c r="O38" s="102"/>
      <c r="P38" s="101"/>
      <c r="Z38" s="98"/>
    </row>
    <row r="39" spans="1:26" ht="19.5" customHeight="1" x14ac:dyDescent="0.25">
      <c r="A39" s="99"/>
      <c r="B39" s="137"/>
      <c r="C39" s="140"/>
      <c r="D39" s="141"/>
      <c r="E39" s="141"/>
      <c r="F39" s="141"/>
      <c r="G39" s="142"/>
      <c r="H39" s="106"/>
      <c r="I39" s="138"/>
      <c r="J39" s="139"/>
      <c r="K39" s="103"/>
      <c r="L39" s="102"/>
      <c r="M39" s="102"/>
      <c r="N39" s="102"/>
      <c r="O39" s="102"/>
      <c r="P39" s="101"/>
      <c r="Z39" s="98"/>
    </row>
    <row r="40" spans="1:26" ht="19.5" customHeight="1" x14ac:dyDescent="0.25">
      <c r="A40" s="99"/>
      <c r="B40" s="137"/>
      <c r="C40" s="140"/>
      <c r="D40" s="141"/>
      <c r="E40" s="141"/>
      <c r="F40" s="141"/>
      <c r="G40" s="142"/>
      <c r="H40" s="106"/>
      <c r="I40" s="138"/>
      <c r="J40" s="139"/>
      <c r="K40" s="103"/>
      <c r="L40" s="102"/>
      <c r="M40" s="102"/>
      <c r="N40" s="102"/>
      <c r="O40" s="102"/>
      <c r="P40" s="101"/>
      <c r="Z40" s="98"/>
    </row>
    <row r="41" spans="1:26" ht="19.5" customHeight="1" x14ac:dyDescent="0.25">
      <c r="A41" s="99"/>
      <c r="B41" s="137"/>
      <c r="C41" s="140"/>
      <c r="D41" s="141"/>
      <c r="E41" s="141"/>
      <c r="F41" s="141"/>
      <c r="G41" s="142"/>
      <c r="H41" s="106"/>
      <c r="I41" s="138"/>
      <c r="J41" s="139"/>
      <c r="K41" s="103"/>
      <c r="L41" s="102"/>
      <c r="M41" s="102"/>
      <c r="N41" s="102"/>
      <c r="O41" s="102"/>
      <c r="P41" s="101"/>
      <c r="Z41" s="98"/>
    </row>
    <row r="42" spans="1:26" ht="19.5" customHeight="1" x14ac:dyDescent="0.25">
      <c r="A42" s="99"/>
      <c r="B42" s="137"/>
      <c r="C42" s="140"/>
      <c r="D42" s="141"/>
      <c r="E42" s="141"/>
      <c r="F42" s="141"/>
      <c r="G42" s="142"/>
      <c r="H42" s="106"/>
      <c r="I42" s="138"/>
      <c r="J42" s="139"/>
      <c r="K42" s="103"/>
      <c r="L42" s="102"/>
      <c r="M42" s="102"/>
      <c r="N42" s="102"/>
      <c r="O42" s="102"/>
      <c r="P42" s="101"/>
      <c r="Z42" s="98"/>
    </row>
    <row r="43" spans="1:26" ht="19.5" customHeight="1" x14ac:dyDescent="0.25">
      <c r="A43" s="99"/>
      <c r="B43" s="137"/>
      <c r="C43" s="140"/>
      <c r="D43" s="141"/>
      <c r="E43" s="141"/>
      <c r="F43" s="141"/>
      <c r="G43" s="142"/>
      <c r="H43" s="106"/>
      <c r="I43" s="138"/>
      <c r="J43" s="139"/>
      <c r="K43" s="103"/>
      <c r="L43" s="102"/>
      <c r="M43" s="102"/>
      <c r="N43" s="102"/>
      <c r="O43" s="102"/>
      <c r="P43" s="101"/>
      <c r="Z43" s="98"/>
    </row>
    <row r="44" spans="1:26" ht="19.5" customHeight="1" x14ac:dyDescent="0.25">
      <c r="A44" s="99"/>
      <c r="B44" s="137"/>
      <c r="C44" s="140"/>
      <c r="D44" s="141"/>
      <c r="E44" s="141"/>
      <c r="F44" s="141"/>
      <c r="G44" s="142"/>
      <c r="H44" s="106"/>
      <c r="I44" s="138"/>
      <c r="J44" s="139"/>
      <c r="K44" s="103"/>
      <c r="L44" s="102"/>
      <c r="M44" s="102"/>
      <c r="N44" s="102"/>
      <c r="O44" s="102"/>
      <c r="P44" s="101"/>
      <c r="Z44" s="98"/>
    </row>
    <row r="45" spans="1:26" ht="19.5" customHeight="1" x14ac:dyDescent="0.25">
      <c r="A45" s="99"/>
      <c r="B45" s="137"/>
      <c r="C45" s="140"/>
      <c r="D45" s="141"/>
      <c r="E45" s="141"/>
      <c r="F45" s="141"/>
      <c r="G45" s="142"/>
      <c r="H45" s="106"/>
      <c r="I45" s="138"/>
      <c r="J45" s="139"/>
      <c r="K45" s="103"/>
      <c r="L45" s="102"/>
      <c r="M45" s="102"/>
      <c r="N45" s="102"/>
      <c r="O45" s="102"/>
      <c r="P45" s="101"/>
      <c r="Z45" s="98"/>
    </row>
    <row r="46" spans="1:26" ht="19.5" customHeight="1" x14ac:dyDescent="0.25">
      <c r="A46" s="99"/>
      <c r="B46" s="137"/>
      <c r="C46" s="140"/>
      <c r="D46" s="141"/>
      <c r="E46" s="141"/>
      <c r="F46" s="141"/>
      <c r="G46" s="142"/>
      <c r="H46" s="106"/>
      <c r="I46" s="138"/>
      <c r="J46" s="139"/>
      <c r="K46" s="103"/>
      <c r="L46" s="102"/>
      <c r="M46" s="102"/>
      <c r="N46" s="102"/>
      <c r="O46" s="102"/>
      <c r="P46" s="101"/>
      <c r="Z46" s="98"/>
    </row>
    <row r="47" spans="1:26" ht="19.5" customHeight="1" x14ac:dyDescent="0.25">
      <c r="A47" s="99"/>
      <c r="B47" s="137"/>
      <c r="C47" s="140"/>
      <c r="D47" s="141"/>
      <c r="E47" s="141"/>
      <c r="F47" s="141"/>
      <c r="G47" s="142"/>
      <c r="H47" s="106"/>
      <c r="I47" s="138"/>
      <c r="J47" s="139"/>
      <c r="K47" s="103"/>
      <c r="L47" s="102"/>
      <c r="M47" s="102"/>
      <c r="N47" s="102"/>
      <c r="O47" s="102"/>
      <c r="P47" s="101"/>
      <c r="Z47" s="98"/>
    </row>
    <row r="48" spans="1:26" ht="19.5" customHeight="1" x14ac:dyDescent="0.25">
      <c r="A48" s="99"/>
      <c r="B48" s="137"/>
      <c r="C48" s="140"/>
      <c r="D48" s="141"/>
      <c r="E48" s="141"/>
      <c r="F48" s="141"/>
      <c r="G48" s="142"/>
      <c r="H48" s="106"/>
      <c r="I48" s="138"/>
      <c r="J48" s="139"/>
      <c r="K48" s="103"/>
      <c r="L48" s="102"/>
      <c r="M48" s="102"/>
      <c r="N48" s="102"/>
      <c r="O48" s="102"/>
      <c r="P48" s="101"/>
      <c r="Z48" s="98"/>
    </row>
    <row r="49" spans="1:26" ht="19.5" customHeight="1" x14ac:dyDescent="0.25">
      <c r="A49" s="99"/>
      <c r="B49" s="137"/>
      <c r="C49" s="140"/>
      <c r="D49" s="141"/>
      <c r="E49" s="141"/>
      <c r="F49" s="141"/>
      <c r="G49" s="142"/>
      <c r="H49" s="106"/>
      <c r="I49" s="138"/>
      <c r="J49" s="139"/>
      <c r="K49" s="103"/>
      <c r="L49" s="102"/>
      <c r="M49" s="102"/>
      <c r="N49" s="102"/>
      <c r="O49" s="102"/>
      <c r="P49" s="101"/>
      <c r="Z49" s="98"/>
    </row>
    <row r="50" spans="1:26" ht="19.5" customHeight="1" x14ac:dyDescent="0.25">
      <c r="A50" s="99"/>
      <c r="B50" s="137"/>
      <c r="C50" s="140"/>
      <c r="D50" s="141"/>
      <c r="E50" s="141"/>
      <c r="F50" s="141"/>
      <c r="G50" s="142"/>
      <c r="H50" s="106"/>
      <c r="I50" s="138"/>
      <c r="J50" s="139"/>
      <c r="K50" s="103"/>
      <c r="L50" s="102"/>
      <c r="M50" s="102"/>
      <c r="N50" s="102"/>
      <c r="O50" s="102"/>
      <c r="P50" s="101"/>
      <c r="Z50" s="98"/>
    </row>
    <row r="51" spans="1:26" ht="19.5" customHeight="1" x14ac:dyDescent="0.25">
      <c r="A51" s="99"/>
      <c r="B51" s="137"/>
      <c r="C51" s="140"/>
      <c r="D51" s="141"/>
      <c r="E51" s="141"/>
      <c r="F51" s="141"/>
      <c r="G51" s="142"/>
      <c r="H51" s="106"/>
      <c r="I51" s="138"/>
      <c r="J51" s="139"/>
      <c r="K51" s="103"/>
      <c r="L51" s="102"/>
      <c r="M51" s="102"/>
      <c r="N51" s="102"/>
      <c r="O51" s="102"/>
      <c r="P51" s="101"/>
      <c r="Z51" s="98"/>
    </row>
    <row r="52" spans="1:26" ht="19.5" customHeight="1" x14ac:dyDescent="0.25">
      <c r="A52" s="99"/>
      <c r="B52" s="137"/>
      <c r="C52" s="140"/>
      <c r="D52" s="141"/>
      <c r="E52" s="141"/>
      <c r="F52" s="141"/>
      <c r="G52" s="142"/>
      <c r="H52" s="106"/>
      <c r="I52" s="138"/>
      <c r="J52" s="139"/>
      <c r="K52" s="103"/>
      <c r="L52" s="102"/>
      <c r="M52" s="102"/>
      <c r="N52" s="102"/>
      <c r="O52" s="102"/>
      <c r="P52" s="101"/>
      <c r="Z52" s="98"/>
    </row>
    <row r="53" spans="1:26" ht="19.5" customHeight="1" x14ac:dyDescent="0.25">
      <c r="A53" s="99"/>
      <c r="B53" s="137"/>
      <c r="C53" s="140"/>
      <c r="D53" s="141"/>
      <c r="E53" s="141"/>
      <c r="F53" s="141"/>
      <c r="G53" s="142"/>
      <c r="H53" s="106"/>
      <c r="I53" s="138"/>
      <c r="J53" s="139"/>
      <c r="K53" s="103"/>
      <c r="L53" s="102"/>
      <c r="M53" s="102"/>
      <c r="N53" s="102"/>
      <c r="O53" s="102"/>
      <c r="P53" s="101"/>
      <c r="Z53" s="98"/>
    </row>
    <row r="54" spans="1:26" ht="19.5" customHeight="1" thickBot="1" x14ac:dyDescent="0.3">
      <c r="A54" s="99"/>
      <c r="B54" s="100"/>
      <c r="C54" s="224"/>
      <c r="D54" s="225"/>
      <c r="E54" s="225"/>
      <c r="F54" s="225"/>
      <c r="G54" s="226"/>
      <c r="H54" s="227"/>
      <c r="I54" s="228"/>
      <c r="J54" s="229"/>
      <c r="K54" s="224"/>
      <c r="L54" s="225"/>
      <c r="M54" s="225"/>
      <c r="N54" s="225"/>
      <c r="O54" s="225"/>
      <c r="P54" s="226"/>
      <c r="Z54" s="98"/>
    </row>
    <row r="55" spans="1:26" ht="15.75" customHeight="1" x14ac:dyDescent="0.25">
      <c r="A55" s="99"/>
      <c r="B55" s="183" t="s">
        <v>47</v>
      </c>
      <c r="C55" s="184"/>
      <c r="D55" s="184"/>
      <c r="E55" s="184"/>
      <c r="F55" s="184"/>
      <c r="G55" s="185"/>
      <c r="H55" s="186">
        <f>AVERAGE(H25:J54)</f>
        <v>85.384615384615387</v>
      </c>
      <c r="I55" s="187"/>
      <c r="J55" s="188"/>
      <c r="K55" s="189">
        <v>46.2</v>
      </c>
      <c r="L55" s="190"/>
      <c r="M55" s="195" t="s">
        <v>49</v>
      </c>
      <c r="N55" s="195"/>
      <c r="O55" s="195"/>
      <c r="P55" s="196"/>
      <c r="Z55" s="98"/>
    </row>
    <row r="56" spans="1:26" ht="15.75" customHeight="1" x14ac:dyDescent="0.25">
      <c r="A56" s="99"/>
      <c r="B56" s="200" t="s">
        <v>50</v>
      </c>
      <c r="C56" s="201"/>
      <c r="D56" s="201"/>
      <c r="E56" s="201"/>
      <c r="F56" s="201"/>
      <c r="G56" s="202"/>
      <c r="H56" s="203">
        <f>IF(COUNTIF(H25:J54,"*&lt;20*"),"&lt;20",MIN(H25:J54))</f>
        <v>56</v>
      </c>
      <c r="I56" s="204"/>
      <c r="J56" s="205"/>
      <c r="K56" s="191"/>
      <c r="L56" s="192"/>
      <c r="M56" s="155"/>
      <c r="N56" s="155"/>
      <c r="O56" s="155"/>
      <c r="P56" s="197"/>
      <c r="Z56" s="98"/>
    </row>
    <row r="57" spans="1:26" ht="15.75" customHeight="1" thickBot="1" x14ac:dyDescent="0.3">
      <c r="A57" s="99"/>
      <c r="B57" s="206" t="s">
        <v>51</v>
      </c>
      <c r="C57" s="207"/>
      <c r="D57" s="207"/>
      <c r="E57" s="207"/>
      <c r="F57" s="207"/>
      <c r="G57" s="208"/>
      <c r="H57" s="209">
        <f>IF(COUNTIF(H25:J54,"*&gt;250*"),"&gt;250",MAX(H25:J54))</f>
        <v>110</v>
      </c>
      <c r="I57" s="210"/>
      <c r="J57" s="211"/>
      <c r="K57" s="193"/>
      <c r="L57" s="194"/>
      <c r="M57" s="198"/>
      <c r="N57" s="198"/>
      <c r="O57" s="198"/>
      <c r="P57" s="199"/>
      <c r="Z57" s="98"/>
    </row>
    <row r="58" spans="1:26" ht="15.9" customHeight="1" x14ac:dyDescent="0.25">
      <c r="A58" s="97"/>
      <c r="B58" s="96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4"/>
    </row>
    <row r="59" spans="1:26" ht="12.75" customHeight="1" x14ac:dyDescent="0.25">
      <c r="A59" s="93"/>
      <c r="B59" s="92"/>
    </row>
    <row r="60" spans="1:26" s="67" customFormat="1" ht="15.6" customHeight="1" x14ac:dyDescent="0.25">
      <c r="A60" s="91" t="s">
        <v>52</v>
      </c>
      <c r="B60" s="90" t="s">
        <v>53</v>
      </c>
      <c r="C60" s="89"/>
      <c r="D60" s="89"/>
      <c r="E60" s="89"/>
      <c r="F60" s="88"/>
      <c r="G60" s="88"/>
      <c r="H60" s="88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6"/>
      <c r="V60" s="85"/>
      <c r="W60" s="85"/>
      <c r="X60" s="84"/>
      <c r="Y60" s="84"/>
      <c r="Z60" s="83"/>
    </row>
    <row r="61" spans="1:26" s="67" customFormat="1" ht="28.5" customHeight="1" x14ac:dyDescent="0.25">
      <c r="A61" s="159" t="s">
        <v>54</v>
      </c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1"/>
      <c r="R61" s="149" t="s">
        <v>55</v>
      </c>
      <c r="S61" s="150"/>
      <c r="T61" s="151"/>
      <c r="U61" s="162" t="s">
        <v>12</v>
      </c>
      <c r="V61" s="163"/>
      <c r="W61" s="163"/>
      <c r="X61" s="164"/>
      <c r="Y61" s="164"/>
      <c r="Z61" s="165"/>
    </row>
    <row r="62" spans="1:26" s="67" customFormat="1" ht="15.6" customHeight="1" x14ac:dyDescent="0.25">
      <c r="A62" s="166" t="s">
        <v>63</v>
      </c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8"/>
      <c r="R62" s="149" t="s">
        <v>56</v>
      </c>
      <c r="S62" s="150"/>
      <c r="T62" s="151"/>
      <c r="U62" s="172" t="s">
        <v>57</v>
      </c>
      <c r="V62" s="173"/>
      <c r="W62" s="173"/>
      <c r="X62" s="174"/>
      <c r="Y62" s="174"/>
      <c r="Z62" s="175"/>
    </row>
    <row r="63" spans="1:26" s="67" customFormat="1" ht="15.6" customHeight="1" x14ac:dyDescent="0.25">
      <c r="A63" s="169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1"/>
      <c r="R63" s="149"/>
      <c r="S63" s="150"/>
      <c r="T63" s="151"/>
      <c r="U63" s="176"/>
      <c r="V63" s="155"/>
      <c r="W63" s="155"/>
      <c r="X63" s="177"/>
      <c r="Y63" s="177"/>
      <c r="Z63" s="178"/>
    </row>
    <row r="64" spans="1:26" s="67" customFormat="1" ht="15.6" customHeight="1" x14ac:dyDescent="0.25">
      <c r="A64" s="82" t="s">
        <v>58</v>
      </c>
      <c r="B64" s="81" t="s">
        <v>59</v>
      </c>
      <c r="C64" s="65"/>
      <c r="D64" s="65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79"/>
      <c r="R64" s="149"/>
      <c r="S64" s="150"/>
      <c r="T64" s="151"/>
      <c r="U64" s="179"/>
      <c r="V64" s="180"/>
      <c r="W64" s="180"/>
      <c r="X64" s="181"/>
      <c r="Y64" s="181"/>
      <c r="Z64" s="182"/>
    </row>
    <row r="65" spans="1:26" s="67" customFormat="1" ht="15.6" customHeight="1" x14ac:dyDescent="0.2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5"/>
      <c r="R65" s="149" t="s">
        <v>60</v>
      </c>
      <c r="S65" s="150"/>
      <c r="T65" s="151"/>
      <c r="U65" s="78"/>
      <c r="V65" s="77"/>
      <c r="W65" s="77"/>
      <c r="X65" s="77"/>
      <c r="Y65" s="77"/>
      <c r="Z65" s="76"/>
    </row>
    <row r="66" spans="1:26" s="67" customFormat="1" ht="15.6" customHeight="1" x14ac:dyDescent="0.25">
      <c r="A66" s="143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5"/>
      <c r="R66" s="149"/>
      <c r="S66" s="150"/>
      <c r="T66" s="151"/>
      <c r="U66" s="75"/>
      <c r="V66" s="155"/>
      <c r="W66" s="155"/>
      <c r="X66" s="155"/>
      <c r="Y66" s="155"/>
      <c r="Z66" s="74"/>
    </row>
    <row r="67" spans="1:26" s="67" customFormat="1" ht="15.6" customHeight="1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5"/>
      <c r="R67" s="149"/>
      <c r="S67" s="150"/>
      <c r="T67" s="151"/>
      <c r="U67" s="75"/>
      <c r="V67" s="155"/>
      <c r="W67" s="155"/>
      <c r="X67" s="155"/>
      <c r="Y67" s="155"/>
      <c r="Z67" s="74"/>
    </row>
    <row r="68" spans="1:26" s="67" customFormat="1" ht="15.6" customHeight="1" x14ac:dyDescent="0.25">
      <c r="A68" s="146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8"/>
      <c r="R68" s="152"/>
      <c r="S68" s="153"/>
      <c r="T68" s="154"/>
      <c r="U68" s="73"/>
      <c r="V68" s="72"/>
      <c r="W68" s="72"/>
      <c r="X68" s="72"/>
      <c r="Y68" s="72"/>
      <c r="Z68" s="71"/>
    </row>
    <row r="69" spans="1:26" s="67" customFormat="1" ht="15" customHeight="1" x14ac:dyDescent="0.25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69"/>
      <c r="S69" s="69"/>
      <c r="T69" s="69"/>
      <c r="U69" s="68"/>
      <c r="V69" s="68"/>
      <c r="W69" s="68"/>
      <c r="X69" s="68"/>
      <c r="Y69" s="68"/>
      <c r="Z69" s="68"/>
    </row>
    <row r="71" spans="1:26" ht="12.75" customHeight="1" x14ac:dyDescent="0.25">
      <c r="A71" s="65"/>
    </row>
    <row r="72" spans="1:26" ht="12.75" customHeight="1" x14ac:dyDescent="0.25">
      <c r="A72" s="65"/>
    </row>
    <row r="73" spans="1:26" ht="12.75" customHeight="1" x14ac:dyDescent="0.25">
      <c r="A73" s="65"/>
    </row>
    <row r="74" spans="1:26" ht="12.75" customHeight="1" x14ac:dyDescent="0.25">
      <c r="A74" s="65"/>
    </row>
    <row r="75" spans="1:26" ht="12.75" customHeight="1" x14ac:dyDescent="0.25">
      <c r="A75" s="65"/>
    </row>
    <row r="76" spans="1:26" ht="12.75" customHeight="1" x14ac:dyDescent="0.25">
      <c r="A76" s="65"/>
    </row>
  </sheetData>
  <sheetProtection formatCells="0" formatColumns="0" formatRows="0" insertColumns="0" insertRows="0" insertHyperlinks="0" deleteColumns="0" deleteRows="0" selectLockedCells="1" sort="0" autoFilter="0" pivotTables="0"/>
  <mergeCells count="89"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B11:G11"/>
    <mergeCell ref="H11:M11"/>
    <mergeCell ref="N11:R11"/>
    <mergeCell ref="S11:Y11"/>
    <mergeCell ref="B12:G12"/>
    <mergeCell ref="H12:M12"/>
    <mergeCell ref="N12:R12"/>
    <mergeCell ref="S12:Y12"/>
    <mergeCell ref="B23:B24"/>
    <mergeCell ref="C23:G24"/>
    <mergeCell ref="H23:J23"/>
    <mergeCell ref="K23:P24"/>
    <mergeCell ref="H24:J24"/>
    <mergeCell ref="B17:H17"/>
    <mergeCell ref="I17:Y17"/>
    <mergeCell ref="B18:H18"/>
    <mergeCell ref="K18:L18"/>
    <mergeCell ref="J21:P21"/>
    <mergeCell ref="C31:G31"/>
    <mergeCell ref="H31:J31"/>
    <mergeCell ref="K31:P31"/>
    <mergeCell ref="C25:G28"/>
    <mergeCell ref="H25:J25"/>
    <mergeCell ref="K25:P25"/>
    <mergeCell ref="H26:J26"/>
    <mergeCell ref="K26:P26"/>
    <mergeCell ref="H27:J27"/>
    <mergeCell ref="K27:P27"/>
    <mergeCell ref="H28:J28"/>
    <mergeCell ref="K28:P28"/>
    <mergeCell ref="C29:G30"/>
    <mergeCell ref="H29:J29"/>
    <mergeCell ref="K29:P29"/>
    <mergeCell ref="H30:J30"/>
    <mergeCell ref="K30:P30"/>
    <mergeCell ref="C32:G35"/>
    <mergeCell ref="H32:J32"/>
    <mergeCell ref="K32:P32"/>
    <mergeCell ref="H33:J33"/>
    <mergeCell ref="K33:P33"/>
    <mergeCell ref="H34:J34"/>
    <mergeCell ref="K34:P34"/>
    <mergeCell ref="H35:J35"/>
    <mergeCell ref="K35:P35"/>
    <mergeCell ref="K36:P36"/>
    <mergeCell ref="H37:J37"/>
    <mergeCell ref="K37:P37"/>
    <mergeCell ref="C54:G54"/>
    <mergeCell ref="H54:J54"/>
    <mergeCell ref="K54:P54"/>
    <mergeCell ref="B56:G56"/>
    <mergeCell ref="H56:J56"/>
    <mergeCell ref="B57:G57"/>
    <mergeCell ref="H57:J57"/>
    <mergeCell ref="C36:G37"/>
    <mergeCell ref="H36:J36"/>
    <mergeCell ref="A65:Q68"/>
    <mergeCell ref="R65:T68"/>
    <mergeCell ref="V66:Y67"/>
    <mergeCell ref="I18:J18"/>
    <mergeCell ref="Q18:S18"/>
    <mergeCell ref="T18:U18"/>
    <mergeCell ref="A61:Q61"/>
    <mergeCell ref="R61:T61"/>
    <mergeCell ref="U61:Z61"/>
    <mergeCell ref="A62:Q63"/>
    <mergeCell ref="R62:T64"/>
    <mergeCell ref="U62:Z64"/>
    <mergeCell ref="B55:G55"/>
    <mergeCell ref="H55:J55"/>
    <mergeCell ref="K55:L57"/>
    <mergeCell ref="M55:P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4AC1-8F37-469D-8A6C-C540B3D49A5C}">
  <sheetPr>
    <pageSetUpPr fitToPage="1"/>
  </sheetPr>
  <dimension ref="A1:AA77"/>
  <sheetViews>
    <sheetView topLeftCell="A37" workbookViewId="0">
      <selection activeCell="AC50" sqref="AC50:AC52"/>
    </sheetView>
  </sheetViews>
  <sheetFormatPr baseColWidth="10" defaultColWidth="11.44140625" defaultRowHeight="12.75" customHeight="1" x14ac:dyDescent="0.25"/>
  <cols>
    <col min="1" max="1" width="5.109375" style="66" customWidth="1"/>
    <col min="2" max="26" width="5.109375" style="65" customWidth="1"/>
    <col min="27" max="27" width="11.44140625" style="65"/>
  </cols>
  <sheetData>
    <row r="1" spans="1:26" ht="12.75" customHeight="1" x14ac:dyDescent="0.25">
      <c r="A1" s="253"/>
      <c r="B1" s="254"/>
      <c r="C1" s="254"/>
      <c r="D1" s="254"/>
      <c r="E1" s="254"/>
      <c r="F1" s="255"/>
      <c r="G1" s="262" t="s">
        <v>0</v>
      </c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4"/>
      <c r="U1" s="265" t="s">
        <v>61</v>
      </c>
      <c r="V1" s="266"/>
      <c r="W1" s="266"/>
      <c r="X1" s="266"/>
      <c r="Y1" s="266"/>
      <c r="Z1" s="267"/>
    </row>
    <row r="2" spans="1:26" ht="12.75" customHeight="1" x14ac:dyDescent="0.25">
      <c r="A2" s="256"/>
      <c r="B2" s="257"/>
      <c r="C2" s="257"/>
      <c r="D2" s="257"/>
      <c r="E2" s="257"/>
      <c r="F2" s="258"/>
      <c r="G2" s="274" t="s">
        <v>1</v>
      </c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6"/>
      <c r="U2" s="268"/>
      <c r="V2" s="269"/>
      <c r="W2" s="269"/>
      <c r="X2" s="269"/>
      <c r="Y2" s="269"/>
      <c r="Z2" s="270"/>
    </row>
    <row r="3" spans="1:26" ht="12.75" customHeight="1" x14ac:dyDescent="0.25">
      <c r="A3" s="256"/>
      <c r="B3" s="257"/>
      <c r="C3" s="257"/>
      <c r="D3" s="257"/>
      <c r="E3" s="257"/>
      <c r="F3" s="258"/>
      <c r="G3" s="274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6"/>
      <c r="U3" s="268"/>
      <c r="V3" s="269"/>
      <c r="W3" s="269"/>
      <c r="X3" s="269"/>
      <c r="Y3" s="269"/>
      <c r="Z3" s="270"/>
    </row>
    <row r="4" spans="1:26" ht="12.75" customHeight="1" x14ac:dyDescent="0.25">
      <c r="A4" s="256"/>
      <c r="B4" s="257"/>
      <c r="C4" s="257"/>
      <c r="D4" s="257"/>
      <c r="E4" s="257"/>
      <c r="F4" s="258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68"/>
      <c r="V4" s="269"/>
      <c r="W4" s="269"/>
      <c r="X4" s="269"/>
      <c r="Y4" s="269"/>
      <c r="Z4" s="270"/>
    </row>
    <row r="5" spans="1:26" ht="12.75" customHeight="1" x14ac:dyDescent="0.25">
      <c r="A5" s="256"/>
      <c r="B5" s="257"/>
      <c r="C5" s="257"/>
      <c r="D5" s="257"/>
      <c r="E5" s="257"/>
      <c r="F5" s="258"/>
      <c r="G5" s="277" t="s">
        <v>2</v>
      </c>
      <c r="H5" s="278"/>
      <c r="I5" s="279">
        <v>3</v>
      </c>
      <c r="J5" s="279"/>
      <c r="K5" s="280"/>
      <c r="L5" s="281" t="s">
        <v>64</v>
      </c>
      <c r="M5" s="282"/>
      <c r="N5" s="282"/>
      <c r="O5" s="283"/>
      <c r="P5" s="284" t="s">
        <v>89</v>
      </c>
      <c r="Q5" s="285"/>
      <c r="R5" s="285"/>
      <c r="S5" s="285"/>
      <c r="T5" s="286"/>
      <c r="U5" s="268"/>
      <c r="V5" s="269"/>
      <c r="W5" s="269"/>
      <c r="X5" s="269"/>
      <c r="Y5" s="269"/>
      <c r="Z5" s="270"/>
    </row>
    <row r="6" spans="1:26" ht="12.75" customHeight="1" x14ac:dyDescent="0.25">
      <c r="A6" s="259"/>
      <c r="B6" s="260"/>
      <c r="C6" s="260"/>
      <c r="D6" s="260"/>
      <c r="E6" s="260"/>
      <c r="F6" s="261"/>
      <c r="G6" s="136"/>
      <c r="H6" s="95"/>
      <c r="I6" s="249" t="s">
        <v>4</v>
      </c>
      <c r="J6" s="249"/>
      <c r="K6" s="249"/>
      <c r="L6" s="249" t="s">
        <v>5</v>
      </c>
      <c r="M6" s="249"/>
      <c r="N6" s="249"/>
      <c r="O6" s="249"/>
      <c r="P6" s="249" t="s">
        <v>6</v>
      </c>
      <c r="Q6" s="249"/>
      <c r="R6" s="249"/>
      <c r="S6" s="249"/>
      <c r="T6" s="250"/>
      <c r="U6" s="271"/>
      <c r="V6" s="272"/>
      <c r="W6" s="272"/>
      <c r="X6" s="272"/>
      <c r="Y6" s="272"/>
      <c r="Z6" s="273"/>
    </row>
    <row r="7" spans="1:26" ht="36.6" customHeight="1" x14ac:dyDescent="0.25">
      <c r="A7" s="251" t="s">
        <v>7</v>
      </c>
      <c r="B7" s="251"/>
      <c r="C7" s="251"/>
      <c r="D7" s="251"/>
      <c r="E7" s="251"/>
      <c r="F7" s="251"/>
      <c r="G7" s="252" t="s">
        <v>8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spans="1:26" ht="15.9" customHeight="1" x14ac:dyDescent="0.25">
      <c r="A8" s="114" t="s">
        <v>9</v>
      </c>
      <c r="B8" s="90" t="s">
        <v>10</v>
      </c>
      <c r="C8" s="87"/>
      <c r="D8" s="135"/>
      <c r="E8" s="135"/>
      <c r="F8" s="135"/>
      <c r="G8" s="135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110"/>
    </row>
    <row r="9" spans="1:26" ht="8.25" customHeight="1" x14ac:dyDescent="0.25">
      <c r="A9" s="99"/>
      <c r="D9" s="66"/>
      <c r="E9" s="66"/>
      <c r="F9" s="66"/>
      <c r="G9" s="66"/>
      <c r="Z9" s="98"/>
    </row>
    <row r="10" spans="1:26" ht="15.9" customHeight="1" x14ac:dyDescent="0.25">
      <c r="A10" s="99"/>
      <c r="B10" s="246" t="s">
        <v>11</v>
      </c>
      <c r="C10" s="246"/>
      <c r="D10" s="246"/>
      <c r="E10" s="246"/>
      <c r="F10" s="246"/>
      <c r="G10" s="246"/>
      <c r="H10" s="247" t="s">
        <v>12</v>
      </c>
      <c r="I10" s="247"/>
      <c r="J10" s="247"/>
      <c r="K10" s="247"/>
      <c r="L10" s="247"/>
      <c r="M10" s="247"/>
      <c r="N10" s="246" t="s">
        <v>13</v>
      </c>
      <c r="O10" s="246"/>
      <c r="P10" s="246"/>
      <c r="Q10" s="246"/>
      <c r="R10" s="246"/>
      <c r="S10" s="248" t="s">
        <v>14</v>
      </c>
      <c r="T10" s="248"/>
      <c r="U10" s="248"/>
      <c r="V10" s="248"/>
      <c r="W10" s="248"/>
      <c r="X10" s="248"/>
      <c r="Y10" s="248"/>
      <c r="Z10" s="134"/>
    </row>
    <row r="11" spans="1:26" ht="15.9" customHeight="1" x14ac:dyDescent="0.25">
      <c r="A11" s="99"/>
      <c r="B11" s="246" t="s">
        <v>15</v>
      </c>
      <c r="C11" s="246"/>
      <c r="D11" s="246"/>
      <c r="E11" s="246"/>
      <c r="F11" s="246"/>
      <c r="G11" s="246"/>
      <c r="H11" s="247" t="s">
        <v>89</v>
      </c>
      <c r="I11" s="247"/>
      <c r="J11" s="247"/>
      <c r="K11" s="247"/>
      <c r="L11" s="247"/>
      <c r="M11" s="247"/>
      <c r="N11" s="246" t="s">
        <v>16</v>
      </c>
      <c r="O11" s="246"/>
      <c r="P11" s="246"/>
      <c r="Q11" s="246"/>
      <c r="R11" s="246"/>
      <c r="S11" s="248" t="s">
        <v>88</v>
      </c>
      <c r="T11" s="248"/>
      <c r="U11" s="248"/>
      <c r="V11" s="248"/>
      <c r="W11" s="248"/>
      <c r="X11" s="248"/>
      <c r="Y11" s="248"/>
      <c r="Z11" s="134"/>
    </row>
    <row r="12" spans="1:26" ht="15.9" customHeight="1" x14ac:dyDescent="0.25">
      <c r="A12" s="99"/>
      <c r="B12" s="246" t="s">
        <v>18</v>
      </c>
      <c r="C12" s="246"/>
      <c r="D12" s="246"/>
      <c r="E12" s="246"/>
      <c r="F12" s="246"/>
      <c r="G12" s="246"/>
      <c r="H12" s="247" t="s">
        <v>87</v>
      </c>
      <c r="I12" s="247"/>
      <c r="J12" s="247"/>
      <c r="K12" s="247"/>
      <c r="L12" s="247"/>
      <c r="M12" s="247"/>
      <c r="N12" s="246" t="s">
        <v>20</v>
      </c>
      <c r="O12" s="246"/>
      <c r="P12" s="246"/>
      <c r="Q12" s="246"/>
      <c r="R12" s="246"/>
      <c r="S12" s="248" t="s">
        <v>86</v>
      </c>
      <c r="T12" s="248"/>
      <c r="U12" s="248"/>
      <c r="V12" s="248"/>
      <c r="W12" s="248"/>
      <c r="X12" s="248"/>
      <c r="Y12" s="248"/>
      <c r="Z12" s="134"/>
    </row>
    <row r="13" spans="1:26" ht="8.25" customHeight="1" x14ac:dyDescent="0.25">
      <c r="A13" s="133"/>
      <c r="B13" s="95"/>
      <c r="C13" s="95"/>
      <c r="D13" s="132"/>
      <c r="E13" s="132"/>
      <c r="F13" s="132"/>
      <c r="G13" s="132"/>
      <c r="H13" s="95"/>
      <c r="I13" s="95"/>
      <c r="J13" s="95"/>
      <c r="K13" s="95"/>
      <c r="L13" s="95"/>
      <c r="M13" s="95"/>
      <c r="N13" s="131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4"/>
    </row>
    <row r="14" spans="1:26" s="67" customFormat="1" ht="15" customHeight="1" x14ac:dyDescent="0.25">
      <c r="B14" s="129"/>
      <c r="C14" s="129"/>
      <c r="K14" s="130"/>
      <c r="L14" s="129"/>
      <c r="M14" s="128"/>
    </row>
    <row r="15" spans="1:26" s="67" customFormat="1" ht="15.6" customHeight="1" x14ac:dyDescent="0.25">
      <c r="A15" s="114" t="s">
        <v>22</v>
      </c>
      <c r="B15" s="127" t="s">
        <v>23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5"/>
    </row>
    <row r="16" spans="1:26" s="67" customFormat="1" ht="15" customHeight="1" x14ac:dyDescent="0.25">
      <c r="A16" s="122"/>
      <c r="B16" s="124"/>
      <c r="Z16" s="123"/>
    </row>
    <row r="17" spans="1:26" s="67" customFormat="1" ht="15" customHeight="1" x14ac:dyDescent="0.25">
      <c r="A17" s="122"/>
      <c r="B17" s="231" t="s">
        <v>24</v>
      </c>
      <c r="C17" s="231"/>
      <c r="D17" s="231"/>
      <c r="E17" s="231"/>
      <c r="F17" s="231"/>
      <c r="G17" s="231"/>
      <c r="H17" s="231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119"/>
    </row>
    <row r="18" spans="1:26" s="67" customFormat="1" ht="15" customHeight="1" x14ac:dyDescent="0.25">
      <c r="A18" s="122"/>
      <c r="B18" s="231" t="s">
        <v>25</v>
      </c>
      <c r="C18" s="231"/>
      <c r="D18" s="231"/>
      <c r="E18" s="231"/>
      <c r="F18" s="231"/>
      <c r="G18" s="231"/>
      <c r="H18" s="231"/>
      <c r="I18" s="156" t="s">
        <v>90</v>
      </c>
      <c r="J18" s="156"/>
      <c r="K18" s="158" t="s">
        <v>26</v>
      </c>
      <c r="L18" s="158"/>
      <c r="M18" s="121">
        <v>70</v>
      </c>
      <c r="N18" s="120" t="s">
        <v>27</v>
      </c>
      <c r="O18" s="120"/>
      <c r="P18" s="120"/>
      <c r="Q18" s="157" t="s">
        <v>91</v>
      </c>
      <c r="R18" s="157"/>
      <c r="S18" s="157"/>
      <c r="T18" s="158" t="s">
        <v>26</v>
      </c>
      <c r="U18" s="158"/>
      <c r="V18" s="121">
        <v>90</v>
      </c>
      <c r="W18" s="120" t="s">
        <v>27</v>
      </c>
      <c r="X18" s="120"/>
      <c r="Y18" s="120"/>
      <c r="Z18" s="119"/>
    </row>
    <row r="19" spans="1:26" s="67" customFormat="1" ht="13.2" customHeight="1" x14ac:dyDescent="0.25">
      <c r="A19" s="118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6"/>
    </row>
    <row r="20" spans="1:26" ht="12.75" customHeight="1" x14ac:dyDescent="0.25">
      <c r="D20" s="66"/>
      <c r="E20" s="66"/>
      <c r="F20" s="66"/>
      <c r="G20" s="66"/>
      <c r="N20" s="115"/>
    </row>
    <row r="21" spans="1:26" ht="15.9" customHeight="1" x14ac:dyDescent="0.25">
      <c r="A21" s="114" t="s">
        <v>28</v>
      </c>
      <c r="B21" s="113" t="s">
        <v>29</v>
      </c>
      <c r="C21" s="111"/>
      <c r="D21" s="112"/>
      <c r="E21" s="112"/>
      <c r="F21" s="112"/>
      <c r="G21" s="112"/>
      <c r="H21" s="111"/>
      <c r="I21" s="111"/>
      <c r="J21" s="233" t="s">
        <v>30</v>
      </c>
      <c r="K21" s="233"/>
      <c r="L21" s="233"/>
      <c r="M21" s="233"/>
      <c r="N21" s="233"/>
      <c r="O21" s="233"/>
      <c r="P21" s="233"/>
      <c r="Q21" s="108">
        <v>600</v>
      </c>
      <c r="R21" s="87"/>
      <c r="S21" s="87"/>
      <c r="T21" s="87"/>
      <c r="U21" s="87"/>
      <c r="V21" s="87"/>
      <c r="W21" s="87"/>
      <c r="X21" s="87"/>
      <c r="Y21" s="87"/>
      <c r="Z21" s="110"/>
    </row>
    <row r="22" spans="1:26" ht="12.75" customHeight="1" x14ac:dyDescent="0.25">
      <c r="A22" s="99"/>
      <c r="B22" s="109"/>
      <c r="Z22" s="98"/>
    </row>
    <row r="23" spans="1:26" ht="15.75" customHeight="1" x14ac:dyDescent="0.25">
      <c r="A23" s="99"/>
      <c r="B23" s="234" t="s">
        <v>31</v>
      </c>
      <c r="C23" s="236" t="s">
        <v>32</v>
      </c>
      <c r="D23" s="236"/>
      <c r="E23" s="236"/>
      <c r="F23" s="236"/>
      <c r="G23" s="237"/>
      <c r="H23" s="240" t="s">
        <v>33</v>
      </c>
      <c r="I23" s="241"/>
      <c r="J23" s="242"/>
      <c r="K23" s="236" t="s">
        <v>34</v>
      </c>
      <c r="L23" s="236"/>
      <c r="M23" s="236"/>
      <c r="N23" s="236"/>
      <c r="O23" s="236"/>
      <c r="P23" s="237"/>
      <c r="Z23" s="98"/>
    </row>
    <row r="24" spans="1:26" ht="15.75" customHeight="1" x14ac:dyDescent="0.25">
      <c r="A24" s="99"/>
      <c r="B24" s="235"/>
      <c r="C24" s="238"/>
      <c r="D24" s="238"/>
      <c r="E24" s="238"/>
      <c r="F24" s="238"/>
      <c r="G24" s="239"/>
      <c r="H24" s="243" t="s">
        <v>35</v>
      </c>
      <c r="I24" s="244"/>
      <c r="J24" s="245"/>
      <c r="K24" s="238"/>
      <c r="L24" s="238"/>
      <c r="M24" s="238"/>
      <c r="N24" s="238"/>
      <c r="O24" s="238"/>
      <c r="P24" s="239"/>
      <c r="Z24" s="98"/>
    </row>
    <row r="25" spans="1:26" ht="19.5" customHeight="1" x14ac:dyDescent="0.25">
      <c r="A25" s="99"/>
      <c r="B25" s="107">
        <v>30</v>
      </c>
      <c r="C25" s="212" t="s">
        <v>77</v>
      </c>
      <c r="D25" s="213"/>
      <c r="E25" s="213"/>
      <c r="F25" s="213"/>
      <c r="G25" s="214"/>
      <c r="H25" s="218">
        <v>92</v>
      </c>
      <c r="I25" s="292"/>
      <c r="J25" s="293"/>
      <c r="K25" s="221"/>
      <c r="L25" s="222"/>
      <c r="M25" s="222"/>
      <c r="N25" s="222"/>
      <c r="O25" s="222"/>
      <c r="P25" s="223"/>
      <c r="Z25" s="98"/>
    </row>
    <row r="26" spans="1:26" ht="19.5" customHeight="1" x14ac:dyDescent="0.25">
      <c r="A26" s="99"/>
      <c r="B26" s="107">
        <v>31</v>
      </c>
      <c r="C26" s="191"/>
      <c r="D26" s="192"/>
      <c r="E26" s="192"/>
      <c r="F26" s="192"/>
      <c r="G26" s="230"/>
      <c r="H26" s="218">
        <v>86</v>
      </c>
      <c r="I26" s="292"/>
      <c r="J26" s="293"/>
      <c r="K26" s="221"/>
      <c r="L26" s="222"/>
      <c r="M26" s="222"/>
      <c r="N26" s="222"/>
      <c r="O26" s="222"/>
      <c r="P26" s="223"/>
      <c r="Z26" s="98"/>
    </row>
    <row r="27" spans="1:26" ht="19.5" customHeight="1" x14ac:dyDescent="0.25">
      <c r="A27" s="99"/>
      <c r="B27" s="107">
        <v>32</v>
      </c>
      <c r="C27" s="191"/>
      <c r="D27" s="192"/>
      <c r="E27" s="192"/>
      <c r="F27" s="192"/>
      <c r="G27" s="230"/>
      <c r="H27" s="218">
        <v>104</v>
      </c>
      <c r="I27" s="292"/>
      <c r="J27" s="293"/>
      <c r="K27" s="221"/>
      <c r="L27" s="222"/>
      <c r="M27" s="222"/>
      <c r="N27" s="222"/>
      <c r="O27" s="222"/>
      <c r="P27" s="223"/>
      <c r="Z27" s="98"/>
    </row>
    <row r="28" spans="1:26" ht="19.5" customHeight="1" x14ac:dyDescent="0.25">
      <c r="A28" s="99"/>
      <c r="B28" s="107">
        <v>33</v>
      </c>
      <c r="C28" s="215"/>
      <c r="D28" s="216"/>
      <c r="E28" s="216"/>
      <c r="F28" s="216"/>
      <c r="G28" s="217"/>
      <c r="H28" s="218">
        <v>98</v>
      </c>
      <c r="I28" s="292"/>
      <c r="J28" s="293"/>
      <c r="K28" s="221"/>
      <c r="L28" s="222"/>
      <c r="M28" s="222"/>
      <c r="N28" s="222"/>
      <c r="O28" s="222"/>
      <c r="P28" s="223"/>
      <c r="Z28" s="98"/>
    </row>
    <row r="29" spans="1:26" ht="19.5" customHeight="1" x14ac:dyDescent="0.25">
      <c r="A29" s="99"/>
      <c r="B29" s="107">
        <v>34</v>
      </c>
      <c r="C29" s="212" t="s">
        <v>76</v>
      </c>
      <c r="D29" s="213"/>
      <c r="E29" s="213"/>
      <c r="F29" s="213"/>
      <c r="G29" s="214"/>
      <c r="H29" s="218">
        <v>93</v>
      </c>
      <c r="I29" s="292"/>
      <c r="J29" s="293"/>
      <c r="K29" s="221"/>
      <c r="L29" s="222"/>
      <c r="M29" s="222"/>
      <c r="N29" s="222"/>
      <c r="O29" s="222"/>
      <c r="P29" s="223"/>
      <c r="Z29" s="98"/>
    </row>
    <row r="30" spans="1:26" ht="19.5" customHeight="1" x14ac:dyDescent="0.25">
      <c r="A30" s="99"/>
      <c r="B30" s="107">
        <v>35</v>
      </c>
      <c r="C30" s="215"/>
      <c r="D30" s="216"/>
      <c r="E30" s="216"/>
      <c r="F30" s="216"/>
      <c r="G30" s="217"/>
      <c r="H30" s="218">
        <v>81</v>
      </c>
      <c r="I30" s="292"/>
      <c r="J30" s="293"/>
      <c r="K30" s="221"/>
      <c r="L30" s="222"/>
      <c r="M30" s="222"/>
      <c r="N30" s="222"/>
      <c r="O30" s="222"/>
      <c r="P30" s="223"/>
      <c r="Z30" s="98"/>
    </row>
    <row r="31" spans="1:26" ht="19.5" customHeight="1" x14ac:dyDescent="0.25">
      <c r="A31" s="99"/>
      <c r="B31" s="107">
        <v>36</v>
      </c>
      <c r="C31" s="221" t="s">
        <v>67</v>
      </c>
      <c r="D31" s="222"/>
      <c r="E31" s="222"/>
      <c r="F31" s="222"/>
      <c r="G31" s="223"/>
      <c r="H31" s="218">
        <v>89</v>
      </c>
      <c r="I31" s="292"/>
      <c r="J31" s="293"/>
      <c r="K31" s="221"/>
      <c r="L31" s="222"/>
      <c r="M31" s="222"/>
      <c r="N31" s="222"/>
      <c r="O31" s="222"/>
      <c r="P31" s="223"/>
      <c r="Z31" s="98"/>
    </row>
    <row r="32" spans="1:26" ht="19.5" customHeight="1" x14ac:dyDescent="0.25">
      <c r="A32" s="99"/>
      <c r="B32" s="107">
        <v>37</v>
      </c>
      <c r="C32" s="212" t="s">
        <v>75</v>
      </c>
      <c r="D32" s="213"/>
      <c r="E32" s="213"/>
      <c r="F32" s="213"/>
      <c r="G32" s="214"/>
      <c r="H32" s="218">
        <v>100</v>
      </c>
      <c r="I32" s="292"/>
      <c r="J32" s="293"/>
      <c r="K32" s="221"/>
      <c r="L32" s="222"/>
      <c r="M32" s="222"/>
      <c r="N32" s="222"/>
      <c r="O32" s="222"/>
      <c r="P32" s="223"/>
      <c r="Z32" s="98"/>
    </row>
    <row r="33" spans="1:26" ht="19.5" customHeight="1" x14ac:dyDescent="0.25">
      <c r="A33" s="99"/>
      <c r="B33" s="107">
        <v>38</v>
      </c>
      <c r="C33" s="191"/>
      <c r="D33" s="192"/>
      <c r="E33" s="192"/>
      <c r="F33" s="192"/>
      <c r="G33" s="230"/>
      <c r="H33" s="218">
        <v>102</v>
      </c>
      <c r="I33" s="292"/>
      <c r="J33" s="293"/>
      <c r="K33" s="221"/>
      <c r="L33" s="222"/>
      <c r="M33" s="222"/>
      <c r="N33" s="222"/>
      <c r="O33" s="222"/>
      <c r="P33" s="223"/>
      <c r="Z33" s="98"/>
    </row>
    <row r="34" spans="1:26" ht="19.5" customHeight="1" x14ac:dyDescent="0.25">
      <c r="A34" s="99"/>
      <c r="B34" s="107">
        <v>39</v>
      </c>
      <c r="C34" s="191"/>
      <c r="D34" s="192"/>
      <c r="E34" s="192"/>
      <c r="F34" s="192"/>
      <c r="G34" s="230"/>
      <c r="H34" s="218">
        <v>94</v>
      </c>
      <c r="I34" s="292"/>
      <c r="J34" s="293"/>
      <c r="K34" s="221"/>
      <c r="L34" s="222"/>
      <c r="M34" s="222"/>
      <c r="N34" s="222"/>
      <c r="O34" s="222"/>
      <c r="P34" s="223"/>
      <c r="Z34" s="98"/>
    </row>
    <row r="35" spans="1:26" ht="19.5" customHeight="1" x14ac:dyDescent="0.25">
      <c r="A35" s="99"/>
      <c r="B35" s="107">
        <v>40</v>
      </c>
      <c r="C35" s="215"/>
      <c r="D35" s="216"/>
      <c r="E35" s="216"/>
      <c r="F35" s="216"/>
      <c r="G35" s="217"/>
      <c r="H35" s="218">
        <v>99</v>
      </c>
      <c r="I35" s="292"/>
      <c r="J35" s="293"/>
      <c r="K35" s="221"/>
      <c r="L35" s="222"/>
      <c r="M35" s="222"/>
      <c r="N35" s="222"/>
      <c r="O35" s="222"/>
      <c r="P35" s="223"/>
      <c r="Z35" s="98"/>
    </row>
    <row r="36" spans="1:26" ht="19.5" customHeight="1" x14ac:dyDescent="0.25">
      <c r="A36" s="99"/>
      <c r="B36" s="107">
        <v>41</v>
      </c>
      <c r="C36" s="212" t="s">
        <v>74</v>
      </c>
      <c r="D36" s="213"/>
      <c r="E36" s="213"/>
      <c r="F36" s="213"/>
      <c r="G36" s="214"/>
      <c r="H36" s="218">
        <v>96</v>
      </c>
      <c r="I36" s="292"/>
      <c r="J36" s="293"/>
      <c r="K36" s="221"/>
      <c r="L36" s="222"/>
      <c r="M36" s="222"/>
      <c r="N36" s="222"/>
      <c r="O36" s="222"/>
      <c r="P36" s="223"/>
      <c r="Z36" s="98"/>
    </row>
    <row r="37" spans="1:26" ht="19.5" customHeight="1" x14ac:dyDescent="0.25">
      <c r="A37" s="99"/>
      <c r="B37" s="107">
        <v>42</v>
      </c>
      <c r="C37" s="215"/>
      <c r="D37" s="216"/>
      <c r="E37" s="216"/>
      <c r="F37" s="216"/>
      <c r="G37" s="217"/>
      <c r="H37" s="218">
        <v>110</v>
      </c>
      <c r="I37" s="292"/>
      <c r="J37" s="293"/>
      <c r="K37" s="221"/>
      <c r="L37" s="222"/>
      <c r="M37" s="222"/>
      <c r="N37" s="222"/>
      <c r="O37" s="222"/>
      <c r="P37" s="223"/>
      <c r="Z37" s="98"/>
    </row>
    <row r="38" spans="1:26" ht="19.5" customHeight="1" x14ac:dyDescent="0.25">
      <c r="A38" s="99"/>
      <c r="B38" s="107">
        <v>43</v>
      </c>
      <c r="C38" s="221" t="s">
        <v>67</v>
      </c>
      <c r="D38" s="222"/>
      <c r="E38" s="222"/>
      <c r="F38" s="222"/>
      <c r="G38" s="223"/>
      <c r="H38" s="218">
        <v>110</v>
      </c>
      <c r="I38" s="292"/>
      <c r="J38" s="293"/>
      <c r="K38" s="221"/>
      <c r="L38" s="222"/>
      <c r="M38" s="222"/>
      <c r="N38" s="222"/>
      <c r="O38" s="222"/>
      <c r="P38" s="223"/>
      <c r="Z38" s="98"/>
    </row>
    <row r="39" spans="1:26" ht="19.5" customHeight="1" x14ac:dyDescent="0.25">
      <c r="A39" s="99"/>
      <c r="B39" s="107">
        <v>44</v>
      </c>
      <c r="C39" s="212" t="s">
        <v>73</v>
      </c>
      <c r="D39" s="213"/>
      <c r="E39" s="213"/>
      <c r="F39" s="213"/>
      <c r="G39" s="214"/>
      <c r="H39" s="218">
        <v>34</v>
      </c>
      <c r="I39" s="292"/>
      <c r="J39" s="293"/>
      <c r="K39" s="221"/>
      <c r="L39" s="222"/>
      <c r="M39" s="222"/>
      <c r="N39" s="222"/>
      <c r="O39" s="222"/>
      <c r="P39" s="223"/>
      <c r="Z39" s="98"/>
    </row>
    <row r="40" spans="1:26" ht="19.5" customHeight="1" x14ac:dyDescent="0.25">
      <c r="A40" s="99"/>
      <c r="B40" s="107">
        <v>45</v>
      </c>
      <c r="C40" s="191"/>
      <c r="D40" s="192"/>
      <c r="E40" s="192"/>
      <c r="F40" s="192"/>
      <c r="G40" s="230"/>
      <c r="H40" s="218">
        <v>75</v>
      </c>
      <c r="I40" s="292"/>
      <c r="J40" s="293"/>
      <c r="K40" s="221"/>
      <c r="L40" s="222"/>
      <c r="M40" s="222"/>
      <c r="N40" s="222"/>
      <c r="O40" s="222"/>
      <c r="P40" s="223"/>
      <c r="Z40" s="98"/>
    </row>
    <row r="41" spans="1:26" ht="19.5" customHeight="1" x14ac:dyDescent="0.25">
      <c r="A41" s="99"/>
      <c r="B41" s="107">
        <v>46</v>
      </c>
      <c r="C41" s="191"/>
      <c r="D41" s="192"/>
      <c r="E41" s="192"/>
      <c r="F41" s="192"/>
      <c r="G41" s="230"/>
      <c r="H41" s="218">
        <v>51</v>
      </c>
      <c r="I41" s="292"/>
      <c r="J41" s="293"/>
      <c r="K41" s="221"/>
      <c r="L41" s="222"/>
      <c r="M41" s="222"/>
      <c r="N41" s="222"/>
      <c r="O41" s="222"/>
      <c r="P41" s="223"/>
      <c r="Z41" s="98"/>
    </row>
    <row r="42" spans="1:26" ht="19.5" customHeight="1" x14ac:dyDescent="0.25">
      <c r="A42" s="99"/>
      <c r="B42" s="107">
        <v>47</v>
      </c>
      <c r="C42" s="215"/>
      <c r="D42" s="216"/>
      <c r="E42" s="216"/>
      <c r="F42" s="216"/>
      <c r="G42" s="217"/>
      <c r="H42" s="218">
        <v>65</v>
      </c>
      <c r="I42" s="292"/>
      <c r="J42" s="293"/>
      <c r="K42" s="221"/>
      <c r="L42" s="222"/>
      <c r="M42" s="222"/>
      <c r="N42" s="222"/>
      <c r="O42" s="222"/>
      <c r="P42" s="223"/>
      <c r="Z42" s="98"/>
    </row>
    <row r="43" spans="1:26" ht="19.5" customHeight="1" x14ac:dyDescent="0.25">
      <c r="A43" s="99"/>
      <c r="B43" s="107">
        <v>48</v>
      </c>
      <c r="C43" s="212" t="s">
        <v>72</v>
      </c>
      <c r="D43" s="213"/>
      <c r="E43" s="213"/>
      <c r="F43" s="213"/>
      <c r="G43" s="214"/>
      <c r="H43" s="218">
        <v>61</v>
      </c>
      <c r="I43" s="292"/>
      <c r="J43" s="293"/>
      <c r="K43" s="221"/>
      <c r="L43" s="222"/>
      <c r="M43" s="222"/>
      <c r="N43" s="222"/>
      <c r="O43" s="222"/>
      <c r="P43" s="223"/>
      <c r="Z43" s="98"/>
    </row>
    <row r="44" spans="1:26" ht="19.5" customHeight="1" x14ac:dyDescent="0.25">
      <c r="A44" s="99"/>
      <c r="B44" s="107">
        <v>49</v>
      </c>
      <c r="C44" s="215"/>
      <c r="D44" s="216"/>
      <c r="E44" s="216"/>
      <c r="F44" s="216"/>
      <c r="G44" s="217"/>
      <c r="H44" s="218">
        <v>78</v>
      </c>
      <c r="I44" s="292"/>
      <c r="J44" s="293"/>
      <c r="K44" s="221"/>
      <c r="L44" s="222"/>
      <c r="M44" s="222"/>
      <c r="N44" s="222"/>
      <c r="O44" s="222"/>
      <c r="P44" s="223"/>
      <c r="Z44" s="98"/>
    </row>
    <row r="45" spans="1:26" ht="19.5" customHeight="1" x14ac:dyDescent="0.25">
      <c r="A45" s="99"/>
      <c r="B45" s="107">
        <v>50</v>
      </c>
      <c r="C45" s="221" t="s">
        <v>67</v>
      </c>
      <c r="D45" s="222"/>
      <c r="E45" s="222"/>
      <c r="F45" s="222"/>
      <c r="G45" s="223"/>
      <c r="H45" s="218">
        <v>43</v>
      </c>
      <c r="I45" s="292"/>
      <c r="J45" s="293"/>
      <c r="K45" s="221"/>
      <c r="L45" s="222"/>
      <c r="M45" s="222"/>
      <c r="N45" s="222"/>
      <c r="O45" s="222"/>
      <c r="P45" s="223"/>
      <c r="Z45" s="98"/>
    </row>
    <row r="46" spans="1:26" ht="19.5" customHeight="1" x14ac:dyDescent="0.25">
      <c r="A46" s="99"/>
      <c r="B46" s="107">
        <v>51</v>
      </c>
      <c r="C46" s="212" t="s">
        <v>71</v>
      </c>
      <c r="D46" s="213"/>
      <c r="E46" s="213"/>
      <c r="F46" s="213"/>
      <c r="G46" s="214"/>
      <c r="H46" s="218">
        <v>94</v>
      </c>
      <c r="I46" s="292"/>
      <c r="J46" s="293"/>
      <c r="K46" s="221"/>
      <c r="L46" s="222"/>
      <c r="M46" s="222"/>
      <c r="N46" s="222"/>
      <c r="O46" s="222"/>
      <c r="P46" s="223"/>
      <c r="Z46" s="98"/>
    </row>
    <row r="47" spans="1:26" ht="19.5" customHeight="1" x14ac:dyDescent="0.25">
      <c r="A47" s="99"/>
      <c r="B47" s="107">
        <v>52</v>
      </c>
      <c r="C47" s="191"/>
      <c r="D47" s="192"/>
      <c r="E47" s="192"/>
      <c r="F47" s="192"/>
      <c r="G47" s="230"/>
      <c r="H47" s="218">
        <v>82</v>
      </c>
      <c r="I47" s="292"/>
      <c r="J47" s="293"/>
      <c r="K47" s="221"/>
      <c r="L47" s="222"/>
      <c r="M47" s="222"/>
      <c r="N47" s="222"/>
      <c r="O47" s="222"/>
      <c r="P47" s="223"/>
      <c r="Z47" s="98"/>
    </row>
    <row r="48" spans="1:26" ht="19.5" customHeight="1" x14ac:dyDescent="0.25">
      <c r="A48" s="99"/>
      <c r="B48" s="107">
        <v>53</v>
      </c>
      <c r="C48" s="191"/>
      <c r="D48" s="192"/>
      <c r="E48" s="192"/>
      <c r="F48" s="192"/>
      <c r="G48" s="230"/>
      <c r="H48" s="218">
        <v>101</v>
      </c>
      <c r="I48" s="292"/>
      <c r="J48" s="293"/>
      <c r="K48" s="221"/>
      <c r="L48" s="222"/>
      <c r="M48" s="222"/>
      <c r="N48" s="222"/>
      <c r="O48" s="222"/>
      <c r="P48" s="223"/>
      <c r="Z48" s="98"/>
    </row>
    <row r="49" spans="1:26" ht="19.5" customHeight="1" x14ac:dyDescent="0.25">
      <c r="A49" s="99"/>
      <c r="B49" s="107">
        <v>54</v>
      </c>
      <c r="C49" s="215"/>
      <c r="D49" s="216"/>
      <c r="E49" s="216"/>
      <c r="F49" s="216"/>
      <c r="G49" s="217"/>
      <c r="H49" s="218">
        <v>86</v>
      </c>
      <c r="I49" s="292"/>
      <c r="J49" s="293"/>
      <c r="K49" s="221"/>
      <c r="L49" s="222"/>
      <c r="M49" s="222"/>
      <c r="N49" s="222"/>
      <c r="O49" s="222"/>
      <c r="P49" s="223"/>
      <c r="Z49" s="98"/>
    </row>
    <row r="50" spans="1:26" ht="19.5" customHeight="1" x14ac:dyDescent="0.25">
      <c r="A50" s="99"/>
      <c r="B50" s="107">
        <v>55</v>
      </c>
      <c r="C50" s="212" t="s">
        <v>70</v>
      </c>
      <c r="D50" s="213"/>
      <c r="E50" s="213"/>
      <c r="F50" s="213"/>
      <c r="G50" s="214"/>
      <c r="H50" s="218">
        <v>71</v>
      </c>
      <c r="I50" s="292"/>
      <c r="J50" s="293"/>
      <c r="K50" s="221"/>
      <c r="L50" s="222"/>
      <c r="M50" s="222"/>
      <c r="N50" s="222"/>
      <c r="O50" s="222"/>
      <c r="P50" s="223"/>
      <c r="Z50" s="98"/>
    </row>
    <row r="51" spans="1:26" ht="19.5" customHeight="1" x14ac:dyDescent="0.25">
      <c r="A51" s="99"/>
      <c r="B51" s="107">
        <v>56</v>
      </c>
      <c r="C51" s="215"/>
      <c r="D51" s="216"/>
      <c r="E51" s="216"/>
      <c r="F51" s="216"/>
      <c r="G51" s="217"/>
      <c r="H51" s="218">
        <v>66</v>
      </c>
      <c r="I51" s="292"/>
      <c r="J51" s="293"/>
      <c r="K51" s="221"/>
      <c r="L51" s="222"/>
      <c r="M51" s="222"/>
      <c r="N51" s="222"/>
      <c r="O51" s="222"/>
      <c r="P51" s="223"/>
      <c r="Z51" s="98"/>
    </row>
    <row r="52" spans="1:26" ht="19.5" customHeight="1" x14ac:dyDescent="0.25">
      <c r="A52" s="99"/>
      <c r="B52" s="107">
        <v>57</v>
      </c>
      <c r="C52" s="221" t="s">
        <v>67</v>
      </c>
      <c r="D52" s="222"/>
      <c r="E52" s="222"/>
      <c r="F52" s="222"/>
      <c r="G52" s="223"/>
      <c r="H52" s="218">
        <v>91</v>
      </c>
      <c r="I52" s="292"/>
      <c r="J52" s="293"/>
      <c r="K52" s="221"/>
      <c r="L52" s="222"/>
      <c r="M52" s="222"/>
      <c r="N52" s="222"/>
      <c r="O52" s="222"/>
      <c r="P52" s="223"/>
      <c r="Z52" s="98"/>
    </row>
    <row r="53" spans="1:26" ht="19.5" customHeight="1" x14ac:dyDescent="0.25">
      <c r="A53" s="99"/>
      <c r="B53" s="137"/>
      <c r="C53" s="103"/>
      <c r="D53" s="102"/>
      <c r="E53" s="102"/>
      <c r="F53" s="102"/>
      <c r="G53" s="101"/>
      <c r="H53" s="106"/>
      <c r="I53" s="105"/>
      <c r="J53" s="104"/>
      <c r="K53" s="103"/>
      <c r="L53" s="102"/>
      <c r="M53" s="102"/>
      <c r="N53" s="102"/>
      <c r="O53" s="102"/>
      <c r="P53" s="101"/>
      <c r="Z53" s="98"/>
    </row>
    <row r="54" spans="1:26" ht="19.5" customHeight="1" x14ac:dyDescent="0.25">
      <c r="A54" s="99"/>
      <c r="B54" s="137"/>
      <c r="C54" s="103"/>
      <c r="D54" s="102"/>
      <c r="E54" s="102"/>
      <c r="F54" s="102"/>
      <c r="G54" s="101"/>
      <c r="H54" s="106"/>
      <c r="I54" s="105"/>
      <c r="J54" s="104"/>
      <c r="K54" s="103"/>
      <c r="L54" s="102"/>
      <c r="M54" s="102"/>
      <c r="N54" s="102"/>
      <c r="O54" s="102"/>
      <c r="P54" s="101"/>
      <c r="Z54" s="98"/>
    </row>
    <row r="55" spans="1:26" ht="19.5" customHeight="1" thickBot="1" x14ac:dyDescent="0.3">
      <c r="A55" s="99"/>
      <c r="B55" s="100"/>
      <c r="C55" s="224"/>
      <c r="D55" s="225"/>
      <c r="E55" s="225"/>
      <c r="F55" s="225"/>
      <c r="G55" s="226"/>
      <c r="H55" s="227"/>
      <c r="I55" s="228"/>
      <c r="J55" s="229"/>
      <c r="K55" s="224"/>
      <c r="L55" s="225"/>
      <c r="M55" s="225"/>
      <c r="N55" s="225"/>
      <c r="O55" s="225"/>
      <c r="P55" s="226"/>
      <c r="Z55" s="98"/>
    </row>
    <row r="56" spans="1:26" ht="15.75" customHeight="1" x14ac:dyDescent="0.25">
      <c r="A56" s="99"/>
      <c r="B56" s="183" t="s">
        <v>47</v>
      </c>
      <c r="C56" s="184"/>
      <c r="D56" s="184"/>
      <c r="E56" s="184"/>
      <c r="F56" s="184"/>
      <c r="G56" s="185"/>
      <c r="H56" s="186">
        <f>AVERAGE(H25:J55)</f>
        <v>84</v>
      </c>
      <c r="I56" s="187"/>
      <c r="J56" s="188"/>
      <c r="K56" s="189">
        <v>53.6</v>
      </c>
      <c r="L56" s="190"/>
      <c r="M56" s="195" t="s">
        <v>49</v>
      </c>
      <c r="N56" s="195"/>
      <c r="O56" s="195"/>
      <c r="P56" s="196"/>
      <c r="Z56" s="98"/>
    </row>
    <row r="57" spans="1:26" ht="15.75" customHeight="1" x14ac:dyDescent="0.25">
      <c r="A57" s="99"/>
      <c r="B57" s="200" t="s">
        <v>50</v>
      </c>
      <c r="C57" s="201"/>
      <c r="D57" s="201"/>
      <c r="E57" s="201"/>
      <c r="F57" s="201"/>
      <c r="G57" s="202"/>
      <c r="H57" s="203">
        <f>IF(COUNTIF(H25:J55,"*&lt;20*"),"&lt;20",MIN(H25:J55))</f>
        <v>34</v>
      </c>
      <c r="I57" s="204"/>
      <c r="J57" s="205"/>
      <c r="K57" s="191"/>
      <c r="L57" s="192"/>
      <c r="M57" s="155"/>
      <c r="N57" s="155"/>
      <c r="O57" s="155"/>
      <c r="P57" s="197"/>
      <c r="Z57" s="98"/>
    </row>
    <row r="58" spans="1:26" ht="15.75" customHeight="1" thickBot="1" x14ac:dyDescent="0.3">
      <c r="A58" s="99"/>
      <c r="B58" s="206" t="s">
        <v>51</v>
      </c>
      <c r="C58" s="207"/>
      <c r="D58" s="207"/>
      <c r="E58" s="207"/>
      <c r="F58" s="207"/>
      <c r="G58" s="208"/>
      <c r="H58" s="209">
        <f>IF(COUNTIF(H25:J55,"*&gt;250*"),"&gt;250",MAX(H25:J55))</f>
        <v>110</v>
      </c>
      <c r="I58" s="210"/>
      <c r="J58" s="211"/>
      <c r="K58" s="193"/>
      <c r="L58" s="194"/>
      <c r="M58" s="198"/>
      <c r="N58" s="198"/>
      <c r="O58" s="198"/>
      <c r="P58" s="199"/>
      <c r="Z58" s="98"/>
    </row>
    <row r="59" spans="1:26" ht="15.9" customHeight="1" x14ac:dyDescent="0.25">
      <c r="A59" s="97"/>
      <c r="B59" s="96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4"/>
    </row>
    <row r="60" spans="1:26" ht="12.75" customHeight="1" x14ac:dyDescent="0.25">
      <c r="A60" s="93"/>
      <c r="B60" s="92"/>
    </row>
    <row r="61" spans="1:26" s="67" customFormat="1" ht="15.6" customHeight="1" x14ac:dyDescent="0.25">
      <c r="A61" s="91" t="s">
        <v>52</v>
      </c>
      <c r="B61" s="90" t="s">
        <v>53</v>
      </c>
      <c r="C61" s="89"/>
      <c r="D61" s="89"/>
      <c r="E61" s="89"/>
      <c r="F61" s="88"/>
      <c r="G61" s="88"/>
      <c r="H61" s="88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6"/>
      <c r="V61" s="85"/>
      <c r="W61" s="85"/>
      <c r="X61" s="84"/>
      <c r="Y61" s="84"/>
      <c r="Z61" s="83"/>
    </row>
    <row r="62" spans="1:26" s="67" customFormat="1" ht="28.5" customHeight="1" x14ac:dyDescent="0.25">
      <c r="A62" s="159" t="s">
        <v>54</v>
      </c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1"/>
      <c r="R62" s="149" t="s">
        <v>55</v>
      </c>
      <c r="S62" s="150"/>
      <c r="T62" s="151"/>
      <c r="U62" s="162" t="s">
        <v>12</v>
      </c>
      <c r="V62" s="163"/>
      <c r="W62" s="163"/>
      <c r="X62" s="164"/>
      <c r="Y62" s="164"/>
      <c r="Z62" s="165"/>
    </row>
    <row r="63" spans="1:26" s="67" customFormat="1" ht="15.6" customHeight="1" x14ac:dyDescent="0.25">
      <c r="A63" s="166" t="s">
        <v>63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8"/>
      <c r="R63" s="149" t="s">
        <v>56</v>
      </c>
      <c r="S63" s="150"/>
      <c r="T63" s="151"/>
      <c r="U63" s="172" t="s">
        <v>57</v>
      </c>
      <c r="V63" s="173"/>
      <c r="W63" s="173"/>
      <c r="X63" s="174"/>
      <c r="Y63" s="174"/>
      <c r="Z63" s="175"/>
    </row>
    <row r="64" spans="1:26" s="67" customFormat="1" ht="15.6" customHeight="1" x14ac:dyDescent="0.25">
      <c r="A64" s="289"/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1"/>
      <c r="R64" s="149"/>
      <c r="S64" s="150"/>
      <c r="T64" s="151"/>
      <c r="U64" s="176"/>
      <c r="V64" s="155"/>
      <c r="W64" s="155"/>
      <c r="X64" s="177"/>
      <c r="Y64" s="177"/>
      <c r="Z64" s="178"/>
    </row>
    <row r="65" spans="1:26" s="67" customFormat="1" ht="15.6" customHeight="1" x14ac:dyDescent="0.25">
      <c r="A65" s="82" t="s">
        <v>58</v>
      </c>
      <c r="B65" s="81" t="s">
        <v>59</v>
      </c>
      <c r="C65" s="65"/>
      <c r="D65" s="65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79"/>
      <c r="R65" s="149"/>
      <c r="S65" s="150"/>
      <c r="T65" s="151"/>
      <c r="U65" s="179"/>
      <c r="V65" s="180"/>
      <c r="W65" s="180"/>
      <c r="X65" s="181"/>
      <c r="Y65" s="181"/>
      <c r="Z65" s="182"/>
    </row>
    <row r="66" spans="1:26" s="67" customFormat="1" ht="15.6" customHeight="1" x14ac:dyDescent="0.25">
      <c r="A66" s="143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5"/>
      <c r="R66" s="149" t="s">
        <v>60</v>
      </c>
      <c r="S66" s="150"/>
      <c r="T66" s="151"/>
      <c r="U66" s="78"/>
      <c r="V66" s="77"/>
      <c r="W66" s="77"/>
      <c r="X66" s="77"/>
      <c r="Y66" s="77"/>
      <c r="Z66" s="76"/>
    </row>
    <row r="67" spans="1:26" s="67" customFormat="1" ht="15.6" customHeight="1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5"/>
      <c r="R67" s="149"/>
      <c r="S67" s="150"/>
      <c r="T67" s="151"/>
      <c r="U67" s="75"/>
      <c r="V67" s="155"/>
      <c r="W67" s="155"/>
      <c r="X67" s="155"/>
      <c r="Y67" s="155"/>
      <c r="Z67" s="74"/>
    </row>
    <row r="68" spans="1:26" s="67" customFormat="1" ht="15.6" customHeight="1" x14ac:dyDescent="0.25">
      <c r="A68" s="143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5"/>
      <c r="R68" s="149"/>
      <c r="S68" s="150"/>
      <c r="T68" s="151"/>
      <c r="U68" s="75"/>
      <c r="V68" s="155"/>
      <c r="W68" s="155"/>
      <c r="X68" s="155"/>
      <c r="Y68" s="155"/>
      <c r="Z68" s="74"/>
    </row>
    <row r="69" spans="1:26" s="67" customFormat="1" ht="15.6" customHeight="1" x14ac:dyDescent="0.25">
      <c r="A69" s="146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8"/>
      <c r="R69" s="152"/>
      <c r="S69" s="153"/>
      <c r="T69" s="154"/>
      <c r="U69" s="73"/>
      <c r="V69" s="72"/>
      <c r="W69" s="72"/>
      <c r="X69" s="72"/>
      <c r="Y69" s="72"/>
      <c r="Z69" s="71"/>
    </row>
    <row r="70" spans="1:26" s="67" customFormat="1" ht="15" customHeight="1" x14ac:dyDescent="0.25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69"/>
      <c r="S70" s="69"/>
      <c r="T70" s="69"/>
      <c r="U70" s="68"/>
      <c r="V70" s="68"/>
      <c r="W70" s="68"/>
      <c r="X70" s="68"/>
      <c r="Y70" s="68"/>
      <c r="Z70" s="68"/>
    </row>
    <row r="72" spans="1:26" ht="12.75" customHeight="1" x14ac:dyDescent="0.25">
      <c r="A72" s="65"/>
    </row>
    <row r="73" spans="1:26" ht="12.75" customHeight="1" x14ac:dyDescent="0.25">
      <c r="A73" s="65"/>
    </row>
    <row r="74" spans="1:26" ht="12.75" customHeight="1" x14ac:dyDescent="0.25">
      <c r="A74" s="65"/>
    </row>
    <row r="75" spans="1:26" ht="12.75" customHeight="1" x14ac:dyDescent="0.25">
      <c r="A75" s="65"/>
    </row>
    <row r="76" spans="1:26" ht="12.75" customHeight="1" x14ac:dyDescent="0.25">
      <c r="A76" s="65"/>
    </row>
    <row r="77" spans="1:26" ht="12.75" customHeight="1" x14ac:dyDescent="0.25">
      <c r="A77" s="65"/>
    </row>
  </sheetData>
  <sheetProtection formatCells="0" formatColumns="0" formatRows="0" insertColumns="0" insertRows="0" insertHyperlinks="0" deleteColumns="0" deleteRows="0" selectLockedCells="1" sort="0" autoFilter="0" pivotTables="0"/>
  <mergeCells count="126">
    <mergeCell ref="L6:O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B17:H17"/>
    <mergeCell ref="I17:Y17"/>
    <mergeCell ref="B18:H18"/>
    <mergeCell ref="K18:L18"/>
    <mergeCell ref="J21:P21"/>
    <mergeCell ref="B23:B24"/>
    <mergeCell ref="C23:G24"/>
    <mergeCell ref="H23:J23"/>
    <mergeCell ref="K23:P24"/>
    <mergeCell ref="H24:J24"/>
    <mergeCell ref="H28:J28"/>
    <mergeCell ref="K28:P28"/>
    <mergeCell ref="C29:G30"/>
    <mergeCell ref="H29:J29"/>
    <mergeCell ref="K29:P29"/>
    <mergeCell ref="H30:J30"/>
    <mergeCell ref="K30:P30"/>
    <mergeCell ref="C25:G28"/>
    <mergeCell ref="H25:J25"/>
    <mergeCell ref="K25:P25"/>
    <mergeCell ref="H26:J26"/>
    <mergeCell ref="K26:P26"/>
    <mergeCell ref="H27:J27"/>
    <mergeCell ref="K27:P27"/>
    <mergeCell ref="H35:J35"/>
    <mergeCell ref="K35:P35"/>
    <mergeCell ref="C36:G37"/>
    <mergeCell ref="H36:J36"/>
    <mergeCell ref="K36:P36"/>
    <mergeCell ref="H37:J37"/>
    <mergeCell ref="K37:P37"/>
    <mergeCell ref="C31:G31"/>
    <mergeCell ref="H31:J31"/>
    <mergeCell ref="K31:P31"/>
    <mergeCell ref="C32:G35"/>
    <mergeCell ref="H32:J32"/>
    <mergeCell ref="K32:P32"/>
    <mergeCell ref="H33:J33"/>
    <mergeCell ref="K33:P33"/>
    <mergeCell ref="H34:J34"/>
    <mergeCell ref="K34:P34"/>
    <mergeCell ref="H42:J42"/>
    <mergeCell ref="K42:P42"/>
    <mergeCell ref="C43:G44"/>
    <mergeCell ref="H43:J43"/>
    <mergeCell ref="K43:P43"/>
    <mergeCell ref="H44:J44"/>
    <mergeCell ref="K44:P44"/>
    <mergeCell ref="C38:G38"/>
    <mergeCell ref="H38:J38"/>
    <mergeCell ref="K38:P38"/>
    <mergeCell ref="C39:G42"/>
    <mergeCell ref="H39:J39"/>
    <mergeCell ref="K39:P39"/>
    <mergeCell ref="H40:J40"/>
    <mergeCell ref="K40:P40"/>
    <mergeCell ref="H41:J41"/>
    <mergeCell ref="K41:P41"/>
    <mergeCell ref="C45:G45"/>
    <mergeCell ref="H45:J45"/>
    <mergeCell ref="K45:P45"/>
    <mergeCell ref="C46:G49"/>
    <mergeCell ref="H46:J46"/>
    <mergeCell ref="K46:P46"/>
    <mergeCell ref="H47:J47"/>
    <mergeCell ref="K47:P47"/>
    <mergeCell ref="H48:J48"/>
    <mergeCell ref="K48:P48"/>
    <mergeCell ref="H52:J52"/>
    <mergeCell ref="K52:P52"/>
    <mergeCell ref="H49:J49"/>
    <mergeCell ref="K49:P49"/>
    <mergeCell ref="C50:G51"/>
    <mergeCell ref="H50:J50"/>
    <mergeCell ref="K50:P50"/>
    <mergeCell ref="H51:J51"/>
    <mergeCell ref="K51:P51"/>
    <mergeCell ref="I18:J18"/>
    <mergeCell ref="Q18:S18"/>
    <mergeCell ref="T18:U18"/>
    <mergeCell ref="A66:Q69"/>
    <mergeCell ref="R66:T69"/>
    <mergeCell ref="V67:Y68"/>
    <mergeCell ref="H58:J58"/>
    <mergeCell ref="A62:Q62"/>
    <mergeCell ref="R62:T62"/>
    <mergeCell ref="U62:Z62"/>
    <mergeCell ref="A63:Q64"/>
    <mergeCell ref="R63:T65"/>
    <mergeCell ref="U63:Z65"/>
    <mergeCell ref="C55:G55"/>
    <mergeCell ref="H55:J55"/>
    <mergeCell ref="K55:P55"/>
    <mergeCell ref="B56:G56"/>
    <mergeCell ref="H56:J56"/>
    <mergeCell ref="K56:L58"/>
    <mergeCell ref="M56:P58"/>
    <mergeCell ref="B57:G57"/>
    <mergeCell ref="H57:J57"/>
    <mergeCell ref="B58:G58"/>
    <mergeCell ref="C52:G52"/>
  </mergeCells>
  <printOptions horizontalCentered="1"/>
  <pageMargins left="0.39370078740157" right="0.39370078740157" top="0.39370078740157" bottom="0.39370078740157" header="0" footer="0.19685039370078999"/>
  <pageSetup paperSize="9" scale="69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27C8-3779-4D07-BDE9-85E48C6DED27}">
  <sheetPr>
    <pageSetUpPr fitToPage="1"/>
  </sheetPr>
  <dimension ref="A1:AA76"/>
  <sheetViews>
    <sheetView tabSelected="1" topLeftCell="A40" workbookViewId="0">
      <selection activeCell="H27" sqref="H27:J27"/>
    </sheetView>
  </sheetViews>
  <sheetFormatPr baseColWidth="10" defaultColWidth="11.44140625" defaultRowHeight="12.75" customHeight="1" x14ac:dyDescent="0.25"/>
  <cols>
    <col min="1" max="1" width="5.109375" style="66" customWidth="1"/>
    <col min="2" max="26" width="5.109375" style="65" customWidth="1"/>
    <col min="27" max="27" width="11.44140625" style="65"/>
  </cols>
  <sheetData>
    <row r="1" spans="1:26" ht="12.75" customHeight="1" x14ac:dyDescent="0.25">
      <c r="A1" s="253"/>
      <c r="B1" s="254"/>
      <c r="C1" s="254"/>
      <c r="D1" s="254"/>
      <c r="E1" s="254"/>
      <c r="F1" s="255"/>
      <c r="G1" s="262" t="s">
        <v>0</v>
      </c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4"/>
      <c r="U1" s="265" t="s">
        <v>61</v>
      </c>
      <c r="V1" s="266"/>
      <c r="W1" s="266"/>
      <c r="X1" s="266"/>
      <c r="Y1" s="266"/>
      <c r="Z1" s="267"/>
    </row>
    <row r="2" spans="1:26" ht="12.75" customHeight="1" x14ac:dyDescent="0.25">
      <c r="A2" s="256"/>
      <c r="B2" s="257"/>
      <c r="C2" s="257"/>
      <c r="D2" s="257"/>
      <c r="E2" s="257"/>
      <c r="F2" s="258"/>
      <c r="G2" s="274" t="s">
        <v>1</v>
      </c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6"/>
      <c r="U2" s="268"/>
      <c r="V2" s="269"/>
      <c r="W2" s="269"/>
      <c r="X2" s="269"/>
      <c r="Y2" s="269"/>
      <c r="Z2" s="270"/>
    </row>
    <row r="3" spans="1:26" ht="12.75" customHeight="1" x14ac:dyDescent="0.25">
      <c r="A3" s="256"/>
      <c r="B3" s="257"/>
      <c r="C3" s="257"/>
      <c r="D3" s="257"/>
      <c r="E3" s="257"/>
      <c r="F3" s="258"/>
      <c r="G3" s="274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6"/>
      <c r="U3" s="268"/>
      <c r="V3" s="269"/>
      <c r="W3" s="269"/>
      <c r="X3" s="269"/>
      <c r="Y3" s="269"/>
      <c r="Z3" s="270"/>
    </row>
    <row r="4" spans="1:26" ht="12.75" customHeight="1" x14ac:dyDescent="0.25">
      <c r="A4" s="256"/>
      <c r="B4" s="257"/>
      <c r="C4" s="257"/>
      <c r="D4" s="257"/>
      <c r="E4" s="257"/>
      <c r="F4" s="258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68"/>
      <c r="V4" s="269"/>
      <c r="W4" s="269"/>
      <c r="X4" s="269"/>
      <c r="Y4" s="269"/>
      <c r="Z4" s="270"/>
    </row>
    <row r="5" spans="1:26" ht="12.75" customHeight="1" x14ac:dyDescent="0.25">
      <c r="A5" s="256"/>
      <c r="B5" s="257"/>
      <c r="C5" s="257"/>
      <c r="D5" s="257"/>
      <c r="E5" s="257"/>
      <c r="F5" s="258"/>
      <c r="G5" s="277" t="s">
        <v>2</v>
      </c>
      <c r="H5" s="278"/>
      <c r="I5" s="279">
        <v>2</v>
      </c>
      <c r="J5" s="279"/>
      <c r="K5" s="280"/>
      <c r="L5" s="281" t="s">
        <v>64</v>
      </c>
      <c r="M5" s="282"/>
      <c r="N5" s="282"/>
      <c r="O5" s="283"/>
      <c r="P5" s="284" t="s">
        <v>89</v>
      </c>
      <c r="Q5" s="285"/>
      <c r="R5" s="285"/>
      <c r="S5" s="285"/>
      <c r="T5" s="286"/>
      <c r="U5" s="268"/>
      <c r="V5" s="269"/>
      <c r="W5" s="269"/>
      <c r="X5" s="269"/>
      <c r="Y5" s="269"/>
      <c r="Z5" s="270"/>
    </row>
    <row r="6" spans="1:26" ht="12.75" customHeight="1" x14ac:dyDescent="0.25">
      <c r="A6" s="259"/>
      <c r="B6" s="260"/>
      <c r="C6" s="260"/>
      <c r="D6" s="260"/>
      <c r="E6" s="260"/>
      <c r="F6" s="261"/>
      <c r="G6" s="136"/>
      <c r="H6" s="95"/>
      <c r="I6" s="249" t="s">
        <v>4</v>
      </c>
      <c r="J6" s="249"/>
      <c r="K6" s="249"/>
      <c r="L6" s="249" t="s">
        <v>5</v>
      </c>
      <c r="M6" s="249"/>
      <c r="N6" s="249"/>
      <c r="O6" s="249"/>
      <c r="P6" s="249" t="s">
        <v>6</v>
      </c>
      <c r="Q6" s="249"/>
      <c r="R6" s="249"/>
      <c r="S6" s="249"/>
      <c r="T6" s="250"/>
      <c r="U6" s="271"/>
      <c r="V6" s="272"/>
      <c r="W6" s="272"/>
      <c r="X6" s="272"/>
      <c r="Y6" s="272"/>
      <c r="Z6" s="273"/>
    </row>
    <row r="7" spans="1:26" ht="36.6" customHeight="1" x14ac:dyDescent="0.25">
      <c r="A7" s="251" t="s">
        <v>7</v>
      </c>
      <c r="B7" s="251"/>
      <c r="C7" s="251"/>
      <c r="D7" s="251"/>
      <c r="E7" s="251"/>
      <c r="F7" s="251"/>
      <c r="G7" s="252" t="s">
        <v>8</v>
      </c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 spans="1:26" ht="15.9" customHeight="1" x14ac:dyDescent="0.25">
      <c r="A8" s="114" t="s">
        <v>9</v>
      </c>
      <c r="B8" s="90" t="s">
        <v>10</v>
      </c>
      <c r="C8" s="87"/>
      <c r="D8" s="135"/>
      <c r="E8" s="135"/>
      <c r="F8" s="135"/>
      <c r="G8" s="135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110"/>
    </row>
    <row r="9" spans="1:26" ht="8.25" customHeight="1" x14ac:dyDescent="0.25">
      <c r="A9" s="99"/>
      <c r="D9" s="66"/>
      <c r="E9" s="66"/>
      <c r="F9" s="66"/>
      <c r="G9" s="66"/>
      <c r="Z9" s="98"/>
    </row>
    <row r="10" spans="1:26" ht="15.9" customHeight="1" x14ac:dyDescent="0.25">
      <c r="A10" s="99"/>
      <c r="B10" s="246" t="s">
        <v>11</v>
      </c>
      <c r="C10" s="246"/>
      <c r="D10" s="246"/>
      <c r="E10" s="246"/>
      <c r="F10" s="246"/>
      <c r="G10" s="246"/>
      <c r="H10" s="247" t="s">
        <v>12</v>
      </c>
      <c r="I10" s="247"/>
      <c r="J10" s="247"/>
      <c r="K10" s="247"/>
      <c r="L10" s="247"/>
      <c r="M10" s="247"/>
      <c r="N10" s="246" t="s">
        <v>13</v>
      </c>
      <c r="O10" s="246"/>
      <c r="P10" s="246"/>
      <c r="Q10" s="246"/>
      <c r="R10" s="246"/>
      <c r="S10" s="248" t="s">
        <v>14</v>
      </c>
      <c r="T10" s="248"/>
      <c r="U10" s="248"/>
      <c r="V10" s="248"/>
      <c r="W10" s="248"/>
      <c r="X10" s="248"/>
      <c r="Y10" s="248"/>
      <c r="Z10" s="134"/>
    </row>
    <row r="11" spans="1:26" ht="15.9" customHeight="1" x14ac:dyDescent="0.25">
      <c r="A11" s="99"/>
      <c r="B11" s="246" t="s">
        <v>15</v>
      </c>
      <c r="C11" s="246"/>
      <c r="D11" s="246"/>
      <c r="E11" s="246"/>
      <c r="F11" s="246"/>
      <c r="G11" s="246"/>
      <c r="H11" s="247" t="s">
        <v>89</v>
      </c>
      <c r="I11" s="247"/>
      <c r="J11" s="247"/>
      <c r="K11" s="247"/>
      <c r="L11" s="247"/>
      <c r="M11" s="247"/>
      <c r="N11" s="246" t="s">
        <v>16</v>
      </c>
      <c r="O11" s="246"/>
      <c r="P11" s="246"/>
      <c r="Q11" s="246"/>
      <c r="R11" s="246"/>
      <c r="S11" s="248" t="s">
        <v>88</v>
      </c>
      <c r="T11" s="248"/>
      <c r="U11" s="248"/>
      <c r="V11" s="248"/>
      <c r="W11" s="248"/>
      <c r="X11" s="248"/>
      <c r="Y11" s="248"/>
      <c r="Z11" s="134"/>
    </row>
    <row r="12" spans="1:26" ht="15.9" customHeight="1" x14ac:dyDescent="0.25">
      <c r="A12" s="99"/>
      <c r="B12" s="246" t="s">
        <v>18</v>
      </c>
      <c r="C12" s="246"/>
      <c r="D12" s="246"/>
      <c r="E12" s="246"/>
      <c r="F12" s="246"/>
      <c r="G12" s="246"/>
      <c r="H12" s="247" t="s">
        <v>87</v>
      </c>
      <c r="I12" s="247"/>
      <c r="J12" s="247"/>
      <c r="K12" s="247"/>
      <c r="L12" s="247"/>
      <c r="M12" s="247"/>
      <c r="N12" s="246" t="s">
        <v>20</v>
      </c>
      <c r="O12" s="246"/>
      <c r="P12" s="246"/>
      <c r="Q12" s="246"/>
      <c r="R12" s="246"/>
      <c r="S12" s="248" t="s">
        <v>86</v>
      </c>
      <c r="T12" s="248"/>
      <c r="U12" s="248"/>
      <c r="V12" s="248"/>
      <c r="W12" s="248"/>
      <c r="X12" s="248"/>
      <c r="Y12" s="248"/>
      <c r="Z12" s="134"/>
    </row>
    <row r="13" spans="1:26" ht="8.25" customHeight="1" x14ac:dyDescent="0.25">
      <c r="A13" s="133"/>
      <c r="B13" s="95"/>
      <c r="C13" s="95"/>
      <c r="D13" s="132"/>
      <c r="E13" s="132"/>
      <c r="F13" s="132"/>
      <c r="G13" s="132"/>
      <c r="H13" s="95"/>
      <c r="I13" s="95"/>
      <c r="J13" s="95"/>
      <c r="K13" s="95"/>
      <c r="L13" s="95"/>
      <c r="M13" s="95"/>
      <c r="N13" s="131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4"/>
    </row>
    <row r="14" spans="1:26" s="67" customFormat="1" ht="15" customHeight="1" x14ac:dyDescent="0.25">
      <c r="B14" s="129"/>
      <c r="C14" s="129"/>
      <c r="K14" s="130"/>
      <c r="L14" s="129"/>
      <c r="M14" s="128"/>
    </row>
    <row r="15" spans="1:26" s="67" customFormat="1" ht="15.6" customHeight="1" x14ac:dyDescent="0.25">
      <c r="A15" s="114" t="s">
        <v>22</v>
      </c>
      <c r="B15" s="127" t="s">
        <v>23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5"/>
    </row>
    <row r="16" spans="1:26" s="67" customFormat="1" ht="15" customHeight="1" x14ac:dyDescent="0.25">
      <c r="A16" s="122"/>
      <c r="B16" s="124"/>
      <c r="Z16" s="123"/>
    </row>
    <row r="17" spans="1:26" s="67" customFormat="1" ht="15" customHeight="1" x14ac:dyDescent="0.25">
      <c r="A17" s="122"/>
      <c r="B17" s="231" t="s">
        <v>24</v>
      </c>
      <c r="C17" s="231"/>
      <c r="D17" s="231"/>
      <c r="E17" s="231"/>
      <c r="F17" s="231"/>
      <c r="G17" s="231"/>
      <c r="H17" s="231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119"/>
    </row>
    <row r="18" spans="1:26" s="67" customFormat="1" ht="15" customHeight="1" x14ac:dyDescent="0.25">
      <c r="A18" s="122"/>
      <c r="B18" s="231" t="s">
        <v>25</v>
      </c>
      <c r="C18" s="231"/>
      <c r="D18" s="231"/>
      <c r="E18" s="231"/>
      <c r="F18" s="231"/>
      <c r="G18" s="231"/>
      <c r="H18" s="231"/>
      <c r="I18" s="156" t="s">
        <v>90</v>
      </c>
      <c r="J18" s="156"/>
      <c r="K18" s="158" t="s">
        <v>26</v>
      </c>
      <c r="L18" s="158"/>
      <c r="M18" s="121">
        <v>70</v>
      </c>
      <c r="N18" s="120" t="s">
        <v>27</v>
      </c>
      <c r="O18" s="120"/>
      <c r="P18" s="120"/>
      <c r="Q18" s="294" t="s">
        <v>91</v>
      </c>
      <c r="R18" s="294"/>
      <c r="S18" s="294"/>
      <c r="T18" s="158" t="s">
        <v>26</v>
      </c>
      <c r="U18" s="158"/>
      <c r="V18" s="121">
        <v>90</v>
      </c>
      <c r="W18" s="120" t="s">
        <v>27</v>
      </c>
      <c r="X18" s="120"/>
      <c r="Y18" s="120"/>
      <c r="Z18" s="119"/>
    </row>
    <row r="19" spans="1:26" s="67" customFormat="1" ht="13.2" customHeight="1" x14ac:dyDescent="0.25">
      <c r="A19" s="118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6"/>
    </row>
    <row r="20" spans="1:26" ht="12.75" customHeight="1" x14ac:dyDescent="0.25">
      <c r="D20" s="66"/>
      <c r="E20" s="66"/>
      <c r="F20" s="66"/>
      <c r="G20" s="66"/>
      <c r="N20" s="115"/>
    </row>
    <row r="21" spans="1:26" ht="15.9" customHeight="1" x14ac:dyDescent="0.25">
      <c r="A21" s="114" t="s">
        <v>28</v>
      </c>
      <c r="B21" s="113" t="s">
        <v>29</v>
      </c>
      <c r="C21" s="111"/>
      <c r="D21" s="112"/>
      <c r="E21" s="112"/>
      <c r="F21" s="112"/>
      <c r="G21" s="112"/>
      <c r="H21" s="111"/>
      <c r="I21" s="111"/>
      <c r="J21" s="233" t="s">
        <v>30</v>
      </c>
      <c r="K21" s="233"/>
      <c r="L21" s="233"/>
      <c r="M21" s="233"/>
      <c r="N21" s="233"/>
      <c r="O21" s="233"/>
      <c r="P21" s="233"/>
      <c r="Q21" s="108">
        <v>600</v>
      </c>
      <c r="R21" s="87"/>
      <c r="S21" s="87"/>
      <c r="T21" s="87"/>
      <c r="U21" s="87"/>
      <c r="V21" s="87"/>
      <c r="W21" s="87"/>
      <c r="X21" s="87"/>
      <c r="Y21" s="87"/>
      <c r="Z21" s="110"/>
    </row>
    <row r="22" spans="1:26" ht="12.75" customHeight="1" x14ac:dyDescent="0.25">
      <c r="A22" s="99"/>
      <c r="B22" s="109"/>
      <c r="Z22" s="98"/>
    </row>
    <row r="23" spans="1:26" ht="15.75" customHeight="1" x14ac:dyDescent="0.25">
      <c r="A23" s="99"/>
      <c r="B23" s="234" t="s">
        <v>31</v>
      </c>
      <c r="C23" s="236" t="s">
        <v>32</v>
      </c>
      <c r="D23" s="236"/>
      <c r="E23" s="236"/>
      <c r="F23" s="236"/>
      <c r="G23" s="237"/>
      <c r="H23" s="240" t="s">
        <v>33</v>
      </c>
      <c r="I23" s="241"/>
      <c r="J23" s="242"/>
      <c r="K23" s="236" t="s">
        <v>34</v>
      </c>
      <c r="L23" s="236"/>
      <c r="M23" s="236"/>
      <c r="N23" s="236"/>
      <c r="O23" s="236"/>
      <c r="P23" s="237"/>
      <c r="Z23" s="98"/>
    </row>
    <row r="24" spans="1:26" ht="15.75" customHeight="1" x14ac:dyDescent="0.25">
      <c r="A24" s="99"/>
      <c r="B24" s="235"/>
      <c r="C24" s="238"/>
      <c r="D24" s="238"/>
      <c r="E24" s="238"/>
      <c r="F24" s="238"/>
      <c r="G24" s="239"/>
      <c r="H24" s="243" t="s">
        <v>35</v>
      </c>
      <c r="I24" s="244"/>
      <c r="J24" s="245"/>
      <c r="K24" s="238"/>
      <c r="L24" s="238"/>
      <c r="M24" s="238"/>
      <c r="N24" s="238"/>
      <c r="O24" s="238"/>
      <c r="P24" s="239"/>
      <c r="Z24" s="98"/>
    </row>
    <row r="25" spans="1:26" ht="19.5" customHeight="1" x14ac:dyDescent="0.25">
      <c r="A25" s="99"/>
      <c r="B25" s="107">
        <v>1</v>
      </c>
      <c r="C25" s="221" t="s">
        <v>67</v>
      </c>
      <c r="D25" s="222"/>
      <c r="E25" s="222"/>
      <c r="F25" s="222"/>
      <c r="G25" s="223"/>
      <c r="H25" s="218">
        <v>39</v>
      </c>
      <c r="I25" s="292"/>
      <c r="J25" s="293"/>
      <c r="K25" s="221"/>
      <c r="L25" s="222"/>
      <c r="M25" s="222"/>
      <c r="N25" s="222"/>
      <c r="O25" s="222"/>
      <c r="P25" s="223"/>
      <c r="Z25" s="98"/>
    </row>
    <row r="26" spans="1:26" ht="19.5" customHeight="1" x14ac:dyDescent="0.25">
      <c r="A26" s="99"/>
      <c r="B26" s="107">
        <v>2</v>
      </c>
      <c r="C26" s="212" t="s">
        <v>85</v>
      </c>
      <c r="D26" s="213"/>
      <c r="E26" s="213"/>
      <c r="F26" s="213"/>
      <c r="G26" s="214"/>
      <c r="H26" s="218">
        <v>55</v>
      </c>
      <c r="I26" s="292"/>
      <c r="J26" s="293"/>
      <c r="K26" s="221"/>
      <c r="L26" s="222"/>
      <c r="M26" s="222"/>
      <c r="N26" s="222"/>
      <c r="O26" s="222"/>
      <c r="P26" s="223"/>
      <c r="Z26" s="98"/>
    </row>
    <row r="27" spans="1:26" ht="19.5" customHeight="1" x14ac:dyDescent="0.25">
      <c r="A27" s="99"/>
      <c r="B27" s="107">
        <v>3</v>
      </c>
      <c r="C27" s="191"/>
      <c r="D27" s="192"/>
      <c r="E27" s="192"/>
      <c r="F27" s="192"/>
      <c r="G27" s="230"/>
      <c r="H27" s="218">
        <v>87</v>
      </c>
      <c r="I27" s="292"/>
      <c r="J27" s="293"/>
      <c r="K27" s="221"/>
      <c r="L27" s="222"/>
      <c r="M27" s="222"/>
      <c r="N27" s="222"/>
      <c r="O27" s="222"/>
      <c r="P27" s="223"/>
      <c r="Z27" s="98"/>
    </row>
    <row r="28" spans="1:26" ht="19.5" customHeight="1" x14ac:dyDescent="0.25">
      <c r="A28" s="99"/>
      <c r="B28" s="107">
        <v>4</v>
      </c>
      <c r="C28" s="191"/>
      <c r="D28" s="192"/>
      <c r="E28" s="192"/>
      <c r="F28" s="192"/>
      <c r="G28" s="230"/>
      <c r="H28" s="218">
        <v>31</v>
      </c>
      <c r="I28" s="292"/>
      <c r="J28" s="293"/>
      <c r="K28" s="221"/>
      <c r="L28" s="222"/>
      <c r="M28" s="222"/>
      <c r="N28" s="222"/>
      <c r="O28" s="222"/>
      <c r="P28" s="223"/>
      <c r="Z28" s="98"/>
    </row>
    <row r="29" spans="1:26" ht="19.5" customHeight="1" x14ac:dyDescent="0.25">
      <c r="A29" s="99"/>
      <c r="B29" s="107">
        <v>5</v>
      </c>
      <c r="C29" s="215"/>
      <c r="D29" s="216"/>
      <c r="E29" s="216"/>
      <c r="F29" s="216"/>
      <c r="G29" s="217"/>
      <c r="H29" s="218">
        <v>99</v>
      </c>
      <c r="I29" s="292"/>
      <c r="J29" s="293"/>
      <c r="K29" s="221"/>
      <c r="L29" s="222"/>
      <c r="M29" s="222"/>
      <c r="N29" s="222"/>
      <c r="O29" s="222"/>
      <c r="P29" s="223"/>
      <c r="Z29" s="98"/>
    </row>
    <row r="30" spans="1:26" ht="19.5" customHeight="1" x14ac:dyDescent="0.25">
      <c r="A30" s="99"/>
      <c r="B30" s="107">
        <v>6</v>
      </c>
      <c r="C30" s="212" t="s">
        <v>84</v>
      </c>
      <c r="D30" s="213"/>
      <c r="E30" s="213"/>
      <c r="F30" s="213"/>
      <c r="G30" s="214"/>
      <c r="H30" s="218">
        <v>86</v>
      </c>
      <c r="I30" s="292"/>
      <c r="J30" s="293"/>
      <c r="K30" s="221"/>
      <c r="L30" s="222"/>
      <c r="M30" s="222"/>
      <c r="N30" s="222"/>
      <c r="O30" s="222"/>
      <c r="P30" s="223"/>
      <c r="Z30" s="98"/>
    </row>
    <row r="31" spans="1:26" ht="19.5" customHeight="1" x14ac:dyDescent="0.25">
      <c r="A31" s="99"/>
      <c r="B31" s="107">
        <v>7</v>
      </c>
      <c r="C31" s="215"/>
      <c r="D31" s="216"/>
      <c r="E31" s="216"/>
      <c r="F31" s="216"/>
      <c r="G31" s="217"/>
      <c r="H31" s="218">
        <v>65</v>
      </c>
      <c r="I31" s="292"/>
      <c r="J31" s="293"/>
      <c r="K31" s="221"/>
      <c r="L31" s="222"/>
      <c r="M31" s="222"/>
      <c r="N31" s="222"/>
      <c r="O31" s="222"/>
      <c r="P31" s="223"/>
      <c r="Z31" s="98"/>
    </row>
    <row r="32" spans="1:26" ht="19.5" customHeight="1" x14ac:dyDescent="0.25">
      <c r="A32" s="99"/>
      <c r="B32" s="107">
        <v>8</v>
      </c>
      <c r="C32" s="221" t="s">
        <v>67</v>
      </c>
      <c r="D32" s="222"/>
      <c r="E32" s="222"/>
      <c r="F32" s="222"/>
      <c r="G32" s="223"/>
      <c r="H32" s="218">
        <v>44</v>
      </c>
      <c r="I32" s="292"/>
      <c r="J32" s="293"/>
      <c r="K32" s="221"/>
      <c r="L32" s="222"/>
      <c r="M32" s="222"/>
      <c r="N32" s="222"/>
      <c r="O32" s="222"/>
      <c r="P32" s="223"/>
      <c r="Z32" s="98"/>
    </row>
    <row r="33" spans="1:26" ht="19.5" customHeight="1" x14ac:dyDescent="0.25">
      <c r="A33" s="99"/>
      <c r="B33" s="107">
        <v>9</v>
      </c>
      <c r="C33" s="212" t="s">
        <v>83</v>
      </c>
      <c r="D33" s="213"/>
      <c r="E33" s="213"/>
      <c r="F33" s="213"/>
      <c r="G33" s="214"/>
      <c r="H33" s="218">
        <v>63</v>
      </c>
      <c r="I33" s="292"/>
      <c r="J33" s="293"/>
      <c r="K33" s="221"/>
      <c r="L33" s="222"/>
      <c r="M33" s="222"/>
      <c r="N33" s="222"/>
      <c r="O33" s="222"/>
      <c r="P33" s="223"/>
      <c r="Z33" s="98"/>
    </row>
    <row r="34" spans="1:26" ht="19.5" customHeight="1" x14ac:dyDescent="0.25">
      <c r="A34" s="99"/>
      <c r="B34" s="107">
        <v>10</v>
      </c>
      <c r="C34" s="191"/>
      <c r="D34" s="192"/>
      <c r="E34" s="192"/>
      <c r="F34" s="192"/>
      <c r="G34" s="230"/>
      <c r="H34" s="218">
        <v>64</v>
      </c>
      <c r="I34" s="292"/>
      <c r="J34" s="293"/>
      <c r="K34" s="221"/>
      <c r="L34" s="222"/>
      <c r="M34" s="222"/>
      <c r="N34" s="222"/>
      <c r="O34" s="222"/>
      <c r="P34" s="223"/>
      <c r="Z34" s="98"/>
    </row>
    <row r="35" spans="1:26" ht="19.5" customHeight="1" x14ac:dyDescent="0.25">
      <c r="A35" s="99"/>
      <c r="B35" s="107">
        <v>11</v>
      </c>
      <c r="C35" s="191"/>
      <c r="D35" s="192"/>
      <c r="E35" s="192"/>
      <c r="F35" s="192"/>
      <c r="G35" s="230"/>
      <c r="H35" s="218">
        <v>60</v>
      </c>
      <c r="I35" s="292"/>
      <c r="J35" s="293"/>
      <c r="K35" s="221"/>
      <c r="L35" s="222"/>
      <c r="M35" s="222"/>
      <c r="N35" s="222"/>
      <c r="O35" s="222"/>
      <c r="P35" s="223"/>
      <c r="Z35" s="98"/>
    </row>
    <row r="36" spans="1:26" ht="19.5" customHeight="1" x14ac:dyDescent="0.25">
      <c r="A36" s="99"/>
      <c r="B36" s="107">
        <v>12</v>
      </c>
      <c r="C36" s="215"/>
      <c r="D36" s="216"/>
      <c r="E36" s="216"/>
      <c r="F36" s="216"/>
      <c r="G36" s="217"/>
      <c r="H36" s="218">
        <v>89</v>
      </c>
      <c r="I36" s="292"/>
      <c r="J36" s="293"/>
      <c r="K36" s="221"/>
      <c r="L36" s="222"/>
      <c r="M36" s="222"/>
      <c r="N36" s="222"/>
      <c r="O36" s="222"/>
      <c r="P36" s="223"/>
      <c r="Z36" s="98"/>
    </row>
    <row r="37" spans="1:26" ht="19.5" customHeight="1" x14ac:dyDescent="0.25">
      <c r="A37" s="99"/>
      <c r="B37" s="107">
        <v>13</v>
      </c>
      <c r="C37" s="212" t="s">
        <v>82</v>
      </c>
      <c r="D37" s="213"/>
      <c r="E37" s="213"/>
      <c r="F37" s="213"/>
      <c r="G37" s="214"/>
      <c r="H37" s="218">
        <v>53</v>
      </c>
      <c r="I37" s="292"/>
      <c r="J37" s="293"/>
      <c r="K37" s="221"/>
      <c r="L37" s="222"/>
      <c r="M37" s="222"/>
      <c r="N37" s="222"/>
      <c r="O37" s="222"/>
      <c r="P37" s="223"/>
      <c r="Z37" s="98"/>
    </row>
    <row r="38" spans="1:26" ht="19.5" customHeight="1" x14ac:dyDescent="0.25">
      <c r="A38" s="99"/>
      <c r="B38" s="107">
        <v>14</v>
      </c>
      <c r="C38" s="215"/>
      <c r="D38" s="216"/>
      <c r="E38" s="216"/>
      <c r="F38" s="216"/>
      <c r="G38" s="217"/>
      <c r="H38" s="218">
        <v>50</v>
      </c>
      <c r="I38" s="292"/>
      <c r="J38" s="293"/>
      <c r="K38" s="221"/>
      <c r="L38" s="222"/>
      <c r="M38" s="222"/>
      <c r="N38" s="222"/>
      <c r="O38" s="222"/>
      <c r="P38" s="223"/>
      <c r="Z38" s="98"/>
    </row>
    <row r="39" spans="1:26" ht="19.5" customHeight="1" x14ac:dyDescent="0.25">
      <c r="A39" s="99"/>
      <c r="B39" s="107">
        <v>15</v>
      </c>
      <c r="C39" s="221" t="s">
        <v>67</v>
      </c>
      <c r="D39" s="222"/>
      <c r="E39" s="222"/>
      <c r="F39" s="222"/>
      <c r="G39" s="223"/>
      <c r="H39" s="218">
        <v>80</v>
      </c>
      <c r="I39" s="292"/>
      <c r="J39" s="293"/>
      <c r="K39" s="221"/>
      <c r="L39" s="222"/>
      <c r="M39" s="222"/>
      <c r="N39" s="222"/>
      <c r="O39" s="222"/>
      <c r="P39" s="223"/>
      <c r="Z39" s="98"/>
    </row>
    <row r="40" spans="1:26" ht="19.5" customHeight="1" x14ac:dyDescent="0.25">
      <c r="A40" s="99"/>
      <c r="B40" s="107">
        <v>16</v>
      </c>
      <c r="C40" s="212" t="s">
        <v>81</v>
      </c>
      <c r="D40" s="213"/>
      <c r="E40" s="213"/>
      <c r="F40" s="213"/>
      <c r="G40" s="214"/>
      <c r="H40" s="218">
        <v>112</v>
      </c>
      <c r="I40" s="292"/>
      <c r="J40" s="293"/>
      <c r="K40" s="221"/>
      <c r="L40" s="222"/>
      <c r="M40" s="222"/>
      <c r="N40" s="222"/>
      <c r="O40" s="222"/>
      <c r="P40" s="223"/>
      <c r="Z40" s="98"/>
    </row>
    <row r="41" spans="1:26" ht="19.5" customHeight="1" x14ac:dyDescent="0.25">
      <c r="A41" s="99"/>
      <c r="B41" s="107">
        <v>17</v>
      </c>
      <c r="C41" s="191"/>
      <c r="D41" s="192"/>
      <c r="E41" s="192"/>
      <c r="F41" s="192"/>
      <c r="G41" s="230"/>
      <c r="H41" s="218">
        <v>70</v>
      </c>
      <c r="I41" s="292"/>
      <c r="J41" s="293"/>
      <c r="K41" s="221"/>
      <c r="L41" s="222"/>
      <c r="M41" s="222"/>
      <c r="N41" s="222"/>
      <c r="O41" s="222"/>
      <c r="P41" s="223"/>
      <c r="Z41" s="98"/>
    </row>
    <row r="42" spans="1:26" ht="19.5" customHeight="1" x14ac:dyDescent="0.25">
      <c r="A42" s="99"/>
      <c r="B42" s="107">
        <v>18</v>
      </c>
      <c r="C42" s="191"/>
      <c r="D42" s="192"/>
      <c r="E42" s="192"/>
      <c r="F42" s="192"/>
      <c r="G42" s="230"/>
      <c r="H42" s="218">
        <v>102</v>
      </c>
      <c r="I42" s="292"/>
      <c r="J42" s="293"/>
      <c r="K42" s="221"/>
      <c r="L42" s="222"/>
      <c r="M42" s="222"/>
      <c r="N42" s="222"/>
      <c r="O42" s="222"/>
      <c r="P42" s="223"/>
      <c r="Z42" s="98"/>
    </row>
    <row r="43" spans="1:26" ht="19.5" customHeight="1" x14ac:dyDescent="0.25">
      <c r="A43" s="99"/>
      <c r="B43" s="107">
        <v>19</v>
      </c>
      <c r="C43" s="215"/>
      <c r="D43" s="216"/>
      <c r="E43" s="216"/>
      <c r="F43" s="216"/>
      <c r="G43" s="217"/>
      <c r="H43" s="218">
        <v>87</v>
      </c>
      <c r="I43" s="292"/>
      <c r="J43" s="293"/>
      <c r="K43" s="221"/>
      <c r="L43" s="222"/>
      <c r="M43" s="222"/>
      <c r="N43" s="222"/>
      <c r="O43" s="222"/>
      <c r="P43" s="223"/>
      <c r="Z43" s="98"/>
    </row>
    <row r="44" spans="1:26" ht="19.5" customHeight="1" x14ac:dyDescent="0.25">
      <c r="A44" s="99"/>
      <c r="B44" s="107">
        <v>20</v>
      </c>
      <c r="C44" s="212" t="s">
        <v>80</v>
      </c>
      <c r="D44" s="213"/>
      <c r="E44" s="213"/>
      <c r="F44" s="213"/>
      <c r="G44" s="214"/>
      <c r="H44" s="218">
        <v>88</v>
      </c>
      <c r="I44" s="292"/>
      <c r="J44" s="293"/>
      <c r="K44" s="221"/>
      <c r="L44" s="222"/>
      <c r="M44" s="222"/>
      <c r="N44" s="222"/>
      <c r="O44" s="222"/>
      <c r="P44" s="223"/>
      <c r="Z44" s="98"/>
    </row>
    <row r="45" spans="1:26" ht="19.5" customHeight="1" x14ac:dyDescent="0.25">
      <c r="A45" s="99"/>
      <c r="B45" s="107">
        <v>21</v>
      </c>
      <c r="C45" s="215"/>
      <c r="D45" s="216"/>
      <c r="E45" s="216"/>
      <c r="F45" s="216"/>
      <c r="G45" s="217"/>
      <c r="H45" s="218">
        <v>82</v>
      </c>
      <c r="I45" s="292"/>
      <c r="J45" s="293"/>
      <c r="K45" s="221"/>
      <c r="L45" s="222"/>
      <c r="M45" s="222"/>
      <c r="N45" s="222"/>
      <c r="O45" s="222"/>
      <c r="P45" s="223"/>
      <c r="Z45" s="98"/>
    </row>
    <row r="46" spans="1:26" ht="19.5" customHeight="1" x14ac:dyDescent="0.25">
      <c r="A46" s="99"/>
      <c r="B46" s="107">
        <v>22</v>
      </c>
      <c r="C46" s="221" t="s">
        <v>67</v>
      </c>
      <c r="D46" s="222"/>
      <c r="E46" s="222"/>
      <c r="F46" s="222"/>
      <c r="G46" s="223"/>
      <c r="H46" s="218">
        <v>64</v>
      </c>
      <c r="I46" s="292"/>
      <c r="J46" s="293"/>
      <c r="K46" s="221"/>
      <c r="L46" s="222"/>
      <c r="M46" s="222"/>
      <c r="N46" s="222"/>
      <c r="O46" s="222"/>
      <c r="P46" s="223"/>
      <c r="Z46" s="98"/>
    </row>
    <row r="47" spans="1:26" ht="19.5" customHeight="1" x14ac:dyDescent="0.25">
      <c r="A47" s="99"/>
      <c r="B47" s="107">
        <v>23</v>
      </c>
      <c r="C47" s="212" t="s">
        <v>79</v>
      </c>
      <c r="D47" s="213"/>
      <c r="E47" s="213"/>
      <c r="F47" s="213"/>
      <c r="G47" s="214"/>
      <c r="H47" s="218">
        <v>123</v>
      </c>
      <c r="I47" s="292"/>
      <c r="J47" s="293"/>
      <c r="K47" s="221"/>
      <c r="L47" s="222"/>
      <c r="M47" s="222"/>
      <c r="N47" s="222"/>
      <c r="O47" s="222"/>
      <c r="P47" s="223"/>
      <c r="Z47" s="98"/>
    </row>
    <row r="48" spans="1:26" ht="19.5" customHeight="1" x14ac:dyDescent="0.25">
      <c r="A48" s="99"/>
      <c r="B48" s="107">
        <v>24</v>
      </c>
      <c r="C48" s="191"/>
      <c r="D48" s="192"/>
      <c r="E48" s="192"/>
      <c r="F48" s="192"/>
      <c r="G48" s="230"/>
      <c r="H48" s="218">
        <v>93</v>
      </c>
      <c r="I48" s="292"/>
      <c r="J48" s="293"/>
      <c r="K48" s="221"/>
      <c r="L48" s="222"/>
      <c r="M48" s="222"/>
      <c r="N48" s="222"/>
      <c r="O48" s="222"/>
      <c r="P48" s="223"/>
      <c r="Z48" s="98"/>
    </row>
    <row r="49" spans="1:26" ht="19.5" customHeight="1" x14ac:dyDescent="0.25">
      <c r="A49" s="99"/>
      <c r="B49" s="107">
        <v>25</v>
      </c>
      <c r="C49" s="191"/>
      <c r="D49" s="192"/>
      <c r="E49" s="192"/>
      <c r="F49" s="192"/>
      <c r="G49" s="230"/>
      <c r="H49" s="218">
        <v>114</v>
      </c>
      <c r="I49" s="292"/>
      <c r="J49" s="293"/>
      <c r="K49" s="221"/>
      <c r="L49" s="222"/>
      <c r="M49" s="222"/>
      <c r="N49" s="222"/>
      <c r="O49" s="222"/>
      <c r="P49" s="223"/>
      <c r="Z49" s="98"/>
    </row>
    <row r="50" spans="1:26" ht="19.5" customHeight="1" x14ac:dyDescent="0.25">
      <c r="A50" s="99"/>
      <c r="B50" s="107">
        <v>26</v>
      </c>
      <c r="C50" s="215"/>
      <c r="D50" s="216"/>
      <c r="E50" s="216"/>
      <c r="F50" s="216"/>
      <c r="G50" s="217"/>
      <c r="H50" s="218">
        <v>101</v>
      </c>
      <c r="I50" s="292"/>
      <c r="J50" s="293"/>
      <c r="K50" s="221"/>
      <c r="L50" s="222"/>
      <c r="M50" s="222"/>
      <c r="N50" s="222"/>
      <c r="O50" s="222"/>
      <c r="P50" s="223"/>
      <c r="Z50" s="98"/>
    </row>
    <row r="51" spans="1:26" ht="19.5" customHeight="1" x14ac:dyDescent="0.25">
      <c r="A51" s="99"/>
      <c r="B51" s="107">
        <v>27</v>
      </c>
      <c r="C51" s="212" t="s">
        <v>78</v>
      </c>
      <c r="D51" s="213"/>
      <c r="E51" s="213"/>
      <c r="F51" s="213"/>
      <c r="G51" s="214"/>
      <c r="H51" s="218">
        <v>81</v>
      </c>
      <c r="I51" s="292"/>
      <c r="J51" s="293"/>
      <c r="K51" s="221"/>
      <c r="L51" s="222"/>
      <c r="M51" s="222"/>
      <c r="N51" s="222"/>
      <c r="O51" s="222"/>
      <c r="P51" s="223"/>
      <c r="Z51" s="98"/>
    </row>
    <row r="52" spans="1:26" ht="19.5" customHeight="1" x14ac:dyDescent="0.25">
      <c r="A52" s="99"/>
      <c r="B52" s="107">
        <v>28</v>
      </c>
      <c r="C52" s="215"/>
      <c r="D52" s="216"/>
      <c r="E52" s="216"/>
      <c r="F52" s="216"/>
      <c r="G52" s="217"/>
      <c r="H52" s="218">
        <v>109</v>
      </c>
      <c r="I52" s="292"/>
      <c r="J52" s="293"/>
      <c r="K52" s="221"/>
      <c r="L52" s="222"/>
      <c r="M52" s="222"/>
      <c r="N52" s="222"/>
      <c r="O52" s="222"/>
      <c r="P52" s="223"/>
      <c r="Z52" s="98"/>
    </row>
    <row r="53" spans="1:26" ht="19.5" customHeight="1" x14ac:dyDescent="0.25">
      <c r="A53" s="99"/>
      <c r="B53" s="107">
        <v>29</v>
      </c>
      <c r="C53" s="221" t="s">
        <v>67</v>
      </c>
      <c r="D53" s="222"/>
      <c r="E53" s="222"/>
      <c r="F53" s="222"/>
      <c r="G53" s="223"/>
      <c r="H53" s="218">
        <v>59</v>
      </c>
      <c r="I53" s="292"/>
      <c r="J53" s="293"/>
      <c r="K53" s="221"/>
      <c r="L53" s="222"/>
      <c r="M53" s="222"/>
      <c r="N53" s="222"/>
      <c r="O53" s="222"/>
      <c r="P53" s="223"/>
      <c r="Z53" s="98"/>
    </row>
    <row r="54" spans="1:26" ht="19.5" customHeight="1" thickBot="1" x14ac:dyDescent="0.3">
      <c r="A54" s="99"/>
      <c r="B54" s="100"/>
      <c r="C54" s="299"/>
      <c r="D54" s="299"/>
      <c r="E54" s="299"/>
      <c r="F54" s="299"/>
      <c r="G54" s="300"/>
      <c r="H54" s="295"/>
      <c r="I54" s="296"/>
      <c r="J54" s="297"/>
      <c r="K54" s="298"/>
      <c r="L54" s="299"/>
      <c r="M54" s="299"/>
      <c r="N54" s="299"/>
      <c r="O54" s="299"/>
      <c r="P54" s="300"/>
      <c r="Z54" s="98"/>
    </row>
    <row r="55" spans="1:26" ht="15.75" customHeight="1" x14ac:dyDescent="0.25">
      <c r="A55" s="99"/>
      <c r="B55" s="183" t="s">
        <v>47</v>
      </c>
      <c r="C55" s="184"/>
      <c r="D55" s="184"/>
      <c r="E55" s="184"/>
      <c r="F55" s="184"/>
      <c r="G55" s="185"/>
      <c r="H55" s="186">
        <f>AVERAGE(H25:J54)</f>
        <v>77.58620689655173</v>
      </c>
      <c r="I55" s="187"/>
      <c r="J55" s="188"/>
      <c r="K55" s="189">
        <v>65.5</v>
      </c>
      <c r="L55" s="190"/>
      <c r="M55" s="195" t="s">
        <v>49</v>
      </c>
      <c r="N55" s="195"/>
      <c r="O55" s="195"/>
      <c r="P55" s="196"/>
      <c r="Z55" s="98"/>
    </row>
    <row r="56" spans="1:26" ht="15.75" customHeight="1" x14ac:dyDescent="0.25">
      <c r="A56" s="99"/>
      <c r="B56" s="200" t="s">
        <v>50</v>
      </c>
      <c r="C56" s="201"/>
      <c r="D56" s="201"/>
      <c r="E56" s="201"/>
      <c r="F56" s="201"/>
      <c r="G56" s="202"/>
      <c r="H56" s="203">
        <f>IF(COUNTIF(H25:J54,"*&lt;20*"),"&lt;20",MIN(H25:J54))</f>
        <v>31</v>
      </c>
      <c r="I56" s="204"/>
      <c r="J56" s="205"/>
      <c r="K56" s="191"/>
      <c r="L56" s="192"/>
      <c r="M56" s="155"/>
      <c r="N56" s="155"/>
      <c r="O56" s="155"/>
      <c r="P56" s="197"/>
      <c r="Z56" s="98"/>
    </row>
    <row r="57" spans="1:26" ht="15.75" customHeight="1" thickBot="1" x14ac:dyDescent="0.3">
      <c r="A57" s="99"/>
      <c r="B57" s="206" t="s">
        <v>51</v>
      </c>
      <c r="C57" s="207"/>
      <c r="D57" s="207"/>
      <c r="E57" s="207"/>
      <c r="F57" s="207"/>
      <c r="G57" s="208"/>
      <c r="H57" s="209">
        <f>IF(COUNTIF(H25:J54,"*&gt;250*"),"&gt;250",MAX(H25:J54))</f>
        <v>123</v>
      </c>
      <c r="I57" s="210"/>
      <c r="J57" s="211"/>
      <c r="K57" s="193"/>
      <c r="L57" s="194"/>
      <c r="M57" s="198"/>
      <c r="N57" s="198"/>
      <c r="O57" s="198"/>
      <c r="P57" s="199"/>
      <c r="Z57" s="98"/>
    </row>
    <row r="58" spans="1:26" ht="15.9" customHeight="1" x14ac:dyDescent="0.25">
      <c r="A58" s="97"/>
      <c r="B58" s="96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4"/>
    </row>
    <row r="59" spans="1:26" ht="12.75" customHeight="1" x14ac:dyDescent="0.25">
      <c r="A59" s="93"/>
      <c r="B59" s="92"/>
    </row>
    <row r="60" spans="1:26" s="67" customFormat="1" ht="15.6" customHeight="1" x14ac:dyDescent="0.25">
      <c r="A60" s="91" t="s">
        <v>52</v>
      </c>
      <c r="B60" s="90" t="s">
        <v>53</v>
      </c>
      <c r="C60" s="89"/>
      <c r="D60" s="89"/>
      <c r="E60" s="89"/>
      <c r="F60" s="88"/>
      <c r="G60" s="88"/>
      <c r="H60" s="88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6"/>
      <c r="V60" s="85"/>
      <c r="W60" s="85"/>
      <c r="X60" s="84"/>
      <c r="Y60" s="84"/>
      <c r="Z60" s="83"/>
    </row>
    <row r="61" spans="1:26" s="67" customFormat="1" ht="28.5" customHeight="1" x14ac:dyDescent="0.25">
      <c r="A61" s="159" t="s">
        <v>54</v>
      </c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1"/>
      <c r="R61" s="149" t="s">
        <v>55</v>
      </c>
      <c r="S61" s="150"/>
      <c r="T61" s="151"/>
      <c r="U61" s="162" t="s">
        <v>12</v>
      </c>
      <c r="V61" s="163"/>
      <c r="W61" s="163"/>
      <c r="X61" s="164"/>
      <c r="Y61" s="164"/>
      <c r="Z61" s="165"/>
    </row>
    <row r="62" spans="1:26" s="67" customFormat="1" ht="15.6" customHeight="1" x14ac:dyDescent="0.25">
      <c r="A62" s="166" t="s">
        <v>63</v>
      </c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8"/>
      <c r="R62" s="149" t="s">
        <v>56</v>
      </c>
      <c r="S62" s="150"/>
      <c r="T62" s="151"/>
      <c r="U62" s="172" t="s">
        <v>57</v>
      </c>
      <c r="V62" s="173"/>
      <c r="W62" s="173"/>
      <c r="X62" s="174"/>
      <c r="Y62" s="174"/>
      <c r="Z62" s="175"/>
    </row>
    <row r="63" spans="1:26" s="67" customFormat="1" ht="15.6" customHeight="1" x14ac:dyDescent="0.25">
      <c r="A63" s="169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1"/>
      <c r="R63" s="149"/>
      <c r="S63" s="150"/>
      <c r="T63" s="151"/>
      <c r="U63" s="176"/>
      <c r="V63" s="155"/>
      <c r="W63" s="155"/>
      <c r="X63" s="177"/>
      <c r="Y63" s="177"/>
      <c r="Z63" s="178"/>
    </row>
    <row r="64" spans="1:26" s="67" customFormat="1" ht="15.6" customHeight="1" x14ac:dyDescent="0.25">
      <c r="A64" s="82" t="s">
        <v>58</v>
      </c>
      <c r="B64" s="81" t="s">
        <v>59</v>
      </c>
      <c r="C64" s="65"/>
      <c r="D64" s="65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79"/>
      <c r="R64" s="149"/>
      <c r="S64" s="150"/>
      <c r="T64" s="151"/>
      <c r="U64" s="179"/>
      <c r="V64" s="180"/>
      <c r="W64" s="180"/>
      <c r="X64" s="181"/>
      <c r="Y64" s="181"/>
      <c r="Z64" s="182"/>
    </row>
    <row r="65" spans="1:26" s="67" customFormat="1" ht="15.6" customHeight="1" x14ac:dyDescent="0.2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5"/>
      <c r="R65" s="149" t="s">
        <v>60</v>
      </c>
      <c r="S65" s="150"/>
      <c r="T65" s="151"/>
      <c r="U65" s="78"/>
      <c r="V65" s="77"/>
      <c r="W65" s="77"/>
      <c r="X65" s="77"/>
      <c r="Y65" s="77"/>
      <c r="Z65" s="76"/>
    </row>
    <row r="66" spans="1:26" s="67" customFormat="1" ht="15.6" customHeight="1" x14ac:dyDescent="0.25">
      <c r="A66" s="143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5"/>
      <c r="R66" s="149"/>
      <c r="S66" s="150"/>
      <c r="T66" s="151"/>
      <c r="U66" s="75"/>
      <c r="V66" s="155"/>
      <c r="W66" s="155"/>
      <c r="X66" s="155"/>
      <c r="Y66" s="155"/>
      <c r="Z66" s="74"/>
    </row>
    <row r="67" spans="1:26" s="67" customFormat="1" ht="15.6" customHeight="1" x14ac:dyDescent="0.2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5"/>
      <c r="R67" s="149"/>
      <c r="S67" s="150"/>
      <c r="T67" s="151"/>
      <c r="U67" s="75"/>
      <c r="V67" s="155"/>
      <c r="W67" s="155"/>
      <c r="X67" s="155"/>
      <c r="Y67" s="155"/>
      <c r="Z67" s="74"/>
    </row>
    <row r="68" spans="1:26" s="67" customFormat="1" ht="15.6" customHeight="1" x14ac:dyDescent="0.25">
      <c r="A68" s="146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8"/>
      <c r="R68" s="152"/>
      <c r="S68" s="153"/>
      <c r="T68" s="154"/>
      <c r="U68" s="73"/>
      <c r="V68" s="72"/>
      <c r="W68" s="72"/>
      <c r="X68" s="72"/>
      <c r="Y68" s="72"/>
      <c r="Z68" s="71"/>
    </row>
    <row r="69" spans="1:26" s="67" customFormat="1" ht="15" customHeight="1" x14ac:dyDescent="0.25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69"/>
      <c r="S69" s="69"/>
      <c r="T69" s="69"/>
      <c r="U69" s="68"/>
      <c r="V69" s="68"/>
      <c r="W69" s="68"/>
      <c r="X69" s="68"/>
      <c r="Y69" s="68"/>
      <c r="Z69" s="68"/>
    </row>
    <row r="71" spans="1:26" ht="12.75" customHeight="1" x14ac:dyDescent="0.25">
      <c r="A71" s="65"/>
    </row>
    <row r="72" spans="1:26" ht="12.75" customHeight="1" x14ac:dyDescent="0.25">
      <c r="A72" s="65"/>
    </row>
    <row r="73" spans="1:26" ht="12.75" customHeight="1" x14ac:dyDescent="0.25">
      <c r="A73" s="65"/>
    </row>
    <row r="74" spans="1:26" ht="12.75" customHeight="1" x14ac:dyDescent="0.25">
      <c r="A74" s="65"/>
    </row>
    <row r="75" spans="1:26" ht="12.75" customHeight="1" x14ac:dyDescent="0.25">
      <c r="A75" s="65"/>
    </row>
    <row r="76" spans="1:26" ht="12.75" customHeight="1" x14ac:dyDescent="0.25">
      <c r="A76" s="65"/>
    </row>
  </sheetData>
  <sheetProtection formatCells="0" formatColumns="0" formatRows="0" insertColumns="0" insertRows="0" insertHyperlinks="0" deleteColumns="0" deleteRows="0" selectLockedCells="1" sort="0" autoFilter="0" pivotTables="0"/>
  <mergeCells count="129">
    <mergeCell ref="H51:J51"/>
    <mergeCell ref="K51:P51"/>
    <mergeCell ref="C51:G52"/>
    <mergeCell ref="H52:J52"/>
    <mergeCell ref="K52:P52"/>
    <mergeCell ref="C53:G53"/>
    <mergeCell ref="H53:J53"/>
    <mergeCell ref="K53:P53"/>
    <mergeCell ref="H45:J45"/>
    <mergeCell ref="K45:P45"/>
    <mergeCell ref="C44:G45"/>
    <mergeCell ref="C46:G46"/>
    <mergeCell ref="H46:J46"/>
    <mergeCell ref="K46:P46"/>
    <mergeCell ref="H47:J47"/>
    <mergeCell ref="K47:P47"/>
    <mergeCell ref="C47:G50"/>
    <mergeCell ref="H48:J48"/>
    <mergeCell ref="K48:P48"/>
    <mergeCell ref="H49:J49"/>
    <mergeCell ref="K49:P49"/>
    <mergeCell ref="H50:J50"/>
    <mergeCell ref="K50:P50"/>
    <mergeCell ref="H41:J41"/>
    <mergeCell ref="K41:P41"/>
    <mergeCell ref="C40:G43"/>
    <mergeCell ref="H42:J42"/>
    <mergeCell ref="K42:P42"/>
    <mergeCell ref="H43:J43"/>
    <mergeCell ref="K43:P43"/>
    <mergeCell ref="H44:J44"/>
    <mergeCell ref="K44:P44"/>
    <mergeCell ref="H37:J37"/>
    <mergeCell ref="K37:P37"/>
    <mergeCell ref="C37:G38"/>
    <mergeCell ref="H38:J38"/>
    <mergeCell ref="K38:P38"/>
    <mergeCell ref="C39:G39"/>
    <mergeCell ref="H39:J39"/>
    <mergeCell ref="K39:P39"/>
    <mergeCell ref="H40:J40"/>
    <mergeCell ref="K40:P40"/>
    <mergeCell ref="U61:Z61"/>
    <mergeCell ref="U62:Z64"/>
    <mergeCell ref="H57:J57"/>
    <mergeCell ref="H55:J55"/>
    <mergeCell ref="H56:J56"/>
    <mergeCell ref="V66:Y67"/>
    <mergeCell ref="K18:L18"/>
    <mergeCell ref="H25:J25"/>
    <mergeCell ref="C25:G25"/>
    <mergeCell ref="H24:J24"/>
    <mergeCell ref="H23:J23"/>
    <mergeCell ref="B18:H18"/>
    <mergeCell ref="B23:B24"/>
    <mergeCell ref="C23:G24"/>
    <mergeCell ref="J21:P21"/>
    <mergeCell ref="H28:J28"/>
    <mergeCell ref="K28:P28"/>
    <mergeCell ref="H29:J29"/>
    <mergeCell ref="K29:P29"/>
    <mergeCell ref="H30:J30"/>
    <mergeCell ref="K30:P30"/>
    <mergeCell ref="H31:J31"/>
    <mergeCell ref="K31:P31"/>
    <mergeCell ref="C32:G32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L5:O5"/>
    <mergeCell ref="P5:T5"/>
    <mergeCell ref="L6:O6"/>
    <mergeCell ref="P6:T6"/>
    <mergeCell ref="H26:J26"/>
    <mergeCell ref="K26:P26"/>
    <mergeCell ref="H27:J27"/>
    <mergeCell ref="K27:P27"/>
    <mergeCell ref="N12:R12"/>
    <mergeCell ref="H12:M12"/>
    <mergeCell ref="H11:M11"/>
    <mergeCell ref="N11:R11"/>
    <mergeCell ref="I18:J18"/>
    <mergeCell ref="Q18:S18"/>
    <mergeCell ref="T18:U18"/>
    <mergeCell ref="B17:H17"/>
    <mergeCell ref="B12:G12"/>
    <mergeCell ref="B11:G11"/>
    <mergeCell ref="C26:G29"/>
    <mergeCell ref="C30:G31"/>
    <mergeCell ref="C33:G36"/>
    <mergeCell ref="H32:J32"/>
    <mergeCell ref="K32:P32"/>
    <mergeCell ref="H33:J33"/>
    <mergeCell ref="K33:P33"/>
    <mergeCell ref="H34:J34"/>
    <mergeCell ref="K34:P34"/>
    <mergeCell ref="H35:J35"/>
    <mergeCell ref="K35:P35"/>
    <mergeCell ref="H36:J36"/>
    <mergeCell ref="K36:P3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325"/>
      <c r="B1" s="326"/>
      <c r="C1" s="326"/>
      <c r="D1" s="326"/>
      <c r="E1" s="326"/>
      <c r="F1" s="327"/>
      <c r="G1" s="334" t="s">
        <v>0</v>
      </c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6"/>
      <c r="U1" s="265" t="s">
        <v>61</v>
      </c>
      <c r="V1" s="266"/>
      <c r="W1" s="266"/>
      <c r="X1" s="266"/>
      <c r="Y1" s="266"/>
      <c r="Z1" s="267"/>
    </row>
    <row r="2" spans="1:26" ht="12.75" customHeight="1" x14ac:dyDescent="0.25">
      <c r="A2" s="328"/>
      <c r="B2" s="329"/>
      <c r="C2" s="329"/>
      <c r="D2" s="329"/>
      <c r="E2" s="329"/>
      <c r="F2" s="330"/>
      <c r="G2" s="338" t="s">
        <v>1</v>
      </c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40"/>
      <c r="U2" s="268"/>
      <c r="V2" s="269"/>
      <c r="W2" s="269"/>
      <c r="X2" s="269"/>
      <c r="Y2" s="269"/>
      <c r="Z2" s="270"/>
    </row>
    <row r="3" spans="1:26" ht="12.75" customHeight="1" x14ac:dyDescent="0.25">
      <c r="A3" s="328"/>
      <c r="B3" s="329"/>
      <c r="C3" s="329"/>
      <c r="D3" s="329"/>
      <c r="E3" s="329"/>
      <c r="F3" s="330"/>
      <c r="G3" s="338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40"/>
      <c r="U3" s="268"/>
      <c r="V3" s="269"/>
      <c r="W3" s="269"/>
      <c r="X3" s="269"/>
      <c r="Y3" s="269"/>
      <c r="Z3" s="270"/>
    </row>
    <row r="4" spans="1:26" ht="12.75" customHeight="1" x14ac:dyDescent="0.25">
      <c r="A4" s="328"/>
      <c r="B4" s="329"/>
      <c r="C4" s="329"/>
      <c r="D4" s="329"/>
      <c r="E4" s="329"/>
      <c r="F4" s="330"/>
      <c r="G4" s="338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40"/>
      <c r="U4" s="268"/>
      <c r="V4" s="269"/>
      <c r="W4" s="269"/>
      <c r="X4" s="269"/>
      <c r="Y4" s="269"/>
      <c r="Z4" s="270"/>
    </row>
    <row r="5" spans="1:26" ht="12.75" customHeight="1" x14ac:dyDescent="0.25">
      <c r="A5" s="328"/>
      <c r="B5" s="329"/>
      <c r="C5" s="329"/>
      <c r="D5" s="329"/>
      <c r="E5" s="329"/>
      <c r="F5" s="330"/>
      <c r="G5" s="341" t="s">
        <v>2</v>
      </c>
      <c r="H5" s="342"/>
      <c r="I5" s="346">
        <v>1</v>
      </c>
      <c r="J5" s="346"/>
      <c r="K5" s="347"/>
      <c r="L5" s="349" t="s">
        <v>64</v>
      </c>
      <c r="M5" s="350"/>
      <c r="N5" s="350"/>
      <c r="O5" s="351"/>
      <c r="P5" s="352" t="s">
        <v>3</v>
      </c>
      <c r="Q5" s="353"/>
      <c r="R5" s="353"/>
      <c r="S5" s="353"/>
      <c r="T5" s="354"/>
      <c r="U5" s="268"/>
      <c r="V5" s="269"/>
      <c r="W5" s="269"/>
      <c r="X5" s="269"/>
      <c r="Y5" s="269"/>
      <c r="Z5" s="270"/>
    </row>
    <row r="6" spans="1:26" ht="12.75" customHeight="1" x14ac:dyDescent="0.25">
      <c r="A6" s="331"/>
      <c r="B6" s="332"/>
      <c r="C6" s="332"/>
      <c r="D6" s="332"/>
      <c r="E6" s="332"/>
      <c r="F6" s="333"/>
      <c r="G6" s="2"/>
      <c r="H6" s="3"/>
      <c r="I6" s="348" t="s">
        <v>4</v>
      </c>
      <c r="J6" s="348"/>
      <c r="K6" s="348"/>
      <c r="L6" s="348" t="s">
        <v>5</v>
      </c>
      <c r="M6" s="348"/>
      <c r="N6" s="348"/>
      <c r="O6" s="348"/>
      <c r="P6" s="348" t="s">
        <v>6</v>
      </c>
      <c r="Q6" s="348"/>
      <c r="R6" s="348"/>
      <c r="S6" s="348"/>
      <c r="T6" s="355"/>
      <c r="U6" s="271"/>
      <c r="V6" s="272"/>
      <c r="W6" s="272"/>
      <c r="X6" s="272"/>
      <c r="Y6" s="272"/>
      <c r="Z6" s="273"/>
    </row>
    <row r="7" spans="1:26" ht="36.6" customHeight="1" x14ac:dyDescent="0.25">
      <c r="A7" s="343" t="s">
        <v>7</v>
      </c>
      <c r="B7" s="343"/>
      <c r="C7" s="343"/>
      <c r="D7" s="343"/>
      <c r="E7" s="343"/>
      <c r="F7" s="343"/>
      <c r="G7" s="344" t="s">
        <v>8</v>
      </c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4"/>
      <c r="S7" s="344"/>
      <c r="T7" s="344"/>
      <c r="U7" s="344"/>
      <c r="V7" s="344"/>
      <c r="W7" s="344"/>
      <c r="X7" s="344"/>
      <c r="Y7" s="344"/>
      <c r="Z7" s="344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302" t="s">
        <v>11</v>
      </c>
      <c r="C10" s="302"/>
      <c r="D10" s="302"/>
      <c r="E10" s="302"/>
      <c r="F10" s="302"/>
      <c r="G10" s="302"/>
      <c r="H10" s="345" t="s">
        <v>12</v>
      </c>
      <c r="I10" s="345"/>
      <c r="J10" s="345"/>
      <c r="K10" s="345"/>
      <c r="L10" s="345"/>
      <c r="M10" s="345"/>
      <c r="N10" s="302" t="s">
        <v>13</v>
      </c>
      <c r="O10" s="302"/>
      <c r="P10" s="302"/>
      <c r="Q10" s="302"/>
      <c r="R10" s="302"/>
      <c r="S10" s="337" t="s">
        <v>14</v>
      </c>
      <c r="T10" s="337"/>
      <c r="U10" s="337"/>
      <c r="V10" s="337"/>
      <c r="W10" s="337"/>
      <c r="X10" s="337"/>
      <c r="Y10" s="337"/>
      <c r="Z10" s="12"/>
    </row>
    <row r="11" spans="1:26" ht="15.9" customHeight="1" x14ac:dyDescent="0.25">
      <c r="A11" s="9"/>
      <c r="B11" s="302" t="s">
        <v>15</v>
      </c>
      <c r="C11" s="302"/>
      <c r="D11" s="302"/>
      <c r="E11" s="302"/>
      <c r="F11" s="302"/>
      <c r="G11" s="302"/>
      <c r="H11" s="345" t="s">
        <v>3</v>
      </c>
      <c r="I11" s="345"/>
      <c r="J11" s="345"/>
      <c r="K11" s="345"/>
      <c r="L11" s="345"/>
      <c r="M11" s="345"/>
      <c r="N11" s="302" t="s">
        <v>16</v>
      </c>
      <c r="O11" s="302"/>
      <c r="P11" s="302"/>
      <c r="Q11" s="302"/>
      <c r="R11" s="302"/>
      <c r="S11" s="337" t="s">
        <v>17</v>
      </c>
      <c r="T11" s="337"/>
      <c r="U11" s="337"/>
      <c r="V11" s="337"/>
      <c r="W11" s="337"/>
      <c r="X11" s="337"/>
      <c r="Y11" s="337"/>
      <c r="Z11" s="12"/>
    </row>
    <row r="12" spans="1:26" ht="15.9" customHeight="1" x14ac:dyDescent="0.25">
      <c r="A12" s="9"/>
      <c r="B12" s="302" t="s">
        <v>18</v>
      </c>
      <c r="C12" s="302"/>
      <c r="D12" s="302"/>
      <c r="E12" s="302"/>
      <c r="F12" s="302"/>
      <c r="G12" s="302"/>
      <c r="H12" s="345" t="s">
        <v>19</v>
      </c>
      <c r="I12" s="345"/>
      <c r="J12" s="345"/>
      <c r="K12" s="345"/>
      <c r="L12" s="345"/>
      <c r="M12" s="345"/>
      <c r="N12" s="302" t="s">
        <v>20</v>
      </c>
      <c r="O12" s="302"/>
      <c r="P12" s="302"/>
      <c r="Q12" s="302"/>
      <c r="R12" s="302"/>
      <c r="S12" s="337" t="s">
        <v>21</v>
      </c>
      <c r="T12" s="337"/>
      <c r="U12" s="337"/>
      <c r="V12" s="337"/>
      <c r="W12" s="337"/>
      <c r="X12" s="337"/>
      <c r="Y12" s="337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301" t="s">
        <v>24</v>
      </c>
      <c r="C17" s="301"/>
      <c r="D17" s="301"/>
      <c r="E17" s="301"/>
      <c r="F17" s="301"/>
      <c r="G17" s="301"/>
      <c r="H17" s="301"/>
      <c r="I17" s="386"/>
      <c r="J17" s="386"/>
      <c r="K17" s="386"/>
      <c r="L17" s="386"/>
      <c r="M17" s="386"/>
      <c r="N17" s="386"/>
      <c r="O17" s="386"/>
      <c r="P17" s="386"/>
      <c r="Q17" s="386"/>
      <c r="R17" s="386"/>
      <c r="S17" s="386"/>
      <c r="T17" s="386"/>
      <c r="U17" s="386"/>
      <c r="V17" s="386"/>
      <c r="W17" s="386"/>
      <c r="X17" s="386"/>
      <c r="Y17" s="386"/>
      <c r="Z17" s="28"/>
    </row>
    <row r="18" spans="1:26" s="17" customFormat="1" ht="15" customHeight="1" x14ac:dyDescent="0.25">
      <c r="A18" s="24"/>
      <c r="B18" s="301" t="s">
        <v>25</v>
      </c>
      <c r="C18" s="301"/>
      <c r="D18" s="301"/>
      <c r="E18" s="301"/>
      <c r="F18" s="301"/>
      <c r="G18" s="301"/>
      <c r="H18" s="301"/>
      <c r="I18" s="400" t="s">
        <v>26</v>
      </c>
      <c r="J18" s="400"/>
      <c r="K18" s="27">
        <v>70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409" t="s">
        <v>30</v>
      </c>
      <c r="K21" s="409"/>
      <c r="L21" s="409"/>
      <c r="M21" s="409"/>
      <c r="N21" s="409"/>
      <c r="O21" s="409"/>
      <c r="P21" s="4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407" t="s">
        <v>31</v>
      </c>
      <c r="C23" s="382" t="s">
        <v>32</v>
      </c>
      <c r="D23" s="382"/>
      <c r="E23" s="382"/>
      <c r="F23" s="382"/>
      <c r="G23" s="383"/>
      <c r="H23" s="404" t="s">
        <v>33</v>
      </c>
      <c r="I23" s="405"/>
      <c r="J23" s="406"/>
      <c r="K23" s="382" t="s">
        <v>34</v>
      </c>
      <c r="L23" s="382"/>
      <c r="M23" s="382"/>
      <c r="N23" s="382"/>
      <c r="O23" s="382"/>
      <c r="P23" s="383"/>
      <c r="Z23" s="11"/>
    </row>
    <row r="24" spans="1:26" ht="15.75" customHeight="1" x14ac:dyDescent="0.25">
      <c r="A24" s="9"/>
      <c r="B24" s="408"/>
      <c r="C24" s="384"/>
      <c r="D24" s="384"/>
      <c r="E24" s="384"/>
      <c r="F24" s="384"/>
      <c r="G24" s="385"/>
      <c r="H24" s="401" t="s">
        <v>35</v>
      </c>
      <c r="I24" s="402"/>
      <c r="J24" s="403"/>
      <c r="K24" s="384"/>
      <c r="L24" s="384"/>
      <c r="M24" s="384"/>
      <c r="N24" s="384"/>
      <c r="O24" s="384"/>
      <c r="P24" s="385"/>
      <c r="Z24" s="11"/>
    </row>
    <row r="25" spans="1:26" ht="19.5" customHeight="1" x14ac:dyDescent="0.25">
      <c r="A25" s="9"/>
      <c r="B25" s="45">
        <v>1</v>
      </c>
      <c r="C25" s="365" t="s">
        <v>36</v>
      </c>
      <c r="D25" s="366"/>
      <c r="E25" s="366"/>
      <c r="F25" s="366"/>
      <c r="G25" s="367"/>
      <c r="H25" s="368">
        <v>39</v>
      </c>
      <c r="I25" s="369"/>
      <c r="J25" s="370"/>
      <c r="K25" s="365"/>
      <c r="L25" s="366"/>
      <c r="M25" s="366"/>
      <c r="N25" s="366"/>
      <c r="O25" s="366"/>
      <c r="P25" s="367"/>
      <c r="Z25" s="11"/>
    </row>
    <row r="26" spans="1:26" ht="19.5" customHeight="1" x14ac:dyDescent="0.25">
      <c r="A26" s="9"/>
      <c r="B26" s="45">
        <v>2</v>
      </c>
      <c r="C26" s="365"/>
      <c r="D26" s="366"/>
      <c r="E26" s="366"/>
      <c r="F26" s="366"/>
      <c r="G26" s="367"/>
      <c r="H26" s="368">
        <v>28</v>
      </c>
      <c r="I26" s="369"/>
      <c r="J26" s="370"/>
      <c r="K26" s="365"/>
      <c r="L26" s="366"/>
      <c r="M26" s="366"/>
      <c r="N26" s="366"/>
      <c r="O26" s="366"/>
      <c r="P26" s="367"/>
      <c r="Z26" s="11"/>
    </row>
    <row r="27" spans="1:26" ht="19.5" customHeight="1" x14ac:dyDescent="0.25">
      <c r="A27" s="9"/>
      <c r="B27" s="45">
        <v>3</v>
      </c>
      <c r="C27" s="365"/>
      <c r="D27" s="366"/>
      <c r="E27" s="366"/>
      <c r="F27" s="366"/>
      <c r="G27" s="367"/>
      <c r="H27" s="368">
        <v>44</v>
      </c>
      <c r="I27" s="369"/>
      <c r="J27" s="370"/>
      <c r="K27" s="365"/>
      <c r="L27" s="366"/>
      <c r="M27" s="366"/>
      <c r="N27" s="366"/>
      <c r="O27" s="366"/>
      <c r="P27" s="367"/>
      <c r="Z27" s="11"/>
    </row>
    <row r="28" spans="1:26" ht="19.5" customHeight="1" x14ac:dyDescent="0.25">
      <c r="A28" s="9"/>
      <c r="B28" s="45">
        <v>4</v>
      </c>
      <c r="C28" s="365"/>
      <c r="D28" s="366"/>
      <c r="E28" s="366"/>
      <c r="F28" s="366"/>
      <c r="G28" s="367"/>
      <c r="H28" s="368">
        <v>25</v>
      </c>
      <c r="I28" s="369"/>
      <c r="J28" s="370"/>
      <c r="K28" s="365"/>
      <c r="L28" s="366"/>
      <c r="M28" s="366"/>
      <c r="N28" s="366"/>
      <c r="O28" s="366"/>
      <c r="P28" s="367"/>
      <c r="Z28" s="11"/>
    </row>
    <row r="29" spans="1:26" ht="19.5" customHeight="1" x14ac:dyDescent="0.25">
      <c r="A29" s="9"/>
      <c r="B29" s="45">
        <v>5</v>
      </c>
      <c r="C29" s="393" t="s">
        <v>62</v>
      </c>
      <c r="D29" s="394"/>
      <c r="E29" s="394"/>
      <c r="F29" s="394"/>
      <c r="G29" s="395"/>
      <c r="H29" s="368">
        <v>30</v>
      </c>
      <c r="I29" s="369"/>
      <c r="J29" s="370"/>
      <c r="K29" s="365"/>
      <c r="L29" s="366"/>
      <c r="M29" s="366"/>
      <c r="N29" s="366"/>
      <c r="O29" s="366"/>
      <c r="P29" s="367"/>
      <c r="Z29" s="11"/>
    </row>
    <row r="30" spans="1:26" ht="19.5" customHeight="1" x14ac:dyDescent="0.25">
      <c r="A30" s="9"/>
      <c r="B30" s="45">
        <v>6</v>
      </c>
      <c r="C30" s="378"/>
      <c r="D30" s="379"/>
      <c r="E30" s="379"/>
      <c r="F30" s="379"/>
      <c r="G30" s="396"/>
      <c r="H30" s="368">
        <v>21</v>
      </c>
      <c r="I30" s="369"/>
      <c r="J30" s="370"/>
      <c r="K30" s="365"/>
      <c r="L30" s="366"/>
      <c r="M30" s="366"/>
      <c r="N30" s="366"/>
      <c r="O30" s="366"/>
      <c r="P30" s="367"/>
      <c r="Z30" s="11"/>
    </row>
    <row r="31" spans="1:26" ht="19.5" customHeight="1" x14ac:dyDescent="0.25">
      <c r="A31" s="9"/>
      <c r="B31" s="45">
        <v>7</v>
      </c>
      <c r="C31" s="397"/>
      <c r="D31" s="398"/>
      <c r="E31" s="398"/>
      <c r="F31" s="398"/>
      <c r="G31" s="399"/>
      <c r="H31" s="368" t="s">
        <v>37</v>
      </c>
      <c r="I31" s="369"/>
      <c r="J31" s="370"/>
      <c r="K31" s="365"/>
      <c r="L31" s="366"/>
      <c r="M31" s="366"/>
      <c r="N31" s="366"/>
      <c r="O31" s="366"/>
      <c r="P31" s="367"/>
      <c r="Z31" s="11"/>
    </row>
    <row r="32" spans="1:26" ht="19.5" customHeight="1" x14ac:dyDescent="0.25">
      <c r="A32" s="9"/>
      <c r="B32" s="45">
        <v>8</v>
      </c>
      <c r="C32" s="365"/>
      <c r="D32" s="366"/>
      <c r="E32" s="366"/>
      <c r="F32" s="366"/>
      <c r="G32" s="367"/>
      <c r="H32" s="368">
        <v>22</v>
      </c>
      <c r="I32" s="369"/>
      <c r="J32" s="370"/>
      <c r="K32" s="365"/>
      <c r="L32" s="366"/>
      <c r="M32" s="366"/>
      <c r="N32" s="366"/>
      <c r="O32" s="366"/>
      <c r="P32" s="367"/>
      <c r="Z32" s="11"/>
    </row>
    <row r="33" spans="1:26" ht="19.5" customHeight="1" x14ac:dyDescent="0.25">
      <c r="A33" s="9"/>
      <c r="B33" s="45">
        <v>9</v>
      </c>
      <c r="C33" s="365"/>
      <c r="D33" s="366"/>
      <c r="E33" s="366"/>
      <c r="F33" s="366"/>
      <c r="G33" s="367"/>
      <c r="H33" s="368">
        <v>22</v>
      </c>
      <c r="I33" s="369"/>
      <c r="J33" s="370"/>
      <c r="K33" s="365"/>
      <c r="L33" s="366"/>
      <c r="M33" s="366"/>
      <c r="N33" s="366"/>
      <c r="O33" s="366"/>
      <c r="P33" s="367"/>
      <c r="Z33" s="11"/>
    </row>
    <row r="34" spans="1:26" ht="19.5" customHeight="1" x14ac:dyDescent="0.25">
      <c r="A34" s="9"/>
      <c r="B34" s="45">
        <v>10</v>
      </c>
      <c r="C34" s="365"/>
      <c r="D34" s="366"/>
      <c r="E34" s="366"/>
      <c r="F34" s="366"/>
      <c r="G34" s="367"/>
      <c r="H34" s="368" t="s">
        <v>37</v>
      </c>
      <c r="I34" s="369"/>
      <c r="J34" s="370"/>
      <c r="K34" s="365"/>
      <c r="L34" s="366"/>
      <c r="M34" s="366"/>
      <c r="N34" s="366"/>
      <c r="O34" s="366"/>
      <c r="P34" s="367"/>
      <c r="Z34" s="11"/>
    </row>
    <row r="35" spans="1:26" ht="19.5" customHeight="1" x14ac:dyDescent="0.25">
      <c r="A35" s="9"/>
      <c r="B35" s="45">
        <v>11</v>
      </c>
      <c r="C35" s="365"/>
      <c r="D35" s="366"/>
      <c r="E35" s="366"/>
      <c r="F35" s="366"/>
      <c r="G35" s="367"/>
      <c r="H35" s="368">
        <v>23</v>
      </c>
      <c r="I35" s="369"/>
      <c r="J35" s="370"/>
      <c r="K35" s="365"/>
      <c r="L35" s="366"/>
      <c r="M35" s="366"/>
      <c r="N35" s="366"/>
      <c r="O35" s="366"/>
      <c r="P35" s="367"/>
      <c r="Z35" s="11"/>
    </row>
    <row r="36" spans="1:26" ht="19.5" customHeight="1" x14ac:dyDescent="0.25">
      <c r="A36" s="9"/>
      <c r="B36" s="45">
        <v>12</v>
      </c>
      <c r="C36" s="365"/>
      <c r="D36" s="366"/>
      <c r="E36" s="366"/>
      <c r="F36" s="366"/>
      <c r="G36" s="367"/>
      <c r="H36" s="368">
        <v>28</v>
      </c>
      <c r="I36" s="369"/>
      <c r="J36" s="370"/>
      <c r="K36" s="365"/>
      <c r="L36" s="366"/>
      <c r="M36" s="366"/>
      <c r="N36" s="366"/>
      <c r="O36" s="366"/>
      <c r="P36" s="367"/>
      <c r="Z36" s="11"/>
    </row>
    <row r="37" spans="1:26" ht="19.5" customHeight="1" x14ac:dyDescent="0.25">
      <c r="A37" s="9"/>
      <c r="B37" s="45">
        <v>13</v>
      </c>
      <c r="C37" s="365" t="s">
        <v>38</v>
      </c>
      <c r="D37" s="366"/>
      <c r="E37" s="366"/>
      <c r="F37" s="366"/>
      <c r="G37" s="367"/>
      <c r="H37" s="368">
        <v>22</v>
      </c>
      <c r="I37" s="369"/>
      <c r="J37" s="370"/>
      <c r="K37" s="365"/>
      <c r="L37" s="366"/>
      <c r="M37" s="366"/>
      <c r="N37" s="366"/>
      <c r="O37" s="366"/>
      <c r="P37" s="367"/>
      <c r="Z37" s="11"/>
    </row>
    <row r="38" spans="1:26" ht="19.5" customHeight="1" x14ac:dyDescent="0.25">
      <c r="A38" s="9"/>
      <c r="B38" s="45">
        <v>14</v>
      </c>
      <c r="C38" s="365" t="s">
        <v>39</v>
      </c>
      <c r="D38" s="366"/>
      <c r="E38" s="366"/>
      <c r="F38" s="366"/>
      <c r="G38" s="367"/>
      <c r="H38" s="368">
        <v>23</v>
      </c>
      <c r="I38" s="369"/>
      <c r="J38" s="370"/>
      <c r="K38" s="365"/>
      <c r="L38" s="366"/>
      <c r="M38" s="366"/>
      <c r="N38" s="366"/>
      <c r="O38" s="366"/>
      <c r="P38" s="367"/>
      <c r="Z38" s="11"/>
    </row>
    <row r="39" spans="1:26" ht="19.5" customHeight="1" x14ac:dyDescent="0.25">
      <c r="A39" s="9"/>
      <c r="B39" s="45">
        <v>15</v>
      </c>
      <c r="C39" s="365" t="s">
        <v>40</v>
      </c>
      <c r="D39" s="366"/>
      <c r="E39" s="366"/>
      <c r="F39" s="366"/>
      <c r="G39" s="367"/>
      <c r="H39" s="368">
        <v>32</v>
      </c>
      <c r="I39" s="369"/>
      <c r="J39" s="370"/>
      <c r="K39" s="365"/>
      <c r="L39" s="366"/>
      <c r="M39" s="366"/>
      <c r="N39" s="366"/>
      <c r="O39" s="366"/>
      <c r="P39" s="367"/>
      <c r="Z39" s="11"/>
    </row>
    <row r="40" spans="1:26" ht="19.5" customHeight="1" x14ac:dyDescent="0.25">
      <c r="A40" s="9"/>
      <c r="B40" s="45">
        <v>16</v>
      </c>
      <c r="C40" s="365" t="s">
        <v>41</v>
      </c>
      <c r="D40" s="366"/>
      <c r="E40" s="366"/>
      <c r="F40" s="366"/>
      <c r="G40" s="367"/>
      <c r="H40" s="368">
        <v>38</v>
      </c>
      <c r="I40" s="369"/>
      <c r="J40" s="370"/>
      <c r="K40" s="365"/>
      <c r="L40" s="366"/>
      <c r="M40" s="366"/>
      <c r="N40" s="366"/>
      <c r="O40" s="366"/>
      <c r="P40" s="367"/>
      <c r="Z40" s="11"/>
    </row>
    <row r="41" spans="1:26" ht="19.5" customHeight="1" x14ac:dyDescent="0.25">
      <c r="A41" s="9"/>
      <c r="B41" s="45">
        <v>17</v>
      </c>
      <c r="C41" s="365" t="s">
        <v>42</v>
      </c>
      <c r="D41" s="366"/>
      <c r="E41" s="366"/>
      <c r="F41" s="366"/>
      <c r="G41" s="367"/>
      <c r="H41" s="368">
        <v>30</v>
      </c>
      <c r="I41" s="369"/>
      <c r="J41" s="370"/>
      <c r="K41" s="365"/>
      <c r="L41" s="366"/>
      <c r="M41" s="366"/>
      <c r="N41" s="366"/>
      <c r="O41" s="366"/>
      <c r="P41" s="367"/>
      <c r="Z41" s="11"/>
    </row>
    <row r="42" spans="1:26" ht="19.5" customHeight="1" x14ac:dyDescent="0.25">
      <c r="A42" s="9"/>
      <c r="B42" s="45">
        <v>18</v>
      </c>
      <c r="C42" s="365" t="s">
        <v>43</v>
      </c>
      <c r="D42" s="366"/>
      <c r="E42" s="366"/>
      <c r="F42" s="366"/>
      <c r="G42" s="367"/>
      <c r="H42" s="368">
        <v>34</v>
      </c>
      <c r="I42" s="369"/>
      <c r="J42" s="370"/>
      <c r="K42" s="365"/>
      <c r="L42" s="366"/>
      <c r="M42" s="366"/>
      <c r="N42" s="366"/>
      <c r="O42" s="366"/>
      <c r="P42" s="367"/>
      <c r="Z42" s="11"/>
    </row>
    <row r="43" spans="1:26" ht="19.5" customHeight="1" x14ac:dyDescent="0.25">
      <c r="A43" s="9"/>
      <c r="B43" s="45">
        <v>19</v>
      </c>
      <c r="C43" s="365" t="s">
        <v>44</v>
      </c>
      <c r="D43" s="366"/>
      <c r="E43" s="366"/>
      <c r="F43" s="366"/>
      <c r="G43" s="367"/>
      <c r="H43" s="368">
        <v>41</v>
      </c>
      <c r="I43" s="369"/>
      <c r="J43" s="370"/>
      <c r="K43" s="365"/>
      <c r="L43" s="366"/>
      <c r="M43" s="366"/>
      <c r="N43" s="366"/>
      <c r="O43" s="366"/>
      <c r="P43" s="367"/>
      <c r="Z43" s="11"/>
    </row>
    <row r="44" spans="1:26" ht="19.5" customHeight="1" x14ac:dyDescent="0.25">
      <c r="A44" s="9"/>
      <c r="B44" s="45">
        <v>20</v>
      </c>
      <c r="C44" s="365" t="s">
        <v>45</v>
      </c>
      <c r="D44" s="366"/>
      <c r="E44" s="366"/>
      <c r="F44" s="366"/>
      <c r="G44" s="367"/>
      <c r="H44" s="368">
        <v>46</v>
      </c>
      <c r="I44" s="369"/>
      <c r="J44" s="370"/>
      <c r="K44" s="365"/>
      <c r="L44" s="366"/>
      <c r="M44" s="366"/>
      <c r="N44" s="366"/>
      <c r="O44" s="366"/>
      <c r="P44" s="367"/>
      <c r="Z44" s="11"/>
    </row>
    <row r="45" spans="1:26" ht="19.5" customHeight="1" x14ac:dyDescent="0.25">
      <c r="A45" s="9"/>
      <c r="B45" s="45">
        <v>21</v>
      </c>
      <c r="C45" s="393" t="s">
        <v>46</v>
      </c>
      <c r="D45" s="394"/>
      <c r="E45" s="394"/>
      <c r="F45" s="394"/>
      <c r="G45" s="395"/>
      <c r="H45" s="368">
        <v>47</v>
      </c>
      <c r="I45" s="369"/>
      <c r="J45" s="370"/>
      <c r="K45" s="365"/>
      <c r="L45" s="366"/>
      <c r="M45" s="366"/>
      <c r="N45" s="366"/>
      <c r="O45" s="366"/>
      <c r="P45" s="367"/>
      <c r="Z45" s="11"/>
    </row>
    <row r="46" spans="1:26" ht="19.5" customHeight="1" x14ac:dyDescent="0.25">
      <c r="A46" s="9"/>
      <c r="B46" s="45">
        <v>22</v>
      </c>
      <c r="C46" s="378"/>
      <c r="D46" s="379"/>
      <c r="E46" s="379"/>
      <c r="F46" s="379"/>
      <c r="G46" s="396"/>
      <c r="H46" s="368">
        <v>43</v>
      </c>
      <c r="I46" s="369"/>
      <c r="J46" s="370"/>
      <c r="K46" s="365"/>
      <c r="L46" s="366"/>
      <c r="M46" s="366"/>
      <c r="N46" s="366"/>
      <c r="O46" s="366"/>
      <c r="P46" s="367"/>
      <c r="Z46" s="11"/>
    </row>
    <row r="47" spans="1:26" ht="19.5" customHeight="1" x14ac:dyDescent="0.25">
      <c r="A47" s="9"/>
      <c r="B47" s="45">
        <v>23</v>
      </c>
      <c r="C47" s="397"/>
      <c r="D47" s="398"/>
      <c r="E47" s="398"/>
      <c r="F47" s="398"/>
      <c r="G47" s="399"/>
      <c r="H47" s="368">
        <v>36</v>
      </c>
      <c r="I47" s="369"/>
      <c r="J47" s="370"/>
      <c r="K47" s="365"/>
      <c r="L47" s="366"/>
      <c r="M47" s="366"/>
      <c r="N47" s="366"/>
      <c r="O47" s="366"/>
      <c r="P47" s="367"/>
      <c r="Z47" s="11"/>
    </row>
    <row r="48" spans="1:26" ht="19.5" customHeight="1" x14ac:dyDescent="0.25">
      <c r="A48" s="9"/>
      <c r="B48" s="45">
        <v>24</v>
      </c>
      <c r="C48" s="365"/>
      <c r="D48" s="366"/>
      <c r="E48" s="366"/>
      <c r="F48" s="366"/>
      <c r="G48" s="367"/>
      <c r="H48" s="368">
        <v>34</v>
      </c>
      <c r="I48" s="369"/>
      <c r="J48" s="370"/>
      <c r="K48" s="365"/>
      <c r="L48" s="366"/>
      <c r="M48" s="366"/>
      <c r="N48" s="366"/>
      <c r="O48" s="366"/>
      <c r="P48" s="367"/>
      <c r="Z48" s="11"/>
    </row>
    <row r="49" spans="1:26" ht="19.5" customHeight="1" x14ac:dyDescent="0.25">
      <c r="A49" s="9"/>
      <c r="B49" s="45">
        <v>25</v>
      </c>
      <c r="C49" s="365"/>
      <c r="D49" s="366"/>
      <c r="E49" s="366"/>
      <c r="F49" s="366"/>
      <c r="G49" s="367"/>
      <c r="H49" s="368" t="s">
        <v>37</v>
      </c>
      <c r="I49" s="369"/>
      <c r="J49" s="370"/>
      <c r="K49" s="365"/>
      <c r="L49" s="366"/>
      <c r="M49" s="366"/>
      <c r="N49" s="366"/>
      <c r="O49" s="366"/>
      <c r="P49" s="367"/>
      <c r="Z49" s="11"/>
    </row>
    <row r="50" spans="1:26" ht="19.5" customHeight="1" x14ac:dyDescent="0.25">
      <c r="A50" s="9"/>
      <c r="B50" s="45">
        <v>26</v>
      </c>
      <c r="C50" s="365"/>
      <c r="D50" s="366"/>
      <c r="E50" s="366"/>
      <c r="F50" s="366"/>
      <c r="G50" s="367"/>
      <c r="H50" s="368">
        <v>24</v>
      </c>
      <c r="I50" s="369"/>
      <c r="J50" s="370"/>
      <c r="K50" s="365"/>
      <c r="L50" s="366"/>
      <c r="M50" s="366"/>
      <c r="N50" s="366"/>
      <c r="O50" s="366"/>
      <c r="P50" s="367"/>
      <c r="Z50" s="11"/>
    </row>
    <row r="51" spans="1:26" ht="19.5" customHeight="1" x14ac:dyDescent="0.25">
      <c r="A51" s="9"/>
      <c r="B51" s="45">
        <v>27</v>
      </c>
      <c r="C51" s="365"/>
      <c r="D51" s="366"/>
      <c r="E51" s="366"/>
      <c r="F51" s="366"/>
      <c r="G51" s="367"/>
      <c r="H51" s="368">
        <v>26</v>
      </c>
      <c r="I51" s="369"/>
      <c r="J51" s="370"/>
      <c r="K51" s="365"/>
      <c r="L51" s="366"/>
      <c r="M51" s="366"/>
      <c r="N51" s="366"/>
      <c r="O51" s="366"/>
      <c r="P51" s="367"/>
      <c r="Z51" s="11"/>
    </row>
    <row r="52" spans="1:26" ht="19.5" customHeight="1" x14ac:dyDescent="0.25">
      <c r="A52" s="9"/>
      <c r="B52" s="45">
        <v>28</v>
      </c>
      <c r="C52" s="365"/>
      <c r="D52" s="366"/>
      <c r="E52" s="366"/>
      <c r="F52" s="366"/>
      <c r="G52" s="367"/>
      <c r="H52" s="368" t="s">
        <v>37</v>
      </c>
      <c r="I52" s="369"/>
      <c r="J52" s="370"/>
      <c r="K52" s="365"/>
      <c r="L52" s="366"/>
      <c r="M52" s="366"/>
      <c r="N52" s="366"/>
      <c r="O52" s="366"/>
      <c r="P52" s="367"/>
      <c r="Z52" s="11"/>
    </row>
    <row r="53" spans="1:26" ht="19.5" customHeight="1" x14ac:dyDescent="0.25">
      <c r="A53" s="9"/>
      <c r="B53" s="45">
        <v>29</v>
      </c>
      <c r="C53" s="365"/>
      <c r="D53" s="366"/>
      <c r="E53" s="366"/>
      <c r="F53" s="366"/>
      <c r="G53" s="367"/>
      <c r="H53" s="368" t="s">
        <v>37</v>
      </c>
      <c r="I53" s="369"/>
      <c r="J53" s="370"/>
      <c r="K53" s="365"/>
      <c r="L53" s="366"/>
      <c r="M53" s="366"/>
      <c r="N53" s="366"/>
      <c r="O53" s="366"/>
      <c r="P53" s="367"/>
      <c r="Z53" s="11"/>
    </row>
    <row r="54" spans="1:26" ht="19.5" customHeight="1" x14ac:dyDescent="0.25">
      <c r="A54" s="9"/>
      <c r="B54" s="45">
        <v>30</v>
      </c>
      <c r="C54" s="365"/>
      <c r="D54" s="366"/>
      <c r="E54" s="366"/>
      <c r="F54" s="366"/>
      <c r="G54" s="367"/>
      <c r="H54" s="368">
        <v>20</v>
      </c>
      <c r="I54" s="369"/>
      <c r="J54" s="370"/>
      <c r="K54" s="365"/>
      <c r="L54" s="366"/>
      <c r="M54" s="366"/>
      <c r="N54" s="366"/>
      <c r="O54" s="366"/>
      <c r="P54" s="367"/>
      <c r="Z54" s="11"/>
    </row>
    <row r="55" spans="1:26" ht="19.5" customHeight="1" x14ac:dyDescent="0.25">
      <c r="A55" s="9"/>
      <c r="B55" s="45">
        <v>31</v>
      </c>
      <c r="C55" s="365"/>
      <c r="D55" s="366"/>
      <c r="E55" s="366"/>
      <c r="F55" s="366"/>
      <c r="G55" s="367"/>
      <c r="H55" s="368">
        <v>23</v>
      </c>
      <c r="I55" s="369"/>
      <c r="J55" s="370"/>
      <c r="K55" s="365"/>
      <c r="L55" s="366"/>
      <c r="M55" s="366"/>
      <c r="N55" s="366"/>
      <c r="O55" s="366"/>
      <c r="P55" s="367"/>
      <c r="Z55" s="11"/>
    </row>
    <row r="56" spans="1:26" ht="15.75" customHeight="1" x14ac:dyDescent="0.25">
      <c r="A56" s="9"/>
      <c r="B56" s="416" t="s">
        <v>47</v>
      </c>
      <c r="C56" s="417"/>
      <c r="D56" s="417"/>
      <c r="E56" s="417"/>
      <c r="F56" s="417"/>
      <c r="G56" s="418"/>
      <c r="H56" s="390">
        <f>AVERAGE(H25:J55)</f>
        <v>30.807692307692307</v>
      </c>
      <c r="I56" s="391"/>
      <c r="J56" s="392"/>
      <c r="K56" s="376" t="s">
        <v>48</v>
      </c>
      <c r="L56" s="377"/>
      <c r="M56" s="371" t="s">
        <v>49</v>
      </c>
      <c r="N56" s="371"/>
      <c r="O56" s="371"/>
      <c r="P56" s="372"/>
      <c r="Z56" s="11"/>
    </row>
    <row r="57" spans="1:26" ht="15.75" customHeight="1" x14ac:dyDescent="0.25">
      <c r="A57" s="9"/>
      <c r="B57" s="410" t="s">
        <v>50</v>
      </c>
      <c r="C57" s="411"/>
      <c r="D57" s="411"/>
      <c r="E57" s="411"/>
      <c r="F57" s="411"/>
      <c r="G57" s="412"/>
      <c r="H57" s="419" t="str">
        <f>IF(COUNTIF(H25:J55,"*&lt;20*"),"&lt;20",MIN(H25:J55))</f>
        <v>&lt;20</v>
      </c>
      <c r="I57" s="420"/>
      <c r="J57" s="421"/>
      <c r="K57" s="378"/>
      <c r="L57" s="379"/>
      <c r="M57" s="318"/>
      <c r="N57" s="318"/>
      <c r="O57" s="318"/>
      <c r="P57" s="373"/>
      <c r="Z57" s="11"/>
    </row>
    <row r="58" spans="1:26" ht="15.75" customHeight="1" x14ac:dyDescent="0.25">
      <c r="A58" s="9"/>
      <c r="B58" s="413" t="s">
        <v>51</v>
      </c>
      <c r="C58" s="414"/>
      <c r="D58" s="414"/>
      <c r="E58" s="414"/>
      <c r="F58" s="414"/>
      <c r="G58" s="415"/>
      <c r="H58" s="387">
        <f>IF(COUNTIF(H25:J55,"*&gt;250*"),"&gt;250",MAX(H25:J55))</f>
        <v>47</v>
      </c>
      <c r="I58" s="388"/>
      <c r="J58" s="389"/>
      <c r="K58" s="380"/>
      <c r="L58" s="381"/>
      <c r="M58" s="374"/>
      <c r="N58" s="374"/>
      <c r="O58" s="374"/>
      <c r="P58" s="375"/>
      <c r="Z58" s="11"/>
    </row>
    <row r="59" spans="1:26" ht="15.9" customHeight="1" x14ac:dyDescent="0.25">
      <c r="A59" s="35"/>
      <c r="B59" s="4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6"/>
    </row>
    <row r="60" spans="1:26" ht="12.75" customHeight="1" x14ac:dyDescent="0.25">
      <c r="A60" s="36"/>
      <c r="B60" s="37"/>
    </row>
    <row r="61" spans="1:26" s="17" customFormat="1" ht="15.6" customHeight="1" x14ac:dyDescent="0.25">
      <c r="A61" s="47" t="s">
        <v>52</v>
      </c>
      <c r="B61" s="5" t="s">
        <v>53</v>
      </c>
      <c r="C61" s="48"/>
      <c r="D61" s="48"/>
      <c r="E61" s="48"/>
      <c r="F61" s="49"/>
      <c r="G61" s="49"/>
      <c r="H61" s="49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50"/>
      <c r="V61" s="51"/>
      <c r="W61" s="51"/>
      <c r="X61" s="42"/>
      <c r="Y61" s="42"/>
      <c r="Z61" s="43"/>
    </row>
    <row r="62" spans="1:26" s="17" customFormat="1" ht="28.5" customHeight="1" x14ac:dyDescent="0.25">
      <c r="A62" s="303" t="s">
        <v>54</v>
      </c>
      <c r="B62" s="304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5"/>
      <c r="R62" s="306" t="s">
        <v>55</v>
      </c>
      <c r="S62" s="307"/>
      <c r="T62" s="308"/>
      <c r="U62" s="309" t="s">
        <v>12</v>
      </c>
      <c r="V62" s="310"/>
      <c r="W62" s="310"/>
      <c r="X62" s="311"/>
      <c r="Y62" s="311"/>
      <c r="Z62" s="312"/>
    </row>
    <row r="63" spans="1:26" s="17" customFormat="1" ht="15.6" customHeight="1" x14ac:dyDescent="0.25">
      <c r="A63" s="166" t="s">
        <v>63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8"/>
      <c r="R63" s="306" t="s">
        <v>56</v>
      </c>
      <c r="S63" s="307"/>
      <c r="T63" s="308"/>
      <c r="U63" s="313" t="s">
        <v>57</v>
      </c>
      <c r="V63" s="314"/>
      <c r="W63" s="314"/>
      <c r="X63" s="315"/>
      <c r="Y63" s="315"/>
      <c r="Z63" s="316"/>
    </row>
    <row r="64" spans="1:26" s="17" customFormat="1" ht="15.6" customHeight="1" x14ac:dyDescent="0.25">
      <c r="A64" s="289"/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1"/>
      <c r="R64" s="306"/>
      <c r="S64" s="307"/>
      <c r="T64" s="308"/>
      <c r="U64" s="317"/>
      <c r="V64" s="318"/>
      <c r="W64" s="318"/>
      <c r="X64" s="319"/>
      <c r="Y64" s="319"/>
      <c r="Z64" s="320"/>
    </row>
    <row r="65" spans="1:26" s="17" customFormat="1" ht="15.6" customHeight="1" x14ac:dyDescent="0.25">
      <c r="A65" s="54" t="s">
        <v>58</v>
      </c>
      <c r="B65" s="55" t="s">
        <v>59</v>
      </c>
      <c r="C65" s="1"/>
      <c r="D65" s="1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6"/>
      <c r="R65" s="306"/>
      <c r="S65" s="307"/>
      <c r="T65" s="308"/>
      <c r="U65" s="321"/>
      <c r="V65" s="322"/>
      <c r="W65" s="322"/>
      <c r="X65" s="323"/>
      <c r="Y65" s="323"/>
      <c r="Z65" s="324"/>
    </row>
    <row r="66" spans="1:26" s="17" customFormat="1" ht="15.6" customHeight="1" x14ac:dyDescent="0.25">
      <c r="A66" s="356"/>
      <c r="B66" s="357"/>
      <c r="C66" s="357"/>
      <c r="D66" s="357"/>
      <c r="E66" s="357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8"/>
      <c r="R66" s="306" t="s">
        <v>60</v>
      </c>
      <c r="S66" s="307"/>
      <c r="T66" s="308"/>
      <c r="U66" s="57"/>
      <c r="V66" s="58"/>
      <c r="W66" s="58"/>
      <c r="X66" s="58"/>
      <c r="Y66" s="58"/>
      <c r="Z66" s="59"/>
    </row>
    <row r="67" spans="1:26" s="17" customFormat="1" ht="15.6" customHeight="1" x14ac:dyDescent="0.25">
      <c r="A67" s="356"/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7"/>
      <c r="Q67" s="358"/>
      <c r="R67" s="306"/>
      <c r="S67" s="307"/>
      <c r="T67" s="308"/>
      <c r="U67" s="60"/>
      <c r="V67" s="318"/>
      <c r="W67" s="318"/>
      <c r="X67" s="318"/>
      <c r="Y67" s="318"/>
      <c r="Z67" s="61"/>
    </row>
    <row r="68" spans="1:26" s="17" customFormat="1" ht="15.6" customHeight="1" x14ac:dyDescent="0.25">
      <c r="A68" s="356"/>
      <c r="B68" s="357"/>
      <c r="C68" s="357"/>
      <c r="D68" s="357"/>
      <c r="E68" s="357"/>
      <c r="F68" s="357"/>
      <c r="G68" s="357"/>
      <c r="H68" s="357"/>
      <c r="I68" s="357"/>
      <c r="J68" s="357"/>
      <c r="K68" s="357"/>
      <c r="L68" s="357"/>
      <c r="M68" s="357"/>
      <c r="N68" s="357"/>
      <c r="O68" s="357"/>
      <c r="P68" s="357"/>
      <c r="Q68" s="358"/>
      <c r="R68" s="306"/>
      <c r="S68" s="307"/>
      <c r="T68" s="308"/>
      <c r="U68" s="60"/>
      <c r="V68" s="318"/>
      <c r="W68" s="318"/>
      <c r="X68" s="318"/>
      <c r="Y68" s="318"/>
      <c r="Z68" s="61"/>
    </row>
    <row r="69" spans="1:26" s="17" customFormat="1" ht="15.6" customHeight="1" x14ac:dyDescent="0.25">
      <c r="A69" s="359"/>
      <c r="B69" s="360"/>
      <c r="C69" s="360"/>
      <c r="D69" s="360"/>
      <c r="E69" s="360"/>
      <c r="F69" s="360"/>
      <c r="G69" s="360"/>
      <c r="H69" s="360"/>
      <c r="I69" s="360"/>
      <c r="J69" s="360"/>
      <c r="K69" s="360"/>
      <c r="L69" s="360"/>
      <c r="M69" s="360"/>
      <c r="N69" s="360"/>
      <c r="O69" s="360"/>
      <c r="P69" s="360"/>
      <c r="Q69" s="361"/>
      <c r="R69" s="362"/>
      <c r="S69" s="363"/>
      <c r="T69" s="364"/>
      <c r="U69" s="62"/>
      <c r="V69" s="63"/>
      <c r="W69" s="63"/>
      <c r="X69" s="63"/>
      <c r="Y69" s="63"/>
      <c r="Z69" s="64"/>
    </row>
    <row r="70" spans="1:26" s="17" customFormat="1" ht="15" customHeight="1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53"/>
      <c r="S70" s="53"/>
      <c r="T70" s="53"/>
      <c r="U70" s="41"/>
      <c r="V70" s="41"/>
      <c r="W70" s="41"/>
      <c r="X70" s="41"/>
      <c r="Y70" s="41"/>
      <c r="Z70" s="4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  <row r="77" spans="1:26" ht="12.75" customHeight="1" x14ac:dyDescent="0.25">
      <c r="A77" s="1"/>
    </row>
  </sheetData>
  <sheetProtection formatCells="0" formatColumns="0" formatRows="0" insertColumns="0" insertRows="0" insertHyperlinks="0" deleteColumns="0" deleteRows="0" selectLockedCells="1" sort="0" autoFilter="0" pivotTables="0"/>
  <mergeCells count="141">
    <mergeCell ref="C54:G54"/>
    <mergeCell ref="H54:J54"/>
    <mergeCell ref="K54:P54"/>
    <mergeCell ref="C55:G55"/>
    <mergeCell ref="H55:J55"/>
    <mergeCell ref="K55:P55"/>
    <mergeCell ref="C52:G52"/>
    <mergeCell ref="H52:J52"/>
    <mergeCell ref="K52:P52"/>
    <mergeCell ref="C53:G53"/>
    <mergeCell ref="H53:J53"/>
    <mergeCell ref="K53:P53"/>
    <mergeCell ref="C50:G50"/>
    <mergeCell ref="H50:J50"/>
    <mergeCell ref="K50:P50"/>
    <mergeCell ref="C51:G51"/>
    <mergeCell ref="H51:J51"/>
    <mergeCell ref="K51:P51"/>
    <mergeCell ref="C48:G48"/>
    <mergeCell ref="H48:J48"/>
    <mergeCell ref="K48:P48"/>
    <mergeCell ref="C49:G49"/>
    <mergeCell ref="H49:J49"/>
    <mergeCell ref="K49:P49"/>
    <mergeCell ref="H46:J46"/>
    <mergeCell ref="K46:P46"/>
    <mergeCell ref="H47:J47"/>
    <mergeCell ref="K47:P47"/>
    <mergeCell ref="C45:G47"/>
    <mergeCell ref="C44:G44"/>
    <mergeCell ref="H44:J44"/>
    <mergeCell ref="K44:P44"/>
    <mergeCell ref="H45:J45"/>
    <mergeCell ref="K45:P45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6:G36"/>
    <mergeCell ref="H36:J36"/>
    <mergeCell ref="K36:P36"/>
    <mergeCell ref="C37:G37"/>
    <mergeCell ref="H37:J37"/>
    <mergeCell ref="K37:P37"/>
    <mergeCell ref="C42:G42"/>
    <mergeCell ref="H42:J42"/>
    <mergeCell ref="K42:P42"/>
    <mergeCell ref="V67:Y6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B57:G57"/>
    <mergeCell ref="B58:G58"/>
    <mergeCell ref="B56:G56"/>
    <mergeCell ref="C26:G26"/>
    <mergeCell ref="H26:J26"/>
    <mergeCell ref="H57:J57"/>
    <mergeCell ref="C34:G34"/>
    <mergeCell ref="H34:J34"/>
    <mergeCell ref="K34:P34"/>
    <mergeCell ref="C35:G35"/>
    <mergeCell ref="H35:J35"/>
    <mergeCell ref="K35:P35"/>
    <mergeCell ref="C32:G32"/>
    <mergeCell ref="H32:J32"/>
    <mergeCell ref="A66:Q69"/>
    <mergeCell ref="R66:T69"/>
    <mergeCell ref="K26:P26"/>
    <mergeCell ref="C27:G27"/>
    <mergeCell ref="H27:J27"/>
    <mergeCell ref="K27:P27"/>
    <mergeCell ref="C28:G28"/>
    <mergeCell ref="H28:J28"/>
    <mergeCell ref="K28:P28"/>
    <mergeCell ref="H29:J29"/>
    <mergeCell ref="K29:P29"/>
    <mergeCell ref="M56:P58"/>
    <mergeCell ref="K56:L58"/>
    <mergeCell ref="H58:J58"/>
    <mergeCell ref="H56:J56"/>
    <mergeCell ref="H30:J30"/>
    <mergeCell ref="K30:P30"/>
    <mergeCell ref="H31:J31"/>
    <mergeCell ref="K31:P31"/>
    <mergeCell ref="C29:G31"/>
    <mergeCell ref="K32:P32"/>
    <mergeCell ref="C33:G33"/>
    <mergeCell ref="H33:J33"/>
    <mergeCell ref="K33:P33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B17:H17"/>
    <mergeCell ref="B12:G12"/>
    <mergeCell ref="B11:G11"/>
    <mergeCell ref="A62:Q62"/>
    <mergeCell ref="R62:T62"/>
    <mergeCell ref="U62:Z62"/>
    <mergeCell ref="A63:Q64"/>
    <mergeCell ref="R63:T65"/>
    <mergeCell ref="U63:Z65"/>
    <mergeCell ref="N12:R12"/>
    <mergeCell ref="H12:M12"/>
    <mergeCell ref="H11:M11"/>
    <mergeCell ref="N11:R11"/>
    <mergeCell ref="K25:P25"/>
    <mergeCell ref="S12:Y12"/>
    <mergeCell ref="K23:P24"/>
    <mergeCell ref="I17:Y17"/>
    <mergeCell ref="S11:Y11"/>
    <mergeCell ref="C38:G38"/>
    <mergeCell ref="H38:J38"/>
    <mergeCell ref="K38:P38"/>
    <mergeCell ref="C39:G39"/>
    <mergeCell ref="H39:J39"/>
    <mergeCell ref="K39:P39"/>
  </mergeCells>
  <printOptions horizontalCentered="1"/>
  <pageMargins left="0.39370078740157" right="0.39370078740157" top="0.39370078740157" bottom="0.39370078740157" header="0" footer="0.19685039370078999"/>
  <pageSetup paperSize="9" scale="69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040625 (3)</vt:lpstr>
      <vt:lpstr>040625 (2)</vt:lpstr>
      <vt:lpstr>040625</vt:lpstr>
      <vt:lpstr>161024</vt:lpstr>
      <vt:lpstr>'040625'!Zone_d_impression</vt:lpstr>
      <vt:lpstr>'040625 (2)'!Zone_d_impression</vt:lpstr>
      <vt:lpstr>'040625 (3)'!Zone_d_impression</vt:lpstr>
      <vt:lpstr>'161024'!Zone_d_impression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2025-06-05T06:05:08Z</cp:lastPrinted>
  <dcterms:created xsi:type="dcterms:W3CDTF">2004-11-13T18:13:05Z</dcterms:created>
  <dcterms:modified xsi:type="dcterms:W3CDTF">2025-06-05T06:32:44Z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