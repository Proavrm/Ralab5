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Auvergne\RA O41E  La Roche Blanche - ZAC La Méridienne\Essais de Laboratoire\"/>
    </mc:Choice>
  </mc:AlternateContent>
  <xr:revisionPtr revIDLastSave="0" documentId="13_ncr:1_{646769A0-0B80-40CF-8DB1-C16D84CAF2B8}" xr6:coauthVersionLast="47" xr6:coauthVersionMax="47" xr10:uidLastSave="{00000000-0000-0000-0000-000000000000}"/>
  <bookViews>
    <workbookView xWindow="28680" yWindow="630" windowWidth="19440" windowHeight="14880" xr2:uid="{00000000-000D-0000-FFFF-FFFF00000000}"/>
  </bookViews>
  <sheets>
    <sheet name="131125 CdF Bât PF6" sheetId="11" r:id="rId1"/>
    <sheet name="131125 AT Bât PF6" sheetId="9" r:id="rId2"/>
    <sheet name="131125 AT Bât PF5" sheetId="10" r:id="rId3"/>
    <sheet name="131125 CdF Bât PF5" sheetId="8" r:id="rId4"/>
    <sheet name="190225 CdF Bât" sheetId="7" r:id="rId5"/>
    <sheet name="161024 Pt Passage" sheetId="5" r:id="rId6"/>
    <sheet name="161024 CdF" sheetId="4" r:id="rId7"/>
    <sheet name="161024 AT" sheetId="1" r:id="rId8"/>
    <sheet name="161024 AT (2)" sheetId="6" r:id="rId9"/>
  </sheets>
  <definedNames>
    <definedName name="_xlnm.Print_Area" localSheetId="2">'131125 AT Bât PF5'!$A$1:$Z$69</definedName>
    <definedName name="_xlnm.Print_Area" localSheetId="1">'131125 AT Bât PF6'!$A$1:$Z$70</definedName>
    <definedName name="_xlnm.Print_Area" localSheetId="3">'131125 CdF Bât PF5'!$A$1:$Z$69</definedName>
    <definedName name="_xlnm.Print_Area" localSheetId="0">'131125 CdF Bât PF6'!$A$1:$Z$69</definedName>
    <definedName name="_xlnm.Print_Area" localSheetId="7">'161024 AT'!$A$1:$Z$69</definedName>
    <definedName name="_xlnm.Print_Area" localSheetId="8">'161024 AT (2)'!$A$1:$Z$69</definedName>
    <definedName name="_xlnm.Print_Area" localSheetId="6">'161024 CdF'!$A$1:$Z$69</definedName>
    <definedName name="_xlnm.Print_Area" localSheetId="5">'161024 Pt Passage'!$A$1:$Z$71</definedName>
    <definedName name="_xlnm.Print_Area" localSheetId="4">'190225 CdF Bât'!$A$1:$Z$69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11" l="1"/>
  <c r="H56" i="11"/>
  <c r="H57" i="11"/>
  <c r="H55" i="10"/>
  <c r="K55" i="10"/>
  <c r="H56" i="10"/>
  <c r="H57" i="10"/>
  <c r="H56" i="9"/>
  <c r="K56" i="9"/>
  <c r="H57" i="9"/>
  <c r="H58" i="9"/>
  <c r="H55" i="8"/>
  <c r="H56" i="8"/>
  <c r="H57" i="8"/>
  <c r="H55" i="7"/>
  <c r="H56" i="7"/>
  <c r="H57" i="7"/>
  <c r="H57" i="6"/>
  <c r="H56" i="6"/>
  <c r="H55" i="6"/>
  <c r="H59" i="5"/>
  <c r="H58" i="5"/>
  <c r="H57" i="5"/>
  <c r="H57" i="4"/>
  <c r="H56" i="4"/>
  <c r="H55" i="4"/>
  <c r="H57" i="1"/>
  <c r="H56" i="1"/>
  <c r="H55" i="1"/>
</calcChain>
</file>

<file path=xl/sharedStrings.xml><?xml version="1.0" encoding="utf-8"?>
<sst xmlns="http://schemas.openxmlformats.org/spreadsheetml/2006/main" count="543" uniqueCount="74">
  <si>
    <t>COMPTE RENDU D'ESSAIS</t>
  </si>
  <si>
    <t>PORTANCES DES PLATES-FORMES DYNAPLAQUE 
(NF P 94-117-2 d'octobre 2004)</t>
  </si>
  <si>
    <t>PLD N°</t>
  </si>
  <si>
    <t>16/10/2024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</si>
  <si>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</si>
  <si>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</si>
  <si>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</si>
  <si>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</si>
  <si>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</si>
  <si>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</si>
  <si>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</si>
  <si>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</si>
  <si>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</si>
  <si>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</si>
  <si>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Date de(s) essai(s) :</t>
  </si>
  <si>
    <t>Météo :</t>
  </si>
  <si>
    <t>Couvert</t>
  </si>
  <si>
    <t>Partie de l'ouvrage :</t>
  </si>
  <si>
    <t>Plan de situation :</t>
  </si>
  <si>
    <t>Oui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</si>
  <si>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</si>
  <si>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</si>
  <si>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</si>
  <si>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</si>
  <si>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</si>
  <si>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</si>
  <si>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</si>
  <si>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</si>
  <si>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</si>
  <si>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</si>
  <si>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</si>
  <si>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</si>
  <si>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</si>
  <si>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</si>
  <si>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&lt;20</t>
  </si>
  <si>
    <t>Moyenne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</si>
  <si>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</si>
  <si>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</si>
  <si>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</si>
  <si>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</si>
  <si>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</si>
  <si>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</si>
  <si>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</si>
  <si>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Fonction</t>
  </si>
  <si>
    <t>Chef de section laboratoire</t>
  </si>
  <si>
    <t>6/</t>
  </si>
  <si>
    <t>COMMENTAIRES</t>
  </si>
  <si>
    <t>Visa</t>
  </si>
  <si>
    <t>La Roche Blanche
ZAC La Méridienne</t>
  </si>
  <si>
    <t>RA O41E</t>
  </si>
  <si>
    <t>Limon</t>
  </si>
  <si>
    <t>Pour information</t>
  </si>
  <si>
    <t>Grave concassée</t>
  </si>
  <si>
    <t>AT</t>
  </si>
  <si>
    <t>CdF</t>
  </si>
  <si>
    <t>Pt de passage</t>
  </si>
  <si>
    <t xml:space="preserve"> 40.00</t>
  </si>
  <si>
    <t>Mesure précédente :</t>
  </si>
  <si>
    <t>PF Bat. CdF partielle</t>
  </si>
  <si>
    <t>Beau</t>
  </si>
  <si>
    <t>19/02/2025</t>
  </si>
  <si>
    <t>Non conforme</t>
  </si>
  <si>
    <t xml:space="preserve"> 9.09</t>
  </si>
  <si>
    <t>PF 5f</t>
  </si>
  <si>
    <t>PF 5e</t>
  </si>
  <si>
    <t>13/11/2025</t>
  </si>
  <si>
    <t>PF batiment - CdF</t>
  </si>
  <si>
    <t>PF 6e</t>
  </si>
  <si>
    <t>PF batiment - AT</t>
  </si>
  <si>
    <t>PF 5c'</t>
  </si>
  <si>
    <t>PF 5d</t>
  </si>
  <si>
    <t xml:space="preserve"> 33.33</t>
  </si>
  <si>
    <t>PF 6d</t>
  </si>
  <si>
    <t>PF 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</si>
</sst>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8"/>
      <name val="Arial"/>
      <family val="2"/>
    </font>
    <font>
      <sz val="11"/>
      <color rgb="FF000000"/>
      <name val="Century Gothic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44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14" fillId="0" borderId="0" xfId="1"/>
    <xf numFmtId="0" fontId="1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0" xfId="1" applyFont="1" applyProtection="1">
      <protection hidden="1"/>
    </xf>
    <xf numFmtId="0" fontId="7" fillId="0" borderId="4" xfId="1" applyFont="1" applyBorder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hidden="1"/>
    </xf>
    <xf numFmtId="0" fontId="7" fillId="0" borderId="4" xfId="1" applyFont="1" applyBorder="1" applyAlignment="1" applyProtection="1">
      <alignment vertical="center" wrapText="1"/>
      <protection locked="0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4" fillId="0" borderId="7" xfId="1" applyFont="1" applyBorder="1" applyAlignment="1" applyProtection="1">
      <alignment vertical="center"/>
      <protection hidden="1"/>
    </xf>
    <xf numFmtId="0" fontId="4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10" xfId="1" applyFont="1" applyBorder="1" applyAlignment="1" applyProtection="1">
      <alignment horizontal="center" vertical="center" wrapText="1"/>
      <protection hidden="1"/>
    </xf>
    <xf numFmtId="0" fontId="1" fillId="0" borderId="9" xfId="1" applyFont="1" applyBorder="1" applyAlignment="1" applyProtection="1">
      <alignment horizontal="center" vertical="center" wrapText="1"/>
      <protection hidden="1"/>
    </xf>
    <xf numFmtId="0" fontId="5" fillId="0" borderId="9" xfId="1" applyFont="1" applyBorder="1" applyAlignment="1" applyProtection="1">
      <alignment horizontal="center" vertical="center" wrapText="1"/>
      <protection hidden="1"/>
    </xf>
    <xf numFmtId="0" fontId="5" fillId="0" borderId="4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3" xfId="1" applyFont="1" applyBorder="1" applyAlignment="1" applyProtection="1">
      <alignment vertical="center"/>
      <protection hidden="1"/>
    </xf>
    <xf numFmtId="0" fontId="8" fillId="0" borderId="13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horizontal="center"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horizontal="center"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horizontal="center" vertical="center"/>
      <protection hidden="1"/>
    </xf>
    <xf numFmtId="0" fontId="7" fillId="0" borderId="26" xfId="1" applyFont="1" applyBorder="1" applyAlignment="1" applyProtection="1">
      <alignment horizontal="center"/>
      <protection locked="0"/>
    </xf>
    <xf numFmtId="0" fontId="7" fillId="0" borderId="25" xfId="1" applyFont="1" applyBorder="1" applyAlignment="1" applyProtection="1">
      <alignment horizontal="center"/>
      <protection locked="0"/>
    </xf>
    <xf numFmtId="0" fontId="7" fillId="0" borderId="24" xfId="1" applyFont="1" applyBorder="1" applyAlignment="1" applyProtection="1">
      <alignment horizontal="center"/>
      <protection locked="0"/>
    </xf>
    <xf numFmtId="164" fontId="7" fillId="0" borderId="24" xfId="1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7" fillId="0" borderId="10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10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164" fontId="7" fillId="0" borderId="14" xfId="1" applyNumberFormat="1" applyFont="1" applyBorder="1" applyAlignment="1">
      <alignment horizontal="center" vertical="center"/>
    </xf>
    <xf numFmtId="0" fontId="6" fillId="0" borderId="15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7" fillId="0" borderId="4" xfId="1" applyFont="1" applyBorder="1"/>
    <xf numFmtId="0" fontId="1" fillId="0" borderId="6" xfId="1" applyFont="1" applyBorder="1" applyAlignment="1" applyProtection="1">
      <alignment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8" fillId="0" borderId="4" xfId="1" applyFont="1" applyBorder="1" applyAlignment="1" applyProtection="1">
      <alignment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3" fillId="0" borderId="3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left" vertical="center"/>
      <protection hidden="1"/>
    </xf>
    <xf numFmtId="0" fontId="1" fillId="0" borderId="8" xfId="1" applyFont="1" applyBorder="1" applyProtection="1">
      <protection hidden="1"/>
    </xf>
    <xf numFmtId="0" fontId="1" fillId="0" borderId="2" xfId="1" applyFont="1" applyBorder="1" applyProtection="1">
      <protection hidden="1"/>
    </xf>
    <xf numFmtId="0" fontId="1" fillId="0" borderId="1" xfId="1" applyFont="1" applyBorder="1" applyProtection="1">
      <protection hidden="1"/>
    </xf>
    <xf numFmtId="0" fontId="4" fillId="0" borderId="7" xfId="1" applyFont="1" applyBorder="1" applyAlignment="1" applyProtection="1">
      <alignment horizontal="left"/>
      <protection hidden="1"/>
    </xf>
    <xf numFmtId="0" fontId="7" fillId="0" borderId="0" xfId="1" applyFont="1" applyAlignment="1" applyProtection="1">
      <alignment horizontal="left"/>
      <protection locked="0"/>
    </xf>
    <xf numFmtId="0" fontId="1" fillId="0" borderId="6" xfId="1" applyFont="1" applyBorder="1" applyProtection="1">
      <protection hidden="1"/>
    </xf>
    <xf numFmtId="0" fontId="1" fillId="0" borderId="7" xfId="1" applyFont="1" applyBorder="1" applyProtection="1">
      <protection hidden="1"/>
    </xf>
    <xf numFmtId="0" fontId="2" fillId="0" borderId="0" xfId="1" applyFont="1" applyProtection="1">
      <protection hidden="1"/>
    </xf>
    <xf numFmtId="0" fontId="1" fillId="0" borderId="5" xfId="1" applyFont="1" applyBorder="1" applyProtection="1">
      <protection hidden="1"/>
    </xf>
    <xf numFmtId="0" fontId="1" fillId="0" borderId="4" xfId="1" applyFont="1" applyBorder="1" applyProtection="1">
      <protection hidden="1"/>
    </xf>
    <xf numFmtId="0" fontId="3" fillId="0" borderId="4" xfId="1" applyFont="1" applyBorder="1" applyProtection="1">
      <protection hidden="1"/>
    </xf>
    <xf numFmtId="14" fontId="6" fillId="0" borderId="0" xfId="1" applyNumberFormat="1" applyFont="1" applyAlignment="1" applyProtection="1">
      <alignment horizontal="center"/>
      <protection hidden="1"/>
    </xf>
    <xf numFmtId="0" fontId="5" fillId="0" borderId="0" xfId="1" applyFont="1" applyAlignment="1" applyProtection="1">
      <alignment horizontal="right"/>
      <protection hidden="1"/>
    </xf>
    <xf numFmtId="0" fontId="3" fillId="0" borderId="0" xfId="1" applyFont="1" applyAlignment="1" applyProtection="1">
      <alignment horizontal="right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horizontal="center"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7" fillId="0" borderId="10" xfId="1" applyFont="1" applyBorder="1" applyAlignment="1" applyProtection="1">
      <alignment horizontal="center" vertical="center"/>
      <protection locked="0"/>
    </xf>
    <xf numFmtId="0" fontId="7" fillId="0" borderId="9" xfId="1" applyFont="1" applyBorder="1" applyAlignment="1" applyProtection="1">
      <alignment horizontal="center" vertical="center"/>
      <protection locked="0"/>
    </xf>
    <xf numFmtId="0" fontId="7" fillId="0" borderId="14" xfId="1" applyFont="1" applyBorder="1" applyAlignment="1" applyProtection="1">
      <alignment horizontal="center" vertical="center"/>
      <protection locked="0"/>
    </xf>
    <xf numFmtId="0" fontId="7" fillId="0" borderId="26" xfId="1" applyFont="1" applyBorder="1" applyAlignment="1">
      <alignment vertical="center"/>
    </xf>
    <xf numFmtId="0" fontId="7" fillId="0" borderId="25" xfId="1" applyFont="1" applyBorder="1" applyAlignment="1">
      <alignment vertical="center"/>
    </xf>
    <xf numFmtId="0" fontId="7" fillId="0" borderId="26" xfId="1" applyFont="1" applyBorder="1" applyAlignment="1" applyProtection="1">
      <alignment horizontal="center" vertical="center"/>
      <protection locked="0"/>
    </xf>
    <xf numFmtId="0" fontId="7" fillId="0" borderId="25" xfId="1" applyFont="1" applyBorder="1" applyAlignment="1" applyProtection="1">
      <alignment horizontal="center" vertical="center"/>
      <protection locked="0"/>
    </xf>
    <xf numFmtId="0" fontId="7" fillId="0" borderId="26" xfId="1" applyFont="1" applyBorder="1" applyAlignment="1" applyProtection="1">
      <alignment vertical="center"/>
      <protection locked="0"/>
    </xf>
    <xf numFmtId="0" fontId="7" fillId="0" borderId="25" xfId="1" applyFont="1" applyBorder="1" applyAlignment="1" applyProtection="1">
      <alignment vertical="center"/>
      <protection locked="0"/>
    </xf>
    <xf numFmtId="0" fontId="7" fillId="0" borderId="24" xfId="1" applyFont="1" applyBorder="1" applyAlignment="1" applyProtection="1">
      <alignment vertical="center"/>
      <protection locked="0"/>
    </xf>
    <xf numFmtId="0" fontId="7" fillId="0" borderId="10" xfId="1" applyFont="1" applyBorder="1" applyAlignment="1" applyProtection="1">
      <alignment vertical="center"/>
      <protection locked="0"/>
    </xf>
    <xf numFmtId="0" fontId="7" fillId="0" borderId="9" xfId="1" applyFont="1" applyBorder="1" applyAlignment="1" applyProtection="1">
      <alignment vertical="center"/>
      <protection locked="0"/>
    </xf>
    <xf numFmtId="0" fontId="7" fillId="0" borderId="14" xfId="1" applyFont="1" applyBorder="1" applyAlignment="1" applyProtection="1">
      <alignment vertical="center"/>
      <protection locked="0"/>
    </xf>
    <xf numFmtId="164" fontId="6" fillId="0" borderId="27" xfId="1" applyNumberFormat="1" applyFont="1" applyBorder="1" applyAlignment="1">
      <alignment horizontal="center" vertical="top"/>
    </xf>
    <xf numFmtId="0" fontId="7" fillId="0" borderId="28" xfId="1" applyFont="1" applyBorder="1" applyAlignment="1">
      <alignment vertical="top"/>
    </xf>
    <xf numFmtId="0" fontId="7" fillId="0" borderId="29" xfId="1" applyFont="1" applyBorder="1" applyAlignment="1">
      <alignment vertical="top"/>
    </xf>
    <xf numFmtId="164" fontId="6" fillId="0" borderId="14" xfId="1" applyNumberFormat="1" applyFont="1" applyBorder="1" applyAlignment="1">
      <alignment horizontal="center" vertical="center"/>
    </xf>
    <xf numFmtId="0" fontId="7" fillId="0" borderId="9" xfId="1" applyFont="1" applyBorder="1"/>
    <xf numFmtId="0" fontId="7" fillId="0" borderId="10" xfId="1" applyFont="1" applyBorder="1"/>
    <xf numFmtId="0" fontId="7" fillId="0" borderId="0" xfId="1" applyFont="1" applyAlignment="1" applyProtection="1">
      <alignment horizontal="left"/>
      <protection hidden="1"/>
    </xf>
    <xf numFmtId="0" fontId="7" fillId="0" borderId="0" xfId="1" applyFont="1" applyAlignment="1" applyProtection="1">
      <alignment horizontal="left" vertical="center"/>
      <protection hidden="1"/>
    </xf>
    <xf numFmtId="0" fontId="10" fillId="0" borderId="3" xfId="1" applyFont="1" applyBorder="1" applyAlignment="1" applyProtection="1">
      <alignment horizontal="center" vertical="center" wrapText="1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0" fontId="10" fillId="0" borderId="5" xfId="1" applyFont="1" applyBorder="1" applyAlignment="1" applyProtection="1">
      <alignment horizontal="center" vertical="center" wrapText="1"/>
      <protection locked="0"/>
    </xf>
    <xf numFmtId="0" fontId="10" fillId="0" borderId="6" xfId="1" applyFont="1" applyBorder="1" applyAlignment="1" applyProtection="1">
      <alignment horizontal="center" vertical="center" wrapText="1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10" fillId="0" borderId="7" xfId="1" applyFont="1" applyBorder="1" applyAlignment="1" applyProtection="1">
      <alignment horizontal="center" vertical="center" wrapText="1"/>
      <protection locked="0"/>
    </xf>
    <xf numFmtId="0" fontId="10" fillId="0" borderId="1" xfId="1" applyFont="1" applyBorder="1" applyAlignment="1" applyProtection="1">
      <alignment horizontal="center" vertical="center" wrapText="1"/>
      <protection locked="0"/>
    </xf>
    <xf numFmtId="0" fontId="10" fillId="0" borderId="2" xfId="1" applyFont="1" applyBorder="1" applyAlignment="1" applyProtection="1">
      <alignment horizontal="center" vertical="center" wrapText="1"/>
      <protection locked="0"/>
    </xf>
    <xf numFmtId="0" fontId="10" fillId="0" borderId="8" xfId="1" applyFont="1" applyBorder="1" applyAlignment="1" applyProtection="1">
      <alignment horizontal="center" vertical="center" wrapText="1"/>
      <protection locked="0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0" xfId="1" applyFont="1" applyBorder="1" applyAlignment="1" applyProtection="1">
      <alignment horizontal="center"/>
      <protection locked="0"/>
    </xf>
    <xf numFmtId="0" fontId="7" fillId="0" borderId="17" xfId="1" applyFont="1" applyBorder="1" applyAlignment="1" applyProtection="1">
      <alignment horizontal="center" vertical="center" wrapText="1"/>
      <protection locked="0"/>
    </xf>
    <xf numFmtId="0" fontId="7" fillId="0" borderId="18" xfId="1" applyFont="1" applyBorder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7" fillId="0" borderId="19" xfId="1" applyFont="1" applyBorder="1" applyAlignment="1" applyProtection="1">
      <alignment horizontal="center" vertical="center" wrapText="1"/>
      <protection locked="0"/>
    </xf>
    <xf numFmtId="0" fontId="7" fillId="0" borderId="20" xfId="1" applyFont="1" applyBorder="1" applyAlignment="1" applyProtection="1">
      <alignment horizontal="center" vertical="center" wrapText="1"/>
      <protection locked="0"/>
    </xf>
    <xf numFmtId="0" fontId="7" fillId="0" borderId="21" xfId="1" applyFont="1" applyBorder="1" applyAlignment="1" applyProtection="1">
      <alignment horizontal="center" vertical="center" wrapText="1"/>
      <protection locked="0"/>
    </xf>
    <xf numFmtId="0" fontId="7" fillId="0" borderId="22" xfId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23" xfId="1" applyFont="1" applyBorder="1" applyAlignment="1" applyProtection="1">
      <alignment horizontal="center" vertical="center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7" fillId="0" borderId="0" xfId="1" applyFont="1" applyAlignment="1" applyProtection="1">
      <alignment horizontal="left"/>
      <protection locked="0"/>
    </xf>
    <xf numFmtId="164" fontId="7" fillId="0" borderId="24" xfId="1" applyNumberFormat="1" applyFont="1" applyBorder="1" applyAlignment="1">
      <alignment horizontal="center" vertical="center"/>
    </xf>
    <xf numFmtId="164" fontId="7" fillId="0" borderId="25" xfId="1" applyNumberFormat="1" applyFont="1" applyBorder="1" applyAlignment="1">
      <alignment horizontal="center" vertical="center"/>
    </xf>
    <xf numFmtId="164" fontId="7" fillId="0" borderId="26" xfId="1" applyNumberFormat="1" applyFont="1" applyBorder="1" applyAlignment="1">
      <alignment horizontal="center" vertical="center"/>
    </xf>
    <xf numFmtId="0" fontId="7" fillId="0" borderId="24" xfId="1" applyFont="1" applyBorder="1" applyAlignment="1" applyProtection="1">
      <alignment horizontal="center"/>
      <protection locked="0"/>
    </xf>
    <xf numFmtId="0" fontId="7" fillId="0" borderId="25" xfId="1" applyFont="1" applyBorder="1" applyAlignment="1" applyProtection="1">
      <alignment horizontal="center"/>
      <protection locked="0"/>
    </xf>
    <xf numFmtId="0" fontId="7" fillId="0" borderId="26" xfId="1" applyFont="1" applyBorder="1" applyAlignment="1" applyProtection="1">
      <alignment horizontal="center"/>
      <protection locked="0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 applyProtection="1">
      <alignment horizontal="center" vertical="center"/>
      <protection hidden="1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0" fontId="11" fillId="0" borderId="8" xfId="1" applyFont="1" applyBorder="1" applyAlignment="1" applyProtection="1">
      <alignment horizontal="center" vertical="center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9" fillId="0" borderId="3" xfId="1" applyFont="1" applyBorder="1" applyAlignment="1" applyProtection="1">
      <alignment horizontal="center" vertical="center"/>
      <protection hidden="1"/>
    </xf>
    <xf numFmtId="0" fontId="9" fillId="0" borderId="4" xfId="1" applyFont="1" applyBorder="1" applyAlignment="1" applyProtection="1">
      <alignment horizontal="center" vertical="center"/>
      <protection hidden="1"/>
    </xf>
    <xf numFmtId="0" fontId="9" fillId="0" borderId="5" xfId="1" applyFont="1" applyBorder="1" applyAlignment="1" applyProtection="1">
      <alignment horizontal="center" vertical="center"/>
      <protection hidden="1"/>
    </xf>
    <xf numFmtId="0" fontId="10" fillId="0" borderId="6" xfId="1" applyFont="1" applyBorder="1" applyAlignment="1" applyProtection="1">
      <alignment horizontal="center" vertical="center" wrapText="1"/>
      <protection hidden="1"/>
    </xf>
    <xf numFmtId="0" fontId="10" fillId="0" borderId="0" xfId="1" applyFont="1" applyAlignment="1" applyProtection="1">
      <alignment horizontal="center" vertical="center" wrapText="1"/>
      <protection hidden="1"/>
    </xf>
    <xf numFmtId="0" fontId="10" fillId="0" borderId="7" xfId="1" applyFont="1" applyBorder="1" applyAlignment="1" applyProtection="1">
      <alignment horizontal="center" vertical="center" wrapText="1"/>
      <protection hidden="1"/>
    </xf>
    <xf numFmtId="0" fontId="6" fillId="0" borderId="6" xfId="1" applyFont="1" applyBorder="1" applyAlignment="1" applyProtection="1">
      <alignment horizontal="center" vertical="center" wrapText="1"/>
      <protection hidden="1"/>
    </xf>
    <xf numFmtId="0" fontId="6" fillId="0" borderId="0" xfId="1" applyFont="1" applyAlignment="1" applyProtection="1">
      <alignment horizontal="center" vertical="center" wrapText="1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4" fillId="0" borderId="9" xfId="1" applyFont="1" applyBorder="1" applyAlignment="1" applyProtection="1">
      <alignment horizontal="center" vertical="center"/>
      <protection hidden="1"/>
    </xf>
    <xf numFmtId="14" fontId="7" fillId="0" borderId="0" xfId="1" applyNumberFormat="1" applyFont="1" applyAlignment="1" applyProtection="1">
      <alignment horizontal="left" vertical="center"/>
      <protection locked="0"/>
    </xf>
    <xf numFmtId="0" fontId="7" fillId="0" borderId="6" xfId="1" applyFont="1" applyBorder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horizontal="left" vertical="center" wrapText="1"/>
      <protection locked="0"/>
    </xf>
    <xf numFmtId="0" fontId="7" fillId="0" borderId="7" xfId="1" applyFont="1" applyBorder="1" applyAlignment="1" applyProtection="1">
      <alignment horizontal="left" vertical="center" wrapText="1"/>
      <protection locked="0"/>
    </xf>
    <xf numFmtId="0" fontId="7" fillId="0" borderId="1" xfId="1" applyFont="1" applyBorder="1" applyAlignment="1" applyProtection="1">
      <alignment horizontal="left" vertical="center" wrapText="1"/>
      <protection locked="0"/>
    </xf>
    <xf numFmtId="0" fontId="7" fillId="0" borderId="2" xfId="1" applyFont="1" applyBorder="1" applyAlignment="1" applyProtection="1">
      <alignment horizontal="left" vertical="center" wrapText="1"/>
      <protection locked="0"/>
    </xf>
    <xf numFmtId="0" fontId="7" fillId="0" borderId="8" xfId="1" applyFont="1" applyBorder="1" applyAlignment="1" applyProtection="1">
      <alignment horizontal="left" vertical="center" wrapText="1"/>
      <protection locked="0"/>
    </xf>
    <xf numFmtId="0" fontId="5" fillId="0" borderId="6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7" xfId="1" applyFont="1" applyBorder="1" applyAlignment="1" applyProtection="1">
      <alignment horizontal="center" vertical="center"/>
      <protection hidden="1"/>
    </xf>
    <xf numFmtId="0" fontId="5" fillId="0" borderId="1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0" fontId="2" fillId="0" borderId="33" xfId="1" applyFont="1" applyBorder="1" applyAlignment="1" applyProtection="1">
      <alignment horizontal="center" vertical="center"/>
      <protection hidden="1"/>
    </xf>
    <xf numFmtId="0" fontId="2" fillId="0" borderId="34" xfId="1" applyFont="1" applyBorder="1" applyAlignment="1" applyProtection="1">
      <alignment horizontal="center" vertical="center"/>
      <protection hidden="1"/>
    </xf>
    <xf numFmtId="0" fontId="2" fillId="0" borderId="35" xfId="1" applyFont="1" applyBorder="1" applyAlignment="1" applyProtection="1">
      <alignment horizontal="center"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8" xfId="1" applyFont="1" applyBorder="1" applyAlignment="1" applyProtection="1">
      <alignment horizontal="center" vertical="center"/>
      <protection hidden="1"/>
    </xf>
    <xf numFmtId="164" fontId="7" fillId="0" borderId="14" xfId="1" applyNumberFormat="1" applyFont="1" applyBorder="1" applyAlignment="1">
      <alignment horizontal="center" vertical="center"/>
    </xf>
    <xf numFmtId="0" fontId="7" fillId="0" borderId="9" xfId="1" applyFont="1" applyBorder="1" applyAlignment="1">
      <alignment vertical="center"/>
    </xf>
    <xf numFmtId="0" fontId="7" fillId="0" borderId="10" xfId="1" applyFont="1" applyBorder="1" applyAlignment="1">
      <alignment vertical="center"/>
    </xf>
    <xf numFmtId="0" fontId="6" fillId="0" borderId="30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7" fillId="0" borderId="14" xfId="1" applyFont="1" applyBorder="1" applyAlignment="1" applyProtection="1">
      <alignment horizontal="center" vertical="center" wrapText="1"/>
      <protection locked="0"/>
    </xf>
    <xf numFmtId="0" fontId="7" fillId="0" borderId="9" xfId="1" applyFont="1" applyBorder="1" applyAlignment="1" applyProtection="1">
      <alignment horizontal="center" vertical="center" wrapText="1"/>
      <protection locked="0"/>
    </xf>
    <xf numFmtId="0" fontId="1" fillId="0" borderId="9" xfId="1" applyFont="1" applyBorder="1" applyAlignment="1" applyProtection="1">
      <alignment horizontal="center" vertical="center" wrapText="1"/>
      <protection locked="0"/>
    </xf>
    <xf numFmtId="0" fontId="1" fillId="0" borderId="10" xfId="1" applyFont="1" applyBorder="1" applyAlignment="1" applyProtection="1">
      <alignment horizontal="center" vertical="center" wrapText="1"/>
      <protection locked="0"/>
    </xf>
    <xf numFmtId="0" fontId="7" fillId="0" borderId="3" xfId="1" applyFont="1" applyBorder="1" applyAlignment="1" applyProtection="1">
      <alignment horizontal="center" vertical="center" wrapText="1"/>
      <protection locked="0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7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164" fontId="6" fillId="0" borderId="24" xfId="1" applyNumberFormat="1" applyFont="1" applyBorder="1" applyAlignment="1">
      <alignment horizontal="center" vertical="center"/>
    </xf>
    <xf numFmtId="0" fontId="7" fillId="0" borderId="25" xfId="1" applyFont="1" applyBorder="1"/>
    <xf numFmtId="0" fontId="7" fillId="0" borderId="26" xfId="1" applyFont="1" applyBorder="1"/>
    <xf numFmtId="0" fontId="7" fillId="0" borderId="0" xfId="1" applyFont="1" applyAlignment="1" applyProtection="1">
      <alignment horizontal="center"/>
      <protection locked="0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/>
    <xf numFmtId="0" fontId="7" fillId="0" borderId="8" xfId="1" applyFont="1" applyBorder="1"/>
    <xf numFmtId="0" fontId="6" fillId="0" borderId="3" xfId="1" applyFont="1" applyBorder="1" applyAlignment="1">
      <alignment horizontal="center" vertical="center"/>
    </xf>
    <xf numFmtId="0" fontId="7" fillId="0" borderId="4" xfId="1" applyFont="1" applyBorder="1"/>
    <xf numFmtId="0" fontId="7" fillId="0" borderId="5" xfId="1" applyFont="1" applyBorder="1"/>
    <xf numFmtId="0" fontId="7" fillId="0" borderId="15" xfId="1" applyFont="1" applyBorder="1" applyAlignment="1" applyProtection="1">
      <alignment horizontal="center" vertical="center"/>
      <protection hidden="1"/>
    </xf>
    <xf numFmtId="0" fontId="7" fillId="0" borderId="16" xfId="1" applyFont="1" applyBorder="1" applyAlignment="1" applyProtection="1">
      <alignment horizontal="center" vertical="center"/>
      <protection hidden="1"/>
    </xf>
    <xf numFmtId="0" fontId="7" fillId="0" borderId="4" xfId="1" applyFont="1" applyBorder="1" applyAlignment="1">
      <alignment horizontal="center"/>
    </xf>
    <xf numFmtId="0" fontId="7" fillId="0" borderId="3" xfId="1" applyFont="1" applyBorder="1" applyAlignment="1" applyProtection="1">
      <alignment horizontal="center" vertical="center"/>
      <protection locked="0"/>
    </xf>
    <xf numFmtId="0" fontId="7" fillId="0" borderId="4" xfId="1" applyFont="1" applyBorder="1" applyAlignment="1" applyProtection="1">
      <alignment horizontal="center" vertical="center"/>
      <protection locked="0"/>
    </xf>
    <xf numFmtId="0" fontId="7" fillId="0" borderId="5" xfId="1" applyFont="1" applyBorder="1" applyAlignment="1" applyProtection="1">
      <alignment horizontal="center" vertical="center"/>
      <protection locked="0"/>
    </xf>
    <xf numFmtId="0" fontId="7" fillId="0" borderId="7" xfId="1" applyFont="1" applyBorder="1" applyAlignment="1" applyProtection="1">
      <alignment horizontal="center" vertical="center"/>
      <protection locked="0"/>
    </xf>
    <xf numFmtId="0" fontId="7" fillId="0" borderId="1" xfId="1" applyFont="1" applyBorder="1" applyAlignment="1" applyProtection="1">
      <alignment horizontal="center" vertical="center"/>
      <protection locked="0"/>
    </xf>
    <xf numFmtId="0" fontId="7" fillId="0" borderId="2" xfId="1" applyFont="1" applyBorder="1" applyAlignment="1" applyProtection="1">
      <alignment horizontal="center" vertical="center"/>
      <protection locked="0"/>
    </xf>
    <xf numFmtId="0" fontId="7" fillId="0" borderId="8" xfId="1" applyFont="1" applyBorder="1" applyAlignment="1" applyProtection="1">
      <alignment horizontal="center" vertical="center"/>
      <protection locked="0"/>
    </xf>
    <xf numFmtId="164" fontId="7" fillId="0" borderId="22" xfId="1" applyNumberFormat="1" applyFont="1" applyBorder="1" applyAlignment="1" applyProtection="1">
      <alignment horizontal="center" vertical="center"/>
      <protection locked="0"/>
    </xf>
    <xf numFmtId="0" fontId="1" fillId="0" borderId="14" xfId="1" applyFont="1" applyBorder="1" applyAlignment="1" applyProtection="1">
      <alignment horizontal="center"/>
      <protection locked="0"/>
    </xf>
    <xf numFmtId="0" fontId="1" fillId="0" borderId="9" xfId="1" applyFont="1" applyBorder="1" applyAlignment="1" applyProtection="1">
      <alignment horizontal="center"/>
      <protection locked="0"/>
    </xf>
    <xf numFmtId="0" fontId="1" fillId="0" borderId="10" xfId="1" applyFont="1" applyBorder="1" applyAlignment="1" applyProtection="1">
      <alignment horizont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4" xfId="0" applyFont="1" applyBorder="1" applyAlignment="1">
      <alignment horizont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24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164" fontId="7" fillId="0" borderId="24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4" fontId="6" fillId="0" borderId="27" xfId="0" applyNumberFormat="1" applyFont="1" applyBorder="1" applyAlignment="1">
      <alignment horizontal="center" vertical="top"/>
    </xf>
    <xf numFmtId="0" fontId="7" fillId="0" borderId="28" xfId="0" applyFont="1" applyBorder="1" applyAlignment="1">
      <alignment vertical="top"/>
    </xf>
    <xf numFmtId="0" fontId="7" fillId="0" borderId="29" xfId="0" applyFont="1" applyBorder="1" applyAlignment="1">
      <alignment vertical="top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6" fillId="0" borderId="3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6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4" fontId="6" fillId="0" borderId="24" xfId="0" applyNumberFormat="1" applyFont="1" applyBorder="1" applyAlignment="1">
      <alignment horizontal="center" vertical="center"/>
    </xf>
    <xf numFmtId="0" fontId="7" fillId="0" borderId="25" xfId="0" applyFont="1" applyBorder="1"/>
    <xf numFmtId="0" fontId="7" fillId="0" borderId="26" xfId="0" applyFont="1" applyBorder="1"/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0" xfId="1" applyFont="1" applyBorder="1" applyAlignment="1" applyProtection="1">
      <alignment horizontal="center" vertical="center"/>
      <protection locked="0"/>
    </xf>
    <xf numFmtId="0" fontId="7" fillId="0" borderId="36" xfId="1" applyFont="1" applyBorder="1" applyAlignment="1" applyProtection="1">
      <alignment horizontal="center" vertical="center"/>
      <protection locked="0"/>
    </xf>
    <xf numFmtId="0" fontId="7" fillId="0" borderId="37" xfId="1" applyFont="1" applyBorder="1" applyAlignment="1" applyProtection="1">
      <alignment horizontal="center" vertical="center"/>
      <protection locked="0"/>
    </xf>
    <xf numFmtId="0" fontId="7" fillId="0" borderId="38" xfId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F5CD6D10-FD53-4B2C-8EB6-1BF0C58C547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2985163-094F-4F75-A461-08D92A22C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95250</xdr:colOff>
      <xdr:row>64</xdr:row>
      <xdr:rowOff>57150</xdr:rowOff>
    </xdr:from>
    <xdr:ext cx="1813941" cy="714375"/>
    <xdr:pic>
      <xdr:nvPicPr>
        <xdr:cNvPr id="3" name="Image 2">
          <a:extLst>
            <a:ext uri="{FF2B5EF4-FFF2-40B4-BE49-F238E27FC236}">
              <a16:creationId xmlns:a16="http://schemas.microsoft.com/office/drawing/2014/main" id="{7225BFA1-0CCF-4C43-AB2A-62BA3F671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2440" y="11026140"/>
          <a:ext cx="1813941" cy="7143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9D0C59E-C2E1-4AB8-B6C5-148CD3501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95250</xdr:colOff>
      <xdr:row>65</xdr:row>
      <xdr:rowOff>57150</xdr:rowOff>
    </xdr:from>
    <xdr:ext cx="1813941" cy="714375"/>
    <xdr:pic>
      <xdr:nvPicPr>
        <xdr:cNvPr id="3" name="Image 2">
          <a:extLst>
            <a:ext uri="{FF2B5EF4-FFF2-40B4-BE49-F238E27FC236}">
              <a16:creationId xmlns:a16="http://schemas.microsoft.com/office/drawing/2014/main" id="{7FA219D9-BEFB-4701-94A8-8E287199C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2440" y="11197590"/>
          <a:ext cx="1813941" cy="7143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C858B7B-EEF7-48FE-BBB5-52B5ED6DF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95250</xdr:colOff>
      <xdr:row>64</xdr:row>
      <xdr:rowOff>57150</xdr:rowOff>
    </xdr:from>
    <xdr:ext cx="1813941" cy="714375"/>
    <xdr:pic>
      <xdr:nvPicPr>
        <xdr:cNvPr id="3" name="Image 2">
          <a:extLst>
            <a:ext uri="{FF2B5EF4-FFF2-40B4-BE49-F238E27FC236}">
              <a16:creationId xmlns:a16="http://schemas.microsoft.com/office/drawing/2014/main" id="{965967F0-B163-4757-88DC-59F8D605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2440" y="11026140"/>
          <a:ext cx="1813941" cy="7143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12B6631-4207-47C6-8D64-A1938853E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95250</xdr:colOff>
      <xdr:row>64</xdr:row>
      <xdr:rowOff>57150</xdr:rowOff>
    </xdr:from>
    <xdr:ext cx="1813941" cy="714375"/>
    <xdr:pic>
      <xdr:nvPicPr>
        <xdr:cNvPr id="3" name="Image 2">
          <a:extLst>
            <a:ext uri="{FF2B5EF4-FFF2-40B4-BE49-F238E27FC236}">
              <a16:creationId xmlns:a16="http://schemas.microsoft.com/office/drawing/2014/main" id="{2CBCE3B7-1340-42C3-AFDC-C2C7C41E8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2440" y="11026140"/>
          <a:ext cx="1813941" cy="7143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0AF4EAF-32FA-4BB0-8521-6288CDA18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95250</xdr:colOff>
      <xdr:row>64</xdr:row>
      <xdr:rowOff>57150</xdr:rowOff>
    </xdr:from>
    <xdr:ext cx="1813941" cy="714375"/>
    <xdr:pic>
      <xdr:nvPicPr>
        <xdr:cNvPr id="3" name="Image 2">
          <a:extLst>
            <a:ext uri="{FF2B5EF4-FFF2-40B4-BE49-F238E27FC236}">
              <a16:creationId xmlns:a16="http://schemas.microsoft.com/office/drawing/2014/main" id="{8FD927B8-B247-4889-8E94-57ED26E3E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2440" y="11026140"/>
          <a:ext cx="1813941" cy="7143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86B37DC-3394-4083-952A-C59819005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152400</xdr:colOff>
      <xdr:row>66</xdr:row>
      <xdr:rowOff>38100</xdr:rowOff>
    </xdr:from>
    <xdr:to>
      <xdr:col>25</xdr:col>
      <xdr:colOff>170162</xdr:colOff>
      <xdr:row>69</xdr:row>
      <xdr:rowOff>131445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1F81B97-EFF1-40DC-BA25-5CFFF293C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14077950"/>
          <a:ext cx="1779887" cy="693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DDFB3F0-89A6-4D50-9DEA-350DC2B93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152400</xdr:colOff>
      <xdr:row>64</xdr:row>
      <xdr:rowOff>38100</xdr:rowOff>
    </xdr:from>
    <xdr:to>
      <xdr:col>25</xdr:col>
      <xdr:colOff>170162</xdr:colOff>
      <xdr:row>67</xdr:row>
      <xdr:rowOff>131445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613B929-6B6C-48AA-A709-DA09C68C9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14077950"/>
          <a:ext cx="1779887" cy="693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152400</xdr:colOff>
      <xdr:row>64</xdr:row>
      <xdr:rowOff>38100</xdr:rowOff>
    </xdr:from>
    <xdr:to>
      <xdr:col>25</xdr:col>
      <xdr:colOff>179687</xdr:colOff>
      <xdr:row>67</xdr:row>
      <xdr:rowOff>140970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C73FD5C-B454-970B-B7C3-56ECA7DF7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14077950"/>
          <a:ext cx="1789412" cy="7029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A8E76EE-413E-46DB-A7EF-8D6D4478F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152400</xdr:colOff>
      <xdr:row>64</xdr:row>
      <xdr:rowOff>38100</xdr:rowOff>
    </xdr:from>
    <xdr:to>
      <xdr:col>25</xdr:col>
      <xdr:colOff>173972</xdr:colOff>
      <xdr:row>67</xdr:row>
      <xdr:rowOff>135255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A458B79-C0CB-42F6-991C-0AC191862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14077950"/>
          <a:ext cx="1787507" cy="701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FF5C-5DD2-46C0-8C82-41AB11929563}">
  <sheetPr>
    <pageSetUpPr fitToPage="1"/>
  </sheetPr>
  <dimension ref="A1:AA76"/>
  <sheetViews>
    <sheetView tabSelected="1" workbookViewId="0">
      <selection activeCell="V58" sqref="V5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217"/>
      <c r="B1" s="218"/>
      <c r="C1" s="218"/>
      <c r="D1" s="218"/>
      <c r="E1" s="218"/>
      <c r="F1" s="219"/>
      <c r="G1" s="226" t="s">
        <v>0</v>
      </c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8"/>
      <c r="U1" s="171" t="s">
        <v>48</v>
      </c>
      <c r="V1" s="172"/>
      <c r="W1" s="172"/>
      <c r="X1" s="172"/>
      <c r="Y1" s="172"/>
      <c r="Z1" s="173"/>
    </row>
    <row r="2" spans="1:26" ht="12.75" customHeight="1" x14ac:dyDescent="0.25">
      <c r="A2" s="220"/>
      <c r="B2" s="221"/>
      <c r="C2" s="221"/>
      <c r="D2" s="221"/>
      <c r="E2" s="221"/>
      <c r="F2" s="222"/>
      <c r="G2" s="229" t="s">
        <v>1</v>
      </c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1"/>
      <c r="U2" s="174"/>
      <c r="V2" s="175"/>
      <c r="W2" s="175"/>
      <c r="X2" s="175"/>
      <c r="Y2" s="175"/>
      <c r="Z2" s="176"/>
    </row>
    <row r="3" spans="1:26" ht="12.75" customHeight="1" x14ac:dyDescent="0.25">
      <c r="A3" s="220"/>
      <c r="B3" s="221"/>
      <c r="C3" s="221"/>
      <c r="D3" s="221"/>
      <c r="E3" s="221"/>
      <c r="F3" s="222"/>
      <c r="G3" s="229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1"/>
      <c r="U3" s="174"/>
      <c r="V3" s="175"/>
      <c r="W3" s="175"/>
      <c r="X3" s="175"/>
      <c r="Y3" s="175"/>
      <c r="Z3" s="176"/>
    </row>
    <row r="4" spans="1:26" ht="12.75" customHeight="1" x14ac:dyDescent="0.25">
      <c r="A4" s="220"/>
      <c r="B4" s="221"/>
      <c r="C4" s="221"/>
      <c r="D4" s="221"/>
      <c r="E4" s="221"/>
      <c r="F4" s="222"/>
      <c r="G4" s="229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1"/>
      <c r="U4" s="174"/>
      <c r="V4" s="175"/>
      <c r="W4" s="175"/>
      <c r="X4" s="175"/>
      <c r="Y4" s="175"/>
      <c r="Z4" s="176"/>
    </row>
    <row r="5" spans="1:26" ht="12.75" customHeight="1" x14ac:dyDescent="0.25">
      <c r="A5" s="220"/>
      <c r="B5" s="221"/>
      <c r="C5" s="221"/>
      <c r="D5" s="221"/>
      <c r="E5" s="221"/>
      <c r="F5" s="222"/>
      <c r="G5" s="232" t="s">
        <v>2</v>
      </c>
      <c r="H5" s="233"/>
      <c r="I5" s="207">
        <v>8</v>
      </c>
      <c r="J5" s="207"/>
      <c r="K5" s="208"/>
      <c r="L5" s="210" t="s">
        <v>49</v>
      </c>
      <c r="M5" s="211"/>
      <c r="N5" s="211"/>
      <c r="O5" s="212"/>
      <c r="P5" s="213" t="s">
        <v>65</v>
      </c>
      <c r="Q5" s="214"/>
      <c r="R5" s="214"/>
      <c r="S5" s="214"/>
      <c r="T5" s="215"/>
      <c r="U5" s="174"/>
      <c r="V5" s="175"/>
      <c r="W5" s="175"/>
      <c r="X5" s="175"/>
      <c r="Y5" s="175"/>
      <c r="Z5" s="176"/>
    </row>
    <row r="6" spans="1:26" ht="12.75" customHeight="1" x14ac:dyDescent="0.25">
      <c r="A6" s="223"/>
      <c r="B6" s="224"/>
      <c r="C6" s="224"/>
      <c r="D6" s="224"/>
      <c r="E6" s="224"/>
      <c r="F6" s="225"/>
      <c r="G6" s="149"/>
      <c r="H6" s="104"/>
      <c r="I6" s="209" t="s">
        <v>4</v>
      </c>
      <c r="J6" s="209"/>
      <c r="K6" s="209"/>
      <c r="L6" s="209" t="s">
        <v>5</v>
      </c>
      <c r="M6" s="209"/>
      <c r="N6" s="209"/>
      <c r="O6" s="209"/>
      <c r="P6" s="209" t="s">
        <v>6</v>
      </c>
      <c r="Q6" s="209"/>
      <c r="R6" s="209"/>
      <c r="S6" s="209"/>
      <c r="T6" s="216"/>
      <c r="U6" s="177"/>
      <c r="V6" s="178"/>
      <c r="W6" s="178"/>
      <c r="X6" s="178"/>
      <c r="Y6" s="178"/>
      <c r="Z6" s="179"/>
    </row>
    <row r="7" spans="1:26" ht="36.6" customHeight="1" x14ac:dyDescent="0.25">
      <c r="A7" s="234" t="s">
        <v>7</v>
      </c>
      <c r="B7" s="234"/>
      <c r="C7" s="234"/>
      <c r="D7" s="234"/>
      <c r="E7" s="234"/>
      <c r="F7" s="234"/>
      <c r="G7" s="235" t="s">
        <v>8</v>
      </c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</row>
    <row r="8" spans="1:26" ht="15.9" customHeight="1" x14ac:dyDescent="0.25">
      <c r="A8" s="128" t="s">
        <v>9</v>
      </c>
      <c r="B8" s="99" t="s">
        <v>10</v>
      </c>
      <c r="C8" s="96"/>
      <c r="D8" s="148"/>
      <c r="E8" s="148"/>
      <c r="F8" s="148"/>
      <c r="G8" s="148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4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70" t="s">
        <v>11</v>
      </c>
      <c r="C10" s="170"/>
      <c r="D10" s="170"/>
      <c r="E10" s="170"/>
      <c r="F10" s="170"/>
      <c r="G10" s="170"/>
      <c r="H10" s="236" t="s">
        <v>12</v>
      </c>
      <c r="I10" s="236"/>
      <c r="J10" s="236"/>
      <c r="K10" s="236"/>
      <c r="L10" s="236"/>
      <c r="M10" s="236"/>
      <c r="N10" s="170" t="s">
        <v>13</v>
      </c>
      <c r="O10" s="170"/>
      <c r="P10" s="170"/>
      <c r="Q10" s="170"/>
      <c r="R10" s="170"/>
      <c r="S10" s="195" t="s">
        <v>52</v>
      </c>
      <c r="T10" s="195"/>
      <c r="U10" s="195"/>
      <c r="V10" s="195"/>
      <c r="W10" s="195"/>
      <c r="X10" s="195"/>
      <c r="Y10" s="195"/>
      <c r="Z10" s="147"/>
    </row>
    <row r="11" spans="1:26" ht="15.9" customHeight="1" x14ac:dyDescent="0.25">
      <c r="A11" s="108"/>
      <c r="B11" s="170" t="s">
        <v>14</v>
      </c>
      <c r="C11" s="170"/>
      <c r="D11" s="170"/>
      <c r="E11" s="170"/>
      <c r="F11" s="170"/>
      <c r="G11" s="170"/>
      <c r="H11" s="236" t="s">
        <v>65</v>
      </c>
      <c r="I11" s="236"/>
      <c r="J11" s="236"/>
      <c r="K11" s="236"/>
      <c r="L11" s="236"/>
      <c r="M11" s="236"/>
      <c r="N11" s="170" t="s">
        <v>15</v>
      </c>
      <c r="O11" s="170"/>
      <c r="P11" s="170"/>
      <c r="Q11" s="170"/>
      <c r="R11" s="170"/>
      <c r="S11" s="195" t="s">
        <v>59</v>
      </c>
      <c r="T11" s="195"/>
      <c r="U11" s="195"/>
      <c r="V11" s="195"/>
      <c r="W11" s="195"/>
      <c r="X11" s="195"/>
      <c r="Y11" s="195"/>
      <c r="Z11" s="147"/>
    </row>
    <row r="12" spans="1:26" ht="15.9" customHeight="1" x14ac:dyDescent="0.25">
      <c r="A12" s="108"/>
      <c r="B12" s="170" t="s">
        <v>17</v>
      </c>
      <c r="C12" s="170"/>
      <c r="D12" s="170"/>
      <c r="E12" s="170"/>
      <c r="F12" s="170"/>
      <c r="G12" s="170"/>
      <c r="H12" s="236" t="s">
        <v>66</v>
      </c>
      <c r="I12" s="236"/>
      <c r="J12" s="236"/>
      <c r="K12" s="236"/>
      <c r="L12" s="236"/>
      <c r="M12" s="236"/>
      <c r="N12" s="170" t="s">
        <v>18</v>
      </c>
      <c r="O12" s="170"/>
      <c r="P12" s="170"/>
      <c r="Q12" s="170"/>
      <c r="R12" s="170"/>
      <c r="S12" s="195" t="s">
        <v>19</v>
      </c>
      <c r="T12" s="195"/>
      <c r="U12" s="195"/>
      <c r="V12" s="195"/>
      <c r="W12" s="195"/>
      <c r="X12" s="195"/>
      <c r="Y12" s="195"/>
      <c r="Z12" s="147"/>
    </row>
    <row r="13" spans="1:26" ht="8.25" customHeight="1" x14ac:dyDescent="0.25">
      <c r="A13" s="146"/>
      <c r="B13" s="104"/>
      <c r="C13" s="104"/>
      <c r="D13" s="145"/>
      <c r="E13" s="145"/>
      <c r="F13" s="145"/>
      <c r="G13" s="145"/>
      <c r="H13" s="104"/>
      <c r="I13" s="104"/>
      <c r="J13" s="104"/>
      <c r="K13" s="104"/>
      <c r="L13" s="104"/>
      <c r="M13" s="104"/>
      <c r="N13" s="14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42"/>
      <c r="C14" s="142"/>
      <c r="K14" s="143"/>
      <c r="L14" s="142"/>
      <c r="M14" s="141"/>
    </row>
    <row r="15" spans="1:26" s="76" customFormat="1" ht="15.6" customHeight="1" x14ac:dyDescent="0.25">
      <c r="A15" s="128" t="s">
        <v>20</v>
      </c>
      <c r="B15" s="140" t="s">
        <v>21</v>
      </c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8"/>
    </row>
    <row r="16" spans="1:26" s="76" customFormat="1" ht="15" customHeight="1" x14ac:dyDescent="0.25">
      <c r="A16" s="135"/>
      <c r="B16" s="137"/>
      <c r="Z16" s="136"/>
    </row>
    <row r="17" spans="1:26" s="76" customFormat="1" ht="15" customHeight="1" x14ac:dyDescent="0.25">
      <c r="A17" s="135"/>
      <c r="B17" s="169" t="s">
        <v>22</v>
      </c>
      <c r="C17" s="169"/>
      <c r="D17" s="169"/>
      <c r="E17" s="169"/>
      <c r="F17" s="169"/>
      <c r="G17" s="169"/>
      <c r="H17" s="169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133"/>
    </row>
    <row r="18" spans="1:26" s="76" customFormat="1" ht="15" customHeight="1" x14ac:dyDescent="0.25">
      <c r="A18" s="135"/>
      <c r="B18" s="169" t="s">
        <v>23</v>
      </c>
      <c r="C18" s="169"/>
      <c r="D18" s="169"/>
      <c r="E18" s="169"/>
      <c r="F18" s="169"/>
      <c r="G18" s="169"/>
      <c r="H18" s="169"/>
      <c r="I18" s="288" t="s">
        <v>24</v>
      </c>
      <c r="J18" s="288"/>
      <c r="K18" s="134">
        <v>50</v>
      </c>
      <c r="L18" s="134" t="s">
        <v>25</v>
      </c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3"/>
    </row>
    <row r="19" spans="1:26" s="76" customFormat="1" ht="13.2" customHeight="1" x14ac:dyDescent="0.25">
      <c r="A19" s="132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0"/>
    </row>
    <row r="20" spans="1:26" ht="12.75" customHeight="1" x14ac:dyDescent="0.25">
      <c r="D20" s="75"/>
      <c r="E20" s="75"/>
      <c r="F20" s="75"/>
      <c r="G20" s="75"/>
      <c r="N20" s="129"/>
    </row>
    <row r="21" spans="1:26" ht="15.9" customHeight="1" x14ac:dyDescent="0.25">
      <c r="A21" s="128" t="s">
        <v>26</v>
      </c>
      <c r="B21" s="127" t="s">
        <v>27</v>
      </c>
      <c r="C21" s="125"/>
      <c r="D21" s="126"/>
      <c r="E21" s="126"/>
      <c r="F21" s="126"/>
      <c r="G21" s="126"/>
      <c r="H21" s="125"/>
      <c r="I21" s="125"/>
      <c r="J21" s="297" t="s">
        <v>28</v>
      </c>
      <c r="K21" s="297"/>
      <c r="L21" s="297"/>
      <c r="M21" s="297"/>
      <c r="N21" s="297"/>
      <c r="O21" s="297"/>
      <c r="P21" s="297"/>
      <c r="Q21" s="122">
        <v>600</v>
      </c>
      <c r="R21" s="96"/>
      <c r="S21" s="96"/>
      <c r="T21" s="96"/>
      <c r="U21" s="96"/>
      <c r="V21" s="96"/>
      <c r="W21" s="96"/>
      <c r="X21" s="96"/>
      <c r="Y21" s="96"/>
      <c r="Z21" s="124"/>
    </row>
    <row r="22" spans="1:26" ht="12.75" customHeight="1" x14ac:dyDescent="0.25">
      <c r="A22" s="108"/>
      <c r="B22" s="123"/>
      <c r="Z22" s="107"/>
    </row>
    <row r="23" spans="1:26" ht="15.75" customHeight="1" x14ac:dyDescent="0.25">
      <c r="A23" s="108"/>
      <c r="B23" s="295" t="s">
        <v>29</v>
      </c>
      <c r="C23" s="196" t="s">
        <v>30</v>
      </c>
      <c r="D23" s="196"/>
      <c r="E23" s="196"/>
      <c r="F23" s="196"/>
      <c r="G23" s="197"/>
      <c r="H23" s="292" t="s">
        <v>31</v>
      </c>
      <c r="I23" s="293"/>
      <c r="J23" s="294"/>
      <c r="K23" s="196" t="s">
        <v>32</v>
      </c>
      <c r="L23" s="196"/>
      <c r="M23" s="196"/>
      <c r="N23" s="196"/>
      <c r="O23" s="196"/>
      <c r="P23" s="197"/>
      <c r="Z23" s="107"/>
    </row>
    <row r="24" spans="1:26" ht="15.75" customHeight="1" x14ac:dyDescent="0.25">
      <c r="A24" s="108"/>
      <c r="B24" s="296"/>
      <c r="C24" s="198"/>
      <c r="D24" s="198"/>
      <c r="E24" s="198"/>
      <c r="F24" s="198"/>
      <c r="G24" s="199"/>
      <c r="H24" s="289" t="s">
        <v>33</v>
      </c>
      <c r="I24" s="290"/>
      <c r="J24" s="291"/>
      <c r="K24" s="198"/>
      <c r="L24" s="198"/>
      <c r="M24" s="198"/>
      <c r="N24" s="198"/>
      <c r="O24" s="198"/>
      <c r="P24" s="199"/>
      <c r="Z24" s="107"/>
    </row>
    <row r="25" spans="1:26" ht="19.5" customHeight="1" x14ac:dyDescent="0.25">
      <c r="A25" s="108"/>
      <c r="B25" s="121">
        <v>1</v>
      </c>
      <c r="C25" s="298" t="s">
        <v>72</v>
      </c>
      <c r="D25" s="299"/>
      <c r="E25" s="299"/>
      <c r="F25" s="299"/>
      <c r="G25" s="300"/>
      <c r="H25" s="258">
        <v>46</v>
      </c>
      <c r="I25" s="259"/>
      <c r="J25" s="260"/>
      <c r="K25" s="180"/>
      <c r="L25" s="181"/>
      <c r="M25" s="181"/>
      <c r="N25" s="181"/>
      <c r="O25" s="181"/>
      <c r="P25" s="182"/>
      <c r="Z25" s="107"/>
    </row>
    <row r="26" spans="1:26" ht="19.5" customHeight="1" x14ac:dyDescent="0.25">
      <c r="A26" s="108"/>
      <c r="B26" s="121">
        <v>2</v>
      </c>
      <c r="C26" s="191"/>
      <c r="D26" s="192"/>
      <c r="E26" s="192"/>
      <c r="F26" s="192"/>
      <c r="G26" s="301"/>
      <c r="H26" s="258">
        <v>34</v>
      </c>
      <c r="I26" s="259"/>
      <c r="J26" s="260"/>
      <c r="K26" s="180"/>
      <c r="L26" s="181"/>
      <c r="M26" s="181"/>
      <c r="N26" s="181"/>
      <c r="O26" s="181"/>
      <c r="P26" s="182"/>
      <c r="Z26" s="107"/>
    </row>
    <row r="27" spans="1:26" ht="19.5" customHeight="1" x14ac:dyDescent="0.25">
      <c r="A27" s="108"/>
      <c r="B27" s="121">
        <v>3</v>
      </c>
      <c r="C27" s="191"/>
      <c r="D27" s="192"/>
      <c r="E27" s="192"/>
      <c r="F27" s="192"/>
      <c r="G27" s="301"/>
      <c r="H27" s="258">
        <v>37</v>
      </c>
      <c r="I27" s="259"/>
      <c r="J27" s="260"/>
      <c r="K27" s="180"/>
      <c r="L27" s="181"/>
      <c r="M27" s="181"/>
      <c r="N27" s="181"/>
      <c r="O27" s="181"/>
      <c r="P27" s="182"/>
      <c r="Z27" s="107"/>
    </row>
    <row r="28" spans="1:26" ht="19.5" customHeight="1" x14ac:dyDescent="0.25">
      <c r="A28" s="108"/>
      <c r="B28" s="121">
        <v>4</v>
      </c>
      <c r="C28" s="191"/>
      <c r="D28" s="192"/>
      <c r="E28" s="192"/>
      <c r="F28" s="192"/>
      <c r="G28" s="301"/>
      <c r="H28" s="258">
        <v>35</v>
      </c>
      <c r="I28" s="259"/>
      <c r="J28" s="260"/>
      <c r="K28" s="180"/>
      <c r="L28" s="181"/>
      <c r="M28" s="181"/>
      <c r="N28" s="181"/>
      <c r="O28" s="181"/>
      <c r="P28" s="182"/>
      <c r="Z28" s="107"/>
    </row>
    <row r="29" spans="1:26" ht="19.5" customHeight="1" x14ac:dyDescent="0.25">
      <c r="A29" s="108"/>
      <c r="B29" s="121">
        <v>5</v>
      </c>
      <c r="C29" s="191"/>
      <c r="D29" s="192"/>
      <c r="E29" s="192"/>
      <c r="F29" s="192"/>
      <c r="G29" s="301"/>
      <c r="H29" s="258">
        <v>53</v>
      </c>
      <c r="I29" s="259"/>
      <c r="J29" s="260"/>
      <c r="K29" s="180"/>
      <c r="L29" s="181"/>
      <c r="M29" s="181"/>
      <c r="N29" s="181"/>
      <c r="O29" s="181"/>
      <c r="P29" s="182"/>
      <c r="Z29" s="107"/>
    </row>
    <row r="30" spans="1:26" ht="19.5" customHeight="1" x14ac:dyDescent="0.25">
      <c r="A30" s="108"/>
      <c r="B30" s="121">
        <v>6</v>
      </c>
      <c r="C30" s="302"/>
      <c r="D30" s="303"/>
      <c r="E30" s="303"/>
      <c r="F30" s="303"/>
      <c r="G30" s="304"/>
      <c r="H30" s="258">
        <v>63</v>
      </c>
      <c r="I30" s="259"/>
      <c r="J30" s="260"/>
      <c r="K30" s="180"/>
      <c r="L30" s="181"/>
      <c r="M30" s="181"/>
      <c r="N30" s="181"/>
      <c r="O30" s="181"/>
      <c r="P30" s="182"/>
      <c r="Z30" s="107"/>
    </row>
    <row r="31" spans="1:26" ht="19.5" customHeight="1" x14ac:dyDescent="0.25">
      <c r="A31" s="108"/>
      <c r="B31" s="120"/>
      <c r="C31" s="152"/>
      <c r="D31" s="151"/>
      <c r="E31" s="151"/>
      <c r="F31" s="151"/>
      <c r="G31" s="150"/>
      <c r="H31" s="119"/>
      <c r="I31" s="118"/>
      <c r="J31" s="117"/>
      <c r="K31" s="116"/>
      <c r="L31" s="115"/>
      <c r="M31" s="115"/>
      <c r="N31" s="115"/>
      <c r="O31" s="115"/>
      <c r="P31" s="114"/>
      <c r="Z31" s="107"/>
    </row>
    <row r="32" spans="1:26" ht="19.5" customHeight="1" x14ac:dyDescent="0.25">
      <c r="A32" s="108"/>
      <c r="B32" s="120"/>
      <c r="C32" s="152"/>
      <c r="D32" s="151"/>
      <c r="E32" s="151"/>
      <c r="F32" s="151"/>
      <c r="G32" s="150"/>
      <c r="H32" s="119"/>
      <c r="I32" s="118"/>
      <c r="J32" s="117"/>
      <c r="K32" s="116"/>
      <c r="L32" s="115"/>
      <c r="M32" s="115"/>
      <c r="N32" s="115"/>
      <c r="O32" s="115"/>
      <c r="P32" s="114"/>
      <c r="Z32" s="107"/>
    </row>
    <row r="33" spans="1:26" ht="19.5" customHeight="1" x14ac:dyDescent="0.25">
      <c r="A33" s="108"/>
      <c r="B33" s="120"/>
      <c r="C33" s="152"/>
      <c r="D33" s="151"/>
      <c r="E33" s="151"/>
      <c r="F33" s="151"/>
      <c r="G33" s="150"/>
      <c r="H33" s="119"/>
      <c r="I33" s="118"/>
      <c r="J33" s="117"/>
      <c r="K33" s="116"/>
      <c r="L33" s="115"/>
      <c r="M33" s="115"/>
      <c r="N33" s="115"/>
      <c r="O33" s="115"/>
      <c r="P33" s="114"/>
      <c r="Z33" s="107"/>
    </row>
    <row r="34" spans="1:26" ht="19.5" customHeight="1" x14ac:dyDescent="0.25">
      <c r="A34" s="108"/>
      <c r="B34" s="120"/>
      <c r="C34" s="152"/>
      <c r="D34" s="151"/>
      <c r="E34" s="151"/>
      <c r="F34" s="151"/>
      <c r="G34" s="150"/>
      <c r="H34" s="119"/>
      <c r="I34" s="118"/>
      <c r="J34" s="117"/>
      <c r="K34" s="116"/>
      <c r="L34" s="115"/>
      <c r="M34" s="115"/>
      <c r="N34" s="115"/>
      <c r="O34" s="115"/>
      <c r="P34" s="114"/>
      <c r="Z34" s="107"/>
    </row>
    <row r="35" spans="1:26" ht="19.5" customHeight="1" x14ac:dyDescent="0.25">
      <c r="A35" s="108"/>
      <c r="B35" s="120"/>
      <c r="C35" s="152"/>
      <c r="D35" s="151"/>
      <c r="E35" s="151"/>
      <c r="F35" s="151"/>
      <c r="G35" s="150"/>
      <c r="H35" s="119"/>
      <c r="I35" s="118"/>
      <c r="J35" s="117"/>
      <c r="K35" s="116"/>
      <c r="L35" s="115"/>
      <c r="M35" s="115"/>
      <c r="N35" s="115"/>
      <c r="O35" s="115"/>
      <c r="P35" s="114"/>
      <c r="Z35" s="107"/>
    </row>
    <row r="36" spans="1:26" ht="19.5" customHeight="1" x14ac:dyDescent="0.25">
      <c r="A36" s="108"/>
      <c r="B36" s="120"/>
      <c r="C36" s="152"/>
      <c r="D36" s="151"/>
      <c r="E36" s="151"/>
      <c r="F36" s="151"/>
      <c r="G36" s="150"/>
      <c r="H36" s="119"/>
      <c r="I36" s="118"/>
      <c r="J36" s="117"/>
      <c r="K36" s="116"/>
      <c r="L36" s="115"/>
      <c r="M36" s="115"/>
      <c r="N36" s="115"/>
      <c r="O36" s="115"/>
      <c r="P36" s="114"/>
      <c r="Z36" s="107"/>
    </row>
    <row r="37" spans="1:26" ht="19.5" customHeight="1" x14ac:dyDescent="0.25">
      <c r="A37" s="108"/>
      <c r="B37" s="120"/>
      <c r="C37" s="152"/>
      <c r="D37" s="151"/>
      <c r="E37" s="151"/>
      <c r="F37" s="151"/>
      <c r="G37" s="150"/>
      <c r="H37" s="119"/>
      <c r="I37" s="118"/>
      <c r="J37" s="117"/>
      <c r="K37" s="116"/>
      <c r="L37" s="115"/>
      <c r="M37" s="115"/>
      <c r="N37" s="115"/>
      <c r="O37" s="115"/>
      <c r="P37" s="114"/>
      <c r="Z37" s="107"/>
    </row>
    <row r="38" spans="1:26" ht="19.5" customHeight="1" x14ac:dyDescent="0.25">
      <c r="A38" s="108"/>
      <c r="B38" s="120"/>
      <c r="C38" s="152"/>
      <c r="D38" s="151"/>
      <c r="E38" s="151"/>
      <c r="F38" s="151"/>
      <c r="G38" s="150"/>
      <c r="H38" s="119"/>
      <c r="I38" s="118"/>
      <c r="J38" s="117"/>
      <c r="K38" s="116"/>
      <c r="L38" s="115"/>
      <c r="M38" s="115"/>
      <c r="N38" s="115"/>
      <c r="O38" s="115"/>
      <c r="P38" s="114"/>
      <c r="Z38" s="107"/>
    </row>
    <row r="39" spans="1:26" ht="19.5" customHeight="1" x14ac:dyDescent="0.25">
      <c r="A39" s="108"/>
      <c r="B39" s="120"/>
      <c r="C39" s="152"/>
      <c r="D39" s="151"/>
      <c r="E39" s="151"/>
      <c r="F39" s="151"/>
      <c r="G39" s="150"/>
      <c r="H39" s="119"/>
      <c r="I39" s="118"/>
      <c r="J39" s="117"/>
      <c r="K39" s="116"/>
      <c r="L39" s="115"/>
      <c r="M39" s="115"/>
      <c r="N39" s="115"/>
      <c r="O39" s="115"/>
      <c r="P39" s="114"/>
      <c r="Z39" s="107"/>
    </row>
    <row r="40" spans="1:26" ht="19.5" customHeight="1" x14ac:dyDescent="0.25">
      <c r="A40" s="108"/>
      <c r="B40" s="120"/>
      <c r="C40" s="152"/>
      <c r="D40" s="151"/>
      <c r="E40" s="151"/>
      <c r="F40" s="151"/>
      <c r="G40" s="150"/>
      <c r="H40" s="119"/>
      <c r="I40" s="118"/>
      <c r="J40" s="117"/>
      <c r="K40" s="116"/>
      <c r="L40" s="115"/>
      <c r="M40" s="115"/>
      <c r="N40" s="115"/>
      <c r="O40" s="115"/>
      <c r="P40" s="114"/>
      <c r="Z40" s="107"/>
    </row>
    <row r="41" spans="1:26" ht="19.5" customHeight="1" x14ac:dyDescent="0.25">
      <c r="A41" s="108"/>
      <c r="B41" s="120"/>
      <c r="C41" s="152"/>
      <c r="D41" s="151"/>
      <c r="E41" s="151"/>
      <c r="F41" s="151"/>
      <c r="G41" s="150"/>
      <c r="H41" s="119"/>
      <c r="I41" s="118"/>
      <c r="J41" s="117"/>
      <c r="K41" s="116"/>
      <c r="L41" s="115"/>
      <c r="M41" s="115"/>
      <c r="N41" s="115"/>
      <c r="O41" s="115"/>
      <c r="P41" s="114"/>
      <c r="Z41" s="107"/>
    </row>
    <row r="42" spans="1:26" ht="19.5" customHeight="1" x14ac:dyDescent="0.25">
      <c r="A42" s="108"/>
      <c r="B42" s="120"/>
      <c r="C42" s="152"/>
      <c r="D42" s="151"/>
      <c r="E42" s="151"/>
      <c r="F42" s="151"/>
      <c r="G42" s="150"/>
      <c r="H42" s="119"/>
      <c r="I42" s="118"/>
      <c r="J42" s="117"/>
      <c r="K42" s="116"/>
      <c r="L42" s="115"/>
      <c r="M42" s="115"/>
      <c r="N42" s="115"/>
      <c r="O42" s="115"/>
      <c r="P42" s="114"/>
      <c r="Z42" s="107"/>
    </row>
    <row r="43" spans="1:26" ht="19.5" customHeight="1" x14ac:dyDescent="0.25">
      <c r="A43" s="108"/>
      <c r="B43" s="120"/>
      <c r="C43" s="152"/>
      <c r="D43" s="151"/>
      <c r="E43" s="151"/>
      <c r="F43" s="151"/>
      <c r="G43" s="150"/>
      <c r="H43" s="119"/>
      <c r="I43" s="118"/>
      <c r="J43" s="117"/>
      <c r="K43" s="116"/>
      <c r="L43" s="115"/>
      <c r="M43" s="115"/>
      <c r="N43" s="115"/>
      <c r="O43" s="115"/>
      <c r="P43" s="114"/>
      <c r="Z43" s="107"/>
    </row>
    <row r="44" spans="1:26" ht="19.5" customHeight="1" x14ac:dyDescent="0.25">
      <c r="A44" s="108"/>
      <c r="B44" s="120"/>
      <c r="C44" s="152"/>
      <c r="D44" s="151"/>
      <c r="E44" s="151"/>
      <c r="F44" s="151"/>
      <c r="G44" s="150"/>
      <c r="H44" s="119"/>
      <c r="I44" s="118"/>
      <c r="J44" s="117"/>
      <c r="K44" s="116"/>
      <c r="L44" s="115"/>
      <c r="M44" s="115"/>
      <c r="N44" s="115"/>
      <c r="O44" s="115"/>
      <c r="P44" s="114"/>
      <c r="Z44" s="107"/>
    </row>
    <row r="45" spans="1:26" ht="19.5" customHeight="1" x14ac:dyDescent="0.25">
      <c r="A45" s="108"/>
      <c r="B45" s="120"/>
      <c r="C45" s="152"/>
      <c r="D45" s="151"/>
      <c r="E45" s="151"/>
      <c r="F45" s="151"/>
      <c r="G45" s="150"/>
      <c r="H45" s="119"/>
      <c r="I45" s="118"/>
      <c r="J45" s="117"/>
      <c r="K45" s="116"/>
      <c r="L45" s="115"/>
      <c r="M45" s="115"/>
      <c r="N45" s="115"/>
      <c r="O45" s="115"/>
      <c r="P45" s="114"/>
      <c r="Z45" s="107"/>
    </row>
    <row r="46" spans="1:26" ht="19.5" customHeight="1" x14ac:dyDescent="0.25">
      <c r="A46" s="108"/>
      <c r="B46" s="120"/>
      <c r="C46" s="152"/>
      <c r="D46" s="151"/>
      <c r="E46" s="151"/>
      <c r="F46" s="151"/>
      <c r="G46" s="150"/>
      <c r="H46" s="119"/>
      <c r="I46" s="118"/>
      <c r="J46" s="117"/>
      <c r="K46" s="116"/>
      <c r="L46" s="115"/>
      <c r="M46" s="115"/>
      <c r="N46" s="115"/>
      <c r="O46" s="115"/>
      <c r="P46" s="114"/>
      <c r="Z46" s="107"/>
    </row>
    <row r="47" spans="1:26" ht="19.5" customHeight="1" x14ac:dyDescent="0.25">
      <c r="A47" s="108"/>
      <c r="B47" s="120"/>
      <c r="C47" s="152"/>
      <c r="D47" s="151"/>
      <c r="E47" s="151"/>
      <c r="F47" s="151"/>
      <c r="G47" s="150"/>
      <c r="H47" s="119"/>
      <c r="I47" s="118"/>
      <c r="J47" s="117"/>
      <c r="K47" s="116"/>
      <c r="L47" s="115"/>
      <c r="M47" s="115"/>
      <c r="N47" s="115"/>
      <c r="O47" s="115"/>
      <c r="P47" s="114"/>
      <c r="Z47" s="107"/>
    </row>
    <row r="48" spans="1:26" ht="19.5" customHeight="1" x14ac:dyDescent="0.25">
      <c r="A48" s="108"/>
      <c r="B48" s="120"/>
      <c r="C48" s="152"/>
      <c r="D48" s="151"/>
      <c r="E48" s="151"/>
      <c r="F48" s="151"/>
      <c r="G48" s="150"/>
      <c r="H48" s="119"/>
      <c r="I48" s="118"/>
      <c r="J48" s="117"/>
      <c r="K48" s="116"/>
      <c r="L48" s="115"/>
      <c r="M48" s="115"/>
      <c r="N48" s="115"/>
      <c r="O48" s="115"/>
      <c r="P48" s="114"/>
      <c r="Z48" s="107"/>
    </row>
    <row r="49" spans="1:26" ht="19.5" customHeight="1" x14ac:dyDescent="0.25">
      <c r="A49" s="108"/>
      <c r="B49" s="120"/>
      <c r="C49" s="152"/>
      <c r="D49" s="151"/>
      <c r="E49" s="151"/>
      <c r="F49" s="151"/>
      <c r="G49" s="150"/>
      <c r="H49" s="119"/>
      <c r="I49" s="118"/>
      <c r="J49" s="117"/>
      <c r="K49" s="116"/>
      <c r="L49" s="115"/>
      <c r="M49" s="115"/>
      <c r="N49" s="115"/>
      <c r="O49" s="115"/>
      <c r="P49" s="114"/>
      <c r="Z49" s="107"/>
    </row>
    <row r="50" spans="1:26" ht="19.5" customHeight="1" x14ac:dyDescent="0.25">
      <c r="A50" s="108"/>
      <c r="B50" s="120"/>
      <c r="C50" s="152"/>
      <c r="D50" s="151"/>
      <c r="E50" s="151"/>
      <c r="F50" s="151"/>
      <c r="G50" s="150"/>
      <c r="H50" s="119"/>
      <c r="I50" s="118"/>
      <c r="J50" s="117"/>
      <c r="K50" s="116"/>
      <c r="L50" s="115"/>
      <c r="M50" s="115"/>
      <c r="N50" s="115"/>
      <c r="O50" s="115"/>
      <c r="P50" s="114"/>
      <c r="Z50" s="107"/>
    </row>
    <row r="51" spans="1:26" ht="19.5" customHeight="1" x14ac:dyDescent="0.25">
      <c r="A51" s="108"/>
      <c r="B51" s="120"/>
      <c r="C51" s="152"/>
      <c r="D51" s="151"/>
      <c r="E51" s="151"/>
      <c r="F51" s="151"/>
      <c r="G51" s="150"/>
      <c r="H51" s="119"/>
      <c r="I51" s="118"/>
      <c r="J51" s="117"/>
      <c r="K51" s="116"/>
      <c r="L51" s="115"/>
      <c r="M51" s="115"/>
      <c r="N51" s="115"/>
      <c r="O51" s="115"/>
      <c r="P51" s="114"/>
      <c r="Z51" s="107"/>
    </row>
    <row r="52" spans="1:26" ht="19.5" customHeight="1" x14ac:dyDescent="0.25">
      <c r="A52" s="108"/>
      <c r="B52" s="120"/>
      <c r="C52" s="152"/>
      <c r="D52" s="151"/>
      <c r="E52" s="151"/>
      <c r="F52" s="151"/>
      <c r="G52" s="150"/>
      <c r="H52" s="119"/>
      <c r="I52" s="118"/>
      <c r="J52" s="117"/>
      <c r="K52" s="116"/>
      <c r="L52" s="115"/>
      <c r="M52" s="115"/>
      <c r="N52" s="115"/>
      <c r="O52" s="115"/>
      <c r="P52" s="114"/>
      <c r="Z52" s="107"/>
    </row>
    <row r="53" spans="1:26" ht="19.5" customHeight="1" x14ac:dyDescent="0.25">
      <c r="A53" s="108"/>
      <c r="B53" s="120"/>
      <c r="C53" s="152"/>
      <c r="D53" s="151"/>
      <c r="E53" s="151"/>
      <c r="F53" s="151"/>
      <c r="G53" s="150"/>
      <c r="H53" s="119"/>
      <c r="I53" s="118"/>
      <c r="J53" s="117"/>
      <c r="K53" s="116"/>
      <c r="L53" s="115"/>
      <c r="M53" s="115"/>
      <c r="N53" s="115"/>
      <c r="O53" s="115"/>
      <c r="P53" s="114"/>
      <c r="Z53" s="107"/>
    </row>
    <row r="54" spans="1:26" ht="19.5" customHeight="1" thickBot="1" x14ac:dyDescent="0.3">
      <c r="A54" s="108"/>
      <c r="B54" s="113"/>
      <c r="C54" s="204"/>
      <c r="D54" s="205"/>
      <c r="E54" s="205"/>
      <c r="F54" s="205"/>
      <c r="G54" s="206"/>
      <c r="H54" s="201"/>
      <c r="I54" s="202"/>
      <c r="J54" s="203"/>
      <c r="K54" s="204"/>
      <c r="L54" s="205"/>
      <c r="M54" s="205"/>
      <c r="N54" s="205"/>
      <c r="O54" s="205"/>
      <c r="P54" s="206"/>
      <c r="Z54" s="107"/>
    </row>
    <row r="55" spans="1:26" ht="15.75" customHeight="1" x14ac:dyDescent="0.25">
      <c r="A55" s="108"/>
      <c r="B55" s="267" t="s">
        <v>35</v>
      </c>
      <c r="C55" s="268"/>
      <c r="D55" s="268"/>
      <c r="E55" s="268"/>
      <c r="F55" s="268"/>
      <c r="G55" s="269"/>
      <c r="H55" s="163">
        <f>AVERAGE(H25:J54)</f>
        <v>44.666666666666664</v>
      </c>
      <c r="I55" s="164"/>
      <c r="J55" s="165"/>
      <c r="K55" s="189" t="s">
        <v>71</v>
      </c>
      <c r="L55" s="190"/>
      <c r="M55" s="183" t="s">
        <v>36</v>
      </c>
      <c r="N55" s="183"/>
      <c r="O55" s="183"/>
      <c r="P55" s="184"/>
      <c r="Z55" s="107"/>
    </row>
    <row r="56" spans="1:26" ht="15.75" customHeight="1" x14ac:dyDescent="0.25">
      <c r="A56" s="108"/>
      <c r="B56" s="261" t="s">
        <v>37</v>
      </c>
      <c r="C56" s="262"/>
      <c r="D56" s="262"/>
      <c r="E56" s="262"/>
      <c r="F56" s="262"/>
      <c r="G56" s="263"/>
      <c r="H56" s="166">
        <f>IF(COUNTIF(H25:J54,"*&lt;20*"),"&lt;20",MIN(H25:J54))</f>
        <v>34</v>
      </c>
      <c r="I56" s="167"/>
      <c r="J56" s="168"/>
      <c r="K56" s="191"/>
      <c r="L56" s="192"/>
      <c r="M56" s="185"/>
      <c r="N56" s="185"/>
      <c r="O56" s="185"/>
      <c r="P56" s="186"/>
      <c r="Z56" s="107"/>
    </row>
    <row r="57" spans="1:26" ht="15.75" customHeight="1" thickBot="1" x14ac:dyDescent="0.3">
      <c r="A57" s="108"/>
      <c r="B57" s="264" t="s">
        <v>38</v>
      </c>
      <c r="C57" s="265"/>
      <c r="D57" s="265"/>
      <c r="E57" s="265"/>
      <c r="F57" s="265"/>
      <c r="G57" s="266"/>
      <c r="H57" s="285">
        <f>IF(COUNTIF(H25:J54,"*&gt;250*"),"&gt;250",MAX(H25:J54))</f>
        <v>63</v>
      </c>
      <c r="I57" s="286"/>
      <c r="J57" s="287"/>
      <c r="K57" s="193"/>
      <c r="L57" s="194"/>
      <c r="M57" s="187"/>
      <c r="N57" s="187"/>
      <c r="O57" s="187"/>
      <c r="P57" s="18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39</v>
      </c>
      <c r="B60" s="99" t="s">
        <v>40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249" t="s">
        <v>41</v>
      </c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1"/>
      <c r="R61" s="243" t="s">
        <v>42</v>
      </c>
      <c r="S61" s="244"/>
      <c r="T61" s="245"/>
      <c r="U61" s="270" t="s">
        <v>12</v>
      </c>
      <c r="V61" s="271"/>
      <c r="W61" s="271"/>
      <c r="X61" s="272"/>
      <c r="Y61" s="272"/>
      <c r="Z61" s="273"/>
    </row>
    <row r="62" spans="1:26" s="76" customFormat="1" ht="15.6" customHeight="1" x14ac:dyDescent="0.25">
      <c r="A62" s="252" t="s">
        <v>61</v>
      </c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  <c r="Q62" s="254"/>
      <c r="R62" s="243" t="s">
        <v>43</v>
      </c>
      <c r="S62" s="244"/>
      <c r="T62" s="245"/>
      <c r="U62" s="274" t="s">
        <v>44</v>
      </c>
      <c r="V62" s="275"/>
      <c r="W62" s="275"/>
      <c r="X62" s="276"/>
      <c r="Y62" s="276"/>
      <c r="Z62" s="277"/>
    </row>
    <row r="63" spans="1:26" s="76" customFormat="1" ht="15.6" customHeight="1" x14ac:dyDescent="0.25">
      <c r="A63" s="255"/>
      <c r="B63" s="256"/>
      <c r="C63" s="256"/>
      <c r="D63" s="256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7"/>
      <c r="R63" s="243"/>
      <c r="S63" s="244"/>
      <c r="T63" s="245"/>
      <c r="U63" s="278"/>
      <c r="V63" s="185"/>
      <c r="W63" s="185"/>
      <c r="X63" s="279"/>
      <c r="Y63" s="279"/>
      <c r="Z63" s="280"/>
    </row>
    <row r="64" spans="1:26" s="76" customFormat="1" ht="15.6" customHeight="1" x14ac:dyDescent="0.25">
      <c r="A64" s="91" t="s">
        <v>45</v>
      </c>
      <c r="B64" s="90" t="s">
        <v>46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243"/>
      <c r="S64" s="244"/>
      <c r="T64" s="245"/>
      <c r="U64" s="281"/>
      <c r="V64" s="282"/>
      <c r="W64" s="282"/>
      <c r="X64" s="283"/>
      <c r="Y64" s="283"/>
      <c r="Z64" s="284"/>
    </row>
    <row r="65" spans="1:26" s="76" customFormat="1" ht="15.6" customHeight="1" x14ac:dyDescent="0.25">
      <c r="A65" s="237"/>
      <c r="B65" s="238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9"/>
      <c r="R65" s="243" t="s">
        <v>47</v>
      </c>
      <c r="S65" s="244"/>
      <c r="T65" s="245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237"/>
      <c r="B66" s="238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9"/>
      <c r="R66" s="243"/>
      <c r="S66" s="244"/>
      <c r="T66" s="245"/>
      <c r="U66" s="84"/>
      <c r="V66" s="185"/>
      <c r="W66" s="185"/>
      <c r="X66" s="185"/>
      <c r="Y66" s="185"/>
      <c r="Z66" s="83"/>
    </row>
    <row r="67" spans="1:26" s="76" customFormat="1" ht="15.6" customHeight="1" x14ac:dyDescent="0.25">
      <c r="A67" s="237"/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9"/>
      <c r="R67" s="243"/>
      <c r="S67" s="244"/>
      <c r="T67" s="245"/>
      <c r="U67" s="84"/>
      <c r="V67" s="185"/>
      <c r="W67" s="185"/>
      <c r="X67" s="185"/>
      <c r="Y67" s="185"/>
      <c r="Z67" s="83"/>
    </row>
    <row r="68" spans="1:26" s="76" customFormat="1" ht="15.6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2"/>
      <c r="R68" s="246"/>
      <c r="S68" s="247"/>
      <c r="T68" s="248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68">
    <mergeCell ref="V66:Y67"/>
    <mergeCell ref="I18:J18"/>
    <mergeCell ref="H25:J25"/>
    <mergeCell ref="H24:J24"/>
    <mergeCell ref="H23:J23"/>
    <mergeCell ref="B18:H18"/>
    <mergeCell ref="B23:B24"/>
    <mergeCell ref="C23:G24"/>
    <mergeCell ref="J21:P21"/>
    <mergeCell ref="C54:G54"/>
    <mergeCell ref="H30:J30"/>
    <mergeCell ref="K30:P30"/>
    <mergeCell ref="C25:G30"/>
    <mergeCell ref="H28:J28"/>
    <mergeCell ref="K28:P28"/>
    <mergeCell ref="H29:J29"/>
    <mergeCell ref="U61:Z61"/>
    <mergeCell ref="U62:Z64"/>
    <mergeCell ref="N12:R12"/>
    <mergeCell ref="H12:M12"/>
    <mergeCell ref="H27:J27"/>
    <mergeCell ref="K27:P27"/>
    <mergeCell ref="H57:J57"/>
    <mergeCell ref="K29:P29"/>
    <mergeCell ref="N11:R11"/>
    <mergeCell ref="A65:Q68"/>
    <mergeCell ref="R65:T68"/>
    <mergeCell ref="A61:Q61"/>
    <mergeCell ref="R61:T61"/>
    <mergeCell ref="A62:Q63"/>
    <mergeCell ref="R62:T64"/>
    <mergeCell ref="H26:J26"/>
    <mergeCell ref="K26:P26"/>
    <mergeCell ref="B56:G56"/>
    <mergeCell ref="B57:G57"/>
    <mergeCell ref="B55:G55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I5:K5"/>
    <mergeCell ref="I6:K6"/>
    <mergeCell ref="L5:O5"/>
    <mergeCell ref="P5:T5"/>
    <mergeCell ref="L6:O6"/>
    <mergeCell ref="P6:T6"/>
    <mergeCell ref="H55:J55"/>
    <mergeCell ref="H56:J56"/>
    <mergeCell ref="B17:H17"/>
    <mergeCell ref="B12:G12"/>
    <mergeCell ref="B11:G11"/>
    <mergeCell ref="H11:M1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9AD3-451C-4792-A500-A617D123D11B}">
  <sheetPr>
    <pageSetUpPr fitToPage="1"/>
  </sheetPr>
  <dimension ref="A1:AA77"/>
  <sheetViews>
    <sheetView topLeftCell="A14" workbookViewId="0">
      <selection activeCell="B25" sqref="B25:B3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217"/>
      <c r="B1" s="218"/>
      <c r="C1" s="218"/>
      <c r="D1" s="218"/>
      <c r="E1" s="218"/>
      <c r="F1" s="219"/>
      <c r="G1" s="226" t="s">
        <v>0</v>
      </c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8"/>
      <c r="U1" s="171" t="s">
        <v>48</v>
      </c>
      <c r="V1" s="172"/>
      <c r="W1" s="172"/>
      <c r="X1" s="172"/>
      <c r="Y1" s="172"/>
      <c r="Z1" s="173"/>
    </row>
    <row r="2" spans="1:26" ht="12.75" customHeight="1" x14ac:dyDescent="0.25">
      <c r="A2" s="220"/>
      <c r="B2" s="221"/>
      <c r="C2" s="221"/>
      <c r="D2" s="221"/>
      <c r="E2" s="221"/>
      <c r="F2" s="222"/>
      <c r="G2" s="229" t="s">
        <v>1</v>
      </c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1"/>
      <c r="U2" s="174"/>
      <c r="V2" s="175"/>
      <c r="W2" s="175"/>
      <c r="X2" s="175"/>
      <c r="Y2" s="175"/>
      <c r="Z2" s="176"/>
    </row>
    <row r="3" spans="1:26" ht="12.75" customHeight="1" x14ac:dyDescent="0.25">
      <c r="A3" s="220"/>
      <c r="B3" s="221"/>
      <c r="C3" s="221"/>
      <c r="D3" s="221"/>
      <c r="E3" s="221"/>
      <c r="F3" s="222"/>
      <c r="G3" s="229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1"/>
      <c r="U3" s="174"/>
      <c r="V3" s="175"/>
      <c r="W3" s="175"/>
      <c r="X3" s="175"/>
      <c r="Y3" s="175"/>
      <c r="Z3" s="176"/>
    </row>
    <row r="4" spans="1:26" ht="12.75" customHeight="1" x14ac:dyDescent="0.25">
      <c r="A4" s="220"/>
      <c r="B4" s="221"/>
      <c r="C4" s="221"/>
      <c r="D4" s="221"/>
      <c r="E4" s="221"/>
      <c r="F4" s="222"/>
      <c r="G4" s="229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1"/>
      <c r="U4" s="174"/>
      <c r="V4" s="175"/>
      <c r="W4" s="175"/>
      <c r="X4" s="175"/>
      <c r="Y4" s="175"/>
      <c r="Z4" s="176"/>
    </row>
    <row r="5" spans="1:26" ht="12.75" customHeight="1" x14ac:dyDescent="0.25">
      <c r="A5" s="220"/>
      <c r="B5" s="221"/>
      <c r="C5" s="221"/>
      <c r="D5" s="221"/>
      <c r="E5" s="221"/>
      <c r="F5" s="222"/>
      <c r="G5" s="232" t="s">
        <v>2</v>
      </c>
      <c r="H5" s="233"/>
      <c r="I5" s="207">
        <v>7</v>
      </c>
      <c r="J5" s="207"/>
      <c r="K5" s="208"/>
      <c r="L5" s="210" t="s">
        <v>49</v>
      </c>
      <c r="M5" s="211"/>
      <c r="N5" s="211"/>
      <c r="O5" s="212"/>
      <c r="P5" s="213" t="s">
        <v>65</v>
      </c>
      <c r="Q5" s="214"/>
      <c r="R5" s="214"/>
      <c r="S5" s="214"/>
      <c r="T5" s="215"/>
      <c r="U5" s="174"/>
      <c r="V5" s="175"/>
      <c r="W5" s="175"/>
      <c r="X5" s="175"/>
      <c r="Y5" s="175"/>
      <c r="Z5" s="176"/>
    </row>
    <row r="6" spans="1:26" ht="12.75" customHeight="1" x14ac:dyDescent="0.25">
      <c r="A6" s="223"/>
      <c r="B6" s="224"/>
      <c r="C6" s="224"/>
      <c r="D6" s="224"/>
      <c r="E6" s="224"/>
      <c r="F6" s="225"/>
      <c r="G6" s="149"/>
      <c r="H6" s="104"/>
      <c r="I6" s="209" t="s">
        <v>4</v>
      </c>
      <c r="J6" s="209"/>
      <c r="K6" s="209"/>
      <c r="L6" s="209" t="s">
        <v>5</v>
      </c>
      <c r="M6" s="209"/>
      <c r="N6" s="209"/>
      <c r="O6" s="209"/>
      <c r="P6" s="209" t="s">
        <v>6</v>
      </c>
      <c r="Q6" s="209"/>
      <c r="R6" s="209"/>
      <c r="S6" s="209"/>
      <c r="T6" s="216"/>
      <c r="U6" s="177"/>
      <c r="V6" s="178"/>
      <c r="W6" s="178"/>
      <c r="X6" s="178"/>
      <c r="Y6" s="178"/>
      <c r="Z6" s="179"/>
    </row>
    <row r="7" spans="1:26" ht="36.6" customHeight="1" x14ac:dyDescent="0.25">
      <c r="A7" s="234" t="s">
        <v>7</v>
      </c>
      <c r="B7" s="234"/>
      <c r="C7" s="234"/>
      <c r="D7" s="234"/>
      <c r="E7" s="234"/>
      <c r="F7" s="234"/>
      <c r="G7" s="235" t="s">
        <v>8</v>
      </c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</row>
    <row r="8" spans="1:26" ht="15.9" customHeight="1" x14ac:dyDescent="0.25">
      <c r="A8" s="128" t="s">
        <v>9</v>
      </c>
      <c r="B8" s="99" t="s">
        <v>10</v>
      </c>
      <c r="C8" s="96"/>
      <c r="D8" s="148"/>
      <c r="E8" s="148"/>
      <c r="F8" s="148"/>
      <c r="G8" s="148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4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70" t="s">
        <v>11</v>
      </c>
      <c r="C10" s="170"/>
      <c r="D10" s="170"/>
      <c r="E10" s="170"/>
      <c r="F10" s="170"/>
      <c r="G10" s="170"/>
      <c r="H10" s="236" t="s">
        <v>12</v>
      </c>
      <c r="I10" s="236"/>
      <c r="J10" s="236"/>
      <c r="K10" s="236"/>
      <c r="L10" s="236"/>
      <c r="M10" s="236"/>
      <c r="N10" s="170" t="s">
        <v>13</v>
      </c>
      <c r="O10" s="170"/>
      <c r="P10" s="170"/>
      <c r="Q10" s="170"/>
      <c r="R10" s="170"/>
      <c r="S10" s="195" t="s">
        <v>50</v>
      </c>
      <c r="T10" s="195"/>
      <c r="U10" s="195"/>
      <c r="V10" s="195"/>
      <c r="W10" s="195"/>
      <c r="X10" s="195"/>
      <c r="Y10" s="195"/>
      <c r="Z10" s="147"/>
    </row>
    <row r="11" spans="1:26" ht="15.9" customHeight="1" x14ac:dyDescent="0.25">
      <c r="A11" s="108"/>
      <c r="B11" s="170" t="s">
        <v>14</v>
      </c>
      <c r="C11" s="170"/>
      <c r="D11" s="170"/>
      <c r="E11" s="170"/>
      <c r="F11" s="170"/>
      <c r="G11" s="170"/>
      <c r="H11" s="236" t="s">
        <v>65</v>
      </c>
      <c r="I11" s="236"/>
      <c r="J11" s="236"/>
      <c r="K11" s="236"/>
      <c r="L11" s="236"/>
      <c r="M11" s="236"/>
      <c r="N11" s="170" t="s">
        <v>15</v>
      </c>
      <c r="O11" s="170"/>
      <c r="P11" s="170"/>
      <c r="Q11" s="170"/>
      <c r="R11" s="170"/>
      <c r="S11" s="195" t="s">
        <v>59</v>
      </c>
      <c r="T11" s="195"/>
      <c r="U11" s="195"/>
      <c r="V11" s="195"/>
      <c r="W11" s="195"/>
      <c r="X11" s="195"/>
      <c r="Y11" s="195"/>
      <c r="Z11" s="147"/>
    </row>
    <row r="12" spans="1:26" ht="15.9" customHeight="1" x14ac:dyDescent="0.25">
      <c r="A12" s="108"/>
      <c r="B12" s="170" t="s">
        <v>17</v>
      </c>
      <c r="C12" s="170"/>
      <c r="D12" s="170"/>
      <c r="E12" s="170"/>
      <c r="F12" s="170"/>
      <c r="G12" s="170"/>
      <c r="H12" s="236" t="s">
        <v>68</v>
      </c>
      <c r="I12" s="236"/>
      <c r="J12" s="236"/>
      <c r="K12" s="236"/>
      <c r="L12" s="236"/>
      <c r="M12" s="236"/>
      <c r="N12" s="170" t="s">
        <v>18</v>
      </c>
      <c r="O12" s="170"/>
      <c r="P12" s="170"/>
      <c r="Q12" s="170"/>
      <c r="R12" s="170"/>
      <c r="S12" s="195" t="s">
        <v>19</v>
      </c>
      <c r="T12" s="195"/>
      <c r="U12" s="195"/>
      <c r="V12" s="195"/>
      <c r="W12" s="195"/>
      <c r="X12" s="195"/>
      <c r="Y12" s="195"/>
      <c r="Z12" s="147"/>
    </row>
    <row r="13" spans="1:26" ht="8.25" customHeight="1" x14ac:dyDescent="0.25">
      <c r="A13" s="146"/>
      <c r="B13" s="104"/>
      <c r="C13" s="104"/>
      <c r="D13" s="145"/>
      <c r="E13" s="145"/>
      <c r="F13" s="145"/>
      <c r="G13" s="145"/>
      <c r="H13" s="104"/>
      <c r="I13" s="104"/>
      <c r="J13" s="104"/>
      <c r="K13" s="104"/>
      <c r="L13" s="104"/>
      <c r="M13" s="104"/>
      <c r="N13" s="14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42"/>
      <c r="C14" s="142"/>
      <c r="K14" s="143"/>
      <c r="L14" s="142"/>
      <c r="M14" s="141"/>
    </row>
    <row r="15" spans="1:26" s="76" customFormat="1" ht="15.6" customHeight="1" x14ac:dyDescent="0.25">
      <c r="A15" s="128" t="s">
        <v>20</v>
      </c>
      <c r="B15" s="140" t="s">
        <v>21</v>
      </c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8"/>
    </row>
    <row r="16" spans="1:26" s="76" customFormat="1" ht="15" customHeight="1" x14ac:dyDescent="0.25">
      <c r="A16" s="135"/>
      <c r="B16" s="137"/>
      <c r="Z16" s="136"/>
    </row>
    <row r="17" spans="1:26" s="76" customFormat="1" ht="15" customHeight="1" x14ac:dyDescent="0.25">
      <c r="A17" s="135"/>
      <c r="B17" s="169" t="s">
        <v>22</v>
      </c>
      <c r="C17" s="169"/>
      <c r="D17" s="169"/>
      <c r="E17" s="169"/>
      <c r="F17" s="169"/>
      <c r="G17" s="169"/>
      <c r="H17" s="169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133"/>
    </row>
    <row r="18" spans="1:26" s="76" customFormat="1" ht="15" customHeight="1" x14ac:dyDescent="0.25">
      <c r="A18" s="135"/>
      <c r="B18" s="169" t="s">
        <v>23</v>
      </c>
      <c r="C18" s="169"/>
      <c r="D18" s="169"/>
      <c r="E18" s="169"/>
      <c r="F18" s="169"/>
      <c r="G18" s="169"/>
      <c r="H18" s="169"/>
      <c r="I18" s="288" t="s">
        <v>24</v>
      </c>
      <c r="J18" s="288"/>
      <c r="K18" s="134">
        <v>30</v>
      </c>
      <c r="L18" s="134" t="s">
        <v>25</v>
      </c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3"/>
    </row>
    <row r="19" spans="1:26" s="76" customFormat="1" ht="13.2" customHeight="1" x14ac:dyDescent="0.25">
      <c r="A19" s="132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0"/>
    </row>
    <row r="20" spans="1:26" ht="12.75" customHeight="1" x14ac:dyDescent="0.25">
      <c r="D20" s="75"/>
      <c r="E20" s="75"/>
      <c r="F20" s="75"/>
      <c r="G20" s="75"/>
      <c r="N20" s="129"/>
    </row>
    <row r="21" spans="1:26" ht="15.9" customHeight="1" x14ac:dyDescent="0.25">
      <c r="A21" s="128" t="s">
        <v>26</v>
      </c>
      <c r="B21" s="127" t="s">
        <v>27</v>
      </c>
      <c r="C21" s="125"/>
      <c r="D21" s="126"/>
      <c r="E21" s="126"/>
      <c r="F21" s="126"/>
      <c r="G21" s="126"/>
      <c r="H21" s="125"/>
      <c r="I21" s="125"/>
      <c r="J21" s="297" t="s">
        <v>28</v>
      </c>
      <c r="K21" s="297"/>
      <c r="L21" s="297"/>
      <c r="M21" s="297"/>
      <c r="N21" s="297"/>
      <c r="O21" s="297"/>
      <c r="P21" s="297"/>
      <c r="Q21" s="122">
        <v>600</v>
      </c>
      <c r="R21" s="96"/>
      <c r="S21" s="96"/>
      <c r="T21" s="96"/>
      <c r="U21" s="96"/>
      <c r="V21" s="96"/>
      <c r="W21" s="96"/>
      <c r="X21" s="96"/>
      <c r="Y21" s="96"/>
      <c r="Z21" s="124"/>
    </row>
    <row r="22" spans="1:26" ht="12.75" customHeight="1" x14ac:dyDescent="0.25">
      <c r="A22" s="108"/>
      <c r="B22" s="123"/>
      <c r="Z22" s="107"/>
    </row>
    <row r="23" spans="1:26" ht="15.75" customHeight="1" x14ac:dyDescent="0.25">
      <c r="A23" s="108"/>
      <c r="B23" s="295" t="s">
        <v>29</v>
      </c>
      <c r="C23" s="196" t="s">
        <v>30</v>
      </c>
      <c r="D23" s="196"/>
      <c r="E23" s="196"/>
      <c r="F23" s="196"/>
      <c r="G23" s="197"/>
      <c r="H23" s="292" t="s">
        <v>31</v>
      </c>
      <c r="I23" s="293"/>
      <c r="J23" s="294"/>
      <c r="K23" s="196" t="s">
        <v>32</v>
      </c>
      <c r="L23" s="196"/>
      <c r="M23" s="196"/>
      <c r="N23" s="196"/>
      <c r="O23" s="196"/>
      <c r="P23" s="197"/>
      <c r="Z23" s="107"/>
    </row>
    <row r="24" spans="1:26" ht="15.75" customHeight="1" x14ac:dyDescent="0.25">
      <c r="A24" s="108"/>
      <c r="B24" s="296"/>
      <c r="C24" s="198"/>
      <c r="D24" s="198"/>
      <c r="E24" s="198"/>
      <c r="F24" s="198"/>
      <c r="G24" s="199"/>
      <c r="H24" s="289" t="s">
        <v>33</v>
      </c>
      <c r="I24" s="290"/>
      <c r="J24" s="291"/>
      <c r="K24" s="198"/>
      <c r="L24" s="198"/>
      <c r="M24" s="198"/>
      <c r="N24" s="198"/>
      <c r="O24" s="198"/>
      <c r="P24" s="199"/>
      <c r="Z24" s="107"/>
    </row>
    <row r="25" spans="1:26" ht="19.5" customHeight="1" x14ac:dyDescent="0.25">
      <c r="A25" s="108"/>
      <c r="B25" s="121">
        <v>1</v>
      </c>
      <c r="C25" s="298" t="s">
        <v>67</v>
      </c>
      <c r="D25" s="299"/>
      <c r="E25" s="299"/>
      <c r="F25" s="299"/>
      <c r="G25" s="300"/>
      <c r="H25" s="258">
        <v>36</v>
      </c>
      <c r="I25" s="259"/>
      <c r="J25" s="260"/>
      <c r="K25" s="180"/>
      <c r="L25" s="181"/>
      <c r="M25" s="181"/>
      <c r="N25" s="181"/>
      <c r="O25" s="181"/>
      <c r="P25" s="182"/>
      <c r="Z25" s="107"/>
    </row>
    <row r="26" spans="1:26" ht="19.5" customHeight="1" x14ac:dyDescent="0.25">
      <c r="A26" s="108"/>
      <c r="B26" s="121">
        <v>2</v>
      </c>
      <c r="C26" s="191"/>
      <c r="D26" s="192"/>
      <c r="E26" s="192"/>
      <c r="F26" s="192"/>
      <c r="G26" s="301"/>
      <c r="H26" s="258">
        <v>32</v>
      </c>
      <c r="I26" s="259"/>
      <c r="J26" s="260"/>
      <c r="K26" s="180"/>
      <c r="L26" s="181"/>
      <c r="M26" s="181"/>
      <c r="N26" s="181"/>
      <c r="O26" s="181"/>
      <c r="P26" s="182"/>
      <c r="Z26" s="107"/>
    </row>
    <row r="27" spans="1:26" ht="19.5" customHeight="1" x14ac:dyDescent="0.25">
      <c r="A27" s="108"/>
      <c r="B27" s="121">
        <v>3</v>
      </c>
      <c r="C27" s="191"/>
      <c r="D27" s="192"/>
      <c r="E27" s="192"/>
      <c r="F27" s="192"/>
      <c r="G27" s="301"/>
      <c r="H27" s="258">
        <v>37</v>
      </c>
      <c r="I27" s="259"/>
      <c r="J27" s="260"/>
      <c r="K27" s="180"/>
      <c r="L27" s="181"/>
      <c r="M27" s="181"/>
      <c r="N27" s="181"/>
      <c r="O27" s="181"/>
      <c r="P27" s="182"/>
      <c r="Z27" s="107"/>
    </row>
    <row r="28" spans="1:26" ht="19.5" customHeight="1" x14ac:dyDescent="0.25">
      <c r="A28" s="108"/>
      <c r="B28" s="121">
        <v>4</v>
      </c>
      <c r="C28" s="191"/>
      <c r="D28" s="192"/>
      <c r="E28" s="192"/>
      <c r="F28" s="192"/>
      <c r="G28" s="301"/>
      <c r="H28" s="258">
        <v>30</v>
      </c>
      <c r="I28" s="259"/>
      <c r="J28" s="260"/>
      <c r="K28" s="180"/>
      <c r="L28" s="181"/>
      <c r="M28" s="181"/>
      <c r="N28" s="181"/>
      <c r="O28" s="181"/>
      <c r="P28" s="182"/>
      <c r="Z28" s="107"/>
    </row>
    <row r="29" spans="1:26" ht="19.5" customHeight="1" x14ac:dyDescent="0.25">
      <c r="A29" s="108"/>
      <c r="B29" s="121">
        <v>5</v>
      </c>
      <c r="C29" s="191"/>
      <c r="D29" s="192"/>
      <c r="E29" s="192"/>
      <c r="F29" s="192"/>
      <c r="G29" s="301"/>
      <c r="H29" s="258">
        <v>30</v>
      </c>
      <c r="I29" s="259"/>
      <c r="J29" s="260"/>
      <c r="K29" s="180"/>
      <c r="L29" s="181"/>
      <c r="M29" s="181"/>
      <c r="N29" s="181"/>
      <c r="O29" s="181"/>
      <c r="P29" s="182"/>
      <c r="Z29" s="107"/>
    </row>
    <row r="30" spans="1:26" ht="19.5" customHeight="1" x14ac:dyDescent="0.25">
      <c r="A30" s="108"/>
      <c r="B30" s="121">
        <v>6</v>
      </c>
      <c r="C30" s="191"/>
      <c r="D30" s="192"/>
      <c r="E30" s="192"/>
      <c r="F30" s="192"/>
      <c r="G30" s="301"/>
      <c r="H30" s="258">
        <v>38</v>
      </c>
      <c r="I30" s="259"/>
      <c r="J30" s="260"/>
      <c r="K30" s="180"/>
      <c r="L30" s="181"/>
      <c r="M30" s="181"/>
      <c r="N30" s="181"/>
      <c r="O30" s="181"/>
      <c r="P30" s="182"/>
      <c r="Z30" s="107"/>
    </row>
    <row r="31" spans="1:26" ht="19.5" customHeight="1" x14ac:dyDescent="0.25">
      <c r="A31" s="108"/>
      <c r="B31" s="121">
        <v>7</v>
      </c>
      <c r="C31" s="191"/>
      <c r="D31" s="192"/>
      <c r="E31" s="192"/>
      <c r="F31" s="192"/>
      <c r="G31" s="301"/>
      <c r="H31" s="258">
        <v>26</v>
      </c>
      <c r="I31" s="259"/>
      <c r="J31" s="260"/>
      <c r="K31" s="180"/>
      <c r="L31" s="181"/>
      <c r="M31" s="181"/>
      <c r="N31" s="181"/>
      <c r="O31" s="181"/>
      <c r="P31" s="182"/>
      <c r="Z31" s="107"/>
    </row>
    <row r="32" spans="1:26" ht="19.5" customHeight="1" x14ac:dyDescent="0.25">
      <c r="A32" s="108"/>
      <c r="B32" s="121">
        <v>8</v>
      </c>
      <c r="C32" s="191"/>
      <c r="D32" s="192"/>
      <c r="E32" s="192"/>
      <c r="F32" s="192"/>
      <c r="G32" s="301"/>
      <c r="H32" s="258">
        <v>39</v>
      </c>
      <c r="I32" s="259"/>
      <c r="J32" s="260"/>
      <c r="K32" s="180"/>
      <c r="L32" s="181"/>
      <c r="M32" s="181"/>
      <c r="N32" s="181"/>
      <c r="O32" s="181"/>
      <c r="P32" s="182"/>
      <c r="Z32" s="107"/>
    </row>
    <row r="33" spans="1:26" ht="19.5" customHeight="1" x14ac:dyDescent="0.25">
      <c r="A33" s="108"/>
      <c r="B33" s="121">
        <v>9</v>
      </c>
      <c r="C33" s="191"/>
      <c r="D33" s="192"/>
      <c r="E33" s="192"/>
      <c r="F33" s="192"/>
      <c r="G33" s="301"/>
      <c r="H33" s="258">
        <v>40</v>
      </c>
      <c r="I33" s="259"/>
      <c r="J33" s="260"/>
      <c r="K33" s="180"/>
      <c r="L33" s="181"/>
      <c r="M33" s="181"/>
      <c r="N33" s="181"/>
      <c r="O33" s="181"/>
      <c r="P33" s="182"/>
      <c r="Z33" s="107"/>
    </row>
    <row r="34" spans="1:26" ht="19.5" customHeight="1" x14ac:dyDescent="0.25">
      <c r="A34" s="108"/>
      <c r="B34" s="121">
        <v>10</v>
      </c>
      <c r="C34" s="191"/>
      <c r="D34" s="192"/>
      <c r="E34" s="192"/>
      <c r="F34" s="192"/>
      <c r="G34" s="301"/>
      <c r="H34" s="258">
        <v>47</v>
      </c>
      <c r="I34" s="259"/>
      <c r="J34" s="260"/>
      <c r="K34" s="180"/>
      <c r="L34" s="181"/>
      <c r="M34" s="181"/>
      <c r="N34" s="181"/>
      <c r="O34" s="181"/>
      <c r="P34" s="182"/>
      <c r="Z34" s="107"/>
    </row>
    <row r="35" spans="1:26" ht="19.5" customHeight="1" x14ac:dyDescent="0.25">
      <c r="A35" s="108"/>
      <c r="B35" s="121">
        <v>11</v>
      </c>
      <c r="C35" s="191"/>
      <c r="D35" s="192"/>
      <c r="E35" s="192"/>
      <c r="F35" s="192"/>
      <c r="G35" s="301"/>
      <c r="H35" s="258">
        <v>23</v>
      </c>
      <c r="I35" s="259"/>
      <c r="J35" s="260"/>
      <c r="K35" s="180"/>
      <c r="L35" s="181"/>
      <c r="M35" s="181"/>
      <c r="N35" s="181"/>
      <c r="O35" s="181"/>
      <c r="P35" s="182"/>
      <c r="Z35" s="107"/>
    </row>
    <row r="36" spans="1:26" ht="19.5" customHeight="1" x14ac:dyDescent="0.25">
      <c r="A36" s="108"/>
      <c r="B36" s="121">
        <v>12</v>
      </c>
      <c r="C36" s="191"/>
      <c r="D36" s="192"/>
      <c r="E36" s="192"/>
      <c r="F36" s="192"/>
      <c r="G36" s="301"/>
      <c r="H36" s="258" t="s">
        <v>34</v>
      </c>
      <c r="I36" s="259"/>
      <c r="J36" s="260"/>
      <c r="K36" s="180"/>
      <c r="L36" s="181"/>
      <c r="M36" s="181"/>
      <c r="N36" s="181"/>
      <c r="O36" s="181"/>
      <c r="P36" s="182"/>
      <c r="Z36" s="107"/>
    </row>
    <row r="37" spans="1:26" ht="19.5" customHeight="1" x14ac:dyDescent="0.25">
      <c r="A37" s="108"/>
      <c r="B37" s="121">
        <v>13</v>
      </c>
      <c r="C37" s="191"/>
      <c r="D37" s="192"/>
      <c r="E37" s="192"/>
      <c r="F37" s="192"/>
      <c r="G37" s="301"/>
      <c r="H37" s="258">
        <v>20</v>
      </c>
      <c r="I37" s="259"/>
      <c r="J37" s="260"/>
      <c r="K37" s="180"/>
      <c r="L37" s="181"/>
      <c r="M37" s="181"/>
      <c r="N37" s="181"/>
      <c r="O37" s="181"/>
      <c r="P37" s="182"/>
      <c r="Z37" s="107"/>
    </row>
    <row r="38" spans="1:26" ht="19.5" customHeight="1" x14ac:dyDescent="0.25">
      <c r="A38" s="108"/>
      <c r="B38" s="121">
        <v>14</v>
      </c>
      <c r="C38" s="302"/>
      <c r="D38" s="303"/>
      <c r="E38" s="303"/>
      <c r="F38" s="303"/>
      <c r="G38" s="304"/>
      <c r="H38" s="258">
        <v>47</v>
      </c>
      <c r="I38" s="259"/>
      <c r="J38" s="260"/>
      <c r="K38" s="180"/>
      <c r="L38" s="181"/>
      <c r="M38" s="181"/>
      <c r="N38" s="181"/>
      <c r="O38" s="181"/>
      <c r="P38" s="182"/>
      <c r="Z38" s="107"/>
    </row>
    <row r="39" spans="1:26" ht="19.5" customHeight="1" x14ac:dyDescent="0.25">
      <c r="A39" s="108"/>
      <c r="B39" s="121"/>
      <c r="C39" s="151"/>
      <c r="D39" s="151"/>
      <c r="E39" s="151"/>
      <c r="F39" s="151"/>
      <c r="G39" s="150"/>
      <c r="H39" s="119"/>
      <c r="I39" s="118"/>
      <c r="J39" s="117"/>
      <c r="K39" s="116"/>
      <c r="L39" s="115"/>
      <c r="M39" s="115"/>
      <c r="N39" s="115"/>
      <c r="O39" s="115"/>
      <c r="P39" s="114"/>
      <c r="Z39" s="107"/>
    </row>
    <row r="40" spans="1:26" ht="19.5" customHeight="1" x14ac:dyDescent="0.25">
      <c r="A40" s="108"/>
      <c r="B40" s="121"/>
      <c r="C40" s="151"/>
      <c r="D40" s="151"/>
      <c r="E40" s="151"/>
      <c r="F40" s="151"/>
      <c r="G40" s="150"/>
      <c r="H40" s="119"/>
      <c r="I40" s="118"/>
      <c r="J40" s="117"/>
      <c r="K40" s="116"/>
      <c r="L40" s="115"/>
      <c r="M40" s="115"/>
      <c r="N40" s="115"/>
      <c r="O40" s="115"/>
      <c r="P40" s="114"/>
      <c r="Z40" s="107"/>
    </row>
    <row r="41" spans="1:26" ht="19.5" customHeight="1" x14ac:dyDescent="0.25">
      <c r="A41" s="108"/>
      <c r="B41" s="121"/>
      <c r="C41" s="151"/>
      <c r="D41" s="151"/>
      <c r="E41" s="151"/>
      <c r="F41" s="151"/>
      <c r="G41" s="150"/>
      <c r="H41" s="119"/>
      <c r="I41" s="118"/>
      <c r="J41" s="117"/>
      <c r="K41" s="116"/>
      <c r="L41" s="115"/>
      <c r="M41" s="115"/>
      <c r="N41" s="115"/>
      <c r="O41" s="115"/>
      <c r="P41" s="114"/>
      <c r="Z41" s="107"/>
    </row>
    <row r="42" spans="1:26" ht="19.5" customHeight="1" x14ac:dyDescent="0.25">
      <c r="A42" s="108"/>
      <c r="B42" s="121"/>
      <c r="C42" s="151"/>
      <c r="D42" s="151"/>
      <c r="E42" s="151"/>
      <c r="F42" s="151"/>
      <c r="G42" s="150"/>
      <c r="H42" s="119"/>
      <c r="I42" s="118"/>
      <c r="J42" s="117"/>
      <c r="K42" s="116"/>
      <c r="L42" s="115"/>
      <c r="M42" s="115"/>
      <c r="N42" s="115"/>
      <c r="O42" s="115"/>
      <c r="P42" s="114"/>
      <c r="Z42" s="107"/>
    </row>
    <row r="43" spans="1:26" ht="19.5" customHeight="1" x14ac:dyDescent="0.25">
      <c r="A43" s="108"/>
      <c r="B43" s="121"/>
      <c r="C43" s="151"/>
      <c r="D43" s="151"/>
      <c r="E43" s="151"/>
      <c r="F43" s="151"/>
      <c r="G43" s="150"/>
      <c r="H43" s="119"/>
      <c r="I43" s="118"/>
      <c r="J43" s="117"/>
      <c r="K43" s="116"/>
      <c r="L43" s="115"/>
      <c r="M43" s="115"/>
      <c r="N43" s="115"/>
      <c r="O43" s="115"/>
      <c r="P43" s="114"/>
      <c r="Z43" s="107"/>
    </row>
    <row r="44" spans="1:26" ht="19.5" customHeight="1" x14ac:dyDescent="0.25">
      <c r="A44" s="108"/>
      <c r="B44" s="121"/>
      <c r="C44" s="151"/>
      <c r="D44" s="151"/>
      <c r="E44" s="151"/>
      <c r="F44" s="151"/>
      <c r="G44" s="150"/>
      <c r="H44" s="119"/>
      <c r="I44" s="118"/>
      <c r="J44" s="117"/>
      <c r="K44" s="116"/>
      <c r="L44" s="115"/>
      <c r="M44" s="115"/>
      <c r="N44" s="115"/>
      <c r="O44" s="115"/>
      <c r="P44" s="114"/>
      <c r="Z44" s="107"/>
    </row>
    <row r="45" spans="1:26" ht="19.5" customHeight="1" x14ac:dyDescent="0.25">
      <c r="A45" s="108"/>
      <c r="B45" s="121"/>
      <c r="C45" s="151"/>
      <c r="D45" s="151"/>
      <c r="E45" s="151"/>
      <c r="F45" s="151"/>
      <c r="G45" s="150"/>
      <c r="H45" s="119"/>
      <c r="I45" s="118"/>
      <c r="J45" s="117"/>
      <c r="K45" s="116"/>
      <c r="L45" s="115"/>
      <c r="M45" s="115"/>
      <c r="N45" s="115"/>
      <c r="O45" s="115"/>
      <c r="P45" s="114"/>
      <c r="Z45" s="107"/>
    </row>
    <row r="46" spans="1:26" ht="19.5" customHeight="1" x14ac:dyDescent="0.25">
      <c r="A46" s="108"/>
      <c r="B46" s="121"/>
      <c r="C46" s="151"/>
      <c r="D46" s="151"/>
      <c r="E46" s="151"/>
      <c r="F46" s="151"/>
      <c r="G46" s="150"/>
      <c r="H46" s="119"/>
      <c r="I46" s="118"/>
      <c r="J46" s="117"/>
      <c r="K46" s="116"/>
      <c r="L46" s="115"/>
      <c r="M46" s="115"/>
      <c r="N46" s="115"/>
      <c r="O46" s="115"/>
      <c r="P46" s="114"/>
      <c r="Z46" s="107"/>
    </row>
    <row r="47" spans="1:26" ht="19.5" customHeight="1" x14ac:dyDescent="0.25">
      <c r="A47" s="108"/>
      <c r="B47" s="121"/>
      <c r="C47" s="151"/>
      <c r="D47" s="151"/>
      <c r="E47" s="151"/>
      <c r="F47" s="151"/>
      <c r="G47" s="150"/>
      <c r="H47" s="119"/>
      <c r="I47" s="118"/>
      <c r="J47" s="117"/>
      <c r="K47" s="116"/>
      <c r="L47" s="115"/>
      <c r="M47" s="115"/>
      <c r="N47" s="115"/>
      <c r="O47" s="115"/>
      <c r="P47" s="114"/>
      <c r="Z47" s="107"/>
    </row>
    <row r="48" spans="1:26" ht="19.5" customHeight="1" x14ac:dyDescent="0.25">
      <c r="A48" s="108"/>
      <c r="B48" s="121"/>
      <c r="C48" s="151"/>
      <c r="D48" s="151"/>
      <c r="E48" s="151"/>
      <c r="F48" s="151"/>
      <c r="G48" s="150"/>
      <c r="H48" s="119"/>
      <c r="I48" s="118"/>
      <c r="J48" s="117"/>
      <c r="K48" s="116"/>
      <c r="L48" s="115"/>
      <c r="M48" s="115"/>
      <c r="N48" s="115"/>
      <c r="O48" s="115"/>
      <c r="P48" s="114"/>
      <c r="Z48" s="107"/>
    </row>
    <row r="49" spans="1:26" ht="19.5" customHeight="1" x14ac:dyDescent="0.25">
      <c r="A49" s="108"/>
      <c r="B49" s="121"/>
      <c r="C49" s="151"/>
      <c r="D49" s="151"/>
      <c r="E49" s="151"/>
      <c r="F49" s="151"/>
      <c r="G49" s="150"/>
      <c r="H49" s="119"/>
      <c r="I49" s="118"/>
      <c r="J49" s="117"/>
      <c r="K49" s="116"/>
      <c r="L49" s="115"/>
      <c r="M49" s="115"/>
      <c r="N49" s="115"/>
      <c r="O49" s="115"/>
      <c r="P49" s="114"/>
      <c r="Z49" s="107"/>
    </row>
    <row r="50" spans="1:26" ht="19.5" customHeight="1" x14ac:dyDescent="0.25">
      <c r="A50" s="108"/>
      <c r="B50" s="121"/>
      <c r="C50" s="151"/>
      <c r="D50" s="151"/>
      <c r="E50" s="151"/>
      <c r="F50" s="151"/>
      <c r="G50" s="150"/>
      <c r="H50" s="119"/>
      <c r="I50" s="118"/>
      <c r="J50" s="117"/>
      <c r="K50" s="116"/>
      <c r="L50" s="115"/>
      <c r="M50" s="115"/>
      <c r="N50" s="115"/>
      <c r="O50" s="115"/>
      <c r="P50" s="114"/>
      <c r="Z50" s="107"/>
    </row>
    <row r="51" spans="1:26" ht="19.5" customHeight="1" x14ac:dyDescent="0.25">
      <c r="A51" s="108"/>
      <c r="B51" s="121"/>
      <c r="C51" s="151"/>
      <c r="D51" s="151"/>
      <c r="E51" s="151"/>
      <c r="F51" s="151"/>
      <c r="G51" s="150"/>
      <c r="H51" s="119"/>
      <c r="I51" s="118"/>
      <c r="J51" s="117"/>
      <c r="K51" s="116"/>
      <c r="L51" s="115"/>
      <c r="M51" s="115"/>
      <c r="N51" s="115"/>
      <c r="O51" s="115"/>
      <c r="P51" s="114"/>
      <c r="Z51" s="107"/>
    </row>
    <row r="52" spans="1:26" ht="19.5" customHeight="1" x14ac:dyDescent="0.25">
      <c r="A52" s="108"/>
      <c r="B52" s="121"/>
      <c r="C52" s="151"/>
      <c r="D52" s="151"/>
      <c r="E52" s="151"/>
      <c r="F52" s="151"/>
      <c r="G52" s="150"/>
      <c r="H52" s="119"/>
      <c r="I52" s="118"/>
      <c r="J52" s="117"/>
      <c r="K52" s="116"/>
      <c r="L52" s="115"/>
      <c r="M52" s="115"/>
      <c r="N52" s="115"/>
      <c r="O52" s="115"/>
      <c r="P52" s="114"/>
      <c r="Z52" s="107"/>
    </row>
    <row r="53" spans="1:26" ht="19.5" customHeight="1" x14ac:dyDescent="0.25">
      <c r="A53" s="108"/>
      <c r="B53" s="121"/>
      <c r="C53" s="151"/>
      <c r="D53" s="151"/>
      <c r="E53" s="151"/>
      <c r="F53" s="151"/>
      <c r="G53" s="150"/>
      <c r="H53" s="119"/>
      <c r="I53" s="118"/>
      <c r="J53" s="117"/>
      <c r="K53" s="116"/>
      <c r="L53" s="115"/>
      <c r="M53" s="115"/>
      <c r="N53" s="115"/>
      <c r="O53" s="115"/>
      <c r="P53" s="114"/>
      <c r="Z53" s="107"/>
    </row>
    <row r="54" spans="1:26" ht="19.5" customHeight="1" x14ac:dyDescent="0.25">
      <c r="A54" s="108"/>
      <c r="B54" s="121"/>
      <c r="C54" s="151"/>
      <c r="D54" s="151"/>
      <c r="E54" s="151"/>
      <c r="F54" s="151"/>
      <c r="G54" s="150"/>
      <c r="H54" s="119"/>
      <c r="I54" s="118"/>
      <c r="J54" s="117"/>
      <c r="K54" s="116"/>
      <c r="L54" s="115"/>
      <c r="M54" s="115"/>
      <c r="N54" s="115"/>
      <c r="O54" s="115"/>
      <c r="P54" s="114"/>
      <c r="Z54" s="107"/>
    </row>
    <row r="55" spans="1:26" ht="19.5" customHeight="1" thickBot="1" x14ac:dyDescent="0.3">
      <c r="A55" s="108"/>
      <c r="B55" s="113"/>
      <c r="C55" s="156"/>
      <c r="D55" s="156"/>
      <c r="E55" s="156"/>
      <c r="F55" s="156"/>
      <c r="G55" s="155"/>
      <c r="H55" s="112"/>
      <c r="I55" s="154"/>
      <c r="J55" s="153"/>
      <c r="K55" s="111"/>
      <c r="L55" s="110"/>
      <c r="M55" s="110"/>
      <c r="N55" s="110"/>
      <c r="O55" s="110"/>
      <c r="P55" s="109"/>
      <c r="Z55" s="107"/>
    </row>
    <row r="56" spans="1:26" ht="15.75" customHeight="1" x14ac:dyDescent="0.25">
      <c r="A56" s="108"/>
      <c r="B56" s="267" t="s">
        <v>35</v>
      </c>
      <c r="C56" s="268"/>
      <c r="D56" s="268"/>
      <c r="E56" s="268"/>
      <c r="F56" s="268"/>
      <c r="G56" s="269"/>
      <c r="H56" s="163">
        <f>AVERAGE(H25:J38)</f>
        <v>34.230769230769234</v>
      </c>
      <c r="I56" s="164"/>
      <c r="J56" s="165"/>
      <c r="K56" s="305">
        <f>AVERAGE(H25:J38)</f>
        <v>34.230769230769234</v>
      </c>
      <c r="L56" s="190"/>
      <c r="M56" s="183" t="s">
        <v>36</v>
      </c>
      <c r="N56" s="183"/>
      <c r="O56" s="183"/>
      <c r="P56" s="184"/>
      <c r="Z56" s="107"/>
    </row>
    <row r="57" spans="1:26" ht="15.75" customHeight="1" x14ac:dyDescent="0.25">
      <c r="A57" s="108"/>
      <c r="B57" s="261" t="s">
        <v>37</v>
      </c>
      <c r="C57" s="262"/>
      <c r="D57" s="262"/>
      <c r="E57" s="262"/>
      <c r="F57" s="262"/>
      <c r="G57" s="263"/>
      <c r="H57" s="166" t="str">
        <f>IF(COUNTIF(H25:J38,"*&lt;20*"),"&lt;20",MIN(H25:J38))</f>
        <v>&lt;20</v>
      </c>
      <c r="I57" s="167"/>
      <c r="J57" s="168"/>
      <c r="K57" s="191"/>
      <c r="L57" s="192"/>
      <c r="M57" s="185"/>
      <c r="N57" s="185"/>
      <c r="O57" s="185"/>
      <c r="P57" s="186"/>
      <c r="Z57" s="107"/>
    </row>
    <row r="58" spans="1:26" ht="15.75" customHeight="1" thickBot="1" x14ac:dyDescent="0.3">
      <c r="A58" s="108"/>
      <c r="B58" s="264" t="s">
        <v>38</v>
      </c>
      <c r="C58" s="265"/>
      <c r="D58" s="265"/>
      <c r="E58" s="265"/>
      <c r="F58" s="265"/>
      <c r="G58" s="266"/>
      <c r="H58" s="285">
        <f>IF(COUNTIF(H25:J38,"*&gt;250*"),"&gt;250",MAX(H25:J38))</f>
        <v>47</v>
      </c>
      <c r="I58" s="286"/>
      <c r="J58" s="287"/>
      <c r="K58" s="193"/>
      <c r="L58" s="194"/>
      <c r="M58" s="187"/>
      <c r="N58" s="187"/>
      <c r="O58" s="187"/>
      <c r="P58" s="188"/>
      <c r="Z58" s="107"/>
    </row>
    <row r="59" spans="1:26" ht="15.9" customHeight="1" x14ac:dyDescent="0.25">
      <c r="A59" s="106"/>
      <c r="B59" s="105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3"/>
    </row>
    <row r="60" spans="1:26" ht="12.75" customHeight="1" x14ac:dyDescent="0.25">
      <c r="A60" s="102"/>
      <c r="B60" s="101"/>
    </row>
    <row r="61" spans="1:26" s="76" customFormat="1" ht="15.6" customHeight="1" x14ac:dyDescent="0.25">
      <c r="A61" s="100" t="s">
        <v>39</v>
      </c>
      <c r="B61" s="99" t="s">
        <v>40</v>
      </c>
      <c r="C61" s="98"/>
      <c r="D61" s="98"/>
      <c r="E61" s="98"/>
      <c r="F61" s="97"/>
      <c r="G61" s="97"/>
      <c r="H61" s="97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5"/>
      <c r="V61" s="94"/>
      <c r="W61" s="94"/>
      <c r="X61" s="93"/>
      <c r="Y61" s="93"/>
      <c r="Z61" s="92"/>
    </row>
    <row r="62" spans="1:26" s="76" customFormat="1" ht="28.5" customHeight="1" x14ac:dyDescent="0.25">
      <c r="A62" s="249" t="s">
        <v>41</v>
      </c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1"/>
      <c r="R62" s="243" t="s">
        <v>42</v>
      </c>
      <c r="S62" s="244"/>
      <c r="T62" s="245"/>
      <c r="U62" s="270" t="s">
        <v>12</v>
      </c>
      <c r="V62" s="271"/>
      <c r="W62" s="271"/>
      <c r="X62" s="272"/>
      <c r="Y62" s="272"/>
      <c r="Z62" s="273"/>
    </row>
    <row r="63" spans="1:26" s="76" customFormat="1" ht="15.6" customHeight="1" x14ac:dyDescent="0.25">
      <c r="A63" s="252" t="s">
        <v>61</v>
      </c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253"/>
      <c r="Q63" s="254"/>
      <c r="R63" s="243" t="s">
        <v>43</v>
      </c>
      <c r="S63" s="244"/>
      <c r="T63" s="245"/>
      <c r="U63" s="274" t="s">
        <v>44</v>
      </c>
      <c r="V63" s="275"/>
      <c r="W63" s="275"/>
      <c r="X63" s="276"/>
      <c r="Y63" s="276"/>
      <c r="Z63" s="277"/>
    </row>
    <row r="64" spans="1:26" s="76" customFormat="1" ht="15.6" customHeight="1" x14ac:dyDescent="0.25">
      <c r="A64" s="255"/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7"/>
      <c r="R64" s="243"/>
      <c r="S64" s="244"/>
      <c r="T64" s="245"/>
      <c r="U64" s="278"/>
      <c r="V64" s="185"/>
      <c r="W64" s="185"/>
      <c r="X64" s="279"/>
      <c r="Y64" s="279"/>
      <c r="Z64" s="280"/>
    </row>
    <row r="65" spans="1:26" s="76" customFormat="1" ht="15.6" customHeight="1" x14ac:dyDescent="0.25">
      <c r="A65" s="91" t="s">
        <v>45</v>
      </c>
      <c r="B65" s="90" t="s">
        <v>46</v>
      </c>
      <c r="C65" s="74"/>
      <c r="D65" s="74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8"/>
      <c r="R65" s="243"/>
      <c r="S65" s="244"/>
      <c r="T65" s="245"/>
      <c r="U65" s="281"/>
      <c r="V65" s="282"/>
      <c r="W65" s="282"/>
      <c r="X65" s="283"/>
      <c r="Y65" s="283"/>
      <c r="Z65" s="284"/>
    </row>
    <row r="66" spans="1:26" s="76" customFormat="1" ht="15.6" customHeight="1" x14ac:dyDescent="0.25">
      <c r="A66" s="237"/>
      <c r="B66" s="238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9"/>
      <c r="R66" s="243" t="s">
        <v>47</v>
      </c>
      <c r="S66" s="244"/>
      <c r="T66" s="245"/>
      <c r="U66" s="87"/>
      <c r="V66" s="86"/>
      <c r="W66" s="86"/>
      <c r="X66" s="86"/>
      <c r="Y66" s="86"/>
      <c r="Z66" s="85"/>
    </row>
    <row r="67" spans="1:26" s="76" customFormat="1" ht="15.6" customHeight="1" x14ac:dyDescent="0.25">
      <c r="A67" s="237"/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9"/>
      <c r="R67" s="243"/>
      <c r="S67" s="244"/>
      <c r="T67" s="245"/>
      <c r="U67" s="84"/>
      <c r="V67" s="185"/>
      <c r="W67" s="185"/>
      <c r="X67" s="185"/>
      <c r="Y67" s="185"/>
      <c r="Z67" s="83"/>
    </row>
    <row r="68" spans="1:26" s="76" customFormat="1" ht="15.6" customHeight="1" x14ac:dyDescent="0.25">
      <c r="A68" s="237"/>
      <c r="B68" s="238"/>
      <c r="C68" s="238"/>
      <c r="D68" s="238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9"/>
      <c r="R68" s="243"/>
      <c r="S68" s="244"/>
      <c r="T68" s="245"/>
      <c r="U68" s="84"/>
      <c r="V68" s="185"/>
      <c r="W68" s="185"/>
      <c r="X68" s="185"/>
      <c r="Y68" s="185"/>
      <c r="Z68" s="83"/>
    </row>
    <row r="69" spans="1:26" s="76" customFormat="1" ht="15.6" customHeight="1" x14ac:dyDescent="0.25">
      <c r="A69" s="240"/>
      <c r="B69" s="241"/>
      <c r="C69" s="241"/>
      <c r="D69" s="241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1"/>
      <c r="Q69" s="242"/>
      <c r="R69" s="246"/>
      <c r="S69" s="247"/>
      <c r="T69" s="248"/>
      <c r="U69" s="82"/>
      <c r="V69" s="81"/>
      <c r="W69" s="81"/>
      <c r="X69" s="81"/>
      <c r="Y69" s="81"/>
      <c r="Z69" s="80"/>
    </row>
    <row r="70" spans="1:26" s="76" customFormat="1" ht="15" customHeigh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8"/>
      <c r="S70" s="78"/>
      <c r="T70" s="78"/>
      <c r="U70" s="77"/>
      <c r="V70" s="77"/>
      <c r="W70" s="77"/>
      <c r="X70" s="77"/>
      <c r="Y70" s="77"/>
      <c r="Z70" s="77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  <row r="77" spans="1:26" ht="12.75" customHeight="1" x14ac:dyDescent="0.25">
      <c r="A77" s="74"/>
    </row>
  </sheetData>
  <sheetProtection formatCells="0" formatColumns="0" formatRows="0" insertColumns="0" insertRows="0" insertHyperlinks="0" deleteColumns="0" deleteRows="0" selectLockedCells="1" sort="0" autoFilter="0" pivotTables="0"/>
  <mergeCells count="81">
    <mergeCell ref="A66:Q69"/>
    <mergeCell ref="R66:T69"/>
    <mergeCell ref="V67:Y68"/>
    <mergeCell ref="A62:Q62"/>
    <mergeCell ref="R62:T62"/>
    <mergeCell ref="U62:Z62"/>
    <mergeCell ref="A63:Q64"/>
    <mergeCell ref="R63:T65"/>
    <mergeCell ref="U63:Z65"/>
    <mergeCell ref="H38:J38"/>
    <mergeCell ref="K38:P38"/>
    <mergeCell ref="B56:G56"/>
    <mergeCell ref="H56:J56"/>
    <mergeCell ref="K56:L58"/>
    <mergeCell ref="M56:P58"/>
    <mergeCell ref="B57:G57"/>
    <mergeCell ref="H57:J57"/>
    <mergeCell ref="B58:G58"/>
    <mergeCell ref="H58:J58"/>
    <mergeCell ref="H35:J35"/>
    <mergeCell ref="K35:P35"/>
    <mergeCell ref="H36:J36"/>
    <mergeCell ref="K36:P36"/>
    <mergeCell ref="H37:J37"/>
    <mergeCell ref="K37:P37"/>
    <mergeCell ref="K32:P32"/>
    <mergeCell ref="H33:J33"/>
    <mergeCell ref="K33:P33"/>
    <mergeCell ref="H34:J34"/>
    <mergeCell ref="K34:P34"/>
    <mergeCell ref="C25:G38"/>
    <mergeCell ref="H25:J25"/>
    <mergeCell ref="K25:P25"/>
    <mergeCell ref="H26:J26"/>
    <mergeCell ref="K26:P26"/>
    <mergeCell ref="H27:J27"/>
    <mergeCell ref="K27:P27"/>
    <mergeCell ref="H28:J28"/>
    <mergeCell ref="K28:P28"/>
    <mergeCell ref="H29:J29"/>
    <mergeCell ref="K29:P29"/>
    <mergeCell ref="H30:J30"/>
    <mergeCell ref="K30:P30"/>
    <mergeCell ref="H31:J31"/>
    <mergeCell ref="K31:P31"/>
    <mergeCell ref="H32:J32"/>
    <mergeCell ref="B23:B24"/>
    <mergeCell ref="C23:G24"/>
    <mergeCell ref="H23:J23"/>
    <mergeCell ref="K23:P24"/>
    <mergeCell ref="H24:J24"/>
    <mergeCell ref="B17:H17"/>
    <mergeCell ref="I17:Y17"/>
    <mergeCell ref="B18:H18"/>
    <mergeCell ref="I18:J18"/>
    <mergeCell ref="J21:P21"/>
    <mergeCell ref="B11:G11"/>
    <mergeCell ref="H11:M11"/>
    <mergeCell ref="N11:R11"/>
    <mergeCell ref="S11:Y11"/>
    <mergeCell ref="B12:G12"/>
    <mergeCell ref="H12:M12"/>
    <mergeCell ref="N12:R12"/>
    <mergeCell ref="S12:Y12"/>
    <mergeCell ref="B10:G10"/>
    <mergeCell ref="H10:M10"/>
    <mergeCell ref="N10:R10"/>
    <mergeCell ref="S10:Y10"/>
    <mergeCell ref="A1:F6"/>
    <mergeCell ref="G1:T1"/>
    <mergeCell ref="U1:Z6"/>
    <mergeCell ref="I6:K6"/>
    <mergeCell ref="L6:O6"/>
    <mergeCell ref="P6:T6"/>
    <mergeCell ref="A7:F7"/>
    <mergeCell ref="G7:Z7"/>
    <mergeCell ref="G2:T4"/>
    <mergeCell ref="G5:H5"/>
    <mergeCell ref="I5:K5"/>
    <mergeCell ref="L5:O5"/>
    <mergeCell ref="P5:T5"/>
  </mergeCells>
  <printOptions horizontalCentered="1"/>
  <pageMargins left="0.39370078740157" right="0.39370078740157" top="0.39370078740157" bottom="0.39370078740157" header="0" footer="0.19685039370078999"/>
  <pageSetup paperSize="9" scale="69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F4B0-D20C-43E1-B3E5-7CDBDDEE1B38}">
  <sheetPr>
    <pageSetUpPr fitToPage="1"/>
  </sheetPr>
  <dimension ref="A1:AA76"/>
  <sheetViews>
    <sheetView topLeftCell="A27" workbookViewId="0">
      <selection activeCell="C44" sqref="C44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217"/>
      <c r="B1" s="218"/>
      <c r="C1" s="218"/>
      <c r="D1" s="218"/>
      <c r="E1" s="218"/>
      <c r="F1" s="219"/>
      <c r="G1" s="226" t="s">
        <v>0</v>
      </c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8"/>
      <c r="U1" s="171" t="s">
        <v>48</v>
      </c>
      <c r="V1" s="172"/>
      <c r="W1" s="172"/>
      <c r="X1" s="172"/>
      <c r="Y1" s="172"/>
      <c r="Z1" s="173"/>
    </row>
    <row r="2" spans="1:26" ht="12.75" customHeight="1" x14ac:dyDescent="0.25">
      <c r="A2" s="220"/>
      <c r="B2" s="221"/>
      <c r="C2" s="221"/>
      <c r="D2" s="221"/>
      <c r="E2" s="221"/>
      <c r="F2" s="222"/>
      <c r="G2" s="229" t="s">
        <v>1</v>
      </c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1"/>
      <c r="U2" s="174"/>
      <c r="V2" s="175"/>
      <c r="W2" s="175"/>
      <c r="X2" s="175"/>
      <c r="Y2" s="175"/>
      <c r="Z2" s="176"/>
    </row>
    <row r="3" spans="1:26" ht="12.75" customHeight="1" x14ac:dyDescent="0.25">
      <c r="A3" s="220"/>
      <c r="B3" s="221"/>
      <c r="C3" s="221"/>
      <c r="D3" s="221"/>
      <c r="E3" s="221"/>
      <c r="F3" s="222"/>
      <c r="G3" s="229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1"/>
      <c r="U3" s="174"/>
      <c r="V3" s="175"/>
      <c r="W3" s="175"/>
      <c r="X3" s="175"/>
      <c r="Y3" s="175"/>
      <c r="Z3" s="176"/>
    </row>
    <row r="4" spans="1:26" ht="12.75" customHeight="1" x14ac:dyDescent="0.25">
      <c r="A4" s="220"/>
      <c r="B4" s="221"/>
      <c r="C4" s="221"/>
      <c r="D4" s="221"/>
      <c r="E4" s="221"/>
      <c r="F4" s="222"/>
      <c r="G4" s="229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1"/>
      <c r="U4" s="174"/>
      <c r="V4" s="175"/>
      <c r="W4" s="175"/>
      <c r="X4" s="175"/>
      <c r="Y4" s="175"/>
      <c r="Z4" s="176"/>
    </row>
    <row r="5" spans="1:26" ht="12.75" customHeight="1" x14ac:dyDescent="0.25">
      <c r="A5" s="220"/>
      <c r="B5" s="221"/>
      <c r="C5" s="221"/>
      <c r="D5" s="221"/>
      <c r="E5" s="221"/>
      <c r="F5" s="222"/>
      <c r="G5" s="232" t="s">
        <v>2</v>
      </c>
      <c r="H5" s="233"/>
      <c r="I5" s="207">
        <v>6</v>
      </c>
      <c r="J5" s="207"/>
      <c r="K5" s="208"/>
      <c r="L5" s="210" t="s">
        <v>49</v>
      </c>
      <c r="M5" s="211"/>
      <c r="N5" s="211"/>
      <c r="O5" s="212"/>
      <c r="P5" s="213" t="s">
        <v>65</v>
      </c>
      <c r="Q5" s="214"/>
      <c r="R5" s="214"/>
      <c r="S5" s="214"/>
      <c r="T5" s="215"/>
      <c r="U5" s="174"/>
      <c r="V5" s="175"/>
      <c r="W5" s="175"/>
      <c r="X5" s="175"/>
      <c r="Y5" s="175"/>
      <c r="Z5" s="176"/>
    </row>
    <row r="6" spans="1:26" ht="12.75" customHeight="1" x14ac:dyDescent="0.25">
      <c r="A6" s="223"/>
      <c r="B6" s="224"/>
      <c r="C6" s="224"/>
      <c r="D6" s="224"/>
      <c r="E6" s="224"/>
      <c r="F6" s="225"/>
      <c r="G6" s="149"/>
      <c r="H6" s="104"/>
      <c r="I6" s="209" t="s">
        <v>4</v>
      </c>
      <c r="J6" s="209"/>
      <c r="K6" s="209"/>
      <c r="L6" s="209" t="s">
        <v>5</v>
      </c>
      <c r="M6" s="209"/>
      <c r="N6" s="209"/>
      <c r="O6" s="209"/>
      <c r="P6" s="209" t="s">
        <v>6</v>
      </c>
      <c r="Q6" s="209"/>
      <c r="R6" s="209"/>
      <c r="S6" s="209"/>
      <c r="T6" s="216"/>
      <c r="U6" s="177"/>
      <c r="V6" s="178"/>
      <c r="W6" s="178"/>
      <c r="X6" s="178"/>
      <c r="Y6" s="178"/>
      <c r="Z6" s="179"/>
    </row>
    <row r="7" spans="1:26" ht="36.6" customHeight="1" x14ac:dyDescent="0.25">
      <c r="A7" s="234" t="s">
        <v>7</v>
      </c>
      <c r="B7" s="234"/>
      <c r="C7" s="234"/>
      <c r="D7" s="234"/>
      <c r="E7" s="234"/>
      <c r="F7" s="234"/>
      <c r="G7" s="235" t="s">
        <v>8</v>
      </c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</row>
    <row r="8" spans="1:26" ht="15.9" customHeight="1" x14ac:dyDescent="0.25">
      <c r="A8" s="128" t="s">
        <v>9</v>
      </c>
      <c r="B8" s="99" t="s">
        <v>10</v>
      </c>
      <c r="C8" s="96"/>
      <c r="D8" s="148"/>
      <c r="E8" s="148"/>
      <c r="F8" s="148"/>
      <c r="G8" s="148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4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70" t="s">
        <v>11</v>
      </c>
      <c r="C10" s="170"/>
      <c r="D10" s="170"/>
      <c r="E10" s="170"/>
      <c r="F10" s="170"/>
      <c r="G10" s="170"/>
      <c r="H10" s="236" t="s">
        <v>12</v>
      </c>
      <c r="I10" s="236"/>
      <c r="J10" s="236"/>
      <c r="K10" s="236"/>
      <c r="L10" s="236"/>
      <c r="M10" s="236"/>
      <c r="N10" s="170" t="s">
        <v>13</v>
      </c>
      <c r="O10" s="170"/>
      <c r="P10" s="170"/>
      <c r="Q10" s="170"/>
      <c r="R10" s="170"/>
      <c r="S10" s="195" t="s">
        <v>50</v>
      </c>
      <c r="T10" s="195"/>
      <c r="U10" s="195"/>
      <c r="V10" s="195"/>
      <c r="W10" s="195"/>
      <c r="X10" s="195"/>
      <c r="Y10" s="195"/>
      <c r="Z10" s="147"/>
    </row>
    <row r="11" spans="1:26" ht="15.9" customHeight="1" x14ac:dyDescent="0.25">
      <c r="A11" s="108"/>
      <c r="B11" s="170" t="s">
        <v>14</v>
      </c>
      <c r="C11" s="170"/>
      <c r="D11" s="170"/>
      <c r="E11" s="170"/>
      <c r="F11" s="170"/>
      <c r="G11" s="170"/>
      <c r="H11" s="236" t="s">
        <v>65</v>
      </c>
      <c r="I11" s="236"/>
      <c r="J11" s="236"/>
      <c r="K11" s="236"/>
      <c r="L11" s="236"/>
      <c r="M11" s="236"/>
      <c r="N11" s="170" t="s">
        <v>15</v>
      </c>
      <c r="O11" s="170"/>
      <c r="P11" s="170"/>
      <c r="Q11" s="170"/>
      <c r="R11" s="170"/>
      <c r="S11" s="195" t="s">
        <v>59</v>
      </c>
      <c r="T11" s="195"/>
      <c r="U11" s="195"/>
      <c r="V11" s="195"/>
      <c r="W11" s="195"/>
      <c r="X11" s="195"/>
      <c r="Y11" s="195"/>
      <c r="Z11" s="147"/>
    </row>
    <row r="12" spans="1:26" ht="15.9" customHeight="1" x14ac:dyDescent="0.25">
      <c r="A12" s="108"/>
      <c r="B12" s="170" t="s">
        <v>17</v>
      </c>
      <c r="C12" s="170"/>
      <c r="D12" s="170"/>
      <c r="E12" s="170"/>
      <c r="F12" s="170"/>
      <c r="G12" s="170"/>
      <c r="H12" s="236" t="s">
        <v>68</v>
      </c>
      <c r="I12" s="236"/>
      <c r="J12" s="236"/>
      <c r="K12" s="236"/>
      <c r="L12" s="236"/>
      <c r="M12" s="236"/>
      <c r="N12" s="170" t="s">
        <v>18</v>
      </c>
      <c r="O12" s="170"/>
      <c r="P12" s="170"/>
      <c r="Q12" s="170"/>
      <c r="R12" s="170"/>
      <c r="S12" s="195" t="s">
        <v>19</v>
      </c>
      <c r="T12" s="195"/>
      <c r="U12" s="195"/>
      <c r="V12" s="195"/>
      <c r="W12" s="195"/>
      <c r="X12" s="195"/>
      <c r="Y12" s="195"/>
      <c r="Z12" s="147"/>
    </row>
    <row r="13" spans="1:26" ht="8.25" customHeight="1" x14ac:dyDescent="0.25">
      <c r="A13" s="146"/>
      <c r="B13" s="104"/>
      <c r="C13" s="104"/>
      <c r="D13" s="145"/>
      <c r="E13" s="145"/>
      <c r="F13" s="145"/>
      <c r="G13" s="145"/>
      <c r="H13" s="104"/>
      <c r="I13" s="104"/>
      <c r="J13" s="104"/>
      <c r="K13" s="104"/>
      <c r="L13" s="104"/>
      <c r="M13" s="104"/>
      <c r="N13" s="14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42"/>
      <c r="C14" s="142"/>
      <c r="K14" s="143"/>
      <c r="L14" s="142"/>
      <c r="M14" s="141"/>
    </row>
    <row r="15" spans="1:26" s="76" customFormat="1" ht="15.6" customHeight="1" x14ac:dyDescent="0.25">
      <c r="A15" s="128" t="s">
        <v>20</v>
      </c>
      <c r="B15" s="140" t="s">
        <v>21</v>
      </c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8"/>
    </row>
    <row r="16" spans="1:26" s="76" customFormat="1" ht="15" customHeight="1" x14ac:dyDescent="0.25">
      <c r="A16" s="135"/>
      <c r="B16" s="137"/>
      <c r="Z16" s="136"/>
    </row>
    <row r="17" spans="1:26" s="76" customFormat="1" ht="15" customHeight="1" x14ac:dyDescent="0.25">
      <c r="A17" s="135"/>
      <c r="B17" s="169" t="s">
        <v>22</v>
      </c>
      <c r="C17" s="169"/>
      <c r="D17" s="169"/>
      <c r="E17" s="169"/>
      <c r="F17" s="169"/>
      <c r="G17" s="169"/>
      <c r="H17" s="169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133"/>
    </row>
    <row r="18" spans="1:26" s="76" customFormat="1" ht="15" customHeight="1" x14ac:dyDescent="0.25">
      <c r="A18" s="135"/>
      <c r="B18" s="169" t="s">
        <v>23</v>
      </c>
      <c r="C18" s="169"/>
      <c r="D18" s="169"/>
      <c r="E18" s="169"/>
      <c r="F18" s="169"/>
      <c r="G18" s="169"/>
      <c r="H18" s="169"/>
      <c r="I18" s="288" t="s">
        <v>24</v>
      </c>
      <c r="J18" s="288"/>
      <c r="K18" s="134">
        <v>30</v>
      </c>
      <c r="L18" s="134" t="s">
        <v>25</v>
      </c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3"/>
    </row>
    <row r="19" spans="1:26" s="76" customFormat="1" ht="13.2" customHeight="1" x14ac:dyDescent="0.25">
      <c r="A19" s="132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0"/>
    </row>
    <row r="20" spans="1:26" ht="12.75" customHeight="1" x14ac:dyDescent="0.25">
      <c r="D20" s="75"/>
      <c r="E20" s="75"/>
      <c r="F20" s="75"/>
      <c r="G20" s="75"/>
      <c r="N20" s="129"/>
    </row>
    <row r="21" spans="1:26" ht="15.9" customHeight="1" x14ac:dyDescent="0.25">
      <c r="A21" s="128" t="s">
        <v>26</v>
      </c>
      <c r="B21" s="127" t="s">
        <v>27</v>
      </c>
      <c r="C21" s="125"/>
      <c r="D21" s="126"/>
      <c r="E21" s="126"/>
      <c r="F21" s="126"/>
      <c r="G21" s="126"/>
      <c r="H21" s="125"/>
      <c r="I21" s="125"/>
      <c r="J21" s="297" t="s">
        <v>28</v>
      </c>
      <c r="K21" s="297"/>
      <c r="L21" s="297"/>
      <c r="M21" s="297"/>
      <c r="N21" s="297"/>
      <c r="O21" s="297"/>
      <c r="P21" s="297"/>
      <c r="Q21" s="122">
        <v>600</v>
      </c>
      <c r="R21" s="96"/>
      <c r="S21" s="96"/>
      <c r="T21" s="96"/>
      <c r="U21" s="96"/>
      <c r="V21" s="96"/>
      <c r="W21" s="96"/>
      <c r="X21" s="96"/>
      <c r="Y21" s="96"/>
      <c r="Z21" s="124"/>
    </row>
    <row r="22" spans="1:26" ht="12.75" customHeight="1" x14ac:dyDescent="0.25">
      <c r="A22" s="108"/>
      <c r="B22" s="123"/>
      <c r="Z22" s="107"/>
    </row>
    <row r="23" spans="1:26" ht="15.75" customHeight="1" x14ac:dyDescent="0.25">
      <c r="A23" s="108"/>
      <c r="B23" s="295" t="s">
        <v>29</v>
      </c>
      <c r="C23" s="196" t="s">
        <v>30</v>
      </c>
      <c r="D23" s="196"/>
      <c r="E23" s="196"/>
      <c r="F23" s="196"/>
      <c r="G23" s="197"/>
      <c r="H23" s="292" t="s">
        <v>31</v>
      </c>
      <c r="I23" s="293"/>
      <c r="J23" s="294"/>
      <c r="K23" s="196" t="s">
        <v>32</v>
      </c>
      <c r="L23" s="196"/>
      <c r="M23" s="196"/>
      <c r="N23" s="196"/>
      <c r="O23" s="196"/>
      <c r="P23" s="197"/>
      <c r="Z23" s="107"/>
    </row>
    <row r="24" spans="1:26" ht="15.75" customHeight="1" x14ac:dyDescent="0.25">
      <c r="A24" s="108"/>
      <c r="B24" s="296"/>
      <c r="C24" s="198"/>
      <c r="D24" s="198"/>
      <c r="E24" s="198"/>
      <c r="F24" s="198"/>
      <c r="G24" s="199"/>
      <c r="H24" s="289" t="s">
        <v>33</v>
      </c>
      <c r="I24" s="290"/>
      <c r="J24" s="291"/>
      <c r="K24" s="198"/>
      <c r="L24" s="198"/>
      <c r="M24" s="198"/>
      <c r="N24" s="198"/>
      <c r="O24" s="198"/>
      <c r="P24" s="199"/>
      <c r="Z24" s="107"/>
    </row>
    <row r="25" spans="1:26" ht="19.5" customHeight="1" x14ac:dyDescent="0.25">
      <c r="A25" s="108"/>
      <c r="B25" s="121">
        <v>1</v>
      </c>
      <c r="C25" s="298" t="s">
        <v>70</v>
      </c>
      <c r="D25" s="299"/>
      <c r="E25" s="299"/>
      <c r="F25" s="299"/>
      <c r="G25" s="300"/>
      <c r="H25" s="258" t="s">
        <v>34</v>
      </c>
      <c r="I25" s="259"/>
      <c r="J25" s="260"/>
      <c r="K25" s="180"/>
      <c r="L25" s="181"/>
      <c r="M25" s="181"/>
      <c r="N25" s="181"/>
      <c r="O25" s="181"/>
      <c r="P25" s="182"/>
      <c r="Z25" s="107"/>
    </row>
    <row r="26" spans="1:26" ht="19.5" customHeight="1" x14ac:dyDescent="0.25">
      <c r="A26" s="108"/>
      <c r="B26" s="121">
        <v>2</v>
      </c>
      <c r="C26" s="191"/>
      <c r="D26" s="192"/>
      <c r="E26" s="192"/>
      <c r="F26" s="192"/>
      <c r="G26" s="301"/>
      <c r="H26" s="258" t="s">
        <v>34</v>
      </c>
      <c r="I26" s="259"/>
      <c r="J26" s="260"/>
      <c r="K26" s="180"/>
      <c r="L26" s="181"/>
      <c r="M26" s="181"/>
      <c r="N26" s="181"/>
      <c r="O26" s="181"/>
      <c r="P26" s="182"/>
      <c r="Z26" s="107"/>
    </row>
    <row r="27" spans="1:26" ht="19.5" customHeight="1" x14ac:dyDescent="0.25">
      <c r="A27" s="108"/>
      <c r="B27" s="121">
        <v>3</v>
      </c>
      <c r="C27" s="191"/>
      <c r="D27" s="192"/>
      <c r="E27" s="192"/>
      <c r="F27" s="192"/>
      <c r="G27" s="301"/>
      <c r="H27" s="258" t="s">
        <v>34</v>
      </c>
      <c r="I27" s="259"/>
      <c r="J27" s="260"/>
      <c r="K27" s="180"/>
      <c r="L27" s="181"/>
      <c r="M27" s="181"/>
      <c r="N27" s="181"/>
      <c r="O27" s="181"/>
      <c r="P27" s="182"/>
      <c r="Z27" s="107"/>
    </row>
    <row r="28" spans="1:26" ht="19.5" customHeight="1" x14ac:dyDescent="0.25">
      <c r="A28" s="108"/>
      <c r="B28" s="121">
        <v>4</v>
      </c>
      <c r="C28" s="191"/>
      <c r="D28" s="192"/>
      <c r="E28" s="192"/>
      <c r="F28" s="192"/>
      <c r="G28" s="301"/>
      <c r="H28" s="258">
        <v>39</v>
      </c>
      <c r="I28" s="259"/>
      <c r="J28" s="260"/>
      <c r="K28" s="180"/>
      <c r="L28" s="181"/>
      <c r="M28" s="181"/>
      <c r="N28" s="181"/>
      <c r="O28" s="181"/>
      <c r="P28" s="182"/>
      <c r="Z28" s="107"/>
    </row>
    <row r="29" spans="1:26" ht="19.5" customHeight="1" x14ac:dyDescent="0.25">
      <c r="A29" s="108"/>
      <c r="B29" s="121">
        <v>5</v>
      </c>
      <c r="C29" s="191"/>
      <c r="D29" s="192"/>
      <c r="E29" s="192"/>
      <c r="F29" s="192"/>
      <c r="G29" s="301"/>
      <c r="H29" s="258">
        <v>27</v>
      </c>
      <c r="I29" s="259"/>
      <c r="J29" s="260"/>
      <c r="K29" s="180"/>
      <c r="L29" s="181"/>
      <c r="M29" s="181"/>
      <c r="N29" s="181"/>
      <c r="O29" s="181"/>
      <c r="P29" s="182"/>
      <c r="Z29" s="107"/>
    </row>
    <row r="30" spans="1:26" ht="19.5" customHeight="1" x14ac:dyDescent="0.25">
      <c r="A30" s="108"/>
      <c r="B30" s="121">
        <v>6</v>
      </c>
      <c r="C30" s="191"/>
      <c r="D30" s="192"/>
      <c r="E30" s="192"/>
      <c r="F30" s="192"/>
      <c r="G30" s="301"/>
      <c r="H30" s="258" t="s">
        <v>34</v>
      </c>
      <c r="I30" s="259"/>
      <c r="J30" s="260"/>
      <c r="K30" s="180"/>
      <c r="L30" s="181"/>
      <c r="M30" s="181"/>
      <c r="N30" s="181"/>
      <c r="O30" s="181"/>
      <c r="P30" s="182"/>
      <c r="Z30" s="107"/>
    </row>
    <row r="31" spans="1:26" ht="19.5" customHeight="1" x14ac:dyDescent="0.25">
      <c r="A31" s="108"/>
      <c r="B31" s="121">
        <v>7</v>
      </c>
      <c r="C31" s="191"/>
      <c r="D31" s="192"/>
      <c r="E31" s="192"/>
      <c r="F31" s="192"/>
      <c r="G31" s="301"/>
      <c r="H31" s="258" t="s">
        <v>34</v>
      </c>
      <c r="I31" s="259"/>
      <c r="J31" s="260"/>
      <c r="K31" s="180"/>
      <c r="L31" s="181"/>
      <c r="M31" s="181"/>
      <c r="N31" s="181"/>
      <c r="O31" s="181"/>
      <c r="P31" s="182"/>
      <c r="Z31" s="107"/>
    </row>
    <row r="32" spans="1:26" ht="19.5" customHeight="1" x14ac:dyDescent="0.25">
      <c r="A32" s="108"/>
      <c r="B32" s="121">
        <v>8</v>
      </c>
      <c r="C32" s="302"/>
      <c r="D32" s="303"/>
      <c r="E32" s="303"/>
      <c r="F32" s="303"/>
      <c r="G32" s="304"/>
      <c r="H32" s="258" t="s">
        <v>34</v>
      </c>
      <c r="I32" s="259"/>
      <c r="J32" s="260"/>
      <c r="K32" s="180"/>
      <c r="L32" s="181"/>
      <c r="M32" s="181"/>
      <c r="N32" s="181"/>
      <c r="O32" s="181"/>
      <c r="P32" s="182"/>
      <c r="Z32" s="107"/>
    </row>
    <row r="33" spans="1:26" ht="19.5" customHeight="1" x14ac:dyDescent="0.25">
      <c r="A33" s="108"/>
      <c r="B33" s="121">
        <v>9</v>
      </c>
      <c r="C33" s="298" t="s">
        <v>69</v>
      </c>
      <c r="D33" s="299"/>
      <c r="E33" s="299"/>
      <c r="F33" s="299"/>
      <c r="G33" s="300"/>
      <c r="H33" s="258" t="s">
        <v>34</v>
      </c>
      <c r="I33" s="259"/>
      <c r="J33" s="260"/>
      <c r="K33" s="180"/>
      <c r="L33" s="181"/>
      <c r="M33" s="181"/>
      <c r="N33" s="181"/>
      <c r="O33" s="181"/>
      <c r="P33" s="182"/>
      <c r="Z33" s="107"/>
    </row>
    <row r="34" spans="1:26" ht="19.5" customHeight="1" x14ac:dyDescent="0.25">
      <c r="A34" s="108"/>
      <c r="B34" s="121">
        <v>10</v>
      </c>
      <c r="C34" s="191"/>
      <c r="D34" s="445"/>
      <c r="E34" s="445"/>
      <c r="F34" s="445"/>
      <c r="G34" s="301"/>
      <c r="H34" s="258">
        <v>30</v>
      </c>
      <c r="I34" s="259"/>
      <c r="J34" s="260"/>
      <c r="K34" s="180"/>
      <c r="L34" s="181"/>
      <c r="M34" s="181"/>
      <c r="N34" s="181"/>
      <c r="O34" s="181"/>
      <c r="P34" s="182"/>
      <c r="Z34" s="107"/>
    </row>
    <row r="35" spans="1:26" ht="19.5" customHeight="1" x14ac:dyDescent="0.25">
      <c r="A35" s="108"/>
      <c r="B35" s="121">
        <v>11</v>
      </c>
      <c r="C35" s="191"/>
      <c r="D35" s="445"/>
      <c r="E35" s="445"/>
      <c r="F35" s="445"/>
      <c r="G35" s="301"/>
      <c r="H35" s="258">
        <v>34</v>
      </c>
      <c r="I35" s="259"/>
      <c r="J35" s="260"/>
      <c r="K35" s="180"/>
      <c r="L35" s="181"/>
      <c r="M35" s="181"/>
      <c r="N35" s="181"/>
      <c r="O35" s="181"/>
      <c r="P35" s="182"/>
      <c r="Z35" s="107"/>
    </row>
    <row r="36" spans="1:26" ht="19.5" customHeight="1" x14ac:dyDescent="0.25">
      <c r="A36" s="108"/>
      <c r="B36" s="121">
        <v>12</v>
      </c>
      <c r="C36" s="191"/>
      <c r="D36" s="445"/>
      <c r="E36" s="445"/>
      <c r="F36" s="445"/>
      <c r="G36" s="301"/>
      <c r="H36" s="258" t="s">
        <v>34</v>
      </c>
      <c r="I36" s="259"/>
      <c r="J36" s="260"/>
      <c r="K36" s="180"/>
      <c r="L36" s="181"/>
      <c r="M36" s="181"/>
      <c r="N36" s="181"/>
      <c r="O36" s="181"/>
      <c r="P36" s="182"/>
      <c r="Z36" s="107"/>
    </row>
    <row r="37" spans="1:26" ht="19.5" customHeight="1" x14ac:dyDescent="0.25">
      <c r="A37" s="108"/>
      <c r="B37" s="121">
        <v>13</v>
      </c>
      <c r="C37" s="446" t="s">
        <v>73</v>
      </c>
      <c r="D37" s="447"/>
      <c r="E37" s="447"/>
      <c r="F37" s="447"/>
      <c r="G37" s="448"/>
      <c r="H37" s="258">
        <v>27</v>
      </c>
      <c r="I37" s="259"/>
      <c r="J37" s="260"/>
      <c r="K37" s="180"/>
      <c r="L37" s="181"/>
      <c r="M37" s="181"/>
      <c r="N37" s="181"/>
      <c r="O37" s="181"/>
      <c r="P37" s="182"/>
      <c r="Z37" s="107"/>
    </row>
    <row r="38" spans="1:26" ht="19.5" customHeight="1" x14ac:dyDescent="0.25">
      <c r="A38" s="108"/>
      <c r="B38" s="121">
        <v>14</v>
      </c>
      <c r="C38" s="191"/>
      <c r="D38" s="445"/>
      <c r="E38" s="445"/>
      <c r="F38" s="445"/>
      <c r="G38" s="301"/>
      <c r="H38" s="258">
        <v>34</v>
      </c>
      <c r="I38" s="259"/>
      <c r="J38" s="260"/>
      <c r="K38" s="180"/>
      <c r="L38" s="181"/>
      <c r="M38" s="181"/>
      <c r="N38" s="181"/>
      <c r="O38" s="181"/>
      <c r="P38" s="182"/>
      <c r="Z38" s="107"/>
    </row>
    <row r="39" spans="1:26" ht="19.5" customHeight="1" x14ac:dyDescent="0.25">
      <c r="A39" s="108"/>
      <c r="B39" s="121">
        <v>15</v>
      </c>
      <c r="C39" s="191"/>
      <c r="D39" s="445"/>
      <c r="E39" s="445"/>
      <c r="F39" s="445"/>
      <c r="G39" s="301"/>
      <c r="H39" s="258">
        <v>29</v>
      </c>
      <c r="I39" s="259"/>
      <c r="J39" s="260"/>
      <c r="K39" s="180"/>
      <c r="L39" s="181"/>
      <c r="M39" s="181"/>
      <c r="N39" s="181"/>
      <c r="O39" s="181"/>
      <c r="P39" s="182"/>
      <c r="Z39" s="107"/>
    </row>
    <row r="40" spans="1:26" ht="19.5" customHeight="1" x14ac:dyDescent="0.25">
      <c r="A40" s="108"/>
      <c r="B40" s="121">
        <v>16</v>
      </c>
      <c r="C40" s="191"/>
      <c r="D40" s="445"/>
      <c r="E40" s="445"/>
      <c r="F40" s="445"/>
      <c r="G40" s="301"/>
      <c r="H40" s="258">
        <v>30</v>
      </c>
      <c r="I40" s="259"/>
      <c r="J40" s="260"/>
      <c r="K40" s="180"/>
      <c r="L40" s="181"/>
      <c r="M40" s="181"/>
      <c r="N40" s="181"/>
      <c r="O40" s="181"/>
      <c r="P40" s="182"/>
      <c r="Z40" s="107"/>
    </row>
    <row r="41" spans="1:26" ht="19.5" customHeight="1" x14ac:dyDescent="0.25">
      <c r="A41" s="108"/>
      <c r="B41" s="121">
        <v>17</v>
      </c>
      <c r="C41" s="191"/>
      <c r="D41" s="445"/>
      <c r="E41" s="445"/>
      <c r="F41" s="445"/>
      <c r="G41" s="301"/>
      <c r="H41" s="258">
        <v>32</v>
      </c>
      <c r="I41" s="259"/>
      <c r="J41" s="260"/>
      <c r="K41" s="180"/>
      <c r="L41" s="181"/>
      <c r="M41" s="181"/>
      <c r="N41" s="181"/>
      <c r="O41" s="181"/>
      <c r="P41" s="182"/>
      <c r="Z41" s="107"/>
    </row>
    <row r="42" spans="1:26" ht="19.5" customHeight="1" x14ac:dyDescent="0.25">
      <c r="A42" s="108"/>
      <c r="B42" s="121">
        <v>18</v>
      </c>
      <c r="C42" s="191"/>
      <c r="D42" s="445"/>
      <c r="E42" s="445"/>
      <c r="F42" s="445"/>
      <c r="G42" s="301"/>
      <c r="H42" s="258">
        <v>27</v>
      </c>
      <c r="I42" s="259"/>
      <c r="J42" s="260"/>
      <c r="K42" s="180"/>
      <c r="L42" s="181"/>
      <c r="M42" s="181"/>
      <c r="N42" s="181"/>
      <c r="O42" s="181"/>
      <c r="P42" s="182"/>
      <c r="Z42" s="107"/>
    </row>
    <row r="43" spans="1:26" ht="19.5" customHeight="1" x14ac:dyDescent="0.25">
      <c r="A43" s="108"/>
      <c r="B43" s="121">
        <v>19</v>
      </c>
      <c r="C43" s="302"/>
      <c r="D43" s="303"/>
      <c r="E43" s="303"/>
      <c r="F43" s="303"/>
      <c r="G43" s="304"/>
      <c r="H43" s="258">
        <v>57</v>
      </c>
      <c r="I43" s="259"/>
      <c r="J43" s="260"/>
      <c r="K43" s="180"/>
      <c r="L43" s="181"/>
      <c r="M43" s="181"/>
      <c r="N43" s="181"/>
      <c r="O43" s="181"/>
      <c r="P43" s="182"/>
      <c r="Z43" s="107"/>
    </row>
    <row r="44" spans="1:26" ht="19.5" customHeight="1" x14ac:dyDescent="0.25">
      <c r="A44" s="108"/>
      <c r="B44" s="121"/>
      <c r="C44" s="162"/>
      <c r="D44" s="161"/>
      <c r="E44" s="161"/>
      <c r="F44" s="161"/>
      <c r="G44" s="160"/>
      <c r="H44" s="258"/>
      <c r="I44" s="259"/>
      <c r="J44" s="260"/>
      <c r="K44" s="180"/>
      <c r="L44" s="181"/>
      <c r="M44" s="181"/>
      <c r="N44" s="181"/>
      <c r="O44" s="181"/>
      <c r="P44" s="182"/>
      <c r="Z44" s="107"/>
    </row>
    <row r="45" spans="1:26" ht="19.5" customHeight="1" x14ac:dyDescent="0.25">
      <c r="A45" s="108"/>
      <c r="B45" s="121"/>
      <c r="C45" s="162"/>
      <c r="D45" s="161"/>
      <c r="E45" s="161"/>
      <c r="F45" s="161"/>
      <c r="G45" s="160"/>
      <c r="H45" s="258"/>
      <c r="I45" s="259"/>
      <c r="J45" s="260"/>
      <c r="K45" s="180"/>
      <c r="L45" s="181"/>
      <c r="M45" s="181"/>
      <c r="N45" s="181"/>
      <c r="O45" s="181"/>
      <c r="P45" s="182"/>
      <c r="Z45" s="107"/>
    </row>
    <row r="46" spans="1:26" ht="19.5" customHeight="1" x14ac:dyDescent="0.25">
      <c r="A46" s="108"/>
      <c r="B46" s="121"/>
      <c r="C46" s="162"/>
      <c r="D46" s="161"/>
      <c r="E46" s="161"/>
      <c r="F46" s="161"/>
      <c r="G46" s="160"/>
      <c r="H46" s="258"/>
      <c r="I46" s="259"/>
      <c r="J46" s="260"/>
      <c r="K46" s="180"/>
      <c r="L46" s="181"/>
      <c r="M46" s="181"/>
      <c r="N46" s="181"/>
      <c r="O46" s="181"/>
      <c r="P46" s="182"/>
      <c r="Z46" s="107"/>
    </row>
    <row r="47" spans="1:26" ht="19.5" customHeight="1" x14ac:dyDescent="0.25">
      <c r="A47" s="108"/>
      <c r="B47" s="121"/>
      <c r="C47" s="162"/>
      <c r="D47" s="161"/>
      <c r="E47" s="161"/>
      <c r="F47" s="161"/>
      <c r="G47" s="160"/>
      <c r="H47" s="258"/>
      <c r="I47" s="259"/>
      <c r="J47" s="260"/>
      <c r="K47" s="180"/>
      <c r="L47" s="181"/>
      <c r="M47" s="181"/>
      <c r="N47" s="181"/>
      <c r="O47" s="181"/>
      <c r="P47" s="182"/>
      <c r="Z47" s="107"/>
    </row>
    <row r="48" spans="1:26" ht="19.5" customHeight="1" x14ac:dyDescent="0.25">
      <c r="A48" s="108"/>
      <c r="B48" s="121"/>
      <c r="C48" s="162"/>
      <c r="D48" s="161"/>
      <c r="E48" s="161"/>
      <c r="F48" s="161"/>
      <c r="G48" s="160"/>
      <c r="H48" s="258"/>
      <c r="I48" s="259"/>
      <c r="J48" s="260"/>
      <c r="K48" s="180"/>
      <c r="L48" s="181"/>
      <c r="M48" s="181"/>
      <c r="N48" s="181"/>
      <c r="O48" s="181"/>
      <c r="P48" s="182"/>
      <c r="Z48" s="107"/>
    </row>
    <row r="49" spans="1:26" ht="19.5" customHeight="1" x14ac:dyDescent="0.25">
      <c r="A49" s="108"/>
      <c r="B49" s="121"/>
      <c r="C49" s="162"/>
      <c r="D49" s="161"/>
      <c r="E49" s="161"/>
      <c r="F49" s="161"/>
      <c r="G49" s="160"/>
      <c r="H49" s="258"/>
      <c r="I49" s="259"/>
      <c r="J49" s="260"/>
      <c r="K49" s="180"/>
      <c r="L49" s="181"/>
      <c r="M49" s="181"/>
      <c r="N49" s="181"/>
      <c r="O49" s="181"/>
      <c r="P49" s="182"/>
      <c r="Z49" s="107"/>
    </row>
    <row r="50" spans="1:26" ht="19.5" customHeight="1" x14ac:dyDescent="0.25">
      <c r="A50" s="108"/>
      <c r="B50" s="121"/>
      <c r="C50" s="162"/>
      <c r="D50" s="161"/>
      <c r="E50" s="161"/>
      <c r="F50" s="161"/>
      <c r="G50" s="160"/>
      <c r="H50" s="258"/>
      <c r="I50" s="259"/>
      <c r="J50" s="260"/>
      <c r="K50" s="180"/>
      <c r="L50" s="181"/>
      <c r="M50" s="181"/>
      <c r="N50" s="181"/>
      <c r="O50" s="181"/>
      <c r="P50" s="182"/>
      <c r="Z50" s="107"/>
    </row>
    <row r="51" spans="1:26" ht="19.5" customHeight="1" x14ac:dyDescent="0.25">
      <c r="A51" s="108"/>
      <c r="B51" s="121"/>
      <c r="C51" s="162"/>
      <c r="D51" s="161"/>
      <c r="E51" s="161"/>
      <c r="F51" s="161"/>
      <c r="G51" s="160"/>
      <c r="H51" s="258"/>
      <c r="I51" s="259"/>
      <c r="J51" s="260"/>
      <c r="K51" s="180"/>
      <c r="L51" s="181"/>
      <c r="M51" s="181"/>
      <c r="N51" s="181"/>
      <c r="O51" s="181"/>
      <c r="P51" s="182"/>
      <c r="Z51" s="107"/>
    </row>
    <row r="52" spans="1:26" ht="19.5" customHeight="1" x14ac:dyDescent="0.25">
      <c r="A52" s="108"/>
      <c r="B52" s="121"/>
      <c r="C52" s="162"/>
      <c r="D52" s="161"/>
      <c r="E52" s="161"/>
      <c r="F52" s="161"/>
      <c r="G52" s="160"/>
      <c r="H52" s="258"/>
      <c r="I52" s="259"/>
      <c r="J52" s="260"/>
      <c r="K52" s="180"/>
      <c r="L52" s="181"/>
      <c r="M52" s="181"/>
      <c r="N52" s="181"/>
      <c r="O52" s="181"/>
      <c r="P52" s="182"/>
      <c r="Z52" s="107"/>
    </row>
    <row r="53" spans="1:26" ht="19.5" customHeight="1" x14ac:dyDescent="0.25">
      <c r="A53" s="108"/>
      <c r="B53" s="121"/>
      <c r="C53" s="162"/>
      <c r="D53" s="161"/>
      <c r="E53" s="161"/>
      <c r="F53" s="161"/>
      <c r="G53" s="160"/>
      <c r="H53" s="258"/>
      <c r="I53" s="259"/>
      <c r="J53" s="260"/>
      <c r="K53" s="180"/>
      <c r="L53" s="181"/>
      <c r="M53" s="181"/>
      <c r="N53" s="181"/>
      <c r="O53" s="181"/>
      <c r="P53" s="182"/>
      <c r="Z53" s="107"/>
    </row>
    <row r="54" spans="1:26" ht="19.5" customHeight="1" thickBot="1" x14ac:dyDescent="0.3">
      <c r="A54" s="108"/>
      <c r="B54" s="121"/>
      <c r="C54" s="159"/>
      <c r="D54" s="158"/>
      <c r="E54" s="158"/>
      <c r="F54" s="158"/>
      <c r="G54" s="157"/>
      <c r="H54" s="258"/>
      <c r="I54" s="259"/>
      <c r="J54" s="260"/>
      <c r="K54" s="180"/>
      <c r="L54" s="181"/>
      <c r="M54" s="181"/>
      <c r="N54" s="181"/>
      <c r="O54" s="181"/>
      <c r="P54" s="182"/>
      <c r="Z54" s="107"/>
    </row>
    <row r="55" spans="1:26" ht="15.75" customHeight="1" x14ac:dyDescent="0.25">
      <c r="A55" s="108"/>
      <c r="B55" s="267" t="s">
        <v>35</v>
      </c>
      <c r="C55" s="268"/>
      <c r="D55" s="268"/>
      <c r="E55" s="268"/>
      <c r="F55" s="268"/>
      <c r="G55" s="269"/>
      <c r="H55" s="163">
        <f>AVERAGE(H25:J54)</f>
        <v>33.272727272727273</v>
      </c>
      <c r="I55" s="164"/>
      <c r="J55" s="165"/>
      <c r="K55" s="305">
        <f>AVERAGE(H25:J43)</f>
        <v>33.272727272727273</v>
      </c>
      <c r="L55" s="190"/>
      <c r="M55" s="183" t="s">
        <v>36</v>
      </c>
      <c r="N55" s="183"/>
      <c r="O55" s="183"/>
      <c r="P55" s="184"/>
      <c r="Z55" s="107"/>
    </row>
    <row r="56" spans="1:26" ht="15.75" customHeight="1" x14ac:dyDescent="0.25">
      <c r="A56" s="108"/>
      <c r="B56" s="261" t="s">
        <v>37</v>
      </c>
      <c r="C56" s="262"/>
      <c r="D56" s="262"/>
      <c r="E56" s="262"/>
      <c r="F56" s="262"/>
      <c r="G56" s="263"/>
      <c r="H56" s="166" t="str">
        <f>IF(COUNTIF(H25:J54,"*&lt;20*"),"&lt;20",MIN(H25:J54))</f>
        <v>&lt;20</v>
      </c>
      <c r="I56" s="167"/>
      <c r="J56" s="168"/>
      <c r="K56" s="191"/>
      <c r="L56" s="192"/>
      <c r="M56" s="185"/>
      <c r="N56" s="185"/>
      <c r="O56" s="185"/>
      <c r="P56" s="186"/>
      <c r="Z56" s="107"/>
    </row>
    <row r="57" spans="1:26" ht="15.75" customHeight="1" thickBot="1" x14ac:dyDescent="0.3">
      <c r="A57" s="108"/>
      <c r="B57" s="264" t="s">
        <v>38</v>
      </c>
      <c r="C57" s="265"/>
      <c r="D57" s="265"/>
      <c r="E57" s="265"/>
      <c r="F57" s="265"/>
      <c r="G57" s="266"/>
      <c r="H57" s="285">
        <f>IF(COUNTIF(H25:J54,"*&gt;250*"),"&gt;250",MAX(H25:J54))</f>
        <v>57</v>
      </c>
      <c r="I57" s="286"/>
      <c r="J57" s="287"/>
      <c r="K57" s="193"/>
      <c r="L57" s="194"/>
      <c r="M57" s="187"/>
      <c r="N57" s="187"/>
      <c r="O57" s="187"/>
      <c r="P57" s="18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39</v>
      </c>
      <c r="B60" s="99" t="s">
        <v>40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249" t="s">
        <v>41</v>
      </c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1"/>
      <c r="R61" s="243" t="s">
        <v>42</v>
      </c>
      <c r="S61" s="244"/>
      <c r="T61" s="245"/>
      <c r="U61" s="270" t="s">
        <v>12</v>
      </c>
      <c r="V61" s="271"/>
      <c r="W61" s="271"/>
      <c r="X61" s="272"/>
      <c r="Y61" s="272"/>
      <c r="Z61" s="273"/>
    </row>
    <row r="62" spans="1:26" s="76" customFormat="1" ht="15.6" customHeight="1" x14ac:dyDescent="0.25">
      <c r="A62" s="252" t="s">
        <v>61</v>
      </c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  <c r="Q62" s="254"/>
      <c r="R62" s="243" t="s">
        <v>43</v>
      </c>
      <c r="S62" s="244"/>
      <c r="T62" s="245"/>
      <c r="U62" s="274" t="s">
        <v>44</v>
      </c>
      <c r="V62" s="275"/>
      <c r="W62" s="275"/>
      <c r="X62" s="276"/>
      <c r="Y62" s="276"/>
      <c r="Z62" s="277"/>
    </row>
    <row r="63" spans="1:26" s="76" customFormat="1" ht="15.6" customHeight="1" x14ac:dyDescent="0.25">
      <c r="A63" s="255"/>
      <c r="B63" s="256"/>
      <c r="C63" s="256"/>
      <c r="D63" s="256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7"/>
      <c r="R63" s="243"/>
      <c r="S63" s="244"/>
      <c r="T63" s="245"/>
      <c r="U63" s="278"/>
      <c r="V63" s="185"/>
      <c r="W63" s="185"/>
      <c r="X63" s="279"/>
      <c r="Y63" s="279"/>
      <c r="Z63" s="280"/>
    </row>
    <row r="64" spans="1:26" s="76" customFormat="1" ht="15.6" customHeight="1" x14ac:dyDescent="0.25">
      <c r="A64" s="91" t="s">
        <v>45</v>
      </c>
      <c r="B64" s="90" t="s">
        <v>46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243"/>
      <c r="S64" s="244"/>
      <c r="T64" s="245"/>
      <c r="U64" s="281"/>
      <c r="V64" s="282"/>
      <c r="W64" s="282"/>
      <c r="X64" s="283"/>
      <c r="Y64" s="283"/>
      <c r="Z64" s="284"/>
    </row>
    <row r="65" spans="1:26" s="76" customFormat="1" ht="15.6" customHeight="1" x14ac:dyDescent="0.25">
      <c r="A65" s="237"/>
      <c r="B65" s="238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9"/>
      <c r="R65" s="243" t="s">
        <v>47</v>
      </c>
      <c r="S65" s="244"/>
      <c r="T65" s="245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237"/>
      <c r="B66" s="238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9"/>
      <c r="R66" s="243"/>
      <c r="S66" s="244"/>
      <c r="T66" s="245"/>
      <c r="U66" s="84"/>
      <c r="V66" s="185"/>
      <c r="W66" s="185"/>
      <c r="X66" s="185"/>
      <c r="Y66" s="185"/>
      <c r="Z66" s="83"/>
    </row>
    <row r="67" spans="1:26" s="76" customFormat="1" ht="15.6" customHeight="1" x14ac:dyDescent="0.25">
      <c r="A67" s="237"/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9"/>
      <c r="R67" s="243"/>
      <c r="S67" s="244"/>
      <c r="T67" s="245"/>
      <c r="U67" s="84"/>
      <c r="V67" s="185"/>
      <c r="W67" s="185"/>
      <c r="X67" s="185"/>
      <c r="Y67" s="185"/>
      <c r="Z67" s="83"/>
    </row>
    <row r="68" spans="1:26" s="76" customFormat="1" ht="15.6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2"/>
      <c r="R68" s="246"/>
      <c r="S68" s="247"/>
      <c r="T68" s="248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H51:J51"/>
    <mergeCell ref="K51:P51"/>
    <mergeCell ref="H48:J48"/>
    <mergeCell ref="K48:P48"/>
    <mergeCell ref="H49:J49"/>
    <mergeCell ref="K49:P49"/>
    <mergeCell ref="H54:J54"/>
    <mergeCell ref="K54:P54"/>
    <mergeCell ref="H52:J52"/>
    <mergeCell ref="K52:P52"/>
    <mergeCell ref="H53:J53"/>
    <mergeCell ref="K53:P53"/>
    <mergeCell ref="H46:J46"/>
    <mergeCell ref="K46:P46"/>
    <mergeCell ref="H47:J47"/>
    <mergeCell ref="K47:P47"/>
    <mergeCell ref="H44:J44"/>
    <mergeCell ref="K44:P44"/>
    <mergeCell ref="H45:J45"/>
    <mergeCell ref="K45:P45"/>
    <mergeCell ref="H50:J50"/>
    <mergeCell ref="K50:P50"/>
    <mergeCell ref="H42:J42"/>
    <mergeCell ref="K42:P42"/>
    <mergeCell ref="H43:J43"/>
    <mergeCell ref="K43:P43"/>
    <mergeCell ref="H40:J40"/>
    <mergeCell ref="K40:P40"/>
    <mergeCell ref="H41:J41"/>
    <mergeCell ref="K41:P41"/>
    <mergeCell ref="H38:J38"/>
    <mergeCell ref="C33:G36"/>
    <mergeCell ref="C37:G43"/>
    <mergeCell ref="K32:P32"/>
    <mergeCell ref="H33:J33"/>
    <mergeCell ref="K33:P33"/>
    <mergeCell ref="K38:P38"/>
    <mergeCell ref="H39:J39"/>
    <mergeCell ref="K39:P39"/>
    <mergeCell ref="H36:J36"/>
    <mergeCell ref="K36:P36"/>
    <mergeCell ref="H37:J37"/>
    <mergeCell ref="K37:P37"/>
    <mergeCell ref="V66:Y67"/>
    <mergeCell ref="I18:J18"/>
    <mergeCell ref="H25:J25"/>
    <mergeCell ref="H24:J24"/>
    <mergeCell ref="H23:J23"/>
    <mergeCell ref="B18:H18"/>
    <mergeCell ref="B23:B24"/>
    <mergeCell ref="C23:G24"/>
    <mergeCell ref="J21:P21"/>
    <mergeCell ref="B56:G56"/>
    <mergeCell ref="C25:G32"/>
    <mergeCell ref="H30:J30"/>
    <mergeCell ref="K30:P30"/>
    <mergeCell ref="H31:J31"/>
    <mergeCell ref="K31:P31"/>
    <mergeCell ref="H28:J28"/>
    <mergeCell ref="K28:P28"/>
    <mergeCell ref="H29:J29"/>
    <mergeCell ref="K29:P29"/>
    <mergeCell ref="H34:J34"/>
    <mergeCell ref="K34:P34"/>
    <mergeCell ref="H35:J35"/>
    <mergeCell ref="K35:P35"/>
    <mergeCell ref="H32:J32"/>
    <mergeCell ref="G5:H5"/>
    <mergeCell ref="A7:F7"/>
    <mergeCell ref="G7:Z7"/>
    <mergeCell ref="H10:M10"/>
    <mergeCell ref="H11:M11"/>
    <mergeCell ref="N11:R11"/>
    <mergeCell ref="A65:Q68"/>
    <mergeCell ref="R65:T68"/>
    <mergeCell ref="A61:Q61"/>
    <mergeCell ref="R61:T61"/>
    <mergeCell ref="A62:Q63"/>
    <mergeCell ref="R62:T64"/>
    <mergeCell ref="H26:J26"/>
    <mergeCell ref="K26:P26"/>
    <mergeCell ref="B57:G57"/>
    <mergeCell ref="B55:G55"/>
    <mergeCell ref="U61:Z61"/>
    <mergeCell ref="U62:Z64"/>
    <mergeCell ref="N12:R12"/>
    <mergeCell ref="H12:M12"/>
    <mergeCell ref="H27:J27"/>
    <mergeCell ref="K27:P27"/>
    <mergeCell ref="H56:J56"/>
    <mergeCell ref="B17:H17"/>
    <mergeCell ref="B12:G12"/>
    <mergeCell ref="B11:G11"/>
    <mergeCell ref="U1:Z6"/>
    <mergeCell ref="K25:P25"/>
    <mergeCell ref="M55:P57"/>
    <mergeCell ref="K55:L57"/>
    <mergeCell ref="S12:Y12"/>
    <mergeCell ref="K23:P24"/>
    <mergeCell ref="I17:Y17"/>
    <mergeCell ref="S11:Y11"/>
    <mergeCell ref="H57:J57"/>
    <mergeCell ref="H55:J55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108B-2F3A-4672-8887-D8C99A6F0300}">
  <sheetPr>
    <pageSetUpPr fitToPage="1"/>
  </sheetPr>
  <dimension ref="A1:AA76"/>
  <sheetViews>
    <sheetView topLeftCell="A23"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217"/>
      <c r="B1" s="218"/>
      <c r="C1" s="218"/>
      <c r="D1" s="218"/>
      <c r="E1" s="218"/>
      <c r="F1" s="219"/>
      <c r="G1" s="226" t="s">
        <v>0</v>
      </c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8"/>
      <c r="U1" s="171" t="s">
        <v>48</v>
      </c>
      <c r="V1" s="172"/>
      <c r="W1" s="172"/>
      <c r="X1" s="172"/>
      <c r="Y1" s="172"/>
      <c r="Z1" s="173"/>
    </row>
    <row r="2" spans="1:26" ht="12.75" customHeight="1" x14ac:dyDescent="0.25">
      <c r="A2" s="220"/>
      <c r="B2" s="221"/>
      <c r="C2" s="221"/>
      <c r="D2" s="221"/>
      <c r="E2" s="221"/>
      <c r="F2" s="222"/>
      <c r="G2" s="229" t="s">
        <v>1</v>
      </c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1"/>
      <c r="U2" s="174"/>
      <c r="V2" s="175"/>
      <c r="W2" s="175"/>
      <c r="X2" s="175"/>
      <c r="Y2" s="175"/>
      <c r="Z2" s="176"/>
    </row>
    <row r="3" spans="1:26" ht="12.75" customHeight="1" x14ac:dyDescent="0.25">
      <c r="A3" s="220"/>
      <c r="B3" s="221"/>
      <c r="C3" s="221"/>
      <c r="D3" s="221"/>
      <c r="E3" s="221"/>
      <c r="F3" s="222"/>
      <c r="G3" s="229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1"/>
      <c r="U3" s="174"/>
      <c r="V3" s="175"/>
      <c r="W3" s="175"/>
      <c r="X3" s="175"/>
      <c r="Y3" s="175"/>
      <c r="Z3" s="176"/>
    </row>
    <row r="4" spans="1:26" ht="12.75" customHeight="1" x14ac:dyDescent="0.25">
      <c r="A4" s="220"/>
      <c r="B4" s="221"/>
      <c r="C4" s="221"/>
      <c r="D4" s="221"/>
      <c r="E4" s="221"/>
      <c r="F4" s="222"/>
      <c r="G4" s="229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1"/>
      <c r="U4" s="174"/>
      <c r="V4" s="175"/>
      <c r="W4" s="175"/>
      <c r="X4" s="175"/>
      <c r="Y4" s="175"/>
      <c r="Z4" s="176"/>
    </row>
    <row r="5" spans="1:26" ht="12.75" customHeight="1" x14ac:dyDescent="0.25">
      <c r="A5" s="220"/>
      <c r="B5" s="221"/>
      <c r="C5" s="221"/>
      <c r="D5" s="221"/>
      <c r="E5" s="221"/>
      <c r="F5" s="222"/>
      <c r="G5" s="232" t="s">
        <v>2</v>
      </c>
      <c r="H5" s="233"/>
      <c r="I5" s="207">
        <v>5</v>
      </c>
      <c r="J5" s="207"/>
      <c r="K5" s="208"/>
      <c r="L5" s="210" t="s">
        <v>49</v>
      </c>
      <c r="M5" s="211"/>
      <c r="N5" s="211"/>
      <c r="O5" s="212"/>
      <c r="P5" s="213" t="s">
        <v>65</v>
      </c>
      <c r="Q5" s="214"/>
      <c r="R5" s="214"/>
      <c r="S5" s="214"/>
      <c r="T5" s="215"/>
      <c r="U5" s="174"/>
      <c r="V5" s="175"/>
      <c r="W5" s="175"/>
      <c r="X5" s="175"/>
      <c r="Y5" s="175"/>
      <c r="Z5" s="176"/>
    </row>
    <row r="6" spans="1:26" ht="12.75" customHeight="1" x14ac:dyDescent="0.25">
      <c r="A6" s="223"/>
      <c r="B6" s="224"/>
      <c r="C6" s="224"/>
      <c r="D6" s="224"/>
      <c r="E6" s="224"/>
      <c r="F6" s="225"/>
      <c r="G6" s="149"/>
      <c r="H6" s="104"/>
      <c r="I6" s="209" t="s">
        <v>4</v>
      </c>
      <c r="J6" s="209"/>
      <c r="K6" s="209"/>
      <c r="L6" s="209" t="s">
        <v>5</v>
      </c>
      <c r="M6" s="209"/>
      <c r="N6" s="209"/>
      <c r="O6" s="209"/>
      <c r="P6" s="209" t="s">
        <v>6</v>
      </c>
      <c r="Q6" s="209"/>
      <c r="R6" s="209"/>
      <c r="S6" s="209"/>
      <c r="T6" s="216"/>
      <c r="U6" s="177"/>
      <c r="V6" s="178"/>
      <c r="W6" s="178"/>
      <c r="X6" s="178"/>
      <c r="Y6" s="178"/>
      <c r="Z6" s="179"/>
    </row>
    <row r="7" spans="1:26" ht="36.6" customHeight="1" x14ac:dyDescent="0.25">
      <c r="A7" s="234" t="s">
        <v>7</v>
      </c>
      <c r="B7" s="234"/>
      <c r="C7" s="234"/>
      <c r="D7" s="234"/>
      <c r="E7" s="234"/>
      <c r="F7" s="234"/>
      <c r="G7" s="235" t="s">
        <v>8</v>
      </c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</row>
    <row r="8" spans="1:26" ht="15.9" customHeight="1" x14ac:dyDescent="0.25">
      <c r="A8" s="128" t="s">
        <v>9</v>
      </c>
      <c r="B8" s="99" t="s">
        <v>10</v>
      </c>
      <c r="C8" s="96"/>
      <c r="D8" s="148"/>
      <c r="E8" s="148"/>
      <c r="F8" s="148"/>
      <c r="G8" s="148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4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70" t="s">
        <v>11</v>
      </c>
      <c r="C10" s="170"/>
      <c r="D10" s="170"/>
      <c r="E10" s="170"/>
      <c r="F10" s="170"/>
      <c r="G10" s="170"/>
      <c r="H10" s="236" t="s">
        <v>12</v>
      </c>
      <c r="I10" s="236"/>
      <c r="J10" s="236"/>
      <c r="K10" s="236"/>
      <c r="L10" s="236"/>
      <c r="M10" s="236"/>
      <c r="N10" s="170" t="s">
        <v>13</v>
      </c>
      <c r="O10" s="170"/>
      <c r="P10" s="170"/>
      <c r="Q10" s="170"/>
      <c r="R10" s="170"/>
      <c r="S10" s="195" t="s">
        <v>52</v>
      </c>
      <c r="T10" s="195"/>
      <c r="U10" s="195"/>
      <c r="V10" s="195"/>
      <c r="W10" s="195"/>
      <c r="X10" s="195"/>
      <c r="Y10" s="195"/>
      <c r="Z10" s="147"/>
    </row>
    <row r="11" spans="1:26" ht="15.9" customHeight="1" x14ac:dyDescent="0.25">
      <c r="A11" s="108"/>
      <c r="B11" s="170" t="s">
        <v>14</v>
      </c>
      <c r="C11" s="170"/>
      <c r="D11" s="170"/>
      <c r="E11" s="170"/>
      <c r="F11" s="170"/>
      <c r="G11" s="170"/>
      <c r="H11" s="236" t="s">
        <v>65</v>
      </c>
      <c r="I11" s="236"/>
      <c r="J11" s="236"/>
      <c r="K11" s="236"/>
      <c r="L11" s="236"/>
      <c r="M11" s="236"/>
      <c r="N11" s="170" t="s">
        <v>15</v>
      </c>
      <c r="O11" s="170"/>
      <c r="P11" s="170"/>
      <c r="Q11" s="170"/>
      <c r="R11" s="170"/>
      <c r="S11" s="195" t="s">
        <v>59</v>
      </c>
      <c r="T11" s="195"/>
      <c r="U11" s="195"/>
      <c r="V11" s="195"/>
      <c r="W11" s="195"/>
      <c r="X11" s="195"/>
      <c r="Y11" s="195"/>
      <c r="Z11" s="147"/>
    </row>
    <row r="12" spans="1:26" ht="15.9" customHeight="1" x14ac:dyDescent="0.25">
      <c r="A12" s="108"/>
      <c r="B12" s="170" t="s">
        <v>17</v>
      </c>
      <c r="C12" s="170"/>
      <c r="D12" s="170"/>
      <c r="E12" s="170"/>
      <c r="F12" s="170"/>
      <c r="G12" s="170"/>
      <c r="H12" s="236" t="s">
        <v>66</v>
      </c>
      <c r="I12" s="236"/>
      <c r="J12" s="236"/>
      <c r="K12" s="236"/>
      <c r="L12" s="236"/>
      <c r="M12" s="236"/>
      <c r="N12" s="170" t="s">
        <v>18</v>
      </c>
      <c r="O12" s="170"/>
      <c r="P12" s="170"/>
      <c r="Q12" s="170"/>
      <c r="R12" s="170"/>
      <c r="S12" s="195" t="s">
        <v>19</v>
      </c>
      <c r="T12" s="195"/>
      <c r="U12" s="195"/>
      <c r="V12" s="195"/>
      <c r="W12" s="195"/>
      <c r="X12" s="195"/>
      <c r="Y12" s="195"/>
      <c r="Z12" s="147"/>
    </row>
    <row r="13" spans="1:26" ht="8.25" customHeight="1" x14ac:dyDescent="0.25">
      <c r="A13" s="146"/>
      <c r="B13" s="104"/>
      <c r="C13" s="104"/>
      <c r="D13" s="145"/>
      <c r="E13" s="145"/>
      <c r="F13" s="145"/>
      <c r="G13" s="145"/>
      <c r="H13" s="104"/>
      <c r="I13" s="104"/>
      <c r="J13" s="104"/>
      <c r="K13" s="104"/>
      <c r="L13" s="104"/>
      <c r="M13" s="104"/>
      <c r="N13" s="14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42"/>
      <c r="C14" s="142"/>
      <c r="K14" s="143"/>
      <c r="L14" s="142"/>
      <c r="M14" s="141"/>
    </row>
    <row r="15" spans="1:26" s="76" customFormat="1" ht="15.6" customHeight="1" x14ac:dyDescent="0.25">
      <c r="A15" s="128" t="s">
        <v>20</v>
      </c>
      <c r="B15" s="140" t="s">
        <v>21</v>
      </c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8"/>
    </row>
    <row r="16" spans="1:26" s="76" customFormat="1" ht="15" customHeight="1" x14ac:dyDescent="0.25">
      <c r="A16" s="135"/>
      <c r="B16" s="137"/>
      <c r="Z16" s="136"/>
    </row>
    <row r="17" spans="1:26" s="76" customFormat="1" ht="15" customHeight="1" x14ac:dyDescent="0.25">
      <c r="A17" s="135"/>
      <c r="B17" s="169" t="s">
        <v>22</v>
      </c>
      <c r="C17" s="169"/>
      <c r="D17" s="169"/>
      <c r="E17" s="169"/>
      <c r="F17" s="169"/>
      <c r="G17" s="169"/>
      <c r="H17" s="169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133"/>
    </row>
    <row r="18" spans="1:26" s="76" customFormat="1" ht="15" customHeight="1" x14ac:dyDescent="0.25">
      <c r="A18" s="135"/>
      <c r="B18" s="169" t="s">
        <v>23</v>
      </c>
      <c r="C18" s="169"/>
      <c r="D18" s="169"/>
      <c r="E18" s="169"/>
      <c r="F18" s="169"/>
      <c r="G18" s="169"/>
      <c r="H18" s="169"/>
      <c r="I18" s="288" t="s">
        <v>24</v>
      </c>
      <c r="J18" s="288"/>
      <c r="K18" s="134">
        <v>50</v>
      </c>
      <c r="L18" s="134" t="s">
        <v>25</v>
      </c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3"/>
    </row>
    <row r="19" spans="1:26" s="76" customFormat="1" ht="13.2" customHeight="1" x14ac:dyDescent="0.25">
      <c r="A19" s="132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0"/>
    </row>
    <row r="20" spans="1:26" ht="12.75" customHeight="1" x14ac:dyDescent="0.25">
      <c r="D20" s="75"/>
      <c r="E20" s="75"/>
      <c r="F20" s="75"/>
      <c r="G20" s="75"/>
      <c r="N20" s="129"/>
    </row>
    <row r="21" spans="1:26" ht="15.9" customHeight="1" x14ac:dyDescent="0.25">
      <c r="A21" s="128" t="s">
        <v>26</v>
      </c>
      <c r="B21" s="127" t="s">
        <v>27</v>
      </c>
      <c r="C21" s="125"/>
      <c r="D21" s="126"/>
      <c r="E21" s="126"/>
      <c r="F21" s="126"/>
      <c r="G21" s="126"/>
      <c r="H21" s="125"/>
      <c r="I21" s="125"/>
      <c r="J21" s="297" t="s">
        <v>28</v>
      </c>
      <c r="K21" s="297"/>
      <c r="L21" s="297"/>
      <c r="M21" s="297"/>
      <c r="N21" s="297"/>
      <c r="O21" s="297"/>
      <c r="P21" s="297"/>
      <c r="Q21" s="122">
        <v>600</v>
      </c>
      <c r="R21" s="96"/>
      <c r="S21" s="96"/>
      <c r="T21" s="96"/>
      <c r="U21" s="96"/>
      <c r="V21" s="96"/>
      <c r="W21" s="96"/>
      <c r="X21" s="96"/>
      <c r="Y21" s="96"/>
      <c r="Z21" s="124"/>
    </row>
    <row r="22" spans="1:26" ht="12.75" customHeight="1" x14ac:dyDescent="0.25">
      <c r="A22" s="108"/>
      <c r="B22" s="123"/>
      <c r="Z22" s="107"/>
    </row>
    <row r="23" spans="1:26" ht="15.75" customHeight="1" x14ac:dyDescent="0.25">
      <c r="A23" s="108"/>
      <c r="B23" s="295" t="s">
        <v>29</v>
      </c>
      <c r="C23" s="196" t="s">
        <v>30</v>
      </c>
      <c r="D23" s="196"/>
      <c r="E23" s="196"/>
      <c r="F23" s="196"/>
      <c r="G23" s="197"/>
      <c r="H23" s="292" t="s">
        <v>31</v>
      </c>
      <c r="I23" s="293"/>
      <c r="J23" s="294"/>
      <c r="K23" s="196" t="s">
        <v>32</v>
      </c>
      <c r="L23" s="196"/>
      <c r="M23" s="196"/>
      <c r="N23" s="196"/>
      <c r="O23" s="196"/>
      <c r="P23" s="197"/>
      <c r="Z23" s="107"/>
    </row>
    <row r="24" spans="1:26" ht="15.75" customHeight="1" x14ac:dyDescent="0.25">
      <c r="A24" s="108"/>
      <c r="B24" s="296"/>
      <c r="C24" s="198"/>
      <c r="D24" s="198"/>
      <c r="E24" s="198"/>
      <c r="F24" s="198"/>
      <c r="G24" s="199"/>
      <c r="H24" s="289" t="s">
        <v>33</v>
      </c>
      <c r="I24" s="290"/>
      <c r="J24" s="291"/>
      <c r="K24" s="198"/>
      <c r="L24" s="198"/>
      <c r="M24" s="198"/>
      <c r="N24" s="198"/>
      <c r="O24" s="198"/>
      <c r="P24" s="199"/>
      <c r="Z24" s="107"/>
    </row>
    <row r="25" spans="1:26" ht="19.5" customHeight="1" x14ac:dyDescent="0.25">
      <c r="A25" s="108"/>
      <c r="B25" s="121">
        <v>1</v>
      </c>
      <c r="C25" s="298" t="s">
        <v>64</v>
      </c>
      <c r="D25" s="299"/>
      <c r="E25" s="299"/>
      <c r="F25" s="299"/>
      <c r="G25" s="300"/>
      <c r="H25" s="258">
        <v>33</v>
      </c>
      <c r="I25" s="259"/>
      <c r="J25" s="260"/>
      <c r="K25" s="180"/>
      <c r="L25" s="181"/>
      <c r="M25" s="181"/>
      <c r="N25" s="181"/>
      <c r="O25" s="181"/>
      <c r="P25" s="182"/>
      <c r="Z25" s="107"/>
    </row>
    <row r="26" spans="1:26" ht="19.5" customHeight="1" x14ac:dyDescent="0.25">
      <c r="A26" s="108"/>
      <c r="B26" s="121">
        <v>2</v>
      </c>
      <c r="C26" s="191"/>
      <c r="D26" s="192"/>
      <c r="E26" s="192"/>
      <c r="F26" s="192"/>
      <c r="G26" s="301"/>
      <c r="H26" s="258">
        <v>28</v>
      </c>
      <c r="I26" s="259"/>
      <c r="J26" s="260"/>
      <c r="K26" s="180"/>
      <c r="L26" s="181"/>
      <c r="M26" s="181"/>
      <c r="N26" s="181"/>
      <c r="O26" s="181"/>
      <c r="P26" s="182"/>
      <c r="Z26" s="107"/>
    </row>
    <row r="27" spans="1:26" ht="19.5" customHeight="1" x14ac:dyDescent="0.25">
      <c r="A27" s="108"/>
      <c r="B27" s="121">
        <v>3</v>
      </c>
      <c r="C27" s="191"/>
      <c r="D27" s="192"/>
      <c r="E27" s="192"/>
      <c r="F27" s="192"/>
      <c r="G27" s="301"/>
      <c r="H27" s="258" t="s">
        <v>34</v>
      </c>
      <c r="I27" s="259"/>
      <c r="J27" s="260"/>
      <c r="K27" s="180"/>
      <c r="L27" s="181"/>
      <c r="M27" s="181"/>
      <c r="N27" s="181"/>
      <c r="O27" s="181"/>
      <c r="P27" s="182"/>
      <c r="Z27" s="107"/>
    </row>
    <row r="28" spans="1:26" ht="19.5" customHeight="1" x14ac:dyDescent="0.25">
      <c r="A28" s="108"/>
      <c r="B28" s="121">
        <v>4</v>
      </c>
      <c r="C28" s="191"/>
      <c r="D28" s="192"/>
      <c r="E28" s="192"/>
      <c r="F28" s="192"/>
      <c r="G28" s="301"/>
      <c r="H28" s="258" t="s">
        <v>34</v>
      </c>
      <c r="I28" s="259"/>
      <c r="J28" s="260"/>
      <c r="K28" s="180"/>
      <c r="L28" s="181"/>
      <c r="M28" s="181"/>
      <c r="N28" s="181"/>
      <c r="O28" s="181"/>
      <c r="P28" s="182"/>
      <c r="Z28" s="107"/>
    </row>
    <row r="29" spans="1:26" ht="19.5" customHeight="1" x14ac:dyDescent="0.25">
      <c r="A29" s="108"/>
      <c r="B29" s="121">
        <v>5</v>
      </c>
      <c r="C29" s="191"/>
      <c r="D29" s="192"/>
      <c r="E29" s="192"/>
      <c r="F29" s="192"/>
      <c r="G29" s="301"/>
      <c r="H29" s="258">
        <v>25</v>
      </c>
      <c r="I29" s="259"/>
      <c r="J29" s="260"/>
      <c r="K29" s="180"/>
      <c r="L29" s="181"/>
      <c r="M29" s="181"/>
      <c r="N29" s="181"/>
      <c r="O29" s="181"/>
      <c r="P29" s="182"/>
      <c r="Z29" s="107"/>
    </row>
    <row r="30" spans="1:26" ht="19.5" customHeight="1" x14ac:dyDescent="0.25">
      <c r="A30" s="108"/>
      <c r="B30" s="121">
        <v>6</v>
      </c>
      <c r="C30" s="191"/>
      <c r="D30" s="192"/>
      <c r="E30" s="192"/>
      <c r="F30" s="192"/>
      <c r="G30" s="301"/>
      <c r="H30" s="258">
        <v>41</v>
      </c>
      <c r="I30" s="259"/>
      <c r="J30" s="260"/>
      <c r="K30" s="180"/>
      <c r="L30" s="181"/>
      <c r="M30" s="181"/>
      <c r="N30" s="181"/>
      <c r="O30" s="181"/>
      <c r="P30" s="182"/>
      <c r="Z30" s="107"/>
    </row>
    <row r="31" spans="1:26" ht="19.5" customHeight="1" x14ac:dyDescent="0.25">
      <c r="A31" s="108"/>
      <c r="B31" s="121">
        <v>7</v>
      </c>
      <c r="C31" s="191"/>
      <c r="D31" s="192"/>
      <c r="E31" s="192"/>
      <c r="F31" s="192"/>
      <c r="G31" s="301"/>
      <c r="H31" s="258">
        <v>31</v>
      </c>
      <c r="I31" s="259"/>
      <c r="J31" s="260"/>
      <c r="K31" s="180"/>
      <c r="L31" s="181"/>
      <c r="M31" s="181"/>
      <c r="N31" s="181"/>
      <c r="O31" s="181"/>
      <c r="P31" s="182"/>
      <c r="Z31" s="107"/>
    </row>
    <row r="32" spans="1:26" ht="19.5" customHeight="1" x14ac:dyDescent="0.25">
      <c r="A32" s="108"/>
      <c r="B32" s="121">
        <v>8</v>
      </c>
      <c r="C32" s="191"/>
      <c r="D32" s="192"/>
      <c r="E32" s="192"/>
      <c r="F32" s="192"/>
      <c r="G32" s="301"/>
      <c r="H32" s="258">
        <v>56</v>
      </c>
      <c r="I32" s="259"/>
      <c r="J32" s="260"/>
      <c r="K32" s="180"/>
      <c r="L32" s="181"/>
      <c r="M32" s="181"/>
      <c r="N32" s="181"/>
      <c r="O32" s="181"/>
      <c r="P32" s="182"/>
      <c r="Z32" s="107"/>
    </row>
    <row r="33" spans="1:26" ht="19.5" customHeight="1" x14ac:dyDescent="0.25">
      <c r="A33" s="108"/>
      <c r="B33" s="121">
        <v>9</v>
      </c>
      <c r="C33" s="191"/>
      <c r="D33" s="192"/>
      <c r="E33" s="192"/>
      <c r="F33" s="192"/>
      <c r="G33" s="301"/>
      <c r="H33" s="258">
        <v>27</v>
      </c>
      <c r="I33" s="259"/>
      <c r="J33" s="260"/>
      <c r="K33" s="180"/>
      <c r="L33" s="181"/>
      <c r="M33" s="181"/>
      <c r="N33" s="181"/>
      <c r="O33" s="181"/>
      <c r="P33" s="182"/>
      <c r="Z33" s="107"/>
    </row>
    <row r="34" spans="1:26" ht="19.5" customHeight="1" x14ac:dyDescent="0.25">
      <c r="A34" s="108"/>
      <c r="B34" s="121">
        <v>10</v>
      </c>
      <c r="C34" s="191"/>
      <c r="D34" s="192"/>
      <c r="E34" s="192"/>
      <c r="F34" s="192"/>
      <c r="G34" s="301"/>
      <c r="H34" s="258">
        <v>38</v>
      </c>
      <c r="I34" s="259"/>
      <c r="J34" s="260"/>
      <c r="K34" s="180"/>
      <c r="L34" s="181"/>
      <c r="M34" s="181"/>
      <c r="N34" s="181"/>
      <c r="O34" s="181"/>
      <c r="P34" s="182"/>
      <c r="Z34" s="107"/>
    </row>
    <row r="35" spans="1:26" ht="19.5" customHeight="1" x14ac:dyDescent="0.25">
      <c r="A35" s="108"/>
      <c r="B35" s="121">
        <v>11</v>
      </c>
      <c r="C35" s="302"/>
      <c r="D35" s="303"/>
      <c r="E35" s="303"/>
      <c r="F35" s="303"/>
      <c r="G35" s="304"/>
      <c r="H35" s="258">
        <v>25</v>
      </c>
      <c r="I35" s="259"/>
      <c r="J35" s="260"/>
      <c r="K35" s="180"/>
      <c r="L35" s="181"/>
      <c r="M35" s="181"/>
      <c r="N35" s="181"/>
      <c r="O35" s="181"/>
      <c r="P35" s="182"/>
      <c r="Z35" s="107"/>
    </row>
    <row r="36" spans="1:26" ht="19.5" customHeight="1" x14ac:dyDescent="0.25">
      <c r="A36" s="108"/>
      <c r="B36" s="121">
        <v>12</v>
      </c>
      <c r="C36" s="298" t="s">
        <v>63</v>
      </c>
      <c r="D36" s="299"/>
      <c r="E36" s="299"/>
      <c r="F36" s="299"/>
      <c r="G36" s="300"/>
      <c r="H36" s="258">
        <v>33</v>
      </c>
      <c r="I36" s="259"/>
      <c r="J36" s="260"/>
      <c r="K36" s="180"/>
      <c r="L36" s="181"/>
      <c r="M36" s="181"/>
      <c r="N36" s="181"/>
      <c r="O36" s="181"/>
      <c r="P36" s="182"/>
      <c r="Z36" s="107"/>
    </row>
    <row r="37" spans="1:26" ht="19.5" customHeight="1" x14ac:dyDescent="0.25">
      <c r="A37" s="108"/>
      <c r="B37" s="121">
        <v>13</v>
      </c>
      <c r="C37" s="191"/>
      <c r="D37" s="192"/>
      <c r="E37" s="192"/>
      <c r="F37" s="192"/>
      <c r="G37" s="301"/>
      <c r="H37" s="258">
        <v>28</v>
      </c>
      <c r="I37" s="259"/>
      <c r="J37" s="260"/>
      <c r="K37" s="180"/>
      <c r="L37" s="181"/>
      <c r="M37" s="181"/>
      <c r="N37" s="181"/>
      <c r="O37" s="181"/>
      <c r="P37" s="182"/>
      <c r="Z37" s="107"/>
    </row>
    <row r="38" spans="1:26" ht="19.5" customHeight="1" x14ac:dyDescent="0.25">
      <c r="A38" s="108"/>
      <c r="B38" s="121">
        <v>14</v>
      </c>
      <c r="C38" s="191"/>
      <c r="D38" s="192"/>
      <c r="E38" s="192"/>
      <c r="F38" s="192"/>
      <c r="G38" s="301"/>
      <c r="H38" s="258">
        <v>33</v>
      </c>
      <c r="I38" s="259"/>
      <c r="J38" s="260"/>
      <c r="K38" s="180"/>
      <c r="L38" s="181"/>
      <c r="M38" s="181"/>
      <c r="N38" s="181"/>
      <c r="O38" s="181"/>
      <c r="P38" s="182"/>
      <c r="Z38" s="107"/>
    </row>
    <row r="39" spans="1:26" ht="19.5" customHeight="1" x14ac:dyDescent="0.25">
      <c r="A39" s="108"/>
      <c r="B39" s="121">
        <v>15</v>
      </c>
      <c r="C39" s="191"/>
      <c r="D39" s="192"/>
      <c r="E39" s="192"/>
      <c r="F39" s="192"/>
      <c r="G39" s="301"/>
      <c r="H39" s="258">
        <v>42</v>
      </c>
      <c r="I39" s="259"/>
      <c r="J39" s="260"/>
      <c r="K39" s="180"/>
      <c r="L39" s="181"/>
      <c r="M39" s="181"/>
      <c r="N39" s="181"/>
      <c r="O39" s="181"/>
      <c r="P39" s="182"/>
      <c r="Z39" s="107"/>
    </row>
    <row r="40" spans="1:26" ht="19.5" customHeight="1" x14ac:dyDescent="0.25">
      <c r="A40" s="108"/>
      <c r="B40" s="121">
        <v>16</v>
      </c>
      <c r="C40" s="191"/>
      <c r="D40" s="192"/>
      <c r="E40" s="192"/>
      <c r="F40" s="192"/>
      <c r="G40" s="301"/>
      <c r="H40" s="258">
        <v>52</v>
      </c>
      <c r="I40" s="259"/>
      <c r="J40" s="260"/>
      <c r="K40" s="180"/>
      <c r="L40" s="181"/>
      <c r="M40" s="181"/>
      <c r="N40" s="181"/>
      <c r="O40" s="181"/>
      <c r="P40" s="182"/>
      <c r="Z40" s="107"/>
    </row>
    <row r="41" spans="1:26" ht="19.5" customHeight="1" x14ac:dyDescent="0.25">
      <c r="A41" s="108"/>
      <c r="B41" s="121">
        <v>17</v>
      </c>
      <c r="C41" s="191"/>
      <c r="D41" s="192"/>
      <c r="E41" s="192"/>
      <c r="F41" s="192"/>
      <c r="G41" s="301"/>
      <c r="H41" s="258">
        <v>30</v>
      </c>
      <c r="I41" s="259"/>
      <c r="J41" s="260"/>
      <c r="K41" s="180"/>
      <c r="L41" s="181"/>
      <c r="M41" s="181"/>
      <c r="N41" s="181"/>
      <c r="O41" s="181"/>
      <c r="P41" s="182"/>
      <c r="Z41" s="107"/>
    </row>
    <row r="42" spans="1:26" ht="19.5" customHeight="1" x14ac:dyDescent="0.25">
      <c r="A42" s="108"/>
      <c r="B42" s="121">
        <v>18</v>
      </c>
      <c r="C42" s="191"/>
      <c r="D42" s="192"/>
      <c r="E42" s="192"/>
      <c r="F42" s="192"/>
      <c r="G42" s="301"/>
      <c r="H42" s="258">
        <v>37</v>
      </c>
      <c r="I42" s="259"/>
      <c r="J42" s="260"/>
      <c r="K42" s="180"/>
      <c r="L42" s="181"/>
      <c r="M42" s="181"/>
      <c r="N42" s="181"/>
      <c r="O42" s="181"/>
      <c r="P42" s="182"/>
      <c r="Z42" s="107"/>
    </row>
    <row r="43" spans="1:26" ht="19.5" customHeight="1" x14ac:dyDescent="0.25">
      <c r="A43" s="108"/>
      <c r="B43" s="121">
        <v>19</v>
      </c>
      <c r="C43" s="191"/>
      <c r="D43" s="192"/>
      <c r="E43" s="192"/>
      <c r="F43" s="192"/>
      <c r="G43" s="301"/>
      <c r="H43" s="258">
        <v>44</v>
      </c>
      <c r="I43" s="259"/>
      <c r="J43" s="260"/>
      <c r="K43" s="180"/>
      <c r="L43" s="181"/>
      <c r="M43" s="181"/>
      <c r="N43" s="181"/>
      <c r="O43" s="181"/>
      <c r="P43" s="182"/>
      <c r="Z43" s="107"/>
    </row>
    <row r="44" spans="1:26" ht="19.5" customHeight="1" x14ac:dyDescent="0.25">
      <c r="A44" s="108"/>
      <c r="B44" s="121">
        <v>20</v>
      </c>
      <c r="C44" s="191"/>
      <c r="D44" s="192"/>
      <c r="E44" s="192"/>
      <c r="F44" s="192"/>
      <c r="G44" s="301"/>
      <c r="H44" s="258">
        <v>34</v>
      </c>
      <c r="I44" s="259"/>
      <c r="J44" s="260"/>
      <c r="K44" s="180"/>
      <c r="L44" s="181"/>
      <c r="M44" s="181"/>
      <c r="N44" s="181"/>
      <c r="O44" s="181"/>
      <c r="P44" s="182"/>
      <c r="Z44" s="107"/>
    </row>
    <row r="45" spans="1:26" ht="19.5" customHeight="1" x14ac:dyDescent="0.25">
      <c r="A45" s="108"/>
      <c r="B45" s="121">
        <v>21</v>
      </c>
      <c r="C45" s="191"/>
      <c r="D45" s="192"/>
      <c r="E45" s="192"/>
      <c r="F45" s="192"/>
      <c r="G45" s="301"/>
      <c r="H45" s="258">
        <v>28</v>
      </c>
      <c r="I45" s="259"/>
      <c r="J45" s="260"/>
      <c r="K45" s="180"/>
      <c r="L45" s="181"/>
      <c r="M45" s="181"/>
      <c r="N45" s="181"/>
      <c r="O45" s="181"/>
      <c r="P45" s="182"/>
      <c r="Z45" s="107"/>
    </row>
    <row r="46" spans="1:26" ht="19.5" customHeight="1" x14ac:dyDescent="0.25">
      <c r="A46" s="108"/>
      <c r="B46" s="121">
        <v>22</v>
      </c>
      <c r="C46" s="302"/>
      <c r="D46" s="303"/>
      <c r="E46" s="303"/>
      <c r="F46" s="303"/>
      <c r="G46" s="304"/>
      <c r="H46" s="258">
        <v>39</v>
      </c>
      <c r="I46" s="259"/>
      <c r="J46" s="260"/>
      <c r="K46" s="180"/>
      <c r="L46" s="181"/>
      <c r="M46" s="181"/>
      <c r="N46" s="181"/>
      <c r="O46" s="181"/>
      <c r="P46" s="182"/>
      <c r="Z46" s="107"/>
    </row>
    <row r="47" spans="1:26" ht="19.5" customHeight="1" x14ac:dyDescent="0.25">
      <c r="A47" s="108"/>
      <c r="B47" s="120"/>
      <c r="C47" s="152"/>
      <c r="D47" s="151"/>
      <c r="E47" s="151"/>
      <c r="F47" s="151"/>
      <c r="G47" s="150"/>
      <c r="H47" s="119"/>
      <c r="I47" s="118"/>
      <c r="J47" s="117"/>
      <c r="K47" s="116"/>
      <c r="L47" s="115"/>
      <c r="M47" s="115"/>
      <c r="N47" s="115"/>
      <c r="O47" s="115"/>
      <c r="P47" s="114"/>
      <c r="Z47" s="107"/>
    </row>
    <row r="48" spans="1:26" ht="19.5" customHeight="1" x14ac:dyDescent="0.25">
      <c r="A48" s="108"/>
      <c r="B48" s="120"/>
      <c r="C48" s="152"/>
      <c r="D48" s="151"/>
      <c r="E48" s="151"/>
      <c r="F48" s="151"/>
      <c r="G48" s="150"/>
      <c r="H48" s="119"/>
      <c r="I48" s="118"/>
      <c r="J48" s="117"/>
      <c r="K48" s="116"/>
      <c r="L48" s="115"/>
      <c r="M48" s="115"/>
      <c r="N48" s="115"/>
      <c r="O48" s="115"/>
      <c r="P48" s="114"/>
      <c r="Z48" s="107"/>
    </row>
    <row r="49" spans="1:26" ht="19.5" customHeight="1" x14ac:dyDescent="0.25">
      <c r="A49" s="108"/>
      <c r="B49" s="120"/>
      <c r="C49" s="152"/>
      <c r="D49" s="151"/>
      <c r="E49" s="151"/>
      <c r="F49" s="151"/>
      <c r="G49" s="150"/>
      <c r="H49" s="119"/>
      <c r="I49" s="118"/>
      <c r="J49" s="117"/>
      <c r="K49" s="116"/>
      <c r="L49" s="115"/>
      <c r="M49" s="115"/>
      <c r="N49" s="115"/>
      <c r="O49" s="115"/>
      <c r="P49" s="114"/>
      <c r="Z49" s="107"/>
    </row>
    <row r="50" spans="1:26" ht="19.5" customHeight="1" x14ac:dyDescent="0.25">
      <c r="A50" s="108"/>
      <c r="B50" s="120"/>
      <c r="C50" s="152"/>
      <c r="D50" s="151"/>
      <c r="E50" s="151"/>
      <c r="F50" s="151"/>
      <c r="G50" s="150"/>
      <c r="H50" s="119"/>
      <c r="I50" s="118"/>
      <c r="J50" s="117"/>
      <c r="K50" s="116"/>
      <c r="L50" s="115"/>
      <c r="M50" s="115"/>
      <c r="N50" s="115"/>
      <c r="O50" s="115"/>
      <c r="P50" s="114"/>
      <c r="Z50" s="107"/>
    </row>
    <row r="51" spans="1:26" ht="19.5" customHeight="1" x14ac:dyDescent="0.25">
      <c r="A51" s="108"/>
      <c r="B51" s="120"/>
      <c r="C51" s="152"/>
      <c r="D51" s="151"/>
      <c r="E51" s="151"/>
      <c r="F51" s="151"/>
      <c r="G51" s="150"/>
      <c r="H51" s="119"/>
      <c r="I51" s="118"/>
      <c r="J51" s="117"/>
      <c r="K51" s="116"/>
      <c r="L51" s="115"/>
      <c r="M51" s="115"/>
      <c r="N51" s="115"/>
      <c r="O51" s="115"/>
      <c r="P51" s="114"/>
      <c r="Z51" s="107"/>
    </row>
    <row r="52" spans="1:26" ht="19.5" customHeight="1" x14ac:dyDescent="0.25">
      <c r="A52" s="108"/>
      <c r="B52" s="120"/>
      <c r="C52" s="152"/>
      <c r="D52" s="151"/>
      <c r="E52" s="151"/>
      <c r="F52" s="151"/>
      <c r="G52" s="150"/>
      <c r="H52" s="119"/>
      <c r="I52" s="118"/>
      <c r="J52" s="117"/>
      <c r="K52" s="116"/>
      <c r="L52" s="115"/>
      <c r="M52" s="115"/>
      <c r="N52" s="115"/>
      <c r="O52" s="115"/>
      <c r="P52" s="114"/>
      <c r="Z52" s="107"/>
    </row>
    <row r="53" spans="1:26" ht="19.5" customHeight="1" x14ac:dyDescent="0.25">
      <c r="A53" s="108"/>
      <c r="B53" s="120"/>
      <c r="C53" s="152"/>
      <c r="D53" s="151"/>
      <c r="E53" s="151"/>
      <c r="F53" s="151"/>
      <c r="G53" s="150"/>
      <c r="H53" s="119"/>
      <c r="I53" s="118"/>
      <c r="J53" s="117"/>
      <c r="K53" s="116"/>
      <c r="L53" s="115"/>
      <c r="M53" s="115"/>
      <c r="N53" s="115"/>
      <c r="O53" s="115"/>
      <c r="P53" s="114"/>
      <c r="Z53" s="107"/>
    </row>
    <row r="54" spans="1:26" ht="19.5" customHeight="1" thickBot="1" x14ac:dyDescent="0.3">
      <c r="A54" s="108"/>
      <c r="B54" s="113"/>
      <c r="C54" s="204"/>
      <c r="D54" s="205"/>
      <c r="E54" s="205"/>
      <c r="F54" s="205"/>
      <c r="G54" s="206"/>
      <c r="H54" s="201"/>
      <c r="I54" s="202"/>
      <c r="J54" s="203"/>
      <c r="K54" s="204"/>
      <c r="L54" s="205"/>
      <c r="M54" s="205"/>
      <c r="N54" s="205"/>
      <c r="O54" s="205"/>
      <c r="P54" s="206"/>
      <c r="Z54" s="107"/>
    </row>
    <row r="55" spans="1:26" ht="15.75" customHeight="1" x14ac:dyDescent="0.25">
      <c r="A55" s="108"/>
      <c r="B55" s="267" t="s">
        <v>35</v>
      </c>
      <c r="C55" s="268"/>
      <c r="D55" s="268"/>
      <c r="E55" s="268"/>
      <c r="F55" s="268"/>
      <c r="G55" s="269"/>
      <c r="H55" s="163">
        <f>AVERAGE(H25:J54)</f>
        <v>35.200000000000003</v>
      </c>
      <c r="I55" s="164"/>
      <c r="J55" s="165"/>
      <c r="K55" s="189" t="s">
        <v>62</v>
      </c>
      <c r="L55" s="190"/>
      <c r="M55" s="183" t="s">
        <v>36</v>
      </c>
      <c r="N55" s="183"/>
      <c r="O55" s="183"/>
      <c r="P55" s="184"/>
      <c r="Z55" s="107"/>
    </row>
    <row r="56" spans="1:26" ht="15.75" customHeight="1" x14ac:dyDescent="0.25">
      <c r="A56" s="108"/>
      <c r="B56" s="261" t="s">
        <v>37</v>
      </c>
      <c r="C56" s="262"/>
      <c r="D56" s="262"/>
      <c r="E56" s="262"/>
      <c r="F56" s="262"/>
      <c r="G56" s="263"/>
      <c r="H56" s="166" t="str">
        <f>IF(COUNTIF(H25:J54,"*&lt;20*"),"&lt;20",MIN(H25:J54))</f>
        <v>&lt;20</v>
      </c>
      <c r="I56" s="167"/>
      <c r="J56" s="168"/>
      <c r="K56" s="191"/>
      <c r="L56" s="192"/>
      <c r="M56" s="185"/>
      <c r="N56" s="185"/>
      <c r="O56" s="185"/>
      <c r="P56" s="186"/>
      <c r="Z56" s="107"/>
    </row>
    <row r="57" spans="1:26" ht="15.75" customHeight="1" thickBot="1" x14ac:dyDescent="0.3">
      <c r="A57" s="108"/>
      <c r="B57" s="264" t="s">
        <v>38</v>
      </c>
      <c r="C57" s="265"/>
      <c r="D57" s="265"/>
      <c r="E57" s="265"/>
      <c r="F57" s="265"/>
      <c r="G57" s="266"/>
      <c r="H57" s="285">
        <f>IF(COUNTIF(H25:J54,"*&gt;250*"),"&gt;250",MAX(H25:J54))</f>
        <v>56</v>
      </c>
      <c r="I57" s="286"/>
      <c r="J57" s="287"/>
      <c r="K57" s="193"/>
      <c r="L57" s="194"/>
      <c r="M57" s="187"/>
      <c r="N57" s="187"/>
      <c r="O57" s="187"/>
      <c r="P57" s="18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39</v>
      </c>
      <c r="B60" s="99" t="s">
        <v>40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249" t="s">
        <v>41</v>
      </c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1"/>
      <c r="R61" s="243" t="s">
        <v>42</v>
      </c>
      <c r="S61" s="244"/>
      <c r="T61" s="245"/>
      <c r="U61" s="270" t="s">
        <v>12</v>
      </c>
      <c r="V61" s="271"/>
      <c r="W61" s="271"/>
      <c r="X61" s="272"/>
      <c r="Y61" s="272"/>
      <c r="Z61" s="273"/>
    </row>
    <row r="62" spans="1:26" s="76" customFormat="1" ht="15.6" customHeight="1" x14ac:dyDescent="0.25">
      <c r="A62" s="252" t="s">
        <v>61</v>
      </c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  <c r="Q62" s="254"/>
      <c r="R62" s="243" t="s">
        <v>43</v>
      </c>
      <c r="S62" s="244"/>
      <c r="T62" s="245"/>
      <c r="U62" s="274" t="s">
        <v>44</v>
      </c>
      <c r="V62" s="275"/>
      <c r="W62" s="275"/>
      <c r="X62" s="276"/>
      <c r="Y62" s="276"/>
      <c r="Z62" s="277"/>
    </row>
    <row r="63" spans="1:26" s="76" customFormat="1" ht="15.6" customHeight="1" x14ac:dyDescent="0.25">
      <c r="A63" s="255"/>
      <c r="B63" s="256"/>
      <c r="C63" s="256"/>
      <c r="D63" s="256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7"/>
      <c r="R63" s="243"/>
      <c r="S63" s="244"/>
      <c r="T63" s="245"/>
      <c r="U63" s="278"/>
      <c r="V63" s="185"/>
      <c r="W63" s="185"/>
      <c r="X63" s="279"/>
      <c r="Y63" s="279"/>
      <c r="Z63" s="280"/>
    </row>
    <row r="64" spans="1:26" s="76" customFormat="1" ht="15.6" customHeight="1" x14ac:dyDescent="0.25">
      <c r="A64" s="91" t="s">
        <v>45</v>
      </c>
      <c r="B64" s="90" t="s">
        <v>46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243"/>
      <c r="S64" s="244"/>
      <c r="T64" s="245"/>
      <c r="U64" s="281"/>
      <c r="V64" s="282"/>
      <c r="W64" s="282"/>
      <c r="X64" s="283"/>
      <c r="Y64" s="283"/>
      <c r="Z64" s="284"/>
    </row>
    <row r="65" spans="1:26" s="76" customFormat="1" ht="15.6" customHeight="1" x14ac:dyDescent="0.25">
      <c r="A65" s="237"/>
      <c r="B65" s="238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9"/>
      <c r="R65" s="243" t="s">
        <v>47</v>
      </c>
      <c r="S65" s="244"/>
      <c r="T65" s="245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237"/>
      <c r="B66" s="238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9"/>
      <c r="R66" s="243"/>
      <c r="S66" s="244"/>
      <c r="T66" s="245"/>
      <c r="U66" s="84"/>
      <c r="V66" s="185"/>
      <c r="W66" s="185"/>
      <c r="X66" s="185"/>
      <c r="Y66" s="185"/>
      <c r="Z66" s="83"/>
    </row>
    <row r="67" spans="1:26" s="76" customFormat="1" ht="15.6" customHeight="1" x14ac:dyDescent="0.25">
      <c r="A67" s="237"/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9"/>
      <c r="R67" s="243"/>
      <c r="S67" s="244"/>
      <c r="T67" s="245"/>
      <c r="U67" s="84"/>
      <c r="V67" s="185"/>
      <c r="W67" s="185"/>
      <c r="X67" s="185"/>
      <c r="Y67" s="185"/>
      <c r="Z67" s="83"/>
    </row>
    <row r="68" spans="1:26" s="76" customFormat="1" ht="15.6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2"/>
      <c r="R68" s="246"/>
      <c r="S68" s="247"/>
      <c r="T68" s="248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101">
    <mergeCell ref="H46:J46"/>
    <mergeCell ref="K46:P46"/>
    <mergeCell ref="C25:G35"/>
    <mergeCell ref="C36:G46"/>
    <mergeCell ref="H44:J44"/>
    <mergeCell ref="K44:P44"/>
    <mergeCell ref="H45:J45"/>
    <mergeCell ref="K45:P45"/>
    <mergeCell ref="H42:J42"/>
    <mergeCell ref="K42:P42"/>
    <mergeCell ref="H36:J36"/>
    <mergeCell ref="K36:P36"/>
    <mergeCell ref="H37:J37"/>
    <mergeCell ref="K37:P37"/>
    <mergeCell ref="H43:J43"/>
    <mergeCell ref="K43:P43"/>
    <mergeCell ref="H40:J40"/>
    <mergeCell ref="K40:P40"/>
    <mergeCell ref="H41:J41"/>
    <mergeCell ref="K41:P41"/>
    <mergeCell ref="U61:Z61"/>
    <mergeCell ref="U62:Z64"/>
    <mergeCell ref="N12:R12"/>
    <mergeCell ref="H12:M12"/>
    <mergeCell ref="H27:J27"/>
    <mergeCell ref="K27:P27"/>
    <mergeCell ref="H57:J57"/>
    <mergeCell ref="V66:Y67"/>
    <mergeCell ref="I18:J18"/>
    <mergeCell ref="H25:J25"/>
    <mergeCell ref="H24:J24"/>
    <mergeCell ref="H23:J23"/>
    <mergeCell ref="B18:H18"/>
    <mergeCell ref="B23:B24"/>
    <mergeCell ref="C23:G24"/>
    <mergeCell ref="J21:P21"/>
    <mergeCell ref="C54:G54"/>
    <mergeCell ref="H30:J30"/>
    <mergeCell ref="K30:P30"/>
    <mergeCell ref="H31:J31"/>
    <mergeCell ref="K31:P31"/>
    <mergeCell ref="H28:J28"/>
    <mergeCell ref="K28:P28"/>
    <mergeCell ref="H29:J29"/>
    <mergeCell ref="A65:Q68"/>
    <mergeCell ref="R65:T68"/>
    <mergeCell ref="A61:Q61"/>
    <mergeCell ref="R61:T61"/>
    <mergeCell ref="A62:Q63"/>
    <mergeCell ref="R62:T64"/>
    <mergeCell ref="H26:J26"/>
    <mergeCell ref="K26:P26"/>
    <mergeCell ref="B56:G56"/>
    <mergeCell ref="B57:G57"/>
    <mergeCell ref="B55:G55"/>
    <mergeCell ref="K29:P29"/>
    <mergeCell ref="H34:J34"/>
    <mergeCell ref="K34:P34"/>
    <mergeCell ref="H35:J35"/>
    <mergeCell ref="K35:P35"/>
    <mergeCell ref="H32:J32"/>
    <mergeCell ref="K32:P32"/>
    <mergeCell ref="H33:J33"/>
    <mergeCell ref="K33:P33"/>
    <mergeCell ref="H38:J38"/>
    <mergeCell ref="K38:P38"/>
    <mergeCell ref="H39:J39"/>
    <mergeCell ref="K39:P39"/>
    <mergeCell ref="S10:Y10"/>
    <mergeCell ref="N10:R10"/>
    <mergeCell ref="G2:T4"/>
    <mergeCell ref="G5:H5"/>
    <mergeCell ref="A7:F7"/>
    <mergeCell ref="G7:Z7"/>
    <mergeCell ref="H10:M10"/>
    <mergeCell ref="H11:M11"/>
    <mergeCell ref="N11:R11"/>
    <mergeCell ref="H55:J55"/>
    <mergeCell ref="H56:J56"/>
    <mergeCell ref="B17:H17"/>
    <mergeCell ref="B12:G12"/>
    <mergeCell ref="B11:G1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I5:K5"/>
    <mergeCell ref="I6:K6"/>
    <mergeCell ref="L5:O5"/>
    <mergeCell ref="P5:T5"/>
    <mergeCell ref="L6:O6"/>
    <mergeCell ref="P6:T6"/>
    <mergeCell ref="A1:F6"/>
    <mergeCell ref="G1:T1"/>
    <mergeCell ref="B10:G10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15FC-02A9-4638-B7FC-BB4D723649F7}">
  <sheetPr>
    <pageSetUpPr fitToPage="1"/>
  </sheetPr>
  <dimension ref="A1:AA76"/>
  <sheetViews>
    <sheetView topLeftCell="A11" workbookViewId="0">
      <selection activeCell="A62" sqref="A62:Q63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217"/>
      <c r="B1" s="218"/>
      <c r="C1" s="218"/>
      <c r="D1" s="218"/>
      <c r="E1" s="218"/>
      <c r="F1" s="219"/>
      <c r="G1" s="226" t="s">
        <v>0</v>
      </c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8"/>
      <c r="U1" s="171" t="s">
        <v>48</v>
      </c>
      <c r="V1" s="172"/>
      <c r="W1" s="172"/>
      <c r="X1" s="172"/>
      <c r="Y1" s="172"/>
      <c r="Z1" s="173"/>
    </row>
    <row r="2" spans="1:26" ht="12.75" customHeight="1" x14ac:dyDescent="0.25">
      <c r="A2" s="220"/>
      <c r="B2" s="221"/>
      <c r="C2" s="221"/>
      <c r="D2" s="221"/>
      <c r="E2" s="221"/>
      <c r="F2" s="222"/>
      <c r="G2" s="229" t="s">
        <v>1</v>
      </c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1"/>
      <c r="U2" s="174"/>
      <c r="V2" s="175"/>
      <c r="W2" s="175"/>
      <c r="X2" s="175"/>
      <c r="Y2" s="175"/>
      <c r="Z2" s="176"/>
    </row>
    <row r="3" spans="1:26" ht="12.75" customHeight="1" x14ac:dyDescent="0.25">
      <c r="A3" s="220"/>
      <c r="B3" s="221"/>
      <c r="C3" s="221"/>
      <c r="D3" s="221"/>
      <c r="E3" s="221"/>
      <c r="F3" s="222"/>
      <c r="G3" s="229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0"/>
      <c r="T3" s="231"/>
      <c r="U3" s="174"/>
      <c r="V3" s="175"/>
      <c r="W3" s="175"/>
      <c r="X3" s="175"/>
      <c r="Y3" s="175"/>
      <c r="Z3" s="176"/>
    </row>
    <row r="4" spans="1:26" ht="12.75" customHeight="1" x14ac:dyDescent="0.25">
      <c r="A4" s="220"/>
      <c r="B4" s="221"/>
      <c r="C4" s="221"/>
      <c r="D4" s="221"/>
      <c r="E4" s="221"/>
      <c r="F4" s="222"/>
      <c r="G4" s="229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1"/>
      <c r="U4" s="174"/>
      <c r="V4" s="175"/>
      <c r="W4" s="175"/>
      <c r="X4" s="175"/>
      <c r="Y4" s="175"/>
      <c r="Z4" s="176"/>
    </row>
    <row r="5" spans="1:26" ht="12.75" customHeight="1" x14ac:dyDescent="0.25">
      <c r="A5" s="220"/>
      <c r="B5" s="221"/>
      <c r="C5" s="221"/>
      <c r="D5" s="221"/>
      <c r="E5" s="221"/>
      <c r="F5" s="222"/>
      <c r="G5" s="232" t="s">
        <v>2</v>
      </c>
      <c r="H5" s="233"/>
      <c r="I5" s="207">
        <v>4</v>
      </c>
      <c r="J5" s="207"/>
      <c r="K5" s="208"/>
      <c r="L5" s="210" t="s">
        <v>49</v>
      </c>
      <c r="M5" s="211"/>
      <c r="N5" s="211"/>
      <c r="O5" s="212"/>
      <c r="P5" s="213" t="s">
        <v>60</v>
      </c>
      <c r="Q5" s="214"/>
      <c r="R5" s="214"/>
      <c r="S5" s="214"/>
      <c r="T5" s="215"/>
      <c r="U5" s="174"/>
      <c r="V5" s="175"/>
      <c r="W5" s="175"/>
      <c r="X5" s="175"/>
      <c r="Y5" s="175"/>
      <c r="Z5" s="176"/>
    </row>
    <row r="6" spans="1:26" ht="12.75" customHeight="1" x14ac:dyDescent="0.25">
      <c r="A6" s="223"/>
      <c r="B6" s="224"/>
      <c r="C6" s="224"/>
      <c r="D6" s="224"/>
      <c r="E6" s="224"/>
      <c r="F6" s="225"/>
      <c r="G6" s="149"/>
      <c r="H6" s="104"/>
      <c r="I6" s="209" t="s">
        <v>4</v>
      </c>
      <c r="J6" s="209"/>
      <c r="K6" s="209"/>
      <c r="L6" s="209" t="s">
        <v>5</v>
      </c>
      <c r="M6" s="209"/>
      <c r="N6" s="209"/>
      <c r="O6" s="209"/>
      <c r="P6" s="209" t="s">
        <v>6</v>
      </c>
      <c r="Q6" s="209"/>
      <c r="R6" s="209"/>
      <c r="S6" s="209"/>
      <c r="T6" s="216"/>
      <c r="U6" s="177"/>
      <c r="V6" s="178"/>
      <c r="W6" s="178"/>
      <c r="X6" s="178"/>
      <c r="Y6" s="178"/>
      <c r="Z6" s="179"/>
    </row>
    <row r="7" spans="1:26" ht="36.6" customHeight="1" x14ac:dyDescent="0.25">
      <c r="A7" s="234" t="s">
        <v>7</v>
      </c>
      <c r="B7" s="234"/>
      <c r="C7" s="234"/>
      <c r="D7" s="234"/>
      <c r="E7" s="234"/>
      <c r="F7" s="234"/>
      <c r="G7" s="235" t="s">
        <v>8</v>
      </c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</row>
    <row r="8" spans="1:26" ht="15.9" customHeight="1" x14ac:dyDescent="0.25">
      <c r="A8" s="128" t="s">
        <v>9</v>
      </c>
      <c r="B8" s="99" t="s">
        <v>10</v>
      </c>
      <c r="C8" s="96"/>
      <c r="D8" s="148"/>
      <c r="E8" s="148"/>
      <c r="F8" s="148"/>
      <c r="G8" s="148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4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170" t="s">
        <v>11</v>
      </c>
      <c r="C10" s="170"/>
      <c r="D10" s="170"/>
      <c r="E10" s="170"/>
      <c r="F10" s="170"/>
      <c r="G10" s="170"/>
      <c r="H10" s="236" t="s">
        <v>12</v>
      </c>
      <c r="I10" s="236"/>
      <c r="J10" s="236"/>
      <c r="K10" s="236"/>
      <c r="L10" s="236"/>
      <c r="M10" s="236"/>
      <c r="N10" s="170" t="s">
        <v>13</v>
      </c>
      <c r="O10" s="170"/>
      <c r="P10" s="170"/>
      <c r="Q10" s="170"/>
      <c r="R10" s="170"/>
      <c r="S10" s="195" t="s">
        <v>52</v>
      </c>
      <c r="T10" s="195"/>
      <c r="U10" s="195"/>
      <c r="V10" s="195"/>
      <c r="W10" s="195"/>
      <c r="X10" s="195"/>
      <c r="Y10" s="195"/>
      <c r="Z10" s="147"/>
    </row>
    <row r="11" spans="1:26" ht="15.9" customHeight="1" x14ac:dyDescent="0.25">
      <c r="A11" s="108"/>
      <c r="B11" s="170" t="s">
        <v>14</v>
      </c>
      <c r="C11" s="170"/>
      <c r="D11" s="170"/>
      <c r="E11" s="170"/>
      <c r="F11" s="170"/>
      <c r="G11" s="170"/>
      <c r="H11" s="236" t="s">
        <v>60</v>
      </c>
      <c r="I11" s="236"/>
      <c r="J11" s="236"/>
      <c r="K11" s="236"/>
      <c r="L11" s="236"/>
      <c r="M11" s="236"/>
      <c r="N11" s="170" t="s">
        <v>15</v>
      </c>
      <c r="O11" s="170"/>
      <c r="P11" s="170"/>
      <c r="Q11" s="170"/>
      <c r="R11" s="170"/>
      <c r="S11" s="195" t="s">
        <v>59</v>
      </c>
      <c r="T11" s="195"/>
      <c r="U11" s="195"/>
      <c r="V11" s="195"/>
      <c r="W11" s="195"/>
      <c r="X11" s="195"/>
      <c r="Y11" s="195"/>
      <c r="Z11" s="147"/>
    </row>
    <row r="12" spans="1:26" ht="15.9" customHeight="1" x14ac:dyDescent="0.25">
      <c r="A12" s="108"/>
      <c r="B12" s="170" t="s">
        <v>17</v>
      </c>
      <c r="C12" s="170"/>
      <c r="D12" s="170"/>
      <c r="E12" s="170"/>
      <c r="F12" s="170"/>
      <c r="G12" s="170"/>
      <c r="H12" s="236" t="s">
        <v>58</v>
      </c>
      <c r="I12" s="236"/>
      <c r="J12" s="236"/>
      <c r="K12" s="236"/>
      <c r="L12" s="236"/>
      <c r="M12" s="236"/>
      <c r="N12" s="170" t="s">
        <v>18</v>
      </c>
      <c r="O12" s="170"/>
      <c r="P12" s="170"/>
      <c r="Q12" s="170"/>
      <c r="R12" s="170"/>
      <c r="S12" s="195" t="s">
        <v>19</v>
      </c>
      <c r="T12" s="195"/>
      <c r="U12" s="195"/>
      <c r="V12" s="195"/>
      <c r="W12" s="195"/>
      <c r="X12" s="195"/>
      <c r="Y12" s="195"/>
      <c r="Z12" s="147"/>
    </row>
    <row r="13" spans="1:26" ht="8.25" customHeight="1" x14ac:dyDescent="0.25">
      <c r="A13" s="146"/>
      <c r="B13" s="104"/>
      <c r="C13" s="104"/>
      <c r="D13" s="145"/>
      <c r="E13" s="145"/>
      <c r="F13" s="145"/>
      <c r="G13" s="145"/>
      <c r="H13" s="104"/>
      <c r="I13" s="104"/>
      <c r="J13" s="104"/>
      <c r="K13" s="104"/>
      <c r="L13" s="104"/>
      <c r="M13" s="104"/>
      <c r="N13" s="14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42"/>
      <c r="C14" s="142"/>
      <c r="K14" s="143"/>
      <c r="L14" s="142"/>
      <c r="M14" s="141"/>
    </row>
    <row r="15" spans="1:26" s="76" customFormat="1" ht="15.6" customHeight="1" x14ac:dyDescent="0.25">
      <c r="A15" s="128" t="s">
        <v>20</v>
      </c>
      <c r="B15" s="140" t="s">
        <v>21</v>
      </c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8"/>
    </row>
    <row r="16" spans="1:26" s="76" customFormat="1" ht="15" customHeight="1" x14ac:dyDescent="0.25">
      <c r="A16" s="135"/>
      <c r="B16" s="137"/>
      <c r="Z16" s="136"/>
    </row>
    <row r="17" spans="1:26" s="76" customFormat="1" ht="15" customHeight="1" x14ac:dyDescent="0.25">
      <c r="A17" s="135"/>
      <c r="B17" s="169" t="s">
        <v>22</v>
      </c>
      <c r="C17" s="169"/>
      <c r="D17" s="169"/>
      <c r="E17" s="169"/>
      <c r="F17" s="169"/>
      <c r="G17" s="169"/>
      <c r="H17" s="169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133"/>
    </row>
    <row r="18" spans="1:26" s="76" customFormat="1" ht="15" customHeight="1" x14ac:dyDescent="0.25">
      <c r="A18" s="135"/>
      <c r="B18" s="169" t="s">
        <v>23</v>
      </c>
      <c r="C18" s="169"/>
      <c r="D18" s="169"/>
      <c r="E18" s="169"/>
      <c r="F18" s="169"/>
      <c r="G18" s="169"/>
      <c r="H18" s="169"/>
      <c r="I18" s="288" t="s">
        <v>24</v>
      </c>
      <c r="J18" s="288"/>
      <c r="K18" s="134">
        <v>50</v>
      </c>
      <c r="L18" s="134" t="s">
        <v>25</v>
      </c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3"/>
    </row>
    <row r="19" spans="1:26" s="76" customFormat="1" ht="13.2" customHeight="1" x14ac:dyDescent="0.25">
      <c r="A19" s="132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0"/>
    </row>
    <row r="20" spans="1:26" ht="12.75" customHeight="1" x14ac:dyDescent="0.25">
      <c r="D20" s="75"/>
      <c r="E20" s="75"/>
      <c r="F20" s="75"/>
      <c r="G20" s="75"/>
      <c r="N20" s="129"/>
    </row>
    <row r="21" spans="1:26" ht="15.9" customHeight="1" x14ac:dyDescent="0.25">
      <c r="A21" s="128" t="s">
        <v>26</v>
      </c>
      <c r="B21" s="127" t="s">
        <v>27</v>
      </c>
      <c r="C21" s="125"/>
      <c r="D21" s="126"/>
      <c r="E21" s="126"/>
      <c r="F21" s="126"/>
      <c r="G21" s="126"/>
      <c r="H21" s="125"/>
      <c r="I21" s="125"/>
      <c r="J21" s="297" t="s">
        <v>28</v>
      </c>
      <c r="K21" s="297"/>
      <c r="L21" s="297"/>
      <c r="M21" s="297"/>
      <c r="N21" s="297"/>
      <c r="O21" s="297"/>
      <c r="P21" s="297"/>
      <c r="Q21" s="122">
        <v>600</v>
      </c>
      <c r="R21" s="96"/>
      <c r="S21" s="96"/>
      <c r="T21" s="96"/>
      <c r="U21" s="96"/>
      <c r="V21" s="96"/>
      <c r="W21" s="96"/>
      <c r="X21" s="96"/>
      <c r="Y21" s="96"/>
      <c r="Z21" s="124"/>
    </row>
    <row r="22" spans="1:26" ht="12.75" customHeight="1" x14ac:dyDescent="0.25">
      <c r="A22" s="108"/>
      <c r="B22" s="123"/>
      <c r="Z22" s="107"/>
    </row>
    <row r="23" spans="1:26" ht="15.75" customHeight="1" x14ac:dyDescent="0.25">
      <c r="A23" s="108"/>
      <c r="B23" s="295" t="s">
        <v>29</v>
      </c>
      <c r="C23" s="196" t="s">
        <v>30</v>
      </c>
      <c r="D23" s="196"/>
      <c r="E23" s="196"/>
      <c r="F23" s="196"/>
      <c r="G23" s="197"/>
      <c r="H23" s="292" t="s">
        <v>31</v>
      </c>
      <c r="I23" s="293"/>
      <c r="J23" s="294"/>
      <c r="K23" s="196" t="s">
        <v>32</v>
      </c>
      <c r="L23" s="196"/>
      <c r="M23" s="196"/>
      <c r="N23" s="196"/>
      <c r="O23" s="196"/>
      <c r="P23" s="197"/>
      <c r="Z23" s="107"/>
    </row>
    <row r="24" spans="1:26" ht="15.75" customHeight="1" x14ac:dyDescent="0.25">
      <c r="A24" s="108"/>
      <c r="B24" s="296"/>
      <c r="C24" s="198"/>
      <c r="D24" s="198"/>
      <c r="E24" s="198"/>
      <c r="F24" s="198"/>
      <c r="G24" s="199"/>
      <c r="H24" s="289" t="s">
        <v>33</v>
      </c>
      <c r="I24" s="290"/>
      <c r="J24" s="291"/>
      <c r="K24" s="198"/>
      <c r="L24" s="198"/>
      <c r="M24" s="198"/>
      <c r="N24" s="198"/>
      <c r="O24" s="198"/>
      <c r="P24" s="199"/>
      <c r="Z24" s="107"/>
    </row>
    <row r="25" spans="1:26" ht="19.5" customHeight="1" x14ac:dyDescent="0.25">
      <c r="A25" s="108"/>
      <c r="B25" s="121">
        <v>1</v>
      </c>
      <c r="C25" s="180"/>
      <c r="D25" s="181"/>
      <c r="E25" s="181"/>
      <c r="F25" s="181"/>
      <c r="G25" s="182"/>
      <c r="H25" s="258">
        <v>82</v>
      </c>
      <c r="I25" s="259"/>
      <c r="J25" s="260"/>
      <c r="K25" s="306" t="s">
        <v>57</v>
      </c>
      <c r="L25" s="307"/>
      <c r="M25" s="307"/>
      <c r="N25" s="307"/>
      <c r="O25" s="307">
        <v>76</v>
      </c>
      <c r="P25" s="308"/>
      <c r="Z25" s="107"/>
    </row>
    <row r="26" spans="1:26" ht="19.5" customHeight="1" x14ac:dyDescent="0.25">
      <c r="A26" s="108"/>
      <c r="B26" s="121">
        <v>2</v>
      </c>
      <c r="C26" s="180"/>
      <c r="D26" s="181"/>
      <c r="E26" s="181"/>
      <c r="F26" s="181"/>
      <c r="G26" s="182"/>
      <c r="H26" s="258">
        <v>29</v>
      </c>
      <c r="I26" s="259"/>
      <c r="J26" s="260"/>
      <c r="K26" s="306" t="s">
        <v>57</v>
      </c>
      <c r="L26" s="307"/>
      <c r="M26" s="307"/>
      <c r="N26" s="307"/>
      <c r="O26" s="181">
        <v>25</v>
      </c>
      <c r="P26" s="182"/>
      <c r="Z26" s="107"/>
    </row>
    <row r="27" spans="1:26" ht="19.5" customHeight="1" x14ac:dyDescent="0.25">
      <c r="A27" s="108"/>
      <c r="B27" s="121">
        <v>3</v>
      </c>
      <c r="C27" s="180"/>
      <c r="D27" s="181"/>
      <c r="E27" s="181"/>
      <c r="F27" s="181"/>
      <c r="G27" s="182"/>
      <c r="H27" s="258">
        <v>37</v>
      </c>
      <c r="I27" s="259"/>
      <c r="J27" s="260"/>
      <c r="K27" s="306" t="s">
        <v>57</v>
      </c>
      <c r="L27" s="307"/>
      <c r="M27" s="307"/>
      <c r="N27" s="307"/>
      <c r="O27" s="181">
        <v>39</v>
      </c>
      <c r="P27" s="182"/>
      <c r="Z27" s="107"/>
    </row>
    <row r="28" spans="1:26" ht="19.5" customHeight="1" x14ac:dyDescent="0.25">
      <c r="A28" s="108"/>
      <c r="B28" s="121">
        <v>4</v>
      </c>
      <c r="C28" s="180"/>
      <c r="D28" s="181"/>
      <c r="E28" s="181"/>
      <c r="F28" s="181"/>
      <c r="G28" s="182"/>
      <c r="H28" s="258">
        <v>70</v>
      </c>
      <c r="I28" s="259"/>
      <c r="J28" s="260"/>
      <c r="K28" s="306" t="s">
        <v>57</v>
      </c>
      <c r="L28" s="307"/>
      <c r="M28" s="307"/>
      <c r="N28" s="307"/>
      <c r="O28" s="181">
        <v>47</v>
      </c>
      <c r="P28" s="182"/>
      <c r="Z28" s="107"/>
    </row>
    <row r="29" spans="1:26" ht="19.5" customHeight="1" x14ac:dyDescent="0.25">
      <c r="A29" s="108"/>
      <c r="B29" s="121">
        <v>5</v>
      </c>
      <c r="C29" s="180"/>
      <c r="D29" s="181"/>
      <c r="E29" s="181"/>
      <c r="F29" s="181"/>
      <c r="G29" s="182"/>
      <c r="H29" s="258">
        <v>27</v>
      </c>
      <c r="I29" s="259"/>
      <c r="J29" s="260"/>
      <c r="K29" s="306" t="s">
        <v>57</v>
      </c>
      <c r="L29" s="307"/>
      <c r="M29" s="307"/>
      <c r="N29" s="307"/>
      <c r="O29" s="181">
        <v>28</v>
      </c>
      <c r="P29" s="182"/>
      <c r="Z29" s="107"/>
    </row>
    <row r="30" spans="1:26" ht="19.5" customHeight="1" x14ac:dyDescent="0.25">
      <c r="A30" s="108"/>
      <c r="B30" s="121">
        <v>6</v>
      </c>
      <c r="C30" s="180"/>
      <c r="D30" s="181"/>
      <c r="E30" s="181"/>
      <c r="F30" s="181"/>
      <c r="G30" s="182"/>
      <c r="H30" s="258" t="s">
        <v>34</v>
      </c>
      <c r="I30" s="259"/>
      <c r="J30" s="260"/>
      <c r="K30" s="306" t="s">
        <v>57</v>
      </c>
      <c r="L30" s="307"/>
      <c r="M30" s="307"/>
      <c r="N30" s="307"/>
      <c r="O30" s="181" t="s">
        <v>34</v>
      </c>
      <c r="P30" s="182"/>
      <c r="Z30" s="107"/>
    </row>
    <row r="31" spans="1:26" ht="19.5" customHeight="1" x14ac:dyDescent="0.25">
      <c r="A31" s="108"/>
      <c r="B31" s="121">
        <v>7</v>
      </c>
      <c r="C31" s="180"/>
      <c r="D31" s="181"/>
      <c r="E31" s="181"/>
      <c r="F31" s="181"/>
      <c r="G31" s="182"/>
      <c r="H31" s="258">
        <v>27</v>
      </c>
      <c r="I31" s="259"/>
      <c r="J31" s="260"/>
      <c r="K31" s="306" t="s">
        <v>57</v>
      </c>
      <c r="L31" s="307"/>
      <c r="M31" s="307"/>
      <c r="N31" s="307"/>
      <c r="O31" s="181">
        <v>24</v>
      </c>
      <c r="P31" s="182"/>
      <c r="Z31" s="107"/>
    </row>
    <row r="32" spans="1:26" ht="19.5" customHeight="1" x14ac:dyDescent="0.25">
      <c r="A32" s="108"/>
      <c r="B32" s="121">
        <v>8</v>
      </c>
      <c r="C32" s="180"/>
      <c r="D32" s="181"/>
      <c r="E32" s="181"/>
      <c r="F32" s="181"/>
      <c r="G32" s="182"/>
      <c r="H32" s="258">
        <v>103</v>
      </c>
      <c r="I32" s="259"/>
      <c r="J32" s="260"/>
      <c r="K32" s="306" t="s">
        <v>57</v>
      </c>
      <c r="L32" s="307"/>
      <c r="M32" s="307"/>
      <c r="N32" s="307"/>
      <c r="O32" s="181">
        <v>69</v>
      </c>
      <c r="P32" s="182"/>
      <c r="Z32" s="107"/>
    </row>
    <row r="33" spans="1:26" ht="19.5" customHeight="1" x14ac:dyDescent="0.25">
      <c r="A33" s="108"/>
      <c r="B33" s="121">
        <v>9</v>
      </c>
      <c r="C33" s="180"/>
      <c r="D33" s="181"/>
      <c r="E33" s="181"/>
      <c r="F33" s="181"/>
      <c r="G33" s="182"/>
      <c r="H33" s="258">
        <v>94</v>
      </c>
      <c r="I33" s="259"/>
      <c r="J33" s="260"/>
      <c r="K33" s="306" t="s">
        <v>57</v>
      </c>
      <c r="L33" s="307"/>
      <c r="M33" s="307"/>
      <c r="N33" s="307"/>
      <c r="O33" s="181">
        <v>83</v>
      </c>
      <c r="P33" s="182"/>
      <c r="Z33" s="107"/>
    </row>
    <row r="34" spans="1:26" ht="19.5" customHeight="1" x14ac:dyDescent="0.25">
      <c r="A34" s="108"/>
      <c r="B34" s="121">
        <v>10</v>
      </c>
      <c r="C34" s="180"/>
      <c r="D34" s="181"/>
      <c r="E34" s="181"/>
      <c r="F34" s="181"/>
      <c r="G34" s="182"/>
      <c r="H34" s="258">
        <v>28</v>
      </c>
      <c r="I34" s="259"/>
      <c r="J34" s="260"/>
      <c r="K34" s="306" t="s">
        <v>57</v>
      </c>
      <c r="L34" s="307"/>
      <c r="M34" s="307"/>
      <c r="N34" s="307"/>
      <c r="O34" s="181">
        <v>30</v>
      </c>
      <c r="P34" s="182"/>
      <c r="Z34" s="107"/>
    </row>
    <row r="35" spans="1:26" ht="19.5" customHeight="1" x14ac:dyDescent="0.25">
      <c r="A35" s="108"/>
      <c r="B35" s="120"/>
      <c r="C35" s="116"/>
      <c r="D35" s="115"/>
      <c r="E35" s="115"/>
      <c r="F35" s="115"/>
      <c r="G35" s="114"/>
      <c r="H35" s="119"/>
      <c r="I35" s="118"/>
      <c r="J35" s="117"/>
      <c r="K35" s="116"/>
      <c r="L35" s="115"/>
      <c r="M35" s="115"/>
      <c r="N35" s="115"/>
      <c r="O35" s="115"/>
      <c r="P35" s="114"/>
      <c r="Z35" s="107"/>
    </row>
    <row r="36" spans="1:26" ht="19.5" customHeight="1" x14ac:dyDescent="0.25">
      <c r="A36" s="108"/>
      <c r="B36" s="120"/>
      <c r="C36" s="116"/>
      <c r="D36" s="115"/>
      <c r="E36" s="115"/>
      <c r="F36" s="115"/>
      <c r="G36" s="114"/>
      <c r="H36" s="119"/>
      <c r="I36" s="118"/>
      <c r="J36" s="117"/>
      <c r="K36" s="116"/>
      <c r="L36" s="115"/>
      <c r="M36" s="115"/>
      <c r="N36" s="115"/>
      <c r="O36" s="115"/>
      <c r="P36" s="114"/>
      <c r="Z36" s="107"/>
    </row>
    <row r="37" spans="1:26" ht="19.5" customHeight="1" x14ac:dyDescent="0.25">
      <c r="A37" s="108"/>
      <c r="B37" s="120"/>
      <c r="C37" s="116"/>
      <c r="D37" s="115"/>
      <c r="E37" s="115"/>
      <c r="F37" s="115"/>
      <c r="G37" s="114"/>
      <c r="H37" s="119"/>
      <c r="I37" s="118"/>
      <c r="J37" s="117"/>
      <c r="K37" s="116"/>
      <c r="L37" s="115"/>
      <c r="M37" s="115"/>
      <c r="N37" s="115"/>
      <c r="O37" s="115"/>
      <c r="P37" s="114"/>
      <c r="Z37" s="107"/>
    </row>
    <row r="38" spans="1:26" ht="19.5" customHeight="1" x14ac:dyDescent="0.25">
      <c r="A38" s="108"/>
      <c r="B38" s="120"/>
      <c r="C38" s="116"/>
      <c r="D38" s="115"/>
      <c r="E38" s="115"/>
      <c r="F38" s="115"/>
      <c r="G38" s="114"/>
      <c r="H38" s="119"/>
      <c r="I38" s="118"/>
      <c r="J38" s="117"/>
      <c r="K38" s="116"/>
      <c r="L38" s="115"/>
      <c r="M38" s="115"/>
      <c r="N38" s="115"/>
      <c r="O38" s="115"/>
      <c r="P38" s="114"/>
      <c r="Z38" s="107"/>
    </row>
    <row r="39" spans="1:26" ht="19.5" customHeight="1" x14ac:dyDescent="0.25">
      <c r="A39" s="108"/>
      <c r="B39" s="120"/>
      <c r="C39" s="116"/>
      <c r="D39" s="115"/>
      <c r="E39" s="115"/>
      <c r="F39" s="115"/>
      <c r="G39" s="114"/>
      <c r="H39" s="119"/>
      <c r="I39" s="118"/>
      <c r="J39" s="117"/>
      <c r="K39" s="116"/>
      <c r="L39" s="115"/>
      <c r="M39" s="115"/>
      <c r="N39" s="115"/>
      <c r="O39" s="115"/>
      <c r="P39" s="114"/>
      <c r="Z39" s="107"/>
    </row>
    <row r="40" spans="1:26" ht="19.5" customHeight="1" x14ac:dyDescent="0.25">
      <c r="A40" s="108"/>
      <c r="B40" s="120"/>
      <c r="C40" s="116"/>
      <c r="D40" s="115"/>
      <c r="E40" s="115"/>
      <c r="F40" s="115"/>
      <c r="G40" s="114"/>
      <c r="H40" s="119"/>
      <c r="I40" s="118"/>
      <c r="J40" s="117"/>
      <c r="K40" s="116"/>
      <c r="L40" s="115"/>
      <c r="M40" s="115"/>
      <c r="N40" s="115"/>
      <c r="O40" s="115"/>
      <c r="P40" s="114"/>
      <c r="Z40" s="107"/>
    </row>
    <row r="41" spans="1:26" ht="19.5" customHeight="1" x14ac:dyDescent="0.25">
      <c r="A41" s="108"/>
      <c r="B41" s="120"/>
      <c r="C41" s="116"/>
      <c r="D41" s="115"/>
      <c r="E41" s="115"/>
      <c r="F41" s="115"/>
      <c r="G41" s="114"/>
      <c r="H41" s="119"/>
      <c r="I41" s="118"/>
      <c r="J41" s="117"/>
      <c r="K41" s="116"/>
      <c r="L41" s="115"/>
      <c r="M41" s="115"/>
      <c r="N41" s="115"/>
      <c r="O41" s="115"/>
      <c r="P41" s="114"/>
      <c r="Z41" s="107"/>
    </row>
    <row r="42" spans="1:26" ht="19.5" customHeight="1" x14ac:dyDescent="0.25">
      <c r="A42" s="108"/>
      <c r="B42" s="120"/>
      <c r="C42" s="116"/>
      <c r="D42" s="115"/>
      <c r="E42" s="115"/>
      <c r="F42" s="115"/>
      <c r="G42" s="114"/>
      <c r="H42" s="119"/>
      <c r="I42" s="118"/>
      <c r="J42" s="117"/>
      <c r="K42" s="116"/>
      <c r="L42" s="115"/>
      <c r="M42" s="115"/>
      <c r="N42" s="115"/>
      <c r="O42" s="115"/>
      <c r="P42" s="114"/>
      <c r="Z42" s="107"/>
    </row>
    <row r="43" spans="1:26" ht="19.5" customHeight="1" x14ac:dyDescent="0.25">
      <c r="A43" s="108"/>
      <c r="B43" s="120"/>
      <c r="C43" s="116"/>
      <c r="D43" s="115"/>
      <c r="E43" s="115"/>
      <c r="F43" s="115"/>
      <c r="G43" s="114"/>
      <c r="H43" s="119"/>
      <c r="I43" s="118"/>
      <c r="J43" s="117"/>
      <c r="K43" s="116"/>
      <c r="L43" s="115"/>
      <c r="M43" s="115"/>
      <c r="N43" s="115"/>
      <c r="O43" s="115"/>
      <c r="P43" s="114"/>
      <c r="Z43" s="107"/>
    </row>
    <row r="44" spans="1:26" ht="19.5" customHeight="1" x14ac:dyDescent="0.25">
      <c r="A44" s="108"/>
      <c r="B44" s="120"/>
      <c r="C44" s="116"/>
      <c r="D44" s="115"/>
      <c r="E44" s="115"/>
      <c r="F44" s="115"/>
      <c r="G44" s="114"/>
      <c r="H44" s="119"/>
      <c r="I44" s="118"/>
      <c r="J44" s="117"/>
      <c r="K44" s="116"/>
      <c r="L44" s="115"/>
      <c r="M44" s="115"/>
      <c r="N44" s="115"/>
      <c r="O44" s="115"/>
      <c r="P44" s="114"/>
      <c r="Z44" s="107"/>
    </row>
    <row r="45" spans="1:26" ht="19.5" customHeight="1" x14ac:dyDescent="0.25">
      <c r="A45" s="108"/>
      <c r="B45" s="120"/>
      <c r="C45" s="116"/>
      <c r="D45" s="115"/>
      <c r="E45" s="115"/>
      <c r="F45" s="115"/>
      <c r="G45" s="114"/>
      <c r="H45" s="119"/>
      <c r="I45" s="118"/>
      <c r="J45" s="117"/>
      <c r="K45" s="116"/>
      <c r="L45" s="115"/>
      <c r="M45" s="115"/>
      <c r="N45" s="115"/>
      <c r="O45" s="115"/>
      <c r="P45" s="114"/>
      <c r="Z45" s="107"/>
    </row>
    <row r="46" spans="1:26" ht="19.5" customHeight="1" x14ac:dyDescent="0.25">
      <c r="A46" s="108"/>
      <c r="B46" s="120"/>
      <c r="C46" s="116"/>
      <c r="D46" s="115"/>
      <c r="E46" s="115"/>
      <c r="F46" s="115"/>
      <c r="G46" s="114"/>
      <c r="H46" s="119"/>
      <c r="I46" s="118"/>
      <c r="J46" s="117"/>
      <c r="K46" s="116"/>
      <c r="L46" s="115"/>
      <c r="M46" s="115"/>
      <c r="N46" s="115"/>
      <c r="O46" s="115"/>
      <c r="P46" s="114"/>
      <c r="Z46" s="107"/>
    </row>
    <row r="47" spans="1:26" ht="19.5" customHeight="1" x14ac:dyDescent="0.25">
      <c r="A47" s="108"/>
      <c r="B47" s="120"/>
      <c r="C47" s="116"/>
      <c r="D47" s="115"/>
      <c r="E47" s="115"/>
      <c r="F47" s="115"/>
      <c r="G47" s="114"/>
      <c r="H47" s="119"/>
      <c r="I47" s="118"/>
      <c r="J47" s="117"/>
      <c r="K47" s="116"/>
      <c r="L47" s="115"/>
      <c r="M47" s="115"/>
      <c r="N47" s="115"/>
      <c r="O47" s="115"/>
      <c r="P47" s="114"/>
      <c r="Z47" s="107"/>
    </row>
    <row r="48" spans="1:26" ht="19.5" customHeight="1" x14ac:dyDescent="0.25">
      <c r="A48" s="108"/>
      <c r="B48" s="120"/>
      <c r="C48" s="116"/>
      <c r="D48" s="115"/>
      <c r="E48" s="115"/>
      <c r="F48" s="115"/>
      <c r="G48" s="114"/>
      <c r="H48" s="119"/>
      <c r="I48" s="118"/>
      <c r="J48" s="117"/>
      <c r="K48" s="116"/>
      <c r="L48" s="115"/>
      <c r="M48" s="115"/>
      <c r="N48" s="115"/>
      <c r="O48" s="115"/>
      <c r="P48" s="114"/>
      <c r="Z48" s="107"/>
    </row>
    <row r="49" spans="1:26" ht="19.5" customHeight="1" x14ac:dyDescent="0.25">
      <c r="A49" s="108"/>
      <c r="B49" s="120"/>
      <c r="C49" s="116"/>
      <c r="D49" s="115"/>
      <c r="E49" s="115"/>
      <c r="F49" s="115"/>
      <c r="G49" s="114"/>
      <c r="H49" s="119"/>
      <c r="I49" s="118"/>
      <c r="J49" s="117"/>
      <c r="K49" s="116"/>
      <c r="L49" s="115"/>
      <c r="M49" s="115"/>
      <c r="N49" s="115"/>
      <c r="O49" s="115"/>
      <c r="P49" s="114"/>
      <c r="Z49" s="107"/>
    </row>
    <row r="50" spans="1:26" ht="19.5" customHeight="1" x14ac:dyDescent="0.25">
      <c r="A50" s="108"/>
      <c r="B50" s="120"/>
      <c r="C50" s="116"/>
      <c r="D50" s="115"/>
      <c r="E50" s="115"/>
      <c r="F50" s="115"/>
      <c r="G50" s="114"/>
      <c r="H50" s="119"/>
      <c r="I50" s="118"/>
      <c r="J50" s="117"/>
      <c r="K50" s="116"/>
      <c r="L50" s="115"/>
      <c r="M50" s="115"/>
      <c r="N50" s="115"/>
      <c r="O50" s="115"/>
      <c r="P50" s="114"/>
      <c r="Z50" s="107"/>
    </row>
    <row r="51" spans="1:26" ht="19.5" customHeight="1" x14ac:dyDescent="0.25">
      <c r="A51" s="108"/>
      <c r="B51" s="120"/>
      <c r="C51" s="116"/>
      <c r="D51" s="115"/>
      <c r="E51" s="115"/>
      <c r="F51" s="115"/>
      <c r="G51" s="114"/>
      <c r="H51" s="119"/>
      <c r="I51" s="118"/>
      <c r="J51" s="117"/>
      <c r="K51" s="116"/>
      <c r="L51" s="115"/>
      <c r="M51" s="115"/>
      <c r="N51" s="115"/>
      <c r="O51" s="115"/>
      <c r="P51" s="114"/>
      <c r="Z51" s="107"/>
    </row>
    <row r="52" spans="1:26" ht="19.5" customHeight="1" x14ac:dyDescent="0.25">
      <c r="A52" s="108"/>
      <c r="B52" s="120"/>
      <c r="C52" s="116"/>
      <c r="D52" s="115"/>
      <c r="E52" s="115"/>
      <c r="F52" s="115"/>
      <c r="G52" s="114"/>
      <c r="H52" s="119"/>
      <c r="I52" s="118"/>
      <c r="J52" s="117"/>
      <c r="K52" s="116"/>
      <c r="L52" s="115"/>
      <c r="M52" s="115"/>
      <c r="N52" s="115"/>
      <c r="O52" s="115"/>
      <c r="P52" s="114"/>
      <c r="Z52" s="107"/>
    </row>
    <row r="53" spans="1:26" ht="19.5" customHeight="1" x14ac:dyDescent="0.25">
      <c r="A53" s="108"/>
      <c r="B53" s="120"/>
      <c r="C53" s="116"/>
      <c r="D53" s="115"/>
      <c r="E53" s="115"/>
      <c r="F53" s="115"/>
      <c r="G53" s="114"/>
      <c r="H53" s="119"/>
      <c r="I53" s="118"/>
      <c r="J53" s="117"/>
      <c r="K53" s="116"/>
      <c r="L53" s="115"/>
      <c r="M53" s="115"/>
      <c r="N53" s="115"/>
      <c r="O53" s="115"/>
      <c r="P53" s="114"/>
      <c r="Z53" s="107"/>
    </row>
    <row r="54" spans="1:26" ht="19.5" customHeight="1" thickBot="1" x14ac:dyDescent="0.3">
      <c r="A54" s="108"/>
      <c r="B54" s="113"/>
      <c r="C54" s="204"/>
      <c r="D54" s="205"/>
      <c r="E54" s="205"/>
      <c r="F54" s="205"/>
      <c r="G54" s="206"/>
      <c r="H54" s="201"/>
      <c r="I54" s="202"/>
      <c r="J54" s="203"/>
      <c r="K54" s="204"/>
      <c r="L54" s="205"/>
      <c r="M54" s="205"/>
      <c r="N54" s="205"/>
      <c r="O54" s="205"/>
      <c r="P54" s="206"/>
      <c r="Z54" s="107"/>
    </row>
    <row r="55" spans="1:26" ht="15.75" customHeight="1" x14ac:dyDescent="0.25">
      <c r="A55" s="108"/>
      <c r="B55" s="267" t="s">
        <v>35</v>
      </c>
      <c r="C55" s="268"/>
      <c r="D55" s="268"/>
      <c r="E55" s="268"/>
      <c r="F55" s="268"/>
      <c r="G55" s="269"/>
      <c r="H55" s="163">
        <f>AVERAGE(H25:J54)</f>
        <v>55.222222222222221</v>
      </c>
      <c r="I55" s="164"/>
      <c r="J55" s="165"/>
      <c r="K55" s="189" t="s">
        <v>56</v>
      </c>
      <c r="L55" s="190"/>
      <c r="M55" s="183" t="s">
        <v>36</v>
      </c>
      <c r="N55" s="183"/>
      <c r="O55" s="183"/>
      <c r="P55" s="184"/>
      <c r="Z55" s="107"/>
    </row>
    <row r="56" spans="1:26" ht="15.75" customHeight="1" x14ac:dyDescent="0.25">
      <c r="A56" s="108"/>
      <c r="B56" s="261" t="s">
        <v>37</v>
      </c>
      <c r="C56" s="262"/>
      <c r="D56" s="262"/>
      <c r="E56" s="262"/>
      <c r="F56" s="262"/>
      <c r="G56" s="263"/>
      <c r="H56" s="166" t="str">
        <f>IF(COUNTIF(H25:J54,"*&lt;20*"),"&lt;20",MIN(H25:J54))</f>
        <v>&lt;20</v>
      </c>
      <c r="I56" s="167"/>
      <c r="J56" s="168"/>
      <c r="K56" s="191"/>
      <c r="L56" s="192"/>
      <c r="M56" s="185"/>
      <c r="N56" s="185"/>
      <c r="O56" s="185"/>
      <c r="P56" s="186"/>
      <c r="Z56" s="107"/>
    </row>
    <row r="57" spans="1:26" ht="15.75" customHeight="1" thickBot="1" x14ac:dyDescent="0.3">
      <c r="A57" s="108"/>
      <c r="B57" s="264" t="s">
        <v>38</v>
      </c>
      <c r="C57" s="265"/>
      <c r="D57" s="265"/>
      <c r="E57" s="265"/>
      <c r="F57" s="265"/>
      <c r="G57" s="266"/>
      <c r="H57" s="285">
        <f>IF(COUNTIF(H25:J54,"*&gt;250*"),"&gt;250",MAX(H25:J54))</f>
        <v>103</v>
      </c>
      <c r="I57" s="286"/>
      <c r="J57" s="287"/>
      <c r="K57" s="193"/>
      <c r="L57" s="194"/>
      <c r="M57" s="187"/>
      <c r="N57" s="187"/>
      <c r="O57" s="187"/>
      <c r="P57" s="188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39</v>
      </c>
      <c r="B60" s="99" t="s">
        <v>40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249" t="s">
        <v>41</v>
      </c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1"/>
      <c r="R61" s="243" t="s">
        <v>42</v>
      </c>
      <c r="S61" s="244"/>
      <c r="T61" s="245"/>
      <c r="U61" s="270" t="s">
        <v>12</v>
      </c>
      <c r="V61" s="271"/>
      <c r="W61" s="271"/>
      <c r="X61" s="272"/>
      <c r="Y61" s="272"/>
      <c r="Z61" s="273"/>
    </row>
    <row r="62" spans="1:26" s="76" customFormat="1" ht="15.6" customHeight="1" x14ac:dyDescent="0.25">
      <c r="A62" s="252" t="s">
        <v>61</v>
      </c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  <c r="Q62" s="254"/>
      <c r="R62" s="243" t="s">
        <v>43</v>
      </c>
      <c r="S62" s="244"/>
      <c r="T62" s="245"/>
      <c r="U62" s="274" t="s">
        <v>44</v>
      </c>
      <c r="V62" s="275"/>
      <c r="W62" s="275"/>
      <c r="X62" s="276"/>
      <c r="Y62" s="276"/>
      <c r="Z62" s="277"/>
    </row>
    <row r="63" spans="1:26" s="76" customFormat="1" ht="15.6" customHeight="1" x14ac:dyDescent="0.25">
      <c r="A63" s="255"/>
      <c r="B63" s="256"/>
      <c r="C63" s="256"/>
      <c r="D63" s="256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7"/>
      <c r="R63" s="243"/>
      <c r="S63" s="244"/>
      <c r="T63" s="245"/>
      <c r="U63" s="278"/>
      <c r="V63" s="185"/>
      <c r="W63" s="185"/>
      <c r="X63" s="279"/>
      <c r="Y63" s="279"/>
      <c r="Z63" s="280"/>
    </row>
    <row r="64" spans="1:26" s="76" customFormat="1" ht="15.6" customHeight="1" x14ac:dyDescent="0.25">
      <c r="A64" s="91" t="s">
        <v>45</v>
      </c>
      <c r="B64" s="90" t="s">
        <v>46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243"/>
      <c r="S64" s="244"/>
      <c r="T64" s="245"/>
      <c r="U64" s="281"/>
      <c r="V64" s="282"/>
      <c r="W64" s="282"/>
      <c r="X64" s="283"/>
      <c r="Y64" s="283"/>
      <c r="Z64" s="284"/>
    </row>
    <row r="65" spans="1:26" s="76" customFormat="1" ht="15.6" customHeight="1" x14ac:dyDescent="0.25">
      <c r="A65" s="237"/>
      <c r="B65" s="238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9"/>
      <c r="R65" s="243" t="s">
        <v>47</v>
      </c>
      <c r="S65" s="244"/>
      <c r="T65" s="245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237"/>
      <c r="B66" s="238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9"/>
      <c r="R66" s="243"/>
      <c r="S66" s="244"/>
      <c r="T66" s="245"/>
      <c r="U66" s="84"/>
      <c r="V66" s="185"/>
      <c r="W66" s="185"/>
      <c r="X66" s="185"/>
      <c r="Y66" s="185"/>
      <c r="Z66" s="83"/>
    </row>
    <row r="67" spans="1:26" s="76" customFormat="1" ht="15.6" customHeight="1" x14ac:dyDescent="0.25">
      <c r="A67" s="237"/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9"/>
      <c r="R67" s="243"/>
      <c r="S67" s="244"/>
      <c r="T67" s="245"/>
      <c r="U67" s="84"/>
      <c r="V67" s="185"/>
      <c r="W67" s="185"/>
      <c r="X67" s="185"/>
      <c r="Y67" s="185"/>
      <c r="Z67" s="83"/>
    </row>
    <row r="68" spans="1:26" s="76" customFormat="1" ht="15.6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2"/>
      <c r="R68" s="246"/>
      <c r="S68" s="247"/>
      <c r="T68" s="248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95">
    <mergeCell ref="B11:G11"/>
    <mergeCell ref="A61:Q61"/>
    <mergeCell ref="R61:T61"/>
    <mergeCell ref="U61:Z61"/>
    <mergeCell ref="A62:Q63"/>
    <mergeCell ref="R62:T64"/>
    <mergeCell ref="U62:Z64"/>
    <mergeCell ref="H11:M11"/>
    <mergeCell ref="N11:R11"/>
    <mergeCell ref="C26:G26"/>
    <mergeCell ref="H26:J26"/>
    <mergeCell ref="N12:R12"/>
    <mergeCell ref="H12:M12"/>
    <mergeCell ref="B17:H17"/>
    <mergeCell ref="B12:G12"/>
    <mergeCell ref="B18:H18"/>
    <mergeCell ref="S11:Y11"/>
    <mergeCell ref="H54:J54"/>
    <mergeCell ref="K54:P54"/>
    <mergeCell ref="H57:J57"/>
    <mergeCell ref="I5:K5"/>
    <mergeCell ref="I6:K6"/>
    <mergeCell ref="L5:O5"/>
    <mergeCell ref="P5:T5"/>
    <mergeCell ref="L6:O6"/>
    <mergeCell ref="P6:T6"/>
    <mergeCell ref="M55:P57"/>
    <mergeCell ref="K55:L57"/>
    <mergeCell ref="S12:Y12"/>
    <mergeCell ref="K23:P24"/>
    <mergeCell ref="I17:Y1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A65:Q68"/>
    <mergeCell ref="R65:T68"/>
    <mergeCell ref="C27:G27"/>
    <mergeCell ref="H27:J27"/>
    <mergeCell ref="C28:G28"/>
    <mergeCell ref="H28:J28"/>
    <mergeCell ref="C29:G29"/>
    <mergeCell ref="H29:J29"/>
    <mergeCell ref="B57:G57"/>
    <mergeCell ref="B55:G55"/>
    <mergeCell ref="H55:J55"/>
    <mergeCell ref="H56:J56"/>
    <mergeCell ref="O29:P29"/>
    <mergeCell ref="O30:P30"/>
    <mergeCell ref="O31:P31"/>
    <mergeCell ref="K34:N34"/>
    <mergeCell ref="B23:B24"/>
    <mergeCell ref="C23:G24"/>
    <mergeCell ref="J21:P21"/>
    <mergeCell ref="C54:G54"/>
    <mergeCell ref="B56:G56"/>
    <mergeCell ref="C30:G30"/>
    <mergeCell ref="H30:J30"/>
    <mergeCell ref="C31:G31"/>
    <mergeCell ref="H31:J31"/>
    <mergeCell ref="C34:G34"/>
    <mergeCell ref="H34:J34"/>
    <mergeCell ref="K25:N25"/>
    <mergeCell ref="O25:P25"/>
    <mergeCell ref="O26:P26"/>
    <mergeCell ref="O27:P27"/>
    <mergeCell ref="O28:P28"/>
    <mergeCell ref="V66:Y67"/>
    <mergeCell ref="I18:J18"/>
    <mergeCell ref="H25:J25"/>
    <mergeCell ref="C25:G25"/>
    <mergeCell ref="H24:J24"/>
    <mergeCell ref="H23:J23"/>
    <mergeCell ref="O32:P32"/>
    <mergeCell ref="O33:P33"/>
    <mergeCell ref="O34:P34"/>
    <mergeCell ref="K26:N26"/>
    <mergeCell ref="K27:N27"/>
    <mergeCell ref="C32:G32"/>
    <mergeCell ref="H32:J32"/>
    <mergeCell ref="C33:G33"/>
    <mergeCell ref="H33:J33"/>
    <mergeCell ref="K33:N33"/>
    <mergeCell ref="K28:N28"/>
    <mergeCell ref="K29:N29"/>
    <mergeCell ref="K30:N30"/>
    <mergeCell ref="K31:N31"/>
    <mergeCell ref="K32:N32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74E14-BB08-46E5-9712-FD5E66E280EA}">
  <sheetPr>
    <pageSetUpPr fitToPage="1"/>
  </sheetPr>
  <dimension ref="A1:AA78"/>
  <sheetViews>
    <sheetView workbookViewId="0">
      <selection activeCell="I6" sqref="I6:K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330"/>
      <c r="B1" s="331"/>
      <c r="C1" s="331"/>
      <c r="D1" s="331"/>
      <c r="E1" s="331"/>
      <c r="F1" s="332"/>
      <c r="G1" s="339" t="s">
        <v>0</v>
      </c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1"/>
      <c r="U1" s="342" t="s">
        <v>48</v>
      </c>
      <c r="V1" s="343"/>
      <c r="W1" s="343"/>
      <c r="X1" s="343"/>
      <c r="Y1" s="343"/>
      <c r="Z1" s="344"/>
    </row>
    <row r="2" spans="1:26" ht="12.75" customHeight="1" x14ac:dyDescent="0.25">
      <c r="A2" s="333"/>
      <c r="B2" s="334"/>
      <c r="C2" s="334"/>
      <c r="D2" s="334"/>
      <c r="E2" s="334"/>
      <c r="F2" s="335"/>
      <c r="G2" s="309" t="s">
        <v>1</v>
      </c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1"/>
      <c r="U2" s="345"/>
      <c r="V2" s="346"/>
      <c r="W2" s="346"/>
      <c r="X2" s="346"/>
      <c r="Y2" s="346"/>
      <c r="Z2" s="347"/>
    </row>
    <row r="3" spans="1:26" ht="12.75" customHeight="1" x14ac:dyDescent="0.25">
      <c r="A3" s="333"/>
      <c r="B3" s="334"/>
      <c r="C3" s="334"/>
      <c r="D3" s="334"/>
      <c r="E3" s="334"/>
      <c r="F3" s="335"/>
      <c r="G3" s="309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1"/>
      <c r="U3" s="345"/>
      <c r="V3" s="346"/>
      <c r="W3" s="346"/>
      <c r="X3" s="346"/>
      <c r="Y3" s="346"/>
      <c r="Z3" s="347"/>
    </row>
    <row r="4" spans="1:26" ht="12.75" customHeight="1" x14ac:dyDescent="0.25">
      <c r="A4" s="333"/>
      <c r="B4" s="334"/>
      <c r="C4" s="334"/>
      <c r="D4" s="334"/>
      <c r="E4" s="334"/>
      <c r="F4" s="335"/>
      <c r="G4" s="309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1"/>
      <c r="U4" s="345"/>
      <c r="V4" s="346"/>
      <c r="W4" s="346"/>
      <c r="X4" s="346"/>
      <c r="Y4" s="346"/>
      <c r="Z4" s="347"/>
    </row>
    <row r="5" spans="1:26" ht="12.75" customHeight="1" x14ac:dyDescent="0.25">
      <c r="A5" s="333"/>
      <c r="B5" s="334"/>
      <c r="C5" s="334"/>
      <c r="D5" s="334"/>
      <c r="E5" s="334"/>
      <c r="F5" s="335"/>
      <c r="G5" s="312" t="s">
        <v>2</v>
      </c>
      <c r="H5" s="313"/>
      <c r="I5" s="314">
        <v>3</v>
      </c>
      <c r="J5" s="314"/>
      <c r="K5" s="315"/>
      <c r="L5" s="316" t="s">
        <v>49</v>
      </c>
      <c r="M5" s="317"/>
      <c r="N5" s="317"/>
      <c r="O5" s="318"/>
      <c r="P5" s="319" t="s">
        <v>3</v>
      </c>
      <c r="Q5" s="320"/>
      <c r="R5" s="320"/>
      <c r="S5" s="320"/>
      <c r="T5" s="321"/>
      <c r="U5" s="345"/>
      <c r="V5" s="346"/>
      <c r="W5" s="346"/>
      <c r="X5" s="346"/>
      <c r="Y5" s="346"/>
      <c r="Z5" s="347"/>
    </row>
    <row r="6" spans="1:26" ht="12.75" customHeight="1" x14ac:dyDescent="0.25">
      <c r="A6" s="336"/>
      <c r="B6" s="337"/>
      <c r="C6" s="337"/>
      <c r="D6" s="337"/>
      <c r="E6" s="337"/>
      <c r="F6" s="338"/>
      <c r="G6" s="2"/>
      <c r="H6" s="3"/>
      <c r="I6" s="322" t="s">
        <v>4</v>
      </c>
      <c r="J6" s="322"/>
      <c r="K6" s="322"/>
      <c r="L6" s="322" t="s">
        <v>5</v>
      </c>
      <c r="M6" s="322"/>
      <c r="N6" s="322"/>
      <c r="O6" s="322"/>
      <c r="P6" s="322" t="s">
        <v>6</v>
      </c>
      <c r="Q6" s="322"/>
      <c r="R6" s="322"/>
      <c r="S6" s="322"/>
      <c r="T6" s="326"/>
      <c r="U6" s="348"/>
      <c r="V6" s="349"/>
      <c r="W6" s="349"/>
      <c r="X6" s="349"/>
      <c r="Y6" s="349"/>
      <c r="Z6" s="350"/>
    </row>
    <row r="7" spans="1:26" ht="36.6" customHeight="1" x14ac:dyDescent="0.25">
      <c r="A7" s="327" t="s">
        <v>7</v>
      </c>
      <c r="B7" s="327"/>
      <c r="C7" s="327"/>
      <c r="D7" s="327"/>
      <c r="E7" s="327"/>
      <c r="F7" s="327"/>
      <c r="G7" s="328" t="s">
        <v>8</v>
      </c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323" t="s">
        <v>11</v>
      </c>
      <c r="C10" s="323"/>
      <c r="D10" s="323"/>
      <c r="E10" s="323"/>
      <c r="F10" s="323"/>
      <c r="G10" s="323"/>
      <c r="H10" s="324" t="s">
        <v>12</v>
      </c>
      <c r="I10" s="324"/>
      <c r="J10" s="324"/>
      <c r="K10" s="324"/>
      <c r="L10" s="324"/>
      <c r="M10" s="324"/>
      <c r="N10" s="323" t="s">
        <v>13</v>
      </c>
      <c r="O10" s="323"/>
      <c r="P10" s="323"/>
      <c r="Q10" s="323"/>
      <c r="R10" s="323"/>
      <c r="S10" s="329" t="s">
        <v>50</v>
      </c>
      <c r="T10" s="325"/>
      <c r="U10" s="325"/>
      <c r="V10" s="325"/>
      <c r="W10" s="325"/>
      <c r="X10" s="325"/>
      <c r="Y10" s="325"/>
      <c r="Z10" s="12"/>
    </row>
    <row r="11" spans="1:26" ht="15.9" customHeight="1" x14ac:dyDescent="0.25">
      <c r="A11" s="9"/>
      <c r="B11" s="323" t="s">
        <v>14</v>
      </c>
      <c r="C11" s="323"/>
      <c r="D11" s="323"/>
      <c r="E11" s="323"/>
      <c r="F11" s="323"/>
      <c r="G11" s="323"/>
      <c r="H11" s="324" t="s">
        <v>3</v>
      </c>
      <c r="I11" s="324"/>
      <c r="J11" s="324"/>
      <c r="K11" s="324"/>
      <c r="L11" s="324"/>
      <c r="M11" s="324"/>
      <c r="N11" s="323" t="s">
        <v>15</v>
      </c>
      <c r="O11" s="323"/>
      <c r="P11" s="323"/>
      <c r="Q11" s="323"/>
      <c r="R11" s="323"/>
      <c r="S11" s="325" t="s">
        <v>16</v>
      </c>
      <c r="T11" s="325"/>
      <c r="U11" s="325"/>
      <c r="V11" s="325"/>
      <c r="W11" s="325"/>
      <c r="X11" s="325"/>
      <c r="Y11" s="325"/>
      <c r="Z11" s="12"/>
    </row>
    <row r="12" spans="1:26" ht="15.9" customHeight="1" x14ac:dyDescent="0.25">
      <c r="A12" s="9"/>
      <c r="B12" s="323" t="s">
        <v>17</v>
      </c>
      <c r="C12" s="323"/>
      <c r="D12" s="323"/>
      <c r="E12" s="323"/>
      <c r="F12" s="323"/>
      <c r="G12" s="323"/>
      <c r="H12" s="324" t="s">
        <v>55</v>
      </c>
      <c r="I12" s="324"/>
      <c r="J12" s="324"/>
      <c r="K12" s="324"/>
      <c r="L12" s="324"/>
      <c r="M12" s="324"/>
      <c r="N12" s="323" t="s">
        <v>18</v>
      </c>
      <c r="O12" s="323"/>
      <c r="P12" s="323"/>
      <c r="Q12" s="323"/>
      <c r="R12" s="323"/>
      <c r="S12" s="325" t="s">
        <v>19</v>
      </c>
      <c r="T12" s="325"/>
      <c r="U12" s="325"/>
      <c r="V12" s="325"/>
      <c r="W12" s="325"/>
      <c r="X12" s="325"/>
      <c r="Y12" s="32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363" t="s">
        <v>22</v>
      </c>
      <c r="C17" s="363"/>
      <c r="D17" s="363"/>
      <c r="E17" s="363"/>
      <c r="F17" s="363"/>
      <c r="G17" s="363"/>
      <c r="H17" s="363"/>
      <c r="I17" s="364"/>
      <c r="J17" s="364"/>
      <c r="K17" s="364"/>
      <c r="L17" s="364"/>
      <c r="M17" s="364"/>
      <c r="N17" s="364"/>
      <c r="O17" s="364"/>
      <c r="P17" s="364"/>
      <c r="Q17" s="364"/>
      <c r="R17" s="364"/>
      <c r="S17" s="364"/>
      <c r="T17" s="364"/>
      <c r="U17" s="364"/>
      <c r="V17" s="364"/>
      <c r="W17" s="364"/>
      <c r="X17" s="364"/>
      <c r="Y17" s="364"/>
      <c r="Z17" s="28"/>
    </row>
    <row r="18" spans="1:26" s="17" customFormat="1" ht="15" customHeight="1" x14ac:dyDescent="0.25">
      <c r="A18" s="24"/>
      <c r="B18" s="363" t="s">
        <v>23</v>
      </c>
      <c r="C18" s="363"/>
      <c r="D18" s="363"/>
      <c r="E18" s="363"/>
      <c r="F18" s="363"/>
      <c r="G18" s="363"/>
      <c r="H18" s="363"/>
      <c r="I18" s="365" t="s">
        <v>24</v>
      </c>
      <c r="J18" s="365"/>
      <c r="K18" s="27">
        <v>30</v>
      </c>
      <c r="L18" s="27" t="s">
        <v>25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366" t="s">
        <v>28</v>
      </c>
      <c r="K21" s="366"/>
      <c r="L21" s="366"/>
      <c r="M21" s="366"/>
      <c r="N21" s="366"/>
      <c r="O21" s="366"/>
      <c r="P21" s="36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351" t="s">
        <v>29</v>
      </c>
      <c r="C23" s="353" t="s">
        <v>30</v>
      </c>
      <c r="D23" s="353"/>
      <c r="E23" s="353"/>
      <c r="F23" s="353"/>
      <c r="G23" s="354"/>
      <c r="H23" s="357" t="s">
        <v>31</v>
      </c>
      <c r="I23" s="358"/>
      <c r="J23" s="359"/>
      <c r="K23" s="353" t="s">
        <v>32</v>
      </c>
      <c r="L23" s="353"/>
      <c r="M23" s="353"/>
      <c r="N23" s="353"/>
      <c r="O23" s="353"/>
      <c r="P23" s="354"/>
      <c r="Z23" s="11"/>
    </row>
    <row r="24" spans="1:26" ht="15.75" customHeight="1" x14ac:dyDescent="0.25">
      <c r="A24" s="9"/>
      <c r="B24" s="352"/>
      <c r="C24" s="355"/>
      <c r="D24" s="355"/>
      <c r="E24" s="355"/>
      <c r="F24" s="355"/>
      <c r="G24" s="356"/>
      <c r="H24" s="360" t="s">
        <v>33</v>
      </c>
      <c r="I24" s="361"/>
      <c r="J24" s="362"/>
      <c r="K24" s="355"/>
      <c r="L24" s="355"/>
      <c r="M24" s="355"/>
      <c r="N24" s="355"/>
      <c r="O24" s="355"/>
      <c r="P24" s="356"/>
      <c r="Z24" s="11"/>
    </row>
    <row r="25" spans="1:26" ht="19.5" customHeight="1" x14ac:dyDescent="0.25">
      <c r="A25" s="9"/>
      <c r="B25" s="45">
        <v>1</v>
      </c>
      <c r="C25" s="367"/>
      <c r="D25" s="368"/>
      <c r="E25" s="368"/>
      <c r="F25" s="368"/>
      <c r="G25" s="369"/>
      <c r="H25" s="370">
        <v>22</v>
      </c>
      <c r="I25" s="371"/>
      <c r="J25" s="372"/>
      <c r="K25" s="367"/>
      <c r="L25" s="368"/>
      <c r="M25" s="368"/>
      <c r="N25" s="368"/>
      <c r="O25" s="368"/>
      <c r="P25" s="369"/>
      <c r="Z25" s="11"/>
    </row>
    <row r="26" spans="1:26" ht="19.5" customHeight="1" x14ac:dyDescent="0.25">
      <c r="A26" s="9"/>
      <c r="B26" s="45">
        <v>2</v>
      </c>
      <c r="C26" s="367"/>
      <c r="D26" s="368"/>
      <c r="E26" s="368"/>
      <c r="F26" s="368"/>
      <c r="G26" s="369"/>
      <c r="H26" s="370">
        <v>31</v>
      </c>
      <c r="I26" s="371"/>
      <c r="J26" s="372"/>
      <c r="K26" s="367"/>
      <c r="L26" s="368"/>
      <c r="M26" s="368"/>
      <c r="N26" s="368"/>
      <c r="O26" s="368"/>
      <c r="P26" s="369"/>
      <c r="Z26" s="11"/>
    </row>
    <row r="27" spans="1:26" ht="19.5" customHeight="1" x14ac:dyDescent="0.25">
      <c r="A27" s="9"/>
      <c r="B27" s="45">
        <v>3</v>
      </c>
      <c r="C27" s="367"/>
      <c r="D27" s="368"/>
      <c r="E27" s="368"/>
      <c r="F27" s="368"/>
      <c r="G27" s="369"/>
      <c r="H27" s="370">
        <v>28</v>
      </c>
      <c r="I27" s="371"/>
      <c r="J27" s="372"/>
      <c r="K27" s="367"/>
      <c r="L27" s="368"/>
      <c r="M27" s="368"/>
      <c r="N27" s="368"/>
      <c r="O27" s="368"/>
      <c r="P27" s="369"/>
      <c r="Z27" s="11"/>
    </row>
    <row r="28" spans="1:26" ht="19.5" customHeight="1" x14ac:dyDescent="0.25">
      <c r="A28" s="9"/>
      <c r="B28" s="45">
        <v>4</v>
      </c>
      <c r="C28" s="367"/>
      <c r="D28" s="368"/>
      <c r="E28" s="368"/>
      <c r="F28" s="368"/>
      <c r="G28" s="369"/>
      <c r="H28" s="370" t="s">
        <v>34</v>
      </c>
      <c r="I28" s="371"/>
      <c r="J28" s="372"/>
      <c r="K28" s="367"/>
      <c r="L28" s="368"/>
      <c r="M28" s="368"/>
      <c r="N28" s="368"/>
      <c r="O28" s="368"/>
      <c r="P28" s="369"/>
      <c r="Z28" s="11"/>
    </row>
    <row r="29" spans="1:26" ht="19.5" customHeight="1" x14ac:dyDescent="0.25">
      <c r="A29" s="9"/>
      <c r="B29" s="45">
        <v>5</v>
      </c>
      <c r="C29" s="367"/>
      <c r="D29" s="368"/>
      <c r="E29" s="368"/>
      <c r="F29" s="368"/>
      <c r="G29" s="369"/>
      <c r="H29" s="370" t="s">
        <v>34</v>
      </c>
      <c r="I29" s="371"/>
      <c r="J29" s="372"/>
      <c r="K29" s="367"/>
      <c r="L29" s="368"/>
      <c r="M29" s="368"/>
      <c r="N29" s="368"/>
      <c r="O29" s="368"/>
      <c r="P29" s="369"/>
      <c r="Z29" s="11"/>
    </row>
    <row r="30" spans="1:26" ht="19.5" customHeight="1" x14ac:dyDescent="0.25">
      <c r="A30" s="9"/>
      <c r="B30" s="45">
        <v>6</v>
      </c>
      <c r="C30" s="367"/>
      <c r="D30" s="368"/>
      <c r="E30" s="368"/>
      <c r="F30" s="368"/>
      <c r="G30" s="369"/>
      <c r="H30" s="370">
        <v>23</v>
      </c>
      <c r="I30" s="371"/>
      <c r="J30" s="372"/>
      <c r="K30" s="367"/>
      <c r="L30" s="368"/>
      <c r="M30" s="368"/>
      <c r="N30" s="368"/>
      <c r="O30" s="368"/>
      <c r="P30" s="369"/>
      <c r="Z30" s="11"/>
    </row>
    <row r="31" spans="1:26" ht="19.5" customHeight="1" x14ac:dyDescent="0.25">
      <c r="A31" s="9"/>
      <c r="B31" s="45">
        <v>7</v>
      </c>
      <c r="C31" s="367"/>
      <c r="D31" s="368"/>
      <c r="E31" s="368"/>
      <c r="F31" s="368"/>
      <c r="G31" s="369"/>
      <c r="H31" s="370">
        <v>21</v>
      </c>
      <c r="I31" s="371"/>
      <c r="J31" s="372"/>
      <c r="K31" s="367"/>
      <c r="L31" s="368"/>
      <c r="M31" s="368"/>
      <c r="N31" s="368"/>
      <c r="O31" s="368"/>
      <c r="P31" s="369"/>
      <c r="Z31" s="11"/>
    </row>
    <row r="32" spans="1:26" ht="19.5" customHeight="1" x14ac:dyDescent="0.25">
      <c r="A32" s="9"/>
      <c r="B32" s="45">
        <v>8</v>
      </c>
      <c r="C32" s="367"/>
      <c r="D32" s="368"/>
      <c r="E32" s="368"/>
      <c r="F32" s="368"/>
      <c r="G32" s="369"/>
      <c r="H32" s="370" t="s">
        <v>34</v>
      </c>
      <c r="I32" s="371"/>
      <c r="J32" s="372"/>
      <c r="K32" s="367"/>
      <c r="L32" s="368"/>
      <c r="M32" s="368"/>
      <c r="N32" s="368"/>
      <c r="O32" s="368"/>
      <c r="P32" s="369"/>
      <c r="Z32" s="11"/>
    </row>
    <row r="33" spans="1:26" ht="19.5" customHeight="1" x14ac:dyDescent="0.25">
      <c r="A33" s="9"/>
      <c r="B33" s="45">
        <v>9</v>
      </c>
      <c r="C33" s="367"/>
      <c r="D33" s="368"/>
      <c r="E33" s="368"/>
      <c r="F33" s="368"/>
      <c r="G33" s="369"/>
      <c r="H33" s="370">
        <v>27</v>
      </c>
      <c r="I33" s="371"/>
      <c r="J33" s="372"/>
      <c r="K33" s="367"/>
      <c r="L33" s="368"/>
      <c r="M33" s="368"/>
      <c r="N33" s="368"/>
      <c r="O33" s="368"/>
      <c r="P33" s="369"/>
      <c r="Z33" s="11"/>
    </row>
    <row r="34" spans="1:26" ht="19.5" customHeight="1" x14ac:dyDescent="0.25">
      <c r="A34" s="9"/>
      <c r="B34" s="45">
        <v>10</v>
      </c>
      <c r="C34" s="367"/>
      <c r="D34" s="368"/>
      <c r="E34" s="368"/>
      <c r="F34" s="368"/>
      <c r="G34" s="369"/>
      <c r="H34" s="370">
        <v>38</v>
      </c>
      <c r="I34" s="371"/>
      <c r="J34" s="372"/>
      <c r="K34" s="367"/>
      <c r="L34" s="368"/>
      <c r="M34" s="368"/>
      <c r="N34" s="368"/>
      <c r="O34" s="368"/>
      <c r="P34" s="369"/>
      <c r="Z34" s="11"/>
    </row>
    <row r="35" spans="1:26" ht="19.5" customHeight="1" x14ac:dyDescent="0.25">
      <c r="A35" s="9"/>
      <c r="B35" s="72"/>
      <c r="C35" s="69"/>
      <c r="D35" s="70"/>
      <c r="E35" s="70"/>
      <c r="F35" s="70"/>
      <c r="G35" s="71"/>
      <c r="H35" s="66"/>
      <c r="I35" s="67"/>
      <c r="J35" s="68"/>
      <c r="K35" s="69"/>
      <c r="L35" s="70"/>
      <c r="M35" s="70"/>
      <c r="N35" s="70"/>
      <c r="O35" s="70"/>
      <c r="P35" s="71"/>
      <c r="Z35" s="11"/>
    </row>
    <row r="36" spans="1:26" ht="19.5" customHeight="1" x14ac:dyDescent="0.25">
      <c r="A36" s="9"/>
      <c r="B36" s="72"/>
      <c r="C36" s="69"/>
      <c r="D36" s="70"/>
      <c r="E36" s="70"/>
      <c r="F36" s="70"/>
      <c r="G36" s="71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72"/>
      <c r="C37" s="69"/>
      <c r="D37" s="70"/>
      <c r="E37" s="70"/>
      <c r="F37" s="70"/>
      <c r="G37" s="71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72"/>
      <c r="C38" s="69"/>
      <c r="D38" s="70"/>
      <c r="E38" s="70"/>
      <c r="F38" s="70"/>
      <c r="G38" s="71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72"/>
      <c r="C39" s="69"/>
      <c r="D39" s="70"/>
      <c r="E39" s="70"/>
      <c r="F39" s="70"/>
      <c r="G39" s="71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72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72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72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72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2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2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2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72"/>
      <c r="C54" s="69"/>
      <c r="D54" s="70"/>
      <c r="E54" s="70"/>
      <c r="F54" s="70"/>
      <c r="G54" s="71"/>
      <c r="H54" s="66"/>
      <c r="I54" s="67"/>
      <c r="J54" s="68"/>
      <c r="K54" s="69"/>
      <c r="L54" s="70"/>
      <c r="M54" s="70"/>
      <c r="N54" s="70"/>
      <c r="O54" s="70"/>
      <c r="P54" s="71"/>
      <c r="Z54" s="11"/>
    </row>
    <row r="55" spans="1:26" ht="19.5" customHeight="1" x14ac:dyDescent="0.25">
      <c r="A55" s="9"/>
      <c r="B55" s="72"/>
      <c r="C55" s="69"/>
      <c r="D55" s="70"/>
      <c r="E55" s="70"/>
      <c r="F55" s="70"/>
      <c r="G55" s="71"/>
      <c r="H55" s="66"/>
      <c r="I55" s="67"/>
      <c r="J55" s="68"/>
      <c r="K55" s="69"/>
      <c r="L55" s="70"/>
      <c r="M55" s="70"/>
      <c r="N55" s="70"/>
      <c r="O55" s="70"/>
      <c r="P55" s="71"/>
      <c r="Z55" s="11"/>
    </row>
    <row r="56" spans="1:26" ht="19.5" customHeight="1" thickBot="1" x14ac:dyDescent="0.3">
      <c r="A56" s="9"/>
      <c r="B56" s="46"/>
      <c r="C56" s="373"/>
      <c r="D56" s="374"/>
      <c r="E56" s="374"/>
      <c r="F56" s="374"/>
      <c r="G56" s="375"/>
      <c r="H56" s="376"/>
      <c r="I56" s="377"/>
      <c r="J56" s="378"/>
      <c r="K56" s="373"/>
      <c r="L56" s="374"/>
      <c r="M56" s="374"/>
      <c r="N56" s="374"/>
      <c r="O56" s="374"/>
      <c r="P56" s="375"/>
      <c r="Z56" s="11"/>
    </row>
    <row r="57" spans="1:26" ht="15.75" customHeight="1" x14ac:dyDescent="0.25">
      <c r="A57" s="9"/>
      <c r="B57" s="379" t="s">
        <v>35</v>
      </c>
      <c r="C57" s="380"/>
      <c r="D57" s="380"/>
      <c r="E57" s="380"/>
      <c r="F57" s="380"/>
      <c r="G57" s="381"/>
      <c r="H57" s="382">
        <f>AVERAGE(H25:J56)</f>
        <v>27.142857142857142</v>
      </c>
      <c r="I57" s="383"/>
      <c r="J57" s="384"/>
      <c r="K57" s="385"/>
      <c r="L57" s="386"/>
      <c r="M57" s="391" t="s">
        <v>36</v>
      </c>
      <c r="N57" s="391"/>
      <c r="O57" s="391"/>
      <c r="P57" s="392"/>
      <c r="Z57" s="11"/>
    </row>
    <row r="58" spans="1:26" ht="15.75" customHeight="1" x14ac:dyDescent="0.25">
      <c r="A58" s="9"/>
      <c r="B58" s="397" t="s">
        <v>37</v>
      </c>
      <c r="C58" s="398"/>
      <c r="D58" s="398"/>
      <c r="E58" s="398"/>
      <c r="F58" s="398"/>
      <c r="G58" s="399"/>
      <c r="H58" s="400" t="str">
        <f>IF(COUNTIF(H25:J56,"*&lt;20*"),"&lt;20",MIN(H25:J56))</f>
        <v>&lt;20</v>
      </c>
      <c r="I58" s="401"/>
      <c r="J58" s="402"/>
      <c r="K58" s="387"/>
      <c r="L58" s="388"/>
      <c r="M58" s="393"/>
      <c r="N58" s="393"/>
      <c r="O58" s="393"/>
      <c r="P58" s="394"/>
      <c r="Z58" s="11"/>
    </row>
    <row r="59" spans="1:26" ht="15.75" customHeight="1" thickBot="1" x14ac:dyDescent="0.3">
      <c r="A59" s="9"/>
      <c r="B59" s="403" t="s">
        <v>38</v>
      </c>
      <c r="C59" s="404"/>
      <c r="D59" s="404"/>
      <c r="E59" s="404"/>
      <c r="F59" s="404"/>
      <c r="G59" s="405"/>
      <c r="H59" s="418">
        <f>IF(COUNTIF(H25:J56,"*&gt;250*"),"&gt;250",MAX(H25:J56))</f>
        <v>38</v>
      </c>
      <c r="I59" s="419"/>
      <c r="J59" s="420"/>
      <c r="K59" s="389"/>
      <c r="L59" s="390"/>
      <c r="M59" s="395"/>
      <c r="N59" s="395"/>
      <c r="O59" s="395"/>
      <c r="P59" s="396"/>
      <c r="Z59" s="11"/>
    </row>
    <row r="60" spans="1:26" ht="15.9" customHeight="1" x14ac:dyDescent="0.25">
      <c r="A60" s="35"/>
      <c r="B60" s="4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16"/>
    </row>
    <row r="61" spans="1:26" ht="12.75" customHeight="1" x14ac:dyDescent="0.25">
      <c r="A61" s="36"/>
      <c r="B61" s="37"/>
    </row>
    <row r="62" spans="1:26" s="17" customFormat="1" ht="15.6" customHeight="1" x14ac:dyDescent="0.25">
      <c r="A62" s="48" t="s">
        <v>39</v>
      </c>
      <c r="B62" s="5" t="s">
        <v>40</v>
      </c>
      <c r="C62" s="49"/>
      <c r="D62" s="49"/>
      <c r="E62" s="49"/>
      <c r="F62" s="50"/>
      <c r="G62" s="50"/>
      <c r="H62" s="50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51"/>
      <c r="V62" s="52"/>
      <c r="W62" s="52"/>
      <c r="X62" s="42"/>
      <c r="Y62" s="42"/>
      <c r="Z62" s="43"/>
    </row>
    <row r="63" spans="1:26" s="17" customFormat="1" ht="28.5" customHeight="1" x14ac:dyDescent="0.25">
      <c r="A63" s="421" t="s">
        <v>41</v>
      </c>
      <c r="B63" s="422"/>
      <c r="C63" s="422"/>
      <c r="D63" s="422"/>
      <c r="E63" s="422"/>
      <c r="F63" s="422"/>
      <c r="G63" s="422"/>
      <c r="H63" s="422"/>
      <c r="I63" s="422"/>
      <c r="J63" s="422"/>
      <c r="K63" s="422"/>
      <c r="L63" s="422"/>
      <c r="M63" s="422"/>
      <c r="N63" s="422"/>
      <c r="O63" s="422"/>
      <c r="P63" s="422"/>
      <c r="Q63" s="423"/>
      <c r="R63" s="412" t="s">
        <v>42</v>
      </c>
      <c r="S63" s="413"/>
      <c r="T63" s="414"/>
      <c r="U63" s="424" t="s">
        <v>12</v>
      </c>
      <c r="V63" s="425"/>
      <c r="W63" s="425"/>
      <c r="X63" s="426"/>
      <c r="Y63" s="426"/>
      <c r="Z63" s="427"/>
    </row>
    <row r="64" spans="1:26" s="17" customFormat="1" ht="15.6" customHeight="1" x14ac:dyDescent="0.25">
      <c r="A64" s="428" t="s">
        <v>51</v>
      </c>
      <c r="B64" s="429"/>
      <c r="C64" s="429"/>
      <c r="D64" s="429"/>
      <c r="E64" s="429"/>
      <c r="F64" s="429"/>
      <c r="G64" s="429"/>
      <c r="H64" s="429"/>
      <c r="I64" s="429"/>
      <c r="J64" s="429"/>
      <c r="K64" s="429"/>
      <c r="L64" s="429"/>
      <c r="M64" s="429"/>
      <c r="N64" s="429"/>
      <c r="O64" s="429"/>
      <c r="P64" s="429"/>
      <c r="Q64" s="430"/>
      <c r="R64" s="412" t="s">
        <v>43</v>
      </c>
      <c r="S64" s="413"/>
      <c r="T64" s="414"/>
      <c r="U64" s="434" t="s">
        <v>44</v>
      </c>
      <c r="V64" s="435"/>
      <c r="W64" s="435"/>
      <c r="X64" s="436"/>
      <c r="Y64" s="436"/>
      <c r="Z64" s="437"/>
    </row>
    <row r="65" spans="1:26" s="17" customFormat="1" ht="15.6" customHeight="1" x14ac:dyDescent="0.25">
      <c r="A65" s="431"/>
      <c r="B65" s="432"/>
      <c r="C65" s="432"/>
      <c r="D65" s="432"/>
      <c r="E65" s="432"/>
      <c r="F65" s="432"/>
      <c r="G65" s="432"/>
      <c r="H65" s="432"/>
      <c r="I65" s="432"/>
      <c r="J65" s="432"/>
      <c r="K65" s="432"/>
      <c r="L65" s="432"/>
      <c r="M65" s="432"/>
      <c r="N65" s="432"/>
      <c r="O65" s="432"/>
      <c r="P65" s="432"/>
      <c r="Q65" s="433"/>
      <c r="R65" s="412"/>
      <c r="S65" s="413"/>
      <c r="T65" s="414"/>
      <c r="U65" s="438"/>
      <c r="V65" s="393"/>
      <c r="W65" s="393"/>
      <c r="X65" s="439"/>
      <c r="Y65" s="439"/>
      <c r="Z65" s="440"/>
    </row>
    <row r="66" spans="1:26" s="17" customFormat="1" ht="15.6" customHeight="1" x14ac:dyDescent="0.25">
      <c r="A66" s="55" t="s">
        <v>45</v>
      </c>
      <c r="B66" s="56" t="s">
        <v>46</v>
      </c>
      <c r="C66" s="1"/>
      <c r="D66" s="1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7"/>
      <c r="R66" s="412"/>
      <c r="S66" s="413"/>
      <c r="T66" s="414"/>
      <c r="U66" s="441"/>
      <c r="V66" s="442"/>
      <c r="W66" s="442"/>
      <c r="X66" s="443"/>
      <c r="Y66" s="443"/>
      <c r="Z66" s="444"/>
    </row>
    <row r="67" spans="1:26" s="17" customFormat="1" ht="15.6" customHeight="1" x14ac:dyDescent="0.25">
      <c r="A67" s="406"/>
      <c r="B67" s="407"/>
      <c r="C67" s="407"/>
      <c r="D67" s="407"/>
      <c r="E67" s="407"/>
      <c r="F67" s="407"/>
      <c r="G67" s="407"/>
      <c r="H67" s="407"/>
      <c r="I67" s="407"/>
      <c r="J67" s="407"/>
      <c r="K67" s="407"/>
      <c r="L67" s="407"/>
      <c r="M67" s="407"/>
      <c r="N67" s="407"/>
      <c r="O67" s="407"/>
      <c r="P67" s="407"/>
      <c r="Q67" s="408"/>
      <c r="R67" s="412" t="s">
        <v>47</v>
      </c>
      <c r="S67" s="413"/>
      <c r="T67" s="414"/>
      <c r="U67" s="58"/>
      <c r="V67" s="59"/>
      <c r="W67" s="59"/>
      <c r="X67" s="59"/>
      <c r="Y67" s="59"/>
      <c r="Z67" s="60"/>
    </row>
    <row r="68" spans="1:26" s="17" customFormat="1" ht="15.6" customHeight="1" x14ac:dyDescent="0.25">
      <c r="A68" s="406"/>
      <c r="B68" s="407"/>
      <c r="C68" s="407"/>
      <c r="D68" s="407"/>
      <c r="E68" s="407"/>
      <c r="F68" s="407"/>
      <c r="G68" s="407"/>
      <c r="H68" s="407"/>
      <c r="I68" s="407"/>
      <c r="J68" s="407"/>
      <c r="K68" s="407"/>
      <c r="L68" s="407"/>
      <c r="M68" s="407"/>
      <c r="N68" s="407"/>
      <c r="O68" s="407"/>
      <c r="P68" s="407"/>
      <c r="Q68" s="408"/>
      <c r="R68" s="412"/>
      <c r="S68" s="413"/>
      <c r="T68" s="414"/>
      <c r="U68" s="61"/>
      <c r="V68" s="393"/>
      <c r="W68" s="393"/>
      <c r="X68" s="393"/>
      <c r="Y68" s="393"/>
      <c r="Z68" s="62"/>
    </row>
    <row r="69" spans="1:26" s="17" customFormat="1" ht="15.6" customHeight="1" x14ac:dyDescent="0.25">
      <c r="A69" s="406"/>
      <c r="B69" s="407"/>
      <c r="C69" s="407"/>
      <c r="D69" s="407"/>
      <c r="E69" s="407"/>
      <c r="F69" s="407"/>
      <c r="G69" s="407"/>
      <c r="H69" s="407"/>
      <c r="I69" s="407"/>
      <c r="J69" s="407"/>
      <c r="K69" s="407"/>
      <c r="L69" s="407"/>
      <c r="M69" s="407"/>
      <c r="N69" s="407"/>
      <c r="O69" s="407"/>
      <c r="P69" s="407"/>
      <c r="Q69" s="408"/>
      <c r="R69" s="412"/>
      <c r="S69" s="413"/>
      <c r="T69" s="414"/>
      <c r="U69" s="61"/>
      <c r="V69" s="393"/>
      <c r="W69" s="393"/>
      <c r="X69" s="393"/>
      <c r="Y69" s="393"/>
      <c r="Z69" s="62"/>
    </row>
    <row r="70" spans="1:26" s="17" customFormat="1" ht="15.6" customHeight="1" x14ac:dyDescent="0.25">
      <c r="A70" s="409"/>
      <c r="B70" s="410"/>
      <c r="C70" s="410"/>
      <c r="D70" s="410"/>
      <c r="E70" s="410"/>
      <c r="F70" s="410"/>
      <c r="G70" s="410"/>
      <c r="H70" s="410"/>
      <c r="I70" s="410"/>
      <c r="J70" s="410"/>
      <c r="K70" s="410"/>
      <c r="L70" s="410"/>
      <c r="M70" s="410"/>
      <c r="N70" s="410"/>
      <c r="O70" s="410"/>
      <c r="P70" s="410"/>
      <c r="Q70" s="411"/>
      <c r="R70" s="415"/>
      <c r="S70" s="416"/>
      <c r="T70" s="417"/>
      <c r="U70" s="63"/>
      <c r="V70" s="64"/>
      <c r="W70" s="64"/>
      <c r="X70" s="64"/>
      <c r="Y70" s="64"/>
      <c r="Z70" s="65"/>
    </row>
    <row r="71" spans="1:26" s="17" customFormat="1" ht="15" customHeight="1" x14ac:dyDescent="0.2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54"/>
      <c r="S71" s="54"/>
      <c r="T71" s="54"/>
      <c r="U71" s="41"/>
      <c r="V71" s="41"/>
      <c r="W71" s="41"/>
      <c r="X71" s="41"/>
      <c r="Y71" s="41"/>
      <c r="Z71" s="4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  <row r="77" spans="1:26" ht="12.75" customHeight="1" x14ac:dyDescent="0.25">
      <c r="A77" s="1"/>
    </row>
    <row r="78" spans="1:26" ht="12.75" customHeight="1" x14ac:dyDescent="0.25">
      <c r="A78" s="1"/>
    </row>
  </sheetData>
  <sheetProtection formatCells="0" formatColumns="0" formatRows="0" insertColumns="0" insertRows="0" insertHyperlinks="0" deleteColumns="0" deleteRows="0" selectLockedCells="1" sort="0" autoFilter="0" pivotTables="0"/>
  <mergeCells count="85">
    <mergeCell ref="A67:Q70"/>
    <mergeCell ref="R67:T70"/>
    <mergeCell ref="V68:Y69"/>
    <mergeCell ref="H59:J59"/>
    <mergeCell ref="A63:Q63"/>
    <mergeCell ref="R63:T63"/>
    <mergeCell ref="U63:Z63"/>
    <mergeCell ref="A64:Q65"/>
    <mergeCell ref="R64:T66"/>
    <mergeCell ref="U64:Z66"/>
    <mergeCell ref="C56:G56"/>
    <mergeCell ref="H56:J56"/>
    <mergeCell ref="K56:P56"/>
    <mergeCell ref="B57:G57"/>
    <mergeCell ref="H57:J57"/>
    <mergeCell ref="K57:L59"/>
    <mergeCell ref="M57:P59"/>
    <mergeCell ref="B58:G58"/>
    <mergeCell ref="H58:J58"/>
    <mergeCell ref="B59:G59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C27:G27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B12:G12"/>
    <mergeCell ref="H12:M12"/>
    <mergeCell ref="N12:R12"/>
    <mergeCell ref="S12:Y12"/>
    <mergeCell ref="B23:B24"/>
    <mergeCell ref="C23:G24"/>
    <mergeCell ref="H23:J23"/>
    <mergeCell ref="K23:P24"/>
    <mergeCell ref="H24:J24"/>
    <mergeCell ref="B17:H17"/>
    <mergeCell ref="I17:Y17"/>
    <mergeCell ref="B18:H18"/>
    <mergeCell ref="I18:J18"/>
    <mergeCell ref="J21:P21"/>
    <mergeCell ref="I6:K6"/>
    <mergeCell ref="B11:G11"/>
    <mergeCell ref="H11:M11"/>
    <mergeCell ref="N11:R11"/>
    <mergeCell ref="S11:Y11"/>
    <mergeCell ref="L6:O6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</mergeCells>
  <printOptions horizontalCentered="1"/>
  <pageMargins left="0.39370078740157" right="0.39370078740157" top="0.39370078740157" bottom="0.39370078740157" header="0" footer="0.19685039370078999"/>
  <pageSetup paperSize="9" scale="68" orientation="portrait" r:id="rId1"/>
  <headerFooter alignWithMargins="0">
    <oddFooter>&amp;RDG-Q / CRE PLW12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BB87-6B2A-48BB-A0E9-7E1AD6826267}">
  <sheetPr>
    <pageSetUpPr fitToPage="1"/>
  </sheetPr>
  <dimension ref="A1:AA76"/>
  <sheetViews>
    <sheetView workbookViewId="0">
      <selection activeCell="G1" sqref="G1:T1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330"/>
      <c r="B1" s="331"/>
      <c r="C1" s="331"/>
      <c r="D1" s="331"/>
      <c r="E1" s="331"/>
      <c r="F1" s="332"/>
      <c r="G1" s="339" t="s">
        <v>0</v>
      </c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1"/>
      <c r="U1" s="342" t="s">
        <v>48</v>
      </c>
      <c r="V1" s="343"/>
      <c r="W1" s="343"/>
      <c r="X1" s="343"/>
      <c r="Y1" s="343"/>
      <c r="Z1" s="344"/>
    </row>
    <row r="2" spans="1:26" ht="12.75" customHeight="1" x14ac:dyDescent="0.25">
      <c r="A2" s="333"/>
      <c r="B2" s="334"/>
      <c r="C2" s="334"/>
      <c r="D2" s="334"/>
      <c r="E2" s="334"/>
      <c r="F2" s="335"/>
      <c r="G2" s="309" t="s">
        <v>1</v>
      </c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1"/>
      <c r="U2" s="345"/>
      <c r="V2" s="346"/>
      <c r="W2" s="346"/>
      <c r="X2" s="346"/>
      <c r="Y2" s="346"/>
      <c r="Z2" s="347"/>
    </row>
    <row r="3" spans="1:26" ht="12.75" customHeight="1" x14ac:dyDescent="0.25">
      <c r="A3" s="333"/>
      <c r="B3" s="334"/>
      <c r="C3" s="334"/>
      <c r="D3" s="334"/>
      <c r="E3" s="334"/>
      <c r="F3" s="335"/>
      <c r="G3" s="309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1"/>
      <c r="U3" s="345"/>
      <c r="V3" s="346"/>
      <c r="W3" s="346"/>
      <c r="X3" s="346"/>
      <c r="Y3" s="346"/>
      <c r="Z3" s="347"/>
    </row>
    <row r="4" spans="1:26" ht="12.75" customHeight="1" x14ac:dyDescent="0.25">
      <c r="A4" s="333"/>
      <c r="B4" s="334"/>
      <c r="C4" s="334"/>
      <c r="D4" s="334"/>
      <c r="E4" s="334"/>
      <c r="F4" s="335"/>
      <c r="G4" s="309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1"/>
      <c r="U4" s="345"/>
      <c r="V4" s="346"/>
      <c r="W4" s="346"/>
      <c r="X4" s="346"/>
      <c r="Y4" s="346"/>
      <c r="Z4" s="347"/>
    </row>
    <row r="5" spans="1:26" ht="12.75" customHeight="1" x14ac:dyDescent="0.25">
      <c r="A5" s="333"/>
      <c r="B5" s="334"/>
      <c r="C5" s="334"/>
      <c r="D5" s="334"/>
      <c r="E5" s="334"/>
      <c r="F5" s="335"/>
      <c r="G5" s="312" t="s">
        <v>2</v>
      </c>
      <c r="H5" s="313"/>
      <c r="I5" s="314">
        <v>2</v>
      </c>
      <c r="J5" s="314"/>
      <c r="K5" s="315"/>
      <c r="L5" s="316" t="s">
        <v>49</v>
      </c>
      <c r="M5" s="317"/>
      <c r="N5" s="317"/>
      <c r="O5" s="318"/>
      <c r="P5" s="319" t="s">
        <v>3</v>
      </c>
      <c r="Q5" s="320"/>
      <c r="R5" s="320"/>
      <c r="S5" s="320"/>
      <c r="T5" s="321"/>
      <c r="U5" s="345"/>
      <c r="V5" s="346"/>
      <c r="W5" s="346"/>
      <c r="X5" s="346"/>
      <c r="Y5" s="346"/>
      <c r="Z5" s="347"/>
    </row>
    <row r="6" spans="1:26" ht="12.75" customHeight="1" x14ac:dyDescent="0.25">
      <c r="A6" s="336"/>
      <c r="B6" s="337"/>
      <c r="C6" s="337"/>
      <c r="D6" s="337"/>
      <c r="E6" s="337"/>
      <c r="F6" s="338"/>
      <c r="G6" s="2"/>
      <c r="H6" s="3"/>
      <c r="I6" s="322" t="s">
        <v>4</v>
      </c>
      <c r="J6" s="322"/>
      <c r="K6" s="322"/>
      <c r="L6" s="322" t="s">
        <v>5</v>
      </c>
      <c r="M6" s="322"/>
      <c r="N6" s="322"/>
      <c r="O6" s="322"/>
      <c r="P6" s="322" t="s">
        <v>6</v>
      </c>
      <c r="Q6" s="322"/>
      <c r="R6" s="322"/>
      <c r="S6" s="322"/>
      <c r="T6" s="326"/>
      <c r="U6" s="348"/>
      <c r="V6" s="349"/>
      <c r="W6" s="349"/>
      <c r="X6" s="349"/>
      <c r="Y6" s="349"/>
      <c r="Z6" s="350"/>
    </row>
    <row r="7" spans="1:26" ht="36.6" customHeight="1" x14ac:dyDescent="0.25">
      <c r="A7" s="327" t="s">
        <v>7</v>
      </c>
      <c r="B7" s="327"/>
      <c r="C7" s="327"/>
      <c r="D7" s="327"/>
      <c r="E7" s="327"/>
      <c r="F7" s="327"/>
      <c r="G7" s="328" t="s">
        <v>8</v>
      </c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323" t="s">
        <v>11</v>
      </c>
      <c r="C10" s="323"/>
      <c r="D10" s="323"/>
      <c r="E10" s="323"/>
      <c r="F10" s="323"/>
      <c r="G10" s="323"/>
      <c r="H10" s="324" t="s">
        <v>12</v>
      </c>
      <c r="I10" s="324"/>
      <c r="J10" s="324"/>
      <c r="K10" s="324"/>
      <c r="L10" s="324"/>
      <c r="M10" s="324"/>
      <c r="N10" s="323" t="s">
        <v>13</v>
      </c>
      <c r="O10" s="323"/>
      <c r="P10" s="323"/>
      <c r="Q10" s="323"/>
      <c r="R10" s="323"/>
      <c r="S10" s="329" t="s">
        <v>52</v>
      </c>
      <c r="T10" s="325"/>
      <c r="U10" s="325"/>
      <c r="V10" s="325"/>
      <c r="W10" s="325"/>
      <c r="X10" s="325"/>
      <c r="Y10" s="325"/>
      <c r="Z10" s="12"/>
    </row>
    <row r="11" spans="1:26" ht="15.9" customHeight="1" x14ac:dyDescent="0.25">
      <c r="A11" s="9"/>
      <c r="B11" s="323" t="s">
        <v>14</v>
      </c>
      <c r="C11" s="323"/>
      <c r="D11" s="323"/>
      <c r="E11" s="323"/>
      <c r="F11" s="323"/>
      <c r="G11" s="323"/>
      <c r="H11" s="324" t="s">
        <v>3</v>
      </c>
      <c r="I11" s="324"/>
      <c r="J11" s="324"/>
      <c r="K11" s="324"/>
      <c r="L11" s="324"/>
      <c r="M11" s="324"/>
      <c r="N11" s="323" t="s">
        <v>15</v>
      </c>
      <c r="O11" s="323"/>
      <c r="P11" s="323"/>
      <c r="Q11" s="323"/>
      <c r="R11" s="323"/>
      <c r="S11" s="325" t="s">
        <v>16</v>
      </c>
      <c r="T11" s="325"/>
      <c r="U11" s="325"/>
      <c r="V11" s="325"/>
      <c r="W11" s="325"/>
      <c r="X11" s="325"/>
      <c r="Y11" s="325"/>
      <c r="Z11" s="12"/>
    </row>
    <row r="12" spans="1:26" ht="15.9" customHeight="1" x14ac:dyDescent="0.25">
      <c r="A12" s="9"/>
      <c r="B12" s="323" t="s">
        <v>17</v>
      </c>
      <c r="C12" s="323"/>
      <c r="D12" s="323"/>
      <c r="E12" s="323"/>
      <c r="F12" s="323"/>
      <c r="G12" s="323"/>
      <c r="H12" s="324" t="s">
        <v>54</v>
      </c>
      <c r="I12" s="324"/>
      <c r="J12" s="324"/>
      <c r="K12" s="324"/>
      <c r="L12" s="324"/>
      <c r="M12" s="324"/>
      <c r="N12" s="323" t="s">
        <v>18</v>
      </c>
      <c r="O12" s="323"/>
      <c r="P12" s="323"/>
      <c r="Q12" s="323"/>
      <c r="R12" s="323"/>
      <c r="S12" s="325" t="s">
        <v>19</v>
      </c>
      <c r="T12" s="325"/>
      <c r="U12" s="325"/>
      <c r="V12" s="325"/>
      <c r="W12" s="325"/>
      <c r="X12" s="325"/>
      <c r="Y12" s="32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363" t="s">
        <v>22</v>
      </c>
      <c r="C17" s="363"/>
      <c r="D17" s="363"/>
      <c r="E17" s="363"/>
      <c r="F17" s="363"/>
      <c r="G17" s="363"/>
      <c r="H17" s="363"/>
      <c r="I17" s="364"/>
      <c r="J17" s="364"/>
      <c r="K17" s="364"/>
      <c r="L17" s="364"/>
      <c r="M17" s="364"/>
      <c r="N17" s="364"/>
      <c r="O17" s="364"/>
      <c r="P17" s="364"/>
      <c r="Q17" s="364"/>
      <c r="R17" s="364"/>
      <c r="S17" s="364"/>
      <c r="T17" s="364"/>
      <c r="U17" s="364"/>
      <c r="V17" s="364"/>
      <c r="W17" s="364"/>
      <c r="X17" s="364"/>
      <c r="Y17" s="364"/>
      <c r="Z17" s="28"/>
    </row>
    <row r="18" spans="1:26" s="17" customFormat="1" ht="15" customHeight="1" x14ac:dyDescent="0.25">
      <c r="A18" s="24"/>
      <c r="B18" s="363" t="s">
        <v>23</v>
      </c>
      <c r="C18" s="363"/>
      <c r="D18" s="363"/>
      <c r="E18" s="363"/>
      <c r="F18" s="363"/>
      <c r="G18" s="363"/>
      <c r="H18" s="363"/>
      <c r="I18" s="365" t="s">
        <v>24</v>
      </c>
      <c r="J18" s="365"/>
      <c r="K18" s="27"/>
      <c r="L18" s="27" t="s">
        <v>25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366" t="s">
        <v>28</v>
      </c>
      <c r="K21" s="366"/>
      <c r="L21" s="366"/>
      <c r="M21" s="366"/>
      <c r="N21" s="366"/>
      <c r="O21" s="366"/>
      <c r="P21" s="36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351" t="s">
        <v>29</v>
      </c>
      <c r="C23" s="353" t="s">
        <v>30</v>
      </c>
      <c r="D23" s="353"/>
      <c r="E23" s="353"/>
      <c r="F23" s="353"/>
      <c r="G23" s="354"/>
      <c r="H23" s="357" t="s">
        <v>31</v>
      </c>
      <c r="I23" s="358"/>
      <c r="J23" s="359"/>
      <c r="K23" s="353" t="s">
        <v>32</v>
      </c>
      <c r="L23" s="353"/>
      <c r="M23" s="353"/>
      <c r="N23" s="353"/>
      <c r="O23" s="353"/>
      <c r="P23" s="354"/>
      <c r="Z23" s="11"/>
    </row>
    <row r="24" spans="1:26" ht="15.75" customHeight="1" x14ac:dyDescent="0.25">
      <c r="A24" s="9"/>
      <c r="B24" s="352"/>
      <c r="C24" s="355"/>
      <c r="D24" s="355"/>
      <c r="E24" s="355"/>
      <c r="F24" s="355"/>
      <c r="G24" s="356"/>
      <c r="H24" s="360" t="s">
        <v>33</v>
      </c>
      <c r="I24" s="361"/>
      <c r="J24" s="362"/>
      <c r="K24" s="355"/>
      <c r="L24" s="355"/>
      <c r="M24" s="355"/>
      <c r="N24" s="355"/>
      <c r="O24" s="355"/>
      <c r="P24" s="356"/>
      <c r="Z24" s="11"/>
    </row>
    <row r="25" spans="1:26" ht="19.5" customHeight="1" x14ac:dyDescent="0.25">
      <c r="A25" s="9"/>
      <c r="B25" s="45">
        <v>1</v>
      </c>
      <c r="C25" s="367"/>
      <c r="D25" s="368"/>
      <c r="E25" s="368"/>
      <c r="F25" s="368"/>
      <c r="G25" s="369"/>
      <c r="H25" s="370">
        <v>40</v>
      </c>
      <c r="I25" s="371"/>
      <c r="J25" s="372"/>
      <c r="K25" s="367"/>
      <c r="L25" s="368"/>
      <c r="M25" s="368"/>
      <c r="N25" s="368"/>
      <c r="O25" s="368"/>
      <c r="P25" s="369"/>
      <c r="Z25" s="11"/>
    </row>
    <row r="26" spans="1:26" ht="19.5" customHeight="1" x14ac:dyDescent="0.25">
      <c r="A26" s="9"/>
      <c r="B26" s="45">
        <v>2</v>
      </c>
      <c r="C26" s="367"/>
      <c r="D26" s="368"/>
      <c r="E26" s="368"/>
      <c r="F26" s="368"/>
      <c r="G26" s="369"/>
      <c r="H26" s="370">
        <v>61</v>
      </c>
      <c r="I26" s="371"/>
      <c r="J26" s="372"/>
      <c r="K26" s="367"/>
      <c r="L26" s="368"/>
      <c r="M26" s="368"/>
      <c r="N26" s="368"/>
      <c r="O26" s="368"/>
      <c r="P26" s="369"/>
      <c r="Z26" s="11"/>
    </row>
    <row r="27" spans="1:26" ht="19.5" customHeight="1" x14ac:dyDescent="0.25">
      <c r="A27" s="9"/>
      <c r="B27" s="45">
        <v>3</v>
      </c>
      <c r="C27" s="367"/>
      <c r="D27" s="368"/>
      <c r="E27" s="368"/>
      <c r="F27" s="368"/>
      <c r="G27" s="369"/>
      <c r="H27" s="370">
        <v>57</v>
      </c>
      <c r="I27" s="371"/>
      <c r="J27" s="372"/>
      <c r="K27" s="367"/>
      <c r="L27" s="368"/>
      <c r="M27" s="368"/>
      <c r="N27" s="368"/>
      <c r="O27" s="368"/>
      <c r="P27" s="369"/>
      <c r="Z27" s="11"/>
    </row>
    <row r="28" spans="1:26" ht="19.5" customHeight="1" x14ac:dyDescent="0.25">
      <c r="A28" s="9"/>
      <c r="B28" s="45">
        <v>4</v>
      </c>
      <c r="C28" s="367"/>
      <c r="D28" s="368"/>
      <c r="E28" s="368"/>
      <c r="F28" s="368"/>
      <c r="G28" s="369"/>
      <c r="H28" s="370">
        <v>77</v>
      </c>
      <c r="I28" s="371"/>
      <c r="J28" s="372"/>
      <c r="K28" s="367"/>
      <c r="L28" s="368"/>
      <c r="M28" s="368"/>
      <c r="N28" s="368"/>
      <c r="O28" s="368"/>
      <c r="P28" s="369"/>
      <c r="Z28" s="11"/>
    </row>
    <row r="29" spans="1:26" ht="19.5" customHeight="1" x14ac:dyDescent="0.25">
      <c r="A29" s="9"/>
      <c r="B29" s="45">
        <v>5</v>
      </c>
      <c r="C29" s="367"/>
      <c r="D29" s="368"/>
      <c r="E29" s="368"/>
      <c r="F29" s="368"/>
      <c r="G29" s="369"/>
      <c r="H29" s="370">
        <v>67</v>
      </c>
      <c r="I29" s="371"/>
      <c r="J29" s="372"/>
      <c r="K29" s="367"/>
      <c r="L29" s="368"/>
      <c r="M29" s="368"/>
      <c r="N29" s="368"/>
      <c r="O29" s="368"/>
      <c r="P29" s="369"/>
      <c r="Z29" s="11"/>
    </row>
    <row r="30" spans="1:26" ht="19.5" customHeight="1" x14ac:dyDescent="0.25">
      <c r="A30" s="9"/>
      <c r="B30" s="45">
        <v>6</v>
      </c>
      <c r="C30" s="367"/>
      <c r="D30" s="368"/>
      <c r="E30" s="368"/>
      <c r="F30" s="368"/>
      <c r="G30" s="369"/>
      <c r="H30" s="370">
        <v>86</v>
      </c>
      <c r="I30" s="371"/>
      <c r="J30" s="372"/>
      <c r="K30" s="367"/>
      <c r="L30" s="368"/>
      <c r="M30" s="368"/>
      <c r="N30" s="368"/>
      <c r="O30" s="368"/>
      <c r="P30" s="369"/>
      <c r="Z30" s="11"/>
    </row>
    <row r="31" spans="1:26" ht="19.5" customHeight="1" x14ac:dyDescent="0.25">
      <c r="A31" s="9"/>
      <c r="B31" s="45">
        <v>7</v>
      </c>
      <c r="C31" s="367"/>
      <c r="D31" s="368"/>
      <c r="E31" s="368"/>
      <c r="F31" s="368"/>
      <c r="G31" s="369"/>
      <c r="H31" s="370">
        <v>47</v>
      </c>
      <c r="I31" s="371"/>
      <c r="J31" s="372"/>
      <c r="K31" s="367"/>
      <c r="L31" s="368"/>
      <c r="M31" s="368"/>
      <c r="N31" s="368"/>
      <c r="O31" s="368"/>
      <c r="P31" s="369"/>
      <c r="Z31" s="11"/>
    </row>
    <row r="32" spans="1:26" ht="19.5" customHeight="1" x14ac:dyDescent="0.25">
      <c r="A32" s="9"/>
      <c r="B32" s="45">
        <v>8</v>
      </c>
      <c r="C32" s="367"/>
      <c r="D32" s="368"/>
      <c r="E32" s="368"/>
      <c r="F32" s="368"/>
      <c r="G32" s="369"/>
      <c r="H32" s="370">
        <v>45</v>
      </c>
      <c r="I32" s="371"/>
      <c r="J32" s="372"/>
      <c r="K32" s="367"/>
      <c r="L32" s="368"/>
      <c r="M32" s="368"/>
      <c r="N32" s="368"/>
      <c r="O32" s="368"/>
      <c r="P32" s="369"/>
      <c r="Z32" s="11"/>
    </row>
    <row r="33" spans="1:26" ht="19.5" customHeight="1" x14ac:dyDescent="0.25">
      <c r="A33" s="9"/>
      <c r="B33" s="45">
        <v>9</v>
      </c>
      <c r="C33" s="367"/>
      <c r="D33" s="368"/>
      <c r="E33" s="368"/>
      <c r="F33" s="368"/>
      <c r="G33" s="369"/>
      <c r="H33" s="370">
        <v>53</v>
      </c>
      <c r="I33" s="371"/>
      <c r="J33" s="372"/>
      <c r="K33" s="367"/>
      <c r="L33" s="368"/>
      <c r="M33" s="368"/>
      <c r="N33" s="368"/>
      <c r="O33" s="368"/>
      <c r="P33" s="369"/>
      <c r="Z33" s="11"/>
    </row>
    <row r="34" spans="1:26" ht="19.5" customHeight="1" x14ac:dyDescent="0.25">
      <c r="A34" s="9"/>
      <c r="B34" s="45">
        <v>10</v>
      </c>
      <c r="C34" s="367"/>
      <c r="D34" s="368"/>
      <c r="E34" s="368"/>
      <c r="F34" s="368"/>
      <c r="G34" s="369"/>
      <c r="H34" s="370">
        <v>60</v>
      </c>
      <c r="I34" s="371"/>
      <c r="J34" s="372"/>
      <c r="K34" s="367"/>
      <c r="L34" s="368"/>
      <c r="M34" s="368"/>
      <c r="N34" s="368"/>
      <c r="O34" s="368"/>
      <c r="P34" s="369"/>
      <c r="Z34" s="11"/>
    </row>
    <row r="35" spans="1:26" ht="19.5" customHeight="1" x14ac:dyDescent="0.25">
      <c r="A35" s="9"/>
      <c r="B35" s="45">
        <v>11</v>
      </c>
      <c r="C35" s="367"/>
      <c r="D35" s="368"/>
      <c r="E35" s="368"/>
      <c r="F35" s="368"/>
      <c r="G35" s="369"/>
      <c r="H35" s="370">
        <v>63</v>
      </c>
      <c r="I35" s="371"/>
      <c r="J35" s="372"/>
      <c r="K35" s="367"/>
      <c r="L35" s="368"/>
      <c r="M35" s="368"/>
      <c r="N35" s="368"/>
      <c r="O35" s="368"/>
      <c r="P35" s="369"/>
      <c r="Z35" s="11"/>
    </row>
    <row r="36" spans="1:26" ht="19.5" customHeight="1" x14ac:dyDescent="0.25">
      <c r="A36" s="9"/>
      <c r="B36" s="45">
        <v>12</v>
      </c>
      <c r="C36" s="367"/>
      <c r="D36" s="368"/>
      <c r="E36" s="368"/>
      <c r="F36" s="368"/>
      <c r="G36" s="369"/>
      <c r="H36" s="370">
        <v>65</v>
      </c>
      <c r="I36" s="371"/>
      <c r="J36" s="372"/>
      <c r="K36" s="367"/>
      <c r="L36" s="368"/>
      <c r="M36" s="368"/>
      <c r="N36" s="368"/>
      <c r="O36" s="368"/>
      <c r="P36" s="369"/>
      <c r="Z36" s="11"/>
    </row>
    <row r="37" spans="1:26" ht="19.5" customHeight="1" x14ac:dyDescent="0.25">
      <c r="A37" s="9"/>
      <c r="B37" s="45">
        <v>13</v>
      </c>
      <c r="C37" s="367"/>
      <c r="D37" s="368"/>
      <c r="E37" s="368"/>
      <c r="F37" s="368"/>
      <c r="G37" s="369"/>
      <c r="H37" s="370">
        <v>29</v>
      </c>
      <c r="I37" s="371"/>
      <c r="J37" s="372"/>
      <c r="K37" s="367"/>
      <c r="L37" s="368"/>
      <c r="M37" s="368"/>
      <c r="N37" s="368"/>
      <c r="O37" s="368"/>
      <c r="P37" s="369"/>
      <c r="Z37" s="11"/>
    </row>
    <row r="38" spans="1:26" ht="19.5" customHeight="1" x14ac:dyDescent="0.25">
      <c r="A38" s="9"/>
      <c r="B38" s="45">
        <v>14</v>
      </c>
      <c r="C38" s="367"/>
      <c r="D38" s="368"/>
      <c r="E38" s="368"/>
      <c r="F38" s="368"/>
      <c r="G38" s="369"/>
      <c r="H38" s="370">
        <v>41</v>
      </c>
      <c r="I38" s="371"/>
      <c r="J38" s="372"/>
      <c r="K38" s="367"/>
      <c r="L38" s="368"/>
      <c r="M38" s="368"/>
      <c r="N38" s="368"/>
      <c r="O38" s="368"/>
      <c r="P38" s="369"/>
      <c r="Z38" s="11"/>
    </row>
    <row r="39" spans="1:26" ht="19.5" customHeight="1" x14ac:dyDescent="0.25">
      <c r="A39" s="9"/>
      <c r="B39" s="45">
        <v>15</v>
      </c>
      <c r="C39" s="367"/>
      <c r="D39" s="368"/>
      <c r="E39" s="368"/>
      <c r="F39" s="368"/>
      <c r="G39" s="369"/>
      <c r="H39" s="370">
        <v>41</v>
      </c>
      <c r="I39" s="371"/>
      <c r="J39" s="372"/>
      <c r="K39" s="367"/>
      <c r="L39" s="368"/>
      <c r="M39" s="368"/>
      <c r="N39" s="368"/>
      <c r="O39" s="368"/>
      <c r="P39" s="369"/>
      <c r="Z39" s="11"/>
    </row>
    <row r="40" spans="1:26" ht="19.5" customHeight="1" x14ac:dyDescent="0.25">
      <c r="A40" s="9"/>
      <c r="B40" s="45">
        <v>16</v>
      </c>
      <c r="C40" s="367"/>
      <c r="D40" s="368"/>
      <c r="E40" s="368"/>
      <c r="F40" s="368"/>
      <c r="G40" s="369"/>
      <c r="H40" s="370">
        <v>50</v>
      </c>
      <c r="I40" s="371"/>
      <c r="J40" s="372"/>
      <c r="K40" s="367"/>
      <c r="L40" s="368"/>
      <c r="M40" s="368"/>
      <c r="N40" s="368"/>
      <c r="O40" s="368"/>
      <c r="P40" s="369"/>
      <c r="Z40" s="11"/>
    </row>
    <row r="41" spans="1:26" ht="19.5" customHeight="1" x14ac:dyDescent="0.25">
      <c r="A41" s="9"/>
      <c r="B41" s="45">
        <v>17</v>
      </c>
      <c r="C41" s="367"/>
      <c r="D41" s="368"/>
      <c r="E41" s="368"/>
      <c r="F41" s="368"/>
      <c r="G41" s="369"/>
      <c r="H41" s="370">
        <v>40</v>
      </c>
      <c r="I41" s="371"/>
      <c r="J41" s="372"/>
      <c r="K41" s="367"/>
      <c r="L41" s="368"/>
      <c r="M41" s="368"/>
      <c r="N41" s="368"/>
      <c r="O41" s="368"/>
      <c r="P41" s="369"/>
      <c r="Z41" s="11"/>
    </row>
    <row r="42" spans="1:26" ht="19.5" customHeight="1" x14ac:dyDescent="0.25">
      <c r="A42" s="9"/>
      <c r="B42" s="45">
        <v>18</v>
      </c>
      <c r="C42" s="367"/>
      <c r="D42" s="368"/>
      <c r="E42" s="368"/>
      <c r="F42" s="368"/>
      <c r="G42" s="369"/>
      <c r="H42" s="370">
        <v>46</v>
      </c>
      <c r="I42" s="371"/>
      <c r="J42" s="372"/>
      <c r="K42" s="367"/>
      <c r="L42" s="368"/>
      <c r="M42" s="368"/>
      <c r="N42" s="368"/>
      <c r="O42" s="368"/>
      <c r="P42" s="369"/>
      <c r="Z42" s="11"/>
    </row>
    <row r="43" spans="1:26" ht="19.5" customHeight="1" x14ac:dyDescent="0.25">
      <c r="A43" s="9"/>
      <c r="B43" s="45">
        <v>19</v>
      </c>
      <c r="C43" s="367"/>
      <c r="D43" s="368"/>
      <c r="E43" s="368"/>
      <c r="F43" s="368"/>
      <c r="G43" s="369"/>
      <c r="H43" s="370">
        <v>36</v>
      </c>
      <c r="I43" s="371"/>
      <c r="J43" s="372"/>
      <c r="K43" s="367"/>
      <c r="L43" s="368"/>
      <c r="M43" s="368"/>
      <c r="N43" s="368"/>
      <c r="O43" s="368"/>
      <c r="P43" s="369"/>
      <c r="Z43" s="11"/>
    </row>
    <row r="44" spans="1:26" ht="19.5" customHeight="1" x14ac:dyDescent="0.25">
      <c r="A44" s="9"/>
      <c r="B44" s="45">
        <v>20</v>
      </c>
      <c r="C44" s="367"/>
      <c r="D44" s="368"/>
      <c r="E44" s="368"/>
      <c r="F44" s="368"/>
      <c r="G44" s="369"/>
      <c r="H44" s="370">
        <v>42</v>
      </c>
      <c r="I44" s="371"/>
      <c r="J44" s="372"/>
      <c r="K44" s="367"/>
      <c r="L44" s="368"/>
      <c r="M44" s="368"/>
      <c r="N44" s="368"/>
      <c r="O44" s="368"/>
      <c r="P44" s="369"/>
      <c r="Z44" s="11"/>
    </row>
    <row r="45" spans="1:26" ht="19.5" customHeight="1" x14ac:dyDescent="0.25">
      <c r="A45" s="9"/>
      <c r="B45" s="45">
        <v>21</v>
      </c>
      <c r="C45" s="367"/>
      <c r="D45" s="368"/>
      <c r="E45" s="368"/>
      <c r="F45" s="368"/>
      <c r="G45" s="369"/>
      <c r="H45" s="370">
        <v>43</v>
      </c>
      <c r="I45" s="371"/>
      <c r="J45" s="372"/>
      <c r="K45" s="367"/>
      <c r="L45" s="368"/>
      <c r="M45" s="368"/>
      <c r="N45" s="368"/>
      <c r="O45" s="368"/>
      <c r="P45" s="369"/>
      <c r="Z45" s="11"/>
    </row>
    <row r="46" spans="1:26" ht="19.5" customHeight="1" x14ac:dyDescent="0.25">
      <c r="A46" s="9"/>
      <c r="B46" s="45">
        <v>22</v>
      </c>
      <c r="C46" s="367"/>
      <c r="D46" s="368"/>
      <c r="E46" s="368"/>
      <c r="F46" s="368"/>
      <c r="G46" s="369"/>
      <c r="H46" s="370">
        <v>55</v>
      </c>
      <c r="I46" s="371"/>
      <c r="J46" s="372"/>
      <c r="K46" s="367"/>
      <c r="L46" s="368"/>
      <c r="M46" s="368"/>
      <c r="N46" s="368"/>
      <c r="O46" s="368"/>
      <c r="P46" s="369"/>
      <c r="Z46" s="11"/>
    </row>
    <row r="47" spans="1:26" ht="19.5" customHeight="1" x14ac:dyDescent="0.25">
      <c r="A47" s="9"/>
      <c r="B47" s="45">
        <v>23</v>
      </c>
      <c r="C47" s="367"/>
      <c r="D47" s="368"/>
      <c r="E47" s="368"/>
      <c r="F47" s="368"/>
      <c r="G47" s="369"/>
      <c r="H47" s="370">
        <v>32</v>
      </c>
      <c r="I47" s="371"/>
      <c r="J47" s="372"/>
      <c r="K47" s="367"/>
      <c r="L47" s="368"/>
      <c r="M47" s="368"/>
      <c r="N47" s="368"/>
      <c r="O47" s="368"/>
      <c r="P47" s="369"/>
      <c r="Z47" s="11"/>
    </row>
    <row r="48" spans="1:26" ht="19.5" customHeight="1" x14ac:dyDescent="0.25">
      <c r="A48" s="9"/>
      <c r="B48" s="45">
        <v>24</v>
      </c>
      <c r="C48" s="367"/>
      <c r="D48" s="368"/>
      <c r="E48" s="368"/>
      <c r="F48" s="368"/>
      <c r="G48" s="369"/>
      <c r="H48" s="370">
        <v>49</v>
      </c>
      <c r="I48" s="371"/>
      <c r="J48" s="372"/>
      <c r="K48" s="367"/>
      <c r="L48" s="368"/>
      <c r="M48" s="368"/>
      <c r="N48" s="368"/>
      <c r="O48" s="368"/>
      <c r="P48" s="369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thickBot="1" x14ac:dyDescent="0.3">
      <c r="A54" s="9"/>
      <c r="B54" s="46"/>
      <c r="C54" s="373"/>
      <c r="D54" s="374"/>
      <c r="E54" s="374"/>
      <c r="F54" s="374"/>
      <c r="G54" s="375"/>
      <c r="H54" s="376"/>
      <c r="I54" s="377"/>
      <c r="J54" s="378"/>
      <c r="K54" s="373"/>
      <c r="L54" s="374"/>
      <c r="M54" s="374"/>
      <c r="N54" s="374"/>
      <c r="O54" s="374"/>
      <c r="P54" s="375"/>
      <c r="Z54" s="11"/>
    </row>
    <row r="55" spans="1:26" ht="15.75" customHeight="1" x14ac:dyDescent="0.25">
      <c r="A55" s="9"/>
      <c r="B55" s="379" t="s">
        <v>35</v>
      </c>
      <c r="C55" s="380"/>
      <c r="D55" s="380"/>
      <c r="E55" s="380"/>
      <c r="F55" s="380"/>
      <c r="G55" s="381"/>
      <c r="H55" s="382">
        <f>AVERAGE(H25:J54)</f>
        <v>51.041666666666664</v>
      </c>
      <c r="I55" s="383"/>
      <c r="J55" s="384"/>
      <c r="K55" s="385"/>
      <c r="L55" s="386"/>
      <c r="M55" s="391" t="s">
        <v>36</v>
      </c>
      <c r="N55" s="391"/>
      <c r="O55" s="391"/>
      <c r="P55" s="392"/>
      <c r="Z55" s="11"/>
    </row>
    <row r="56" spans="1:26" ht="15.75" customHeight="1" x14ac:dyDescent="0.25">
      <c r="A56" s="9"/>
      <c r="B56" s="397" t="s">
        <v>37</v>
      </c>
      <c r="C56" s="398"/>
      <c r="D56" s="398"/>
      <c r="E56" s="398"/>
      <c r="F56" s="398"/>
      <c r="G56" s="399"/>
      <c r="H56" s="400">
        <f>IF(COUNTIF(H25:J54,"*&lt;20*"),"&lt;20",MIN(H25:J54))</f>
        <v>29</v>
      </c>
      <c r="I56" s="401"/>
      <c r="J56" s="402"/>
      <c r="K56" s="387"/>
      <c r="L56" s="388"/>
      <c r="M56" s="393"/>
      <c r="N56" s="393"/>
      <c r="O56" s="393"/>
      <c r="P56" s="394"/>
      <c r="Z56" s="11"/>
    </row>
    <row r="57" spans="1:26" ht="15.75" customHeight="1" thickBot="1" x14ac:dyDescent="0.3">
      <c r="A57" s="9"/>
      <c r="B57" s="403" t="s">
        <v>38</v>
      </c>
      <c r="C57" s="404"/>
      <c r="D57" s="404"/>
      <c r="E57" s="404"/>
      <c r="F57" s="404"/>
      <c r="G57" s="405"/>
      <c r="H57" s="418">
        <f>IF(COUNTIF(H25:J54,"*&gt;250*"),"&gt;250",MAX(H25:J54))</f>
        <v>86</v>
      </c>
      <c r="I57" s="419"/>
      <c r="J57" s="420"/>
      <c r="K57" s="389"/>
      <c r="L57" s="390"/>
      <c r="M57" s="395"/>
      <c r="N57" s="395"/>
      <c r="O57" s="395"/>
      <c r="P57" s="396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39</v>
      </c>
      <c r="B60" s="5" t="s">
        <v>40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421" t="s">
        <v>41</v>
      </c>
      <c r="B61" s="422"/>
      <c r="C61" s="422"/>
      <c r="D61" s="422"/>
      <c r="E61" s="422"/>
      <c r="F61" s="422"/>
      <c r="G61" s="422"/>
      <c r="H61" s="422"/>
      <c r="I61" s="422"/>
      <c r="J61" s="422"/>
      <c r="K61" s="422"/>
      <c r="L61" s="422"/>
      <c r="M61" s="422"/>
      <c r="N61" s="422"/>
      <c r="O61" s="422"/>
      <c r="P61" s="422"/>
      <c r="Q61" s="423"/>
      <c r="R61" s="412" t="s">
        <v>42</v>
      </c>
      <c r="S61" s="413"/>
      <c r="T61" s="414"/>
      <c r="U61" s="424" t="s">
        <v>12</v>
      </c>
      <c r="V61" s="425"/>
      <c r="W61" s="425"/>
      <c r="X61" s="426"/>
      <c r="Y61" s="426"/>
      <c r="Z61" s="427"/>
    </row>
    <row r="62" spans="1:26" s="17" customFormat="1" ht="15.6" customHeight="1" x14ac:dyDescent="0.25">
      <c r="A62" s="428" t="s">
        <v>51</v>
      </c>
      <c r="B62" s="429"/>
      <c r="C62" s="429"/>
      <c r="D62" s="429"/>
      <c r="E62" s="429"/>
      <c r="F62" s="429"/>
      <c r="G62" s="429"/>
      <c r="H62" s="429"/>
      <c r="I62" s="429"/>
      <c r="J62" s="429"/>
      <c r="K62" s="429"/>
      <c r="L62" s="429"/>
      <c r="M62" s="429"/>
      <c r="N62" s="429"/>
      <c r="O62" s="429"/>
      <c r="P62" s="429"/>
      <c r="Q62" s="430"/>
      <c r="R62" s="412" t="s">
        <v>43</v>
      </c>
      <c r="S62" s="413"/>
      <c r="T62" s="414"/>
      <c r="U62" s="434" t="s">
        <v>44</v>
      </c>
      <c r="V62" s="435"/>
      <c r="W62" s="435"/>
      <c r="X62" s="436"/>
      <c r="Y62" s="436"/>
      <c r="Z62" s="437"/>
    </row>
    <row r="63" spans="1:26" s="17" customFormat="1" ht="15.6" customHeight="1" x14ac:dyDescent="0.25">
      <c r="A63" s="431"/>
      <c r="B63" s="432"/>
      <c r="C63" s="432"/>
      <c r="D63" s="432"/>
      <c r="E63" s="432"/>
      <c r="F63" s="432"/>
      <c r="G63" s="432"/>
      <c r="H63" s="432"/>
      <c r="I63" s="432"/>
      <c r="J63" s="432"/>
      <c r="K63" s="432"/>
      <c r="L63" s="432"/>
      <c r="M63" s="432"/>
      <c r="N63" s="432"/>
      <c r="O63" s="432"/>
      <c r="P63" s="432"/>
      <c r="Q63" s="433"/>
      <c r="R63" s="412"/>
      <c r="S63" s="413"/>
      <c r="T63" s="414"/>
      <c r="U63" s="438"/>
      <c r="V63" s="393"/>
      <c r="W63" s="393"/>
      <c r="X63" s="439"/>
      <c r="Y63" s="439"/>
      <c r="Z63" s="440"/>
    </row>
    <row r="64" spans="1:26" s="17" customFormat="1" ht="15.6" customHeight="1" x14ac:dyDescent="0.25">
      <c r="A64" s="55" t="s">
        <v>45</v>
      </c>
      <c r="B64" s="56" t="s">
        <v>46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412"/>
      <c r="S64" s="413"/>
      <c r="T64" s="414"/>
      <c r="U64" s="441"/>
      <c r="V64" s="442"/>
      <c r="W64" s="442"/>
      <c r="X64" s="443"/>
      <c r="Y64" s="443"/>
      <c r="Z64" s="444"/>
    </row>
    <row r="65" spans="1:26" s="17" customFormat="1" ht="15.6" customHeight="1" x14ac:dyDescent="0.25">
      <c r="A65" s="406"/>
      <c r="B65" s="407"/>
      <c r="C65" s="407"/>
      <c r="D65" s="407"/>
      <c r="E65" s="407"/>
      <c r="F65" s="407"/>
      <c r="G65" s="407"/>
      <c r="H65" s="407"/>
      <c r="I65" s="407"/>
      <c r="J65" s="407"/>
      <c r="K65" s="407"/>
      <c r="L65" s="407"/>
      <c r="M65" s="407"/>
      <c r="N65" s="407"/>
      <c r="O65" s="407"/>
      <c r="P65" s="407"/>
      <c r="Q65" s="408"/>
      <c r="R65" s="412" t="s">
        <v>47</v>
      </c>
      <c r="S65" s="413"/>
      <c r="T65" s="414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406"/>
      <c r="B66" s="407"/>
      <c r="C66" s="407"/>
      <c r="D66" s="407"/>
      <c r="E66" s="407"/>
      <c r="F66" s="407"/>
      <c r="G66" s="407"/>
      <c r="H66" s="407"/>
      <c r="I66" s="407"/>
      <c r="J66" s="407"/>
      <c r="K66" s="407"/>
      <c r="L66" s="407"/>
      <c r="M66" s="407"/>
      <c r="N66" s="407"/>
      <c r="O66" s="407"/>
      <c r="P66" s="407"/>
      <c r="Q66" s="408"/>
      <c r="R66" s="412"/>
      <c r="S66" s="413"/>
      <c r="T66" s="414"/>
      <c r="U66" s="61"/>
      <c r="V66" s="393"/>
      <c r="W66" s="393"/>
      <c r="X66" s="393"/>
      <c r="Y66" s="393"/>
      <c r="Z66" s="62"/>
    </row>
    <row r="67" spans="1:26" s="17" customFormat="1" ht="15.6" customHeight="1" x14ac:dyDescent="0.25">
      <c r="A67" s="406"/>
      <c r="B67" s="407"/>
      <c r="C67" s="407"/>
      <c r="D67" s="407"/>
      <c r="E67" s="407"/>
      <c r="F67" s="407"/>
      <c r="G67" s="407"/>
      <c r="H67" s="407"/>
      <c r="I67" s="407"/>
      <c r="J67" s="407"/>
      <c r="K67" s="407"/>
      <c r="L67" s="407"/>
      <c r="M67" s="407"/>
      <c r="N67" s="407"/>
      <c r="O67" s="407"/>
      <c r="P67" s="407"/>
      <c r="Q67" s="408"/>
      <c r="R67" s="412"/>
      <c r="S67" s="413"/>
      <c r="T67" s="414"/>
      <c r="U67" s="61"/>
      <c r="V67" s="393"/>
      <c r="W67" s="393"/>
      <c r="X67" s="393"/>
      <c r="Y67" s="393"/>
      <c r="Z67" s="62"/>
    </row>
    <row r="68" spans="1:26" s="17" customFormat="1" ht="15.6" customHeight="1" x14ac:dyDescent="0.25">
      <c r="A68" s="409"/>
      <c r="B68" s="410"/>
      <c r="C68" s="410"/>
      <c r="D68" s="410"/>
      <c r="E68" s="410"/>
      <c r="F68" s="410"/>
      <c r="G68" s="410"/>
      <c r="H68" s="410"/>
      <c r="I68" s="410"/>
      <c r="J68" s="410"/>
      <c r="K68" s="410"/>
      <c r="L68" s="410"/>
      <c r="M68" s="410"/>
      <c r="N68" s="410"/>
      <c r="O68" s="410"/>
      <c r="P68" s="410"/>
      <c r="Q68" s="411"/>
      <c r="R68" s="415"/>
      <c r="S68" s="416"/>
      <c r="T68" s="417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27">
    <mergeCell ref="A65:Q68"/>
    <mergeCell ref="R65:T68"/>
    <mergeCell ref="V66:Y67"/>
    <mergeCell ref="H57:J57"/>
    <mergeCell ref="A61:Q61"/>
    <mergeCell ref="R61:T61"/>
    <mergeCell ref="U61:Z61"/>
    <mergeCell ref="A62:Q63"/>
    <mergeCell ref="R62:T64"/>
    <mergeCell ref="U62:Z64"/>
    <mergeCell ref="C54:G54"/>
    <mergeCell ref="H54:J54"/>
    <mergeCell ref="K54:P54"/>
    <mergeCell ref="B55:G55"/>
    <mergeCell ref="H55:J55"/>
    <mergeCell ref="K55:L57"/>
    <mergeCell ref="M55:P57"/>
    <mergeCell ref="B56:G56"/>
    <mergeCell ref="H56:J56"/>
    <mergeCell ref="B57:G57"/>
    <mergeCell ref="C47:G47"/>
    <mergeCell ref="H47:J47"/>
    <mergeCell ref="K47:P47"/>
    <mergeCell ref="C48:G48"/>
    <mergeCell ref="H48:J48"/>
    <mergeCell ref="K48:P48"/>
    <mergeCell ref="C45:G45"/>
    <mergeCell ref="H45:J45"/>
    <mergeCell ref="K45:P45"/>
    <mergeCell ref="C46:G46"/>
    <mergeCell ref="H46:J46"/>
    <mergeCell ref="K46:P46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C27:G27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opLeftCell="A4" workbookViewId="0">
      <selection activeCell="I6" sqref="I6:K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330"/>
      <c r="B1" s="331"/>
      <c r="C1" s="331"/>
      <c r="D1" s="331"/>
      <c r="E1" s="331"/>
      <c r="F1" s="332"/>
      <c r="G1" s="339" t="s">
        <v>0</v>
      </c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1"/>
      <c r="U1" s="342" t="s">
        <v>48</v>
      </c>
      <c r="V1" s="343"/>
      <c r="W1" s="343"/>
      <c r="X1" s="343"/>
      <c r="Y1" s="343"/>
      <c r="Z1" s="344"/>
    </row>
    <row r="2" spans="1:26" ht="12.75" customHeight="1" x14ac:dyDescent="0.25">
      <c r="A2" s="333"/>
      <c r="B2" s="334"/>
      <c r="C2" s="334"/>
      <c r="D2" s="334"/>
      <c r="E2" s="334"/>
      <c r="F2" s="335"/>
      <c r="G2" s="309" t="s">
        <v>1</v>
      </c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1"/>
      <c r="U2" s="345"/>
      <c r="V2" s="346"/>
      <c r="W2" s="346"/>
      <c r="X2" s="346"/>
      <c r="Y2" s="346"/>
      <c r="Z2" s="347"/>
    </row>
    <row r="3" spans="1:26" ht="12.75" customHeight="1" x14ac:dyDescent="0.25">
      <c r="A3" s="333"/>
      <c r="B3" s="334"/>
      <c r="C3" s="334"/>
      <c r="D3" s="334"/>
      <c r="E3" s="334"/>
      <c r="F3" s="335"/>
      <c r="G3" s="309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1"/>
      <c r="U3" s="345"/>
      <c r="V3" s="346"/>
      <c r="W3" s="346"/>
      <c r="X3" s="346"/>
      <c r="Y3" s="346"/>
      <c r="Z3" s="347"/>
    </row>
    <row r="4" spans="1:26" ht="12.75" customHeight="1" x14ac:dyDescent="0.25">
      <c r="A4" s="333"/>
      <c r="B4" s="334"/>
      <c r="C4" s="334"/>
      <c r="D4" s="334"/>
      <c r="E4" s="334"/>
      <c r="F4" s="335"/>
      <c r="G4" s="309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1"/>
      <c r="U4" s="345"/>
      <c r="V4" s="346"/>
      <c r="W4" s="346"/>
      <c r="X4" s="346"/>
      <c r="Y4" s="346"/>
      <c r="Z4" s="347"/>
    </row>
    <row r="5" spans="1:26" ht="12.75" customHeight="1" x14ac:dyDescent="0.25">
      <c r="A5" s="333"/>
      <c r="B5" s="334"/>
      <c r="C5" s="334"/>
      <c r="D5" s="334"/>
      <c r="E5" s="334"/>
      <c r="F5" s="335"/>
      <c r="G5" s="312" t="s">
        <v>2</v>
      </c>
      <c r="H5" s="313"/>
      <c r="I5" s="314">
        <v>1</v>
      </c>
      <c r="J5" s="314"/>
      <c r="K5" s="315"/>
      <c r="L5" s="316" t="s">
        <v>49</v>
      </c>
      <c r="M5" s="317"/>
      <c r="N5" s="317"/>
      <c r="O5" s="318"/>
      <c r="P5" s="319" t="s">
        <v>3</v>
      </c>
      <c r="Q5" s="320"/>
      <c r="R5" s="320"/>
      <c r="S5" s="320"/>
      <c r="T5" s="321"/>
      <c r="U5" s="345"/>
      <c r="V5" s="346"/>
      <c r="W5" s="346"/>
      <c r="X5" s="346"/>
      <c r="Y5" s="346"/>
      <c r="Z5" s="347"/>
    </row>
    <row r="6" spans="1:26" ht="12.75" customHeight="1" x14ac:dyDescent="0.25">
      <c r="A6" s="336"/>
      <c r="B6" s="337"/>
      <c r="C6" s="337"/>
      <c r="D6" s="337"/>
      <c r="E6" s="337"/>
      <c r="F6" s="338"/>
      <c r="G6" s="2"/>
      <c r="H6" s="3"/>
      <c r="I6" s="322" t="s">
        <v>4</v>
      </c>
      <c r="J6" s="322"/>
      <c r="K6" s="322"/>
      <c r="L6" s="322" t="s">
        <v>5</v>
      </c>
      <c r="M6" s="322"/>
      <c r="N6" s="322"/>
      <c r="O6" s="322"/>
      <c r="P6" s="322" t="s">
        <v>6</v>
      </c>
      <c r="Q6" s="322"/>
      <c r="R6" s="322"/>
      <c r="S6" s="322"/>
      <c r="T6" s="326"/>
      <c r="U6" s="348"/>
      <c r="V6" s="349"/>
      <c r="W6" s="349"/>
      <c r="X6" s="349"/>
      <c r="Y6" s="349"/>
      <c r="Z6" s="350"/>
    </row>
    <row r="7" spans="1:26" ht="36.6" customHeight="1" x14ac:dyDescent="0.25">
      <c r="A7" s="327" t="s">
        <v>7</v>
      </c>
      <c r="B7" s="327"/>
      <c r="C7" s="327"/>
      <c r="D7" s="327"/>
      <c r="E7" s="327"/>
      <c r="F7" s="327"/>
      <c r="G7" s="328" t="s">
        <v>8</v>
      </c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323" t="s">
        <v>11</v>
      </c>
      <c r="C10" s="323"/>
      <c r="D10" s="323"/>
      <c r="E10" s="323"/>
      <c r="F10" s="323"/>
      <c r="G10" s="323"/>
      <c r="H10" s="324" t="s">
        <v>12</v>
      </c>
      <c r="I10" s="324"/>
      <c r="J10" s="324"/>
      <c r="K10" s="324"/>
      <c r="L10" s="324"/>
      <c r="M10" s="324"/>
      <c r="N10" s="323" t="s">
        <v>13</v>
      </c>
      <c r="O10" s="323"/>
      <c r="P10" s="323"/>
      <c r="Q10" s="323"/>
      <c r="R10" s="323"/>
      <c r="S10" s="325" t="s">
        <v>50</v>
      </c>
      <c r="T10" s="325"/>
      <c r="U10" s="325"/>
      <c r="V10" s="325"/>
      <c r="W10" s="325"/>
      <c r="X10" s="325"/>
      <c r="Y10" s="325"/>
      <c r="Z10" s="12"/>
    </row>
    <row r="11" spans="1:26" ht="15.9" customHeight="1" x14ac:dyDescent="0.25">
      <c r="A11" s="9"/>
      <c r="B11" s="323" t="s">
        <v>14</v>
      </c>
      <c r="C11" s="323"/>
      <c r="D11" s="323"/>
      <c r="E11" s="323"/>
      <c r="F11" s="323"/>
      <c r="G11" s="323"/>
      <c r="H11" s="324" t="s">
        <v>3</v>
      </c>
      <c r="I11" s="324"/>
      <c r="J11" s="324"/>
      <c r="K11" s="324"/>
      <c r="L11" s="324"/>
      <c r="M11" s="324"/>
      <c r="N11" s="323" t="s">
        <v>15</v>
      </c>
      <c r="O11" s="323"/>
      <c r="P11" s="323"/>
      <c r="Q11" s="323"/>
      <c r="R11" s="323"/>
      <c r="S11" s="325" t="s">
        <v>16</v>
      </c>
      <c r="T11" s="325"/>
      <c r="U11" s="325"/>
      <c r="V11" s="325"/>
      <c r="W11" s="325"/>
      <c r="X11" s="325"/>
      <c r="Y11" s="325"/>
      <c r="Z11" s="12"/>
    </row>
    <row r="12" spans="1:26" ht="15.9" customHeight="1" x14ac:dyDescent="0.25">
      <c r="A12" s="9"/>
      <c r="B12" s="323" t="s">
        <v>17</v>
      </c>
      <c r="C12" s="323"/>
      <c r="D12" s="323"/>
      <c r="E12" s="323"/>
      <c r="F12" s="323"/>
      <c r="G12" s="323"/>
      <c r="H12" s="324" t="s">
        <v>53</v>
      </c>
      <c r="I12" s="324"/>
      <c r="J12" s="324"/>
      <c r="K12" s="324"/>
      <c r="L12" s="324"/>
      <c r="M12" s="324"/>
      <c r="N12" s="323" t="s">
        <v>18</v>
      </c>
      <c r="O12" s="323"/>
      <c r="P12" s="323"/>
      <c r="Q12" s="323"/>
      <c r="R12" s="323"/>
      <c r="S12" s="325" t="s">
        <v>19</v>
      </c>
      <c r="T12" s="325"/>
      <c r="U12" s="325"/>
      <c r="V12" s="325"/>
      <c r="W12" s="325"/>
      <c r="X12" s="325"/>
      <c r="Y12" s="32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363" t="s">
        <v>22</v>
      </c>
      <c r="C17" s="363"/>
      <c r="D17" s="363"/>
      <c r="E17" s="363"/>
      <c r="F17" s="363"/>
      <c r="G17" s="363"/>
      <c r="H17" s="363"/>
      <c r="I17" s="364"/>
      <c r="J17" s="364"/>
      <c r="K17" s="364"/>
      <c r="L17" s="364"/>
      <c r="M17" s="364"/>
      <c r="N17" s="364"/>
      <c r="O17" s="364"/>
      <c r="P17" s="364"/>
      <c r="Q17" s="364"/>
      <c r="R17" s="364"/>
      <c r="S17" s="364"/>
      <c r="T17" s="364"/>
      <c r="U17" s="364"/>
      <c r="V17" s="364"/>
      <c r="W17" s="364"/>
      <c r="X17" s="364"/>
      <c r="Y17" s="364"/>
      <c r="Z17" s="28"/>
    </row>
    <row r="18" spans="1:26" s="17" customFormat="1" ht="15" customHeight="1" x14ac:dyDescent="0.25">
      <c r="A18" s="24"/>
      <c r="B18" s="363" t="s">
        <v>23</v>
      </c>
      <c r="C18" s="363"/>
      <c r="D18" s="363"/>
      <c r="E18" s="363"/>
      <c r="F18" s="363"/>
      <c r="G18" s="363"/>
      <c r="H18" s="363"/>
      <c r="I18" s="365" t="s">
        <v>24</v>
      </c>
      <c r="J18" s="365"/>
      <c r="K18" s="27"/>
      <c r="L18" s="27" t="s">
        <v>25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366" t="s">
        <v>28</v>
      </c>
      <c r="K21" s="366"/>
      <c r="L21" s="366"/>
      <c r="M21" s="366"/>
      <c r="N21" s="366"/>
      <c r="O21" s="366"/>
      <c r="P21" s="36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351" t="s">
        <v>29</v>
      </c>
      <c r="C23" s="353" t="s">
        <v>30</v>
      </c>
      <c r="D23" s="353"/>
      <c r="E23" s="353"/>
      <c r="F23" s="353"/>
      <c r="G23" s="354"/>
      <c r="H23" s="357" t="s">
        <v>31</v>
      </c>
      <c r="I23" s="358"/>
      <c r="J23" s="359"/>
      <c r="K23" s="353" t="s">
        <v>32</v>
      </c>
      <c r="L23" s="353"/>
      <c r="M23" s="353"/>
      <c r="N23" s="353"/>
      <c r="O23" s="353"/>
      <c r="P23" s="354"/>
      <c r="Z23" s="11"/>
    </row>
    <row r="24" spans="1:26" ht="15.75" customHeight="1" x14ac:dyDescent="0.25">
      <c r="A24" s="9"/>
      <c r="B24" s="352"/>
      <c r="C24" s="355"/>
      <c r="D24" s="355"/>
      <c r="E24" s="355"/>
      <c r="F24" s="355"/>
      <c r="G24" s="356"/>
      <c r="H24" s="360" t="s">
        <v>33</v>
      </c>
      <c r="I24" s="361"/>
      <c r="J24" s="362"/>
      <c r="K24" s="355"/>
      <c r="L24" s="355"/>
      <c r="M24" s="355"/>
      <c r="N24" s="355"/>
      <c r="O24" s="355"/>
      <c r="P24" s="356"/>
      <c r="Z24" s="11"/>
    </row>
    <row r="25" spans="1:26" ht="19.5" customHeight="1" x14ac:dyDescent="0.25">
      <c r="A25" s="9"/>
      <c r="B25" s="45">
        <v>1</v>
      </c>
      <c r="C25" s="367"/>
      <c r="D25" s="368"/>
      <c r="E25" s="368"/>
      <c r="F25" s="368"/>
      <c r="G25" s="369"/>
      <c r="H25" s="370">
        <v>23</v>
      </c>
      <c r="I25" s="371"/>
      <c r="J25" s="372"/>
      <c r="K25" s="367"/>
      <c r="L25" s="368"/>
      <c r="M25" s="368"/>
      <c r="N25" s="368"/>
      <c r="O25" s="368"/>
      <c r="P25" s="369"/>
      <c r="Z25" s="11"/>
    </row>
    <row r="26" spans="1:26" ht="19.5" customHeight="1" x14ac:dyDescent="0.25">
      <c r="A26" s="9"/>
      <c r="B26" s="45">
        <v>2</v>
      </c>
      <c r="C26" s="367"/>
      <c r="D26" s="368"/>
      <c r="E26" s="368"/>
      <c r="F26" s="368"/>
      <c r="G26" s="369"/>
      <c r="H26" s="370" t="s">
        <v>34</v>
      </c>
      <c r="I26" s="371"/>
      <c r="J26" s="372"/>
      <c r="K26" s="367"/>
      <c r="L26" s="368"/>
      <c r="M26" s="368"/>
      <c r="N26" s="368"/>
      <c r="O26" s="368"/>
      <c r="P26" s="369"/>
      <c r="Z26" s="11"/>
    </row>
    <row r="27" spans="1:26" ht="19.5" customHeight="1" x14ac:dyDescent="0.25">
      <c r="A27" s="9"/>
      <c r="B27" s="45">
        <v>3</v>
      </c>
      <c r="C27" s="367"/>
      <c r="D27" s="368"/>
      <c r="E27" s="368"/>
      <c r="F27" s="368"/>
      <c r="G27" s="369"/>
      <c r="H27" s="370">
        <v>23</v>
      </c>
      <c r="I27" s="371"/>
      <c r="J27" s="372"/>
      <c r="K27" s="367"/>
      <c r="L27" s="368"/>
      <c r="M27" s="368"/>
      <c r="N27" s="368"/>
      <c r="O27" s="368"/>
      <c r="P27" s="369"/>
      <c r="Z27" s="11"/>
    </row>
    <row r="28" spans="1:26" ht="19.5" customHeight="1" x14ac:dyDescent="0.25">
      <c r="A28" s="9"/>
      <c r="B28" s="45">
        <v>4</v>
      </c>
      <c r="C28" s="367"/>
      <c r="D28" s="368"/>
      <c r="E28" s="368"/>
      <c r="F28" s="368"/>
      <c r="G28" s="369"/>
      <c r="H28" s="370" t="s">
        <v>34</v>
      </c>
      <c r="I28" s="371"/>
      <c r="J28" s="372"/>
      <c r="K28" s="367"/>
      <c r="L28" s="368"/>
      <c r="M28" s="368"/>
      <c r="N28" s="368"/>
      <c r="O28" s="368"/>
      <c r="P28" s="369"/>
      <c r="Z28" s="11"/>
    </row>
    <row r="29" spans="1:26" ht="19.5" customHeight="1" x14ac:dyDescent="0.25">
      <c r="A29" s="9"/>
      <c r="B29" s="45">
        <v>5</v>
      </c>
      <c r="C29" s="367"/>
      <c r="D29" s="368"/>
      <c r="E29" s="368"/>
      <c r="F29" s="368"/>
      <c r="G29" s="369"/>
      <c r="H29" s="370">
        <v>45</v>
      </c>
      <c r="I29" s="371"/>
      <c r="J29" s="372"/>
      <c r="K29" s="367"/>
      <c r="L29" s="368"/>
      <c r="M29" s="368"/>
      <c r="N29" s="368"/>
      <c r="O29" s="368"/>
      <c r="P29" s="369"/>
      <c r="Z29" s="11"/>
    </row>
    <row r="30" spans="1:26" ht="19.5" customHeight="1" x14ac:dyDescent="0.25">
      <c r="A30" s="9"/>
      <c r="B30" s="45">
        <v>6</v>
      </c>
      <c r="C30" s="367"/>
      <c r="D30" s="368"/>
      <c r="E30" s="368"/>
      <c r="F30" s="368"/>
      <c r="G30" s="369"/>
      <c r="H30" s="370" t="s">
        <v>34</v>
      </c>
      <c r="I30" s="371"/>
      <c r="J30" s="372"/>
      <c r="K30" s="367"/>
      <c r="L30" s="368"/>
      <c r="M30" s="368"/>
      <c r="N30" s="368"/>
      <c r="O30" s="368"/>
      <c r="P30" s="369"/>
      <c r="Z30" s="11"/>
    </row>
    <row r="31" spans="1:26" ht="19.5" customHeight="1" x14ac:dyDescent="0.25">
      <c r="A31" s="9"/>
      <c r="B31" s="45">
        <v>7</v>
      </c>
      <c r="C31" s="367"/>
      <c r="D31" s="368"/>
      <c r="E31" s="368"/>
      <c r="F31" s="368"/>
      <c r="G31" s="369"/>
      <c r="H31" s="370" t="s">
        <v>34</v>
      </c>
      <c r="I31" s="371"/>
      <c r="J31" s="372"/>
      <c r="K31" s="367"/>
      <c r="L31" s="368"/>
      <c r="M31" s="368"/>
      <c r="N31" s="368"/>
      <c r="O31" s="368"/>
      <c r="P31" s="369"/>
      <c r="Z31" s="11"/>
    </row>
    <row r="32" spans="1:26" ht="19.5" customHeight="1" x14ac:dyDescent="0.25">
      <c r="A32" s="9"/>
      <c r="B32" s="45">
        <v>8</v>
      </c>
      <c r="C32" s="367"/>
      <c r="D32" s="368"/>
      <c r="E32" s="368"/>
      <c r="F32" s="368"/>
      <c r="G32" s="369"/>
      <c r="H32" s="370" t="s">
        <v>34</v>
      </c>
      <c r="I32" s="371"/>
      <c r="J32" s="372"/>
      <c r="K32" s="367"/>
      <c r="L32" s="368"/>
      <c r="M32" s="368"/>
      <c r="N32" s="368"/>
      <c r="O32" s="368"/>
      <c r="P32" s="369"/>
      <c r="Z32" s="11"/>
    </row>
    <row r="33" spans="1:26" ht="19.5" customHeight="1" x14ac:dyDescent="0.25">
      <c r="A33" s="9"/>
      <c r="B33" s="45">
        <v>9</v>
      </c>
      <c r="C33" s="367"/>
      <c r="D33" s="368"/>
      <c r="E33" s="368"/>
      <c r="F33" s="368"/>
      <c r="G33" s="369"/>
      <c r="H33" s="370">
        <v>45</v>
      </c>
      <c r="I33" s="371"/>
      <c r="J33" s="372"/>
      <c r="K33" s="367"/>
      <c r="L33" s="368"/>
      <c r="M33" s="368"/>
      <c r="N33" s="368"/>
      <c r="O33" s="368"/>
      <c r="P33" s="369"/>
      <c r="Z33" s="11"/>
    </row>
    <row r="34" spans="1:26" ht="19.5" customHeight="1" x14ac:dyDescent="0.25">
      <c r="A34" s="9"/>
      <c r="B34" s="45">
        <v>10</v>
      </c>
      <c r="C34" s="367"/>
      <c r="D34" s="368"/>
      <c r="E34" s="368"/>
      <c r="F34" s="368"/>
      <c r="G34" s="369"/>
      <c r="H34" s="370">
        <v>34</v>
      </c>
      <c r="I34" s="371"/>
      <c r="J34" s="372"/>
      <c r="K34" s="367"/>
      <c r="L34" s="368"/>
      <c r="M34" s="368"/>
      <c r="N34" s="368"/>
      <c r="O34" s="368"/>
      <c r="P34" s="369"/>
      <c r="Z34" s="11"/>
    </row>
    <row r="35" spans="1:26" ht="19.5" customHeight="1" x14ac:dyDescent="0.25">
      <c r="A35" s="9"/>
      <c r="B35" s="45">
        <v>11</v>
      </c>
      <c r="C35" s="367"/>
      <c r="D35" s="368"/>
      <c r="E35" s="368"/>
      <c r="F35" s="368"/>
      <c r="G35" s="369"/>
      <c r="H35" s="370" t="s">
        <v>34</v>
      </c>
      <c r="I35" s="371"/>
      <c r="J35" s="372"/>
      <c r="K35" s="367"/>
      <c r="L35" s="368"/>
      <c r="M35" s="368"/>
      <c r="N35" s="368"/>
      <c r="O35" s="368"/>
      <c r="P35" s="369"/>
      <c r="Z35" s="11"/>
    </row>
    <row r="36" spans="1:26" ht="19.5" customHeight="1" x14ac:dyDescent="0.25">
      <c r="A36" s="9"/>
      <c r="B36" s="45">
        <v>12</v>
      </c>
      <c r="C36" s="69"/>
      <c r="D36" s="70"/>
      <c r="E36" s="70"/>
      <c r="F36" s="70"/>
      <c r="G36" s="71"/>
      <c r="H36" s="370" t="s">
        <v>34</v>
      </c>
      <c r="I36" s="371"/>
      <c r="J36" s="372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45">
        <v>13</v>
      </c>
      <c r="C37" s="367"/>
      <c r="D37" s="368"/>
      <c r="E37" s="368"/>
      <c r="F37" s="368"/>
      <c r="G37" s="369"/>
      <c r="H37" s="370" t="s">
        <v>34</v>
      </c>
      <c r="I37" s="371"/>
      <c r="J37" s="372"/>
      <c r="K37" s="367"/>
      <c r="L37" s="368"/>
      <c r="M37" s="368"/>
      <c r="N37" s="368"/>
      <c r="O37" s="368"/>
      <c r="P37" s="369"/>
      <c r="Z37" s="11"/>
    </row>
    <row r="38" spans="1:26" ht="19.5" customHeight="1" x14ac:dyDescent="0.25">
      <c r="A38" s="9"/>
      <c r="B38" s="45">
        <v>14</v>
      </c>
      <c r="C38" s="367"/>
      <c r="D38" s="368"/>
      <c r="E38" s="368"/>
      <c r="F38" s="368"/>
      <c r="G38" s="369"/>
      <c r="H38" s="370" t="s">
        <v>34</v>
      </c>
      <c r="I38" s="371"/>
      <c r="J38" s="372"/>
      <c r="K38" s="367"/>
      <c r="L38" s="368"/>
      <c r="M38" s="368"/>
      <c r="N38" s="368"/>
      <c r="O38" s="368"/>
      <c r="P38" s="369"/>
      <c r="Z38" s="11"/>
    </row>
    <row r="39" spans="1:26" ht="19.5" customHeight="1" x14ac:dyDescent="0.25">
      <c r="A39" s="9"/>
      <c r="B39" s="45">
        <v>15</v>
      </c>
      <c r="C39" s="367"/>
      <c r="D39" s="368"/>
      <c r="E39" s="368"/>
      <c r="F39" s="368"/>
      <c r="G39" s="369"/>
      <c r="H39" s="370" t="s">
        <v>34</v>
      </c>
      <c r="I39" s="371"/>
      <c r="J39" s="372"/>
      <c r="K39" s="367"/>
      <c r="L39" s="368"/>
      <c r="M39" s="368"/>
      <c r="N39" s="368"/>
      <c r="O39" s="368"/>
      <c r="P39" s="369"/>
      <c r="Z39" s="11"/>
    </row>
    <row r="40" spans="1:26" ht="19.5" customHeight="1" x14ac:dyDescent="0.25">
      <c r="A40" s="9"/>
      <c r="B40" s="45">
        <v>16</v>
      </c>
      <c r="C40" s="367"/>
      <c r="D40" s="368"/>
      <c r="E40" s="368"/>
      <c r="F40" s="368"/>
      <c r="G40" s="369"/>
      <c r="H40" s="370">
        <v>36</v>
      </c>
      <c r="I40" s="371"/>
      <c r="J40" s="372"/>
      <c r="K40" s="367"/>
      <c r="L40" s="368"/>
      <c r="M40" s="368"/>
      <c r="N40" s="368"/>
      <c r="O40" s="368"/>
      <c r="P40" s="369"/>
      <c r="Z40" s="11"/>
    </row>
    <row r="41" spans="1:26" ht="19.5" customHeight="1" x14ac:dyDescent="0.25">
      <c r="A41" s="9"/>
      <c r="B41" s="45">
        <v>17</v>
      </c>
      <c r="C41" s="367"/>
      <c r="D41" s="368"/>
      <c r="E41" s="368"/>
      <c r="F41" s="368"/>
      <c r="G41" s="369"/>
      <c r="H41" s="370">
        <v>53</v>
      </c>
      <c r="I41" s="371"/>
      <c r="J41" s="372"/>
      <c r="K41" s="367"/>
      <c r="L41" s="368"/>
      <c r="M41" s="368"/>
      <c r="N41" s="368"/>
      <c r="O41" s="368"/>
      <c r="P41" s="369"/>
      <c r="Z41" s="11"/>
    </row>
    <row r="42" spans="1:26" ht="19.5" customHeight="1" x14ac:dyDescent="0.25">
      <c r="A42" s="9"/>
      <c r="B42" s="45">
        <v>18</v>
      </c>
      <c r="C42" s="367"/>
      <c r="D42" s="368"/>
      <c r="E42" s="368"/>
      <c r="F42" s="368"/>
      <c r="G42" s="369"/>
      <c r="H42" s="370">
        <v>43</v>
      </c>
      <c r="I42" s="371"/>
      <c r="J42" s="372"/>
      <c r="K42" s="367"/>
      <c r="L42" s="368"/>
      <c r="M42" s="368"/>
      <c r="N42" s="368"/>
      <c r="O42" s="368"/>
      <c r="P42" s="369"/>
      <c r="Z42" s="11"/>
    </row>
    <row r="43" spans="1:26" ht="19.5" customHeight="1" x14ac:dyDescent="0.25">
      <c r="A43" s="9"/>
      <c r="B43" s="45">
        <v>19</v>
      </c>
      <c r="C43" s="367"/>
      <c r="D43" s="368"/>
      <c r="E43" s="368"/>
      <c r="F43" s="368"/>
      <c r="G43" s="369"/>
      <c r="H43" s="370">
        <v>57</v>
      </c>
      <c r="I43" s="371"/>
      <c r="J43" s="372"/>
      <c r="K43" s="367"/>
      <c r="L43" s="368"/>
      <c r="M43" s="368"/>
      <c r="N43" s="368"/>
      <c r="O43" s="368"/>
      <c r="P43" s="369"/>
      <c r="Z43" s="11"/>
    </row>
    <row r="44" spans="1:26" ht="19.5" customHeight="1" x14ac:dyDescent="0.25">
      <c r="A44" s="9"/>
      <c r="B44" s="45">
        <v>20</v>
      </c>
      <c r="C44" s="367"/>
      <c r="D44" s="368"/>
      <c r="E44" s="368"/>
      <c r="F44" s="368"/>
      <c r="G44" s="369"/>
      <c r="H44" s="370">
        <v>21</v>
      </c>
      <c r="I44" s="371"/>
      <c r="J44" s="372"/>
      <c r="K44" s="367"/>
      <c r="L44" s="368"/>
      <c r="M44" s="368"/>
      <c r="N44" s="368"/>
      <c r="O44" s="368"/>
      <c r="P44" s="369"/>
      <c r="Z44" s="11"/>
    </row>
    <row r="45" spans="1:26" ht="19.5" customHeight="1" x14ac:dyDescent="0.25">
      <c r="A45" s="9"/>
      <c r="B45" s="45">
        <v>21</v>
      </c>
      <c r="C45" s="367"/>
      <c r="D45" s="368"/>
      <c r="E45" s="368"/>
      <c r="F45" s="368"/>
      <c r="G45" s="369"/>
      <c r="H45" s="370">
        <v>75</v>
      </c>
      <c r="I45" s="371"/>
      <c r="J45" s="372"/>
      <c r="K45" s="367"/>
      <c r="L45" s="368"/>
      <c r="M45" s="368"/>
      <c r="N45" s="368"/>
      <c r="O45" s="368"/>
      <c r="P45" s="369"/>
      <c r="Z45" s="11"/>
    </row>
    <row r="46" spans="1:26" ht="19.5" customHeight="1" x14ac:dyDescent="0.25">
      <c r="A46" s="9"/>
      <c r="B46" s="45">
        <v>22</v>
      </c>
      <c r="C46" s="367"/>
      <c r="D46" s="368"/>
      <c r="E46" s="368"/>
      <c r="F46" s="368"/>
      <c r="G46" s="369"/>
      <c r="H46" s="370" t="s">
        <v>34</v>
      </c>
      <c r="I46" s="371"/>
      <c r="J46" s="372"/>
      <c r="K46" s="367"/>
      <c r="L46" s="368"/>
      <c r="M46" s="368"/>
      <c r="N46" s="368"/>
      <c r="O46" s="368"/>
      <c r="P46" s="369"/>
      <c r="Z46" s="11"/>
    </row>
    <row r="47" spans="1:26" ht="19.5" customHeight="1" x14ac:dyDescent="0.25">
      <c r="A47" s="9"/>
      <c r="B47" s="45">
        <v>23</v>
      </c>
      <c r="C47" s="367"/>
      <c r="D47" s="368"/>
      <c r="E47" s="368"/>
      <c r="F47" s="368"/>
      <c r="G47" s="369"/>
      <c r="H47" s="370">
        <v>21</v>
      </c>
      <c r="I47" s="371"/>
      <c r="J47" s="372"/>
      <c r="K47" s="367"/>
      <c r="L47" s="368"/>
      <c r="M47" s="368"/>
      <c r="N47" s="368"/>
      <c r="O47" s="368"/>
      <c r="P47" s="369"/>
      <c r="Z47" s="11"/>
    </row>
    <row r="48" spans="1:26" ht="19.5" customHeight="1" x14ac:dyDescent="0.25">
      <c r="A48" s="9"/>
      <c r="B48" s="45">
        <v>24</v>
      </c>
      <c r="C48" s="367"/>
      <c r="D48" s="368"/>
      <c r="E48" s="368"/>
      <c r="F48" s="368"/>
      <c r="G48" s="369"/>
      <c r="H48" s="370" t="s">
        <v>34</v>
      </c>
      <c r="I48" s="371"/>
      <c r="J48" s="372"/>
      <c r="K48" s="367"/>
      <c r="L48" s="368"/>
      <c r="M48" s="368"/>
      <c r="N48" s="368"/>
      <c r="O48" s="368"/>
      <c r="P48" s="369"/>
      <c r="Z48" s="11"/>
    </row>
    <row r="49" spans="1:26" ht="19.5" customHeight="1" x14ac:dyDescent="0.25">
      <c r="A49" s="9"/>
      <c r="B49" s="45">
        <v>25</v>
      </c>
      <c r="C49" s="367"/>
      <c r="D49" s="368"/>
      <c r="E49" s="368"/>
      <c r="F49" s="368"/>
      <c r="G49" s="369"/>
      <c r="H49" s="370" t="s">
        <v>34</v>
      </c>
      <c r="I49" s="371"/>
      <c r="J49" s="372"/>
      <c r="K49" s="367"/>
      <c r="L49" s="368"/>
      <c r="M49" s="368"/>
      <c r="N49" s="368"/>
      <c r="O49" s="368"/>
      <c r="P49" s="369"/>
      <c r="Z49" s="11"/>
    </row>
    <row r="50" spans="1:26" ht="19.5" customHeight="1" x14ac:dyDescent="0.25">
      <c r="A50" s="9"/>
      <c r="B50" s="45">
        <v>26</v>
      </c>
      <c r="C50" s="367"/>
      <c r="D50" s="368"/>
      <c r="E50" s="368"/>
      <c r="F50" s="368"/>
      <c r="G50" s="369"/>
      <c r="H50" s="370" t="s">
        <v>34</v>
      </c>
      <c r="I50" s="371"/>
      <c r="J50" s="372"/>
      <c r="K50" s="367"/>
      <c r="L50" s="368"/>
      <c r="M50" s="368"/>
      <c r="N50" s="368"/>
      <c r="O50" s="368"/>
      <c r="P50" s="369"/>
      <c r="Z50" s="11"/>
    </row>
    <row r="51" spans="1:26" ht="19.5" customHeight="1" x14ac:dyDescent="0.25">
      <c r="A51" s="9"/>
      <c r="B51" s="45">
        <v>27</v>
      </c>
      <c r="C51" s="367"/>
      <c r="D51" s="368"/>
      <c r="E51" s="368"/>
      <c r="F51" s="368"/>
      <c r="G51" s="369"/>
      <c r="H51" s="370">
        <v>34</v>
      </c>
      <c r="I51" s="371"/>
      <c r="J51" s="372"/>
      <c r="K51" s="367"/>
      <c r="L51" s="368"/>
      <c r="M51" s="368"/>
      <c r="N51" s="368"/>
      <c r="O51" s="368"/>
      <c r="P51" s="369"/>
      <c r="Z51" s="11"/>
    </row>
    <row r="52" spans="1:26" ht="19.5" customHeight="1" x14ac:dyDescent="0.25">
      <c r="A52" s="9"/>
      <c r="B52" s="45">
        <v>28</v>
      </c>
      <c r="C52" s="367"/>
      <c r="D52" s="368"/>
      <c r="E52" s="368"/>
      <c r="F52" s="368"/>
      <c r="G52" s="369"/>
      <c r="H52" s="370">
        <v>37</v>
      </c>
      <c r="I52" s="371"/>
      <c r="J52" s="372"/>
      <c r="K52" s="367"/>
      <c r="L52" s="368"/>
      <c r="M52" s="368"/>
      <c r="N52" s="368"/>
      <c r="O52" s="368"/>
      <c r="P52" s="369"/>
      <c r="Z52" s="11"/>
    </row>
    <row r="53" spans="1:26" ht="19.5" customHeight="1" x14ac:dyDescent="0.25">
      <c r="A53" s="9"/>
      <c r="B53" s="45">
        <v>29</v>
      </c>
      <c r="C53" s="367"/>
      <c r="D53" s="368"/>
      <c r="E53" s="368"/>
      <c r="F53" s="368"/>
      <c r="G53" s="369"/>
      <c r="H53" s="370">
        <v>20</v>
      </c>
      <c r="I53" s="371"/>
      <c r="J53" s="372"/>
      <c r="K53" s="367"/>
      <c r="L53" s="368"/>
      <c r="M53" s="368"/>
      <c r="N53" s="368"/>
      <c r="O53" s="368"/>
      <c r="P53" s="369"/>
      <c r="Z53" s="11"/>
    </row>
    <row r="54" spans="1:26" ht="19.5" customHeight="1" thickBot="1" x14ac:dyDescent="0.3">
      <c r="A54" s="9"/>
      <c r="B54" s="45">
        <v>30</v>
      </c>
      <c r="C54" s="367"/>
      <c r="D54" s="368"/>
      <c r="E54" s="368"/>
      <c r="F54" s="368"/>
      <c r="G54" s="369"/>
      <c r="H54" s="370" t="s">
        <v>34</v>
      </c>
      <c r="I54" s="371"/>
      <c r="J54" s="372"/>
      <c r="K54" s="367"/>
      <c r="L54" s="368"/>
      <c r="M54" s="368"/>
      <c r="N54" s="368"/>
      <c r="O54" s="368"/>
      <c r="P54" s="369"/>
      <c r="Z54" s="11"/>
    </row>
    <row r="55" spans="1:26" ht="15.75" customHeight="1" x14ac:dyDescent="0.25">
      <c r="A55" s="9"/>
      <c r="B55" s="379" t="s">
        <v>35</v>
      </c>
      <c r="C55" s="380"/>
      <c r="D55" s="380"/>
      <c r="E55" s="380"/>
      <c r="F55" s="380"/>
      <c r="G55" s="381"/>
      <c r="H55" s="382">
        <f>AVERAGE(H25:J54)</f>
        <v>37.799999999999997</v>
      </c>
      <c r="I55" s="383"/>
      <c r="J55" s="384"/>
      <c r="K55" s="385"/>
      <c r="L55" s="386"/>
      <c r="M55" s="391" t="s">
        <v>36</v>
      </c>
      <c r="N55" s="391"/>
      <c r="O55" s="391"/>
      <c r="P55" s="392"/>
      <c r="Z55" s="11"/>
    </row>
    <row r="56" spans="1:26" ht="15.75" customHeight="1" x14ac:dyDescent="0.25">
      <c r="A56" s="9"/>
      <c r="B56" s="397" t="s">
        <v>37</v>
      </c>
      <c r="C56" s="398"/>
      <c r="D56" s="398"/>
      <c r="E56" s="398"/>
      <c r="F56" s="398"/>
      <c r="G56" s="399"/>
      <c r="H56" s="400" t="str">
        <f>IF(COUNTIF(H25:J54,"*&lt;20*"),"&lt;20",MIN(H25:J54))</f>
        <v>&lt;20</v>
      </c>
      <c r="I56" s="401"/>
      <c r="J56" s="402"/>
      <c r="K56" s="387"/>
      <c r="L56" s="388"/>
      <c r="M56" s="393"/>
      <c r="N56" s="393"/>
      <c r="O56" s="393"/>
      <c r="P56" s="394"/>
      <c r="Z56" s="11"/>
    </row>
    <row r="57" spans="1:26" ht="15.75" customHeight="1" x14ac:dyDescent="0.25">
      <c r="A57" s="9"/>
      <c r="B57" s="403" t="s">
        <v>38</v>
      </c>
      <c r="C57" s="404"/>
      <c r="D57" s="404"/>
      <c r="E57" s="404"/>
      <c r="F57" s="404"/>
      <c r="G57" s="405"/>
      <c r="H57" s="418">
        <f>IF(COUNTIF(H25:J54,"*&gt;250*"),"&gt;250",MAX(H25:J54))</f>
        <v>75</v>
      </c>
      <c r="I57" s="419"/>
      <c r="J57" s="420"/>
      <c r="K57" s="389"/>
      <c r="L57" s="390"/>
      <c r="M57" s="395"/>
      <c r="N57" s="395"/>
      <c r="O57" s="395"/>
      <c r="P57" s="396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39</v>
      </c>
      <c r="B60" s="5" t="s">
        <v>40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421" t="s">
        <v>41</v>
      </c>
      <c r="B61" s="422"/>
      <c r="C61" s="422"/>
      <c r="D61" s="422"/>
      <c r="E61" s="422"/>
      <c r="F61" s="422"/>
      <c r="G61" s="422"/>
      <c r="H61" s="422"/>
      <c r="I61" s="422"/>
      <c r="J61" s="422"/>
      <c r="K61" s="422"/>
      <c r="L61" s="422"/>
      <c r="M61" s="422"/>
      <c r="N61" s="422"/>
      <c r="O61" s="422"/>
      <c r="P61" s="422"/>
      <c r="Q61" s="423"/>
      <c r="R61" s="412" t="s">
        <v>42</v>
      </c>
      <c r="S61" s="413"/>
      <c r="T61" s="414"/>
      <c r="U61" s="424" t="s">
        <v>12</v>
      </c>
      <c r="V61" s="425"/>
      <c r="W61" s="425"/>
      <c r="X61" s="426"/>
      <c r="Y61" s="426"/>
      <c r="Z61" s="427"/>
    </row>
    <row r="62" spans="1:26" s="17" customFormat="1" ht="15.6" customHeight="1" x14ac:dyDescent="0.25">
      <c r="A62" s="428" t="s">
        <v>51</v>
      </c>
      <c r="B62" s="429"/>
      <c r="C62" s="429"/>
      <c r="D62" s="429"/>
      <c r="E62" s="429"/>
      <c r="F62" s="429"/>
      <c r="G62" s="429"/>
      <c r="H62" s="429"/>
      <c r="I62" s="429"/>
      <c r="J62" s="429"/>
      <c r="K62" s="429"/>
      <c r="L62" s="429"/>
      <c r="M62" s="429"/>
      <c r="N62" s="429"/>
      <c r="O62" s="429"/>
      <c r="P62" s="429"/>
      <c r="Q62" s="430"/>
      <c r="R62" s="412" t="s">
        <v>43</v>
      </c>
      <c r="S62" s="413"/>
      <c r="T62" s="414"/>
      <c r="U62" s="434" t="s">
        <v>44</v>
      </c>
      <c r="V62" s="435"/>
      <c r="W62" s="435"/>
      <c r="X62" s="436"/>
      <c r="Y62" s="436"/>
      <c r="Z62" s="437"/>
    </row>
    <row r="63" spans="1:26" s="17" customFormat="1" ht="15.6" customHeight="1" x14ac:dyDescent="0.25">
      <c r="A63" s="431"/>
      <c r="B63" s="432"/>
      <c r="C63" s="432"/>
      <c r="D63" s="432"/>
      <c r="E63" s="432"/>
      <c r="F63" s="432"/>
      <c r="G63" s="432"/>
      <c r="H63" s="432"/>
      <c r="I63" s="432"/>
      <c r="J63" s="432"/>
      <c r="K63" s="432"/>
      <c r="L63" s="432"/>
      <c r="M63" s="432"/>
      <c r="N63" s="432"/>
      <c r="O63" s="432"/>
      <c r="P63" s="432"/>
      <c r="Q63" s="433"/>
      <c r="R63" s="412"/>
      <c r="S63" s="413"/>
      <c r="T63" s="414"/>
      <c r="U63" s="438"/>
      <c r="V63" s="393"/>
      <c r="W63" s="393"/>
      <c r="X63" s="439"/>
      <c r="Y63" s="439"/>
      <c r="Z63" s="440"/>
    </row>
    <row r="64" spans="1:26" s="17" customFormat="1" ht="15.6" customHeight="1" x14ac:dyDescent="0.25">
      <c r="A64" s="55" t="s">
        <v>45</v>
      </c>
      <c r="B64" s="56" t="s">
        <v>46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412"/>
      <c r="S64" s="413"/>
      <c r="T64" s="414"/>
      <c r="U64" s="441"/>
      <c r="V64" s="442"/>
      <c r="W64" s="442"/>
      <c r="X64" s="443"/>
      <c r="Y64" s="443"/>
      <c r="Z64" s="444"/>
    </row>
    <row r="65" spans="1:26" s="17" customFormat="1" ht="15.6" customHeight="1" x14ac:dyDescent="0.25">
      <c r="A65" s="406"/>
      <c r="B65" s="407"/>
      <c r="C65" s="407"/>
      <c r="D65" s="407"/>
      <c r="E65" s="407"/>
      <c r="F65" s="407"/>
      <c r="G65" s="407"/>
      <c r="H65" s="407"/>
      <c r="I65" s="407"/>
      <c r="J65" s="407"/>
      <c r="K65" s="407"/>
      <c r="L65" s="407"/>
      <c r="M65" s="407"/>
      <c r="N65" s="407"/>
      <c r="O65" s="407"/>
      <c r="P65" s="407"/>
      <c r="Q65" s="408"/>
      <c r="R65" s="412" t="s">
        <v>47</v>
      </c>
      <c r="S65" s="413"/>
      <c r="T65" s="414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406"/>
      <c r="B66" s="407"/>
      <c r="C66" s="407"/>
      <c r="D66" s="407"/>
      <c r="E66" s="407"/>
      <c r="F66" s="407"/>
      <c r="G66" s="407"/>
      <c r="H66" s="407"/>
      <c r="I66" s="407"/>
      <c r="J66" s="407"/>
      <c r="K66" s="407"/>
      <c r="L66" s="407"/>
      <c r="M66" s="407"/>
      <c r="N66" s="407"/>
      <c r="O66" s="407"/>
      <c r="P66" s="407"/>
      <c r="Q66" s="408"/>
      <c r="R66" s="412"/>
      <c r="S66" s="413"/>
      <c r="T66" s="414"/>
      <c r="U66" s="61"/>
      <c r="V66" s="393"/>
      <c r="W66" s="393"/>
      <c r="X66" s="393"/>
      <c r="Y66" s="393"/>
      <c r="Z66" s="62"/>
    </row>
    <row r="67" spans="1:26" s="17" customFormat="1" ht="15.6" customHeight="1" x14ac:dyDescent="0.25">
      <c r="A67" s="406"/>
      <c r="B67" s="407"/>
      <c r="C67" s="407"/>
      <c r="D67" s="407"/>
      <c r="E67" s="407"/>
      <c r="F67" s="407"/>
      <c r="G67" s="407"/>
      <c r="H67" s="407"/>
      <c r="I67" s="407"/>
      <c r="J67" s="407"/>
      <c r="K67" s="407"/>
      <c r="L67" s="407"/>
      <c r="M67" s="407"/>
      <c r="N67" s="407"/>
      <c r="O67" s="407"/>
      <c r="P67" s="407"/>
      <c r="Q67" s="408"/>
      <c r="R67" s="412"/>
      <c r="S67" s="413"/>
      <c r="T67" s="414"/>
      <c r="U67" s="61"/>
      <c r="V67" s="393"/>
      <c r="W67" s="393"/>
      <c r="X67" s="393"/>
      <c r="Y67" s="393"/>
      <c r="Z67" s="62"/>
    </row>
    <row r="68" spans="1:26" s="17" customFormat="1" ht="15.6" customHeight="1" x14ac:dyDescent="0.25">
      <c r="A68" s="409"/>
      <c r="B68" s="410"/>
      <c r="C68" s="410"/>
      <c r="D68" s="410"/>
      <c r="E68" s="410"/>
      <c r="F68" s="410"/>
      <c r="G68" s="410"/>
      <c r="H68" s="410"/>
      <c r="I68" s="410"/>
      <c r="J68" s="410"/>
      <c r="K68" s="410"/>
      <c r="L68" s="410"/>
      <c r="M68" s="410"/>
      <c r="N68" s="410"/>
      <c r="O68" s="410"/>
      <c r="P68" s="410"/>
      <c r="Q68" s="411"/>
      <c r="R68" s="415"/>
      <c r="S68" s="416"/>
      <c r="T68" s="417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40">
    <mergeCell ref="C49:G49"/>
    <mergeCell ref="H49:J49"/>
    <mergeCell ref="K49:P49"/>
    <mergeCell ref="C50:G50"/>
    <mergeCell ref="H50:J50"/>
    <mergeCell ref="K50:P50"/>
    <mergeCell ref="C47:G47"/>
    <mergeCell ref="H47:J47"/>
    <mergeCell ref="K47:P47"/>
    <mergeCell ref="C48:G48"/>
    <mergeCell ref="H48:J48"/>
    <mergeCell ref="K48:P48"/>
    <mergeCell ref="C53:G53"/>
    <mergeCell ref="H53:J53"/>
    <mergeCell ref="K53:P53"/>
    <mergeCell ref="C54:G54"/>
    <mergeCell ref="H54:J54"/>
    <mergeCell ref="K54:P54"/>
    <mergeCell ref="C51:G51"/>
    <mergeCell ref="H51:J51"/>
    <mergeCell ref="K51:P51"/>
    <mergeCell ref="C52:G52"/>
    <mergeCell ref="H52:J52"/>
    <mergeCell ref="K52:P52"/>
    <mergeCell ref="C45:G45"/>
    <mergeCell ref="H45:J45"/>
    <mergeCell ref="K45:P45"/>
    <mergeCell ref="C46:G46"/>
    <mergeCell ref="H46:J46"/>
    <mergeCell ref="K46:P46"/>
    <mergeCell ref="C43:G43"/>
    <mergeCell ref="H43:J43"/>
    <mergeCell ref="K43:P43"/>
    <mergeCell ref="C44:G44"/>
    <mergeCell ref="H44:J44"/>
    <mergeCell ref="K44:P44"/>
    <mergeCell ref="H35:J35"/>
    <mergeCell ref="K35:P35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H36:J36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B56:G56"/>
    <mergeCell ref="B57:G57"/>
    <mergeCell ref="B55:G55"/>
    <mergeCell ref="C26:G26"/>
    <mergeCell ref="H26:J26"/>
    <mergeCell ref="H55:J55"/>
    <mergeCell ref="H56:J56"/>
    <mergeCell ref="C32:G32"/>
    <mergeCell ref="H32:J32"/>
    <mergeCell ref="K32:P32"/>
    <mergeCell ref="C33:G33"/>
    <mergeCell ref="H33:J33"/>
    <mergeCell ref="K33:P33"/>
    <mergeCell ref="C30:G30"/>
    <mergeCell ref="A65:Q68"/>
    <mergeCell ref="R65:T68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M55:P57"/>
    <mergeCell ref="K55:L57"/>
    <mergeCell ref="H57:J57"/>
    <mergeCell ref="H30:J30"/>
    <mergeCell ref="K30:P30"/>
    <mergeCell ref="C31:G31"/>
    <mergeCell ref="H31:J31"/>
    <mergeCell ref="K31:P31"/>
    <mergeCell ref="C37:G37"/>
    <mergeCell ref="H37:J37"/>
    <mergeCell ref="K37:P37"/>
    <mergeCell ref="C38:G38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B17:H17"/>
    <mergeCell ref="B12:G12"/>
    <mergeCell ref="B11:G11"/>
    <mergeCell ref="A61:Q61"/>
    <mergeCell ref="R61:T61"/>
    <mergeCell ref="U61:Z61"/>
    <mergeCell ref="A62:Q63"/>
    <mergeCell ref="R62:T64"/>
    <mergeCell ref="U62:Z64"/>
    <mergeCell ref="N12:R12"/>
    <mergeCell ref="H12:M12"/>
    <mergeCell ref="H11:M11"/>
    <mergeCell ref="N11:R11"/>
    <mergeCell ref="K25:P25"/>
    <mergeCell ref="S12:Y12"/>
    <mergeCell ref="K23:P24"/>
    <mergeCell ref="I17:Y17"/>
    <mergeCell ref="S11:Y11"/>
    <mergeCell ref="H38:J38"/>
    <mergeCell ref="K38:P38"/>
    <mergeCell ref="C34:G34"/>
    <mergeCell ref="H34:J34"/>
    <mergeCell ref="K34:P34"/>
    <mergeCell ref="C35:G35"/>
  </mergeCells>
  <phoneticPr fontId="12" type="noConversion"/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76F4-28B7-4894-A253-4AC52C625D97}">
  <sheetPr>
    <pageSetUpPr fitToPage="1"/>
  </sheetPr>
  <dimension ref="A1:AA76"/>
  <sheetViews>
    <sheetView topLeftCell="A4" workbookViewId="0">
      <selection activeCell="I6" sqref="I6:K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330"/>
      <c r="B1" s="331"/>
      <c r="C1" s="331"/>
      <c r="D1" s="331"/>
      <c r="E1" s="331"/>
      <c r="F1" s="332"/>
      <c r="G1" s="339" t="s">
        <v>0</v>
      </c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1"/>
      <c r="U1" s="342" t="s">
        <v>48</v>
      </c>
      <c r="V1" s="343"/>
      <c r="W1" s="343"/>
      <c r="X1" s="343"/>
      <c r="Y1" s="343"/>
      <c r="Z1" s="344"/>
    </row>
    <row r="2" spans="1:26" ht="12.75" customHeight="1" x14ac:dyDescent="0.25">
      <c r="A2" s="333"/>
      <c r="B2" s="334"/>
      <c r="C2" s="334"/>
      <c r="D2" s="334"/>
      <c r="E2" s="334"/>
      <c r="F2" s="335"/>
      <c r="G2" s="309" t="s">
        <v>1</v>
      </c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1"/>
      <c r="U2" s="345"/>
      <c r="V2" s="346"/>
      <c r="W2" s="346"/>
      <c r="X2" s="346"/>
      <c r="Y2" s="346"/>
      <c r="Z2" s="347"/>
    </row>
    <row r="3" spans="1:26" ht="12.75" customHeight="1" x14ac:dyDescent="0.25">
      <c r="A3" s="333"/>
      <c r="B3" s="334"/>
      <c r="C3" s="334"/>
      <c r="D3" s="334"/>
      <c r="E3" s="334"/>
      <c r="F3" s="335"/>
      <c r="G3" s="309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1"/>
      <c r="U3" s="345"/>
      <c r="V3" s="346"/>
      <c r="W3" s="346"/>
      <c r="X3" s="346"/>
      <c r="Y3" s="346"/>
      <c r="Z3" s="347"/>
    </row>
    <row r="4" spans="1:26" ht="12.75" customHeight="1" x14ac:dyDescent="0.25">
      <c r="A4" s="333"/>
      <c r="B4" s="334"/>
      <c r="C4" s="334"/>
      <c r="D4" s="334"/>
      <c r="E4" s="334"/>
      <c r="F4" s="335"/>
      <c r="G4" s="309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1"/>
      <c r="U4" s="345"/>
      <c r="V4" s="346"/>
      <c r="W4" s="346"/>
      <c r="X4" s="346"/>
      <c r="Y4" s="346"/>
      <c r="Z4" s="347"/>
    </row>
    <row r="5" spans="1:26" ht="12.75" customHeight="1" x14ac:dyDescent="0.25">
      <c r="A5" s="333"/>
      <c r="B5" s="334"/>
      <c r="C5" s="334"/>
      <c r="D5" s="334"/>
      <c r="E5" s="334"/>
      <c r="F5" s="335"/>
      <c r="G5" s="312" t="s">
        <v>2</v>
      </c>
      <c r="H5" s="313"/>
      <c r="I5" s="314">
        <v>1</v>
      </c>
      <c r="J5" s="314"/>
      <c r="K5" s="315"/>
      <c r="L5" s="316" t="s">
        <v>49</v>
      </c>
      <c r="M5" s="317"/>
      <c r="N5" s="317"/>
      <c r="O5" s="318"/>
      <c r="P5" s="319" t="s">
        <v>3</v>
      </c>
      <c r="Q5" s="320"/>
      <c r="R5" s="320"/>
      <c r="S5" s="320"/>
      <c r="T5" s="321"/>
      <c r="U5" s="345"/>
      <c r="V5" s="346"/>
      <c r="W5" s="346"/>
      <c r="X5" s="346"/>
      <c r="Y5" s="346"/>
      <c r="Z5" s="347"/>
    </row>
    <row r="6" spans="1:26" ht="12.75" customHeight="1" x14ac:dyDescent="0.25">
      <c r="A6" s="336"/>
      <c r="B6" s="337"/>
      <c r="C6" s="337"/>
      <c r="D6" s="337"/>
      <c r="E6" s="337"/>
      <c r="F6" s="338"/>
      <c r="G6" s="2"/>
      <c r="H6" s="3"/>
      <c r="I6" s="322" t="s">
        <v>4</v>
      </c>
      <c r="J6" s="322"/>
      <c r="K6" s="322"/>
      <c r="L6" s="322" t="s">
        <v>5</v>
      </c>
      <c r="M6" s="322"/>
      <c r="N6" s="322"/>
      <c r="O6" s="322"/>
      <c r="P6" s="322" t="s">
        <v>6</v>
      </c>
      <c r="Q6" s="322"/>
      <c r="R6" s="322"/>
      <c r="S6" s="322"/>
      <c r="T6" s="326"/>
      <c r="U6" s="348"/>
      <c r="V6" s="349"/>
      <c r="W6" s="349"/>
      <c r="X6" s="349"/>
      <c r="Y6" s="349"/>
      <c r="Z6" s="350"/>
    </row>
    <row r="7" spans="1:26" ht="36.6" customHeight="1" x14ac:dyDescent="0.25">
      <c r="A7" s="327" t="s">
        <v>7</v>
      </c>
      <c r="B7" s="327"/>
      <c r="C7" s="327"/>
      <c r="D7" s="327"/>
      <c r="E7" s="327"/>
      <c r="F7" s="327"/>
      <c r="G7" s="328" t="s">
        <v>8</v>
      </c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323" t="s">
        <v>11</v>
      </c>
      <c r="C10" s="323"/>
      <c r="D10" s="323"/>
      <c r="E10" s="323"/>
      <c r="F10" s="323"/>
      <c r="G10" s="323"/>
      <c r="H10" s="324" t="s">
        <v>12</v>
      </c>
      <c r="I10" s="324"/>
      <c r="J10" s="324"/>
      <c r="K10" s="324"/>
      <c r="L10" s="324"/>
      <c r="M10" s="324"/>
      <c r="N10" s="323" t="s">
        <v>13</v>
      </c>
      <c r="O10" s="323"/>
      <c r="P10" s="323"/>
      <c r="Q10" s="323"/>
      <c r="R10" s="323"/>
      <c r="S10" s="325" t="s">
        <v>50</v>
      </c>
      <c r="T10" s="325"/>
      <c r="U10" s="325"/>
      <c r="V10" s="325"/>
      <c r="W10" s="325"/>
      <c r="X10" s="325"/>
      <c r="Y10" s="325"/>
      <c r="Z10" s="12"/>
    </row>
    <row r="11" spans="1:26" ht="15.9" customHeight="1" x14ac:dyDescent="0.25">
      <c r="A11" s="9"/>
      <c r="B11" s="323" t="s">
        <v>14</v>
      </c>
      <c r="C11" s="323"/>
      <c r="D11" s="323"/>
      <c r="E11" s="323"/>
      <c r="F11" s="323"/>
      <c r="G11" s="323"/>
      <c r="H11" s="324" t="s">
        <v>3</v>
      </c>
      <c r="I11" s="324"/>
      <c r="J11" s="324"/>
      <c r="K11" s="324"/>
      <c r="L11" s="324"/>
      <c r="M11" s="324"/>
      <c r="N11" s="323" t="s">
        <v>15</v>
      </c>
      <c r="O11" s="323"/>
      <c r="P11" s="323"/>
      <c r="Q11" s="323"/>
      <c r="R11" s="323"/>
      <c r="S11" s="325" t="s">
        <v>16</v>
      </c>
      <c r="T11" s="325"/>
      <c r="U11" s="325"/>
      <c r="V11" s="325"/>
      <c r="W11" s="325"/>
      <c r="X11" s="325"/>
      <c r="Y11" s="325"/>
      <c r="Z11" s="12"/>
    </row>
    <row r="12" spans="1:26" ht="15.9" customHeight="1" x14ac:dyDescent="0.25">
      <c r="A12" s="9"/>
      <c r="B12" s="323" t="s">
        <v>17</v>
      </c>
      <c r="C12" s="323"/>
      <c r="D12" s="323"/>
      <c r="E12" s="323"/>
      <c r="F12" s="323"/>
      <c r="G12" s="323"/>
      <c r="H12" s="324" t="s">
        <v>53</v>
      </c>
      <c r="I12" s="324"/>
      <c r="J12" s="324"/>
      <c r="K12" s="324"/>
      <c r="L12" s="324"/>
      <c r="M12" s="324"/>
      <c r="N12" s="323" t="s">
        <v>18</v>
      </c>
      <c r="O12" s="323"/>
      <c r="P12" s="323"/>
      <c r="Q12" s="323"/>
      <c r="R12" s="323"/>
      <c r="S12" s="325" t="s">
        <v>19</v>
      </c>
      <c r="T12" s="325"/>
      <c r="U12" s="325"/>
      <c r="V12" s="325"/>
      <c r="W12" s="325"/>
      <c r="X12" s="325"/>
      <c r="Y12" s="32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20</v>
      </c>
      <c r="B15" s="21" t="s">
        <v>21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363" t="s">
        <v>22</v>
      </c>
      <c r="C17" s="363"/>
      <c r="D17" s="363"/>
      <c r="E17" s="363"/>
      <c r="F17" s="363"/>
      <c r="G17" s="363"/>
      <c r="H17" s="363"/>
      <c r="I17" s="364"/>
      <c r="J17" s="364"/>
      <c r="K17" s="364"/>
      <c r="L17" s="364"/>
      <c r="M17" s="364"/>
      <c r="N17" s="364"/>
      <c r="O17" s="364"/>
      <c r="P17" s="364"/>
      <c r="Q17" s="364"/>
      <c r="R17" s="364"/>
      <c r="S17" s="364"/>
      <c r="T17" s="364"/>
      <c r="U17" s="364"/>
      <c r="V17" s="364"/>
      <c r="W17" s="364"/>
      <c r="X17" s="364"/>
      <c r="Y17" s="364"/>
      <c r="Z17" s="28"/>
    </row>
    <row r="18" spans="1:26" s="17" customFormat="1" ht="15" customHeight="1" x14ac:dyDescent="0.25">
      <c r="A18" s="24"/>
      <c r="B18" s="363" t="s">
        <v>23</v>
      </c>
      <c r="C18" s="363"/>
      <c r="D18" s="363"/>
      <c r="E18" s="363"/>
      <c r="F18" s="363"/>
      <c r="G18" s="363"/>
      <c r="H18" s="363"/>
      <c r="I18" s="365" t="s">
        <v>24</v>
      </c>
      <c r="J18" s="365"/>
      <c r="K18" s="27"/>
      <c r="L18" s="27" t="s">
        <v>25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26</v>
      </c>
      <c r="B21" s="38" t="s">
        <v>27</v>
      </c>
      <c r="C21" s="33"/>
      <c r="D21" s="34"/>
      <c r="E21" s="34"/>
      <c r="F21" s="34"/>
      <c r="G21" s="34"/>
      <c r="H21" s="33"/>
      <c r="I21" s="33"/>
      <c r="J21" s="366" t="s">
        <v>28</v>
      </c>
      <c r="K21" s="366"/>
      <c r="L21" s="366"/>
      <c r="M21" s="366"/>
      <c r="N21" s="366"/>
      <c r="O21" s="366"/>
      <c r="P21" s="36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351" t="s">
        <v>29</v>
      </c>
      <c r="C23" s="353" t="s">
        <v>30</v>
      </c>
      <c r="D23" s="353"/>
      <c r="E23" s="353"/>
      <c r="F23" s="353"/>
      <c r="G23" s="354"/>
      <c r="H23" s="357" t="s">
        <v>31</v>
      </c>
      <c r="I23" s="358"/>
      <c r="J23" s="359"/>
      <c r="K23" s="353" t="s">
        <v>32</v>
      </c>
      <c r="L23" s="353"/>
      <c r="M23" s="353"/>
      <c r="N23" s="353"/>
      <c r="O23" s="353"/>
      <c r="P23" s="354"/>
      <c r="Z23" s="11"/>
    </row>
    <row r="24" spans="1:26" ht="15.75" customHeight="1" x14ac:dyDescent="0.25">
      <c r="A24" s="9"/>
      <c r="B24" s="352"/>
      <c r="C24" s="355"/>
      <c r="D24" s="355"/>
      <c r="E24" s="355"/>
      <c r="F24" s="355"/>
      <c r="G24" s="356"/>
      <c r="H24" s="360" t="s">
        <v>33</v>
      </c>
      <c r="I24" s="361"/>
      <c r="J24" s="362"/>
      <c r="K24" s="355"/>
      <c r="L24" s="355"/>
      <c r="M24" s="355"/>
      <c r="N24" s="355"/>
      <c r="O24" s="355"/>
      <c r="P24" s="356"/>
      <c r="Z24" s="11"/>
    </row>
    <row r="25" spans="1:26" ht="19.5" customHeight="1" x14ac:dyDescent="0.25">
      <c r="A25" s="9"/>
      <c r="B25" s="45">
        <v>31</v>
      </c>
      <c r="C25" s="367"/>
      <c r="D25" s="368"/>
      <c r="E25" s="368"/>
      <c r="F25" s="368"/>
      <c r="G25" s="369"/>
      <c r="H25" s="370" t="s">
        <v>34</v>
      </c>
      <c r="I25" s="371"/>
      <c r="J25" s="372"/>
      <c r="K25" s="367"/>
      <c r="L25" s="368"/>
      <c r="M25" s="368"/>
      <c r="N25" s="368"/>
      <c r="O25" s="368"/>
      <c r="P25" s="369"/>
      <c r="Z25" s="11"/>
    </row>
    <row r="26" spans="1:26" ht="19.5" customHeight="1" x14ac:dyDescent="0.25">
      <c r="A26" s="9"/>
      <c r="B26" s="45">
        <v>32</v>
      </c>
      <c r="C26" s="367"/>
      <c r="D26" s="368"/>
      <c r="E26" s="368"/>
      <c r="F26" s="368"/>
      <c r="G26" s="369"/>
      <c r="H26" s="370" t="s">
        <v>34</v>
      </c>
      <c r="I26" s="371"/>
      <c r="J26" s="372"/>
      <c r="K26" s="367"/>
      <c r="L26" s="368"/>
      <c r="M26" s="368"/>
      <c r="N26" s="368"/>
      <c r="O26" s="368"/>
      <c r="P26" s="369"/>
      <c r="Z26" s="11"/>
    </row>
    <row r="27" spans="1:26" ht="19.5" customHeight="1" x14ac:dyDescent="0.25">
      <c r="A27" s="9"/>
      <c r="B27" s="45">
        <v>33</v>
      </c>
      <c r="C27" s="367"/>
      <c r="D27" s="368"/>
      <c r="E27" s="368"/>
      <c r="F27" s="368"/>
      <c r="G27" s="369"/>
      <c r="H27" s="370" t="s">
        <v>34</v>
      </c>
      <c r="I27" s="371"/>
      <c r="J27" s="372"/>
      <c r="K27" s="367"/>
      <c r="L27" s="368"/>
      <c r="M27" s="368"/>
      <c r="N27" s="368"/>
      <c r="O27" s="368"/>
      <c r="P27" s="369"/>
      <c r="Z27" s="11"/>
    </row>
    <row r="28" spans="1:26" ht="19.5" customHeight="1" x14ac:dyDescent="0.25">
      <c r="A28" s="9"/>
      <c r="B28" s="45">
        <v>34</v>
      </c>
      <c r="C28" s="367"/>
      <c r="D28" s="368"/>
      <c r="E28" s="368"/>
      <c r="F28" s="368"/>
      <c r="G28" s="369"/>
      <c r="H28" s="370" t="s">
        <v>34</v>
      </c>
      <c r="I28" s="371"/>
      <c r="J28" s="372"/>
      <c r="K28" s="367"/>
      <c r="L28" s="368"/>
      <c r="M28" s="368"/>
      <c r="N28" s="368"/>
      <c r="O28" s="368"/>
      <c r="P28" s="369"/>
      <c r="Z28" s="11"/>
    </row>
    <row r="29" spans="1:26" ht="19.5" customHeight="1" x14ac:dyDescent="0.25">
      <c r="A29" s="9"/>
      <c r="B29" s="45">
        <v>35</v>
      </c>
      <c r="C29" s="367"/>
      <c r="D29" s="368"/>
      <c r="E29" s="368"/>
      <c r="F29" s="368"/>
      <c r="G29" s="369"/>
      <c r="H29" s="370" t="s">
        <v>34</v>
      </c>
      <c r="I29" s="371"/>
      <c r="J29" s="372"/>
      <c r="K29" s="367"/>
      <c r="L29" s="368"/>
      <c r="M29" s="368"/>
      <c r="N29" s="368"/>
      <c r="O29" s="368"/>
      <c r="P29" s="369"/>
      <c r="Z29" s="11"/>
    </row>
    <row r="30" spans="1:26" ht="19.5" customHeight="1" x14ac:dyDescent="0.25">
      <c r="A30" s="9"/>
      <c r="B30" s="45">
        <v>36</v>
      </c>
      <c r="C30" s="367"/>
      <c r="D30" s="368"/>
      <c r="E30" s="368"/>
      <c r="F30" s="368"/>
      <c r="G30" s="369"/>
      <c r="H30" s="370" t="s">
        <v>34</v>
      </c>
      <c r="I30" s="371"/>
      <c r="J30" s="372"/>
      <c r="K30" s="367"/>
      <c r="L30" s="368"/>
      <c r="M30" s="368"/>
      <c r="N30" s="368"/>
      <c r="O30" s="368"/>
      <c r="P30" s="369"/>
      <c r="Z30" s="11"/>
    </row>
    <row r="31" spans="1:26" ht="19.5" customHeight="1" x14ac:dyDescent="0.25">
      <c r="A31" s="9"/>
      <c r="B31" s="45">
        <v>37</v>
      </c>
      <c r="C31" s="367"/>
      <c r="D31" s="368"/>
      <c r="E31" s="368"/>
      <c r="F31" s="368"/>
      <c r="G31" s="369"/>
      <c r="H31" s="370">
        <v>24</v>
      </c>
      <c r="I31" s="371"/>
      <c r="J31" s="372"/>
      <c r="K31" s="367"/>
      <c r="L31" s="368"/>
      <c r="M31" s="368"/>
      <c r="N31" s="368"/>
      <c r="O31" s="368"/>
      <c r="P31" s="369"/>
      <c r="Z31" s="11"/>
    </row>
    <row r="32" spans="1:26" ht="19.5" customHeight="1" x14ac:dyDescent="0.25">
      <c r="A32" s="9"/>
      <c r="B32" s="45"/>
      <c r="C32" s="367"/>
      <c r="D32" s="368"/>
      <c r="E32" s="368"/>
      <c r="F32" s="368"/>
      <c r="G32" s="369"/>
      <c r="H32" s="370"/>
      <c r="I32" s="371"/>
      <c r="J32" s="372"/>
      <c r="K32" s="367"/>
      <c r="L32" s="368"/>
      <c r="M32" s="368"/>
      <c r="N32" s="368"/>
      <c r="O32" s="368"/>
      <c r="P32" s="369"/>
      <c r="Z32" s="11"/>
    </row>
    <row r="33" spans="1:26" ht="19.5" customHeight="1" x14ac:dyDescent="0.25">
      <c r="A33" s="9"/>
      <c r="B33" s="45"/>
      <c r="C33" s="367"/>
      <c r="D33" s="368"/>
      <c r="E33" s="368"/>
      <c r="F33" s="368"/>
      <c r="G33" s="369"/>
      <c r="H33" s="370"/>
      <c r="I33" s="371"/>
      <c r="J33" s="372"/>
      <c r="K33" s="367"/>
      <c r="L33" s="368"/>
      <c r="M33" s="368"/>
      <c r="N33" s="368"/>
      <c r="O33" s="368"/>
      <c r="P33" s="369"/>
      <c r="Z33" s="11"/>
    </row>
    <row r="34" spans="1:26" ht="19.5" customHeight="1" x14ac:dyDescent="0.25">
      <c r="A34" s="9"/>
      <c r="B34" s="45"/>
      <c r="C34" s="367"/>
      <c r="D34" s="368"/>
      <c r="E34" s="368"/>
      <c r="F34" s="368"/>
      <c r="G34" s="369"/>
      <c r="H34" s="370"/>
      <c r="I34" s="371"/>
      <c r="J34" s="372"/>
      <c r="K34" s="367"/>
      <c r="L34" s="368"/>
      <c r="M34" s="368"/>
      <c r="N34" s="368"/>
      <c r="O34" s="368"/>
      <c r="P34" s="369"/>
      <c r="Z34" s="11"/>
    </row>
    <row r="35" spans="1:26" ht="19.5" customHeight="1" x14ac:dyDescent="0.25">
      <c r="A35" s="9"/>
      <c r="B35" s="45"/>
      <c r="C35" s="367"/>
      <c r="D35" s="368"/>
      <c r="E35" s="368"/>
      <c r="F35" s="368"/>
      <c r="G35" s="369"/>
      <c r="H35" s="370"/>
      <c r="I35" s="371"/>
      <c r="J35" s="372"/>
      <c r="K35" s="367"/>
      <c r="L35" s="368"/>
      <c r="M35" s="368"/>
      <c r="N35" s="368"/>
      <c r="O35" s="368"/>
      <c r="P35" s="369"/>
      <c r="Z35" s="11"/>
    </row>
    <row r="36" spans="1:26" ht="19.5" customHeight="1" x14ac:dyDescent="0.25">
      <c r="A36" s="9"/>
      <c r="B36" s="45"/>
      <c r="C36" s="69"/>
      <c r="D36" s="70"/>
      <c r="E36" s="70"/>
      <c r="F36" s="70"/>
      <c r="G36" s="71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45"/>
      <c r="C37" s="367"/>
      <c r="D37" s="368"/>
      <c r="E37" s="368"/>
      <c r="F37" s="368"/>
      <c r="G37" s="369"/>
      <c r="H37" s="370"/>
      <c r="I37" s="371"/>
      <c r="J37" s="372"/>
      <c r="K37" s="367"/>
      <c r="L37" s="368"/>
      <c r="M37" s="368"/>
      <c r="N37" s="368"/>
      <c r="O37" s="368"/>
      <c r="P37" s="369"/>
      <c r="Z37" s="11"/>
    </row>
    <row r="38" spans="1:26" ht="19.5" customHeight="1" x14ac:dyDescent="0.25">
      <c r="A38" s="9"/>
      <c r="B38" s="45"/>
      <c r="C38" s="367"/>
      <c r="D38" s="368"/>
      <c r="E38" s="368"/>
      <c r="F38" s="368"/>
      <c r="G38" s="369"/>
      <c r="H38" s="370"/>
      <c r="I38" s="371"/>
      <c r="J38" s="372"/>
      <c r="K38" s="367"/>
      <c r="L38" s="368"/>
      <c r="M38" s="368"/>
      <c r="N38" s="368"/>
      <c r="O38" s="368"/>
      <c r="P38" s="369"/>
      <c r="Z38" s="11"/>
    </row>
    <row r="39" spans="1:26" ht="19.5" customHeight="1" x14ac:dyDescent="0.25">
      <c r="A39" s="9"/>
      <c r="B39" s="45"/>
      <c r="C39" s="367"/>
      <c r="D39" s="368"/>
      <c r="E39" s="368"/>
      <c r="F39" s="368"/>
      <c r="G39" s="369"/>
      <c r="H39" s="370"/>
      <c r="I39" s="371"/>
      <c r="J39" s="372"/>
      <c r="K39" s="367"/>
      <c r="L39" s="368"/>
      <c r="M39" s="368"/>
      <c r="N39" s="368"/>
      <c r="O39" s="368"/>
      <c r="P39" s="369"/>
      <c r="Z39" s="11"/>
    </row>
    <row r="40" spans="1:26" ht="19.5" customHeight="1" x14ac:dyDescent="0.25">
      <c r="A40" s="9"/>
      <c r="B40" s="45"/>
      <c r="C40" s="367"/>
      <c r="D40" s="368"/>
      <c r="E40" s="368"/>
      <c r="F40" s="368"/>
      <c r="G40" s="369"/>
      <c r="H40" s="370"/>
      <c r="I40" s="371"/>
      <c r="J40" s="372"/>
      <c r="K40" s="367"/>
      <c r="L40" s="368"/>
      <c r="M40" s="368"/>
      <c r="N40" s="368"/>
      <c r="O40" s="368"/>
      <c r="P40" s="369"/>
      <c r="Z40" s="11"/>
    </row>
    <row r="41" spans="1:26" ht="19.5" customHeight="1" x14ac:dyDescent="0.25">
      <c r="A41" s="9"/>
      <c r="B41" s="45"/>
      <c r="C41" s="367"/>
      <c r="D41" s="368"/>
      <c r="E41" s="368"/>
      <c r="F41" s="368"/>
      <c r="G41" s="369"/>
      <c r="H41" s="370"/>
      <c r="I41" s="371"/>
      <c r="J41" s="372"/>
      <c r="K41" s="367"/>
      <c r="L41" s="368"/>
      <c r="M41" s="368"/>
      <c r="N41" s="368"/>
      <c r="O41" s="368"/>
      <c r="P41" s="369"/>
      <c r="Z41" s="11"/>
    </row>
    <row r="42" spans="1:26" ht="19.5" customHeight="1" x14ac:dyDescent="0.25">
      <c r="A42" s="9"/>
      <c r="B42" s="45"/>
      <c r="C42" s="367"/>
      <c r="D42" s="368"/>
      <c r="E42" s="368"/>
      <c r="F42" s="368"/>
      <c r="G42" s="369"/>
      <c r="H42" s="370"/>
      <c r="I42" s="371"/>
      <c r="J42" s="372"/>
      <c r="K42" s="367"/>
      <c r="L42" s="368"/>
      <c r="M42" s="368"/>
      <c r="N42" s="368"/>
      <c r="O42" s="368"/>
      <c r="P42" s="369"/>
      <c r="Z42" s="11"/>
    </row>
    <row r="43" spans="1:26" ht="19.5" customHeight="1" x14ac:dyDescent="0.25">
      <c r="A43" s="9"/>
      <c r="B43" s="45"/>
      <c r="C43" s="367"/>
      <c r="D43" s="368"/>
      <c r="E43" s="368"/>
      <c r="F43" s="368"/>
      <c r="G43" s="369"/>
      <c r="H43" s="370"/>
      <c r="I43" s="371"/>
      <c r="J43" s="372"/>
      <c r="K43" s="367"/>
      <c r="L43" s="368"/>
      <c r="M43" s="368"/>
      <c r="N43" s="368"/>
      <c r="O43" s="368"/>
      <c r="P43" s="369"/>
      <c r="Z43" s="11"/>
    </row>
    <row r="44" spans="1:26" ht="19.5" customHeight="1" x14ac:dyDescent="0.25">
      <c r="A44" s="9"/>
      <c r="B44" s="45"/>
      <c r="C44" s="367"/>
      <c r="D44" s="368"/>
      <c r="E44" s="368"/>
      <c r="F44" s="368"/>
      <c r="G44" s="369"/>
      <c r="H44" s="370"/>
      <c r="I44" s="371"/>
      <c r="J44" s="372"/>
      <c r="K44" s="367"/>
      <c r="L44" s="368"/>
      <c r="M44" s="368"/>
      <c r="N44" s="368"/>
      <c r="O44" s="368"/>
      <c r="P44" s="369"/>
      <c r="Z44" s="11"/>
    </row>
    <row r="45" spans="1:26" ht="19.5" customHeight="1" x14ac:dyDescent="0.25">
      <c r="A45" s="9"/>
      <c r="B45" s="45"/>
      <c r="C45" s="367"/>
      <c r="D45" s="368"/>
      <c r="E45" s="368"/>
      <c r="F45" s="368"/>
      <c r="G45" s="369"/>
      <c r="H45" s="370"/>
      <c r="I45" s="371"/>
      <c r="J45" s="372"/>
      <c r="K45" s="367"/>
      <c r="L45" s="368"/>
      <c r="M45" s="368"/>
      <c r="N45" s="368"/>
      <c r="O45" s="368"/>
      <c r="P45" s="369"/>
      <c r="Z45" s="11"/>
    </row>
    <row r="46" spans="1:26" ht="19.5" customHeight="1" x14ac:dyDescent="0.25">
      <c r="A46" s="9"/>
      <c r="B46" s="45"/>
      <c r="C46" s="367"/>
      <c r="D46" s="368"/>
      <c r="E46" s="368"/>
      <c r="F46" s="368"/>
      <c r="G46" s="369"/>
      <c r="H46" s="370"/>
      <c r="I46" s="371"/>
      <c r="J46" s="372"/>
      <c r="K46" s="367"/>
      <c r="L46" s="368"/>
      <c r="M46" s="368"/>
      <c r="N46" s="368"/>
      <c r="O46" s="368"/>
      <c r="P46" s="369"/>
      <c r="Z46" s="11"/>
    </row>
    <row r="47" spans="1:26" ht="19.5" customHeight="1" x14ac:dyDescent="0.25">
      <c r="A47" s="9"/>
      <c r="B47" s="45"/>
      <c r="C47" s="367"/>
      <c r="D47" s="368"/>
      <c r="E47" s="368"/>
      <c r="F47" s="368"/>
      <c r="G47" s="369"/>
      <c r="H47" s="370"/>
      <c r="I47" s="371"/>
      <c r="J47" s="372"/>
      <c r="K47" s="367"/>
      <c r="L47" s="368"/>
      <c r="M47" s="368"/>
      <c r="N47" s="368"/>
      <c r="O47" s="368"/>
      <c r="P47" s="369"/>
      <c r="Z47" s="11"/>
    </row>
    <row r="48" spans="1:26" ht="19.5" customHeight="1" x14ac:dyDescent="0.25">
      <c r="A48" s="9"/>
      <c r="B48" s="45"/>
      <c r="C48" s="367"/>
      <c r="D48" s="368"/>
      <c r="E48" s="368"/>
      <c r="F48" s="368"/>
      <c r="G48" s="369"/>
      <c r="H48" s="370"/>
      <c r="I48" s="371"/>
      <c r="J48" s="372"/>
      <c r="K48" s="367"/>
      <c r="L48" s="368"/>
      <c r="M48" s="368"/>
      <c r="N48" s="368"/>
      <c r="O48" s="368"/>
      <c r="P48" s="369"/>
      <c r="Z48" s="11"/>
    </row>
    <row r="49" spans="1:26" ht="19.5" customHeight="1" x14ac:dyDescent="0.25">
      <c r="A49" s="9"/>
      <c r="B49" s="45"/>
      <c r="C49" s="367"/>
      <c r="D49" s="368"/>
      <c r="E49" s="368"/>
      <c r="F49" s="368"/>
      <c r="G49" s="369"/>
      <c r="H49" s="370"/>
      <c r="I49" s="371"/>
      <c r="J49" s="372"/>
      <c r="K49" s="367"/>
      <c r="L49" s="368"/>
      <c r="M49" s="368"/>
      <c r="N49" s="368"/>
      <c r="O49" s="368"/>
      <c r="P49" s="369"/>
      <c r="Z49" s="11"/>
    </row>
    <row r="50" spans="1:26" ht="19.5" customHeight="1" x14ac:dyDescent="0.25">
      <c r="A50" s="9"/>
      <c r="B50" s="45"/>
      <c r="C50" s="367"/>
      <c r="D50" s="368"/>
      <c r="E50" s="368"/>
      <c r="F50" s="368"/>
      <c r="G50" s="369"/>
      <c r="H50" s="370"/>
      <c r="I50" s="371"/>
      <c r="J50" s="372"/>
      <c r="K50" s="367"/>
      <c r="L50" s="368"/>
      <c r="M50" s="368"/>
      <c r="N50" s="368"/>
      <c r="O50" s="368"/>
      <c r="P50" s="369"/>
      <c r="Z50" s="11"/>
    </row>
    <row r="51" spans="1:26" ht="19.5" customHeight="1" x14ac:dyDescent="0.25">
      <c r="A51" s="9"/>
      <c r="B51" s="45"/>
      <c r="C51" s="367"/>
      <c r="D51" s="368"/>
      <c r="E51" s="368"/>
      <c r="F51" s="368"/>
      <c r="G51" s="369"/>
      <c r="H51" s="370"/>
      <c r="I51" s="371"/>
      <c r="J51" s="372"/>
      <c r="K51" s="367"/>
      <c r="L51" s="368"/>
      <c r="M51" s="368"/>
      <c r="N51" s="368"/>
      <c r="O51" s="368"/>
      <c r="P51" s="369"/>
      <c r="Z51" s="11"/>
    </row>
    <row r="52" spans="1:26" ht="19.5" customHeight="1" x14ac:dyDescent="0.25">
      <c r="A52" s="9"/>
      <c r="B52" s="45"/>
      <c r="C52" s="367"/>
      <c r="D52" s="368"/>
      <c r="E52" s="368"/>
      <c r="F52" s="368"/>
      <c r="G52" s="369"/>
      <c r="H52" s="370"/>
      <c r="I52" s="371"/>
      <c r="J52" s="372"/>
      <c r="K52" s="367"/>
      <c r="L52" s="368"/>
      <c r="M52" s="368"/>
      <c r="N52" s="368"/>
      <c r="O52" s="368"/>
      <c r="P52" s="369"/>
      <c r="Z52" s="11"/>
    </row>
    <row r="53" spans="1:26" ht="19.5" customHeight="1" x14ac:dyDescent="0.25">
      <c r="A53" s="9"/>
      <c r="B53" s="45"/>
      <c r="C53" s="367"/>
      <c r="D53" s="368"/>
      <c r="E53" s="368"/>
      <c r="F53" s="368"/>
      <c r="G53" s="369"/>
      <c r="H53" s="370"/>
      <c r="I53" s="371"/>
      <c r="J53" s="372"/>
      <c r="K53" s="367"/>
      <c r="L53" s="368"/>
      <c r="M53" s="368"/>
      <c r="N53" s="368"/>
      <c r="O53" s="368"/>
      <c r="P53" s="369"/>
      <c r="Z53" s="11"/>
    </row>
    <row r="54" spans="1:26" ht="19.5" customHeight="1" thickBot="1" x14ac:dyDescent="0.3">
      <c r="A54" s="9"/>
      <c r="B54" s="45"/>
      <c r="C54" s="367"/>
      <c r="D54" s="368"/>
      <c r="E54" s="368"/>
      <c r="F54" s="368"/>
      <c r="G54" s="369"/>
      <c r="H54" s="370"/>
      <c r="I54" s="371"/>
      <c r="J54" s="372"/>
      <c r="K54" s="367"/>
      <c r="L54" s="368"/>
      <c r="M54" s="368"/>
      <c r="N54" s="368"/>
      <c r="O54" s="368"/>
      <c r="P54" s="369"/>
      <c r="Z54" s="11"/>
    </row>
    <row r="55" spans="1:26" ht="15.75" customHeight="1" x14ac:dyDescent="0.25">
      <c r="A55" s="9"/>
      <c r="B55" s="379" t="s">
        <v>35</v>
      </c>
      <c r="C55" s="380"/>
      <c r="D55" s="380"/>
      <c r="E55" s="380"/>
      <c r="F55" s="380"/>
      <c r="G55" s="381"/>
      <c r="H55" s="382">
        <f>AVERAGE(H25:J54)</f>
        <v>24</v>
      </c>
      <c r="I55" s="383"/>
      <c r="J55" s="384"/>
      <c r="K55" s="385"/>
      <c r="L55" s="386"/>
      <c r="M55" s="391" t="s">
        <v>36</v>
      </c>
      <c r="N55" s="391"/>
      <c r="O55" s="391"/>
      <c r="P55" s="392"/>
      <c r="Z55" s="11"/>
    </row>
    <row r="56" spans="1:26" ht="15.75" customHeight="1" x14ac:dyDescent="0.25">
      <c r="A56" s="9"/>
      <c r="B56" s="397" t="s">
        <v>37</v>
      </c>
      <c r="C56" s="398"/>
      <c r="D56" s="398"/>
      <c r="E56" s="398"/>
      <c r="F56" s="398"/>
      <c r="G56" s="399"/>
      <c r="H56" s="400" t="str">
        <f>IF(COUNTIF(H25:J54,"*&lt;20*"),"&lt;20",MIN(H25:J54))</f>
        <v>&lt;20</v>
      </c>
      <c r="I56" s="401"/>
      <c r="J56" s="402"/>
      <c r="K56" s="387"/>
      <c r="L56" s="388"/>
      <c r="M56" s="393"/>
      <c r="N56" s="393"/>
      <c r="O56" s="393"/>
      <c r="P56" s="394"/>
      <c r="Z56" s="11"/>
    </row>
    <row r="57" spans="1:26" ht="15.75" customHeight="1" thickBot="1" x14ac:dyDescent="0.3">
      <c r="A57" s="9"/>
      <c r="B57" s="403" t="s">
        <v>38</v>
      </c>
      <c r="C57" s="404"/>
      <c r="D57" s="404"/>
      <c r="E57" s="404"/>
      <c r="F57" s="404"/>
      <c r="G57" s="405"/>
      <c r="H57" s="418">
        <f>IF(COUNTIF(H25:J54,"*&gt;250*"),"&gt;250",MAX(H25:J54))</f>
        <v>24</v>
      </c>
      <c r="I57" s="419"/>
      <c r="J57" s="420"/>
      <c r="K57" s="389"/>
      <c r="L57" s="390"/>
      <c r="M57" s="395"/>
      <c r="N57" s="395"/>
      <c r="O57" s="395"/>
      <c r="P57" s="396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39</v>
      </c>
      <c r="B60" s="5" t="s">
        <v>40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421" t="s">
        <v>41</v>
      </c>
      <c r="B61" s="422"/>
      <c r="C61" s="422"/>
      <c r="D61" s="422"/>
      <c r="E61" s="422"/>
      <c r="F61" s="422"/>
      <c r="G61" s="422"/>
      <c r="H61" s="422"/>
      <c r="I61" s="422"/>
      <c r="J61" s="422"/>
      <c r="K61" s="422"/>
      <c r="L61" s="422"/>
      <c r="M61" s="422"/>
      <c r="N61" s="422"/>
      <c r="O61" s="422"/>
      <c r="P61" s="422"/>
      <c r="Q61" s="423"/>
      <c r="R61" s="412" t="s">
        <v>42</v>
      </c>
      <c r="S61" s="413"/>
      <c r="T61" s="414"/>
      <c r="U61" s="424" t="s">
        <v>12</v>
      </c>
      <c r="V61" s="425"/>
      <c r="W61" s="425"/>
      <c r="X61" s="426"/>
      <c r="Y61" s="426"/>
      <c r="Z61" s="427"/>
    </row>
    <row r="62" spans="1:26" s="17" customFormat="1" ht="15.6" customHeight="1" x14ac:dyDescent="0.25">
      <c r="A62" s="428" t="s">
        <v>51</v>
      </c>
      <c r="B62" s="429"/>
      <c r="C62" s="429"/>
      <c r="D62" s="429"/>
      <c r="E62" s="429"/>
      <c r="F62" s="429"/>
      <c r="G62" s="429"/>
      <c r="H62" s="429"/>
      <c r="I62" s="429"/>
      <c r="J62" s="429"/>
      <c r="K62" s="429"/>
      <c r="L62" s="429"/>
      <c r="M62" s="429"/>
      <c r="N62" s="429"/>
      <c r="O62" s="429"/>
      <c r="P62" s="429"/>
      <c r="Q62" s="430"/>
      <c r="R62" s="412" t="s">
        <v>43</v>
      </c>
      <c r="S62" s="413"/>
      <c r="T62" s="414"/>
      <c r="U62" s="434" t="s">
        <v>44</v>
      </c>
      <c r="V62" s="435"/>
      <c r="W62" s="435"/>
      <c r="X62" s="436"/>
      <c r="Y62" s="436"/>
      <c r="Z62" s="437"/>
    </row>
    <row r="63" spans="1:26" s="17" customFormat="1" ht="15.6" customHeight="1" x14ac:dyDescent="0.25">
      <c r="A63" s="431"/>
      <c r="B63" s="432"/>
      <c r="C63" s="432"/>
      <c r="D63" s="432"/>
      <c r="E63" s="432"/>
      <c r="F63" s="432"/>
      <c r="G63" s="432"/>
      <c r="H63" s="432"/>
      <c r="I63" s="432"/>
      <c r="J63" s="432"/>
      <c r="K63" s="432"/>
      <c r="L63" s="432"/>
      <c r="M63" s="432"/>
      <c r="N63" s="432"/>
      <c r="O63" s="432"/>
      <c r="P63" s="432"/>
      <c r="Q63" s="433"/>
      <c r="R63" s="412"/>
      <c r="S63" s="413"/>
      <c r="T63" s="414"/>
      <c r="U63" s="438"/>
      <c r="V63" s="393"/>
      <c r="W63" s="393"/>
      <c r="X63" s="439"/>
      <c r="Y63" s="439"/>
      <c r="Z63" s="440"/>
    </row>
    <row r="64" spans="1:26" s="17" customFormat="1" ht="15.6" customHeight="1" x14ac:dyDescent="0.25">
      <c r="A64" s="55" t="s">
        <v>45</v>
      </c>
      <c r="B64" s="56" t="s">
        <v>46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412"/>
      <c r="S64" s="413"/>
      <c r="T64" s="414"/>
      <c r="U64" s="441"/>
      <c r="V64" s="442"/>
      <c r="W64" s="442"/>
      <c r="X64" s="443"/>
      <c r="Y64" s="443"/>
      <c r="Z64" s="444"/>
    </row>
    <row r="65" spans="1:26" s="17" customFormat="1" ht="15.6" customHeight="1" x14ac:dyDescent="0.25">
      <c r="A65" s="406"/>
      <c r="B65" s="407"/>
      <c r="C65" s="407"/>
      <c r="D65" s="407"/>
      <c r="E65" s="407"/>
      <c r="F65" s="407"/>
      <c r="G65" s="407"/>
      <c r="H65" s="407"/>
      <c r="I65" s="407"/>
      <c r="J65" s="407"/>
      <c r="K65" s="407"/>
      <c r="L65" s="407"/>
      <c r="M65" s="407"/>
      <c r="N65" s="407"/>
      <c r="O65" s="407"/>
      <c r="P65" s="407"/>
      <c r="Q65" s="408"/>
      <c r="R65" s="412" t="s">
        <v>47</v>
      </c>
      <c r="S65" s="413"/>
      <c r="T65" s="414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406"/>
      <c r="B66" s="407"/>
      <c r="C66" s="407"/>
      <c r="D66" s="407"/>
      <c r="E66" s="407"/>
      <c r="F66" s="407"/>
      <c r="G66" s="407"/>
      <c r="H66" s="407"/>
      <c r="I66" s="407"/>
      <c r="J66" s="407"/>
      <c r="K66" s="407"/>
      <c r="L66" s="407"/>
      <c r="M66" s="407"/>
      <c r="N66" s="407"/>
      <c r="O66" s="407"/>
      <c r="P66" s="407"/>
      <c r="Q66" s="408"/>
      <c r="R66" s="412"/>
      <c r="S66" s="413"/>
      <c r="T66" s="414"/>
      <c r="U66" s="61"/>
      <c r="V66" s="393"/>
      <c r="W66" s="393"/>
      <c r="X66" s="393"/>
      <c r="Y66" s="393"/>
      <c r="Z66" s="62"/>
    </row>
    <row r="67" spans="1:26" s="17" customFormat="1" ht="15.6" customHeight="1" x14ac:dyDescent="0.25">
      <c r="A67" s="406"/>
      <c r="B67" s="407"/>
      <c r="C67" s="407"/>
      <c r="D67" s="407"/>
      <c r="E67" s="407"/>
      <c r="F67" s="407"/>
      <c r="G67" s="407"/>
      <c r="H67" s="407"/>
      <c r="I67" s="407"/>
      <c r="J67" s="407"/>
      <c r="K67" s="407"/>
      <c r="L67" s="407"/>
      <c r="M67" s="407"/>
      <c r="N67" s="407"/>
      <c r="O67" s="407"/>
      <c r="P67" s="407"/>
      <c r="Q67" s="408"/>
      <c r="R67" s="412"/>
      <c r="S67" s="413"/>
      <c r="T67" s="414"/>
      <c r="U67" s="61"/>
      <c r="V67" s="393"/>
      <c r="W67" s="393"/>
      <c r="X67" s="393"/>
      <c r="Y67" s="393"/>
      <c r="Z67" s="62"/>
    </row>
    <row r="68" spans="1:26" s="17" customFormat="1" ht="15.6" customHeight="1" x14ac:dyDescent="0.25">
      <c r="A68" s="409"/>
      <c r="B68" s="410"/>
      <c r="C68" s="410"/>
      <c r="D68" s="410"/>
      <c r="E68" s="410"/>
      <c r="F68" s="410"/>
      <c r="G68" s="410"/>
      <c r="H68" s="410"/>
      <c r="I68" s="410"/>
      <c r="J68" s="410"/>
      <c r="K68" s="410"/>
      <c r="L68" s="410"/>
      <c r="M68" s="410"/>
      <c r="N68" s="410"/>
      <c r="O68" s="410"/>
      <c r="P68" s="410"/>
      <c r="Q68" s="411"/>
      <c r="R68" s="415"/>
      <c r="S68" s="416"/>
      <c r="T68" s="417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39">
    <mergeCell ref="A65:Q68"/>
    <mergeCell ref="R65:T68"/>
    <mergeCell ref="V66:Y67"/>
    <mergeCell ref="A61:Q61"/>
    <mergeCell ref="R61:T61"/>
    <mergeCell ref="U61:Z61"/>
    <mergeCell ref="A62:Q63"/>
    <mergeCell ref="R62:T64"/>
    <mergeCell ref="U62:Z64"/>
    <mergeCell ref="B55:G55"/>
    <mergeCell ref="H55:J55"/>
    <mergeCell ref="K55:L57"/>
    <mergeCell ref="M55:P57"/>
    <mergeCell ref="B56:G56"/>
    <mergeCell ref="H56:J56"/>
    <mergeCell ref="B57:G57"/>
    <mergeCell ref="H57:J57"/>
    <mergeCell ref="C54:G54"/>
    <mergeCell ref="H54:J54"/>
    <mergeCell ref="K54:P54"/>
    <mergeCell ref="C52:G52"/>
    <mergeCell ref="H52:J52"/>
    <mergeCell ref="K52:P52"/>
    <mergeCell ref="C53:G53"/>
    <mergeCell ref="H53:J53"/>
    <mergeCell ref="K53:P53"/>
    <mergeCell ref="C50:G50"/>
    <mergeCell ref="H50:J50"/>
    <mergeCell ref="K50:P50"/>
    <mergeCell ref="C51:G51"/>
    <mergeCell ref="H51:J51"/>
    <mergeCell ref="K51:P51"/>
    <mergeCell ref="C48:G48"/>
    <mergeCell ref="H48:J48"/>
    <mergeCell ref="K48:P48"/>
    <mergeCell ref="C49:G49"/>
    <mergeCell ref="H49:J49"/>
    <mergeCell ref="K49:P49"/>
    <mergeCell ref="C46:G46"/>
    <mergeCell ref="H46:J46"/>
    <mergeCell ref="K46:P46"/>
    <mergeCell ref="C47:G47"/>
    <mergeCell ref="H47:J47"/>
    <mergeCell ref="K47:P47"/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5:G35"/>
    <mergeCell ref="H35:J35"/>
    <mergeCell ref="K35:P35"/>
    <mergeCell ref="C37:G37"/>
    <mergeCell ref="H37:J37"/>
    <mergeCell ref="K37:P37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C27:G27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9</vt:i4>
      </vt:variant>
    </vt:vector>
  </HeadingPairs>
  <TitlesOfParts>
    <vt:vector size="18" baseType="lpstr">
      <vt:lpstr>131125 CdF Bât PF6</vt:lpstr>
      <vt:lpstr>131125 AT Bât PF6</vt:lpstr>
      <vt:lpstr>131125 AT Bât PF5</vt:lpstr>
      <vt:lpstr>131125 CdF Bât PF5</vt:lpstr>
      <vt:lpstr>190225 CdF Bât</vt:lpstr>
      <vt:lpstr>161024 Pt Passage</vt:lpstr>
      <vt:lpstr>161024 CdF</vt:lpstr>
      <vt:lpstr>161024 AT</vt:lpstr>
      <vt:lpstr>161024 AT (2)</vt:lpstr>
      <vt:lpstr>'131125 AT Bât PF5'!Zone_d_impression</vt:lpstr>
      <vt:lpstr>'131125 AT Bât PF6'!Zone_d_impression</vt:lpstr>
      <vt:lpstr>'131125 CdF Bât PF5'!Zone_d_impression</vt:lpstr>
      <vt:lpstr>'131125 CdF Bât PF6'!Zone_d_impression</vt:lpstr>
      <vt:lpstr>'161024 AT'!Zone_d_impression</vt:lpstr>
      <vt:lpstr>'161024 AT (2)'!Zone_d_impression</vt:lpstr>
      <vt:lpstr>'161024 CdF'!Zone_d_impression</vt:lpstr>
      <vt:lpstr>'161024 Pt Passage'!Zone_d_impression</vt:lpstr>
      <vt:lpstr>'190225 CdF Bât'!Zone_d_impression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2025-11-13T17:22:03Z</cp:lastPrinted>
  <dcterms:created xsi:type="dcterms:W3CDTF">2004-11-13T18:13:05Z</dcterms:created>
  <dcterms:modified xsi:type="dcterms:W3CDTF">2025-11-13T17:23:34Z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