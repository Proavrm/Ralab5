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M16D  SEM - Travaux Entretien et Aménagement\Essais de laboratoire\Portances\"/>
    </mc:Choice>
  </mc:AlternateContent>
  <xr:revisionPtr revIDLastSave="0" documentId="13_ncr:1_{AE8EA153-9FF5-464E-9368-86B7B02E7A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60925" sheetId="9" r:id="rId1"/>
    <sheet name="070624" sheetId="8" r:id="rId2"/>
    <sheet name="270524" sheetId="7" r:id="rId3"/>
    <sheet name="150524" sheetId="6" r:id="rId4"/>
    <sheet name="130524" sheetId="5" r:id="rId5"/>
    <sheet name="020524 - Villars Parking FdF" sheetId="4" r:id="rId6"/>
    <sheet name="150424" sheetId="3" r:id="rId7"/>
    <sheet name="080424 - Villars Parking CdF" sheetId="2" r:id="rId8"/>
    <sheet name="290324" sheetId="1" r:id="rId9"/>
  </sheets>
  <definedNames>
    <definedName name="_xlnm.Print_Area" localSheetId="5">'020524 - Villars Parking FdF'!$A$1:$Z$69</definedName>
    <definedName name="_xlnm.Print_Area" localSheetId="1">'070624'!$A$1:$Z$60</definedName>
    <definedName name="_xlnm.Print_Area" localSheetId="7">'080424 - Villars Parking CdF'!$A$1:$Z$69</definedName>
    <definedName name="_xlnm.Print_Area" localSheetId="4">'130524'!$A$1:$Z$60</definedName>
    <definedName name="_xlnm.Print_Area" localSheetId="6">'150424'!$A$1:$Z$60</definedName>
    <definedName name="_xlnm.Print_Area" localSheetId="3">'150524'!$A$1:$Z$60</definedName>
    <definedName name="_xlnm.Print_Area" localSheetId="0">'160925'!$A$1:$Z$60</definedName>
    <definedName name="_xlnm.Print_Area" localSheetId="2">'270524'!$A$1:$Z$60</definedName>
    <definedName name="_xlnm.Print_Area" localSheetId="8">'290324'!$A$1:$Z$60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9" l="1"/>
  <c r="H47" i="9"/>
  <c r="H46" i="9"/>
  <c r="H46" i="8"/>
  <c r="H47" i="8"/>
  <c r="H48" i="8"/>
  <c r="H46" i="7"/>
  <c r="H47" i="7"/>
  <c r="H48" i="7"/>
  <c r="H46" i="6"/>
  <c r="H47" i="6"/>
  <c r="H48" i="6"/>
  <c r="H46" i="5"/>
  <c r="H47" i="5"/>
  <c r="H48" i="5"/>
  <c r="H56" i="4"/>
  <c r="H46" i="3"/>
  <c r="H47" i="3"/>
  <c r="H48" i="3"/>
  <c r="H55" i="2"/>
  <c r="H56" i="2"/>
  <c r="H57" i="2"/>
  <c r="H48" i="1"/>
  <c r="H47" i="1"/>
  <c r="H46" i="1"/>
</calcChain>
</file>

<file path=xl/sharedStrings.xml><?xml version="1.0" encoding="utf-8"?>
<sst xmlns="http://schemas.openxmlformats.org/spreadsheetml/2006/main" count="515" uniqueCount="89">
  <si>
    <t>COMPTE RENDU D'ESSAIS</t>
  </si>
  <si>
    <t>Villars</t>
  </si>
  <si>
    <t>PORTANCES DES PLATES-FORMES DYNAPLAQUE 
(NF P 94-117-2 d'octobre 2004)</t>
  </si>
  <si>
    <t>PLD N°</t>
  </si>
  <si>
    <t>RA M16D</t>
  </si>
  <si>
    <t>29/03/2024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</si>
  <si>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</si>
  <si>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</si>
  <si>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</si>
  <si>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</si>
  <si>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</si>
  <si>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</si>
  <si>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</si>
  <si>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</si>
  <si>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</si>
  <si>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</si>
  <si>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GR 0/80</t>
  </si>
  <si>
    <t>Date de(s) essai(s) :</t>
  </si>
  <si>
    <t>Météo :</t>
  </si>
  <si>
    <t>Couvert</t>
  </si>
  <si>
    <t>Partie de l'ouvrage :</t>
  </si>
  <si>
    <t>CDF</t>
  </si>
  <si>
    <t>Plan de situation :</t>
  </si>
  <si>
    <t>Oui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</si>
  <si>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</si>
  <si>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</si>
  <si>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</si>
  <si>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</si>
  <si>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</si>
  <si>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</si>
  <si>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</si>
  <si>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</si>
  <si>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</si>
  <si>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</si>
  <si>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</si>
  <si>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</si>
  <si>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</si>
  <si>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</si>
  <si>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&lt;20</t>
  </si>
  <si>
    <t>Moyenne</t>
  </si>
  <si>
    <t xml:space="preserve"> 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</si>
  <si>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</si>
  <si>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</si>
  <si>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</si>
  <si>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</si>
  <si>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</si>
  <si>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</si>
  <si>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</si>
  <si>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F. MONTET</t>
  </si>
  <si>
    <t>Fonction</t>
  </si>
  <si>
    <t>Technicien de laboratoire</t>
  </si>
  <si>
    <t>6/</t>
  </si>
  <si>
    <t>COMMENTAIRES</t>
  </si>
  <si>
    <t>Visa</t>
  </si>
  <si>
    <t>Non conforme</t>
  </si>
  <si>
    <t>Chef de Section Laboratoire</t>
  </si>
  <si>
    <t>Non Conforme</t>
  </si>
  <si>
    <t>Sylvain LHOPITAL</t>
  </si>
  <si>
    <t xml:space="preserve"> 21.43</t>
  </si>
  <si>
    <t>Beau</t>
  </si>
  <si>
    <t>08/04/2024</t>
  </si>
  <si>
    <t>GDNT 0/80</t>
  </si>
  <si>
    <t>SEM
Travaux d'Entretien et aménagement</t>
  </si>
  <si>
    <t>Villars Parking Breuil - CdF</t>
  </si>
  <si>
    <t>Conforme</t>
  </si>
  <si>
    <t>bas droite</t>
  </si>
  <si>
    <t>15/04/2024</t>
  </si>
  <si>
    <t>0/80</t>
  </si>
  <si>
    <t>Villars Parking Breuil - FdF entrée</t>
  </si>
  <si>
    <t>Pluie</t>
  </si>
  <si>
    <t>02/05/2024</t>
  </si>
  <si>
    <t>Niveau fini cloutage -20 cm</t>
  </si>
  <si>
    <t>13/05/2024</t>
  </si>
  <si>
    <t>50/150</t>
  </si>
  <si>
    <t>Pour Information</t>
  </si>
  <si>
    <t>15/05/2024</t>
  </si>
  <si>
    <t>CDF - 15 cm</t>
  </si>
  <si>
    <t>27/05/2024</t>
  </si>
  <si>
    <t>CDF - 10cm</t>
  </si>
  <si>
    <t>SEM
Travaux d'Entretien et aménagement - Villars</t>
  </si>
  <si>
    <t xml:space="preserve"> 90.91</t>
  </si>
  <si>
    <t>07/06/2024</t>
  </si>
  <si>
    <t>Purge</t>
  </si>
  <si>
    <t>Hugo Lepolard</t>
  </si>
  <si>
    <t>0/31,5</t>
  </si>
  <si>
    <t>16/09/2025</t>
  </si>
  <si>
    <t xml:space="preserve"> 100.00</t>
  </si>
  <si>
    <t>SEM
Travaux d'Entretien et aménagement - St Etienne</t>
  </si>
  <si>
    <t>CDR rue Jeanne Jugan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</si>
</sst>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sz val="12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2">
    <xf numFmtId="0" fontId="0" fillId="0" borderId="0"/>
    <xf numFmtId="0" fontId="12" fillId="0" borderId="0"/>
  </cellStyleXfs>
  <cellXfs count="795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2" fillId="0" borderId="0" xfId="1"/>
    <xf numFmtId="0" fontId="1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0" xfId="1" applyFont="1" applyProtection="1">
      <protection hidden="1"/>
    </xf>
    <xf numFmtId="0" fontId="7" fillId="0" borderId="4" xfId="1" applyFont="1" applyBorder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hidden="1"/>
    </xf>
    <xf numFmtId="0" fontId="7" fillId="0" borderId="4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4" fillId="0" borderId="7" xfId="1" applyFont="1" applyBorder="1" applyAlignment="1" applyProtection="1">
      <alignment vertical="center"/>
      <protection hidden="1"/>
    </xf>
    <xf numFmtId="0" fontId="4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10" xfId="1" applyFont="1" applyBorder="1" applyAlignment="1" applyProtection="1">
      <alignment horizontal="center" vertical="center" wrapText="1"/>
      <protection hidden="1"/>
    </xf>
    <xf numFmtId="0" fontId="1" fillId="0" borderId="9" xfId="1" applyFont="1" applyBorder="1" applyAlignment="1" applyProtection="1">
      <alignment horizontal="center" vertical="center" wrapText="1"/>
      <protection hidden="1"/>
    </xf>
    <xf numFmtId="0" fontId="5" fillId="0" borderId="9" xfId="1" applyFont="1" applyBorder="1" applyAlignment="1" applyProtection="1">
      <alignment horizontal="center" vertical="center" wrapText="1"/>
      <protection hidden="1"/>
    </xf>
    <xf numFmtId="0" fontId="5" fillId="0" borderId="4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3" xfId="1" applyFont="1" applyBorder="1" applyAlignment="1" applyProtection="1">
      <alignment vertical="center"/>
      <protection hidden="1"/>
    </xf>
    <xf numFmtId="0" fontId="8" fillId="0" borderId="13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horizontal="center"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horizontal="center" vertical="center"/>
      <protection hidden="1"/>
    </xf>
    <xf numFmtId="0" fontId="6" fillId="0" borderId="12" xfId="1" applyFont="1" applyBorder="1" applyAlignment="1">
      <alignment horizontal="center"/>
    </xf>
    <xf numFmtId="0" fontId="7" fillId="0" borderId="10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10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164" fontId="7" fillId="0" borderId="14" xfId="1" applyNumberFormat="1" applyFont="1" applyBorder="1" applyAlignment="1">
      <alignment horizontal="center" vertical="center"/>
    </xf>
    <xf numFmtId="0" fontId="6" fillId="0" borderId="15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1" fillId="0" borderId="6" xfId="1" applyFont="1" applyBorder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7" fillId="0" borderId="4" xfId="1" applyFont="1" applyBorder="1"/>
    <xf numFmtId="0" fontId="8" fillId="0" borderId="4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3" fillId="0" borderId="3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left" vertical="center"/>
      <protection hidden="1"/>
    </xf>
    <xf numFmtId="0" fontId="1" fillId="0" borderId="8" xfId="1" applyFont="1" applyBorder="1" applyProtection="1">
      <protection hidden="1"/>
    </xf>
    <xf numFmtId="0" fontId="1" fillId="0" borderId="2" xfId="1" applyFont="1" applyBorder="1" applyProtection="1">
      <protection hidden="1"/>
    </xf>
    <xf numFmtId="0" fontId="1" fillId="0" borderId="1" xfId="1" applyFont="1" applyBorder="1" applyProtection="1">
      <protection hidden="1"/>
    </xf>
    <xf numFmtId="0" fontId="4" fillId="0" borderId="7" xfId="1" applyFont="1" applyBorder="1" applyAlignment="1" applyProtection="1">
      <alignment horizontal="left"/>
      <protection hidden="1"/>
    </xf>
    <xf numFmtId="0" fontId="7" fillId="0" borderId="0" xfId="1" applyFont="1" applyAlignment="1" applyProtection="1">
      <alignment horizontal="left"/>
      <protection locked="0"/>
    </xf>
    <xf numFmtId="0" fontId="1" fillId="0" borderId="6" xfId="1" applyFont="1" applyBorder="1" applyProtection="1">
      <protection hidden="1"/>
    </xf>
    <xf numFmtId="0" fontId="1" fillId="0" borderId="7" xfId="1" applyFont="1" applyBorder="1" applyProtection="1">
      <protection hidden="1"/>
    </xf>
    <xf numFmtId="0" fontId="2" fillId="0" borderId="0" xfId="1" applyFont="1" applyProtection="1">
      <protection hidden="1"/>
    </xf>
    <xf numFmtId="0" fontId="1" fillId="0" borderId="5" xfId="1" applyFont="1" applyBorder="1" applyProtection="1">
      <protection hidden="1"/>
    </xf>
    <xf numFmtId="0" fontId="1" fillId="0" borderId="4" xfId="1" applyFont="1" applyBorder="1" applyProtection="1">
      <protection hidden="1"/>
    </xf>
    <xf numFmtId="0" fontId="3" fillId="0" borderId="4" xfId="1" applyFont="1" applyBorder="1" applyProtection="1">
      <protection hidden="1"/>
    </xf>
    <xf numFmtId="14" fontId="6" fillId="0" borderId="0" xfId="1" applyNumberFormat="1" applyFont="1" applyAlignment="1" applyProtection="1">
      <alignment horizontal="center"/>
      <protection hidden="1"/>
    </xf>
    <xf numFmtId="0" fontId="5" fillId="0" borderId="0" xfId="1" applyFont="1" applyAlignment="1" applyProtection="1">
      <alignment horizontal="right"/>
      <protection hidden="1"/>
    </xf>
    <xf numFmtId="0" fontId="3" fillId="0" borderId="0" xfId="1" applyFont="1" applyAlignment="1" applyProtection="1">
      <alignment horizontal="right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horizontal="center"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14" fillId="0" borderId="4" xfId="0" applyFont="1" applyBorder="1" applyAlignment="1" applyProtection="1">
      <alignment vertical="center"/>
      <protection locked="0"/>
    </xf>
    <xf numFmtId="0" fontId="15" fillId="0" borderId="4" xfId="0" applyFont="1" applyBorder="1" applyAlignment="1" applyProtection="1">
      <alignment vertical="center"/>
      <protection hidden="1"/>
    </xf>
    <xf numFmtId="0" fontId="14" fillId="0" borderId="4" xfId="0" applyFont="1" applyBorder="1" applyAlignment="1" applyProtection="1">
      <alignment vertical="center" wrapText="1"/>
      <protection locked="0"/>
    </xf>
    <xf numFmtId="0" fontId="13" fillId="0" borderId="8" xfId="0" applyFont="1" applyBorder="1" applyAlignment="1" applyProtection="1">
      <alignment vertical="center" wrapText="1"/>
      <protection locked="0"/>
    </xf>
    <xf numFmtId="0" fontId="13" fillId="0" borderId="2" xfId="0" applyFont="1" applyBorder="1" applyAlignment="1" applyProtection="1">
      <alignment vertical="center" wrapText="1"/>
      <protection locked="0"/>
    </xf>
    <xf numFmtId="0" fontId="13" fillId="0" borderId="1" xfId="0" applyFont="1" applyBorder="1" applyAlignment="1" applyProtection="1">
      <alignment vertical="center" wrapText="1"/>
      <protection locked="0"/>
    </xf>
    <xf numFmtId="0" fontId="13" fillId="0" borderId="7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4" xfId="0" applyFont="1" applyBorder="1" applyAlignment="1" applyProtection="1">
      <alignment vertical="center" wrapText="1"/>
      <protection locked="0"/>
    </xf>
    <xf numFmtId="0" fontId="13" fillId="0" borderId="3" xfId="0" applyFont="1" applyBorder="1" applyAlignment="1" applyProtection="1">
      <alignment vertical="center" wrapText="1"/>
      <protection locked="0"/>
    </xf>
    <xf numFmtId="0" fontId="16" fillId="0" borderId="7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8" fillId="0" borderId="6" xfId="0" applyFont="1" applyBorder="1" applyAlignment="1" applyProtection="1">
      <alignment horizontal="center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0" fontId="15" fillId="0" borderId="9" xfId="0" applyFont="1" applyBorder="1" applyAlignment="1" applyProtection="1">
      <alignment horizontal="center" vertical="center" wrapText="1"/>
      <protection hidden="1"/>
    </xf>
    <xf numFmtId="0" fontId="15" fillId="0" borderId="4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9" fillId="0" borderId="13" xfId="0" applyFont="1" applyBorder="1" applyAlignment="1" applyProtection="1">
      <alignment vertical="center"/>
      <protection hidden="1"/>
    </xf>
    <xf numFmtId="0" fontId="17" fillId="0" borderId="4" xfId="0" applyFont="1" applyBorder="1" applyAlignment="1" applyProtection="1">
      <alignment vertical="center"/>
      <protection hidden="1"/>
    </xf>
    <xf numFmtId="0" fontId="18" fillId="0" borderId="3" xfId="0" applyFont="1" applyBorder="1" applyAlignment="1" applyProtection="1">
      <alignment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vertical="center"/>
      <protection hidden="1"/>
    </xf>
    <xf numFmtId="0" fontId="13" fillId="0" borderId="2" xfId="0" applyFont="1" applyBorder="1" applyAlignment="1" applyProtection="1">
      <alignment vertical="center"/>
      <protection hidden="1"/>
    </xf>
    <xf numFmtId="0" fontId="20" fillId="0" borderId="1" xfId="0" applyFont="1" applyBorder="1" applyAlignment="1" applyProtection="1">
      <alignment vertical="center"/>
      <protection hidden="1"/>
    </xf>
    <xf numFmtId="0" fontId="20" fillId="0" borderId="1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vertical="center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21" fillId="0" borderId="12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3" fillId="0" borderId="6" xfId="0" applyFont="1" applyBorder="1" applyAlignment="1" applyProtection="1">
      <alignment vertical="center"/>
      <protection hidden="1"/>
    </xf>
    <xf numFmtId="0" fontId="13" fillId="0" borderId="5" xfId="0" applyFont="1" applyBorder="1" applyAlignment="1" applyProtection="1">
      <alignment vertical="center"/>
      <protection hidden="1"/>
    </xf>
    <xf numFmtId="0" fontId="14" fillId="0" borderId="4" xfId="0" applyFont="1" applyBorder="1"/>
    <xf numFmtId="0" fontId="19" fillId="0" borderId="4" xfId="0" applyFont="1" applyBorder="1" applyAlignment="1" applyProtection="1">
      <alignment vertical="center"/>
      <protection hidden="1"/>
    </xf>
    <xf numFmtId="0" fontId="19" fillId="0" borderId="4" xfId="0" applyFont="1" applyBorder="1" applyAlignment="1" applyProtection="1">
      <alignment horizontal="center" vertical="center"/>
      <protection hidden="1"/>
    </xf>
    <xf numFmtId="0" fontId="17" fillId="0" borderId="3" xfId="0" applyFont="1" applyBorder="1" applyAlignment="1" applyProtection="1">
      <alignment vertical="center"/>
      <protection hidden="1"/>
    </xf>
    <xf numFmtId="0" fontId="18" fillId="0" borderId="3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8" xfId="0" applyFont="1" applyBorder="1" applyProtection="1">
      <protection hidden="1"/>
    </xf>
    <xf numFmtId="0" fontId="13" fillId="0" borderId="2" xfId="0" applyFont="1" applyBorder="1" applyProtection="1">
      <protection hidden="1"/>
    </xf>
    <xf numFmtId="0" fontId="13" fillId="0" borderId="1" xfId="0" applyFont="1" applyBorder="1" applyProtection="1">
      <protection hidden="1"/>
    </xf>
    <xf numFmtId="0" fontId="16" fillId="0" borderId="7" xfId="0" applyFont="1" applyBorder="1" applyAlignment="1" applyProtection="1">
      <alignment horizontal="left"/>
      <protection hidden="1"/>
    </xf>
    <xf numFmtId="0" fontId="14" fillId="0" borderId="0" xfId="0" applyFont="1" applyAlignment="1" applyProtection="1">
      <alignment horizontal="left"/>
      <protection locked="0"/>
    </xf>
    <xf numFmtId="0" fontId="13" fillId="0" borderId="6" xfId="0" applyFont="1" applyBorder="1" applyProtection="1">
      <protection hidden="1"/>
    </xf>
    <xf numFmtId="0" fontId="13" fillId="0" borderId="7" xfId="0" applyFont="1" applyBorder="1" applyProtection="1">
      <protection hidden="1"/>
    </xf>
    <xf numFmtId="0" fontId="18" fillId="0" borderId="0" xfId="0" applyFont="1" applyProtection="1">
      <protection hidden="1"/>
    </xf>
    <xf numFmtId="0" fontId="13" fillId="0" borderId="5" xfId="0" applyFont="1" applyBorder="1" applyProtection="1">
      <protection hidden="1"/>
    </xf>
    <xf numFmtId="0" fontId="13" fillId="0" borderId="4" xfId="0" applyFont="1" applyBorder="1" applyProtection="1">
      <protection hidden="1"/>
    </xf>
    <xf numFmtId="0" fontId="17" fillId="0" borderId="4" xfId="0" applyFont="1" applyBorder="1" applyProtection="1">
      <protection hidden="1"/>
    </xf>
    <xf numFmtId="14" fontId="21" fillId="0" borderId="0" xfId="0" applyNumberFormat="1" applyFont="1" applyAlignment="1" applyProtection="1">
      <alignment horizontal="center"/>
      <protection hidden="1"/>
    </xf>
    <xf numFmtId="0" fontId="15" fillId="0" borderId="0" xfId="0" applyFont="1" applyAlignment="1" applyProtection="1">
      <alignment horizontal="right"/>
      <protection hidden="1"/>
    </xf>
    <xf numFmtId="0" fontId="17" fillId="0" borderId="0" xfId="0" applyFont="1" applyAlignment="1" applyProtection="1">
      <alignment horizontal="right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 vertical="center"/>
      <protection hidden="1"/>
    </xf>
    <xf numFmtId="0" fontId="16" fillId="0" borderId="7" xfId="0" applyFont="1" applyBorder="1" applyAlignment="1" applyProtection="1">
      <alignment horizontal="left" vertical="center"/>
      <protection hidden="1"/>
    </xf>
    <xf numFmtId="0" fontId="13" fillId="0" borderId="4" xfId="0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vertical="center"/>
      <protection hidden="1"/>
    </xf>
    <xf numFmtId="0" fontId="24" fillId="0" borderId="0" xfId="0" applyFont="1" applyAlignment="1" applyProtection="1">
      <alignment vertical="center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0" xfId="0" applyFont="1" applyProtection="1">
      <protection hidden="1"/>
    </xf>
    <xf numFmtId="0" fontId="25" fillId="0" borderId="4" xfId="0" applyFont="1" applyBorder="1" applyAlignment="1" applyProtection="1">
      <alignment vertical="center"/>
      <protection locked="0"/>
    </xf>
    <xf numFmtId="0" fontId="26" fillId="0" borderId="4" xfId="0" applyFont="1" applyBorder="1" applyAlignment="1" applyProtection="1">
      <alignment vertical="center"/>
      <protection hidden="1"/>
    </xf>
    <xf numFmtId="0" fontId="25" fillId="0" borderId="4" xfId="0" applyFont="1" applyBorder="1" applyAlignment="1" applyProtection="1">
      <alignment vertical="center" wrapText="1"/>
      <protection locked="0"/>
    </xf>
    <xf numFmtId="0" fontId="24" fillId="0" borderId="8" xfId="0" applyFont="1" applyBorder="1" applyAlignment="1" applyProtection="1">
      <alignment vertical="center" wrapText="1"/>
      <protection locked="0"/>
    </xf>
    <xf numFmtId="0" fontId="24" fillId="0" borderId="2" xfId="0" applyFont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4" fillId="0" borderId="7" xfId="0" applyFont="1" applyBorder="1" applyAlignment="1" applyProtection="1">
      <alignment vertical="center" wrapText="1"/>
      <protection locked="0"/>
    </xf>
    <xf numFmtId="0" fontId="24" fillId="0" borderId="6" xfId="0" applyFont="1" applyBorder="1" applyAlignment="1" applyProtection="1">
      <alignment vertical="center" wrapText="1"/>
      <protection locked="0"/>
    </xf>
    <xf numFmtId="0" fontId="24" fillId="0" borderId="5" xfId="0" applyFont="1" applyBorder="1" applyAlignment="1" applyProtection="1">
      <alignment vertical="center" wrapText="1"/>
      <protection locked="0"/>
    </xf>
    <xf numFmtId="0" fontId="24" fillId="0" borderId="4" xfId="0" applyFont="1" applyBorder="1" applyAlignment="1" applyProtection="1">
      <alignment vertical="center" wrapText="1"/>
      <protection locked="0"/>
    </xf>
    <xf numFmtId="0" fontId="24" fillId="0" borderId="3" xfId="0" applyFont="1" applyBorder="1" applyAlignment="1" applyProtection="1">
      <alignment vertical="center" wrapText="1"/>
      <protection locked="0"/>
    </xf>
    <xf numFmtId="0" fontId="27" fillId="0" borderId="7" xfId="0" applyFont="1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29" fillId="0" borderId="6" xfId="0" applyFont="1" applyBorder="1" applyAlignment="1" applyProtection="1">
      <alignment horizontal="center" vertical="center"/>
      <protection hidden="1"/>
    </xf>
    <xf numFmtId="0" fontId="24" fillId="0" borderId="10" xfId="0" applyFont="1" applyBorder="1" applyAlignment="1" applyProtection="1">
      <alignment horizontal="center" vertical="center" wrapText="1"/>
      <protection hidden="1"/>
    </xf>
    <xf numFmtId="0" fontId="24" fillId="0" borderId="9" xfId="0" applyFont="1" applyBorder="1" applyAlignment="1" applyProtection="1">
      <alignment horizontal="center" vertical="center" wrapText="1"/>
      <protection hidden="1"/>
    </xf>
    <xf numFmtId="0" fontId="26" fillId="0" borderId="9" xfId="0" applyFont="1" applyBorder="1" applyAlignment="1" applyProtection="1">
      <alignment horizontal="center" vertical="center" wrapText="1"/>
      <protection hidden="1"/>
    </xf>
    <xf numFmtId="0" fontId="26" fillId="0" borderId="4" xfId="0" applyFont="1" applyBorder="1" applyAlignment="1" applyProtection="1">
      <alignment horizontal="center" vertical="center" wrapText="1"/>
      <protection hidden="1"/>
    </xf>
    <xf numFmtId="0" fontId="24" fillId="0" borderId="4" xfId="0" applyFont="1" applyBorder="1" applyAlignment="1" applyProtection="1">
      <alignment vertical="center"/>
      <protection hidden="1"/>
    </xf>
    <xf numFmtId="0" fontId="24" fillId="0" borderId="13" xfId="0" applyFont="1" applyBorder="1" applyAlignment="1" applyProtection="1">
      <alignment vertical="center"/>
      <protection hidden="1"/>
    </xf>
    <xf numFmtId="0" fontId="30" fillId="0" borderId="13" xfId="0" applyFont="1" applyBorder="1" applyAlignment="1" applyProtection="1">
      <alignment vertical="center"/>
      <protection hidden="1"/>
    </xf>
    <xf numFmtId="0" fontId="28" fillId="0" borderId="4" xfId="0" applyFont="1" applyBorder="1" applyAlignment="1" applyProtection="1">
      <alignment vertical="center"/>
      <protection hidden="1"/>
    </xf>
    <xf numFmtId="0" fontId="29" fillId="0" borderId="3" xfId="0" applyFont="1" applyBorder="1" applyAlignment="1" applyProtection="1">
      <alignment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0" fontId="24" fillId="0" borderId="8" xfId="0" applyFont="1" applyBorder="1" applyAlignment="1" applyProtection="1">
      <alignment vertical="center"/>
      <protection hidden="1"/>
    </xf>
    <xf numFmtId="0" fontId="24" fillId="0" borderId="2" xfId="0" applyFont="1" applyBorder="1" applyAlignment="1" applyProtection="1">
      <alignment vertical="center"/>
      <protection hidden="1"/>
    </xf>
    <xf numFmtId="0" fontId="31" fillId="0" borderId="1" xfId="0" applyFont="1" applyBorder="1" applyAlignment="1" applyProtection="1">
      <alignment vertical="center"/>
      <protection hidden="1"/>
    </xf>
    <xf numFmtId="0" fontId="31" fillId="0" borderId="1" xfId="0" applyFont="1" applyBorder="1" applyAlignment="1" applyProtection="1">
      <alignment horizontal="center" vertical="center"/>
      <protection hidden="1"/>
    </xf>
    <xf numFmtId="0" fontId="24" fillId="0" borderId="7" xfId="0" applyFont="1" applyBorder="1" applyAlignment="1" applyProtection="1">
      <alignment vertical="center"/>
      <protection hidden="1"/>
    </xf>
    <xf numFmtId="0" fontId="24" fillId="0" borderId="6" xfId="0" applyFont="1" applyBorder="1" applyAlignment="1" applyProtection="1">
      <alignment horizontal="center" vertical="center"/>
      <protection hidden="1"/>
    </xf>
    <xf numFmtId="0" fontId="32" fillId="0" borderId="12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24" fillId="0" borderId="6" xfId="0" applyFont="1" applyBorder="1" applyAlignment="1" applyProtection="1">
      <alignment vertical="center"/>
      <protection hidden="1"/>
    </xf>
    <xf numFmtId="0" fontId="24" fillId="0" borderId="5" xfId="0" applyFont="1" applyBorder="1" applyAlignment="1" applyProtection="1">
      <alignment vertical="center"/>
      <protection hidden="1"/>
    </xf>
    <xf numFmtId="0" fontId="25" fillId="0" borderId="4" xfId="0" applyFont="1" applyBorder="1"/>
    <xf numFmtId="0" fontId="30" fillId="0" borderId="4" xfId="0" applyFont="1" applyBorder="1" applyAlignment="1" applyProtection="1">
      <alignment vertical="center"/>
      <protection hidden="1"/>
    </xf>
    <xf numFmtId="0" fontId="30" fillId="0" borderId="4" xfId="0" applyFont="1" applyBorder="1" applyAlignment="1" applyProtection="1">
      <alignment horizontal="center" vertical="center"/>
      <protection hidden="1"/>
    </xf>
    <xf numFmtId="0" fontId="28" fillId="0" borderId="3" xfId="0" applyFont="1" applyBorder="1" applyAlignment="1" applyProtection="1">
      <alignment vertical="center"/>
      <protection hidden="1"/>
    </xf>
    <xf numFmtId="0" fontId="29" fillId="0" borderId="3" xfId="0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24" fillId="0" borderId="8" xfId="0" applyFont="1" applyBorder="1" applyProtection="1">
      <protection hidden="1"/>
    </xf>
    <xf numFmtId="0" fontId="24" fillId="0" borderId="2" xfId="0" applyFont="1" applyBorder="1" applyProtection="1">
      <protection hidden="1"/>
    </xf>
    <xf numFmtId="0" fontId="24" fillId="0" borderId="1" xfId="0" applyFont="1" applyBorder="1" applyProtection="1">
      <protection hidden="1"/>
    </xf>
    <xf numFmtId="0" fontId="27" fillId="0" borderId="7" xfId="0" applyFont="1" applyBorder="1" applyAlignment="1" applyProtection="1">
      <alignment horizontal="left"/>
      <protection hidden="1"/>
    </xf>
    <xf numFmtId="0" fontId="25" fillId="0" borderId="0" xfId="0" applyFont="1" applyAlignment="1" applyProtection="1">
      <alignment horizontal="left"/>
      <protection locked="0"/>
    </xf>
    <xf numFmtId="0" fontId="24" fillId="0" borderId="6" xfId="0" applyFont="1" applyBorder="1" applyProtection="1">
      <protection hidden="1"/>
    </xf>
    <xf numFmtId="0" fontId="24" fillId="0" borderId="7" xfId="0" applyFont="1" applyBorder="1" applyProtection="1">
      <protection hidden="1"/>
    </xf>
    <xf numFmtId="0" fontId="29" fillId="0" borderId="0" xfId="0" applyFont="1" applyProtection="1">
      <protection hidden="1"/>
    </xf>
    <xf numFmtId="0" fontId="24" fillId="0" borderId="5" xfId="0" applyFont="1" applyBorder="1" applyProtection="1">
      <protection hidden="1"/>
    </xf>
    <xf numFmtId="0" fontId="24" fillId="0" borderId="4" xfId="0" applyFont="1" applyBorder="1" applyProtection="1">
      <protection hidden="1"/>
    </xf>
    <xf numFmtId="0" fontId="28" fillId="0" borderId="4" xfId="0" applyFont="1" applyBorder="1" applyProtection="1">
      <protection hidden="1"/>
    </xf>
    <xf numFmtId="14" fontId="32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8" fillId="0" borderId="0" xfId="0" applyFont="1" applyAlignment="1" applyProtection="1">
      <alignment horizontal="right"/>
      <protection hidden="1"/>
    </xf>
    <xf numFmtId="0" fontId="24" fillId="0" borderId="2" xfId="0" applyFont="1" applyBorder="1" applyAlignment="1" applyProtection="1">
      <alignment horizontal="left" vertical="center"/>
      <protection hidden="1"/>
    </xf>
    <xf numFmtId="0" fontId="24" fillId="0" borderId="2" xfId="0" applyFont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27" fillId="0" borderId="7" xfId="0" applyFont="1" applyBorder="1" applyAlignment="1" applyProtection="1">
      <alignment horizontal="left" vertical="center"/>
      <protection hidden="1"/>
    </xf>
    <xf numFmtId="0" fontId="24" fillId="0" borderId="4" xfId="0" applyFont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vertical="center"/>
      <protection hidden="1"/>
    </xf>
    <xf numFmtId="0" fontId="25" fillId="0" borderId="6" xfId="0" applyFont="1" applyBorder="1" applyAlignment="1" applyProtection="1">
      <alignment horizontal="left" vertical="center" wrapText="1"/>
      <protection locked="0"/>
    </xf>
    <xf numFmtId="0" fontId="25" fillId="0" borderId="0" xfId="0" applyFont="1" applyAlignment="1" applyProtection="1">
      <alignment horizontal="left" vertical="center" wrapText="1"/>
      <protection locked="0"/>
    </xf>
    <xf numFmtId="0" fontId="25" fillId="0" borderId="7" xfId="0" applyFont="1" applyBorder="1" applyAlignment="1" applyProtection="1">
      <alignment horizontal="left" vertical="center" wrapText="1"/>
      <protection locked="0"/>
    </xf>
    <xf numFmtId="0" fontId="25" fillId="0" borderId="1" xfId="0" applyFont="1" applyBorder="1" applyAlignment="1" applyProtection="1">
      <alignment horizontal="left" vertical="center" wrapText="1"/>
      <protection locked="0"/>
    </xf>
    <xf numFmtId="0" fontId="25" fillId="0" borderId="2" xfId="0" applyFont="1" applyBorder="1" applyAlignment="1" applyProtection="1">
      <alignment horizontal="left" vertical="center" wrapText="1"/>
      <protection locked="0"/>
    </xf>
    <xf numFmtId="0" fontId="25" fillId="0" borderId="8" xfId="0" applyFont="1" applyBorder="1" applyAlignment="1" applyProtection="1">
      <alignment horizontal="left" vertical="center" wrapText="1"/>
      <protection locked="0"/>
    </xf>
    <xf numFmtId="0" fontId="26" fillId="0" borderId="6" xfId="0" applyFont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26" fillId="0" borderId="7" xfId="0" applyFont="1" applyBorder="1" applyAlignment="1" applyProtection="1">
      <alignment horizontal="center" vertical="center"/>
      <protection hidden="1"/>
    </xf>
    <xf numFmtId="0" fontId="26" fillId="0" borderId="1" xfId="0" applyFont="1" applyBorder="1" applyAlignment="1" applyProtection="1">
      <alignment horizontal="center" vertical="center"/>
      <protection hidden="1"/>
    </xf>
    <xf numFmtId="0" fontId="26" fillId="0" borderId="2" xfId="0" applyFont="1" applyBorder="1" applyAlignment="1" applyProtection="1">
      <alignment horizontal="center" vertical="center"/>
      <protection hidden="1"/>
    </xf>
    <xf numFmtId="0" fontId="26" fillId="0" borderId="8" xfId="0" applyFont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 wrapText="1"/>
      <protection locked="0"/>
    </xf>
    <xf numFmtId="164" fontId="32" fillId="0" borderId="25" xfId="0" applyNumberFormat="1" applyFont="1" applyBorder="1" applyAlignment="1">
      <alignment horizontal="center" vertical="center"/>
    </xf>
    <xf numFmtId="0" fontId="25" fillId="0" borderId="26" xfId="0" applyFont="1" applyBorder="1"/>
    <xf numFmtId="0" fontId="25" fillId="0" borderId="27" xfId="0" applyFont="1" applyBorder="1"/>
    <xf numFmtId="0" fontId="29" fillId="0" borderId="34" xfId="0" applyFont="1" applyBorder="1" applyAlignment="1" applyProtection="1">
      <alignment horizontal="center" vertical="center"/>
      <protection hidden="1"/>
    </xf>
    <xf numFmtId="0" fontId="29" fillId="0" borderId="35" xfId="0" applyFont="1" applyBorder="1" applyAlignment="1" applyProtection="1">
      <alignment horizontal="center" vertical="center"/>
      <protection hidden="1"/>
    </xf>
    <xf numFmtId="0" fontId="29" fillId="0" borderId="36" xfId="0" applyFont="1" applyBorder="1" applyAlignment="1" applyProtection="1">
      <alignment horizontal="center" vertical="center"/>
      <protection hidden="1"/>
    </xf>
    <xf numFmtId="0" fontId="25" fillId="0" borderId="14" xfId="0" applyFont="1" applyBorder="1" applyAlignment="1" applyProtection="1">
      <alignment horizontal="center" vertical="center" wrapText="1"/>
      <protection locked="0"/>
    </xf>
    <xf numFmtId="0" fontId="25" fillId="0" borderId="9" xfId="0" applyFont="1" applyBorder="1" applyAlignment="1" applyProtection="1">
      <alignment horizontal="center" vertical="center" wrapText="1"/>
      <protection locked="0"/>
    </xf>
    <xf numFmtId="0" fontId="24" fillId="0" borderId="9" xfId="0" applyFont="1" applyBorder="1" applyAlignment="1" applyProtection="1">
      <alignment horizontal="center" vertical="center" wrapText="1"/>
      <protection locked="0"/>
    </xf>
    <xf numFmtId="0" fontId="24" fillId="0" borderId="10" xfId="0" applyFont="1" applyBorder="1" applyAlignment="1" applyProtection="1">
      <alignment horizontal="center" vertical="center" wrapText="1"/>
      <protection locked="0"/>
    </xf>
    <xf numFmtId="0" fontId="29" fillId="0" borderId="6" xfId="0" applyFont="1" applyBorder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9" fillId="0" borderId="7" xfId="0" applyFont="1" applyBorder="1" applyAlignment="1" applyProtection="1">
      <alignment horizontal="center" vertical="center"/>
      <protection hidden="1"/>
    </xf>
    <xf numFmtId="0" fontId="29" fillId="0" borderId="1" xfId="0" applyFont="1" applyBorder="1" applyAlignment="1" applyProtection="1">
      <alignment horizontal="center" vertical="center"/>
      <protection hidden="1"/>
    </xf>
    <xf numFmtId="0" fontId="29" fillId="0" borderId="2" xfId="0" applyFont="1" applyBorder="1" applyAlignment="1" applyProtection="1">
      <alignment horizontal="center" vertical="center"/>
      <protection hidden="1"/>
    </xf>
    <xf numFmtId="0" fontId="29" fillId="0" borderId="8" xfId="0" applyFont="1" applyBorder="1" applyAlignment="1" applyProtection="1">
      <alignment horizontal="center" vertical="center"/>
      <protection hidden="1"/>
    </xf>
    <xf numFmtId="0" fontId="25" fillId="0" borderId="3" xfId="0" applyFont="1" applyBorder="1" applyAlignment="1" applyProtection="1">
      <alignment horizontal="center" vertical="center" wrapText="1"/>
      <protection locked="0"/>
    </xf>
    <xf numFmtId="0" fontId="25" fillId="0" borderId="4" xfId="0" applyFont="1" applyBorder="1" applyAlignment="1" applyProtection="1">
      <alignment horizontal="center" vertical="center" wrapText="1"/>
      <protection locked="0"/>
    </xf>
    <xf numFmtId="0" fontId="24" fillId="0" borderId="4" xfId="0" applyFont="1" applyBorder="1" applyAlignment="1" applyProtection="1">
      <alignment horizontal="center" vertical="center" wrapText="1"/>
      <protection locked="0"/>
    </xf>
    <xf numFmtId="0" fontId="24" fillId="0" borderId="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24" fillId="0" borderId="7" xfId="0" applyFont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 applyProtection="1">
      <alignment horizontal="center" vertical="center" wrapText="1"/>
      <protection locked="0"/>
    </xf>
    <xf numFmtId="0" fontId="25" fillId="0" borderId="2" xfId="0" applyFont="1" applyBorder="1" applyAlignment="1" applyProtection="1">
      <alignment horizontal="center" vertical="center" wrapText="1"/>
      <protection locked="0"/>
    </xf>
    <xf numFmtId="0" fontId="24" fillId="0" borderId="2" xfId="0" applyFont="1" applyBorder="1" applyAlignment="1" applyProtection="1">
      <alignment horizontal="center" vertical="center" wrapText="1"/>
      <protection locked="0"/>
    </xf>
    <xf numFmtId="0" fontId="24" fillId="0" borderId="8" xfId="0" applyFont="1" applyBorder="1" applyAlignment="1" applyProtection="1">
      <alignment horizontal="center" vertical="center" wrapText="1"/>
      <protection locked="0"/>
    </xf>
    <xf numFmtId="0" fontId="25" fillId="0" borderId="20" xfId="0" applyFont="1" applyBorder="1" applyAlignment="1" applyProtection="1">
      <alignment horizontal="center"/>
      <protection locked="0"/>
    </xf>
    <xf numFmtId="0" fontId="25" fillId="0" borderId="24" xfId="0" applyFont="1" applyBorder="1" applyAlignment="1" applyProtection="1">
      <alignment horizontal="center"/>
      <protection locked="0"/>
    </xf>
    <xf numFmtId="164" fontId="25" fillId="0" borderId="23" xfId="0" applyNumberFormat="1" applyFont="1" applyBorder="1" applyAlignment="1">
      <alignment horizontal="center" vertical="center"/>
    </xf>
    <xf numFmtId="164" fontId="25" fillId="0" borderId="20" xfId="0" applyNumberFormat="1" applyFont="1" applyBorder="1" applyAlignment="1">
      <alignment horizontal="center" vertical="center"/>
    </xf>
    <xf numFmtId="164" fontId="25" fillId="0" borderId="24" xfId="0" applyNumberFormat="1" applyFont="1" applyBorder="1" applyAlignment="1">
      <alignment horizontal="center" vertical="center"/>
    </xf>
    <xf numFmtId="0" fontId="25" fillId="0" borderId="23" xfId="0" applyFont="1" applyBorder="1" applyAlignment="1" applyProtection="1">
      <alignment horizontal="center"/>
      <protection locked="0"/>
    </xf>
    <xf numFmtId="0" fontId="32" fillId="0" borderId="33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164" fontId="32" fillId="0" borderId="28" xfId="0" applyNumberFormat="1" applyFont="1" applyBorder="1" applyAlignment="1">
      <alignment horizontal="center" vertical="top"/>
    </xf>
    <xf numFmtId="0" fontId="25" fillId="0" borderId="29" xfId="0" applyFont="1" applyBorder="1" applyAlignment="1">
      <alignment vertical="top"/>
    </xf>
    <xf numFmtId="0" fontId="25" fillId="0" borderId="30" xfId="0" applyFont="1" applyBorder="1" applyAlignment="1">
      <alignment vertical="top"/>
    </xf>
    <xf numFmtId="0" fontId="25" fillId="0" borderId="22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6" xfId="0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5" fillId="0" borderId="23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 wrapText="1"/>
      <protection locked="0"/>
    </xf>
    <xf numFmtId="0" fontId="25" fillId="0" borderId="18" xfId="0" applyFont="1" applyBorder="1" applyAlignment="1" applyProtection="1">
      <alignment horizontal="center" vertical="center" wrapText="1"/>
      <protection locked="0"/>
    </xf>
    <xf numFmtId="0" fontId="25" fillId="0" borderId="19" xfId="0" applyFont="1" applyBorder="1" applyAlignment="1" applyProtection="1">
      <alignment horizontal="center" vertical="center" wrapText="1"/>
      <protection locked="0"/>
    </xf>
    <xf numFmtId="0" fontId="25" fillId="0" borderId="20" xfId="0" applyFont="1" applyBorder="1" applyAlignment="1" applyProtection="1">
      <alignment horizontal="center" vertical="center" wrapText="1"/>
      <protection locked="0"/>
    </xf>
    <xf numFmtId="0" fontId="25" fillId="0" borderId="21" xfId="0" applyFont="1" applyBorder="1" applyAlignment="1" applyProtection="1">
      <alignment horizontal="center" vertical="center" wrapText="1"/>
      <protection locked="0"/>
    </xf>
    <xf numFmtId="0" fontId="32" fillId="0" borderId="31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164" fontId="32" fillId="0" borderId="14" xfId="0" applyNumberFormat="1" applyFont="1" applyBorder="1" applyAlignment="1">
      <alignment horizontal="center" vertical="center"/>
    </xf>
    <xf numFmtId="0" fontId="25" fillId="0" borderId="9" xfId="0" applyFont="1" applyBorder="1"/>
    <xf numFmtId="0" fontId="25" fillId="0" borderId="10" xfId="0" applyFont="1" applyBorder="1"/>
    <xf numFmtId="0" fontId="32" fillId="0" borderId="32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25" fillId="0" borderId="14" xfId="0" applyFont="1" applyBorder="1" applyAlignment="1" applyProtection="1">
      <alignment horizontal="center"/>
      <protection locked="0"/>
    </xf>
    <xf numFmtId="0" fontId="25" fillId="0" borderId="9" xfId="0" applyFont="1" applyBorder="1" applyAlignment="1" applyProtection="1">
      <alignment horizontal="center"/>
      <protection locked="0"/>
    </xf>
    <xf numFmtId="0" fontId="25" fillId="0" borderId="10" xfId="0" applyFont="1" applyBorder="1" applyAlignment="1" applyProtection="1">
      <alignment horizontal="center"/>
      <protection locked="0"/>
    </xf>
    <xf numFmtId="164" fontId="25" fillId="0" borderId="14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vertical="center"/>
    </xf>
    <xf numFmtId="0" fontId="25" fillId="0" borderId="10" xfId="0" applyFont="1" applyBorder="1" applyAlignment="1">
      <alignment vertical="center"/>
    </xf>
    <xf numFmtId="0" fontId="25" fillId="0" borderId="0" xfId="0" applyFont="1" applyAlignment="1" applyProtection="1">
      <alignment horizontal="left"/>
      <protection hidden="1"/>
    </xf>
    <xf numFmtId="0" fontId="25" fillId="0" borderId="0" xfId="0" applyFont="1" applyAlignment="1" applyProtection="1">
      <alignment horizontal="left"/>
      <protection locked="0"/>
    </xf>
    <xf numFmtId="0" fontId="25" fillId="0" borderId="0" xfId="0" applyFont="1" applyAlignment="1" applyProtection="1">
      <alignment horizontal="center"/>
      <protection locked="0"/>
    </xf>
    <xf numFmtId="0" fontId="25" fillId="0" borderId="4" xfId="0" applyFont="1" applyBorder="1" applyAlignment="1">
      <alignment horizontal="center"/>
    </xf>
    <xf numFmtId="0" fontId="25" fillId="0" borderId="15" xfId="0" applyFont="1" applyBorder="1" applyAlignment="1" applyProtection="1">
      <alignment horizontal="center" vertical="center"/>
      <protection hidden="1"/>
    </xf>
    <xf numFmtId="0" fontId="25" fillId="0" borderId="16" xfId="0" applyFont="1" applyBorder="1" applyAlignment="1" applyProtection="1">
      <alignment horizontal="center" vertical="center"/>
      <protection hidden="1"/>
    </xf>
    <xf numFmtId="0" fontId="32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25" fillId="0" borderId="4" xfId="0" applyFont="1" applyBorder="1"/>
    <xf numFmtId="0" fontId="25" fillId="0" borderId="5" xfId="0" applyFont="1" applyBorder="1"/>
    <xf numFmtId="0" fontId="32" fillId="0" borderId="1" xfId="0" applyFont="1" applyBorder="1" applyAlignment="1">
      <alignment horizontal="center" vertical="center"/>
    </xf>
    <xf numFmtId="0" fontId="25" fillId="0" borderId="2" xfId="0" applyFont="1" applyBorder="1"/>
    <xf numFmtId="0" fontId="25" fillId="0" borderId="8" xfId="0" applyFont="1" applyBorder="1"/>
    <xf numFmtId="0" fontId="25" fillId="0" borderId="0" xfId="0" applyFont="1" applyAlignment="1" applyProtection="1">
      <alignment horizontal="left" vertical="center"/>
      <protection hidden="1"/>
    </xf>
    <xf numFmtId="14" fontId="25" fillId="0" borderId="0" xfId="0" applyNumberFormat="1" applyFont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left" vertical="center"/>
      <protection locked="0"/>
    </xf>
    <xf numFmtId="0" fontId="34" fillId="0" borderId="2" xfId="0" applyFont="1" applyBorder="1" applyAlignment="1" applyProtection="1">
      <alignment horizontal="center" vertical="center"/>
      <protection hidden="1"/>
    </xf>
    <xf numFmtId="0" fontId="34" fillId="0" borderId="8" xfId="0" applyFont="1" applyBorder="1" applyAlignment="1" applyProtection="1">
      <alignment horizontal="center" vertical="center"/>
      <protection hidden="1"/>
    </xf>
    <xf numFmtId="0" fontId="29" fillId="0" borderId="9" xfId="0" applyFont="1" applyBorder="1" applyAlignment="1" applyProtection="1">
      <alignment horizontal="center" vertical="center"/>
      <protection hidden="1"/>
    </xf>
    <xf numFmtId="0" fontId="27" fillId="0" borderId="9" xfId="0" applyFont="1" applyBorder="1" applyAlignment="1" applyProtection="1">
      <alignment horizontal="center" vertical="center"/>
      <protection hidden="1"/>
    </xf>
    <xf numFmtId="0" fontId="24" fillId="0" borderId="3" xfId="0" applyFont="1" applyBorder="1" applyAlignment="1" applyProtection="1">
      <alignment horizontal="center" vertical="center" wrapText="1"/>
      <protection hidden="1"/>
    </xf>
    <xf numFmtId="0" fontId="24" fillId="0" borderId="4" xfId="0" applyFont="1" applyBorder="1" applyAlignment="1" applyProtection="1">
      <alignment horizontal="center" vertical="center" wrapText="1"/>
      <protection hidden="1"/>
    </xf>
    <xf numFmtId="0" fontId="24" fillId="0" borderId="5" xfId="0" applyFont="1" applyBorder="1" applyAlignment="1" applyProtection="1">
      <alignment horizontal="center" vertical="center" wrapText="1"/>
      <protection hidden="1"/>
    </xf>
    <xf numFmtId="0" fontId="24" fillId="0" borderId="6" xfId="0" applyFont="1" applyBorder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horizontal="center" vertical="center" wrapText="1"/>
      <protection hidden="1"/>
    </xf>
    <xf numFmtId="0" fontId="24" fillId="0" borderId="7" xfId="0" applyFont="1" applyBorder="1" applyAlignment="1" applyProtection="1">
      <alignment horizontal="center" vertical="center" wrapText="1"/>
      <protection hidden="1"/>
    </xf>
    <xf numFmtId="0" fontId="24" fillId="0" borderId="1" xfId="0" applyFont="1" applyBorder="1" applyAlignment="1" applyProtection="1">
      <alignment horizontal="center" vertical="center" wrapText="1"/>
      <protection hidden="1"/>
    </xf>
    <xf numFmtId="0" fontId="24" fillId="0" borderId="2" xfId="0" applyFont="1" applyBorder="1" applyAlignment="1" applyProtection="1">
      <alignment horizontal="center" vertical="center" wrapText="1"/>
      <protection hidden="1"/>
    </xf>
    <xf numFmtId="0" fontId="24" fillId="0" borderId="8" xfId="0" applyFont="1" applyBorder="1" applyAlignment="1" applyProtection="1">
      <alignment horizontal="center" vertical="center" wrapText="1"/>
      <protection hidden="1"/>
    </xf>
    <xf numFmtId="0" fontId="31" fillId="0" borderId="3" xfId="0" applyFont="1" applyBorder="1" applyAlignment="1" applyProtection="1">
      <alignment horizontal="center" vertical="center"/>
      <protection hidden="1"/>
    </xf>
    <xf numFmtId="0" fontId="31" fillId="0" borderId="4" xfId="0" applyFont="1" applyBorder="1" applyAlignment="1" applyProtection="1">
      <alignment horizontal="center" vertical="center"/>
      <protection hidden="1"/>
    </xf>
    <xf numFmtId="0" fontId="31" fillId="0" borderId="5" xfId="0" applyFont="1" applyBorder="1" applyAlignment="1" applyProtection="1">
      <alignment horizontal="center" vertical="center"/>
      <protection hidden="1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10" fillId="0" borderId="6" xfId="1" applyFont="1" applyBorder="1" applyAlignment="1" applyProtection="1">
      <alignment horizontal="center"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10" fillId="0" borderId="7" xfId="1" applyFont="1" applyBorder="1" applyAlignment="1" applyProtection="1">
      <alignment horizontal="center" vertical="center" wrapText="1"/>
      <protection locked="0"/>
    </xf>
    <xf numFmtId="0" fontId="10" fillId="0" borderId="1" xfId="1" applyFont="1" applyBorder="1" applyAlignment="1" applyProtection="1">
      <alignment horizontal="center" vertical="center" wrapText="1"/>
      <protection locked="0"/>
    </xf>
    <xf numFmtId="0" fontId="10" fillId="0" borderId="2" xfId="1" applyFont="1" applyBorder="1" applyAlignment="1" applyProtection="1">
      <alignment horizontal="center" vertical="center" wrapText="1"/>
      <protection locked="0"/>
    </xf>
    <xf numFmtId="0" fontId="10" fillId="0" borderId="8" xfId="1" applyFont="1" applyBorder="1" applyAlignment="1" applyProtection="1">
      <alignment horizontal="center" vertical="center" wrapText="1"/>
      <protection locked="0"/>
    </xf>
    <xf numFmtId="0" fontId="33" fillId="0" borderId="6" xfId="0" applyFont="1" applyBorder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center" wrapText="1"/>
      <protection hidden="1"/>
    </xf>
    <xf numFmtId="0" fontId="33" fillId="0" borderId="7" xfId="0" applyFont="1" applyBorder="1" applyAlignment="1" applyProtection="1">
      <alignment horizontal="center" vertical="center" wrapText="1"/>
      <protection hidden="1"/>
    </xf>
    <xf numFmtId="0" fontId="32" fillId="0" borderId="6" xfId="0" applyFont="1" applyBorder="1" applyAlignment="1" applyProtection="1">
      <alignment horizontal="center" vertical="center" wrapText="1"/>
      <protection hidden="1"/>
    </xf>
    <xf numFmtId="0" fontId="32" fillId="0" borderId="0" xfId="0" applyFont="1" applyAlignment="1" applyProtection="1">
      <alignment horizontal="center" vertical="center" wrapText="1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32" fillId="0" borderId="7" xfId="0" applyFont="1" applyBorder="1" applyAlignment="1" applyProtection="1">
      <alignment horizontal="center" vertical="center"/>
      <protection hidden="1"/>
    </xf>
    <xf numFmtId="0" fontId="32" fillId="0" borderId="6" xfId="0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32" fillId="0" borderId="7" xfId="0" applyFont="1" applyBorder="1" applyAlignment="1" applyProtection="1">
      <alignment horizontal="center" vertical="center"/>
      <protection locked="0"/>
    </xf>
    <xf numFmtId="14" fontId="32" fillId="0" borderId="6" xfId="0" applyNumberFormat="1" applyFont="1" applyBorder="1" applyAlignment="1" applyProtection="1">
      <alignment horizontal="center" vertical="center"/>
      <protection locked="0"/>
    </xf>
    <xf numFmtId="14" fontId="32" fillId="0" borderId="0" xfId="0" applyNumberFormat="1" applyFont="1" applyAlignment="1" applyProtection="1">
      <alignment horizontal="center" vertical="center"/>
      <protection locked="0"/>
    </xf>
    <xf numFmtId="14" fontId="32" fillId="0" borderId="7" xfId="0" applyNumberFormat="1" applyFont="1" applyBorder="1" applyAlignment="1" applyProtection="1">
      <alignment horizontal="center" vertical="center"/>
      <protection locked="0"/>
    </xf>
    <xf numFmtId="0" fontId="25" fillId="0" borderId="14" xfId="0" applyFont="1" applyBorder="1" applyAlignment="1" applyProtection="1">
      <alignment horizontal="center" vertical="center"/>
      <protection locked="0"/>
    </xf>
    <xf numFmtId="0" fontId="25" fillId="0" borderId="9" xfId="0" applyFont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center" vertical="center"/>
      <protection locked="0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0" fontId="6" fillId="0" borderId="6" xfId="1" applyFont="1" applyBorder="1" applyAlignment="1" applyProtection="1">
      <alignment horizontal="center" vertical="center" wrapText="1"/>
      <protection hidden="1"/>
    </xf>
    <xf numFmtId="0" fontId="6" fillId="0" borderId="0" xfId="1" applyFont="1" applyAlignment="1" applyProtection="1">
      <alignment horizontal="center" vertical="center" wrapText="1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center" vertical="center"/>
      <protection hidden="1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0" fontId="11" fillId="0" borderId="8" xfId="1" applyFont="1" applyBorder="1" applyAlignment="1" applyProtection="1">
      <alignment horizontal="center" vertical="center"/>
      <protection hidden="1"/>
    </xf>
    <xf numFmtId="0" fontId="9" fillId="0" borderId="3" xfId="1" applyFont="1" applyBorder="1" applyAlignment="1" applyProtection="1">
      <alignment horizontal="center" vertical="center"/>
      <protection hidden="1"/>
    </xf>
    <xf numFmtId="0" fontId="9" fillId="0" borderId="4" xfId="1" applyFont="1" applyBorder="1" applyAlignment="1" applyProtection="1">
      <alignment horizontal="center" vertical="center"/>
      <protection hidden="1"/>
    </xf>
    <xf numFmtId="0" fontId="9" fillId="0" borderId="5" xfId="1" applyFont="1" applyBorder="1" applyAlignment="1" applyProtection="1">
      <alignment horizontal="center" vertical="center"/>
      <protection hidden="1"/>
    </xf>
    <xf numFmtId="0" fontId="10" fillId="0" borderId="6" xfId="1" applyFont="1" applyBorder="1" applyAlignment="1" applyProtection="1">
      <alignment horizontal="center" vertical="center" wrapText="1"/>
      <protection hidden="1"/>
    </xf>
    <xf numFmtId="0" fontId="10" fillId="0" borderId="0" xfId="1" applyFont="1" applyAlignment="1" applyProtection="1">
      <alignment horizontal="center" vertical="center" wrapText="1"/>
      <protection hidden="1"/>
    </xf>
    <xf numFmtId="0" fontId="10" fillId="0" borderId="7" xfId="1" applyFont="1" applyBorder="1" applyAlignment="1" applyProtection="1">
      <alignment horizontal="center" vertical="center" wrapText="1"/>
      <protection hidden="1"/>
    </xf>
    <xf numFmtId="0" fontId="7" fillId="0" borderId="0" xfId="1" applyFont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/>
      <protection locked="0"/>
    </xf>
    <xf numFmtId="164" fontId="7" fillId="0" borderId="14" xfId="1" applyNumberFormat="1" applyFont="1" applyBorder="1" applyAlignment="1">
      <alignment horizontal="center" vertical="center"/>
    </xf>
    <xf numFmtId="0" fontId="7" fillId="0" borderId="9" xfId="1" applyFont="1" applyBorder="1" applyAlignment="1">
      <alignment vertical="center"/>
    </xf>
    <xf numFmtId="0" fontId="7" fillId="0" borderId="10" xfId="1" applyFont="1" applyBorder="1" applyAlignment="1">
      <alignment vertical="center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0" xfId="1" applyFont="1" applyBorder="1" applyAlignment="1" applyProtection="1">
      <alignment horizontal="center"/>
      <protection locked="0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/>
    <xf numFmtId="0" fontId="7" fillId="0" borderId="8" xfId="1" applyFont="1" applyBorder="1"/>
    <xf numFmtId="0" fontId="6" fillId="0" borderId="3" xfId="1" applyFont="1" applyBorder="1" applyAlignment="1">
      <alignment horizontal="center" vertical="center"/>
    </xf>
    <xf numFmtId="0" fontId="7" fillId="0" borderId="4" xfId="1" applyFont="1" applyBorder="1"/>
    <xf numFmtId="0" fontId="7" fillId="0" borderId="5" xfId="1" applyFont="1" applyBorder="1"/>
    <xf numFmtId="0" fontId="7" fillId="0" borderId="0" xfId="1" applyFont="1" applyAlignment="1" applyProtection="1">
      <alignment horizontal="left"/>
      <protection hidden="1"/>
    </xf>
    <xf numFmtId="0" fontId="7" fillId="0" borderId="15" xfId="1" applyFont="1" applyBorder="1" applyAlignment="1" applyProtection="1">
      <alignment horizontal="center" vertical="center"/>
      <protection hidden="1"/>
    </xf>
    <xf numFmtId="0" fontId="7" fillId="0" borderId="16" xfId="1" applyFont="1" applyBorder="1" applyAlignment="1" applyProtection="1">
      <alignment horizontal="center" vertical="center"/>
      <protection hidden="1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7" fillId="0" borderId="4" xfId="1" applyFont="1" applyBorder="1" applyAlignment="1">
      <alignment horizontal="center"/>
    </xf>
    <xf numFmtId="0" fontId="7" fillId="0" borderId="6" xfId="1" applyFont="1" applyBorder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left" vertical="center" wrapText="1"/>
      <protection locked="0"/>
    </xf>
    <xf numFmtId="0" fontId="7" fillId="0" borderId="7" xfId="1" applyFont="1" applyBorder="1" applyAlignment="1" applyProtection="1">
      <alignment horizontal="left" vertical="center" wrapText="1"/>
      <protection locked="0"/>
    </xf>
    <xf numFmtId="0" fontId="7" fillId="0" borderId="1" xfId="1" applyFont="1" applyBorder="1" applyAlignment="1" applyProtection="1">
      <alignment horizontal="left" vertical="center" wrapText="1"/>
      <protection locked="0"/>
    </xf>
    <xf numFmtId="0" fontId="7" fillId="0" borderId="2" xfId="1" applyFont="1" applyBorder="1" applyAlignment="1" applyProtection="1">
      <alignment horizontal="left" vertical="center" wrapText="1"/>
      <protection locked="0"/>
    </xf>
    <xf numFmtId="0" fontId="7" fillId="0" borderId="8" xfId="1" applyFont="1" applyBorder="1" applyAlignment="1" applyProtection="1">
      <alignment horizontal="left" vertical="center" wrapText="1"/>
      <protection locked="0"/>
    </xf>
    <xf numFmtId="0" fontId="5" fillId="0" borderId="6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7" xfId="1" applyFont="1" applyBorder="1" applyAlignment="1" applyProtection="1">
      <alignment horizontal="center" vertical="center"/>
      <protection hidden="1"/>
    </xf>
    <xf numFmtId="0" fontId="5" fillId="0" borderId="1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0" fontId="7" fillId="0" borderId="25" xfId="1" applyFont="1" applyBorder="1" applyAlignment="1" applyProtection="1">
      <alignment horizontal="center"/>
      <protection locked="0"/>
    </xf>
    <xf numFmtId="0" fontId="7" fillId="0" borderId="26" xfId="1" applyFont="1" applyBorder="1" applyAlignment="1" applyProtection="1">
      <alignment horizontal="center"/>
      <protection locked="0"/>
    </xf>
    <xf numFmtId="0" fontId="7" fillId="0" borderId="27" xfId="1" applyFont="1" applyBorder="1" applyAlignment="1" applyProtection="1">
      <alignment horizontal="center"/>
      <protection locked="0"/>
    </xf>
    <xf numFmtId="0" fontId="6" fillId="0" borderId="31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164" fontId="6" fillId="0" borderId="25" xfId="1" applyNumberFormat="1" applyFont="1" applyBorder="1" applyAlignment="1">
      <alignment horizontal="center" vertical="center"/>
    </xf>
    <xf numFmtId="0" fontId="7" fillId="0" borderId="26" xfId="1" applyFont="1" applyBorder="1"/>
    <xf numFmtId="0" fontId="7" fillId="0" borderId="27" xfId="1" applyFont="1" applyBorder="1"/>
    <xf numFmtId="164" fontId="6" fillId="0" borderId="28" xfId="1" applyNumberFormat="1" applyFont="1" applyBorder="1" applyAlignment="1">
      <alignment horizontal="center" vertical="top"/>
    </xf>
    <xf numFmtId="0" fontId="7" fillId="0" borderId="29" xfId="1" applyFont="1" applyBorder="1" applyAlignment="1">
      <alignment vertical="top"/>
    </xf>
    <xf numFmtId="0" fontId="7" fillId="0" borderId="30" xfId="1" applyFont="1" applyBorder="1" applyAlignment="1">
      <alignment vertical="top"/>
    </xf>
    <xf numFmtId="0" fontId="2" fillId="0" borderId="9" xfId="1" applyFont="1" applyBorder="1" applyAlignment="1" applyProtection="1">
      <alignment horizontal="center" vertical="center"/>
      <protection hidden="1"/>
    </xf>
    <xf numFmtId="0" fontId="4" fillId="0" borderId="9" xfId="1" applyFont="1" applyBorder="1" applyAlignment="1" applyProtection="1">
      <alignment horizontal="center" vertical="center"/>
      <protection hidden="1"/>
    </xf>
    <xf numFmtId="14" fontId="7" fillId="0" borderId="0" xfId="1" applyNumberFormat="1" applyFont="1" applyAlignment="1" applyProtection="1">
      <alignment horizontal="left" vertical="center"/>
      <protection locked="0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7" fillId="0" borderId="0" xfId="1" applyFont="1" applyAlignment="1" applyProtection="1">
      <alignment horizontal="left" vertical="center"/>
      <protection hidden="1"/>
    </xf>
    <xf numFmtId="0" fontId="7" fillId="0" borderId="0" xfId="1" applyFont="1" applyAlignment="1" applyProtection="1">
      <alignment horizontal="left" vertical="center"/>
      <protection locked="0"/>
    </xf>
    <xf numFmtId="164" fontId="7" fillId="0" borderId="25" xfId="1" applyNumberFormat="1" applyFont="1" applyBorder="1" applyAlignment="1">
      <alignment horizontal="center" vertical="center"/>
    </xf>
    <xf numFmtId="164" fontId="7" fillId="0" borderId="26" xfId="1" applyNumberFormat="1" applyFont="1" applyBorder="1" applyAlignment="1">
      <alignment horizontal="center" vertical="center"/>
    </xf>
    <xf numFmtId="164" fontId="7" fillId="0" borderId="27" xfId="1" applyNumberFormat="1" applyFont="1" applyBorder="1" applyAlignment="1">
      <alignment horizontal="center" vertical="center"/>
    </xf>
    <xf numFmtId="0" fontId="7" fillId="0" borderId="0" xfId="1" applyFont="1" applyAlignment="1" applyProtection="1">
      <alignment horizontal="left"/>
      <protection locked="0"/>
    </xf>
    <xf numFmtId="14" fontId="1" fillId="0" borderId="0" xfId="1" applyNumberFormat="1" applyFont="1" applyAlignment="1" applyProtection="1">
      <alignment horizontal="left" vertical="center"/>
      <protection locked="0"/>
    </xf>
    <xf numFmtId="0" fontId="7" fillId="0" borderId="14" xfId="1" applyFont="1" applyBorder="1" applyAlignment="1" applyProtection="1">
      <alignment horizontal="center" vertical="center" wrapText="1"/>
      <protection locked="0"/>
    </xf>
    <xf numFmtId="0" fontId="7" fillId="0" borderId="9" xfId="1" applyFont="1" applyBorder="1" applyAlignment="1" applyProtection="1">
      <alignment horizontal="center" vertical="center" wrapText="1"/>
      <protection locked="0"/>
    </xf>
    <xf numFmtId="0" fontId="1" fillId="0" borderId="9" xfId="1" applyFont="1" applyBorder="1" applyAlignment="1" applyProtection="1">
      <alignment horizontal="center" vertical="center" wrapText="1"/>
      <protection locked="0"/>
    </xf>
    <xf numFmtId="0" fontId="1" fillId="0" borderId="10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8" xfId="1" applyFont="1" applyBorder="1" applyAlignment="1" applyProtection="1">
      <alignment horizontal="center" vertical="center"/>
      <protection hidden="1"/>
    </xf>
    <xf numFmtId="0" fontId="7" fillId="0" borderId="3" xfId="1" applyFont="1" applyBorder="1" applyAlignment="1" applyProtection="1">
      <alignment horizontal="center" vertical="center" wrapText="1"/>
      <protection locked="0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7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164" fontId="6" fillId="0" borderId="14" xfId="1" applyNumberFormat="1" applyFont="1" applyBorder="1" applyAlignment="1">
      <alignment horizontal="center" vertical="center"/>
    </xf>
    <xf numFmtId="0" fontId="7" fillId="0" borderId="9" xfId="1" applyFont="1" applyBorder="1"/>
    <xf numFmtId="0" fontId="7" fillId="0" borderId="10" xfId="1" applyFont="1" applyBorder="1"/>
    <xf numFmtId="0" fontId="2" fillId="0" borderId="34" xfId="1" applyFont="1" applyBorder="1" applyAlignment="1" applyProtection="1">
      <alignment horizontal="center" vertical="center"/>
      <protection hidden="1"/>
    </xf>
    <xf numFmtId="0" fontId="2" fillId="0" borderId="35" xfId="1" applyFont="1" applyBorder="1" applyAlignment="1" applyProtection="1">
      <alignment horizontal="center" vertical="center"/>
      <protection hidden="1"/>
    </xf>
    <xf numFmtId="0" fontId="2" fillId="0" borderId="36" xfId="1" applyFont="1" applyBorder="1" applyAlignment="1" applyProtection="1">
      <alignment horizontal="center" vertical="center"/>
      <protection hidden="1"/>
    </xf>
    <xf numFmtId="0" fontId="7" fillId="0" borderId="17" xfId="1" applyFont="1" applyBorder="1" applyAlignment="1" applyProtection="1">
      <alignment horizontal="center" vertical="center" wrapText="1"/>
      <protection locked="0"/>
    </xf>
    <xf numFmtId="0" fontId="7" fillId="0" borderId="18" xfId="1" applyFont="1" applyBorder="1" applyAlignment="1" applyProtection="1">
      <alignment horizontal="center" vertical="center" wrapText="1"/>
      <protection locked="0"/>
    </xf>
    <xf numFmtId="0" fontId="7" fillId="0" borderId="19" xfId="1" applyFont="1" applyBorder="1" applyAlignment="1" applyProtection="1">
      <alignment horizontal="center" vertical="center" wrapText="1"/>
      <protection locked="0"/>
    </xf>
    <xf numFmtId="0" fontId="7" fillId="0" borderId="20" xfId="1" applyFont="1" applyBorder="1" applyAlignment="1" applyProtection="1">
      <alignment horizontal="center" vertical="center" wrapText="1"/>
      <protection locked="0"/>
    </xf>
    <xf numFmtId="0" fontId="7" fillId="0" borderId="21" xfId="1" applyFont="1" applyBorder="1" applyAlignment="1" applyProtection="1">
      <alignment horizontal="center" vertical="center" wrapText="1"/>
      <protection locked="0"/>
    </xf>
    <xf numFmtId="0" fontId="7" fillId="0" borderId="22" xfId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23" xfId="1" applyFont="1" applyBorder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4" fillId="0" borderId="14" xfId="0" applyFont="1" applyBorder="1" applyAlignment="1" applyProtection="1">
      <alignment horizontal="center"/>
      <protection locked="0"/>
    </xf>
    <xf numFmtId="0" fontId="14" fillId="0" borderId="9" xfId="0" applyFont="1" applyBorder="1" applyAlignment="1" applyProtection="1">
      <alignment horizontal="center"/>
      <protection locked="0"/>
    </xf>
    <xf numFmtId="0" fontId="14" fillId="0" borderId="10" xfId="0" applyFont="1" applyBorder="1" applyAlignment="1" applyProtection="1">
      <alignment horizontal="center"/>
      <protection locked="0"/>
    </xf>
    <xf numFmtId="164" fontId="14" fillId="0" borderId="14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164" fontId="21" fillId="0" borderId="14" xfId="0" applyNumberFormat="1" applyFont="1" applyBorder="1" applyAlignment="1">
      <alignment horizontal="center" vertical="center"/>
    </xf>
    <xf numFmtId="0" fontId="14" fillId="0" borderId="9" xfId="0" applyFont="1" applyBorder="1"/>
    <xf numFmtId="0" fontId="14" fillId="0" borderId="10" xfId="0" applyFont="1" applyBorder="1"/>
    <xf numFmtId="0" fontId="14" fillId="0" borderId="14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21" fillId="0" borderId="32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164" fontId="21" fillId="0" borderId="25" xfId="0" applyNumberFormat="1" applyFont="1" applyBorder="1" applyAlignment="1">
      <alignment horizontal="center" vertical="center"/>
    </xf>
    <xf numFmtId="0" fontId="14" fillId="0" borderId="26" xfId="0" applyFont="1" applyBorder="1"/>
    <xf numFmtId="0" fontId="14" fillId="0" borderId="27" xfId="0" applyFont="1" applyBorder="1"/>
    <xf numFmtId="164" fontId="21" fillId="0" borderId="28" xfId="0" applyNumberFormat="1" applyFont="1" applyBorder="1" applyAlignment="1">
      <alignment horizontal="center" vertical="top"/>
    </xf>
    <xf numFmtId="0" fontId="14" fillId="0" borderId="29" xfId="0" applyFont="1" applyBorder="1" applyAlignment="1">
      <alignment vertical="top"/>
    </xf>
    <xf numFmtId="0" fontId="14" fillId="0" borderId="30" xfId="0" applyFont="1" applyBorder="1" applyAlignment="1">
      <alignment vertical="top"/>
    </xf>
    <xf numFmtId="0" fontId="14" fillId="0" borderId="17" xfId="0" applyFont="1" applyBorder="1" applyAlignment="1" applyProtection="1">
      <alignment horizontal="center" vertical="center" wrapText="1"/>
      <protection locked="0"/>
    </xf>
    <xf numFmtId="0" fontId="14" fillId="0" borderId="18" xfId="0" applyFont="1" applyBorder="1" applyAlignment="1" applyProtection="1">
      <alignment horizontal="center" vertical="center" wrapText="1"/>
      <protection locked="0"/>
    </xf>
    <xf numFmtId="0" fontId="14" fillId="0" borderId="19" xfId="0" applyFont="1" applyBorder="1" applyAlignment="1" applyProtection="1">
      <alignment horizontal="center" vertical="center" wrapText="1"/>
      <protection locked="0"/>
    </xf>
    <xf numFmtId="0" fontId="14" fillId="0" borderId="20" xfId="0" applyFont="1" applyBorder="1" applyAlignment="1" applyProtection="1">
      <alignment horizontal="center" vertical="center" wrapText="1"/>
      <protection locked="0"/>
    </xf>
    <xf numFmtId="0" fontId="14" fillId="0" borderId="21" xfId="0" applyFont="1" applyBorder="1" applyAlignment="1" applyProtection="1">
      <alignment horizontal="center" vertical="center" wrapText="1"/>
      <protection locked="0"/>
    </xf>
    <xf numFmtId="0" fontId="18" fillId="0" borderId="6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7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18" fillId="0" borderId="2" xfId="0" applyFont="1" applyBorder="1" applyAlignment="1" applyProtection="1">
      <alignment horizontal="center" vertical="center"/>
      <protection hidden="1"/>
    </xf>
    <xf numFmtId="0" fontId="18" fillId="0" borderId="8" xfId="0" applyFont="1" applyBorder="1" applyAlignment="1" applyProtection="1">
      <alignment horizontal="center" vertical="center"/>
      <protection hidden="1"/>
    </xf>
    <xf numFmtId="0" fontId="15" fillId="0" borderId="6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5" fillId="0" borderId="7" xfId="0" applyFont="1" applyBorder="1" applyAlignment="1" applyProtection="1">
      <alignment horizontal="center" vertical="center"/>
      <protection hidden="1"/>
    </xf>
    <xf numFmtId="0" fontId="18" fillId="0" borderId="34" xfId="0" applyFont="1" applyBorder="1" applyAlignment="1" applyProtection="1">
      <alignment horizontal="center" vertical="center"/>
      <protection hidden="1"/>
    </xf>
    <xf numFmtId="0" fontId="18" fillId="0" borderId="35" xfId="0" applyFont="1" applyBorder="1" applyAlignment="1" applyProtection="1">
      <alignment horizontal="center" vertical="center"/>
      <protection hidden="1"/>
    </xf>
    <xf numFmtId="0" fontId="18" fillId="0" borderId="36" xfId="0" applyFont="1" applyBorder="1" applyAlignment="1" applyProtection="1">
      <alignment horizontal="center" vertical="center"/>
      <protection hidden="1"/>
    </xf>
    <xf numFmtId="0" fontId="14" fillId="0" borderId="22" xfId="0" applyFont="1" applyBorder="1" applyAlignment="1" applyProtection="1">
      <alignment horizontal="center" vertical="center"/>
      <protection locked="0"/>
    </xf>
    <xf numFmtId="0" fontId="14" fillId="0" borderId="17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23" xfId="0" applyFont="1" applyBorder="1" applyAlignment="1" applyProtection="1">
      <alignment horizontal="center" vertical="center"/>
      <protection locked="0"/>
    </xf>
    <xf numFmtId="0" fontId="14" fillId="0" borderId="20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hidden="1"/>
    </xf>
    <xf numFmtId="0" fontId="21" fillId="0" borderId="7" xfId="0" applyFont="1" applyBorder="1" applyAlignment="1" applyProtection="1">
      <alignment horizontal="center" vertical="center"/>
      <protection hidden="1"/>
    </xf>
    <xf numFmtId="0" fontId="23" fillId="0" borderId="2" xfId="0" applyFont="1" applyBorder="1" applyAlignment="1" applyProtection="1">
      <alignment horizontal="center" vertical="center"/>
      <protection hidden="1"/>
    </xf>
    <xf numFmtId="0" fontId="21" fillId="0" borderId="6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horizontal="center" vertical="center"/>
      <protection locked="0"/>
    </xf>
    <xf numFmtId="14" fontId="21" fillId="0" borderId="6" xfId="0" applyNumberFormat="1" applyFont="1" applyBorder="1" applyAlignment="1" applyProtection="1">
      <alignment horizontal="center" vertical="center"/>
      <protection locked="0"/>
    </xf>
    <xf numFmtId="14" fontId="21" fillId="0" borderId="0" xfId="0" applyNumberFormat="1" applyFont="1" applyAlignment="1" applyProtection="1">
      <alignment horizontal="center" vertical="center"/>
      <protection locked="0"/>
    </xf>
    <xf numFmtId="14" fontId="21" fillId="0" borderId="7" xfId="0" applyNumberFormat="1" applyFont="1" applyBorder="1" applyAlignment="1" applyProtection="1">
      <alignment horizontal="center" vertical="center"/>
      <protection locked="0"/>
    </xf>
    <xf numFmtId="0" fontId="23" fillId="0" borderId="8" xfId="0" applyFont="1" applyBorder="1" applyAlignment="1" applyProtection="1">
      <alignment horizontal="center" vertic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0" fontId="13" fillId="0" borderId="5" xfId="0" applyFont="1" applyBorder="1" applyAlignment="1" applyProtection="1">
      <alignment horizontal="center" vertical="center" wrapText="1"/>
      <protection hidden="1"/>
    </xf>
    <xf numFmtId="0" fontId="13" fillId="0" borderId="6" xfId="0" applyFont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3" fillId="0" borderId="7" xfId="0" applyFont="1" applyBorder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20" fillId="0" borderId="3" xfId="0" applyFont="1" applyBorder="1" applyAlignment="1" applyProtection="1">
      <alignment horizontal="center" vertical="center"/>
      <protection hidden="1"/>
    </xf>
    <xf numFmtId="0" fontId="20" fillId="0" borderId="4" xfId="0" applyFont="1" applyBorder="1" applyAlignment="1" applyProtection="1">
      <alignment horizontal="center" vertic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14" fillId="0" borderId="0" xfId="0" applyFont="1" applyAlignment="1" applyProtection="1">
      <alignment horizontal="left" vertical="center"/>
      <protection locked="0"/>
    </xf>
    <xf numFmtId="0" fontId="22" fillId="0" borderId="6" xfId="0" applyFont="1" applyBorder="1" applyAlignment="1" applyProtection="1">
      <alignment horizontal="center" vertical="center" wrapText="1"/>
      <protection hidden="1"/>
    </xf>
    <xf numFmtId="0" fontId="22" fillId="0" borderId="0" xfId="0" applyFont="1" applyAlignment="1" applyProtection="1">
      <alignment horizontal="center" vertical="center" wrapText="1"/>
      <protection hidden="1"/>
    </xf>
    <xf numFmtId="0" fontId="22" fillId="0" borderId="7" xfId="0" applyFont="1" applyBorder="1" applyAlignment="1" applyProtection="1">
      <alignment horizontal="center" vertical="center" wrapText="1"/>
      <protection hidden="1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18" fillId="0" borderId="9" xfId="0" applyFont="1" applyBorder="1" applyAlignment="1" applyProtection="1">
      <alignment horizontal="center" vertical="center"/>
      <protection hidden="1"/>
    </xf>
    <xf numFmtId="0" fontId="16" fillId="0" borderId="9" xfId="0" applyFont="1" applyBorder="1" applyAlignment="1" applyProtection="1">
      <alignment horizontal="center" vertical="center"/>
      <protection hidden="1"/>
    </xf>
    <xf numFmtId="14" fontId="14" fillId="0" borderId="0" xfId="0" applyNumberFormat="1" applyFont="1" applyAlignment="1" applyProtection="1">
      <alignment horizontal="left" vertical="center"/>
      <protection locked="0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left"/>
      <protection locked="0"/>
    </xf>
    <xf numFmtId="164" fontId="14" fillId="0" borderId="23" xfId="0" applyNumberFormat="1" applyFont="1" applyBorder="1" applyAlignment="1">
      <alignment horizontal="center" vertical="center"/>
    </xf>
    <xf numFmtId="164" fontId="14" fillId="0" borderId="20" xfId="0" applyNumberFormat="1" applyFont="1" applyBorder="1" applyAlignment="1">
      <alignment horizontal="center" vertical="center"/>
    </xf>
    <xf numFmtId="164" fontId="14" fillId="0" borderId="24" xfId="0" applyNumberFormat="1" applyFont="1" applyBorder="1" applyAlignment="1">
      <alignment horizontal="center" vertical="center"/>
    </xf>
    <xf numFmtId="0" fontId="14" fillId="0" borderId="23" xfId="0" applyFont="1" applyBorder="1" applyAlignment="1" applyProtection="1">
      <alignment horizontal="center"/>
      <protection locked="0"/>
    </xf>
    <xf numFmtId="0" fontId="14" fillId="0" borderId="20" xfId="0" applyFont="1" applyBorder="1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left"/>
      <protection hidden="1"/>
    </xf>
    <xf numFmtId="0" fontId="14" fillId="0" borderId="0" xfId="0" applyFont="1" applyAlignment="1" applyProtection="1">
      <alignment horizontal="center"/>
      <protection locked="0"/>
    </xf>
    <xf numFmtId="0" fontId="21" fillId="0" borderId="1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8" xfId="0" applyFont="1" applyBorder="1"/>
    <xf numFmtId="0" fontId="21" fillId="0" borderId="3" xfId="0" applyFont="1" applyBorder="1" applyAlignment="1">
      <alignment horizontal="center" vertical="center"/>
    </xf>
    <xf numFmtId="0" fontId="14" fillId="0" borderId="4" xfId="0" applyFont="1" applyBorder="1"/>
    <xf numFmtId="0" fontId="14" fillId="0" borderId="5" xfId="0" applyFont="1" applyBorder="1"/>
    <xf numFmtId="0" fontId="14" fillId="0" borderId="15" xfId="0" applyFont="1" applyBorder="1" applyAlignment="1" applyProtection="1">
      <alignment horizontal="center" vertical="center"/>
      <protection hidden="1"/>
    </xf>
    <xf numFmtId="0" fontId="14" fillId="0" borderId="16" xfId="0" applyFont="1" applyBorder="1" applyAlignment="1" applyProtection="1">
      <alignment horizontal="center" vertical="center"/>
      <protection hidden="1"/>
    </xf>
    <xf numFmtId="0" fontId="14" fillId="0" borderId="4" xfId="0" applyFont="1" applyBorder="1" applyAlignment="1">
      <alignment horizontal="center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14" fillId="0" borderId="2" xfId="0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5" fillId="0" borderId="1" xfId="0" applyFont="1" applyBorder="1" applyAlignment="1" applyProtection="1">
      <alignment horizontal="center" vertical="center"/>
      <protection hidden="1"/>
    </xf>
    <xf numFmtId="0" fontId="15" fillId="0" borderId="2" xfId="0" applyFont="1" applyBorder="1" applyAlignment="1" applyProtection="1">
      <alignment horizontal="center" vertical="center"/>
      <protection hidden="1"/>
    </xf>
    <xf numFmtId="0" fontId="15" fillId="0" borderId="8" xfId="0" applyFont="1" applyBorder="1" applyAlignment="1" applyProtection="1">
      <alignment horizontal="center" vertical="center"/>
      <protection hidden="1"/>
    </xf>
    <xf numFmtId="0" fontId="21" fillId="0" borderId="3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4" xfId="0" applyFont="1" applyBorder="1" applyAlignment="1" applyProtection="1">
      <alignment horizontal="center"/>
      <protection locked="0"/>
    </xf>
    <xf numFmtId="0" fontId="6" fillId="0" borderId="3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7" fillId="0" borderId="23" xfId="0" applyFont="1" applyBorder="1" applyAlignment="1" applyProtection="1">
      <alignment horizontal="center"/>
      <protection locked="0"/>
    </xf>
    <xf numFmtId="164" fontId="6" fillId="0" borderId="25" xfId="0" applyNumberFormat="1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164" fontId="6" fillId="0" borderId="28" xfId="0" applyNumberFormat="1" applyFont="1" applyBorder="1" applyAlignment="1">
      <alignment horizontal="center" vertical="top"/>
    </xf>
    <xf numFmtId="0" fontId="7" fillId="0" borderId="29" xfId="0" applyFont="1" applyBorder="1" applyAlignment="1">
      <alignment vertical="top"/>
    </xf>
    <xf numFmtId="0" fontId="7" fillId="0" borderId="30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</cellXfs>
  <cellStyles count="2">
    <cellStyle name="Normal" xfId="0" builtinId="0"/>
    <cellStyle name="Normal 2" xfId="1" xr:uid="{7DDDA0B6-09BA-467F-9727-4313B70DD198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AE14D28-D764-4601-8DDB-500C12DAA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7C06BD1-ECFC-49AC-B9CD-A602AFB8B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D5D6DF9-4749-4415-95A1-DEC71DDC4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DC6197B-E162-45BF-8D0E-46E41E157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BD2BFDE-CEE4-457E-BEFF-4EEF3B9F9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11D98E6-4180-4F9B-8128-9CD9EA277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114300</xdr:colOff>
      <xdr:row>64</xdr:row>
      <xdr:rowOff>47626</xdr:rowOff>
    </xdr:from>
    <xdr:ext cx="1750695" cy="691670"/>
    <xdr:pic>
      <xdr:nvPicPr>
        <xdr:cNvPr id="3" name="Image 2">
          <a:extLst>
            <a:ext uri="{FF2B5EF4-FFF2-40B4-BE49-F238E27FC236}">
              <a16:creationId xmlns:a16="http://schemas.microsoft.com/office/drawing/2014/main" id="{54632B66-5B0C-4620-AA2F-111A3CACA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0" y="8107681"/>
          <a:ext cx="1750695" cy="69167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E1BD9E6-BCF8-4C8B-9C3C-1528D5911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9B14BD1-F72C-453F-B42E-1861CF903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114300</xdr:colOff>
      <xdr:row>64</xdr:row>
      <xdr:rowOff>47626</xdr:rowOff>
    </xdr:from>
    <xdr:ext cx="1750695" cy="691670"/>
    <xdr:pic>
      <xdr:nvPicPr>
        <xdr:cNvPr id="3" name="Image 2">
          <a:extLst>
            <a:ext uri="{FF2B5EF4-FFF2-40B4-BE49-F238E27FC236}">
              <a16:creationId xmlns:a16="http://schemas.microsoft.com/office/drawing/2014/main" id="{B40038C3-B313-467E-ADCD-01EDFFD23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0" y="11022331"/>
          <a:ext cx="1750695" cy="69167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460B-2816-41F5-A64F-1C1704DC0294}">
  <sheetPr>
    <pageSetUpPr fitToPage="1"/>
  </sheetPr>
  <dimension ref="A1:AA67"/>
  <sheetViews>
    <sheetView tabSelected="1" topLeftCell="A34" workbookViewId="0">
      <selection activeCell="W63" sqref="V63:W63"/>
    </sheetView>
  </sheetViews>
  <sheetFormatPr baseColWidth="10" defaultColWidth="11.44140625" defaultRowHeight="12.75" customHeight="1" x14ac:dyDescent="0.25"/>
  <cols>
    <col min="1" max="1" width="5.109375" style="205" customWidth="1"/>
    <col min="2" max="26" width="5.109375" style="204" customWidth="1"/>
    <col min="27" max="27" width="11.44140625" style="204"/>
  </cols>
  <sheetData>
    <row r="1" spans="1:26" ht="12.75" customHeight="1" x14ac:dyDescent="0.25">
      <c r="A1" s="370"/>
      <c r="B1" s="371"/>
      <c r="C1" s="371"/>
      <c r="D1" s="371"/>
      <c r="E1" s="371"/>
      <c r="F1" s="372"/>
      <c r="G1" s="379" t="s">
        <v>0</v>
      </c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1"/>
      <c r="U1" s="382" t="s">
        <v>87</v>
      </c>
      <c r="V1" s="383"/>
      <c r="W1" s="383"/>
      <c r="X1" s="383"/>
      <c r="Y1" s="383"/>
      <c r="Z1" s="384"/>
    </row>
    <row r="2" spans="1:26" ht="12.75" customHeight="1" x14ac:dyDescent="0.25">
      <c r="A2" s="373"/>
      <c r="B2" s="374"/>
      <c r="C2" s="374"/>
      <c r="D2" s="374"/>
      <c r="E2" s="374"/>
      <c r="F2" s="375"/>
      <c r="G2" s="391" t="s">
        <v>2</v>
      </c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3"/>
      <c r="U2" s="385"/>
      <c r="V2" s="386"/>
      <c r="W2" s="386"/>
      <c r="X2" s="386"/>
      <c r="Y2" s="386"/>
      <c r="Z2" s="387"/>
    </row>
    <row r="3" spans="1:26" ht="12.75" customHeight="1" x14ac:dyDescent="0.25">
      <c r="A3" s="373"/>
      <c r="B3" s="374"/>
      <c r="C3" s="374"/>
      <c r="D3" s="374"/>
      <c r="E3" s="374"/>
      <c r="F3" s="375"/>
      <c r="G3" s="391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3"/>
      <c r="U3" s="385"/>
      <c r="V3" s="386"/>
      <c r="W3" s="386"/>
      <c r="X3" s="386"/>
      <c r="Y3" s="386"/>
      <c r="Z3" s="387"/>
    </row>
    <row r="4" spans="1:26" ht="12.75" customHeight="1" x14ac:dyDescent="0.25">
      <c r="A4" s="373"/>
      <c r="B4" s="374"/>
      <c r="C4" s="374"/>
      <c r="D4" s="374"/>
      <c r="E4" s="374"/>
      <c r="F4" s="375"/>
      <c r="G4" s="391"/>
      <c r="H4" s="392"/>
      <c r="I4" s="392"/>
      <c r="J4" s="392"/>
      <c r="K4" s="392"/>
      <c r="L4" s="392"/>
      <c r="M4" s="392"/>
      <c r="N4" s="392"/>
      <c r="O4" s="392"/>
      <c r="P4" s="392"/>
      <c r="Q4" s="392"/>
      <c r="R4" s="392"/>
      <c r="S4" s="392"/>
      <c r="T4" s="393"/>
      <c r="U4" s="385"/>
      <c r="V4" s="386"/>
      <c r="W4" s="386"/>
      <c r="X4" s="386"/>
      <c r="Y4" s="386"/>
      <c r="Z4" s="387"/>
    </row>
    <row r="5" spans="1:26" ht="12.75" customHeight="1" x14ac:dyDescent="0.25">
      <c r="A5" s="373"/>
      <c r="B5" s="374"/>
      <c r="C5" s="374"/>
      <c r="D5" s="374"/>
      <c r="E5" s="374"/>
      <c r="F5" s="375"/>
      <c r="G5" s="394" t="s">
        <v>3</v>
      </c>
      <c r="H5" s="395"/>
      <c r="I5" s="396">
        <v>9</v>
      </c>
      <c r="J5" s="396"/>
      <c r="K5" s="397"/>
      <c r="L5" s="398" t="s">
        <v>4</v>
      </c>
      <c r="M5" s="399"/>
      <c r="N5" s="399"/>
      <c r="O5" s="400"/>
      <c r="P5" s="401">
        <v>45916</v>
      </c>
      <c r="Q5" s="402"/>
      <c r="R5" s="402"/>
      <c r="S5" s="402"/>
      <c r="T5" s="403"/>
      <c r="U5" s="385"/>
      <c r="V5" s="386"/>
      <c r="W5" s="386"/>
      <c r="X5" s="386"/>
      <c r="Y5" s="386"/>
      <c r="Z5" s="387"/>
    </row>
    <row r="6" spans="1:26" ht="12.75" customHeight="1" x14ac:dyDescent="0.25">
      <c r="A6" s="376"/>
      <c r="B6" s="377"/>
      <c r="C6" s="377"/>
      <c r="D6" s="377"/>
      <c r="E6" s="377"/>
      <c r="F6" s="378"/>
      <c r="G6" s="268"/>
      <c r="H6" s="234"/>
      <c r="I6" s="366" t="s">
        <v>6</v>
      </c>
      <c r="J6" s="366"/>
      <c r="K6" s="366"/>
      <c r="L6" s="366" t="s">
        <v>7</v>
      </c>
      <c r="M6" s="366"/>
      <c r="N6" s="366"/>
      <c r="O6" s="366"/>
      <c r="P6" s="366" t="s">
        <v>8</v>
      </c>
      <c r="Q6" s="366"/>
      <c r="R6" s="366"/>
      <c r="S6" s="366"/>
      <c r="T6" s="367"/>
      <c r="U6" s="388"/>
      <c r="V6" s="389"/>
      <c r="W6" s="389"/>
      <c r="X6" s="389"/>
      <c r="Y6" s="389"/>
      <c r="Z6" s="390"/>
    </row>
    <row r="7" spans="1:26" ht="36.6" customHeight="1" x14ac:dyDescent="0.25">
      <c r="A7" s="368" t="s">
        <v>9</v>
      </c>
      <c r="B7" s="368"/>
      <c r="C7" s="368"/>
      <c r="D7" s="368"/>
      <c r="E7" s="368"/>
      <c r="F7" s="368"/>
      <c r="G7" s="369" t="s">
        <v>10</v>
      </c>
      <c r="H7" s="369"/>
      <c r="I7" s="369"/>
      <c r="J7" s="369"/>
      <c r="K7" s="369"/>
      <c r="L7" s="369"/>
      <c r="M7" s="369"/>
      <c r="N7" s="369"/>
      <c r="O7" s="369"/>
      <c r="P7" s="369"/>
      <c r="Q7" s="369"/>
      <c r="R7" s="369"/>
      <c r="S7" s="369"/>
      <c r="T7" s="369"/>
      <c r="U7" s="369"/>
      <c r="V7" s="369"/>
      <c r="W7" s="369"/>
      <c r="X7" s="369"/>
      <c r="Y7" s="369"/>
      <c r="Z7" s="369"/>
    </row>
    <row r="8" spans="1:26" ht="15.9" customHeight="1" x14ac:dyDescent="0.25">
      <c r="A8" s="247" t="s">
        <v>11</v>
      </c>
      <c r="B8" s="229" t="s">
        <v>12</v>
      </c>
      <c r="C8" s="226"/>
      <c r="D8" s="267"/>
      <c r="E8" s="267"/>
      <c r="F8" s="267"/>
      <c r="G8" s="267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42"/>
    </row>
    <row r="9" spans="1:26" ht="8.25" customHeight="1" x14ac:dyDescent="0.25">
      <c r="A9" s="238"/>
      <c r="D9" s="205"/>
      <c r="E9" s="205"/>
      <c r="F9" s="205"/>
      <c r="G9" s="205"/>
      <c r="Z9" s="237"/>
    </row>
    <row r="10" spans="1:26" ht="15.9" customHeight="1" x14ac:dyDescent="0.25">
      <c r="A10" s="238"/>
      <c r="B10" s="363" t="s">
        <v>13</v>
      </c>
      <c r="C10" s="363"/>
      <c r="D10" s="363"/>
      <c r="E10" s="363"/>
      <c r="F10" s="363"/>
      <c r="G10" s="363"/>
      <c r="H10" s="364" t="s">
        <v>83</v>
      </c>
      <c r="I10" s="364"/>
      <c r="J10" s="364"/>
      <c r="K10" s="364"/>
      <c r="L10" s="364"/>
      <c r="M10" s="364"/>
      <c r="N10" s="363" t="s">
        <v>15</v>
      </c>
      <c r="O10" s="363"/>
      <c r="P10" s="363"/>
      <c r="Q10" s="363"/>
      <c r="R10" s="363"/>
      <c r="S10" s="365" t="s">
        <v>84</v>
      </c>
      <c r="T10" s="365"/>
      <c r="U10" s="365"/>
      <c r="V10" s="365"/>
      <c r="W10" s="365"/>
      <c r="X10" s="365"/>
      <c r="Y10" s="365"/>
      <c r="Z10" s="266"/>
    </row>
    <row r="11" spans="1:26" ht="15.9" customHeight="1" x14ac:dyDescent="0.25">
      <c r="A11" s="238"/>
      <c r="B11" s="363" t="s">
        <v>17</v>
      </c>
      <c r="C11" s="363"/>
      <c r="D11" s="363"/>
      <c r="E11" s="363"/>
      <c r="F11" s="363"/>
      <c r="G11" s="363"/>
      <c r="H11" s="364" t="s">
        <v>85</v>
      </c>
      <c r="I11" s="364"/>
      <c r="J11" s="364"/>
      <c r="K11" s="364"/>
      <c r="L11" s="364"/>
      <c r="M11" s="364"/>
      <c r="N11" s="363" t="s">
        <v>18</v>
      </c>
      <c r="O11" s="363"/>
      <c r="P11" s="363"/>
      <c r="Q11" s="363"/>
      <c r="R11" s="363"/>
      <c r="S11" s="365" t="s">
        <v>59</v>
      </c>
      <c r="T11" s="365"/>
      <c r="U11" s="365"/>
      <c r="V11" s="365"/>
      <c r="W11" s="365"/>
      <c r="X11" s="365"/>
      <c r="Y11" s="365"/>
      <c r="Z11" s="266"/>
    </row>
    <row r="12" spans="1:26" ht="15.9" customHeight="1" x14ac:dyDescent="0.25">
      <c r="A12" s="238"/>
      <c r="B12" s="363" t="s">
        <v>20</v>
      </c>
      <c r="C12" s="363"/>
      <c r="D12" s="363"/>
      <c r="E12" s="363"/>
      <c r="F12" s="363"/>
      <c r="G12" s="363"/>
      <c r="H12" s="364" t="s">
        <v>88</v>
      </c>
      <c r="I12" s="364"/>
      <c r="J12" s="364"/>
      <c r="K12" s="364"/>
      <c r="L12" s="364"/>
      <c r="M12" s="364"/>
      <c r="N12" s="363" t="s">
        <v>22</v>
      </c>
      <c r="O12" s="363"/>
      <c r="P12" s="363"/>
      <c r="Q12" s="363"/>
      <c r="R12" s="363"/>
      <c r="S12" s="365" t="s">
        <v>23</v>
      </c>
      <c r="T12" s="365"/>
      <c r="U12" s="365"/>
      <c r="V12" s="365"/>
      <c r="W12" s="365"/>
      <c r="X12" s="365"/>
      <c r="Y12" s="365"/>
      <c r="Z12" s="266"/>
    </row>
    <row r="13" spans="1:26" ht="8.25" customHeight="1" x14ac:dyDescent="0.25">
      <c r="A13" s="265"/>
      <c r="B13" s="234"/>
      <c r="C13" s="234"/>
      <c r="D13" s="264"/>
      <c r="E13" s="264"/>
      <c r="F13" s="264"/>
      <c r="G13" s="264"/>
      <c r="H13" s="234"/>
      <c r="I13" s="234"/>
      <c r="J13" s="234"/>
      <c r="K13" s="234"/>
      <c r="L13" s="234"/>
      <c r="M13" s="234"/>
      <c r="N13" s="263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3"/>
    </row>
    <row r="14" spans="1:26" s="206" customFormat="1" ht="15" customHeight="1" x14ac:dyDescent="0.25">
      <c r="B14" s="261"/>
      <c r="C14" s="261"/>
      <c r="K14" s="262"/>
      <c r="L14" s="261"/>
      <c r="M14" s="260"/>
    </row>
    <row r="15" spans="1:26" s="206" customFormat="1" ht="15.6" customHeight="1" x14ac:dyDescent="0.25">
      <c r="A15" s="247" t="s">
        <v>24</v>
      </c>
      <c r="B15" s="259" t="s">
        <v>25</v>
      </c>
      <c r="C15" s="258"/>
      <c r="D15" s="258"/>
      <c r="E15" s="258"/>
      <c r="F15" s="258"/>
      <c r="G15" s="258"/>
      <c r="H15" s="258"/>
      <c r="I15" s="258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Z15" s="257"/>
    </row>
    <row r="16" spans="1:26" s="206" customFormat="1" ht="15" customHeight="1" x14ac:dyDescent="0.25">
      <c r="A16" s="254"/>
      <c r="B16" s="256"/>
      <c r="Z16" s="255"/>
    </row>
    <row r="17" spans="1:26" s="206" customFormat="1" ht="15" customHeight="1" x14ac:dyDescent="0.25">
      <c r="A17" s="254"/>
      <c r="B17" s="347" t="s">
        <v>26</v>
      </c>
      <c r="C17" s="347"/>
      <c r="D17" s="347"/>
      <c r="E17" s="347"/>
      <c r="F17" s="347"/>
      <c r="G17" s="347"/>
      <c r="H17" s="347"/>
      <c r="I17" s="348"/>
      <c r="J17" s="348"/>
      <c r="K17" s="348"/>
      <c r="L17" s="348"/>
      <c r="M17" s="348"/>
      <c r="N17" s="348"/>
      <c r="O17" s="348"/>
      <c r="P17" s="348"/>
      <c r="Q17" s="348"/>
      <c r="R17" s="348"/>
      <c r="S17" s="348"/>
      <c r="T17" s="348"/>
      <c r="U17" s="348"/>
      <c r="V17" s="348"/>
      <c r="W17" s="348"/>
      <c r="X17" s="348"/>
      <c r="Y17" s="348"/>
      <c r="Z17" s="252"/>
    </row>
    <row r="18" spans="1:26" s="206" customFormat="1" ht="15" customHeight="1" x14ac:dyDescent="0.25">
      <c r="A18" s="254"/>
      <c r="B18" s="347" t="s">
        <v>27</v>
      </c>
      <c r="C18" s="347"/>
      <c r="D18" s="347"/>
      <c r="E18" s="347"/>
      <c r="F18" s="347"/>
      <c r="G18" s="347"/>
      <c r="H18" s="347"/>
      <c r="I18" s="349" t="s">
        <v>28</v>
      </c>
      <c r="J18" s="349"/>
      <c r="K18" s="253">
        <v>50</v>
      </c>
      <c r="L18" s="253" t="s">
        <v>29</v>
      </c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2"/>
    </row>
    <row r="19" spans="1:26" s="206" customFormat="1" ht="13.2" customHeight="1" x14ac:dyDescent="0.25">
      <c r="A19" s="251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49"/>
    </row>
    <row r="20" spans="1:26" ht="12.75" customHeight="1" x14ac:dyDescent="0.25">
      <c r="D20" s="205"/>
      <c r="E20" s="205"/>
      <c r="F20" s="205"/>
      <c r="G20" s="205"/>
      <c r="N20" s="248"/>
    </row>
    <row r="21" spans="1:26" ht="15.9" customHeight="1" x14ac:dyDescent="0.25">
      <c r="A21" s="247" t="s">
        <v>30</v>
      </c>
      <c r="B21" s="246" t="s">
        <v>31</v>
      </c>
      <c r="C21" s="244"/>
      <c r="D21" s="245"/>
      <c r="E21" s="245"/>
      <c r="F21" s="245"/>
      <c r="G21" s="245"/>
      <c r="H21" s="244"/>
      <c r="I21" s="244"/>
      <c r="J21" s="350" t="s">
        <v>32</v>
      </c>
      <c r="K21" s="350"/>
      <c r="L21" s="350"/>
      <c r="M21" s="350"/>
      <c r="N21" s="350"/>
      <c r="O21" s="350"/>
      <c r="P21" s="350"/>
      <c r="Q21" s="243">
        <v>600</v>
      </c>
      <c r="R21" s="226"/>
      <c r="S21" s="226"/>
      <c r="T21" s="226"/>
      <c r="U21" s="226"/>
      <c r="V21" s="226"/>
      <c r="W21" s="226"/>
      <c r="X21" s="226"/>
      <c r="Y21" s="226"/>
      <c r="Z21" s="242"/>
    </row>
    <row r="22" spans="1:26" ht="12.75" customHeight="1" x14ac:dyDescent="0.25">
      <c r="A22" s="238"/>
      <c r="B22" s="241"/>
      <c r="Z22" s="237"/>
    </row>
    <row r="23" spans="1:26" ht="15.75" customHeight="1" x14ac:dyDescent="0.25">
      <c r="A23" s="238"/>
      <c r="B23" s="351" t="s">
        <v>33</v>
      </c>
      <c r="C23" s="353" t="s">
        <v>34</v>
      </c>
      <c r="D23" s="353"/>
      <c r="E23" s="353"/>
      <c r="F23" s="353"/>
      <c r="G23" s="354"/>
      <c r="H23" s="357" t="s">
        <v>35</v>
      </c>
      <c r="I23" s="358"/>
      <c r="J23" s="359"/>
      <c r="K23" s="353" t="s">
        <v>36</v>
      </c>
      <c r="L23" s="353"/>
      <c r="M23" s="353"/>
      <c r="N23" s="353"/>
      <c r="O23" s="353"/>
      <c r="P23" s="354"/>
      <c r="Z23" s="237"/>
    </row>
    <row r="24" spans="1:26" ht="15.75" customHeight="1" x14ac:dyDescent="0.25">
      <c r="A24" s="238"/>
      <c r="B24" s="352"/>
      <c r="C24" s="355"/>
      <c r="D24" s="355"/>
      <c r="E24" s="355"/>
      <c r="F24" s="355"/>
      <c r="G24" s="356"/>
      <c r="H24" s="360" t="s">
        <v>37</v>
      </c>
      <c r="I24" s="361"/>
      <c r="J24" s="362"/>
      <c r="K24" s="355"/>
      <c r="L24" s="355"/>
      <c r="M24" s="355"/>
      <c r="N24" s="355"/>
      <c r="O24" s="355"/>
      <c r="P24" s="356"/>
      <c r="Z24" s="237"/>
    </row>
    <row r="25" spans="1:26" ht="19.5" customHeight="1" x14ac:dyDescent="0.25">
      <c r="A25" s="238"/>
      <c r="B25" s="240">
        <v>1</v>
      </c>
      <c r="C25" s="341"/>
      <c r="D25" s="342"/>
      <c r="E25" s="342"/>
      <c r="F25" s="342"/>
      <c r="G25" s="343"/>
      <c r="H25" s="344">
        <v>68</v>
      </c>
      <c r="I25" s="345"/>
      <c r="J25" s="346"/>
      <c r="K25" s="341"/>
      <c r="L25" s="342"/>
      <c r="M25" s="342"/>
      <c r="N25" s="342"/>
      <c r="O25" s="342"/>
      <c r="P25" s="343"/>
      <c r="Z25" s="237"/>
    </row>
    <row r="26" spans="1:26" ht="19.5" customHeight="1" x14ac:dyDescent="0.25">
      <c r="A26" s="238"/>
      <c r="B26" s="240">
        <v>2</v>
      </c>
      <c r="C26" s="341"/>
      <c r="D26" s="342"/>
      <c r="E26" s="342"/>
      <c r="F26" s="342"/>
      <c r="G26" s="343"/>
      <c r="H26" s="344">
        <v>50</v>
      </c>
      <c r="I26" s="345"/>
      <c r="J26" s="346"/>
      <c r="K26" s="341"/>
      <c r="L26" s="342"/>
      <c r="M26" s="342"/>
      <c r="N26" s="342"/>
      <c r="O26" s="342"/>
      <c r="P26" s="343"/>
      <c r="Z26" s="237"/>
    </row>
    <row r="27" spans="1:26" ht="19.5" customHeight="1" x14ac:dyDescent="0.25">
      <c r="A27" s="238"/>
      <c r="B27" s="240">
        <v>3</v>
      </c>
      <c r="C27" s="341"/>
      <c r="D27" s="342"/>
      <c r="E27" s="342"/>
      <c r="F27" s="342"/>
      <c r="G27" s="343"/>
      <c r="H27" s="344">
        <v>73</v>
      </c>
      <c r="I27" s="345"/>
      <c r="J27" s="346"/>
      <c r="K27" s="341"/>
      <c r="L27" s="342"/>
      <c r="M27" s="342"/>
      <c r="N27" s="342"/>
      <c r="O27" s="342"/>
      <c r="P27" s="343"/>
      <c r="Z27" s="237"/>
    </row>
    <row r="28" spans="1:26" ht="19.5" customHeight="1" x14ac:dyDescent="0.25">
      <c r="A28" s="238"/>
      <c r="B28" s="240">
        <v>4</v>
      </c>
      <c r="C28" s="341"/>
      <c r="D28" s="342"/>
      <c r="E28" s="342"/>
      <c r="F28" s="342"/>
      <c r="G28" s="343"/>
      <c r="H28" s="344">
        <v>64</v>
      </c>
      <c r="I28" s="345"/>
      <c r="J28" s="346"/>
      <c r="K28" s="341"/>
      <c r="L28" s="342"/>
      <c r="M28" s="342"/>
      <c r="N28" s="342"/>
      <c r="O28" s="342"/>
      <c r="P28" s="343"/>
      <c r="Z28" s="237"/>
    </row>
    <row r="29" spans="1:26" ht="19.5" customHeight="1" x14ac:dyDescent="0.25">
      <c r="A29" s="238"/>
      <c r="B29" s="240">
        <v>5</v>
      </c>
      <c r="C29" s="341"/>
      <c r="D29" s="342"/>
      <c r="E29" s="342"/>
      <c r="F29" s="342"/>
      <c r="G29" s="343"/>
      <c r="H29" s="344">
        <v>91</v>
      </c>
      <c r="I29" s="345"/>
      <c r="J29" s="346"/>
      <c r="K29" s="341"/>
      <c r="L29" s="342"/>
      <c r="M29" s="342"/>
      <c r="N29" s="342"/>
      <c r="O29" s="342"/>
      <c r="P29" s="343"/>
      <c r="Z29" s="237"/>
    </row>
    <row r="30" spans="1:26" ht="19.5" customHeight="1" x14ac:dyDescent="0.25">
      <c r="A30" s="238"/>
      <c r="B30" s="240">
        <v>6</v>
      </c>
      <c r="C30" s="341"/>
      <c r="D30" s="342"/>
      <c r="E30" s="342"/>
      <c r="F30" s="342"/>
      <c r="G30" s="343"/>
      <c r="H30" s="344">
        <v>85</v>
      </c>
      <c r="I30" s="345"/>
      <c r="J30" s="346"/>
      <c r="K30" s="341"/>
      <c r="L30" s="342"/>
      <c r="M30" s="342"/>
      <c r="N30" s="342"/>
      <c r="O30" s="342"/>
      <c r="P30" s="343"/>
      <c r="Z30" s="237"/>
    </row>
    <row r="31" spans="1:26" ht="19.5" customHeight="1" x14ac:dyDescent="0.25">
      <c r="A31" s="238"/>
      <c r="B31" s="240">
        <v>7</v>
      </c>
      <c r="C31" s="341"/>
      <c r="D31" s="342"/>
      <c r="E31" s="342"/>
      <c r="F31" s="342"/>
      <c r="G31" s="343"/>
      <c r="H31" s="344">
        <v>65</v>
      </c>
      <c r="I31" s="345"/>
      <c r="J31" s="346"/>
      <c r="K31" s="341"/>
      <c r="L31" s="342"/>
      <c r="M31" s="342"/>
      <c r="N31" s="342"/>
      <c r="O31" s="342"/>
      <c r="P31" s="343"/>
      <c r="Z31" s="237"/>
    </row>
    <row r="32" spans="1:26" ht="19.5" customHeight="1" x14ac:dyDescent="0.25">
      <c r="A32" s="238"/>
      <c r="B32" s="240">
        <v>8</v>
      </c>
      <c r="C32" s="341"/>
      <c r="D32" s="342"/>
      <c r="E32" s="342"/>
      <c r="F32" s="342"/>
      <c r="G32" s="343"/>
      <c r="H32" s="344">
        <v>51</v>
      </c>
      <c r="I32" s="345"/>
      <c r="J32" s="346"/>
      <c r="K32" s="341"/>
      <c r="L32" s="342"/>
      <c r="M32" s="342"/>
      <c r="N32" s="342"/>
      <c r="O32" s="342"/>
      <c r="P32" s="343"/>
      <c r="Z32" s="237"/>
    </row>
    <row r="33" spans="1:26" ht="19.5" customHeight="1" x14ac:dyDescent="0.25">
      <c r="A33" s="238"/>
      <c r="B33" s="240">
        <v>9</v>
      </c>
      <c r="C33" s="341"/>
      <c r="D33" s="342"/>
      <c r="E33" s="342"/>
      <c r="F33" s="342"/>
      <c r="G33" s="343"/>
      <c r="H33" s="344">
        <v>59</v>
      </c>
      <c r="I33" s="345"/>
      <c r="J33" s="346"/>
      <c r="K33" s="341"/>
      <c r="L33" s="342"/>
      <c r="M33" s="342"/>
      <c r="N33" s="342"/>
      <c r="O33" s="342"/>
      <c r="P33" s="343"/>
      <c r="Z33" s="237"/>
    </row>
    <row r="34" spans="1:26" ht="19.5" customHeight="1" x14ac:dyDescent="0.25">
      <c r="A34" s="238"/>
      <c r="B34" s="240">
        <v>10</v>
      </c>
      <c r="C34" s="341"/>
      <c r="D34" s="342"/>
      <c r="E34" s="342"/>
      <c r="F34" s="342"/>
      <c r="G34" s="343"/>
      <c r="H34" s="344">
        <v>57</v>
      </c>
      <c r="I34" s="345"/>
      <c r="J34" s="346"/>
      <c r="K34" s="341"/>
      <c r="L34" s="342"/>
      <c r="M34" s="342"/>
      <c r="N34" s="342"/>
      <c r="O34" s="342"/>
      <c r="P34" s="343"/>
      <c r="Z34" s="237"/>
    </row>
    <row r="35" spans="1:26" ht="19.5" customHeight="1" x14ac:dyDescent="0.25">
      <c r="A35" s="238"/>
      <c r="B35" s="240">
        <v>11</v>
      </c>
      <c r="C35" s="341"/>
      <c r="D35" s="342"/>
      <c r="E35" s="342"/>
      <c r="F35" s="342"/>
      <c r="G35" s="343"/>
      <c r="H35" s="344">
        <v>52</v>
      </c>
      <c r="I35" s="345"/>
      <c r="J35" s="346"/>
      <c r="K35" s="341"/>
      <c r="L35" s="342"/>
      <c r="M35" s="342"/>
      <c r="N35" s="342"/>
      <c r="O35" s="342"/>
      <c r="P35" s="343"/>
      <c r="Z35" s="237"/>
    </row>
    <row r="36" spans="1:26" ht="19.5" customHeight="1" x14ac:dyDescent="0.25">
      <c r="A36" s="238"/>
      <c r="B36" s="240"/>
      <c r="C36" s="341"/>
      <c r="D36" s="342"/>
      <c r="E36" s="342"/>
      <c r="F36" s="342"/>
      <c r="G36" s="343"/>
      <c r="H36" s="344"/>
      <c r="I36" s="345"/>
      <c r="J36" s="346"/>
      <c r="K36" s="341"/>
      <c r="L36" s="342"/>
      <c r="M36" s="342"/>
      <c r="N36" s="342"/>
      <c r="O36" s="342"/>
      <c r="P36" s="343"/>
      <c r="Z36" s="237"/>
    </row>
    <row r="37" spans="1:26" ht="19.5" customHeight="1" x14ac:dyDescent="0.25">
      <c r="A37" s="238"/>
      <c r="B37" s="240"/>
      <c r="C37" s="341"/>
      <c r="D37" s="342"/>
      <c r="E37" s="342"/>
      <c r="F37" s="342"/>
      <c r="G37" s="343"/>
      <c r="H37" s="344"/>
      <c r="I37" s="345"/>
      <c r="J37" s="346"/>
      <c r="K37" s="341"/>
      <c r="L37" s="342"/>
      <c r="M37" s="342"/>
      <c r="N37" s="342"/>
      <c r="O37" s="342"/>
      <c r="P37" s="343"/>
      <c r="Z37" s="237"/>
    </row>
    <row r="38" spans="1:26" ht="19.5" customHeight="1" x14ac:dyDescent="0.25">
      <c r="A38" s="238"/>
      <c r="B38" s="240"/>
      <c r="C38" s="341"/>
      <c r="D38" s="342"/>
      <c r="E38" s="342"/>
      <c r="F38" s="342"/>
      <c r="G38" s="343"/>
      <c r="H38" s="344"/>
      <c r="I38" s="345"/>
      <c r="J38" s="346"/>
      <c r="K38" s="341"/>
      <c r="L38" s="342"/>
      <c r="M38" s="342"/>
      <c r="N38" s="342"/>
      <c r="O38" s="342"/>
      <c r="P38" s="343"/>
      <c r="Z38" s="237"/>
    </row>
    <row r="39" spans="1:26" ht="19.5" customHeight="1" x14ac:dyDescent="0.25">
      <c r="A39" s="238"/>
      <c r="B39" s="240"/>
      <c r="C39" s="341"/>
      <c r="D39" s="342"/>
      <c r="E39" s="342"/>
      <c r="F39" s="342"/>
      <c r="G39" s="343"/>
      <c r="H39" s="344"/>
      <c r="I39" s="345"/>
      <c r="J39" s="346"/>
      <c r="K39" s="341"/>
      <c r="L39" s="342"/>
      <c r="M39" s="342"/>
      <c r="N39" s="342"/>
      <c r="O39" s="342"/>
      <c r="P39" s="343"/>
      <c r="Z39" s="237"/>
    </row>
    <row r="40" spans="1:26" ht="19.5" customHeight="1" x14ac:dyDescent="0.25">
      <c r="A40" s="238"/>
      <c r="B40" s="240"/>
      <c r="C40" s="341"/>
      <c r="D40" s="342"/>
      <c r="E40" s="342"/>
      <c r="F40" s="342"/>
      <c r="G40" s="343"/>
      <c r="H40" s="344"/>
      <c r="I40" s="345"/>
      <c r="J40" s="346"/>
      <c r="K40" s="341"/>
      <c r="L40" s="342"/>
      <c r="M40" s="342"/>
      <c r="N40" s="342"/>
      <c r="O40" s="342"/>
      <c r="P40" s="343"/>
      <c r="Z40" s="237"/>
    </row>
    <row r="41" spans="1:26" ht="19.5" customHeight="1" x14ac:dyDescent="0.25">
      <c r="A41" s="238"/>
      <c r="B41" s="240"/>
      <c r="C41" s="341"/>
      <c r="D41" s="342"/>
      <c r="E41" s="342"/>
      <c r="F41" s="342"/>
      <c r="G41" s="343"/>
      <c r="H41" s="344"/>
      <c r="I41" s="345"/>
      <c r="J41" s="346"/>
      <c r="K41" s="341"/>
      <c r="L41" s="342"/>
      <c r="M41" s="342"/>
      <c r="N41" s="342"/>
      <c r="O41" s="342"/>
      <c r="P41" s="343"/>
      <c r="Z41" s="237"/>
    </row>
    <row r="42" spans="1:26" ht="19.5" customHeight="1" x14ac:dyDescent="0.25">
      <c r="A42" s="238"/>
      <c r="B42" s="240"/>
      <c r="C42" s="341"/>
      <c r="D42" s="342"/>
      <c r="E42" s="342"/>
      <c r="F42" s="342"/>
      <c r="G42" s="343"/>
      <c r="H42" s="344"/>
      <c r="I42" s="345"/>
      <c r="J42" s="346"/>
      <c r="K42" s="341"/>
      <c r="L42" s="342"/>
      <c r="M42" s="342"/>
      <c r="N42" s="342"/>
      <c r="O42" s="342"/>
      <c r="P42" s="343"/>
      <c r="Z42" s="237"/>
    </row>
    <row r="43" spans="1:26" ht="19.5" customHeight="1" x14ac:dyDescent="0.25">
      <c r="A43" s="238"/>
      <c r="B43" s="240"/>
      <c r="C43" s="341"/>
      <c r="D43" s="342"/>
      <c r="E43" s="342"/>
      <c r="F43" s="342"/>
      <c r="G43" s="343"/>
      <c r="H43" s="344"/>
      <c r="I43" s="345"/>
      <c r="J43" s="346"/>
      <c r="K43" s="341"/>
      <c r="L43" s="342"/>
      <c r="M43" s="342"/>
      <c r="N43" s="342"/>
      <c r="O43" s="342"/>
      <c r="P43" s="343"/>
      <c r="Z43" s="237"/>
    </row>
    <row r="44" spans="1:26" ht="19.5" customHeight="1" x14ac:dyDescent="0.25">
      <c r="A44" s="238"/>
      <c r="B44" s="240"/>
      <c r="C44" s="341"/>
      <c r="D44" s="342"/>
      <c r="E44" s="342"/>
      <c r="F44" s="342"/>
      <c r="G44" s="343"/>
      <c r="H44" s="344"/>
      <c r="I44" s="345"/>
      <c r="J44" s="346"/>
      <c r="K44" s="341"/>
      <c r="L44" s="342"/>
      <c r="M44" s="342"/>
      <c r="N44" s="342"/>
      <c r="O44" s="342"/>
      <c r="P44" s="343"/>
      <c r="Z44" s="237"/>
    </row>
    <row r="45" spans="1:26" ht="19.5" customHeight="1" thickBot="1" x14ac:dyDescent="0.3">
      <c r="A45" s="238"/>
      <c r="B45" s="239"/>
      <c r="C45" s="309"/>
      <c r="D45" s="309"/>
      <c r="E45" s="309"/>
      <c r="F45" s="309"/>
      <c r="G45" s="310"/>
      <c r="H45" s="311"/>
      <c r="I45" s="312"/>
      <c r="J45" s="313"/>
      <c r="K45" s="314"/>
      <c r="L45" s="309"/>
      <c r="M45" s="309"/>
      <c r="N45" s="309"/>
      <c r="O45" s="309"/>
      <c r="P45" s="310"/>
      <c r="Z45" s="237"/>
    </row>
    <row r="46" spans="1:26" ht="15.75" customHeight="1" x14ac:dyDescent="0.25">
      <c r="A46" s="238"/>
      <c r="B46" s="315" t="s">
        <v>39</v>
      </c>
      <c r="C46" s="316"/>
      <c r="D46" s="316"/>
      <c r="E46" s="316"/>
      <c r="F46" s="316"/>
      <c r="G46" s="317"/>
      <c r="H46" s="318">
        <f>AVERAGE(H25:J45)</f>
        <v>65</v>
      </c>
      <c r="I46" s="319"/>
      <c r="J46" s="320"/>
      <c r="K46" s="321" t="s">
        <v>86</v>
      </c>
      <c r="L46" s="322"/>
      <c r="M46" s="327" t="s">
        <v>41</v>
      </c>
      <c r="N46" s="327"/>
      <c r="O46" s="327"/>
      <c r="P46" s="328"/>
      <c r="Z46" s="237"/>
    </row>
    <row r="47" spans="1:26" ht="15.75" customHeight="1" x14ac:dyDescent="0.25">
      <c r="A47" s="238"/>
      <c r="B47" s="332" t="s">
        <v>42</v>
      </c>
      <c r="C47" s="333"/>
      <c r="D47" s="333"/>
      <c r="E47" s="333"/>
      <c r="F47" s="333"/>
      <c r="G47" s="334"/>
      <c r="H47" s="335">
        <f>IF(COUNTIF(H25:J45,"*&lt;20*"),"&lt;20",MIN(H25:J45))</f>
        <v>50</v>
      </c>
      <c r="I47" s="336"/>
      <c r="J47" s="337"/>
      <c r="K47" s="323"/>
      <c r="L47" s="324"/>
      <c r="M47" s="281"/>
      <c r="N47" s="281"/>
      <c r="O47" s="281"/>
      <c r="P47" s="329"/>
      <c r="Z47" s="237"/>
    </row>
    <row r="48" spans="1:26" ht="15.75" customHeight="1" thickBot="1" x14ac:dyDescent="0.3">
      <c r="A48" s="238"/>
      <c r="B48" s="338" t="s">
        <v>43</v>
      </c>
      <c r="C48" s="339"/>
      <c r="D48" s="339"/>
      <c r="E48" s="339"/>
      <c r="F48" s="339"/>
      <c r="G48" s="340"/>
      <c r="H48" s="282">
        <f>IF(COUNTIF(H25:J45,"*&gt;250*"),"&gt;250",MAX(H25:J45))</f>
        <v>91</v>
      </c>
      <c r="I48" s="283"/>
      <c r="J48" s="284"/>
      <c r="K48" s="325"/>
      <c r="L48" s="326"/>
      <c r="M48" s="330"/>
      <c r="N48" s="330"/>
      <c r="O48" s="330"/>
      <c r="P48" s="331"/>
      <c r="Z48" s="237"/>
    </row>
    <row r="49" spans="1:26" ht="15.9" customHeight="1" x14ac:dyDescent="0.25">
      <c r="A49" s="236"/>
      <c r="B49" s="235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3"/>
    </row>
    <row r="50" spans="1:26" ht="12.75" customHeight="1" x14ac:dyDescent="0.25">
      <c r="A50" s="232"/>
      <c r="B50" s="231"/>
    </row>
    <row r="51" spans="1:26" s="206" customFormat="1" ht="15.6" customHeight="1" x14ac:dyDescent="0.25">
      <c r="A51" s="230" t="s">
        <v>44</v>
      </c>
      <c r="B51" s="229" t="s">
        <v>45</v>
      </c>
      <c r="C51" s="228"/>
      <c r="D51" s="228"/>
      <c r="E51" s="228"/>
      <c r="F51" s="227"/>
      <c r="G51" s="227"/>
      <c r="H51" s="227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5"/>
      <c r="V51" s="224"/>
      <c r="W51" s="224"/>
      <c r="X51" s="223"/>
      <c r="Y51" s="223"/>
      <c r="Z51" s="222"/>
    </row>
    <row r="52" spans="1:26" s="206" customFormat="1" ht="28.5" customHeight="1" x14ac:dyDescent="0.25">
      <c r="A52" s="285" t="s">
        <v>46</v>
      </c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7"/>
      <c r="R52" s="275" t="s">
        <v>47</v>
      </c>
      <c r="S52" s="276"/>
      <c r="T52" s="277"/>
      <c r="U52" s="288" t="s">
        <v>48</v>
      </c>
      <c r="V52" s="289"/>
      <c r="W52" s="289"/>
      <c r="X52" s="290"/>
      <c r="Y52" s="290"/>
      <c r="Z52" s="291"/>
    </row>
    <row r="53" spans="1:26" s="206" customFormat="1" ht="15.6" customHeight="1" x14ac:dyDescent="0.25">
      <c r="A53" s="292" t="s">
        <v>64</v>
      </c>
      <c r="B53" s="293"/>
      <c r="C53" s="293"/>
      <c r="D53" s="293"/>
      <c r="E53" s="293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4"/>
      <c r="R53" s="275" t="s">
        <v>49</v>
      </c>
      <c r="S53" s="276"/>
      <c r="T53" s="277"/>
      <c r="U53" s="298" t="s">
        <v>50</v>
      </c>
      <c r="V53" s="299"/>
      <c r="W53" s="299"/>
      <c r="X53" s="300"/>
      <c r="Y53" s="300"/>
      <c r="Z53" s="301"/>
    </row>
    <row r="54" spans="1:26" s="206" customFormat="1" ht="15.6" customHeight="1" x14ac:dyDescent="0.25">
      <c r="A54" s="295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7"/>
      <c r="R54" s="275"/>
      <c r="S54" s="276"/>
      <c r="T54" s="277"/>
      <c r="U54" s="302"/>
      <c r="V54" s="281"/>
      <c r="W54" s="281"/>
      <c r="X54" s="303"/>
      <c r="Y54" s="303"/>
      <c r="Z54" s="304"/>
    </row>
    <row r="55" spans="1:26" s="206" customFormat="1" ht="15.6" customHeight="1" x14ac:dyDescent="0.25">
      <c r="A55" s="221" t="s">
        <v>51</v>
      </c>
      <c r="B55" s="220" t="s">
        <v>52</v>
      </c>
      <c r="C55" s="204"/>
      <c r="D55" s="204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8"/>
      <c r="R55" s="275"/>
      <c r="S55" s="276"/>
      <c r="T55" s="277"/>
      <c r="U55" s="305"/>
      <c r="V55" s="306"/>
      <c r="W55" s="306"/>
      <c r="X55" s="307"/>
      <c r="Y55" s="307"/>
      <c r="Z55" s="308"/>
    </row>
    <row r="56" spans="1:26" s="206" customFormat="1" ht="15.6" customHeight="1" x14ac:dyDescent="0.25">
      <c r="A56" s="269"/>
      <c r="B56" s="270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1"/>
      <c r="R56" s="275" t="s">
        <v>53</v>
      </c>
      <c r="S56" s="276"/>
      <c r="T56" s="277"/>
      <c r="U56" s="217"/>
      <c r="V56" s="216"/>
      <c r="W56" s="216"/>
      <c r="X56" s="216"/>
      <c r="Y56" s="216"/>
      <c r="Z56" s="215"/>
    </row>
    <row r="57" spans="1:26" s="206" customFormat="1" ht="15.6" customHeight="1" x14ac:dyDescent="0.25">
      <c r="A57" s="269"/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1"/>
      <c r="R57" s="275"/>
      <c r="S57" s="276"/>
      <c r="T57" s="277"/>
      <c r="U57" s="214"/>
      <c r="V57" s="281"/>
      <c r="W57" s="281"/>
      <c r="X57" s="281"/>
      <c r="Y57" s="281"/>
      <c r="Z57" s="213"/>
    </row>
    <row r="58" spans="1:26" s="206" customFormat="1" ht="15.6" customHeight="1" x14ac:dyDescent="0.25">
      <c r="A58" s="269"/>
      <c r="B58" s="270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1"/>
      <c r="R58" s="275"/>
      <c r="S58" s="276"/>
      <c r="T58" s="277"/>
      <c r="U58" s="214"/>
      <c r="V58" s="281"/>
      <c r="W58" s="281"/>
      <c r="X58" s="281"/>
      <c r="Y58" s="281"/>
      <c r="Z58" s="213"/>
    </row>
    <row r="59" spans="1:26" s="206" customFormat="1" ht="15.6" customHeight="1" x14ac:dyDescent="0.25">
      <c r="A59" s="272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4"/>
      <c r="R59" s="278"/>
      <c r="S59" s="279"/>
      <c r="T59" s="280"/>
      <c r="U59" s="212"/>
      <c r="V59" s="211"/>
      <c r="W59" s="211"/>
      <c r="X59" s="211"/>
      <c r="Y59" s="211"/>
      <c r="Z59" s="210"/>
    </row>
    <row r="60" spans="1:26" s="206" customFormat="1" ht="15" customHeight="1" x14ac:dyDescent="0.25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8"/>
      <c r="S60" s="208"/>
      <c r="T60" s="208"/>
      <c r="U60" s="207"/>
      <c r="V60" s="207"/>
      <c r="W60" s="207"/>
      <c r="X60" s="207"/>
      <c r="Y60" s="207"/>
      <c r="Z60" s="207"/>
    </row>
    <row r="62" spans="1:26" ht="12.75" customHeight="1" x14ac:dyDescent="0.25">
      <c r="A62" s="204"/>
    </row>
    <row r="63" spans="1:26" ht="12.75" customHeight="1" x14ac:dyDescent="0.25">
      <c r="A63" s="204"/>
    </row>
    <row r="64" spans="1:26" ht="12.75" customHeight="1" x14ac:dyDescent="0.25">
      <c r="A64" s="204"/>
    </row>
    <row r="65" spans="1:1" ht="12.75" customHeight="1" x14ac:dyDescent="0.25">
      <c r="A65" s="204"/>
    </row>
    <row r="66" spans="1:1" ht="12.75" customHeight="1" x14ac:dyDescent="0.25">
      <c r="A66" s="204"/>
    </row>
    <row r="67" spans="1:1" ht="12.75" customHeight="1" x14ac:dyDescent="0.25">
      <c r="A67" s="204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L6:O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45:G45"/>
    <mergeCell ref="H45:J45"/>
    <mergeCell ref="K45:P45"/>
    <mergeCell ref="B46:G46"/>
    <mergeCell ref="H46:J46"/>
    <mergeCell ref="K46:L48"/>
    <mergeCell ref="M46:P48"/>
    <mergeCell ref="B47:G47"/>
    <mergeCell ref="H47:J47"/>
    <mergeCell ref="B48:G48"/>
    <mergeCell ref="A56:Q59"/>
    <mergeCell ref="R56:T59"/>
    <mergeCell ref="V57:Y58"/>
    <mergeCell ref="H48:J48"/>
    <mergeCell ref="A52:Q52"/>
    <mergeCell ref="R52:T52"/>
    <mergeCell ref="U52:Z52"/>
    <mergeCell ref="A53:Q54"/>
    <mergeCell ref="R53:T55"/>
    <mergeCell ref="U53:Z5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8ACB-D7ED-4EAB-AD04-8158615B6C89}">
  <sheetPr>
    <pageSetUpPr fitToPage="1"/>
  </sheetPr>
  <dimension ref="A1:AA67"/>
  <sheetViews>
    <sheetView workbookViewId="0">
      <selection activeCell="S44" sqref="S44"/>
    </sheetView>
  </sheetViews>
  <sheetFormatPr baseColWidth="10" defaultColWidth="11.44140625" defaultRowHeight="12.75" customHeight="1" x14ac:dyDescent="0.25"/>
  <cols>
    <col min="1" max="1" width="5.109375" style="205" customWidth="1"/>
    <col min="2" max="26" width="5.109375" style="204" customWidth="1"/>
    <col min="27" max="27" width="11.44140625" style="204"/>
  </cols>
  <sheetData>
    <row r="1" spans="1:26" ht="12.75" customHeight="1" x14ac:dyDescent="0.25">
      <c r="A1" s="370"/>
      <c r="B1" s="371"/>
      <c r="C1" s="371"/>
      <c r="D1" s="371"/>
      <c r="E1" s="371"/>
      <c r="F1" s="372"/>
      <c r="G1" s="379" t="s">
        <v>0</v>
      </c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1"/>
      <c r="U1" s="382" t="s">
        <v>79</v>
      </c>
      <c r="V1" s="383"/>
      <c r="W1" s="383"/>
      <c r="X1" s="383"/>
      <c r="Y1" s="383"/>
      <c r="Z1" s="384"/>
    </row>
    <row r="2" spans="1:26" ht="12.75" customHeight="1" x14ac:dyDescent="0.25">
      <c r="A2" s="373"/>
      <c r="B2" s="374"/>
      <c r="C2" s="374"/>
      <c r="D2" s="374"/>
      <c r="E2" s="374"/>
      <c r="F2" s="375"/>
      <c r="G2" s="391" t="s">
        <v>2</v>
      </c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3"/>
      <c r="U2" s="385"/>
      <c r="V2" s="386"/>
      <c r="W2" s="386"/>
      <c r="X2" s="386"/>
      <c r="Y2" s="386"/>
      <c r="Z2" s="387"/>
    </row>
    <row r="3" spans="1:26" ht="12.75" customHeight="1" x14ac:dyDescent="0.25">
      <c r="A3" s="373"/>
      <c r="B3" s="374"/>
      <c r="C3" s="374"/>
      <c r="D3" s="374"/>
      <c r="E3" s="374"/>
      <c r="F3" s="375"/>
      <c r="G3" s="391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3"/>
      <c r="U3" s="385"/>
      <c r="V3" s="386"/>
      <c r="W3" s="386"/>
      <c r="X3" s="386"/>
      <c r="Y3" s="386"/>
      <c r="Z3" s="387"/>
    </row>
    <row r="4" spans="1:26" ht="12.75" customHeight="1" x14ac:dyDescent="0.25">
      <c r="A4" s="373"/>
      <c r="B4" s="374"/>
      <c r="C4" s="374"/>
      <c r="D4" s="374"/>
      <c r="E4" s="374"/>
      <c r="F4" s="375"/>
      <c r="G4" s="391"/>
      <c r="H4" s="392"/>
      <c r="I4" s="392"/>
      <c r="J4" s="392"/>
      <c r="K4" s="392"/>
      <c r="L4" s="392"/>
      <c r="M4" s="392"/>
      <c r="N4" s="392"/>
      <c r="O4" s="392"/>
      <c r="P4" s="392"/>
      <c r="Q4" s="392"/>
      <c r="R4" s="392"/>
      <c r="S4" s="392"/>
      <c r="T4" s="393"/>
      <c r="U4" s="385"/>
      <c r="V4" s="386"/>
      <c r="W4" s="386"/>
      <c r="X4" s="386"/>
      <c r="Y4" s="386"/>
      <c r="Z4" s="387"/>
    </row>
    <row r="5" spans="1:26" ht="12.75" customHeight="1" x14ac:dyDescent="0.25">
      <c r="A5" s="373"/>
      <c r="B5" s="374"/>
      <c r="C5" s="374"/>
      <c r="D5" s="374"/>
      <c r="E5" s="374"/>
      <c r="F5" s="375"/>
      <c r="G5" s="394" t="s">
        <v>3</v>
      </c>
      <c r="H5" s="395"/>
      <c r="I5" s="396">
        <v>8</v>
      </c>
      <c r="J5" s="396"/>
      <c r="K5" s="397"/>
      <c r="L5" s="398" t="s">
        <v>4</v>
      </c>
      <c r="M5" s="399"/>
      <c r="N5" s="399"/>
      <c r="O5" s="400"/>
      <c r="P5" s="401" t="s">
        <v>81</v>
      </c>
      <c r="Q5" s="402"/>
      <c r="R5" s="402"/>
      <c r="S5" s="402"/>
      <c r="T5" s="403"/>
      <c r="U5" s="385"/>
      <c r="V5" s="386"/>
      <c r="W5" s="386"/>
      <c r="X5" s="386"/>
      <c r="Y5" s="386"/>
      <c r="Z5" s="387"/>
    </row>
    <row r="6" spans="1:26" ht="12.75" customHeight="1" x14ac:dyDescent="0.25">
      <c r="A6" s="376"/>
      <c r="B6" s="377"/>
      <c r="C6" s="377"/>
      <c r="D6" s="377"/>
      <c r="E6" s="377"/>
      <c r="F6" s="378"/>
      <c r="G6" s="268"/>
      <c r="H6" s="234"/>
      <c r="I6" s="366" t="s">
        <v>6</v>
      </c>
      <c r="J6" s="366"/>
      <c r="K6" s="366"/>
      <c r="L6" s="366" t="s">
        <v>7</v>
      </c>
      <c r="M6" s="366"/>
      <c r="N6" s="366"/>
      <c r="O6" s="366"/>
      <c r="P6" s="366" t="s">
        <v>8</v>
      </c>
      <c r="Q6" s="366"/>
      <c r="R6" s="366"/>
      <c r="S6" s="366"/>
      <c r="T6" s="367"/>
      <c r="U6" s="388"/>
      <c r="V6" s="389"/>
      <c r="W6" s="389"/>
      <c r="X6" s="389"/>
      <c r="Y6" s="389"/>
      <c r="Z6" s="390"/>
    </row>
    <row r="7" spans="1:26" ht="36.6" customHeight="1" x14ac:dyDescent="0.25">
      <c r="A7" s="368" t="s">
        <v>9</v>
      </c>
      <c r="B7" s="368"/>
      <c r="C7" s="368"/>
      <c r="D7" s="368"/>
      <c r="E7" s="368"/>
      <c r="F7" s="368"/>
      <c r="G7" s="369" t="s">
        <v>10</v>
      </c>
      <c r="H7" s="369"/>
      <c r="I7" s="369"/>
      <c r="J7" s="369"/>
      <c r="K7" s="369"/>
      <c r="L7" s="369"/>
      <c r="M7" s="369"/>
      <c r="N7" s="369"/>
      <c r="O7" s="369"/>
      <c r="P7" s="369"/>
      <c r="Q7" s="369"/>
      <c r="R7" s="369"/>
      <c r="S7" s="369"/>
      <c r="T7" s="369"/>
      <c r="U7" s="369"/>
      <c r="V7" s="369"/>
      <c r="W7" s="369"/>
      <c r="X7" s="369"/>
      <c r="Y7" s="369"/>
      <c r="Z7" s="369"/>
    </row>
    <row r="8" spans="1:26" ht="15.9" customHeight="1" x14ac:dyDescent="0.25">
      <c r="A8" s="247" t="s">
        <v>11</v>
      </c>
      <c r="B8" s="229" t="s">
        <v>12</v>
      </c>
      <c r="C8" s="226"/>
      <c r="D8" s="267"/>
      <c r="E8" s="267"/>
      <c r="F8" s="267"/>
      <c r="G8" s="267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42"/>
    </row>
    <row r="9" spans="1:26" ht="8.25" customHeight="1" x14ac:dyDescent="0.25">
      <c r="A9" s="238"/>
      <c r="D9" s="205"/>
      <c r="E9" s="205"/>
      <c r="F9" s="205"/>
      <c r="G9" s="205"/>
      <c r="Z9" s="237"/>
    </row>
    <row r="10" spans="1:26" ht="15.9" customHeight="1" x14ac:dyDescent="0.25">
      <c r="A10" s="238"/>
      <c r="B10" s="363" t="s">
        <v>13</v>
      </c>
      <c r="C10" s="363"/>
      <c r="D10" s="363"/>
      <c r="E10" s="363"/>
      <c r="F10" s="363"/>
      <c r="G10" s="363"/>
      <c r="H10" s="364" t="s">
        <v>14</v>
      </c>
      <c r="I10" s="364"/>
      <c r="J10" s="364"/>
      <c r="K10" s="364"/>
      <c r="L10" s="364"/>
      <c r="M10" s="364"/>
      <c r="N10" s="363" t="s">
        <v>15</v>
      </c>
      <c r="O10" s="363"/>
      <c r="P10" s="363"/>
      <c r="Q10" s="363"/>
      <c r="R10" s="363"/>
      <c r="S10" s="365"/>
      <c r="T10" s="365"/>
      <c r="U10" s="365"/>
      <c r="V10" s="365"/>
      <c r="W10" s="365"/>
      <c r="X10" s="365"/>
      <c r="Y10" s="365"/>
      <c r="Z10" s="266"/>
    </row>
    <row r="11" spans="1:26" ht="15.9" customHeight="1" x14ac:dyDescent="0.25">
      <c r="A11" s="238"/>
      <c r="B11" s="363" t="s">
        <v>17</v>
      </c>
      <c r="C11" s="363"/>
      <c r="D11" s="363"/>
      <c r="E11" s="363"/>
      <c r="F11" s="363"/>
      <c r="G11" s="363"/>
      <c r="H11" s="364" t="s">
        <v>81</v>
      </c>
      <c r="I11" s="364"/>
      <c r="J11" s="364"/>
      <c r="K11" s="364"/>
      <c r="L11" s="364"/>
      <c r="M11" s="364"/>
      <c r="N11" s="363" t="s">
        <v>18</v>
      </c>
      <c r="O11" s="363"/>
      <c r="P11" s="363"/>
      <c r="Q11" s="363"/>
      <c r="R11" s="363"/>
      <c r="S11" s="365" t="s">
        <v>59</v>
      </c>
      <c r="T11" s="365"/>
      <c r="U11" s="365"/>
      <c r="V11" s="365"/>
      <c r="W11" s="365"/>
      <c r="X11" s="365"/>
      <c r="Y11" s="365"/>
      <c r="Z11" s="266"/>
    </row>
    <row r="12" spans="1:26" ht="15.9" customHeight="1" x14ac:dyDescent="0.25">
      <c r="A12" s="238"/>
      <c r="B12" s="363" t="s">
        <v>20</v>
      </c>
      <c r="C12" s="363"/>
      <c r="D12" s="363"/>
      <c r="E12" s="363"/>
      <c r="F12" s="363"/>
      <c r="G12" s="363"/>
      <c r="H12" s="364" t="s">
        <v>21</v>
      </c>
      <c r="I12" s="364"/>
      <c r="J12" s="364"/>
      <c r="K12" s="364"/>
      <c r="L12" s="364"/>
      <c r="M12" s="364"/>
      <c r="N12" s="363" t="s">
        <v>22</v>
      </c>
      <c r="O12" s="363"/>
      <c r="P12" s="363"/>
      <c r="Q12" s="363"/>
      <c r="R12" s="363"/>
      <c r="S12" s="365" t="s">
        <v>23</v>
      </c>
      <c r="T12" s="365"/>
      <c r="U12" s="365"/>
      <c r="V12" s="365"/>
      <c r="W12" s="365"/>
      <c r="X12" s="365"/>
      <c r="Y12" s="365"/>
      <c r="Z12" s="266"/>
    </row>
    <row r="13" spans="1:26" ht="8.25" customHeight="1" x14ac:dyDescent="0.25">
      <c r="A13" s="265"/>
      <c r="B13" s="234"/>
      <c r="C13" s="234"/>
      <c r="D13" s="264"/>
      <c r="E13" s="264"/>
      <c r="F13" s="264"/>
      <c r="G13" s="264"/>
      <c r="H13" s="234"/>
      <c r="I13" s="234"/>
      <c r="J13" s="234"/>
      <c r="K13" s="234"/>
      <c r="L13" s="234"/>
      <c r="M13" s="234"/>
      <c r="N13" s="263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3"/>
    </row>
    <row r="14" spans="1:26" s="206" customFormat="1" ht="15" customHeight="1" x14ac:dyDescent="0.25">
      <c r="B14" s="261"/>
      <c r="C14" s="261"/>
      <c r="K14" s="262"/>
      <c r="L14" s="261"/>
      <c r="M14" s="260"/>
    </row>
    <row r="15" spans="1:26" s="206" customFormat="1" ht="15.6" customHeight="1" x14ac:dyDescent="0.25">
      <c r="A15" s="247" t="s">
        <v>24</v>
      </c>
      <c r="B15" s="259" t="s">
        <v>25</v>
      </c>
      <c r="C15" s="258"/>
      <c r="D15" s="258"/>
      <c r="E15" s="258"/>
      <c r="F15" s="258"/>
      <c r="G15" s="258"/>
      <c r="H15" s="258"/>
      <c r="I15" s="258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Z15" s="257"/>
    </row>
    <row r="16" spans="1:26" s="206" customFormat="1" ht="15" customHeight="1" x14ac:dyDescent="0.25">
      <c r="A16" s="254"/>
      <c r="B16" s="256"/>
      <c r="Z16" s="255"/>
    </row>
    <row r="17" spans="1:26" s="206" customFormat="1" ht="15" customHeight="1" x14ac:dyDescent="0.25">
      <c r="A17" s="254"/>
      <c r="B17" s="347" t="s">
        <v>26</v>
      </c>
      <c r="C17" s="347"/>
      <c r="D17" s="347"/>
      <c r="E17" s="347"/>
      <c r="F17" s="347"/>
      <c r="G17" s="347"/>
      <c r="H17" s="347"/>
      <c r="I17" s="348"/>
      <c r="J17" s="348"/>
      <c r="K17" s="348"/>
      <c r="L17" s="348"/>
      <c r="M17" s="348"/>
      <c r="N17" s="348"/>
      <c r="O17" s="348"/>
      <c r="P17" s="348"/>
      <c r="Q17" s="348"/>
      <c r="R17" s="348"/>
      <c r="S17" s="348"/>
      <c r="T17" s="348"/>
      <c r="U17" s="348"/>
      <c r="V17" s="348"/>
      <c r="W17" s="348"/>
      <c r="X17" s="348"/>
      <c r="Y17" s="348"/>
      <c r="Z17" s="252"/>
    </row>
    <row r="18" spans="1:26" s="206" customFormat="1" ht="15" customHeight="1" x14ac:dyDescent="0.25">
      <c r="A18" s="254"/>
      <c r="B18" s="347" t="s">
        <v>27</v>
      </c>
      <c r="C18" s="347"/>
      <c r="D18" s="347"/>
      <c r="E18" s="347"/>
      <c r="F18" s="347"/>
      <c r="G18" s="347"/>
      <c r="H18" s="347"/>
      <c r="I18" s="349" t="s">
        <v>28</v>
      </c>
      <c r="J18" s="349"/>
      <c r="K18" s="253">
        <v>50</v>
      </c>
      <c r="L18" s="253" t="s">
        <v>29</v>
      </c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2"/>
    </row>
    <row r="19" spans="1:26" s="206" customFormat="1" ht="13.2" customHeight="1" x14ac:dyDescent="0.25">
      <c r="A19" s="251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49"/>
    </row>
    <row r="20" spans="1:26" ht="12.75" customHeight="1" x14ac:dyDescent="0.25">
      <c r="D20" s="205"/>
      <c r="E20" s="205"/>
      <c r="F20" s="205"/>
      <c r="G20" s="205"/>
      <c r="N20" s="248"/>
    </row>
    <row r="21" spans="1:26" ht="15.9" customHeight="1" x14ac:dyDescent="0.25">
      <c r="A21" s="247" t="s">
        <v>30</v>
      </c>
      <c r="B21" s="246" t="s">
        <v>31</v>
      </c>
      <c r="C21" s="244"/>
      <c r="D21" s="245"/>
      <c r="E21" s="245"/>
      <c r="F21" s="245"/>
      <c r="G21" s="245"/>
      <c r="H21" s="244"/>
      <c r="I21" s="244"/>
      <c r="J21" s="350" t="s">
        <v>32</v>
      </c>
      <c r="K21" s="350"/>
      <c r="L21" s="350"/>
      <c r="M21" s="350"/>
      <c r="N21" s="350"/>
      <c r="O21" s="350"/>
      <c r="P21" s="350"/>
      <c r="Q21" s="243">
        <v>600</v>
      </c>
      <c r="R21" s="226"/>
      <c r="S21" s="226"/>
      <c r="T21" s="226"/>
      <c r="U21" s="226"/>
      <c r="V21" s="226"/>
      <c r="W21" s="226"/>
      <c r="X21" s="226"/>
      <c r="Y21" s="226"/>
      <c r="Z21" s="242"/>
    </row>
    <row r="22" spans="1:26" ht="12.75" customHeight="1" x14ac:dyDescent="0.25">
      <c r="A22" s="238"/>
      <c r="B22" s="241"/>
      <c r="Z22" s="237"/>
    </row>
    <row r="23" spans="1:26" ht="15.75" customHeight="1" x14ac:dyDescent="0.25">
      <c r="A23" s="238"/>
      <c r="B23" s="351" t="s">
        <v>33</v>
      </c>
      <c r="C23" s="353" t="s">
        <v>34</v>
      </c>
      <c r="D23" s="353"/>
      <c r="E23" s="353"/>
      <c r="F23" s="353"/>
      <c r="G23" s="354"/>
      <c r="H23" s="357" t="s">
        <v>35</v>
      </c>
      <c r="I23" s="358"/>
      <c r="J23" s="359"/>
      <c r="K23" s="353" t="s">
        <v>36</v>
      </c>
      <c r="L23" s="353"/>
      <c r="M23" s="353"/>
      <c r="N23" s="353"/>
      <c r="O23" s="353"/>
      <c r="P23" s="354"/>
      <c r="Z23" s="237"/>
    </row>
    <row r="24" spans="1:26" ht="15.75" customHeight="1" x14ac:dyDescent="0.25">
      <c r="A24" s="238"/>
      <c r="B24" s="352"/>
      <c r="C24" s="355"/>
      <c r="D24" s="355"/>
      <c r="E24" s="355"/>
      <c r="F24" s="355"/>
      <c r="G24" s="356"/>
      <c r="H24" s="360" t="s">
        <v>37</v>
      </c>
      <c r="I24" s="361"/>
      <c r="J24" s="362"/>
      <c r="K24" s="355"/>
      <c r="L24" s="355"/>
      <c r="M24" s="355"/>
      <c r="N24" s="355"/>
      <c r="O24" s="355"/>
      <c r="P24" s="356"/>
      <c r="Z24" s="237"/>
    </row>
    <row r="25" spans="1:26" ht="19.5" customHeight="1" x14ac:dyDescent="0.25">
      <c r="A25" s="238"/>
      <c r="B25" s="240">
        <v>1</v>
      </c>
      <c r="C25" s="341"/>
      <c r="D25" s="342"/>
      <c r="E25" s="342"/>
      <c r="F25" s="342"/>
      <c r="G25" s="343"/>
      <c r="H25" s="344">
        <v>97</v>
      </c>
      <c r="I25" s="345"/>
      <c r="J25" s="346"/>
      <c r="K25" s="341"/>
      <c r="L25" s="342"/>
      <c r="M25" s="342"/>
      <c r="N25" s="342"/>
      <c r="O25" s="342"/>
      <c r="P25" s="343"/>
      <c r="Z25" s="237"/>
    </row>
    <row r="26" spans="1:26" ht="19.5" customHeight="1" x14ac:dyDescent="0.25">
      <c r="A26" s="238"/>
      <c r="B26" s="240">
        <v>2</v>
      </c>
      <c r="C26" s="341"/>
      <c r="D26" s="342"/>
      <c r="E26" s="342"/>
      <c r="F26" s="342"/>
      <c r="G26" s="343"/>
      <c r="H26" s="344">
        <v>114</v>
      </c>
      <c r="I26" s="345"/>
      <c r="J26" s="346"/>
      <c r="K26" s="341"/>
      <c r="L26" s="342"/>
      <c r="M26" s="342"/>
      <c r="N26" s="342"/>
      <c r="O26" s="342"/>
      <c r="P26" s="343"/>
      <c r="Z26" s="237"/>
    </row>
    <row r="27" spans="1:26" ht="19.5" customHeight="1" x14ac:dyDescent="0.25">
      <c r="A27" s="238"/>
      <c r="B27" s="240">
        <v>3</v>
      </c>
      <c r="C27" s="341"/>
      <c r="D27" s="342"/>
      <c r="E27" s="342"/>
      <c r="F27" s="342"/>
      <c r="G27" s="343"/>
      <c r="H27" s="344">
        <v>68</v>
      </c>
      <c r="I27" s="345"/>
      <c r="J27" s="346"/>
      <c r="K27" s="341"/>
      <c r="L27" s="342"/>
      <c r="M27" s="342"/>
      <c r="N27" s="342"/>
      <c r="O27" s="342"/>
      <c r="P27" s="343"/>
      <c r="Z27" s="237"/>
    </row>
    <row r="28" spans="1:26" ht="19.5" customHeight="1" x14ac:dyDescent="0.25">
      <c r="A28" s="238"/>
      <c r="B28" s="240">
        <v>4</v>
      </c>
      <c r="C28" s="341"/>
      <c r="D28" s="342"/>
      <c r="E28" s="342"/>
      <c r="F28" s="342"/>
      <c r="G28" s="343"/>
      <c r="H28" s="344" t="s">
        <v>38</v>
      </c>
      <c r="I28" s="345"/>
      <c r="J28" s="346"/>
      <c r="K28" s="404" t="s">
        <v>82</v>
      </c>
      <c r="L28" s="405"/>
      <c r="M28" s="405"/>
      <c r="N28" s="405"/>
      <c r="O28" s="405"/>
      <c r="P28" s="406"/>
      <c r="Z28" s="237"/>
    </row>
    <row r="29" spans="1:26" ht="19.5" customHeight="1" x14ac:dyDescent="0.25">
      <c r="A29" s="238"/>
      <c r="B29" s="240">
        <v>5</v>
      </c>
      <c r="C29" s="341"/>
      <c r="D29" s="342"/>
      <c r="E29" s="342"/>
      <c r="F29" s="342"/>
      <c r="G29" s="343"/>
      <c r="H29" s="344">
        <v>56</v>
      </c>
      <c r="I29" s="345"/>
      <c r="J29" s="346"/>
      <c r="K29" s="341"/>
      <c r="L29" s="342"/>
      <c r="M29" s="342"/>
      <c r="N29" s="342"/>
      <c r="O29" s="342"/>
      <c r="P29" s="343"/>
      <c r="Z29" s="237"/>
    </row>
    <row r="30" spans="1:26" ht="19.5" customHeight="1" x14ac:dyDescent="0.25">
      <c r="A30" s="238"/>
      <c r="B30" s="240">
        <v>6</v>
      </c>
      <c r="C30" s="341"/>
      <c r="D30" s="342"/>
      <c r="E30" s="342"/>
      <c r="F30" s="342"/>
      <c r="G30" s="343"/>
      <c r="H30" s="344">
        <v>55</v>
      </c>
      <c r="I30" s="345"/>
      <c r="J30" s="346"/>
      <c r="K30" s="341"/>
      <c r="L30" s="342"/>
      <c r="M30" s="342"/>
      <c r="N30" s="342"/>
      <c r="O30" s="342"/>
      <c r="P30" s="343"/>
      <c r="Z30" s="237"/>
    </row>
    <row r="31" spans="1:26" ht="19.5" customHeight="1" x14ac:dyDescent="0.25">
      <c r="A31" s="238"/>
      <c r="B31" s="240">
        <v>7</v>
      </c>
      <c r="C31" s="341"/>
      <c r="D31" s="342"/>
      <c r="E31" s="342"/>
      <c r="F31" s="342"/>
      <c r="G31" s="343"/>
      <c r="H31" s="344">
        <v>55</v>
      </c>
      <c r="I31" s="345"/>
      <c r="J31" s="346"/>
      <c r="K31" s="341"/>
      <c r="L31" s="342"/>
      <c r="M31" s="342"/>
      <c r="N31" s="342"/>
      <c r="O31" s="342"/>
      <c r="P31" s="343"/>
      <c r="Z31" s="237"/>
    </row>
    <row r="32" spans="1:26" ht="19.5" customHeight="1" x14ac:dyDescent="0.25">
      <c r="A32" s="238"/>
      <c r="B32" s="240">
        <v>8</v>
      </c>
      <c r="C32" s="341"/>
      <c r="D32" s="342"/>
      <c r="E32" s="342"/>
      <c r="F32" s="342"/>
      <c r="G32" s="343"/>
      <c r="H32" s="344">
        <v>60</v>
      </c>
      <c r="I32" s="345"/>
      <c r="J32" s="346"/>
      <c r="K32" s="341"/>
      <c r="L32" s="342"/>
      <c r="M32" s="342"/>
      <c r="N32" s="342"/>
      <c r="O32" s="342"/>
      <c r="P32" s="343"/>
      <c r="Z32" s="237"/>
    </row>
    <row r="33" spans="1:26" ht="19.5" customHeight="1" x14ac:dyDescent="0.25">
      <c r="A33" s="238"/>
      <c r="B33" s="240">
        <v>9</v>
      </c>
      <c r="C33" s="341"/>
      <c r="D33" s="342"/>
      <c r="E33" s="342"/>
      <c r="F33" s="342"/>
      <c r="G33" s="343"/>
      <c r="H33" s="344">
        <v>55</v>
      </c>
      <c r="I33" s="345"/>
      <c r="J33" s="346"/>
      <c r="K33" s="341"/>
      <c r="L33" s="342"/>
      <c r="M33" s="342"/>
      <c r="N33" s="342"/>
      <c r="O33" s="342"/>
      <c r="P33" s="343"/>
      <c r="Z33" s="237"/>
    </row>
    <row r="34" spans="1:26" ht="19.5" customHeight="1" x14ac:dyDescent="0.25">
      <c r="A34" s="238"/>
      <c r="B34" s="240">
        <v>10</v>
      </c>
      <c r="C34" s="341"/>
      <c r="D34" s="342"/>
      <c r="E34" s="342"/>
      <c r="F34" s="342"/>
      <c r="G34" s="343"/>
      <c r="H34" s="344">
        <v>54</v>
      </c>
      <c r="I34" s="345"/>
      <c r="J34" s="346"/>
      <c r="K34" s="341"/>
      <c r="L34" s="342"/>
      <c r="M34" s="342"/>
      <c r="N34" s="342"/>
      <c r="O34" s="342"/>
      <c r="P34" s="343"/>
      <c r="Z34" s="237"/>
    </row>
    <row r="35" spans="1:26" ht="19.5" customHeight="1" x14ac:dyDescent="0.25">
      <c r="A35" s="238"/>
      <c r="B35" s="240">
        <v>11</v>
      </c>
      <c r="C35" s="341"/>
      <c r="D35" s="342"/>
      <c r="E35" s="342"/>
      <c r="F35" s="342"/>
      <c r="G35" s="343"/>
      <c r="H35" s="344">
        <v>57</v>
      </c>
      <c r="I35" s="345"/>
      <c r="J35" s="346"/>
      <c r="K35" s="341"/>
      <c r="L35" s="342"/>
      <c r="M35" s="342"/>
      <c r="N35" s="342"/>
      <c r="O35" s="342"/>
      <c r="P35" s="343"/>
      <c r="Z35" s="237"/>
    </row>
    <row r="36" spans="1:26" ht="19.5" customHeight="1" x14ac:dyDescent="0.25">
      <c r="A36" s="238"/>
      <c r="B36" s="240"/>
      <c r="C36" s="341"/>
      <c r="D36" s="342"/>
      <c r="E36" s="342"/>
      <c r="F36" s="342"/>
      <c r="G36" s="343"/>
      <c r="H36" s="344"/>
      <c r="I36" s="345"/>
      <c r="J36" s="346"/>
      <c r="K36" s="341"/>
      <c r="L36" s="342"/>
      <c r="M36" s="342"/>
      <c r="N36" s="342"/>
      <c r="O36" s="342"/>
      <c r="P36" s="343"/>
      <c r="Z36" s="237"/>
    </row>
    <row r="37" spans="1:26" ht="19.5" customHeight="1" x14ac:dyDescent="0.25">
      <c r="A37" s="238"/>
      <c r="B37" s="240"/>
      <c r="C37" s="341"/>
      <c r="D37" s="342"/>
      <c r="E37" s="342"/>
      <c r="F37" s="342"/>
      <c r="G37" s="343"/>
      <c r="H37" s="344"/>
      <c r="I37" s="345"/>
      <c r="J37" s="346"/>
      <c r="K37" s="341"/>
      <c r="L37" s="342"/>
      <c r="M37" s="342"/>
      <c r="N37" s="342"/>
      <c r="O37" s="342"/>
      <c r="P37" s="343"/>
      <c r="Z37" s="237"/>
    </row>
    <row r="38" spans="1:26" ht="19.5" customHeight="1" x14ac:dyDescent="0.25">
      <c r="A38" s="238"/>
      <c r="B38" s="240"/>
      <c r="C38" s="341"/>
      <c r="D38" s="342"/>
      <c r="E38" s="342"/>
      <c r="F38" s="342"/>
      <c r="G38" s="343"/>
      <c r="H38" s="344"/>
      <c r="I38" s="345"/>
      <c r="J38" s="346"/>
      <c r="K38" s="341"/>
      <c r="L38" s="342"/>
      <c r="M38" s="342"/>
      <c r="N38" s="342"/>
      <c r="O38" s="342"/>
      <c r="P38" s="343"/>
      <c r="Z38" s="237"/>
    </row>
    <row r="39" spans="1:26" ht="19.5" customHeight="1" x14ac:dyDescent="0.25">
      <c r="A39" s="238"/>
      <c r="B39" s="240"/>
      <c r="C39" s="341"/>
      <c r="D39" s="342"/>
      <c r="E39" s="342"/>
      <c r="F39" s="342"/>
      <c r="G39" s="343"/>
      <c r="H39" s="344"/>
      <c r="I39" s="345"/>
      <c r="J39" s="346"/>
      <c r="K39" s="341"/>
      <c r="L39" s="342"/>
      <c r="M39" s="342"/>
      <c r="N39" s="342"/>
      <c r="O39" s="342"/>
      <c r="P39" s="343"/>
      <c r="Z39" s="237"/>
    </row>
    <row r="40" spans="1:26" ht="19.5" customHeight="1" x14ac:dyDescent="0.25">
      <c r="A40" s="238"/>
      <c r="B40" s="240"/>
      <c r="C40" s="341"/>
      <c r="D40" s="342"/>
      <c r="E40" s="342"/>
      <c r="F40" s="342"/>
      <c r="G40" s="343"/>
      <c r="H40" s="344"/>
      <c r="I40" s="345"/>
      <c r="J40" s="346"/>
      <c r="K40" s="341"/>
      <c r="L40" s="342"/>
      <c r="M40" s="342"/>
      <c r="N40" s="342"/>
      <c r="O40" s="342"/>
      <c r="P40" s="343"/>
      <c r="Z40" s="237"/>
    </row>
    <row r="41" spans="1:26" ht="19.5" customHeight="1" x14ac:dyDescent="0.25">
      <c r="A41" s="238"/>
      <c r="B41" s="240"/>
      <c r="C41" s="341"/>
      <c r="D41" s="342"/>
      <c r="E41" s="342"/>
      <c r="F41" s="342"/>
      <c r="G41" s="343"/>
      <c r="H41" s="344"/>
      <c r="I41" s="345"/>
      <c r="J41" s="346"/>
      <c r="K41" s="341"/>
      <c r="L41" s="342"/>
      <c r="M41" s="342"/>
      <c r="N41" s="342"/>
      <c r="O41" s="342"/>
      <c r="P41" s="343"/>
      <c r="Z41" s="237"/>
    </row>
    <row r="42" spans="1:26" ht="19.5" customHeight="1" x14ac:dyDescent="0.25">
      <c r="A42" s="238"/>
      <c r="B42" s="240"/>
      <c r="C42" s="341"/>
      <c r="D42" s="342"/>
      <c r="E42" s="342"/>
      <c r="F42" s="342"/>
      <c r="G42" s="343"/>
      <c r="H42" s="344"/>
      <c r="I42" s="345"/>
      <c r="J42" s="346"/>
      <c r="K42" s="341"/>
      <c r="L42" s="342"/>
      <c r="M42" s="342"/>
      <c r="N42" s="342"/>
      <c r="O42" s="342"/>
      <c r="P42" s="343"/>
      <c r="Z42" s="237"/>
    </row>
    <row r="43" spans="1:26" ht="19.5" customHeight="1" x14ac:dyDescent="0.25">
      <c r="A43" s="238"/>
      <c r="B43" s="240"/>
      <c r="C43" s="341"/>
      <c r="D43" s="342"/>
      <c r="E43" s="342"/>
      <c r="F43" s="342"/>
      <c r="G43" s="343"/>
      <c r="H43" s="344"/>
      <c r="I43" s="345"/>
      <c r="J43" s="346"/>
      <c r="K43" s="341"/>
      <c r="L43" s="342"/>
      <c r="M43" s="342"/>
      <c r="N43" s="342"/>
      <c r="O43" s="342"/>
      <c r="P43" s="343"/>
      <c r="Z43" s="237"/>
    </row>
    <row r="44" spans="1:26" ht="19.5" customHeight="1" x14ac:dyDescent="0.25">
      <c r="A44" s="238"/>
      <c r="B44" s="240"/>
      <c r="C44" s="341"/>
      <c r="D44" s="342"/>
      <c r="E44" s="342"/>
      <c r="F44" s="342"/>
      <c r="G44" s="343"/>
      <c r="H44" s="344"/>
      <c r="I44" s="345"/>
      <c r="J44" s="346"/>
      <c r="K44" s="341"/>
      <c r="L44" s="342"/>
      <c r="M44" s="342"/>
      <c r="N44" s="342"/>
      <c r="O44" s="342"/>
      <c r="P44" s="343"/>
      <c r="Z44" s="237"/>
    </row>
    <row r="45" spans="1:26" ht="19.5" customHeight="1" thickBot="1" x14ac:dyDescent="0.3">
      <c r="A45" s="238"/>
      <c r="B45" s="239"/>
      <c r="C45" s="309"/>
      <c r="D45" s="309"/>
      <c r="E45" s="309"/>
      <c r="F45" s="309"/>
      <c r="G45" s="310"/>
      <c r="H45" s="311"/>
      <c r="I45" s="312"/>
      <c r="J45" s="313"/>
      <c r="K45" s="314"/>
      <c r="L45" s="309"/>
      <c r="M45" s="309"/>
      <c r="N45" s="309"/>
      <c r="O45" s="309"/>
      <c r="P45" s="310"/>
      <c r="Z45" s="237"/>
    </row>
    <row r="46" spans="1:26" ht="15.75" customHeight="1" x14ac:dyDescent="0.25">
      <c r="A46" s="238"/>
      <c r="B46" s="315" t="s">
        <v>39</v>
      </c>
      <c r="C46" s="316"/>
      <c r="D46" s="316"/>
      <c r="E46" s="316"/>
      <c r="F46" s="316"/>
      <c r="G46" s="317"/>
      <c r="H46" s="318">
        <f>AVERAGE(H25:J45)</f>
        <v>67.099999999999994</v>
      </c>
      <c r="I46" s="319"/>
      <c r="J46" s="320"/>
      <c r="K46" s="321" t="s">
        <v>80</v>
      </c>
      <c r="L46" s="322"/>
      <c r="M46" s="327" t="s">
        <v>41</v>
      </c>
      <c r="N46" s="327"/>
      <c r="O46" s="327"/>
      <c r="P46" s="328"/>
      <c r="Z46" s="237"/>
    </row>
    <row r="47" spans="1:26" ht="15.75" customHeight="1" x14ac:dyDescent="0.25">
      <c r="A47" s="238"/>
      <c r="B47" s="332" t="s">
        <v>42</v>
      </c>
      <c r="C47" s="333"/>
      <c r="D47" s="333"/>
      <c r="E47" s="333"/>
      <c r="F47" s="333"/>
      <c r="G47" s="334"/>
      <c r="H47" s="335" t="str">
        <f>IF(COUNTIF(H25:J45,"*&lt;20*"),"&lt;20",MIN(H25:J45))</f>
        <v>&lt;20</v>
      </c>
      <c r="I47" s="336"/>
      <c r="J47" s="337"/>
      <c r="K47" s="323"/>
      <c r="L47" s="324"/>
      <c r="M47" s="281"/>
      <c r="N47" s="281"/>
      <c r="O47" s="281"/>
      <c r="P47" s="329"/>
      <c r="Z47" s="237"/>
    </row>
    <row r="48" spans="1:26" ht="15.75" customHeight="1" thickBot="1" x14ac:dyDescent="0.3">
      <c r="A48" s="238"/>
      <c r="B48" s="338" t="s">
        <v>43</v>
      </c>
      <c r="C48" s="339"/>
      <c r="D48" s="339"/>
      <c r="E48" s="339"/>
      <c r="F48" s="339"/>
      <c r="G48" s="340"/>
      <c r="H48" s="282">
        <f>IF(COUNTIF(H25:J45,"*&gt;250*"),"&gt;250",MAX(H25:J45))</f>
        <v>114</v>
      </c>
      <c r="I48" s="283"/>
      <c r="J48" s="284"/>
      <c r="K48" s="325"/>
      <c r="L48" s="326"/>
      <c r="M48" s="330"/>
      <c r="N48" s="330"/>
      <c r="O48" s="330"/>
      <c r="P48" s="331"/>
      <c r="Z48" s="237"/>
    </row>
    <row r="49" spans="1:26" ht="15.9" customHeight="1" x14ac:dyDescent="0.25">
      <c r="A49" s="236"/>
      <c r="B49" s="235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3"/>
    </row>
    <row r="50" spans="1:26" ht="12.75" customHeight="1" x14ac:dyDescent="0.25">
      <c r="A50" s="232"/>
      <c r="B50" s="231"/>
    </row>
    <row r="51" spans="1:26" s="206" customFormat="1" ht="15.6" customHeight="1" x14ac:dyDescent="0.25">
      <c r="A51" s="230" t="s">
        <v>44</v>
      </c>
      <c r="B51" s="229" t="s">
        <v>45</v>
      </c>
      <c r="C51" s="228"/>
      <c r="D51" s="228"/>
      <c r="E51" s="228"/>
      <c r="F51" s="227"/>
      <c r="G51" s="227"/>
      <c r="H51" s="227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5"/>
      <c r="V51" s="224"/>
      <c r="W51" s="224"/>
      <c r="X51" s="223"/>
      <c r="Y51" s="223"/>
      <c r="Z51" s="222"/>
    </row>
    <row r="52" spans="1:26" s="206" customFormat="1" ht="28.5" customHeight="1" x14ac:dyDescent="0.25">
      <c r="A52" s="285" t="s">
        <v>46</v>
      </c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7"/>
      <c r="R52" s="275" t="s">
        <v>47</v>
      </c>
      <c r="S52" s="276"/>
      <c r="T52" s="277"/>
      <c r="U52" s="288" t="s">
        <v>48</v>
      </c>
      <c r="V52" s="289"/>
      <c r="W52" s="289"/>
      <c r="X52" s="290"/>
      <c r="Y52" s="290"/>
      <c r="Z52" s="291"/>
    </row>
    <row r="53" spans="1:26" s="206" customFormat="1" ht="15.6" customHeight="1" x14ac:dyDescent="0.25">
      <c r="A53" s="292" t="s">
        <v>54</v>
      </c>
      <c r="B53" s="293"/>
      <c r="C53" s="293"/>
      <c r="D53" s="293"/>
      <c r="E53" s="293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4"/>
      <c r="R53" s="275" t="s">
        <v>49</v>
      </c>
      <c r="S53" s="276"/>
      <c r="T53" s="277"/>
      <c r="U53" s="298" t="s">
        <v>50</v>
      </c>
      <c r="V53" s="299"/>
      <c r="W53" s="299"/>
      <c r="X53" s="300"/>
      <c r="Y53" s="300"/>
      <c r="Z53" s="301"/>
    </row>
    <row r="54" spans="1:26" s="206" customFormat="1" ht="15.6" customHeight="1" x14ac:dyDescent="0.25">
      <c r="A54" s="295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7"/>
      <c r="R54" s="275"/>
      <c r="S54" s="276"/>
      <c r="T54" s="277"/>
      <c r="U54" s="302"/>
      <c r="V54" s="281"/>
      <c r="W54" s="281"/>
      <c r="X54" s="303"/>
      <c r="Y54" s="303"/>
      <c r="Z54" s="304"/>
    </row>
    <row r="55" spans="1:26" s="206" customFormat="1" ht="15.6" customHeight="1" x14ac:dyDescent="0.25">
      <c r="A55" s="221" t="s">
        <v>51</v>
      </c>
      <c r="B55" s="220" t="s">
        <v>52</v>
      </c>
      <c r="C55" s="204"/>
      <c r="D55" s="204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8"/>
      <c r="R55" s="275"/>
      <c r="S55" s="276"/>
      <c r="T55" s="277"/>
      <c r="U55" s="305"/>
      <c r="V55" s="306"/>
      <c r="W55" s="306"/>
      <c r="X55" s="307"/>
      <c r="Y55" s="307"/>
      <c r="Z55" s="308"/>
    </row>
    <row r="56" spans="1:26" s="206" customFormat="1" ht="15.6" customHeight="1" x14ac:dyDescent="0.25">
      <c r="A56" s="269"/>
      <c r="B56" s="270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1"/>
      <c r="R56" s="275" t="s">
        <v>53</v>
      </c>
      <c r="S56" s="276"/>
      <c r="T56" s="277"/>
      <c r="U56" s="217"/>
      <c r="V56" s="216"/>
      <c r="W56" s="216"/>
      <c r="X56" s="216"/>
      <c r="Y56" s="216"/>
      <c r="Z56" s="215"/>
    </row>
    <row r="57" spans="1:26" s="206" customFormat="1" ht="15.6" customHeight="1" x14ac:dyDescent="0.25">
      <c r="A57" s="269"/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1"/>
      <c r="R57" s="275"/>
      <c r="S57" s="276"/>
      <c r="T57" s="277"/>
      <c r="U57" s="214"/>
      <c r="V57" s="281"/>
      <c r="W57" s="281"/>
      <c r="X57" s="281"/>
      <c r="Y57" s="281"/>
      <c r="Z57" s="213"/>
    </row>
    <row r="58" spans="1:26" s="206" customFormat="1" ht="15.6" customHeight="1" x14ac:dyDescent="0.25">
      <c r="A58" s="269"/>
      <c r="B58" s="270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1"/>
      <c r="R58" s="275"/>
      <c r="S58" s="276"/>
      <c r="T58" s="277"/>
      <c r="U58" s="214"/>
      <c r="V58" s="281"/>
      <c r="W58" s="281"/>
      <c r="X58" s="281"/>
      <c r="Y58" s="281"/>
      <c r="Z58" s="213"/>
    </row>
    <row r="59" spans="1:26" s="206" customFormat="1" ht="15.6" customHeight="1" x14ac:dyDescent="0.25">
      <c r="A59" s="272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4"/>
      <c r="R59" s="278"/>
      <c r="S59" s="279"/>
      <c r="T59" s="280"/>
      <c r="U59" s="212"/>
      <c r="V59" s="211"/>
      <c r="W59" s="211"/>
      <c r="X59" s="211"/>
      <c r="Y59" s="211"/>
      <c r="Z59" s="210"/>
    </row>
    <row r="60" spans="1:26" s="206" customFormat="1" ht="15" customHeight="1" x14ac:dyDescent="0.25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8"/>
      <c r="S60" s="208"/>
      <c r="T60" s="208"/>
      <c r="U60" s="207"/>
      <c r="V60" s="207"/>
      <c r="W60" s="207"/>
      <c r="X60" s="207"/>
      <c r="Y60" s="207"/>
      <c r="Z60" s="207"/>
    </row>
    <row r="62" spans="1:26" ht="12.75" customHeight="1" x14ac:dyDescent="0.25">
      <c r="A62" s="204"/>
    </row>
    <row r="63" spans="1:26" ht="12.75" customHeight="1" x14ac:dyDescent="0.25">
      <c r="A63" s="204"/>
    </row>
    <row r="64" spans="1:26" ht="12.75" customHeight="1" x14ac:dyDescent="0.25">
      <c r="A64" s="204"/>
    </row>
    <row r="65" spans="1:1" ht="12.75" customHeight="1" x14ac:dyDescent="0.25">
      <c r="A65" s="204"/>
    </row>
    <row r="66" spans="1:1" ht="12.75" customHeight="1" x14ac:dyDescent="0.25">
      <c r="A66" s="204"/>
    </row>
    <row r="67" spans="1:1" ht="12.75" customHeight="1" x14ac:dyDescent="0.25">
      <c r="A67" s="204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H43:J43"/>
    <mergeCell ref="K43:P43"/>
    <mergeCell ref="R53:T55"/>
    <mergeCell ref="U53:Z55"/>
    <mergeCell ref="C36:G36"/>
    <mergeCell ref="H36:J36"/>
    <mergeCell ref="K36:P36"/>
    <mergeCell ref="C37:G37"/>
    <mergeCell ref="H37:J37"/>
    <mergeCell ref="K37:P37"/>
    <mergeCell ref="H47:J47"/>
    <mergeCell ref="H39:J39"/>
    <mergeCell ref="K39:P39"/>
    <mergeCell ref="C40:G40"/>
    <mergeCell ref="H40:J40"/>
    <mergeCell ref="K40:P40"/>
    <mergeCell ref="C41:G41"/>
    <mergeCell ref="H41:J41"/>
    <mergeCell ref="K41:P41"/>
    <mergeCell ref="U52:Z52"/>
    <mergeCell ref="C44:G44"/>
    <mergeCell ref="H44:J44"/>
    <mergeCell ref="K44:P44"/>
    <mergeCell ref="C42:G42"/>
    <mergeCell ref="H42:J42"/>
    <mergeCell ref="K42:P42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K28:P28"/>
    <mergeCell ref="H29:J29"/>
    <mergeCell ref="K29:P29"/>
    <mergeCell ref="N12:R12"/>
    <mergeCell ref="H12:M12"/>
    <mergeCell ref="H11:M11"/>
    <mergeCell ref="N11:R11"/>
    <mergeCell ref="B17:H17"/>
    <mergeCell ref="B12:G12"/>
    <mergeCell ref="B11:G11"/>
    <mergeCell ref="C38:G38"/>
    <mergeCell ref="H38:J38"/>
    <mergeCell ref="K38:P38"/>
    <mergeCell ref="C39:G39"/>
    <mergeCell ref="C43:G43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C29:G29"/>
    <mergeCell ref="A52:Q52"/>
    <mergeCell ref="R52:T52"/>
    <mergeCell ref="A53:Q54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DED54-BE55-41A2-916B-257AD38E3029}">
  <sheetPr>
    <pageSetUpPr fitToPage="1"/>
  </sheetPr>
  <dimension ref="A1:AA67"/>
  <sheetViews>
    <sheetView workbookViewId="0">
      <selection activeCell="I5" sqref="I5:K5"/>
    </sheetView>
  </sheetViews>
  <sheetFormatPr baseColWidth="10" defaultColWidth="11.44140625" defaultRowHeight="12.75" customHeight="1" x14ac:dyDescent="0.25"/>
  <cols>
    <col min="1" max="1" width="5.109375" style="205" customWidth="1"/>
    <col min="2" max="26" width="5.109375" style="204" customWidth="1"/>
    <col min="27" max="27" width="11.44140625" style="204"/>
  </cols>
  <sheetData>
    <row r="1" spans="1:26" ht="12.75" customHeight="1" x14ac:dyDescent="0.25">
      <c r="A1" s="370"/>
      <c r="B1" s="371"/>
      <c r="C1" s="371"/>
      <c r="D1" s="371"/>
      <c r="E1" s="371"/>
      <c r="F1" s="372"/>
      <c r="G1" s="379" t="s">
        <v>0</v>
      </c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1"/>
      <c r="U1" s="382" t="s">
        <v>79</v>
      </c>
      <c r="V1" s="383"/>
      <c r="W1" s="383"/>
      <c r="X1" s="383"/>
      <c r="Y1" s="383"/>
      <c r="Z1" s="384"/>
    </row>
    <row r="2" spans="1:26" ht="12.75" customHeight="1" x14ac:dyDescent="0.25">
      <c r="A2" s="373"/>
      <c r="B2" s="374"/>
      <c r="C2" s="374"/>
      <c r="D2" s="374"/>
      <c r="E2" s="374"/>
      <c r="F2" s="375"/>
      <c r="G2" s="391" t="s">
        <v>2</v>
      </c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3"/>
      <c r="U2" s="385"/>
      <c r="V2" s="386"/>
      <c r="W2" s="386"/>
      <c r="X2" s="386"/>
      <c r="Y2" s="386"/>
      <c r="Z2" s="387"/>
    </row>
    <row r="3" spans="1:26" ht="12.75" customHeight="1" x14ac:dyDescent="0.25">
      <c r="A3" s="373"/>
      <c r="B3" s="374"/>
      <c r="C3" s="374"/>
      <c r="D3" s="374"/>
      <c r="E3" s="374"/>
      <c r="F3" s="375"/>
      <c r="G3" s="391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3"/>
      <c r="U3" s="385"/>
      <c r="V3" s="386"/>
      <c r="W3" s="386"/>
      <c r="X3" s="386"/>
      <c r="Y3" s="386"/>
      <c r="Z3" s="387"/>
    </row>
    <row r="4" spans="1:26" ht="12.75" customHeight="1" x14ac:dyDescent="0.25">
      <c r="A4" s="373"/>
      <c r="B4" s="374"/>
      <c r="C4" s="374"/>
      <c r="D4" s="374"/>
      <c r="E4" s="374"/>
      <c r="F4" s="375"/>
      <c r="G4" s="391"/>
      <c r="H4" s="392"/>
      <c r="I4" s="392"/>
      <c r="J4" s="392"/>
      <c r="K4" s="392"/>
      <c r="L4" s="392"/>
      <c r="M4" s="392"/>
      <c r="N4" s="392"/>
      <c r="O4" s="392"/>
      <c r="P4" s="392"/>
      <c r="Q4" s="392"/>
      <c r="R4" s="392"/>
      <c r="S4" s="392"/>
      <c r="T4" s="393"/>
      <c r="U4" s="385"/>
      <c r="V4" s="386"/>
      <c r="W4" s="386"/>
      <c r="X4" s="386"/>
      <c r="Y4" s="386"/>
      <c r="Z4" s="387"/>
    </row>
    <row r="5" spans="1:26" ht="12.75" customHeight="1" x14ac:dyDescent="0.25">
      <c r="A5" s="373"/>
      <c r="B5" s="374"/>
      <c r="C5" s="374"/>
      <c r="D5" s="374"/>
      <c r="E5" s="374"/>
      <c r="F5" s="375"/>
      <c r="G5" s="394" t="s">
        <v>3</v>
      </c>
      <c r="H5" s="395"/>
      <c r="I5" s="396">
        <v>7</v>
      </c>
      <c r="J5" s="396"/>
      <c r="K5" s="397"/>
      <c r="L5" s="398" t="s">
        <v>4</v>
      </c>
      <c r="M5" s="399"/>
      <c r="N5" s="399"/>
      <c r="O5" s="400"/>
      <c r="P5" s="401" t="s">
        <v>77</v>
      </c>
      <c r="Q5" s="402"/>
      <c r="R5" s="402"/>
      <c r="S5" s="402"/>
      <c r="T5" s="403"/>
      <c r="U5" s="385"/>
      <c r="V5" s="386"/>
      <c r="W5" s="386"/>
      <c r="X5" s="386"/>
      <c r="Y5" s="386"/>
      <c r="Z5" s="387"/>
    </row>
    <row r="6" spans="1:26" ht="12.75" customHeight="1" x14ac:dyDescent="0.25">
      <c r="A6" s="376"/>
      <c r="B6" s="377"/>
      <c r="C6" s="377"/>
      <c r="D6" s="377"/>
      <c r="E6" s="377"/>
      <c r="F6" s="378"/>
      <c r="G6" s="268"/>
      <c r="H6" s="234"/>
      <c r="I6" s="366" t="s">
        <v>6</v>
      </c>
      <c r="J6" s="366"/>
      <c r="K6" s="366"/>
      <c r="L6" s="366" t="s">
        <v>7</v>
      </c>
      <c r="M6" s="366"/>
      <c r="N6" s="366"/>
      <c r="O6" s="366"/>
      <c r="P6" s="366" t="s">
        <v>8</v>
      </c>
      <c r="Q6" s="366"/>
      <c r="R6" s="366"/>
      <c r="S6" s="366"/>
      <c r="T6" s="367"/>
      <c r="U6" s="388"/>
      <c r="V6" s="389"/>
      <c r="W6" s="389"/>
      <c r="X6" s="389"/>
      <c r="Y6" s="389"/>
      <c r="Z6" s="390"/>
    </row>
    <row r="7" spans="1:26" ht="36.6" customHeight="1" x14ac:dyDescent="0.25">
      <c r="A7" s="368" t="s">
        <v>9</v>
      </c>
      <c r="B7" s="368"/>
      <c r="C7" s="368"/>
      <c r="D7" s="368"/>
      <c r="E7" s="368"/>
      <c r="F7" s="368"/>
      <c r="G7" s="369" t="s">
        <v>10</v>
      </c>
      <c r="H7" s="369"/>
      <c r="I7" s="369"/>
      <c r="J7" s="369"/>
      <c r="K7" s="369"/>
      <c r="L7" s="369"/>
      <c r="M7" s="369"/>
      <c r="N7" s="369"/>
      <c r="O7" s="369"/>
      <c r="P7" s="369"/>
      <c r="Q7" s="369"/>
      <c r="R7" s="369"/>
      <c r="S7" s="369"/>
      <c r="T7" s="369"/>
      <c r="U7" s="369"/>
      <c r="V7" s="369"/>
      <c r="W7" s="369"/>
      <c r="X7" s="369"/>
      <c r="Y7" s="369"/>
      <c r="Z7" s="369"/>
    </row>
    <row r="8" spans="1:26" ht="15.9" customHeight="1" x14ac:dyDescent="0.25">
      <c r="A8" s="247" t="s">
        <v>11</v>
      </c>
      <c r="B8" s="229" t="s">
        <v>12</v>
      </c>
      <c r="C8" s="226"/>
      <c r="D8" s="267"/>
      <c r="E8" s="267"/>
      <c r="F8" s="267"/>
      <c r="G8" s="267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42"/>
    </row>
    <row r="9" spans="1:26" ht="8.25" customHeight="1" x14ac:dyDescent="0.25">
      <c r="A9" s="238"/>
      <c r="D9" s="205"/>
      <c r="E9" s="205"/>
      <c r="F9" s="205"/>
      <c r="G9" s="205"/>
      <c r="Z9" s="237"/>
    </row>
    <row r="10" spans="1:26" ht="15.9" customHeight="1" x14ac:dyDescent="0.25">
      <c r="A10" s="238"/>
      <c r="B10" s="363" t="s">
        <v>13</v>
      </c>
      <c r="C10" s="363"/>
      <c r="D10" s="363"/>
      <c r="E10" s="363"/>
      <c r="F10" s="363"/>
      <c r="G10" s="363"/>
      <c r="H10" s="364" t="s">
        <v>14</v>
      </c>
      <c r="I10" s="364"/>
      <c r="J10" s="364"/>
      <c r="K10" s="364"/>
      <c r="L10" s="364"/>
      <c r="M10" s="364"/>
      <c r="N10" s="363" t="s">
        <v>15</v>
      </c>
      <c r="O10" s="363"/>
      <c r="P10" s="363"/>
      <c r="Q10" s="363"/>
      <c r="R10" s="363"/>
      <c r="S10" s="365" t="s">
        <v>67</v>
      </c>
      <c r="T10" s="365"/>
      <c r="U10" s="365"/>
      <c r="V10" s="365"/>
      <c r="W10" s="365"/>
      <c r="X10" s="365"/>
      <c r="Y10" s="365"/>
      <c r="Z10" s="266"/>
    </row>
    <row r="11" spans="1:26" ht="15.9" customHeight="1" x14ac:dyDescent="0.25">
      <c r="A11" s="238"/>
      <c r="B11" s="363" t="s">
        <v>17</v>
      </c>
      <c r="C11" s="363"/>
      <c r="D11" s="363"/>
      <c r="E11" s="363"/>
      <c r="F11" s="363"/>
      <c r="G11" s="363"/>
      <c r="H11" s="364" t="s">
        <v>77</v>
      </c>
      <c r="I11" s="364"/>
      <c r="J11" s="364"/>
      <c r="K11" s="364"/>
      <c r="L11" s="364"/>
      <c r="M11" s="364"/>
      <c r="N11" s="363" t="s">
        <v>18</v>
      </c>
      <c r="O11" s="363"/>
      <c r="P11" s="363"/>
      <c r="Q11" s="363"/>
      <c r="R11" s="363"/>
      <c r="S11" s="365" t="s">
        <v>19</v>
      </c>
      <c r="T11" s="365"/>
      <c r="U11" s="365"/>
      <c r="V11" s="365"/>
      <c r="W11" s="365"/>
      <c r="X11" s="365"/>
      <c r="Y11" s="365"/>
      <c r="Z11" s="266"/>
    </row>
    <row r="12" spans="1:26" ht="15.9" customHeight="1" x14ac:dyDescent="0.25">
      <c r="A12" s="238"/>
      <c r="B12" s="363" t="s">
        <v>20</v>
      </c>
      <c r="C12" s="363"/>
      <c r="D12" s="363"/>
      <c r="E12" s="363"/>
      <c r="F12" s="363"/>
      <c r="G12" s="363"/>
      <c r="H12" s="364" t="s">
        <v>78</v>
      </c>
      <c r="I12" s="364"/>
      <c r="J12" s="364"/>
      <c r="K12" s="364"/>
      <c r="L12" s="364"/>
      <c r="M12" s="364"/>
      <c r="N12" s="363" t="s">
        <v>22</v>
      </c>
      <c r="O12" s="363"/>
      <c r="P12" s="363"/>
      <c r="Q12" s="363"/>
      <c r="R12" s="363"/>
      <c r="S12" s="365" t="s">
        <v>23</v>
      </c>
      <c r="T12" s="365"/>
      <c r="U12" s="365"/>
      <c r="V12" s="365"/>
      <c r="W12" s="365"/>
      <c r="X12" s="365"/>
      <c r="Y12" s="365"/>
      <c r="Z12" s="266"/>
    </row>
    <row r="13" spans="1:26" ht="8.25" customHeight="1" x14ac:dyDescent="0.25">
      <c r="A13" s="265"/>
      <c r="B13" s="234"/>
      <c r="C13" s="234"/>
      <c r="D13" s="264"/>
      <c r="E13" s="264"/>
      <c r="F13" s="264"/>
      <c r="G13" s="264"/>
      <c r="H13" s="234"/>
      <c r="I13" s="234"/>
      <c r="J13" s="234"/>
      <c r="K13" s="234"/>
      <c r="L13" s="234"/>
      <c r="M13" s="234"/>
      <c r="N13" s="263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3"/>
    </row>
    <row r="14" spans="1:26" s="206" customFormat="1" ht="15" customHeight="1" x14ac:dyDescent="0.25">
      <c r="B14" s="261"/>
      <c r="C14" s="261"/>
      <c r="K14" s="262"/>
      <c r="L14" s="261"/>
      <c r="M14" s="260"/>
    </row>
    <row r="15" spans="1:26" s="206" customFormat="1" ht="15.6" customHeight="1" x14ac:dyDescent="0.25">
      <c r="A15" s="247" t="s">
        <v>24</v>
      </c>
      <c r="B15" s="259" t="s">
        <v>25</v>
      </c>
      <c r="C15" s="258"/>
      <c r="D15" s="258"/>
      <c r="E15" s="258"/>
      <c r="F15" s="258"/>
      <c r="G15" s="258"/>
      <c r="H15" s="258"/>
      <c r="I15" s="258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Z15" s="257"/>
    </row>
    <row r="16" spans="1:26" s="206" customFormat="1" ht="15" customHeight="1" x14ac:dyDescent="0.25">
      <c r="A16" s="254"/>
      <c r="B16" s="256"/>
      <c r="Z16" s="255"/>
    </row>
    <row r="17" spans="1:26" s="206" customFormat="1" ht="15" customHeight="1" x14ac:dyDescent="0.25">
      <c r="A17" s="254"/>
      <c r="B17" s="347" t="s">
        <v>26</v>
      </c>
      <c r="C17" s="347"/>
      <c r="D17" s="347"/>
      <c r="E17" s="347"/>
      <c r="F17" s="347"/>
      <c r="G17" s="347"/>
      <c r="H17" s="347"/>
      <c r="I17" s="348"/>
      <c r="J17" s="348"/>
      <c r="K17" s="348"/>
      <c r="L17" s="348"/>
      <c r="M17" s="348"/>
      <c r="N17" s="348"/>
      <c r="O17" s="348"/>
      <c r="P17" s="348"/>
      <c r="Q17" s="348"/>
      <c r="R17" s="348"/>
      <c r="S17" s="348"/>
      <c r="T17" s="348"/>
      <c r="U17" s="348"/>
      <c r="V17" s="348"/>
      <c r="W17" s="348"/>
      <c r="X17" s="348"/>
      <c r="Y17" s="348"/>
      <c r="Z17" s="252"/>
    </row>
    <row r="18" spans="1:26" s="206" customFormat="1" ht="15" customHeight="1" x14ac:dyDescent="0.25">
      <c r="A18" s="254"/>
      <c r="B18" s="347" t="s">
        <v>27</v>
      </c>
      <c r="C18" s="347"/>
      <c r="D18" s="347"/>
      <c r="E18" s="347"/>
      <c r="F18" s="347"/>
      <c r="G18" s="347"/>
      <c r="H18" s="347"/>
      <c r="I18" s="349" t="s">
        <v>28</v>
      </c>
      <c r="J18" s="349"/>
      <c r="K18" s="253">
        <v>50</v>
      </c>
      <c r="L18" s="253" t="s">
        <v>29</v>
      </c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2"/>
    </row>
    <row r="19" spans="1:26" s="206" customFormat="1" ht="13.2" customHeight="1" x14ac:dyDescent="0.25">
      <c r="A19" s="251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49"/>
    </row>
    <row r="20" spans="1:26" ht="12.75" customHeight="1" x14ac:dyDescent="0.25">
      <c r="D20" s="205"/>
      <c r="E20" s="205"/>
      <c r="F20" s="205"/>
      <c r="G20" s="205"/>
      <c r="N20" s="248"/>
    </row>
    <row r="21" spans="1:26" ht="15.9" customHeight="1" x14ac:dyDescent="0.25">
      <c r="A21" s="247" t="s">
        <v>30</v>
      </c>
      <c r="B21" s="246" t="s">
        <v>31</v>
      </c>
      <c r="C21" s="244"/>
      <c r="D21" s="245"/>
      <c r="E21" s="245"/>
      <c r="F21" s="245"/>
      <c r="G21" s="245"/>
      <c r="H21" s="244"/>
      <c r="I21" s="244"/>
      <c r="J21" s="350" t="s">
        <v>32</v>
      </c>
      <c r="K21" s="350"/>
      <c r="L21" s="350"/>
      <c r="M21" s="350"/>
      <c r="N21" s="350"/>
      <c r="O21" s="350"/>
      <c r="P21" s="350"/>
      <c r="Q21" s="243">
        <v>600</v>
      </c>
      <c r="R21" s="226"/>
      <c r="S21" s="226"/>
      <c r="T21" s="226"/>
      <c r="U21" s="226"/>
      <c r="V21" s="226"/>
      <c r="W21" s="226"/>
      <c r="X21" s="226"/>
      <c r="Y21" s="226"/>
      <c r="Z21" s="242"/>
    </row>
    <row r="22" spans="1:26" ht="12.75" customHeight="1" x14ac:dyDescent="0.25">
      <c r="A22" s="238"/>
      <c r="B22" s="241"/>
      <c r="Z22" s="237"/>
    </row>
    <row r="23" spans="1:26" ht="15.75" customHeight="1" x14ac:dyDescent="0.25">
      <c r="A23" s="238"/>
      <c r="B23" s="351" t="s">
        <v>33</v>
      </c>
      <c r="C23" s="353" t="s">
        <v>34</v>
      </c>
      <c r="D23" s="353"/>
      <c r="E23" s="353"/>
      <c r="F23" s="353"/>
      <c r="G23" s="354"/>
      <c r="H23" s="357" t="s">
        <v>35</v>
      </c>
      <c r="I23" s="358"/>
      <c r="J23" s="359"/>
      <c r="K23" s="353" t="s">
        <v>36</v>
      </c>
      <c r="L23" s="353"/>
      <c r="M23" s="353"/>
      <c r="N23" s="353"/>
      <c r="O23" s="353"/>
      <c r="P23" s="354"/>
      <c r="Z23" s="237"/>
    </row>
    <row r="24" spans="1:26" ht="15.75" customHeight="1" x14ac:dyDescent="0.25">
      <c r="A24" s="238"/>
      <c r="B24" s="352"/>
      <c r="C24" s="355"/>
      <c r="D24" s="355"/>
      <c r="E24" s="355"/>
      <c r="F24" s="355"/>
      <c r="G24" s="356"/>
      <c r="H24" s="360" t="s">
        <v>37</v>
      </c>
      <c r="I24" s="361"/>
      <c r="J24" s="362"/>
      <c r="K24" s="355"/>
      <c r="L24" s="355"/>
      <c r="M24" s="355"/>
      <c r="N24" s="355"/>
      <c r="O24" s="355"/>
      <c r="P24" s="356"/>
      <c r="Z24" s="237"/>
    </row>
    <row r="25" spans="1:26" ht="19.5" customHeight="1" x14ac:dyDescent="0.25">
      <c r="A25" s="238"/>
      <c r="B25" s="240">
        <v>1</v>
      </c>
      <c r="C25" s="341"/>
      <c r="D25" s="342"/>
      <c r="E25" s="342"/>
      <c r="F25" s="342"/>
      <c r="G25" s="343"/>
      <c r="H25" s="344">
        <v>40</v>
      </c>
      <c r="I25" s="345"/>
      <c r="J25" s="346"/>
      <c r="K25" s="341"/>
      <c r="L25" s="342"/>
      <c r="M25" s="342"/>
      <c r="N25" s="342"/>
      <c r="O25" s="342"/>
      <c r="P25" s="343"/>
      <c r="Z25" s="237"/>
    </row>
    <row r="26" spans="1:26" ht="19.5" customHeight="1" x14ac:dyDescent="0.25">
      <c r="A26" s="238"/>
      <c r="B26" s="240">
        <v>2</v>
      </c>
      <c r="C26" s="341"/>
      <c r="D26" s="342"/>
      <c r="E26" s="342"/>
      <c r="F26" s="342"/>
      <c r="G26" s="343"/>
      <c r="H26" s="344">
        <v>37</v>
      </c>
      <c r="I26" s="345"/>
      <c r="J26" s="346"/>
      <c r="K26" s="341"/>
      <c r="L26" s="342"/>
      <c r="M26" s="342"/>
      <c r="N26" s="342"/>
      <c r="O26" s="342"/>
      <c r="P26" s="343"/>
      <c r="Z26" s="237"/>
    </row>
    <row r="27" spans="1:26" ht="19.5" customHeight="1" x14ac:dyDescent="0.25">
      <c r="A27" s="238"/>
      <c r="B27" s="240">
        <v>3</v>
      </c>
      <c r="C27" s="341"/>
      <c r="D27" s="342"/>
      <c r="E27" s="342"/>
      <c r="F27" s="342"/>
      <c r="G27" s="343"/>
      <c r="H27" s="344">
        <v>41</v>
      </c>
      <c r="I27" s="345"/>
      <c r="J27" s="346"/>
      <c r="K27" s="341"/>
      <c r="L27" s="342"/>
      <c r="M27" s="342"/>
      <c r="N27" s="342"/>
      <c r="O27" s="342"/>
      <c r="P27" s="343"/>
      <c r="Z27" s="237"/>
    </row>
    <row r="28" spans="1:26" ht="19.5" customHeight="1" x14ac:dyDescent="0.25">
      <c r="A28" s="238"/>
      <c r="B28" s="240">
        <v>4</v>
      </c>
      <c r="C28" s="341"/>
      <c r="D28" s="342"/>
      <c r="E28" s="342"/>
      <c r="F28" s="342"/>
      <c r="G28" s="343"/>
      <c r="H28" s="344">
        <v>54</v>
      </c>
      <c r="I28" s="345"/>
      <c r="J28" s="346"/>
      <c r="K28" s="341"/>
      <c r="L28" s="342"/>
      <c r="M28" s="342"/>
      <c r="N28" s="342"/>
      <c r="O28" s="342"/>
      <c r="P28" s="343"/>
      <c r="Z28" s="237"/>
    </row>
    <row r="29" spans="1:26" ht="19.5" customHeight="1" x14ac:dyDescent="0.25">
      <c r="A29" s="238"/>
      <c r="B29" s="240">
        <v>5</v>
      </c>
      <c r="C29" s="341"/>
      <c r="D29" s="342"/>
      <c r="E29" s="342"/>
      <c r="F29" s="342"/>
      <c r="G29" s="343"/>
      <c r="H29" s="344">
        <v>40</v>
      </c>
      <c r="I29" s="345"/>
      <c r="J29" s="346"/>
      <c r="K29" s="341"/>
      <c r="L29" s="342"/>
      <c r="M29" s="342"/>
      <c r="N29" s="342"/>
      <c r="O29" s="342"/>
      <c r="P29" s="343"/>
      <c r="Z29" s="237"/>
    </row>
    <row r="30" spans="1:26" ht="19.5" customHeight="1" x14ac:dyDescent="0.25">
      <c r="A30" s="238"/>
      <c r="B30" s="240">
        <v>6</v>
      </c>
      <c r="C30" s="341"/>
      <c r="D30" s="342"/>
      <c r="E30" s="342"/>
      <c r="F30" s="342"/>
      <c r="G30" s="343"/>
      <c r="H30" s="344">
        <v>38</v>
      </c>
      <c r="I30" s="345"/>
      <c r="J30" s="346"/>
      <c r="K30" s="341"/>
      <c r="L30" s="342"/>
      <c r="M30" s="342"/>
      <c r="N30" s="342"/>
      <c r="O30" s="342"/>
      <c r="P30" s="343"/>
      <c r="Z30" s="237"/>
    </row>
    <row r="31" spans="1:26" ht="19.5" customHeight="1" x14ac:dyDescent="0.25">
      <c r="A31" s="238"/>
      <c r="B31" s="240"/>
      <c r="C31" s="341"/>
      <c r="D31" s="342"/>
      <c r="E31" s="342"/>
      <c r="F31" s="342"/>
      <c r="G31" s="343"/>
      <c r="H31" s="344"/>
      <c r="I31" s="345"/>
      <c r="J31" s="346"/>
      <c r="K31" s="341"/>
      <c r="L31" s="342"/>
      <c r="M31" s="342"/>
      <c r="N31" s="342"/>
      <c r="O31" s="342"/>
      <c r="P31" s="343"/>
      <c r="Z31" s="237"/>
    </row>
    <row r="32" spans="1:26" ht="19.5" customHeight="1" x14ac:dyDescent="0.25">
      <c r="A32" s="238"/>
      <c r="B32" s="240"/>
      <c r="C32" s="341"/>
      <c r="D32" s="342"/>
      <c r="E32" s="342"/>
      <c r="F32" s="342"/>
      <c r="G32" s="343"/>
      <c r="H32" s="344"/>
      <c r="I32" s="345"/>
      <c r="J32" s="346"/>
      <c r="K32" s="341"/>
      <c r="L32" s="342"/>
      <c r="M32" s="342"/>
      <c r="N32" s="342"/>
      <c r="O32" s="342"/>
      <c r="P32" s="343"/>
      <c r="Z32" s="237"/>
    </row>
    <row r="33" spans="1:26" ht="19.5" customHeight="1" x14ac:dyDescent="0.25">
      <c r="A33" s="238"/>
      <c r="B33" s="240"/>
      <c r="C33" s="341"/>
      <c r="D33" s="342"/>
      <c r="E33" s="342"/>
      <c r="F33" s="342"/>
      <c r="G33" s="343"/>
      <c r="H33" s="344"/>
      <c r="I33" s="345"/>
      <c r="J33" s="346"/>
      <c r="K33" s="341"/>
      <c r="L33" s="342"/>
      <c r="M33" s="342"/>
      <c r="N33" s="342"/>
      <c r="O33" s="342"/>
      <c r="P33" s="343"/>
      <c r="Z33" s="237"/>
    </row>
    <row r="34" spans="1:26" ht="19.5" customHeight="1" x14ac:dyDescent="0.25">
      <c r="A34" s="238"/>
      <c r="B34" s="240"/>
      <c r="C34" s="341"/>
      <c r="D34" s="342"/>
      <c r="E34" s="342"/>
      <c r="F34" s="342"/>
      <c r="G34" s="343"/>
      <c r="H34" s="344"/>
      <c r="I34" s="345"/>
      <c r="J34" s="346"/>
      <c r="K34" s="341"/>
      <c r="L34" s="342"/>
      <c r="M34" s="342"/>
      <c r="N34" s="342"/>
      <c r="O34" s="342"/>
      <c r="P34" s="343"/>
      <c r="Z34" s="237"/>
    </row>
    <row r="35" spans="1:26" ht="19.5" customHeight="1" x14ac:dyDescent="0.25">
      <c r="A35" s="238"/>
      <c r="B35" s="240"/>
      <c r="C35" s="341"/>
      <c r="D35" s="342"/>
      <c r="E35" s="342"/>
      <c r="F35" s="342"/>
      <c r="G35" s="343"/>
      <c r="H35" s="344"/>
      <c r="I35" s="345"/>
      <c r="J35" s="346"/>
      <c r="K35" s="341"/>
      <c r="L35" s="342"/>
      <c r="M35" s="342"/>
      <c r="N35" s="342"/>
      <c r="O35" s="342"/>
      <c r="P35" s="343"/>
      <c r="Z35" s="237"/>
    </row>
    <row r="36" spans="1:26" ht="19.5" customHeight="1" x14ac:dyDescent="0.25">
      <c r="A36" s="238"/>
      <c r="B36" s="240"/>
      <c r="C36" s="341"/>
      <c r="D36" s="342"/>
      <c r="E36" s="342"/>
      <c r="F36" s="342"/>
      <c r="G36" s="343"/>
      <c r="H36" s="344"/>
      <c r="I36" s="345"/>
      <c r="J36" s="346"/>
      <c r="K36" s="341"/>
      <c r="L36" s="342"/>
      <c r="M36" s="342"/>
      <c r="N36" s="342"/>
      <c r="O36" s="342"/>
      <c r="P36" s="343"/>
      <c r="Z36" s="237"/>
    </row>
    <row r="37" spans="1:26" ht="19.5" customHeight="1" x14ac:dyDescent="0.25">
      <c r="A37" s="238"/>
      <c r="B37" s="240"/>
      <c r="C37" s="341"/>
      <c r="D37" s="342"/>
      <c r="E37" s="342"/>
      <c r="F37" s="342"/>
      <c r="G37" s="343"/>
      <c r="H37" s="344"/>
      <c r="I37" s="345"/>
      <c r="J37" s="346"/>
      <c r="K37" s="341"/>
      <c r="L37" s="342"/>
      <c r="M37" s="342"/>
      <c r="N37" s="342"/>
      <c r="O37" s="342"/>
      <c r="P37" s="343"/>
      <c r="Z37" s="237"/>
    </row>
    <row r="38" spans="1:26" ht="19.5" customHeight="1" x14ac:dyDescent="0.25">
      <c r="A38" s="238"/>
      <c r="B38" s="240"/>
      <c r="C38" s="341"/>
      <c r="D38" s="342"/>
      <c r="E38" s="342"/>
      <c r="F38" s="342"/>
      <c r="G38" s="343"/>
      <c r="H38" s="344"/>
      <c r="I38" s="345"/>
      <c r="J38" s="346"/>
      <c r="K38" s="341"/>
      <c r="L38" s="342"/>
      <c r="M38" s="342"/>
      <c r="N38" s="342"/>
      <c r="O38" s="342"/>
      <c r="P38" s="343"/>
      <c r="Z38" s="237"/>
    </row>
    <row r="39" spans="1:26" ht="19.5" customHeight="1" x14ac:dyDescent="0.25">
      <c r="A39" s="238"/>
      <c r="B39" s="240"/>
      <c r="C39" s="341"/>
      <c r="D39" s="342"/>
      <c r="E39" s="342"/>
      <c r="F39" s="342"/>
      <c r="G39" s="343"/>
      <c r="H39" s="344"/>
      <c r="I39" s="345"/>
      <c r="J39" s="346"/>
      <c r="K39" s="341"/>
      <c r="L39" s="342"/>
      <c r="M39" s="342"/>
      <c r="N39" s="342"/>
      <c r="O39" s="342"/>
      <c r="P39" s="343"/>
      <c r="Z39" s="237"/>
    </row>
    <row r="40" spans="1:26" ht="19.5" customHeight="1" x14ac:dyDescent="0.25">
      <c r="A40" s="238"/>
      <c r="B40" s="240"/>
      <c r="C40" s="341"/>
      <c r="D40" s="342"/>
      <c r="E40" s="342"/>
      <c r="F40" s="342"/>
      <c r="G40" s="343"/>
      <c r="H40" s="344"/>
      <c r="I40" s="345"/>
      <c r="J40" s="346"/>
      <c r="K40" s="341"/>
      <c r="L40" s="342"/>
      <c r="M40" s="342"/>
      <c r="N40" s="342"/>
      <c r="O40" s="342"/>
      <c r="P40" s="343"/>
      <c r="Z40" s="237"/>
    </row>
    <row r="41" spans="1:26" ht="19.5" customHeight="1" x14ac:dyDescent="0.25">
      <c r="A41" s="238"/>
      <c r="B41" s="240"/>
      <c r="C41" s="341"/>
      <c r="D41" s="342"/>
      <c r="E41" s="342"/>
      <c r="F41" s="342"/>
      <c r="G41" s="343"/>
      <c r="H41" s="344"/>
      <c r="I41" s="345"/>
      <c r="J41" s="346"/>
      <c r="K41" s="341"/>
      <c r="L41" s="342"/>
      <c r="M41" s="342"/>
      <c r="N41" s="342"/>
      <c r="O41" s="342"/>
      <c r="P41" s="343"/>
      <c r="Z41" s="237"/>
    </row>
    <row r="42" spans="1:26" ht="19.5" customHeight="1" x14ac:dyDescent="0.25">
      <c r="A42" s="238"/>
      <c r="B42" s="240"/>
      <c r="C42" s="341"/>
      <c r="D42" s="342"/>
      <c r="E42" s="342"/>
      <c r="F42" s="342"/>
      <c r="G42" s="343"/>
      <c r="H42" s="344"/>
      <c r="I42" s="345"/>
      <c r="J42" s="346"/>
      <c r="K42" s="341"/>
      <c r="L42" s="342"/>
      <c r="M42" s="342"/>
      <c r="N42" s="342"/>
      <c r="O42" s="342"/>
      <c r="P42" s="343"/>
      <c r="Z42" s="237"/>
    </row>
    <row r="43" spans="1:26" ht="19.5" customHeight="1" x14ac:dyDescent="0.25">
      <c r="A43" s="238"/>
      <c r="B43" s="240"/>
      <c r="C43" s="341"/>
      <c r="D43" s="342"/>
      <c r="E43" s="342"/>
      <c r="F43" s="342"/>
      <c r="G43" s="343"/>
      <c r="H43" s="344"/>
      <c r="I43" s="345"/>
      <c r="J43" s="346"/>
      <c r="K43" s="341"/>
      <c r="L43" s="342"/>
      <c r="M43" s="342"/>
      <c r="N43" s="342"/>
      <c r="O43" s="342"/>
      <c r="P43" s="343"/>
      <c r="Z43" s="237"/>
    </row>
    <row r="44" spans="1:26" ht="19.5" customHeight="1" x14ac:dyDescent="0.25">
      <c r="A44" s="238"/>
      <c r="B44" s="240"/>
      <c r="C44" s="341"/>
      <c r="D44" s="342"/>
      <c r="E44" s="342"/>
      <c r="F44" s="342"/>
      <c r="G44" s="343"/>
      <c r="H44" s="344"/>
      <c r="I44" s="345"/>
      <c r="J44" s="346"/>
      <c r="K44" s="341"/>
      <c r="L44" s="342"/>
      <c r="M44" s="342"/>
      <c r="N44" s="342"/>
      <c r="O44" s="342"/>
      <c r="P44" s="343"/>
      <c r="Z44" s="237"/>
    </row>
    <row r="45" spans="1:26" ht="19.5" customHeight="1" thickBot="1" x14ac:dyDescent="0.3">
      <c r="A45" s="238"/>
      <c r="B45" s="239"/>
      <c r="C45" s="309"/>
      <c r="D45" s="309"/>
      <c r="E45" s="309"/>
      <c r="F45" s="309"/>
      <c r="G45" s="310"/>
      <c r="H45" s="311"/>
      <c r="I45" s="312"/>
      <c r="J45" s="313"/>
      <c r="K45" s="314"/>
      <c r="L45" s="309"/>
      <c r="M45" s="309"/>
      <c r="N45" s="309"/>
      <c r="O45" s="309"/>
      <c r="P45" s="310"/>
      <c r="Z45" s="237"/>
    </row>
    <row r="46" spans="1:26" ht="15.75" customHeight="1" x14ac:dyDescent="0.25">
      <c r="A46" s="238"/>
      <c r="B46" s="315" t="s">
        <v>39</v>
      </c>
      <c r="C46" s="316"/>
      <c r="D46" s="316"/>
      <c r="E46" s="316"/>
      <c r="F46" s="316"/>
      <c r="G46" s="317"/>
      <c r="H46" s="318">
        <f>AVERAGE(H25:J45)</f>
        <v>41.666666666666664</v>
      </c>
      <c r="I46" s="319"/>
      <c r="J46" s="320"/>
      <c r="K46" s="321"/>
      <c r="L46" s="322"/>
      <c r="M46" s="327" t="s">
        <v>41</v>
      </c>
      <c r="N46" s="327"/>
      <c r="O46" s="327"/>
      <c r="P46" s="328"/>
      <c r="Z46" s="237"/>
    </row>
    <row r="47" spans="1:26" ht="15.75" customHeight="1" x14ac:dyDescent="0.25">
      <c r="A47" s="238"/>
      <c r="B47" s="332" t="s">
        <v>42</v>
      </c>
      <c r="C47" s="333"/>
      <c r="D47" s="333"/>
      <c r="E47" s="333"/>
      <c r="F47" s="333"/>
      <c r="G47" s="334"/>
      <c r="H47" s="335">
        <f>IF(COUNTIF(H25:J45,"*&lt;20*"),"&lt;20",MIN(H25:J45))</f>
        <v>37</v>
      </c>
      <c r="I47" s="336"/>
      <c r="J47" s="337"/>
      <c r="K47" s="323"/>
      <c r="L47" s="324"/>
      <c r="M47" s="281"/>
      <c r="N47" s="281"/>
      <c r="O47" s="281"/>
      <c r="P47" s="329"/>
      <c r="Z47" s="237"/>
    </row>
    <row r="48" spans="1:26" ht="15.75" customHeight="1" thickBot="1" x14ac:dyDescent="0.3">
      <c r="A48" s="238"/>
      <c r="B48" s="338" t="s">
        <v>43</v>
      </c>
      <c r="C48" s="339"/>
      <c r="D48" s="339"/>
      <c r="E48" s="339"/>
      <c r="F48" s="339"/>
      <c r="G48" s="340"/>
      <c r="H48" s="282">
        <f>IF(COUNTIF(H25:J45,"*&gt;250*"),"&gt;250",MAX(H25:J45))</f>
        <v>54</v>
      </c>
      <c r="I48" s="283"/>
      <c r="J48" s="284"/>
      <c r="K48" s="325"/>
      <c r="L48" s="326"/>
      <c r="M48" s="330"/>
      <c r="N48" s="330"/>
      <c r="O48" s="330"/>
      <c r="P48" s="331"/>
      <c r="Z48" s="237"/>
    </row>
    <row r="49" spans="1:26" ht="15.9" customHeight="1" x14ac:dyDescent="0.25">
      <c r="A49" s="236"/>
      <c r="B49" s="235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3"/>
    </row>
    <row r="50" spans="1:26" ht="12.75" customHeight="1" x14ac:dyDescent="0.25">
      <c r="A50" s="232"/>
      <c r="B50" s="231"/>
    </row>
    <row r="51" spans="1:26" s="206" customFormat="1" ht="15.6" customHeight="1" x14ac:dyDescent="0.25">
      <c r="A51" s="230" t="s">
        <v>44</v>
      </c>
      <c r="B51" s="229" t="s">
        <v>45</v>
      </c>
      <c r="C51" s="228"/>
      <c r="D51" s="228"/>
      <c r="E51" s="228"/>
      <c r="F51" s="227"/>
      <c r="G51" s="227"/>
      <c r="H51" s="227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5"/>
      <c r="V51" s="224"/>
      <c r="W51" s="224"/>
      <c r="X51" s="223"/>
      <c r="Y51" s="223"/>
      <c r="Z51" s="222"/>
    </row>
    <row r="52" spans="1:26" s="206" customFormat="1" ht="28.5" customHeight="1" x14ac:dyDescent="0.25">
      <c r="A52" s="285" t="s">
        <v>46</v>
      </c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7"/>
      <c r="R52" s="275" t="s">
        <v>47</v>
      </c>
      <c r="S52" s="276"/>
      <c r="T52" s="277"/>
      <c r="U52" s="288" t="s">
        <v>48</v>
      </c>
      <c r="V52" s="289"/>
      <c r="W52" s="289"/>
      <c r="X52" s="290"/>
      <c r="Y52" s="290"/>
      <c r="Z52" s="291"/>
    </row>
    <row r="53" spans="1:26" s="206" customFormat="1" ht="15.6" customHeight="1" x14ac:dyDescent="0.25">
      <c r="A53" s="292" t="s">
        <v>74</v>
      </c>
      <c r="B53" s="293"/>
      <c r="C53" s="293"/>
      <c r="D53" s="293"/>
      <c r="E53" s="293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4"/>
      <c r="R53" s="275" t="s">
        <v>49</v>
      </c>
      <c r="S53" s="276"/>
      <c r="T53" s="277"/>
      <c r="U53" s="298" t="s">
        <v>50</v>
      </c>
      <c r="V53" s="299"/>
      <c r="W53" s="299"/>
      <c r="X53" s="300"/>
      <c r="Y53" s="300"/>
      <c r="Z53" s="301"/>
    </row>
    <row r="54" spans="1:26" s="206" customFormat="1" ht="15.6" customHeight="1" x14ac:dyDescent="0.25">
      <c r="A54" s="295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7"/>
      <c r="R54" s="275"/>
      <c r="S54" s="276"/>
      <c r="T54" s="277"/>
      <c r="U54" s="302"/>
      <c r="V54" s="281"/>
      <c r="W54" s="281"/>
      <c r="X54" s="303"/>
      <c r="Y54" s="303"/>
      <c r="Z54" s="304"/>
    </row>
    <row r="55" spans="1:26" s="206" customFormat="1" ht="15.6" customHeight="1" x14ac:dyDescent="0.25">
      <c r="A55" s="221" t="s">
        <v>51</v>
      </c>
      <c r="B55" s="220" t="s">
        <v>52</v>
      </c>
      <c r="C55" s="204"/>
      <c r="D55" s="204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8"/>
      <c r="R55" s="275"/>
      <c r="S55" s="276"/>
      <c r="T55" s="277"/>
      <c r="U55" s="305"/>
      <c r="V55" s="306"/>
      <c r="W55" s="306"/>
      <c r="X55" s="307"/>
      <c r="Y55" s="307"/>
      <c r="Z55" s="308"/>
    </row>
    <row r="56" spans="1:26" s="206" customFormat="1" ht="15.6" customHeight="1" x14ac:dyDescent="0.25">
      <c r="A56" s="269"/>
      <c r="B56" s="270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1"/>
      <c r="R56" s="275" t="s">
        <v>53</v>
      </c>
      <c r="S56" s="276"/>
      <c r="T56" s="277"/>
      <c r="U56" s="217"/>
      <c r="V56" s="216"/>
      <c r="W56" s="216"/>
      <c r="X56" s="216"/>
      <c r="Y56" s="216"/>
      <c r="Z56" s="215"/>
    </row>
    <row r="57" spans="1:26" s="206" customFormat="1" ht="15.6" customHeight="1" x14ac:dyDescent="0.25">
      <c r="A57" s="269"/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1"/>
      <c r="R57" s="275"/>
      <c r="S57" s="276"/>
      <c r="T57" s="277"/>
      <c r="U57" s="214"/>
      <c r="V57" s="281"/>
      <c r="W57" s="281"/>
      <c r="X57" s="281"/>
      <c r="Y57" s="281"/>
      <c r="Z57" s="213"/>
    </row>
    <row r="58" spans="1:26" s="206" customFormat="1" ht="15.6" customHeight="1" x14ac:dyDescent="0.25">
      <c r="A58" s="269"/>
      <c r="B58" s="270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1"/>
      <c r="R58" s="275"/>
      <c r="S58" s="276"/>
      <c r="T58" s="277"/>
      <c r="U58" s="214"/>
      <c r="V58" s="281"/>
      <c r="W58" s="281"/>
      <c r="X58" s="281"/>
      <c r="Y58" s="281"/>
      <c r="Z58" s="213"/>
    </row>
    <row r="59" spans="1:26" s="206" customFormat="1" ht="15.6" customHeight="1" x14ac:dyDescent="0.25">
      <c r="A59" s="272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4"/>
      <c r="R59" s="278"/>
      <c r="S59" s="279"/>
      <c r="T59" s="280"/>
      <c r="U59" s="212"/>
      <c r="V59" s="211"/>
      <c r="W59" s="211"/>
      <c r="X59" s="211"/>
      <c r="Y59" s="211"/>
      <c r="Z59" s="210"/>
    </row>
    <row r="60" spans="1:26" s="206" customFormat="1" ht="15" customHeight="1" x14ac:dyDescent="0.25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8"/>
      <c r="S60" s="208"/>
      <c r="T60" s="208"/>
      <c r="U60" s="207"/>
      <c r="V60" s="207"/>
      <c r="W60" s="207"/>
      <c r="X60" s="207"/>
      <c r="Y60" s="207"/>
      <c r="Z60" s="207"/>
    </row>
    <row r="62" spans="1:26" ht="12.75" customHeight="1" x14ac:dyDescent="0.25">
      <c r="A62" s="204"/>
    </row>
    <row r="63" spans="1:26" ht="12.75" customHeight="1" x14ac:dyDescent="0.25">
      <c r="A63" s="204"/>
    </row>
    <row r="64" spans="1:26" ht="12.75" customHeight="1" x14ac:dyDescent="0.25">
      <c r="A64" s="204"/>
    </row>
    <row r="65" spans="1:1" ht="12.75" customHeight="1" x14ac:dyDescent="0.25">
      <c r="A65" s="204"/>
    </row>
    <row r="66" spans="1:1" ht="12.75" customHeight="1" x14ac:dyDescent="0.25">
      <c r="A66" s="204"/>
    </row>
    <row r="67" spans="1:1" ht="12.75" customHeight="1" x14ac:dyDescent="0.25">
      <c r="A67" s="204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B17:H17"/>
    <mergeCell ref="B12:G12"/>
    <mergeCell ref="B11:G11"/>
    <mergeCell ref="C30:G30"/>
    <mergeCell ref="H30:J30"/>
    <mergeCell ref="K30:P30"/>
    <mergeCell ref="C31:G31"/>
    <mergeCell ref="H31:J31"/>
    <mergeCell ref="K31:P31"/>
    <mergeCell ref="K35:P35"/>
    <mergeCell ref="C40:G40"/>
    <mergeCell ref="H40:J40"/>
    <mergeCell ref="A52:Q52"/>
    <mergeCell ref="R52:T52"/>
    <mergeCell ref="C32:G32"/>
    <mergeCell ref="H32:J32"/>
    <mergeCell ref="K32:P32"/>
    <mergeCell ref="C33:G33"/>
    <mergeCell ref="U52:Z52"/>
    <mergeCell ref="A53:Q54"/>
    <mergeCell ref="R53:T55"/>
    <mergeCell ref="U53:Z55"/>
    <mergeCell ref="H47:J47"/>
    <mergeCell ref="C36:G36"/>
    <mergeCell ref="H36:J36"/>
    <mergeCell ref="K36:P36"/>
    <mergeCell ref="C37:G37"/>
    <mergeCell ref="H37:J37"/>
    <mergeCell ref="K37:P37"/>
    <mergeCell ref="H33:J33"/>
    <mergeCell ref="K33:P33"/>
    <mergeCell ref="C34:G34"/>
    <mergeCell ref="H34:J34"/>
    <mergeCell ref="K34:P34"/>
    <mergeCell ref="C35:G35"/>
    <mergeCell ref="H35:J35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CBEA-C798-452D-8E21-320D3F26DED0}">
  <sheetPr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205" customWidth="1"/>
    <col min="2" max="26" width="5.109375" style="204" customWidth="1"/>
    <col min="27" max="27" width="11.44140625" style="204"/>
  </cols>
  <sheetData>
    <row r="1" spans="1:26" ht="12.75" customHeight="1" x14ac:dyDescent="0.25">
      <c r="A1" s="370"/>
      <c r="B1" s="371"/>
      <c r="C1" s="371"/>
      <c r="D1" s="371"/>
      <c r="E1" s="371"/>
      <c r="F1" s="372"/>
      <c r="G1" s="379" t="s">
        <v>0</v>
      </c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1"/>
      <c r="U1" s="382" t="s">
        <v>62</v>
      </c>
      <c r="V1" s="383"/>
      <c r="W1" s="383"/>
      <c r="X1" s="383"/>
      <c r="Y1" s="383"/>
      <c r="Z1" s="384"/>
    </row>
    <row r="2" spans="1:26" ht="12.75" customHeight="1" x14ac:dyDescent="0.25">
      <c r="A2" s="373"/>
      <c r="B2" s="374"/>
      <c r="C2" s="374"/>
      <c r="D2" s="374"/>
      <c r="E2" s="374"/>
      <c r="F2" s="375"/>
      <c r="G2" s="391" t="s">
        <v>2</v>
      </c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3"/>
      <c r="U2" s="385"/>
      <c r="V2" s="386"/>
      <c r="W2" s="386"/>
      <c r="X2" s="386"/>
      <c r="Y2" s="386"/>
      <c r="Z2" s="387"/>
    </row>
    <row r="3" spans="1:26" ht="12.75" customHeight="1" x14ac:dyDescent="0.25">
      <c r="A3" s="373"/>
      <c r="B3" s="374"/>
      <c r="C3" s="374"/>
      <c r="D3" s="374"/>
      <c r="E3" s="374"/>
      <c r="F3" s="375"/>
      <c r="G3" s="391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3"/>
      <c r="U3" s="385"/>
      <c r="V3" s="386"/>
      <c r="W3" s="386"/>
      <c r="X3" s="386"/>
      <c r="Y3" s="386"/>
      <c r="Z3" s="387"/>
    </row>
    <row r="4" spans="1:26" ht="12.75" customHeight="1" x14ac:dyDescent="0.25">
      <c r="A4" s="373"/>
      <c r="B4" s="374"/>
      <c r="C4" s="374"/>
      <c r="D4" s="374"/>
      <c r="E4" s="374"/>
      <c r="F4" s="375"/>
      <c r="G4" s="391"/>
      <c r="H4" s="392"/>
      <c r="I4" s="392"/>
      <c r="J4" s="392"/>
      <c r="K4" s="392"/>
      <c r="L4" s="392"/>
      <c r="M4" s="392"/>
      <c r="N4" s="392"/>
      <c r="O4" s="392"/>
      <c r="P4" s="392"/>
      <c r="Q4" s="392"/>
      <c r="R4" s="392"/>
      <c r="S4" s="392"/>
      <c r="T4" s="393"/>
      <c r="U4" s="385"/>
      <c r="V4" s="386"/>
      <c r="W4" s="386"/>
      <c r="X4" s="386"/>
      <c r="Y4" s="386"/>
      <c r="Z4" s="387"/>
    </row>
    <row r="5" spans="1:26" ht="12.75" customHeight="1" x14ac:dyDescent="0.25">
      <c r="A5" s="373"/>
      <c r="B5" s="374"/>
      <c r="C5" s="374"/>
      <c r="D5" s="374"/>
      <c r="E5" s="374"/>
      <c r="F5" s="375"/>
      <c r="G5" s="394" t="s">
        <v>3</v>
      </c>
      <c r="H5" s="395"/>
      <c r="I5" s="396">
        <v>6</v>
      </c>
      <c r="J5" s="396"/>
      <c r="K5" s="397"/>
      <c r="L5" s="407" t="s">
        <v>4</v>
      </c>
      <c r="M5" s="408"/>
      <c r="N5" s="408"/>
      <c r="O5" s="409"/>
      <c r="P5" s="401" t="s">
        <v>75</v>
      </c>
      <c r="Q5" s="402"/>
      <c r="R5" s="402"/>
      <c r="S5" s="402"/>
      <c r="T5" s="403"/>
      <c r="U5" s="385"/>
      <c r="V5" s="386"/>
      <c r="W5" s="386"/>
      <c r="X5" s="386"/>
      <c r="Y5" s="386"/>
      <c r="Z5" s="387"/>
    </row>
    <row r="6" spans="1:26" ht="12.75" customHeight="1" x14ac:dyDescent="0.25">
      <c r="A6" s="376"/>
      <c r="B6" s="377"/>
      <c r="C6" s="377"/>
      <c r="D6" s="377"/>
      <c r="E6" s="377"/>
      <c r="F6" s="378"/>
      <c r="G6" s="268"/>
      <c r="H6" s="234"/>
      <c r="I6" s="366" t="s">
        <v>6</v>
      </c>
      <c r="J6" s="366"/>
      <c r="K6" s="366"/>
      <c r="L6" s="366" t="s">
        <v>7</v>
      </c>
      <c r="M6" s="366"/>
      <c r="N6" s="366"/>
      <c r="O6" s="366"/>
      <c r="P6" s="366" t="s">
        <v>8</v>
      </c>
      <c r="Q6" s="366"/>
      <c r="R6" s="366"/>
      <c r="S6" s="366"/>
      <c r="T6" s="367"/>
      <c r="U6" s="388"/>
      <c r="V6" s="389"/>
      <c r="W6" s="389"/>
      <c r="X6" s="389"/>
      <c r="Y6" s="389"/>
      <c r="Z6" s="390"/>
    </row>
    <row r="7" spans="1:26" ht="36.6" customHeight="1" x14ac:dyDescent="0.25">
      <c r="A7" s="368" t="s">
        <v>9</v>
      </c>
      <c r="B7" s="368"/>
      <c r="C7" s="368"/>
      <c r="D7" s="368"/>
      <c r="E7" s="368"/>
      <c r="F7" s="368"/>
      <c r="G7" s="369" t="s">
        <v>10</v>
      </c>
      <c r="H7" s="369"/>
      <c r="I7" s="369"/>
      <c r="J7" s="369"/>
      <c r="K7" s="369"/>
      <c r="L7" s="369"/>
      <c r="M7" s="369"/>
      <c r="N7" s="369"/>
      <c r="O7" s="369"/>
      <c r="P7" s="369"/>
      <c r="Q7" s="369"/>
      <c r="R7" s="369"/>
      <c r="S7" s="369"/>
      <c r="T7" s="369"/>
      <c r="U7" s="369"/>
      <c r="V7" s="369"/>
      <c r="W7" s="369"/>
      <c r="X7" s="369"/>
      <c r="Y7" s="369"/>
      <c r="Z7" s="369"/>
    </row>
    <row r="8" spans="1:26" ht="15.9" customHeight="1" x14ac:dyDescent="0.25">
      <c r="A8" s="247" t="s">
        <v>11</v>
      </c>
      <c r="B8" s="229" t="s">
        <v>12</v>
      </c>
      <c r="C8" s="226"/>
      <c r="D8" s="267"/>
      <c r="E8" s="267"/>
      <c r="F8" s="267"/>
      <c r="G8" s="267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42"/>
    </row>
    <row r="9" spans="1:26" ht="8.25" customHeight="1" x14ac:dyDescent="0.25">
      <c r="A9" s="238"/>
      <c r="D9" s="205"/>
      <c r="E9" s="205"/>
      <c r="F9" s="205"/>
      <c r="G9" s="205"/>
      <c r="Z9" s="237"/>
    </row>
    <row r="10" spans="1:26" ht="15.9" customHeight="1" x14ac:dyDescent="0.25">
      <c r="A10" s="238"/>
      <c r="B10" s="363" t="s">
        <v>13</v>
      </c>
      <c r="C10" s="363"/>
      <c r="D10" s="363"/>
      <c r="E10" s="363"/>
      <c r="F10" s="363"/>
      <c r="G10" s="363"/>
      <c r="H10" s="364" t="s">
        <v>14</v>
      </c>
      <c r="I10" s="364"/>
      <c r="J10" s="364"/>
      <c r="K10" s="364"/>
      <c r="L10" s="364"/>
      <c r="M10" s="364"/>
      <c r="N10" s="363" t="s">
        <v>15</v>
      </c>
      <c r="O10" s="363"/>
      <c r="P10" s="363"/>
      <c r="Q10" s="363"/>
      <c r="R10" s="363"/>
      <c r="S10" s="365" t="s">
        <v>67</v>
      </c>
      <c r="T10" s="365"/>
      <c r="U10" s="365"/>
      <c r="V10" s="365"/>
      <c r="W10" s="365"/>
      <c r="X10" s="365"/>
      <c r="Y10" s="365"/>
      <c r="Z10" s="266"/>
    </row>
    <row r="11" spans="1:26" ht="15.9" customHeight="1" x14ac:dyDescent="0.25">
      <c r="A11" s="238"/>
      <c r="B11" s="363" t="s">
        <v>17</v>
      </c>
      <c r="C11" s="363"/>
      <c r="D11" s="363"/>
      <c r="E11" s="363"/>
      <c r="F11" s="363"/>
      <c r="G11" s="363"/>
      <c r="H11" s="364" t="s">
        <v>75</v>
      </c>
      <c r="I11" s="364"/>
      <c r="J11" s="364"/>
      <c r="K11" s="364"/>
      <c r="L11" s="364"/>
      <c r="M11" s="364"/>
      <c r="N11" s="363" t="s">
        <v>18</v>
      </c>
      <c r="O11" s="363"/>
      <c r="P11" s="363"/>
      <c r="Q11" s="363"/>
      <c r="R11" s="363"/>
      <c r="S11" s="365" t="s">
        <v>69</v>
      </c>
      <c r="T11" s="365"/>
      <c r="U11" s="365"/>
      <c r="V11" s="365"/>
      <c r="W11" s="365"/>
      <c r="X11" s="365"/>
      <c r="Y11" s="365"/>
      <c r="Z11" s="266"/>
    </row>
    <row r="12" spans="1:26" ht="15.9" customHeight="1" x14ac:dyDescent="0.25">
      <c r="A12" s="238"/>
      <c r="B12" s="363" t="s">
        <v>20</v>
      </c>
      <c r="C12" s="363"/>
      <c r="D12" s="363"/>
      <c r="E12" s="363"/>
      <c r="F12" s="363"/>
      <c r="G12" s="363"/>
      <c r="H12" s="364" t="s">
        <v>76</v>
      </c>
      <c r="I12" s="364"/>
      <c r="J12" s="364"/>
      <c r="K12" s="364"/>
      <c r="L12" s="364"/>
      <c r="M12" s="364"/>
      <c r="N12" s="363" t="s">
        <v>22</v>
      </c>
      <c r="O12" s="363"/>
      <c r="P12" s="363"/>
      <c r="Q12" s="363"/>
      <c r="R12" s="363"/>
      <c r="S12" s="365" t="s">
        <v>23</v>
      </c>
      <c r="T12" s="365"/>
      <c r="U12" s="365"/>
      <c r="V12" s="365"/>
      <c r="W12" s="365"/>
      <c r="X12" s="365"/>
      <c r="Y12" s="365"/>
      <c r="Z12" s="266"/>
    </row>
    <row r="13" spans="1:26" ht="8.25" customHeight="1" x14ac:dyDescent="0.25">
      <c r="A13" s="265"/>
      <c r="B13" s="234"/>
      <c r="C13" s="234"/>
      <c r="D13" s="264"/>
      <c r="E13" s="264"/>
      <c r="F13" s="264"/>
      <c r="G13" s="264"/>
      <c r="H13" s="234"/>
      <c r="I13" s="234"/>
      <c r="J13" s="234"/>
      <c r="K13" s="234"/>
      <c r="L13" s="234"/>
      <c r="M13" s="234"/>
      <c r="N13" s="263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3"/>
    </row>
    <row r="14" spans="1:26" s="206" customFormat="1" ht="15" customHeight="1" x14ac:dyDescent="0.25">
      <c r="B14" s="261"/>
      <c r="C14" s="261"/>
      <c r="K14" s="262"/>
      <c r="L14" s="261"/>
      <c r="M14" s="260"/>
    </row>
    <row r="15" spans="1:26" s="206" customFormat="1" ht="15.6" customHeight="1" x14ac:dyDescent="0.25">
      <c r="A15" s="247" t="s">
        <v>24</v>
      </c>
      <c r="B15" s="259" t="s">
        <v>25</v>
      </c>
      <c r="C15" s="258"/>
      <c r="D15" s="258"/>
      <c r="E15" s="258"/>
      <c r="F15" s="258"/>
      <c r="G15" s="258"/>
      <c r="H15" s="258"/>
      <c r="I15" s="258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Z15" s="257"/>
    </row>
    <row r="16" spans="1:26" s="206" customFormat="1" ht="15" customHeight="1" x14ac:dyDescent="0.25">
      <c r="A16" s="254"/>
      <c r="B16" s="256"/>
      <c r="Z16" s="255"/>
    </row>
    <row r="17" spans="1:26" s="206" customFormat="1" ht="15" customHeight="1" x14ac:dyDescent="0.25">
      <c r="A17" s="254"/>
      <c r="B17" s="347" t="s">
        <v>26</v>
      </c>
      <c r="C17" s="347"/>
      <c r="D17" s="347"/>
      <c r="E17" s="347"/>
      <c r="F17" s="347"/>
      <c r="G17" s="347"/>
      <c r="H17" s="347"/>
      <c r="I17" s="348"/>
      <c r="J17" s="348"/>
      <c r="K17" s="348"/>
      <c r="L17" s="348"/>
      <c r="M17" s="348"/>
      <c r="N17" s="348"/>
      <c r="O17" s="348"/>
      <c r="P17" s="348"/>
      <c r="Q17" s="348"/>
      <c r="R17" s="348"/>
      <c r="S17" s="348"/>
      <c r="T17" s="348"/>
      <c r="U17" s="348"/>
      <c r="V17" s="348"/>
      <c r="W17" s="348"/>
      <c r="X17" s="348"/>
      <c r="Y17" s="348"/>
      <c r="Z17" s="252"/>
    </row>
    <row r="18" spans="1:26" s="206" customFormat="1" ht="15" customHeight="1" x14ac:dyDescent="0.25">
      <c r="A18" s="254"/>
      <c r="B18" s="347" t="s">
        <v>27</v>
      </c>
      <c r="C18" s="347"/>
      <c r="D18" s="347"/>
      <c r="E18" s="347"/>
      <c r="F18" s="347"/>
      <c r="G18" s="347"/>
      <c r="H18" s="347"/>
      <c r="I18" s="349" t="s">
        <v>28</v>
      </c>
      <c r="J18" s="349"/>
      <c r="K18" s="253">
        <v>50</v>
      </c>
      <c r="L18" s="253" t="s">
        <v>29</v>
      </c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2"/>
    </row>
    <row r="19" spans="1:26" s="206" customFormat="1" ht="13.2" customHeight="1" x14ac:dyDescent="0.25">
      <c r="A19" s="251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49"/>
    </row>
    <row r="20" spans="1:26" ht="12.75" customHeight="1" x14ac:dyDescent="0.25">
      <c r="D20" s="205"/>
      <c r="E20" s="205"/>
      <c r="F20" s="205"/>
      <c r="G20" s="205"/>
      <c r="N20" s="248"/>
    </row>
    <row r="21" spans="1:26" ht="15.9" customHeight="1" x14ac:dyDescent="0.25">
      <c r="A21" s="247" t="s">
        <v>30</v>
      </c>
      <c r="B21" s="246" t="s">
        <v>31</v>
      </c>
      <c r="C21" s="244"/>
      <c r="D21" s="245"/>
      <c r="E21" s="245"/>
      <c r="F21" s="245"/>
      <c r="G21" s="245"/>
      <c r="H21" s="244"/>
      <c r="I21" s="244"/>
      <c r="J21" s="350" t="s">
        <v>32</v>
      </c>
      <c r="K21" s="350"/>
      <c r="L21" s="350"/>
      <c r="M21" s="350"/>
      <c r="N21" s="350"/>
      <c r="O21" s="350"/>
      <c r="P21" s="350"/>
      <c r="Q21" s="243">
        <v>600</v>
      </c>
      <c r="R21" s="226"/>
      <c r="S21" s="226"/>
      <c r="T21" s="226"/>
      <c r="U21" s="226"/>
      <c r="V21" s="226"/>
      <c r="W21" s="226"/>
      <c r="X21" s="226"/>
      <c r="Y21" s="226"/>
      <c r="Z21" s="242"/>
    </row>
    <row r="22" spans="1:26" ht="12.75" customHeight="1" x14ac:dyDescent="0.25">
      <c r="A22" s="238"/>
      <c r="B22" s="241"/>
      <c r="Z22" s="237"/>
    </row>
    <row r="23" spans="1:26" ht="15.75" customHeight="1" x14ac:dyDescent="0.25">
      <c r="A23" s="238"/>
      <c r="B23" s="351" t="s">
        <v>33</v>
      </c>
      <c r="C23" s="353" t="s">
        <v>34</v>
      </c>
      <c r="D23" s="353"/>
      <c r="E23" s="353"/>
      <c r="F23" s="353"/>
      <c r="G23" s="354"/>
      <c r="H23" s="357" t="s">
        <v>35</v>
      </c>
      <c r="I23" s="358"/>
      <c r="J23" s="359"/>
      <c r="K23" s="353" t="s">
        <v>36</v>
      </c>
      <c r="L23" s="353"/>
      <c r="M23" s="353"/>
      <c r="N23" s="353"/>
      <c r="O23" s="353"/>
      <c r="P23" s="354"/>
      <c r="Z23" s="237"/>
    </row>
    <row r="24" spans="1:26" ht="15.75" customHeight="1" x14ac:dyDescent="0.25">
      <c r="A24" s="238"/>
      <c r="B24" s="352"/>
      <c r="C24" s="355"/>
      <c r="D24" s="355"/>
      <c r="E24" s="355"/>
      <c r="F24" s="355"/>
      <c r="G24" s="356"/>
      <c r="H24" s="360" t="s">
        <v>37</v>
      </c>
      <c r="I24" s="361"/>
      <c r="J24" s="362"/>
      <c r="K24" s="355"/>
      <c r="L24" s="355"/>
      <c r="M24" s="355"/>
      <c r="N24" s="355"/>
      <c r="O24" s="355"/>
      <c r="P24" s="356"/>
      <c r="Z24" s="237"/>
    </row>
    <row r="25" spans="1:26" ht="19.5" customHeight="1" x14ac:dyDescent="0.25">
      <c r="A25" s="238"/>
      <c r="B25" s="240">
        <v>1</v>
      </c>
      <c r="C25" s="341"/>
      <c r="D25" s="342"/>
      <c r="E25" s="342"/>
      <c r="F25" s="342"/>
      <c r="G25" s="343"/>
      <c r="H25" s="344" t="s">
        <v>38</v>
      </c>
      <c r="I25" s="345"/>
      <c r="J25" s="346"/>
      <c r="K25" s="341"/>
      <c r="L25" s="342"/>
      <c r="M25" s="342"/>
      <c r="N25" s="342"/>
      <c r="O25" s="342"/>
      <c r="P25" s="343"/>
      <c r="Z25" s="237"/>
    </row>
    <row r="26" spans="1:26" ht="19.5" customHeight="1" x14ac:dyDescent="0.25">
      <c r="A26" s="238"/>
      <c r="B26" s="240">
        <v>2</v>
      </c>
      <c r="C26" s="341"/>
      <c r="D26" s="342"/>
      <c r="E26" s="342"/>
      <c r="F26" s="342"/>
      <c r="G26" s="343"/>
      <c r="H26" s="344" t="s">
        <v>38</v>
      </c>
      <c r="I26" s="345"/>
      <c r="J26" s="346"/>
      <c r="K26" s="341"/>
      <c r="L26" s="342"/>
      <c r="M26" s="342"/>
      <c r="N26" s="342"/>
      <c r="O26" s="342"/>
      <c r="P26" s="343"/>
      <c r="Z26" s="237"/>
    </row>
    <row r="27" spans="1:26" ht="19.5" customHeight="1" x14ac:dyDescent="0.25">
      <c r="A27" s="238"/>
      <c r="B27" s="240">
        <v>3</v>
      </c>
      <c r="C27" s="341"/>
      <c r="D27" s="342"/>
      <c r="E27" s="342"/>
      <c r="F27" s="342"/>
      <c r="G27" s="343"/>
      <c r="H27" s="344">
        <v>38</v>
      </c>
      <c r="I27" s="345"/>
      <c r="J27" s="346"/>
      <c r="K27" s="341"/>
      <c r="L27" s="342"/>
      <c r="M27" s="342"/>
      <c r="N27" s="342"/>
      <c r="O27" s="342"/>
      <c r="P27" s="343"/>
      <c r="Z27" s="237"/>
    </row>
    <row r="28" spans="1:26" ht="19.5" customHeight="1" x14ac:dyDescent="0.25">
      <c r="A28" s="238"/>
      <c r="B28" s="240">
        <v>4</v>
      </c>
      <c r="C28" s="341"/>
      <c r="D28" s="342"/>
      <c r="E28" s="342"/>
      <c r="F28" s="342"/>
      <c r="G28" s="343"/>
      <c r="H28" s="344">
        <v>36</v>
      </c>
      <c r="I28" s="345"/>
      <c r="J28" s="346"/>
      <c r="K28" s="341"/>
      <c r="L28" s="342"/>
      <c r="M28" s="342"/>
      <c r="N28" s="342"/>
      <c r="O28" s="342"/>
      <c r="P28" s="343"/>
      <c r="Z28" s="237"/>
    </row>
    <row r="29" spans="1:26" ht="19.5" customHeight="1" x14ac:dyDescent="0.25">
      <c r="A29" s="238"/>
      <c r="B29" s="240">
        <v>5</v>
      </c>
      <c r="C29" s="341"/>
      <c r="D29" s="342"/>
      <c r="E29" s="342"/>
      <c r="F29" s="342"/>
      <c r="G29" s="343"/>
      <c r="H29" s="344" t="s">
        <v>38</v>
      </c>
      <c r="I29" s="345"/>
      <c r="J29" s="346"/>
      <c r="K29" s="341"/>
      <c r="L29" s="342"/>
      <c r="M29" s="342"/>
      <c r="N29" s="342"/>
      <c r="O29" s="342"/>
      <c r="P29" s="343"/>
      <c r="Z29" s="237"/>
    </row>
    <row r="30" spans="1:26" ht="19.5" customHeight="1" x14ac:dyDescent="0.25">
      <c r="A30" s="238"/>
      <c r="B30" s="240">
        <v>6</v>
      </c>
      <c r="C30" s="341"/>
      <c r="D30" s="342"/>
      <c r="E30" s="342"/>
      <c r="F30" s="342"/>
      <c r="G30" s="343"/>
      <c r="H30" s="344">
        <v>25</v>
      </c>
      <c r="I30" s="345"/>
      <c r="J30" s="346"/>
      <c r="K30" s="341"/>
      <c r="L30" s="342"/>
      <c r="M30" s="342"/>
      <c r="N30" s="342"/>
      <c r="O30" s="342"/>
      <c r="P30" s="343"/>
      <c r="Z30" s="237"/>
    </row>
    <row r="31" spans="1:26" ht="19.5" customHeight="1" x14ac:dyDescent="0.25">
      <c r="A31" s="238"/>
      <c r="B31" s="240">
        <v>7</v>
      </c>
      <c r="C31" s="341"/>
      <c r="D31" s="342"/>
      <c r="E31" s="342"/>
      <c r="F31" s="342"/>
      <c r="G31" s="343"/>
      <c r="H31" s="344">
        <v>30</v>
      </c>
      <c r="I31" s="345"/>
      <c r="J31" s="346"/>
      <c r="K31" s="341"/>
      <c r="L31" s="342"/>
      <c r="M31" s="342"/>
      <c r="N31" s="342"/>
      <c r="O31" s="342"/>
      <c r="P31" s="343"/>
      <c r="Z31" s="237"/>
    </row>
    <row r="32" spans="1:26" ht="19.5" customHeight="1" x14ac:dyDescent="0.25">
      <c r="A32" s="238"/>
      <c r="B32" s="240"/>
      <c r="C32" s="341"/>
      <c r="D32" s="342"/>
      <c r="E32" s="342"/>
      <c r="F32" s="342"/>
      <c r="G32" s="343"/>
      <c r="H32" s="344"/>
      <c r="I32" s="345"/>
      <c r="J32" s="346"/>
      <c r="K32" s="341"/>
      <c r="L32" s="342"/>
      <c r="M32" s="342"/>
      <c r="N32" s="342"/>
      <c r="O32" s="342"/>
      <c r="P32" s="343"/>
      <c r="Z32" s="237"/>
    </row>
    <row r="33" spans="1:26" ht="19.5" customHeight="1" x14ac:dyDescent="0.25">
      <c r="A33" s="238"/>
      <c r="B33" s="240"/>
      <c r="C33" s="341"/>
      <c r="D33" s="342"/>
      <c r="E33" s="342"/>
      <c r="F33" s="342"/>
      <c r="G33" s="343"/>
      <c r="H33" s="344"/>
      <c r="I33" s="345"/>
      <c r="J33" s="346"/>
      <c r="K33" s="341"/>
      <c r="L33" s="342"/>
      <c r="M33" s="342"/>
      <c r="N33" s="342"/>
      <c r="O33" s="342"/>
      <c r="P33" s="343"/>
      <c r="Z33" s="237"/>
    </row>
    <row r="34" spans="1:26" ht="19.5" customHeight="1" x14ac:dyDescent="0.25">
      <c r="A34" s="238"/>
      <c r="B34" s="240"/>
      <c r="C34" s="341"/>
      <c r="D34" s="342"/>
      <c r="E34" s="342"/>
      <c r="F34" s="342"/>
      <c r="G34" s="343"/>
      <c r="H34" s="344"/>
      <c r="I34" s="345"/>
      <c r="J34" s="346"/>
      <c r="K34" s="341"/>
      <c r="L34" s="342"/>
      <c r="M34" s="342"/>
      <c r="N34" s="342"/>
      <c r="O34" s="342"/>
      <c r="P34" s="343"/>
      <c r="Z34" s="237"/>
    </row>
    <row r="35" spans="1:26" ht="19.5" customHeight="1" x14ac:dyDescent="0.25">
      <c r="A35" s="238"/>
      <c r="B35" s="240"/>
      <c r="C35" s="341"/>
      <c r="D35" s="342"/>
      <c r="E35" s="342"/>
      <c r="F35" s="342"/>
      <c r="G35" s="343"/>
      <c r="H35" s="344"/>
      <c r="I35" s="345"/>
      <c r="J35" s="346"/>
      <c r="K35" s="341"/>
      <c r="L35" s="342"/>
      <c r="M35" s="342"/>
      <c r="N35" s="342"/>
      <c r="O35" s="342"/>
      <c r="P35" s="343"/>
      <c r="Z35" s="237"/>
    </row>
    <row r="36" spans="1:26" ht="19.5" customHeight="1" x14ac:dyDescent="0.25">
      <c r="A36" s="238"/>
      <c r="B36" s="240"/>
      <c r="C36" s="341"/>
      <c r="D36" s="342"/>
      <c r="E36" s="342"/>
      <c r="F36" s="342"/>
      <c r="G36" s="343"/>
      <c r="H36" s="344"/>
      <c r="I36" s="345"/>
      <c r="J36" s="346"/>
      <c r="K36" s="341"/>
      <c r="L36" s="342"/>
      <c r="M36" s="342"/>
      <c r="N36" s="342"/>
      <c r="O36" s="342"/>
      <c r="P36" s="343"/>
      <c r="Z36" s="237"/>
    </row>
    <row r="37" spans="1:26" ht="19.5" customHeight="1" x14ac:dyDescent="0.25">
      <c r="A37" s="238"/>
      <c r="B37" s="240"/>
      <c r="C37" s="341"/>
      <c r="D37" s="342"/>
      <c r="E37" s="342"/>
      <c r="F37" s="342"/>
      <c r="G37" s="343"/>
      <c r="H37" s="344"/>
      <c r="I37" s="345"/>
      <c r="J37" s="346"/>
      <c r="K37" s="341"/>
      <c r="L37" s="342"/>
      <c r="M37" s="342"/>
      <c r="N37" s="342"/>
      <c r="O37" s="342"/>
      <c r="P37" s="343"/>
      <c r="Z37" s="237"/>
    </row>
    <row r="38" spans="1:26" ht="19.5" customHeight="1" x14ac:dyDescent="0.25">
      <c r="A38" s="238"/>
      <c r="B38" s="240"/>
      <c r="C38" s="341"/>
      <c r="D38" s="342"/>
      <c r="E38" s="342"/>
      <c r="F38" s="342"/>
      <c r="G38" s="343"/>
      <c r="H38" s="344"/>
      <c r="I38" s="345"/>
      <c r="J38" s="346"/>
      <c r="K38" s="341"/>
      <c r="L38" s="342"/>
      <c r="M38" s="342"/>
      <c r="N38" s="342"/>
      <c r="O38" s="342"/>
      <c r="P38" s="343"/>
      <c r="Z38" s="237"/>
    </row>
    <row r="39" spans="1:26" ht="19.5" customHeight="1" x14ac:dyDescent="0.25">
      <c r="A39" s="238"/>
      <c r="B39" s="240"/>
      <c r="C39" s="341"/>
      <c r="D39" s="342"/>
      <c r="E39" s="342"/>
      <c r="F39" s="342"/>
      <c r="G39" s="343"/>
      <c r="H39" s="344"/>
      <c r="I39" s="345"/>
      <c r="J39" s="346"/>
      <c r="K39" s="341"/>
      <c r="L39" s="342"/>
      <c r="M39" s="342"/>
      <c r="N39" s="342"/>
      <c r="O39" s="342"/>
      <c r="P39" s="343"/>
      <c r="Z39" s="237"/>
    </row>
    <row r="40" spans="1:26" ht="19.5" customHeight="1" x14ac:dyDescent="0.25">
      <c r="A40" s="238"/>
      <c r="B40" s="240"/>
      <c r="C40" s="341"/>
      <c r="D40" s="342"/>
      <c r="E40" s="342"/>
      <c r="F40" s="342"/>
      <c r="G40" s="343"/>
      <c r="H40" s="344"/>
      <c r="I40" s="345"/>
      <c r="J40" s="346"/>
      <c r="K40" s="341"/>
      <c r="L40" s="342"/>
      <c r="M40" s="342"/>
      <c r="N40" s="342"/>
      <c r="O40" s="342"/>
      <c r="P40" s="343"/>
      <c r="Z40" s="237"/>
    </row>
    <row r="41" spans="1:26" ht="19.5" customHeight="1" x14ac:dyDescent="0.25">
      <c r="A41" s="238"/>
      <c r="B41" s="240"/>
      <c r="C41" s="341"/>
      <c r="D41" s="342"/>
      <c r="E41" s="342"/>
      <c r="F41" s="342"/>
      <c r="G41" s="343"/>
      <c r="H41" s="344"/>
      <c r="I41" s="345"/>
      <c r="J41" s="346"/>
      <c r="K41" s="341"/>
      <c r="L41" s="342"/>
      <c r="M41" s="342"/>
      <c r="N41" s="342"/>
      <c r="O41" s="342"/>
      <c r="P41" s="343"/>
      <c r="Z41" s="237"/>
    </row>
    <row r="42" spans="1:26" ht="19.5" customHeight="1" x14ac:dyDescent="0.25">
      <c r="A42" s="238"/>
      <c r="B42" s="240"/>
      <c r="C42" s="341"/>
      <c r="D42" s="342"/>
      <c r="E42" s="342"/>
      <c r="F42" s="342"/>
      <c r="G42" s="343"/>
      <c r="H42" s="344"/>
      <c r="I42" s="345"/>
      <c r="J42" s="346"/>
      <c r="K42" s="341"/>
      <c r="L42" s="342"/>
      <c r="M42" s="342"/>
      <c r="N42" s="342"/>
      <c r="O42" s="342"/>
      <c r="P42" s="343"/>
      <c r="Z42" s="237"/>
    </row>
    <row r="43" spans="1:26" ht="19.5" customHeight="1" x14ac:dyDescent="0.25">
      <c r="A43" s="238"/>
      <c r="B43" s="240"/>
      <c r="C43" s="341"/>
      <c r="D43" s="342"/>
      <c r="E43" s="342"/>
      <c r="F43" s="342"/>
      <c r="G43" s="343"/>
      <c r="H43" s="344"/>
      <c r="I43" s="345"/>
      <c r="J43" s="346"/>
      <c r="K43" s="341"/>
      <c r="L43" s="342"/>
      <c r="M43" s="342"/>
      <c r="N43" s="342"/>
      <c r="O43" s="342"/>
      <c r="P43" s="343"/>
      <c r="Z43" s="237"/>
    </row>
    <row r="44" spans="1:26" ht="19.5" customHeight="1" x14ac:dyDescent="0.25">
      <c r="A44" s="238"/>
      <c r="B44" s="240"/>
      <c r="C44" s="341"/>
      <c r="D44" s="342"/>
      <c r="E44" s="342"/>
      <c r="F44" s="342"/>
      <c r="G44" s="343"/>
      <c r="H44" s="344"/>
      <c r="I44" s="345"/>
      <c r="J44" s="346"/>
      <c r="K44" s="341"/>
      <c r="L44" s="342"/>
      <c r="M44" s="342"/>
      <c r="N44" s="342"/>
      <c r="O44" s="342"/>
      <c r="P44" s="343"/>
      <c r="Z44" s="237"/>
    </row>
    <row r="45" spans="1:26" ht="19.5" customHeight="1" thickBot="1" x14ac:dyDescent="0.3">
      <c r="A45" s="238"/>
      <c r="B45" s="239"/>
      <c r="C45" s="309"/>
      <c r="D45" s="309"/>
      <c r="E45" s="309"/>
      <c r="F45" s="309"/>
      <c r="G45" s="310"/>
      <c r="H45" s="311"/>
      <c r="I45" s="312"/>
      <c r="J45" s="313"/>
      <c r="K45" s="314"/>
      <c r="L45" s="309"/>
      <c r="M45" s="309"/>
      <c r="N45" s="309"/>
      <c r="O45" s="309"/>
      <c r="P45" s="310"/>
      <c r="Z45" s="237"/>
    </row>
    <row r="46" spans="1:26" ht="15.75" customHeight="1" x14ac:dyDescent="0.25">
      <c r="A46" s="238"/>
      <c r="B46" s="315" t="s">
        <v>39</v>
      </c>
      <c r="C46" s="316"/>
      <c r="D46" s="316"/>
      <c r="E46" s="316"/>
      <c r="F46" s="316"/>
      <c r="G46" s="317"/>
      <c r="H46" s="318">
        <f>AVERAGE(H25:J45)</f>
        <v>32.25</v>
      </c>
      <c r="I46" s="319"/>
      <c r="J46" s="320"/>
      <c r="K46" s="321" t="s">
        <v>40</v>
      </c>
      <c r="L46" s="322"/>
      <c r="M46" s="327" t="s">
        <v>41</v>
      </c>
      <c r="N46" s="327"/>
      <c r="O46" s="327"/>
      <c r="P46" s="328"/>
      <c r="Z46" s="237"/>
    </row>
    <row r="47" spans="1:26" ht="15.75" customHeight="1" x14ac:dyDescent="0.25">
      <c r="A47" s="238"/>
      <c r="B47" s="332" t="s">
        <v>42</v>
      </c>
      <c r="C47" s="333"/>
      <c r="D47" s="333"/>
      <c r="E47" s="333"/>
      <c r="F47" s="333"/>
      <c r="G47" s="334"/>
      <c r="H47" s="335" t="str">
        <f>IF(COUNTIF(H25:J45,"*&lt;20*"),"&lt;20",MIN(H25:J45))</f>
        <v>&lt;20</v>
      </c>
      <c r="I47" s="336"/>
      <c r="J47" s="337"/>
      <c r="K47" s="323"/>
      <c r="L47" s="324"/>
      <c r="M47" s="281"/>
      <c r="N47" s="281"/>
      <c r="O47" s="281"/>
      <c r="P47" s="329"/>
      <c r="Z47" s="237"/>
    </row>
    <row r="48" spans="1:26" ht="15.75" customHeight="1" thickBot="1" x14ac:dyDescent="0.3">
      <c r="A48" s="238"/>
      <c r="B48" s="338" t="s">
        <v>43</v>
      </c>
      <c r="C48" s="339"/>
      <c r="D48" s="339"/>
      <c r="E48" s="339"/>
      <c r="F48" s="339"/>
      <c r="G48" s="340"/>
      <c r="H48" s="282">
        <f>IF(COUNTIF(H25:J45,"*&gt;250*"),"&gt;250",MAX(H25:J45))</f>
        <v>38</v>
      </c>
      <c r="I48" s="283"/>
      <c r="J48" s="284"/>
      <c r="K48" s="325"/>
      <c r="L48" s="326"/>
      <c r="M48" s="330"/>
      <c r="N48" s="330"/>
      <c r="O48" s="330"/>
      <c r="P48" s="331"/>
      <c r="Z48" s="237"/>
    </row>
    <row r="49" spans="1:26" ht="15.9" customHeight="1" x14ac:dyDescent="0.25">
      <c r="A49" s="236"/>
      <c r="B49" s="235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3"/>
    </row>
    <row r="50" spans="1:26" ht="12.75" customHeight="1" x14ac:dyDescent="0.25">
      <c r="A50" s="232"/>
      <c r="B50" s="231"/>
    </row>
    <row r="51" spans="1:26" s="206" customFormat="1" ht="15.6" customHeight="1" x14ac:dyDescent="0.25">
      <c r="A51" s="230" t="s">
        <v>44</v>
      </c>
      <c r="B51" s="229" t="s">
        <v>45</v>
      </c>
      <c r="C51" s="228"/>
      <c r="D51" s="228"/>
      <c r="E51" s="228"/>
      <c r="F51" s="227"/>
      <c r="G51" s="227"/>
      <c r="H51" s="227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5"/>
      <c r="V51" s="224"/>
      <c r="W51" s="224"/>
      <c r="X51" s="223"/>
      <c r="Y51" s="223"/>
      <c r="Z51" s="222"/>
    </row>
    <row r="52" spans="1:26" s="206" customFormat="1" ht="28.5" customHeight="1" x14ac:dyDescent="0.25">
      <c r="A52" s="285" t="s">
        <v>46</v>
      </c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7"/>
      <c r="R52" s="275" t="s">
        <v>47</v>
      </c>
      <c r="S52" s="276"/>
      <c r="T52" s="277"/>
      <c r="U52" s="288" t="s">
        <v>48</v>
      </c>
      <c r="V52" s="289"/>
      <c r="W52" s="289"/>
      <c r="X52" s="290"/>
      <c r="Y52" s="290"/>
      <c r="Z52" s="291"/>
    </row>
    <row r="53" spans="1:26" s="206" customFormat="1" ht="15.6" customHeight="1" x14ac:dyDescent="0.25">
      <c r="A53" s="292" t="s">
        <v>54</v>
      </c>
      <c r="B53" s="293"/>
      <c r="C53" s="293"/>
      <c r="D53" s="293"/>
      <c r="E53" s="293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4"/>
      <c r="R53" s="275" t="s">
        <v>49</v>
      </c>
      <c r="S53" s="276"/>
      <c r="T53" s="277"/>
      <c r="U53" s="298" t="s">
        <v>50</v>
      </c>
      <c r="V53" s="299"/>
      <c r="W53" s="299"/>
      <c r="X53" s="300"/>
      <c r="Y53" s="300"/>
      <c r="Z53" s="301"/>
    </row>
    <row r="54" spans="1:26" s="206" customFormat="1" ht="15.6" customHeight="1" x14ac:dyDescent="0.25">
      <c r="A54" s="295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7"/>
      <c r="R54" s="275"/>
      <c r="S54" s="276"/>
      <c r="T54" s="277"/>
      <c r="U54" s="302"/>
      <c r="V54" s="281"/>
      <c r="W54" s="281"/>
      <c r="X54" s="303"/>
      <c r="Y54" s="303"/>
      <c r="Z54" s="304"/>
    </row>
    <row r="55" spans="1:26" s="206" customFormat="1" ht="15.6" customHeight="1" x14ac:dyDescent="0.25">
      <c r="A55" s="221" t="s">
        <v>51</v>
      </c>
      <c r="B55" s="220" t="s">
        <v>52</v>
      </c>
      <c r="C55" s="204"/>
      <c r="D55" s="204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8"/>
      <c r="R55" s="275"/>
      <c r="S55" s="276"/>
      <c r="T55" s="277"/>
      <c r="U55" s="305"/>
      <c r="V55" s="306"/>
      <c r="W55" s="306"/>
      <c r="X55" s="307"/>
      <c r="Y55" s="307"/>
      <c r="Z55" s="308"/>
    </row>
    <row r="56" spans="1:26" s="206" customFormat="1" ht="15.6" customHeight="1" x14ac:dyDescent="0.25">
      <c r="A56" s="269"/>
      <c r="B56" s="270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1"/>
      <c r="R56" s="275" t="s">
        <v>53</v>
      </c>
      <c r="S56" s="276"/>
      <c r="T56" s="277"/>
      <c r="U56" s="217"/>
      <c r="V56" s="216"/>
      <c r="W56" s="216"/>
      <c r="X56" s="216"/>
      <c r="Y56" s="216"/>
      <c r="Z56" s="215"/>
    </row>
    <row r="57" spans="1:26" s="206" customFormat="1" ht="15.6" customHeight="1" x14ac:dyDescent="0.25">
      <c r="A57" s="269"/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1"/>
      <c r="R57" s="275"/>
      <c r="S57" s="276"/>
      <c r="T57" s="277"/>
      <c r="U57" s="214"/>
      <c r="V57" s="281"/>
      <c r="W57" s="281"/>
      <c r="X57" s="281"/>
      <c r="Y57" s="281"/>
      <c r="Z57" s="213"/>
    </row>
    <row r="58" spans="1:26" s="206" customFormat="1" ht="15.6" customHeight="1" x14ac:dyDescent="0.25">
      <c r="A58" s="269"/>
      <c r="B58" s="270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1"/>
      <c r="R58" s="275"/>
      <c r="S58" s="276"/>
      <c r="T58" s="277"/>
      <c r="U58" s="214"/>
      <c r="V58" s="281"/>
      <c r="W58" s="281"/>
      <c r="X58" s="281"/>
      <c r="Y58" s="281"/>
      <c r="Z58" s="213"/>
    </row>
    <row r="59" spans="1:26" s="206" customFormat="1" ht="15.6" customHeight="1" x14ac:dyDescent="0.25">
      <c r="A59" s="272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4"/>
      <c r="R59" s="278"/>
      <c r="S59" s="279"/>
      <c r="T59" s="280"/>
      <c r="U59" s="212"/>
      <c r="V59" s="211"/>
      <c r="W59" s="211"/>
      <c r="X59" s="211"/>
      <c r="Y59" s="211"/>
      <c r="Z59" s="210"/>
    </row>
    <row r="60" spans="1:26" s="206" customFormat="1" ht="15" customHeight="1" x14ac:dyDescent="0.25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8"/>
      <c r="S60" s="208"/>
      <c r="T60" s="208"/>
      <c r="U60" s="207"/>
      <c r="V60" s="207"/>
      <c r="W60" s="207"/>
      <c r="X60" s="207"/>
      <c r="Y60" s="207"/>
      <c r="Z60" s="207"/>
    </row>
    <row r="62" spans="1:26" ht="12.75" customHeight="1" x14ac:dyDescent="0.25">
      <c r="A62" s="204"/>
    </row>
    <row r="63" spans="1:26" ht="12.75" customHeight="1" x14ac:dyDescent="0.25">
      <c r="A63" s="204"/>
    </row>
    <row r="64" spans="1:26" ht="12.75" customHeight="1" x14ac:dyDescent="0.25">
      <c r="A64" s="204"/>
    </row>
    <row r="65" spans="1:1" ht="12.75" customHeight="1" x14ac:dyDescent="0.25">
      <c r="A65" s="204"/>
    </row>
    <row r="66" spans="1:1" ht="12.75" customHeight="1" x14ac:dyDescent="0.25">
      <c r="A66" s="204"/>
    </row>
    <row r="67" spans="1:1" ht="12.75" customHeight="1" x14ac:dyDescent="0.25">
      <c r="A67" s="204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3:Z55"/>
    <mergeCell ref="C32:G32"/>
    <mergeCell ref="H32:J32"/>
    <mergeCell ref="K32:P32"/>
    <mergeCell ref="C33:G33"/>
    <mergeCell ref="H33:J33"/>
    <mergeCell ref="K33:P33"/>
    <mergeCell ref="H47:J47"/>
    <mergeCell ref="H35:J35"/>
    <mergeCell ref="K35:P35"/>
    <mergeCell ref="C36:G36"/>
    <mergeCell ref="H36:J36"/>
    <mergeCell ref="K36:P36"/>
    <mergeCell ref="C37:G37"/>
    <mergeCell ref="H37:J37"/>
    <mergeCell ref="K37:P37"/>
    <mergeCell ref="U52:Z52"/>
    <mergeCell ref="H28:J28"/>
    <mergeCell ref="K25:P25"/>
    <mergeCell ref="H42:J42"/>
    <mergeCell ref="K42:P42"/>
    <mergeCell ref="C43:G43"/>
    <mergeCell ref="H43:J43"/>
    <mergeCell ref="K43:P43"/>
    <mergeCell ref="A53:Q54"/>
    <mergeCell ref="R53:T55"/>
    <mergeCell ref="A52:Q52"/>
    <mergeCell ref="R52:T52"/>
    <mergeCell ref="C34:G34"/>
    <mergeCell ref="H34:J34"/>
    <mergeCell ref="K34:P34"/>
    <mergeCell ref="C35:G35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4:P44"/>
    <mergeCell ref="C42:G42"/>
    <mergeCell ref="B48:G48"/>
    <mergeCell ref="B46:G46"/>
    <mergeCell ref="H48:J48"/>
    <mergeCell ref="H46:J46"/>
    <mergeCell ref="M46:P48"/>
    <mergeCell ref="K46:L48"/>
    <mergeCell ref="C40:G4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A7:F7"/>
    <mergeCell ref="G7:Z7"/>
    <mergeCell ref="H10:M10"/>
    <mergeCell ref="S12:Y12"/>
    <mergeCell ref="K23:P24"/>
    <mergeCell ref="I17:Y17"/>
    <mergeCell ref="S11:Y11"/>
    <mergeCell ref="H45:J45"/>
    <mergeCell ref="K45:P45"/>
    <mergeCell ref="K28:P28"/>
    <mergeCell ref="C29:G29"/>
    <mergeCell ref="H29:J29"/>
    <mergeCell ref="K29:P29"/>
    <mergeCell ref="H40:J40"/>
    <mergeCell ref="K40:P40"/>
    <mergeCell ref="C41:G41"/>
    <mergeCell ref="H41:J41"/>
    <mergeCell ref="N12:R12"/>
    <mergeCell ref="H12:M12"/>
    <mergeCell ref="H11:M11"/>
    <mergeCell ref="N11:R11"/>
    <mergeCell ref="B17:H17"/>
    <mergeCell ref="B12:G12"/>
    <mergeCell ref="B11:G11"/>
    <mergeCell ref="C26:G26"/>
    <mergeCell ref="H26:J26"/>
    <mergeCell ref="C28:G28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56:Q59"/>
    <mergeCell ref="R56:T59"/>
    <mergeCell ref="K26:P26"/>
    <mergeCell ref="C27:G27"/>
    <mergeCell ref="H27:J27"/>
    <mergeCell ref="K27:P27"/>
    <mergeCell ref="C45:G45"/>
    <mergeCell ref="B47:G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8AB9-4568-4B34-A2C3-876A42E8A56D}">
  <sheetPr>
    <pageSetUpPr fitToPage="1"/>
  </sheetPr>
  <dimension ref="A1:AA67"/>
  <sheetViews>
    <sheetView workbookViewId="0">
      <selection activeCell="L5" sqref="L5:O5"/>
    </sheetView>
  </sheetViews>
  <sheetFormatPr baseColWidth="10" defaultColWidth="11.44140625" defaultRowHeight="12.75" customHeight="1" x14ac:dyDescent="0.25"/>
  <cols>
    <col min="1" max="1" width="5.109375" style="205" customWidth="1"/>
    <col min="2" max="26" width="5.109375" style="204" customWidth="1"/>
    <col min="27" max="27" width="11.44140625" style="204"/>
  </cols>
  <sheetData>
    <row r="1" spans="1:26" ht="12.75" customHeight="1" x14ac:dyDescent="0.25">
      <c r="A1" s="370"/>
      <c r="B1" s="371"/>
      <c r="C1" s="371"/>
      <c r="D1" s="371"/>
      <c r="E1" s="371"/>
      <c r="F1" s="372"/>
      <c r="G1" s="419" t="s">
        <v>0</v>
      </c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1"/>
      <c r="U1" s="382" t="s">
        <v>62</v>
      </c>
      <c r="V1" s="383"/>
      <c r="W1" s="383"/>
      <c r="X1" s="383"/>
      <c r="Y1" s="383"/>
      <c r="Z1" s="384"/>
    </row>
    <row r="2" spans="1:26" ht="12.75" customHeight="1" x14ac:dyDescent="0.25">
      <c r="A2" s="373"/>
      <c r="B2" s="374"/>
      <c r="C2" s="374"/>
      <c r="D2" s="374"/>
      <c r="E2" s="374"/>
      <c r="F2" s="375"/>
      <c r="G2" s="422" t="s">
        <v>2</v>
      </c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4"/>
      <c r="U2" s="385"/>
      <c r="V2" s="386"/>
      <c r="W2" s="386"/>
      <c r="X2" s="386"/>
      <c r="Y2" s="386"/>
      <c r="Z2" s="387"/>
    </row>
    <row r="3" spans="1:26" ht="12.75" customHeight="1" x14ac:dyDescent="0.25">
      <c r="A3" s="373"/>
      <c r="B3" s="374"/>
      <c r="C3" s="374"/>
      <c r="D3" s="374"/>
      <c r="E3" s="374"/>
      <c r="F3" s="375"/>
      <c r="G3" s="422"/>
      <c r="H3" s="423"/>
      <c r="I3" s="423"/>
      <c r="J3" s="423"/>
      <c r="K3" s="423"/>
      <c r="L3" s="423"/>
      <c r="M3" s="423"/>
      <c r="N3" s="423"/>
      <c r="O3" s="423"/>
      <c r="P3" s="423"/>
      <c r="Q3" s="423"/>
      <c r="R3" s="423"/>
      <c r="S3" s="423"/>
      <c r="T3" s="424"/>
      <c r="U3" s="385"/>
      <c r="V3" s="386"/>
      <c r="W3" s="386"/>
      <c r="X3" s="386"/>
      <c r="Y3" s="386"/>
      <c r="Z3" s="387"/>
    </row>
    <row r="4" spans="1:26" ht="12.75" customHeight="1" x14ac:dyDescent="0.25">
      <c r="A4" s="373"/>
      <c r="B4" s="374"/>
      <c r="C4" s="374"/>
      <c r="D4" s="374"/>
      <c r="E4" s="374"/>
      <c r="F4" s="375"/>
      <c r="G4" s="422"/>
      <c r="H4" s="423"/>
      <c r="I4" s="423"/>
      <c r="J4" s="423"/>
      <c r="K4" s="423"/>
      <c r="L4" s="423"/>
      <c r="M4" s="423"/>
      <c r="N4" s="423"/>
      <c r="O4" s="423"/>
      <c r="P4" s="423"/>
      <c r="Q4" s="423"/>
      <c r="R4" s="423"/>
      <c r="S4" s="423"/>
      <c r="T4" s="424"/>
      <c r="U4" s="385"/>
      <c r="V4" s="386"/>
      <c r="W4" s="386"/>
      <c r="X4" s="386"/>
      <c r="Y4" s="386"/>
      <c r="Z4" s="387"/>
    </row>
    <row r="5" spans="1:26" ht="12.75" customHeight="1" x14ac:dyDescent="0.25">
      <c r="A5" s="373"/>
      <c r="B5" s="374"/>
      <c r="C5" s="374"/>
      <c r="D5" s="374"/>
      <c r="E5" s="374"/>
      <c r="F5" s="375"/>
      <c r="G5" s="410" t="s">
        <v>3</v>
      </c>
      <c r="H5" s="411"/>
      <c r="I5" s="412">
        <v>5</v>
      </c>
      <c r="J5" s="412"/>
      <c r="K5" s="413"/>
      <c r="L5" s="407" t="s">
        <v>4</v>
      </c>
      <c r="M5" s="408"/>
      <c r="N5" s="408"/>
      <c r="O5" s="409"/>
      <c r="P5" s="415">
        <v>45425</v>
      </c>
      <c r="Q5" s="416"/>
      <c r="R5" s="416"/>
      <c r="S5" s="416"/>
      <c r="T5" s="417"/>
      <c r="U5" s="385"/>
      <c r="V5" s="386"/>
      <c r="W5" s="386"/>
      <c r="X5" s="386"/>
      <c r="Y5" s="386"/>
      <c r="Z5" s="387"/>
    </row>
    <row r="6" spans="1:26" ht="12.75" customHeight="1" x14ac:dyDescent="0.25">
      <c r="A6" s="376"/>
      <c r="B6" s="377"/>
      <c r="C6" s="377"/>
      <c r="D6" s="377"/>
      <c r="E6" s="377"/>
      <c r="F6" s="378"/>
      <c r="G6" s="138"/>
      <c r="H6" s="97"/>
      <c r="I6" s="414" t="s">
        <v>6</v>
      </c>
      <c r="J6" s="414"/>
      <c r="K6" s="414"/>
      <c r="L6" s="414" t="s">
        <v>7</v>
      </c>
      <c r="M6" s="414"/>
      <c r="N6" s="414"/>
      <c r="O6" s="414"/>
      <c r="P6" s="414" t="s">
        <v>8</v>
      </c>
      <c r="Q6" s="414"/>
      <c r="R6" s="414"/>
      <c r="S6" s="414"/>
      <c r="T6" s="418"/>
      <c r="U6" s="388"/>
      <c r="V6" s="389"/>
      <c r="W6" s="389"/>
      <c r="X6" s="389"/>
      <c r="Y6" s="389"/>
      <c r="Z6" s="390"/>
    </row>
    <row r="7" spans="1:26" ht="36.6" customHeight="1" x14ac:dyDescent="0.25">
      <c r="A7" s="368" t="s">
        <v>9</v>
      </c>
      <c r="B7" s="368"/>
      <c r="C7" s="368"/>
      <c r="D7" s="368"/>
      <c r="E7" s="368"/>
      <c r="F7" s="368"/>
      <c r="G7" s="369" t="s">
        <v>10</v>
      </c>
      <c r="H7" s="369"/>
      <c r="I7" s="369"/>
      <c r="J7" s="369"/>
      <c r="K7" s="369"/>
      <c r="L7" s="369"/>
      <c r="M7" s="369"/>
      <c r="N7" s="369"/>
      <c r="O7" s="369"/>
      <c r="P7" s="369"/>
      <c r="Q7" s="369"/>
      <c r="R7" s="369"/>
      <c r="S7" s="369"/>
      <c r="T7" s="369"/>
      <c r="U7" s="369"/>
      <c r="V7" s="369"/>
      <c r="W7" s="369"/>
      <c r="X7" s="369"/>
      <c r="Y7" s="369"/>
      <c r="Z7" s="369"/>
    </row>
    <row r="8" spans="1:26" ht="15.9" customHeight="1" x14ac:dyDescent="0.25">
      <c r="A8" s="247" t="s">
        <v>11</v>
      </c>
      <c r="B8" s="229" t="s">
        <v>12</v>
      </c>
      <c r="C8" s="226"/>
      <c r="D8" s="267"/>
      <c r="E8" s="267"/>
      <c r="F8" s="267"/>
      <c r="G8" s="267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42"/>
    </row>
    <row r="9" spans="1:26" ht="8.25" customHeight="1" x14ac:dyDescent="0.25">
      <c r="A9" s="238"/>
      <c r="D9" s="205"/>
      <c r="E9" s="205"/>
      <c r="F9" s="205"/>
      <c r="G9" s="205"/>
      <c r="Z9" s="237"/>
    </row>
    <row r="10" spans="1:26" ht="15.9" customHeight="1" x14ac:dyDescent="0.25">
      <c r="A10" s="238"/>
      <c r="B10" s="363" t="s">
        <v>13</v>
      </c>
      <c r="C10" s="363"/>
      <c r="D10" s="363"/>
      <c r="E10" s="363"/>
      <c r="F10" s="363"/>
      <c r="G10" s="363"/>
      <c r="H10" s="364" t="s">
        <v>14</v>
      </c>
      <c r="I10" s="364"/>
      <c r="J10" s="364"/>
      <c r="K10" s="364"/>
      <c r="L10" s="364"/>
      <c r="M10" s="364"/>
      <c r="N10" s="363" t="s">
        <v>15</v>
      </c>
      <c r="O10" s="363"/>
      <c r="P10" s="363"/>
      <c r="Q10" s="363"/>
      <c r="R10" s="363"/>
      <c r="S10" s="365" t="s">
        <v>73</v>
      </c>
      <c r="T10" s="365"/>
      <c r="U10" s="365"/>
      <c r="V10" s="365"/>
      <c r="W10" s="365"/>
      <c r="X10" s="365"/>
      <c r="Y10" s="365"/>
      <c r="Z10" s="266"/>
    </row>
    <row r="11" spans="1:26" ht="15.9" customHeight="1" x14ac:dyDescent="0.25">
      <c r="A11" s="238"/>
      <c r="B11" s="363" t="s">
        <v>17</v>
      </c>
      <c r="C11" s="363"/>
      <c r="D11" s="363"/>
      <c r="E11" s="363"/>
      <c r="F11" s="363"/>
      <c r="G11" s="363"/>
      <c r="H11" s="364" t="s">
        <v>72</v>
      </c>
      <c r="I11" s="364"/>
      <c r="J11" s="364"/>
      <c r="K11" s="364"/>
      <c r="L11" s="364"/>
      <c r="M11" s="364"/>
      <c r="N11" s="363" t="s">
        <v>18</v>
      </c>
      <c r="O11" s="363"/>
      <c r="P11" s="363"/>
      <c r="Q11" s="363"/>
      <c r="R11" s="363"/>
      <c r="S11" s="365" t="s">
        <v>59</v>
      </c>
      <c r="T11" s="365"/>
      <c r="U11" s="365"/>
      <c r="V11" s="365"/>
      <c r="W11" s="365"/>
      <c r="X11" s="365"/>
      <c r="Y11" s="365"/>
      <c r="Z11" s="266"/>
    </row>
    <row r="12" spans="1:26" ht="15.9" customHeight="1" x14ac:dyDescent="0.25">
      <c r="A12" s="238"/>
      <c r="B12" s="363" t="s">
        <v>20</v>
      </c>
      <c r="C12" s="363"/>
      <c r="D12" s="363"/>
      <c r="E12" s="363"/>
      <c r="F12" s="363"/>
      <c r="G12" s="363"/>
      <c r="H12" s="364" t="s">
        <v>71</v>
      </c>
      <c r="I12" s="364"/>
      <c r="J12" s="364"/>
      <c r="K12" s="364"/>
      <c r="L12" s="364"/>
      <c r="M12" s="364"/>
      <c r="N12" s="363" t="s">
        <v>22</v>
      </c>
      <c r="O12" s="363"/>
      <c r="P12" s="363"/>
      <c r="Q12" s="363"/>
      <c r="R12" s="363"/>
      <c r="S12" s="365" t="s">
        <v>23</v>
      </c>
      <c r="T12" s="365"/>
      <c r="U12" s="365"/>
      <c r="V12" s="365"/>
      <c r="W12" s="365"/>
      <c r="X12" s="365"/>
      <c r="Y12" s="365"/>
      <c r="Z12" s="266"/>
    </row>
    <row r="13" spans="1:26" ht="8.25" customHeight="1" x14ac:dyDescent="0.25">
      <c r="A13" s="265"/>
      <c r="B13" s="234"/>
      <c r="C13" s="234"/>
      <c r="D13" s="264"/>
      <c r="E13" s="264"/>
      <c r="F13" s="264"/>
      <c r="G13" s="264"/>
      <c r="H13" s="234"/>
      <c r="I13" s="234"/>
      <c r="J13" s="234"/>
      <c r="K13" s="234"/>
      <c r="L13" s="234"/>
      <c r="M13" s="234"/>
      <c r="N13" s="263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3"/>
    </row>
    <row r="14" spans="1:26" s="206" customFormat="1" ht="15" customHeight="1" x14ac:dyDescent="0.25">
      <c r="B14" s="261"/>
      <c r="C14" s="261"/>
      <c r="K14" s="262"/>
      <c r="L14" s="261"/>
      <c r="M14" s="260"/>
    </row>
    <row r="15" spans="1:26" s="206" customFormat="1" ht="15.6" customHeight="1" x14ac:dyDescent="0.25">
      <c r="A15" s="247" t="s">
        <v>24</v>
      </c>
      <c r="B15" s="259" t="s">
        <v>25</v>
      </c>
      <c r="C15" s="258"/>
      <c r="D15" s="258"/>
      <c r="E15" s="258"/>
      <c r="F15" s="258"/>
      <c r="G15" s="258"/>
      <c r="H15" s="258"/>
      <c r="I15" s="258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Z15" s="257"/>
    </row>
    <row r="16" spans="1:26" s="206" customFormat="1" ht="15" customHeight="1" x14ac:dyDescent="0.25">
      <c r="A16" s="254"/>
      <c r="B16" s="256"/>
      <c r="Z16" s="255"/>
    </row>
    <row r="17" spans="1:26" s="206" customFormat="1" ht="15" customHeight="1" x14ac:dyDescent="0.25">
      <c r="A17" s="254"/>
      <c r="B17" s="347" t="s">
        <v>26</v>
      </c>
      <c r="C17" s="347"/>
      <c r="D17" s="347"/>
      <c r="E17" s="347"/>
      <c r="F17" s="347"/>
      <c r="G17" s="347"/>
      <c r="H17" s="347"/>
      <c r="I17" s="348"/>
      <c r="J17" s="348"/>
      <c r="K17" s="348"/>
      <c r="L17" s="348"/>
      <c r="M17" s="348"/>
      <c r="N17" s="348"/>
      <c r="O17" s="348"/>
      <c r="P17" s="348"/>
      <c r="Q17" s="348"/>
      <c r="R17" s="348"/>
      <c r="S17" s="348"/>
      <c r="T17" s="348"/>
      <c r="U17" s="348"/>
      <c r="V17" s="348"/>
      <c r="W17" s="348"/>
      <c r="X17" s="348"/>
      <c r="Y17" s="348"/>
      <c r="Z17" s="252"/>
    </row>
    <row r="18" spans="1:26" s="206" customFormat="1" ht="15" customHeight="1" x14ac:dyDescent="0.25">
      <c r="A18" s="254"/>
      <c r="B18" s="347" t="s">
        <v>27</v>
      </c>
      <c r="C18" s="347"/>
      <c r="D18" s="347"/>
      <c r="E18" s="347"/>
      <c r="F18" s="347"/>
      <c r="G18" s="347"/>
      <c r="H18" s="347"/>
      <c r="I18" s="349" t="s">
        <v>28</v>
      </c>
      <c r="J18" s="349"/>
      <c r="K18" s="253">
        <v>20</v>
      </c>
      <c r="L18" s="253" t="s">
        <v>29</v>
      </c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2"/>
    </row>
    <row r="19" spans="1:26" s="206" customFormat="1" ht="13.2" customHeight="1" x14ac:dyDescent="0.25">
      <c r="A19" s="251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49"/>
    </row>
    <row r="20" spans="1:26" ht="12.75" customHeight="1" x14ac:dyDescent="0.25">
      <c r="D20" s="205"/>
      <c r="E20" s="205"/>
      <c r="F20" s="205"/>
      <c r="G20" s="205"/>
      <c r="N20" s="248"/>
    </row>
    <row r="21" spans="1:26" ht="15.9" customHeight="1" x14ac:dyDescent="0.25">
      <c r="A21" s="247" t="s">
        <v>30</v>
      </c>
      <c r="B21" s="246" t="s">
        <v>31</v>
      </c>
      <c r="C21" s="244"/>
      <c r="D21" s="245"/>
      <c r="E21" s="245"/>
      <c r="F21" s="245"/>
      <c r="G21" s="245"/>
      <c r="H21" s="244"/>
      <c r="I21" s="244"/>
      <c r="J21" s="350" t="s">
        <v>32</v>
      </c>
      <c r="K21" s="350"/>
      <c r="L21" s="350"/>
      <c r="M21" s="350"/>
      <c r="N21" s="350"/>
      <c r="O21" s="350"/>
      <c r="P21" s="350"/>
      <c r="Q21" s="243">
        <v>600</v>
      </c>
      <c r="R21" s="226"/>
      <c r="S21" s="226"/>
      <c r="T21" s="226"/>
      <c r="U21" s="226"/>
      <c r="V21" s="226"/>
      <c r="W21" s="226"/>
      <c r="X21" s="226"/>
      <c r="Y21" s="226"/>
      <c r="Z21" s="242"/>
    </row>
    <row r="22" spans="1:26" ht="12.75" customHeight="1" x14ac:dyDescent="0.25">
      <c r="A22" s="238"/>
      <c r="B22" s="241"/>
      <c r="Z22" s="237"/>
    </row>
    <row r="23" spans="1:26" ht="15.75" customHeight="1" x14ac:dyDescent="0.25">
      <c r="A23" s="238"/>
      <c r="B23" s="351" t="s">
        <v>33</v>
      </c>
      <c r="C23" s="353" t="s">
        <v>34</v>
      </c>
      <c r="D23" s="353"/>
      <c r="E23" s="353"/>
      <c r="F23" s="353"/>
      <c r="G23" s="354"/>
      <c r="H23" s="357" t="s">
        <v>35</v>
      </c>
      <c r="I23" s="358"/>
      <c r="J23" s="359"/>
      <c r="K23" s="353" t="s">
        <v>36</v>
      </c>
      <c r="L23" s="353"/>
      <c r="M23" s="353"/>
      <c r="N23" s="353"/>
      <c r="O23" s="353"/>
      <c r="P23" s="354"/>
      <c r="Z23" s="237"/>
    </row>
    <row r="24" spans="1:26" ht="15.75" customHeight="1" x14ac:dyDescent="0.25">
      <c r="A24" s="238"/>
      <c r="B24" s="352"/>
      <c r="C24" s="355"/>
      <c r="D24" s="355"/>
      <c r="E24" s="355"/>
      <c r="F24" s="355"/>
      <c r="G24" s="356"/>
      <c r="H24" s="360" t="s">
        <v>37</v>
      </c>
      <c r="I24" s="361"/>
      <c r="J24" s="362"/>
      <c r="K24" s="355"/>
      <c r="L24" s="355"/>
      <c r="M24" s="355"/>
      <c r="N24" s="355"/>
      <c r="O24" s="355"/>
      <c r="P24" s="356"/>
      <c r="Z24" s="237"/>
    </row>
    <row r="25" spans="1:26" ht="19.5" customHeight="1" x14ac:dyDescent="0.25">
      <c r="A25" s="238"/>
      <c r="B25" s="240">
        <v>1</v>
      </c>
      <c r="C25" s="341"/>
      <c r="D25" s="342"/>
      <c r="E25" s="342"/>
      <c r="F25" s="342"/>
      <c r="G25" s="343"/>
      <c r="H25" s="344" t="s">
        <v>38</v>
      </c>
      <c r="I25" s="345"/>
      <c r="J25" s="346"/>
      <c r="K25" s="341"/>
      <c r="L25" s="342"/>
      <c r="M25" s="342"/>
      <c r="N25" s="342"/>
      <c r="O25" s="342"/>
      <c r="P25" s="343"/>
      <c r="Z25" s="237"/>
    </row>
    <row r="26" spans="1:26" ht="19.5" customHeight="1" x14ac:dyDescent="0.25">
      <c r="A26" s="238"/>
      <c r="B26" s="240">
        <v>2</v>
      </c>
      <c r="C26" s="341"/>
      <c r="D26" s="342"/>
      <c r="E26" s="342"/>
      <c r="F26" s="342"/>
      <c r="G26" s="343"/>
      <c r="H26" s="344">
        <v>22</v>
      </c>
      <c r="I26" s="345"/>
      <c r="J26" s="346"/>
      <c r="K26" s="341"/>
      <c r="L26" s="342"/>
      <c r="M26" s="342"/>
      <c r="N26" s="342"/>
      <c r="O26" s="342"/>
      <c r="P26" s="343"/>
      <c r="Z26" s="237"/>
    </row>
    <row r="27" spans="1:26" ht="19.5" customHeight="1" x14ac:dyDescent="0.25">
      <c r="A27" s="238"/>
      <c r="B27" s="240">
        <v>3</v>
      </c>
      <c r="C27" s="341"/>
      <c r="D27" s="342"/>
      <c r="E27" s="342"/>
      <c r="F27" s="342"/>
      <c r="G27" s="343"/>
      <c r="H27" s="344">
        <v>25</v>
      </c>
      <c r="I27" s="345"/>
      <c r="J27" s="346"/>
      <c r="K27" s="341"/>
      <c r="L27" s="342"/>
      <c r="M27" s="342"/>
      <c r="N27" s="342"/>
      <c r="O27" s="342"/>
      <c r="P27" s="343"/>
      <c r="Z27" s="237"/>
    </row>
    <row r="28" spans="1:26" ht="19.5" customHeight="1" x14ac:dyDescent="0.25">
      <c r="A28" s="238"/>
      <c r="B28" s="240"/>
      <c r="C28" s="341"/>
      <c r="D28" s="342"/>
      <c r="E28" s="342"/>
      <c r="F28" s="342"/>
      <c r="G28" s="343"/>
      <c r="H28" s="344"/>
      <c r="I28" s="345"/>
      <c r="J28" s="346"/>
      <c r="K28" s="341"/>
      <c r="L28" s="342"/>
      <c r="M28" s="342"/>
      <c r="N28" s="342"/>
      <c r="O28" s="342"/>
      <c r="P28" s="343"/>
      <c r="Z28" s="237"/>
    </row>
    <row r="29" spans="1:26" ht="19.5" customHeight="1" x14ac:dyDescent="0.25">
      <c r="A29" s="238"/>
      <c r="B29" s="240"/>
      <c r="C29" s="341"/>
      <c r="D29" s="342"/>
      <c r="E29" s="342"/>
      <c r="F29" s="342"/>
      <c r="G29" s="343"/>
      <c r="H29" s="344"/>
      <c r="I29" s="345"/>
      <c r="J29" s="346"/>
      <c r="K29" s="341"/>
      <c r="L29" s="342"/>
      <c r="M29" s="342"/>
      <c r="N29" s="342"/>
      <c r="O29" s="342"/>
      <c r="P29" s="343"/>
      <c r="Z29" s="237"/>
    </row>
    <row r="30" spans="1:26" ht="19.5" customHeight="1" x14ac:dyDescent="0.25">
      <c r="A30" s="238"/>
      <c r="B30" s="240"/>
      <c r="C30" s="341"/>
      <c r="D30" s="342"/>
      <c r="E30" s="342"/>
      <c r="F30" s="342"/>
      <c r="G30" s="343"/>
      <c r="H30" s="344"/>
      <c r="I30" s="345"/>
      <c r="J30" s="346"/>
      <c r="K30" s="341"/>
      <c r="L30" s="342"/>
      <c r="M30" s="342"/>
      <c r="N30" s="342"/>
      <c r="O30" s="342"/>
      <c r="P30" s="343"/>
      <c r="Z30" s="237"/>
    </row>
    <row r="31" spans="1:26" ht="19.5" customHeight="1" x14ac:dyDescent="0.25">
      <c r="A31" s="238"/>
      <c r="B31" s="240"/>
      <c r="C31" s="341"/>
      <c r="D31" s="342"/>
      <c r="E31" s="342"/>
      <c r="F31" s="342"/>
      <c r="G31" s="343"/>
      <c r="H31" s="344"/>
      <c r="I31" s="345"/>
      <c r="J31" s="346"/>
      <c r="K31" s="341"/>
      <c r="L31" s="342"/>
      <c r="M31" s="342"/>
      <c r="N31" s="342"/>
      <c r="O31" s="342"/>
      <c r="P31" s="343"/>
      <c r="Z31" s="237"/>
    </row>
    <row r="32" spans="1:26" ht="19.5" customHeight="1" x14ac:dyDescent="0.25">
      <c r="A32" s="238"/>
      <c r="B32" s="240"/>
      <c r="C32" s="341"/>
      <c r="D32" s="342"/>
      <c r="E32" s="342"/>
      <c r="F32" s="342"/>
      <c r="G32" s="343"/>
      <c r="H32" s="344"/>
      <c r="I32" s="345"/>
      <c r="J32" s="346"/>
      <c r="K32" s="341"/>
      <c r="L32" s="342"/>
      <c r="M32" s="342"/>
      <c r="N32" s="342"/>
      <c r="O32" s="342"/>
      <c r="P32" s="343"/>
      <c r="Z32" s="237"/>
    </row>
    <row r="33" spans="1:26" ht="19.5" customHeight="1" x14ac:dyDescent="0.25">
      <c r="A33" s="238"/>
      <c r="B33" s="240"/>
      <c r="C33" s="341"/>
      <c r="D33" s="342"/>
      <c r="E33" s="342"/>
      <c r="F33" s="342"/>
      <c r="G33" s="343"/>
      <c r="H33" s="344"/>
      <c r="I33" s="345"/>
      <c r="J33" s="346"/>
      <c r="K33" s="341"/>
      <c r="L33" s="342"/>
      <c r="M33" s="342"/>
      <c r="N33" s="342"/>
      <c r="O33" s="342"/>
      <c r="P33" s="343"/>
      <c r="Z33" s="237"/>
    </row>
    <row r="34" spans="1:26" ht="19.5" customHeight="1" x14ac:dyDescent="0.25">
      <c r="A34" s="238"/>
      <c r="B34" s="240"/>
      <c r="C34" s="341"/>
      <c r="D34" s="342"/>
      <c r="E34" s="342"/>
      <c r="F34" s="342"/>
      <c r="G34" s="343"/>
      <c r="H34" s="344"/>
      <c r="I34" s="345"/>
      <c r="J34" s="346"/>
      <c r="K34" s="341"/>
      <c r="L34" s="342"/>
      <c r="M34" s="342"/>
      <c r="N34" s="342"/>
      <c r="O34" s="342"/>
      <c r="P34" s="343"/>
      <c r="Z34" s="237"/>
    </row>
    <row r="35" spans="1:26" ht="19.5" customHeight="1" x14ac:dyDescent="0.25">
      <c r="A35" s="238"/>
      <c r="B35" s="240"/>
      <c r="C35" s="341"/>
      <c r="D35" s="342"/>
      <c r="E35" s="342"/>
      <c r="F35" s="342"/>
      <c r="G35" s="343"/>
      <c r="H35" s="344"/>
      <c r="I35" s="345"/>
      <c r="J35" s="346"/>
      <c r="K35" s="341"/>
      <c r="L35" s="342"/>
      <c r="M35" s="342"/>
      <c r="N35" s="342"/>
      <c r="O35" s="342"/>
      <c r="P35" s="343"/>
      <c r="Z35" s="237"/>
    </row>
    <row r="36" spans="1:26" ht="19.5" customHeight="1" x14ac:dyDescent="0.25">
      <c r="A36" s="238"/>
      <c r="B36" s="240"/>
      <c r="C36" s="341"/>
      <c r="D36" s="342"/>
      <c r="E36" s="342"/>
      <c r="F36" s="342"/>
      <c r="G36" s="343"/>
      <c r="H36" s="344"/>
      <c r="I36" s="345"/>
      <c r="J36" s="346"/>
      <c r="K36" s="341"/>
      <c r="L36" s="342"/>
      <c r="M36" s="342"/>
      <c r="N36" s="342"/>
      <c r="O36" s="342"/>
      <c r="P36" s="343"/>
      <c r="Z36" s="237"/>
    </row>
    <row r="37" spans="1:26" ht="19.5" customHeight="1" x14ac:dyDescent="0.25">
      <c r="A37" s="238"/>
      <c r="B37" s="240"/>
      <c r="C37" s="341"/>
      <c r="D37" s="342"/>
      <c r="E37" s="342"/>
      <c r="F37" s="342"/>
      <c r="G37" s="343"/>
      <c r="H37" s="344"/>
      <c r="I37" s="345"/>
      <c r="J37" s="346"/>
      <c r="K37" s="341"/>
      <c r="L37" s="342"/>
      <c r="M37" s="342"/>
      <c r="N37" s="342"/>
      <c r="O37" s="342"/>
      <c r="P37" s="343"/>
      <c r="Z37" s="237"/>
    </row>
    <row r="38" spans="1:26" ht="19.5" customHeight="1" x14ac:dyDescent="0.25">
      <c r="A38" s="238"/>
      <c r="B38" s="240"/>
      <c r="C38" s="341"/>
      <c r="D38" s="342"/>
      <c r="E38" s="342"/>
      <c r="F38" s="342"/>
      <c r="G38" s="343"/>
      <c r="H38" s="344"/>
      <c r="I38" s="345"/>
      <c r="J38" s="346"/>
      <c r="K38" s="341"/>
      <c r="L38" s="342"/>
      <c r="M38" s="342"/>
      <c r="N38" s="342"/>
      <c r="O38" s="342"/>
      <c r="P38" s="343"/>
      <c r="Z38" s="237"/>
    </row>
    <row r="39" spans="1:26" ht="19.5" customHeight="1" x14ac:dyDescent="0.25">
      <c r="A39" s="238"/>
      <c r="B39" s="240"/>
      <c r="C39" s="341"/>
      <c r="D39" s="342"/>
      <c r="E39" s="342"/>
      <c r="F39" s="342"/>
      <c r="G39" s="343"/>
      <c r="H39" s="344"/>
      <c r="I39" s="345"/>
      <c r="J39" s="346"/>
      <c r="K39" s="341"/>
      <c r="L39" s="342"/>
      <c r="M39" s="342"/>
      <c r="N39" s="342"/>
      <c r="O39" s="342"/>
      <c r="P39" s="343"/>
      <c r="Z39" s="237"/>
    </row>
    <row r="40" spans="1:26" ht="19.5" customHeight="1" x14ac:dyDescent="0.25">
      <c r="A40" s="238"/>
      <c r="B40" s="240"/>
      <c r="C40" s="341"/>
      <c r="D40" s="342"/>
      <c r="E40" s="342"/>
      <c r="F40" s="342"/>
      <c r="G40" s="343"/>
      <c r="H40" s="344"/>
      <c r="I40" s="345"/>
      <c r="J40" s="346"/>
      <c r="K40" s="341"/>
      <c r="L40" s="342"/>
      <c r="M40" s="342"/>
      <c r="N40" s="342"/>
      <c r="O40" s="342"/>
      <c r="P40" s="343"/>
      <c r="Z40" s="237"/>
    </row>
    <row r="41" spans="1:26" ht="19.5" customHeight="1" x14ac:dyDescent="0.25">
      <c r="A41" s="238"/>
      <c r="B41" s="240"/>
      <c r="C41" s="341"/>
      <c r="D41" s="342"/>
      <c r="E41" s="342"/>
      <c r="F41" s="342"/>
      <c r="G41" s="343"/>
      <c r="H41" s="344"/>
      <c r="I41" s="345"/>
      <c r="J41" s="346"/>
      <c r="K41" s="341"/>
      <c r="L41" s="342"/>
      <c r="M41" s="342"/>
      <c r="N41" s="342"/>
      <c r="O41" s="342"/>
      <c r="P41" s="343"/>
      <c r="Z41" s="237"/>
    </row>
    <row r="42" spans="1:26" ht="19.5" customHeight="1" x14ac:dyDescent="0.25">
      <c r="A42" s="238"/>
      <c r="B42" s="240"/>
      <c r="C42" s="341"/>
      <c r="D42" s="342"/>
      <c r="E42" s="342"/>
      <c r="F42" s="342"/>
      <c r="G42" s="343"/>
      <c r="H42" s="344"/>
      <c r="I42" s="345"/>
      <c r="J42" s="346"/>
      <c r="K42" s="341"/>
      <c r="L42" s="342"/>
      <c r="M42" s="342"/>
      <c r="N42" s="342"/>
      <c r="O42" s="342"/>
      <c r="P42" s="343"/>
      <c r="Z42" s="237"/>
    </row>
    <row r="43" spans="1:26" ht="19.5" customHeight="1" x14ac:dyDescent="0.25">
      <c r="A43" s="238"/>
      <c r="B43" s="240"/>
      <c r="C43" s="341"/>
      <c r="D43" s="342"/>
      <c r="E43" s="342"/>
      <c r="F43" s="342"/>
      <c r="G43" s="343"/>
      <c r="H43" s="344"/>
      <c r="I43" s="345"/>
      <c r="J43" s="346"/>
      <c r="K43" s="341"/>
      <c r="L43" s="342"/>
      <c r="M43" s="342"/>
      <c r="N43" s="342"/>
      <c r="O43" s="342"/>
      <c r="P43" s="343"/>
      <c r="Z43" s="237"/>
    </row>
    <row r="44" spans="1:26" ht="19.5" customHeight="1" x14ac:dyDescent="0.25">
      <c r="A44" s="238"/>
      <c r="B44" s="240"/>
      <c r="C44" s="341"/>
      <c r="D44" s="342"/>
      <c r="E44" s="342"/>
      <c r="F44" s="342"/>
      <c r="G44" s="343"/>
      <c r="H44" s="344"/>
      <c r="I44" s="345"/>
      <c r="J44" s="346"/>
      <c r="K44" s="341"/>
      <c r="L44" s="342"/>
      <c r="M44" s="342"/>
      <c r="N44" s="342"/>
      <c r="O44" s="342"/>
      <c r="P44" s="343"/>
      <c r="Z44" s="237"/>
    </row>
    <row r="45" spans="1:26" ht="19.5" customHeight="1" thickBot="1" x14ac:dyDescent="0.3">
      <c r="A45" s="238"/>
      <c r="B45" s="239"/>
      <c r="C45" s="309"/>
      <c r="D45" s="309"/>
      <c r="E45" s="309"/>
      <c r="F45" s="309"/>
      <c r="G45" s="310"/>
      <c r="H45" s="311"/>
      <c r="I45" s="312"/>
      <c r="J45" s="313"/>
      <c r="K45" s="314"/>
      <c r="L45" s="309"/>
      <c r="M45" s="309"/>
      <c r="N45" s="309"/>
      <c r="O45" s="309"/>
      <c r="P45" s="310"/>
      <c r="Z45" s="237"/>
    </row>
    <row r="46" spans="1:26" ht="15.75" customHeight="1" x14ac:dyDescent="0.25">
      <c r="A46" s="238"/>
      <c r="B46" s="315" t="s">
        <v>39</v>
      </c>
      <c r="C46" s="316"/>
      <c r="D46" s="316"/>
      <c r="E46" s="316"/>
      <c r="F46" s="316"/>
      <c r="G46" s="317"/>
      <c r="H46" s="318">
        <f>AVERAGE(H25:J45)</f>
        <v>23.5</v>
      </c>
      <c r="I46" s="319"/>
      <c r="J46" s="320"/>
      <c r="K46" s="321"/>
      <c r="L46" s="322"/>
      <c r="M46" s="327" t="s">
        <v>41</v>
      </c>
      <c r="N46" s="327"/>
      <c r="O46" s="327"/>
      <c r="P46" s="328"/>
      <c r="Z46" s="237"/>
    </row>
    <row r="47" spans="1:26" ht="15.75" customHeight="1" x14ac:dyDescent="0.25">
      <c r="A47" s="238"/>
      <c r="B47" s="332" t="s">
        <v>42</v>
      </c>
      <c r="C47" s="333"/>
      <c r="D47" s="333"/>
      <c r="E47" s="333"/>
      <c r="F47" s="333"/>
      <c r="G47" s="334"/>
      <c r="H47" s="335" t="str">
        <f>IF(COUNTIF(H25:J45,"*&lt;20*"),"&lt;20",MIN(H25:J45))</f>
        <v>&lt;20</v>
      </c>
      <c r="I47" s="336"/>
      <c r="J47" s="337"/>
      <c r="K47" s="323"/>
      <c r="L47" s="324"/>
      <c r="M47" s="281"/>
      <c r="N47" s="281"/>
      <c r="O47" s="281"/>
      <c r="P47" s="329"/>
      <c r="Z47" s="237"/>
    </row>
    <row r="48" spans="1:26" ht="15.75" customHeight="1" thickBot="1" x14ac:dyDescent="0.3">
      <c r="A48" s="238"/>
      <c r="B48" s="338" t="s">
        <v>43</v>
      </c>
      <c r="C48" s="339"/>
      <c r="D48" s="339"/>
      <c r="E48" s="339"/>
      <c r="F48" s="339"/>
      <c r="G48" s="340"/>
      <c r="H48" s="282">
        <f>IF(COUNTIF(H25:J45,"*&gt;250*"),"&gt;250",MAX(H25:J45))</f>
        <v>25</v>
      </c>
      <c r="I48" s="283"/>
      <c r="J48" s="284"/>
      <c r="K48" s="325"/>
      <c r="L48" s="326"/>
      <c r="M48" s="330"/>
      <c r="N48" s="330"/>
      <c r="O48" s="330"/>
      <c r="P48" s="331"/>
      <c r="Z48" s="237"/>
    </row>
    <row r="49" spans="1:26" ht="15.9" customHeight="1" x14ac:dyDescent="0.25">
      <c r="A49" s="236"/>
      <c r="B49" s="235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3"/>
    </row>
    <row r="50" spans="1:26" ht="12.75" customHeight="1" x14ac:dyDescent="0.25">
      <c r="A50" s="232"/>
      <c r="B50" s="231"/>
    </row>
    <row r="51" spans="1:26" s="206" customFormat="1" ht="15.6" customHeight="1" x14ac:dyDescent="0.25">
      <c r="A51" s="230" t="s">
        <v>44</v>
      </c>
      <c r="B51" s="229" t="s">
        <v>45</v>
      </c>
      <c r="C51" s="228"/>
      <c r="D51" s="228"/>
      <c r="E51" s="228"/>
      <c r="F51" s="227"/>
      <c r="G51" s="227"/>
      <c r="H51" s="227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5"/>
      <c r="V51" s="224"/>
      <c r="W51" s="224"/>
      <c r="X51" s="223"/>
      <c r="Y51" s="223"/>
      <c r="Z51" s="222"/>
    </row>
    <row r="52" spans="1:26" s="206" customFormat="1" ht="28.5" customHeight="1" x14ac:dyDescent="0.25">
      <c r="A52" s="285" t="s">
        <v>46</v>
      </c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7"/>
      <c r="R52" s="275" t="s">
        <v>47</v>
      </c>
      <c r="S52" s="276"/>
      <c r="T52" s="277"/>
      <c r="U52" s="288" t="s">
        <v>48</v>
      </c>
      <c r="V52" s="289"/>
      <c r="W52" s="289"/>
      <c r="X52" s="290"/>
      <c r="Y52" s="290"/>
      <c r="Z52" s="291"/>
    </row>
    <row r="53" spans="1:26" s="206" customFormat="1" ht="15.6" customHeight="1" x14ac:dyDescent="0.25">
      <c r="A53" s="292" t="s">
        <v>74</v>
      </c>
      <c r="B53" s="293"/>
      <c r="C53" s="293"/>
      <c r="D53" s="293"/>
      <c r="E53" s="293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4"/>
      <c r="R53" s="275" t="s">
        <v>49</v>
      </c>
      <c r="S53" s="276"/>
      <c r="T53" s="277"/>
      <c r="U53" s="298" t="s">
        <v>50</v>
      </c>
      <c r="V53" s="299"/>
      <c r="W53" s="299"/>
      <c r="X53" s="300"/>
      <c r="Y53" s="300"/>
      <c r="Z53" s="301"/>
    </row>
    <row r="54" spans="1:26" s="206" customFormat="1" ht="15.6" customHeight="1" x14ac:dyDescent="0.25">
      <c r="A54" s="295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7"/>
      <c r="R54" s="275"/>
      <c r="S54" s="276"/>
      <c r="T54" s="277"/>
      <c r="U54" s="302"/>
      <c r="V54" s="281"/>
      <c r="W54" s="281"/>
      <c r="X54" s="303"/>
      <c r="Y54" s="303"/>
      <c r="Z54" s="304"/>
    </row>
    <row r="55" spans="1:26" s="206" customFormat="1" ht="15.6" customHeight="1" x14ac:dyDescent="0.25">
      <c r="A55" s="221" t="s">
        <v>51</v>
      </c>
      <c r="B55" s="220" t="s">
        <v>52</v>
      </c>
      <c r="C55" s="204"/>
      <c r="D55" s="204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8"/>
      <c r="R55" s="275"/>
      <c r="S55" s="276"/>
      <c r="T55" s="277"/>
      <c r="U55" s="305"/>
      <c r="V55" s="306"/>
      <c r="W55" s="306"/>
      <c r="X55" s="307"/>
      <c r="Y55" s="307"/>
      <c r="Z55" s="308"/>
    </row>
    <row r="56" spans="1:26" s="206" customFormat="1" ht="15.6" customHeight="1" x14ac:dyDescent="0.25">
      <c r="A56" s="269"/>
      <c r="B56" s="270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1"/>
      <c r="R56" s="275" t="s">
        <v>53</v>
      </c>
      <c r="S56" s="276"/>
      <c r="T56" s="277"/>
      <c r="U56" s="217"/>
      <c r="V56" s="216"/>
      <c r="W56" s="216"/>
      <c r="X56" s="216"/>
      <c r="Y56" s="216"/>
      <c r="Z56" s="215"/>
    </row>
    <row r="57" spans="1:26" s="206" customFormat="1" ht="15.6" customHeight="1" x14ac:dyDescent="0.25">
      <c r="A57" s="269"/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1"/>
      <c r="R57" s="275"/>
      <c r="S57" s="276"/>
      <c r="T57" s="277"/>
      <c r="U57" s="214"/>
      <c r="V57" s="281"/>
      <c r="W57" s="281"/>
      <c r="X57" s="281"/>
      <c r="Y57" s="281"/>
      <c r="Z57" s="213"/>
    </row>
    <row r="58" spans="1:26" s="206" customFormat="1" ht="15.6" customHeight="1" x14ac:dyDescent="0.25">
      <c r="A58" s="269"/>
      <c r="B58" s="270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1"/>
      <c r="R58" s="275"/>
      <c r="S58" s="276"/>
      <c r="T58" s="277"/>
      <c r="U58" s="214"/>
      <c r="V58" s="281"/>
      <c r="W58" s="281"/>
      <c r="X58" s="281"/>
      <c r="Y58" s="281"/>
      <c r="Z58" s="213"/>
    </row>
    <row r="59" spans="1:26" s="206" customFormat="1" ht="15.6" customHeight="1" x14ac:dyDescent="0.25">
      <c r="A59" s="272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4"/>
      <c r="R59" s="278"/>
      <c r="S59" s="279"/>
      <c r="T59" s="280"/>
      <c r="U59" s="212"/>
      <c r="V59" s="211"/>
      <c r="W59" s="211"/>
      <c r="X59" s="211"/>
      <c r="Y59" s="211"/>
      <c r="Z59" s="210"/>
    </row>
    <row r="60" spans="1:26" s="206" customFormat="1" ht="15" customHeight="1" x14ac:dyDescent="0.25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8"/>
      <c r="S60" s="208"/>
      <c r="T60" s="208"/>
      <c r="U60" s="207"/>
      <c r="V60" s="207"/>
      <c r="W60" s="207"/>
      <c r="X60" s="207"/>
      <c r="Y60" s="207"/>
      <c r="Z60" s="207"/>
    </row>
    <row r="62" spans="1:26" ht="12.75" customHeight="1" x14ac:dyDescent="0.25">
      <c r="A62" s="204"/>
    </row>
    <row r="63" spans="1:26" ht="12.75" customHeight="1" x14ac:dyDescent="0.25">
      <c r="A63" s="204"/>
    </row>
    <row r="64" spans="1:26" ht="12.75" customHeight="1" x14ac:dyDescent="0.25">
      <c r="A64" s="204"/>
    </row>
    <row r="65" spans="1:1" ht="12.75" customHeight="1" x14ac:dyDescent="0.25">
      <c r="A65" s="204"/>
    </row>
    <row r="66" spans="1:1" ht="12.75" customHeight="1" x14ac:dyDescent="0.25">
      <c r="A66" s="204"/>
    </row>
    <row r="67" spans="1:1" ht="12.75" customHeight="1" x14ac:dyDescent="0.25">
      <c r="A67" s="204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A56:Q59"/>
    <mergeCell ref="R56:T59"/>
    <mergeCell ref="K26:P26"/>
    <mergeCell ref="C27:G27"/>
    <mergeCell ref="K34:P34"/>
    <mergeCell ref="C35:G35"/>
    <mergeCell ref="H35:J35"/>
    <mergeCell ref="K35:P35"/>
    <mergeCell ref="K42:P42"/>
    <mergeCell ref="C43:G43"/>
    <mergeCell ref="H43:J43"/>
    <mergeCell ref="K43:P43"/>
    <mergeCell ref="K36:P36"/>
    <mergeCell ref="C37:G37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M46:P48"/>
    <mergeCell ref="K46:L48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H27:J27"/>
    <mergeCell ref="K27:P27"/>
    <mergeCell ref="C45:G45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C36:G36"/>
    <mergeCell ref="H36:J36"/>
    <mergeCell ref="K25:P25"/>
    <mergeCell ref="H33:J33"/>
    <mergeCell ref="K33:P33"/>
    <mergeCell ref="C34:G34"/>
    <mergeCell ref="H34:J34"/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B9A0-BA0D-42EC-A2DB-0BB384B0A27A}">
  <sheetPr>
    <pageSetUpPr fitToPage="1"/>
  </sheetPr>
  <dimension ref="A1:AA76"/>
  <sheetViews>
    <sheetView workbookViewId="0">
      <selection activeCell="G1" sqref="G1:Z6"/>
    </sheetView>
  </sheetViews>
  <sheetFormatPr baseColWidth="10" defaultColWidth="11.44140625" defaultRowHeight="12.75" customHeight="1" x14ac:dyDescent="0.25"/>
  <cols>
    <col min="1" max="1" width="5.109375" style="68" customWidth="1"/>
    <col min="2" max="26" width="5.109375" style="67" customWidth="1"/>
    <col min="27" max="27" width="11.44140625" style="67"/>
    <col min="28" max="16384" width="11.44140625" style="66"/>
  </cols>
  <sheetData>
    <row r="1" spans="1:26" ht="12.75" customHeight="1" x14ac:dyDescent="0.25">
      <c r="A1" s="480"/>
      <c r="B1" s="481"/>
      <c r="C1" s="481"/>
      <c r="D1" s="481"/>
      <c r="E1" s="481"/>
      <c r="F1" s="482"/>
      <c r="G1" s="419" t="s">
        <v>0</v>
      </c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1"/>
      <c r="U1" s="382" t="s">
        <v>62</v>
      </c>
      <c r="V1" s="383"/>
      <c r="W1" s="383"/>
      <c r="X1" s="383"/>
      <c r="Y1" s="383"/>
      <c r="Z1" s="384"/>
    </row>
    <row r="2" spans="1:26" ht="12.75" customHeight="1" x14ac:dyDescent="0.25">
      <c r="A2" s="483"/>
      <c r="B2" s="484"/>
      <c r="C2" s="484"/>
      <c r="D2" s="484"/>
      <c r="E2" s="484"/>
      <c r="F2" s="485"/>
      <c r="G2" s="422" t="s">
        <v>2</v>
      </c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4"/>
      <c r="U2" s="385"/>
      <c r="V2" s="386"/>
      <c r="W2" s="386"/>
      <c r="X2" s="386"/>
      <c r="Y2" s="386"/>
      <c r="Z2" s="387"/>
    </row>
    <row r="3" spans="1:26" ht="12.75" customHeight="1" x14ac:dyDescent="0.25">
      <c r="A3" s="483"/>
      <c r="B3" s="484"/>
      <c r="C3" s="484"/>
      <c r="D3" s="484"/>
      <c r="E3" s="484"/>
      <c r="F3" s="485"/>
      <c r="G3" s="422"/>
      <c r="H3" s="423"/>
      <c r="I3" s="423"/>
      <c r="J3" s="423"/>
      <c r="K3" s="423"/>
      <c r="L3" s="423"/>
      <c r="M3" s="423"/>
      <c r="N3" s="423"/>
      <c r="O3" s="423"/>
      <c r="P3" s="423"/>
      <c r="Q3" s="423"/>
      <c r="R3" s="423"/>
      <c r="S3" s="423"/>
      <c r="T3" s="424"/>
      <c r="U3" s="385"/>
      <c r="V3" s="386"/>
      <c r="W3" s="386"/>
      <c r="X3" s="386"/>
      <c r="Y3" s="386"/>
      <c r="Z3" s="387"/>
    </row>
    <row r="4" spans="1:26" ht="12.75" customHeight="1" x14ac:dyDescent="0.25">
      <c r="A4" s="483"/>
      <c r="B4" s="484"/>
      <c r="C4" s="484"/>
      <c r="D4" s="484"/>
      <c r="E4" s="484"/>
      <c r="F4" s="485"/>
      <c r="G4" s="422"/>
      <c r="H4" s="423"/>
      <c r="I4" s="423"/>
      <c r="J4" s="423"/>
      <c r="K4" s="423"/>
      <c r="L4" s="423"/>
      <c r="M4" s="423"/>
      <c r="N4" s="423"/>
      <c r="O4" s="423"/>
      <c r="P4" s="423"/>
      <c r="Q4" s="423"/>
      <c r="R4" s="423"/>
      <c r="S4" s="423"/>
      <c r="T4" s="424"/>
      <c r="U4" s="385"/>
      <c r="V4" s="386"/>
      <c r="W4" s="386"/>
      <c r="X4" s="386"/>
      <c r="Y4" s="386"/>
      <c r="Z4" s="387"/>
    </row>
    <row r="5" spans="1:26" ht="12.75" customHeight="1" x14ac:dyDescent="0.25">
      <c r="A5" s="483"/>
      <c r="B5" s="484"/>
      <c r="C5" s="484"/>
      <c r="D5" s="484"/>
      <c r="E5" s="484"/>
      <c r="F5" s="485"/>
      <c r="G5" s="410" t="s">
        <v>3</v>
      </c>
      <c r="H5" s="411"/>
      <c r="I5" s="412">
        <v>4</v>
      </c>
      <c r="J5" s="412"/>
      <c r="K5" s="413"/>
      <c r="L5" s="407" t="s">
        <v>4</v>
      </c>
      <c r="M5" s="408"/>
      <c r="N5" s="408"/>
      <c r="O5" s="409"/>
      <c r="P5" s="415" t="s">
        <v>70</v>
      </c>
      <c r="Q5" s="416"/>
      <c r="R5" s="416"/>
      <c r="S5" s="416"/>
      <c r="T5" s="417"/>
      <c r="U5" s="385"/>
      <c r="V5" s="386"/>
      <c r="W5" s="386"/>
      <c r="X5" s="386"/>
      <c r="Y5" s="386"/>
      <c r="Z5" s="387"/>
    </row>
    <row r="6" spans="1:26" ht="12.75" customHeight="1" x14ac:dyDescent="0.25">
      <c r="A6" s="486"/>
      <c r="B6" s="487"/>
      <c r="C6" s="487"/>
      <c r="D6" s="487"/>
      <c r="E6" s="487"/>
      <c r="F6" s="488"/>
      <c r="G6" s="138"/>
      <c r="H6" s="97"/>
      <c r="I6" s="414" t="s">
        <v>6</v>
      </c>
      <c r="J6" s="414"/>
      <c r="K6" s="414"/>
      <c r="L6" s="414" t="s">
        <v>7</v>
      </c>
      <c r="M6" s="414"/>
      <c r="N6" s="414"/>
      <c r="O6" s="414"/>
      <c r="P6" s="414" t="s">
        <v>8</v>
      </c>
      <c r="Q6" s="414"/>
      <c r="R6" s="414"/>
      <c r="S6" s="414"/>
      <c r="T6" s="418"/>
      <c r="U6" s="388"/>
      <c r="V6" s="389"/>
      <c r="W6" s="389"/>
      <c r="X6" s="389"/>
      <c r="Y6" s="389"/>
      <c r="Z6" s="390"/>
    </row>
    <row r="7" spans="1:26" ht="36.6" customHeight="1" x14ac:dyDescent="0.25">
      <c r="A7" s="477" t="s">
        <v>9</v>
      </c>
      <c r="B7" s="477"/>
      <c r="C7" s="477"/>
      <c r="D7" s="477"/>
      <c r="E7" s="477"/>
      <c r="F7" s="477"/>
      <c r="G7" s="478" t="s">
        <v>10</v>
      </c>
      <c r="H7" s="478"/>
      <c r="I7" s="478"/>
      <c r="J7" s="478"/>
      <c r="K7" s="478"/>
      <c r="L7" s="478"/>
      <c r="M7" s="478"/>
      <c r="N7" s="478"/>
      <c r="O7" s="478"/>
      <c r="P7" s="478"/>
      <c r="Q7" s="478"/>
      <c r="R7" s="478"/>
      <c r="S7" s="478"/>
      <c r="T7" s="478"/>
      <c r="U7" s="478"/>
      <c r="V7" s="478"/>
      <c r="W7" s="478"/>
      <c r="X7" s="478"/>
      <c r="Y7" s="478"/>
      <c r="Z7" s="478"/>
    </row>
    <row r="8" spans="1:26" ht="15.9" customHeight="1" x14ac:dyDescent="0.25">
      <c r="A8" s="117" t="s">
        <v>11</v>
      </c>
      <c r="B8" s="92" t="s">
        <v>12</v>
      </c>
      <c r="C8" s="89"/>
      <c r="D8" s="137"/>
      <c r="E8" s="137"/>
      <c r="F8" s="137"/>
      <c r="G8" s="137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112"/>
    </row>
    <row r="9" spans="1:26" ht="8.25" customHeight="1" x14ac:dyDescent="0.25">
      <c r="A9" s="101"/>
      <c r="D9" s="68"/>
      <c r="E9" s="68"/>
      <c r="F9" s="68"/>
      <c r="G9" s="68"/>
      <c r="Z9" s="100"/>
    </row>
    <row r="10" spans="1:26" ht="15.9" customHeight="1" x14ac:dyDescent="0.25">
      <c r="A10" s="101"/>
      <c r="B10" s="489" t="s">
        <v>13</v>
      </c>
      <c r="C10" s="489"/>
      <c r="D10" s="489"/>
      <c r="E10" s="489"/>
      <c r="F10" s="489"/>
      <c r="G10" s="489"/>
      <c r="H10" s="479" t="s">
        <v>57</v>
      </c>
      <c r="I10" s="479"/>
      <c r="J10" s="479"/>
      <c r="K10" s="479"/>
      <c r="L10" s="479"/>
      <c r="M10" s="479"/>
      <c r="N10" s="489" t="s">
        <v>15</v>
      </c>
      <c r="O10" s="489"/>
      <c r="P10" s="489"/>
      <c r="Q10" s="489"/>
      <c r="R10" s="489"/>
      <c r="S10" s="490" t="s">
        <v>61</v>
      </c>
      <c r="T10" s="490"/>
      <c r="U10" s="490"/>
      <c r="V10" s="490"/>
      <c r="W10" s="490"/>
      <c r="X10" s="490"/>
      <c r="Y10" s="490"/>
      <c r="Z10" s="136"/>
    </row>
    <row r="11" spans="1:26" ht="15.9" customHeight="1" x14ac:dyDescent="0.25">
      <c r="A11" s="101"/>
      <c r="B11" s="489" t="s">
        <v>17</v>
      </c>
      <c r="C11" s="489"/>
      <c r="D11" s="489"/>
      <c r="E11" s="489"/>
      <c r="F11" s="489"/>
      <c r="G11" s="489"/>
      <c r="H11" s="479" t="s">
        <v>70</v>
      </c>
      <c r="I11" s="479"/>
      <c r="J11" s="479"/>
      <c r="K11" s="479"/>
      <c r="L11" s="479"/>
      <c r="M11" s="479"/>
      <c r="N11" s="489" t="s">
        <v>18</v>
      </c>
      <c r="O11" s="489"/>
      <c r="P11" s="489"/>
      <c r="Q11" s="489"/>
      <c r="R11" s="489"/>
      <c r="S11" s="490" t="s">
        <v>69</v>
      </c>
      <c r="T11" s="490"/>
      <c r="U11" s="490"/>
      <c r="V11" s="490"/>
      <c r="W11" s="490"/>
      <c r="X11" s="490"/>
      <c r="Y11" s="490"/>
      <c r="Z11" s="136"/>
    </row>
    <row r="12" spans="1:26" ht="15.9" customHeight="1" x14ac:dyDescent="0.25">
      <c r="A12" s="101"/>
      <c r="B12" s="489" t="s">
        <v>20</v>
      </c>
      <c r="C12" s="489"/>
      <c r="D12" s="489"/>
      <c r="E12" s="489"/>
      <c r="F12" s="489"/>
      <c r="G12" s="489"/>
      <c r="H12" s="495" t="s">
        <v>68</v>
      </c>
      <c r="I12" s="495"/>
      <c r="J12" s="495"/>
      <c r="K12" s="495"/>
      <c r="L12" s="495"/>
      <c r="M12" s="495"/>
      <c r="N12" s="489" t="s">
        <v>22</v>
      </c>
      <c r="O12" s="489"/>
      <c r="P12" s="489"/>
      <c r="Q12" s="489"/>
      <c r="R12" s="489"/>
      <c r="S12" s="490" t="s">
        <v>23</v>
      </c>
      <c r="T12" s="490"/>
      <c r="U12" s="490"/>
      <c r="V12" s="490"/>
      <c r="W12" s="490"/>
      <c r="X12" s="490"/>
      <c r="Y12" s="490"/>
      <c r="Z12" s="136"/>
    </row>
    <row r="13" spans="1:26" ht="8.25" customHeight="1" x14ac:dyDescent="0.25">
      <c r="A13" s="135"/>
      <c r="B13" s="97"/>
      <c r="C13" s="97"/>
      <c r="D13" s="134"/>
      <c r="E13" s="134"/>
      <c r="F13" s="134"/>
      <c r="G13" s="134"/>
      <c r="H13" s="97"/>
      <c r="I13" s="97"/>
      <c r="J13" s="97"/>
      <c r="K13" s="97"/>
      <c r="L13" s="97"/>
      <c r="M13" s="97"/>
      <c r="N13" s="133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6"/>
    </row>
    <row r="14" spans="1:26" s="69" customFormat="1" ht="15" customHeight="1" x14ac:dyDescent="0.25">
      <c r="B14" s="131"/>
      <c r="C14" s="131"/>
      <c r="K14" s="132"/>
      <c r="L14" s="131"/>
      <c r="M14" s="130"/>
    </row>
    <row r="15" spans="1:26" s="69" customFormat="1" ht="15.6" customHeight="1" x14ac:dyDescent="0.25">
      <c r="A15" s="117" t="s">
        <v>24</v>
      </c>
      <c r="B15" s="129" t="s">
        <v>25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7"/>
    </row>
    <row r="16" spans="1:26" s="69" customFormat="1" ht="15" customHeight="1" x14ac:dyDescent="0.25">
      <c r="A16" s="124"/>
      <c r="B16" s="126"/>
      <c r="Z16" s="125"/>
    </row>
    <row r="17" spans="1:26" s="69" customFormat="1" ht="15" customHeight="1" x14ac:dyDescent="0.25">
      <c r="A17" s="124"/>
      <c r="B17" s="439" t="s">
        <v>26</v>
      </c>
      <c r="C17" s="439"/>
      <c r="D17" s="439"/>
      <c r="E17" s="439"/>
      <c r="F17" s="439"/>
      <c r="G17" s="439"/>
      <c r="H17" s="439"/>
      <c r="I17" s="494"/>
      <c r="J17" s="494"/>
      <c r="K17" s="494"/>
      <c r="L17" s="494"/>
      <c r="M17" s="494"/>
      <c r="N17" s="494"/>
      <c r="O17" s="494"/>
      <c r="P17" s="494"/>
      <c r="Q17" s="494"/>
      <c r="R17" s="494"/>
      <c r="S17" s="494"/>
      <c r="T17" s="494"/>
      <c r="U17" s="494"/>
      <c r="V17" s="494"/>
      <c r="W17" s="494"/>
      <c r="X17" s="494"/>
      <c r="Y17" s="494"/>
      <c r="Z17" s="122"/>
    </row>
    <row r="18" spans="1:26" s="69" customFormat="1" ht="15" customHeight="1" x14ac:dyDescent="0.25">
      <c r="A18" s="124"/>
      <c r="B18" s="439" t="s">
        <v>27</v>
      </c>
      <c r="C18" s="439"/>
      <c r="D18" s="439"/>
      <c r="E18" s="439"/>
      <c r="F18" s="439"/>
      <c r="G18" s="439"/>
      <c r="H18" s="439"/>
      <c r="I18" s="426" t="s">
        <v>28</v>
      </c>
      <c r="J18" s="426"/>
      <c r="K18" s="123">
        <v>20</v>
      </c>
      <c r="L18" s="123" t="s">
        <v>29</v>
      </c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2"/>
    </row>
    <row r="19" spans="1:26" s="69" customFormat="1" ht="13.2" customHeight="1" x14ac:dyDescent="0.25">
      <c r="A19" s="121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19"/>
    </row>
    <row r="20" spans="1:26" ht="12.75" customHeight="1" x14ac:dyDescent="0.25">
      <c r="D20" s="68"/>
      <c r="E20" s="68"/>
      <c r="F20" s="68"/>
      <c r="G20" s="68"/>
      <c r="N20" s="118"/>
    </row>
    <row r="21" spans="1:26" ht="15.9" customHeight="1" x14ac:dyDescent="0.25">
      <c r="A21" s="117" t="s">
        <v>30</v>
      </c>
      <c r="B21" s="116" t="s">
        <v>31</v>
      </c>
      <c r="C21" s="114"/>
      <c r="D21" s="115"/>
      <c r="E21" s="115"/>
      <c r="F21" s="115"/>
      <c r="G21" s="115"/>
      <c r="H21" s="114"/>
      <c r="I21" s="114"/>
      <c r="J21" s="446" t="s">
        <v>32</v>
      </c>
      <c r="K21" s="446"/>
      <c r="L21" s="446"/>
      <c r="M21" s="446"/>
      <c r="N21" s="446"/>
      <c r="O21" s="446"/>
      <c r="P21" s="446"/>
      <c r="Q21" s="113">
        <v>600</v>
      </c>
      <c r="R21" s="89"/>
      <c r="S21" s="89"/>
      <c r="T21" s="89"/>
      <c r="U21" s="89"/>
      <c r="V21" s="89"/>
      <c r="W21" s="89"/>
      <c r="X21" s="89"/>
      <c r="Y21" s="89"/>
      <c r="Z21" s="112"/>
    </row>
    <row r="22" spans="1:26" ht="12.75" customHeight="1" x14ac:dyDescent="0.25">
      <c r="A22" s="101"/>
      <c r="B22" s="111"/>
      <c r="Z22" s="100"/>
    </row>
    <row r="23" spans="1:26" ht="15.75" customHeight="1" x14ac:dyDescent="0.25">
      <c r="A23" s="101"/>
      <c r="B23" s="440" t="s">
        <v>33</v>
      </c>
      <c r="C23" s="442" t="s">
        <v>34</v>
      </c>
      <c r="D23" s="442"/>
      <c r="E23" s="442"/>
      <c r="F23" s="442"/>
      <c r="G23" s="443"/>
      <c r="H23" s="436" t="s">
        <v>35</v>
      </c>
      <c r="I23" s="437"/>
      <c r="J23" s="438"/>
      <c r="K23" s="442" t="s">
        <v>36</v>
      </c>
      <c r="L23" s="442"/>
      <c r="M23" s="442"/>
      <c r="N23" s="442"/>
      <c r="O23" s="442"/>
      <c r="P23" s="443"/>
      <c r="Z23" s="100"/>
    </row>
    <row r="24" spans="1:26" ht="15.75" customHeight="1" x14ac:dyDescent="0.25">
      <c r="A24" s="101"/>
      <c r="B24" s="441"/>
      <c r="C24" s="444"/>
      <c r="D24" s="444"/>
      <c r="E24" s="444"/>
      <c r="F24" s="444"/>
      <c r="G24" s="445"/>
      <c r="H24" s="433" t="s">
        <v>37</v>
      </c>
      <c r="I24" s="434"/>
      <c r="J24" s="435"/>
      <c r="K24" s="444"/>
      <c r="L24" s="444"/>
      <c r="M24" s="444"/>
      <c r="N24" s="444"/>
      <c r="O24" s="444"/>
      <c r="P24" s="445"/>
      <c r="Z24" s="100"/>
    </row>
    <row r="25" spans="1:26" ht="19.5" customHeight="1" x14ac:dyDescent="0.25">
      <c r="A25" s="101"/>
      <c r="B25" s="110">
        <v>1</v>
      </c>
      <c r="C25" s="430"/>
      <c r="D25" s="431"/>
      <c r="E25" s="431"/>
      <c r="F25" s="431"/>
      <c r="G25" s="432"/>
      <c r="H25" s="427" t="s">
        <v>38</v>
      </c>
      <c r="I25" s="428"/>
      <c r="J25" s="429"/>
      <c r="K25" s="430"/>
      <c r="L25" s="431"/>
      <c r="M25" s="431"/>
      <c r="N25" s="431"/>
      <c r="O25" s="431"/>
      <c r="P25" s="432"/>
      <c r="Z25" s="100"/>
    </row>
    <row r="26" spans="1:26" ht="19.5" customHeight="1" x14ac:dyDescent="0.25">
      <c r="A26" s="101"/>
      <c r="B26" s="110">
        <v>2</v>
      </c>
      <c r="C26" s="430"/>
      <c r="D26" s="431"/>
      <c r="E26" s="431"/>
      <c r="F26" s="431"/>
      <c r="G26" s="432"/>
      <c r="H26" s="427" t="s">
        <v>38</v>
      </c>
      <c r="I26" s="428"/>
      <c r="J26" s="429"/>
      <c r="K26" s="430"/>
      <c r="L26" s="431"/>
      <c r="M26" s="431"/>
      <c r="N26" s="431"/>
      <c r="O26" s="431"/>
      <c r="P26" s="432"/>
      <c r="Z26" s="100"/>
    </row>
    <row r="27" spans="1:26" ht="19.5" customHeight="1" x14ac:dyDescent="0.25">
      <c r="A27" s="101"/>
      <c r="B27" s="110">
        <v>3</v>
      </c>
      <c r="C27" s="430"/>
      <c r="D27" s="431"/>
      <c r="E27" s="431"/>
      <c r="F27" s="431"/>
      <c r="G27" s="432"/>
      <c r="H27" s="427" t="s">
        <v>38</v>
      </c>
      <c r="I27" s="428"/>
      <c r="J27" s="429"/>
      <c r="K27" s="430"/>
      <c r="L27" s="431"/>
      <c r="M27" s="431"/>
      <c r="N27" s="431"/>
      <c r="O27" s="431"/>
      <c r="P27" s="432"/>
      <c r="Z27" s="100"/>
    </row>
    <row r="28" spans="1:26" ht="19.5" customHeight="1" x14ac:dyDescent="0.25">
      <c r="A28" s="101"/>
      <c r="B28" s="110">
        <v>4</v>
      </c>
      <c r="C28" s="430"/>
      <c r="D28" s="431"/>
      <c r="E28" s="431"/>
      <c r="F28" s="431"/>
      <c r="G28" s="432"/>
      <c r="H28" s="427" t="s">
        <v>38</v>
      </c>
      <c r="I28" s="428"/>
      <c r="J28" s="429"/>
      <c r="K28" s="430"/>
      <c r="L28" s="431"/>
      <c r="M28" s="431"/>
      <c r="N28" s="431"/>
      <c r="O28" s="431"/>
      <c r="P28" s="432"/>
      <c r="Z28" s="100"/>
    </row>
    <row r="29" spans="1:26" ht="19.5" customHeight="1" x14ac:dyDescent="0.25">
      <c r="A29" s="101"/>
      <c r="B29" s="110">
        <v>5</v>
      </c>
      <c r="C29" s="430"/>
      <c r="D29" s="431"/>
      <c r="E29" s="431"/>
      <c r="F29" s="431"/>
      <c r="G29" s="432"/>
      <c r="H29" s="427" t="s">
        <v>38</v>
      </c>
      <c r="I29" s="428"/>
      <c r="J29" s="429"/>
      <c r="K29" s="430"/>
      <c r="L29" s="431"/>
      <c r="M29" s="431"/>
      <c r="N29" s="431"/>
      <c r="O29" s="431"/>
      <c r="P29" s="432"/>
      <c r="Z29" s="100"/>
    </row>
    <row r="30" spans="1:26" ht="19.5" customHeight="1" x14ac:dyDescent="0.25">
      <c r="A30" s="101"/>
      <c r="B30" s="110">
        <v>6</v>
      </c>
      <c r="C30" s="430"/>
      <c r="D30" s="431"/>
      <c r="E30" s="431"/>
      <c r="F30" s="431"/>
      <c r="G30" s="432"/>
      <c r="H30" s="427" t="s">
        <v>38</v>
      </c>
      <c r="I30" s="428"/>
      <c r="J30" s="429"/>
      <c r="K30" s="430"/>
      <c r="L30" s="431"/>
      <c r="M30" s="431"/>
      <c r="N30" s="431"/>
      <c r="O30" s="431"/>
      <c r="P30" s="432"/>
      <c r="Z30" s="100"/>
    </row>
    <row r="31" spans="1:26" ht="19.5" customHeight="1" x14ac:dyDescent="0.25">
      <c r="A31" s="101"/>
      <c r="B31" s="110">
        <v>7</v>
      </c>
      <c r="C31" s="430"/>
      <c r="D31" s="431"/>
      <c r="E31" s="431"/>
      <c r="F31" s="431"/>
      <c r="G31" s="432"/>
      <c r="H31" s="427" t="s">
        <v>38</v>
      </c>
      <c r="I31" s="428"/>
      <c r="J31" s="429"/>
      <c r="K31" s="430"/>
      <c r="L31" s="431"/>
      <c r="M31" s="431"/>
      <c r="N31" s="431"/>
      <c r="O31" s="431"/>
      <c r="P31" s="432"/>
      <c r="Z31" s="100"/>
    </row>
    <row r="32" spans="1:26" ht="19.5" customHeight="1" x14ac:dyDescent="0.25">
      <c r="A32" s="101"/>
      <c r="B32" s="110">
        <v>8</v>
      </c>
      <c r="C32" s="430"/>
      <c r="D32" s="431"/>
      <c r="E32" s="431"/>
      <c r="F32" s="431"/>
      <c r="G32" s="432"/>
      <c r="H32" s="427" t="s">
        <v>38</v>
      </c>
      <c r="I32" s="428"/>
      <c r="J32" s="429"/>
      <c r="K32" s="430"/>
      <c r="L32" s="431"/>
      <c r="M32" s="431"/>
      <c r="N32" s="431"/>
      <c r="O32" s="431"/>
      <c r="P32" s="432"/>
      <c r="Z32" s="100"/>
    </row>
    <row r="33" spans="1:26" ht="19.5" customHeight="1" x14ac:dyDescent="0.25">
      <c r="A33" s="101"/>
      <c r="B33" s="110">
        <v>9</v>
      </c>
      <c r="C33" s="430"/>
      <c r="D33" s="431"/>
      <c r="E33" s="431"/>
      <c r="F33" s="431"/>
      <c r="G33" s="432"/>
      <c r="H33" s="427" t="s">
        <v>38</v>
      </c>
      <c r="I33" s="428"/>
      <c r="J33" s="429"/>
      <c r="K33" s="430"/>
      <c r="L33" s="431"/>
      <c r="M33" s="431"/>
      <c r="N33" s="431"/>
      <c r="O33" s="431"/>
      <c r="P33" s="432"/>
      <c r="Z33" s="100"/>
    </row>
    <row r="34" spans="1:26" ht="19.5" customHeight="1" x14ac:dyDescent="0.25">
      <c r="A34" s="101"/>
      <c r="B34" s="110">
        <v>10</v>
      </c>
      <c r="C34" s="430"/>
      <c r="D34" s="431"/>
      <c r="E34" s="431"/>
      <c r="F34" s="431"/>
      <c r="G34" s="432"/>
      <c r="H34" s="427" t="s">
        <v>38</v>
      </c>
      <c r="I34" s="428"/>
      <c r="J34" s="429"/>
      <c r="K34" s="430"/>
      <c r="L34" s="431"/>
      <c r="M34" s="431"/>
      <c r="N34" s="431"/>
      <c r="O34" s="431"/>
      <c r="P34" s="432"/>
      <c r="Z34" s="100"/>
    </row>
    <row r="35" spans="1:26" ht="19.5" customHeight="1" x14ac:dyDescent="0.25">
      <c r="A35" s="101"/>
      <c r="B35" s="110">
        <v>11</v>
      </c>
      <c r="C35" s="430"/>
      <c r="D35" s="431"/>
      <c r="E35" s="431"/>
      <c r="F35" s="431"/>
      <c r="G35" s="432"/>
      <c r="H35" s="427" t="s">
        <v>38</v>
      </c>
      <c r="I35" s="428"/>
      <c r="J35" s="429"/>
      <c r="K35" s="430"/>
      <c r="L35" s="431"/>
      <c r="M35" s="431"/>
      <c r="N35" s="431"/>
      <c r="O35" s="431"/>
      <c r="P35" s="432"/>
      <c r="Z35" s="100"/>
    </row>
    <row r="36" spans="1:26" ht="19.5" customHeight="1" x14ac:dyDescent="0.25">
      <c r="A36" s="101"/>
      <c r="B36" s="110">
        <v>12</v>
      </c>
      <c r="C36" s="430"/>
      <c r="D36" s="431"/>
      <c r="E36" s="431"/>
      <c r="F36" s="431"/>
      <c r="G36" s="432"/>
      <c r="H36" s="427" t="s">
        <v>38</v>
      </c>
      <c r="I36" s="428"/>
      <c r="J36" s="429"/>
      <c r="K36" s="430"/>
      <c r="L36" s="431"/>
      <c r="M36" s="431"/>
      <c r="N36" s="431"/>
      <c r="O36" s="431"/>
      <c r="P36" s="432"/>
      <c r="Z36" s="100"/>
    </row>
    <row r="37" spans="1:26" ht="19.5" customHeight="1" x14ac:dyDescent="0.25">
      <c r="A37" s="101"/>
      <c r="B37" s="109"/>
      <c r="C37" s="105"/>
      <c r="D37" s="104"/>
      <c r="E37" s="104"/>
      <c r="F37" s="104"/>
      <c r="G37" s="103"/>
      <c r="H37" s="108"/>
      <c r="I37" s="107"/>
      <c r="J37" s="106"/>
      <c r="K37" s="105"/>
      <c r="L37" s="104"/>
      <c r="M37" s="104"/>
      <c r="N37" s="104"/>
      <c r="O37" s="104"/>
      <c r="P37" s="103"/>
      <c r="Z37" s="100"/>
    </row>
    <row r="38" spans="1:26" ht="19.5" customHeight="1" x14ac:dyDescent="0.25">
      <c r="A38" s="101"/>
      <c r="B38" s="109"/>
      <c r="C38" s="105"/>
      <c r="D38" s="104"/>
      <c r="E38" s="104"/>
      <c r="F38" s="104"/>
      <c r="G38" s="103"/>
      <c r="H38" s="108"/>
      <c r="I38" s="107"/>
      <c r="J38" s="106"/>
      <c r="K38" s="105"/>
      <c r="L38" s="104"/>
      <c r="M38" s="104"/>
      <c r="N38" s="104"/>
      <c r="O38" s="104"/>
      <c r="P38" s="103"/>
      <c r="Z38" s="100"/>
    </row>
    <row r="39" spans="1:26" ht="19.5" customHeight="1" x14ac:dyDescent="0.25">
      <c r="A39" s="101"/>
      <c r="B39" s="109"/>
      <c r="C39" s="105"/>
      <c r="D39" s="104"/>
      <c r="E39" s="104"/>
      <c r="F39" s="104"/>
      <c r="G39" s="103"/>
      <c r="H39" s="108"/>
      <c r="I39" s="107"/>
      <c r="J39" s="106"/>
      <c r="K39" s="105"/>
      <c r="L39" s="104"/>
      <c r="M39" s="104"/>
      <c r="N39" s="104"/>
      <c r="O39" s="104"/>
      <c r="P39" s="103"/>
      <c r="Z39" s="100"/>
    </row>
    <row r="40" spans="1:26" ht="19.5" customHeight="1" x14ac:dyDescent="0.25">
      <c r="A40" s="101"/>
      <c r="B40" s="109"/>
      <c r="C40" s="105"/>
      <c r="D40" s="104"/>
      <c r="E40" s="104"/>
      <c r="F40" s="104"/>
      <c r="G40" s="103"/>
      <c r="H40" s="108"/>
      <c r="I40" s="107"/>
      <c r="J40" s="106"/>
      <c r="K40" s="105"/>
      <c r="L40" s="104"/>
      <c r="M40" s="104"/>
      <c r="N40" s="104"/>
      <c r="O40" s="104"/>
      <c r="P40" s="103"/>
      <c r="Z40" s="100"/>
    </row>
    <row r="41" spans="1:26" ht="19.5" customHeight="1" x14ac:dyDescent="0.25">
      <c r="A41" s="101"/>
      <c r="B41" s="109"/>
      <c r="C41" s="105"/>
      <c r="D41" s="104"/>
      <c r="E41" s="104"/>
      <c r="F41" s="104"/>
      <c r="G41" s="103"/>
      <c r="H41" s="108"/>
      <c r="I41" s="107"/>
      <c r="J41" s="106"/>
      <c r="K41" s="105"/>
      <c r="L41" s="104"/>
      <c r="M41" s="104"/>
      <c r="N41" s="104"/>
      <c r="O41" s="104"/>
      <c r="P41" s="103"/>
      <c r="Z41" s="100"/>
    </row>
    <row r="42" spans="1:26" ht="19.5" customHeight="1" x14ac:dyDescent="0.25">
      <c r="A42" s="101"/>
      <c r="B42" s="109"/>
      <c r="C42" s="105"/>
      <c r="D42" s="104"/>
      <c r="E42" s="104"/>
      <c r="F42" s="104"/>
      <c r="G42" s="103"/>
      <c r="H42" s="108"/>
      <c r="I42" s="107"/>
      <c r="J42" s="106"/>
      <c r="K42" s="105"/>
      <c r="L42" s="104"/>
      <c r="M42" s="104"/>
      <c r="N42" s="104"/>
      <c r="O42" s="104"/>
      <c r="P42" s="103"/>
      <c r="Z42" s="100"/>
    </row>
    <row r="43" spans="1:26" ht="19.5" customHeight="1" x14ac:dyDescent="0.25">
      <c r="A43" s="101"/>
      <c r="B43" s="109"/>
      <c r="C43" s="105"/>
      <c r="D43" s="104"/>
      <c r="E43" s="104"/>
      <c r="F43" s="104"/>
      <c r="G43" s="103"/>
      <c r="H43" s="108"/>
      <c r="I43" s="107"/>
      <c r="J43" s="106"/>
      <c r="K43" s="105"/>
      <c r="L43" s="104"/>
      <c r="M43" s="104"/>
      <c r="N43" s="104"/>
      <c r="O43" s="104"/>
      <c r="P43" s="103"/>
      <c r="Z43" s="100"/>
    </row>
    <row r="44" spans="1:26" ht="19.5" customHeight="1" x14ac:dyDescent="0.25">
      <c r="A44" s="101"/>
      <c r="B44" s="109"/>
      <c r="C44" s="105"/>
      <c r="D44" s="104"/>
      <c r="E44" s="104"/>
      <c r="F44" s="104"/>
      <c r="G44" s="103"/>
      <c r="H44" s="108"/>
      <c r="I44" s="107"/>
      <c r="J44" s="106"/>
      <c r="K44" s="105"/>
      <c r="L44" s="104"/>
      <c r="M44" s="104"/>
      <c r="N44" s="104"/>
      <c r="O44" s="104"/>
      <c r="P44" s="103"/>
      <c r="Z44" s="100"/>
    </row>
    <row r="45" spans="1:26" ht="19.5" customHeight="1" x14ac:dyDescent="0.25">
      <c r="A45" s="101"/>
      <c r="B45" s="109"/>
      <c r="C45" s="105"/>
      <c r="D45" s="104"/>
      <c r="E45" s="104"/>
      <c r="F45" s="104"/>
      <c r="G45" s="103"/>
      <c r="H45" s="108"/>
      <c r="I45" s="107"/>
      <c r="J45" s="106"/>
      <c r="K45" s="105"/>
      <c r="L45" s="104"/>
      <c r="M45" s="104"/>
      <c r="N45" s="104"/>
      <c r="O45" s="104"/>
      <c r="P45" s="103"/>
      <c r="Z45" s="100"/>
    </row>
    <row r="46" spans="1:26" ht="19.5" customHeight="1" x14ac:dyDescent="0.25">
      <c r="A46" s="101"/>
      <c r="B46" s="109"/>
      <c r="C46" s="105"/>
      <c r="D46" s="104"/>
      <c r="E46" s="104"/>
      <c r="F46" s="104"/>
      <c r="G46" s="103"/>
      <c r="H46" s="108"/>
      <c r="I46" s="107"/>
      <c r="J46" s="106"/>
      <c r="K46" s="105"/>
      <c r="L46" s="104"/>
      <c r="M46" s="104"/>
      <c r="N46" s="104"/>
      <c r="O46" s="104"/>
      <c r="P46" s="103"/>
      <c r="Z46" s="100"/>
    </row>
    <row r="47" spans="1:26" ht="19.5" customHeight="1" x14ac:dyDescent="0.25">
      <c r="A47" s="101"/>
      <c r="B47" s="109"/>
      <c r="C47" s="105"/>
      <c r="D47" s="104"/>
      <c r="E47" s="104"/>
      <c r="F47" s="104"/>
      <c r="G47" s="103"/>
      <c r="H47" s="108"/>
      <c r="I47" s="107"/>
      <c r="J47" s="106"/>
      <c r="K47" s="105"/>
      <c r="L47" s="104"/>
      <c r="M47" s="104"/>
      <c r="N47" s="104"/>
      <c r="O47" s="104"/>
      <c r="P47" s="103"/>
      <c r="Z47" s="100"/>
    </row>
    <row r="48" spans="1:26" ht="19.5" customHeight="1" x14ac:dyDescent="0.25">
      <c r="A48" s="101"/>
      <c r="B48" s="109"/>
      <c r="C48" s="105"/>
      <c r="D48" s="104"/>
      <c r="E48" s="104"/>
      <c r="F48" s="104"/>
      <c r="G48" s="103"/>
      <c r="H48" s="108"/>
      <c r="I48" s="107"/>
      <c r="J48" s="106"/>
      <c r="K48" s="105"/>
      <c r="L48" s="104"/>
      <c r="M48" s="104"/>
      <c r="N48" s="104"/>
      <c r="O48" s="104"/>
      <c r="P48" s="103"/>
      <c r="Z48" s="100"/>
    </row>
    <row r="49" spans="1:26" ht="19.5" customHeight="1" x14ac:dyDescent="0.25">
      <c r="A49" s="101"/>
      <c r="B49" s="109"/>
      <c r="C49" s="105"/>
      <c r="D49" s="104"/>
      <c r="E49" s="104"/>
      <c r="F49" s="104"/>
      <c r="G49" s="103"/>
      <c r="H49" s="108"/>
      <c r="I49" s="107"/>
      <c r="J49" s="106"/>
      <c r="K49" s="105"/>
      <c r="L49" s="104"/>
      <c r="M49" s="104"/>
      <c r="N49" s="104"/>
      <c r="O49" s="104"/>
      <c r="P49" s="103"/>
      <c r="Z49" s="100"/>
    </row>
    <row r="50" spans="1:26" ht="19.5" customHeight="1" x14ac:dyDescent="0.25">
      <c r="A50" s="101"/>
      <c r="B50" s="109"/>
      <c r="C50" s="105"/>
      <c r="D50" s="104"/>
      <c r="E50" s="104"/>
      <c r="F50" s="104"/>
      <c r="G50" s="103"/>
      <c r="H50" s="108"/>
      <c r="I50" s="107"/>
      <c r="J50" s="106"/>
      <c r="K50" s="105"/>
      <c r="L50" s="104"/>
      <c r="M50" s="104"/>
      <c r="N50" s="104"/>
      <c r="O50" s="104"/>
      <c r="P50" s="103"/>
      <c r="Z50" s="100"/>
    </row>
    <row r="51" spans="1:26" ht="19.5" customHeight="1" x14ac:dyDescent="0.25">
      <c r="A51" s="101"/>
      <c r="B51" s="109"/>
      <c r="C51" s="105"/>
      <c r="D51" s="104"/>
      <c r="E51" s="104"/>
      <c r="F51" s="104"/>
      <c r="G51" s="103"/>
      <c r="H51" s="108"/>
      <c r="I51" s="107"/>
      <c r="J51" s="106"/>
      <c r="K51" s="105"/>
      <c r="L51" s="104"/>
      <c r="M51" s="104"/>
      <c r="N51" s="104"/>
      <c r="O51" s="104"/>
      <c r="P51" s="103"/>
      <c r="Z51" s="100"/>
    </row>
    <row r="52" spans="1:26" ht="19.5" customHeight="1" x14ac:dyDescent="0.25">
      <c r="A52" s="101"/>
      <c r="B52" s="109"/>
      <c r="C52" s="105"/>
      <c r="D52" s="104"/>
      <c r="E52" s="104"/>
      <c r="F52" s="104"/>
      <c r="G52" s="103"/>
      <c r="H52" s="108"/>
      <c r="I52" s="107"/>
      <c r="J52" s="106"/>
      <c r="K52" s="105"/>
      <c r="L52" s="104"/>
      <c r="M52" s="104"/>
      <c r="N52" s="104"/>
      <c r="O52" s="104"/>
      <c r="P52" s="103"/>
      <c r="Z52" s="100"/>
    </row>
    <row r="53" spans="1:26" ht="19.5" customHeight="1" x14ac:dyDescent="0.25">
      <c r="A53" s="101"/>
      <c r="B53" s="109"/>
      <c r="C53" s="105"/>
      <c r="D53" s="104"/>
      <c r="E53" s="104"/>
      <c r="F53" s="104"/>
      <c r="G53" s="103"/>
      <c r="H53" s="108"/>
      <c r="I53" s="107"/>
      <c r="J53" s="106"/>
      <c r="K53" s="105"/>
      <c r="L53" s="104"/>
      <c r="M53" s="104"/>
      <c r="N53" s="104"/>
      <c r="O53" s="104"/>
      <c r="P53" s="103"/>
      <c r="Z53" s="100"/>
    </row>
    <row r="54" spans="1:26" ht="19.5" customHeight="1" thickBot="1" x14ac:dyDescent="0.3">
      <c r="A54" s="101"/>
      <c r="B54" s="102"/>
      <c r="C54" s="459"/>
      <c r="D54" s="460"/>
      <c r="E54" s="460"/>
      <c r="F54" s="460"/>
      <c r="G54" s="461"/>
      <c r="H54" s="491"/>
      <c r="I54" s="492"/>
      <c r="J54" s="493"/>
      <c r="K54" s="459"/>
      <c r="L54" s="460"/>
      <c r="M54" s="460"/>
      <c r="N54" s="460"/>
      <c r="O54" s="460"/>
      <c r="P54" s="461"/>
      <c r="Z54" s="100"/>
    </row>
    <row r="55" spans="1:26" ht="15.75" customHeight="1" x14ac:dyDescent="0.25">
      <c r="A55" s="101"/>
      <c r="B55" s="468" t="s">
        <v>39</v>
      </c>
      <c r="C55" s="469"/>
      <c r="D55" s="469"/>
      <c r="E55" s="469"/>
      <c r="F55" s="469"/>
      <c r="G55" s="470"/>
      <c r="H55" s="474" t="s">
        <v>38</v>
      </c>
      <c r="I55" s="475"/>
      <c r="J55" s="476"/>
      <c r="K55" s="528" t="s">
        <v>40</v>
      </c>
      <c r="L55" s="529"/>
      <c r="M55" s="523" t="s">
        <v>41</v>
      </c>
      <c r="N55" s="523"/>
      <c r="O55" s="523"/>
      <c r="P55" s="524"/>
      <c r="Z55" s="100"/>
    </row>
    <row r="56" spans="1:26" ht="15.75" customHeight="1" x14ac:dyDescent="0.25">
      <c r="A56" s="101"/>
      <c r="B56" s="462" t="s">
        <v>42</v>
      </c>
      <c r="C56" s="463"/>
      <c r="D56" s="463"/>
      <c r="E56" s="463"/>
      <c r="F56" s="463"/>
      <c r="G56" s="464"/>
      <c r="H56" s="517" t="str">
        <f>IF(COUNTIF(H25:J54,"*&lt;20*"),"&lt;20",MIN(H25:J54))</f>
        <v>&lt;20</v>
      </c>
      <c r="I56" s="518"/>
      <c r="J56" s="519"/>
      <c r="K56" s="530"/>
      <c r="L56" s="531"/>
      <c r="M56" s="425"/>
      <c r="N56" s="425"/>
      <c r="O56" s="425"/>
      <c r="P56" s="525"/>
      <c r="Z56" s="100"/>
    </row>
    <row r="57" spans="1:26" ht="15.75" customHeight="1" thickBot="1" x14ac:dyDescent="0.3">
      <c r="A57" s="101"/>
      <c r="B57" s="465" t="s">
        <v>43</v>
      </c>
      <c r="C57" s="466"/>
      <c r="D57" s="466"/>
      <c r="E57" s="466"/>
      <c r="F57" s="466"/>
      <c r="G57" s="467"/>
      <c r="H57" s="471" t="s">
        <v>38</v>
      </c>
      <c r="I57" s="472"/>
      <c r="J57" s="473"/>
      <c r="K57" s="532"/>
      <c r="L57" s="533"/>
      <c r="M57" s="526"/>
      <c r="N57" s="526"/>
      <c r="O57" s="526"/>
      <c r="P57" s="527"/>
      <c r="Z57" s="100"/>
    </row>
    <row r="58" spans="1:26" ht="15.9" customHeight="1" x14ac:dyDescent="0.25">
      <c r="A58" s="99"/>
      <c r="B58" s="98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6"/>
    </row>
    <row r="59" spans="1:26" ht="12.75" customHeight="1" x14ac:dyDescent="0.25">
      <c r="A59" s="95"/>
      <c r="B59" s="94"/>
    </row>
    <row r="60" spans="1:26" s="69" customFormat="1" ht="15.6" customHeight="1" x14ac:dyDescent="0.25">
      <c r="A60" s="93" t="s">
        <v>44</v>
      </c>
      <c r="B60" s="92" t="s">
        <v>45</v>
      </c>
      <c r="C60" s="91"/>
      <c r="D60" s="91"/>
      <c r="E60" s="91"/>
      <c r="F60" s="90"/>
      <c r="G60" s="90"/>
      <c r="H60" s="90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8"/>
      <c r="V60" s="87"/>
      <c r="W60" s="87"/>
      <c r="X60" s="86"/>
      <c r="Y60" s="86"/>
      <c r="Z60" s="85"/>
    </row>
    <row r="61" spans="1:26" s="69" customFormat="1" ht="28.5" customHeight="1" x14ac:dyDescent="0.25">
      <c r="A61" s="520" t="s">
        <v>46</v>
      </c>
      <c r="B61" s="521"/>
      <c r="C61" s="521"/>
      <c r="D61" s="521"/>
      <c r="E61" s="521"/>
      <c r="F61" s="521"/>
      <c r="G61" s="521"/>
      <c r="H61" s="521"/>
      <c r="I61" s="521"/>
      <c r="J61" s="521"/>
      <c r="K61" s="521"/>
      <c r="L61" s="521"/>
      <c r="M61" s="521"/>
      <c r="N61" s="521"/>
      <c r="O61" s="521"/>
      <c r="P61" s="521"/>
      <c r="Q61" s="522"/>
      <c r="R61" s="453" t="s">
        <v>47</v>
      </c>
      <c r="S61" s="454"/>
      <c r="T61" s="455"/>
      <c r="U61" s="496" t="s">
        <v>57</v>
      </c>
      <c r="V61" s="497"/>
      <c r="W61" s="497"/>
      <c r="X61" s="498"/>
      <c r="Y61" s="498"/>
      <c r="Z61" s="499"/>
    </row>
    <row r="62" spans="1:26" s="69" customFormat="1" ht="15.6" customHeight="1" x14ac:dyDescent="0.25">
      <c r="A62" s="500" t="s">
        <v>54</v>
      </c>
      <c r="B62" s="501"/>
      <c r="C62" s="501"/>
      <c r="D62" s="501"/>
      <c r="E62" s="501"/>
      <c r="F62" s="501"/>
      <c r="G62" s="501"/>
      <c r="H62" s="501"/>
      <c r="I62" s="501"/>
      <c r="J62" s="501"/>
      <c r="K62" s="501"/>
      <c r="L62" s="501"/>
      <c r="M62" s="501"/>
      <c r="N62" s="501"/>
      <c r="O62" s="501"/>
      <c r="P62" s="501"/>
      <c r="Q62" s="502"/>
      <c r="R62" s="453" t="s">
        <v>49</v>
      </c>
      <c r="S62" s="454"/>
      <c r="T62" s="455"/>
      <c r="U62" s="506" t="s">
        <v>55</v>
      </c>
      <c r="V62" s="507"/>
      <c r="W62" s="507"/>
      <c r="X62" s="508"/>
      <c r="Y62" s="508"/>
      <c r="Z62" s="509"/>
    </row>
    <row r="63" spans="1:26" s="69" customFormat="1" ht="15.6" customHeight="1" x14ac:dyDescent="0.25">
      <c r="A63" s="503"/>
      <c r="B63" s="504"/>
      <c r="C63" s="504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5"/>
      <c r="R63" s="453"/>
      <c r="S63" s="454"/>
      <c r="T63" s="455"/>
      <c r="U63" s="510"/>
      <c r="V63" s="425"/>
      <c r="W63" s="425"/>
      <c r="X63" s="511"/>
      <c r="Y63" s="511"/>
      <c r="Z63" s="512"/>
    </row>
    <row r="64" spans="1:26" s="69" customFormat="1" ht="15.6" customHeight="1" x14ac:dyDescent="0.25">
      <c r="A64" s="84" t="s">
        <v>51</v>
      </c>
      <c r="B64" s="83" t="s">
        <v>52</v>
      </c>
      <c r="C64" s="67"/>
      <c r="D64" s="67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1"/>
      <c r="R64" s="453"/>
      <c r="S64" s="454"/>
      <c r="T64" s="455"/>
      <c r="U64" s="513"/>
      <c r="V64" s="514"/>
      <c r="W64" s="514"/>
      <c r="X64" s="515"/>
      <c r="Y64" s="515"/>
      <c r="Z64" s="516"/>
    </row>
    <row r="65" spans="1:26" s="69" customFormat="1" ht="15.6" customHeight="1" x14ac:dyDescent="0.25">
      <c r="A65" s="447"/>
      <c r="B65" s="448"/>
      <c r="C65" s="448"/>
      <c r="D65" s="448"/>
      <c r="E65" s="448"/>
      <c r="F65" s="448"/>
      <c r="G65" s="448"/>
      <c r="H65" s="448"/>
      <c r="I65" s="448"/>
      <c r="J65" s="448"/>
      <c r="K65" s="448"/>
      <c r="L65" s="448"/>
      <c r="M65" s="448"/>
      <c r="N65" s="448"/>
      <c r="O65" s="448"/>
      <c r="P65" s="448"/>
      <c r="Q65" s="449"/>
      <c r="R65" s="453" t="s">
        <v>53</v>
      </c>
      <c r="S65" s="454"/>
      <c r="T65" s="455"/>
      <c r="U65" s="80"/>
      <c r="V65" s="79"/>
      <c r="W65" s="79"/>
      <c r="X65" s="79"/>
      <c r="Y65" s="79"/>
      <c r="Z65" s="78"/>
    </row>
    <row r="66" spans="1:26" s="69" customFormat="1" ht="15.6" customHeight="1" x14ac:dyDescent="0.25">
      <c r="A66" s="447"/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8"/>
      <c r="Q66" s="449"/>
      <c r="R66" s="453"/>
      <c r="S66" s="454"/>
      <c r="T66" s="455"/>
      <c r="U66" s="77"/>
      <c r="V66" s="425"/>
      <c r="W66" s="425"/>
      <c r="X66" s="425"/>
      <c r="Y66" s="425"/>
      <c r="Z66" s="76"/>
    </row>
    <row r="67" spans="1:26" s="69" customFormat="1" ht="15.6" customHeight="1" x14ac:dyDescent="0.25">
      <c r="A67" s="447"/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8"/>
      <c r="Q67" s="449"/>
      <c r="R67" s="453"/>
      <c r="S67" s="454"/>
      <c r="T67" s="455"/>
      <c r="U67" s="77"/>
      <c r="V67" s="425"/>
      <c r="W67" s="425"/>
      <c r="X67" s="425"/>
      <c r="Y67" s="425"/>
      <c r="Z67" s="76"/>
    </row>
    <row r="68" spans="1:26" s="69" customFormat="1" ht="15.6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1"/>
      <c r="Q68" s="452"/>
      <c r="R68" s="456"/>
      <c r="S68" s="457"/>
      <c r="T68" s="458"/>
      <c r="U68" s="75"/>
      <c r="V68" s="74"/>
      <c r="W68" s="74"/>
      <c r="X68" s="74"/>
      <c r="Y68" s="74"/>
      <c r="Z68" s="73"/>
    </row>
    <row r="69" spans="1:26" s="69" customFormat="1" ht="15" customHeight="1" x14ac:dyDescent="0.25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1"/>
      <c r="S69" s="71"/>
      <c r="T69" s="71"/>
      <c r="U69" s="70"/>
      <c r="V69" s="70"/>
      <c r="W69" s="70"/>
      <c r="X69" s="70"/>
      <c r="Y69" s="70"/>
      <c r="Z69" s="70"/>
    </row>
    <row r="71" spans="1:26" ht="12.75" customHeight="1" x14ac:dyDescent="0.25">
      <c r="A71" s="67"/>
    </row>
    <row r="72" spans="1:26" ht="12.75" customHeight="1" x14ac:dyDescent="0.25">
      <c r="A72" s="67"/>
    </row>
    <row r="73" spans="1:26" ht="12.75" customHeight="1" x14ac:dyDescent="0.25">
      <c r="A73" s="67"/>
    </row>
    <row r="74" spans="1:26" ht="12.75" customHeight="1" x14ac:dyDescent="0.25">
      <c r="A74" s="67"/>
    </row>
    <row r="75" spans="1:26" ht="12.75" customHeight="1" x14ac:dyDescent="0.25">
      <c r="A75" s="67"/>
    </row>
    <row r="76" spans="1:26" ht="12.75" customHeight="1" x14ac:dyDescent="0.25">
      <c r="A76" s="67"/>
    </row>
  </sheetData>
  <sheetProtection formatCells="0" formatColumns="0" formatRows="0" insertColumns="0" insertRows="0" insertHyperlinks="0" deleteColumns="0" deleteRows="0" selectLockedCells="1" sort="0" autoFilter="0" pivotTables="0"/>
  <mergeCells count="91"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  <mergeCell ref="H12:M12"/>
    <mergeCell ref="H11:M11"/>
    <mergeCell ref="N11:R11"/>
    <mergeCell ref="C32:G32"/>
    <mergeCell ref="H32:J32"/>
    <mergeCell ref="K32:P32"/>
    <mergeCell ref="C33:G33"/>
    <mergeCell ref="H33:J33"/>
    <mergeCell ref="K33:P33"/>
    <mergeCell ref="C36:G36"/>
    <mergeCell ref="H36:J36"/>
    <mergeCell ref="K36:P36"/>
    <mergeCell ref="C34:G34"/>
    <mergeCell ref="H34:J34"/>
    <mergeCell ref="K34:P34"/>
    <mergeCell ref="C35:G35"/>
    <mergeCell ref="H35:J35"/>
    <mergeCell ref="K35:P35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8A66-0730-48D1-87A5-87B90BCD5D58}">
  <sheetPr>
    <pageSetUpPr fitToPage="1"/>
  </sheetPr>
  <dimension ref="A1:AA67"/>
  <sheetViews>
    <sheetView workbookViewId="0">
      <selection activeCell="H10" sqref="H10:M12"/>
    </sheetView>
  </sheetViews>
  <sheetFormatPr baseColWidth="10" defaultColWidth="11.44140625" defaultRowHeight="12.75" customHeight="1" x14ac:dyDescent="0.25"/>
  <cols>
    <col min="1" max="1" width="5.109375" style="140" customWidth="1"/>
    <col min="2" max="26" width="5.109375" style="139" customWidth="1"/>
    <col min="27" max="27" width="11.44140625" style="139"/>
  </cols>
  <sheetData>
    <row r="1" spans="1:26" ht="12.75" customHeight="1" x14ac:dyDescent="0.25">
      <c r="A1" s="604"/>
      <c r="B1" s="605"/>
      <c r="C1" s="605"/>
      <c r="D1" s="605"/>
      <c r="E1" s="605"/>
      <c r="F1" s="606"/>
      <c r="G1" s="613" t="s">
        <v>0</v>
      </c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5"/>
      <c r="U1" s="382" t="s">
        <v>62</v>
      </c>
      <c r="V1" s="383"/>
      <c r="W1" s="383"/>
      <c r="X1" s="383"/>
      <c r="Y1" s="383"/>
      <c r="Z1" s="384"/>
    </row>
    <row r="2" spans="1:26" ht="12.75" customHeight="1" x14ac:dyDescent="0.25">
      <c r="A2" s="607"/>
      <c r="B2" s="608"/>
      <c r="C2" s="608"/>
      <c r="D2" s="608"/>
      <c r="E2" s="608"/>
      <c r="F2" s="609"/>
      <c r="G2" s="618" t="s">
        <v>2</v>
      </c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20"/>
      <c r="U2" s="385"/>
      <c r="V2" s="386"/>
      <c r="W2" s="386"/>
      <c r="X2" s="386"/>
      <c r="Y2" s="386"/>
      <c r="Z2" s="387"/>
    </row>
    <row r="3" spans="1:26" ht="12.75" customHeight="1" x14ac:dyDescent="0.25">
      <c r="A3" s="607"/>
      <c r="B3" s="608"/>
      <c r="C3" s="608"/>
      <c r="D3" s="608"/>
      <c r="E3" s="608"/>
      <c r="F3" s="609"/>
      <c r="G3" s="618"/>
      <c r="H3" s="619"/>
      <c r="I3" s="619"/>
      <c r="J3" s="619"/>
      <c r="K3" s="619"/>
      <c r="L3" s="619"/>
      <c r="M3" s="619"/>
      <c r="N3" s="619"/>
      <c r="O3" s="619"/>
      <c r="P3" s="619"/>
      <c r="Q3" s="619"/>
      <c r="R3" s="619"/>
      <c r="S3" s="619"/>
      <c r="T3" s="620"/>
      <c r="U3" s="385"/>
      <c r="V3" s="386"/>
      <c r="W3" s="386"/>
      <c r="X3" s="386"/>
      <c r="Y3" s="386"/>
      <c r="Z3" s="387"/>
    </row>
    <row r="4" spans="1:26" ht="12.75" customHeight="1" x14ac:dyDescent="0.25">
      <c r="A4" s="607"/>
      <c r="B4" s="608"/>
      <c r="C4" s="608"/>
      <c r="D4" s="608"/>
      <c r="E4" s="608"/>
      <c r="F4" s="609"/>
      <c r="G4" s="618"/>
      <c r="H4" s="619"/>
      <c r="I4" s="619"/>
      <c r="J4" s="619"/>
      <c r="K4" s="619"/>
      <c r="L4" s="619"/>
      <c r="M4" s="619"/>
      <c r="N4" s="619"/>
      <c r="O4" s="619"/>
      <c r="P4" s="619"/>
      <c r="Q4" s="619"/>
      <c r="R4" s="619"/>
      <c r="S4" s="619"/>
      <c r="T4" s="620"/>
      <c r="U4" s="385"/>
      <c r="V4" s="386"/>
      <c r="W4" s="386"/>
      <c r="X4" s="386"/>
      <c r="Y4" s="386"/>
      <c r="Z4" s="387"/>
    </row>
    <row r="5" spans="1:26" ht="12.75" customHeight="1" x14ac:dyDescent="0.25">
      <c r="A5" s="607"/>
      <c r="B5" s="608"/>
      <c r="C5" s="608"/>
      <c r="D5" s="608"/>
      <c r="E5" s="608"/>
      <c r="F5" s="609"/>
      <c r="G5" s="621" t="s">
        <v>3</v>
      </c>
      <c r="H5" s="622"/>
      <c r="I5" s="594">
        <v>3</v>
      </c>
      <c r="J5" s="594"/>
      <c r="K5" s="595"/>
      <c r="L5" s="597" t="s">
        <v>4</v>
      </c>
      <c r="M5" s="598"/>
      <c r="N5" s="598"/>
      <c r="O5" s="599"/>
      <c r="P5" s="600" t="s">
        <v>66</v>
      </c>
      <c r="Q5" s="601"/>
      <c r="R5" s="601"/>
      <c r="S5" s="601"/>
      <c r="T5" s="602"/>
      <c r="U5" s="385"/>
      <c r="V5" s="386"/>
      <c r="W5" s="386"/>
      <c r="X5" s="386"/>
      <c r="Y5" s="386"/>
      <c r="Z5" s="387"/>
    </row>
    <row r="6" spans="1:26" ht="12.75" customHeight="1" x14ac:dyDescent="0.25">
      <c r="A6" s="610"/>
      <c r="B6" s="611"/>
      <c r="C6" s="611"/>
      <c r="D6" s="611"/>
      <c r="E6" s="611"/>
      <c r="F6" s="612"/>
      <c r="G6" s="203"/>
      <c r="H6" s="169"/>
      <c r="I6" s="596" t="s">
        <v>6</v>
      </c>
      <c r="J6" s="596"/>
      <c r="K6" s="596"/>
      <c r="L6" s="596" t="s">
        <v>7</v>
      </c>
      <c r="M6" s="596"/>
      <c r="N6" s="596"/>
      <c r="O6" s="596"/>
      <c r="P6" s="596" t="s">
        <v>8</v>
      </c>
      <c r="Q6" s="596"/>
      <c r="R6" s="596"/>
      <c r="S6" s="596"/>
      <c r="T6" s="603"/>
      <c r="U6" s="388"/>
      <c r="V6" s="389"/>
      <c r="W6" s="389"/>
      <c r="X6" s="389"/>
      <c r="Y6" s="389"/>
      <c r="Z6" s="390"/>
    </row>
    <row r="7" spans="1:26" ht="36.6" customHeight="1" x14ac:dyDescent="0.25">
      <c r="A7" s="623" t="s">
        <v>9</v>
      </c>
      <c r="B7" s="623"/>
      <c r="C7" s="623"/>
      <c r="D7" s="623"/>
      <c r="E7" s="623"/>
      <c r="F7" s="623"/>
      <c r="G7" s="624" t="s">
        <v>10</v>
      </c>
      <c r="H7" s="624"/>
      <c r="I7" s="624"/>
      <c r="J7" s="624"/>
      <c r="K7" s="624"/>
      <c r="L7" s="624"/>
      <c r="M7" s="624"/>
      <c r="N7" s="624"/>
      <c r="O7" s="624"/>
      <c r="P7" s="624"/>
      <c r="Q7" s="624"/>
      <c r="R7" s="624"/>
      <c r="S7" s="624"/>
      <c r="T7" s="624"/>
      <c r="U7" s="624"/>
      <c r="V7" s="624"/>
      <c r="W7" s="624"/>
      <c r="X7" s="624"/>
      <c r="Y7" s="624"/>
      <c r="Z7" s="624"/>
    </row>
    <row r="8" spans="1:26" ht="15.9" customHeight="1" x14ac:dyDescent="0.25">
      <c r="A8" s="182" t="s">
        <v>11</v>
      </c>
      <c r="B8" s="164" t="s">
        <v>12</v>
      </c>
      <c r="C8" s="161"/>
      <c r="D8" s="202"/>
      <c r="E8" s="202"/>
      <c r="F8" s="202"/>
      <c r="G8" s="202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77"/>
    </row>
    <row r="9" spans="1:26" ht="8.25" customHeight="1" x14ac:dyDescent="0.25">
      <c r="A9" s="173"/>
      <c r="D9" s="140"/>
      <c r="E9" s="140"/>
      <c r="F9" s="140"/>
      <c r="G9" s="140"/>
      <c r="Z9" s="172"/>
    </row>
    <row r="10" spans="1:26" ht="15.9" customHeight="1" x14ac:dyDescent="0.25">
      <c r="A10" s="173"/>
      <c r="B10" s="616" t="s">
        <v>13</v>
      </c>
      <c r="C10" s="616"/>
      <c r="D10" s="616"/>
      <c r="E10" s="616"/>
      <c r="F10" s="616"/>
      <c r="G10" s="616"/>
      <c r="H10" s="625" t="s">
        <v>14</v>
      </c>
      <c r="I10" s="625"/>
      <c r="J10" s="625"/>
      <c r="K10" s="625"/>
      <c r="L10" s="625"/>
      <c r="M10" s="625"/>
      <c r="N10" s="616" t="s">
        <v>15</v>
      </c>
      <c r="O10" s="616"/>
      <c r="P10" s="616"/>
      <c r="Q10" s="616"/>
      <c r="R10" s="616"/>
      <c r="S10" s="617" t="s">
        <v>67</v>
      </c>
      <c r="T10" s="617"/>
      <c r="U10" s="617"/>
      <c r="V10" s="617"/>
      <c r="W10" s="617"/>
      <c r="X10" s="617"/>
      <c r="Y10" s="617"/>
      <c r="Z10" s="201"/>
    </row>
    <row r="11" spans="1:26" ht="15.9" customHeight="1" x14ac:dyDescent="0.25">
      <c r="A11" s="173"/>
      <c r="B11" s="616" t="s">
        <v>17</v>
      </c>
      <c r="C11" s="616"/>
      <c r="D11" s="616"/>
      <c r="E11" s="616"/>
      <c r="F11" s="616"/>
      <c r="G11" s="616"/>
      <c r="H11" s="625" t="s">
        <v>66</v>
      </c>
      <c r="I11" s="625"/>
      <c r="J11" s="625"/>
      <c r="K11" s="625"/>
      <c r="L11" s="625"/>
      <c r="M11" s="625"/>
      <c r="N11" s="616" t="s">
        <v>18</v>
      </c>
      <c r="O11" s="616"/>
      <c r="P11" s="616"/>
      <c r="Q11" s="616"/>
      <c r="R11" s="616"/>
      <c r="S11" s="617" t="s">
        <v>19</v>
      </c>
      <c r="T11" s="617"/>
      <c r="U11" s="617"/>
      <c r="V11" s="617"/>
      <c r="W11" s="617"/>
      <c r="X11" s="617"/>
      <c r="Y11" s="617"/>
      <c r="Z11" s="201"/>
    </row>
    <row r="12" spans="1:26" ht="15.9" customHeight="1" x14ac:dyDescent="0.25">
      <c r="A12" s="173"/>
      <c r="B12" s="616" t="s">
        <v>20</v>
      </c>
      <c r="C12" s="616"/>
      <c r="D12" s="616"/>
      <c r="E12" s="616"/>
      <c r="F12" s="616"/>
      <c r="G12" s="616"/>
      <c r="H12" s="625" t="s">
        <v>21</v>
      </c>
      <c r="I12" s="625"/>
      <c r="J12" s="625"/>
      <c r="K12" s="625"/>
      <c r="L12" s="625"/>
      <c r="M12" s="625"/>
      <c r="N12" s="616" t="s">
        <v>22</v>
      </c>
      <c r="O12" s="616"/>
      <c r="P12" s="616"/>
      <c r="Q12" s="616"/>
      <c r="R12" s="616"/>
      <c r="S12" s="617" t="s">
        <v>23</v>
      </c>
      <c r="T12" s="617"/>
      <c r="U12" s="617"/>
      <c r="V12" s="617"/>
      <c r="W12" s="617"/>
      <c r="X12" s="617"/>
      <c r="Y12" s="617"/>
      <c r="Z12" s="201"/>
    </row>
    <row r="13" spans="1:26" ht="8.25" customHeight="1" x14ac:dyDescent="0.25">
      <c r="A13" s="200"/>
      <c r="B13" s="169"/>
      <c r="C13" s="169"/>
      <c r="D13" s="199"/>
      <c r="E13" s="199"/>
      <c r="F13" s="199"/>
      <c r="G13" s="199"/>
      <c r="H13" s="169"/>
      <c r="I13" s="169"/>
      <c r="J13" s="169"/>
      <c r="K13" s="169"/>
      <c r="L13" s="169"/>
      <c r="M13" s="169"/>
      <c r="N13" s="198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8"/>
    </row>
    <row r="14" spans="1:26" s="141" customFormat="1" ht="15" customHeight="1" x14ac:dyDescent="0.25">
      <c r="B14" s="196"/>
      <c r="C14" s="196"/>
      <c r="K14" s="197"/>
      <c r="L14" s="196"/>
      <c r="M14" s="195"/>
    </row>
    <row r="15" spans="1:26" s="141" customFormat="1" ht="15.6" customHeight="1" x14ac:dyDescent="0.25">
      <c r="A15" s="182" t="s">
        <v>24</v>
      </c>
      <c r="B15" s="194" t="s">
        <v>25</v>
      </c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2"/>
    </row>
    <row r="16" spans="1:26" s="141" customFormat="1" ht="15" customHeight="1" x14ac:dyDescent="0.25">
      <c r="A16" s="189"/>
      <c r="B16" s="191"/>
      <c r="Z16" s="190"/>
    </row>
    <row r="17" spans="1:26" s="141" customFormat="1" ht="15" customHeight="1" x14ac:dyDescent="0.25">
      <c r="A17" s="189"/>
      <c r="B17" s="637" t="s">
        <v>26</v>
      </c>
      <c r="C17" s="637"/>
      <c r="D17" s="637"/>
      <c r="E17" s="637"/>
      <c r="F17" s="637"/>
      <c r="G17" s="637"/>
      <c r="H17" s="637"/>
      <c r="I17" s="630"/>
      <c r="J17" s="630"/>
      <c r="K17" s="630"/>
      <c r="L17" s="630"/>
      <c r="M17" s="630"/>
      <c r="N17" s="630"/>
      <c r="O17" s="630"/>
      <c r="P17" s="630"/>
      <c r="Q17" s="630"/>
      <c r="R17" s="630"/>
      <c r="S17" s="630"/>
      <c r="T17" s="630"/>
      <c r="U17" s="630"/>
      <c r="V17" s="630"/>
      <c r="W17" s="630"/>
      <c r="X17" s="630"/>
      <c r="Y17" s="630"/>
      <c r="Z17" s="187"/>
    </row>
    <row r="18" spans="1:26" s="141" customFormat="1" ht="15" customHeight="1" x14ac:dyDescent="0.25">
      <c r="A18" s="189"/>
      <c r="B18" s="637" t="s">
        <v>27</v>
      </c>
      <c r="C18" s="637"/>
      <c r="D18" s="637"/>
      <c r="E18" s="637"/>
      <c r="F18" s="637"/>
      <c r="G18" s="637"/>
      <c r="H18" s="637"/>
      <c r="I18" s="638" t="s">
        <v>28</v>
      </c>
      <c r="J18" s="638"/>
      <c r="K18" s="188">
        <v>50</v>
      </c>
      <c r="L18" s="188" t="s">
        <v>29</v>
      </c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7"/>
    </row>
    <row r="19" spans="1:26" s="141" customFormat="1" ht="13.2" customHeight="1" x14ac:dyDescent="0.25">
      <c r="A19" s="186"/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4"/>
    </row>
    <row r="20" spans="1:26" ht="12.75" customHeight="1" x14ac:dyDescent="0.25">
      <c r="D20" s="140"/>
      <c r="E20" s="140"/>
      <c r="F20" s="140"/>
      <c r="G20" s="140"/>
      <c r="N20" s="183"/>
    </row>
    <row r="21" spans="1:26" ht="15.9" customHeight="1" x14ac:dyDescent="0.25">
      <c r="A21" s="182" t="s">
        <v>30</v>
      </c>
      <c r="B21" s="181" t="s">
        <v>31</v>
      </c>
      <c r="C21" s="179"/>
      <c r="D21" s="180"/>
      <c r="E21" s="180"/>
      <c r="F21" s="180"/>
      <c r="G21" s="180"/>
      <c r="H21" s="179"/>
      <c r="I21" s="179"/>
      <c r="J21" s="647" t="s">
        <v>32</v>
      </c>
      <c r="K21" s="647"/>
      <c r="L21" s="647"/>
      <c r="M21" s="647"/>
      <c r="N21" s="647"/>
      <c r="O21" s="647"/>
      <c r="P21" s="647"/>
      <c r="Q21" s="178">
        <v>600</v>
      </c>
      <c r="R21" s="161"/>
      <c r="S21" s="161"/>
      <c r="T21" s="161"/>
      <c r="U21" s="161"/>
      <c r="V21" s="161"/>
      <c r="W21" s="161"/>
      <c r="X21" s="161"/>
      <c r="Y21" s="161"/>
      <c r="Z21" s="177"/>
    </row>
    <row r="22" spans="1:26" ht="12.75" customHeight="1" x14ac:dyDescent="0.25">
      <c r="A22" s="173"/>
      <c r="B22" s="176"/>
      <c r="Z22" s="172"/>
    </row>
    <row r="23" spans="1:26" ht="15.75" customHeight="1" x14ac:dyDescent="0.25">
      <c r="A23" s="173"/>
      <c r="B23" s="645" t="s">
        <v>33</v>
      </c>
      <c r="C23" s="626" t="s">
        <v>34</v>
      </c>
      <c r="D23" s="626"/>
      <c r="E23" s="626"/>
      <c r="F23" s="626"/>
      <c r="G23" s="627"/>
      <c r="H23" s="642" t="s">
        <v>35</v>
      </c>
      <c r="I23" s="643"/>
      <c r="J23" s="644"/>
      <c r="K23" s="626" t="s">
        <v>36</v>
      </c>
      <c r="L23" s="626"/>
      <c r="M23" s="626"/>
      <c r="N23" s="626"/>
      <c r="O23" s="626"/>
      <c r="P23" s="627"/>
      <c r="Z23" s="172"/>
    </row>
    <row r="24" spans="1:26" ht="15.75" customHeight="1" x14ac:dyDescent="0.25">
      <c r="A24" s="173"/>
      <c r="B24" s="646"/>
      <c r="C24" s="628"/>
      <c r="D24" s="628"/>
      <c r="E24" s="628"/>
      <c r="F24" s="628"/>
      <c r="G24" s="629"/>
      <c r="H24" s="639" t="s">
        <v>37</v>
      </c>
      <c r="I24" s="640"/>
      <c r="J24" s="641"/>
      <c r="K24" s="628"/>
      <c r="L24" s="628"/>
      <c r="M24" s="628"/>
      <c r="N24" s="628"/>
      <c r="O24" s="628"/>
      <c r="P24" s="629"/>
      <c r="Z24" s="172"/>
    </row>
    <row r="25" spans="1:26" ht="19.5" customHeight="1" x14ac:dyDescent="0.25">
      <c r="A25" s="173"/>
      <c r="B25" s="175">
        <v>1</v>
      </c>
      <c r="C25" s="546"/>
      <c r="D25" s="547"/>
      <c r="E25" s="547"/>
      <c r="F25" s="547"/>
      <c r="G25" s="548"/>
      <c r="H25" s="549">
        <v>47</v>
      </c>
      <c r="I25" s="550"/>
      <c r="J25" s="551"/>
      <c r="K25" s="546"/>
      <c r="L25" s="547"/>
      <c r="M25" s="547"/>
      <c r="N25" s="547"/>
      <c r="O25" s="547"/>
      <c r="P25" s="548"/>
      <c r="Z25" s="172"/>
    </row>
    <row r="26" spans="1:26" ht="19.5" customHeight="1" x14ac:dyDescent="0.25">
      <c r="A26" s="173"/>
      <c r="B26" s="175">
        <v>2</v>
      </c>
      <c r="C26" s="546"/>
      <c r="D26" s="547"/>
      <c r="E26" s="547"/>
      <c r="F26" s="547"/>
      <c r="G26" s="548"/>
      <c r="H26" s="549">
        <v>27</v>
      </c>
      <c r="I26" s="550"/>
      <c r="J26" s="551"/>
      <c r="K26" s="546"/>
      <c r="L26" s="547"/>
      <c r="M26" s="547"/>
      <c r="N26" s="547"/>
      <c r="O26" s="547"/>
      <c r="P26" s="548"/>
      <c r="Z26" s="172"/>
    </row>
    <row r="27" spans="1:26" ht="19.5" customHeight="1" x14ac:dyDescent="0.25">
      <c r="A27" s="173"/>
      <c r="B27" s="175">
        <v>3</v>
      </c>
      <c r="C27" s="546"/>
      <c r="D27" s="547"/>
      <c r="E27" s="547"/>
      <c r="F27" s="547"/>
      <c r="G27" s="548"/>
      <c r="H27" s="549">
        <v>36</v>
      </c>
      <c r="I27" s="550"/>
      <c r="J27" s="551"/>
      <c r="K27" s="546"/>
      <c r="L27" s="547"/>
      <c r="M27" s="547"/>
      <c r="N27" s="547"/>
      <c r="O27" s="547"/>
      <c r="P27" s="548"/>
      <c r="Z27" s="172"/>
    </row>
    <row r="28" spans="1:26" ht="19.5" customHeight="1" x14ac:dyDescent="0.25">
      <c r="A28" s="173"/>
      <c r="B28" s="175">
        <v>4</v>
      </c>
      <c r="C28" s="546"/>
      <c r="D28" s="547"/>
      <c r="E28" s="547"/>
      <c r="F28" s="547"/>
      <c r="G28" s="548"/>
      <c r="H28" s="549" t="s">
        <v>38</v>
      </c>
      <c r="I28" s="550"/>
      <c r="J28" s="551"/>
      <c r="K28" s="546"/>
      <c r="L28" s="547"/>
      <c r="M28" s="547"/>
      <c r="N28" s="547"/>
      <c r="O28" s="547"/>
      <c r="P28" s="548"/>
      <c r="Z28" s="172"/>
    </row>
    <row r="29" spans="1:26" ht="19.5" customHeight="1" x14ac:dyDescent="0.25">
      <c r="A29" s="173"/>
      <c r="B29" s="175">
        <v>5</v>
      </c>
      <c r="C29" s="546"/>
      <c r="D29" s="547"/>
      <c r="E29" s="547"/>
      <c r="F29" s="547"/>
      <c r="G29" s="548"/>
      <c r="H29" s="549">
        <v>34</v>
      </c>
      <c r="I29" s="550"/>
      <c r="J29" s="551"/>
      <c r="K29" s="546"/>
      <c r="L29" s="547"/>
      <c r="M29" s="547"/>
      <c r="N29" s="547"/>
      <c r="O29" s="547"/>
      <c r="P29" s="548"/>
      <c r="Z29" s="172"/>
    </row>
    <row r="30" spans="1:26" ht="19.5" customHeight="1" x14ac:dyDescent="0.25">
      <c r="A30" s="173"/>
      <c r="B30" s="175">
        <v>6</v>
      </c>
      <c r="C30" s="546" t="s">
        <v>65</v>
      </c>
      <c r="D30" s="547"/>
      <c r="E30" s="547"/>
      <c r="F30" s="547"/>
      <c r="G30" s="548"/>
      <c r="H30" s="549">
        <v>47</v>
      </c>
      <c r="I30" s="550"/>
      <c r="J30" s="551"/>
      <c r="K30" s="546"/>
      <c r="L30" s="547"/>
      <c r="M30" s="547"/>
      <c r="N30" s="547"/>
      <c r="O30" s="547"/>
      <c r="P30" s="548"/>
      <c r="Z30" s="172"/>
    </row>
    <row r="31" spans="1:26" ht="19.5" customHeight="1" x14ac:dyDescent="0.25">
      <c r="A31" s="173"/>
      <c r="B31" s="175">
        <v>7</v>
      </c>
      <c r="C31" s="546"/>
      <c r="D31" s="547"/>
      <c r="E31" s="547"/>
      <c r="F31" s="547"/>
      <c r="G31" s="548"/>
      <c r="H31" s="549">
        <v>22</v>
      </c>
      <c r="I31" s="550"/>
      <c r="J31" s="551"/>
      <c r="K31" s="546"/>
      <c r="L31" s="547"/>
      <c r="M31" s="547"/>
      <c r="N31" s="547"/>
      <c r="O31" s="547"/>
      <c r="P31" s="548"/>
      <c r="Z31" s="172"/>
    </row>
    <row r="32" spans="1:26" ht="19.5" customHeight="1" x14ac:dyDescent="0.25">
      <c r="A32" s="173"/>
      <c r="B32" s="175"/>
      <c r="C32" s="546"/>
      <c r="D32" s="547"/>
      <c r="E32" s="547"/>
      <c r="F32" s="547"/>
      <c r="G32" s="548"/>
      <c r="H32" s="549"/>
      <c r="I32" s="550"/>
      <c r="J32" s="551"/>
      <c r="K32" s="546"/>
      <c r="L32" s="547"/>
      <c r="M32" s="547"/>
      <c r="N32" s="547"/>
      <c r="O32" s="547"/>
      <c r="P32" s="548"/>
      <c r="Z32" s="172"/>
    </row>
    <row r="33" spans="1:26" ht="19.5" customHeight="1" x14ac:dyDescent="0.25">
      <c r="A33" s="173"/>
      <c r="B33" s="175"/>
      <c r="C33" s="546"/>
      <c r="D33" s="547"/>
      <c r="E33" s="547"/>
      <c r="F33" s="547"/>
      <c r="G33" s="548"/>
      <c r="H33" s="549"/>
      <c r="I33" s="550"/>
      <c r="J33" s="551"/>
      <c r="K33" s="546"/>
      <c r="L33" s="547"/>
      <c r="M33" s="547"/>
      <c r="N33" s="547"/>
      <c r="O33" s="547"/>
      <c r="P33" s="548"/>
      <c r="Z33" s="172"/>
    </row>
    <row r="34" spans="1:26" ht="19.5" customHeight="1" x14ac:dyDescent="0.25">
      <c r="A34" s="173"/>
      <c r="B34" s="175"/>
      <c r="C34" s="546"/>
      <c r="D34" s="547"/>
      <c r="E34" s="547"/>
      <c r="F34" s="547"/>
      <c r="G34" s="548"/>
      <c r="H34" s="549"/>
      <c r="I34" s="550"/>
      <c r="J34" s="551"/>
      <c r="K34" s="546"/>
      <c r="L34" s="547"/>
      <c r="M34" s="547"/>
      <c r="N34" s="547"/>
      <c r="O34" s="547"/>
      <c r="P34" s="548"/>
      <c r="Z34" s="172"/>
    </row>
    <row r="35" spans="1:26" ht="19.5" customHeight="1" x14ac:dyDescent="0.25">
      <c r="A35" s="173"/>
      <c r="B35" s="175"/>
      <c r="C35" s="546"/>
      <c r="D35" s="547"/>
      <c r="E35" s="547"/>
      <c r="F35" s="547"/>
      <c r="G35" s="548"/>
      <c r="H35" s="549"/>
      <c r="I35" s="550"/>
      <c r="J35" s="551"/>
      <c r="K35" s="546"/>
      <c r="L35" s="547"/>
      <c r="M35" s="547"/>
      <c r="N35" s="547"/>
      <c r="O35" s="547"/>
      <c r="P35" s="548"/>
      <c r="Z35" s="172"/>
    </row>
    <row r="36" spans="1:26" ht="19.5" customHeight="1" x14ac:dyDescent="0.25">
      <c r="A36" s="173"/>
      <c r="B36" s="175"/>
      <c r="C36" s="546"/>
      <c r="D36" s="547"/>
      <c r="E36" s="547"/>
      <c r="F36" s="547"/>
      <c r="G36" s="548"/>
      <c r="H36" s="549"/>
      <c r="I36" s="550"/>
      <c r="J36" s="551"/>
      <c r="K36" s="546"/>
      <c r="L36" s="547"/>
      <c r="M36" s="547"/>
      <c r="N36" s="547"/>
      <c r="O36" s="547"/>
      <c r="P36" s="548"/>
      <c r="Z36" s="172"/>
    </row>
    <row r="37" spans="1:26" ht="19.5" customHeight="1" x14ac:dyDescent="0.25">
      <c r="A37" s="173"/>
      <c r="B37" s="175"/>
      <c r="C37" s="546"/>
      <c r="D37" s="547"/>
      <c r="E37" s="547"/>
      <c r="F37" s="547"/>
      <c r="G37" s="548"/>
      <c r="H37" s="549"/>
      <c r="I37" s="550"/>
      <c r="J37" s="551"/>
      <c r="K37" s="546"/>
      <c r="L37" s="547"/>
      <c r="M37" s="547"/>
      <c r="N37" s="547"/>
      <c r="O37" s="547"/>
      <c r="P37" s="548"/>
      <c r="Z37" s="172"/>
    </row>
    <row r="38" spans="1:26" ht="19.5" customHeight="1" x14ac:dyDescent="0.25">
      <c r="A38" s="173"/>
      <c r="B38" s="175"/>
      <c r="C38" s="546"/>
      <c r="D38" s="547"/>
      <c r="E38" s="547"/>
      <c r="F38" s="547"/>
      <c r="G38" s="548"/>
      <c r="H38" s="549"/>
      <c r="I38" s="550"/>
      <c r="J38" s="551"/>
      <c r="K38" s="546"/>
      <c r="L38" s="547"/>
      <c r="M38" s="547"/>
      <c r="N38" s="547"/>
      <c r="O38" s="547"/>
      <c r="P38" s="548"/>
      <c r="Z38" s="172"/>
    </row>
    <row r="39" spans="1:26" ht="19.5" customHeight="1" x14ac:dyDescent="0.25">
      <c r="A39" s="173"/>
      <c r="B39" s="175"/>
      <c r="C39" s="546"/>
      <c r="D39" s="547"/>
      <c r="E39" s="547"/>
      <c r="F39" s="547"/>
      <c r="G39" s="548"/>
      <c r="H39" s="549"/>
      <c r="I39" s="550"/>
      <c r="J39" s="551"/>
      <c r="K39" s="546"/>
      <c r="L39" s="547"/>
      <c r="M39" s="547"/>
      <c r="N39" s="547"/>
      <c r="O39" s="547"/>
      <c r="P39" s="548"/>
      <c r="Z39" s="172"/>
    </row>
    <row r="40" spans="1:26" ht="19.5" customHeight="1" x14ac:dyDescent="0.25">
      <c r="A40" s="173"/>
      <c r="B40" s="175"/>
      <c r="C40" s="546"/>
      <c r="D40" s="547"/>
      <c r="E40" s="547"/>
      <c r="F40" s="547"/>
      <c r="G40" s="548"/>
      <c r="H40" s="549"/>
      <c r="I40" s="550"/>
      <c r="J40" s="551"/>
      <c r="K40" s="546"/>
      <c r="L40" s="547"/>
      <c r="M40" s="547"/>
      <c r="N40" s="547"/>
      <c r="O40" s="547"/>
      <c r="P40" s="548"/>
      <c r="Z40" s="172"/>
    </row>
    <row r="41" spans="1:26" ht="19.5" customHeight="1" x14ac:dyDescent="0.25">
      <c r="A41" s="173"/>
      <c r="B41" s="175"/>
      <c r="C41" s="546"/>
      <c r="D41" s="547"/>
      <c r="E41" s="547"/>
      <c r="F41" s="547"/>
      <c r="G41" s="548"/>
      <c r="H41" s="549"/>
      <c r="I41" s="550"/>
      <c r="J41" s="551"/>
      <c r="K41" s="546"/>
      <c r="L41" s="547"/>
      <c r="M41" s="547"/>
      <c r="N41" s="547"/>
      <c r="O41" s="547"/>
      <c r="P41" s="548"/>
      <c r="Z41" s="172"/>
    </row>
    <row r="42" spans="1:26" ht="19.5" customHeight="1" x14ac:dyDescent="0.25">
      <c r="A42" s="173"/>
      <c r="B42" s="175"/>
      <c r="C42" s="546"/>
      <c r="D42" s="547"/>
      <c r="E42" s="547"/>
      <c r="F42" s="547"/>
      <c r="G42" s="548"/>
      <c r="H42" s="549"/>
      <c r="I42" s="550"/>
      <c r="J42" s="551"/>
      <c r="K42" s="546"/>
      <c r="L42" s="547"/>
      <c r="M42" s="547"/>
      <c r="N42" s="547"/>
      <c r="O42" s="547"/>
      <c r="P42" s="548"/>
      <c r="Z42" s="172"/>
    </row>
    <row r="43" spans="1:26" ht="19.5" customHeight="1" x14ac:dyDescent="0.25">
      <c r="A43" s="173"/>
      <c r="B43" s="175"/>
      <c r="C43" s="546"/>
      <c r="D43" s="547"/>
      <c r="E43" s="547"/>
      <c r="F43" s="547"/>
      <c r="G43" s="548"/>
      <c r="H43" s="549"/>
      <c r="I43" s="550"/>
      <c r="J43" s="551"/>
      <c r="K43" s="546"/>
      <c r="L43" s="547"/>
      <c r="M43" s="547"/>
      <c r="N43" s="547"/>
      <c r="O43" s="547"/>
      <c r="P43" s="548"/>
      <c r="Z43" s="172"/>
    </row>
    <row r="44" spans="1:26" ht="19.5" customHeight="1" x14ac:dyDescent="0.25">
      <c r="A44" s="173"/>
      <c r="B44" s="175"/>
      <c r="C44" s="546"/>
      <c r="D44" s="547"/>
      <c r="E44" s="547"/>
      <c r="F44" s="547"/>
      <c r="G44" s="548"/>
      <c r="H44" s="549"/>
      <c r="I44" s="550"/>
      <c r="J44" s="551"/>
      <c r="K44" s="546"/>
      <c r="L44" s="547"/>
      <c r="M44" s="547"/>
      <c r="N44" s="547"/>
      <c r="O44" s="547"/>
      <c r="P44" s="548"/>
      <c r="Z44" s="172"/>
    </row>
    <row r="45" spans="1:26" ht="19.5" customHeight="1" thickBot="1" x14ac:dyDescent="0.3">
      <c r="A45" s="173"/>
      <c r="B45" s="174"/>
      <c r="C45" s="635"/>
      <c r="D45" s="635"/>
      <c r="E45" s="635"/>
      <c r="F45" s="635"/>
      <c r="G45" s="636"/>
      <c r="H45" s="631"/>
      <c r="I45" s="632"/>
      <c r="J45" s="633"/>
      <c r="K45" s="634"/>
      <c r="L45" s="635"/>
      <c r="M45" s="635"/>
      <c r="N45" s="635"/>
      <c r="O45" s="635"/>
      <c r="P45" s="636"/>
      <c r="Z45" s="172"/>
    </row>
    <row r="46" spans="1:26" ht="15.75" customHeight="1" x14ac:dyDescent="0.25">
      <c r="A46" s="173"/>
      <c r="B46" s="562" t="s">
        <v>39</v>
      </c>
      <c r="C46" s="563"/>
      <c r="D46" s="563"/>
      <c r="E46" s="563"/>
      <c r="F46" s="563"/>
      <c r="G46" s="564"/>
      <c r="H46" s="568">
        <f>AVERAGE(H25:J45)</f>
        <v>35.5</v>
      </c>
      <c r="I46" s="569"/>
      <c r="J46" s="570"/>
      <c r="K46" s="588" t="s">
        <v>40</v>
      </c>
      <c r="L46" s="589"/>
      <c r="M46" s="571" t="s">
        <v>41</v>
      </c>
      <c r="N46" s="571"/>
      <c r="O46" s="571"/>
      <c r="P46" s="572"/>
      <c r="Z46" s="172"/>
    </row>
    <row r="47" spans="1:26" ht="15.75" customHeight="1" x14ac:dyDescent="0.25">
      <c r="A47" s="173"/>
      <c r="B47" s="657" t="s">
        <v>42</v>
      </c>
      <c r="C47" s="658"/>
      <c r="D47" s="658"/>
      <c r="E47" s="658"/>
      <c r="F47" s="658"/>
      <c r="G47" s="659"/>
      <c r="H47" s="552" t="str">
        <f>IF(COUNTIF(H25:J45,"*&lt;20*"),"&lt;20",MIN(H25:J45))</f>
        <v>&lt;20</v>
      </c>
      <c r="I47" s="553"/>
      <c r="J47" s="554"/>
      <c r="K47" s="590"/>
      <c r="L47" s="591"/>
      <c r="M47" s="539"/>
      <c r="N47" s="539"/>
      <c r="O47" s="539"/>
      <c r="P47" s="573"/>
      <c r="Z47" s="172"/>
    </row>
    <row r="48" spans="1:26" ht="15.75" customHeight="1" thickBot="1" x14ac:dyDescent="0.3">
      <c r="A48" s="173"/>
      <c r="B48" s="559" t="s">
        <v>43</v>
      </c>
      <c r="C48" s="560"/>
      <c r="D48" s="560"/>
      <c r="E48" s="560"/>
      <c r="F48" s="560"/>
      <c r="G48" s="561"/>
      <c r="H48" s="565">
        <f>IF(COUNTIF(H25:J45,"*&gt;250*"),"&gt;250",MAX(H25:J45))</f>
        <v>47</v>
      </c>
      <c r="I48" s="566"/>
      <c r="J48" s="567"/>
      <c r="K48" s="592"/>
      <c r="L48" s="593"/>
      <c r="M48" s="574"/>
      <c r="N48" s="574"/>
      <c r="O48" s="574"/>
      <c r="P48" s="575"/>
      <c r="Z48" s="172"/>
    </row>
    <row r="49" spans="1:26" ht="15.9" customHeight="1" x14ac:dyDescent="0.25">
      <c r="A49" s="171"/>
      <c r="B49" s="170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8"/>
    </row>
    <row r="50" spans="1:26" ht="12.75" customHeight="1" x14ac:dyDescent="0.25">
      <c r="A50" s="167"/>
      <c r="B50" s="166"/>
    </row>
    <row r="51" spans="1:26" s="141" customFormat="1" ht="15.6" customHeight="1" x14ac:dyDescent="0.25">
      <c r="A51" s="165" t="s">
        <v>44</v>
      </c>
      <c r="B51" s="164" t="s">
        <v>45</v>
      </c>
      <c r="C51" s="163"/>
      <c r="D51" s="163"/>
      <c r="E51" s="163"/>
      <c r="F51" s="162"/>
      <c r="G51" s="162"/>
      <c r="H51" s="162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0"/>
      <c r="V51" s="159"/>
      <c r="W51" s="159"/>
      <c r="X51" s="158"/>
      <c r="Y51" s="158"/>
      <c r="Z51" s="157"/>
    </row>
    <row r="52" spans="1:26" s="141" customFormat="1" ht="28.5" customHeight="1" x14ac:dyDescent="0.25">
      <c r="A52" s="585" t="s">
        <v>46</v>
      </c>
      <c r="B52" s="586"/>
      <c r="C52" s="586"/>
      <c r="D52" s="586"/>
      <c r="E52" s="586"/>
      <c r="F52" s="586"/>
      <c r="G52" s="586"/>
      <c r="H52" s="586"/>
      <c r="I52" s="586"/>
      <c r="J52" s="586"/>
      <c r="K52" s="586"/>
      <c r="L52" s="586"/>
      <c r="M52" s="586"/>
      <c r="N52" s="586"/>
      <c r="O52" s="586"/>
      <c r="P52" s="586"/>
      <c r="Q52" s="587"/>
      <c r="R52" s="582" t="s">
        <v>47</v>
      </c>
      <c r="S52" s="583"/>
      <c r="T52" s="584"/>
      <c r="U52" s="555" t="s">
        <v>48</v>
      </c>
      <c r="V52" s="556"/>
      <c r="W52" s="556"/>
      <c r="X52" s="557"/>
      <c r="Y52" s="557"/>
      <c r="Z52" s="558"/>
    </row>
    <row r="53" spans="1:26" s="141" customFormat="1" ht="15.6" customHeight="1" x14ac:dyDescent="0.25">
      <c r="A53" s="576" t="s">
        <v>64</v>
      </c>
      <c r="B53" s="577"/>
      <c r="C53" s="577"/>
      <c r="D53" s="577"/>
      <c r="E53" s="577"/>
      <c r="F53" s="577"/>
      <c r="G53" s="577"/>
      <c r="H53" s="577"/>
      <c r="I53" s="577"/>
      <c r="J53" s="577"/>
      <c r="K53" s="577"/>
      <c r="L53" s="577"/>
      <c r="M53" s="577"/>
      <c r="N53" s="577"/>
      <c r="O53" s="577"/>
      <c r="P53" s="577"/>
      <c r="Q53" s="578"/>
      <c r="R53" s="582" t="s">
        <v>49</v>
      </c>
      <c r="S53" s="583"/>
      <c r="T53" s="584"/>
      <c r="U53" s="534" t="s">
        <v>50</v>
      </c>
      <c r="V53" s="535"/>
      <c r="W53" s="535"/>
      <c r="X53" s="536"/>
      <c r="Y53" s="536"/>
      <c r="Z53" s="537"/>
    </row>
    <row r="54" spans="1:26" s="141" customFormat="1" ht="15.6" customHeight="1" x14ac:dyDescent="0.25">
      <c r="A54" s="579"/>
      <c r="B54" s="580"/>
      <c r="C54" s="580"/>
      <c r="D54" s="580"/>
      <c r="E54" s="580"/>
      <c r="F54" s="580"/>
      <c r="G54" s="580"/>
      <c r="H54" s="580"/>
      <c r="I54" s="580"/>
      <c r="J54" s="580"/>
      <c r="K54" s="580"/>
      <c r="L54" s="580"/>
      <c r="M54" s="580"/>
      <c r="N54" s="580"/>
      <c r="O54" s="580"/>
      <c r="P54" s="580"/>
      <c r="Q54" s="581"/>
      <c r="R54" s="582"/>
      <c r="S54" s="583"/>
      <c r="T54" s="584"/>
      <c r="U54" s="538"/>
      <c r="V54" s="539"/>
      <c r="W54" s="539"/>
      <c r="X54" s="540"/>
      <c r="Y54" s="540"/>
      <c r="Z54" s="541"/>
    </row>
    <row r="55" spans="1:26" s="141" customFormat="1" ht="15.6" customHeight="1" x14ac:dyDescent="0.25">
      <c r="A55" s="156" t="s">
        <v>51</v>
      </c>
      <c r="B55" s="155" t="s">
        <v>52</v>
      </c>
      <c r="C55" s="139"/>
      <c r="D55" s="139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3"/>
      <c r="R55" s="582"/>
      <c r="S55" s="583"/>
      <c r="T55" s="584"/>
      <c r="U55" s="542"/>
      <c r="V55" s="543"/>
      <c r="W55" s="543"/>
      <c r="X55" s="544"/>
      <c r="Y55" s="544"/>
      <c r="Z55" s="545"/>
    </row>
    <row r="56" spans="1:26" s="141" customFormat="1" ht="15.6" customHeight="1" x14ac:dyDescent="0.25">
      <c r="A56" s="648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49"/>
      <c r="P56" s="649"/>
      <c r="Q56" s="650"/>
      <c r="R56" s="582" t="s">
        <v>53</v>
      </c>
      <c r="S56" s="583"/>
      <c r="T56" s="584"/>
      <c r="U56" s="152"/>
      <c r="V56" s="151"/>
      <c r="W56" s="151"/>
      <c r="X56" s="151"/>
      <c r="Y56" s="151"/>
      <c r="Z56" s="150"/>
    </row>
    <row r="57" spans="1:26" s="141" customFormat="1" ht="15.6" customHeight="1" x14ac:dyDescent="0.25">
      <c r="A57" s="648"/>
      <c r="B57" s="649"/>
      <c r="C57" s="649"/>
      <c r="D57" s="649"/>
      <c r="E57" s="649"/>
      <c r="F57" s="649"/>
      <c r="G57" s="649"/>
      <c r="H57" s="649"/>
      <c r="I57" s="649"/>
      <c r="J57" s="649"/>
      <c r="K57" s="649"/>
      <c r="L57" s="649"/>
      <c r="M57" s="649"/>
      <c r="N57" s="649"/>
      <c r="O57" s="649"/>
      <c r="P57" s="649"/>
      <c r="Q57" s="650"/>
      <c r="R57" s="582"/>
      <c r="S57" s="583"/>
      <c r="T57" s="584"/>
      <c r="U57" s="149"/>
      <c r="V57" s="539"/>
      <c r="W57" s="539"/>
      <c r="X57" s="539"/>
      <c r="Y57" s="539"/>
      <c r="Z57" s="148"/>
    </row>
    <row r="58" spans="1:26" s="141" customFormat="1" ht="15.6" customHeight="1" x14ac:dyDescent="0.25">
      <c r="A58" s="648"/>
      <c r="B58" s="649"/>
      <c r="C58" s="649"/>
      <c r="D58" s="649"/>
      <c r="E58" s="649"/>
      <c r="F58" s="649"/>
      <c r="G58" s="649"/>
      <c r="H58" s="649"/>
      <c r="I58" s="649"/>
      <c r="J58" s="649"/>
      <c r="K58" s="649"/>
      <c r="L58" s="649"/>
      <c r="M58" s="649"/>
      <c r="N58" s="649"/>
      <c r="O58" s="649"/>
      <c r="P58" s="649"/>
      <c r="Q58" s="650"/>
      <c r="R58" s="582"/>
      <c r="S58" s="583"/>
      <c r="T58" s="584"/>
      <c r="U58" s="149"/>
      <c r="V58" s="539"/>
      <c r="W58" s="539"/>
      <c r="X58" s="539"/>
      <c r="Y58" s="539"/>
      <c r="Z58" s="148"/>
    </row>
    <row r="59" spans="1:26" s="141" customFormat="1" ht="15.6" customHeight="1" x14ac:dyDescent="0.25">
      <c r="A59" s="651"/>
      <c r="B59" s="652"/>
      <c r="C59" s="652"/>
      <c r="D59" s="652"/>
      <c r="E59" s="652"/>
      <c r="F59" s="652"/>
      <c r="G59" s="652"/>
      <c r="H59" s="652"/>
      <c r="I59" s="652"/>
      <c r="J59" s="652"/>
      <c r="K59" s="652"/>
      <c r="L59" s="652"/>
      <c r="M59" s="652"/>
      <c r="N59" s="652"/>
      <c r="O59" s="652"/>
      <c r="P59" s="652"/>
      <c r="Q59" s="653"/>
      <c r="R59" s="654"/>
      <c r="S59" s="655"/>
      <c r="T59" s="656"/>
      <c r="U59" s="147"/>
      <c r="V59" s="146"/>
      <c r="W59" s="146"/>
      <c r="X59" s="146"/>
      <c r="Y59" s="146"/>
      <c r="Z59" s="145"/>
    </row>
    <row r="60" spans="1:26" s="141" customFormat="1" ht="15" customHeight="1" x14ac:dyDescent="0.25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3"/>
      <c r="S60" s="143"/>
      <c r="T60" s="143"/>
      <c r="U60" s="142"/>
      <c r="V60" s="142"/>
      <c r="W60" s="142"/>
      <c r="X60" s="142"/>
      <c r="Y60" s="142"/>
      <c r="Z60" s="142"/>
    </row>
    <row r="62" spans="1:26" ht="12.75" customHeight="1" x14ac:dyDescent="0.25">
      <c r="A62" s="139"/>
    </row>
    <row r="63" spans="1:26" ht="12.75" customHeight="1" x14ac:dyDescent="0.25">
      <c r="A63" s="139"/>
    </row>
    <row r="64" spans="1:26" ht="12.75" customHeight="1" x14ac:dyDescent="0.25">
      <c r="A64" s="139"/>
    </row>
    <row r="65" spans="1:1" ht="12.75" customHeight="1" x14ac:dyDescent="0.25">
      <c r="A65" s="139"/>
    </row>
    <row r="66" spans="1:1" ht="12.75" customHeight="1" x14ac:dyDescent="0.25">
      <c r="A66" s="139"/>
    </row>
    <row r="67" spans="1:1" ht="12.75" customHeight="1" x14ac:dyDescent="0.25">
      <c r="A67" s="13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R56:T59"/>
    <mergeCell ref="K26:P26"/>
    <mergeCell ref="C27:G27"/>
    <mergeCell ref="H27:J27"/>
    <mergeCell ref="K27:P27"/>
    <mergeCell ref="C45:G45"/>
    <mergeCell ref="B47:G47"/>
    <mergeCell ref="N11:R11"/>
    <mergeCell ref="B17:H17"/>
    <mergeCell ref="B12:G12"/>
    <mergeCell ref="B11:G11"/>
    <mergeCell ref="C26:G26"/>
    <mergeCell ref="H26:J26"/>
    <mergeCell ref="K25:P25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56:Q59"/>
    <mergeCell ref="S12:Y12"/>
    <mergeCell ref="K23:P24"/>
    <mergeCell ref="I17:Y17"/>
    <mergeCell ref="S11:Y11"/>
    <mergeCell ref="H45:J45"/>
    <mergeCell ref="K45:P45"/>
    <mergeCell ref="K28:P28"/>
    <mergeCell ref="C29:G29"/>
    <mergeCell ref="H29:J29"/>
    <mergeCell ref="K29:P29"/>
    <mergeCell ref="H40:J40"/>
    <mergeCell ref="K40:P40"/>
    <mergeCell ref="C41:G41"/>
    <mergeCell ref="H41:J41"/>
    <mergeCell ref="C28:G28"/>
    <mergeCell ref="H28:J28"/>
    <mergeCell ref="H42:J42"/>
    <mergeCell ref="K42:P42"/>
    <mergeCell ref="C43:G43"/>
    <mergeCell ref="H43:J43"/>
    <mergeCell ref="K43:P43"/>
    <mergeCell ref="N12:R12"/>
    <mergeCell ref="H12:M12"/>
    <mergeCell ref="H11:M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A7:F7"/>
    <mergeCell ref="G7:Z7"/>
    <mergeCell ref="H10:M10"/>
    <mergeCell ref="A53:Q54"/>
    <mergeCell ref="R53:T55"/>
    <mergeCell ref="A52:Q52"/>
    <mergeCell ref="R52:T52"/>
    <mergeCell ref="C34:G34"/>
    <mergeCell ref="H34:J34"/>
    <mergeCell ref="K34:P34"/>
    <mergeCell ref="C35:G35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6:L48"/>
    <mergeCell ref="C40:G40"/>
    <mergeCell ref="U53:Z55"/>
    <mergeCell ref="C32:G32"/>
    <mergeCell ref="H32:J32"/>
    <mergeCell ref="K32:P32"/>
    <mergeCell ref="C33:G33"/>
    <mergeCell ref="H33:J33"/>
    <mergeCell ref="K33:P33"/>
    <mergeCell ref="H47:J47"/>
    <mergeCell ref="H35:J35"/>
    <mergeCell ref="K35:P35"/>
    <mergeCell ref="C36:G36"/>
    <mergeCell ref="H36:J36"/>
    <mergeCell ref="K36:P36"/>
    <mergeCell ref="C37:G37"/>
    <mergeCell ref="H37:J37"/>
    <mergeCell ref="K37:P37"/>
    <mergeCell ref="U52:Z52"/>
    <mergeCell ref="K44:P44"/>
    <mergeCell ref="C42:G42"/>
    <mergeCell ref="B48:G48"/>
    <mergeCell ref="B46:G46"/>
    <mergeCell ref="H48:J48"/>
    <mergeCell ref="H46:J46"/>
    <mergeCell ref="M46:P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B1DC-447B-49F3-95F6-739F9063CB6A}">
  <sheetPr>
    <pageSetUpPr fitToPage="1"/>
  </sheetPr>
  <dimension ref="A1:AA76"/>
  <sheetViews>
    <sheetView topLeftCell="A48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68" customWidth="1"/>
    <col min="2" max="26" width="5.109375" style="67" customWidth="1"/>
    <col min="27" max="27" width="11.44140625" style="67"/>
    <col min="28" max="16384" width="11.44140625" style="66"/>
  </cols>
  <sheetData>
    <row r="1" spans="1:26" ht="12.75" customHeight="1" x14ac:dyDescent="0.25">
      <c r="A1" s="480"/>
      <c r="B1" s="481"/>
      <c r="C1" s="481"/>
      <c r="D1" s="481"/>
      <c r="E1" s="481"/>
      <c r="F1" s="482"/>
      <c r="G1" s="419" t="s">
        <v>0</v>
      </c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1"/>
      <c r="U1" s="382" t="s">
        <v>62</v>
      </c>
      <c r="V1" s="383"/>
      <c r="W1" s="383"/>
      <c r="X1" s="383"/>
      <c r="Y1" s="383"/>
      <c r="Z1" s="384"/>
    </row>
    <row r="2" spans="1:26" ht="12.75" customHeight="1" x14ac:dyDescent="0.25">
      <c r="A2" s="483"/>
      <c r="B2" s="484"/>
      <c r="C2" s="484"/>
      <c r="D2" s="484"/>
      <c r="E2" s="484"/>
      <c r="F2" s="485"/>
      <c r="G2" s="422" t="s">
        <v>2</v>
      </c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4"/>
      <c r="U2" s="385"/>
      <c r="V2" s="386"/>
      <c r="W2" s="386"/>
      <c r="X2" s="386"/>
      <c r="Y2" s="386"/>
      <c r="Z2" s="387"/>
    </row>
    <row r="3" spans="1:26" ht="12.75" customHeight="1" x14ac:dyDescent="0.25">
      <c r="A3" s="483"/>
      <c r="B3" s="484"/>
      <c r="C3" s="484"/>
      <c r="D3" s="484"/>
      <c r="E3" s="484"/>
      <c r="F3" s="485"/>
      <c r="G3" s="422"/>
      <c r="H3" s="423"/>
      <c r="I3" s="423"/>
      <c r="J3" s="423"/>
      <c r="K3" s="423"/>
      <c r="L3" s="423"/>
      <c r="M3" s="423"/>
      <c r="N3" s="423"/>
      <c r="O3" s="423"/>
      <c r="P3" s="423"/>
      <c r="Q3" s="423"/>
      <c r="R3" s="423"/>
      <c r="S3" s="423"/>
      <c r="T3" s="424"/>
      <c r="U3" s="385"/>
      <c r="V3" s="386"/>
      <c r="W3" s="386"/>
      <c r="X3" s="386"/>
      <c r="Y3" s="386"/>
      <c r="Z3" s="387"/>
    </row>
    <row r="4" spans="1:26" ht="12.75" customHeight="1" x14ac:dyDescent="0.25">
      <c r="A4" s="483"/>
      <c r="B4" s="484"/>
      <c r="C4" s="484"/>
      <c r="D4" s="484"/>
      <c r="E4" s="484"/>
      <c r="F4" s="485"/>
      <c r="G4" s="422"/>
      <c r="H4" s="423"/>
      <c r="I4" s="423"/>
      <c r="J4" s="423"/>
      <c r="K4" s="423"/>
      <c r="L4" s="423"/>
      <c r="M4" s="423"/>
      <c r="N4" s="423"/>
      <c r="O4" s="423"/>
      <c r="P4" s="423"/>
      <c r="Q4" s="423"/>
      <c r="R4" s="423"/>
      <c r="S4" s="423"/>
      <c r="T4" s="424"/>
      <c r="U4" s="385"/>
      <c r="V4" s="386"/>
      <c r="W4" s="386"/>
      <c r="X4" s="386"/>
      <c r="Y4" s="386"/>
      <c r="Z4" s="387"/>
    </row>
    <row r="5" spans="1:26" ht="12.75" customHeight="1" x14ac:dyDescent="0.25">
      <c r="A5" s="483"/>
      <c r="B5" s="484"/>
      <c r="C5" s="484"/>
      <c r="D5" s="484"/>
      <c r="E5" s="484"/>
      <c r="F5" s="485"/>
      <c r="G5" s="410" t="s">
        <v>3</v>
      </c>
      <c r="H5" s="411"/>
      <c r="I5" s="412">
        <v>2</v>
      </c>
      <c r="J5" s="412"/>
      <c r="K5" s="413"/>
      <c r="L5" s="407" t="s">
        <v>4</v>
      </c>
      <c r="M5" s="408"/>
      <c r="N5" s="408"/>
      <c r="O5" s="409"/>
      <c r="P5" s="415" t="s">
        <v>60</v>
      </c>
      <c r="Q5" s="416"/>
      <c r="R5" s="416"/>
      <c r="S5" s="416"/>
      <c r="T5" s="417"/>
      <c r="U5" s="385"/>
      <c r="V5" s="386"/>
      <c r="W5" s="386"/>
      <c r="X5" s="386"/>
      <c r="Y5" s="386"/>
      <c r="Z5" s="387"/>
    </row>
    <row r="6" spans="1:26" ht="12.75" customHeight="1" x14ac:dyDescent="0.25">
      <c r="A6" s="486"/>
      <c r="B6" s="487"/>
      <c r="C6" s="487"/>
      <c r="D6" s="487"/>
      <c r="E6" s="487"/>
      <c r="F6" s="488"/>
      <c r="G6" s="138"/>
      <c r="H6" s="97"/>
      <c r="I6" s="414" t="s">
        <v>6</v>
      </c>
      <c r="J6" s="414"/>
      <c r="K6" s="414"/>
      <c r="L6" s="414" t="s">
        <v>7</v>
      </c>
      <c r="M6" s="414"/>
      <c r="N6" s="414"/>
      <c r="O6" s="414"/>
      <c r="P6" s="414" t="s">
        <v>8</v>
      </c>
      <c r="Q6" s="414"/>
      <c r="R6" s="414"/>
      <c r="S6" s="414"/>
      <c r="T6" s="418"/>
      <c r="U6" s="388"/>
      <c r="V6" s="389"/>
      <c r="W6" s="389"/>
      <c r="X6" s="389"/>
      <c r="Y6" s="389"/>
      <c r="Z6" s="390"/>
    </row>
    <row r="7" spans="1:26" ht="36.6" customHeight="1" x14ac:dyDescent="0.25">
      <c r="A7" s="477" t="s">
        <v>9</v>
      </c>
      <c r="B7" s="477"/>
      <c r="C7" s="477"/>
      <c r="D7" s="477"/>
      <c r="E7" s="477"/>
      <c r="F7" s="477"/>
      <c r="G7" s="478" t="s">
        <v>10</v>
      </c>
      <c r="H7" s="478"/>
      <c r="I7" s="478"/>
      <c r="J7" s="478"/>
      <c r="K7" s="478"/>
      <c r="L7" s="478"/>
      <c r="M7" s="478"/>
      <c r="N7" s="478"/>
      <c r="O7" s="478"/>
      <c r="P7" s="478"/>
      <c r="Q7" s="478"/>
      <c r="R7" s="478"/>
      <c r="S7" s="478"/>
      <c r="T7" s="478"/>
      <c r="U7" s="478"/>
      <c r="V7" s="478"/>
      <c r="W7" s="478"/>
      <c r="X7" s="478"/>
      <c r="Y7" s="478"/>
      <c r="Z7" s="478"/>
    </row>
    <row r="8" spans="1:26" ht="15.9" customHeight="1" x14ac:dyDescent="0.25">
      <c r="A8" s="117" t="s">
        <v>11</v>
      </c>
      <c r="B8" s="92" t="s">
        <v>12</v>
      </c>
      <c r="C8" s="89"/>
      <c r="D8" s="137"/>
      <c r="E8" s="137"/>
      <c r="F8" s="137"/>
      <c r="G8" s="137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112"/>
    </row>
    <row r="9" spans="1:26" ht="8.25" customHeight="1" x14ac:dyDescent="0.25">
      <c r="A9" s="101"/>
      <c r="D9" s="68"/>
      <c r="E9" s="68"/>
      <c r="F9" s="68"/>
      <c r="G9" s="68"/>
      <c r="Z9" s="100"/>
    </row>
    <row r="10" spans="1:26" ht="15.9" customHeight="1" x14ac:dyDescent="0.25">
      <c r="A10" s="101"/>
      <c r="B10" s="489" t="s">
        <v>13</v>
      </c>
      <c r="C10" s="489"/>
      <c r="D10" s="489"/>
      <c r="E10" s="489"/>
      <c r="F10" s="489"/>
      <c r="G10" s="489"/>
      <c r="H10" s="479" t="s">
        <v>57</v>
      </c>
      <c r="I10" s="479"/>
      <c r="J10" s="479"/>
      <c r="K10" s="479"/>
      <c r="L10" s="479"/>
      <c r="M10" s="479"/>
      <c r="N10" s="489" t="s">
        <v>15</v>
      </c>
      <c r="O10" s="489"/>
      <c r="P10" s="489"/>
      <c r="Q10" s="489"/>
      <c r="R10" s="489"/>
      <c r="S10" s="490" t="s">
        <v>61</v>
      </c>
      <c r="T10" s="490"/>
      <c r="U10" s="490"/>
      <c r="V10" s="490"/>
      <c r="W10" s="490"/>
      <c r="X10" s="490"/>
      <c r="Y10" s="490"/>
      <c r="Z10" s="136"/>
    </row>
    <row r="11" spans="1:26" ht="15.9" customHeight="1" x14ac:dyDescent="0.25">
      <c r="A11" s="101"/>
      <c r="B11" s="489" t="s">
        <v>17</v>
      </c>
      <c r="C11" s="489"/>
      <c r="D11" s="489"/>
      <c r="E11" s="489"/>
      <c r="F11" s="489"/>
      <c r="G11" s="489"/>
      <c r="H11" s="479" t="s">
        <v>60</v>
      </c>
      <c r="I11" s="479"/>
      <c r="J11" s="479"/>
      <c r="K11" s="479"/>
      <c r="L11" s="479"/>
      <c r="M11" s="479"/>
      <c r="N11" s="489" t="s">
        <v>18</v>
      </c>
      <c r="O11" s="489"/>
      <c r="P11" s="489"/>
      <c r="Q11" s="489"/>
      <c r="R11" s="489"/>
      <c r="S11" s="490" t="s">
        <v>59</v>
      </c>
      <c r="T11" s="490"/>
      <c r="U11" s="490"/>
      <c r="V11" s="490"/>
      <c r="W11" s="490"/>
      <c r="X11" s="490"/>
      <c r="Y11" s="490"/>
      <c r="Z11" s="136"/>
    </row>
    <row r="12" spans="1:26" ht="15.9" customHeight="1" x14ac:dyDescent="0.25">
      <c r="A12" s="101"/>
      <c r="B12" s="489" t="s">
        <v>20</v>
      </c>
      <c r="C12" s="489"/>
      <c r="D12" s="489"/>
      <c r="E12" s="489"/>
      <c r="F12" s="489"/>
      <c r="G12" s="489"/>
      <c r="H12" s="479" t="s">
        <v>63</v>
      </c>
      <c r="I12" s="479"/>
      <c r="J12" s="479"/>
      <c r="K12" s="479"/>
      <c r="L12" s="479"/>
      <c r="M12" s="479"/>
      <c r="N12" s="489" t="s">
        <v>22</v>
      </c>
      <c r="O12" s="489"/>
      <c r="P12" s="489"/>
      <c r="Q12" s="489"/>
      <c r="R12" s="489"/>
      <c r="S12" s="490" t="s">
        <v>23</v>
      </c>
      <c r="T12" s="490"/>
      <c r="U12" s="490"/>
      <c r="V12" s="490"/>
      <c r="W12" s="490"/>
      <c r="X12" s="490"/>
      <c r="Y12" s="490"/>
      <c r="Z12" s="136"/>
    </row>
    <row r="13" spans="1:26" ht="8.25" customHeight="1" x14ac:dyDescent="0.25">
      <c r="A13" s="135"/>
      <c r="B13" s="97"/>
      <c r="C13" s="97"/>
      <c r="D13" s="134"/>
      <c r="E13" s="134"/>
      <c r="F13" s="134"/>
      <c r="G13" s="134"/>
      <c r="H13" s="97"/>
      <c r="I13" s="97"/>
      <c r="J13" s="97"/>
      <c r="K13" s="97"/>
      <c r="L13" s="97"/>
      <c r="M13" s="97"/>
      <c r="N13" s="133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6"/>
    </row>
    <row r="14" spans="1:26" s="69" customFormat="1" ht="15" customHeight="1" x14ac:dyDescent="0.25">
      <c r="B14" s="131"/>
      <c r="C14" s="131"/>
      <c r="K14" s="132"/>
      <c r="L14" s="131"/>
      <c r="M14" s="130"/>
    </row>
    <row r="15" spans="1:26" s="69" customFormat="1" ht="15.6" customHeight="1" x14ac:dyDescent="0.25">
      <c r="A15" s="117" t="s">
        <v>24</v>
      </c>
      <c r="B15" s="129" t="s">
        <v>25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7"/>
    </row>
    <row r="16" spans="1:26" s="69" customFormat="1" ht="15" customHeight="1" x14ac:dyDescent="0.25">
      <c r="A16" s="124"/>
      <c r="B16" s="126"/>
      <c r="Z16" s="125"/>
    </row>
    <row r="17" spans="1:26" s="69" customFormat="1" ht="15" customHeight="1" x14ac:dyDescent="0.25">
      <c r="A17" s="124"/>
      <c r="B17" s="439" t="s">
        <v>26</v>
      </c>
      <c r="C17" s="439"/>
      <c r="D17" s="439"/>
      <c r="E17" s="439"/>
      <c r="F17" s="439"/>
      <c r="G17" s="439"/>
      <c r="H17" s="439"/>
      <c r="I17" s="494"/>
      <c r="J17" s="494"/>
      <c r="K17" s="494"/>
      <c r="L17" s="494"/>
      <c r="M17" s="494"/>
      <c r="N17" s="494"/>
      <c r="O17" s="494"/>
      <c r="P17" s="494"/>
      <c r="Q17" s="494"/>
      <c r="R17" s="494"/>
      <c r="S17" s="494"/>
      <c r="T17" s="494"/>
      <c r="U17" s="494"/>
      <c r="V17" s="494"/>
      <c r="W17" s="494"/>
      <c r="X17" s="494"/>
      <c r="Y17" s="494"/>
      <c r="Z17" s="122"/>
    </row>
    <row r="18" spans="1:26" s="69" customFormat="1" ht="15" customHeight="1" x14ac:dyDescent="0.25">
      <c r="A18" s="124"/>
      <c r="B18" s="439" t="s">
        <v>27</v>
      </c>
      <c r="C18" s="439"/>
      <c r="D18" s="439"/>
      <c r="E18" s="439"/>
      <c r="F18" s="439"/>
      <c r="G18" s="439"/>
      <c r="H18" s="439"/>
      <c r="I18" s="426" t="s">
        <v>28</v>
      </c>
      <c r="J18" s="426"/>
      <c r="K18" s="123">
        <v>50</v>
      </c>
      <c r="L18" s="123" t="s">
        <v>29</v>
      </c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2"/>
    </row>
    <row r="19" spans="1:26" s="69" customFormat="1" ht="13.2" customHeight="1" x14ac:dyDescent="0.25">
      <c r="A19" s="121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19"/>
    </row>
    <row r="20" spans="1:26" ht="12.75" customHeight="1" x14ac:dyDescent="0.25">
      <c r="D20" s="68"/>
      <c r="E20" s="68"/>
      <c r="F20" s="68"/>
      <c r="G20" s="68"/>
      <c r="N20" s="118"/>
    </row>
    <row r="21" spans="1:26" ht="15.9" customHeight="1" x14ac:dyDescent="0.25">
      <c r="A21" s="117" t="s">
        <v>30</v>
      </c>
      <c r="B21" s="116" t="s">
        <v>31</v>
      </c>
      <c r="C21" s="114"/>
      <c r="D21" s="115"/>
      <c r="E21" s="115"/>
      <c r="F21" s="115"/>
      <c r="G21" s="115"/>
      <c r="H21" s="114"/>
      <c r="I21" s="114"/>
      <c r="J21" s="446" t="s">
        <v>32</v>
      </c>
      <c r="K21" s="446"/>
      <c r="L21" s="446"/>
      <c r="M21" s="446"/>
      <c r="N21" s="446"/>
      <c r="O21" s="446"/>
      <c r="P21" s="446"/>
      <c r="Q21" s="113">
        <v>600</v>
      </c>
      <c r="R21" s="89"/>
      <c r="S21" s="89"/>
      <c r="T21" s="89"/>
      <c r="U21" s="89"/>
      <c r="V21" s="89"/>
      <c r="W21" s="89"/>
      <c r="X21" s="89"/>
      <c r="Y21" s="89"/>
      <c r="Z21" s="112"/>
    </row>
    <row r="22" spans="1:26" ht="12.75" customHeight="1" x14ac:dyDescent="0.25">
      <c r="A22" s="101"/>
      <c r="B22" s="111"/>
      <c r="Z22" s="100"/>
    </row>
    <row r="23" spans="1:26" ht="15.75" customHeight="1" x14ac:dyDescent="0.25">
      <c r="A23" s="101"/>
      <c r="B23" s="440" t="s">
        <v>33</v>
      </c>
      <c r="C23" s="442" t="s">
        <v>34</v>
      </c>
      <c r="D23" s="442"/>
      <c r="E23" s="442"/>
      <c r="F23" s="442"/>
      <c r="G23" s="443"/>
      <c r="H23" s="436" t="s">
        <v>35</v>
      </c>
      <c r="I23" s="437"/>
      <c r="J23" s="438"/>
      <c r="K23" s="442" t="s">
        <v>36</v>
      </c>
      <c r="L23" s="442"/>
      <c r="M23" s="442"/>
      <c r="N23" s="442"/>
      <c r="O23" s="442"/>
      <c r="P23" s="443"/>
      <c r="Z23" s="100"/>
    </row>
    <row r="24" spans="1:26" ht="15.75" customHeight="1" x14ac:dyDescent="0.25">
      <c r="A24" s="101"/>
      <c r="B24" s="441"/>
      <c r="C24" s="444"/>
      <c r="D24" s="444"/>
      <c r="E24" s="444"/>
      <c r="F24" s="444"/>
      <c r="G24" s="445"/>
      <c r="H24" s="433" t="s">
        <v>37</v>
      </c>
      <c r="I24" s="434"/>
      <c r="J24" s="435"/>
      <c r="K24" s="444"/>
      <c r="L24" s="444"/>
      <c r="M24" s="444"/>
      <c r="N24" s="444"/>
      <c r="O24" s="444"/>
      <c r="P24" s="445"/>
      <c r="Z24" s="100"/>
    </row>
    <row r="25" spans="1:26" ht="19.5" customHeight="1" x14ac:dyDescent="0.25">
      <c r="A25" s="101"/>
      <c r="B25" s="110">
        <v>1</v>
      </c>
      <c r="C25" s="430"/>
      <c r="D25" s="431"/>
      <c r="E25" s="431"/>
      <c r="F25" s="431"/>
      <c r="G25" s="432"/>
      <c r="H25" s="427">
        <v>41</v>
      </c>
      <c r="I25" s="428"/>
      <c r="J25" s="429"/>
      <c r="K25" s="430"/>
      <c r="L25" s="431"/>
      <c r="M25" s="431"/>
      <c r="N25" s="431"/>
      <c r="O25" s="431"/>
      <c r="P25" s="432"/>
      <c r="Z25" s="100"/>
    </row>
    <row r="26" spans="1:26" ht="19.5" customHeight="1" x14ac:dyDescent="0.25">
      <c r="A26" s="101"/>
      <c r="B26" s="110">
        <v>2</v>
      </c>
      <c r="C26" s="430"/>
      <c r="D26" s="431"/>
      <c r="E26" s="431"/>
      <c r="F26" s="431"/>
      <c r="G26" s="432"/>
      <c r="H26" s="427">
        <v>23</v>
      </c>
      <c r="I26" s="428"/>
      <c r="J26" s="429"/>
      <c r="K26" s="430"/>
      <c r="L26" s="431"/>
      <c r="M26" s="431"/>
      <c r="N26" s="431"/>
      <c r="O26" s="431"/>
      <c r="P26" s="432"/>
      <c r="Z26" s="100"/>
    </row>
    <row r="27" spans="1:26" ht="19.5" customHeight="1" x14ac:dyDescent="0.25">
      <c r="A27" s="101"/>
      <c r="B27" s="110">
        <v>3</v>
      </c>
      <c r="C27" s="430"/>
      <c r="D27" s="431"/>
      <c r="E27" s="431"/>
      <c r="F27" s="431"/>
      <c r="G27" s="432"/>
      <c r="H27" s="427">
        <v>53</v>
      </c>
      <c r="I27" s="428"/>
      <c r="J27" s="429"/>
      <c r="K27" s="430"/>
      <c r="L27" s="431"/>
      <c r="M27" s="431"/>
      <c r="N27" s="431"/>
      <c r="O27" s="431"/>
      <c r="P27" s="432"/>
      <c r="Z27" s="100"/>
    </row>
    <row r="28" spans="1:26" ht="19.5" customHeight="1" x14ac:dyDescent="0.25">
      <c r="A28" s="101"/>
      <c r="B28" s="110">
        <v>4</v>
      </c>
      <c r="C28" s="430"/>
      <c r="D28" s="431"/>
      <c r="E28" s="431"/>
      <c r="F28" s="431"/>
      <c r="G28" s="432"/>
      <c r="H28" s="427">
        <v>64</v>
      </c>
      <c r="I28" s="428"/>
      <c r="J28" s="429"/>
      <c r="K28" s="430"/>
      <c r="L28" s="431"/>
      <c r="M28" s="431"/>
      <c r="N28" s="431"/>
      <c r="O28" s="431"/>
      <c r="P28" s="432"/>
      <c r="Z28" s="100"/>
    </row>
    <row r="29" spans="1:26" ht="19.5" customHeight="1" x14ac:dyDescent="0.25">
      <c r="A29" s="101"/>
      <c r="B29" s="110">
        <v>5</v>
      </c>
      <c r="C29" s="430"/>
      <c r="D29" s="431"/>
      <c r="E29" s="431"/>
      <c r="F29" s="431"/>
      <c r="G29" s="432"/>
      <c r="H29" s="427">
        <v>72</v>
      </c>
      <c r="I29" s="428"/>
      <c r="J29" s="429"/>
      <c r="K29" s="430"/>
      <c r="L29" s="431"/>
      <c r="M29" s="431"/>
      <c r="N29" s="431"/>
      <c r="O29" s="431"/>
      <c r="P29" s="432"/>
      <c r="Z29" s="100"/>
    </row>
    <row r="30" spans="1:26" ht="19.5" customHeight="1" x14ac:dyDescent="0.25">
      <c r="A30" s="101"/>
      <c r="B30" s="110">
        <v>6</v>
      </c>
      <c r="C30" s="430"/>
      <c r="D30" s="431"/>
      <c r="E30" s="431"/>
      <c r="F30" s="431"/>
      <c r="G30" s="432"/>
      <c r="H30" s="427">
        <v>26</v>
      </c>
      <c r="I30" s="428"/>
      <c r="J30" s="429"/>
      <c r="K30" s="430"/>
      <c r="L30" s="431"/>
      <c r="M30" s="431"/>
      <c r="N30" s="431"/>
      <c r="O30" s="431"/>
      <c r="P30" s="432"/>
      <c r="Z30" s="100"/>
    </row>
    <row r="31" spans="1:26" ht="19.5" customHeight="1" x14ac:dyDescent="0.25">
      <c r="A31" s="101"/>
      <c r="B31" s="110">
        <v>7</v>
      </c>
      <c r="C31" s="430"/>
      <c r="D31" s="431"/>
      <c r="E31" s="431"/>
      <c r="F31" s="431"/>
      <c r="G31" s="432"/>
      <c r="H31" s="427">
        <v>32</v>
      </c>
      <c r="I31" s="428"/>
      <c r="J31" s="429"/>
      <c r="K31" s="430"/>
      <c r="L31" s="431"/>
      <c r="M31" s="431"/>
      <c r="N31" s="431"/>
      <c r="O31" s="431"/>
      <c r="P31" s="432"/>
      <c r="Z31" s="100"/>
    </row>
    <row r="32" spans="1:26" ht="19.5" customHeight="1" x14ac:dyDescent="0.25">
      <c r="A32" s="101"/>
      <c r="B32" s="110">
        <v>8</v>
      </c>
      <c r="C32" s="430"/>
      <c r="D32" s="431"/>
      <c r="E32" s="431"/>
      <c r="F32" s="431"/>
      <c r="G32" s="432"/>
      <c r="H32" s="427">
        <v>33</v>
      </c>
      <c r="I32" s="428"/>
      <c r="J32" s="429"/>
      <c r="K32" s="430"/>
      <c r="L32" s="431"/>
      <c r="M32" s="431"/>
      <c r="N32" s="431"/>
      <c r="O32" s="431"/>
      <c r="P32" s="432"/>
      <c r="Z32" s="100"/>
    </row>
    <row r="33" spans="1:26" ht="19.5" customHeight="1" x14ac:dyDescent="0.25">
      <c r="A33" s="101"/>
      <c r="B33" s="110">
        <v>9</v>
      </c>
      <c r="C33" s="430"/>
      <c r="D33" s="431"/>
      <c r="E33" s="431"/>
      <c r="F33" s="431"/>
      <c r="G33" s="432"/>
      <c r="H33" s="427">
        <v>29</v>
      </c>
      <c r="I33" s="428"/>
      <c r="J33" s="429"/>
      <c r="K33" s="430"/>
      <c r="L33" s="431"/>
      <c r="M33" s="431"/>
      <c r="N33" s="431"/>
      <c r="O33" s="431"/>
      <c r="P33" s="432"/>
      <c r="Z33" s="100"/>
    </row>
    <row r="34" spans="1:26" ht="19.5" customHeight="1" x14ac:dyDescent="0.25">
      <c r="A34" s="101"/>
      <c r="B34" s="110">
        <v>10</v>
      </c>
      <c r="C34" s="430"/>
      <c r="D34" s="431"/>
      <c r="E34" s="431"/>
      <c r="F34" s="431"/>
      <c r="G34" s="432"/>
      <c r="H34" s="427">
        <v>23</v>
      </c>
      <c r="I34" s="428"/>
      <c r="J34" s="429"/>
      <c r="K34" s="430"/>
      <c r="L34" s="431"/>
      <c r="M34" s="431"/>
      <c r="N34" s="431"/>
      <c r="O34" s="431"/>
      <c r="P34" s="432"/>
      <c r="Z34" s="100"/>
    </row>
    <row r="35" spans="1:26" ht="19.5" customHeight="1" x14ac:dyDescent="0.25">
      <c r="A35" s="101"/>
      <c r="B35" s="110">
        <v>11</v>
      </c>
      <c r="C35" s="430"/>
      <c r="D35" s="431"/>
      <c r="E35" s="431"/>
      <c r="F35" s="431"/>
      <c r="G35" s="432"/>
      <c r="H35" s="427" t="s">
        <v>38</v>
      </c>
      <c r="I35" s="428"/>
      <c r="J35" s="429"/>
      <c r="K35" s="430"/>
      <c r="L35" s="431"/>
      <c r="M35" s="431"/>
      <c r="N35" s="431"/>
      <c r="O35" s="431"/>
      <c r="P35" s="432"/>
      <c r="Z35" s="100"/>
    </row>
    <row r="36" spans="1:26" ht="19.5" customHeight="1" x14ac:dyDescent="0.25">
      <c r="A36" s="101"/>
      <c r="B36" s="110">
        <v>12</v>
      </c>
      <c r="C36" s="430"/>
      <c r="D36" s="431"/>
      <c r="E36" s="431"/>
      <c r="F36" s="431"/>
      <c r="G36" s="432"/>
      <c r="H36" s="427">
        <v>42</v>
      </c>
      <c r="I36" s="428"/>
      <c r="J36" s="429"/>
      <c r="K36" s="430"/>
      <c r="L36" s="431"/>
      <c r="M36" s="431"/>
      <c r="N36" s="431"/>
      <c r="O36" s="431"/>
      <c r="P36" s="432"/>
      <c r="Z36" s="100"/>
    </row>
    <row r="37" spans="1:26" ht="19.5" customHeight="1" x14ac:dyDescent="0.25">
      <c r="A37" s="101"/>
      <c r="B37" s="110">
        <v>13</v>
      </c>
      <c r="C37" s="430"/>
      <c r="D37" s="431"/>
      <c r="E37" s="431"/>
      <c r="F37" s="431"/>
      <c r="G37" s="432"/>
      <c r="H37" s="427">
        <v>38</v>
      </c>
      <c r="I37" s="428"/>
      <c r="J37" s="429"/>
      <c r="K37" s="430"/>
      <c r="L37" s="431"/>
      <c r="M37" s="431"/>
      <c r="N37" s="431"/>
      <c r="O37" s="431"/>
      <c r="P37" s="432"/>
      <c r="Z37" s="100"/>
    </row>
    <row r="38" spans="1:26" ht="19.5" customHeight="1" x14ac:dyDescent="0.25">
      <c r="A38" s="101"/>
      <c r="B38" s="110">
        <v>14</v>
      </c>
      <c r="C38" s="430"/>
      <c r="D38" s="431"/>
      <c r="E38" s="431"/>
      <c r="F38" s="431"/>
      <c r="G38" s="432"/>
      <c r="H38" s="427">
        <v>44</v>
      </c>
      <c r="I38" s="428"/>
      <c r="J38" s="429"/>
      <c r="K38" s="430"/>
      <c r="L38" s="431"/>
      <c r="M38" s="431"/>
      <c r="N38" s="431"/>
      <c r="O38" s="431"/>
      <c r="P38" s="432"/>
      <c r="Z38" s="100"/>
    </row>
    <row r="39" spans="1:26" ht="19.5" customHeight="1" x14ac:dyDescent="0.25">
      <c r="A39" s="101"/>
      <c r="B39" s="109"/>
      <c r="C39" s="105"/>
      <c r="D39" s="104"/>
      <c r="E39" s="104"/>
      <c r="F39" s="104"/>
      <c r="G39" s="103"/>
      <c r="H39" s="108"/>
      <c r="I39" s="107"/>
      <c r="J39" s="106"/>
      <c r="K39" s="105"/>
      <c r="L39" s="104"/>
      <c r="M39" s="104"/>
      <c r="N39" s="104"/>
      <c r="O39" s="104"/>
      <c r="P39" s="103"/>
      <c r="Z39" s="100"/>
    </row>
    <row r="40" spans="1:26" ht="19.5" customHeight="1" x14ac:dyDescent="0.25">
      <c r="A40" s="101"/>
      <c r="B40" s="109"/>
      <c r="C40" s="105"/>
      <c r="D40" s="104"/>
      <c r="E40" s="104"/>
      <c r="F40" s="104"/>
      <c r="G40" s="103"/>
      <c r="H40" s="108"/>
      <c r="I40" s="107"/>
      <c r="J40" s="106"/>
      <c r="K40" s="105"/>
      <c r="L40" s="104"/>
      <c r="M40" s="104"/>
      <c r="N40" s="104"/>
      <c r="O40" s="104"/>
      <c r="P40" s="103"/>
      <c r="Z40" s="100"/>
    </row>
    <row r="41" spans="1:26" ht="19.5" customHeight="1" x14ac:dyDescent="0.25">
      <c r="A41" s="101"/>
      <c r="B41" s="109"/>
      <c r="C41" s="105"/>
      <c r="D41" s="104"/>
      <c r="E41" s="104"/>
      <c r="F41" s="104"/>
      <c r="G41" s="103"/>
      <c r="H41" s="108"/>
      <c r="I41" s="107"/>
      <c r="J41" s="106"/>
      <c r="K41" s="105"/>
      <c r="L41" s="104"/>
      <c r="M41" s="104"/>
      <c r="N41" s="104"/>
      <c r="O41" s="104"/>
      <c r="P41" s="103"/>
      <c r="Z41" s="100"/>
    </row>
    <row r="42" spans="1:26" ht="19.5" customHeight="1" x14ac:dyDescent="0.25">
      <c r="A42" s="101"/>
      <c r="B42" s="109"/>
      <c r="C42" s="105"/>
      <c r="D42" s="104"/>
      <c r="E42" s="104"/>
      <c r="F42" s="104"/>
      <c r="G42" s="103"/>
      <c r="H42" s="108"/>
      <c r="I42" s="107"/>
      <c r="J42" s="106"/>
      <c r="K42" s="105"/>
      <c r="L42" s="104"/>
      <c r="M42" s="104"/>
      <c r="N42" s="104"/>
      <c r="O42" s="104"/>
      <c r="P42" s="103"/>
      <c r="Z42" s="100"/>
    </row>
    <row r="43" spans="1:26" ht="19.5" customHeight="1" x14ac:dyDescent="0.25">
      <c r="A43" s="101"/>
      <c r="B43" s="109"/>
      <c r="C43" s="105"/>
      <c r="D43" s="104"/>
      <c r="E43" s="104"/>
      <c r="F43" s="104"/>
      <c r="G43" s="103"/>
      <c r="H43" s="108"/>
      <c r="I43" s="107"/>
      <c r="J43" s="106"/>
      <c r="K43" s="105"/>
      <c r="L43" s="104"/>
      <c r="M43" s="104"/>
      <c r="N43" s="104"/>
      <c r="O43" s="104"/>
      <c r="P43" s="103"/>
      <c r="Z43" s="100"/>
    </row>
    <row r="44" spans="1:26" ht="19.5" customHeight="1" x14ac:dyDescent="0.25">
      <c r="A44" s="101"/>
      <c r="B44" s="109"/>
      <c r="C44" s="105"/>
      <c r="D44" s="104"/>
      <c r="E44" s="104"/>
      <c r="F44" s="104"/>
      <c r="G44" s="103"/>
      <c r="H44" s="108"/>
      <c r="I44" s="107"/>
      <c r="J44" s="106"/>
      <c r="K44" s="105"/>
      <c r="L44" s="104"/>
      <c r="M44" s="104"/>
      <c r="N44" s="104"/>
      <c r="O44" s="104"/>
      <c r="P44" s="103"/>
      <c r="Z44" s="100"/>
    </row>
    <row r="45" spans="1:26" ht="19.5" customHeight="1" x14ac:dyDescent="0.25">
      <c r="A45" s="101"/>
      <c r="B45" s="109"/>
      <c r="C45" s="105"/>
      <c r="D45" s="104"/>
      <c r="E45" s="104"/>
      <c r="F45" s="104"/>
      <c r="G45" s="103"/>
      <c r="H45" s="108"/>
      <c r="I45" s="107"/>
      <c r="J45" s="106"/>
      <c r="K45" s="105"/>
      <c r="L45" s="104"/>
      <c r="M45" s="104"/>
      <c r="N45" s="104"/>
      <c r="O45" s="104"/>
      <c r="P45" s="103"/>
      <c r="Z45" s="100"/>
    </row>
    <row r="46" spans="1:26" ht="19.5" customHeight="1" x14ac:dyDescent="0.25">
      <c r="A46" s="101"/>
      <c r="B46" s="109"/>
      <c r="C46" s="105"/>
      <c r="D46" s="104"/>
      <c r="E46" s="104"/>
      <c r="F46" s="104"/>
      <c r="G46" s="103"/>
      <c r="H46" s="108"/>
      <c r="I46" s="107"/>
      <c r="J46" s="106"/>
      <c r="K46" s="105"/>
      <c r="L46" s="104"/>
      <c r="M46" s="104"/>
      <c r="N46" s="104"/>
      <c r="O46" s="104"/>
      <c r="P46" s="103"/>
      <c r="Z46" s="100"/>
    </row>
    <row r="47" spans="1:26" ht="19.5" customHeight="1" x14ac:dyDescent="0.25">
      <c r="A47" s="101"/>
      <c r="B47" s="109"/>
      <c r="C47" s="105"/>
      <c r="D47" s="104"/>
      <c r="E47" s="104"/>
      <c r="F47" s="104"/>
      <c r="G47" s="103"/>
      <c r="H47" s="108"/>
      <c r="I47" s="107"/>
      <c r="J47" s="106"/>
      <c r="K47" s="105"/>
      <c r="L47" s="104"/>
      <c r="M47" s="104"/>
      <c r="N47" s="104"/>
      <c r="O47" s="104"/>
      <c r="P47" s="103"/>
      <c r="Z47" s="100"/>
    </row>
    <row r="48" spans="1:26" ht="19.5" customHeight="1" x14ac:dyDescent="0.25">
      <c r="A48" s="101"/>
      <c r="B48" s="109"/>
      <c r="C48" s="105"/>
      <c r="D48" s="104"/>
      <c r="E48" s="104"/>
      <c r="F48" s="104"/>
      <c r="G48" s="103"/>
      <c r="H48" s="108"/>
      <c r="I48" s="107"/>
      <c r="J48" s="106"/>
      <c r="K48" s="105"/>
      <c r="L48" s="104"/>
      <c r="M48" s="104"/>
      <c r="N48" s="104"/>
      <c r="O48" s="104"/>
      <c r="P48" s="103"/>
      <c r="Z48" s="100"/>
    </row>
    <row r="49" spans="1:26" ht="19.5" customHeight="1" x14ac:dyDescent="0.25">
      <c r="A49" s="101"/>
      <c r="B49" s="109"/>
      <c r="C49" s="105"/>
      <c r="D49" s="104"/>
      <c r="E49" s="104"/>
      <c r="F49" s="104"/>
      <c r="G49" s="103"/>
      <c r="H49" s="108"/>
      <c r="I49" s="107"/>
      <c r="J49" s="106"/>
      <c r="K49" s="105"/>
      <c r="L49" s="104"/>
      <c r="M49" s="104"/>
      <c r="N49" s="104"/>
      <c r="O49" s="104"/>
      <c r="P49" s="103"/>
      <c r="Z49" s="100"/>
    </row>
    <row r="50" spans="1:26" ht="19.5" customHeight="1" x14ac:dyDescent="0.25">
      <c r="A50" s="101"/>
      <c r="B50" s="109"/>
      <c r="C50" s="105"/>
      <c r="D50" s="104"/>
      <c r="E50" s="104"/>
      <c r="F50" s="104"/>
      <c r="G50" s="103"/>
      <c r="H50" s="108"/>
      <c r="I50" s="107"/>
      <c r="J50" s="106"/>
      <c r="K50" s="105"/>
      <c r="L50" s="104"/>
      <c r="M50" s="104"/>
      <c r="N50" s="104"/>
      <c r="O50" s="104"/>
      <c r="P50" s="103"/>
      <c r="Z50" s="100"/>
    </row>
    <row r="51" spans="1:26" ht="19.5" customHeight="1" x14ac:dyDescent="0.25">
      <c r="A51" s="101"/>
      <c r="B51" s="109"/>
      <c r="C51" s="105"/>
      <c r="D51" s="104"/>
      <c r="E51" s="104"/>
      <c r="F51" s="104"/>
      <c r="G51" s="103"/>
      <c r="H51" s="108"/>
      <c r="I51" s="107"/>
      <c r="J51" s="106"/>
      <c r="K51" s="105"/>
      <c r="L51" s="104"/>
      <c r="M51" s="104"/>
      <c r="N51" s="104"/>
      <c r="O51" s="104"/>
      <c r="P51" s="103"/>
      <c r="Z51" s="100"/>
    </row>
    <row r="52" spans="1:26" ht="19.5" customHeight="1" x14ac:dyDescent="0.25">
      <c r="A52" s="101"/>
      <c r="B52" s="109"/>
      <c r="C52" s="105"/>
      <c r="D52" s="104"/>
      <c r="E52" s="104"/>
      <c r="F52" s="104"/>
      <c r="G52" s="103"/>
      <c r="H52" s="108"/>
      <c r="I52" s="107"/>
      <c r="J52" s="106"/>
      <c r="K52" s="105"/>
      <c r="L52" s="104"/>
      <c r="M52" s="104"/>
      <c r="N52" s="104"/>
      <c r="O52" s="104"/>
      <c r="P52" s="103"/>
      <c r="Z52" s="100"/>
    </row>
    <row r="53" spans="1:26" ht="19.5" customHeight="1" x14ac:dyDescent="0.25">
      <c r="A53" s="101"/>
      <c r="B53" s="109"/>
      <c r="C53" s="105"/>
      <c r="D53" s="104"/>
      <c r="E53" s="104"/>
      <c r="F53" s="104"/>
      <c r="G53" s="103"/>
      <c r="H53" s="108"/>
      <c r="I53" s="107"/>
      <c r="J53" s="106"/>
      <c r="K53" s="105"/>
      <c r="L53" s="104"/>
      <c r="M53" s="104"/>
      <c r="N53" s="104"/>
      <c r="O53" s="104"/>
      <c r="P53" s="103"/>
      <c r="Z53" s="100"/>
    </row>
    <row r="54" spans="1:26" ht="19.5" customHeight="1" thickBot="1" x14ac:dyDescent="0.3">
      <c r="A54" s="101"/>
      <c r="B54" s="102"/>
      <c r="C54" s="459"/>
      <c r="D54" s="460"/>
      <c r="E54" s="460"/>
      <c r="F54" s="460"/>
      <c r="G54" s="461"/>
      <c r="H54" s="491"/>
      <c r="I54" s="492"/>
      <c r="J54" s="493"/>
      <c r="K54" s="459"/>
      <c r="L54" s="460"/>
      <c r="M54" s="460"/>
      <c r="N54" s="460"/>
      <c r="O54" s="460"/>
      <c r="P54" s="461"/>
      <c r="Z54" s="100"/>
    </row>
    <row r="55" spans="1:26" ht="15.75" customHeight="1" x14ac:dyDescent="0.25">
      <c r="A55" s="101"/>
      <c r="B55" s="468" t="s">
        <v>39</v>
      </c>
      <c r="C55" s="469"/>
      <c r="D55" s="469"/>
      <c r="E55" s="469"/>
      <c r="F55" s="469"/>
      <c r="G55" s="470"/>
      <c r="H55" s="474">
        <f>AVERAGE(H25:J54)</f>
        <v>40</v>
      </c>
      <c r="I55" s="475"/>
      <c r="J55" s="476"/>
      <c r="K55" s="528" t="s">
        <v>58</v>
      </c>
      <c r="L55" s="529"/>
      <c r="M55" s="523" t="s">
        <v>41</v>
      </c>
      <c r="N55" s="523"/>
      <c r="O55" s="523"/>
      <c r="P55" s="524"/>
      <c r="Z55" s="100"/>
    </row>
    <row r="56" spans="1:26" ht="15.75" customHeight="1" x14ac:dyDescent="0.25">
      <c r="A56" s="101"/>
      <c r="B56" s="462" t="s">
        <v>42</v>
      </c>
      <c r="C56" s="463"/>
      <c r="D56" s="463"/>
      <c r="E56" s="463"/>
      <c r="F56" s="463"/>
      <c r="G56" s="464"/>
      <c r="H56" s="517" t="str">
        <f>IF(COUNTIF(H25:J54,"*&lt;20*"),"&lt;20",MIN(H25:J54))</f>
        <v>&lt;20</v>
      </c>
      <c r="I56" s="518"/>
      <c r="J56" s="519"/>
      <c r="K56" s="530"/>
      <c r="L56" s="531"/>
      <c r="M56" s="425"/>
      <c r="N56" s="425"/>
      <c r="O56" s="425"/>
      <c r="P56" s="525"/>
      <c r="Z56" s="100"/>
    </row>
    <row r="57" spans="1:26" ht="15.75" customHeight="1" thickBot="1" x14ac:dyDescent="0.3">
      <c r="A57" s="101"/>
      <c r="B57" s="465" t="s">
        <v>43</v>
      </c>
      <c r="C57" s="466"/>
      <c r="D57" s="466"/>
      <c r="E57" s="466"/>
      <c r="F57" s="466"/>
      <c r="G57" s="467"/>
      <c r="H57" s="471">
        <f>IF(COUNTIF(H25:J54,"*&gt;250*"),"&gt;250",MAX(H25:J54))</f>
        <v>72</v>
      </c>
      <c r="I57" s="472"/>
      <c r="J57" s="473"/>
      <c r="K57" s="532"/>
      <c r="L57" s="533"/>
      <c r="M57" s="526"/>
      <c r="N57" s="526"/>
      <c r="O57" s="526"/>
      <c r="P57" s="527"/>
      <c r="Z57" s="100"/>
    </row>
    <row r="58" spans="1:26" ht="15.9" customHeight="1" x14ac:dyDescent="0.25">
      <c r="A58" s="99"/>
      <c r="B58" s="98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6"/>
    </row>
    <row r="59" spans="1:26" ht="12.75" customHeight="1" x14ac:dyDescent="0.25">
      <c r="A59" s="95"/>
      <c r="B59" s="94"/>
    </row>
    <row r="60" spans="1:26" s="69" customFormat="1" ht="15.6" customHeight="1" x14ac:dyDescent="0.25">
      <c r="A60" s="93" t="s">
        <v>44</v>
      </c>
      <c r="B60" s="92" t="s">
        <v>45</v>
      </c>
      <c r="C60" s="91"/>
      <c r="D60" s="91"/>
      <c r="E60" s="91"/>
      <c r="F60" s="90"/>
      <c r="G60" s="90"/>
      <c r="H60" s="90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8"/>
      <c r="V60" s="87"/>
      <c r="W60" s="87"/>
      <c r="X60" s="86"/>
      <c r="Y60" s="86"/>
      <c r="Z60" s="85"/>
    </row>
    <row r="61" spans="1:26" s="69" customFormat="1" ht="28.5" customHeight="1" x14ac:dyDescent="0.25">
      <c r="A61" s="520" t="s">
        <v>46</v>
      </c>
      <c r="B61" s="521"/>
      <c r="C61" s="521"/>
      <c r="D61" s="521"/>
      <c r="E61" s="521"/>
      <c r="F61" s="521"/>
      <c r="G61" s="521"/>
      <c r="H61" s="521"/>
      <c r="I61" s="521"/>
      <c r="J61" s="521"/>
      <c r="K61" s="521"/>
      <c r="L61" s="521"/>
      <c r="M61" s="521"/>
      <c r="N61" s="521"/>
      <c r="O61" s="521"/>
      <c r="P61" s="521"/>
      <c r="Q61" s="522"/>
      <c r="R61" s="453" t="s">
        <v>47</v>
      </c>
      <c r="S61" s="454"/>
      <c r="T61" s="455"/>
      <c r="U61" s="496" t="s">
        <v>57</v>
      </c>
      <c r="V61" s="497"/>
      <c r="W61" s="497"/>
      <c r="X61" s="498"/>
      <c r="Y61" s="498"/>
      <c r="Z61" s="499"/>
    </row>
    <row r="62" spans="1:26" s="69" customFormat="1" ht="15.6" customHeight="1" x14ac:dyDescent="0.25">
      <c r="A62" s="500" t="s">
        <v>56</v>
      </c>
      <c r="B62" s="501"/>
      <c r="C62" s="501"/>
      <c r="D62" s="501"/>
      <c r="E62" s="501"/>
      <c r="F62" s="501"/>
      <c r="G62" s="501"/>
      <c r="H62" s="501"/>
      <c r="I62" s="501"/>
      <c r="J62" s="501"/>
      <c r="K62" s="501"/>
      <c r="L62" s="501"/>
      <c r="M62" s="501"/>
      <c r="N62" s="501"/>
      <c r="O62" s="501"/>
      <c r="P62" s="501"/>
      <c r="Q62" s="502"/>
      <c r="R62" s="453" t="s">
        <v>49</v>
      </c>
      <c r="S62" s="454"/>
      <c r="T62" s="455"/>
      <c r="U62" s="506" t="s">
        <v>55</v>
      </c>
      <c r="V62" s="507"/>
      <c r="W62" s="507"/>
      <c r="X62" s="508"/>
      <c r="Y62" s="508"/>
      <c r="Z62" s="509"/>
    </row>
    <row r="63" spans="1:26" s="69" customFormat="1" ht="15.6" customHeight="1" x14ac:dyDescent="0.25">
      <c r="A63" s="503"/>
      <c r="B63" s="504"/>
      <c r="C63" s="504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5"/>
      <c r="R63" s="453"/>
      <c r="S63" s="454"/>
      <c r="T63" s="455"/>
      <c r="U63" s="510"/>
      <c r="V63" s="425"/>
      <c r="W63" s="425"/>
      <c r="X63" s="511"/>
      <c r="Y63" s="511"/>
      <c r="Z63" s="512"/>
    </row>
    <row r="64" spans="1:26" s="69" customFormat="1" ht="15.6" customHeight="1" x14ac:dyDescent="0.25">
      <c r="A64" s="84" t="s">
        <v>51</v>
      </c>
      <c r="B64" s="83" t="s">
        <v>52</v>
      </c>
      <c r="C64" s="67"/>
      <c r="D64" s="67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1"/>
      <c r="R64" s="453"/>
      <c r="S64" s="454"/>
      <c r="T64" s="455"/>
      <c r="U64" s="513"/>
      <c r="V64" s="514"/>
      <c r="W64" s="514"/>
      <c r="X64" s="515"/>
      <c r="Y64" s="515"/>
      <c r="Z64" s="516"/>
    </row>
    <row r="65" spans="1:26" s="69" customFormat="1" ht="15.6" customHeight="1" x14ac:dyDescent="0.25">
      <c r="A65" s="447"/>
      <c r="B65" s="448"/>
      <c r="C65" s="448"/>
      <c r="D65" s="448"/>
      <c r="E65" s="448"/>
      <c r="F65" s="448"/>
      <c r="G65" s="448"/>
      <c r="H65" s="448"/>
      <c r="I65" s="448"/>
      <c r="J65" s="448"/>
      <c r="K65" s="448"/>
      <c r="L65" s="448"/>
      <c r="M65" s="448"/>
      <c r="N65" s="448"/>
      <c r="O65" s="448"/>
      <c r="P65" s="448"/>
      <c r="Q65" s="449"/>
      <c r="R65" s="453" t="s">
        <v>53</v>
      </c>
      <c r="S65" s="454"/>
      <c r="T65" s="455"/>
      <c r="U65" s="80"/>
      <c r="V65" s="79"/>
      <c r="W65" s="79"/>
      <c r="X65" s="79"/>
      <c r="Y65" s="79"/>
      <c r="Z65" s="78"/>
    </row>
    <row r="66" spans="1:26" s="69" customFormat="1" ht="15.6" customHeight="1" x14ac:dyDescent="0.25">
      <c r="A66" s="447"/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8"/>
      <c r="Q66" s="449"/>
      <c r="R66" s="453"/>
      <c r="S66" s="454"/>
      <c r="T66" s="455"/>
      <c r="U66" s="77"/>
      <c r="V66" s="425"/>
      <c r="W66" s="425"/>
      <c r="X66" s="425"/>
      <c r="Y66" s="425"/>
      <c r="Z66" s="76"/>
    </row>
    <row r="67" spans="1:26" s="69" customFormat="1" ht="15.6" customHeight="1" x14ac:dyDescent="0.25">
      <c r="A67" s="447"/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8"/>
      <c r="Q67" s="449"/>
      <c r="R67" s="453"/>
      <c r="S67" s="454"/>
      <c r="T67" s="455"/>
      <c r="U67" s="77"/>
      <c r="V67" s="425"/>
      <c r="W67" s="425"/>
      <c r="X67" s="425"/>
      <c r="Y67" s="425"/>
      <c r="Z67" s="76"/>
    </row>
    <row r="68" spans="1:26" s="69" customFormat="1" ht="15.6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1"/>
      <c r="Q68" s="452"/>
      <c r="R68" s="456"/>
      <c r="S68" s="457"/>
      <c r="T68" s="458"/>
      <c r="U68" s="75"/>
      <c r="V68" s="74"/>
      <c r="W68" s="74"/>
      <c r="X68" s="74"/>
      <c r="Y68" s="74"/>
      <c r="Z68" s="73"/>
    </row>
    <row r="69" spans="1:26" s="69" customFormat="1" ht="15" customHeight="1" x14ac:dyDescent="0.25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1"/>
      <c r="S69" s="71"/>
      <c r="T69" s="71"/>
      <c r="U69" s="70"/>
      <c r="V69" s="70"/>
      <c r="W69" s="70"/>
      <c r="X69" s="70"/>
      <c r="Y69" s="70"/>
      <c r="Z69" s="70"/>
    </row>
    <row r="71" spans="1:26" ht="12.75" customHeight="1" x14ac:dyDescent="0.25">
      <c r="A71" s="67"/>
    </row>
    <row r="72" spans="1:26" ht="12.75" customHeight="1" x14ac:dyDescent="0.25">
      <c r="A72" s="67"/>
    </row>
    <row r="73" spans="1:26" ht="12.75" customHeight="1" x14ac:dyDescent="0.25">
      <c r="A73" s="67"/>
    </row>
    <row r="74" spans="1:26" ht="12.75" customHeight="1" x14ac:dyDescent="0.25">
      <c r="A74" s="67"/>
    </row>
    <row r="75" spans="1:26" ht="12.75" customHeight="1" x14ac:dyDescent="0.25">
      <c r="A75" s="67"/>
    </row>
    <row r="76" spans="1:26" ht="12.75" customHeight="1" x14ac:dyDescent="0.25">
      <c r="A76" s="67"/>
    </row>
  </sheetData>
  <sheetProtection formatCells="0" formatColumns="0" formatRows="0" insertColumns="0" insertRows="0" insertHyperlinks="0" deleteColumns="0" deleteRows="0" selectLockedCells="1" sort="0" autoFilter="0" pivotTables="0"/>
  <mergeCells count="97">
    <mergeCell ref="C35:G35"/>
    <mergeCell ref="H35:J35"/>
    <mergeCell ref="K35:P35"/>
    <mergeCell ref="C38:G38"/>
    <mergeCell ref="H38:J38"/>
    <mergeCell ref="K38:P38"/>
    <mergeCell ref="C36:G36"/>
    <mergeCell ref="H36:J36"/>
    <mergeCell ref="K36:P36"/>
    <mergeCell ref="C37:G37"/>
    <mergeCell ref="H37:J37"/>
    <mergeCell ref="K37:P37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S12:Y12"/>
    <mergeCell ref="K23:P24"/>
    <mergeCell ref="I17:Y17"/>
    <mergeCell ref="C33:G33"/>
    <mergeCell ref="H33:J33"/>
    <mergeCell ref="K33:P33"/>
    <mergeCell ref="C34:G34"/>
    <mergeCell ref="H34:J34"/>
    <mergeCell ref="K34:P34"/>
    <mergeCell ref="H12:M12"/>
    <mergeCell ref="H11:M11"/>
    <mergeCell ref="N11:R11"/>
    <mergeCell ref="C32:G32"/>
    <mergeCell ref="H32:J32"/>
    <mergeCell ref="K32:P32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7"/>
  <sheetViews>
    <sheetView workbookViewId="0">
      <selection activeCell="N64" sqref="N64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703"/>
      <c r="B1" s="704"/>
      <c r="C1" s="704"/>
      <c r="D1" s="704"/>
      <c r="E1" s="704"/>
      <c r="F1" s="705"/>
      <c r="G1" s="712" t="s">
        <v>0</v>
      </c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4"/>
      <c r="U1" s="732" t="s">
        <v>1</v>
      </c>
      <c r="V1" s="733"/>
      <c r="W1" s="733"/>
      <c r="X1" s="733"/>
      <c r="Y1" s="733"/>
      <c r="Z1" s="734"/>
    </row>
    <row r="2" spans="1:26" ht="12.75" customHeight="1" x14ac:dyDescent="0.25">
      <c r="A2" s="706"/>
      <c r="B2" s="707"/>
      <c r="C2" s="707"/>
      <c r="D2" s="707"/>
      <c r="E2" s="707"/>
      <c r="F2" s="708"/>
      <c r="G2" s="715" t="s">
        <v>2</v>
      </c>
      <c r="H2" s="716"/>
      <c r="I2" s="716"/>
      <c r="J2" s="716"/>
      <c r="K2" s="716"/>
      <c r="L2" s="716"/>
      <c r="M2" s="716"/>
      <c r="N2" s="716"/>
      <c r="O2" s="716"/>
      <c r="P2" s="716"/>
      <c r="Q2" s="716"/>
      <c r="R2" s="716"/>
      <c r="S2" s="716"/>
      <c r="T2" s="717"/>
      <c r="U2" s="735"/>
      <c r="V2" s="736"/>
      <c r="W2" s="736"/>
      <c r="X2" s="736"/>
      <c r="Y2" s="736"/>
      <c r="Z2" s="737"/>
    </row>
    <row r="3" spans="1:26" ht="12.75" customHeight="1" x14ac:dyDescent="0.25">
      <c r="A3" s="706"/>
      <c r="B3" s="707"/>
      <c r="C3" s="707"/>
      <c r="D3" s="707"/>
      <c r="E3" s="707"/>
      <c r="F3" s="708"/>
      <c r="G3" s="715"/>
      <c r="H3" s="716"/>
      <c r="I3" s="716"/>
      <c r="J3" s="716"/>
      <c r="K3" s="716"/>
      <c r="L3" s="716"/>
      <c r="M3" s="716"/>
      <c r="N3" s="716"/>
      <c r="O3" s="716"/>
      <c r="P3" s="716"/>
      <c r="Q3" s="716"/>
      <c r="R3" s="716"/>
      <c r="S3" s="716"/>
      <c r="T3" s="717"/>
      <c r="U3" s="735"/>
      <c r="V3" s="736"/>
      <c r="W3" s="736"/>
      <c r="X3" s="736"/>
      <c r="Y3" s="736"/>
      <c r="Z3" s="737"/>
    </row>
    <row r="4" spans="1:26" ht="12.75" customHeight="1" x14ac:dyDescent="0.25">
      <c r="A4" s="706"/>
      <c r="B4" s="707"/>
      <c r="C4" s="707"/>
      <c r="D4" s="707"/>
      <c r="E4" s="707"/>
      <c r="F4" s="708"/>
      <c r="G4" s="715"/>
      <c r="H4" s="716"/>
      <c r="I4" s="716"/>
      <c r="J4" s="716"/>
      <c r="K4" s="716"/>
      <c r="L4" s="716"/>
      <c r="M4" s="716"/>
      <c r="N4" s="716"/>
      <c r="O4" s="716"/>
      <c r="P4" s="716"/>
      <c r="Q4" s="716"/>
      <c r="R4" s="716"/>
      <c r="S4" s="716"/>
      <c r="T4" s="717"/>
      <c r="U4" s="735"/>
      <c r="V4" s="736"/>
      <c r="W4" s="736"/>
      <c r="X4" s="736"/>
      <c r="Y4" s="736"/>
      <c r="Z4" s="737"/>
    </row>
    <row r="5" spans="1:26" ht="12.75" customHeight="1" x14ac:dyDescent="0.25">
      <c r="A5" s="706"/>
      <c r="B5" s="707"/>
      <c r="C5" s="707"/>
      <c r="D5" s="707"/>
      <c r="E5" s="707"/>
      <c r="F5" s="708"/>
      <c r="G5" s="718" t="s">
        <v>3</v>
      </c>
      <c r="H5" s="719"/>
      <c r="I5" s="722">
        <v>1</v>
      </c>
      <c r="J5" s="722"/>
      <c r="K5" s="723"/>
      <c r="L5" s="725" t="s">
        <v>4</v>
      </c>
      <c r="M5" s="726"/>
      <c r="N5" s="726"/>
      <c r="O5" s="727"/>
      <c r="P5" s="728" t="s">
        <v>5</v>
      </c>
      <c r="Q5" s="729"/>
      <c r="R5" s="729"/>
      <c r="S5" s="729"/>
      <c r="T5" s="730"/>
      <c r="U5" s="735"/>
      <c r="V5" s="736"/>
      <c r="W5" s="736"/>
      <c r="X5" s="736"/>
      <c r="Y5" s="736"/>
      <c r="Z5" s="737"/>
    </row>
    <row r="6" spans="1:26" ht="12.75" customHeight="1" x14ac:dyDescent="0.25">
      <c r="A6" s="709"/>
      <c r="B6" s="710"/>
      <c r="C6" s="710"/>
      <c r="D6" s="710"/>
      <c r="E6" s="710"/>
      <c r="F6" s="711"/>
      <c r="G6" s="2"/>
      <c r="H6" s="3"/>
      <c r="I6" s="724" t="s">
        <v>6</v>
      </c>
      <c r="J6" s="724"/>
      <c r="K6" s="724"/>
      <c r="L6" s="724" t="s">
        <v>7</v>
      </c>
      <c r="M6" s="724"/>
      <c r="N6" s="724"/>
      <c r="O6" s="724"/>
      <c r="P6" s="724" t="s">
        <v>8</v>
      </c>
      <c r="Q6" s="724"/>
      <c r="R6" s="724"/>
      <c r="S6" s="724"/>
      <c r="T6" s="731"/>
      <c r="U6" s="738"/>
      <c r="V6" s="739"/>
      <c r="W6" s="739"/>
      <c r="X6" s="739"/>
      <c r="Y6" s="739"/>
      <c r="Z6" s="740"/>
    </row>
    <row r="7" spans="1:26" ht="36.6" customHeight="1" x14ac:dyDescent="0.25">
      <c r="A7" s="720" t="s">
        <v>9</v>
      </c>
      <c r="B7" s="720"/>
      <c r="C7" s="720"/>
      <c r="D7" s="720"/>
      <c r="E7" s="720"/>
      <c r="F7" s="720"/>
      <c r="G7" s="721" t="s">
        <v>10</v>
      </c>
      <c r="H7" s="721"/>
      <c r="I7" s="721"/>
      <c r="J7" s="721"/>
      <c r="K7" s="721"/>
      <c r="L7" s="721"/>
      <c r="M7" s="721"/>
      <c r="N7" s="721"/>
      <c r="O7" s="721"/>
      <c r="P7" s="721"/>
      <c r="Q7" s="721"/>
      <c r="R7" s="721"/>
      <c r="S7" s="721"/>
      <c r="T7" s="721"/>
      <c r="U7" s="721"/>
      <c r="V7" s="721"/>
      <c r="W7" s="721"/>
      <c r="X7" s="721"/>
      <c r="Y7" s="721"/>
      <c r="Z7" s="721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661" t="s">
        <v>13</v>
      </c>
      <c r="C10" s="661"/>
      <c r="D10" s="661"/>
      <c r="E10" s="661"/>
      <c r="F10" s="661"/>
      <c r="G10" s="661"/>
      <c r="H10" s="690" t="s">
        <v>14</v>
      </c>
      <c r="I10" s="690"/>
      <c r="J10" s="690"/>
      <c r="K10" s="690"/>
      <c r="L10" s="690"/>
      <c r="M10" s="690"/>
      <c r="N10" s="661" t="s">
        <v>15</v>
      </c>
      <c r="O10" s="661"/>
      <c r="P10" s="661"/>
      <c r="Q10" s="661"/>
      <c r="R10" s="661"/>
      <c r="S10" s="694" t="s">
        <v>16</v>
      </c>
      <c r="T10" s="694"/>
      <c r="U10" s="694"/>
      <c r="V10" s="694"/>
      <c r="W10" s="694"/>
      <c r="X10" s="694"/>
      <c r="Y10" s="694"/>
      <c r="Z10" s="12"/>
    </row>
    <row r="11" spans="1:26" ht="15.9" customHeight="1" x14ac:dyDescent="0.25">
      <c r="A11" s="9"/>
      <c r="B11" s="661" t="s">
        <v>17</v>
      </c>
      <c r="C11" s="661"/>
      <c r="D11" s="661"/>
      <c r="E11" s="661"/>
      <c r="F11" s="661"/>
      <c r="G11" s="661"/>
      <c r="H11" s="690" t="s">
        <v>5</v>
      </c>
      <c r="I11" s="690"/>
      <c r="J11" s="690"/>
      <c r="K11" s="690"/>
      <c r="L11" s="690"/>
      <c r="M11" s="690"/>
      <c r="N11" s="661" t="s">
        <v>18</v>
      </c>
      <c r="O11" s="661"/>
      <c r="P11" s="661"/>
      <c r="Q11" s="661"/>
      <c r="R11" s="661"/>
      <c r="S11" s="694" t="s">
        <v>19</v>
      </c>
      <c r="T11" s="694"/>
      <c r="U11" s="694"/>
      <c r="V11" s="694"/>
      <c r="W11" s="694"/>
      <c r="X11" s="694"/>
      <c r="Y11" s="694"/>
      <c r="Z11" s="12"/>
    </row>
    <row r="12" spans="1:26" ht="15.9" customHeight="1" x14ac:dyDescent="0.25">
      <c r="A12" s="9"/>
      <c r="B12" s="661" t="s">
        <v>20</v>
      </c>
      <c r="C12" s="661"/>
      <c r="D12" s="661"/>
      <c r="E12" s="661"/>
      <c r="F12" s="661"/>
      <c r="G12" s="661"/>
      <c r="H12" s="690" t="s">
        <v>21</v>
      </c>
      <c r="I12" s="690"/>
      <c r="J12" s="690"/>
      <c r="K12" s="690"/>
      <c r="L12" s="690"/>
      <c r="M12" s="690"/>
      <c r="N12" s="661" t="s">
        <v>22</v>
      </c>
      <c r="O12" s="661"/>
      <c r="P12" s="661"/>
      <c r="Q12" s="661"/>
      <c r="R12" s="661"/>
      <c r="S12" s="694" t="s">
        <v>23</v>
      </c>
      <c r="T12" s="694"/>
      <c r="U12" s="694"/>
      <c r="V12" s="694"/>
      <c r="W12" s="694"/>
      <c r="X12" s="694"/>
      <c r="Y12" s="694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24</v>
      </c>
      <c r="B15" s="21" t="s">
        <v>25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660" t="s">
        <v>26</v>
      </c>
      <c r="C17" s="660"/>
      <c r="D17" s="660"/>
      <c r="E17" s="660"/>
      <c r="F17" s="660"/>
      <c r="G17" s="660"/>
      <c r="H17" s="660"/>
      <c r="I17" s="699"/>
      <c r="J17" s="699"/>
      <c r="K17" s="699"/>
      <c r="L17" s="699"/>
      <c r="M17" s="699"/>
      <c r="N17" s="699"/>
      <c r="O17" s="699"/>
      <c r="P17" s="699"/>
      <c r="Q17" s="699"/>
      <c r="R17" s="699"/>
      <c r="S17" s="699"/>
      <c r="T17" s="699"/>
      <c r="U17" s="699"/>
      <c r="V17" s="699"/>
      <c r="W17" s="699"/>
      <c r="X17" s="699"/>
      <c r="Y17" s="699"/>
      <c r="Z17" s="28"/>
    </row>
    <row r="18" spans="1:26" s="17" customFormat="1" ht="15" customHeight="1" x14ac:dyDescent="0.25">
      <c r="A18" s="24"/>
      <c r="B18" s="660" t="s">
        <v>27</v>
      </c>
      <c r="C18" s="660"/>
      <c r="D18" s="660"/>
      <c r="E18" s="660"/>
      <c r="F18" s="660"/>
      <c r="G18" s="660"/>
      <c r="H18" s="660"/>
      <c r="I18" s="764" t="s">
        <v>28</v>
      </c>
      <c r="J18" s="764"/>
      <c r="K18" s="27">
        <v>50</v>
      </c>
      <c r="L18" s="27" t="s">
        <v>29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30</v>
      </c>
      <c r="B21" s="38" t="s">
        <v>31</v>
      </c>
      <c r="C21" s="33"/>
      <c r="D21" s="34"/>
      <c r="E21" s="34"/>
      <c r="F21" s="34"/>
      <c r="G21" s="34"/>
      <c r="H21" s="33"/>
      <c r="I21" s="33"/>
      <c r="J21" s="773" t="s">
        <v>32</v>
      </c>
      <c r="K21" s="773"/>
      <c r="L21" s="773"/>
      <c r="M21" s="773"/>
      <c r="N21" s="773"/>
      <c r="O21" s="773"/>
      <c r="P21" s="773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771" t="s">
        <v>33</v>
      </c>
      <c r="C23" s="695" t="s">
        <v>34</v>
      </c>
      <c r="D23" s="695"/>
      <c r="E23" s="695"/>
      <c r="F23" s="695"/>
      <c r="G23" s="696"/>
      <c r="H23" s="768" t="s">
        <v>35</v>
      </c>
      <c r="I23" s="769"/>
      <c r="J23" s="770"/>
      <c r="K23" s="695" t="s">
        <v>36</v>
      </c>
      <c r="L23" s="695"/>
      <c r="M23" s="695"/>
      <c r="N23" s="695"/>
      <c r="O23" s="695"/>
      <c r="P23" s="696"/>
      <c r="Z23" s="11"/>
    </row>
    <row r="24" spans="1:26" ht="15.75" customHeight="1" x14ac:dyDescent="0.25">
      <c r="A24" s="9"/>
      <c r="B24" s="772"/>
      <c r="C24" s="697"/>
      <c r="D24" s="697"/>
      <c r="E24" s="697"/>
      <c r="F24" s="697"/>
      <c r="G24" s="698"/>
      <c r="H24" s="765" t="s">
        <v>37</v>
      </c>
      <c r="I24" s="766"/>
      <c r="J24" s="767"/>
      <c r="K24" s="697"/>
      <c r="L24" s="697"/>
      <c r="M24" s="697"/>
      <c r="N24" s="697"/>
      <c r="O24" s="697"/>
      <c r="P24" s="698"/>
      <c r="Z24" s="11"/>
    </row>
    <row r="25" spans="1:26" ht="19.5" customHeight="1" x14ac:dyDescent="0.25">
      <c r="A25" s="9"/>
      <c r="B25" s="45">
        <v>1</v>
      </c>
      <c r="C25" s="691"/>
      <c r="D25" s="692"/>
      <c r="E25" s="692"/>
      <c r="F25" s="692"/>
      <c r="G25" s="693"/>
      <c r="H25" s="700">
        <v>26</v>
      </c>
      <c r="I25" s="701"/>
      <c r="J25" s="702"/>
      <c r="K25" s="691"/>
      <c r="L25" s="692"/>
      <c r="M25" s="692"/>
      <c r="N25" s="692"/>
      <c r="O25" s="692"/>
      <c r="P25" s="693"/>
      <c r="Z25" s="11"/>
    </row>
    <row r="26" spans="1:26" ht="19.5" customHeight="1" x14ac:dyDescent="0.25">
      <c r="A26" s="9"/>
      <c r="B26" s="45">
        <v>2</v>
      </c>
      <c r="C26" s="691"/>
      <c r="D26" s="692"/>
      <c r="E26" s="692"/>
      <c r="F26" s="692"/>
      <c r="G26" s="693"/>
      <c r="H26" s="700">
        <v>22</v>
      </c>
      <c r="I26" s="701"/>
      <c r="J26" s="702"/>
      <c r="K26" s="691"/>
      <c r="L26" s="692"/>
      <c r="M26" s="692"/>
      <c r="N26" s="692"/>
      <c r="O26" s="692"/>
      <c r="P26" s="693"/>
      <c r="Z26" s="11"/>
    </row>
    <row r="27" spans="1:26" ht="19.5" customHeight="1" x14ac:dyDescent="0.25">
      <c r="A27" s="9"/>
      <c r="B27" s="45">
        <v>3</v>
      </c>
      <c r="C27" s="691"/>
      <c r="D27" s="692"/>
      <c r="E27" s="692"/>
      <c r="F27" s="692"/>
      <c r="G27" s="693"/>
      <c r="H27" s="700">
        <v>21</v>
      </c>
      <c r="I27" s="701"/>
      <c r="J27" s="702"/>
      <c r="K27" s="691"/>
      <c r="L27" s="692"/>
      <c r="M27" s="692"/>
      <c r="N27" s="692"/>
      <c r="O27" s="692"/>
      <c r="P27" s="693"/>
      <c r="Z27" s="11"/>
    </row>
    <row r="28" spans="1:26" ht="19.5" customHeight="1" x14ac:dyDescent="0.25">
      <c r="A28" s="9"/>
      <c r="B28" s="45">
        <v>4</v>
      </c>
      <c r="C28" s="691"/>
      <c r="D28" s="692"/>
      <c r="E28" s="692"/>
      <c r="F28" s="692"/>
      <c r="G28" s="693"/>
      <c r="H28" s="700">
        <v>20</v>
      </c>
      <c r="I28" s="701"/>
      <c r="J28" s="702"/>
      <c r="K28" s="691"/>
      <c r="L28" s="692"/>
      <c r="M28" s="692"/>
      <c r="N28" s="692"/>
      <c r="O28" s="692"/>
      <c r="P28" s="693"/>
      <c r="Z28" s="11"/>
    </row>
    <row r="29" spans="1:26" ht="19.5" customHeight="1" x14ac:dyDescent="0.25">
      <c r="A29" s="9"/>
      <c r="B29" s="45">
        <v>5</v>
      </c>
      <c r="C29" s="691"/>
      <c r="D29" s="692"/>
      <c r="E29" s="692"/>
      <c r="F29" s="692"/>
      <c r="G29" s="693"/>
      <c r="H29" s="700" t="s">
        <v>38</v>
      </c>
      <c r="I29" s="701"/>
      <c r="J29" s="702"/>
      <c r="K29" s="691"/>
      <c r="L29" s="692"/>
      <c r="M29" s="692"/>
      <c r="N29" s="692"/>
      <c r="O29" s="692"/>
      <c r="P29" s="693"/>
      <c r="Z29" s="11"/>
    </row>
    <row r="30" spans="1:26" ht="19.5" customHeight="1" x14ac:dyDescent="0.25">
      <c r="A30" s="9"/>
      <c r="B30" s="45">
        <v>6</v>
      </c>
      <c r="C30" s="691"/>
      <c r="D30" s="692"/>
      <c r="E30" s="692"/>
      <c r="F30" s="692"/>
      <c r="G30" s="693"/>
      <c r="H30" s="700" t="s">
        <v>38</v>
      </c>
      <c r="I30" s="701"/>
      <c r="J30" s="702"/>
      <c r="K30" s="691"/>
      <c r="L30" s="692"/>
      <c r="M30" s="692"/>
      <c r="N30" s="692"/>
      <c r="O30" s="692"/>
      <c r="P30" s="693"/>
      <c r="Z30" s="11"/>
    </row>
    <row r="31" spans="1:26" ht="19.5" customHeight="1" x14ac:dyDescent="0.25">
      <c r="A31" s="9"/>
      <c r="B31" s="45">
        <v>7</v>
      </c>
      <c r="C31" s="691"/>
      <c r="D31" s="692"/>
      <c r="E31" s="692"/>
      <c r="F31" s="692"/>
      <c r="G31" s="693"/>
      <c r="H31" s="700">
        <v>35</v>
      </c>
      <c r="I31" s="701"/>
      <c r="J31" s="702"/>
      <c r="K31" s="691"/>
      <c r="L31" s="692"/>
      <c r="M31" s="692"/>
      <c r="N31" s="692"/>
      <c r="O31" s="692"/>
      <c r="P31" s="693"/>
      <c r="Z31" s="11"/>
    </row>
    <row r="32" spans="1:26" ht="19.5" customHeight="1" x14ac:dyDescent="0.25">
      <c r="A32" s="9"/>
      <c r="B32" s="45">
        <v>8</v>
      </c>
      <c r="C32" s="691"/>
      <c r="D32" s="692"/>
      <c r="E32" s="692"/>
      <c r="F32" s="692"/>
      <c r="G32" s="693"/>
      <c r="H32" s="700">
        <v>22</v>
      </c>
      <c r="I32" s="701"/>
      <c r="J32" s="702"/>
      <c r="K32" s="691"/>
      <c r="L32" s="692"/>
      <c r="M32" s="692"/>
      <c r="N32" s="692"/>
      <c r="O32" s="692"/>
      <c r="P32" s="693"/>
      <c r="Z32" s="11"/>
    </row>
    <row r="33" spans="1:26" ht="19.5" customHeight="1" x14ac:dyDescent="0.25">
      <c r="A33" s="9"/>
      <c r="B33" s="45">
        <v>9</v>
      </c>
      <c r="C33" s="691"/>
      <c r="D33" s="692"/>
      <c r="E33" s="692"/>
      <c r="F33" s="692"/>
      <c r="G33" s="693"/>
      <c r="H33" s="700">
        <v>27</v>
      </c>
      <c r="I33" s="701"/>
      <c r="J33" s="702"/>
      <c r="K33" s="691"/>
      <c r="L33" s="692"/>
      <c r="M33" s="692"/>
      <c r="N33" s="692"/>
      <c r="O33" s="692"/>
      <c r="P33" s="693"/>
      <c r="Z33" s="11"/>
    </row>
    <row r="34" spans="1:26" ht="19.5" customHeight="1" x14ac:dyDescent="0.25">
      <c r="A34" s="9"/>
      <c r="B34" s="45"/>
      <c r="C34" s="691"/>
      <c r="D34" s="692"/>
      <c r="E34" s="692"/>
      <c r="F34" s="692"/>
      <c r="G34" s="693"/>
      <c r="H34" s="700"/>
      <c r="I34" s="701"/>
      <c r="J34" s="702"/>
      <c r="K34" s="691"/>
      <c r="L34" s="692"/>
      <c r="M34" s="692"/>
      <c r="N34" s="692"/>
      <c r="O34" s="692"/>
      <c r="P34" s="693"/>
      <c r="Z34" s="11"/>
    </row>
    <row r="35" spans="1:26" ht="19.5" customHeight="1" x14ac:dyDescent="0.25">
      <c r="A35" s="9"/>
      <c r="B35" s="45"/>
      <c r="C35" s="691"/>
      <c r="D35" s="692"/>
      <c r="E35" s="692"/>
      <c r="F35" s="692"/>
      <c r="G35" s="693"/>
      <c r="H35" s="700"/>
      <c r="I35" s="701"/>
      <c r="J35" s="702"/>
      <c r="K35" s="691"/>
      <c r="L35" s="692"/>
      <c r="M35" s="692"/>
      <c r="N35" s="692"/>
      <c r="O35" s="692"/>
      <c r="P35" s="693"/>
      <c r="Z35" s="11"/>
    </row>
    <row r="36" spans="1:26" ht="19.5" customHeight="1" x14ac:dyDescent="0.25">
      <c r="A36" s="9"/>
      <c r="B36" s="45"/>
      <c r="C36" s="691"/>
      <c r="D36" s="692"/>
      <c r="E36" s="692"/>
      <c r="F36" s="692"/>
      <c r="G36" s="693"/>
      <c r="H36" s="700"/>
      <c r="I36" s="701"/>
      <c r="J36" s="702"/>
      <c r="K36" s="691"/>
      <c r="L36" s="692"/>
      <c r="M36" s="692"/>
      <c r="N36" s="692"/>
      <c r="O36" s="692"/>
      <c r="P36" s="693"/>
      <c r="Z36" s="11"/>
    </row>
    <row r="37" spans="1:26" ht="19.5" customHeight="1" x14ac:dyDescent="0.25">
      <c r="A37" s="9"/>
      <c r="B37" s="45"/>
      <c r="C37" s="691"/>
      <c r="D37" s="692"/>
      <c r="E37" s="692"/>
      <c r="F37" s="692"/>
      <c r="G37" s="693"/>
      <c r="H37" s="700"/>
      <c r="I37" s="701"/>
      <c r="J37" s="702"/>
      <c r="K37" s="691"/>
      <c r="L37" s="692"/>
      <c r="M37" s="692"/>
      <c r="N37" s="692"/>
      <c r="O37" s="692"/>
      <c r="P37" s="693"/>
      <c r="Z37" s="11"/>
    </row>
    <row r="38" spans="1:26" ht="19.5" customHeight="1" x14ac:dyDescent="0.25">
      <c r="A38" s="9"/>
      <c r="B38" s="45"/>
      <c r="C38" s="691"/>
      <c r="D38" s="692"/>
      <c r="E38" s="692"/>
      <c r="F38" s="692"/>
      <c r="G38" s="693"/>
      <c r="H38" s="700"/>
      <c r="I38" s="701"/>
      <c r="J38" s="702"/>
      <c r="K38" s="691"/>
      <c r="L38" s="692"/>
      <c r="M38" s="692"/>
      <c r="N38" s="692"/>
      <c r="O38" s="692"/>
      <c r="P38" s="693"/>
      <c r="Z38" s="11"/>
    </row>
    <row r="39" spans="1:26" ht="19.5" customHeight="1" x14ac:dyDescent="0.25">
      <c r="A39" s="9"/>
      <c r="B39" s="45"/>
      <c r="C39" s="691"/>
      <c r="D39" s="692"/>
      <c r="E39" s="692"/>
      <c r="F39" s="692"/>
      <c r="G39" s="693"/>
      <c r="H39" s="700"/>
      <c r="I39" s="701"/>
      <c r="J39" s="702"/>
      <c r="K39" s="691"/>
      <c r="L39" s="692"/>
      <c r="M39" s="692"/>
      <c r="N39" s="692"/>
      <c r="O39" s="692"/>
      <c r="P39" s="693"/>
      <c r="Z39" s="11"/>
    </row>
    <row r="40" spans="1:26" ht="19.5" customHeight="1" x14ac:dyDescent="0.25">
      <c r="A40" s="9"/>
      <c r="B40" s="45"/>
      <c r="C40" s="691"/>
      <c r="D40" s="692"/>
      <c r="E40" s="692"/>
      <c r="F40" s="692"/>
      <c r="G40" s="693"/>
      <c r="H40" s="700"/>
      <c r="I40" s="701"/>
      <c r="J40" s="702"/>
      <c r="K40" s="691"/>
      <c r="L40" s="692"/>
      <c r="M40" s="692"/>
      <c r="N40" s="692"/>
      <c r="O40" s="692"/>
      <c r="P40" s="693"/>
      <c r="Z40" s="11"/>
    </row>
    <row r="41" spans="1:26" ht="19.5" customHeight="1" x14ac:dyDescent="0.25">
      <c r="A41" s="9"/>
      <c r="B41" s="45"/>
      <c r="C41" s="691"/>
      <c r="D41" s="692"/>
      <c r="E41" s="692"/>
      <c r="F41" s="692"/>
      <c r="G41" s="693"/>
      <c r="H41" s="700"/>
      <c r="I41" s="701"/>
      <c r="J41" s="702"/>
      <c r="K41" s="691"/>
      <c r="L41" s="692"/>
      <c r="M41" s="692"/>
      <c r="N41" s="692"/>
      <c r="O41" s="692"/>
      <c r="P41" s="693"/>
      <c r="Z41" s="11"/>
    </row>
    <row r="42" spans="1:26" ht="19.5" customHeight="1" x14ac:dyDescent="0.25">
      <c r="A42" s="9"/>
      <c r="B42" s="45"/>
      <c r="C42" s="691"/>
      <c r="D42" s="692"/>
      <c r="E42" s="692"/>
      <c r="F42" s="692"/>
      <c r="G42" s="693"/>
      <c r="H42" s="700"/>
      <c r="I42" s="701"/>
      <c r="J42" s="702"/>
      <c r="K42" s="691"/>
      <c r="L42" s="692"/>
      <c r="M42" s="692"/>
      <c r="N42" s="692"/>
      <c r="O42" s="692"/>
      <c r="P42" s="693"/>
      <c r="Z42" s="11"/>
    </row>
    <row r="43" spans="1:26" ht="19.5" customHeight="1" x14ac:dyDescent="0.25">
      <c r="A43" s="9"/>
      <c r="B43" s="45"/>
      <c r="C43" s="691"/>
      <c r="D43" s="692"/>
      <c r="E43" s="692"/>
      <c r="F43" s="692"/>
      <c r="G43" s="693"/>
      <c r="H43" s="700"/>
      <c r="I43" s="701"/>
      <c r="J43" s="702"/>
      <c r="K43" s="691"/>
      <c r="L43" s="692"/>
      <c r="M43" s="692"/>
      <c r="N43" s="692"/>
      <c r="O43" s="692"/>
      <c r="P43" s="693"/>
      <c r="Z43" s="11"/>
    </row>
    <row r="44" spans="1:26" ht="19.5" customHeight="1" x14ac:dyDescent="0.25">
      <c r="A44" s="9"/>
      <c r="B44" s="45"/>
      <c r="C44" s="691"/>
      <c r="D44" s="692"/>
      <c r="E44" s="692"/>
      <c r="F44" s="692"/>
      <c r="G44" s="693"/>
      <c r="H44" s="700"/>
      <c r="I44" s="701"/>
      <c r="J44" s="702"/>
      <c r="K44" s="691"/>
      <c r="L44" s="692"/>
      <c r="M44" s="692"/>
      <c r="N44" s="692"/>
      <c r="O44" s="692"/>
      <c r="P44" s="693"/>
      <c r="Z44" s="11"/>
    </row>
    <row r="45" spans="1:26" ht="19.5" customHeight="1" x14ac:dyDescent="0.25">
      <c r="A45" s="9"/>
      <c r="B45" s="46"/>
      <c r="C45" s="774"/>
      <c r="D45" s="774"/>
      <c r="E45" s="774"/>
      <c r="F45" s="774"/>
      <c r="G45" s="775"/>
      <c r="H45" s="761"/>
      <c r="I45" s="762"/>
      <c r="J45" s="763"/>
      <c r="K45" s="785"/>
      <c r="L45" s="774"/>
      <c r="M45" s="774"/>
      <c r="N45" s="774"/>
      <c r="O45" s="774"/>
      <c r="P45" s="775"/>
      <c r="Z45" s="11"/>
    </row>
    <row r="46" spans="1:26" ht="15.75" customHeight="1" x14ac:dyDescent="0.25">
      <c r="A46" s="9"/>
      <c r="B46" s="782" t="s">
        <v>39</v>
      </c>
      <c r="C46" s="783"/>
      <c r="D46" s="783"/>
      <c r="E46" s="783"/>
      <c r="F46" s="783"/>
      <c r="G46" s="784"/>
      <c r="H46" s="789">
        <f>AVERAGE(H25:J45)</f>
        <v>24.714285714285715</v>
      </c>
      <c r="I46" s="790"/>
      <c r="J46" s="791"/>
      <c r="K46" s="755" t="s">
        <v>40</v>
      </c>
      <c r="L46" s="756"/>
      <c r="M46" s="750" t="s">
        <v>41</v>
      </c>
      <c r="N46" s="750"/>
      <c r="O46" s="750"/>
      <c r="P46" s="751"/>
      <c r="Z46" s="11"/>
    </row>
    <row r="47" spans="1:26" ht="15.75" customHeight="1" x14ac:dyDescent="0.25">
      <c r="A47" s="9"/>
      <c r="B47" s="776" t="s">
        <v>42</v>
      </c>
      <c r="C47" s="777"/>
      <c r="D47" s="777"/>
      <c r="E47" s="777"/>
      <c r="F47" s="777"/>
      <c r="G47" s="778"/>
      <c r="H47" s="792" t="str">
        <f>IF(COUNTIF(H25:J45,"*&lt;20*"),"&lt;20",MIN(H25:J45))</f>
        <v>&lt;20</v>
      </c>
      <c r="I47" s="793"/>
      <c r="J47" s="794"/>
      <c r="K47" s="757"/>
      <c r="L47" s="758"/>
      <c r="M47" s="683"/>
      <c r="N47" s="683"/>
      <c r="O47" s="683"/>
      <c r="P47" s="752"/>
      <c r="Z47" s="11"/>
    </row>
    <row r="48" spans="1:26" ht="15.75" customHeight="1" x14ac:dyDescent="0.25">
      <c r="A48" s="9"/>
      <c r="B48" s="779" t="s">
        <v>43</v>
      </c>
      <c r="C48" s="780"/>
      <c r="D48" s="780"/>
      <c r="E48" s="780"/>
      <c r="F48" s="780"/>
      <c r="G48" s="781"/>
      <c r="H48" s="786">
        <f>IF(COUNTIF(H25:J45,"*&gt;250*"),"&gt;250",MAX(H25:J45))</f>
        <v>35</v>
      </c>
      <c r="I48" s="787"/>
      <c r="J48" s="788"/>
      <c r="K48" s="759"/>
      <c r="L48" s="760"/>
      <c r="M48" s="753"/>
      <c r="N48" s="753"/>
      <c r="O48" s="753"/>
      <c r="P48" s="754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44</v>
      </c>
      <c r="B51" s="5" t="s">
        <v>45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662" t="s">
        <v>46</v>
      </c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3"/>
      <c r="P52" s="663"/>
      <c r="Q52" s="664"/>
      <c r="R52" s="665" t="s">
        <v>47</v>
      </c>
      <c r="S52" s="666"/>
      <c r="T52" s="667"/>
      <c r="U52" s="668" t="s">
        <v>48</v>
      </c>
      <c r="V52" s="669"/>
      <c r="W52" s="669"/>
      <c r="X52" s="670"/>
      <c r="Y52" s="670"/>
      <c r="Z52" s="671"/>
    </row>
    <row r="53" spans="1:26" s="17" customFormat="1" ht="15.6" customHeight="1" x14ac:dyDescent="0.25">
      <c r="A53" s="672" t="s">
        <v>54</v>
      </c>
      <c r="B53" s="673"/>
      <c r="C53" s="673"/>
      <c r="D53" s="673"/>
      <c r="E53" s="673"/>
      <c r="F53" s="673"/>
      <c r="G53" s="673"/>
      <c r="H53" s="673"/>
      <c r="I53" s="673"/>
      <c r="J53" s="673"/>
      <c r="K53" s="673"/>
      <c r="L53" s="673"/>
      <c r="M53" s="673"/>
      <c r="N53" s="673"/>
      <c r="O53" s="673"/>
      <c r="P53" s="673"/>
      <c r="Q53" s="674"/>
      <c r="R53" s="665" t="s">
        <v>49</v>
      </c>
      <c r="S53" s="666"/>
      <c r="T53" s="667"/>
      <c r="U53" s="678" t="s">
        <v>50</v>
      </c>
      <c r="V53" s="679"/>
      <c r="W53" s="679"/>
      <c r="X53" s="680"/>
      <c r="Y53" s="680"/>
      <c r="Z53" s="681"/>
    </row>
    <row r="54" spans="1:26" s="17" customFormat="1" ht="15.6" customHeight="1" x14ac:dyDescent="0.25">
      <c r="A54" s="675"/>
      <c r="B54" s="676"/>
      <c r="C54" s="676"/>
      <c r="D54" s="676"/>
      <c r="E54" s="676"/>
      <c r="F54" s="676"/>
      <c r="G54" s="676"/>
      <c r="H54" s="676"/>
      <c r="I54" s="676"/>
      <c r="J54" s="676"/>
      <c r="K54" s="676"/>
      <c r="L54" s="676"/>
      <c r="M54" s="676"/>
      <c r="N54" s="676"/>
      <c r="O54" s="676"/>
      <c r="P54" s="676"/>
      <c r="Q54" s="677"/>
      <c r="R54" s="665"/>
      <c r="S54" s="666"/>
      <c r="T54" s="667"/>
      <c r="U54" s="682"/>
      <c r="V54" s="683"/>
      <c r="W54" s="683"/>
      <c r="X54" s="684"/>
      <c r="Y54" s="684"/>
      <c r="Z54" s="685"/>
    </row>
    <row r="55" spans="1:26" s="17" customFormat="1" ht="15.6" customHeight="1" x14ac:dyDescent="0.25">
      <c r="A55" s="55" t="s">
        <v>51</v>
      </c>
      <c r="B55" s="56" t="s">
        <v>52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665"/>
      <c r="S55" s="666"/>
      <c r="T55" s="667"/>
      <c r="U55" s="686"/>
      <c r="V55" s="687"/>
      <c r="W55" s="687"/>
      <c r="X55" s="688"/>
      <c r="Y55" s="688"/>
      <c r="Z55" s="689"/>
    </row>
    <row r="56" spans="1:26" s="17" customFormat="1" ht="15.6" customHeight="1" x14ac:dyDescent="0.25">
      <c r="A56" s="741"/>
      <c r="B56" s="742"/>
      <c r="C56" s="742"/>
      <c r="D56" s="742"/>
      <c r="E56" s="742"/>
      <c r="F56" s="742"/>
      <c r="G56" s="742"/>
      <c r="H56" s="742"/>
      <c r="I56" s="742"/>
      <c r="J56" s="742"/>
      <c r="K56" s="742"/>
      <c r="L56" s="742"/>
      <c r="M56" s="742"/>
      <c r="N56" s="742"/>
      <c r="O56" s="742"/>
      <c r="P56" s="742"/>
      <c r="Q56" s="743"/>
      <c r="R56" s="665" t="s">
        <v>53</v>
      </c>
      <c r="S56" s="666"/>
      <c r="T56" s="667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741"/>
      <c r="B57" s="742"/>
      <c r="C57" s="742"/>
      <c r="D57" s="742"/>
      <c r="E57" s="742"/>
      <c r="F57" s="742"/>
      <c r="G57" s="742"/>
      <c r="H57" s="742"/>
      <c r="I57" s="742"/>
      <c r="J57" s="742"/>
      <c r="K57" s="742"/>
      <c r="L57" s="742"/>
      <c r="M57" s="742"/>
      <c r="N57" s="742"/>
      <c r="O57" s="742"/>
      <c r="P57" s="742"/>
      <c r="Q57" s="743"/>
      <c r="R57" s="665"/>
      <c r="S57" s="666"/>
      <c r="T57" s="667"/>
      <c r="U57" s="61"/>
      <c r="V57" s="683"/>
      <c r="W57" s="683"/>
      <c r="X57" s="683"/>
      <c r="Y57" s="683"/>
      <c r="Z57" s="62"/>
    </row>
    <row r="58" spans="1:26" s="17" customFormat="1" ht="15.6" customHeight="1" x14ac:dyDescent="0.25">
      <c r="A58" s="741"/>
      <c r="B58" s="742"/>
      <c r="C58" s="742"/>
      <c r="D58" s="742"/>
      <c r="E58" s="742"/>
      <c r="F58" s="742"/>
      <c r="G58" s="742"/>
      <c r="H58" s="742"/>
      <c r="I58" s="742"/>
      <c r="J58" s="742"/>
      <c r="K58" s="742"/>
      <c r="L58" s="742"/>
      <c r="M58" s="742"/>
      <c r="N58" s="742"/>
      <c r="O58" s="742"/>
      <c r="P58" s="742"/>
      <c r="Q58" s="743"/>
      <c r="R58" s="665"/>
      <c r="S58" s="666"/>
      <c r="T58" s="667"/>
      <c r="U58" s="61"/>
      <c r="V58" s="683"/>
      <c r="W58" s="683"/>
      <c r="X58" s="683"/>
      <c r="Y58" s="683"/>
      <c r="Z58" s="62"/>
    </row>
    <row r="59" spans="1:26" s="17" customFormat="1" ht="15.6" customHeight="1" x14ac:dyDescent="0.25">
      <c r="A59" s="744"/>
      <c r="B59" s="745"/>
      <c r="C59" s="745"/>
      <c r="D59" s="745"/>
      <c r="E59" s="745"/>
      <c r="F59" s="745"/>
      <c r="G59" s="745"/>
      <c r="H59" s="745"/>
      <c r="I59" s="745"/>
      <c r="J59" s="745"/>
      <c r="K59" s="745"/>
      <c r="L59" s="745"/>
      <c r="M59" s="745"/>
      <c r="N59" s="745"/>
      <c r="O59" s="745"/>
      <c r="P59" s="745"/>
      <c r="Q59" s="746"/>
      <c r="R59" s="747"/>
      <c r="S59" s="748"/>
      <c r="T59" s="749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  <mergeCell ref="H34:J34"/>
    <mergeCell ref="K34:P34"/>
    <mergeCell ref="C35:G35"/>
    <mergeCell ref="H35:J35"/>
    <mergeCell ref="K35:P35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45:G45"/>
    <mergeCell ref="B47:G47"/>
    <mergeCell ref="B48:G48"/>
    <mergeCell ref="B46:G46"/>
    <mergeCell ref="C26:G26"/>
    <mergeCell ref="H26:J26"/>
    <mergeCell ref="K45:P45"/>
    <mergeCell ref="H48:J48"/>
    <mergeCell ref="H46:J46"/>
    <mergeCell ref="H47:J47"/>
    <mergeCell ref="C32:G32"/>
    <mergeCell ref="H32:J32"/>
    <mergeCell ref="K32:P32"/>
    <mergeCell ref="C33:G33"/>
    <mergeCell ref="A56:Q59"/>
    <mergeCell ref="R56:T59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M46:P48"/>
    <mergeCell ref="K46:L48"/>
    <mergeCell ref="H45:J45"/>
    <mergeCell ref="H33:J33"/>
    <mergeCell ref="K33:P33"/>
    <mergeCell ref="C30:G30"/>
    <mergeCell ref="H30:J30"/>
    <mergeCell ref="K30:P30"/>
    <mergeCell ref="C31:G31"/>
    <mergeCell ref="H31:J31"/>
    <mergeCell ref="K31:P31"/>
    <mergeCell ref="C36:G3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B17:H17"/>
    <mergeCell ref="B12:G12"/>
    <mergeCell ref="B11:G11"/>
    <mergeCell ref="A52:Q52"/>
    <mergeCell ref="R52:T52"/>
    <mergeCell ref="U52:Z52"/>
    <mergeCell ref="A53:Q54"/>
    <mergeCell ref="R53:T55"/>
    <mergeCell ref="U53:Z55"/>
    <mergeCell ref="N12:R12"/>
    <mergeCell ref="H12:M12"/>
    <mergeCell ref="H11:M11"/>
    <mergeCell ref="N11:R11"/>
    <mergeCell ref="K25:P25"/>
    <mergeCell ref="S12:Y12"/>
    <mergeCell ref="K23:P24"/>
    <mergeCell ref="I17:Y17"/>
    <mergeCell ref="S11:Y11"/>
    <mergeCell ref="H36:J36"/>
    <mergeCell ref="K36:P36"/>
    <mergeCell ref="C37:G37"/>
    <mergeCell ref="H37:J37"/>
    <mergeCell ref="K37:P37"/>
    <mergeCell ref="C34:G3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9</vt:i4>
      </vt:variant>
    </vt:vector>
  </HeadingPairs>
  <TitlesOfParts>
    <vt:vector size="18" baseType="lpstr">
      <vt:lpstr>160925</vt:lpstr>
      <vt:lpstr>070624</vt:lpstr>
      <vt:lpstr>270524</vt:lpstr>
      <vt:lpstr>150524</vt:lpstr>
      <vt:lpstr>130524</vt:lpstr>
      <vt:lpstr>020524 - Villars Parking FdF</vt:lpstr>
      <vt:lpstr>150424</vt:lpstr>
      <vt:lpstr>080424 - Villars Parking CdF</vt:lpstr>
      <vt:lpstr>290324</vt:lpstr>
      <vt:lpstr>'020524 - Villars Parking FdF'!Zone_d_impression</vt:lpstr>
      <vt:lpstr>'070624'!Zone_d_impression</vt:lpstr>
      <vt:lpstr>'080424 - Villars Parking CdF'!Zone_d_impression</vt:lpstr>
      <vt:lpstr>'130524'!Zone_d_impression</vt:lpstr>
      <vt:lpstr>'150424'!Zone_d_impression</vt:lpstr>
      <vt:lpstr>'150524'!Zone_d_impression</vt:lpstr>
      <vt:lpstr>'160925'!Zone_d_impression</vt:lpstr>
      <vt:lpstr>'270524'!Zone_d_impression</vt:lpstr>
      <vt:lpstr>'290324'!Zone_d_impression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2025-09-17T10:34:05Z</cp:lastPrinted>
  <dcterms:created xsi:type="dcterms:W3CDTF">2004-11-13T18:13:05Z</dcterms:created>
  <dcterms:modified xsi:type="dcterms:W3CDTF">2025-09-17T10:34:12Z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