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\\fs-ragsa\Services\Labo\St Priest\Documents types\Comptes Rendus d'Essais\Granulats\"/>
    </mc:Choice>
  </mc:AlternateContent>
  <xr:revisionPtr revIDLastSave="0" documentId="13_ncr:1_{B4B9C461-F1B2-455C-8B7B-E416A9B38F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G" sheetId="9" r:id="rId1"/>
  </sheets>
  <definedNames>
    <definedName name="_xlnm.Print_Area" localSheetId="0">CAG!$A$1:$Z$70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2" i="9" l="1"/>
  <c r="K81" i="9"/>
  <c r="K80" i="9"/>
  <c r="K79" i="9"/>
  <c r="J82" i="9"/>
  <c r="J81" i="9"/>
  <c r="J80" i="9"/>
  <c r="J79" i="9"/>
  <c r="I82" i="9"/>
  <c r="I81" i="9"/>
  <c r="I80" i="9"/>
  <c r="I79" i="9"/>
  <c r="H82" i="9"/>
  <c r="H81" i="9"/>
  <c r="H80" i="9"/>
  <c r="H79" i="9"/>
  <c r="G82" i="9"/>
  <c r="G81" i="9"/>
  <c r="G80" i="9"/>
  <c r="G79" i="9"/>
  <c r="F82" i="9"/>
  <c r="F81" i="9"/>
  <c r="F80" i="9"/>
  <c r="F79" i="9"/>
  <c r="E82" i="9"/>
  <c r="E81" i="9"/>
  <c r="E80" i="9"/>
  <c r="E79" i="9"/>
  <c r="D82" i="9"/>
  <c r="D81" i="9"/>
  <c r="D80" i="9"/>
  <c r="D79" i="9"/>
  <c r="C82" i="9"/>
  <c r="C81" i="9"/>
  <c r="C80" i="9"/>
  <c r="C79" i="9"/>
  <c r="B82" i="9"/>
  <c r="B81" i="9"/>
  <c r="B80" i="9"/>
  <c r="B79" i="9"/>
  <c r="F90" i="9"/>
  <c r="K89" i="9"/>
  <c r="K92" i="9" s="1"/>
  <c r="K93" i="9" s="1"/>
  <c r="J89" i="9"/>
  <c r="J92" i="9" s="1"/>
  <c r="J93" i="9" s="1"/>
  <c r="I89" i="9"/>
  <c r="I92" i="9" s="1"/>
  <c r="I93" i="9" s="1"/>
  <c r="H89" i="9"/>
  <c r="H92" i="9" s="1"/>
  <c r="H93" i="9" s="1"/>
  <c r="G89" i="9"/>
  <c r="G92" i="9" s="1"/>
  <c r="G93" i="9" s="1"/>
  <c r="F89" i="9"/>
  <c r="F92" i="9" s="1"/>
  <c r="F93" i="9" s="1"/>
  <c r="E89" i="9"/>
  <c r="E92" i="9" s="1"/>
  <c r="E93" i="9" s="1"/>
  <c r="D89" i="9"/>
  <c r="D92" i="9" s="1"/>
  <c r="D93" i="9" s="1"/>
  <c r="C89" i="9"/>
  <c r="C92" i="9" s="1"/>
  <c r="C93" i="9" s="1"/>
  <c r="B89" i="9"/>
  <c r="B92" i="9" s="1"/>
  <c r="B93" i="9" s="1"/>
  <c r="B90" i="9"/>
  <c r="C90" i="9"/>
  <c r="D90" i="9"/>
  <c r="E90" i="9"/>
  <c r="G90" i="9"/>
  <c r="H90" i="9"/>
  <c r="I90" i="9"/>
  <c r="J90" i="9"/>
  <c r="K90" i="9"/>
  <c r="H77" i="9"/>
  <c r="I77" i="9"/>
  <c r="J77" i="9"/>
  <c r="K77" i="9"/>
  <c r="H78" i="9"/>
  <c r="F77" i="9"/>
  <c r="G77" i="9"/>
  <c r="I78" i="9"/>
  <c r="J78" i="9"/>
  <c r="K78" i="9"/>
  <c r="E77" i="9"/>
  <c r="D77" i="9"/>
  <c r="C77" i="9"/>
  <c r="B77" i="9"/>
  <c r="E78" i="9"/>
  <c r="D78" i="9"/>
  <c r="G78" i="9"/>
  <c r="F78" i="9"/>
  <c r="C78" i="9"/>
  <c r="B78" i="9"/>
</calcChain>
</file>

<file path=xl/sharedStrings.xml><?xml version="1.0" encoding="utf-8"?>
<sst xmlns="http://schemas.openxmlformats.org/spreadsheetml/2006/main" count="104" uniqueCount="69">
  <si>
    <t>Nature du matériau :</t>
  </si>
  <si>
    <t>PARTIE NORMATIVE</t>
  </si>
  <si>
    <t>MB</t>
  </si>
  <si>
    <t>MBf</t>
  </si>
  <si>
    <t>Passant (%)</t>
  </si>
  <si>
    <t>f</t>
  </si>
  <si>
    <t>Origine du matériau :</t>
  </si>
  <si>
    <t>Destination du matériau :</t>
  </si>
  <si>
    <t>Laboratoire :</t>
  </si>
  <si>
    <t>Nom</t>
  </si>
  <si>
    <t>Visa</t>
  </si>
  <si>
    <t>Etendue e</t>
  </si>
  <si>
    <t>Ec-type Sf max</t>
  </si>
  <si>
    <t>2D</t>
  </si>
  <si>
    <t>D</t>
  </si>
  <si>
    <t>D/2</t>
  </si>
  <si>
    <t>1.4D</t>
  </si>
  <si>
    <t>SE</t>
  </si>
  <si>
    <t>Propreté &lt; 2 mm</t>
  </si>
  <si>
    <t>Classe granulaire :</t>
  </si>
  <si>
    <t xml:space="preserve">Catégorie : </t>
  </si>
  <si>
    <t>NE PAS MODIFIER LES ELEMENTS A L'INTERIEUR DU CADRE !!!!!!</t>
  </si>
  <si>
    <t>Tamis</t>
  </si>
  <si>
    <t xml:space="preserve">Tamis </t>
  </si>
  <si>
    <t>XP P 18-545, article 8 - EN 13043</t>
  </si>
  <si>
    <t>d/2</t>
  </si>
  <si>
    <t>D/1.4</t>
  </si>
  <si>
    <t>d</t>
  </si>
  <si>
    <t>FI</t>
  </si>
  <si>
    <t>LA</t>
  </si>
  <si>
    <t>MDE</t>
  </si>
  <si>
    <t>PSV</t>
  </si>
  <si>
    <t>Vss + U</t>
  </si>
  <si>
    <t>Vss</t>
  </si>
  <si>
    <t>Vsi</t>
  </si>
  <si>
    <t>Vsi - U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</si>
  <si>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</si>
  <si>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</si>
  <si>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</si>
  <si>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</si>
  <si>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</si>
  <si>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</si>
  <si>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Opérateur :</t>
  </si>
  <si>
    <t>Date de(s) prélèvement(s) :</t>
  </si>
  <si>
    <t>Date de(s) essai(s) :</t>
  </si>
  <si>
    <t>Nature pétrographique de la roche mère:</t>
  </si>
  <si>
    <t>CONTRÔLE ACQUEREUR GRAVILLON
(moins de 3 analyses) SELON  XP P  18-545</t>
  </si>
  <si>
    <t>2/</t>
  </si>
  <si>
    <t>CRITERES DE CONFORMITE</t>
  </si>
  <si>
    <t>Source des critères :</t>
  </si>
  <si>
    <t>Définition des critères / objectifs :</t>
  </si>
  <si>
    <t>Norme :</t>
  </si>
  <si>
    <t>W %  =</t>
  </si>
  <si>
    <t>CONCLUSIONS</t>
  </si>
  <si>
    <t>COMMENTAIRES</t>
  </si>
  <si>
    <t>4/</t>
  </si>
  <si>
    <t>5/</t>
  </si>
  <si>
    <t>CAG</t>
  </si>
  <si>
    <r>
      <t xml:space="preserve">  1/   </t>
    </r>
    <r>
      <rPr>
        <b/>
        <u/>
        <sz val="12"/>
        <rFont val="Century Gothic"/>
        <family val="2"/>
      </rPr>
      <t>RENSEIGNEMENTS GENERAUX</t>
    </r>
  </si>
  <si>
    <r>
      <t xml:space="preserve">  3/   </t>
    </r>
    <r>
      <rPr>
        <b/>
        <u/>
        <sz val="12"/>
        <rFont val="Century Gothic"/>
        <family val="2"/>
      </rPr>
      <t>RESULTATS DES ESSAIS</t>
    </r>
  </si>
  <si>
    <r>
      <t xml:space="preserve">  3/   </t>
    </r>
    <r>
      <rPr>
        <b/>
        <u/>
        <sz val="11"/>
        <color indexed="10"/>
        <rFont val="Century Gothic"/>
        <family val="2"/>
      </rPr>
      <t>RESULTATS DES ESSAIS</t>
    </r>
  </si>
  <si>
    <t>Norme NF P 18-545</t>
  </si>
  <si>
    <t>Conformité vis-à-vis de la partie normative suivante</t>
  </si>
  <si>
    <t>B II Ang1</t>
  </si>
  <si>
    <t>Ang1</t>
  </si>
  <si>
    <t>Cc</t>
  </si>
  <si>
    <t>Ctr</t>
  </si>
  <si>
    <t>6,3/10</t>
  </si>
  <si>
    <t>Contrôle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</si>
</sst>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b/>
      <i/>
      <sz val="10"/>
      <name val="Century Gothic"/>
      <family val="2"/>
    </font>
    <font>
      <sz val="10"/>
      <color indexed="8"/>
      <name val="Century Gothic"/>
      <family val="2"/>
    </font>
    <font>
      <u/>
      <sz val="10"/>
      <name val="Century Gothic"/>
      <family val="2"/>
    </font>
    <font>
      <b/>
      <u/>
      <sz val="11"/>
      <name val="Century Gothic"/>
      <family val="2"/>
    </font>
    <font>
      <sz val="11"/>
      <name val="Century Gothic"/>
      <family val="2"/>
    </font>
    <font>
      <sz val="10"/>
      <color indexed="10"/>
      <name val="Century Gothic"/>
      <family val="2"/>
    </font>
    <font>
      <b/>
      <i/>
      <sz val="10"/>
      <color indexed="10"/>
      <name val="Century Gothic"/>
      <family val="2"/>
    </font>
    <font>
      <b/>
      <sz val="10"/>
      <color indexed="10"/>
      <name val="Century Gothic"/>
      <family val="2"/>
    </font>
    <font>
      <b/>
      <sz val="11"/>
      <color indexed="10"/>
      <name val="Century Gothic"/>
      <family val="2"/>
    </font>
    <font>
      <b/>
      <u/>
      <sz val="11"/>
      <color indexed="10"/>
      <name val="Century Gothic"/>
      <family val="2"/>
    </font>
    <font>
      <b/>
      <sz val="12"/>
      <color indexed="10"/>
      <name val="Century Gothic"/>
      <family val="2"/>
    </font>
    <font>
      <sz val="7"/>
      <color indexed="10"/>
      <name val="Century Gothic"/>
      <family val="2"/>
    </font>
    <font>
      <sz val="7"/>
      <name val="Century Gothic"/>
      <family val="2"/>
    </font>
    <font>
      <sz val="14"/>
      <color indexed="10"/>
      <name val="Century Gothic"/>
      <family val="2"/>
    </font>
    <font>
      <b/>
      <sz val="11"/>
      <name val="Century Gothic"/>
      <family val="2"/>
    </font>
  </fonts>
  <fills count="2">
    <fill>
      <patternFill patternType="none"/>
    </fill>
    <fill>
      <patternFill patternType="gray125"/>
    </fill>
  </fills>
  <borders count="8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thick">
        <color indexed="10"/>
      </left>
      <right/>
      <top/>
      <bottom/>
      <diagonal/>
    </border>
    <border>
      <left/>
      <right style="thick">
        <color indexed="10"/>
      </right>
      <top/>
      <bottom/>
      <diagonal/>
    </border>
    <border>
      <left style="thick">
        <color indexed="1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10"/>
      </right>
      <top/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medium">
        <color indexed="64"/>
      </bottom>
      <diagonal/>
    </border>
    <border>
      <left style="thick">
        <color indexed="10"/>
      </left>
      <right/>
      <top/>
      <bottom style="thin">
        <color indexed="64"/>
      </bottom>
      <diagonal/>
    </border>
    <border>
      <left/>
      <right style="thick">
        <color indexed="10"/>
      </right>
      <top/>
      <bottom style="thin">
        <color indexed="64"/>
      </bottom>
      <diagonal/>
    </border>
    <border>
      <left style="thick">
        <color indexed="10"/>
      </left>
      <right/>
      <top style="thin">
        <color indexed="64"/>
      </top>
      <bottom/>
      <diagonal/>
    </border>
    <border>
      <left/>
      <right style="thick">
        <color indexed="10"/>
      </right>
      <top style="thin">
        <color indexed="64"/>
      </top>
      <bottom/>
      <diagonal/>
    </border>
    <border>
      <left style="thin">
        <color indexed="64"/>
      </left>
      <right style="thick">
        <color indexed="10"/>
      </right>
      <top style="medium">
        <color indexed="64"/>
      </top>
      <bottom style="medium">
        <color indexed="64"/>
      </bottom>
      <diagonal/>
    </border>
    <border>
      <left style="thick">
        <color indexed="10"/>
      </left>
      <right/>
      <top/>
      <bottom style="thick">
        <color indexed="10"/>
      </bottom>
      <diagonal/>
    </border>
    <border>
      <left/>
      <right/>
      <top/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10"/>
      </right>
      <top style="medium">
        <color indexed="64"/>
      </top>
      <bottom/>
      <diagonal/>
    </border>
    <border>
      <left style="thin">
        <color indexed="64"/>
      </left>
      <right style="thick">
        <color indexed="1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6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 applyProtection="1">
      <alignment horizontal="right" vertical="center"/>
      <protection hidden="1"/>
    </xf>
    <xf numFmtId="0" fontId="1" fillId="0" borderId="1" xfId="0" applyFont="1" applyFill="1" applyBorder="1" applyAlignment="1" applyProtection="1">
      <alignment vertical="center"/>
      <protection hidden="1"/>
    </xf>
    <xf numFmtId="0" fontId="1" fillId="0" borderId="2" xfId="0" applyFont="1" applyFill="1" applyBorder="1" applyAlignment="1" applyProtection="1">
      <alignment vertical="center"/>
      <protection hidden="1"/>
    </xf>
    <xf numFmtId="0" fontId="4" fillId="0" borderId="44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7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4" fillId="0" borderId="44" xfId="0" applyFont="1" applyFill="1" applyBorder="1" applyAlignment="1" applyProtection="1">
      <alignment horizontal="center" vertical="center"/>
      <protection hidden="1"/>
    </xf>
    <xf numFmtId="0" fontId="7" fillId="0" borderId="5" xfId="0" applyFont="1" applyFill="1" applyBorder="1" applyAlignment="1" applyProtection="1">
      <protection hidden="1"/>
    </xf>
    <xf numFmtId="0" fontId="1" fillId="0" borderId="5" xfId="0" applyFont="1" applyFill="1" applyBorder="1" applyProtection="1">
      <protection hidden="1"/>
    </xf>
    <xf numFmtId="0" fontId="1" fillId="0" borderId="6" xfId="0" applyFont="1" applyFill="1" applyBorder="1" applyProtection="1">
      <protection hidden="1"/>
    </xf>
    <xf numFmtId="0" fontId="1" fillId="0" borderId="7" xfId="0" applyFont="1" applyFill="1" applyBorder="1" applyProtection="1">
      <protection hidden="1"/>
    </xf>
    <xf numFmtId="0" fontId="4" fillId="0" borderId="0" xfId="0" applyFont="1" applyFill="1" applyBorder="1" applyAlignment="1" applyProtection="1">
      <protection hidden="1"/>
    </xf>
    <xf numFmtId="0" fontId="1" fillId="0" borderId="0" xfId="0" applyFont="1" applyFill="1" applyBorder="1" applyProtection="1">
      <protection hidden="1"/>
    </xf>
    <xf numFmtId="0" fontId="1" fillId="0" borderId="3" xfId="0" applyFont="1" applyFill="1" applyBorder="1" applyProtection="1"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1" fillId="0" borderId="1" xfId="0" applyFont="1" applyFill="1" applyBorder="1" applyProtection="1">
      <protection hidden="1"/>
    </xf>
    <xf numFmtId="0" fontId="1" fillId="0" borderId="2" xfId="0" applyFont="1" applyFill="1" applyBorder="1" applyProtection="1">
      <protection hidden="1"/>
    </xf>
    <xf numFmtId="0" fontId="1" fillId="0" borderId="8" xfId="0" applyFont="1" applyFill="1" applyBorder="1" applyProtection="1">
      <protection hidden="1"/>
    </xf>
    <xf numFmtId="0" fontId="8" fillId="0" borderId="44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1" fillId="0" borderId="13" xfId="0" applyFont="1" applyFill="1" applyBorder="1" applyAlignment="1" applyProtection="1">
      <alignment horizontal="center" vertical="center"/>
      <protection locked="0"/>
    </xf>
    <xf numFmtId="0" fontId="1" fillId="0" borderId="14" xfId="0" applyFont="1" applyFill="1" applyBorder="1" applyAlignment="1" applyProtection="1">
      <alignment horizontal="center" vertical="center"/>
      <protection locked="0"/>
    </xf>
    <xf numFmtId="0" fontId="1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 applyProtection="1">
      <alignment horizontal="center" vertical="center"/>
      <protection locked="0"/>
    </xf>
    <xf numFmtId="0" fontId="1" fillId="0" borderId="10" xfId="0" applyFont="1" applyFill="1" applyBorder="1" applyAlignment="1" applyProtection="1">
      <alignment horizontal="center" vertical="center"/>
      <protection locked="0"/>
    </xf>
    <xf numFmtId="0" fontId="1" fillId="0" borderId="11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12" xfId="0" applyFont="1" applyFill="1" applyBorder="1" applyAlignment="1" applyProtection="1">
      <alignment horizontal="center" vertical="center"/>
      <protection locked="0"/>
    </xf>
    <xf numFmtId="0" fontId="1" fillId="0" borderId="4" xfId="0" applyFont="1" applyFill="1" applyBorder="1" applyAlignment="1" applyProtection="1">
      <alignment horizontal="center" vertical="center"/>
      <protection locked="0"/>
    </xf>
    <xf numFmtId="0" fontId="1" fillId="0" borderId="21" xfId="0" applyFont="1" applyFill="1" applyBorder="1" applyAlignment="1" applyProtection="1">
      <alignment horizontal="center" vertical="center"/>
      <protection locked="0"/>
    </xf>
    <xf numFmtId="0" fontId="1" fillId="0" borderId="59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0" borderId="4" xfId="0" applyFont="1" applyFill="1" applyBorder="1" applyAlignment="1" applyProtection="1">
      <alignment horizontal="center" vertical="center"/>
      <protection locked="0"/>
    </xf>
    <xf numFmtId="0" fontId="9" fillId="0" borderId="21" xfId="0" applyFont="1" applyFill="1" applyBorder="1" applyAlignment="1" applyProtection="1">
      <alignment horizontal="center" vertical="center"/>
      <protection locked="0"/>
    </xf>
    <xf numFmtId="164" fontId="1" fillId="0" borderId="0" xfId="0" applyNumberFormat="1" applyFont="1" applyFill="1" applyBorder="1" applyAlignment="1">
      <alignment horizontal="center" vertical="center"/>
    </xf>
    <xf numFmtId="164" fontId="1" fillId="0" borderId="13" xfId="0" applyNumberFormat="1" applyFont="1" applyFill="1" applyBorder="1" applyAlignment="1">
      <alignment horizontal="center" vertical="center"/>
    </xf>
    <xf numFmtId="164" fontId="1" fillId="0" borderId="14" xfId="0" applyNumberFormat="1" applyFont="1" applyFill="1" applyBorder="1" applyAlignment="1">
      <alignment horizontal="center" vertical="center"/>
    </xf>
    <xf numFmtId="164" fontId="1" fillId="0" borderId="15" xfId="0" applyNumberFormat="1" applyFont="1" applyFill="1" applyBorder="1" applyAlignment="1">
      <alignment horizontal="center" vertical="center"/>
    </xf>
    <xf numFmtId="0" fontId="1" fillId="0" borderId="53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0" fontId="1" fillId="0" borderId="60" xfId="0" applyFont="1" applyFill="1" applyBorder="1" applyAlignment="1">
      <alignment horizontal="center" vertical="center"/>
    </xf>
    <xf numFmtId="0" fontId="1" fillId="0" borderId="6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right" vertical="center"/>
    </xf>
    <xf numFmtId="14" fontId="1" fillId="0" borderId="2" xfId="0" applyNumberFormat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5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vertical="center"/>
    </xf>
    <xf numFmtId="0" fontId="2" fillId="0" borderId="52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 applyProtection="1">
      <alignment horizontal="center" vertical="center"/>
      <protection locked="0"/>
    </xf>
    <xf numFmtId="2" fontId="2" fillId="0" borderId="0" xfId="0" applyNumberFormat="1" applyFont="1" applyFill="1" applyBorder="1" applyAlignment="1" applyProtection="1">
      <alignment horizontal="center" vertical="center"/>
      <protection locked="0"/>
    </xf>
    <xf numFmtId="2" fontId="2" fillId="0" borderId="0" xfId="0" applyNumberFormat="1" applyFont="1" applyFill="1" applyBorder="1" applyAlignment="1">
      <alignment horizontal="center" vertical="center"/>
    </xf>
    <xf numFmtId="1" fontId="1" fillId="0" borderId="3" xfId="0" applyNumberFormat="1" applyFont="1" applyFill="1" applyBorder="1" applyAlignment="1">
      <alignment vertical="center"/>
    </xf>
    <xf numFmtId="1" fontId="1" fillId="0" borderId="0" xfId="0" applyNumberFormat="1" applyFont="1" applyFill="1" applyAlignment="1">
      <alignment vertical="center"/>
    </xf>
    <xf numFmtId="1" fontId="1" fillId="0" borderId="0" xfId="0" applyNumberFormat="1" applyFont="1" applyFill="1" applyBorder="1" applyAlignment="1">
      <alignment vertical="center"/>
    </xf>
    <xf numFmtId="1" fontId="1" fillId="0" borderId="1" xfId="0" applyNumberFormat="1" applyFont="1" applyFill="1" applyBorder="1" applyAlignment="1">
      <alignment vertical="center"/>
    </xf>
    <xf numFmtId="1" fontId="1" fillId="0" borderId="2" xfId="0" applyNumberFormat="1" applyFont="1" applyFill="1" applyBorder="1" applyAlignment="1">
      <alignment vertical="center"/>
    </xf>
    <xf numFmtId="1" fontId="1" fillId="0" borderId="2" xfId="0" applyNumberFormat="1" applyFont="1" applyFill="1" applyBorder="1" applyAlignment="1">
      <alignment horizontal="center" vertical="center"/>
    </xf>
    <xf numFmtId="1" fontId="1" fillId="0" borderId="8" xfId="0" applyNumberFormat="1" applyFont="1" applyFill="1" applyBorder="1" applyAlignment="1">
      <alignment vertical="center"/>
    </xf>
    <xf numFmtId="1" fontId="1" fillId="0" borderId="44" xfId="0" applyNumberFormat="1" applyFont="1" applyFill="1" applyBorder="1" applyAlignment="1">
      <alignment vertical="center"/>
    </xf>
    <xf numFmtId="1" fontId="1" fillId="0" borderId="5" xfId="0" applyNumberFormat="1" applyFont="1" applyFill="1" applyBorder="1" applyAlignment="1">
      <alignment vertical="center"/>
    </xf>
    <xf numFmtId="1" fontId="1" fillId="0" borderId="6" xfId="0" applyNumberFormat="1" applyFont="1" applyFill="1" applyBorder="1" applyAlignment="1">
      <alignment vertical="center"/>
    </xf>
    <xf numFmtId="1" fontId="1" fillId="0" borderId="5" xfId="0" applyNumberFormat="1" applyFont="1" applyFill="1" applyBorder="1" applyAlignment="1">
      <alignment horizontal="center" vertical="center"/>
    </xf>
    <xf numFmtId="1" fontId="1" fillId="0" borderId="7" xfId="0" applyNumberFormat="1" applyFont="1" applyFill="1" applyBorder="1" applyAlignment="1">
      <alignment vertical="center"/>
    </xf>
    <xf numFmtId="1" fontId="1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0" fontId="4" fillId="0" borderId="62" xfId="0" applyFont="1" applyFill="1" applyBorder="1" applyAlignment="1" applyProtection="1">
      <alignment horizontal="center" vertical="center"/>
      <protection hidden="1"/>
    </xf>
    <xf numFmtId="0" fontId="7" fillId="0" borderId="63" xfId="0" applyFont="1" applyFill="1" applyBorder="1" applyAlignment="1" applyProtection="1">
      <alignment vertical="center"/>
      <protection hidden="1"/>
    </xf>
    <xf numFmtId="0" fontId="10" fillId="0" borderId="63" xfId="0" applyFont="1" applyFill="1" applyBorder="1" applyAlignment="1" applyProtection="1">
      <alignment vertical="center"/>
      <protection hidden="1"/>
    </xf>
    <xf numFmtId="0" fontId="1" fillId="0" borderId="63" xfId="0" applyFont="1" applyFill="1" applyBorder="1" applyAlignment="1" applyProtection="1">
      <alignment vertical="center"/>
      <protection hidden="1"/>
    </xf>
    <xf numFmtId="0" fontId="1" fillId="0" borderId="5" xfId="0" applyFont="1" applyFill="1" applyBorder="1" applyAlignment="1" applyProtection="1">
      <alignment vertical="center"/>
      <protection hidden="1"/>
    </xf>
    <xf numFmtId="1" fontId="6" fillId="0" borderId="0" xfId="0" applyNumberFormat="1" applyFont="1" applyFill="1" applyAlignment="1">
      <alignment vertical="center"/>
    </xf>
    <xf numFmtId="0" fontId="1" fillId="0" borderId="0" xfId="0" applyFont="1" applyFill="1" applyBorder="1" applyAlignment="1" applyProtection="1">
      <alignment vertical="center"/>
      <protection hidden="1"/>
    </xf>
    <xf numFmtId="0" fontId="4" fillId="0" borderId="7" xfId="0" applyFont="1" applyFill="1" applyBorder="1" applyAlignment="1" applyProtection="1">
      <alignment horizontal="center" vertical="center"/>
      <protection hidden="1"/>
    </xf>
    <xf numFmtId="0" fontId="7" fillId="0" borderId="0" xfId="0" applyFont="1" applyFill="1" applyBorder="1" applyAlignment="1" applyProtection="1">
      <alignment vertical="center"/>
      <protection hidden="1"/>
    </xf>
    <xf numFmtId="0" fontId="6" fillId="0" borderId="0" xfId="0" applyFont="1" applyFill="1" applyBorder="1" applyAlignment="1" applyProtection="1">
      <alignment vertical="center"/>
      <protection hidden="1"/>
    </xf>
    <xf numFmtId="0" fontId="6" fillId="0" borderId="3" xfId="0" applyFont="1" applyFill="1" applyBorder="1" applyAlignment="1" applyProtection="1">
      <alignment vertical="center"/>
      <protection hidden="1"/>
    </xf>
    <xf numFmtId="0" fontId="1" fillId="0" borderId="26" xfId="0" applyFont="1" applyFill="1" applyBorder="1" applyAlignment="1">
      <alignment vertical="center"/>
    </xf>
    <xf numFmtId="0" fontId="1" fillId="0" borderId="27" xfId="0" applyFont="1" applyFill="1" applyBorder="1" applyAlignment="1">
      <alignment vertical="center"/>
    </xf>
    <xf numFmtId="0" fontId="1" fillId="0" borderId="28" xfId="0" applyFont="1" applyFill="1" applyBorder="1" applyAlignment="1">
      <alignment vertical="center"/>
    </xf>
    <xf numFmtId="0" fontId="13" fillId="0" borderId="29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5" fillId="0" borderId="9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8" xfId="0" applyFont="1" applyFill="1" applyBorder="1" applyAlignment="1" applyProtection="1">
      <alignment horizontal="center" vertical="center"/>
      <protection locked="0"/>
    </xf>
    <xf numFmtId="0" fontId="13" fillId="0" borderId="1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0" borderId="19" xfId="0" applyFont="1" applyFill="1" applyBorder="1" applyAlignment="1">
      <alignment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4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64" fontId="13" fillId="0" borderId="13" xfId="0" applyNumberFormat="1" applyFont="1" applyFill="1" applyBorder="1" applyAlignment="1">
      <alignment horizontal="center" vertical="center"/>
    </xf>
    <xf numFmtId="164" fontId="13" fillId="0" borderId="14" xfId="0" applyNumberFormat="1" applyFont="1" applyFill="1" applyBorder="1" applyAlignment="1">
      <alignment horizontal="center" vertical="center"/>
    </xf>
    <xf numFmtId="164" fontId="13" fillId="0" borderId="1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13" fillId="0" borderId="35" xfId="0" applyFont="1" applyFill="1" applyBorder="1" applyAlignment="1">
      <alignment horizontal="left" vertical="center"/>
    </xf>
    <xf numFmtId="0" fontId="13" fillId="0" borderId="2" xfId="0" applyFont="1" applyFill="1" applyBorder="1" applyAlignment="1">
      <alignment vertical="center"/>
    </xf>
    <xf numFmtId="0" fontId="13" fillId="0" borderId="2" xfId="0" applyFont="1" applyFill="1" applyBorder="1" applyAlignment="1">
      <alignment horizontal="right" vertical="center"/>
    </xf>
    <xf numFmtId="14" fontId="13" fillId="0" borderId="2" xfId="0" applyNumberFormat="1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left" vertical="center"/>
    </xf>
    <xf numFmtId="0" fontId="13" fillId="0" borderId="36" xfId="0" applyFont="1" applyFill="1" applyBorder="1" applyAlignment="1">
      <alignment vertical="center"/>
    </xf>
    <xf numFmtId="0" fontId="16" fillId="0" borderId="37" xfId="0" applyFont="1" applyFill="1" applyBorder="1" applyAlignment="1">
      <alignment vertical="center"/>
    </xf>
    <xf numFmtId="0" fontId="13" fillId="0" borderId="5" xfId="0" applyFont="1" applyFill="1" applyBorder="1" applyAlignment="1">
      <alignment vertical="center"/>
    </xf>
    <xf numFmtId="0" fontId="18" fillId="0" borderId="5" xfId="0" applyFont="1" applyFill="1" applyBorder="1" applyAlignment="1">
      <alignment vertical="center"/>
    </xf>
    <xf numFmtId="0" fontId="18" fillId="0" borderId="38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3" fillId="0" borderId="23" xfId="0" applyFont="1" applyFill="1" applyBorder="1" applyAlignment="1">
      <alignment horizontal="center" vertical="center"/>
    </xf>
    <xf numFmtId="1" fontId="13" fillId="0" borderId="1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vertical="center"/>
      <protection locked="0"/>
    </xf>
    <xf numFmtId="1" fontId="13" fillId="0" borderId="13" xfId="0" applyNumberFormat="1" applyFont="1" applyFill="1" applyBorder="1" applyAlignment="1" applyProtection="1">
      <alignment vertical="center"/>
      <protection locked="0"/>
    </xf>
    <xf numFmtId="1" fontId="13" fillId="0" borderId="14" xfId="0" applyNumberFormat="1" applyFont="1" applyFill="1" applyBorder="1" applyAlignment="1" applyProtection="1">
      <alignment vertical="center"/>
      <protection locked="0"/>
    </xf>
    <xf numFmtId="0" fontId="13" fillId="0" borderId="25" xfId="0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164" fontId="13" fillId="0" borderId="0" xfId="0" applyNumberFormat="1" applyFont="1" applyFill="1" applyBorder="1" applyAlignment="1">
      <alignment vertical="center"/>
    </xf>
    <xf numFmtId="0" fontId="19" fillId="0" borderId="29" xfId="0" applyFont="1" applyFill="1" applyBorder="1" applyAlignment="1">
      <alignment vertical="center"/>
    </xf>
    <xf numFmtId="0" fontId="13" fillId="0" borderId="29" xfId="0" applyFont="1" applyFill="1" applyBorder="1" applyAlignment="1">
      <alignment horizontal="center" vertical="center"/>
    </xf>
    <xf numFmtId="0" fontId="20" fillId="0" borderId="40" xfId="0" applyFont="1" applyFill="1" applyBorder="1" applyAlignment="1">
      <alignment vertical="center"/>
    </xf>
    <xf numFmtId="164" fontId="1" fillId="0" borderId="41" xfId="0" applyNumberFormat="1" applyFont="1" applyFill="1" applyBorder="1" applyAlignment="1">
      <alignment vertical="center"/>
    </xf>
    <xf numFmtId="0" fontId="1" fillId="0" borderId="41" xfId="0" applyFont="1" applyFill="1" applyBorder="1" applyAlignment="1">
      <alignment vertical="center"/>
    </xf>
    <xf numFmtId="0" fontId="1" fillId="0" borderId="42" xfId="0" applyFont="1" applyFill="1" applyBorder="1" applyAlignment="1">
      <alignment vertical="center"/>
    </xf>
    <xf numFmtId="0" fontId="20" fillId="0" borderId="0" xfId="0" applyFont="1" applyFill="1" applyAlignment="1">
      <alignment vertical="center"/>
    </xf>
    <xf numFmtId="164" fontId="1" fillId="0" borderId="0" xfId="0" applyNumberFormat="1" applyFont="1" applyFill="1" applyAlignment="1">
      <alignment vertical="center"/>
    </xf>
    <xf numFmtId="0" fontId="1" fillId="0" borderId="67" xfId="0" applyFont="1" applyFill="1" applyBorder="1" applyAlignment="1">
      <alignment horizontal="center" vertical="center"/>
    </xf>
    <xf numFmtId="0" fontId="1" fillId="0" borderId="68" xfId="0" applyFont="1" applyFill="1" applyBorder="1" applyAlignment="1">
      <alignment horizontal="center" vertical="center"/>
    </xf>
    <xf numFmtId="0" fontId="1" fillId="0" borderId="69" xfId="0" applyFont="1" applyFill="1" applyBorder="1" applyAlignment="1">
      <alignment horizontal="center" vertical="center"/>
    </xf>
    <xf numFmtId="0" fontId="1" fillId="0" borderId="15" xfId="0" applyFont="1" applyFill="1" applyBorder="1" applyAlignment="1" applyProtection="1">
      <alignment horizontal="center" vertical="center"/>
      <protection locked="0"/>
    </xf>
    <xf numFmtId="0" fontId="1" fillId="0" borderId="70" xfId="0" applyFont="1" applyFill="1" applyBorder="1" applyAlignment="1">
      <alignment horizontal="center" vertical="center"/>
    </xf>
    <xf numFmtId="0" fontId="1" fillId="0" borderId="71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1" fillId="0" borderId="72" xfId="0" applyFont="1" applyFill="1" applyBorder="1" applyAlignment="1">
      <alignment horizontal="center" vertical="center"/>
    </xf>
    <xf numFmtId="0" fontId="1" fillId="0" borderId="73" xfId="0" applyFont="1" applyFill="1" applyBorder="1" applyAlignment="1">
      <alignment horizontal="center" vertical="center"/>
    </xf>
    <xf numFmtId="0" fontId="2" fillId="0" borderId="75" xfId="0" applyFont="1" applyFill="1" applyBorder="1" applyAlignment="1">
      <alignment horizontal="center" vertical="center"/>
    </xf>
    <xf numFmtId="0" fontId="1" fillId="0" borderId="23" xfId="0" applyFont="1" applyFill="1" applyBorder="1" applyAlignment="1" applyProtection="1">
      <alignment horizontal="center" vertical="center"/>
      <protection locked="0"/>
    </xf>
    <xf numFmtId="0" fontId="1" fillId="0" borderId="4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2" fillId="0" borderId="80" xfId="0" applyNumberFormat="1" applyFont="1" applyBorder="1" applyAlignment="1">
      <alignment horizontal="center" vertical="center"/>
    </xf>
    <xf numFmtId="164" fontId="2" fillId="0" borderId="78" xfId="0" applyNumberFormat="1" applyFont="1" applyBorder="1" applyAlignment="1">
      <alignment horizontal="center" vertical="center"/>
    </xf>
    <xf numFmtId="1" fontId="2" fillId="0" borderId="78" xfId="0" applyNumberFormat="1" applyFont="1" applyBorder="1" applyAlignment="1">
      <alignment horizontal="center" vertical="center"/>
    </xf>
    <xf numFmtId="1" fontId="2" fillId="0" borderId="81" xfId="0" applyNumberFormat="1" applyFont="1" applyBorder="1" applyAlignment="1" applyProtection="1">
      <alignment horizontal="center" vertical="center"/>
      <protection locked="0"/>
    </xf>
    <xf numFmtId="0" fontId="1" fillId="0" borderId="8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" fillId="0" borderId="58" xfId="0" applyFont="1" applyFill="1" applyBorder="1" applyAlignment="1">
      <alignment horizontal="center" vertical="center"/>
    </xf>
    <xf numFmtId="0" fontId="1" fillId="0" borderId="59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11" fillId="0" borderId="55" xfId="0" applyFont="1" applyFill="1" applyBorder="1" applyAlignment="1" applyProtection="1">
      <alignment horizontal="center" vertical="center" wrapText="1"/>
      <protection hidden="1"/>
    </xf>
    <xf numFmtId="0" fontId="1" fillId="0" borderId="55" xfId="0" applyFont="1" applyBorder="1" applyAlignment="1" applyProtection="1">
      <alignment horizontal="center" vertical="center" wrapText="1"/>
      <protection hidden="1"/>
    </xf>
    <xf numFmtId="0" fontId="1" fillId="0" borderId="22" xfId="0" applyFont="1" applyBorder="1" applyAlignment="1" applyProtection="1">
      <alignment horizontal="center" vertical="center" wrapText="1"/>
      <protection hidden="1"/>
    </xf>
    <xf numFmtId="0" fontId="11" fillId="0" borderId="7" xfId="0" applyFont="1" applyFill="1" applyBorder="1" applyAlignment="1" applyProtection="1">
      <alignment horizontal="center" vertical="center"/>
      <protection hidden="1"/>
    </xf>
    <xf numFmtId="0" fontId="11" fillId="0" borderId="0" xfId="0" applyFont="1" applyFill="1" applyBorder="1" applyAlignment="1" applyProtection="1">
      <alignment horizontal="center" vertical="center"/>
      <protection hidden="1"/>
    </xf>
    <xf numFmtId="0" fontId="11" fillId="0" borderId="3" xfId="0" applyFont="1" applyFill="1" applyBorder="1" applyAlignment="1" applyProtection="1">
      <alignment horizontal="center" vertical="center"/>
      <protection hidden="1"/>
    </xf>
    <xf numFmtId="0" fontId="12" fillId="0" borderId="20" xfId="0" applyFont="1" applyBorder="1" applyAlignment="1" applyProtection="1">
      <alignment horizontal="center" vertical="center" wrapText="1"/>
      <protection locked="0"/>
    </xf>
    <xf numFmtId="0" fontId="12" fillId="0" borderId="55" xfId="0" applyFont="1" applyBorder="1" applyAlignment="1" applyProtection="1">
      <alignment horizontal="center" vertical="center" wrapText="1"/>
      <protection locked="0"/>
    </xf>
    <xf numFmtId="0" fontId="1" fillId="0" borderId="55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54" xfId="0" applyFont="1" applyFill="1" applyBorder="1" applyAlignment="1" applyProtection="1">
      <alignment horizontal="center" vertical="center"/>
      <protection locked="0"/>
    </xf>
    <xf numFmtId="0" fontId="1" fillId="0" borderId="55" xfId="0" applyFont="1" applyFill="1" applyBorder="1" applyAlignment="1" applyProtection="1">
      <alignment horizontal="center" vertical="center"/>
      <protection locked="0"/>
    </xf>
    <xf numFmtId="0" fontId="1" fillId="0" borderId="8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4" fillId="0" borderId="5" xfId="0" applyFont="1" applyFill="1" applyBorder="1" applyAlignment="1" applyProtection="1">
      <alignment horizontal="center" vertical="center"/>
      <protection hidden="1"/>
    </xf>
    <xf numFmtId="0" fontId="6" fillId="0" borderId="5" xfId="0" applyFont="1" applyFill="1" applyBorder="1" applyAlignment="1" applyProtection="1">
      <alignment horizontal="center" vertical="center"/>
      <protection hidden="1"/>
    </xf>
    <xf numFmtId="0" fontId="12" fillId="0" borderId="0" xfId="0" applyFont="1" applyFill="1" applyBorder="1" applyAlignment="1" applyProtection="1">
      <alignment horizontal="left" vertical="center"/>
      <protection hidden="1"/>
    </xf>
    <xf numFmtId="14" fontId="12" fillId="0" borderId="0" xfId="0" applyNumberFormat="1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 vertical="center"/>
      <protection locked="0"/>
    </xf>
    <xf numFmtId="14" fontId="12" fillId="0" borderId="0" xfId="0" applyNumberFormat="1" applyFont="1" applyFill="1" applyBorder="1" applyAlignment="1" applyProtection="1">
      <alignment horizontal="left" vertical="center"/>
      <protection locked="0"/>
    </xf>
    <xf numFmtId="0" fontId="1" fillId="0" borderId="44" xfId="0" applyFont="1" applyFill="1" applyBorder="1" applyAlignment="1" applyProtection="1">
      <alignment horizontal="center" vertical="center" wrapText="1"/>
      <protection hidden="1"/>
    </xf>
    <xf numFmtId="0" fontId="1" fillId="0" borderId="5" xfId="0" applyFont="1" applyFill="1" applyBorder="1" applyAlignment="1" applyProtection="1">
      <alignment horizontal="center" vertical="center" wrapText="1"/>
      <protection hidden="1"/>
    </xf>
    <xf numFmtId="0" fontId="1" fillId="0" borderId="6" xfId="0" applyFont="1" applyFill="1" applyBorder="1" applyAlignment="1" applyProtection="1">
      <alignment horizontal="center" vertical="center" wrapText="1"/>
      <protection hidden="1"/>
    </xf>
    <xf numFmtId="0" fontId="1" fillId="0" borderId="7" xfId="0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Fill="1" applyBorder="1" applyAlignment="1" applyProtection="1">
      <alignment horizontal="center" vertical="center" wrapText="1"/>
      <protection hidden="1"/>
    </xf>
    <xf numFmtId="0" fontId="1" fillId="0" borderId="3" xfId="0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Fill="1" applyBorder="1" applyAlignment="1" applyProtection="1">
      <alignment horizontal="center" vertical="center" wrapText="1"/>
      <protection hidden="1"/>
    </xf>
    <xf numFmtId="0" fontId="1" fillId="0" borderId="2" xfId="0" applyFont="1" applyFill="1" applyBorder="1" applyAlignment="1" applyProtection="1">
      <alignment horizontal="center" vertical="center" wrapText="1"/>
      <protection hidden="1"/>
    </xf>
    <xf numFmtId="0" fontId="1" fillId="0" borderId="8" xfId="0" applyFont="1" applyFill="1" applyBorder="1" applyAlignment="1" applyProtection="1">
      <alignment horizontal="center" vertical="center" wrapText="1"/>
      <protection hidden="1"/>
    </xf>
    <xf numFmtId="0" fontId="2" fillId="0" borderId="44" xfId="0" applyFont="1" applyFill="1" applyBorder="1" applyAlignment="1" applyProtection="1">
      <alignment horizontal="center" vertical="center"/>
      <protection hidden="1"/>
    </xf>
    <xf numFmtId="0" fontId="2" fillId="0" borderId="5" xfId="0" applyFont="1" applyFill="1" applyBorder="1" applyAlignment="1" applyProtection="1">
      <alignment horizontal="center" vertical="center"/>
      <protection hidden="1"/>
    </xf>
    <xf numFmtId="0" fontId="2" fillId="0" borderId="6" xfId="0" applyFont="1" applyFill="1" applyBorder="1" applyAlignment="1" applyProtection="1">
      <alignment horizontal="center" vertical="center"/>
      <protection hidden="1"/>
    </xf>
    <xf numFmtId="0" fontId="3" fillId="0" borderId="4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7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Fill="1" applyBorder="1" applyAlignment="1" applyProtection="1">
      <alignment horizontal="center" vertical="center" wrapText="1"/>
      <protection hidden="1"/>
    </xf>
    <xf numFmtId="0" fontId="3" fillId="0" borderId="3" xfId="0" applyFont="1" applyFill="1" applyBorder="1" applyAlignment="1" applyProtection="1">
      <alignment horizontal="center" vertical="center" wrapText="1"/>
      <protection hidden="1"/>
    </xf>
    <xf numFmtId="0" fontId="4" fillId="0" borderId="7" xfId="0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Fill="1" applyBorder="1" applyAlignment="1" applyProtection="1">
      <alignment horizontal="center" vertical="center" wrapText="1"/>
      <protection hidden="1"/>
    </xf>
    <xf numFmtId="0" fontId="5" fillId="0" borderId="2" xfId="0" applyFont="1" applyFill="1" applyBorder="1" applyAlignment="1" applyProtection="1">
      <alignment horizontal="center" vertical="center"/>
      <protection hidden="1"/>
    </xf>
    <xf numFmtId="0" fontId="5" fillId="0" borderId="8" xfId="0" applyFont="1" applyFill="1" applyBorder="1" applyAlignment="1" applyProtection="1">
      <alignment horizontal="center" vertical="center"/>
      <protection hidden="1"/>
    </xf>
    <xf numFmtId="0" fontId="6" fillId="0" borderId="5" xfId="0" applyFont="1" applyFill="1" applyBorder="1" applyAlignment="1">
      <alignment horizontal="right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hidden="1"/>
    </xf>
    <xf numFmtId="0" fontId="2" fillId="0" borderId="10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1" fillId="0" borderId="72" xfId="0" applyFont="1" applyFill="1" applyBorder="1" applyAlignment="1">
      <alignment horizontal="center" vertical="center"/>
    </xf>
    <xf numFmtId="0" fontId="1" fillId="0" borderId="71" xfId="0" applyFont="1" applyFill="1" applyBorder="1" applyAlignment="1">
      <alignment horizontal="center" vertical="center"/>
    </xf>
    <xf numFmtId="164" fontId="21" fillId="0" borderId="0" xfId="0" applyNumberFormat="1" applyFont="1" applyFill="1" applyAlignment="1">
      <alignment horizontal="center" vertical="center"/>
    </xf>
    <xf numFmtId="0" fontId="15" fillId="0" borderId="45" xfId="0" applyFont="1" applyFill="1" applyBorder="1" applyAlignment="1">
      <alignment horizontal="center" vertical="center"/>
    </xf>
    <xf numFmtId="0" fontId="15" fillId="0" borderId="46" xfId="0" applyFont="1" applyFill="1" applyBorder="1" applyAlignment="1">
      <alignment horizontal="center" vertical="center"/>
    </xf>
    <xf numFmtId="0" fontId="15" fillId="0" borderId="47" xfId="0" applyFont="1" applyFill="1" applyBorder="1" applyAlignment="1">
      <alignment horizontal="center" vertical="center"/>
    </xf>
    <xf numFmtId="0" fontId="13" fillId="0" borderId="48" xfId="0" applyFont="1" applyFill="1" applyBorder="1" applyAlignment="1">
      <alignment horizontal="center" vertical="center"/>
    </xf>
    <xf numFmtId="0" fontId="13" fillId="0" borderId="49" xfId="0" applyFont="1" applyFill="1" applyBorder="1" applyAlignment="1">
      <alignment horizontal="center" vertical="center"/>
    </xf>
    <xf numFmtId="0" fontId="13" fillId="0" borderId="50" xfId="0" applyFont="1" applyFill="1" applyBorder="1" applyAlignment="1">
      <alignment horizontal="center" vertical="center"/>
    </xf>
    <xf numFmtId="0" fontId="13" fillId="0" borderId="51" xfId="0" applyFont="1" applyFill="1" applyBorder="1" applyAlignment="1">
      <alignment horizontal="center" vertical="center"/>
    </xf>
    <xf numFmtId="164" fontId="1" fillId="0" borderId="82" xfId="0" applyNumberFormat="1" applyFont="1" applyBorder="1" applyAlignment="1">
      <alignment horizontal="center" vertical="center"/>
    </xf>
    <xf numFmtId="164" fontId="1" fillId="0" borderId="83" xfId="0" applyNumberFormat="1" applyFont="1" applyBorder="1" applyAlignment="1">
      <alignment horizontal="center" vertical="center"/>
    </xf>
    <xf numFmtId="164" fontId="1" fillId="0" borderId="84" xfId="0" applyNumberFormat="1" applyFont="1" applyBorder="1" applyAlignment="1">
      <alignment horizontal="center" vertical="center"/>
    </xf>
    <xf numFmtId="0" fontId="4" fillId="0" borderId="64" xfId="0" applyFont="1" applyBorder="1" applyAlignment="1" applyProtection="1">
      <alignment horizontal="center" vertical="center"/>
      <protection hidden="1"/>
    </xf>
    <xf numFmtId="0" fontId="4" fillId="0" borderId="65" xfId="0" applyFont="1" applyBorder="1" applyAlignment="1" applyProtection="1">
      <alignment horizontal="center" vertical="center"/>
      <protection hidden="1"/>
    </xf>
    <xf numFmtId="0" fontId="4" fillId="0" borderId="66" xfId="0" applyFont="1" applyBorder="1" applyAlignment="1" applyProtection="1">
      <alignment horizontal="center" vertical="center"/>
      <protection hidden="1"/>
    </xf>
    <xf numFmtId="0" fontId="2" fillId="0" borderId="9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74" xfId="0" applyFont="1" applyFill="1" applyBorder="1" applyAlignment="1">
      <alignment horizontal="center" vertical="center"/>
    </xf>
    <xf numFmtId="0" fontId="2" fillId="0" borderId="75" xfId="0" applyFont="1" applyFill="1" applyBorder="1" applyAlignment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  <protection hidden="1"/>
    </xf>
    <xf numFmtId="0" fontId="11" fillId="0" borderId="2" xfId="0" applyFont="1" applyFill="1" applyBorder="1" applyAlignment="1" applyProtection="1">
      <alignment horizontal="center" vertical="center"/>
      <protection hidden="1"/>
    </xf>
    <xf numFmtId="0" fontId="11" fillId="0" borderId="8" xfId="0" applyFont="1" applyFill="1" applyBorder="1" applyAlignment="1" applyProtection="1">
      <alignment horizontal="center" vertical="center"/>
      <protection hidden="1"/>
    </xf>
    <xf numFmtId="0" fontId="1" fillId="0" borderId="60" xfId="0" applyFont="1" applyFill="1" applyBorder="1" applyAlignment="1">
      <alignment horizontal="center" vertical="center"/>
    </xf>
    <xf numFmtId="0" fontId="1" fillId="0" borderId="61" xfId="0" applyFont="1" applyFill="1" applyBorder="1" applyAlignment="1">
      <alignment horizontal="center" vertical="center"/>
    </xf>
    <xf numFmtId="0" fontId="2" fillId="0" borderId="76" xfId="0" applyFont="1" applyFill="1" applyBorder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0" fontId="22" fillId="0" borderId="7" xfId="0" applyFont="1" applyBorder="1" applyAlignment="1" applyProtection="1">
      <alignment horizontal="center" vertical="center"/>
      <protection locked="0"/>
    </xf>
    <xf numFmtId="14" fontId="22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0" xfId="0" applyNumberFormat="1" applyFont="1" applyAlignment="1" applyProtection="1">
      <alignment horizontal="center" vertical="center"/>
      <protection locked="0"/>
    </xf>
    <xf numFmtId="14" fontId="2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Fill="1" applyBorder="1" applyAlignment="1" applyProtection="1">
      <alignment horizontal="left"/>
      <protection hidden="1"/>
    </xf>
    <xf numFmtId="0" fontId="22" fillId="0" borderId="0" xfId="0" applyFont="1" applyFill="1" applyBorder="1" applyAlignment="1" applyProtection="1">
      <alignment horizontal="left"/>
      <protection locked="0"/>
    </xf>
    <xf numFmtId="0" fontId="12" fillId="0" borderId="7" xfId="0" applyFont="1" applyFill="1" applyBorder="1" applyAlignment="1" applyProtection="1">
      <alignment horizontal="left" vertical="center" wrapText="1"/>
      <protection locked="0"/>
    </xf>
    <xf numFmtId="0" fontId="12" fillId="0" borderId="0" xfId="0" applyFont="1" applyFill="1" applyBorder="1" applyAlignment="1" applyProtection="1">
      <alignment horizontal="left" vertical="center" wrapText="1"/>
      <protection locked="0"/>
    </xf>
    <xf numFmtId="0" fontId="12" fillId="0" borderId="3" xfId="0" applyFont="1" applyFill="1" applyBorder="1" applyAlignment="1" applyProtection="1">
      <alignment horizontal="left" vertical="center" wrapText="1"/>
      <protection locked="0"/>
    </xf>
    <xf numFmtId="0" fontId="12" fillId="0" borderId="1" xfId="0" applyFont="1" applyFill="1" applyBorder="1" applyAlignment="1" applyProtection="1">
      <alignment horizontal="left" vertical="center" wrapText="1"/>
      <protection locked="0"/>
    </xf>
    <xf numFmtId="0" fontId="12" fillId="0" borderId="2" xfId="0" applyFont="1" applyFill="1" applyBorder="1" applyAlignment="1" applyProtection="1">
      <alignment horizontal="left" vertical="center" wrapText="1"/>
      <protection locked="0"/>
    </xf>
    <xf numFmtId="0" fontId="12" fillId="0" borderId="8" xfId="0" applyFont="1" applyFill="1" applyBorder="1" applyAlignment="1" applyProtection="1">
      <alignment horizontal="left" vertical="center" wrapText="1"/>
      <protection locked="0"/>
    </xf>
    <xf numFmtId="0" fontId="6" fillId="0" borderId="1" xfId="0" applyFont="1" applyFill="1" applyBorder="1" applyAlignment="1" applyProtection="1">
      <alignment horizontal="center" vertical="center"/>
      <protection hidden="1"/>
    </xf>
    <xf numFmtId="0" fontId="6" fillId="0" borderId="2" xfId="0" applyFont="1" applyFill="1" applyBorder="1" applyAlignment="1" applyProtection="1">
      <alignment horizontal="center" vertical="center"/>
      <protection hidden="1"/>
    </xf>
    <xf numFmtId="0" fontId="6" fillId="0" borderId="8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927152317880796E-2"/>
          <c:y val="6.1624818432735998E-2"/>
          <c:w val="0.88079470198675491"/>
          <c:h val="0.8711508423900407"/>
        </c:manualLayout>
      </c:layout>
      <c:scatterChart>
        <c:scatterStyle val="lineMarker"/>
        <c:varyColors val="0"/>
        <c:ser>
          <c:idx val="0"/>
          <c:order val="0"/>
          <c:tx>
            <c:strRef>
              <c:f>CAG!$A$79</c:f>
              <c:strCache>
                <c:ptCount val="1"/>
                <c:pt idx="0">
                  <c:v>Vss + U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1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CAG!$B$77:$K$77</c:f>
              <c:numCache>
                <c:formatCode>General</c:formatCode>
                <c:ptCount val="10"/>
                <c:pt idx="0">
                  <c:v>-1.2006594505464183</c:v>
                </c:pt>
                <c:pt idx="1">
                  <c:v>-0.3010299956639812</c:v>
                </c:pt>
                <c:pt idx="2">
                  <c:v>0.49831055378960049</c:v>
                </c:pt>
                <c:pt idx="3">
                  <c:v>0.69897000433601886</c:v>
                </c:pt>
                <c:pt idx="4">
                  <c:v>0.79934054945358168</c:v>
                </c:pt>
                <c:pt idx="5">
                  <c:v>0.85125834871907524</c:v>
                </c:pt>
                <c:pt idx="6">
                  <c:v>0.90308998699194354</c:v>
                </c:pt>
                <c:pt idx="7">
                  <c:v>1</c:v>
                </c:pt>
                <c:pt idx="8">
                  <c:v>1.146128035678238</c:v>
                </c:pt>
                <c:pt idx="9">
                  <c:v>1.3010299956639813</c:v>
                </c:pt>
              </c:numCache>
            </c:numRef>
          </c:xVal>
          <c:yVal>
            <c:numRef>
              <c:f>CAG!$B$79:$K$79</c:f>
              <c:numCache>
                <c:formatCode>General</c:formatCode>
                <c:ptCount val="10"/>
                <c:pt idx="0">
                  <c:v>1.3</c:v>
                </c:pt>
                <c:pt idx="1">
                  <c:v>#N/A</c:v>
                </c:pt>
                <c:pt idx="2">
                  <c:v>6</c:v>
                </c:pt>
                <c:pt idx="3">
                  <c:v>#N/A</c:v>
                </c:pt>
                <c:pt idx="4">
                  <c:v>18</c:v>
                </c:pt>
                <c:pt idx="5">
                  <c:v>#N/A</c:v>
                </c:pt>
                <c:pt idx="6">
                  <c:v>#N/A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15-4175-B497-66B113B244C1}"/>
            </c:ext>
          </c:extLst>
        </c:ser>
        <c:ser>
          <c:idx val="1"/>
          <c:order val="1"/>
          <c:tx>
            <c:strRef>
              <c:f>CAG!$A$82</c:f>
              <c:strCache>
                <c:ptCount val="1"/>
                <c:pt idx="0">
                  <c:v>Vsi - U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1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CAG!$B$77:$K$77</c:f>
              <c:numCache>
                <c:formatCode>General</c:formatCode>
                <c:ptCount val="10"/>
                <c:pt idx="0">
                  <c:v>-1.2006594505464183</c:v>
                </c:pt>
                <c:pt idx="1">
                  <c:v>-0.3010299956639812</c:v>
                </c:pt>
                <c:pt idx="2">
                  <c:v>0.49831055378960049</c:v>
                </c:pt>
                <c:pt idx="3">
                  <c:v>0.69897000433601886</c:v>
                </c:pt>
                <c:pt idx="4">
                  <c:v>0.79934054945358168</c:v>
                </c:pt>
                <c:pt idx="5">
                  <c:v>0.85125834871907524</c:v>
                </c:pt>
                <c:pt idx="6">
                  <c:v>0.90308998699194354</c:v>
                </c:pt>
                <c:pt idx="7">
                  <c:v>1</c:v>
                </c:pt>
                <c:pt idx="8">
                  <c:v>1.146128035678238</c:v>
                </c:pt>
                <c:pt idx="9">
                  <c:v>1.3010299956639813</c:v>
                </c:pt>
              </c:numCache>
            </c:numRef>
          </c:xVal>
          <c:yVal>
            <c:numRef>
              <c:f>CAG!$B$82:$K$82</c:f>
              <c:numCache>
                <c:formatCode>General</c:formatCode>
                <c:ptCount val="10"/>
                <c:pt idx="0">
                  <c:v>0</c:v>
                </c:pt>
                <c:pt idx="1">
                  <c:v>#N/A</c:v>
                </c:pt>
                <c:pt idx="2">
                  <c:v>0</c:v>
                </c:pt>
                <c:pt idx="3">
                  <c:v>#N/A</c:v>
                </c:pt>
                <c:pt idx="4">
                  <c:v>0</c:v>
                </c:pt>
                <c:pt idx="5">
                  <c:v>#N/A</c:v>
                </c:pt>
                <c:pt idx="6">
                  <c:v>#N/A</c:v>
                </c:pt>
                <c:pt idx="7">
                  <c:v>81</c:v>
                </c:pt>
                <c:pt idx="8">
                  <c:v>97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15-4175-B497-66B113B244C1}"/>
            </c:ext>
          </c:extLst>
        </c:ser>
        <c:ser>
          <c:idx val="2"/>
          <c:order val="2"/>
          <c:tx>
            <c:strRef>
              <c:f>CAG!$A$90</c:f>
              <c:strCache>
                <c:ptCount val="1"/>
                <c:pt idx="0">
                  <c:v>Passant (%)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CAG!$B$89:$K$89</c:f>
              <c:numCache>
                <c:formatCode>General</c:formatCode>
                <c:ptCount val="10"/>
                <c:pt idx="0">
                  <c:v>-1.2006594505464183</c:v>
                </c:pt>
                <c:pt idx="1">
                  <c:v>-0.3010299956639812</c:v>
                </c:pt>
                <c:pt idx="2">
                  <c:v>0.49831055378960049</c:v>
                </c:pt>
                <c:pt idx="3">
                  <c:v>0.69897000433601886</c:v>
                </c:pt>
                <c:pt idx="4">
                  <c:v>0.79934054945358168</c:v>
                </c:pt>
                <c:pt idx="5">
                  <c:v>0.85125834871907524</c:v>
                </c:pt>
                <c:pt idx="6">
                  <c:v>0.90308998699194354</c:v>
                </c:pt>
                <c:pt idx="7">
                  <c:v>1</c:v>
                </c:pt>
                <c:pt idx="8">
                  <c:v>1.146128035678238</c:v>
                </c:pt>
                <c:pt idx="9">
                  <c:v>1.3010299956639813</c:v>
                </c:pt>
              </c:numCache>
            </c:numRef>
          </c:xVal>
          <c:yVal>
            <c:numRef>
              <c:f>CAG!$B$90:$K$90</c:f>
              <c:numCache>
                <c:formatCode>0.0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 formatCode="0">
                  <c:v>#N/A</c:v>
                </c:pt>
                <c:pt idx="9" formatCode="General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15-4175-B497-66B113B244C1}"/>
            </c:ext>
          </c:extLst>
        </c:ser>
        <c:ser>
          <c:idx val="3"/>
          <c:order val="3"/>
          <c:tx>
            <c:strRef>
              <c:f>CAG!$A$80</c:f>
              <c:strCache>
                <c:ptCount val="1"/>
                <c:pt idx="0">
                  <c:v>Vss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CAG!$B$77:$K$77</c:f>
              <c:numCache>
                <c:formatCode>General</c:formatCode>
                <c:ptCount val="10"/>
                <c:pt idx="0">
                  <c:v>-1.2006594505464183</c:v>
                </c:pt>
                <c:pt idx="1">
                  <c:v>-0.3010299956639812</c:v>
                </c:pt>
                <c:pt idx="2">
                  <c:v>0.49831055378960049</c:v>
                </c:pt>
                <c:pt idx="3">
                  <c:v>0.69897000433601886</c:v>
                </c:pt>
                <c:pt idx="4">
                  <c:v>0.79934054945358168</c:v>
                </c:pt>
                <c:pt idx="5">
                  <c:v>0.85125834871907524</c:v>
                </c:pt>
                <c:pt idx="6">
                  <c:v>0.90308998699194354</c:v>
                </c:pt>
                <c:pt idx="7">
                  <c:v>1</c:v>
                </c:pt>
                <c:pt idx="8">
                  <c:v>1.146128035678238</c:v>
                </c:pt>
                <c:pt idx="9">
                  <c:v>1.3010299956639813</c:v>
                </c:pt>
              </c:numCache>
            </c:numRef>
          </c:xVal>
          <c:yVal>
            <c:numRef>
              <c:f>CAG!$B$80:$K$80</c:f>
              <c:numCache>
                <c:formatCode>General</c:formatCode>
                <c:ptCount val="10"/>
                <c:pt idx="0">
                  <c:v>1</c:v>
                </c:pt>
                <c:pt idx="1">
                  <c:v>#N/A</c:v>
                </c:pt>
                <c:pt idx="2">
                  <c:v>5</c:v>
                </c:pt>
                <c:pt idx="3">
                  <c:v>#N/A</c:v>
                </c:pt>
                <c:pt idx="4">
                  <c:v>13</c:v>
                </c:pt>
                <c:pt idx="5">
                  <c:v>#N/A</c:v>
                </c:pt>
                <c:pt idx="6">
                  <c:v>#N/A</c:v>
                </c:pt>
                <c:pt idx="7">
                  <c:v>96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15-4175-B497-66B113B244C1}"/>
            </c:ext>
          </c:extLst>
        </c:ser>
        <c:ser>
          <c:idx val="4"/>
          <c:order val="4"/>
          <c:tx>
            <c:strRef>
              <c:f>CAG!$A$81</c:f>
              <c:strCache>
                <c:ptCount val="1"/>
                <c:pt idx="0">
                  <c:v>Vsi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CAG!$B$77:$K$77</c:f>
              <c:numCache>
                <c:formatCode>General</c:formatCode>
                <c:ptCount val="10"/>
                <c:pt idx="0">
                  <c:v>-1.2006594505464183</c:v>
                </c:pt>
                <c:pt idx="1">
                  <c:v>-0.3010299956639812</c:v>
                </c:pt>
                <c:pt idx="2">
                  <c:v>0.49831055378960049</c:v>
                </c:pt>
                <c:pt idx="3">
                  <c:v>0.69897000433601886</c:v>
                </c:pt>
                <c:pt idx="4">
                  <c:v>0.79934054945358168</c:v>
                </c:pt>
                <c:pt idx="5">
                  <c:v>0.85125834871907524</c:v>
                </c:pt>
                <c:pt idx="6">
                  <c:v>0.90308998699194354</c:v>
                </c:pt>
                <c:pt idx="7">
                  <c:v>1</c:v>
                </c:pt>
                <c:pt idx="8">
                  <c:v>1.146128035678238</c:v>
                </c:pt>
                <c:pt idx="9">
                  <c:v>1.3010299956639813</c:v>
                </c:pt>
              </c:numCache>
            </c:numRef>
          </c:xVal>
          <c:yVal>
            <c:numRef>
              <c:f>CAG!$B$81:$K$81</c:f>
              <c:numCache>
                <c:formatCode>General</c:formatCode>
                <c:ptCount val="10"/>
                <c:pt idx="0">
                  <c:v>0</c:v>
                </c:pt>
                <c:pt idx="1">
                  <c:v>#N/A</c:v>
                </c:pt>
                <c:pt idx="2">
                  <c:v>0</c:v>
                </c:pt>
                <c:pt idx="3">
                  <c:v>#N/A</c:v>
                </c:pt>
                <c:pt idx="4">
                  <c:v>5</c:v>
                </c:pt>
                <c:pt idx="5">
                  <c:v>#N/A</c:v>
                </c:pt>
                <c:pt idx="6">
                  <c:v>#N/A</c:v>
                </c:pt>
                <c:pt idx="7">
                  <c:v>86</c:v>
                </c:pt>
                <c:pt idx="8">
                  <c:v>98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15-4175-B497-66B113B244C1}"/>
            </c:ext>
          </c:extLst>
        </c:ser>
        <c:ser>
          <c:idx val="6"/>
          <c:order val="6"/>
          <c:tx>
            <c:strRef>
              <c:f>CAG!$B$78</c:f>
              <c:strCache>
                <c:ptCount val="1"/>
                <c:pt idx="0">
                  <c:v>0,063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CAG!$B$92:$B$93</c:f>
              <c:numCache>
                <c:formatCode>0.0</c:formatCode>
                <c:ptCount val="2"/>
                <c:pt idx="0">
                  <c:v>-1.2006594505464183</c:v>
                </c:pt>
                <c:pt idx="1">
                  <c:v>-1.2006594505464183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15-4175-B497-66B113B244C1}"/>
            </c:ext>
          </c:extLst>
        </c:ser>
        <c:ser>
          <c:idx val="7"/>
          <c:order val="7"/>
          <c:tx>
            <c:strRef>
              <c:f>CAG!$C$78</c:f>
              <c:strCache>
                <c:ptCount val="1"/>
                <c:pt idx="0">
                  <c:v>0,5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CAG!$C$92:$C$93</c:f>
              <c:numCache>
                <c:formatCode>0.0</c:formatCode>
                <c:ptCount val="2"/>
                <c:pt idx="0">
                  <c:v>-0.3010299956639812</c:v>
                </c:pt>
                <c:pt idx="1">
                  <c:v>-0.3010299956639812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B15-4175-B497-66B113B244C1}"/>
            </c:ext>
          </c:extLst>
        </c:ser>
        <c:ser>
          <c:idx val="8"/>
          <c:order val="8"/>
          <c:tx>
            <c:strRef>
              <c:f>CAG!$D$78</c:f>
              <c:strCache>
                <c:ptCount val="1"/>
                <c:pt idx="0">
                  <c:v>3,15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CAG!$D$92:$D$93</c:f>
              <c:numCache>
                <c:formatCode>0.0</c:formatCode>
                <c:ptCount val="2"/>
                <c:pt idx="0">
                  <c:v>0.49831055378960049</c:v>
                </c:pt>
                <c:pt idx="1">
                  <c:v>0.49831055378960049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15-4175-B497-66B113B244C1}"/>
            </c:ext>
          </c:extLst>
        </c:ser>
        <c:ser>
          <c:idx val="10"/>
          <c:order val="9"/>
          <c:tx>
            <c:strRef>
              <c:f>CAG!$E$78</c:f>
              <c:strCache>
                <c:ptCount val="1"/>
                <c:pt idx="0">
                  <c:v>5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CAG!$E$92:$E$93</c:f>
              <c:numCache>
                <c:formatCode>0.0</c:formatCode>
                <c:ptCount val="2"/>
                <c:pt idx="0">
                  <c:v>0.69897000433601886</c:v>
                </c:pt>
                <c:pt idx="1">
                  <c:v>0.69897000433601886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B15-4175-B497-66B113B244C1}"/>
            </c:ext>
          </c:extLst>
        </c:ser>
        <c:ser>
          <c:idx val="11"/>
          <c:order val="10"/>
          <c:tx>
            <c:strRef>
              <c:f>CAG!$F$78</c:f>
              <c:strCache>
                <c:ptCount val="1"/>
                <c:pt idx="0">
                  <c:v>6,3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CAG!$F$92:$F$93</c:f>
              <c:numCache>
                <c:formatCode>0.0</c:formatCode>
                <c:ptCount val="2"/>
                <c:pt idx="0">
                  <c:v>0.79934054945358168</c:v>
                </c:pt>
                <c:pt idx="1">
                  <c:v>0.79934054945358168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B15-4175-B497-66B113B244C1}"/>
            </c:ext>
          </c:extLst>
        </c:ser>
        <c:ser>
          <c:idx val="12"/>
          <c:order val="11"/>
          <c:tx>
            <c:strRef>
              <c:f>CAG!$G$78</c:f>
              <c:strCache>
                <c:ptCount val="1"/>
                <c:pt idx="0">
                  <c:v>7,1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CAG!$G$92:$G$93</c:f>
              <c:numCache>
                <c:formatCode>0.0</c:formatCode>
                <c:ptCount val="2"/>
                <c:pt idx="0">
                  <c:v>0.85125834871907524</c:v>
                </c:pt>
                <c:pt idx="1">
                  <c:v>0.85125834871907524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B15-4175-B497-66B113B244C1}"/>
            </c:ext>
          </c:extLst>
        </c:ser>
        <c:ser>
          <c:idx val="14"/>
          <c:order val="12"/>
          <c:tx>
            <c:strRef>
              <c:f>CAG!$J$78</c:f>
              <c:strCache>
                <c:ptCount val="1"/>
                <c:pt idx="0">
                  <c:v>14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CAG!$J$92:$J$93</c:f>
              <c:numCache>
                <c:formatCode>0.0</c:formatCode>
                <c:ptCount val="2"/>
                <c:pt idx="0">
                  <c:v>1.146128035678238</c:v>
                </c:pt>
                <c:pt idx="1">
                  <c:v>1.146128035678238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B15-4175-B497-66B113B244C1}"/>
            </c:ext>
          </c:extLst>
        </c:ser>
        <c:ser>
          <c:idx val="9"/>
          <c:order val="13"/>
          <c:tx>
            <c:strRef>
              <c:f>CAG!$K$78</c:f>
              <c:strCache>
                <c:ptCount val="1"/>
                <c:pt idx="0">
                  <c:v>20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CAG!$K$92:$K$93</c:f>
              <c:numCache>
                <c:formatCode>0.0</c:formatCode>
                <c:ptCount val="2"/>
                <c:pt idx="0">
                  <c:v>1.3010299956639813</c:v>
                </c:pt>
                <c:pt idx="1">
                  <c:v>1.3010299956639813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B15-4175-B497-66B113B244C1}"/>
            </c:ext>
          </c:extLst>
        </c:ser>
        <c:ser>
          <c:idx val="13"/>
          <c:order val="14"/>
          <c:tx>
            <c:strRef>
              <c:f>CAG!$I$78</c:f>
              <c:strCache>
                <c:ptCount val="1"/>
                <c:pt idx="0">
                  <c:v>10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CAG!$I$92:$I$93</c:f>
              <c:numCache>
                <c:formatCode>0.0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B15-4175-B497-66B113B244C1}"/>
            </c:ext>
          </c:extLst>
        </c:ser>
        <c:ser>
          <c:idx val="15"/>
          <c:order val="15"/>
          <c:tx>
            <c:strRef>
              <c:f>CAG!$H$78</c:f>
              <c:strCache>
                <c:ptCount val="1"/>
                <c:pt idx="0">
                  <c:v>8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CAG!$H$92:$H$93</c:f>
              <c:numCache>
                <c:formatCode>0.0</c:formatCode>
                <c:ptCount val="2"/>
                <c:pt idx="0">
                  <c:v>0.90308998699194354</c:v>
                </c:pt>
                <c:pt idx="1">
                  <c:v>0.90308998699194354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B15-4175-B497-66B113B24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48896"/>
        <c:axId val="163349288"/>
      </c:scatterChart>
      <c:scatterChart>
        <c:scatterStyle val="lineMarker"/>
        <c:varyColors val="0"/>
        <c:ser>
          <c:idx val="5"/>
          <c:order val="5"/>
          <c:tx>
            <c:v>Etiquettes</c:v>
          </c:tx>
          <c:spPr>
            <a:ln w="28575">
              <a:noFill/>
            </a:ln>
          </c:spPr>
          <c:marker>
            <c:symbol val="none"/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CAG!$B$77:$K$77</c:f>
              <c:numCache>
                <c:formatCode>General</c:formatCode>
                <c:ptCount val="10"/>
                <c:pt idx="0">
                  <c:v>-1.2006594505464183</c:v>
                </c:pt>
                <c:pt idx="1">
                  <c:v>-0.3010299956639812</c:v>
                </c:pt>
                <c:pt idx="2">
                  <c:v>0.49831055378960049</c:v>
                </c:pt>
                <c:pt idx="3">
                  <c:v>0.69897000433601886</c:v>
                </c:pt>
                <c:pt idx="4">
                  <c:v>0.79934054945358168</c:v>
                </c:pt>
                <c:pt idx="5">
                  <c:v>0.85125834871907524</c:v>
                </c:pt>
                <c:pt idx="6">
                  <c:v>0.90308998699194354</c:v>
                </c:pt>
                <c:pt idx="7">
                  <c:v>1</c:v>
                </c:pt>
                <c:pt idx="8">
                  <c:v>1.146128035678238</c:v>
                </c:pt>
                <c:pt idx="9">
                  <c:v>1.3010299956639813</c:v>
                </c:pt>
              </c:numCache>
            </c:numRef>
          </c:xVal>
          <c:yVal>
            <c:numRef>
              <c:f>CAG!$B$78:$K$78</c:f>
              <c:numCache>
                <c:formatCode>General</c:formatCode>
                <c:ptCount val="10"/>
                <c:pt idx="0">
                  <c:v>6.3E-2</c:v>
                </c:pt>
                <c:pt idx="1">
                  <c:v>0.5</c:v>
                </c:pt>
                <c:pt idx="2">
                  <c:v>3.15</c:v>
                </c:pt>
                <c:pt idx="3">
                  <c:v>5</c:v>
                </c:pt>
                <c:pt idx="4">
                  <c:v>6.3</c:v>
                </c:pt>
                <c:pt idx="5">
                  <c:v>7.1</c:v>
                </c:pt>
                <c:pt idx="6">
                  <c:v>8</c:v>
                </c:pt>
                <c:pt idx="7">
                  <c:v>10</c:v>
                </c:pt>
                <c:pt idx="8">
                  <c:v>14</c:v>
                </c:pt>
                <c:pt idx="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B15-4175-B497-66B113B24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49680"/>
        <c:axId val="163350072"/>
      </c:scatterChart>
      <c:valAx>
        <c:axId val="16334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9525">
            <a:noFill/>
          </a:ln>
        </c:spPr>
        <c:crossAx val="163349288"/>
        <c:crossesAt val="0"/>
        <c:crossBetween val="midCat"/>
      </c:valAx>
      <c:valAx>
        <c:axId val="163349288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3348896"/>
        <c:crossesAt val="-1.5"/>
        <c:crossBetween val="midCat"/>
        <c:majorUnit val="10"/>
        <c:minorUnit val="2"/>
      </c:valAx>
      <c:valAx>
        <c:axId val="1633496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350072"/>
        <c:crosses val="autoZero"/>
        <c:crossBetween val="midCat"/>
      </c:valAx>
      <c:valAx>
        <c:axId val="163350072"/>
        <c:scaling>
          <c:orientation val="minMax"/>
          <c:max val="1000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3349680"/>
        <c:crosses val="max"/>
        <c:crossBetween val="midCat"/>
        <c:majorUnit val="10000"/>
        <c:minorUnit val="1000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ayout>
        <c:manualLayout>
          <c:xMode val="edge"/>
          <c:yMode val="edge"/>
          <c:x val="0.15761585419800053"/>
          <c:y val="0.12605071424895417"/>
          <c:w val="0.14172190273968563"/>
          <c:h val="0.36974878140232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39</xdr:row>
      <xdr:rowOff>9525</xdr:rowOff>
    </xdr:from>
    <xdr:to>
      <xdr:col>24</xdr:col>
      <xdr:colOff>304800</xdr:colOff>
      <xdr:row>60</xdr:row>
      <xdr:rowOff>9525</xdr:rowOff>
    </xdr:to>
    <xdr:graphicFrame macro="">
      <xdr:nvGraphicFramePr>
        <xdr:cNvPr id="1212" name="Graphique 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3</xdr:row>
      <xdr:rowOff>152400</xdr:rowOff>
    </xdr:from>
    <xdr:to>
      <xdr:col>7</xdr:col>
      <xdr:colOff>38100</xdr:colOff>
      <xdr:row>5</xdr:row>
      <xdr:rowOff>19050</xdr:rowOff>
    </xdr:to>
    <xdr:sp macro="" textlink="" fLocksText="0">
      <xdr:nvSpPr>
        <xdr:cNvPr id="1035" name="Text Box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3057525" y="638175"/>
          <a:ext cx="4095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</xdr:col>
      <xdr:colOff>28575</xdr:colOff>
      <xdr:row>2</xdr:row>
      <xdr:rowOff>0</xdr:rowOff>
    </xdr:from>
    <xdr:to>
      <xdr:col>4</xdr:col>
      <xdr:colOff>323850</xdr:colOff>
      <xdr:row>4</xdr:row>
      <xdr:rowOff>0</xdr:rowOff>
    </xdr:to>
    <xdr:pic>
      <xdr:nvPicPr>
        <xdr:cNvPr id="8" name="Imag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323850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0.81651</cdr:x>
      <cdr:y>0.85553</cdr:y>
    </cdr:from>
    <cdr:to>
      <cdr:x>0.92505</cdr:x>
      <cdr:y>0.91969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82762" y="2920502"/>
          <a:ext cx="781622" cy="218770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Tamis (mm)</a:t>
          </a:r>
        </a:p>
      </cdr:txBody>
    </cdr:sp>
  </cdr:relSizeAnchor>
  <cdr:relSizeAnchor xmlns:cdr="http://schemas.openxmlformats.org/drawingml/2006/chartDrawing">
    <cdr:from>
      <cdr:x>0.07939</cdr:x>
      <cdr:y>0.09513</cdr:y>
    </cdr:from>
    <cdr:to>
      <cdr:x>0.11245</cdr:x>
      <cdr:y>0.37728</cdr:y>
    </cdr:to>
    <cdr:sp macro="" textlink="">
      <cdr:nvSpPr>
        <cdr:cNvPr id="205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4842" y="327577"/>
          <a:ext cx="238039" cy="962092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% passant</a:t>
          </a:r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1779"/>
  <sheetViews>
    <sheetView tabSelected="1" topLeftCell="A52" workbookViewId="0">
      <selection activeCell="AC69" sqref="AC69"/>
    </sheetView>
  </sheetViews>
  <sheetFormatPr baseColWidth="10" defaultColWidth="11.44140625" defaultRowHeight="13.2" x14ac:dyDescent="0.25"/>
  <cols>
    <col min="1" max="16" width="5.109375" style="1" customWidth="1"/>
    <col min="17" max="17" width="5.109375" style="80" customWidth="1"/>
    <col min="18" max="26" width="5.109375" style="1" customWidth="1"/>
    <col min="27" max="16384" width="11.44140625" style="1"/>
  </cols>
  <sheetData>
    <row r="1" spans="1:29" ht="12.6" customHeight="1" x14ac:dyDescent="0.25">
      <c r="A1" s="248"/>
      <c r="B1" s="249"/>
      <c r="C1" s="249"/>
      <c r="D1" s="249"/>
      <c r="E1" s="249"/>
      <c r="F1" s="250"/>
      <c r="G1" s="257" t="s">
        <v>37</v>
      </c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9"/>
      <c r="U1" s="260"/>
      <c r="V1" s="261"/>
      <c r="W1" s="261"/>
      <c r="X1" s="261"/>
      <c r="Y1" s="261"/>
      <c r="Z1" s="262"/>
    </row>
    <row r="2" spans="1:29" ht="12.6" customHeight="1" x14ac:dyDescent="0.25">
      <c r="A2" s="251"/>
      <c r="B2" s="252"/>
      <c r="C2" s="252"/>
      <c r="D2" s="252"/>
      <c r="E2" s="252"/>
      <c r="F2" s="253"/>
      <c r="G2" s="269" t="s">
        <v>46</v>
      </c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1"/>
      <c r="U2" s="263"/>
      <c r="V2" s="264"/>
      <c r="W2" s="264"/>
      <c r="X2" s="264"/>
      <c r="Y2" s="264"/>
      <c r="Z2" s="265"/>
    </row>
    <row r="3" spans="1:29" ht="12.6" customHeight="1" x14ac:dyDescent="0.25">
      <c r="A3" s="251"/>
      <c r="B3" s="252"/>
      <c r="C3" s="252"/>
      <c r="D3" s="252"/>
      <c r="E3" s="252"/>
      <c r="F3" s="253"/>
      <c r="G3" s="269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1"/>
      <c r="U3" s="263"/>
      <c r="V3" s="264"/>
      <c r="W3" s="264"/>
      <c r="X3" s="264"/>
      <c r="Y3" s="264"/>
      <c r="Z3" s="265"/>
    </row>
    <row r="4" spans="1:29" ht="12.6" customHeight="1" x14ac:dyDescent="0.25">
      <c r="A4" s="251"/>
      <c r="B4" s="252"/>
      <c r="C4" s="252"/>
      <c r="D4" s="252"/>
      <c r="E4" s="252"/>
      <c r="F4" s="253"/>
      <c r="G4" s="269"/>
      <c r="H4" s="270"/>
      <c r="I4" s="270"/>
      <c r="J4" s="270"/>
      <c r="K4" s="270"/>
      <c r="L4" s="270"/>
      <c r="M4" s="270"/>
      <c r="N4" s="270"/>
      <c r="O4" s="270"/>
      <c r="P4" s="270"/>
      <c r="Q4" s="270"/>
      <c r="R4" s="270"/>
      <c r="S4" s="270"/>
      <c r="T4" s="271"/>
      <c r="U4" s="263"/>
      <c r="V4" s="264"/>
      <c r="W4" s="264"/>
      <c r="X4" s="264"/>
      <c r="Y4" s="264"/>
      <c r="Z4" s="265"/>
    </row>
    <row r="5" spans="1:29" ht="12.6" customHeight="1" x14ac:dyDescent="0.25">
      <c r="A5" s="251"/>
      <c r="B5" s="252"/>
      <c r="C5" s="252"/>
      <c r="D5" s="252"/>
      <c r="E5" s="252"/>
      <c r="F5" s="253"/>
      <c r="G5" s="272" t="s">
        <v>57</v>
      </c>
      <c r="H5" s="273"/>
      <c r="I5" s="2" t="s">
        <v>38</v>
      </c>
      <c r="J5" s="309"/>
      <c r="K5" s="310"/>
      <c r="L5" s="311"/>
      <c r="M5" s="309"/>
      <c r="N5" s="309"/>
      <c r="O5" s="310"/>
      <c r="P5" s="312"/>
      <c r="Q5" s="313"/>
      <c r="R5" s="313"/>
      <c r="S5" s="313"/>
      <c r="T5" s="314"/>
      <c r="U5" s="263"/>
      <c r="V5" s="264"/>
      <c r="W5" s="264"/>
      <c r="X5" s="264"/>
      <c r="Y5" s="264"/>
      <c r="Z5" s="265"/>
    </row>
    <row r="6" spans="1:29" ht="12.6" customHeight="1" x14ac:dyDescent="0.25">
      <c r="A6" s="254"/>
      <c r="B6" s="255"/>
      <c r="C6" s="255"/>
      <c r="D6" s="255"/>
      <c r="E6" s="255"/>
      <c r="F6" s="256"/>
      <c r="G6" s="3"/>
      <c r="H6" s="4"/>
      <c r="I6" s="4"/>
      <c r="J6" s="274" t="s">
        <v>39</v>
      </c>
      <c r="K6" s="274"/>
      <c r="L6" s="274" t="s">
        <v>40</v>
      </c>
      <c r="M6" s="274"/>
      <c r="N6" s="274"/>
      <c r="O6" s="274"/>
      <c r="P6" s="274" t="s">
        <v>41</v>
      </c>
      <c r="Q6" s="274"/>
      <c r="R6" s="274"/>
      <c r="S6" s="274"/>
      <c r="T6" s="275"/>
      <c r="U6" s="266"/>
      <c r="V6" s="267"/>
      <c r="W6" s="267"/>
      <c r="X6" s="267"/>
      <c r="Y6" s="267"/>
      <c r="Z6" s="268"/>
    </row>
    <row r="7" spans="1:29" ht="36.75" customHeight="1" x14ac:dyDescent="0.25">
      <c r="A7" s="241" t="s">
        <v>8</v>
      </c>
      <c r="B7" s="241"/>
      <c r="C7" s="241"/>
      <c r="D7" s="241"/>
      <c r="E7" s="241"/>
      <c r="F7" s="241"/>
      <c r="G7" s="242" t="s">
        <v>36</v>
      </c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</row>
    <row r="8" spans="1:29" s="9" customFormat="1" ht="15.6" customHeight="1" x14ac:dyDescent="0.25">
      <c r="A8" s="5" t="s">
        <v>58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</row>
    <row r="9" spans="1:29" ht="3.75" customHeight="1" x14ac:dyDescent="0.25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2"/>
      <c r="AA9" s="9"/>
    </row>
    <row r="10" spans="1:29" ht="15" x14ac:dyDescent="0.25">
      <c r="A10" s="13"/>
      <c r="B10" s="243" t="s">
        <v>42</v>
      </c>
      <c r="C10" s="243"/>
      <c r="D10" s="243"/>
      <c r="E10" s="243"/>
      <c r="F10" s="243"/>
      <c r="G10" s="243"/>
      <c r="H10" s="244"/>
      <c r="I10" s="244"/>
      <c r="J10" s="244"/>
      <c r="K10" s="244"/>
      <c r="L10" s="244"/>
      <c r="M10" s="244"/>
      <c r="N10" s="245" t="s">
        <v>0</v>
      </c>
      <c r="O10" s="245"/>
      <c r="P10" s="245"/>
      <c r="Q10" s="245"/>
      <c r="R10" s="245"/>
      <c r="S10" s="246"/>
      <c r="T10" s="246"/>
      <c r="U10" s="246"/>
      <c r="V10" s="246"/>
      <c r="W10" s="246"/>
      <c r="X10" s="246"/>
      <c r="Y10" s="246"/>
      <c r="Z10" s="12"/>
      <c r="AA10" s="9"/>
    </row>
    <row r="11" spans="1:29" ht="15" x14ac:dyDescent="0.25">
      <c r="A11" s="13"/>
      <c r="B11" s="243" t="s">
        <v>43</v>
      </c>
      <c r="C11" s="243"/>
      <c r="D11" s="243"/>
      <c r="E11" s="243"/>
      <c r="F11" s="243"/>
      <c r="G11" s="243"/>
      <c r="H11" s="244"/>
      <c r="I11" s="244"/>
      <c r="J11" s="244"/>
      <c r="K11" s="244"/>
      <c r="L11" s="244"/>
      <c r="M11" s="244"/>
      <c r="N11" s="278" t="s">
        <v>45</v>
      </c>
      <c r="O11" s="278"/>
      <c r="P11" s="278"/>
      <c r="Q11" s="278"/>
      <c r="R11" s="278"/>
      <c r="S11" s="278"/>
      <c r="T11" s="278"/>
      <c r="U11" s="278"/>
      <c r="V11" s="277"/>
      <c r="W11" s="277"/>
      <c r="X11" s="277"/>
      <c r="Y11" s="277"/>
      <c r="Z11" s="12"/>
      <c r="AA11" s="9"/>
      <c r="AC11" s="14"/>
    </row>
    <row r="12" spans="1:29" ht="15" x14ac:dyDescent="0.25">
      <c r="A12" s="13"/>
      <c r="B12" s="243" t="s">
        <v>44</v>
      </c>
      <c r="C12" s="243"/>
      <c r="D12" s="243"/>
      <c r="E12" s="243"/>
      <c r="F12" s="243"/>
      <c r="G12" s="243"/>
      <c r="H12" s="244"/>
      <c r="I12" s="244"/>
      <c r="J12" s="244"/>
      <c r="K12" s="244"/>
      <c r="L12" s="244"/>
      <c r="M12" s="244"/>
      <c r="N12" s="245" t="s">
        <v>6</v>
      </c>
      <c r="O12" s="245"/>
      <c r="P12" s="245"/>
      <c r="Q12" s="245"/>
      <c r="R12" s="245"/>
      <c r="S12" s="246"/>
      <c r="T12" s="246"/>
      <c r="U12" s="246"/>
      <c r="V12" s="246"/>
      <c r="W12" s="246"/>
      <c r="X12" s="246"/>
      <c r="Y12" s="246"/>
      <c r="Z12" s="12"/>
      <c r="AA12" s="9"/>
      <c r="AC12" s="14"/>
    </row>
    <row r="13" spans="1:29" ht="15" x14ac:dyDescent="0.25">
      <c r="A13" s="10"/>
      <c r="B13" s="243"/>
      <c r="C13" s="243"/>
      <c r="D13" s="243"/>
      <c r="E13" s="243"/>
      <c r="F13" s="243"/>
      <c r="G13" s="243"/>
      <c r="H13" s="247"/>
      <c r="I13" s="247"/>
      <c r="J13" s="247"/>
      <c r="K13" s="247"/>
      <c r="L13" s="247"/>
      <c r="M13" s="247"/>
      <c r="N13" s="245" t="s">
        <v>7</v>
      </c>
      <c r="O13" s="245"/>
      <c r="P13" s="245"/>
      <c r="Q13" s="245"/>
      <c r="R13" s="245"/>
      <c r="S13" s="246"/>
      <c r="T13" s="246"/>
      <c r="U13" s="246"/>
      <c r="V13" s="246"/>
      <c r="W13" s="246"/>
      <c r="X13" s="246"/>
      <c r="Y13" s="246"/>
      <c r="Z13" s="12"/>
      <c r="AA13" s="9"/>
      <c r="AC13" s="14"/>
    </row>
    <row r="14" spans="1:29" ht="6.75" customHeight="1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8"/>
      <c r="AA14" s="9"/>
      <c r="AC14" s="14"/>
    </row>
    <row r="15" spans="1:29" ht="15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C15" s="14"/>
    </row>
    <row r="16" spans="1:29" s="9" customFormat="1" ht="15.6" customHeight="1" x14ac:dyDescent="0.25">
      <c r="A16" s="19" t="s">
        <v>47</v>
      </c>
      <c r="B16" s="20" t="s">
        <v>48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2"/>
      <c r="AA16" s="11"/>
      <c r="AC16" s="14"/>
    </row>
    <row r="17" spans="1:46" ht="8.25" customHeight="1" x14ac:dyDescent="0.25">
      <c r="A17" s="23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6"/>
      <c r="AA17" s="14"/>
      <c r="AC17" s="14"/>
    </row>
    <row r="18" spans="1:46" ht="15" x14ac:dyDescent="0.25">
      <c r="A18" s="23"/>
      <c r="B18" s="315" t="s">
        <v>49</v>
      </c>
      <c r="C18" s="315"/>
      <c r="D18" s="315"/>
      <c r="E18" s="315"/>
      <c r="F18" s="315"/>
      <c r="G18" s="315"/>
      <c r="H18" s="315"/>
      <c r="I18" s="316" t="s">
        <v>61</v>
      </c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27"/>
      <c r="AA18" s="14"/>
      <c r="AC18" s="14"/>
    </row>
    <row r="19" spans="1:46" ht="15" x14ac:dyDescent="0.25">
      <c r="A19" s="23"/>
      <c r="B19" s="315" t="s">
        <v>50</v>
      </c>
      <c r="C19" s="315"/>
      <c r="D19" s="315"/>
      <c r="E19" s="315"/>
      <c r="F19" s="315"/>
      <c r="G19" s="315"/>
      <c r="H19" s="315"/>
      <c r="I19" s="316" t="s">
        <v>62</v>
      </c>
      <c r="J19" s="316"/>
      <c r="K19" s="316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27"/>
      <c r="AA19" s="14"/>
      <c r="AC19" s="14"/>
    </row>
    <row r="20" spans="1:46" ht="7.5" customHeight="1" x14ac:dyDescent="0.2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30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 spans="1:46" ht="17.25" customHeight="1" x14ac:dyDescent="0.25">
      <c r="A21" s="31"/>
      <c r="B21" s="32"/>
      <c r="C21" s="210" t="s">
        <v>1</v>
      </c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Z21" s="33"/>
      <c r="AA21" s="14"/>
      <c r="AB21" s="14"/>
      <c r="AC21" s="34"/>
      <c r="AD21" s="35"/>
      <c r="AE21" s="34"/>
      <c r="AF21" s="34"/>
      <c r="AG21" s="14"/>
      <c r="AH21" s="35"/>
      <c r="AI21" s="36"/>
      <c r="AJ21" s="36"/>
      <c r="AK21" s="36"/>
      <c r="AL21" s="36"/>
      <c r="AM21" s="36"/>
      <c r="AN21" s="14"/>
      <c r="AO21" s="14"/>
      <c r="AP21" s="35"/>
      <c r="AQ21" s="34"/>
      <c r="AR21" s="34"/>
      <c r="AS21" s="14"/>
      <c r="AT21" s="14"/>
    </row>
    <row r="22" spans="1:46" x14ac:dyDescent="0.25">
      <c r="A22" s="37"/>
      <c r="B22" s="34"/>
      <c r="C22" s="229" t="s">
        <v>19</v>
      </c>
      <c r="D22" s="229"/>
      <c r="E22" s="229"/>
      <c r="F22" s="229"/>
      <c r="G22" s="229" t="s">
        <v>67</v>
      </c>
      <c r="H22" s="229"/>
      <c r="I22" s="229" t="s">
        <v>51</v>
      </c>
      <c r="J22" s="229"/>
      <c r="K22" s="229" t="s">
        <v>24</v>
      </c>
      <c r="L22" s="229"/>
      <c r="M22" s="229"/>
      <c r="N22" s="229"/>
      <c r="O22" s="229"/>
      <c r="P22" s="229"/>
      <c r="Q22" s="229"/>
      <c r="R22" s="229" t="s">
        <v>20</v>
      </c>
      <c r="S22" s="229"/>
      <c r="T22" s="229"/>
      <c r="U22" s="229" t="s">
        <v>63</v>
      </c>
      <c r="V22" s="229"/>
      <c r="W22" s="229"/>
      <c r="X22" s="229"/>
      <c r="Y22" s="229"/>
      <c r="Z22" s="38"/>
      <c r="AA22" s="14"/>
      <c r="AB22" s="14"/>
      <c r="AC22" s="36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 spans="1:46" ht="13.5" customHeight="1" thickBot="1" x14ac:dyDescent="0.3">
      <c r="A23" s="39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40"/>
      <c r="R23" s="14"/>
      <c r="S23" s="14"/>
      <c r="T23" s="14"/>
      <c r="U23" s="41"/>
      <c r="V23" s="41"/>
      <c r="W23" s="41"/>
      <c r="X23" s="41"/>
      <c r="Y23" s="41"/>
      <c r="Z23" s="38"/>
      <c r="AA23" s="14"/>
      <c r="AB23" s="14"/>
      <c r="AC23" s="36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34"/>
      <c r="AO23" s="34"/>
      <c r="AP23" s="34"/>
      <c r="AQ23" s="34"/>
      <c r="AR23" s="34"/>
      <c r="AS23" s="14"/>
      <c r="AT23" s="14"/>
    </row>
    <row r="24" spans="1:46" x14ac:dyDescent="0.25">
      <c r="A24" s="39"/>
      <c r="B24" s="41"/>
      <c r="C24" s="41"/>
      <c r="D24" s="41"/>
      <c r="E24" s="41"/>
      <c r="F24" s="42" t="s">
        <v>5</v>
      </c>
      <c r="G24" s="43"/>
      <c r="H24" s="44" t="s">
        <v>25</v>
      </c>
      <c r="I24" s="43"/>
      <c r="J24" s="44" t="s">
        <v>27</v>
      </c>
      <c r="K24" s="44" t="s">
        <v>26</v>
      </c>
      <c r="L24" s="44"/>
      <c r="M24" s="44" t="s">
        <v>14</v>
      </c>
      <c r="N24" s="44" t="s">
        <v>16</v>
      </c>
      <c r="O24" s="84" t="s">
        <v>13</v>
      </c>
      <c r="P24" s="299" t="s">
        <v>28</v>
      </c>
      <c r="Q24" s="279" t="s">
        <v>3</v>
      </c>
      <c r="R24" s="279" t="s">
        <v>64</v>
      </c>
      <c r="S24" s="279"/>
      <c r="T24" s="279" t="s">
        <v>29</v>
      </c>
      <c r="U24" s="279"/>
      <c r="V24" s="279" t="s">
        <v>30</v>
      </c>
      <c r="W24" s="279"/>
      <c r="X24" s="279" t="s">
        <v>31</v>
      </c>
      <c r="Y24" s="280"/>
      <c r="Z24" s="38"/>
      <c r="AA24" s="14"/>
      <c r="AB24" s="14"/>
      <c r="AC24" s="46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34"/>
      <c r="AO24" s="34"/>
      <c r="AP24" s="34"/>
      <c r="AQ24" s="34"/>
      <c r="AR24" s="34"/>
      <c r="AS24" s="14"/>
      <c r="AT24" s="14"/>
    </row>
    <row r="25" spans="1:46" ht="13.8" thickBot="1" x14ac:dyDescent="0.3">
      <c r="A25" s="13"/>
      <c r="B25" s="14"/>
      <c r="C25" s="230" t="s">
        <v>23</v>
      </c>
      <c r="D25" s="230"/>
      <c r="E25" s="231"/>
      <c r="F25" s="48">
        <v>6.3E-2</v>
      </c>
      <c r="G25" s="49">
        <v>0.5</v>
      </c>
      <c r="H25" s="49">
        <v>3.15</v>
      </c>
      <c r="I25" s="49">
        <v>5</v>
      </c>
      <c r="J25" s="49">
        <v>6.3</v>
      </c>
      <c r="K25" s="49">
        <v>7.1</v>
      </c>
      <c r="L25" s="49">
        <v>8</v>
      </c>
      <c r="M25" s="49">
        <v>10</v>
      </c>
      <c r="N25" s="49">
        <v>14</v>
      </c>
      <c r="O25" s="182">
        <v>20</v>
      </c>
      <c r="P25" s="300"/>
      <c r="Q25" s="281"/>
      <c r="R25" s="188" t="s">
        <v>65</v>
      </c>
      <c r="S25" s="188" t="s">
        <v>66</v>
      </c>
      <c r="T25" s="281"/>
      <c r="U25" s="281"/>
      <c r="V25" s="281"/>
      <c r="W25" s="281"/>
      <c r="X25" s="281"/>
      <c r="Y25" s="282"/>
      <c r="Z25" s="38"/>
      <c r="AA25" s="14"/>
      <c r="AB25" s="14"/>
      <c r="AC25" s="40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0"/>
      <c r="AQ25" s="40"/>
      <c r="AR25" s="40"/>
      <c r="AS25" s="14"/>
      <c r="AT25" s="14"/>
    </row>
    <row r="26" spans="1:46" x14ac:dyDescent="0.25">
      <c r="A26" s="50"/>
      <c r="B26" s="47"/>
      <c r="C26" s="230" t="s">
        <v>11</v>
      </c>
      <c r="D26" s="230"/>
      <c r="E26" s="231"/>
      <c r="F26" s="51"/>
      <c r="G26" s="52"/>
      <c r="H26" s="52"/>
      <c r="I26" s="52"/>
      <c r="J26" s="52"/>
      <c r="K26" s="52"/>
      <c r="L26" s="52"/>
      <c r="M26" s="52"/>
      <c r="N26" s="53"/>
      <c r="O26" s="54"/>
      <c r="P26" s="183"/>
      <c r="Q26" s="184"/>
      <c r="R26" s="189"/>
      <c r="S26" s="179"/>
      <c r="T26" s="283"/>
      <c r="U26" s="284"/>
      <c r="V26" s="283"/>
      <c r="W26" s="284"/>
      <c r="X26" s="283"/>
      <c r="Y26" s="284"/>
      <c r="Z26" s="38"/>
      <c r="AA26" s="14"/>
      <c r="AB26" s="14"/>
      <c r="AC26" s="40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0"/>
      <c r="AQ26" s="40"/>
      <c r="AR26" s="40"/>
      <c r="AS26" s="14"/>
      <c r="AT26" s="14"/>
    </row>
    <row r="27" spans="1:46" x14ac:dyDescent="0.25">
      <c r="A27" s="50"/>
      <c r="B27" s="47"/>
      <c r="C27" s="230" t="s">
        <v>32</v>
      </c>
      <c r="D27" s="230"/>
      <c r="E27" s="231"/>
      <c r="F27" s="55">
        <v>1.3</v>
      </c>
      <c r="G27" s="56"/>
      <c r="H27" s="56">
        <v>6</v>
      </c>
      <c r="I27" s="56"/>
      <c r="J27" s="56">
        <v>18</v>
      </c>
      <c r="K27" s="56"/>
      <c r="L27" s="56"/>
      <c r="M27" s="56">
        <v>100</v>
      </c>
      <c r="N27" s="56">
        <v>100</v>
      </c>
      <c r="O27" s="57">
        <v>100</v>
      </c>
      <c r="P27" s="180">
        <v>24</v>
      </c>
      <c r="Q27" s="58"/>
      <c r="R27" s="59"/>
      <c r="S27" s="190"/>
      <c r="T27" s="208"/>
      <c r="U27" s="209"/>
      <c r="V27" s="208"/>
      <c r="W27" s="209"/>
      <c r="X27" s="208"/>
      <c r="Y27" s="209"/>
      <c r="Z27" s="38"/>
      <c r="AA27" s="14"/>
      <c r="AB27" s="14"/>
      <c r="AC27" s="4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47"/>
      <c r="AO27" s="47"/>
      <c r="AP27" s="40"/>
      <c r="AQ27" s="40"/>
      <c r="AR27" s="40"/>
      <c r="AS27" s="14"/>
      <c r="AT27" s="14"/>
    </row>
    <row r="28" spans="1:46" x14ac:dyDescent="0.25">
      <c r="A28" s="50"/>
      <c r="B28" s="60"/>
      <c r="C28" s="230" t="s">
        <v>33</v>
      </c>
      <c r="D28" s="230"/>
      <c r="E28" s="231"/>
      <c r="F28" s="61">
        <v>1</v>
      </c>
      <c r="G28" s="62"/>
      <c r="H28" s="62">
        <v>5</v>
      </c>
      <c r="I28" s="62"/>
      <c r="J28" s="62">
        <v>13</v>
      </c>
      <c r="K28" s="62"/>
      <c r="L28" s="62"/>
      <c r="M28" s="62">
        <v>96</v>
      </c>
      <c r="N28" s="62">
        <v>100</v>
      </c>
      <c r="O28" s="63">
        <v>100</v>
      </c>
      <c r="P28" s="180">
        <v>20</v>
      </c>
      <c r="Q28" s="58"/>
      <c r="R28" s="59"/>
      <c r="S28" s="190"/>
      <c r="T28" s="208">
        <v>20</v>
      </c>
      <c r="U28" s="209"/>
      <c r="V28" s="208">
        <v>15</v>
      </c>
      <c r="W28" s="209"/>
      <c r="X28" s="208"/>
      <c r="Y28" s="209"/>
      <c r="Z28" s="38"/>
      <c r="AA28" s="14"/>
      <c r="AB28" s="14"/>
      <c r="AC28" s="40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0"/>
      <c r="AQ28" s="40"/>
      <c r="AR28" s="40"/>
      <c r="AS28" s="14"/>
      <c r="AT28" s="14"/>
    </row>
    <row r="29" spans="1:46" x14ac:dyDescent="0.25">
      <c r="A29" s="50"/>
      <c r="B29" s="47"/>
      <c r="C29" s="230" t="s">
        <v>34</v>
      </c>
      <c r="D29" s="230"/>
      <c r="E29" s="231"/>
      <c r="F29" s="55">
        <v>0</v>
      </c>
      <c r="G29" s="56"/>
      <c r="H29" s="56">
        <v>0</v>
      </c>
      <c r="I29" s="56"/>
      <c r="J29" s="56">
        <v>5</v>
      </c>
      <c r="K29" s="56"/>
      <c r="L29" s="56"/>
      <c r="M29" s="56">
        <v>86</v>
      </c>
      <c r="N29" s="56">
        <v>98</v>
      </c>
      <c r="O29" s="57">
        <v>100</v>
      </c>
      <c r="P29" s="180"/>
      <c r="Q29" s="58"/>
      <c r="R29" s="59"/>
      <c r="S29" s="190"/>
      <c r="T29" s="208"/>
      <c r="U29" s="209"/>
      <c r="V29" s="208"/>
      <c r="W29" s="209"/>
      <c r="X29" s="208">
        <v>50</v>
      </c>
      <c r="Y29" s="209"/>
      <c r="Z29" s="38"/>
      <c r="AB29" s="14"/>
      <c r="AC29" s="40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0"/>
      <c r="AQ29" s="40"/>
      <c r="AR29" s="40"/>
      <c r="AS29" s="14"/>
      <c r="AT29" s="14"/>
    </row>
    <row r="30" spans="1:46" x14ac:dyDescent="0.25">
      <c r="A30" s="50"/>
      <c r="B30" s="47"/>
      <c r="C30" s="230" t="s">
        <v>35</v>
      </c>
      <c r="D30" s="230"/>
      <c r="E30" s="231"/>
      <c r="F30" s="55">
        <v>0</v>
      </c>
      <c r="G30" s="56"/>
      <c r="H30" s="56">
        <v>0</v>
      </c>
      <c r="I30" s="56"/>
      <c r="J30" s="56">
        <v>0</v>
      </c>
      <c r="K30" s="56"/>
      <c r="L30" s="56"/>
      <c r="M30" s="56">
        <v>81</v>
      </c>
      <c r="N30" s="56">
        <v>97</v>
      </c>
      <c r="O30" s="57">
        <v>100</v>
      </c>
      <c r="P30" s="180"/>
      <c r="Q30" s="58"/>
      <c r="R30" s="59"/>
      <c r="S30" s="190"/>
      <c r="T30" s="208"/>
      <c r="U30" s="209"/>
      <c r="V30" s="208"/>
      <c r="W30" s="209"/>
      <c r="X30" s="208"/>
      <c r="Y30" s="209"/>
      <c r="Z30" s="38"/>
      <c r="AB30" s="14"/>
      <c r="AC30" s="40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40"/>
      <c r="AO30" s="40"/>
      <c r="AP30" s="40"/>
      <c r="AQ30" s="40"/>
      <c r="AR30" s="40"/>
      <c r="AS30" s="14"/>
      <c r="AT30" s="14"/>
    </row>
    <row r="31" spans="1:46" ht="13.8" thickBot="1" x14ac:dyDescent="0.3">
      <c r="A31" s="50"/>
      <c r="B31" s="64"/>
      <c r="C31" s="230" t="s">
        <v>12</v>
      </c>
      <c r="D31" s="230"/>
      <c r="E31" s="231"/>
      <c r="F31" s="65"/>
      <c r="G31" s="66"/>
      <c r="H31" s="66"/>
      <c r="I31" s="66"/>
      <c r="J31" s="66"/>
      <c r="K31" s="67"/>
      <c r="L31" s="68"/>
      <c r="M31" s="68"/>
      <c r="N31" s="68"/>
      <c r="O31" s="69"/>
      <c r="P31" s="181"/>
      <c r="Q31" s="71"/>
      <c r="R31" s="70"/>
      <c r="S31" s="181"/>
      <c r="T31" s="306"/>
      <c r="U31" s="307"/>
      <c r="V31" s="306"/>
      <c r="W31" s="307"/>
      <c r="X31" s="306"/>
      <c r="Y31" s="307"/>
      <c r="Z31" s="38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</row>
    <row r="32" spans="1:46" x14ac:dyDescent="0.25">
      <c r="A32" s="72"/>
      <c r="B32" s="73"/>
      <c r="C32" s="73"/>
      <c r="D32" s="73"/>
      <c r="E32" s="73"/>
      <c r="F32" s="74"/>
      <c r="G32" s="75"/>
      <c r="H32" s="76"/>
      <c r="I32" s="73"/>
      <c r="J32" s="73"/>
      <c r="K32" s="73"/>
      <c r="L32" s="73"/>
      <c r="M32" s="73"/>
      <c r="N32" s="73"/>
      <c r="O32" s="74"/>
      <c r="P32" s="73"/>
      <c r="Q32" s="77"/>
      <c r="R32" s="78"/>
      <c r="S32" s="78"/>
      <c r="T32" s="78"/>
      <c r="U32" s="78"/>
      <c r="V32" s="78"/>
      <c r="W32" s="78"/>
      <c r="X32" s="78"/>
      <c r="Y32" s="78"/>
      <c r="Z32" s="79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</row>
    <row r="33" spans="1:46" x14ac:dyDescent="0.25">
      <c r="R33" s="41"/>
      <c r="S33" s="41"/>
      <c r="T33" s="41"/>
      <c r="U33" s="41"/>
      <c r="V33" s="41"/>
      <c r="W33" s="41"/>
      <c r="X33" s="41"/>
      <c r="Y33" s="41"/>
      <c r="Z33" s="41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</row>
    <row r="34" spans="1:46" s="9" customFormat="1" ht="15.6" customHeight="1" x14ac:dyDescent="0.25">
      <c r="A34" s="5" t="s">
        <v>59</v>
      </c>
      <c r="B34" s="6"/>
      <c r="C34" s="7"/>
      <c r="D34" s="7"/>
      <c r="E34" s="7"/>
      <c r="F34" s="7"/>
      <c r="G34" s="7"/>
      <c r="H34" s="7"/>
      <c r="I34" s="7"/>
      <c r="J34" s="7"/>
      <c r="K34" s="7"/>
      <c r="L34" s="276"/>
      <c r="M34" s="276"/>
      <c r="N34" s="81"/>
      <c r="O34" s="7"/>
      <c r="P34" s="7"/>
      <c r="Q34" s="7"/>
      <c r="R34" s="232" t="s">
        <v>52</v>
      </c>
      <c r="S34" s="233"/>
      <c r="T34" s="233"/>
      <c r="U34" s="234"/>
      <c r="V34" s="234"/>
      <c r="W34" s="234"/>
      <c r="X34" s="234"/>
      <c r="Y34" s="7"/>
      <c r="Z34" s="8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</row>
    <row r="35" spans="1:46" ht="13.8" thickBot="1" x14ac:dyDescent="0.3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40"/>
      <c r="R35" s="14"/>
      <c r="S35" s="14"/>
      <c r="T35" s="14"/>
      <c r="U35" s="14"/>
      <c r="V35" s="14"/>
      <c r="W35" s="14"/>
      <c r="X35" s="14"/>
      <c r="Y35" s="14"/>
      <c r="Z35" s="82"/>
      <c r="AB35" s="14"/>
      <c r="AC35" s="36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34"/>
      <c r="AO35" s="34"/>
      <c r="AP35" s="34"/>
      <c r="AQ35" s="34"/>
      <c r="AR35" s="14"/>
      <c r="AS35" s="14"/>
      <c r="AT35" s="14"/>
    </row>
    <row r="36" spans="1:46" ht="12.75" customHeight="1" x14ac:dyDescent="0.25">
      <c r="A36" s="36"/>
      <c r="B36" s="41"/>
      <c r="C36" s="83"/>
      <c r="D36" s="43"/>
      <c r="E36" s="43"/>
      <c r="F36" s="185" t="s">
        <v>5</v>
      </c>
      <c r="G36" s="45"/>
      <c r="H36" s="186" t="s">
        <v>25</v>
      </c>
      <c r="I36" s="45"/>
      <c r="J36" s="186" t="s">
        <v>27</v>
      </c>
      <c r="K36" s="186" t="s">
        <v>26</v>
      </c>
      <c r="L36" s="186"/>
      <c r="M36" s="186" t="s">
        <v>14</v>
      </c>
      <c r="N36" s="186" t="s">
        <v>16</v>
      </c>
      <c r="O36" s="187" t="s">
        <v>13</v>
      </c>
      <c r="P36" s="299" t="s">
        <v>28</v>
      </c>
      <c r="Q36" s="279" t="s">
        <v>3</v>
      </c>
      <c r="R36" s="279" t="s">
        <v>64</v>
      </c>
      <c r="S36" s="279"/>
      <c r="T36" s="279" t="s">
        <v>29</v>
      </c>
      <c r="U36" s="279"/>
      <c r="V36" s="279" t="s">
        <v>30</v>
      </c>
      <c r="W36" s="279"/>
      <c r="X36" s="279" t="s">
        <v>31</v>
      </c>
      <c r="Y36" s="280"/>
      <c r="Z36" s="82"/>
      <c r="AB36" s="14"/>
      <c r="AC36" s="40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34"/>
      <c r="AO36" s="34"/>
      <c r="AP36" s="34"/>
      <c r="AQ36" s="34"/>
      <c r="AR36" s="14"/>
      <c r="AS36" s="14"/>
      <c r="AT36" s="14"/>
    </row>
    <row r="37" spans="1:46" ht="12.75" customHeight="1" thickBot="1" x14ac:dyDescent="0.3">
      <c r="A37" s="40"/>
      <c r="B37" s="47"/>
      <c r="C37" s="235" t="s">
        <v>22</v>
      </c>
      <c r="D37" s="236"/>
      <c r="E37" s="236"/>
      <c r="F37" s="48">
        <v>6.3E-2</v>
      </c>
      <c r="G37" s="49">
        <v>0.5</v>
      </c>
      <c r="H37" s="49">
        <v>3.15</v>
      </c>
      <c r="I37" s="49">
        <v>5</v>
      </c>
      <c r="J37" s="49">
        <v>6.3</v>
      </c>
      <c r="K37" s="49">
        <v>7.1</v>
      </c>
      <c r="L37" s="49">
        <v>8</v>
      </c>
      <c r="M37" s="49">
        <v>10</v>
      </c>
      <c r="N37" s="49">
        <v>14</v>
      </c>
      <c r="O37" s="192">
        <v>20</v>
      </c>
      <c r="P37" s="301"/>
      <c r="Q37" s="302"/>
      <c r="R37" s="191" t="s">
        <v>65</v>
      </c>
      <c r="S37" s="191" t="s">
        <v>66</v>
      </c>
      <c r="T37" s="302"/>
      <c r="U37" s="302"/>
      <c r="V37" s="302"/>
      <c r="W37" s="302"/>
      <c r="X37" s="302"/>
      <c r="Y37" s="308"/>
      <c r="Z37" s="82"/>
      <c r="AB37" s="14"/>
      <c r="AC37" s="40"/>
      <c r="AD37" s="85"/>
      <c r="AE37" s="85"/>
      <c r="AF37" s="85"/>
      <c r="AG37" s="85"/>
      <c r="AH37" s="85"/>
      <c r="AI37" s="85"/>
      <c r="AJ37" s="85"/>
      <c r="AK37" s="85"/>
      <c r="AL37" s="85"/>
      <c r="AM37" s="86"/>
      <c r="AN37" s="86"/>
      <c r="AO37" s="87"/>
      <c r="AP37" s="88"/>
      <c r="AQ37" s="41"/>
      <c r="AR37" s="14"/>
      <c r="AS37" s="14"/>
      <c r="AT37" s="14"/>
    </row>
    <row r="38" spans="1:46" s="90" customFormat="1" ht="17.25" customHeight="1" thickBot="1" x14ac:dyDescent="0.3">
      <c r="A38" s="40"/>
      <c r="B38" s="85"/>
      <c r="C38" s="293" t="s">
        <v>4</v>
      </c>
      <c r="D38" s="294"/>
      <c r="E38" s="295"/>
      <c r="F38" s="201"/>
      <c r="G38" s="202"/>
      <c r="H38" s="202"/>
      <c r="I38" s="202"/>
      <c r="J38" s="202"/>
      <c r="K38" s="202"/>
      <c r="L38" s="202"/>
      <c r="M38" s="202"/>
      <c r="N38" s="203"/>
      <c r="O38" s="204"/>
      <c r="P38" s="205"/>
      <c r="Q38" s="206"/>
      <c r="R38" s="207"/>
      <c r="S38" s="206"/>
      <c r="T38" s="237"/>
      <c r="U38" s="238"/>
      <c r="V38" s="239"/>
      <c r="W38" s="240"/>
      <c r="X38" s="237"/>
      <c r="Y38" s="240"/>
      <c r="Z38" s="89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</row>
    <row r="39" spans="1:46" s="90" customFormat="1" x14ac:dyDescent="0.25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4"/>
      <c r="R39" s="93"/>
      <c r="S39" s="93"/>
      <c r="T39" s="93"/>
      <c r="U39" s="93"/>
      <c r="V39" s="93"/>
      <c r="W39" s="93"/>
      <c r="X39" s="93"/>
      <c r="Y39" s="93"/>
      <c r="Z39" s="95"/>
    </row>
    <row r="40" spans="1:46" s="90" customFormat="1" x14ac:dyDescent="0.25">
      <c r="A40" s="96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8"/>
      <c r="Q40" s="99"/>
      <c r="R40" s="97"/>
      <c r="S40" s="97"/>
      <c r="T40" s="97"/>
      <c r="U40" s="97"/>
      <c r="V40" s="97"/>
      <c r="W40" s="97"/>
      <c r="X40" s="97"/>
      <c r="Y40" s="97"/>
      <c r="Z40" s="98"/>
    </row>
    <row r="41" spans="1:46" s="90" customFormat="1" x14ac:dyDescent="0.25">
      <c r="A41" s="10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89"/>
      <c r="Q41" s="101"/>
      <c r="R41" s="91"/>
      <c r="S41" s="91"/>
      <c r="T41" s="91"/>
      <c r="U41" s="91"/>
      <c r="V41" s="91"/>
      <c r="W41" s="91"/>
      <c r="X41" s="91"/>
      <c r="Y41" s="91"/>
      <c r="Z41" s="89"/>
    </row>
    <row r="42" spans="1:46" s="90" customFormat="1" x14ac:dyDescent="0.25">
      <c r="A42" s="100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89"/>
      <c r="Q42" s="101"/>
      <c r="R42" s="91"/>
      <c r="S42" s="91"/>
      <c r="T42" s="91"/>
      <c r="U42" s="91"/>
      <c r="V42" s="91"/>
      <c r="W42" s="91"/>
      <c r="X42" s="91"/>
      <c r="Y42" s="91"/>
      <c r="Z42" s="89"/>
    </row>
    <row r="43" spans="1:46" s="90" customFormat="1" x14ac:dyDescent="0.25">
      <c r="A43" s="100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89"/>
      <c r="Q43" s="101"/>
      <c r="R43" s="91"/>
      <c r="S43" s="91"/>
      <c r="T43" s="91"/>
      <c r="U43" s="91"/>
      <c r="V43" s="91"/>
      <c r="W43" s="91"/>
      <c r="X43" s="91"/>
      <c r="Y43" s="91"/>
      <c r="Z43" s="89"/>
    </row>
    <row r="44" spans="1:46" s="90" customFormat="1" x14ac:dyDescent="0.25">
      <c r="A44" s="100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89"/>
      <c r="Q44" s="101"/>
      <c r="R44" s="91"/>
      <c r="S44" s="91"/>
      <c r="T44" s="91"/>
      <c r="U44" s="91"/>
      <c r="V44" s="91"/>
      <c r="W44" s="91"/>
      <c r="X44" s="91"/>
      <c r="Y44" s="91"/>
      <c r="Z44" s="89"/>
    </row>
    <row r="45" spans="1:46" s="90" customFormat="1" x14ac:dyDescent="0.25">
      <c r="A45" s="100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89"/>
      <c r="Q45" s="101"/>
      <c r="R45" s="91"/>
      <c r="S45" s="91"/>
      <c r="T45" s="91"/>
      <c r="U45" s="91"/>
      <c r="V45" s="91"/>
      <c r="W45" s="91"/>
      <c r="X45" s="91"/>
      <c r="Y45" s="91"/>
      <c r="Z45" s="89"/>
    </row>
    <row r="46" spans="1:46" s="90" customFormat="1" x14ac:dyDescent="0.25">
      <c r="A46" s="100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89"/>
      <c r="Q46" s="101"/>
      <c r="R46" s="91"/>
      <c r="S46" s="91"/>
      <c r="T46" s="91"/>
      <c r="U46" s="91"/>
      <c r="V46" s="91"/>
      <c r="W46" s="91"/>
      <c r="X46" s="91"/>
      <c r="Y46" s="91"/>
      <c r="Z46" s="89"/>
    </row>
    <row r="47" spans="1:46" s="90" customFormat="1" x14ac:dyDescent="0.25">
      <c r="A47" s="100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89"/>
      <c r="Q47" s="101"/>
      <c r="R47" s="91"/>
      <c r="S47" s="91"/>
      <c r="T47" s="91"/>
      <c r="U47" s="91"/>
      <c r="V47" s="91"/>
      <c r="W47" s="91"/>
      <c r="X47" s="91"/>
      <c r="Y47" s="91"/>
      <c r="Z47" s="89"/>
    </row>
    <row r="48" spans="1:46" s="90" customFormat="1" x14ac:dyDescent="0.25">
      <c r="A48" s="100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89"/>
      <c r="Q48" s="101"/>
      <c r="R48" s="91"/>
      <c r="S48" s="91"/>
      <c r="T48" s="91"/>
      <c r="U48" s="91"/>
      <c r="V48" s="91"/>
      <c r="W48" s="91"/>
      <c r="X48" s="91"/>
      <c r="Y48" s="91"/>
      <c r="Z48" s="89"/>
    </row>
    <row r="49" spans="1:26" s="90" customFormat="1" x14ac:dyDescent="0.25">
      <c r="A49" s="100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89"/>
      <c r="Q49" s="101"/>
      <c r="R49" s="91"/>
      <c r="S49" s="91"/>
      <c r="T49" s="91"/>
      <c r="U49" s="91"/>
      <c r="V49" s="91"/>
      <c r="W49" s="91"/>
      <c r="X49" s="91"/>
      <c r="Y49" s="91"/>
      <c r="Z49" s="89"/>
    </row>
    <row r="50" spans="1:26" s="90" customFormat="1" x14ac:dyDescent="0.25">
      <c r="A50" s="100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89"/>
      <c r="Q50" s="101"/>
      <c r="R50" s="91"/>
      <c r="S50" s="91"/>
      <c r="T50" s="91"/>
      <c r="U50" s="91"/>
      <c r="V50" s="91"/>
      <c r="W50" s="91"/>
      <c r="X50" s="91"/>
      <c r="Y50" s="91"/>
      <c r="Z50" s="89"/>
    </row>
    <row r="51" spans="1:26" s="90" customFormat="1" x14ac:dyDescent="0.25">
      <c r="A51" s="100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89"/>
      <c r="Q51" s="101"/>
      <c r="R51" s="91"/>
      <c r="S51" s="91"/>
      <c r="T51" s="91"/>
      <c r="U51" s="91"/>
      <c r="V51" s="91"/>
      <c r="W51" s="91"/>
      <c r="X51" s="91"/>
      <c r="Y51" s="91"/>
      <c r="Z51" s="89"/>
    </row>
    <row r="52" spans="1:26" s="90" customFormat="1" x14ac:dyDescent="0.25">
      <c r="A52" s="100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89"/>
      <c r="Q52" s="101"/>
      <c r="R52" s="91"/>
      <c r="S52" s="91"/>
      <c r="T52" s="91"/>
      <c r="U52" s="91"/>
      <c r="V52" s="91"/>
      <c r="W52" s="91"/>
      <c r="X52" s="91"/>
      <c r="Y52" s="91"/>
      <c r="Z52" s="89"/>
    </row>
    <row r="53" spans="1:26" s="90" customFormat="1" x14ac:dyDescent="0.25">
      <c r="A53" s="100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89"/>
      <c r="Q53" s="101"/>
      <c r="R53" s="91"/>
      <c r="S53" s="91"/>
      <c r="T53" s="91"/>
      <c r="U53" s="91"/>
      <c r="V53" s="91"/>
      <c r="W53" s="91"/>
      <c r="X53" s="91"/>
      <c r="Y53" s="91"/>
      <c r="Z53" s="89"/>
    </row>
    <row r="54" spans="1:26" s="90" customFormat="1" x14ac:dyDescent="0.25">
      <c r="A54" s="100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89"/>
      <c r="Q54" s="101"/>
      <c r="R54" s="91"/>
      <c r="S54" s="91"/>
      <c r="T54" s="91"/>
      <c r="U54" s="91"/>
      <c r="V54" s="91"/>
      <c r="W54" s="91"/>
      <c r="X54" s="91"/>
      <c r="Y54" s="91"/>
      <c r="Z54" s="89"/>
    </row>
    <row r="55" spans="1:26" s="90" customFormat="1" x14ac:dyDescent="0.25">
      <c r="A55" s="100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89"/>
      <c r="Q55" s="101"/>
      <c r="R55" s="91"/>
      <c r="S55" s="91"/>
      <c r="T55" s="91"/>
      <c r="U55" s="91"/>
      <c r="V55" s="91"/>
      <c r="W55" s="91"/>
      <c r="X55" s="91"/>
      <c r="Y55" s="91"/>
      <c r="Z55" s="89"/>
    </row>
    <row r="56" spans="1:26" s="90" customFormat="1" x14ac:dyDescent="0.25">
      <c r="A56" s="100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89"/>
      <c r="Q56" s="101"/>
      <c r="R56" s="91"/>
      <c r="S56" s="91"/>
      <c r="T56" s="91"/>
      <c r="U56" s="91"/>
      <c r="V56" s="91"/>
      <c r="W56" s="91"/>
      <c r="X56" s="91"/>
      <c r="Y56" s="91"/>
      <c r="Z56" s="89"/>
    </row>
    <row r="57" spans="1:26" s="90" customFormat="1" x14ac:dyDescent="0.25">
      <c r="A57" s="100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89"/>
      <c r="Q57" s="101"/>
      <c r="R57" s="91"/>
      <c r="S57" s="91"/>
      <c r="T57" s="91"/>
      <c r="U57" s="91"/>
      <c r="V57" s="91"/>
      <c r="W57" s="91"/>
      <c r="X57" s="91"/>
      <c r="Y57" s="91"/>
      <c r="Z57" s="89"/>
    </row>
    <row r="58" spans="1:26" s="90" customFormat="1" x14ac:dyDescent="0.25">
      <c r="A58" s="100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89"/>
      <c r="Q58" s="101"/>
      <c r="R58" s="91"/>
      <c r="S58" s="91"/>
      <c r="T58" s="91"/>
      <c r="U58" s="91"/>
      <c r="V58" s="91"/>
      <c r="W58" s="91"/>
      <c r="X58" s="91"/>
      <c r="Y58" s="91"/>
      <c r="Z58" s="89"/>
    </row>
    <row r="59" spans="1:26" s="90" customFormat="1" x14ac:dyDescent="0.25">
      <c r="A59" s="100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89"/>
      <c r="Q59" s="101"/>
      <c r="R59" s="91"/>
      <c r="S59" s="91"/>
      <c r="T59" s="91"/>
      <c r="U59" s="91"/>
      <c r="V59" s="91"/>
      <c r="W59" s="91"/>
      <c r="X59" s="91"/>
      <c r="Y59" s="91"/>
      <c r="Z59" s="89"/>
    </row>
    <row r="60" spans="1:26" s="90" customFormat="1" x14ac:dyDescent="0.25">
      <c r="A60" s="100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89"/>
      <c r="Q60" s="101"/>
      <c r="R60" s="91"/>
      <c r="S60" s="91"/>
      <c r="T60" s="91"/>
      <c r="U60" s="91"/>
      <c r="V60" s="91"/>
      <c r="W60" s="91"/>
      <c r="X60" s="91"/>
      <c r="Y60" s="91"/>
      <c r="Z60" s="89"/>
    </row>
    <row r="61" spans="1:26" s="90" customFormat="1" x14ac:dyDescent="0.25">
      <c r="A61" s="92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4"/>
      <c r="R61" s="93"/>
      <c r="S61" s="93"/>
      <c r="T61" s="93"/>
      <c r="U61" s="93"/>
      <c r="V61" s="93"/>
      <c r="W61" s="93"/>
      <c r="X61" s="93"/>
      <c r="Y61" s="93"/>
      <c r="Z61" s="95"/>
    </row>
    <row r="62" spans="1:26" s="90" customFormat="1" x14ac:dyDescent="0.25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Q62" s="102"/>
    </row>
    <row r="63" spans="1:26" s="108" customFormat="1" ht="15.6" customHeight="1" x14ac:dyDescent="0.25">
      <c r="A63" s="103" t="s">
        <v>55</v>
      </c>
      <c r="B63" s="104" t="s">
        <v>53</v>
      </c>
      <c r="C63" s="105"/>
      <c r="D63" s="105"/>
      <c r="E63" s="105"/>
      <c r="F63" s="106"/>
      <c r="G63" s="106"/>
      <c r="H63" s="106"/>
      <c r="I63" s="107"/>
      <c r="J63" s="107"/>
      <c r="K63" s="107"/>
      <c r="L63" s="107"/>
      <c r="M63" s="107"/>
      <c r="N63" s="107"/>
      <c r="O63" s="107"/>
      <c r="P63" s="107"/>
      <c r="Q63" s="106"/>
      <c r="R63" s="107"/>
      <c r="S63" s="107"/>
      <c r="T63" s="107"/>
      <c r="U63" s="211"/>
      <c r="V63" s="211"/>
      <c r="W63" s="211"/>
      <c r="X63" s="212"/>
      <c r="Y63" s="212"/>
      <c r="Z63" s="213"/>
    </row>
    <row r="64" spans="1:26" s="9" customFormat="1" ht="26.4" customHeight="1" x14ac:dyDescent="0.25">
      <c r="A64" s="296" t="s">
        <v>68</v>
      </c>
      <c r="B64" s="297"/>
      <c r="C64" s="297"/>
      <c r="D64" s="297"/>
      <c r="E64" s="297"/>
      <c r="F64" s="297"/>
      <c r="G64" s="297"/>
      <c r="H64" s="297"/>
      <c r="I64" s="297"/>
      <c r="J64" s="297"/>
      <c r="K64" s="297"/>
      <c r="L64" s="297"/>
      <c r="M64" s="297"/>
      <c r="N64" s="297"/>
      <c r="O64" s="297"/>
      <c r="P64" s="297"/>
      <c r="Q64" s="298"/>
      <c r="R64" s="214" t="s">
        <v>9</v>
      </c>
      <c r="S64" s="215"/>
      <c r="T64" s="216"/>
      <c r="U64" s="217"/>
      <c r="V64" s="218"/>
      <c r="W64" s="218"/>
      <c r="X64" s="219"/>
      <c r="Y64" s="219"/>
      <c r="Z64" s="220"/>
    </row>
    <row r="65" spans="1:27" s="108" customFormat="1" ht="26.4" customHeight="1" x14ac:dyDescent="0.25">
      <c r="A65" s="323"/>
      <c r="B65" s="324"/>
      <c r="C65" s="324"/>
      <c r="D65" s="324"/>
      <c r="E65" s="324"/>
      <c r="F65" s="324"/>
      <c r="G65" s="324"/>
      <c r="H65" s="324"/>
      <c r="I65" s="324"/>
      <c r="J65" s="324"/>
      <c r="K65" s="324"/>
      <c r="L65" s="324"/>
      <c r="M65" s="324"/>
      <c r="N65" s="324"/>
      <c r="O65" s="324"/>
      <c r="P65" s="324"/>
      <c r="Q65" s="325"/>
      <c r="R65" s="214"/>
      <c r="S65" s="215"/>
      <c r="T65" s="216"/>
      <c r="U65" s="221"/>
      <c r="V65" s="222"/>
      <c r="W65" s="222"/>
      <c r="X65" s="223"/>
      <c r="Y65" s="223"/>
      <c r="Z65" s="224"/>
    </row>
    <row r="66" spans="1:27" s="9" customFormat="1" ht="15.6" customHeight="1" x14ac:dyDescent="0.25">
      <c r="A66" s="110" t="s">
        <v>56</v>
      </c>
      <c r="B66" s="111" t="s">
        <v>54</v>
      </c>
      <c r="C66" s="109"/>
      <c r="D66" s="109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3"/>
      <c r="R66" s="214"/>
      <c r="S66" s="215"/>
      <c r="T66" s="216"/>
      <c r="U66" s="225"/>
      <c r="V66" s="226"/>
      <c r="W66" s="226"/>
      <c r="X66" s="227"/>
      <c r="Y66" s="227"/>
      <c r="Z66" s="228"/>
    </row>
    <row r="67" spans="1:27" s="9" customFormat="1" ht="15.6" customHeight="1" x14ac:dyDescent="0.25">
      <c r="A67" s="317"/>
      <c r="B67" s="318"/>
      <c r="C67" s="318"/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9"/>
      <c r="R67" s="214" t="s">
        <v>10</v>
      </c>
      <c r="S67" s="215"/>
      <c r="T67" s="216"/>
      <c r="U67" s="193"/>
      <c r="V67" s="194"/>
      <c r="W67" s="194"/>
      <c r="X67" s="194"/>
      <c r="Y67" s="194"/>
      <c r="Z67" s="195"/>
    </row>
    <row r="68" spans="1:27" s="9" customFormat="1" ht="15.6" customHeight="1" x14ac:dyDescent="0.25">
      <c r="A68" s="317"/>
      <c r="B68" s="318"/>
      <c r="C68" s="318"/>
      <c r="D68" s="318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9"/>
      <c r="R68" s="214"/>
      <c r="S68" s="215"/>
      <c r="T68" s="216"/>
      <c r="U68" s="196"/>
      <c r="V68" s="223"/>
      <c r="W68" s="223"/>
      <c r="X68" s="223"/>
      <c r="Y68" s="223"/>
      <c r="Z68" s="197"/>
    </row>
    <row r="69" spans="1:27" s="9" customFormat="1" ht="15.6" customHeight="1" x14ac:dyDescent="0.25">
      <c r="A69" s="317"/>
      <c r="B69" s="318"/>
      <c r="C69" s="318"/>
      <c r="D69" s="318"/>
      <c r="E69" s="318"/>
      <c r="F69" s="318"/>
      <c r="G69" s="318"/>
      <c r="H69" s="318"/>
      <c r="I69" s="318"/>
      <c r="J69" s="318"/>
      <c r="K69" s="318"/>
      <c r="L69" s="318"/>
      <c r="M69" s="318"/>
      <c r="N69" s="318"/>
      <c r="O69" s="318"/>
      <c r="P69" s="318"/>
      <c r="Q69" s="319"/>
      <c r="R69" s="214"/>
      <c r="S69" s="215"/>
      <c r="T69" s="216"/>
      <c r="U69" s="196"/>
      <c r="V69" s="223"/>
      <c r="W69" s="223"/>
      <c r="X69" s="223"/>
      <c r="Y69" s="223"/>
      <c r="Z69" s="197"/>
    </row>
    <row r="70" spans="1:27" s="9" customFormat="1" ht="15.6" customHeight="1" x14ac:dyDescent="0.25">
      <c r="A70" s="320"/>
      <c r="B70" s="321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2"/>
      <c r="R70" s="303"/>
      <c r="S70" s="304"/>
      <c r="T70" s="305"/>
      <c r="U70" s="198"/>
      <c r="V70" s="199"/>
      <c r="W70" s="199"/>
      <c r="X70" s="199"/>
      <c r="Y70" s="199"/>
      <c r="Z70" s="200"/>
    </row>
    <row r="71" spans="1:27" x14ac:dyDescent="0.25">
      <c r="Q71" s="102"/>
      <c r="R71" s="90"/>
      <c r="S71" s="90"/>
      <c r="T71" s="90"/>
      <c r="U71" s="90"/>
      <c r="V71" s="90"/>
      <c r="W71" s="90"/>
      <c r="X71" s="90"/>
      <c r="Y71" s="90"/>
      <c r="Z71" s="90"/>
    </row>
    <row r="72" spans="1:27" ht="13.8" thickBot="1" x14ac:dyDescent="0.3"/>
    <row r="73" spans="1:27" ht="13.8" thickTop="1" x14ac:dyDescent="0.25">
      <c r="A73" s="114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6"/>
    </row>
    <row r="74" spans="1:27" x14ac:dyDescent="0.25">
      <c r="A74" s="117"/>
      <c r="B74" s="118" t="s">
        <v>1</v>
      </c>
      <c r="C74" s="119"/>
      <c r="D74" s="119"/>
      <c r="E74" s="119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20"/>
      <c r="R74" s="41"/>
      <c r="S74" s="41"/>
      <c r="T74" s="41"/>
      <c r="U74" s="41"/>
      <c r="V74" s="41"/>
      <c r="W74" s="41"/>
      <c r="X74" s="41"/>
      <c r="Y74" s="41"/>
      <c r="Z74" s="41"/>
      <c r="AA74" s="14"/>
    </row>
    <row r="75" spans="1:27" ht="13.8" thickBot="1" x14ac:dyDescent="0.3">
      <c r="A75" s="121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20"/>
      <c r="R75" s="41"/>
      <c r="S75" s="41"/>
      <c r="T75" s="41"/>
      <c r="U75" s="41"/>
      <c r="V75" s="41"/>
      <c r="W75" s="41"/>
      <c r="X75" s="41"/>
      <c r="Y75" s="41"/>
      <c r="Z75" s="41"/>
      <c r="AA75" s="14"/>
    </row>
    <row r="76" spans="1:27" x14ac:dyDescent="0.25">
      <c r="A76" s="121"/>
      <c r="B76" s="122" t="s">
        <v>5</v>
      </c>
      <c r="C76" s="123"/>
      <c r="D76" s="123"/>
      <c r="E76" s="123"/>
      <c r="F76" s="123"/>
      <c r="G76" s="124" t="s">
        <v>15</v>
      </c>
      <c r="H76" s="124"/>
      <c r="I76" s="124" t="s">
        <v>14</v>
      </c>
      <c r="J76" s="125" t="s">
        <v>16</v>
      </c>
      <c r="K76" s="126" t="s">
        <v>13</v>
      </c>
      <c r="L76" s="286" t="s">
        <v>18</v>
      </c>
      <c r="M76" s="287"/>
      <c r="N76" s="287"/>
      <c r="O76" s="289"/>
      <c r="P76" s="291"/>
      <c r="R76" s="41"/>
      <c r="S76" s="41"/>
      <c r="T76" s="41"/>
      <c r="U76" s="41"/>
      <c r="V76" s="41"/>
      <c r="W76" s="41"/>
      <c r="X76" s="41"/>
      <c r="Y76" s="41"/>
      <c r="Z76" s="41"/>
      <c r="AA76" s="14"/>
    </row>
    <row r="77" spans="1:27" ht="13.8" thickBot="1" x14ac:dyDescent="0.3">
      <c r="A77" s="121"/>
      <c r="B77" s="127">
        <f>IF(ISNUMBER(F25),LOG(F25),MIN(C77:$K77))</f>
        <v>-1.2006594505464183</v>
      </c>
      <c r="C77" s="128">
        <f>IF(ISNUMBER(G25),LOG(G25),MIN(D77:$K77))</f>
        <v>-0.3010299956639812</v>
      </c>
      <c r="D77" s="128">
        <f>IF(ISNUMBER(H25),LOG(H25),MIN(E77:$K77))</f>
        <v>0.49831055378960049</v>
      </c>
      <c r="E77" s="128">
        <f>IF(ISNUMBER(I25),LOG(I25),MIN(F77:$K77))</f>
        <v>0.69897000433601886</v>
      </c>
      <c r="F77" s="128">
        <f>IF(ISNUMBER(J25),LOG(J25),MIN(G77:$K77))</f>
        <v>0.79934054945358168</v>
      </c>
      <c r="G77" s="128">
        <f>IF(ISNUMBER(K25),LOG(K25),MIN($B77:F77))</f>
        <v>0.85125834871907524</v>
      </c>
      <c r="H77" s="128">
        <f>IF(ISNUMBER(L25),LOG(L25),MIN($B77:G77))</f>
        <v>0.90308998699194354</v>
      </c>
      <c r="I77" s="128">
        <f>IF(ISNUMBER(M25),LOG(M25),MIN($B77:H77))</f>
        <v>1</v>
      </c>
      <c r="J77" s="128">
        <f>IF(ISNUMBER(N25),LOG(N25),MIN($B77:I77))</f>
        <v>1.146128035678238</v>
      </c>
      <c r="K77" s="128">
        <f>IF(ISNUMBER(O25),LOG(O25),MIN($B77:J77))</f>
        <v>1.3010299956639813</v>
      </c>
      <c r="L77" s="129" t="s">
        <v>17</v>
      </c>
      <c r="M77" s="130" t="s">
        <v>2</v>
      </c>
      <c r="N77" s="131" t="s">
        <v>3</v>
      </c>
      <c r="O77" s="290"/>
      <c r="P77" s="292"/>
      <c r="R77" s="41"/>
      <c r="S77" s="41"/>
      <c r="T77" s="41"/>
      <c r="U77" s="41"/>
      <c r="V77" s="41"/>
      <c r="W77" s="41"/>
      <c r="X77" s="41"/>
      <c r="Y77" s="41"/>
      <c r="Z77" s="41"/>
      <c r="AA77" s="14"/>
    </row>
    <row r="78" spans="1:27" x14ac:dyDescent="0.25">
      <c r="A78" s="132"/>
      <c r="B78" s="133">
        <f>IF(ISNUMBER(F37),F37,MIN(C78:$K78))</f>
        <v>6.3E-2</v>
      </c>
      <c r="C78" s="134">
        <f>IF(ISNUMBER(G37),G37,MIN(D78:$K78))</f>
        <v>0.5</v>
      </c>
      <c r="D78" s="134">
        <f>IF(ISNUMBER(H37),H37,MIN(E78:$K78))</f>
        <v>3.15</v>
      </c>
      <c r="E78" s="134">
        <f>IF(ISNUMBER(I37),I37,MIN(F78:$K78))</f>
        <v>5</v>
      </c>
      <c r="F78" s="134">
        <f>IF(ISNUMBER(J37),J37,MIN(G78:$K78))</f>
        <v>6.3</v>
      </c>
      <c r="G78" s="134">
        <f>IF(ISNUMBER(K37),K37,MIN($B78:F78))</f>
        <v>7.1</v>
      </c>
      <c r="H78" s="134">
        <f>IF(ISNUMBER(L37),L37,MIN($B78:G78))</f>
        <v>8</v>
      </c>
      <c r="I78" s="134">
        <f>IF(ISNUMBER(M37),M37,MIN($B78:H78))</f>
        <v>10</v>
      </c>
      <c r="J78" s="134">
        <f>IF(ISNUMBER(N37),N37,MIN($B78:I78))</f>
        <v>14</v>
      </c>
      <c r="K78" s="135">
        <f>IF(ISNUMBER(O37),O37,MIN($B78:J78))</f>
        <v>20</v>
      </c>
      <c r="L78" s="136"/>
      <c r="M78" s="134"/>
      <c r="N78" s="137"/>
      <c r="O78" s="138"/>
      <c r="P78" s="139"/>
      <c r="R78" s="41"/>
      <c r="S78" s="41"/>
      <c r="T78" s="41"/>
      <c r="U78" s="41"/>
      <c r="V78" s="41"/>
      <c r="W78" s="41"/>
      <c r="X78" s="41"/>
      <c r="Y78" s="41"/>
      <c r="Z78" s="41"/>
      <c r="AA78" s="14"/>
    </row>
    <row r="79" spans="1:27" x14ac:dyDescent="0.25">
      <c r="A79" s="132" t="s">
        <v>32</v>
      </c>
      <c r="B79" s="133">
        <f>IF(ISNUMBER(F27),F27,NA())</f>
        <v>1.3</v>
      </c>
      <c r="C79" s="140" t="e">
        <f>IF(ISNUMBER(G27),G27,NA())</f>
        <v>#N/A</v>
      </c>
      <c r="D79" s="140">
        <f>IF(ISNUMBER(H27),H27,NA())</f>
        <v>6</v>
      </c>
      <c r="E79" s="140" t="e">
        <f>IF(ISNUMBER(I27),I27,NA())</f>
        <v>#N/A</v>
      </c>
      <c r="F79" s="140">
        <f>IF(ISNUMBER(J27),J27,NA())</f>
        <v>18</v>
      </c>
      <c r="G79" s="140" t="e">
        <f>IF(ISNUMBER(K27),K27,NA())</f>
        <v>#N/A</v>
      </c>
      <c r="H79" s="140" t="e">
        <f>IF(ISNUMBER(L27),L27,NA())</f>
        <v>#N/A</v>
      </c>
      <c r="I79" s="140">
        <f>IF(ISNUMBER(M27),M27,NA())</f>
        <v>100</v>
      </c>
      <c r="J79" s="140">
        <f>IF(ISNUMBER(N27),N27,NA())</f>
        <v>100</v>
      </c>
      <c r="K79" s="141">
        <f>IF(ISNUMBER(O27),O27,NA())</f>
        <v>100</v>
      </c>
      <c r="L79" s="133"/>
      <c r="M79" s="140"/>
      <c r="N79" s="142"/>
      <c r="O79" s="143"/>
      <c r="P79" s="144"/>
      <c r="R79" s="41"/>
      <c r="S79" s="41"/>
      <c r="T79" s="41"/>
      <c r="U79" s="41"/>
      <c r="V79" s="41"/>
      <c r="W79" s="41"/>
      <c r="X79" s="41"/>
      <c r="Y79" s="41"/>
      <c r="Z79" s="41"/>
      <c r="AA79" s="14"/>
    </row>
    <row r="80" spans="1:27" x14ac:dyDescent="0.25">
      <c r="A80" s="132" t="s">
        <v>33</v>
      </c>
      <c r="B80" s="133">
        <f>IF(ISNUMBER(F28),F28,NA())</f>
        <v>1</v>
      </c>
      <c r="C80" s="140" t="e">
        <f>IF(ISNUMBER(G28),G28,NA())</f>
        <v>#N/A</v>
      </c>
      <c r="D80" s="140">
        <f>IF(ISNUMBER(H28),H28,NA())</f>
        <v>5</v>
      </c>
      <c r="E80" s="140" t="e">
        <f>IF(ISNUMBER(I28),I28,NA())</f>
        <v>#N/A</v>
      </c>
      <c r="F80" s="140">
        <f>IF(ISNUMBER(J28),J28,NA())</f>
        <v>13</v>
      </c>
      <c r="G80" s="140" t="e">
        <f>IF(ISNUMBER(K28),K28,NA())</f>
        <v>#N/A</v>
      </c>
      <c r="H80" s="140" t="e">
        <f>IF(ISNUMBER(L28),L28,NA())</f>
        <v>#N/A</v>
      </c>
      <c r="I80" s="140">
        <f>IF(ISNUMBER(M28),M28,NA())</f>
        <v>96</v>
      </c>
      <c r="J80" s="140">
        <f>IF(ISNUMBER(N28),N28,NA())</f>
        <v>100</v>
      </c>
      <c r="K80" s="141">
        <f>IF(ISNUMBER(O28),O28,NA())</f>
        <v>100</v>
      </c>
      <c r="L80" s="133"/>
      <c r="M80" s="140"/>
      <c r="N80" s="142"/>
      <c r="O80" s="143"/>
      <c r="P80" s="144"/>
      <c r="R80" s="41"/>
      <c r="S80" s="41"/>
      <c r="T80" s="41"/>
      <c r="U80" s="41"/>
      <c r="V80" s="41"/>
      <c r="W80" s="41"/>
      <c r="X80" s="41"/>
      <c r="Y80" s="41"/>
      <c r="Z80" s="41"/>
      <c r="AA80" s="14"/>
    </row>
    <row r="81" spans="1:38" x14ac:dyDescent="0.25">
      <c r="A81" s="132" t="s">
        <v>34</v>
      </c>
      <c r="B81" s="133">
        <f>IF(ISNUMBER(F29),F29,NA())</f>
        <v>0</v>
      </c>
      <c r="C81" s="140" t="e">
        <f>IF(ISNUMBER(G29),G29,NA())</f>
        <v>#N/A</v>
      </c>
      <c r="D81" s="140">
        <f>IF(ISNUMBER(H29),H29,NA())</f>
        <v>0</v>
      </c>
      <c r="E81" s="140" t="e">
        <f>IF(ISNUMBER(I29),I29,NA())</f>
        <v>#N/A</v>
      </c>
      <c r="F81" s="140">
        <f>IF(ISNUMBER(J29),J29,NA())</f>
        <v>5</v>
      </c>
      <c r="G81" s="140" t="e">
        <f>IF(ISNUMBER(K29),K29,NA())</f>
        <v>#N/A</v>
      </c>
      <c r="H81" s="140" t="e">
        <f>IF(ISNUMBER(L29),L29,NA())</f>
        <v>#N/A</v>
      </c>
      <c r="I81" s="140">
        <f>IF(ISNUMBER(M29),M29,NA())</f>
        <v>86</v>
      </c>
      <c r="J81" s="140">
        <f>IF(ISNUMBER(N29),N29,NA())</f>
        <v>98</v>
      </c>
      <c r="K81" s="141">
        <f>IF(ISNUMBER(O29),O29,NA())</f>
        <v>100</v>
      </c>
      <c r="L81" s="133"/>
      <c r="M81" s="140"/>
      <c r="N81" s="142"/>
      <c r="O81" s="143"/>
      <c r="P81" s="144"/>
      <c r="R81" s="41"/>
      <c r="S81" s="41"/>
      <c r="T81" s="41"/>
      <c r="U81" s="41"/>
      <c r="V81" s="41"/>
      <c r="W81" s="41"/>
      <c r="X81" s="41"/>
      <c r="Y81" s="41"/>
      <c r="Z81" s="41"/>
    </row>
    <row r="82" spans="1:38" x14ac:dyDescent="0.25">
      <c r="A82" s="132" t="s">
        <v>35</v>
      </c>
      <c r="B82" s="133">
        <f>IF(ISNUMBER(F30),F30,NA())</f>
        <v>0</v>
      </c>
      <c r="C82" s="140" t="e">
        <f>IF(ISNUMBER(G30),G30,NA())</f>
        <v>#N/A</v>
      </c>
      <c r="D82" s="140">
        <f>IF(ISNUMBER(H30),H30,NA())</f>
        <v>0</v>
      </c>
      <c r="E82" s="140" t="e">
        <f>IF(ISNUMBER(I30),I30,NA())</f>
        <v>#N/A</v>
      </c>
      <c r="F82" s="140">
        <f>IF(ISNUMBER(J30),J30,NA())</f>
        <v>0</v>
      </c>
      <c r="G82" s="140" t="e">
        <f>IF(ISNUMBER(K30),K30,NA())</f>
        <v>#N/A</v>
      </c>
      <c r="H82" s="140" t="e">
        <f>IF(ISNUMBER(L30),L30,NA())</f>
        <v>#N/A</v>
      </c>
      <c r="I82" s="140">
        <f>IF(ISNUMBER(M30),M30,NA())</f>
        <v>81</v>
      </c>
      <c r="J82" s="140">
        <f>IF(ISNUMBER(N30),N30,NA())</f>
        <v>97</v>
      </c>
      <c r="K82" s="141">
        <f>IF(ISNUMBER(O30),O30,NA())</f>
        <v>100</v>
      </c>
      <c r="L82" s="133"/>
      <c r="M82" s="140"/>
      <c r="N82" s="142"/>
      <c r="O82" s="143"/>
      <c r="P82" s="144"/>
      <c r="R82" s="41"/>
      <c r="S82" s="41"/>
      <c r="T82" s="41"/>
      <c r="U82" s="41"/>
      <c r="V82" s="41"/>
      <c r="W82" s="41"/>
      <c r="X82" s="41"/>
      <c r="Y82" s="41"/>
      <c r="Z82" s="41"/>
    </row>
    <row r="83" spans="1:38" ht="13.8" thickBot="1" x14ac:dyDescent="0.3">
      <c r="A83" s="132"/>
      <c r="B83" s="145"/>
      <c r="C83" s="146"/>
      <c r="D83" s="146"/>
      <c r="E83" s="146"/>
      <c r="F83" s="146"/>
      <c r="G83" s="146"/>
      <c r="H83" s="146"/>
      <c r="I83" s="146"/>
      <c r="J83" s="146"/>
      <c r="K83" s="147"/>
      <c r="L83" s="129"/>
      <c r="M83" s="130"/>
      <c r="N83" s="148"/>
      <c r="O83" s="149"/>
      <c r="P83" s="150"/>
      <c r="R83" s="41"/>
      <c r="S83" s="41"/>
      <c r="T83" s="41"/>
      <c r="U83" s="41"/>
      <c r="V83" s="41"/>
      <c r="W83" s="41"/>
      <c r="X83" s="41"/>
      <c r="Y83" s="41"/>
      <c r="Z83" s="41"/>
    </row>
    <row r="84" spans="1:38" x14ac:dyDescent="0.25">
      <c r="A84" s="151"/>
      <c r="B84" s="152"/>
      <c r="C84" s="152"/>
      <c r="D84" s="152"/>
      <c r="E84" s="152"/>
      <c r="F84" s="153"/>
      <c r="G84" s="154"/>
      <c r="H84" s="155"/>
      <c r="I84" s="152"/>
      <c r="J84" s="152"/>
      <c r="K84" s="152"/>
      <c r="L84" s="152"/>
      <c r="M84" s="152"/>
      <c r="N84" s="152"/>
      <c r="O84" s="153"/>
      <c r="P84" s="156"/>
      <c r="R84" s="41"/>
      <c r="S84" s="41"/>
      <c r="T84" s="41"/>
      <c r="U84" s="41"/>
      <c r="V84" s="41"/>
      <c r="W84" s="41"/>
      <c r="X84" s="41"/>
      <c r="Y84" s="41"/>
      <c r="Z84" s="41"/>
    </row>
    <row r="85" spans="1:38" x14ac:dyDescent="0.25">
      <c r="A85" s="117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20"/>
      <c r="R85" s="41"/>
      <c r="S85" s="41"/>
      <c r="T85" s="41"/>
      <c r="U85" s="41"/>
      <c r="V85" s="41"/>
      <c r="W85" s="41"/>
      <c r="X85" s="41"/>
      <c r="Y85" s="41"/>
      <c r="Z85" s="41"/>
    </row>
    <row r="86" spans="1:38" ht="15" x14ac:dyDescent="0.25">
      <c r="A86" s="157" t="s">
        <v>60</v>
      </c>
      <c r="B86" s="158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60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4"/>
    </row>
    <row r="87" spans="1:38" ht="13.8" thickBot="1" x14ac:dyDescent="0.3">
      <c r="A87" s="117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20"/>
    </row>
    <row r="88" spans="1:38" ht="16.5" customHeight="1" x14ac:dyDescent="0.25">
      <c r="A88" s="121"/>
      <c r="B88" s="122" t="s">
        <v>5</v>
      </c>
      <c r="C88" s="123"/>
      <c r="D88" s="123"/>
      <c r="E88" s="123"/>
      <c r="F88" s="123"/>
      <c r="G88" s="124" t="s">
        <v>15</v>
      </c>
      <c r="H88" s="124"/>
      <c r="I88" s="124" t="s">
        <v>14</v>
      </c>
      <c r="J88" s="125" t="s">
        <v>16</v>
      </c>
      <c r="K88" s="126" t="s">
        <v>13</v>
      </c>
      <c r="L88" s="286" t="s">
        <v>18</v>
      </c>
      <c r="M88" s="287"/>
      <c r="N88" s="288"/>
      <c r="O88" s="289"/>
      <c r="P88" s="291"/>
    </row>
    <row r="89" spans="1:38" ht="16.5" customHeight="1" thickBot="1" x14ac:dyDescent="0.3">
      <c r="A89" s="121"/>
      <c r="B89" s="127">
        <f>IF(ISNUMBER(F37),LOG(F37),MIN(C89:$K89))</f>
        <v>-1.2006594505464183</v>
      </c>
      <c r="C89" s="128">
        <f>IF(ISNUMBER(G37),LOG(G37),MIN(D89:$K89))</f>
        <v>-0.3010299956639812</v>
      </c>
      <c r="D89" s="128">
        <f>IF(ISNUMBER(H37),LOG(H37),MIN(E89:$K89))</f>
        <v>0.49831055378960049</v>
      </c>
      <c r="E89" s="128">
        <f>IF(ISNUMBER(I37),LOG(I37),MIN(F89:$K89))</f>
        <v>0.69897000433601886</v>
      </c>
      <c r="F89" s="128">
        <f>IF(ISNUMBER(J37),LOG(J37),MIN(G89:$K89))</f>
        <v>0.79934054945358168</v>
      </c>
      <c r="G89" s="128">
        <f>IF(ISNUMBER(K37),LOG(K37),MIN($B89:F89))</f>
        <v>0.85125834871907524</v>
      </c>
      <c r="H89" s="128">
        <f>IF(ISNUMBER(L37),LOG(L37),MIN($B89:G89))</f>
        <v>0.90308998699194354</v>
      </c>
      <c r="I89" s="128">
        <f>IF(ISNUMBER(M37),LOG(M37),MIN($B89:H89))</f>
        <v>1</v>
      </c>
      <c r="J89" s="128">
        <f>IF(ISNUMBER(N37),LOG(N37),MIN($B89:I89))</f>
        <v>1.146128035678238</v>
      </c>
      <c r="K89" s="128">
        <f>IF(ISNUMBER(O37),LOG(O37),MIN($B89:J89))</f>
        <v>1.3010299956639813</v>
      </c>
      <c r="L89" s="129" t="s">
        <v>17</v>
      </c>
      <c r="M89" s="130" t="s">
        <v>2</v>
      </c>
      <c r="N89" s="162" t="s">
        <v>3</v>
      </c>
      <c r="O89" s="290"/>
      <c r="P89" s="292"/>
    </row>
    <row r="90" spans="1:38" s="90" customFormat="1" ht="16.5" customHeight="1" thickBot="1" x14ac:dyDescent="0.3">
      <c r="A90" s="132" t="s">
        <v>4</v>
      </c>
      <c r="B90" s="145" t="e">
        <f>IF(ISNUMBER(F38),F38,NA())</f>
        <v>#N/A</v>
      </c>
      <c r="C90" s="146" t="e">
        <f>IF(ISNUMBER(G38),G38,NA())</f>
        <v>#N/A</v>
      </c>
      <c r="D90" s="146" t="e">
        <f>IF(ISNUMBER(H38),H38,NA())</f>
        <v>#N/A</v>
      </c>
      <c r="E90" s="146" t="e">
        <f>IF(ISNUMBER(I38),I38,NA())</f>
        <v>#N/A</v>
      </c>
      <c r="F90" s="146" t="e">
        <f>IF(ISNUMBER(J38),J38,NA())</f>
        <v>#N/A</v>
      </c>
      <c r="G90" s="146" t="e">
        <f>IF(ISNUMBER(K38),K38,NA())</f>
        <v>#N/A</v>
      </c>
      <c r="H90" s="146" t="e">
        <f>IF(ISNUMBER(L38),L38,NA())</f>
        <v>#N/A</v>
      </c>
      <c r="I90" s="146" t="e">
        <f>IF(ISNUMBER(M38),M38,NA())</f>
        <v>#N/A</v>
      </c>
      <c r="J90" s="163" t="e">
        <f>IF(ISNUMBER(N38),N38,NA())</f>
        <v>#N/A</v>
      </c>
      <c r="K90" s="164" t="e">
        <f>IF(ISNUMBER(O38),O38,NA())</f>
        <v>#N/A</v>
      </c>
      <c r="L90" s="165"/>
      <c r="M90" s="166"/>
      <c r="N90" s="147"/>
      <c r="O90" s="167"/>
      <c r="P90" s="168"/>
      <c r="Q90" s="102"/>
      <c r="AB90" s="169"/>
      <c r="AC90" s="170"/>
      <c r="AD90" s="170"/>
      <c r="AE90" s="170"/>
      <c r="AF90" s="170"/>
      <c r="AG90" s="170"/>
      <c r="AH90" s="170"/>
      <c r="AI90" s="170"/>
      <c r="AJ90" s="170"/>
      <c r="AK90" s="170"/>
      <c r="AL90" s="170"/>
    </row>
    <row r="91" spans="1:38" x14ac:dyDescent="0.25">
      <c r="A91" s="171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19"/>
      <c r="M91" s="119"/>
      <c r="N91" s="119"/>
      <c r="O91" s="119"/>
      <c r="P91" s="120"/>
      <c r="AB91" s="169"/>
      <c r="AC91" s="170"/>
      <c r="AD91" s="170"/>
      <c r="AE91" s="170"/>
      <c r="AF91" s="170"/>
      <c r="AG91" s="170"/>
      <c r="AH91" s="170"/>
      <c r="AI91" s="170"/>
      <c r="AJ91" s="170"/>
      <c r="AK91" s="170"/>
      <c r="AL91" s="170"/>
    </row>
    <row r="92" spans="1:38" x14ac:dyDescent="0.25">
      <c r="A92" s="172">
        <v>0</v>
      </c>
      <c r="B92" s="170">
        <f>B$89</f>
        <v>-1.2006594505464183</v>
      </c>
      <c r="C92" s="170">
        <f t="shared" ref="C92:K92" si="0">C$89</f>
        <v>-0.3010299956639812</v>
      </c>
      <c r="D92" s="170">
        <f t="shared" si="0"/>
        <v>0.49831055378960049</v>
      </c>
      <c r="E92" s="170">
        <f t="shared" si="0"/>
        <v>0.69897000433601886</v>
      </c>
      <c r="F92" s="170">
        <f t="shared" si="0"/>
        <v>0.79934054945358168</v>
      </c>
      <c r="G92" s="170">
        <f t="shared" si="0"/>
        <v>0.85125834871907524</v>
      </c>
      <c r="H92" s="170">
        <f t="shared" si="0"/>
        <v>0.90308998699194354</v>
      </c>
      <c r="I92" s="170">
        <f t="shared" si="0"/>
        <v>1</v>
      </c>
      <c r="J92" s="170">
        <f t="shared" si="0"/>
        <v>1.146128035678238</v>
      </c>
      <c r="K92" s="170">
        <f t="shared" si="0"/>
        <v>1.3010299956639813</v>
      </c>
      <c r="L92" s="119"/>
      <c r="M92" s="119"/>
      <c r="N92" s="119"/>
      <c r="O92" s="119"/>
      <c r="P92" s="120"/>
    </row>
    <row r="93" spans="1:38" x14ac:dyDescent="0.25">
      <c r="A93" s="172">
        <v>100</v>
      </c>
      <c r="B93" s="170">
        <f>B92</f>
        <v>-1.2006594505464183</v>
      </c>
      <c r="C93" s="170">
        <f t="shared" ref="C93:K93" si="1">C92</f>
        <v>-0.3010299956639812</v>
      </c>
      <c r="D93" s="170">
        <f t="shared" si="1"/>
        <v>0.49831055378960049</v>
      </c>
      <c r="E93" s="170">
        <f t="shared" si="1"/>
        <v>0.69897000433601886</v>
      </c>
      <c r="F93" s="170">
        <f t="shared" si="1"/>
        <v>0.79934054945358168</v>
      </c>
      <c r="G93" s="170">
        <f t="shared" si="1"/>
        <v>0.85125834871907524</v>
      </c>
      <c r="H93" s="170">
        <f t="shared" si="1"/>
        <v>0.90308998699194354</v>
      </c>
      <c r="I93" s="170">
        <f t="shared" si="1"/>
        <v>1</v>
      </c>
      <c r="J93" s="170">
        <f t="shared" si="1"/>
        <v>1.146128035678238</v>
      </c>
      <c r="K93" s="170">
        <f t="shared" si="1"/>
        <v>1.3010299956639813</v>
      </c>
      <c r="L93" s="119"/>
      <c r="M93" s="119"/>
      <c r="N93" s="119"/>
      <c r="O93" s="119"/>
      <c r="P93" s="120"/>
    </row>
    <row r="94" spans="1:38" ht="13.8" thickBot="1" x14ac:dyDescent="0.3">
      <c r="A94" s="173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5"/>
      <c r="M94" s="175"/>
      <c r="N94" s="175"/>
      <c r="O94" s="175"/>
      <c r="P94" s="176"/>
    </row>
    <row r="95" spans="1:38" ht="13.8" thickTop="1" x14ac:dyDescent="0.25">
      <c r="A95" s="177"/>
      <c r="B95" s="178"/>
      <c r="C95" s="178"/>
      <c r="D95" s="178"/>
      <c r="E95" s="178"/>
      <c r="F95" s="178"/>
      <c r="G95" s="178"/>
      <c r="H95" s="178"/>
      <c r="I95" s="178"/>
      <c r="J95" s="178"/>
      <c r="K95" s="178"/>
    </row>
    <row r="96" spans="1:38" ht="16.8" x14ac:dyDescent="0.25">
      <c r="A96" s="285" t="s">
        <v>21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</row>
    <row r="97" spans="1:11" x14ac:dyDescent="0.25">
      <c r="A97" s="177"/>
      <c r="B97" s="178"/>
      <c r="C97" s="178"/>
      <c r="D97" s="178"/>
      <c r="E97" s="178"/>
      <c r="F97" s="178"/>
      <c r="G97" s="178"/>
      <c r="H97" s="178"/>
      <c r="I97" s="178"/>
      <c r="J97" s="178"/>
      <c r="K97" s="178"/>
    </row>
    <row r="98" spans="1:11" x14ac:dyDescent="0.25">
      <c r="A98" s="177"/>
      <c r="B98" s="178"/>
      <c r="C98" s="178"/>
      <c r="D98" s="178"/>
      <c r="E98" s="178"/>
      <c r="F98" s="178"/>
      <c r="G98" s="178"/>
      <c r="H98" s="178"/>
      <c r="I98" s="178"/>
      <c r="J98" s="178"/>
      <c r="K98" s="178"/>
    </row>
    <row r="99" spans="1:11" x14ac:dyDescent="0.25">
      <c r="A99" s="177"/>
      <c r="B99" s="178"/>
      <c r="C99" s="178"/>
      <c r="D99" s="178"/>
      <c r="E99" s="178"/>
      <c r="F99" s="178"/>
      <c r="G99" s="178"/>
      <c r="H99" s="178"/>
      <c r="I99" s="178"/>
      <c r="J99" s="178"/>
      <c r="K99" s="178"/>
    </row>
    <row r="100" spans="1:11" x14ac:dyDescent="0.25">
      <c r="A100" s="177"/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</row>
    <row r="101" spans="1:11" x14ac:dyDescent="0.25">
      <c r="A101" s="177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</row>
    <row r="102" spans="1:11" x14ac:dyDescent="0.25">
      <c r="A102" s="177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1:11" x14ac:dyDescent="0.25">
      <c r="A103" s="177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1:11" x14ac:dyDescent="0.25">
      <c r="A104" s="177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1:11" x14ac:dyDescent="0.25">
      <c r="A105" s="177"/>
      <c r="B105" s="178"/>
      <c r="C105" s="178"/>
      <c r="D105" s="178"/>
      <c r="E105" s="178"/>
      <c r="F105" s="178"/>
      <c r="G105" s="178"/>
      <c r="H105" s="178"/>
      <c r="I105" s="178"/>
      <c r="J105" s="178"/>
      <c r="K105" s="178"/>
    </row>
    <row r="106" spans="1:11" x14ac:dyDescent="0.25">
      <c r="A106" s="177"/>
      <c r="B106" s="178"/>
      <c r="C106" s="178"/>
      <c r="D106" s="178"/>
      <c r="E106" s="178"/>
      <c r="F106" s="178"/>
      <c r="G106" s="178"/>
      <c r="H106" s="178"/>
      <c r="I106" s="178"/>
      <c r="J106" s="178"/>
      <c r="K106" s="178"/>
    </row>
    <row r="107" spans="1:11" x14ac:dyDescent="0.25">
      <c r="A107" s="177"/>
      <c r="B107" s="178"/>
      <c r="C107" s="178"/>
      <c r="D107" s="178"/>
      <c r="E107" s="178"/>
      <c r="F107" s="178"/>
      <c r="G107" s="178"/>
      <c r="H107" s="178"/>
      <c r="I107" s="178"/>
      <c r="J107" s="178"/>
      <c r="K107" s="178"/>
    </row>
    <row r="108" spans="1:11" x14ac:dyDescent="0.25">
      <c r="A108" s="177"/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</row>
    <row r="109" spans="1:11" x14ac:dyDescent="0.25">
      <c r="A109" s="177"/>
      <c r="B109" s="178"/>
      <c r="C109" s="178"/>
      <c r="D109" s="178"/>
      <c r="E109" s="178"/>
      <c r="F109" s="178"/>
      <c r="G109" s="178"/>
      <c r="H109" s="178"/>
      <c r="I109" s="178"/>
      <c r="J109" s="178"/>
      <c r="K109" s="178"/>
    </row>
    <row r="110" spans="1:11" x14ac:dyDescent="0.25">
      <c r="A110" s="177"/>
      <c r="B110" s="178"/>
      <c r="C110" s="178"/>
      <c r="D110" s="178"/>
      <c r="E110" s="178"/>
      <c r="F110" s="178"/>
      <c r="G110" s="178"/>
      <c r="H110" s="178"/>
      <c r="I110" s="178"/>
      <c r="J110" s="178"/>
      <c r="K110" s="178"/>
    </row>
    <row r="111" spans="1:11" x14ac:dyDescent="0.25">
      <c r="A111" s="177"/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</row>
    <row r="112" spans="1:11" x14ac:dyDescent="0.25">
      <c r="A112" s="177"/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</row>
    <row r="113" spans="1:11" x14ac:dyDescent="0.25">
      <c r="A113" s="177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</row>
    <row r="114" spans="1:11" x14ac:dyDescent="0.25">
      <c r="A114" s="177"/>
      <c r="B114" s="178"/>
      <c r="C114" s="178"/>
      <c r="D114" s="178"/>
      <c r="E114" s="178"/>
      <c r="F114" s="178"/>
      <c r="G114" s="178"/>
      <c r="H114" s="178"/>
      <c r="I114" s="178"/>
      <c r="J114" s="178"/>
      <c r="K114" s="178"/>
    </row>
    <row r="115" spans="1:11" x14ac:dyDescent="0.25">
      <c r="A115" s="177"/>
      <c r="B115" s="178"/>
      <c r="C115" s="178"/>
      <c r="D115" s="178"/>
      <c r="E115" s="178"/>
      <c r="F115" s="178"/>
      <c r="G115" s="178"/>
      <c r="H115" s="178"/>
      <c r="I115" s="178"/>
      <c r="J115" s="178"/>
      <c r="K115" s="178"/>
    </row>
    <row r="116" spans="1:11" x14ac:dyDescent="0.25">
      <c r="A116" s="177"/>
      <c r="B116" s="178"/>
      <c r="C116" s="178"/>
      <c r="D116" s="178"/>
      <c r="E116" s="178"/>
      <c r="F116" s="178"/>
      <c r="G116" s="178"/>
      <c r="H116" s="178"/>
      <c r="I116" s="178"/>
      <c r="J116" s="178"/>
      <c r="K116" s="178"/>
    </row>
    <row r="117" spans="1:11" x14ac:dyDescent="0.25">
      <c r="A117" s="177"/>
      <c r="B117" s="178"/>
      <c r="C117" s="178"/>
      <c r="D117" s="178"/>
      <c r="E117" s="178"/>
      <c r="F117" s="178"/>
      <c r="G117" s="178"/>
      <c r="H117" s="178"/>
      <c r="I117" s="178"/>
      <c r="J117" s="178"/>
      <c r="K117" s="178"/>
    </row>
    <row r="118" spans="1:11" x14ac:dyDescent="0.25">
      <c r="A118" s="177"/>
      <c r="B118" s="178"/>
      <c r="C118" s="178"/>
      <c r="D118" s="178"/>
      <c r="E118" s="178"/>
      <c r="F118" s="178"/>
      <c r="G118" s="178"/>
      <c r="H118" s="178"/>
      <c r="I118" s="178"/>
      <c r="J118" s="178"/>
      <c r="K118" s="178"/>
    </row>
    <row r="119" spans="1:11" x14ac:dyDescent="0.25">
      <c r="A119" s="177"/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</row>
    <row r="120" spans="1:11" x14ac:dyDescent="0.25">
      <c r="A120" s="177"/>
      <c r="B120" s="178"/>
      <c r="C120" s="178"/>
      <c r="D120" s="178"/>
      <c r="E120" s="178"/>
      <c r="F120" s="178"/>
      <c r="G120" s="178"/>
      <c r="H120" s="178"/>
      <c r="I120" s="178"/>
      <c r="J120" s="178"/>
      <c r="K120" s="178"/>
    </row>
    <row r="121" spans="1:11" x14ac:dyDescent="0.25">
      <c r="A121" s="177"/>
      <c r="B121" s="178"/>
      <c r="C121" s="178"/>
      <c r="D121" s="178"/>
      <c r="E121" s="178"/>
      <c r="F121" s="178"/>
      <c r="G121" s="178"/>
      <c r="H121" s="178"/>
      <c r="I121" s="178"/>
      <c r="J121" s="178"/>
      <c r="K121" s="178"/>
    </row>
    <row r="122" spans="1:11" x14ac:dyDescent="0.25">
      <c r="A122" s="177"/>
      <c r="B122" s="178"/>
      <c r="C122" s="178"/>
      <c r="D122" s="178"/>
      <c r="E122" s="178"/>
      <c r="F122" s="178"/>
      <c r="G122" s="178"/>
      <c r="H122" s="178"/>
      <c r="I122" s="178"/>
      <c r="J122" s="178"/>
      <c r="K122" s="178"/>
    </row>
    <row r="123" spans="1:11" x14ac:dyDescent="0.25">
      <c r="A123" s="177"/>
      <c r="B123" s="178"/>
      <c r="C123" s="178"/>
      <c r="D123" s="178"/>
      <c r="E123" s="178"/>
      <c r="F123" s="178"/>
      <c r="G123" s="178"/>
      <c r="H123" s="178"/>
      <c r="I123" s="178"/>
      <c r="J123" s="178"/>
      <c r="K123" s="178"/>
    </row>
    <row r="124" spans="1:11" x14ac:dyDescent="0.25">
      <c r="A124" s="177"/>
      <c r="B124" s="178"/>
      <c r="C124" s="178"/>
      <c r="D124" s="178"/>
      <c r="E124" s="178"/>
      <c r="F124" s="178"/>
      <c r="G124" s="178"/>
      <c r="H124" s="178"/>
      <c r="I124" s="178"/>
      <c r="J124" s="178"/>
      <c r="K124" s="178"/>
    </row>
    <row r="125" spans="1:11" x14ac:dyDescent="0.25">
      <c r="A125" s="177"/>
      <c r="B125" s="178"/>
      <c r="C125" s="178"/>
      <c r="D125" s="178"/>
      <c r="E125" s="178"/>
      <c r="F125" s="178"/>
      <c r="G125" s="178"/>
      <c r="H125" s="178"/>
      <c r="I125" s="178"/>
      <c r="J125" s="178"/>
      <c r="K125" s="178"/>
    </row>
    <row r="126" spans="1:11" x14ac:dyDescent="0.25">
      <c r="A126" s="177"/>
      <c r="B126" s="178"/>
      <c r="C126" s="178"/>
      <c r="D126" s="178"/>
      <c r="E126" s="178"/>
      <c r="F126" s="178"/>
      <c r="G126" s="178"/>
      <c r="H126" s="178"/>
      <c r="I126" s="178"/>
      <c r="J126" s="178"/>
      <c r="K126" s="178"/>
    </row>
    <row r="127" spans="1:11" x14ac:dyDescent="0.25">
      <c r="A127" s="177"/>
      <c r="B127" s="178"/>
      <c r="C127" s="178"/>
      <c r="D127" s="178"/>
      <c r="E127" s="178"/>
      <c r="F127" s="178"/>
      <c r="G127" s="178"/>
      <c r="H127" s="178"/>
      <c r="I127" s="178"/>
      <c r="J127" s="178"/>
      <c r="K127" s="178"/>
    </row>
    <row r="128" spans="1:11" x14ac:dyDescent="0.25">
      <c r="A128" s="177"/>
      <c r="B128" s="178"/>
      <c r="C128" s="178"/>
      <c r="D128" s="178"/>
      <c r="E128" s="178"/>
      <c r="F128" s="178"/>
      <c r="G128" s="178"/>
      <c r="H128" s="178"/>
      <c r="I128" s="178"/>
      <c r="J128" s="178"/>
      <c r="K128" s="178"/>
    </row>
    <row r="129" spans="1:11" x14ac:dyDescent="0.25">
      <c r="A129" s="177"/>
      <c r="B129" s="178"/>
      <c r="C129" s="178"/>
      <c r="D129" s="178"/>
      <c r="E129" s="178"/>
      <c r="F129" s="178"/>
      <c r="G129" s="178"/>
      <c r="H129" s="178"/>
      <c r="I129" s="178"/>
      <c r="J129" s="178"/>
      <c r="K129" s="178"/>
    </row>
    <row r="130" spans="1:11" x14ac:dyDescent="0.25">
      <c r="A130" s="177"/>
      <c r="B130" s="178"/>
      <c r="C130" s="178"/>
      <c r="D130" s="178"/>
      <c r="E130" s="178"/>
      <c r="F130" s="178"/>
      <c r="G130" s="178"/>
      <c r="H130" s="178"/>
      <c r="I130" s="178"/>
      <c r="J130" s="178"/>
      <c r="K130" s="178"/>
    </row>
    <row r="131" spans="1:11" x14ac:dyDescent="0.25">
      <c r="A131" s="177"/>
      <c r="B131" s="178"/>
      <c r="C131" s="178"/>
      <c r="D131" s="178"/>
      <c r="E131" s="178"/>
      <c r="F131" s="178"/>
      <c r="G131" s="178"/>
      <c r="H131" s="178"/>
      <c r="I131" s="178"/>
      <c r="J131" s="178"/>
      <c r="K131" s="178"/>
    </row>
    <row r="132" spans="1:11" x14ac:dyDescent="0.25">
      <c r="A132" s="177"/>
      <c r="B132" s="178"/>
      <c r="C132" s="178"/>
      <c r="D132" s="178"/>
      <c r="E132" s="178"/>
      <c r="F132" s="178"/>
      <c r="G132" s="178"/>
      <c r="H132" s="178"/>
      <c r="I132" s="178"/>
      <c r="J132" s="178"/>
      <c r="K132" s="178"/>
    </row>
    <row r="133" spans="1:11" x14ac:dyDescent="0.25">
      <c r="A133" s="177"/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</row>
    <row r="134" spans="1:11" x14ac:dyDescent="0.25">
      <c r="A134" s="177"/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</row>
    <row r="135" spans="1:11" x14ac:dyDescent="0.25">
      <c r="A135" s="177"/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</row>
    <row r="136" spans="1:11" x14ac:dyDescent="0.25">
      <c r="A136" s="177"/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</row>
    <row r="137" spans="1:11" x14ac:dyDescent="0.25">
      <c r="A137" s="177"/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</row>
    <row r="138" spans="1:11" x14ac:dyDescent="0.25">
      <c r="A138" s="177"/>
      <c r="B138" s="178"/>
      <c r="C138" s="178"/>
      <c r="D138" s="178"/>
      <c r="E138" s="178"/>
      <c r="F138" s="178"/>
      <c r="G138" s="178"/>
      <c r="H138" s="178"/>
      <c r="I138" s="178"/>
      <c r="J138" s="178"/>
      <c r="K138" s="178"/>
    </row>
    <row r="139" spans="1:11" x14ac:dyDescent="0.25">
      <c r="A139" s="177"/>
      <c r="B139" s="178"/>
      <c r="C139" s="178"/>
      <c r="D139" s="178"/>
      <c r="E139" s="178"/>
      <c r="F139" s="178"/>
      <c r="G139" s="178"/>
      <c r="H139" s="178"/>
      <c r="I139" s="178"/>
      <c r="J139" s="178"/>
      <c r="K139" s="178"/>
    </row>
    <row r="140" spans="1:11" x14ac:dyDescent="0.25">
      <c r="A140" s="177"/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</row>
    <row r="141" spans="1:11" x14ac:dyDescent="0.25">
      <c r="A141" s="177"/>
      <c r="B141" s="178"/>
      <c r="C141" s="178"/>
      <c r="D141" s="178"/>
      <c r="E141" s="178"/>
      <c r="F141" s="178"/>
      <c r="G141" s="178"/>
      <c r="H141" s="178"/>
      <c r="I141" s="178"/>
      <c r="J141" s="178"/>
      <c r="K141" s="178"/>
    </row>
    <row r="142" spans="1:11" x14ac:dyDescent="0.25">
      <c r="A142" s="177"/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</row>
    <row r="143" spans="1:11" x14ac:dyDescent="0.25">
      <c r="A143" s="177"/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</row>
    <row r="144" spans="1:11" x14ac:dyDescent="0.25">
      <c r="A144" s="177"/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</row>
    <row r="145" spans="1:11" x14ac:dyDescent="0.25">
      <c r="A145" s="177"/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</row>
    <row r="146" spans="1:11" x14ac:dyDescent="0.25">
      <c r="A146" s="177"/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</row>
    <row r="147" spans="1:11" x14ac:dyDescent="0.25">
      <c r="A147" s="177"/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</row>
    <row r="148" spans="1:11" x14ac:dyDescent="0.25">
      <c r="A148" s="177"/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</row>
    <row r="149" spans="1:11" x14ac:dyDescent="0.25">
      <c r="A149" s="177"/>
    </row>
    <row r="150" spans="1:11" x14ac:dyDescent="0.25">
      <c r="A150" s="177"/>
    </row>
    <row r="151" spans="1:11" x14ac:dyDescent="0.25">
      <c r="A151" s="177"/>
    </row>
    <row r="152" spans="1:11" x14ac:dyDescent="0.25">
      <c r="A152" s="177"/>
    </row>
    <row r="153" spans="1:11" x14ac:dyDescent="0.25">
      <c r="A153" s="177"/>
    </row>
    <row r="154" spans="1:11" x14ac:dyDescent="0.25">
      <c r="A154" s="177"/>
    </row>
    <row r="155" spans="1:11" x14ac:dyDescent="0.25">
      <c r="A155" s="177"/>
    </row>
    <row r="156" spans="1:11" x14ac:dyDescent="0.25">
      <c r="A156" s="177"/>
    </row>
    <row r="157" spans="1:11" x14ac:dyDescent="0.25">
      <c r="A157" s="177"/>
    </row>
    <row r="158" spans="1:11" x14ac:dyDescent="0.25">
      <c r="A158" s="177"/>
    </row>
    <row r="159" spans="1:11" x14ac:dyDescent="0.25">
      <c r="A159" s="177"/>
    </row>
    <row r="160" spans="1:11" x14ac:dyDescent="0.25">
      <c r="A160" s="177"/>
    </row>
    <row r="161" spans="1:1" x14ac:dyDescent="0.25">
      <c r="A161" s="177"/>
    </row>
    <row r="162" spans="1:1" x14ac:dyDescent="0.25">
      <c r="A162" s="177"/>
    </row>
    <row r="163" spans="1:1" x14ac:dyDescent="0.25">
      <c r="A163" s="177"/>
    </row>
    <row r="164" spans="1:1" x14ac:dyDescent="0.25">
      <c r="A164" s="177"/>
    </row>
    <row r="165" spans="1:1" x14ac:dyDescent="0.25">
      <c r="A165" s="177"/>
    </row>
    <row r="166" spans="1:1" x14ac:dyDescent="0.25">
      <c r="A166" s="177"/>
    </row>
    <row r="167" spans="1:1" x14ac:dyDescent="0.25">
      <c r="A167" s="177"/>
    </row>
    <row r="168" spans="1:1" x14ac:dyDescent="0.25">
      <c r="A168" s="177"/>
    </row>
    <row r="169" spans="1:1" x14ac:dyDescent="0.25">
      <c r="A169" s="177"/>
    </row>
    <row r="170" spans="1:1" x14ac:dyDescent="0.25">
      <c r="A170" s="177"/>
    </row>
    <row r="171" spans="1:1" x14ac:dyDescent="0.25">
      <c r="A171" s="177"/>
    </row>
    <row r="172" spans="1:1" x14ac:dyDescent="0.25">
      <c r="A172" s="177"/>
    </row>
    <row r="173" spans="1:1" x14ac:dyDescent="0.25">
      <c r="A173" s="177"/>
    </row>
    <row r="174" spans="1:1" x14ac:dyDescent="0.25">
      <c r="A174" s="177"/>
    </row>
    <row r="175" spans="1:1" x14ac:dyDescent="0.25">
      <c r="A175" s="177"/>
    </row>
    <row r="176" spans="1:1" x14ac:dyDescent="0.25">
      <c r="A176" s="177"/>
    </row>
    <row r="177" spans="1:1" x14ac:dyDescent="0.25">
      <c r="A177" s="177"/>
    </row>
    <row r="178" spans="1:1" x14ac:dyDescent="0.25">
      <c r="A178" s="177"/>
    </row>
    <row r="179" spans="1:1" x14ac:dyDescent="0.25">
      <c r="A179" s="177"/>
    </row>
    <row r="180" spans="1:1" x14ac:dyDescent="0.25">
      <c r="A180" s="177"/>
    </row>
    <row r="181" spans="1:1" x14ac:dyDescent="0.25">
      <c r="A181" s="177"/>
    </row>
    <row r="182" spans="1:1" x14ac:dyDescent="0.25">
      <c r="A182" s="177"/>
    </row>
    <row r="183" spans="1:1" x14ac:dyDescent="0.25">
      <c r="A183" s="177"/>
    </row>
    <row r="184" spans="1:1" x14ac:dyDescent="0.25">
      <c r="A184" s="177"/>
    </row>
    <row r="185" spans="1:1" x14ac:dyDescent="0.25">
      <c r="A185" s="177"/>
    </row>
    <row r="186" spans="1:1" x14ac:dyDescent="0.25">
      <c r="A186" s="177"/>
    </row>
    <row r="187" spans="1:1" x14ac:dyDescent="0.25">
      <c r="A187" s="177"/>
    </row>
    <row r="188" spans="1:1" x14ac:dyDescent="0.25">
      <c r="A188" s="177"/>
    </row>
    <row r="189" spans="1:1" x14ac:dyDescent="0.25">
      <c r="A189" s="177"/>
    </row>
    <row r="190" spans="1:1" x14ac:dyDescent="0.25">
      <c r="A190" s="177"/>
    </row>
    <row r="191" spans="1:1" x14ac:dyDescent="0.25">
      <c r="A191" s="177"/>
    </row>
    <row r="192" spans="1:1" x14ac:dyDescent="0.25">
      <c r="A192" s="177"/>
    </row>
    <row r="193" spans="1:1" x14ac:dyDescent="0.25">
      <c r="A193" s="177"/>
    </row>
    <row r="194" spans="1:1" x14ac:dyDescent="0.25">
      <c r="A194" s="177"/>
    </row>
    <row r="195" spans="1:1" x14ac:dyDescent="0.25">
      <c r="A195" s="177"/>
    </row>
    <row r="196" spans="1:1" x14ac:dyDescent="0.25">
      <c r="A196" s="177"/>
    </row>
    <row r="197" spans="1:1" x14ac:dyDescent="0.25">
      <c r="A197" s="177"/>
    </row>
    <row r="198" spans="1:1" x14ac:dyDescent="0.25">
      <c r="A198" s="177"/>
    </row>
    <row r="199" spans="1:1" x14ac:dyDescent="0.25">
      <c r="A199" s="177"/>
    </row>
    <row r="200" spans="1:1" x14ac:dyDescent="0.25">
      <c r="A200" s="177"/>
    </row>
    <row r="201" spans="1:1" x14ac:dyDescent="0.25">
      <c r="A201" s="177"/>
    </row>
    <row r="202" spans="1:1" x14ac:dyDescent="0.25">
      <c r="A202" s="177"/>
    </row>
    <row r="203" spans="1:1" x14ac:dyDescent="0.25">
      <c r="A203" s="177"/>
    </row>
    <row r="204" spans="1:1" x14ac:dyDescent="0.25">
      <c r="A204" s="177"/>
    </row>
    <row r="205" spans="1:1" x14ac:dyDescent="0.25">
      <c r="A205" s="177"/>
    </row>
    <row r="206" spans="1:1" x14ac:dyDescent="0.25">
      <c r="A206" s="177"/>
    </row>
    <row r="207" spans="1:1" x14ac:dyDescent="0.25">
      <c r="A207" s="177"/>
    </row>
    <row r="208" spans="1:1" x14ac:dyDescent="0.25">
      <c r="A208" s="177"/>
    </row>
    <row r="209" spans="1:1" x14ac:dyDescent="0.25">
      <c r="A209" s="177"/>
    </row>
    <row r="210" spans="1:1" x14ac:dyDescent="0.25">
      <c r="A210" s="177"/>
    </row>
    <row r="211" spans="1:1" x14ac:dyDescent="0.25">
      <c r="A211" s="177"/>
    </row>
    <row r="212" spans="1:1" x14ac:dyDescent="0.25">
      <c r="A212" s="177"/>
    </row>
    <row r="213" spans="1:1" x14ac:dyDescent="0.25">
      <c r="A213" s="177"/>
    </row>
    <row r="214" spans="1:1" x14ac:dyDescent="0.25">
      <c r="A214" s="177"/>
    </row>
    <row r="215" spans="1:1" x14ac:dyDescent="0.25">
      <c r="A215" s="177"/>
    </row>
    <row r="216" spans="1:1" x14ac:dyDescent="0.25">
      <c r="A216" s="177"/>
    </row>
    <row r="217" spans="1:1" x14ac:dyDescent="0.25">
      <c r="A217" s="177"/>
    </row>
    <row r="218" spans="1:1" x14ac:dyDescent="0.25">
      <c r="A218" s="177"/>
    </row>
    <row r="219" spans="1:1" x14ac:dyDescent="0.25">
      <c r="A219" s="177"/>
    </row>
    <row r="220" spans="1:1" x14ac:dyDescent="0.25">
      <c r="A220" s="177"/>
    </row>
    <row r="221" spans="1:1" x14ac:dyDescent="0.25">
      <c r="A221" s="177"/>
    </row>
    <row r="222" spans="1:1" x14ac:dyDescent="0.25">
      <c r="A222" s="177"/>
    </row>
    <row r="223" spans="1:1" x14ac:dyDescent="0.25">
      <c r="A223" s="177"/>
    </row>
    <row r="224" spans="1:1" x14ac:dyDescent="0.25">
      <c r="A224" s="177"/>
    </row>
    <row r="225" spans="1:1" x14ac:dyDescent="0.25">
      <c r="A225" s="177"/>
    </row>
    <row r="226" spans="1:1" x14ac:dyDescent="0.25">
      <c r="A226" s="177"/>
    </row>
    <row r="227" spans="1:1" x14ac:dyDescent="0.25">
      <c r="A227" s="177"/>
    </row>
    <row r="228" spans="1:1" x14ac:dyDescent="0.25">
      <c r="A228" s="177"/>
    </row>
    <row r="229" spans="1:1" x14ac:dyDescent="0.25">
      <c r="A229" s="177"/>
    </row>
    <row r="230" spans="1:1" x14ac:dyDescent="0.25">
      <c r="A230" s="177"/>
    </row>
    <row r="231" spans="1:1" x14ac:dyDescent="0.25">
      <c r="A231" s="177"/>
    </row>
    <row r="232" spans="1:1" x14ac:dyDescent="0.25">
      <c r="A232" s="177"/>
    </row>
    <row r="233" spans="1:1" x14ac:dyDescent="0.25">
      <c r="A233" s="177"/>
    </row>
    <row r="234" spans="1:1" x14ac:dyDescent="0.25">
      <c r="A234" s="177"/>
    </row>
    <row r="235" spans="1:1" x14ac:dyDescent="0.25">
      <c r="A235" s="177"/>
    </row>
    <row r="236" spans="1:1" x14ac:dyDescent="0.25">
      <c r="A236" s="177"/>
    </row>
    <row r="237" spans="1:1" x14ac:dyDescent="0.25">
      <c r="A237" s="177"/>
    </row>
    <row r="238" spans="1:1" x14ac:dyDescent="0.25">
      <c r="A238" s="177"/>
    </row>
    <row r="239" spans="1:1" x14ac:dyDescent="0.25">
      <c r="A239" s="177"/>
    </row>
    <row r="240" spans="1:1" x14ac:dyDescent="0.25">
      <c r="A240" s="177"/>
    </row>
    <row r="241" spans="1:1" x14ac:dyDescent="0.25">
      <c r="A241" s="177"/>
    </row>
    <row r="242" spans="1:1" x14ac:dyDescent="0.25">
      <c r="A242" s="177"/>
    </row>
    <row r="243" spans="1:1" x14ac:dyDescent="0.25">
      <c r="A243" s="177"/>
    </row>
    <row r="244" spans="1:1" x14ac:dyDescent="0.25">
      <c r="A244" s="177"/>
    </row>
    <row r="245" spans="1:1" x14ac:dyDescent="0.25">
      <c r="A245" s="177"/>
    </row>
    <row r="246" spans="1:1" x14ac:dyDescent="0.25">
      <c r="A246" s="177"/>
    </row>
    <row r="247" spans="1:1" x14ac:dyDescent="0.25">
      <c r="A247" s="177"/>
    </row>
    <row r="248" spans="1:1" x14ac:dyDescent="0.25">
      <c r="A248" s="177"/>
    </row>
    <row r="249" spans="1:1" x14ac:dyDescent="0.25">
      <c r="A249" s="177"/>
    </row>
    <row r="250" spans="1:1" x14ac:dyDescent="0.25">
      <c r="A250" s="177"/>
    </row>
    <row r="251" spans="1:1" x14ac:dyDescent="0.25">
      <c r="A251" s="177"/>
    </row>
    <row r="252" spans="1:1" x14ac:dyDescent="0.25">
      <c r="A252" s="177"/>
    </row>
    <row r="253" spans="1:1" x14ac:dyDescent="0.25">
      <c r="A253" s="177"/>
    </row>
    <row r="254" spans="1:1" x14ac:dyDescent="0.25">
      <c r="A254" s="177"/>
    </row>
    <row r="255" spans="1:1" x14ac:dyDescent="0.25">
      <c r="A255" s="177"/>
    </row>
    <row r="256" spans="1:1" x14ac:dyDescent="0.25">
      <c r="A256" s="177"/>
    </row>
    <row r="257" spans="1:1" x14ac:dyDescent="0.25">
      <c r="A257" s="177"/>
    </row>
    <row r="258" spans="1:1" x14ac:dyDescent="0.25">
      <c r="A258" s="177"/>
    </row>
    <row r="259" spans="1:1" x14ac:dyDescent="0.25">
      <c r="A259" s="177"/>
    </row>
    <row r="260" spans="1:1" x14ac:dyDescent="0.25">
      <c r="A260" s="177"/>
    </row>
    <row r="261" spans="1:1" x14ac:dyDescent="0.25">
      <c r="A261" s="177"/>
    </row>
    <row r="262" spans="1:1" x14ac:dyDescent="0.25">
      <c r="A262" s="177"/>
    </row>
    <row r="263" spans="1:1" x14ac:dyDescent="0.25">
      <c r="A263" s="177"/>
    </row>
    <row r="264" spans="1:1" x14ac:dyDescent="0.25">
      <c r="A264" s="177"/>
    </row>
    <row r="265" spans="1:1" x14ac:dyDescent="0.25">
      <c r="A265" s="177"/>
    </row>
    <row r="266" spans="1:1" x14ac:dyDescent="0.25">
      <c r="A266" s="177"/>
    </row>
    <row r="267" spans="1:1" x14ac:dyDescent="0.25">
      <c r="A267" s="177"/>
    </row>
    <row r="268" spans="1:1" x14ac:dyDescent="0.25">
      <c r="A268" s="177"/>
    </row>
    <row r="269" spans="1:1" x14ac:dyDescent="0.25">
      <c r="A269" s="177"/>
    </row>
    <row r="270" spans="1:1" x14ac:dyDescent="0.25">
      <c r="A270" s="177"/>
    </row>
    <row r="271" spans="1:1" x14ac:dyDescent="0.25">
      <c r="A271" s="177"/>
    </row>
    <row r="272" spans="1:1" x14ac:dyDescent="0.25">
      <c r="A272" s="177"/>
    </row>
    <row r="273" spans="1:1" x14ac:dyDescent="0.25">
      <c r="A273" s="177"/>
    </row>
    <row r="274" spans="1:1" x14ac:dyDescent="0.25">
      <c r="A274" s="177"/>
    </row>
    <row r="275" spans="1:1" x14ac:dyDescent="0.25">
      <c r="A275" s="177"/>
    </row>
    <row r="276" spans="1:1" x14ac:dyDescent="0.25">
      <c r="A276" s="177"/>
    </row>
    <row r="277" spans="1:1" x14ac:dyDescent="0.25">
      <c r="A277" s="177"/>
    </row>
    <row r="278" spans="1:1" x14ac:dyDescent="0.25">
      <c r="A278" s="177"/>
    </row>
    <row r="279" spans="1:1" x14ac:dyDescent="0.25">
      <c r="A279" s="177"/>
    </row>
    <row r="280" spans="1:1" x14ac:dyDescent="0.25">
      <c r="A280" s="177"/>
    </row>
    <row r="281" spans="1:1" x14ac:dyDescent="0.25">
      <c r="A281" s="177"/>
    </row>
    <row r="282" spans="1:1" x14ac:dyDescent="0.25">
      <c r="A282" s="177"/>
    </row>
    <row r="283" spans="1:1" x14ac:dyDescent="0.25">
      <c r="A283" s="177"/>
    </row>
    <row r="284" spans="1:1" x14ac:dyDescent="0.25">
      <c r="A284" s="177"/>
    </row>
    <row r="285" spans="1:1" x14ac:dyDescent="0.25">
      <c r="A285" s="177"/>
    </row>
    <row r="286" spans="1:1" x14ac:dyDescent="0.25">
      <c r="A286" s="177"/>
    </row>
    <row r="287" spans="1:1" x14ac:dyDescent="0.25">
      <c r="A287" s="177"/>
    </row>
    <row r="288" spans="1:1" x14ac:dyDescent="0.25">
      <c r="A288" s="177"/>
    </row>
    <row r="289" spans="1:1" x14ac:dyDescent="0.25">
      <c r="A289" s="177"/>
    </row>
    <row r="290" spans="1:1" x14ac:dyDescent="0.25">
      <c r="A290" s="177"/>
    </row>
    <row r="291" spans="1:1" x14ac:dyDescent="0.25">
      <c r="A291" s="177"/>
    </row>
    <row r="292" spans="1:1" x14ac:dyDescent="0.25">
      <c r="A292" s="177"/>
    </row>
    <row r="293" spans="1:1" x14ac:dyDescent="0.25">
      <c r="A293" s="177"/>
    </row>
    <row r="294" spans="1:1" x14ac:dyDescent="0.25">
      <c r="A294" s="177"/>
    </row>
    <row r="295" spans="1:1" x14ac:dyDescent="0.25">
      <c r="A295" s="177"/>
    </row>
    <row r="296" spans="1:1" x14ac:dyDescent="0.25">
      <c r="A296" s="177"/>
    </row>
    <row r="297" spans="1:1" x14ac:dyDescent="0.25">
      <c r="A297" s="177"/>
    </row>
    <row r="298" spans="1:1" x14ac:dyDescent="0.25">
      <c r="A298" s="177"/>
    </row>
    <row r="299" spans="1:1" x14ac:dyDescent="0.25">
      <c r="A299" s="177"/>
    </row>
    <row r="300" spans="1:1" x14ac:dyDescent="0.25">
      <c r="A300" s="177"/>
    </row>
    <row r="301" spans="1:1" x14ac:dyDescent="0.25">
      <c r="A301" s="177"/>
    </row>
    <row r="302" spans="1:1" x14ac:dyDescent="0.25">
      <c r="A302" s="177"/>
    </row>
    <row r="303" spans="1:1" x14ac:dyDescent="0.25">
      <c r="A303" s="177"/>
    </row>
    <row r="304" spans="1:1" x14ac:dyDescent="0.25">
      <c r="A304" s="177"/>
    </row>
    <row r="305" spans="1:1" x14ac:dyDescent="0.25">
      <c r="A305" s="177"/>
    </row>
    <row r="306" spans="1:1" x14ac:dyDescent="0.25">
      <c r="A306" s="177"/>
    </row>
    <row r="307" spans="1:1" x14ac:dyDescent="0.25">
      <c r="A307" s="177"/>
    </row>
    <row r="308" spans="1:1" x14ac:dyDescent="0.25">
      <c r="A308" s="177"/>
    </row>
    <row r="309" spans="1:1" x14ac:dyDescent="0.25">
      <c r="A309" s="177"/>
    </row>
    <row r="310" spans="1:1" x14ac:dyDescent="0.25">
      <c r="A310" s="177"/>
    </row>
    <row r="311" spans="1:1" x14ac:dyDescent="0.25">
      <c r="A311" s="177"/>
    </row>
    <row r="312" spans="1:1" x14ac:dyDescent="0.25">
      <c r="A312" s="177"/>
    </row>
    <row r="313" spans="1:1" x14ac:dyDescent="0.25">
      <c r="A313" s="177"/>
    </row>
    <row r="314" spans="1:1" x14ac:dyDescent="0.25">
      <c r="A314" s="177"/>
    </row>
    <row r="315" spans="1:1" x14ac:dyDescent="0.25">
      <c r="A315" s="177"/>
    </row>
    <row r="316" spans="1:1" x14ac:dyDescent="0.25">
      <c r="A316" s="177"/>
    </row>
    <row r="317" spans="1:1" x14ac:dyDescent="0.25">
      <c r="A317" s="177"/>
    </row>
    <row r="318" spans="1:1" x14ac:dyDescent="0.25">
      <c r="A318" s="177"/>
    </row>
    <row r="319" spans="1:1" x14ac:dyDescent="0.25">
      <c r="A319" s="177"/>
    </row>
    <row r="320" spans="1:1" x14ac:dyDescent="0.25">
      <c r="A320" s="177"/>
    </row>
    <row r="321" spans="1:1" x14ac:dyDescent="0.25">
      <c r="A321" s="177"/>
    </row>
    <row r="322" spans="1:1" x14ac:dyDescent="0.25">
      <c r="A322" s="177"/>
    </row>
    <row r="323" spans="1:1" x14ac:dyDescent="0.25">
      <c r="A323" s="177"/>
    </row>
    <row r="324" spans="1:1" x14ac:dyDescent="0.25">
      <c r="A324" s="177"/>
    </row>
    <row r="325" spans="1:1" x14ac:dyDescent="0.25">
      <c r="A325" s="177"/>
    </row>
    <row r="326" spans="1:1" x14ac:dyDescent="0.25">
      <c r="A326" s="177"/>
    </row>
    <row r="327" spans="1:1" x14ac:dyDescent="0.25">
      <c r="A327" s="177"/>
    </row>
    <row r="328" spans="1:1" x14ac:dyDescent="0.25">
      <c r="A328" s="177"/>
    </row>
    <row r="329" spans="1:1" x14ac:dyDescent="0.25">
      <c r="A329" s="177"/>
    </row>
    <row r="330" spans="1:1" x14ac:dyDescent="0.25">
      <c r="A330" s="177"/>
    </row>
    <row r="331" spans="1:1" x14ac:dyDescent="0.25">
      <c r="A331" s="177"/>
    </row>
    <row r="332" spans="1:1" x14ac:dyDescent="0.25">
      <c r="A332" s="177"/>
    </row>
    <row r="333" spans="1:1" x14ac:dyDescent="0.25">
      <c r="A333" s="177"/>
    </row>
    <row r="334" spans="1:1" x14ac:dyDescent="0.25">
      <c r="A334" s="177"/>
    </row>
    <row r="335" spans="1:1" x14ac:dyDescent="0.25">
      <c r="A335" s="177"/>
    </row>
    <row r="336" spans="1:1" x14ac:dyDescent="0.25">
      <c r="A336" s="177"/>
    </row>
    <row r="337" spans="1:1" x14ac:dyDescent="0.25">
      <c r="A337" s="177"/>
    </row>
    <row r="338" spans="1:1" x14ac:dyDescent="0.25">
      <c r="A338" s="177"/>
    </row>
    <row r="339" spans="1:1" x14ac:dyDescent="0.25">
      <c r="A339" s="177"/>
    </row>
    <row r="340" spans="1:1" x14ac:dyDescent="0.25">
      <c r="A340" s="177"/>
    </row>
    <row r="341" spans="1:1" x14ac:dyDescent="0.25">
      <c r="A341" s="177"/>
    </row>
    <row r="342" spans="1:1" x14ac:dyDescent="0.25">
      <c r="A342" s="177"/>
    </row>
    <row r="343" spans="1:1" x14ac:dyDescent="0.25">
      <c r="A343" s="177"/>
    </row>
    <row r="344" spans="1:1" x14ac:dyDescent="0.25">
      <c r="A344" s="177"/>
    </row>
    <row r="345" spans="1:1" x14ac:dyDescent="0.25">
      <c r="A345" s="177"/>
    </row>
    <row r="346" spans="1:1" x14ac:dyDescent="0.25">
      <c r="A346" s="177"/>
    </row>
    <row r="347" spans="1:1" x14ac:dyDescent="0.25">
      <c r="A347" s="177"/>
    </row>
    <row r="348" spans="1:1" x14ac:dyDescent="0.25">
      <c r="A348" s="177"/>
    </row>
    <row r="349" spans="1:1" x14ac:dyDescent="0.25">
      <c r="A349" s="177"/>
    </row>
    <row r="350" spans="1:1" x14ac:dyDescent="0.25">
      <c r="A350" s="177"/>
    </row>
    <row r="351" spans="1:1" x14ac:dyDescent="0.25">
      <c r="A351" s="177"/>
    </row>
    <row r="352" spans="1:1" x14ac:dyDescent="0.25">
      <c r="A352" s="177"/>
    </row>
    <row r="353" spans="1:1" x14ac:dyDescent="0.25">
      <c r="A353" s="177"/>
    </row>
    <row r="354" spans="1:1" x14ac:dyDescent="0.25">
      <c r="A354" s="177"/>
    </row>
    <row r="355" spans="1:1" x14ac:dyDescent="0.25">
      <c r="A355" s="177"/>
    </row>
    <row r="356" spans="1:1" x14ac:dyDescent="0.25">
      <c r="A356" s="177"/>
    </row>
    <row r="357" spans="1:1" x14ac:dyDescent="0.25">
      <c r="A357" s="177"/>
    </row>
    <row r="358" spans="1:1" x14ac:dyDescent="0.25">
      <c r="A358" s="177"/>
    </row>
    <row r="359" spans="1:1" x14ac:dyDescent="0.25">
      <c r="A359" s="177"/>
    </row>
    <row r="360" spans="1:1" x14ac:dyDescent="0.25">
      <c r="A360" s="177"/>
    </row>
    <row r="361" spans="1:1" x14ac:dyDescent="0.25">
      <c r="A361" s="177"/>
    </row>
    <row r="362" spans="1:1" x14ac:dyDescent="0.25">
      <c r="A362" s="177"/>
    </row>
    <row r="363" spans="1:1" x14ac:dyDescent="0.25">
      <c r="A363" s="177"/>
    </row>
    <row r="364" spans="1:1" x14ac:dyDescent="0.25">
      <c r="A364" s="177"/>
    </row>
    <row r="365" spans="1:1" x14ac:dyDescent="0.25">
      <c r="A365" s="177"/>
    </row>
    <row r="366" spans="1:1" x14ac:dyDescent="0.25">
      <c r="A366" s="177"/>
    </row>
    <row r="367" spans="1:1" x14ac:dyDescent="0.25">
      <c r="A367" s="177"/>
    </row>
    <row r="368" spans="1:1" x14ac:dyDescent="0.25">
      <c r="A368" s="177"/>
    </row>
    <row r="369" spans="1:1" x14ac:dyDescent="0.25">
      <c r="A369" s="177"/>
    </row>
    <row r="370" spans="1:1" x14ac:dyDescent="0.25">
      <c r="A370" s="177"/>
    </row>
    <row r="371" spans="1:1" x14ac:dyDescent="0.25">
      <c r="A371" s="177"/>
    </row>
    <row r="372" spans="1:1" x14ac:dyDescent="0.25">
      <c r="A372" s="177"/>
    </row>
    <row r="373" spans="1:1" x14ac:dyDescent="0.25">
      <c r="A373" s="177"/>
    </row>
    <row r="374" spans="1:1" x14ac:dyDescent="0.25">
      <c r="A374" s="177"/>
    </row>
    <row r="375" spans="1:1" x14ac:dyDescent="0.25">
      <c r="A375" s="177"/>
    </row>
    <row r="376" spans="1:1" x14ac:dyDescent="0.25">
      <c r="A376" s="177"/>
    </row>
    <row r="377" spans="1:1" x14ac:dyDescent="0.25">
      <c r="A377" s="177"/>
    </row>
    <row r="378" spans="1:1" x14ac:dyDescent="0.25">
      <c r="A378" s="177"/>
    </row>
    <row r="379" spans="1:1" x14ac:dyDescent="0.25">
      <c r="A379" s="177"/>
    </row>
    <row r="380" spans="1:1" x14ac:dyDescent="0.25">
      <c r="A380" s="177"/>
    </row>
    <row r="381" spans="1:1" x14ac:dyDescent="0.25">
      <c r="A381" s="177"/>
    </row>
    <row r="382" spans="1:1" x14ac:dyDescent="0.25">
      <c r="A382" s="177"/>
    </row>
    <row r="383" spans="1:1" x14ac:dyDescent="0.25">
      <c r="A383" s="177"/>
    </row>
    <row r="384" spans="1:1" x14ac:dyDescent="0.25">
      <c r="A384" s="177"/>
    </row>
    <row r="385" spans="1:1" x14ac:dyDescent="0.25">
      <c r="A385" s="177"/>
    </row>
    <row r="386" spans="1:1" x14ac:dyDescent="0.25">
      <c r="A386" s="177"/>
    </row>
    <row r="387" spans="1:1" x14ac:dyDescent="0.25">
      <c r="A387" s="177"/>
    </row>
    <row r="388" spans="1:1" x14ac:dyDescent="0.25">
      <c r="A388" s="177"/>
    </row>
    <row r="389" spans="1:1" x14ac:dyDescent="0.25">
      <c r="A389" s="177"/>
    </row>
    <row r="390" spans="1:1" x14ac:dyDescent="0.25">
      <c r="A390" s="177"/>
    </row>
    <row r="391" spans="1:1" x14ac:dyDescent="0.25">
      <c r="A391" s="177"/>
    </row>
    <row r="392" spans="1:1" x14ac:dyDescent="0.25">
      <c r="A392" s="177"/>
    </row>
    <row r="393" spans="1:1" x14ac:dyDescent="0.25">
      <c r="A393" s="177"/>
    </row>
    <row r="394" spans="1:1" x14ac:dyDescent="0.25">
      <c r="A394" s="177"/>
    </row>
    <row r="395" spans="1:1" x14ac:dyDescent="0.25">
      <c r="A395" s="177"/>
    </row>
    <row r="396" spans="1:1" x14ac:dyDescent="0.25">
      <c r="A396" s="177"/>
    </row>
    <row r="397" spans="1:1" x14ac:dyDescent="0.25">
      <c r="A397" s="177"/>
    </row>
    <row r="398" spans="1:1" x14ac:dyDescent="0.25">
      <c r="A398" s="177"/>
    </row>
    <row r="399" spans="1:1" x14ac:dyDescent="0.25">
      <c r="A399" s="177"/>
    </row>
    <row r="400" spans="1:1" x14ac:dyDescent="0.25">
      <c r="A400" s="177"/>
    </row>
    <row r="401" spans="1:1" x14ac:dyDescent="0.25">
      <c r="A401" s="177"/>
    </row>
    <row r="402" spans="1:1" x14ac:dyDescent="0.25">
      <c r="A402" s="177"/>
    </row>
    <row r="403" spans="1:1" x14ac:dyDescent="0.25">
      <c r="A403" s="177"/>
    </row>
    <row r="404" spans="1:1" x14ac:dyDescent="0.25">
      <c r="A404" s="177"/>
    </row>
    <row r="405" spans="1:1" x14ac:dyDescent="0.25">
      <c r="A405" s="177"/>
    </row>
    <row r="406" spans="1:1" x14ac:dyDescent="0.25">
      <c r="A406" s="177"/>
    </row>
    <row r="407" spans="1:1" x14ac:dyDescent="0.25">
      <c r="A407" s="177"/>
    </row>
    <row r="408" spans="1:1" x14ac:dyDescent="0.25">
      <c r="A408" s="177"/>
    </row>
    <row r="409" spans="1:1" x14ac:dyDescent="0.25">
      <c r="A409" s="177"/>
    </row>
    <row r="410" spans="1:1" x14ac:dyDescent="0.25">
      <c r="A410" s="177"/>
    </row>
    <row r="411" spans="1:1" x14ac:dyDescent="0.25">
      <c r="A411" s="177"/>
    </row>
    <row r="412" spans="1:1" x14ac:dyDescent="0.25">
      <c r="A412" s="177"/>
    </row>
    <row r="413" spans="1:1" x14ac:dyDescent="0.25">
      <c r="A413" s="177"/>
    </row>
    <row r="414" spans="1:1" x14ac:dyDescent="0.25">
      <c r="A414" s="177"/>
    </row>
    <row r="415" spans="1:1" x14ac:dyDescent="0.25">
      <c r="A415" s="177"/>
    </row>
    <row r="416" spans="1:1" x14ac:dyDescent="0.25">
      <c r="A416" s="177"/>
    </row>
    <row r="417" spans="1:1" x14ac:dyDescent="0.25">
      <c r="A417" s="177"/>
    </row>
    <row r="418" spans="1:1" x14ac:dyDescent="0.25">
      <c r="A418" s="177"/>
    </row>
    <row r="419" spans="1:1" x14ac:dyDescent="0.25">
      <c r="A419" s="177"/>
    </row>
    <row r="420" spans="1:1" x14ac:dyDescent="0.25">
      <c r="A420" s="177"/>
    </row>
    <row r="421" spans="1:1" x14ac:dyDescent="0.25">
      <c r="A421" s="177"/>
    </row>
    <row r="422" spans="1:1" x14ac:dyDescent="0.25">
      <c r="A422" s="177"/>
    </row>
    <row r="423" spans="1:1" x14ac:dyDescent="0.25">
      <c r="A423" s="177"/>
    </row>
    <row r="424" spans="1:1" x14ac:dyDescent="0.25">
      <c r="A424" s="177"/>
    </row>
    <row r="425" spans="1:1" x14ac:dyDescent="0.25">
      <c r="A425" s="177"/>
    </row>
    <row r="426" spans="1:1" x14ac:dyDescent="0.25">
      <c r="A426" s="177"/>
    </row>
    <row r="427" spans="1:1" x14ac:dyDescent="0.25">
      <c r="A427" s="177"/>
    </row>
    <row r="428" spans="1:1" x14ac:dyDescent="0.25">
      <c r="A428" s="177"/>
    </row>
    <row r="429" spans="1:1" x14ac:dyDescent="0.25">
      <c r="A429" s="177"/>
    </row>
    <row r="430" spans="1:1" x14ac:dyDescent="0.25">
      <c r="A430" s="177"/>
    </row>
    <row r="431" spans="1:1" x14ac:dyDescent="0.25">
      <c r="A431" s="177"/>
    </row>
    <row r="432" spans="1:1" x14ac:dyDescent="0.25">
      <c r="A432" s="177"/>
    </row>
    <row r="433" spans="1:1" x14ac:dyDescent="0.25">
      <c r="A433" s="177"/>
    </row>
    <row r="434" spans="1:1" x14ac:dyDescent="0.25">
      <c r="A434" s="177"/>
    </row>
    <row r="435" spans="1:1" x14ac:dyDescent="0.25">
      <c r="A435" s="177"/>
    </row>
    <row r="436" spans="1:1" x14ac:dyDescent="0.25">
      <c r="A436" s="177"/>
    </row>
    <row r="437" spans="1:1" x14ac:dyDescent="0.25">
      <c r="A437" s="177"/>
    </row>
    <row r="438" spans="1:1" x14ac:dyDescent="0.25">
      <c r="A438" s="177"/>
    </row>
    <row r="439" spans="1:1" x14ac:dyDescent="0.25">
      <c r="A439" s="177"/>
    </row>
    <row r="440" spans="1:1" x14ac:dyDescent="0.25">
      <c r="A440" s="177"/>
    </row>
    <row r="441" spans="1:1" x14ac:dyDescent="0.25">
      <c r="A441" s="177"/>
    </row>
    <row r="442" spans="1:1" x14ac:dyDescent="0.25">
      <c r="A442" s="177"/>
    </row>
    <row r="443" spans="1:1" x14ac:dyDescent="0.25">
      <c r="A443" s="177"/>
    </row>
    <row r="444" spans="1:1" x14ac:dyDescent="0.25">
      <c r="A444" s="177"/>
    </row>
    <row r="445" spans="1:1" x14ac:dyDescent="0.25">
      <c r="A445" s="177"/>
    </row>
    <row r="446" spans="1:1" x14ac:dyDescent="0.25">
      <c r="A446" s="177"/>
    </row>
    <row r="447" spans="1:1" x14ac:dyDescent="0.25">
      <c r="A447" s="177"/>
    </row>
    <row r="448" spans="1:1" x14ac:dyDescent="0.25">
      <c r="A448" s="177"/>
    </row>
    <row r="449" spans="1:1" x14ac:dyDescent="0.25">
      <c r="A449" s="177"/>
    </row>
    <row r="450" spans="1:1" x14ac:dyDescent="0.25">
      <c r="A450" s="177"/>
    </row>
    <row r="451" spans="1:1" x14ac:dyDescent="0.25">
      <c r="A451" s="177"/>
    </row>
    <row r="452" spans="1:1" x14ac:dyDescent="0.25">
      <c r="A452" s="177"/>
    </row>
    <row r="453" spans="1:1" x14ac:dyDescent="0.25">
      <c r="A453" s="177"/>
    </row>
    <row r="454" spans="1:1" x14ac:dyDescent="0.25">
      <c r="A454" s="177"/>
    </row>
    <row r="455" spans="1:1" x14ac:dyDescent="0.25">
      <c r="A455" s="177"/>
    </row>
    <row r="456" spans="1:1" x14ac:dyDescent="0.25">
      <c r="A456" s="177"/>
    </row>
    <row r="457" spans="1:1" x14ac:dyDescent="0.25">
      <c r="A457" s="177"/>
    </row>
    <row r="458" spans="1:1" x14ac:dyDescent="0.25">
      <c r="A458" s="177"/>
    </row>
    <row r="459" spans="1:1" x14ac:dyDescent="0.25">
      <c r="A459" s="177"/>
    </row>
    <row r="460" spans="1:1" x14ac:dyDescent="0.25">
      <c r="A460" s="177"/>
    </row>
    <row r="461" spans="1:1" x14ac:dyDescent="0.25">
      <c r="A461" s="177"/>
    </row>
    <row r="462" spans="1:1" x14ac:dyDescent="0.25">
      <c r="A462" s="177"/>
    </row>
    <row r="463" spans="1:1" x14ac:dyDescent="0.25">
      <c r="A463" s="177"/>
    </row>
    <row r="464" spans="1:1" x14ac:dyDescent="0.25">
      <c r="A464" s="177"/>
    </row>
    <row r="465" spans="1:1" x14ac:dyDescent="0.25">
      <c r="A465" s="177"/>
    </row>
    <row r="466" spans="1:1" x14ac:dyDescent="0.25">
      <c r="A466" s="177"/>
    </row>
    <row r="467" spans="1:1" x14ac:dyDescent="0.25">
      <c r="A467" s="177"/>
    </row>
    <row r="468" spans="1:1" x14ac:dyDescent="0.25">
      <c r="A468" s="177"/>
    </row>
    <row r="469" spans="1:1" x14ac:dyDescent="0.25">
      <c r="A469" s="177"/>
    </row>
    <row r="470" spans="1:1" x14ac:dyDescent="0.25">
      <c r="A470" s="177"/>
    </row>
    <row r="471" spans="1:1" x14ac:dyDescent="0.25">
      <c r="A471" s="177"/>
    </row>
    <row r="472" spans="1:1" x14ac:dyDescent="0.25">
      <c r="A472" s="177"/>
    </row>
    <row r="473" spans="1:1" x14ac:dyDescent="0.25">
      <c r="A473" s="177"/>
    </row>
    <row r="474" spans="1:1" x14ac:dyDescent="0.25">
      <c r="A474" s="177"/>
    </row>
    <row r="475" spans="1:1" x14ac:dyDescent="0.25">
      <c r="A475" s="177"/>
    </row>
    <row r="476" spans="1:1" x14ac:dyDescent="0.25">
      <c r="A476" s="177"/>
    </row>
    <row r="477" spans="1:1" x14ac:dyDescent="0.25">
      <c r="A477" s="177"/>
    </row>
    <row r="478" spans="1:1" x14ac:dyDescent="0.25">
      <c r="A478" s="177"/>
    </row>
    <row r="479" spans="1:1" x14ac:dyDescent="0.25">
      <c r="A479" s="177"/>
    </row>
    <row r="480" spans="1:1" x14ac:dyDescent="0.25">
      <c r="A480" s="177"/>
    </row>
    <row r="481" spans="1:1" x14ac:dyDescent="0.25">
      <c r="A481" s="177"/>
    </row>
    <row r="482" spans="1:1" x14ac:dyDescent="0.25">
      <c r="A482" s="177"/>
    </row>
    <row r="483" spans="1:1" x14ac:dyDescent="0.25">
      <c r="A483" s="177"/>
    </row>
    <row r="484" spans="1:1" x14ac:dyDescent="0.25">
      <c r="A484" s="177"/>
    </row>
    <row r="485" spans="1:1" x14ac:dyDescent="0.25">
      <c r="A485" s="177"/>
    </row>
    <row r="486" spans="1:1" x14ac:dyDescent="0.25">
      <c r="A486" s="177"/>
    </row>
    <row r="487" spans="1:1" x14ac:dyDescent="0.25">
      <c r="A487" s="177"/>
    </row>
    <row r="488" spans="1:1" x14ac:dyDescent="0.25">
      <c r="A488" s="177"/>
    </row>
    <row r="489" spans="1:1" x14ac:dyDescent="0.25">
      <c r="A489" s="177"/>
    </row>
    <row r="490" spans="1:1" x14ac:dyDescent="0.25">
      <c r="A490" s="177"/>
    </row>
    <row r="491" spans="1:1" x14ac:dyDescent="0.25">
      <c r="A491" s="177"/>
    </row>
    <row r="492" spans="1:1" x14ac:dyDescent="0.25">
      <c r="A492" s="177"/>
    </row>
    <row r="493" spans="1:1" x14ac:dyDescent="0.25">
      <c r="A493" s="177"/>
    </row>
    <row r="494" spans="1:1" x14ac:dyDescent="0.25">
      <c r="A494" s="177"/>
    </row>
    <row r="495" spans="1:1" x14ac:dyDescent="0.25">
      <c r="A495" s="177"/>
    </row>
    <row r="496" spans="1:1" x14ac:dyDescent="0.25">
      <c r="A496" s="177"/>
    </row>
    <row r="497" spans="1:1" x14ac:dyDescent="0.25">
      <c r="A497" s="177"/>
    </row>
    <row r="498" spans="1:1" x14ac:dyDescent="0.25">
      <c r="A498" s="177"/>
    </row>
    <row r="499" spans="1:1" x14ac:dyDescent="0.25">
      <c r="A499" s="177"/>
    </row>
    <row r="500" spans="1:1" x14ac:dyDescent="0.25">
      <c r="A500" s="177"/>
    </row>
    <row r="501" spans="1:1" x14ac:dyDescent="0.25">
      <c r="A501" s="177"/>
    </row>
    <row r="502" spans="1:1" x14ac:dyDescent="0.25">
      <c r="A502" s="177"/>
    </row>
    <row r="503" spans="1:1" x14ac:dyDescent="0.25">
      <c r="A503" s="177"/>
    </row>
    <row r="504" spans="1:1" x14ac:dyDescent="0.25">
      <c r="A504" s="177"/>
    </row>
    <row r="505" spans="1:1" x14ac:dyDescent="0.25">
      <c r="A505" s="177"/>
    </row>
    <row r="506" spans="1:1" x14ac:dyDescent="0.25">
      <c r="A506" s="177"/>
    </row>
    <row r="507" spans="1:1" x14ac:dyDescent="0.25">
      <c r="A507" s="177"/>
    </row>
    <row r="508" spans="1:1" x14ac:dyDescent="0.25">
      <c r="A508" s="177"/>
    </row>
    <row r="509" spans="1:1" x14ac:dyDescent="0.25">
      <c r="A509" s="177"/>
    </row>
    <row r="510" spans="1:1" x14ac:dyDescent="0.25">
      <c r="A510" s="177"/>
    </row>
    <row r="511" spans="1:1" x14ac:dyDescent="0.25">
      <c r="A511" s="177"/>
    </row>
    <row r="512" spans="1:1" x14ac:dyDescent="0.25">
      <c r="A512" s="177"/>
    </row>
    <row r="513" spans="1:1" x14ac:dyDescent="0.25">
      <c r="A513" s="177"/>
    </row>
    <row r="514" spans="1:1" x14ac:dyDescent="0.25">
      <c r="A514" s="177"/>
    </row>
    <row r="515" spans="1:1" x14ac:dyDescent="0.25">
      <c r="A515" s="177"/>
    </row>
    <row r="516" spans="1:1" x14ac:dyDescent="0.25">
      <c r="A516" s="177"/>
    </row>
    <row r="517" spans="1:1" x14ac:dyDescent="0.25">
      <c r="A517" s="177"/>
    </row>
    <row r="518" spans="1:1" x14ac:dyDescent="0.25">
      <c r="A518" s="177"/>
    </row>
    <row r="519" spans="1:1" x14ac:dyDescent="0.25">
      <c r="A519" s="177"/>
    </row>
    <row r="520" spans="1:1" x14ac:dyDescent="0.25">
      <c r="A520" s="177"/>
    </row>
    <row r="521" spans="1:1" x14ac:dyDescent="0.25">
      <c r="A521" s="177"/>
    </row>
    <row r="522" spans="1:1" x14ac:dyDescent="0.25">
      <c r="A522" s="177"/>
    </row>
    <row r="523" spans="1:1" x14ac:dyDescent="0.25">
      <c r="A523" s="177"/>
    </row>
    <row r="524" spans="1:1" x14ac:dyDescent="0.25">
      <c r="A524" s="177"/>
    </row>
    <row r="525" spans="1:1" x14ac:dyDescent="0.25">
      <c r="A525" s="177"/>
    </row>
    <row r="526" spans="1:1" x14ac:dyDescent="0.25">
      <c r="A526" s="177"/>
    </row>
    <row r="527" spans="1:1" x14ac:dyDescent="0.25">
      <c r="A527" s="177"/>
    </row>
    <row r="528" spans="1:1" x14ac:dyDescent="0.25">
      <c r="A528" s="177"/>
    </row>
    <row r="529" spans="1:1" x14ac:dyDescent="0.25">
      <c r="A529" s="177"/>
    </row>
    <row r="530" spans="1:1" x14ac:dyDescent="0.25">
      <c r="A530" s="177"/>
    </row>
    <row r="531" spans="1:1" x14ac:dyDescent="0.25">
      <c r="A531" s="177"/>
    </row>
    <row r="532" spans="1:1" x14ac:dyDescent="0.25">
      <c r="A532" s="177"/>
    </row>
    <row r="533" spans="1:1" x14ac:dyDescent="0.25">
      <c r="A533" s="177"/>
    </row>
    <row r="534" spans="1:1" x14ac:dyDescent="0.25">
      <c r="A534" s="177"/>
    </row>
    <row r="535" spans="1:1" x14ac:dyDescent="0.25">
      <c r="A535" s="177"/>
    </row>
    <row r="536" spans="1:1" x14ac:dyDescent="0.25">
      <c r="A536" s="177"/>
    </row>
    <row r="537" spans="1:1" x14ac:dyDescent="0.25">
      <c r="A537" s="177"/>
    </row>
    <row r="538" spans="1:1" x14ac:dyDescent="0.25">
      <c r="A538" s="177"/>
    </row>
    <row r="539" spans="1:1" x14ac:dyDescent="0.25">
      <c r="A539" s="177"/>
    </row>
    <row r="540" spans="1:1" x14ac:dyDescent="0.25">
      <c r="A540" s="177"/>
    </row>
    <row r="541" spans="1:1" x14ac:dyDescent="0.25">
      <c r="A541" s="177"/>
    </row>
    <row r="542" spans="1:1" x14ac:dyDescent="0.25">
      <c r="A542" s="177"/>
    </row>
    <row r="543" spans="1:1" x14ac:dyDescent="0.25">
      <c r="A543" s="177"/>
    </row>
    <row r="544" spans="1:1" x14ac:dyDescent="0.25">
      <c r="A544" s="177"/>
    </row>
    <row r="545" spans="1:1" x14ac:dyDescent="0.25">
      <c r="A545" s="177"/>
    </row>
    <row r="546" spans="1:1" x14ac:dyDescent="0.25">
      <c r="A546" s="177"/>
    </row>
    <row r="547" spans="1:1" x14ac:dyDescent="0.25">
      <c r="A547" s="177"/>
    </row>
    <row r="548" spans="1:1" x14ac:dyDescent="0.25">
      <c r="A548" s="177"/>
    </row>
    <row r="549" spans="1:1" x14ac:dyDescent="0.25">
      <c r="A549" s="177"/>
    </row>
    <row r="550" spans="1:1" x14ac:dyDescent="0.25">
      <c r="A550" s="177"/>
    </row>
    <row r="551" spans="1:1" x14ac:dyDescent="0.25">
      <c r="A551" s="177"/>
    </row>
    <row r="552" spans="1:1" x14ac:dyDescent="0.25">
      <c r="A552" s="177"/>
    </row>
    <row r="553" spans="1:1" x14ac:dyDescent="0.25">
      <c r="A553" s="177"/>
    </row>
    <row r="554" spans="1:1" x14ac:dyDescent="0.25">
      <c r="A554" s="177"/>
    </row>
    <row r="555" spans="1:1" x14ac:dyDescent="0.25">
      <c r="A555" s="177"/>
    </row>
    <row r="556" spans="1:1" x14ac:dyDescent="0.25">
      <c r="A556" s="177"/>
    </row>
    <row r="557" spans="1:1" x14ac:dyDescent="0.25">
      <c r="A557" s="177"/>
    </row>
    <row r="558" spans="1:1" x14ac:dyDescent="0.25">
      <c r="A558" s="177"/>
    </row>
    <row r="559" spans="1:1" x14ac:dyDescent="0.25">
      <c r="A559" s="177"/>
    </row>
    <row r="560" spans="1:1" x14ac:dyDescent="0.25">
      <c r="A560" s="177"/>
    </row>
    <row r="561" spans="1:1" x14ac:dyDescent="0.25">
      <c r="A561" s="177"/>
    </row>
    <row r="562" spans="1:1" x14ac:dyDescent="0.25">
      <c r="A562" s="177"/>
    </row>
    <row r="563" spans="1:1" x14ac:dyDescent="0.25">
      <c r="A563" s="177"/>
    </row>
    <row r="564" spans="1:1" x14ac:dyDescent="0.25">
      <c r="A564" s="177"/>
    </row>
    <row r="565" spans="1:1" x14ac:dyDescent="0.25">
      <c r="A565" s="177"/>
    </row>
    <row r="566" spans="1:1" x14ac:dyDescent="0.25">
      <c r="A566" s="177"/>
    </row>
    <row r="567" spans="1:1" x14ac:dyDescent="0.25">
      <c r="A567" s="177"/>
    </row>
    <row r="568" spans="1:1" x14ac:dyDescent="0.25">
      <c r="A568" s="177"/>
    </row>
    <row r="569" spans="1:1" x14ac:dyDescent="0.25">
      <c r="A569" s="177"/>
    </row>
    <row r="570" spans="1:1" x14ac:dyDescent="0.25">
      <c r="A570" s="177"/>
    </row>
    <row r="571" spans="1:1" x14ac:dyDescent="0.25">
      <c r="A571" s="177"/>
    </row>
    <row r="572" spans="1:1" x14ac:dyDescent="0.25">
      <c r="A572" s="177"/>
    </row>
    <row r="573" spans="1:1" x14ac:dyDescent="0.25">
      <c r="A573" s="177"/>
    </row>
    <row r="574" spans="1:1" x14ac:dyDescent="0.25">
      <c r="A574" s="177"/>
    </row>
    <row r="575" spans="1:1" x14ac:dyDescent="0.25">
      <c r="A575" s="177"/>
    </row>
    <row r="576" spans="1:1" x14ac:dyDescent="0.25">
      <c r="A576" s="177"/>
    </row>
    <row r="577" spans="1:1" x14ac:dyDescent="0.25">
      <c r="A577" s="177"/>
    </row>
    <row r="578" spans="1:1" x14ac:dyDescent="0.25">
      <c r="A578" s="177"/>
    </row>
    <row r="579" spans="1:1" x14ac:dyDescent="0.25">
      <c r="A579" s="177"/>
    </row>
    <row r="580" spans="1:1" x14ac:dyDescent="0.25">
      <c r="A580" s="177"/>
    </row>
    <row r="581" spans="1:1" x14ac:dyDescent="0.25">
      <c r="A581" s="177"/>
    </row>
    <row r="582" spans="1:1" x14ac:dyDescent="0.25">
      <c r="A582" s="177"/>
    </row>
    <row r="583" spans="1:1" x14ac:dyDescent="0.25">
      <c r="A583" s="177"/>
    </row>
    <row r="584" spans="1:1" x14ac:dyDescent="0.25">
      <c r="A584" s="177"/>
    </row>
    <row r="585" spans="1:1" x14ac:dyDescent="0.25">
      <c r="A585" s="177"/>
    </row>
    <row r="586" spans="1:1" x14ac:dyDescent="0.25">
      <c r="A586" s="177"/>
    </row>
    <row r="587" spans="1:1" x14ac:dyDescent="0.25">
      <c r="A587" s="177"/>
    </row>
    <row r="588" spans="1:1" x14ac:dyDescent="0.25">
      <c r="A588" s="177"/>
    </row>
    <row r="589" spans="1:1" x14ac:dyDescent="0.25">
      <c r="A589" s="177"/>
    </row>
    <row r="590" spans="1:1" x14ac:dyDescent="0.25">
      <c r="A590" s="177"/>
    </row>
    <row r="591" spans="1:1" x14ac:dyDescent="0.25">
      <c r="A591" s="177"/>
    </row>
    <row r="592" spans="1:1" x14ac:dyDescent="0.25">
      <c r="A592" s="177"/>
    </row>
    <row r="593" spans="1:1" x14ac:dyDescent="0.25">
      <c r="A593" s="177"/>
    </row>
    <row r="594" spans="1:1" x14ac:dyDescent="0.25">
      <c r="A594" s="177"/>
    </row>
    <row r="595" spans="1:1" x14ac:dyDescent="0.25">
      <c r="A595" s="177"/>
    </row>
    <row r="596" spans="1:1" x14ac:dyDescent="0.25">
      <c r="A596" s="177"/>
    </row>
    <row r="597" spans="1:1" x14ac:dyDescent="0.25">
      <c r="A597" s="177"/>
    </row>
    <row r="598" spans="1:1" x14ac:dyDescent="0.25">
      <c r="A598" s="177"/>
    </row>
    <row r="599" spans="1:1" x14ac:dyDescent="0.25">
      <c r="A599" s="177"/>
    </row>
    <row r="600" spans="1:1" x14ac:dyDescent="0.25">
      <c r="A600" s="177"/>
    </row>
    <row r="601" spans="1:1" x14ac:dyDescent="0.25">
      <c r="A601" s="177"/>
    </row>
    <row r="602" spans="1:1" x14ac:dyDescent="0.25">
      <c r="A602" s="177"/>
    </row>
    <row r="603" spans="1:1" x14ac:dyDescent="0.25">
      <c r="A603" s="177"/>
    </row>
    <row r="604" spans="1:1" x14ac:dyDescent="0.25">
      <c r="A604" s="177"/>
    </row>
    <row r="605" spans="1:1" x14ac:dyDescent="0.25">
      <c r="A605" s="177"/>
    </row>
    <row r="606" spans="1:1" x14ac:dyDescent="0.25">
      <c r="A606" s="177"/>
    </row>
    <row r="607" spans="1:1" x14ac:dyDescent="0.25">
      <c r="A607" s="177"/>
    </row>
    <row r="608" spans="1:1" x14ac:dyDescent="0.25">
      <c r="A608" s="177"/>
    </row>
    <row r="609" spans="1:1" x14ac:dyDescent="0.25">
      <c r="A609" s="177"/>
    </row>
    <row r="610" spans="1:1" x14ac:dyDescent="0.25">
      <c r="A610" s="177"/>
    </row>
    <row r="611" spans="1:1" x14ac:dyDescent="0.25">
      <c r="A611" s="177"/>
    </row>
    <row r="612" spans="1:1" x14ac:dyDescent="0.25">
      <c r="A612" s="177"/>
    </row>
    <row r="613" spans="1:1" x14ac:dyDescent="0.25">
      <c r="A613" s="177"/>
    </row>
    <row r="614" spans="1:1" x14ac:dyDescent="0.25">
      <c r="A614" s="177"/>
    </row>
    <row r="615" spans="1:1" x14ac:dyDescent="0.25">
      <c r="A615" s="177"/>
    </row>
    <row r="616" spans="1:1" x14ac:dyDescent="0.25">
      <c r="A616" s="177"/>
    </row>
    <row r="617" spans="1:1" x14ac:dyDescent="0.25">
      <c r="A617" s="177"/>
    </row>
    <row r="618" spans="1:1" x14ac:dyDescent="0.25">
      <c r="A618" s="177"/>
    </row>
    <row r="619" spans="1:1" x14ac:dyDescent="0.25">
      <c r="A619" s="177"/>
    </row>
    <row r="620" spans="1:1" x14ac:dyDescent="0.25">
      <c r="A620" s="177"/>
    </row>
    <row r="621" spans="1:1" x14ac:dyDescent="0.25">
      <c r="A621" s="177"/>
    </row>
    <row r="622" spans="1:1" x14ac:dyDescent="0.25">
      <c r="A622" s="177"/>
    </row>
    <row r="623" spans="1:1" x14ac:dyDescent="0.25">
      <c r="A623" s="177"/>
    </row>
    <row r="624" spans="1:1" x14ac:dyDescent="0.25">
      <c r="A624" s="177"/>
    </row>
    <row r="625" spans="1:1" x14ac:dyDescent="0.25">
      <c r="A625" s="177"/>
    </row>
    <row r="626" spans="1:1" x14ac:dyDescent="0.25">
      <c r="A626" s="177"/>
    </row>
    <row r="627" spans="1:1" x14ac:dyDescent="0.25">
      <c r="A627" s="177"/>
    </row>
    <row r="628" spans="1:1" x14ac:dyDescent="0.25">
      <c r="A628" s="177"/>
    </row>
    <row r="629" spans="1:1" x14ac:dyDescent="0.25">
      <c r="A629" s="177"/>
    </row>
    <row r="630" spans="1:1" x14ac:dyDescent="0.25">
      <c r="A630" s="177"/>
    </row>
    <row r="631" spans="1:1" x14ac:dyDescent="0.25">
      <c r="A631" s="177"/>
    </row>
    <row r="632" spans="1:1" x14ac:dyDescent="0.25">
      <c r="A632" s="177"/>
    </row>
    <row r="633" spans="1:1" x14ac:dyDescent="0.25">
      <c r="A633" s="177"/>
    </row>
    <row r="634" spans="1:1" x14ac:dyDescent="0.25">
      <c r="A634" s="177"/>
    </row>
    <row r="635" spans="1:1" x14ac:dyDescent="0.25">
      <c r="A635" s="177"/>
    </row>
    <row r="636" spans="1:1" x14ac:dyDescent="0.25">
      <c r="A636" s="177"/>
    </row>
    <row r="637" spans="1:1" x14ac:dyDescent="0.25">
      <c r="A637" s="177"/>
    </row>
    <row r="638" spans="1:1" x14ac:dyDescent="0.25">
      <c r="A638" s="177"/>
    </row>
    <row r="639" spans="1:1" x14ac:dyDescent="0.25">
      <c r="A639" s="177"/>
    </row>
    <row r="640" spans="1:1" x14ac:dyDescent="0.25">
      <c r="A640" s="177"/>
    </row>
    <row r="641" spans="1:1" x14ac:dyDescent="0.25">
      <c r="A641" s="177"/>
    </row>
    <row r="642" spans="1:1" x14ac:dyDescent="0.25">
      <c r="A642" s="177"/>
    </row>
    <row r="643" spans="1:1" x14ac:dyDescent="0.25">
      <c r="A643" s="177"/>
    </row>
    <row r="644" spans="1:1" x14ac:dyDescent="0.25">
      <c r="A644" s="177"/>
    </row>
    <row r="645" spans="1:1" x14ac:dyDescent="0.25">
      <c r="A645" s="177"/>
    </row>
    <row r="646" spans="1:1" x14ac:dyDescent="0.25">
      <c r="A646" s="177"/>
    </row>
    <row r="647" spans="1:1" x14ac:dyDescent="0.25">
      <c r="A647" s="177"/>
    </row>
    <row r="648" spans="1:1" x14ac:dyDescent="0.25">
      <c r="A648" s="177"/>
    </row>
    <row r="649" spans="1:1" x14ac:dyDescent="0.25">
      <c r="A649" s="177"/>
    </row>
    <row r="650" spans="1:1" x14ac:dyDescent="0.25">
      <c r="A650" s="177"/>
    </row>
    <row r="651" spans="1:1" x14ac:dyDescent="0.25">
      <c r="A651" s="177"/>
    </row>
    <row r="652" spans="1:1" x14ac:dyDescent="0.25">
      <c r="A652" s="177"/>
    </row>
    <row r="653" spans="1:1" x14ac:dyDescent="0.25">
      <c r="A653" s="177"/>
    </row>
    <row r="654" spans="1:1" x14ac:dyDescent="0.25">
      <c r="A654" s="177"/>
    </row>
    <row r="655" spans="1:1" x14ac:dyDescent="0.25">
      <c r="A655" s="177"/>
    </row>
    <row r="656" spans="1:1" x14ac:dyDescent="0.25">
      <c r="A656" s="177"/>
    </row>
    <row r="657" spans="1:1" x14ac:dyDescent="0.25">
      <c r="A657" s="177"/>
    </row>
    <row r="658" spans="1:1" x14ac:dyDescent="0.25">
      <c r="A658" s="177"/>
    </row>
    <row r="659" spans="1:1" x14ac:dyDescent="0.25">
      <c r="A659" s="177"/>
    </row>
    <row r="660" spans="1:1" x14ac:dyDescent="0.25">
      <c r="A660" s="177"/>
    </row>
    <row r="661" spans="1:1" x14ac:dyDescent="0.25">
      <c r="A661" s="177"/>
    </row>
    <row r="662" spans="1:1" x14ac:dyDescent="0.25">
      <c r="A662" s="177"/>
    </row>
    <row r="663" spans="1:1" x14ac:dyDescent="0.25">
      <c r="A663" s="177"/>
    </row>
    <row r="664" spans="1:1" x14ac:dyDescent="0.25">
      <c r="A664" s="177"/>
    </row>
    <row r="665" spans="1:1" x14ac:dyDescent="0.25">
      <c r="A665" s="177"/>
    </row>
    <row r="666" spans="1:1" x14ac:dyDescent="0.25">
      <c r="A666" s="177"/>
    </row>
    <row r="667" spans="1:1" x14ac:dyDescent="0.25">
      <c r="A667" s="177"/>
    </row>
    <row r="668" spans="1:1" x14ac:dyDescent="0.25">
      <c r="A668" s="177"/>
    </row>
    <row r="669" spans="1:1" x14ac:dyDescent="0.25">
      <c r="A669" s="177"/>
    </row>
    <row r="670" spans="1:1" x14ac:dyDescent="0.25">
      <c r="A670" s="177"/>
    </row>
    <row r="671" spans="1:1" x14ac:dyDescent="0.25">
      <c r="A671" s="177"/>
    </row>
    <row r="672" spans="1:1" x14ac:dyDescent="0.25">
      <c r="A672" s="177"/>
    </row>
    <row r="673" spans="1:1" x14ac:dyDescent="0.25">
      <c r="A673" s="177"/>
    </row>
    <row r="674" spans="1:1" x14ac:dyDescent="0.25">
      <c r="A674" s="177"/>
    </row>
    <row r="675" spans="1:1" x14ac:dyDescent="0.25">
      <c r="A675" s="177"/>
    </row>
    <row r="676" spans="1:1" x14ac:dyDescent="0.25">
      <c r="A676" s="177"/>
    </row>
    <row r="677" spans="1:1" x14ac:dyDescent="0.25">
      <c r="A677" s="177"/>
    </row>
    <row r="678" spans="1:1" x14ac:dyDescent="0.25">
      <c r="A678" s="177"/>
    </row>
    <row r="679" spans="1:1" x14ac:dyDescent="0.25">
      <c r="A679" s="177"/>
    </row>
    <row r="680" spans="1:1" x14ac:dyDescent="0.25">
      <c r="A680" s="177"/>
    </row>
    <row r="681" spans="1:1" x14ac:dyDescent="0.25">
      <c r="A681" s="177"/>
    </row>
    <row r="682" spans="1:1" x14ac:dyDescent="0.25">
      <c r="A682" s="177"/>
    </row>
    <row r="683" spans="1:1" x14ac:dyDescent="0.25">
      <c r="A683" s="177"/>
    </row>
    <row r="684" spans="1:1" x14ac:dyDescent="0.25">
      <c r="A684" s="177"/>
    </row>
    <row r="685" spans="1:1" x14ac:dyDescent="0.25">
      <c r="A685" s="177"/>
    </row>
    <row r="686" spans="1:1" x14ac:dyDescent="0.25">
      <c r="A686" s="177"/>
    </row>
    <row r="687" spans="1:1" x14ac:dyDescent="0.25">
      <c r="A687" s="177"/>
    </row>
    <row r="688" spans="1:1" x14ac:dyDescent="0.25">
      <c r="A688" s="177"/>
    </row>
    <row r="689" spans="1:1" x14ac:dyDescent="0.25">
      <c r="A689" s="177"/>
    </row>
    <row r="690" spans="1:1" x14ac:dyDescent="0.25">
      <c r="A690" s="177"/>
    </row>
    <row r="691" spans="1:1" x14ac:dyDescent="0.25">
      <c r="A691" s="177"/>
    </row>
    <row r="692" spans="1:1" x14ac:dyDescent="0.25">
      <c r="A692" s="177"/>
    </row>
    <row r="693" spans="1:1" x14ac:dyDescent="0.25">
      <c r="A693" s="177"/>
    </row>
    <row r="694" spans="1:1" x14ac:dyDescent="0.25">
      <c r="A694" s="177"/>
    </row>
    <row r="695" spans="1:1" x14ac:dyDescent="0.25">
      <c r="A695" s="177"/>
    </row>
    <row r="696" spans="1:1" x14ac:dyDescent="0.25">
      <c r="A696" s="177"/>
    </row>
    <row r="697" spans="1:1" x14ac:dyDescent="0.25">
      <c r="A697" s="177"/>
    </row>
    <row r="698" spans="1:1" x14ac:dyDescent="0.25">
      <c r="A698" s="177"/>
    </row>
    <row r="699" spans="1:1" x14ac:dyDescent="0.25">
      <c r="A699" s="177"/>
    </row>
    <row r="700" spans="1:1" x14ac:dyDescent="0.25">
      <c r="A700" s="177"/>
    </row>
    <row r="701" spans="1:1" x14ac:dyDescent="0.25">
      <c r="A701" s="177"/>
    </row>
    <row r="702" spans="1:1" x14ac:dyDescent="0.25">
      <c r="A702" s="177"/>
    </row>
    <row r="703" spans="1:1" x14ac:dyDescent="0.25">
      <c r="A703" s="177"/>
    </row>
    <row r="704" spans="1:1" x14ac:dyDescent="0.25">
      <c r="A704" s="177"/>
    </row>
    <row r="705" spans="1:1" x14ac:dyDescent="0.25">
      <c r="A705" s="177"/>
    </row>
    <row r="706" spans="1:1" x14ac:dyDescent="0.25">
      <c r="A706" s="177"/>
    </row>
    <row r="707" spans="1:1" x14ac:dyDescent="0.25">
      <c r="A707" s="177"/>
    </row>
    <row r="708" spans="1:1" x14ac:dyDescent="0.25">
      <c r="A708" s="177"/>
    </row>
    <row r="709" spans="1:1" x14ac:dyDescent="0.25">
      <c r="A709" s="177"/>
    </row>
    <row r="710" spans="1:1" x14ac:dyDescent="0.25">
      <c r="A710" s="177"/>
    </row>
    <row r="711" spans="1:1" x14ac:dyDescent="0.25">
      <c r="A711" s="177"/>
    </row>
    <row r="712" spans="1:1" x14ac:dyDescent="0.25">
      <c r="A712" s="177"/>
    </row>
    <row r="713" spans="1:1" x14ac:dyDescent="0.25">
      <c r="A713" s="177"/>
    </row>
    <row r="714" spans="1:1" x14ac:dyDescent="0.25">
      <c r="A714" s="177"/>
    </row>
    <row r="715" spans="1:1" x14ac:dyDescent="0.25">
      <c r="A715" s="177"/>
    </row>
    <row r="716" spans="1:1" x14ac:dyDescent="0.25">
      <c r="A716" s="177"/>
    </row>
    <row r="717" spans="1:1" x14ac:dyDescent="0.25">
      <c r="A717" s="177"/>
    </row>
    <row r="718" spans="1:1" x14ac:dyDescent="0.25">
      <c r="A718" s="177"/>
    </row>
    <row r="719" spans="1:1" x14ac:dyDescent="0.25">
      <c r="A719" s="177"/>
    </row>
    <row r="720" spans="1:1" x14ac:dyDescent="0.25">
      <c r="A720" s="177"/>
    </row>
    <row r="721" spans="1:1" x14ac:dyDescent="0.25">
      <c r="A721" s="177"/>
    </row>
    <row r="722" spans="1:1" x14ac:dyDescent="0.25">
      <c r="A722" s="177"/>
    </row>
    <row r="723" spans="1:1" x14ac:dyDescent="0.25">
      <c r="A723" s="177"/>
    </row>
    <row r="724" spans="1:1" x14ac:dyDescent="0.25">
      <c r="A724" s="177"/>
    </row>
    <row r="725" spans="1:1" x14ac:dyDescent="0.25">
      <c r="A725" s="177"/>
    </row>
    <row r="726" spans="1:1" x14ac:dyDescent="0.25">
      <c r="A726" s="177"/>
    </row>
    <row r="727" spans="1:1" x14ac:dyDescent="0.25">
      <c r="A727" s="177"/>
    </row>
    <row r="728" spans="1:1" x14ac:dyDescent="0.25">
      <c r="A728" s="177"/>
    </row>
    <row r="729" spans="1:1" x14ac:dyDescent="0.25">
      <c r="A729" s="177"/>
    </row>
    <row r="730" spans="1:1" x14ac:dyDescent="0.25">
      <c r="A730" s="177"/>
    </row>
    <row r="731" spans="1:1" x14ac:dyDescent="0.25">
      <c r="A731" s="177"/>
    </row>
    <row r="732" spans="1:1" x14ac:dyDescent="0.25">
      <c r="A732" s="177"/>
    </row>
    <row r="733" spans="1:1" x14ac:dyDescent="0.25">
      <c r="A733" s="177"/>
    </row>
    <row r="734" spans="1:1" x14ac:dyDescent="0.25">
      <c r="A734" s="177"/>
    </row>
    <row r="735" spans="1:1" x14ac:dyDescent="0.25">
      <c r="A735" s="177"/>
    </row>
    <row r="736" spans="1:1" x14ac:dyDescent="0.25">
      <c r="A736" s="177"/>
    </row>
    <row r="737" spans="1:1" x14ac:dyDescent="0.25">
      <c r="A737" s="177"/>
    </row>
    <row r="738" spans="1:1" x14ac:dyDescent="0.25">
      <c r="A738" s="177"/>
    </row>
    <row r="739" spans="1:1" x14ac:dyDescent="0.25">
      <c r="A739" s="177"/>
    </row>
    <row r="740" spans="1:1" x14ac:dyDescent="0.25">
      <c r="A740" s="177"/>
    </row>
    <row r="741" spans="1:1" x14ac:dyDescent="0.25">
      <c r="A741" s="177"/>
    </row>
    <row r="742" spans="1:1" x14ac:dyDescent="0.25">
      <c r="A742" s="177"/>
    </row>
    <row r="743" spans="1:1" x14ac:dyDescent="0.25">
      <c r="A743" s="177"/>
    </row>
    <row r="744" spans="1:1" x14ac:dyDescent="0.25">
      <c r="A744" s="177"/>
    </row>
    <row r="745" spans="1:1" x14ac:dyDescent="0.25">
      <c r="A745" s="177"/>
    </row>
    <row r="746" spans="1:1" x14ac:dyDescent="0.25">
      <c r="A746" s="177"/>
    </row>
    <row r="747" spans="1:1" x14ac:dyDescent="0.25">
      <c r="A747" s="177"/>
    </row>
    <row r="748" spans="1:1" x14ac:dyDescent="0.25">
      <c r="A748" s="177"/>
    </row>
    <row r="749" spans="1:1" x14ac:dyDescent="0.25">
      <c r="A749" s="177"/>
    </row>
    <row r="750" spans="1:1" x14ac:dyDescent="0.25">
      <c r="A750" s="177"/>
    </row>
    <row r="751" spans="1:1" x14ac:dyDescent="0.25">
      <c r="A751" s="177"/>
    </row>
    <row r="752" spans="1:1" x14ac:dyDescent="0.25">
      <c r="A752" s="177"/>
    </row>
    <row r="753" spans="1:1" x14ac:dyDescent="0.25">
      <c r="A753" s="177"/>
    </row>
    <row r="754" spans="1:1" x14ac:dyDescent="0.25">
      <c r="A754" s="177"/>
    </row>
    <row r="755" spans="1:1" x14ac:dyDescent="0.25">
      <c r="A755" s="177"/>
    </row>
    <row r="756" spans="1:1" x14ac:dyDescent="0.25">
      <c r="A756" s="177"/>
    </row>
    <row r="757" spans="1:1" x14ac:dyDescent="0.25">
      <c r="A757" s="177"/>
    </row>
    <row r="758" spans="1:1" x14ac:dyDescent="0.25">
      <c r="A758" s="177"/>
    </row>
    <row r="759" spans="1:1" x14ac:dyDescent="0.25">
      <c r="A759" s="177"/>
    </row>
    <row r="760" spans="1:1" x14ac:dyDescent="0.25">
      <c r="A760" s="177"/>
    </row>
    <row r="761" spans="1:1" x14ac:dyDescent="0.25">
      <c r="A761" s="177"/>
    </row>
    <row r="762" spans="1:1" x14ac:dyDescent="0.25">
      <c r="A762" s="177"/>
    </row>
    <row r="763" spans="1:1" x14ac:dyDescent="0.25">
      <c r="A763" s="177"/>
    </row>
    <row r="764" spans="1:1" x14ac:dyDescent="0.25">
      <c r="A764" s="177"/>
    </row>
    <row r="765" spans="1:1" x14ac:dyDescent="0.25">
      <c r="A765" s="177"/>
    </row>
    <row r="766" spans="1:1" x14ac:dyDescent="0.25">
      <c r="A766" s="177"/>
    </row>
    <row r="767" spans="1:1" x14ac:dyDescent="0.25">
      <c r="A767" s="177"/>
    </row>
    <row r="768" spans="1:1" x14ac:dyDescent="0.25">
      <c r="A768" s="177"/>
    </row>
    <row r="769" spans="1:1" x14ac:dyDescent="0.25">
      <c r="A769" s="177"/>
    </row>
    <row r="770" spans="1:1" x14ac:dyDescent="0.25">
      <c r="A770" s="177"/>
    </row>
    <row r="771" spans="1:1" x14ac:dyDescent="0.25">
      <c r="A771" s="177"/>
    </row>
    <row r="772" spans="1:1" x14ac:dyDescent="0.25">
      <c r="A772" s="177"/>
    </row>
    <row r="773" spans="1:1" x14ac:dyDescent="0.25">
      <c r="A773" s="177"/>
    </row>
    <row r="774" spans="1:1" x14ac:dyDescent="0.25">
      <c r="A774" s="177"/>
    </row>
    <row r="775" spans="1:1" x14ac:dyDescent="0.25">
      <c r="A775" s="177"/>
    </row>
    <row r="776" spans="1:1" x14ac:dyDescent="0.25">
      <c r="A776" s="177"/>
    </row>
    <row r="777" spans="1:1" x14ac:dyDescent="0.25">
      <c r="A777" s="177"/>
    </row>
    <row r="778" spans="1:1" x14ac:dyDescent="0.25">
      <c r="A778" s="177"/>
    </row>
    <row r="779" spans="1:1" x14ac:dyDescent="0.25">
      <c r="A779" s="177"/>
    </row>
    <row r="780" spans="1:1" x14ac:dyDescent="0.25">
      <c r="A780" s="177"/>
    </row>
    <row r="781" spans="1:1" x14ac:dyDescent="0.25">
      <c r="A781" s="177"/>
    </row>
    <row r="782" spans="1:1" x14ac:dyDescent="0.25">
      <c r="A782" s="177"/>
    </row>
    <row r="783" spans="1:1" x14ac:dyDescent="0.25">
      <c r="A783" s="177"/>
    </row>
    <row r="784" spans="1:1" x14ac:dyDescent="0.25">
      <c r="A784" s="177"/>
    </row>
    <row r="785" spans="1:1" x14ac:dyDescent="0.25">
      <c r="A785" s="177"/>
    </row>
    <row r="786" spans="1:1" x14ac:dyDescent="0.25">
      <c r="A786" s="177"/>
    </row>
    <row r="787" spans="1:1" x14ac:dyDescent="0.25">
      <c r="A787" s="177"/>
    </row>
    <row r="788" spans="1:1" x14ac:dyDescent="0.25">
      <c r="A788" s="177"/>
    </row>
    <row r="789" spans="1:1" x14ac:dyDescent="0.25">
      <c r="A789" s="177"/>
    </row>
    <row r="790" spans="1:1" x14ac:dyDescent="0.25">
      <c r="A790" s="177"/>
    </row>
    <row r="791" spans="1:1" x14ac:dyDescent="0.25">
      <c r="A791" s="177"/>
    </row>
    <row r="792" spans="1:1" x14ac:dyDescent="0.25">
      <c r="A792" s="177"/>
    </row>
    <row r="793" spans="1:1" x14ac:dyDescent="0.25">
      <c r="A793" s="177"/>
    </row>
    <row r="794" spans="1:1" x14ac:dyDescent="0.25">
      <c r="A794" s="177"/>
    </row>
    <row r="795" spans="1:1" x14ac:dyDescent="0.25">
      <c r="A795" s="177"/>
    </row>
    <row r="796" spans="1:1" x14ac:dyDescent="0.25">
      <c r="A796" s="177"/>
    </row>
    <row r="797" spans="1:1" x14ac:dyDescent="0.25">
      <c r="A797" s="177"/>
    </row>
    <row r="798" spans="1:1" x14ac:dyDescent="0.25">
      <c r="A798" s="177"/>
    </row>
    <row r="799" spans="1:1" x14ac:dyDescent="0.25">
      <c r="A799" s="177"/>
    </row>
    <row r="800" spans="1:1" x14ac:dyDescent="0.25">
      <c r="A800" s="177"/>
    </row>
    <row r="801" spans="1:1" x14ac:dyDescent="0.25">
      <c r="A801" s="177"/>
    </row>
    <row r="802" spans="1:1" x14ac:dyDescent="0.25">
      <c r="A802" s="177"/>
    </row>
    <row r="803" spans="1:1" x14ac:dyDescent="0.25">
      <c r="A803" s="177"/>
    </row>
    <row r="804" spans="1:1" x14ac:dyDescent="0.25">
      <c r="A804" s="177"/>
    </row>
    <row r="805" spans="1:1" x14ac:dyDescent="0.25">
      <c r="A805" s="177"/>
    </row>
    <row r="806" spans="1:1" x14ac:dyDescent="0.25">
      <c r="A806" s="177"/>
    </row>
    <row r="807" spans="1:1" x14ac:dyDescent="0.25">
      <c r="A807" s="177"/>
    </row>
    <row r="808" spans="1:1" x14ac:dyDescent="0.25">
      <c r="A808" s="177"/>
    </row>
    <row r="809" spans="1:1" x14ac:dyDescent="0.25">
      <c r="A809" s="177"/>
    </row>
    <row r="810" spans="1:1" x14ac:dyDescent="0.25">
      <c r="A810" s="177"/>
    </row>
    <row r="811" spans="1:1" x14ac:dyDescent="0.25">
      <c r="A811" s="177"/>
    </row>
    <row r="812" spans="1:1" x14ac:dyDescent="0.25">
      <c r="A812" s="177"/>
    </row>
    <row r="813" spans="1:1" x14ac:dyDescent="0.25">
      <c r="A813" s="177"/>
    </row>
    <row r="814" spans="1:1" x14ac:dyDescent="0.25">
      <c r="A814" s="177"/>
    </row>
    <row r="815" spans="1:1" x14ac:dyDescent="0.25">
      <c r="A815" s="177"/>
    </row>
    <row r="816" spans="1:1" x14ac:dyDescent="0.25">
      <c r="A816" s="177"/>
    </row>
    <row r="817" spans="1:1" x14ac:dyDescent="0.25">
      <c r="A817" s="177"/>
    </row>
    <row r="818" spans="1:1" x14ac:dyDescent="0.25">
      <c r="A818" s="177"/>
    </row>
    <row r="819" spans="1:1" x14ac:dyDescent="0.25">
      <c r="A819" s="177"/>
    </row>
    <row r="820" spans="1:1" x14ac:dyDescent="0.25">
      <c r="A820" s="177"/>
    </row>
    <row r="821" spans="1:1" x14ac:dyDescent="0.25">
      <c r="A821" s="177"/>
    </row>
    <row r="822" spans="1:1" x14ac:dyDescent="0.25">
      <c r="A822" s="177"/>
    </row>
    <row r="823" spans="1:1" x14ac:dyDescent="0.25">
      <c r="A823" s="177"/>
    </row>
    <row r="824" spans="1:1" x14ac:dyDescent="0.25">
      <c r="A824" s="177"/>
    </row>
    <row r="825" spans="1:1" x14ac:dyDescent="0.25">
      <c r="A825" s="177"/>
    </row>
    <row r="826" spans="1:1" x14ac:dyDescent="0.25">
      <c r="A826" s="177"/>
    </row>
    <row r="827" spans="1:1" x14ac:dyDescent="0.25">
      <c r="A827" s="177"/>
    </row>
    <row r="828" spans="1:1" x14ac:dyDescent="0.25">
      <c r="A828" s="177"/>
    </row>
    <row r="829" spans="1:1" x14ac:dyDescent="0.25">
      <c r="A829" s="177"/>
    </row>
    <row r="830" spans="1:1" x14ac:dyDescent="0.25">
      <c r="A830" s="177"/>
    </row>
    <row r="831" spans="1:1" x14ac:dyDescent="0.25">
      <c r="A831" s="177"/>
    </row>
    <row r="832" spans="1:1" x14ac:dyDescent="0.25">
      <c r="A832" s="177"/>
    </row>
    <row r="833" spans="1:1" x14ac:dyDescent="0.25">
      <c r="A833" s="177"/>
    </row>
    <row r="834" spans="1:1" x14ac:dyDescent="0.25">
      <c r="A834" s="177"/>
    </row>
    <row r="835" spans="1:1" x14ac:dyDescent="0.25">
      <c r="A835" s="177"/>
    </row>
    <row r="836" spans="1:1" x14ac:dyDescent="0.25">
      <c r="A836" s="177"/>
    </row>
    <row r="837" spans="1:1" x14ac:dyDescent="0.25">
      <c r="A837" s="177"/>
    </row>
    <row r="838" spans="1:1" x14ac:dyDescent="0.25">
      <c r="A838" s="177"/>
    </row>
    <row r="839" spans="1:1" x14ac:dyDescent="0.25">
      <c r="A839" s="177"/>
    </row>
    <row r="840" spans="1:1" x14ac:dyDescent="0.25">
      <c r="A840" s="177"/>
    </row>
    <row r="841" spans="1:1" x14ac:dyDescent="0.25">
      <c r="A841" s="177"/>
    </row>
    <row r="842" spans="1:1" x14ac:dyDescent="0.25">
      <c r="A842" s="177"/>
    </row>
    <row r="843" spans="1:1" x14ac:dyDescent="0.25">
      <c r="A843" s="177"/>
    </row>
    <row r="844" spans="1:1" x14ac:dyDescent="0.25">
      <c r="A844" s="177"/>
    </row>
    <row r="845" spans="1:1" x14ac:dyDescent="0.25">
      <c r="A845" s="177"/>
    </row>
    <row r="846" spans="1:1" x14ac:dyDescent="0.25">
      <c r="A846" s="177"/>
    </row>
    <row r="847" spans="1:1" x14ac:dyDescent="0.25">
      <c r="A847" s="177"/>
    </row>
    <row r="848" spans="1:1" x14ac:dyDescent="0.25">
      <c r="A848" s="177"/>
    </row>
    <row r="849" spans="1:1" x14ac:dyDescent="0.25">
      <c r="A849" s="177"/>
    </row>
    <row r="850" spans="1:1" x14ac:dyDescent="0.25">
      <c r="A850" s="177"/>
    </row>
    <row r="851" spans="1:1" x14ac:dyDescent="0.25">
      <c r="A851" s="177"/>
    </row>
    <row r="852" spans="1:1" x14ac:dyDescent="0.25">
      <c r="A852" s="177"/>
    </row>
    <row r="853" spans="1:1" x14ac:dyDescent="0.25">
      <c r="A853" s="177"/>
    </row>
    <row r="854" spans="1:1" x14ac:dyDescent="0.25">
      <c r="A854" s="177"/>
    </row>
    <row r="855" spans="1:1" x14ac:dyDescent="0.25">
      <c r="A855" s="177"/>
    </row>
    <row r="856" spans="1:1" x14ac:dyDescent="0.25">
      <c r="A856" s="177"/>
    </row>
    <row r="857" spans="1:1" x14ac:dyDescent="0.25">
      <c r="A857" s="177"/>
    </row>
    <row r="858" spans="1:1" x14ac:dyDescent="0.25">
      <c r="A858" s="177"/>
    </row>
    <row r="859" spans="1:1" x14ac:dyDescent="0.25">
      <c r="A859" s="177"/>
    </row>
    <row r="860" spans="1:1" x14ac:dyDescent="0.25">
      <c r="A860" s="177"/>
    </row>
    <row r="861" spans="1:1" x14ac:dyDescent="0.25">
      <c r="A861" s="177"/>
    </row>
    <row r="862" spans="1:1" x14ac:dyDescent="0.25">
      <c r="A862" s="177"/>
    </row>
    <row r="863" spans="1:1" x14ac:dyDescent="0.25">
      <c r="A863" s="177"/>
    </row>
    <row r="864" spans="1:1" x14ac:dyDescent="0.25">
      <c r="A864" s="177"/>
    </row>
    <row r="865" spans="1:1" x14ac:dyDescent="0.25">
      <c r="A865" s="177"/>
    </row>
    <row r="866" spans="1:1" x14ac:dyDescent="0.25">
      <c r="A866" s="177"/>
    </row>
    <row r="867" spans="1:1" x14ac:dyDescent="0.25">
      <c r="A867" s="177"/>
    </row>
    <row r="868" spans="1:1" x14ac:dyDescent="0.25">
      <c r="A868" s="177"/>
    </row>
    <row r="869" spans="1:1" x14ac:dyDescent="0.25">
      <c r="A869" s="177"/>
    </row>
    <row r="870" spans="1:1" x14ac:dyDescent="0.25">
      <c r="A870" s="177"/>
    </row>
    <row r="871" spans="1:1" x14ac:dyDescent="0.25">
      <c r="A871" s="177"/>
    </row>
    <row r="872" spans="1:1" x14ac:dyDescent="0.25">
      <c r="A872" s="177"/>
    </row>
    <row r="873" spans="1:1" x14ac:dyDescent="0.25">
      <c r="A873" s="177"/>
    </row>
    <row r="874" spans="1:1" x14ac:dyDescent="0.25">
      <c r="A874" s="177"/>
    </row>
    <row r="875" spans="1:1" x14ac:dyDescent="0.25">
      <c r="A875" s="177"/>
    </row>
    <row r="876" spans="1:1" x14ac:dyDescent="0.25">
      <c r="A876" s="177"/>
    </row>
    <row r="877" spans="1:1" x14ac:dyDescent="0.25">
      <c r="A877" s="177"/>
    </row>
    <row r="878" spans="1:1" x14ac:dyDescent="0.25">
      <c r="A878" s="177"/>
    </row>
    <row r="879" spans="1:1" x14ac:dyDescent="0.25">
      <c r="A879" s="177"/>
    </row>
    <row r="880" spans="1:1" x14ac:dyDescent="0.25">
      <c r="A880" s="177"/>
    </row>
    <row r="881" spans="1:1" x14ac:dyDescent="0.25">
      <c r="A881" s="177"/>
    </row>
    <row r="882" spans="1:1" x14ac:dyDescent="0.25">
      <c r="A882" s="177"/>
    </row>
    <row r="883" spans="1:1" x14ac:dyDescent="0.25">
      <c r="A883" s="177"/>
    </row>
    <row r="884" spans="1:1" x14ac:dyDescent="0.25">
      <c r="A884" s="177"/>
    </row>
    <row r="885" spans="1:1" x14ac:dyDescent="0.25">
      <c r="A885" s="177"/>
    </row>
    <row r="886" spans="1:1" x14ac:dyDescent="0.25">
      <c r="A886" s="177"/>
    </row>
    <row r="887" spans="1:1" x14ac:dyDescent="0.25">
      <c r="A887" s="177"/>
    </row>
    <row r="888" spans="1:1" x14ac:dyDescent="0.25">
      <c r="A888" s="177"/>
    </row>
    <row r="889" spans="1:1" x14ac:dyDescent="0.25">
      <c r="A889" s="177"/>
    </row>
    <row r="890" spans="1:1" x14ac:dyDescent="0.25">
      <c r="A890" s="177"/>
    </row>
    <row r="891" spans="1:1" x14ac:dyDescent="0.25">
      <c r="A891" s="177"/>
    </row>
    <row r="892" spans="1:1" x14ac:dyDescent="0.25">
      <c r="A892" s="177"/>
    </row>
    <row r="893" spans="1:1" x14ac:dyDescent="0.25">
      <c r="A893" s="177"/>
    </row>
    <row r="894" spans="1:1" x14ac:dyDescent="0.25">
      <c r="A894" s="177"/>
    </row>
    <row r="895" spans="1:1" x14ac:dyDescent="0.25">
      <c r="A895" s="177"/>
    </row>
    <row r="896" spans="1:1" x14ac:dyDescent="0.25">
      <c r="A896" s="177"/>
    </row>
    <row r="897" spans="1:1" x14ac:dyDescent="0.25">
      <c r="A897" s="177"/>
    </row>
    <row r="898" spans="1:1" x14ac:dyDescent="0.25">
      <c r="A898" s="177"/>
    </row>
    <row r="899" spans="1:1" x14ac:dyDescent="0.25">
      <c r="A899" s="177"/>
    </row>
    <row r="900" spans="1:1" x14ac:dyDescent="0.25">
      <c r="A900" s="177"/>
    </row>
    <row r="901" spans="1:1" x14ac:dyDescent="0.25">
      <c r="A901" s="177"/>
    </row>
    <row r="902" spans="1:1" x14ac:dyDescent="0.25">
      <c r="A902" s="177"/>
    </row>
    <row r="903" spans="1:1" x14ac:dyDescent="0.25">
      <c r="A903" s="177"/>
    </row>
    <row r="904" spans="1:1" x14ac:dyDescent="0.25">
      <c r="A904" s="177"/>
    </row>
    <row r="905" spans="1:1" x14ac:dyDescent="0.25">
      <c r="A905" s="177"/>
    </row>
    <row r="906" spans="1:1" x14ac:dyDescent="0.25">
      <c r="A906" s="177"/>
    </row>
    <row r="907" spans="1:1" x14ac:dyDescent="0.25">
      <c r="A907" s="177"/>
    </row>
    <row r="908" spans="1:1" x14ac:dyDescent="0.25">
      <c r="A908" s="177"/>
    </row>
    <row r="909" spans="1:1" x14ac:dyDescent="0.25">
      <c r="A909" s="177"/>
    </row>
    <row r="910" spans="1:1" x14ac:dyDescent="0.25">
      <c r="A910" s="177"/>
    </row>
    <row r="911" spans="1:1" x14ac:dyDescent="0.25">
      <c r="A911" s="177"/>
    </row>
    <row r="912" spans="1:1" x14ac:dyDescent="0.25">
      <c r="A912" s="177"/>
    </row>
    <row r="913" spans="1:1" x14ac:dyDescent="0.25">
      <c r="A913" s="177"/>
    </row>
    <row r="914" spans="1:1" x14ac:dyDescent="0.25">
      <c r="A914" s="177"/>
    </row>
    <row r="915" spans="1:1" x14ac:dyDescent="0.25">
      <c r="A915" s="177"/>
    </row>
    <row r="916" spans="1:1" x14ac:dyDescent="0.25">
      <c r="A916" s="177"/>
    </row>
    <row r="917" spans="1:1" x14ac:dyDescent="0.25">
      <c r="A917" s="177"/>
    </row>
    <row r="918" spans="1:1" x14ac:dyDescent="0.25">
      <c r="A918" s="177"/>
    </row>
    <row r="919" spans="1:1" x14ac:dyDescent="0.25">
      <c r="A919" s="177"/>
    </row>
    <row r="920" spans="1:1" x14ac:dyDescent="0.25">
      <c r="A920" s="177"/>
    </row>
    <row r="921" spans="1:1" x14ac:dyDescent="0.25">
      <c r="A921" s="177"/>
    </row>
    <row r="922" spans="1:1" x14ac:dyDescent="0.25">
      <c r="A922" s="177"/>
    </row>
    <row r="923" spans="1:1" x14ac:dyDescent="0.25">
      <c r="A923" s="177"/>
    </row>
    <row r="924" spans="1:1" x14ac:dyDescent="0.25">
      <c r="A924" s="177"/>
    </row>
    <row r="925" spans="1:1" x14ac:dyDescent="0.25">
      <c r="A925" s="177"/>
    </row>
    <row r="926" spans="1:1" x14ac:dyDescent="0.25">
      <c r="A926" s="177"/>
    </row>
    <row r="927" spans="1:1" x14ac:dyDescent="0.25">
      <c r="A927" s="177"/>
    </row>
    <row r="928" spans="1:1" x14ac:dyDescent="0.25">
      <c r="A928" s="177"/>
    </row>
    <row r="929" spans="1:1" x14ac:dyDescent="0.25">
      <c r="A929" s="177"/>
    </row>
    <row r="930" spans="1:1" x14ac:dyDescent="0.25">
      <c r="A930" s="177"/>
    </row>
    <row r="931" spans="1:1" x14ac:dyDescent="0.25">
      <c r="A931" s="177"/>
    </row>
    <row r="932" spans="1:1" x14ac:dyDescent="0.25">
      <c r="A932" s="177"/>
    </row>
    <row r="933" spans="1:1" x14ac:dyDescent="0.25">
      <c r="A933" s="177"/>
    </row>
    <row r="934" spans="1:1" x14ac:dyDescent="0.25">
      <c r="A934" s="177"/>
    </row>
    <row r="935" spans="1:1" x14ac:dyDescent="0.25">
      <c r="A935" s="177"/>
    </row>
    <row r="936" spans="1:1" x14ac:dyDescent="0.25">
      <c r="A936" s="177"/>
    </row>
    <row r="937" spans="1:1" x14ac:dyDescent="0.25">
      <c r="A937" s="177"/>
    </row>
    <row r="938" spans="1:1" x14ac:dyDescent="0.25">
      <c r="A938" s="177"/>
    </row>
    <row r="939" spans="1:1" x14ac:dyDescent="0.25">
      <c r="A939" s="177"/>
    </row>
    <row r="940" spans="1:1" x14ac:dyDescent="0.25">
      <c r="A940" s="177"/>
    </row>
    <row r="941" spans="1:1" x14ac:dyDescent="0.25">
      <c r="A941" s="177"/>
    </row>
    <row r="942" spans="1:1" x14ac:dyDescent="0.25">
      <c r="A942" s="177"/>
    </row>
    <row r="943" spans="1:1" x14ac:dyDescent="0.25">
      <c r="A943" s="177"/>
    </row>
    <row r="944" spans="1:1" x14ac:dyDescent="0.25">
      <c r="A944" s="177"/>
    </row>
    <row r="945" spans="1:1" x14ac:dyDescent="0.25">
      <c r="A945" s="177"/>
    </row>
    <row r="946" spans="1:1" x14ac:dyDescent="0.25">
      <c r="A946" s="177"/>
    </row>
    <row r="947" spans="1:1" x14ac:dyDescent="0.25">
      <c r="A947" s="177"/>
    </row>
    <row r="948" spans="1:1" x14ac:dyDescent="0.25">
      <c r="A948" s="177"/>
    </row>
    <row r="949" spans="1:1" x14ac:dyDescent="0.25">
      <c r="A949" s="177"/>
    </row>
    <row r="950" spans="1:1" x14ac:dyDescent="0.25">
      <c r="A950" s="177"/>
    </row>
    <row r="951" spans="1:1" x14ac:dyDescent="0.25">
      <c r="A951" s="177"/>
    </row>
    <row r="952" spans="1:1" x14ac:dyDescent="0.25">
      <c r="A952" s="177"/>
    </row>
    <row r="953" spans="1:1" x14ac:dyDescent="0.25">
      <c r="A953" s="177"/>
    </row>
    <row r="954" spans="1:1" x14ac:dyDescent="0.25">
      <c r="A954" s="177"/>
    </row>
    <row r="955" spans="1:1" x14ac:dyDescent="0.25">
      <c r="A955" s="177"/>
    </row>
    <row r="956" spans="1:1" x14ac:dyDescent="0.25">
      <c r="A956" s="177"/>
    </row>
    <row r="957" spans="1:1" x14ac:dyDescent="0.25">
      <c r="A957" s="177"/>
    </row>
    <row r="958" spans="1:1" x14ac:dyDescent="0.25">
      <c r="A958" s="177"/>
    </row>
    <row r="959" spans="1:1" x14ac:dyDescent="0.25">
      <c r="A959" s="177"/>
    </row>
    <row r="960" spans="1:1" x14ac:dyDescent="0.25">
      <c r="A960" s="177"/>
    </row>
    <row r="961" spans="1:1" x14ac:dyDescent="0.25">
      <c r="A961" s="177"/>
    </row>
    <row r="962" spans="1:1" x14ac:dyDescent="0.25">
      <c r="A962" s="177"/>
    </row>
    <row r="963" spans="1:1" x14ac:dyDescent="0.25">
      <c r="A963" s="177"/>
    </row>
    <row r="964" spans="1:1" x14ac:dyDescent="0.25">
      <c r="A964" s="177"/>
    </row>
    <row r="965" spans="1:1" x14ac:dyDescent="0.25">
      <c r="A965" s="177"/>
    </row>
    <row r="966" spans="1:1" x14ac:dyDescent="0.25">
      <c r="A966" s="177"/>
    </row>
    <row r="967" spans="1:1" x14ac:dyDescent="0.25">
      <c r="A967" s="177"/>
    </row>
    <row r="968" spans="1:1" x14ac:dyDescent="0.25">
      <c r="A968" s="177"/>
    </row>
    <row r="969" spans="1:1" x14ac:dyDescent="0.25">
      <c r="A969" s="177"/>
    </row>
    <row r="970" spans="1:1" x14ac:dyDescent="0.25">
      <c r="A970" s="177"/>
    </row>
    <row r="971" spans="1:1" x14ac:dyDescent="0.25">
      <c r="A971" s="177"/>
    </row>
    <row r="972" spans="1:1" x14ac:dyDescent="0.25">
      <c r="A972" s="177"/>
    </row>
    <row r="973" spans="1:1" x14ac:dyDescent="0.25">
      <c r="A973" s="177"/>
    </row>
    <row r="974" spans="1:1" x14ac:dyDescent="0.25">
      <c r="A974" s="177"/>
    </row>
    <row r="975" spans="1:1" x14ac:dyDescent="0.25">
      <c r="A975" s="177"/>
    </row>
    <row r="976" spans="1:1" x14ac:dyDescent="0.25">
      <c r="A976" s="177"/>
    </row>
    <row r="977" spans="1:1" x14ac:dyDescent="0.25">
      <c r="A977" s="177"/>
    </row>
    <row r="978" spans="1:1" x14ac:dyDescent="0.25">
      <c r="A978" s="177"/>
    </row>
    <row r="979" spans="1:1" x14ac:dyDescent="0.25">
      <c r="A979" s="177"/>
    </row>
    <row r="980" spans="1:1" x14ac:dyDescent="0.25">
      <c r="A980" s="177"/>
    </row>
    <row r="981" spans="1:1" x14ac:dyDescent="0.25">
      <c r="A981" s="177"/>
    </row>
    <row r="982" spans="1:1" x14ac:dyDescent="0.25">
      <c r="A982" s="177"/>
    </row>
    <row r="983" spans="1:1" x14ac:dyDescent="0.25">
      <c r="A983" s="177"/>
    </row>
    <row r="984" spans="1:1" x14ac:dyDescent="0.25">
      <c r="A984" s="177"/>
    </row>
    <row r="985" spans="1:1" x14ac:dyDescent="0.25">
      <c r="A985" s="177"/>
    </row>
    <row r="986" spans="1:1" x14ac:dyDescent="0.25">
      <c r="A986" s="177"/>
    </row>
    <row r="987" spans="1:1" x14ac:dyDescent="0.25">
      <c r="A987" s="177"/>
    </row>
    <row r="988" spans="1:1" x14ac:dyDescent="0.25">
      <c r="A988" s="177"/>
    </row>
    <row r="989" spans="1:1" x14ac:dyDescent="0.25">
      <c r="A989" s="177"/>
    </row>
    <row r="990" spans="1:1" x14ac:dyDescent="0.25">
      <c r="A990" s="177"/>
    </row>
    <row r="991" spans="1:1" x14ac:dyDescent="0.25">
      <c r="A991" s="177"/>
    </row>
    <row r="992" spans="1:1" x14ac:dyDescent="0.25">
      <c r="A992" s="177"/>
    </row>
    <row r="993" spans="1:1" x14ac:dyDescent="0.25">
      <c r="A993" s="177"/>
    </row>
    <row r="994" spans="1:1" x14ac:dyDescent="0.25">
      <c r="A994" s="177"/>
    </row>
    <row r="995" spans="1:1" x14ac:dyDescent="0.25">
      <c r="A995" s="177"/>
    </row>
    <row r="996" spans="1:1" x14ac:dyDescent="0.25">
      <c r="A996" s="177"/>
    </row>
    <row r="997" spans="1:1" x14ac:dyDescent="0.25">
      <c r="A997" s="177"/>
    </row>
    <row r="998" spans="1:1" x14ac:dyDescent="0.25">
      <c r="A998" s="177"/>
    </row>
    <row r="999" spans="1:1" x14ac:dyDescent="0.25">
      <c r="A999" s="177"/>
    </row>
    <row r="1000" spans="1:1" x14ac:dyDescent="0.25">
      <c r="A1000" s="177"/>
    </row>
    <row r="1001" spans="1:1" x14ac:dyDescent="0.25">
      <c r="A1001" s="177"/>
    </row>
    <row r="1002" spans="1:1" x14ac:dyDescent="0.25">
      <c r="A1002" s="177"/>
    </row>
    <row r="1003" spans="1:1" x14ac:dyDescent="0.25">
      <c r="A1003" s="177"/>
    </row>
    <row r="1004" spans="1:1" x14ac:dyDescent="0.25">
      <c r="A1004" s="177"/>
    </row>
    <row r="1005" spans="1:1" x14ac:dyDescent="0.25">
      <c r="A1005" s="177"/>
    </row>
    <row r="1006" spans="1:1" x14ac:dyDescent="0.25">
      <c r="A1006" s="177"/>
    </row>
    <row r="1007" spans="1:1" x14ac:dyDescent="0.25">
      <c r="A1007" s="177"/>
    </row>
    <row r="1008" spans="1:1" x14ac:dyDescent="0.25">
      <c r="A1008" s="177"/>
    </row>
    <row r="1009" spans="1:1" x14ac:dyDescent="0.25">
      <c r="A1009" s="177"/>
    </row>
    <row r="1010" spans="1:1" x14ac:dyDescent="0.25">
      <c r="A1010" s="177"/>
    </row>
    <row r="1011" spans="1:1" x14ac:dyDescent="0.25">
      <c r="A1011" s="177"/>
    </row>
    <row r="1012" spans="1:1" x14ac:dyDescent="0.25">
      <c r="A1012" s="177"/>
    </row>
    <row r="1013" spans="1:1" x14ac:dyDescent="0.25">
      <c r="A1013" s="177"/>
    </row>
    <row r="1014" spans="1:1" x14ac:dyDescent="0.25">
      <c r="A1014" s="177"/>
    </row>
    <row r="1015" spans="1:1" x14ac:dyDescent="0.25">
      <c r="A1015" s="177"/>
    </row>
    <row r="1016" spans="1:1" x14ac:dyDescent="0.25">
      <c r="A1016" s="177"/>
    </row>
    <row r="1017" spans="1:1" x14ac:dyDescent="0.25">
      <c r="A1017" s="177"/>
    </row>
    <row r="1018" spans="1:1" x14ac:dyDescent="0.25">
      <c r="A1018" s="177"/>
    </row>
    <row r="1019" spans="1:1" x14ac:dyDescent="0.25">
      <c r="A1019" s="177"/>
    </row>
    <row r="1020" spans="1:1" x14ac:dyDescent="0.25">
      <c r="A1020" s="177"/>
    </row>
    <row r="1021" spans="1:1" x14ac:dyDescent="0.25">
      <c r="A1021" s="177"/>
    </row>
    <row r="1022" spans="1:1" x14ac:dyDescent="0.25">
      <c r="A1022" s="177"/>
    </row>
    <row r="1023" spans="1:1" x14ac:dyDescent="0.25">
      <c r="A1023" s="177"/>
    </row>
    <row r="1024" spans="1:1" x14ac:dyDescent="0.25">
      <c r="A1024" s="177"/>
    </row>
    <row r="1025" spans="1:1" x14ac:dyDescent="0.25">
      <c r="A1025" s="177"/>
    </row>
    <row r="1026" spans="1:1" x14ac:dyDescent="0.25">
      <c r="A1026" s="177"/>
    </row>
    <row r="1027" spans="1:1" x14ac:dyDescent="0.25">
      <c r="A1027" s="177"/>
    </row>
    <row r="1028" spans="1:1" x14ac:dyDescent="0.25">
      <c r="A1028" s="177"/>
    </row>
    <row r="1029" spans="1:1" x14ac:dyDescent="0.25">
      <c r="A1029" s="177"/>
    </row>
    <row r="1030" spans="1:1" x14ac:dyDescent="0.25">
      <c r="A1030" s="177"/>
    </row>
    <row r="1031" spans="1:1" x14ac:dyDescent="0.25">
      <c r="A1031" s="177"/>
    </row>
    <row r="1032" spans="1:1" x14ac:dyDescent="0.25">
      <c r="A1032" s="177"/>
    </row>
    <row r="1033" spans="1:1" x14ac:dyDescent="0.25">
      <c r="A1033" s="177"/>
    </row>
    <row r="1034" spans="1:1" x14ac:dyDescent="0.25">
      <c r="A1034" s="177"/>
    </row>
    <row r="1035" spans="1:1" x14ac:dyDescent="0.25">
      <c r="A1035" s="177"/>
    </row>
    <row r="1036" spans="1:1" x14ac:dyDescent="0.25">
      <c r="A1036" s="177"/>
    </row>
    <row r="1037" spans="1:1" x14ac:dyDescent="0.25">
      <c r="A1037" s="177"/>
    </row>
    <row r="1038" spans="1:1" x14ac:dyDescent="0.25">
      <c r="A1038" s="177"/>
    </row>
    <row r="1039" spans="1:1" x14ac:dyDescent="0.25">
      <c r="A1039" s="177"/>
    </row>
    <row r="1040" spans="1:1" x14ac:dyDescent="0.25">
      <c r="A1040" s="177"/>
    </row>
    <row r="1041" spans="1:1" x14ac:dyDescent="0.25">
      <c r="A1041" s="177"/>
    </row>
    <row r="1042" spans="1:1" x14ac:dyDescent="0.25">
      <c r="A1042" s="177"/>
    </row>
    <row r="1043" spans="1:1" x14ac:dyDescent="0.25">
      <c r="A1043" s="177"/>
    </row>
    <row r="1044" spans="1:1" x14ac:dyDescent="0.25">
      <c r="A1044" s="177"/>
    </row>
    <row r="1045" spans="1:1" x14ac:dyDescent="0.25">
      <c r="A1045" s="177"/>
    </row>
    <row r="1046" spans="1:1" x14ac:dyDescent="0.25">
      <c r="A1046" s="177"/>
    </row>
    <row r="1047" spans="1:1" x14ac:dyDescent="0.25">
      <c r="A1047" s="177"/>
    </row>
    <row r="1048" spans="1:1" x14ac:dyDescent="0.25">
      <c r="A1048" s="177"/>
    </row>
    <row r="1049" spans="1:1" x14ac:dyDescent="0.25">
      <c r="A1049" s="177"/>
    </row>
    <row r="1050" spans="1:1" x14ac:dyDescent="0.25">
      <c r="A1050" s="177"/>
    </row>
    <row r="1051" spans="1:1" x14ac:dyDescent="0.25">
      <c r="A1051" s="177"/>
    </row>
    <row r="1052" spans="1:1" x14ac:dyDescent="0.25">
      <c r="A1052" s="177"/>
    </row>
    <row r="1053" spans="1:1" x14ac:dyDescent="0.25">
      <c r="A1053" s="177"/>
    </row>
    <row r="1054" spans="1:1" x14ac:dyDescent="0.25">
      <c r="A1054" s="177"/>
    </row>
    <row r="1055" spans="1:1" x14ac:dyDescent="0.25">
      <c r="A1055" s="177"/>
    </row>
    <row r="1056" spans="1:1" x14ac:dyDescent="0.25">
      <c r="A1056" s="177"/>
    </row>
    <row r="1057" spans="1:1" x14ac:dyDescent="0.25">
      <c r="A1057" s="177"/>
    </row>
    <row r="1058" spans="1:1" x14ac:dyDescent="0.25">
      <c r="A1058" s="177"/>
    </row>
    <row r="1059" spans="1:1" x14ac:dyDescent="0.25">
      <c r="A1059" s="177"/>
    </row>
    <row r="1060" spans="1:1" x14ac:dyDescent="0.25">
      <c r="A1060" s="177"/>
    </row>
    <row r="1061" spans="1:1" x14ac:dyDescent="0.25">
      <c r="A1061" s="177"/>
    </row>
    <row r="1062" spans="1:1" x14ac:dyDescent="0.25">
      <c r="A1062" s="177"/>
    </row>
    <row r="1063" spans="1:1" x14ac:dyDescent="0.25">
      <c r="A1063" s="177"/>
    </row>
    <row r="1064" spans="1:1" x14ac:dyDescent="0.25">
      <c r="A1064" s="177"/>
    </row>
    <row r="1065" spans="1:1" x14ac:dyDescent="0.25">
      <c r="A1065" s="177"/>
    </row>
    <row r="1066" spans="1:1" x14ac:dyDescent="0.25">
      <c r="A1066" s="177"/>
    </row>
    <row r="1067" spans="1:1" x14ac:dyDescent="0.25">
      <c r="A1067" s="177"/>
    </row>
    <row r="1068" spans="1:1" x14ac:dyDescent="0.25">
      <c r="A1068" s="177"/>
    </row>
    <row r="1069" spans="1:1" x14ac:dyDescent="0.25">
      <c r="A1069" s="177"/>
    </row>
    <row r="1070" spans="1:1" x14ac:dyDescent="0.25">
      <c r="A1070" s="177"/>
    </row>
    <row r="1071" spans="1:1" x14ac:dyDescent="0.25">
      <c r="A1071" s="177"/>
    </row>
    <row r="1072" spans="1:1" x14ac:dyDescent="0.25">
      <c r="A1072" s="177"/>
    </row>
    <row r="1073" spans="1:1" x14ac:dyDescent="0.25">
      <c r="A1073" s="177"/>
    </row>
    <row r="1074" spans="1:1" x14ac:dyDescent="0.25">
      <c r="A1074" s="177"/>
    </row>
    <row r="1075" spans="1:1" x14ac:dyDescent="0.25">
      <c r="A1075" s="177"/>
    </row>
    <row r="1076" spans="1:1" x14ac:dyDescent="0.25">
      <c r="A1076" s="177"/>
    </row>
    <row r="1077" spans="1:1" x14ac:dyDescent="0.25">
      <c r="A1077" s="177"/>
    </row>
    <row r="1078" spans="1:1" x14ac:dyDescent="0.25">
      <c r="A1078" s="177"/>
    </row>
    <row r="1079" spans="1:1" x14ac:dyDescent="0.25">
      <c r="A1079" s="177"/>
    </row>
    <row r="1080" spans="1:1" x14ac:dyDescent="0.25">
      <c r="A1080" s="177"/>
    </row>
    <row r="1081" spans="1:1" x14ac:dyDescent="0.25">
      <c r="A1081" s="177"/>
    </row>
    <row r="1082" spans="1:1" x14ac:dyDescent="0.25">
      <c r="A1082" s="177"/>
    </row>
    <row r="1083" spans="1:1" x14ac:dyDescent="0.25">
      <c r="A1083" s="177"/>
    </row>
    <row r="1084" spans="1:1" x14ac:dyDescent="0.25">
      <c r="A1084" s="177"/>
    </row>
    <row r="1085" spans="1:1" x14ac:dyDescent="0.25">
      <c r="A1085" s="177"/>
    </row>
    <row r="1086" spans="1:1" x14ac:dyDescent="0.25">
      <c r="A1086" s="177"/>
    </row>
    <row r="1087" spans="1:1" x14ac:dyDescent="0.25">
      <c r="A1087" s="177"/>
    </row>
    <row r="1088" spans="1:1" x14ac:dyDescent="0.25">
      <c r="A1088" s="177"/>
    </row>
    <row r="1089" spans="1:1" x14ac:dyDescent="0.25">
      <c r="A1089" s="177"/>
    </row>
    <row r="1090" spans="1:1" x14ac:dyDescent="0.25">
      <c r="A1090" s="177"/>
    </row>
    <row r="1091" spans="1:1" x14ac:dyDescent="0.25">
      <c r="A1091" s="177"/>
    </row>
    <row r="1092" spans="1:1" x14ac:dyDescent="0.25">
      <c r="A1092" s="177"/>
    </row>
    <row r="1093" spans="1:1" x14ac:dyDescent="0.25">
      <c r="A1093" s="177"/>
    </row>
    <row r="1094" spans="1:1" x14ac:dyDescent="0.25">
      <c r="A1094" s="177"/>
    </row>
    <row r="1095" spans="1:1" x14ac:dyDescent="0.25">
      <c r="A1095" s="177"/>
    </row>
    <row r="1096" spans="1:1" x14ac:dyDescent="0.25">
      <c r="A1096" s="177"/>
    </row>
    <row r="1097" spans="1:1" x14ac:dyDescent="0.25">
      <c r="A1097" s="177"/>
    </row>
    <row r="1098" spans="1:1" x14ac:dyDescent="0.25">
      <c r="A1098" s="177"/>
    </row>
    <row r="1099" spans="1:1" x14ac:dyDescent="0.25">
      <c r="A1099" s="177"/>
    </row>
    <row r="1100" spans="1:1" x14ac:dyDescent="0.25">
      <c r="A1100" s="177"/>
    </row>
    <row r="1101" spans="1:1" x14ac:dyDescent="0.25">
      <c r="A1101" s="177"/>
    </row>
    <row r="1102" spans="1:1" x14ac:dyDescent="0.25">
      <c r="A1102" s="177"/>
    </row>
    <row r="1103" spans="1:1" x14ac:dyDescent="0.25">
      <c r="A1103" s="177"/>
    </row>
    <row r="1104" spans="1:1" x14ac:dyDescent="0.25">
      <c r="A1104" s="177"/>
    </row>
    <row r="1105" spans="1:1" x14ac:dyDescent="0.25">
      <c r="A1105" s="177"/>
    </row>
    <row r="1106" spans="1:1" x14ac:dyDescent="0.25">
      <c r="A1106" s="177"/>
    </row>
    <row r="1107" spans="1:1" x14ac:dyDescent="0.25">
      <c r="A1107" s="177"/>
    </row>
    <row r="1108" spans="1:1" x14ac:dyDescent="0.25">
      <c r="A1108" s="177"/>
    </row>
    <row r="1109" spans="1:1" x14ac:dyDescent="0.25">
      <c r="A1109" s="177"/>
    </row>
    <row r="1110" spans="1:1" x14ac:dyDescent="0.25">
      <c r="A1110" s="177"/>
    </row>
    <row r="1111" spans="1:1" x14ac:dyDescent="0.25">
      <c r="A1111" s="177"/>
    </row>
    <row r="1112" spans="1:1" x14ac:dyDescent="0.25">
      <c r="A1112" s="177"/>
    </row>
    <row r="1113" spans="1:1" x14ac:dyDescent="0.25">
      <c r="A1113" s="177"/>
    </row>
    <row r="1114" spans="1:1" x14ac:dyDescent="0.25">
      <c r="A1114" s="177"/>
    </row>
    <row r="1115" spans="1:1" x14ac:dyDescent="0.25">
      <c r="A1115" s="177"/>
    </row>
    <row r="1116" spans="1:1" x14ac:dyDescent="0.25">
      <c r="A1116" s="177"/>
    </row>
    <row r="1117" spans="1:1" x14ac:dyDescent="0.25">
      <c r="A1117" s="177"/>
    </row>
    <row r="1118" spans="1:1" x14ac:dyDescent="0.25">
      <c r="A1118" s="177"/>
    </row>
    <row r="1119" spans="1:1" x14ac:dyDescent="0.25">
      <c r="A1119" s="177"/>
    </row>
    <row r="1120" spans="1:1" x14ac:dyDescent="0.25">
      <c r="A1120" s="177"/>
    </row>
    <row r="1121" spans="1:1" x14ac:dyDescent="0.25">
      <c r="A1121" s="177"/>
    </row>
    <row r="1122" spans="1:1" x14ac:dyDescent="0.25">
      <c r="A1122" s="177"/>
    </row>
    <row r="1123" spans="1:1" x14ac:dyDescent="0.25">
      <c r="A1123" s="177"/>
    </row>
    <row r="1124" spans="1:1" x14ac:dyDescent="0.25">
      <c r="A1124" s="177"/>
    </row>
    <row r="1125" spans="1:1" x14ac:dyDescent="0.25">
      <c r="A1125" s="177"/>
    </row>
    <row r="1126" spans="1:1" x14ac:dyDescent="0.25">
      <c r="A1126" s="177"/>
    </row>
    <row r="1127" spans="1:1" x14ac:dyDescent="0.25">
      <c r="A1127" s="177"/>
    </row>
    <row r="1128" spans="1:1" x14ac:dyDescent="0.25">
      <c r="A1128" s="177"/>
    </row>
    <row r="1129" spans="1:1" x14ac:dyDescent="0.25">
      <c r="A1129" s="177"/>
    </row>
    <row r="1130" spans="1:1" x14ac:dyDescent="0.25">
      <c r="A1130" s="177"/>
    </row>
    <row r="1131" spans="1:1" x14ac:dyDescent="0.25">
      <c r="A1131" s="177"/>
    </row>
    <row r="1132" spans="1:1" x14ac:dyDescent="0.25">
      <c r="A1132" s="177"/>
    </row>
    <row r="1133" spans="1:1" x14ac:dyDescent="0.25">
      <c r="A1133" s="177"/>
    </row>
    <row r="1134" spans="1:1" x14ac:dyDescent="0.25">
      <c r="A1134" s="177"/>
    </row>
    <row r="1135" spans="1:1" x14ac:dyDescent="0.25">
      <c r="A1135" s="177"/>
    </row>
    <row r="1136" spans="1:1" x14ac:dyDescent="0.25">
      <c r="A1136" s="177"/>
    </row>
    <row r="1137" spans="1:1" x14ac:dyDescent="0.25">
      <c r="A1137" s="177"/>
    </row>
    <row r="1138" spans="1:1" x14ac:dyDescent="0.25">
      <c r="A1138" s="177"/>
    </row>
    <row r="1139" spans="1:1" x14ac:dyDescent="0.25">
      <c r="A1139" s="177"/>
    </row>
    <row r="1140" spans="1:1" x14ac:dyDescent="0.25">
      <c r="A1140" s="177"/>
    </row>
    <row r="1141" spans="1:1" x14ac:dyDescent="0.25">
      <c r="A1141" s="177"/>
    </row>
    <row r="1142" spans="1:1" x14ac:dyDescent="0.25">
      <c r="A1142" s="177"/>
    </row>
    <row r="1143" spans="1:1" x14ac:dyDescent="0.25">
      <c r="A1143" s="177"/>
    </row>
    <row r="1144" spans="1:1" x14ac:dyDescent="0.25">
      <c r="A1144" s="177"/>
    </row>
    <row r="1145" spans="1:1" x14ac:dyDescent="0.25">
      <c r="A1145" s="177"/>
    </row>
    <row r="1146" spans="1:1" x14ac:dyDescent="0.25">
      <c r="A1146" s="177"/>
    </row>
    <row r="1147" spans="1:1" x14ac:dyDescent="0.25">
      <c r="A1147" s="177"/>
    </row>
    <row r="1148" spans="1:1" x14ac:dyDescent="0.25">
      <c r="A1148" s="177"/>
    </row>
    <row r="1149" spans="1:1" x14ac:dyDescent="0.25">
      <c r="A1149" s="177"/>
    </row>
    <row r="1150" spans="1:1" x14ac:dyDescent="0.25">
      <c r="A1150" s="177"/>
    </row>
    <row r="1151" spans="1:1" x14ac:dyDescent="0.25">
      <c r="A1151" s="177"/>
    </row>
    <row r="1152" spans="1:1" x14ac:dyDescent="0.25">
      <c r="A1152" s="177"/>
    </row>
    <row r="1153" spans="1:1" x14ac:dyDescent="0.25">
      <c r="A1153" s="177"/>
    </row>
    <row r="1154" spans="1:1" x14ac:dyDescent="0.25">
      <c r="A1154" s="177"/>
    </row>
    <row r="1155" spans="1:1" x14ac:dyDescent="0.25">
      <c r="A1155" s="177"/>
    </row>
    <row r="1156" spans="1:1" x14ac:dyDescent="0.25">
      <c r="A1156" s="177"/>
    </row>
    <row r="1157" spans="1:1" x14ac:dyDescent="0.25">
      <c r="A1157" s="177"/>
    </row>
    <row r="1158" spans="1:1" x14ac:dyDescent="0.25">
      <c r="A1158" s="177"/>
    </row>
    <row r="1159" spans="1:1" x14ac:dyDescent="0.25">
      <c r="A1159" s="177"/>
    </row>
    <row r="1160" spans="1:1" x14ac:dyDescent="0.25">
      <c r="A1160" s="177"/>
    </row>
    <row r="1161" spans="1:1" x14ac:dyDescent="0.25">
      <c r="A1161" s="177"/>
    </row>
    <row r="1162" spans="1:1" x14ac:dyDescent="0.25">
      <c r="A1162" s="177"/>
    </row>
    <row r="1163" spans="1:1" x14ac:dyDescent="0.25">
      <c r="A1163" s="177"/>
    </row>
    <row r="1164" spans="1:1" x14ac:dyDescent="0.25">
      <c r="A1164" s="177"/>
    </row>
    <row r="1165" spans="1:1" x14ac:dyDescent="0.25">
      <c r="A1165" s="177"/>
    </row>
    <row r="1166" spans="1:1" x14ac:dyDescent="0.25">
      <c r="A1166" s="177"/>
    </row>
    <row r="1167" spans="1:1" x14ac:dyDescent="0.25">
      <c r="A1167" s="177"/>
    </row>
    <row r="1168" spans="1:1" x14ac:dyDescent="0.25">
      <c r="A1168" s="177"/>
    </row>
    <row r="1169" spans="1:1" x14ac:dyDescent="0.25">
      <c r="A1169" s="177"/>
    </row>
    <row r="1170" spans="1:1" x14ac:dyDescent="0.25">
      <c r="A1170" s="177"/>
    </row>
    <row r="1171" spans="1:1" x14ac:dyDescent="0.25">
      <c r="A1171" s="177"/>
    </row>
    <row r="1172" spans="1:1" x14ac:dyDescent="0.25">
      <c r="A1172" s="177"/>
    </row>
    <row r="1173" spans="1:1" x14ac:dyDescent="0.25">
      <c r="A1173" s="177"/>
    </row>
    <row r="1174" spans="1:1" x14ac:dyDescent="0.25">
      <c r="A1174" s="177"/>
    </row>
    <row r="1175" spans="1:1" x14ac:dyDescent="0.25">
      <c r="A1175" s="177"/>
    </row>
    <row r="1176" spans="1:1" x14ac:dyDescent="0.25">
      <c r="A1176" s="177"/>
    </row>
    <row r="1177" spans="1:1" x14ac:dyDescent="0.25">
      <c r="A1177" s="177"/>
    </row>
    <row r="1178" spans="1:1" x14ac:dyDescent="0.25">
      <c r="A1178" s="177"/>
    </row>
    <row r="1179" spans="1:1" x14ac:dyDescent="0.25">
      <c r="A1179" s="177"/>
    </row>
    <row r="1180" spans="1:1" x14ac:dyDescent="0.25">
      <c r="A1180" s="177"/>
    </row>
    <row r="1181" spans="1:1" x14ac:dyDescent="0.25">
      <c r="A1181" s="177"/>
    </row>
    <row r="1182" spans="1:1" x14ac:dyDescent="0.25">
      <c r="A1182" s="177"/>
    </row>
    <row r="1183" spans="1:1" x14ac:dyDescent="0.25">
      <c r="A1183" s="177"/>
    </row>
    <row r="1184" spans="1:1" x14ac:dyDescent="0.25">
      <c r="A1184" s="177"/>
    </row>
    <row r="1185" spans="1:1" x14ac:dyDescent="0.25">
      <c r="A1185" s="177"/>
    </row>
    <row r="1186" spans="1:1" x14ac:dyDescent="0.25">
      <c r="A1186" s="177"/>
    </row>
    <row r="1187" spans="1:1" x14ac:dyDescent="0.25">
      <c r="A1187" s="177"/>
    </row>
    <row r="1188" spans="1:1" x14ac:dyDescent="0.25">
      <c r="A1188" s="177"/>
    </row>
    <row r="1189" spans="1:1" x14ac:dyDescent="0.25">
      <c r="A1189" s="177"/>
    </row>
    <row r="1190" spans="1:1" x14ac:dyDescent="0.25">
      <c r="A1190" s="177"/>
    </row>
    <row r="1191" spans="1:1" x14ac:dyDescent="0.25">
      <c r="A1191" s="177"/>
    </row>
    <row r="1192" spans="1:1" x14ac:dyDescent="0.25">
      <c r="A1192" s="177"/>
    </row>
    <row r="1193" spans="1:1" x14ac:dyDescent="0.25">
      <c r="A1193" s="177"/>
    </row>
    <row r="1194" spans="1:1" x14ac:dyDescent="0.25">
      <c r="A1194" s="177"/>
    </row>
    <row r="1195" spans="1:1" x14ac:dyDescent="0.25">
      <c r="A1195" s="177"/>
    </row>
    <row r="1196" spans="1:1" x14ac:dyDescent="0.25">
      <c r="A1196" s="177"/>
    </row>
    <row r="1197" spans="1:1" x14ac:dyDescent="0.25">
      <c r="A1197" s="177"/>
    </row>
    <row r="1198" spans="1:1" x14ac:dyDescent="0.25">
      <c r="A1198" s="177"/>
    </row>
    <row r="1199" spans="1:1" x14ac:dyDescent="0.25">
      <c r="A1199" s="177"/>
    </row>
    <row r="1200" spans="1:1" x14ac:dyDescent="0.25">
      <c r="A1200" s="177"/>
    </row>
    <row r="1201" spans="1:1" x14ac:dyDescent="0.25">
      <c r="A1201" s="177"/>
    </row>
    <row r="1202" spans="1:1" x14ac:dyDescent="0.25">
      <c r="A1202" s="177"/>
    </row>
    <row r="1203" spans="1:1" x14ac:dyDescent="0.25">
      <c r="A1203" s="177"/>
    </row>
    <row r="1204" spans="1:1" x14ac:dyDescent="0.25">
      <c r="A1204" s="177"/>
    </row>
    <row r="1205" spans="1:1" x14ac:dyDescent="0.25">
      <c r="A1205" s="177"/>
    </row>
    <row r="1206" spans="1:1" x14ac:dyDescent="0.25">
      <c r="A1206" s="177"/>
    </row>
    <row r="1207" spans="1:1" x14ac:dyDescent="0.25">
      <c r="A1207" s="177"/>
    </row>
    <row r="1208" spans="1:1" x14ac:dyDescent="0.25">
      <c r="A1208" s="177"/>
    </row>
    <row r="1209" spans="1:1" x14ac:dyDescent="0.25">
      <c r="A1209" s="177"/>
    </row>
    <row r="1210" spans="1:1" x14ac:dyDescent="0.25">
      <c r="A1210" s="177"/>
    </row>
    <row r="1211" spans="1:1" x14ac:dyDescent="0.25">
      <c r="A1211" s="177"/>
    </row>
    <row r="1212" spans="1:1" x14ac:dyDescent="0.25">
      <c r="A1212" s="177"/>
    </row>
    <row r="1213" spans="1:1" x14ac:dyDescent="0.25">
      <c r="A1213" s="177"/>
    </row>
    <row r="1214" spans="1:1" x14ac:dyDescent="0.25">
      <c r="A1214" s="177"/>
    </row>
    <row r="1215" spans="1:1" x14ac:dyDescent="0.25">
      <c r="A1215" s="177"/>
    </row>
    <row r="1216" spans="1:1" x14ac:dyDescent="0.25">
      <c r="A1216" s="177"/>
    </row>
    <row r="1217" spans="1:1" x14ac:dyDescent="0.25">
      <c r="A1217" s="177"/>
    </row>
    <row r="1218" spans="1:1" x14ac:dyDescent="0.25">
      <c r="A1218" s="177"/>
    </row>
    <row r="1219" spans="1:1" x14ac:dyDescent="0.25">
      <c r="A1219" s="177"/>
    </row>
    <row r="1220" spans="1:1" x14ac:dyDescent="0.25">
      <c r="A1220" s="177"/>
    </row>
    <row r="1221" spans="1:1" x14ac:dyDescent="0.25">
      <c r="A1221" s="177"/>
    </row>
    <row r="1222" spans="1:1" x14ac:dyDescent="0.25">
      <c r="A1222" s="177"/>
    </row>
    <row r="1223" spans="1:1" x14ac:dyDescent="0.25">
      <c r="A1223" s="177"/>
    </row>
    <row r="1224" spans="1:1" x14ac:dyDescent="0.25">
      <c r="A1224" s="177"/>
    </row>
    <row r="1225" spans="1:1" x14ac:dyDescent="0.25">
      <c r="A1225" s="177"/>
    </row>
    <row r="1226" spans="1:1" x14ac:dyDescent="0.25">
      <c r="A1226" s="177"/>
    </row>
    <row r="1227" spans="1:1" x14ac:dyDescent="0.25">
      <c r="A1227" s="177"/>
    </row>
    <row r="1228" spans="1:1" x14ac:dyDescent="0.25">
      <c r="A1228" s="177"/>
    </row>
    <row r="1229" spans="1:1" x14ac:dyDescent="0.25">
      <c r="A1229" s="177"/>
    </row>
    <row r="1230" spans="1:1" x14ac:dyDescent="0.25">
      <c r="A1230" s="177"/>
    </row>
    <row r="1231" spans="1:1" x14ac:dyDescent="0.25">
      <c r="A1231" s="177"/>
    </row>
    <row r="1232" spans="1:1" x14ac:dyDescent="0.25">
      <c r="A1232" s="177"/>
    </row>
    <row r="1233" spans="1:1" x14ac:dyDescent="0.25">
      <c r="A1233" s="177"/>
    </row>
    <row r="1234" spans="1:1" x14ac:dyDescent="0.25">
      <c r="A1234" s="177"/>
    </row>
    <row r="1235" spans="1:1" x14ac:dyDescent="0.25">
      <c r="A1235" s="177"/>
    </row>
    <row r="1236" spans="1:1" x14ac:dyDescent="0.25">
      <c r="A1236" s="177"/>
    </row>
    <row r="1237" spans="1:1" x14ac:dyDescent="0.25">
      <c r="A1237" s="177"/>
    </row>
    <row r="1238" spans="1:1" x14ac:dyDescent="0.25">
      <c r="A1238" s="177"/>
    </row>
    <row r="1239" spans="1:1" x14ac:dyDescent="0.25">
      <c r="A1239" s="177"/>
    </row>
    <row r="1240" spans="1:1" x14ac:dyDescent="0.25">
      <c r="A1240" s="177"/>
    </row>
    <row r="1241" spans="1:1" x14ac:dyDescent="0.25">
      <c r="A1241" s="177"/>
    </row>
    <row r="1242" spans="1:1" x14ac:dyDescent="0.25">
      <c r="A1242" s="177"/>
    </row>
    <row r="1243" spans="1:1" x14ac:dyDescent="0.25">
      <c r="A1243" s="177"/>
    </row>
    <row r="1244" spans="1:1" x14ac:dyDescent="0.25">
      <c r="A1244" s="177"/>
    </row>
    <row r="1245" spans="1:1" x14ac:dyDescent="0.25">
      <c r="A1245" s="177"/>
    </row>
    <row r="1246" spans="1:1" x14ac:dyDescent="0.25">
      <c r="A1246" s="177"/>
    </row>
    <row r="1247" spans="1:1" x14ac:dyDescent="0.25">
      <c r="A1247" s="177"/>
    </row>
    <row r="1248" spans="1:1" x14ac:dyDescent="0.25">
      <c r="A1248" s="177"/>
    </row>
    <row r="1249" spans="1:1" x14ac:dyDescent="0.25">
      <c r="A1249" s="177"/>
    </row>
    <row r="1250" spans="1:1" x14ac:dyDescent="0.25">
      <c r="A1250" s="177"/>
    </row>
    <row r="1251" spans="1:1" x14ac:dyDescent="0.25">
      <c r="A1251" s="177"/>
    </row>
    <row r="1252" spans="1:1" x14ac:dyDescent="0.25">
      <c r="A1252" s="177"/>
    </row>
    <row r="1253" spans="1:1" x14ac:dyDescent="0.25">
      <c r="A1253" s="177"/>
    </row>
    <row r="1254" spans="1:1" x14ac:dyDescent="0.25">
      <c r="A1254" s="177"/>
    </row>
    <row r="1255" spans="1:1" x14ac:dyDescent="0.25">
      <c r="A1255" s="177"/>
    </row>
    <row r="1256" spans="1:1" x14ac:dyDescent="0.25">
      <c r="A1256" s="177"/>
    </row>
    <row r="1257" spans="1:1" x14ac:dyDescent="0.25">
      <c r="A1257" s="177"/>
    </row>
    <row r="1258" spans="1:1" x14ac:dyDescent="0.25">
      <c r="A1258" s="177"/>
    </row>
    <row r="1259" spans="1:1" x14ac:dyDescent="0.25">
      <c r="A1259" s="177"/>
    </row>
    <row r="1260" spans="1:1" x14ac:dyDescent="0.25">
      <c r="A1260" s="177"/>
    </row>
    <row r="1261" spans="1:1" x14ac:dyDescent="0.25">
      <c r="A1261" s="177"/>
    </row>
    <row r="1262" spans="1:1" x14ac:dyDescent="0.25">
      <c r="A1262" s="177"/>
    </row>
    <row r="1263" spans="1:1" x14ac:dyDescent="0.25">
      <c r="A1263" s="177"/>
    </row>
    <row r="1264" spans="1:1" x14ac:dyDescent="0.25">
      <c r="A1264" s="177"/>
    </row>
    <row r="1265" spans="1:1" x14ac:dyDescent="0.25">
      <c r="A1265" s="177"/>
    </row>
    <row r="1266" spans="1:1" x14ac:dyDescent="0.25">
      <c r="A1266" s="177"/>
    </row>
    <row r="1267" spans="1:1" x14ac:dyDescent="0.25">
      <c r="A1267" s="177"/>
    </row>
    <row r="1268" spans="1:1" x14ac:dyDescent="0.25">
      <c r="A1268" s="177"/>
    </row>
    <row r="1269" spans="1:1" x14ac:dyDescent="0.25">
      <c r="A1269" s="177"/>
    </row>
    <row r="1270" spans="1:1" x14ac:dyDescent="0.25">
      <c r="A1270" s="177"/>
    </row>
    <row r="1271" spans="1:1" x14ac:dyDescent="0.25">
      <c r="A1271" s="177"/>
    </row>
    <row r="1272" spans="1:1" x14ac:dyDescent="0.25">
      <c r="A1272" s="177"/>
    </row>
    <row r="1273" spans="1:1" x14ac:dyDescent="0.25">
      <c r="A1273" s="177"/>
    </row>
    <row r="1274" spans="1:1" x14ac:dyDescent="0.25">
      <c r="A1274" s="177"/>
    </row>
    <row r="1275" spans="1:1" x14ac:dyDescent="0.25">
      <c r="A1275" s="177"/>
    </row>
    <row r="1276" spans="1:1" x14ac:dyDescent="0.25">
      <c r="A1276" s="177"/>
    </row>
    <row r="1277" spans="1:1" x14ac:dyDescent="0.25">
      <c r="A1277" s="177"/>
    </row>
    <row r="1278" spans="1:1" x14ac:dyDescent="0.25">
      <c r="A1278" s="177"/>
    </row>
    <row r="1279" spans="1:1" x14ac:dyDescent="0.25">
      <c r="A1279" s="177"/>
    </row>
    <row r="1280" spans="1:1" x14ac:dyDescent="0.25">
      <c r="A1280" s="177"/>
    </row>
    <row r="1281" spans="1:1" x14ac:dyDescent="0.25">
      <c r="A1281" s="177"/>
    </row>
    <row r="1282" spans="1:1" x14ac:dyDescent="0.25">
      <c r="A1282" s="177"/>
    </row>
    <row r="1283" spans="1:1" x14ac:dyDescent="0.25">
      <c r="A1283" s="177"/>
    </row>
    <row r="1284" spans="1:1" x14ac:dyDescent="0.25">
      <c r="A1284" s="177"/>
    </row>
    <row r="1285" spans="1:1" x14ac:dyDescent="0.25">
      <c r="A1285" s="177"/>
    </row>
    <row r="1286" spans="1:1" x14ac:dyDescent="0.25">
      <c r="A1286" s="177"/>
    </row>
    <row r="1287" spans="1:1" x14ac:dyDescent="0.25">
      <c r="A1287" s="177"/>
    </row>
    <row r="1288" spans="1:1" x14ac:dyDescent="0.25">
      <c r="A1288" s="177"/>
    </row>
    <row r="1289" spans="1:1" x14ac:dyDescent="0.25">
      <c r="A1289" s="177"/>
    </row>
    <row r="1290" spans="1:1" x14ac:dyDescent="0.25">
      <c r="A1290" s="177"/>
    </row>
    <row r="1291" spans="1:1" x14ac:dyDescent="0.25">
      <c r="A1291" s="177"/>
    </row>
    <row r="1292" spans="1:1" x14ac:dyDescent="0.25">
      <c r="A1292" s="177"/>
    </row>
    <row r="1293" spans="1:1" x14ac:dyDescent="0.25">
      <c r="A1293" s="177"/>
    </row>
    <row r="1294" spans="1:1" x14ac:dyDescent="0.25">
      <c r="A1294" s="177"/>
    </row>
    <row r="1295" spans="1:1" x14ac:dyDescent="0.25">
      <c r="A1295" s="177"/>
    </row>
    <row r="1296" spans="1:1" x14ac:dyDescent="0.25">
      <c r="A1296" s="177"/>
    </row>
    <row r="1297" spans="1:1" x14ac:dyDescent="0.25">
      <c r="A1297" s="177"/>
    </row>
    <row r="1298" spans="1:1" x14ac:dyDescent="0.25">
      <c r="A1298" s="177"/>
    </row>
    <row r="1299" spans="1:1" x14ac:dyDescent="0.25">
      <c r="A1299" s="177"/>
    </row>
    <row r="1300" spans="1:1" x14ac:dyDescent="0.25">
      <c r="A1300" s="177"/>
    </row>
    <row r="1301" spans="1:1" x14ac:dyDescent="0.25">
      <c r="A1301" s="177"/>
    </row>
    <row r="1302" spans="1:1" x14ac:dyDescent="0.25">
      <c r="A1302" s="177"/>
    </row>
    <row r="1303" spans="1:1" x14ac:dyDescent="0.25">
      <c r="A1303" s="177"/>
    </row>
    <row r="1304" spans="1:1" x14ac:dyDescent="0.25">
      <c r="A1304" s="177"/>
    </row>
    <row r="1305" spans="1:1" x14ac:dyDescent="0.25">
      <c r="A1305" s="177"/>
    </row>
    <row r="1306" spans="1:1" x14ac:dyDescent="0.25">
      <c r="A1306" s="177"/>
    </row>
    <row r="1307" spans="1:1" x14ac:dyDescent="0.25">
      <c r="A1307" s="177"/>
    </row>
    <row r="1308" spans="1:1" x14ac:dyDescent="0.25">
      <c r="A1308" s="177"/>
    </row>
    <row r="1309" spans="1:1" x14ac:dyDescent="0.25">
      <c r="A1309" s="177"/>
    </row>
    <row r="1310" spans="1:1" x14ac:dyDescent="0.25">
      <c r="A1310" s="177"/>
    </row>
    <row r="1311" spans="1:1" x14ac:dyDescent="0.25">
      <c r="A1311" s="177"/>
    </row>
    <row r="1312" spans="1:1" x14ac:dyDescent="0.25">
      <c r="A1312" s="177"/>
    </row>
    <row r="1313" spans="1:1" x14ac:dyDescent="0.25">
      <c r="A1313" s="177"/>
    </row>
    <row r="1314" spans="1:1" x14ac:dyDescent="0.25">
      <c r="A1314" s="177"/>
    </row>
    <row r="1315" spans="1:1" x14ac:dyDescent="0.25">
      <c r="A1315" s="177"/>
    </row>
    <row r="1316" spans="1:1" x14ac:dyDescent="0.25">
      <c r="A1316" s="177"/>
    </row>
    <row r="1317" spans="1:1" x14ac:dyDescent="0.25">
      <c r="A1317" s="177"/>
    </row>
    <row r="1318" spans="1:1" x14ac:dyDescent="0.25">
      <c r="A1318" s="177"/>
    </row>
    <row r="1319" spans="1:1" x14ac:dyDescent="0.25">
      <c r="A1319" s="177"/>
    </row>
    <row r="1320" spans="1:1" x14ac:dyDescent="0.25">
      <c r="A1320" s="177"/>
    </row>
    <row r="1321" spans="1:1" x14ac:dyDescent="0.25">
      <c r="A1321" s="177"/>
    </row>
    <row r="1322" spans="1:1" x14ac:dyDescent="0.25">
      <c r="A1322" s="177"/>
    </row>
    <row r="1323" spans="1:1" x14ac:dyDescent="0.25">
      <c r="A1323" s="177"/>
    </row>
    <row r="1324" spans="1:1" x14ac:dyDescent="0.25">
      <c r="A1324" s="177"/>
    </row>
    <row r="1325" spans="1:1" x14ac:dyDescent="0.25">
      <c r="A1325" s="177"/>
    </row>
    <row r="1326" spans="1:1" x14ac:dyDescent="0.25">
      <c r="A1326" s="177"/>
    </row>
    <row r="1327" spans="1:1" x14ac:dyDescent="0.25">
      <c r="A1327" s="177"/>
    </row>
    <row r="1328" spans="1:1" x14ac:dyDescent="0.25">
      <c r="A1328" s="177"/>
    </row>
    <row r="1329" spans="1:1" x14ac:dyDescent="0.25">
      <c r="A1329" s="177"/>
    </row>
    <row r="1330" spans="1:1" x14ac:dyDescent="0.25">
      <c r="A1330" s="177"/>
    </row>
    <row r="1331" spans="1:1" x14ac:dyDescent="0.25">
      <c r="A1331" s="177"/>
    </row>
    <row r="1332" spans="1:1" x14ac:dyDescent="0.25">
      <c r="A1332" s="177"/>
    </row>
    <row r="1333" spans="1:1" x14ac:dyDescent="0.25">
      <c r="A1333" s="177"/>
    </row>
    <row r="1334" spans="1:1" x14ac:dyDescent="0.25">
      <c r="A1334" s="177"/>
    </row>
    <row r="1335" spans="1:1" x14ac:dyDescent="0.25">
      <c r="A1335" s="177"/>
    </row>
    <row r="1336" spans="1:1" x14ac:dyDescent="0.25">
      <c r="A1336" s="177"/>
    </row>
    <row r="1337" spans="1:1" x14ac:dyDescent="0.25">
      <c r="A1337" s="177"/>
    </row>
    <row r="1338" spans="1:1" x14ac:dyDescent="0.25">
      <c r="A1338" s="177"/>
    </row>
    <row r="1339" spans="1:1" x14ac:dyDescent="0.25">
      <c r="A1339" s="177"/>
    </row>
    <row r="1340" spans="1:1" x14ac:dyDescent="0.25">
      <c r="A1340" s="177"/>
    </row>
    <row r="1341" spans="1:1" x14ac:dyDescent="0.25">
      <c r="A1341" s="177"/>
    </row>
    <row r="1342" spans="1:1" x14ac:dyDescent="0.25">
      <c r="A1342" s="177"/>
    </row>
    <row r="1343" spans="1:1" x14ac:dyDescent="0.25">
      <c r="A1343" s="177"/>
    </row>
    <row r="1344" spans="1:1" x14ac:dyDescent="0.25">
      <c r="A1344" s="177"/>
    </row>
    <row r="1345" spans="1:1" x14ac:dyDescent="0.25">
      <c r="A1345" s="177"/>
    </row>
    <row r="1346" spans="1:1" x14ac:dyDescent="0.25">
      <c r="A1346" s="177"/>
    </row>
    <row r="1347" spans="1:1" x14ac:dyDescent="0.25">
      <c r="A1347" s="177"/>
    </row>
    <row r="1348" spans="1:1" x14ac:dyDescent="0.25">
      <c r="A1348" s="177"/>
    </row>
    <row r="1349" spans="1:1" x14ac:dyDescent="0.25">
      <c r="A1349" s="177"/>
    </row>
    <row r="1350" spans="1:1" x14ac:dyDescent="0.25">
      <c r="A1350" s="177"/>
    </row>
    <row r="1351" spans="1:1" x14ac:dyDescent="0.25">
      <c r="A1351" s="177"/>
    </row>
    <row r="1352" spans="1:1" x14ac:dyDescent="0.25">
      <c r="A1352" s="177"/>
    </row>
    <row r="1353" spans="1:1" x14ac:dyDescent="0.25">
      <c r="A1353" s="177"/>
    </row>
    <row r="1354" spans="1:1" x14ac:dyDescent="0.25">
      <c r="A1354" s="177"/>
    </row>
    <row r="1355" spans="1:1" x14ac:dyDescent="0.25">
      <c r="A1355" s="177"/>
    </row>
    <row r="1356" spans="1:1" x14ac:dyDescent="0.25">
      <c r="A1356" s="177"/>
    </row>
    <row r="1357" spans="1:1" x14ac:dyDescent="0.25">
      <c r="A1357" s="177"/>
    </row>
    <row r="1358" spans="1:1" x14ac:dyDescent="0.25">
      <c r="A1358" s="177"/>
    </row>
    <row r="1359" spans="1:1" x14ac:dyDescent="0.25">
      <c r="A1359" s="177"/>
    </row>
    <row r="1360" spans="1:1" x14ac:dyDescent="0.25">
      <c r="A1360" s="177"/>
    </row>
    <row r="1361" spans="1:1" x14ac:dyDescent="0.25">
      <c r="A1361" s="177"/>
    </row>
    <row r="1362" spans="1:1" x14ac:dyDescent="0.25">
      <c r="A1362" s="177"/>
    </row>
    <row r="1363" spans="1:1" x14ac:dyDescent="0.25">
      <c r="A1363" s="177"/>
    </row>
    <row r="1364" spans="1:1" x14ac:dyDescent="0.25">
      <c r="A1364" s="177"/>
    </row>
    <row r="1365" spans="1:1" x14ac:dyDescent="0.25">
      <c r="A1365" s="177"/>
    </row>
    <row r="1366" spans="1:1" x14ac:dyDescent="0.25">
      <c r="A1366" s="177"/>
    </row>
    <row r="1367" spans="1:1" x14ac:dyDescent="0.25">
      <c r="A1367" s="177"/>
    </row>
    <row r="1368" spans="1:1" x14ac:dyDescent="0.25">
      <c r="A1368" s="177"/>
    </row>
    <row r="1369" spans="1:1" x14ac:dyDescent="0.25">
      <c r="A1369" s="177"/>
    </row>
    <row r="1370" spans="1:1" x14ac:dyDescent="0.25">
      <c r="A1370" s="177"/>
    </row>
    <row r="1371" spans="1:1" x14ac:dyDescent="0.25">
      <c r="A1371" s="177"/>
    </row>
    <row r="1372" spans="1:1" x14ac:dyDescent="0.25">
      <c r="A1372" s="177"/>
    </row>
    <row r="1373" spans="1:1" x14ac:dyDescent="0.25">
      <c r="A1373" s="177"/>
    </row>
    <row r="1374" spans="1:1" x14ac:dyDescent="0.25">
      <c r="A1374" s="177"/>
    </row>
    <row r="1375" spans="1:1" x14ac:dyDescent="0.25">
      <c r="A1375" s="177"/>
    </row>
    <row r="1376" spans="1:1" x14ac:dyDescent="0.25">
      <c r="A1376" s="177"/>
    </row>
    <row r="1377" spans="1:1" x14ac:dyDescent="0.25">
      <c r="A1377" s="177"/>
    </row>
    <row r="1378" spans="1:1" x14ac:dyDescent="0.25">
      <c r="A1378" s="177"/>
    </row>
    <row r="1379" spans="1:1" x14ac:dyDescent="0.25">
      <c r="A1379" s="177"/>
    </row>
    <row r="1380" spans="1:1" x14ac:dyDescent="0.25">
      <c r="A1380" s="177"/>
    </row>
    <row r="1381" spans="1:1" x14ac:dyDescent="0.25">
      <c r="A1381" s="177"/>
    </row>
    <row r="1382" spans="1:1" x14ac:dyDescent="0.25">
      <c r="A1382" s="177"/>
    </row>
    <row r="1383" spans="1:1" x14ac:dyDescent="0.25">
      <c r="A1383" s="177"/>
    </row>
    <row r="1384" spans="1:1" x14ac:dyDescent="0.25">
      <c r="A1384" s="177"/>
    </row>
    <row r="1385" spans="1:1" x14ac:dyDescent="0.25">
      <c r="A1385" s="177"/>
    </row>
    <row r="1386" spans="1:1" x14ac:dyDescent="0.25">
      <c r="A1386" s="177"/>
    </row>
    <row r="1387" spans="1:1" x14ac:dyDescent="0.25">
      <c r="A1387" s="177"/>
    </row>
    <row r="1388" spans="1:1" x14ac:dyDescent="0.25">
      <c r="A1388" s="177"/>
    </row>
    <row r="1389" spans="1:1" x14ac:dyDescent="0.25">
      <c r="A1389" s="177"/>
    </row>
    <row r="1390" spans="1:1" x14ac:dyDescent="0.25">
      <c r="A1390" s="177"/>
    </row>
    <row r="1391" spans="1:1" x14ac:dyDescent="0.25">
      <c r="A1391" s="177"/>
    </row>
    <row r="1392" spans="1:1" x14ac:dyDescent="0.25">
      <c r="A1392" s="177"/>
    </row>
    <row r="1393" spans="1:1" x14ac:dyDescent="0.25">
      <c r="A1393" s="177"/>
    </row>
    <row r="1394" spans="1:1" x14ac:dyDescent="0.25">
      <c r="A1394" s="177"/>
    </row>
    <row r="1395" spans="1:1" x14ac:dyDescent="0.25">
      <c r="A1395" s="177"/>
    </row>
    <row r="1396" spans="1:1" x14ac:dyDescent="0.25">
      <c r="A1396" s="177"/>
    </row>
    <row r="1397" spans="1:1" x14ac:dyDescent="0.25">
      <c r="A1397" s="177"/>
    </row>
    <row r="1398" spans="1:1" x14ac:dyDescent="0.25">
      <c r="A1398" s="177"/>
    </row>
    <row r="1399" spans="1:1" x14ac:dyDescent="0.25">
      <c r="A1399" s="177"/>
    </row>
    <row r="1400" spans="1:1" x14ac:dyDescent="0.25">
      <c r="A1400" s="177"/>
    </row>
    <row r="1401" spans="1:1" x14ac:dyDescent="0.25">
      <c r="A1401" s="177"/>
    </row>
    <row r="1402" spans="1:1" x14ac:dyDescent="0.25">
      <c r="A1402" s="177"/>
    </row>
    <row r="1403" spans="1:1" x14ac:dyDescent="0.25">
      <c r="A1403" s="177"/>
    </row>
    <row r="1404" spans="1:1" x14ac:dyDescent="0.25">
      <c r="A1404" s="177"/>
    </row>
    <row r="1405" spans="1:1" x14ac:dyDescent="0.25">
      <c r="A1405" s="177"/>
    </row>
    <row r="1406" spans="1:1" x14ac:dyDescent="0.25">
      <c r="A1406" s="177"/>
    </row>
    <row r="1407" spans="1:1" x14ac:dyDescent="0.25">
      <c r="A1407" s="177"/>
    </row>
    <row r="1408" spans="1:1" x14ac:dyDescent="0.25">
      <c r="A1408" s="177"/>
    </row>
    <row r="1409" spans="1:1" x14ac:dyDescent="0.25">
      <c r="A1409" s="177"/>
    </row>
    <row r="1410" spans="1:1" x14ac:dyDescent="0.25">
      <c r="A1410" s="177"/>
    </row>
    <row r="1411" spans="1:1" x14ac:dyDescent="0.25">
      <c r="A1411" s="177"/>
    </row>
    <row r="1412" spans="1:1" x14ac:dyDescent="0.25">
      <c r="A1412" s="177"/>
    </row>
    <row r="1413" spans="1:1" x14ac:dyDescent="0.25">
      <c r="A1413" s="177"/>
    </row>
    <row r="1414" spans="1:1" x14ac:dyDescent="0.25">
      <c r="A1414" s="177"/>
    </row>
    <row r="1415" spans="1:1" x14ac:dyDescent="0.25">
      <c r="A1415" s="177"/>
    </row>
    <row r="1416" spans="1:1" x14ac:dyDescent="0.25">
      <c r="A1416" s="177"/>
    </row>
    <row r="1417" spans="1:1" x14ac:dyDescent="0.25">
      <c r="A1417" s="177"/>
    </row>
    <row r="1418" spans="1:1" x14ac:dyDescent="0.25">
      <c r="A1418" s="177"/>
    </row>
    <row r="1419" spans="1:1" x14ac:dyDescent="0.25">
      <c r="A1419" s="177"/>
    </row>
    <row r="1420" spans="1:1" x14ac:dyDescent="0.25">
      <c r="A1420" s="177"/>
    </row>
    <row r="1421" spans="1:1" x14ac:dyDescent="0.25">
      <c r="A1421" s="177"/>
    </row>
    <row r="1422" spans="1:1" x14ac:dyDescent="0.25">
      <c r="A1422" s="177"/>
    </row>
    <row r="1423" spans="1:1" x14ac:dyDescent="0.25">
      <c r="A1423" s="177"/>
    </row>
    <row r="1424" spans="1:1" x14ac:dyDescent="0.25">
      <c r="A1424" s="177"/>
    </row>
    <row r="1425" spans="1:1" x14ac:dyDescent="0.25">
      <c r="A1425" s="177"/>
    </row>
    <row r="1426" spans="1:1" x14ac:dyDescent="0.25">
      <c r="A1426" s="177"/>
    </row>
    <row r="1427" spans="1:1" x14ac:dyDescent="0.25">
      <c r="A1427" s="177"/>
    </row>
    <row r="1428" spans="1:1" x14ac:dyDescent="0.25">
      <c r="A1428" s="177"/>
    </row>
    <row r="1429" spans="1:1" x14ac:dyDescent="0.25">
      <c r="A1429" s="177"/>
    </row>
    <row r="1430" spans="1:1" x14ac:dyDescent="0.25">
      <c r="A1430" s="177"/>
    </row>
    <row r="1431" spans="1:1" x14ac:dyDescent="0.25">
      <c r="A1431" s="177"/>
    </row>
    <row r="1432" spans="1:1" x14ac:dyDescent="0.25">
      <c r="A1432" s="177"/>
    </row>
    <row r="1433" spans="1:1" x14ac:dyDescent="0.25">
      <c r="A1433" s="177"/>
    </row>
    <row r="1434" spans="1:1" x14ac:dyDescent="0.25">
      <c r="A1434" s="177"/>
    </row>
    <row r="1435" spans="1:1" x14ac:dyDescent="0.25">
      <c r="A1435" s="177"/>
    </row>
    <row r="1436" spans="1:1" x14ac:dyDescent="0.25">
      <c r="A1436" s="177"/>
    </row>
    <row r="1437" spans="1:1" x14ac:dyDescent="0.25">
      <c r="A1437" s="177"/>
    </row>
    <row r="1438" spans="1:1" x14ac:dyDescent="0.25">
      <c r="A1438" s="177"/>
    </row>
    <row r="1439" spans="1:1" x14ac:dyDescent="0.25">
      <c r="A1439" s="177"/>
    </row>
    <row r="1440" spans="1:1" x14ac:dyDescent="0.25">
      <c r="A1440" s="177"/>
    </row>
    <row r="1441" spans="1:1" x14ac:dyDescent="0.25">
      <c r="A1441" s="177"/>
    </row>
    <row r="1442" spans="1:1" x14ac:dyDescent="0.25">
      <c r="A1442" s="177"/>
    </row>
    <row r="1443" spans="1:1" x14ac:dyDescent="0.25">
      <c r="A1443" s="177"/>
    </row>
    <row r="1444" spans="1:1" x14ac:dyDescent="0.25">
      <c r="A1444" s="177"/>
    </row>
    <row r="1445" spans="1:1" x14ac:dyDescent="0.25">
      <c r="A1445" s="177"/>
    </row>
    <row r="1446" spans="1:1" x14ac:dyDescent="0.25">
      <c r="A1446" s="177"/>
    </row>
    <row r="1447" spans="1:1" x14ac:dyDescent="0.25">
      <c r="A1447" s="177"/>
    </row>
    <row r="1448" spans="1:1" x14ac:dyDescent="0.25">
      <c r="A1448" s="177"/>
    </row>
    <row r="1449" spans="1:1" x14ac:dyDescent="0.25">
      <c r="A1449" s="177"/>
    </row>
    <row r="1450" spans="1:1" x14ac:dyDescent="0.25">
      <c r="A1450" s="177"/>
    </row>
    <row r="1451" spans="1:1" x14ac:dyDescent="0.25">
      <c r="A1451" s="177"/>
    </row>
    <row r="1452" spans="1:1" x14ac:dyDescent="0.25">
      <c r="A1452" s="177"/>
    </row>
    <row r="1453" spans="1:1" x14ac:dyDescent="0.25">
      <c r="A1453" s="177"/>
    </row>
    <row r="1454" spans="1:1" x14ac:dyDescent="0.25">
      <c r="A1454" s="177"/>
    </row>
    <row r="1455" spans="1:1" x14ac:dyDescent="0.25">
      <c r="A1455" s="177"/>
    </row>
    <row r="1456" spans="1:1" x14ac:dyDescent="0.25">
      <c r="A1456" s="177"/>
    </row>
    <row r="1457" spans="1:1" x14ac:dyDescent="0.25">
      <c r="A1457" s="177"/>
    </row>
    <row r="1458" spans="1:1" x14ac:dyDescent="0.25">
      <c r="A1458" s="177"/>
    </row>
    <row r="1459" spans="1:1" x14ac:dyDescent="0.25">
      <c r="A1459" s="177"/>
    </row>
    <row r="1460" spans="1:1" x14ac:dyDescent="0.25">
      <c r="A1460" s="177"/>
    </row>
    <row r="1461" spans="1:1" x14ac:dyDescent="0.25">
      <c r="A1461" s="177"/>
    </row>
    <row r="1462" spans="1:1" x14ac:dyDescent="0.25">
      <c r="A1462" s="177"/>
    </row>
    <row r="1463" spans="1:1" x14ac:dyDescent="0.25">
      <c r="A1463" s="177"/>
    </row>
    <row r="1464" spans="1:1" x14ac:dyDescent="0.25">
      <c r="A1464" s="177"/>
    </row>
    <row r="1465" spans="1:1" x14ac:dyDescent="0.25">
      <c r="A1465" s="177"/>
    </row>
    <row r="1466" spans="1:1" x14ac:dyDescent="0.25">
      <c r="A1466" s="177"/>
    </row>
    <row r="1467" spans="1:1" x14ac:dyDescent="0.25">
      <c r="A1467" s="177"/>
    </row>
    <row r="1468" spans="1:1" x14ac:dyDescent="0.25">
      <c r="A1468" s="177"/>
    </row>
    <row r="1469" spans="1:1" x14ac:dyDescent="0.25">
      <c r="A1469" s="177"/>
    </row>
    <row r="1470" spans="1:1" x14ac:dyDescent="0.25">
      <c r="A1470" s="177"/>
    </row>
    <row r="1471" spans="1:1" x14ac:dyDescent="0.25">
      <c r="A1471" s="177"/>
    </row>
    <row r="1472" spans="1:1" x14ac:dyDescent="0.25">
      <c r="A1472" s="177"/>
    </row>
    <row r="1473" spans="1:1" x14ac:dyDescent="0.25">
      <c r="A1473" s="177"/>
    </row>
    <row r="1474" spans="1:1" x14ac:dyDescent="0.25">
      <c r="A1474" s="177"/>
    </row>
    <row r="1475" spans="1:1" x14ac:dyDescent="0.25">
      <c r="A1475" s="177"/>
    </row>
    <row r="1476" spans="1:1" x14ac:dyDescent="0.25">
      <c r="A1476" s="177"/>
    </row>
    <row r="1477" spans="1:1" x14ac:dyDescent="0.25">
      <c r="A1477" s="177"/>
    </row>
    <row r="1478" spans="1:1" x14ac:dyDescent="0.25">
      <c r="A1478" s="177"/>
    </row>
    <row r="1479" spans="1:1" x14ac:dyDescent="0.25">
      <c r="A1479" s="177"/>
    </row>
    <row r="1480" spans="1:1" x14ac:dyDescent="0.25">
      <c r="A1480" s="177"/>
    </row>
    <row r="1481" spans="1:1" x14ac:dyDescent="0.25">
      <c r="A1481" s="177"/>
    </row>
    <row r="1482" spans="1:1" x14ac:dyDescent="0.25">
      <c r="A1482" s="177"/>
    </row>
    <row r="1483" spans="1:1" x14ac:dyDescent="0.25">
      <c r="A1483" s="177"/>
    </row>
    <row r="1484" spans="1:1" x14ac:dyDescent="0.25">
      <c r="A1484" s="177"/>
    </row>
    <row r="1485" spans="1:1" x14ac:dyDescent="0.25">
      <c r="A1485" s="177"/>
    </row>
    <row r="1486" spans="1:1" x14ac:dyDescent="0.25">
      <c r="A1486" s="177"/>
    </row>
    <row r="1487" spans="1:1" x14ac:dyDescent="0.25">
      <c r="A1487" s="177"/>
    </row>
    <row r="1488" spans="1:1" x14ac:dyDescent="0.25">
      <c r="A1488" s="177"/>
    </row>
    <row r="1489" spans="1:1" x14ac:dyDescent="0.25">
      <c r="A1489" s="177"/>
    </row>
    <row r="1490" spans="1:1" x14ac:dyDescent="0.25">
      <c r="A1490" s="177"/>
    </row>
    <row r="1491" spans="1:1" x14ac:dyDescent="0.25">
      <c r="A1491" s="177"/>
    </row>
    <row r="1492" spans="1:1" x14ac:dyDescent="0.25">
      <c r="A1492" s="177"/>
    </row>
    <row r="1493" spans="1:1" x14ac:dyDescent="0.25">
      <c r="A1493" s="177"/>
    </row>
    <row r="1494" spans="1:1" x14ac:dyDescent="0.25">
      <c r="A1494" s="177"/>
    </row>
    <row r="1495" spans="1:1" x14ac:dyDescent="0.25">
      <c r="A1495" s="177"/>
    </row>
    <row r="1496" spans="1:1" x14ac:dyDescent="0.25">
      <c r="A1496" s="177"/>
    </row>
    <row r="1497" spans="1:1" x14ac:dyDescent="0.25">
      <c r="A1497" s="177"/>
    </row>
    <row r="1498" spans="1:1" x14ac:dyDescent="0.25">
      <c r="A1498" s="177"/>
    </row>
    <row r="1499" spans="1:1" x14ac:dyDescent="0.25">
      <c r="A1499" s="177"/>
    </row>
    <row r="1500" spans="1:1" x14ac:dyDescent="0.25">
      <c r="A1500" s="177"/>
    </row>
    <row r="1501" spans="1:1" x14ac:dyDescent="0.25">
      <c r="A1501" s="177"/>
    </row>
    <row r="1502" spans="1:1" x14ac:dyDescent="0.25">
      <c r="A1502" s="177"/>
    </row>
    <row r="1503" spans="1:1" x14ac:dyDescent="0.25">
      <c r="A1503" s="177"/>
    </row>
    <row r="1504" spans="1:1" x14ac:dyDescent="0.25">
      <c r="A1504" s="177"/>
    </row>
    <row r="1505" spans="1:1" x14ac:dyDescent="0.25">
      <c r="A1505" s="177"/>
    </row>
    <row r="1506" spans="1:1" x14ac:dyDescent="0.25">
      <c r="A1506" s="177"/>
    </row>
    <row r="1507" spans="1:1" x14ac:dyDescent="0.25">
      <c r="A1507" s="177"/>
    </row>
    <row r="1508" spans="1:1" x14ac:dyDescent="0.25">
      <c r="A1508" s="177"/>
    </row>
    <row r="1509" spans="1:1" x14ac:dyDescent="0.25">
      <c r="A1509" s="177"/>
    </row>
    <row r="1510" spans="1:1" x14ac:dyDescent="0.25">
      <c r="A1510" s="177"/>
    </row>
    <row r="1511" spans="1:1" x14ac:dyDescent="0.25">
      <c r="A1511" s="177"/>
    </row>
    <row r="1512" spans="1:1" x14ac:dyDescent="0.25">
      <c r="A1512" s="177"/>
    </row>
    <row r="1513" spans="1:1" x14ac:dyDescent="0.25">
      <c r="A1513" s="177"/>
    </row>
    <row r="1514" spans="1:1" x14ac:dyDescent="0.25">
      <c r="A1514" s="177"/>
    </row>
    <row r="1515" spans="1:1" x14ac:dyDescent="0.25">
      <c r="A1515" s="177"/>
    </row>
    <row r="1516" spans="1:1" x14ac:dyDescent="0.25">
      <c r="A1516" s="177"/>
    </row>
    <row r="1517" spans="1:1" x14ac:dyDescent="0.25">
      <c r="A1517" s="177"/>
    </row>
    <row r="1518" spans="1:1" x14ac:dyDescent="0.25">
      <c r="A1518" s="177"/>
    </row>
    <row r="1519" spans="1:1" x14ac:dyDescent="0.25">
      <c r="A1519" s="177"/>
    </row>
    <row r="1520" spans="1:1" x14ac:dyDescent="0.25">
      <c r="A1520" s="177"/>
    </row>
    <row r="1521" spans="1:1" x14ac:dyDescent="0.25">
      <c r="A1521" s="177"/>
    </row>
    <row r="1522" spans="1:1" x14ac:dyDescent="0.25">
      <c r="A1522" s="177"/>
    </row>
    <row r="1523" spans="1:1" x14ac:dyDescent="0.25">
      <c r="A1523" s="177"/>
    </row>
    <row r="1524" spans="1:1" x14ac:dyDescent="0.25">
      <c r="A1524" s="177"/>
    </row>
    <row r="1525" spans="1:1" x14ac:dyDescent="0.25">
      <c r="A1525" s="177"/>
    </row>
    <row r="1526" spans="1:1" x14ac:dyDescent="0.25">
      <c r="A1526" s="177"/>
    </row>
    <row r="1527" spans="1:1" x14ac:dyDescent="0.25">
      <c r="A1527" s="177"/>
    </row>
    <row r="1528" spans="1:1" x14ac:dyDescent="0.25">
      <c r="A1528" s="177"/>
    </row>
    <row r="1529" spans="1:1" x14ac:dyDescent="0.25">
      <c r="A1529" s="177"/>
    </row>
    <row r="1530" spans="1:1" x14ac:dyDescent="0.25">
      <c r="A1530" s="177"/>
    </row>
    <row r="1531" spans="1:1" x14ac:dyDescent="0.25">
      <c r="A1531" s="177"/>
    </row>
    <row r="1532" spans="1:1" x14ac:dyDescent="0.25">
      <c r="A1532" s="177"/>
    </row>
    <row r="1533" spans="1:1" x14ac:dyDescent="0.25">
      <c r="A1533" s="177"/>
    </row>
    <row r="1534" spans="1:1" x14ac:dyDescent="0.25">
      <c r="A1534" s="177"/>
    </row>
    <row r="1535" spans="1:1" x14ac:dyDescent="0.25">
      <c r="A1535" s="177"/>
    </row>
    <row r="1536" spans="1:1" x14ac:dyDescent="0.25">
      <c r="A1536" s="177"/>
    </row>
    <row r="1537" spans="1:1" x14ac:dyDescent="0.25">
      <c r="A1537" s="177"/>
    </row>
    <row r="1538" spans="1:1" x14ac:dyDescent="0.25">
      <c r="A1538" s="177"/>
    </row>
    <row r="1539" spans="1:1" x14ac:dyDescent="0.25">
      <c r="A1539" s="177"/>
    </row>
    <row r="1540" spans="1:1" x14ac:dyDescent="0.25">
      <c r="A1540" s="177"/>
    </row>
    <row r="1541" spans="1:1" x14ac:dyDescent="0.25">
      <c r="A1541" s="177"/>
    </row>
    <row r="1542" spans="1:1" x14ac:dyDescent="0.25">
      <c r="A1542" s="177"/>
    </row>
    <row r="1543" spans="1:1" x14ac:dyDescent="0.25">
      <c r="A1543" s="177"/>
    </row>
    <row r="1544" spans="1:1" x14ac:dyDescent="0.25">
      <c r="A1544" s="177"/>
    </row>
    <row r="1545" spans="1:1" x14ac:dyDescent="0.25">
      <c r="A1545" s="177"/>
    </row>
    <row r="1546" spans="1:1" x14ac:dyDescent="0.25">
      <c r="A1546" s="177"/>
    </row>
    <row r="1547" spans="1:1" x14ac:dyDescent="0.25">
      <c r="A1547" s="177"/>
    </row>
    <row r="1548" spans="1:1" x14ac:dyDescent="0.25">
      <c r="A1548" s="177"/>
    </row>
    <row r="1549" spans="1:1" x14ac:dyDescent="0.25">
      <c r="A1549" s="177"/>
    </row>
    <row r="1550" spans="1:1" x14ac:dyDescent="0.25">
      <c r="A1550" s="177"/>
    </row>
    <row r="1551" spans="1:1" x14ac:dyDescent="0.25">
      <c r="A1551" s="177"/>
    </row>
    <row r="1552" spans="1:1" x14ac:dyDescent="0.25">
      <c r="A1552" s="177"/>
    </row>
    <row r="1553" spans="1:1" x14ac:dyDescent="0.25">
      <c r="A1553" s="177"/>
    </row>
    <row r="1554" spans="1:1" x14ac:dyDescent="0.25">
      <c r="A1554" s="177"/>
    </row>
    <row r="1555" spans="1:1" x14ac:dyDescent="0.25">
      <c r="A1555" s="177"/>
    </row>
    <row r="1556" spans="1:1" x14ac:dyDescent="0.25">
      <c r="A1556" s="177"/>
    </row>
    <row r="1557" spans="1:1" x14ac:dyDescent="0.25">
      <c r="A1557" s="177"/>
    </row>
    <row r="1558" spans="1:1" x14ac:dyDescent="0.25">
      <c r="A1558" s="177"/>
    </row>
    <row r="1559" spans="1:1" x14ac:dyDescent="0.25">
      <c r="A1559" s="177"/>
    </row>
    <row r="1560" spans="1:1" x14ac:dyDescent="0.25">
      <c r="A1560" s="177"/>
    </row>
    <row r="1561" spans="1:1" x14ac:dyDescent="0.25">
      <c r="A1561" s="177"/>
    </row>
    <row r="1562" spans="1:1" x14ac:dyDescent="0.25">
      <c r="A1562" s="177"/>
    </row>
    <row r="1563" spans="1:1" x14ac:dyDescent="0.25">
      <c r="A1563" s="177"/>
    </row>
    <row r="1564" spans="1:1" x14ac:dyDescent="0.25">
      <c r="A1564" s="177"/>
    </row>
    <row r="1565" spans="1:1" x14ac:dyDescent="0.25">
      <c r="A1565" s="177"/>
    </row>
    <row r="1566" spans="1:1" x14ac:dyDescent="0.25">
      <c r="A1566" s="177"/>
    </row>
    <row r="1567" spans="1:1" x14ac:dyDescent="0.25">
      <c r="A1567" s="177"/>
    </row>
    <row r="1568" spans="1:1" x14ac:dyDescent="0.25">
      <c r="A1568" s="177"/>
    </row>
    <row r="1569" spans="1:1" x14ac:dyDescent="0.25">
      <c r="A1569" s="177"/>
    </row>
    <row r="1570" spans="1:1" x14ac:dyDescent="0.25">
      <c r="A1570" s="177"/>
    </row>
    <row r="1571" spans="1:1" x14ac:dyDescent="0.25">
      <c r="A1571" s="177"/>
    </row>
    <row r="1572" spans="1:1" x14ac:dyDescent="0.25">
      <c r="A1572" s="177"/>
    </row>
    <row r="1573" spans="1:1" x14ac:dyDescent="0.25">
      <c r="A1573" s="177"/>
    </row>
    <row r="1574" spans="1:1" x14ac:dyDescent="0.25">
      <c r="A1574" s="177"/>
    </row>
    <row r="1575" spans="1:1" x14ac:dyDescent="0.25">
      <c r="A1575" s="177"/>
    </row>
    <row r="1576" spans="1:1" x14ac:dyDescent="0.25">
      <c r="A1576" s="177"/>
    </row>
    <row r="1577" spans="1:1" x14ac:dyDescent="0.25">
      <c r="A1577" s="177"/>
    </row>
    <row r="1578" spans="1:1" x14ac:dyDescent="0.25">
      <c r="A1578" s="177"/>
    </row>
    <row r="1579" spans="1:1" x14ac:dyDescent="0.25">
      <c r="A1579" s="177"/>
    </row>
    <row r="1580" spans="1:1" x14ac:dyDescent="0.25">
      <c r="A1580" s="177"/>
    </row>
    <row r="1581" spans="1:1" x14ac:dyDescent="0.25">
      <c r="A1581" s="177"/>
    </row>
    <row r="1582" spans="1:1" x14ac:dyDescent="0.25">
      <c r="A1582" s="177"/>
    </row>
    <row r="1583" spans="1:1" x14ac:dyDescent="0.25">
      <c r="A1583" s="177"/>
    </row>
    <row r="1584" spans="1:1" x14ac:dyDescent="0.25">
      <c r="A1584" s="177"/>
    </row>
    <row r="1585" spans="1:1" x14ac:dyDescent="0.25">
      <c r="A1585" s="177"/>
    </row>
    <row r="1586" spans="1:1" x14ac:dyDescent="0.25">
      <c r="A1586" s="177"/>
    </row>
    <row r="1587" spans="1:1" x14ac:dyDescent="0.25">
      <c r="A1587" s="177"/>
    </row>
    <row r="1588" spans="1:1" x14ac:dyDescent="0.25">
      <c r="A1588" s="177"/>
    </row>
    <row r="1589" spans="1:1" x14ac:dyDescent="0.25">
      <c r="A1589" s="177"/>
    </row>
    <row r="1590" spans="1:1" x14ac:dyDescent="0.25">
      <c r="A1590" s="177"/>
    </row>
    <row r="1591" spans="1:1" x14ac:dyDescent="0.25">
      <c r="A1591" s="177"/>
    </row>
    <row r="1592" spans="1:1" x14ac:dyDescent="0.25">
      <c r="A1592" s="177"/>
    </row>
    <row r="1593" spans="1:1" x14ac:dyDescent="0.25">
      <c r="A1593" s="177"/>
    </row>
    <row r="1594" spans="1:1" x14ac:dyDescent="0.25">
      <c r="A1594" s="177"/>
    </row>
    <row r="1595" spans="1:1" x14ac:dyDescent="0.25">
      <c r="A1595" s="177"/>
    </row>
    <row r="1596" spans="1:1" x14ac:dyDescent="0.25">
      <c r="A1596" s="177"/>
    </row>
    <row r="1597" spans="1:1" x14ac:dyDescent="0.25">
      <c r="A1597" s="177"/>
    </row>
    <row r="1598" spans="1:1" x14ac:dyDescent="0.25">
      <c r="A1598" s="177"/>
    </row>
    <row r="1599" spans="1:1" x14ac:dyDescent="0.25">
      <c r="A1599" s="177"/>
    </row>
    <row r="1600" spans="1:1" x14ac:dyDescent="0.25">
      <c r="A1600" s="177"/>
    </row>
    <row r="1601" spans="1:1" x14ac:dyDescent="0.25">
      <c r="A1601" s="177"/>
    </row>
    <row r="1602" spans="1:1" x14ac:dyDescent="0.25">
      <c r="A1602" s="177"/>
    </row>
    <row r="1603" spans="1:1" x14ac:dyDescent="0.25">
      <c r="A1603" s="177"/>
    </row>
    <row r="1604" spans="1:1" x14ac:dyDescent="0.25">
      <c r="A1604" s="177"/>
    </row>
    <row r="1605" spans="1:1" x14ac:dyDescent="0.25">
      <c r="A1605" s="177"/>
    </row>
    <row r="1606" spans="1:1" x14ac:dyDescent="0.25">
      <c r="A1606" s="177"/>
    </row>
    <row r="1607" spans="1:1" x14ac:dyDescent="0.25">
      <c r="A1607" s="177"/>
    </row>
    <row r="1608" spans="1:1" x14ac:dyDescent="0.25">
      <c r="A1608" s="177"/>
    </row>
    <row r="1609" spans="1:1" x14ac:dyDescent="0.25">
      <c r="A1609" s="177"/>
    </row>
    <row r="1610" spans="1:1" x14ac:dyDescent="0.25">
      <c r="A1610" s="177"/>
    </row>
    <row r="1611" spans="1:1" x14ac:dyDescent="0.25">
      <c r="A1611" s="177"/>
    </row>
    <row r="1612" spans="1:1" x14ac:dyDescent="0.25">
      <c r="A1612" s="177"/>
    </row>
    <row r="1613" spans="1:1" x14ac:dyDescent="0.25">
      <c r="A1613" s="177"/>
    </row>
    <row r="1614" spans="1:1" x14ac:dyDescent="0.25">
      <c r="A1614" s="177"/>
    </row>
    <row r="1615" spans="1:1" x14ac:dyDescent="0.25">
      <c r="A1615" s="177"/>
    </row>
    <row r="1616" spans="1:1" x14ac:dyDescent="0.25">
      <c r="A1616" s="177"/>
    </row>
    <row r="1617" spans="1:1" x14ac:dyDescent="0.25">
      <c r="A1617" s="177"/>
    </row>
    <row r="1618" spans="1:1" x14ac:dyDescent="0.25">
      <c r="A1618" s="177"/>
    </row>
    <row r="1619" spans="1:1" x14ac:dyDescent="0.25">
      <c r="A1619" s="177"/>
    </row>
    <row r="1620" spans="1:1" x14ac:dyDescent="0.25">
      <c r="A1620" s="177"/>
    </row>
    <row r="1621" spans="1:1" x14ac:dyDescent="0.25">
      <c r="A1621" s="177"/>
    </row>
    <row r="1622" spans="1:1" x14ac:dyDescent="0.25">
      <c r="A1622" s="177"/>
    </row>
    <row r="1623" spans="1:1" x14ac:dyDescent="0.25">
      <c r="A1623" s="177"/>
    </row>
    <row r="1624" spans="1:1" x14ac:dyDescent="0.25">
      <c r="A1624" s="177"/>
    </row>
    <row r="1625" spans="1:1" x14ac:dyDescent="0.25">
      <c r="A1625" s="177"/>
    </row>
    <row r="1626" spans="1:1" x14ac:dyDescent="0.25">
      <c r="A1626" s="177"/>
    </row>
    <row r="1627" spans="1:1" x14ac:dyDescent="0.25">
      <c r="A1627" s="177"/>
    </row>
    <row r="1628" spans="1:1" x14ac:dyDescent="0.25">
      <c r="A1628" s="177"/>
    </row>
    <row r="1629" spans="1:1" x14ac:dyDescent="0.25">
      <c r="A1629" s="177"/>
    </row>
    <row r="1630" spans="1:1" x14ac:dyDescent="0.25">
      <c r="A1630" s="177"/>
    </row>
    <row r="1631" spans="1:1" x14ac:dyDescent="0.25">
      <c r="A1631" s="177"/>
    </row>
    <row r="1632" spans="1:1" x14ac:dyDescent="0.25">
      <c r="A1632" s="177"/>
    </row>
    <row r="1633" spans="1:1" x14ac:dyDescent="0.25">
      <c r="A1633" s="177"/>
    </row>
    <row r="1634" spans="1:1" x14ac:dyDescent="0.25">
      <c r="A1634" s="177"/>
    </row>
    <row r="1635" spans="1:1" x14ac:dyDescent="0.25">
      <c r="A1635" s="177"/>
    </row>
    <row r="1636" spans="1:1" x14ac:dyDescent="0.25">
      <c r="A1636" s="177"/>
    </row>
    <row r="1637" spans="1:1" x14ac:dyDescent="0.25">
      <c r="A1637" s="177"/>
    </row>
    <row r="1638" spans="1:1" x14ac:dyDescent="0.25">
      <c r="A1638" s="177"/>
    </row>
    <row r="1639" spans="1:1" x14ac:dyDescent="0.25">
      <c r="A1639" s="177"/>
    </row>
    <row r="1640" spans="1:1" x14ac:dyDescent="0.25">
      <c r="A1640" s="177"/>
    </row>
    <row r="1641" spans="1:1" x14ac:dyDescent="0.25">
      <c r="A1641" s="177"/>
    </row>
    <row r="1642" spans="1:1" x14ac:dyDescent="0.25">
      <c r="A1642" s="177"/>
    </row>
    <row r="1643" spans="1:1" x14ac:dyDescent="0.25">
      <c r="A1643" s="177"/>
    </row>
    <row r="1644" spans="1:1" x14ac:dyDescent="0.25">
      <c r="A1644" s="177"/>
    </row>
    <row r="1645" spans="1:1" x14ac:dyDescent="0.25">
      <c r="A1645" s="177"/>
    </row>
    <row r="1646" spans="1:1" x14ac:dyDescent="0.25">
      <c r="A1646" s="177"/>
    </row>
    <row r="1647" spans="1:1" x14ac:dyDescent="0.25">
      <c r="A1647" s="177"/>
    </row>
    <row r="1648" spans="1:1" x14ac:dyDescent="0.25">
      <c r="A1648" s="177"/>
    </row>
    <row r="1649" spans="1:1" x14ac:dyDescent="0.25">
      <c r="A1649" s="177"/>
    </row>
    <row r="1650" spans="1:1" x14ac:dyDescent="0.25">
      <c r="A1650" s="177"/>
    </row>
    <row r="1651" spans="1:1" x14ac:dyDescent="0.25">
      <c r="A1651" s="177"/>
    </row>
    <row r="1652" spans="1:1" x14ac:dyDescent="0.25">
      <c r="A1652" s="177"/>
    </row>
    <row r="1653" spans="1:1" x14ac:dyDescent="0.25">
      <c r="A1653" s="177"/>
    </row>
    <row r="1654" spans="1:1" x14ac:dyDescent="0.25">
      <c r="A1654" s="177"/>
    </row>
    <row r="1655" spans="1:1" x14ac:dyDescent="0.25">
      <c r="A1655" s="177"/>
    </row>
    <row r="1656" spans="1:1" x14ac:dyDescent="0.25">
      <c r="A1656" s="177"/>
    </row>
    <row r="1657" spans="1:1" x14ac:dyDescent="0.25">
      <c r="A1657" s="177"/>
    </row>
    <row r="1658" spans="1:1" x14ac:dyDescent="0.25">
      <c r="A1658" s="177"/>
    </row>
    <row r="1659" spans="1:1" x14ac:dyDescent="0.25">
      <c r="A1659" s="177"/>
    </row>
    <row r="1660" spans="1:1" x14ac:dyDescent="0.25">
      <c r="A1660" s="177"/>
    </row>
    <row r="1661" spans="1:1" x14ac:dyDescent="0.25">
      <c r="A1661" s="177"/>
    </row>
    <row r="1662" spans="1:1" x14ac:dyDescent="0.25">
      <c r="A1662" s="177"/>
    </row>
    <row r="1663" spans="1:1" x14ac:dyDescent="0.25">
      <c r="A1663" s="177"/>
    </row>
    <row r="1664" spans="1:1" x14ac:dyDescent="0.25">
      <c r="A1664" s="177"/>
    </row>
    <row r="1665" spans="1:1" x14ac:dyDescent="0.25">
      <c r="A1665" s="177"/>
    </row>
    <row r="1666" spans="1:1" x14ac:dyDescent="0.25">
      <c r="A1666" s="177"/>
    </row>
    <row r="1667" spans="1:1" x14ac:dyDescent="0.25">
      <c r="A1667" s="177"/>
    </row>
    <row r="1668" spans="1:1" x14ac:dyDescent="0.25">
      <c r="A1668" s="177"/>
    </row>
    <row r="1669" spans="1:1" x14ac:dyDescent="0.25">
      <c r="A1669" s="177"/>
    </row>
    <row r="1670" spans="1:1" x14ac:dyDescent="0.25">
      <c r="A1670" s="177"/>
    </row>
    <row r="1671" spans="1:1" x14ac:dyDescent="0.25">
      <c r="A1671" s="177"/>
    </row>
    <row r="1672" spans="1:1" x14ac:dyDescent="0.25">
      <c r="A1672" s="177"/>
    </row>
    <row r="1673" spans="1:1" x14ac:dyDescent="0.25">
      <c r="A1673" s="177"/>
    </row>
    <row r="1674" spans="1:1" x14ac:dyDescent="0.25">
      <c r="A1674" s="177"/>
    </row>
    <row r="1675" spans="1:1" x14ac:dyDescent="0.25">
      <c r="A1675" s="177"/>
    </row>
    <row r="1676" spans="1:1" x14ac:dyDescent="0.25">
      <c r="A1676" s="177"/>
    </row>
    <row r="1677" spans="1:1" x14ac:dyDescent="0.25">
      <c r="A1677" s="177"/>
    </row>
    <row r="1678" spans="1:1" x14ac:dyDescent="0.25">
      <c r="A1678" s="177"/>
    </row>
    <row r="1679" spans="1:1" x14ac:dyDescent="0.25">
      <c r="A1679" s="177"/>
    </row>
    <row r="1680" spans="1:1" x14ac:dyDescent="0.25">
      <c r="A1680" s="177"/>
    </row>
    <row r="1681" spans="1:1" x14ac:dyDescent="0.25">
      <c r="A1681" s="177"/>
    </row>
    <row r="1682" spans="1:1" x14ac:dyDescent="0.25">
      <c r="A1682" s="177"/>
    </row>
    <row r="1683" spans="1:1" x14ac:dyDescent="0.25">
      <c r="A1683" s="177"/>
    </row>
    <row r="1684" spans="1:1" x14ac:dyDescent="0.25">
      <c r="A1684" s="177"/>
    </row>
    <row r="1685" spans="1:1" x14ac:dyDescent="0.25">
      <c r="A1685" s="177"/>
    </row>
    <row r="1686" spans="1:1" x14ac:dyDescent="0.25">
      <c r="A1686" s="177"/>
    </row>
    <row r="1687" spans="1:1" x14ac:dyDescent="0.25">
      <c r="A1687" s="177"/>
    </row>
    <row r="1688" spans="1:1" x14ac:dyDescent="0.25">
      <c r="A1688" s="177"/>
    </row>
    <row r="1689" spans="1:1" x14ac:dyDescent="0.25">
      <c r="A1689" s="177"/>
    </row>
    <row r="1690" spans="1:1" x14ac:dyDescent="0.25">
      <c r="A1690" s="177"/>
    </row>
    <row r="1691" spans="1:1" x14ac:dyDescent="0.25">
      <c r="A1691" s="177"/>
    </row>
    <row r="1692" spans="1:1" x14ac:dyDescent="0.25">
      <c r="A1692" s="177"/>
    </row>
    <row r="1693" spans="1:1" x14ac:dyDescent="0.25">
      <c r="A1693" s="177"/>
    </row>
    <row r="1694" spans="1:1" x14ac:dyDescent="0.25">
      <c r="A1694" s="177"/>
    </row>
    <row r="1695" spans="1:1" x14ac:dyDescent="0.25">
      <c r="A1695" s="177"/>
    </row>
    <row r="1696" spans="1:1" x14ac:dyDescent="0.25">
      <c r="A1696" s="177"/>
    </row>
    <row r="1697" spans="1:1" x14ac:dyDescent="0.25">
      <c r="A1697" s="177"/>
    </row>
    <row r="1698" spans="1:1" x14ac:dyDescent="0.25">
      <c r="A1698" s="177"/>
    </row>
    <row r="1699" spans="1:1" x14ac:dyDescent="0.25">
      <c r="A1699" s="177"/>
    </row>
    <row r="1700" spans="1:1" x14ac:dyDescent="0.25">
      <c r="A1700" s="177"/>
    </row>
    <row r="1701" spans="1:1" x14ac:dyDescent="0.25">
      <c r="A1701" s="177"/>
    </row>
    <row r="1702" spans="1:1" x14ac:dyDescent="0.25">
      <c r="A1702" s="177"/>
    </row>
    <row r="1703" spans="1:1" x14ac:dyDescent="0.25">
      <c r="A1703" s="177"/>
    </row>
    <row r="1704" spans="1:1" x14ac:dyDescent="0.25">
      <c r="A1704" s="177"/>
    </row>
    <row r="1705" spans="1:1" x14ac:dyDescent="0.25">
      <c r="A1705" s="177"/>
    </row>
    <row r="1706" spans="1:1" x14ac:dyDescent="0.25">
      <c r="A1706" s="177"/>
    </row>
    <row r="1707" spans="1:1" x14ac:dyDescent="0.25">
      <c r="A1707" s="177"/>
    </row>
    <row r="1708" spans="1:1" x14ac:dyDescent="0.25">
      <c r="A1708" s="177"/>
    </row>
    <row r="1709" spans="1:1" x14ac:dyDescent="0.25">
      <c r="A1709" s="177"/>
    </row>
    <row r="1710" spans="1:1" x14ac:dyDescent="0.25">
      <c r="A1710" s="177"/>
    </row>
    <row r="1711" spans="1:1" x14ac:dyDescent="0.25">
      <c r="A1711" s="177"/>
    </row>
    <row r="1712" spans="1:1" x14ac:dyDescent="0.25">
      <c r="A1712" s="177"/>
    </row>
    <row r="1713" spans="1:1" x14ac:dyDescent="0.25">
      <c r="A1713" s="177"/>
    </row>
    <row r="1714" spans="1:1" x14ac:dyDescent="0.25">
      <c r="A1714" s="177"/>
    </row>
    <row r="1715" spans="1:1" x14ac:dyDescent="0.25">
      <c r="A1715" s="177"/>
    </row>
    <row r="1716" spans="1:1" x14ac:dyDescent="0.25">
      <c r="A1716" s="177"/>
    </row>
    <row r="1717" spans="1:1" x14ac:dyDescent="0.25">
      <c r="A1717" s="177"/>
    </row>
    <row r="1718" spans="1:1" x14ac:dyDescent="0.25">
      <c r="A1718" s="177"/>
    </row>
    <row r="1719" spans="1:1" x14ac:dyDescent="0.25">
      <c r="A1719" s="177"/>
    </row>
    <row r="1720" spans="1:1" x14ac:dyDescent="0.25">
      <c r="A1720" s="177"/>
    </row>
    <row r="1721" spans="1:1" x14ac:dyDescent="0.25">
      <c r="A1721" s="177"/>
    </row>
    <row r="1722" spans="1:1" x14ac:dyDescent="0.25">
      <c r="A1722" s="177"/>
    </row>
    <row r="1723" spans="1:1" x14ac:dyDescent="0.25">
      <c r="A1723" s="177"/>
    </row>
    <row r="1724" spans="1:1" x14ac:dyDescent="0.25">
      <c r="A1724" s="177"/>
    </row>
    <row r="1725" spans="1:1" x14ac:dyDescent="0.25">
      <c r="A1725" s="177"/>
    </row>
    <row r="1726" spans="1:1" x14ac:dyDescent="0.25">
      <c r="A1726" s="177"/>
    </row>
    <row r="1727" spans="1:1" x14ac:dyDescent="0.25">
      <c r="A1727" s="177"/>
    </row>
    <row r="1728" spans="1:1" x14ac:dyDescent="0.25">
      <c r="A1728" s="177"/>
    </row>
    <row r="1729" spans="1:1" x14ac:dyDescent="0.25">
      <c r="A1729" s="177"/>
    </row>
    <row r="1730" spans="1:1" x14ac:dyDescent="0.25">
      <c r="A1730" s="177"/>
    </row>
    <row r="1731" spans="1:1" x14ac:dyDescent="0.25">
      <c r="A1731" s="177"/>
    </row>
    <row r="1732" spans="1:1" x14ac:dyDescent="0.25">
      <c r="A1732" s="177"/>
    </row>
    <row r="1733" spans="1:1" x14ac:dyDescent="0.25">
      <c r="A1733" s="177"/>
    </row>
    <row r="1734" spans="1:1" x14ac:dyDescent="0.25">
      <c r="A1734" s="177"/>
    </row>
    <row r="1735" spans="1:1" x14ac:dyDescent="0.25">
      <c r="A1735" s="177"/>
    </row>
    <row r="1736" spans="1:1" x14ac:dyDescent="0.25">
      <c r="A1736" s="177"/>
    </row>
    <row r="1737" spans="1:1" x14ac:dyDescent="0.25">
      <c r="A1737" s="177"/>
    </row>
    <row r="1738" spans="1:1" x14ac:dyDescent="0.25">
      <c r="A1738" s="177"/>
    </row>
    <row r="1739" spans="1:1" x14ac:dyDescent="0.25">
      <c r="A1739" s="177"/>
    </row>
    <row r="1740" spans="1:1" x14ac:dyDescent="0.25">
      <c r="A1740" s="177"/>
    </row>
    <row r="1741" spans="1:1" x14ac:dyDescent="0.25">
      <c r="A1741" s="177"/>
    </row>
    <row r="1742" spans="1:1" x14ac:dyDescent="0.25">
      <c r="A1742" s="177"/>
    </row>
    <row r="1743" spans="1:1" x14ac:dyDescent="0.25">
      <c r="A1743" s="177"/>
    </row>
    <row r="1744" spans="1:1" x14ac:dyDescent="0.25">
      <c r="A1744" s="177"/>
    </row>
    <row r="1745" spans="1:1" x14ac:dyDescent="0.25">
      <c r="A1745" s="177"/>
    </row>
    <row r="1746" spans="1:1" x14ac:dyDescent="0.25">
      <c r="A1746" s="177"/>
    </row>
    <row r="1747" spans="1:1" x14ac:dyDescent="0.25">
      <c r="A1747" s="177"/>
    </row>
    <row r="1748" spans="1:1" x14ac:dyDescent="0.25">
      <c r="A1748" s="177"/>
    </row>
    <row r="1749" spans="1:1" x14ac:dyDescent="0.25">
      <c r="A1749" s="177"/>
    </row>
    <row r="1750" spans="1:1" x14ac:dyDescent="0.25">
      <c r="A1750" s="177"/>
    </row>
    <row r="1751" spans="1:1" x14ac:dyDescent="0.25">
      <c r="A1751" s="177"/>
    </row>
    <row r="1752" spans="1:1" x14ac:dyDescent="0.25">
      <c r="A1752" s="177"/>
    </row>
    <row r="1753" spans="1:1" x14ac:dyDescent="0.25">
      <c r="A1753" s="177"/>
    </row>
    <row r="1754" spans="1:1" x14ac:dyDescent="0.25">
      <c r="A1754" s="177"/>
    </row>
    <row r="1755" spans="1:1" x14ac:dyDescent="0.25">
      <c r="A1755" s="177"/>
    </row>
    <row r="1756" spans="1:1" x14ac:dyDescent="0.25">
      <c r="A1756" s="177"/>
    </row>
    <row r="1757" spans="1:1" x14ac:dyDescent="0.25">
      <c r="A1757" s="177"/>
    </row>
    <row r="1758" spans="1:1" x14ac:dyDescent="0.25">
      <c r="A1758" s="177"/>
    </row>
    <row r="1759" spans="1:1" x14ac:dyDescent="0.25">
      <c r="A1759" s="177"/>
    </row>
    <row r="1760" spans="1:1" x14ac:dyDescent="0.25">
      <c r="A1760" s="177"/>
    </row>
    <row r="1761" spans="1:1" x14ac:dyDescent="0.25">
      <c r="A1761" s="177"/>
    </row>
    <row r="1762" spans="1:1" x14ac:dyDescent="0.25">
      <c r="A1762" s="177"/>
    </row>
    <row r="1763" spans="1:1" x14ac:dyDescent="0.25">
      <c r="A1763" s="177"/>
    </row>
    <row r="1764" spans="1:1" x14ac:dyDescent="0.25">
      <c r="A1764" s="177"/>
    </row>
    <row r="1765" spans="1:1" x14ac:dyDescent="0.25">
      <c r="A1765" s="177"/>
    </row>
    <row r="1766" spans="1:1" x14ac:dyDescent="0.25">
      <c r="A1766" s="177"/>
    </row>
    <row r="1767" spans="1:1" x14ac:dyDescent="0.25">
      <c r="A1767" s="177"/>
    </row>
    <row r="1768" spans="1:1" x14ac:dyDescent="0.25">
      <c r="A1768" s="177"/>
    </row>
    <row r="1769" spans="1:1" x14ac:dyDescent="0.25">
      <c r="A1769" s="177"/>
    </row>
    <row r="1770" spans="1:1" x14ac:dyDescent="0.25">
      <c r="A1770" s="177"/>
    </row>
    <row r="1771" spans="1:1" x14ac:dyDescent="0.25">
      <c r="A1771" s="177"/>
    </row>
    <row r="1772" spans="1:1" x14ac:dyDescent="0.25">
      <c r="A1772" s="177"/>
    </row>
    <row r="1773" spans="1:1" x14ac:dyDescent="0.25">
      <c r="A1773" s="177"/>
    </row>
    <row r="1774" spans="1:1" x14ac:dyDescent="0.25">
      <c r="A1774" s="177"/>
    </row>
    <row r="1775" spans="1:1" x14ac:dyDescent="0.25">
      <c r="A1775" s="177"/>
    </row>
    <row r="1776" spans="1:1" x14ac:dyDescent="0.25">
      <c r="A1776" s="177"/>
    </row>
    <row r="1777" spans="1:1" x14ac:dyDescent="0.25">
      <c r="A1777" s="177"/>
    </row>
    <row r="1778" spans="1:1" x14ac:dyDescent="0.25">
      <c r="A1778" s="177"/>
    </row>
    <row r="1779" spans="1:1" x14ac:dyDescent="0.25">
      <c r="A1779" s="177"/>
    </row>
  </sheetData>
  <sheetProtection selectLockedCells="1"/>
  <mergeCells count="102">
    <mergeCell ref="V68:Y69"/>
    <mergeCell ref="A64:Q64"/>
    <mergeCell ref="A65:Q65"/>
    <mergeCell ref="P24:P25"/>
    <mergeCell ref="Q24:Q25"/>
    <mergeCell ref="R24:S24"/>
    <mergeCell ref="P36:P37"/>
    <mergeCell ref="Q36:Q37"/>
    <mergeCell ref="R36:S36"/>
    <mergeCell ref="A67:Q70"/>
    <mergeCell ref="R67:T70"/>
    <mergeCell ref="V29:W29"/>
    <mergeCell ref="V30:W30"/>
    <mergeCell ref="V31:W31"/>
    <mergeCell ref="T31:U31"/>
    <mergeCell ref="T36:U37"/>
    <mergeCell ref="V36:W37"/>
    <mergeCell ref="X36:Y37"/>
    <mergeCell ref="X31:Y31"/>
    <mergeCell ref="T27:U27"/>
    <mergeCell ref="A96:P96"/>
    <mergeCell ref="L88:N88"/>
    <mergeCell ref="O88:O89"/>
    <mergeCell ref="L76:N76"/>
    <mergeCell ref="O76:O77"/>
    <mergeCell ref="P76:P77"/>
    <mergeCell ref="P88:P89"/>
    <mergeCell ref="C30:E30"/>
    <mergeCell ref="C31:E31"/>
    <mergeCell ref="C38:E38"/>
    <mergeCell ref="R22:T22"/>
    <mergeCell ref="K22:Q22"/>
    <mergeCell ref="I22:J22"/>
    <mergeCell ref="L34:M34"/>
    <mergeCell ref="B10:G10"/>
    <mergeCell ref="B12:G12"/>
    <mergeCell ref="H12:M12"/>
    <mergeCell ref="N12:R12"/>
    <mergeCell ref="B18:H18"/>
    <mergeCell ref="I18:Y18"/>
    <mergeCell ref="V11:Y11"/>
    <mergeCell ref="N11:U11"/>
    <mergeCell ref="X24:Y25"/>
    <mergeCell ref="T24:U25"/>
    <mergeCell ref="V24:W25"/>
    <mergeCell ref="X26:Y26"/>
    <mergeCell ref="T26:U26"/>
    <mergeCell ref="V26:W26"/>
    <mergeCell ref="X27:Y27"/>
    <mergeCell ref="X28:Y28"/>
    <mergeCell ref="X29:Y29"/>
    <mergeCell ref="X30:Y30"/>
    <mergeCell ref="C29:E2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  <mergeCell ref="B11:G11"/>
    <mergeCell ref="H11:M11"/>
    <mergeCell ref="H10:M10"/>
    <mergeCell ref="N10:R10"/>
    <mergeCell ref="S10:Y10"/>
    <mergeCell ref="I19:Y19"/>
    <mergeCell ref="S12:Y12"/>
    <mergeCell ref="B13:G13"/>
    <mergeCell ref="H13:M13"/>
    <mergeCell ref="N13:R13"/>
    <mergeCell ref="S13:Y13"/>
    <mergeCell ref="B19:H19"/>
    <mergeCell ref="T28:U28"/>
    <mergeCell ref="T29:U29"/>
    <mergeCell ref="T30:U30"/>
    <mergeCell ref="C21:Y21"/>
    <mergeCell ref="U63:Z63"/>
    <mergeCell ref="R64:T64"/>
    <mergeCell ref="U64:Z64"/>
    <mergeCell ref="R65:T66"/>
    <mergeCell ref="U65:Z66"/>
    <mergeCell ref="G22:H22"/>
    <mergeCell ref="C22:F22"/>
    <mergeCell ref="C25:E25"/>
    <mergeCell ref="C26:E26"/>
    <mergeCell ref="C27:E27"/>
    <mergeCell ref="C28:E28"/>
    <mergeCell ref="R34:T34"/>
    <mergeCell ref="U34:X34"/>
    <mergeCell ref="C37:E37"/>
    <mergeCell ref="T38:U38"/>
    <mergeCell ref="V38:W38"/>
    <mergeCell ref="X38:Y38"/>
    <mergeCell ref="V27:W27"/>
    <mergeCell ref="V28:W28"/>
    <mergeCell ref="U22:Y22"/>
  </mergeCells>
  <phoneticPr fontId="0" type="noConversion"/>
  <pageMargins left="0.59055118110236227" right="0.19685039370078741" top="0.35" bottom="0.44" header="0.24" footer="0.26"/>
  <pageSetup paperSize="9" scale="70" orientation="portrait" horizontalDpi="4294967294" verticalDpi="300" r:id="rId1"/>
  <headerFooter alignWithMargins="0">
    <oddFooter>&amp;RDG-Q / RE GR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CAG</vt:lpstr>
      <vt:lpstr>CAG!Zone_d_impression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MONTET Frederic</cp:lastModifiedBy>
  <cp:lastPrinted>2013-10-07T07:25:25Z</cp:lastPrinted>
  <dcterms:created xsi:type="dcterms:W3CDTF">2005-03-08T15:59:40Z</dcterms:created>
  <dcterms:modified xsi:type="dcterms:W3CDTF">2023-03-07T07:23:08Z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-1054032927</vt:i4>
  </property>
  <property fmtid="{D5CDD505-2E9C-101B-9397-08002B2CF9AE}" pid="3" name="_EmailSubject">
    <vt:lpwstr>PV d'essais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CHARTIER Francois</vt:lpwstr>
  </property>
  <property fmtid="{D5CDD505-2E9C-101B-9397-08002B2CF9AE}" pid="6" name="_ReviewingToolsShownOnce">
    <vt:lpwstr/>
  </property>
</Properties>
</file>