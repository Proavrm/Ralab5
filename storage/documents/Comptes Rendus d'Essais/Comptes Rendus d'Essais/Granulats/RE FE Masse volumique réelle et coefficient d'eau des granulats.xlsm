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402D70DB-C455-4C3C-BA05-AAE247485B8E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" sheetId="7" r:id="rId1"/>
    <sheet name="FE WF" sheetId="6" r:id="rId2"/>
    <sheet name="RE" sheetId="4" r:id="rId3"/>
    <sheet name="FE" sheetId="5" r:id="rId4"/>
  </sheets>
  <definedNames>
    <definedName name="_xlnm.Print_Area" localSheetId="0">CRE!$A$1:$Z$58</definedName>
    <definedName name="_xlnm.Print_Area" localSheetId="3">FE!$A$1:$AB$31</definedName>
    <definedName name="_xlnm.Print_Area" localSheetId="1">'FE WF'!$A$1:$H$73</definedName>
    <definedName name="_xlnm.Print_Area" localSheetId="2">RE!$A$1:$Z$47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4" i="6" l="1"/>
  <c r="G73" i="6" s="1"/>
  <c r="G93" i="6" l="1"/>
  <c r="G81" i="6"/>
  <c r="G32" i="6"/>
  <c r="G25" i="5"/>
  <c r="V25" i="5"/>
  <c r="Y25" i="5"/>
  <c r="G26" i="5"/>
  <c r="V26" i="5"/>
  <c r="Y17" i="5"/>
  <c r="Y19" i="5"/>
  <c r="Y21" i="5"/>
  <c r="G18" i="5"/>
  <c r="V18" i="5"/>
  <c r="G19" i="5"/>
  <c r="V19" i="5"/>
  <c r="G20" i="5"/>
  <c r="V20" i="5"/>
  <c r="G21" i="5"/>
  <c r="V21" i="5"/>
  <c r="G22" i="5"/>
  <c r="V22" i="5"/>
  <c r="Y23" i="5"/>
  <c r="V23" i="5"/>
  <c r="V24" i="5"/>
  <c r="G23" i="5"/>
  <c r="G24" i="5"/>
</calcChain>
</file>

<file path=xl/sharedStrings.xml><?xml version="1.0" encoding="utf-8"?>
<sst xmlns="http://schemas.openxmlformats.org/spreadsheetml/2006/main" count="174" uniqueCount="138">
  <si>
    <t>Résultats</t>
  </si>
  <si>
    <t>1/</t>
  </si>
  <si>
    <t>RENSEIGNEMENTS GENERAUX</t>
  </si>
  <si>
    <t>Date du prélèvement :</t>
  </si>
  <si>
    <t>Destination :</t>
  </si>
  <si>
    <t>2/</t>
  </si>
  <si>
    <t>CRITERES DE CONFORMITE</t>
  </si>
  <si>
    <t>Source des critères :</t>
  </si>
  <si>
    <t>Définition des critères / objectifs :</t>
  </si>
  <si>
    <t xml:space="preserve">3/ </t>
  </si>
  <si>
    <t>RESULTATS DES ESSAIS</t>
  </si>
  <si>
    <t>Type d'essais</t>
  </si>
  <si>
    <t>4/</t>
  </si>
  <si>
    <t>CONCLUSIONS</t>
  </si>
  <si>
    <t>Conforme</t>
  </si>
  <si>
    <t>Non conforme</t>
  </si>
  <si>
    <t>Pour information</t>
  </si>
  <si>
    <t>5/</t>
  </si>
  <si>
    <t>COMMENTAIRES</t>
  </si>
  <si>
    <t>Date de l'essai :</t>
  </si>
  <si>
    <t>Laboratoire:</t>
  </si>
  <si>
    <t>Rhône Alpes - ZI Mi Plaine - Rue des Tâches 69800 - Saint Priest</t>
  </si>
  <si>
    <t>Contrôle</t>
  </si>
  <si>
    <t>Nom</t>
  </si>
  <si>
    <t>Fonction</t>
  </si>
  <si>
    <t>Visa</t>
  </si>
  <si>
    <t>Opérateur :</t>
  </si>
  <si>
    <t>Nature du matériau :</t>
  </si>
  <si>
    <t>Nature pétrographique de la roche mère :</t>
  </si>
  <si>
    <t>Provenance :</t>
  </si>
  <si>
    <t>Coefficient d'absorption</t>
  </si>
  <si>
    <t>WF</t>
  </si>
  <si>
    <t>Masse Volumique Réelle</t>
  </si>
  <si>
    <t>MVR</t>
  </si>
  <si>
    <t>(g/cm3)</t>
  </si>
  <si>
    <t>(%)</t>
  </si>
  <si>
    <t>Laboratoire :</t>
  </si>
  <si>
    <t>Région Rhône Alpes - 29-31 rue des Tâches - ZI Mi-Plaine - 69800 SAINT PRIEST</t>
  </si>
  <si>
    <t>Date de(s) prélèvement(s) :</t>
  </si>
  <si>
    <t>Date de(s) essai(s) :</t>
  </si>
  <si>
    <t>Volume du pycnomètre (ml) Vp :</t>
  </si>
  <si>
    <t>Masse du pycnomètre (g) Mp :</t>
  </si>
  <si>
    <t>Réf échantillon</t>
  </si>
  <si>
    <t>P net échantillon</t>
  </si>
  <si>
    <t>P tot échantillon</t>
  </si>
  <si>
    <t>Température</t>
  </si>
  <si>
    <t>Masse volumique</t>
  </si>
  <si>
    <t>Masse des granulats à l'issue de l'essai</t>
  </si>
  <si>
    <t>Masse du pycnomètre, de l'entonnoir et de la prise d'essai</t>
  </si>
  <si>
    <t xml:space="preserve">MOYENNE </t>
  </si>
  <si>
    <t>Fraction</t>
  </si>
  <si>
    <t>M2' (g)</t>
  </si>
  <si>
    <t>M2 (g)</t>
  </si>
  <si>
    <t>de l'eau (°C)</t>
  </si>
  <si>
    <t>Mw (g)</t>
  </si>
  <si>
    <t>MF (g)</t>
  </si>
  <si>
    <t>Observations :</t>
  </si>
  <si>
    <t xml:space="preserve"> </t>
  </si>
  <si>
    <t>Date de l'essai:</t>
  </si>
  <si>
    <t>Opérateur:</t>
  </si>
  <si>
    <t>Provenance du matériau:</t>
  </si>
  <si>
    <t>Date du prélèvement:</t>
  </si>
  <si>
    <t>Type du matériau:</t>
  </si>
  <si>
    <t>Lieu du prélèvement:</t>
  </si>
  <si>
    <t>Préparation de l'échantillon</t>
  </si>
  <si>
    <t>Exécution de l'essai</t>
  </si>
  <si>
    <t>Expression des résultats</t>
  </si>
  <si>
    <t>M1 (g) =</t>
  </si>
  <si>
    <t xml:space="preserve">Pour éviter que l'entonnoir n'adhère au pycnomètre, il est possible d'appliquer sur la zone de </t>
  </si>
  <si>
    <t>contact un peu de gel de silicone avant la pesée.</t>
  </si>
  <si>
    <t>doucement le pycnomètre ou appliquer une légère vibration pour éliminer l’air occlus.</t>
  </si>
  <si>
    <t>conformément à l'équation suivante :</t>
  </si>
  <si>
    <t>Calculer la valeur de la masse volumique réelle à 0,001 Mg/m3 près.</t>
  </si>
  <si>
    <t>La moyenne des valeurs des deux prises d’essai, arrondies à 0,01 Mg/m3 près, est la masse volumique réelle</t>
  </si>
  <si>
    <t>pré-séchée des granulats légers.</t>
  </si>
  <si>
    <t>Calculer le coefficient d'absorption d'eau (en pourcentage de la masse sèche), au moment du mesurage final</t>
  </si>
  <si>
    <t>°C</t>
  </si>
  <si>
    <t>Mg/m3</t>
  </si>
  <si>
    <t>19: Répéter le mode opératoire pour la deuxième prise d’essai.</t>
  </si>
  <si>
    <t>Mp (g) =</t>
  </si>
  <si>
    <t>1: L'essai doit être réalisé en utilisant 2 prises d'essai.</t>
  </si>
  <si>
    <t xml:space="preserve">2 : Préparer chacune d'elles pour otenir un volume compris entre 0,5 l et 0,6 l. </t>
  </si>
  <si>
    <t xml:space="preserve">3: La laver sur un tamis de 4 mm afin d'éliminer les grains les plus fins et la laisser s'égoutter. </t>
  </si>
  <si>
    <t>4: Ecarter tous les grains refusés au tamis de 31,5 mm.</t>
  </si>
  <si>
    <t>5: Sécher les prises d'essai dans l'étuve à (110 ± 5) °C jusqu'à une masse constante.</t>
  </si>
  <si>
    <t>6: Laisser refroidir à température ambiante.</t>
  </si>
  <si>
    <t>Etalonnage du pycnomètre</t>
  </si>
  <si>
    <t xml:space="preserve">Les volumes des pycnomètres ont déjà été préétalonnés. Rechercher le fichier des étalonnage des </t>
  </si>
  <si>
    <t>pycnomètres</t>
  </si>
  <si>
    <t>Vp (ml) =</t>
  </si>
  <si>
    <t>1: Maintenir le bain d'eau à une température de (22 ± 1) °C pendant toute la durée de l'essai.</t>
  </si>
  <si>
    <t>2: Peser le pycnomètre et son entonnoir.</t>
  </si>
  <si>
    <t>3 : Placer avec précaution la première prise d’essai dans le pycnomètre.</t>
  </si>
  <si>
    <t>7: Pendant l’essai, ajouter la quantité d’eau nécessaire pour la maintenir au niveau du repère sur l’entonnoir.</t>
  </si>
  <si>
    <t>9: Remplir à nouveau le pycnomètre d’eau jusqu’au repère sur l’entonnoir.</t>
  </si>
  <si>
    <t xml:space="preserve">6: Placer le tout dans le bain d’eau à (22 ± 1) °C. Si la température de l'eau n'est pas de 22°C, </t>
  </si>
  <si>
    <t>prendre ρw dans le tableau.</t>
  </si>
  <si>
    <t xml:space="preserve">Calculer la masse volumique réélle (ρp) des granulats légers, en mégagrammes par mètre cube, </t>
  </si>
  <si>
    <t>Coefficient d'Absorption</t>
  </si>
  <si>
    <t>3/</t>
  </si>
  <si>
    <t>Origine du prélèvement :</t>
  </si>
  <si>
    <t>Nature pétrographique :</t>
  </si>
  <si>
    <t>Date de rédaction</t>
  </si>
  <si>
    <t>N° d'affaire</t>
  </si>
  <si>
    <t>Chrono</t>
  </si>
  <si>
    <t>n°</t>
  </si>
  <si>
    <t>RFU</t>
  </si>
  <si>
    <t>COMPTE RENDU D'ESSAIS</t>
  </si>
  <si>
    <t>MASSE  VOLUMIQUE REELLE DES GRANULATS ET COEFFICIENT D'ABSORPTION D'EAU (NF P 18-650-6)</t>
  </si>
  <si>
    <t>4 : Placer avec précaution la première prise d’essai dans le pycnomètre.</t>
  </si>
  <si>
    <t>3: Peser le pycnomètre rempli d'eau jusqu'au trait de l'entonnoir</t>
  </si>
  <si>
    <t>et peser le tout</t>
  </si>
  <si>
    <t>M3 (g) =</t>
  </si>
  <si>
    <t>M4 (g) =</t>
  </si>
  <si>
    <t>Me (g) =</t>
  </si>
  <si>
    <t>ρw à T°C d'essai (Mg/m3) =</t>
  </si>
  <si>
    <t>5: Remplir le pycnomètre d'eau à (22 ± 1) °C jusqu'au repère sur l'entonnoir.</t>
  </si>
  <si>
    <t>Déclencher le chronomètre pour 24H.</t>
  </si>
  <si>
    <t xml:space="preserve">8: Au bout de 24H, sortir le tout du bain d’eau. Remuer les granulats en faisant tourner et en tapotant </t>
  </si>
  <si>
    <t>10: Sécher soigneusement les parois extérieures et peser (M2).</t>
  </si>
  <si>
    <t>M2 (g) =</t>
  </si>
  <si>
    <t>11: À l’issue de la mesure, vider l’eau du pycnomètre. Egoutter les granulats quelques minutes.</t>
  </si>
  <si>
    <t>12: Transférer les granulats sur un tissu sec et éliminer l’eau de surface en les roulant doucement dans</t>
  </si>
  <si>
    <t xml:space="preserve"> le tissu (jusqu'à humide sans film d'eau) et peser</t>
  </si>
  <si>
    <t>15: Peser les granulats (M4).</t>
  </si>
  <si>
    <t>Calculer la valeur de la masse volumique absolue à 0,01 Mg/m3 près.</t>
  </si>
  <si>
    <t xml:space="preserve">Calculer la masse volumique absolue (ρa) des granulats légers, en mégagrammes par mètre cube, </t>
  </si>
  <si>
    <t>, conformément à l’équation suivante :</t>
  </si>
  <si>
    <t>%</t>
  </si>
  <si>
    <t>13: Sécher les granulats à l'étuve (110 ±5°C).</t>
  </si>
  <si>
    <r>
      <t>ρ</t>
    </r>
    <r>
      <rPr>
        <b/>
        <vertAlign val="subscript"/>
        <sz val="11"/>
        <rFont val="Century Gothic"/>
        <family val="2"/>
      </rPr>
      <t>a</t>
    </r>
    <r>
      <rPr>
        <b/>
        <sz val="11"/>
        <rFont val="Century Gothic"/>
        <family val="2"/>
      </rPr>
      <t xml:space="preserve"> = </t>
    </r>
  </si>
  <si>
    <r>
      <t>T/m</t>
    </r>
    <r>
      <rPr>
        <vertAlign val="superscript"/>
        <sz val="10"/>
        <rFont val="Century Gothic"/>
        <family val="2"/>
      </rPr>
      <t>3</t>
    </r>
  </si>
  <si>
    <r>
      <t>ρ</t>
    </r>
    <r>
      <rPr>
        <b/>
        <vertAlign val="subscript"/>
        <sz val="11"/>
        <rFont val="Century Gothic"/>
        <family val="2"/>
      </rPr>
      <t>rd</t>
    </r>
    <r>
      <rPr>
        <b/>
        <sz val="11"/>
        <rFont val="Century Gothic"/>
        <family val="2"/>
      </rPr>
      <t xml:space="preserve"> = </t>
    </r>
  </si>
  <si>
    <r>
      <t>W</t>
    </r>
    <r>
      <rPr>
        <b/>
        <vertAlign val="subscript"/>
        <sz val="10"/>
        <rFont val="Century Gothic"/>
        <family val="2"/>
      </rPr>
      <t>A24</t>
    </r>
    <r>
      <rPr>
        <b/>
        <sz val="10"/>
        <rFont val="Century Gothic"/>
        <family val="2"/>
      </rPr>
      <t xml:space="preserve"> = </t>
    </r>
  </si>
  <si>
    <r>
      <t>de l'eau (t/m</t>
    </r>
    <r>
      <rPr>
        <vertAlign val="superscript"/>
        <sz val="10"/>
        <rFont val="Century Gothic"/>
        <family val="2"/>
      </rPr>
      <t>3</t>
    </r>
    <r>
      <rPr>
        <sz val="10"/>
        <rFont val="Century Gothic"/>
        <family val="2"/>
      </rPr>
      <t>)</t>
    </r>
  </si>
  <si>
    <t>Contrôle :</t>
  </si>
  <si>
    <r>
      <t>ρ</t>
    </r>
    <r>
      <rPr>
        <b/>
        <vertAlign val="subscript"/>
        <sz val="11"/>
        <rFont val="Century Gothic"/>
        <family val="2"/>
      </rPr>
      <t>rd</t>
    </r>
  </si>
  <si>
    <r>
      <t>W</t>
    </r>
    <r>
      <rPr>
        <b/>
        <vertAlign val="subscript"/>
        <sz val="11"/>
        <rFont val="Century Gothic"/>
        <family val="2"/>
      </rPr>
      <t>A24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</si>
</sst>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0.0"/>
    <numFmt numFmtId="165" formatCode="0.0000"/>
    <numFmt numFmtId="166" formatCode="0.000"/>
    <numFmt numFmtId="167" formatCode="#,##0.0;[Red]\-#,##0.0"/>
    <numFmt numFmtId="168" formatCode="00"/>
  </numFmts>
  <fonts count="23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sz val="11"/>
      <name val="Century Gothic"/>
      <family val="2"/>
    </font>
    <font>
      <b/>
      <u/>
      <sz val="10"/>
      <name val="Century Gothic"/>
      <family val="2"/>
    </font>
    <font>
      <sz val="10"/>
      <color indexed="10"/>
      <name val="Century Gothic"/>
      <family val="2"/>
    </font>
    <font>
      <b/>
      <sz val="10"/>
      <color indexed="10"/>
      <name val="Century Gothic"/>
      <family val="2"/>
    </font>
    <font>
      <b/>
      <vertAlign val="subscript"/>
      <sz val="11"/>
      <name val="Century Gothic"/>
      <family val="2"/>
    </font>
    <font>
      <vertAlign val="superscript"/>
      <sz val="10"/>
      <name val="Century Gothic"/>
      <family val="2"/>
    </font>
    <font>
      <b/>
      <vertAlign val="subscript"/>
      <sz val="10"/>
      <name val="Century Gothic"/>
      <family val="2"/>
    </font>
    <font>
      <sz val="9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6">
    <xf numFmtId="0" fontId="0" fillId="0" borderId="0"/>
    <xf numFmtId="40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0" fontId="1" fillId="0" borderId="0" applyBorder="0"/>
    <xf numFmtId="0" fontId="3" fillId="0" borderId="0"/>
  </cellStyleXfs>
  <cellXfs count="473">
    <xf numFmtId="0" fontId="0" fillId="0" borderId="0" xfId="0"/>
    <xf numFmtId="0" fontId="5" fillId="0" borderId="0" xfId="3" applyFont="1" applyFill="1" applyAlignment="1" applyProtection="1">
      <alignment vertical="center"/>
      <protection hidden="1"/>
    </xf>
    <xf numFmtId="0" fontId="5" fillId="0" borderId="0" xfId="3" applyFont="1" applyFill="1" applyBorder="1" applyAlignment="1" applyProtection="1">
      <alignment horizontal="right" vertical="center"/>
      <protection hidden="1"/>
    </xf>
    <xf numFmtId="0" fontId="5" fillId="0" borderId="6" xfId="3" applyFont="1" applyFill="1" applyBorder="1" applyAlignment="1" applyProtection="1">
      <alignment vertical="center"/>
      <protection hidden="1"/>
    </xf>
    <xf numFmtId="0" fontId="5" fillId="0" borderId="7" xfId="3" applyFont="1" applyFill="1" applyBorder="1" applyAlignment="1" applyProtection="1">
      <alignment vertical="center"/>
      <protection hidden="1"/>
    </xf>
    <xf numFmtId="0" fontId="8" fillId="0" borderId="1" xfId="3" applyFont="1" applyFill="1" applyBorder="1" applyAlignment="1" applyProtection="1">
      <alignment horizontal="center" vertical="center"/>
      <protection hidden="1"/>
    </xf>
    <xf numFmtId="0" fontId="11" fillId="0" borderId="2" xfId="3" applyFont="1" applyFill="1" applyBorder="1" applyAlignment="1" applyProtection="1">
      <alignment vertical="center"/>
      <protection hidden="1"/>
    </xf>
    <xf numFmtId="0" fontId="5" fillId="0" borderId="2" xfId="3" applyFont="1" applyFill="1" applyBorder="1" applyAlignment="1" applyProtection="1">
      <alignment vertical="center"/>
      <protection hidden="1"/>
    </xf>
    <xf numFmtId="0" fontId="5" fillId="0" borderId="2" xfId="3" applyFont="1" applyFill="1" applyBorder="1" applyAlignment="1" applyProtection="1">
      <alignment horizontal="center" vertical="center"/>
      <protection hidden="1"/>
    </xf>
    <xf numFmtId="0" fontId="5" fillId="0" borderId="3" xfId="3" applyFont="1" applyFill="1" applyBorder="1" applyAlignment="1" applyProtection="1">
      <alignment vertical="center"/>
      <protection hidden="1"/>
    </xf>
    <xf numFmtId="0" fontId="5" fillId="0" borderId="4" xfId="3" applyFont="1" applyFill="1" applyBorder="1" applyAlignment="1" applyProtection="1">
      <alignment horizontal="center" vertical="center"/>
      <protection hidden="1"/>
    </xf>
    <xf numFmtId="0" fontId="5" fillId="0" borderId="0" xfId="3" applyFont="1" applyFill="1" applyBorder="1" applyAlignment="1" applyProtection="1">
      <alignment vertical="center"/>
      <protection hidden="1"/>
    </xf>
    <xf numFmtId="0" fontId="5" fillId="0" borderId="0" xfId="3" applyFont="1" applyFill="1" applyBorder="1" applyAlignment="1" applyProtection="1">
      <alignment horizontal="center" vertical="center"/>
      <protection hidden="1"/>
    </xf>
    <xf numFmtId="0" fontId="5" fillId="0" borderId="5" xfId="3" applyFont="1" applyFill="1" applyBorder="1" applyAlignment="1" applyProtection="1">
      <alignment vertical="center"/>
      <protection hidden="1"/>
    </xf>
    <xf numFmtId="0" fontId="10" fillId="0" borderId="5" xfId="3" applyFont="1" applyFill="1" applyBorder="1" applyAlignment="1" applyProtection="1">
      <alignment horizontal="left" vertical="center"/>
      <protection hidden="1"/>
    </xf>
    <xf numFmtId="0" fontId="5" fillId="0" borderId="6" xfId="3" applyFont="1" applyFill="1" applyBorder="1" applyAlignment="1" applyProtection="1">
      <alignment horizontal="center" vertical="center"/>
      <protection hidden="1"/>
    </xf>
    <xf numFmtId="0" fontId="5" fillId="0" borderId="7" xfId="3" applyFont="1" applyFill="1" applyBorder="1" applyAlignment="1" applyProtection="1">
      <alignment horizontal="center" vertical="center"/>
      <protection hidden="1"/>
    </xf>
    <xf numFmtId="0" fontId="5" fillId="0" borderId="7" xfId="3" applyFont="1" applyFill="1" applyBorder="1" applyAlignment="1" applyProtection="1">
      <alignment horizontal="left" vertical="center"/>
      <protection hidden="1"/>
    </xf>
    <xf numFmtId="0" fontId="5" fillId="0" borderId="8" xfId="3" applyFont="1" applyFill="1" applyBorder="1" applyAlignment="1" applyProtection="1">
      <alignment vertical="center"/>
      <protection hidden="1"/>
    </xf>
    <xf numFmtId="0" fontId="5" fillId="0" borderId="0" xfId="3" applyFont="1" applyFill="1" applyProtection="1">
      <protection hidden="1"/>
    </xf>
    <xf numFmtId="0" fontId="12" fillId="0" borderId="0" xfId="3" applyFont="1" applyFill="1" applyAlignment="1" applyProtection="1">
      <alignment horizontal="right"/>
      <protection hidden="1"/>
    </xf>
    <xf numFmtId="0" fontId="11" fillId="0" borderId="0" xfId="3" applyFont="1" applyFill="1" applyAlignment="1" applyProtection="1">
      <alignment horizontal="right"/>
      <protection hidden="1"/>
    </xf>
    <xf numFmtId="14" fontId="13" fillId="0" borderId="0" xfId="3" applyNumberFormat="1" applyFont="1" applyFill="1" applyAlignment="1" applyProtection="1">
      <alignment horizontal="center"/>
      <protection hidden="1"/>
    </xf>
    <xf numFmtId="0" fontId="11" fillId="0" borderId="2" xfId="3" applyFont="1" applyFill="1" applyBorder="1" applyAlignment="1" applyProtection="1">
      <protection hidden="1"/>
    </xf>
    <xf numFmtId="0" fontId="5" fillId="0" borderId="2" xfId="3" applyFont="1" applyFill="1" applyBorder="1" applyProtection="1">
      <protection hidden="1"/>
    </xf>
    <xf numFmtId="0" fontId="5" fillId="0" borderId="3" xfId="3" applyFont="1" applyFill="1" applyBorder="1" applyProtection="1">
      <protection hidden="1"/>
    </xf>
    <xf numFmtId="0" fontId="5" fillId="0" borderId="4" xfId="3" applyFont="1" applyFill="1" applyBorder="1" applyProtection="1">
      <protection hidden="1"/>
    </xf>
    <xf numFmtId="0" fontId="8" fillId="0" borderId="0" xfId="3" applyFont="1" applyFill="1" applyBorder="1" applyAlignment="1" applyProtection="1">
      <protection hidden="1"/>
    </xf>
    <xf numFmtId="0" fontId="5" fillId="0" borderId="0" xfId="3" applyFont="1" applyFill="1" applyBorder="1" applyProtection="1">
      <protection hidden="1"/>
    </xf>
    <xf numFmtId="0" fontId="5" fillId="0" borderId="5" xfId="3" applyFont="1" applyFill="1" applyBorder="1" applyProtection="1">
      <protection hidden="1"/>
    </xf>
    <xf numFmtId="0" fontId="10" fillId="0" borderId="5" xfId="3" applyFont="1" applyFill="1" applyBorder="1" applyAlignment="1" applyProtection="1">
      <alignment horizontal="left"/>
      <protection hidden="1"/>
    </xf>
    <xf numFmtId="0" fontId="5" fillId="0" borderId="6" xfId="3" applyFont="1" applyFill="1" applyBorder="1" applyProtection="1">
      <protection hidden="1"/>
    </xf>
    <xf numFmtId="0" fontId="5" fillId="0" borderId="7" xfId="3" applyFont="1" applyFill="1" applyBorder="1" applyProtection="1">
      <protection hidden="1"/>
    </xf>
    <xf numFmtId="0" fontId="5" fillId="0" borderId="8" xfId="3" applyFont="1" applyFill="1" applyBorder="1" applyProtection="1">
      <protection hidden="1"/>
    </xf>
    <xf numFmtId="0" fontId="5" fillId="0" borderId="0" xfId="3" applyFont="1" applyFill="1" applyBorder="1" applyAlignment="1" applyProtection="1">
      <alignment horizontal="left" vertical="center"/>
      <protection hidden="1"/>
    </xf>
    <xf numFmtId="0" fontId="14" fillId="0" borderId="2" xfId="3" applyFont="1" applyFill="1" applyBorder="1" applyAlignment="1" applyProtection="1">
      <alignment vertical="center"/>
      <protection hidden="1"/>
    </xf>
    <xf numFmtId="0" fontId="14" fillId="0" borderId="2" xfId="3" applyFont="1" applyFill="1" applyBorder="1" applyAlignment="1" applyProtection="1">
      <alignment horizontal="center" vertical="center"/>
      <protection hidden="1"/>
    </xf>
    <xf numFmtId="0" fontId="6" fillId="0" borderId="0" xfId="3" applyFont="1" applyFill="1" applyBorder="1" applyAlignment="1" applyProtection="1">
      <alignment horizontal="center" vertical="center"/>
      <protection hidden="1"/>
    </xf>
    <xf numFmtId="0" fontId="6" fillId="0" borderId="0" xfId="3" applyFont="1" applyFill="1" applyBorder="1" applyAlignment="1" applyProtection="1">
      <alignment vertical="center"/>
      <protection hidden="1"/>
    </xf>
    <xf numFmtId="0" fontId="8" fillId="0" borderId="14" xfId="3" applyFont="1" applyFill="1" applyBorder="1" applyAlignment="1" applyProtection="1">
      <alignment horizontal="center" vertical="center"/>
      <protection hidden="1"/>
    </xf>
    <xf numFmtId="0" fontId="11" fillId="0" borderId="15" xfId="3" applyFont="1" applyFill="1" applyBorder="1" applyAlignment="1" applyProtection="1">
      <alignment vertical="center"/>
      <protection hidden="1"/>
    </xf>
    <xf numFmtId="0" fontId="14" fillId="0" borderId="15" xfId="3" applyFont="1" applyFill="1" applyBorder="1" applyAlignment="1" applyProtection="1">
      <alignment vertical="center"/>
      <protection hidden="1"/>
    </xf>
    <xf numFmtId="0" fontId="5" fillId="0" borderId="15" xfId="3" applyFont="1" applyFill="1" applyBorder="1" applyAlignment="1" applyProtection="1">
      <alignment vertical="center"/>
      <protection hidden="1"/>
    </xf>
    <xf numFmtId="0" fontId="8" fillId="0" borderId="4" xfId="3" applyFont="1" applyFill="1" applyBorder="1" applyAlignment="1" applyProtection="1">
      <alignment horizontal="center" vertical="center"/>
      <protection hidden="1"/>
    </xf>
    <xf numFmtId="0" fontId="11" fillId="0" borderId="0" xfId="3" applyFont="1" applyFill="1" applyBorder="1" applyAlignment="1" applyProtection="1">
      <alignment vertical="center"/>
      <protection hidden="1"/>
    </xf>
    <xf numFmtId="0" fontId="10" fillId="0" borderId="0" xfId="3" applyFont="1" applyFill="1" applyBorder="1" applyAlignment="1" applyProtection="1">
      <alignment vertical="center"/>
      <protection hidden="1"/>
    </xf>
    <xf numFmtId="0" fontId="10" fillId="0" borderId="5" xfId="3" applyFont="1" applyFill="1" applyBorder="1" applyAlignment="1" applyProtection="1">
      <alignment vertical="center"/>
      <protection hidden="1"/>
    </xf>
    <xf numFmtId="0" fontId="5" fillId="0" borderId="0" xfId="3" applyFont="1" applyFill="1" applyAlignment="1" applyProtection="1">
      <alignment horizontal="center" vertical="center"/>
      <protection hidden="1"/>
    </xf>
    <xf numFmtId="0" fontId="5" fillId="0" borderId="0" xfId="0" applyFont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14" fontId="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20" fontId="5" fillId="0" borderId="0" xfId="0" applyNumberFormat="1" applyFont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5" fillId="0" borderId="27" xfId="0" applyFont="1" applyBorder="1" applyAlignment="1">
      <alignment vertical="center"/>
    </xf>
    <xf numFmtId="44" fontId="5" fillId="0" borderId="27" xfId="2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0" fontId="5" fillId="0" borderId="27" xfId="0" applyFont="1" applyBorder="1" applyAlignment="1">
      <alignment horizontal="center" vertical="center"/>
    </xf>
    <xf numFmtId="165" fontId="5" fillId="0" borderId="27" xfId="0" applyNumberFormat="1" applyFont="1" applyBorder="1" applyAlignment="1">
      <alignment horizontal="center" vertical="center"/>
    </xf>
    <xf numFmtId="0" fontId="17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20" fontId="17" fillId="0" borderId="0" xfId="0" applyNumberFormat="1" applyFont="1" applyAlignment="1">
      <alignment vertical="center"/>
    </xf>
    <xf numFmtId="0" fontId="6" fillId="0" borderId="0" xfId="0" applyFont="1" applyBorder="1" applyAlignment="1">
      <alignment horizontal="right" vertical="center"/>
    </xf>
    <xf numFmtId="0" fontId="5" fillId="0" borderId="5" xfId="0" applyFont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right" vertical="center"/>
    </xf>
    <xf numFmtId="2" fontId="6" fillId="0" borderId="27" xfId="0" applyNumberFormat="1" applyFont="1" applyBorder="1" applyAlignment="1">
      <alignment horizontal="center" vertical="center"/>
    </xf>
    <xf numFmtId="164" fontId="6" fillId="0" borderId="27" xfId="0" applyNumberFormat="1" applyFont="1" applyBorder="1" applyAlignment="1">
      <alignment vertical="center"/>
    </xf>
    <xf numFmtId="0" fontId="5" fillId="2" borderId="0" xfId="0" applyFont="1" applyFill="1"/>
    <xf numFmtId="0" fontId="5" fillId="0" borderId="0" xfId="0" applyFont="1"/>
    <xf numFmtId="0" fontId="8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vertical="center"/>
    </xf>
    <xf numFmtId="0" fontId="5" fillId="2" borderId="2" xfId="0" applyFont="1" applyFill="1" applyBorder="1" applyAlignment="1">
      <alignment vertical="center"/>
    </xf>
    <xf numFmtId="0" fontId="5" fillId="2" borderId="2" xfId="0" applyFont="1" applyFill="1" applyBorder="1" applyAlignment="1">
      <alignment horizontal="center"/>
    </xf>
    <xf numFmtId="0" fontId="5" fillId="2" borderId="2" xfId="0" applyFont="1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10" fillId="0" borderId="0" xfId="4" applyFont="1" applyFill="1" applyBorder="1" applyAlignment="1">
      <alignment horizontal="left" vertical="center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0" fillId="2" borderId="0" xfId="4" applyFont="1" applyFill="1" applyBorder="1" applyAlignment="1">
      <alignment horizontal="left" vertical="center"/>
    </xf>
    <xf numFmtId="0" fontId="10" fillId="2" borderId="0" xfId="4" applyFont="1" applyFill="1" applyBorder="1" applyAlignment="1" applyProtection="1">
      <alignment horizontal="left" vertical="center"/>
      <protection locked="0"/>
    </xf>
    <xf numFmtId="0" fontId="10" fillId="2" borderId="0" xfId="0" applyFont="1" applyFill="1" applyBorder="1"/>
    <xf numFmtId="0" fontId="5" fillId="2" borderId="5" xfId="0" applyFont="1" applyFill="1" applyBorder="1"/>
    <xf numFmtId="0" fontId="10" fillId="2" borderId="0" xfId="0" applyFont="1" applyFill="1" applyBorder="1" applyAlignment="1" applyProtection="1">
      <alignment horizontal="center"/>
      <protection locked="0"/>
    </xf>
    <xf numFmtId="0" fontId="10" fillId="2" borderId="0" xfId="0" applyFont="1" applyFill="1" applyBorder="1" applyProtection="1">
      <protection locked="0"/>
    </xf>
    <xf numFmtId="0" fontId="10" fillId="2" borderId="0" xfId="0" applyFont="1" applyFill="1" applyBorder="1" applyAlignment="1" applyProtection="1">
      <alignment horizontal="left"/>
      <protection locked="0"/>
    </xf>
    <xf numFmtId="0" fontId="10" fillId="2" borderId="5" xfId="0" applyFont="1" applyFill="1" applyBorder="1" applyProtection="1">
      <protection locked="0"/>
    </xf>
    <xf numFmtId="0" fontId="10" fillId="2" borderId="0" xfId="0" applyFont="1" applyFill="1" applyBorder="1" applyAlignment="1">
      <alignment horizontal="left"/>
    </xf>
    <xf numFmtId="0" fontId="5" fillId="2" borderId="6" xfId="0" applyFont="1" applyFill="1" applyBorder="1"/>
    <xf numFmtId="0" fontId="5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left"/>
    </xf>
    <xf numFmtId="0" fontId="5" fillId="2" borderId="8" xfId="0" applyFont="1" applyFill="1" applyBorder="1"/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4" fontId="13" fillId="0" borderId="0" xfId="0" applyNumberFormat="1" applyFont="1" applyAlignment="1">
      <alignment horizontal="center"/>
    </xf>
    <xf numFmtId="0" fontId="11" fillId="2" borderId="2" xfId="0" applyFont="1" applyFill="1" applyBorder="1" applyAlignment="1"/>
    <xf numFmtId="0" fontId="8" fillId="2" borderId="0" xfId="0" applyFont="1" applyFill="1" applyBorder="1" applyAlignment="1"/>
    <xf numFmtId="0" fontId="6" fillId="0" borderId="0" xfId="0" applyFont="1"/>
    <xf numFmtId="0" fontId="5" fillId="2" borderId="4" xfId="0" applyFont="1" applyFill="1" applyBorder="1" applyAlignment="1"/>
    <xf numFmtId="0" fontId="5" fillId="2" borderId="0" xfId="0" applyFont="1" applyFill="1" applyBorder="1" applyAlignment="1"/>
    <xf numFmtId="0" fontId="5" fillId="2" borderId="5" xfId="0" applyFont="1" applyFill="1" applyBorder="1" applyAlignment="1"/>
    <xf numFmtId="0" fontId="5" fillId="0" borderId="12" xfId="0" applyFont="1" applyBorder="1" applyAlignment="1">
      <alignment vertical="center"/>
    </xf>
    <xf numFmtId="0" fontId="5" fillId="0" borderId="0" xfId="0" applyFont="1" applyBorder="1"/>
    <xf numFmtId="0" fontId="5" fillId="0" borderId="9" xfId="0" applyFont="1" applyBorder="1"/>
    <xf numFmtId="0" fontId="5" fillId="0" borderId="21" xfId="0" applyFont="1" applyFill="1" applyBorder="1" applyAlignment="1"/>
    <xf numFmtId="0" fontId="5" fillId="0" borderId="22" xfId="0" applyFont="1" applyFill="1" applyBorder="1" applyAlignment="1"/>
    <xf numFmtId="0" fontId="5" fillId="0" borderId="23" xfId="0" applyFont="1" applyFill="1" applyBorder="1" applyAlignment="1"/>
    <xf numFmtId="0" fontId="6" fillId="0" borderId="12" xfId="0" applyFont="1" applyBorder="1" applyAlignment="1">
      <alignment vertical="center"/>
    </xf>
    <xf numFmtId="0" fontId="5" fillId="0" borderId="12" xfId="0" applyFont="1" applyFill="1" applyBorder="1" applyAlignment="1"/>
    <xf numFmtId="0" fontId="5" fillId="0" borderId="0" xfId="0" applyFont="1" applyFill="1" applyBorder="1" applyAlignment="1"/>
    <xf numFmtId="0" fontId="5" fillId="0" borderId="9" xfId="0" applyFont="1" applyFill="1" applyBorder="1" applyAlignment="1"/>
    <xf numFmtId="0" fontId="8" fillId="0" borderId="12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6" fillId="0" borderId="0" xfId="0" applyFont="1" applyFill="1" applyBorder="1" applyAlignment="1"/>
    <xf numFmtId="0" fontId="5" fillId="0" borderId="0" xfId="0" applyFont="1" applyFill="1"/>
    <xf numFmtId="0" fontId="6" fillId="0" borderId="0" xfId="0" applyFont="1" applyBorder="1"/>
    <xf numFmtId="0" fontId="8" fillId="0" borderId="0" xfId="0" applyFont="1" applyBorder="1"/>
    <xf numFmtId="0" fontId="6" fillId="0" borderId="9" xfId="0" applyFont="1" applyFill="1" applyBorder="1" applyAlignment="1"/>
    <xf numFmtId="0" fontId="5" fillId="0" borderId="13" xfId="0" applyFont="1" applyBorder="1" applyAlignment="1">
      <alignment vertical="center"/>
    </xf>
    <xf numFmtId="0" fontId="5" fillId="0" borderId="10" xfId="0" applyFont="1" applyBorder="1"/>
    <xf numFmtId="0" fontId="5" fillId="0" borderId="11" xfId="0" applyFont="1" applyBorder="1"/>
    <xf numFmtId="0" fontId="5" fillId="0" borderId="13" xfId="0" applyFont="1" applyFill="1" applyBorder="1" applyAlignment="1"/>
    <xf numFmtId="0" fontId="5" fillId="0" borderId="10" xfId="0" applyFont="1" applyFill="1" applyBorder="1" applyAlignment="1"/>
    <xf numFmtId="0" fontId="5" fillId="0" borderId="11" xfId="0" applyFont="1" applyFill="1" applyBorder="1" applyAlignment="1"/>
    <xf numFmtId="0" fontId="10" fillId="2" borderId="4" xfId="0" applyFont="1" applyFill="1" applyBorder="1" applyAlignment="1">
      <alignment horizontal="center" vertical="center"/>
    </xf>
    <xf numFmtId="0" fontId="5" fillId="2" borderId="20" xfId="0" applyFont="1" applyFill="1" applyBorder="1" applyAlignment="1"/>
    <xf numFmtId="0" fontId="5" fillId="0" borderId="20" xfId="0" applyFont="1" applyBorder="1"/>
    <xf numFmtId="0" fontId="8" fillId="0" borderId="14" xfId="0" applyFont="1" applyFill="1" applyBorder="1" applyAlignment="1" applyProtection="1">
      <alignment horizontal="center" vertical="center"/>
    </xf>
    <xf numFmtId="0" fontId="11" fillId="0" borderId="15" xfId="0" applyFont="1" applyFill="1" applyBorder="1" applyAlignment="1" applyProtection="1">
      <alignment vertical="center"/>
    </xf>
    <xf numFmtId="0" fontId="14" fillId="0" borderId="15" xfId="0" applyFont="1" applyFill="1" applyBorder="1" applyAlignment="1" applyProtection="1">
      <alignment vertical="center"/>
    </xf>
    <xf numFmtId="0" fontId="14" fillId="0" borderId="15" xfId="0" applyFont="1" applyFill="1" applyBorder="1" applyAlignment="1" applyProtection="1">
      <alignment vertical="center"/>
      <protection locked="0"/>
    </xf>
    <xf numFmtId="0" fontId="5" fillId="0" borderId="15" xfId="0" applyFont="1" applyFill="1" applyBorder="1" applyAlignment="1" applyProtection="1">
      <alignment vertical="center"/>
      <protection locked="0"/>
    </xf>
    <xf numFmtId="0" fontId="5" fillId="0" borderId="2" xfId="0" applyFont="1" applyFill="1" applyBorder="1" applyAlignment="1" applyProtection="1">
      <alignment vertical="center"/>
      <protection locked="0"/>
    </xf>
    <xf numFmtId="0" fontId="5" fillId="0" borderId="2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16" xfId="0" applyFont="1" applyFill="1" applyBorder="1" applyAlignment="1" applyProtection="1">
      <alignment vertical="center"/>
    </xf>
    <xf numFmtId="0" fontId="5" fillId="0" borderId="17" xfId="0" applyFont="1" applyFill="1" applyBorder="1" applyAlignment="1" applyProtection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18" xfId="0" applyFont="1" applyFill="1" applyBorder="1" applyAlignment="1" applyProtection="1">
      <alignment vertical="center"/>
    </xf>
    <xf numFmtId="0" fontId="5" fillId="0" borderId="5" xfId="0" applyFont="1" applyFill="1" applyBorder="1" applyAlignment="1" applyProtection="1">
      <alignment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5" fillId="0" borderId="7" xfId="0" applyFont="1" applyFill="1" applyBorder="1" applyAlignment="1" applyProtection="1">
      <alignment vertical="center"/>
    </xf>
    <xf numFmtId="0" fontId="5" fillId="0" borderId="7" xfId="0" applyFont="1" applyFill="1" applyBorder="1" applyAlignment="1" applyProtection="1">
      <alignment vertical="center"/>
      <protection locked="0"/>
    </xf>
    <xf numFmtId="0" fontId="5" fillId="0" borderId="19" xfId="0" applyFont="1" applyFill="1" applyBorder="1" applyAlignment="1" applyProtection="1">
      <alignment vertical="center"/>
    </xf>
    <xf numFmtId="0" fontId="5" fillId="0" borderId="8" xfId="0" applyFont="1" applyFill="1" applyBorder="1" applyAlignment="1" applyProtection="1">
      <alignment vertical="center"/>
    </xf>
    <xf numFmtId="0" fontId="8" fillId="0" borderId="4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vertical="center"/>
      <protection locked="0"/>
    </xf>
    <xf numFmtId="0" fontId="10" fillId="0" borderId="5" xfId="0" applyFont="1" applyFill="1" applyBorder="1" applyAlignment="1" applyProtection="1">
      <alignment vertical="center"/>
      <protection locked="0"/>
    </xf>
    <xf numFmtId="0" fontId="10" fillId="0" borderId="4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10" fillId="0" borderId="6" xfId="0" applyFont="1" applyFill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vertical="center"/>
      <protection locked="0"/>
    </xf>
    <xf numFmtId="0" fontId="10" fillId="0" borderId="8" xfId="0" applyFont="1" applyFill="1" applyBorder="1" applyAlignment="1" applyProtection="1">
      <alignment vertical="center"/>
      <protection locked="0"/>
    </xf>
    <xf numFmtId="0" fontId="5" fillId="0" borderId="25" xfId="4" applyFont="1" applyFill="1" applyBorder="1" applyAlignment="1">
      <alignment vertical="center"/>
    </xf>
    <xf numFmtId="0" fontId="5" fillId="0" borderId="20" xfId="4" applyFont="1" applyFill="1" applyBorder="1" applyAlignment="1">
      <alignment vertical="center"/>
    </xf>
    <xf numFmtId="0" fontId="5" fillId="0" borderId="26" xfId="4" applyFont="1" applyFill="1" applyBorder="1" applyAlignment="1">
      <alignment vertical="center"/>
    </xf>
    <xf numFmtId="0" fontId="5" fillId="0" borderId="0" xfId="4" applyFont="1" applyFill="1" applyAlignment="1">
      <alignment vertical="center"/>
    </xf>
    <xf numFmtId="0" fontId="8" fillId="0" borderId="0" xfId="4" applyFont="1" applyFill="1" applyBorder="1" applyAlignment="1">
      <alignment vertical="center"/>
    </xf>
    <xf numFmtId="0" fontId="6" fillId="0" borderId="0" xfId="4" applyFont="1" applyFill="1" applyBorder="1" applyAlignment="1">
      <alignment vertical="center"/>
    </xf>
    <xf numFmtId="0" fontId="10" fillId="0" borderId="0" xfId="4" applyFont="1" applyFill="1" applyBorder="1" applyAlignment="1">
      <alignment vertical="center"/>
    </xf>
    <xf numFmtId="0" fontId="6" fillId="0" borderId="0" xfId="4" applyFont="1" applyFill="1" applyBorder="1" applyAlignment="1" applyProtection="1">
      <alignment vertical="center"/>
      <protection locked="0"/>
    </xf>
    <xf numFmtId="0" fontId="5" fillId="0" borderId="0" xfId="4" applyFont="1" applyFill="1" applyBorder="1" applyAlignment="1">
      <alignment vertical="center"/>
    </xf>
    <xf numFmtId="0" fontId="5" fillId="0" borderId="1" xfId="4" applyFont="1" applyFill="1" applyBorder="1" applyAlignment="1">
      <alignment horizontal="center" vertical="center"/>
    </xf>
    <xf numFmtId="0" fontId="5" fillId="0" borderId="2" xfId="4" applyFont="1" applyFill="1" applyBorder="1" applyAlignment="1">
      <alignment horizontal="center" vertical="center"/>
    </xf>
    <xf numFmtId="0" fontId="5" fillId="0" borderId="3" xfId="4" applyFont="1" applyFill="1" applyBorder="1" applyAlignment="1">
      <alignment horizontal="center" vertical="center"/>
    </xf>
    <xf numFmtId="0" fontId="5" fillId="0" borderId="0" xfId="4" applyFont="1" applyFill="1" applyAlignment="1">
      <alignment horizontal="center" vertical="center"/>
    </xf>
    <xf numFmtId="0" fontId="10" fillId="0" borderId="4" xfId="4" applyFont="1" applyFill="1" applyBorder="1" applyAlignment="1">
      <alignment horizontal="left" vertical="center"/>
    </xf>
    <xf numFmtId="0" fontId="10" fillId="0" borderId="0" xfId="4" applyFont="1" applyFill="1" applyBorder="1" applyAlignment="1" applyProtection="1">
      <alignment horizontal="left" vertical="center"/>
      <protection locked="0"/>
    </xf>
    <xf numFmtId="0" fontId="10" fillId="0" borderId="5" xfId="4" applyFont="1" applyFill="1" applyBorder="1" applyAlignment="1" applyProtection="1">
      <alignment horizontal="left" vertical="center"/>
      <protection locked="0"/>
    </xf>
    <xf numFmtId="0" fontId="10" fillId="0" borderId="0" xfId="4" applyFont="1" applyFill="1" applyAlignment="1">
      <alignment horizontal="left" vertical="center"/>
    </xf>
    <xf numFmtId="0" fontId="10" fillId="0" borderId="5" xfId="4" applyFont="1" applyFill="1" applyBorder="1" applyAlignment="1">
      <alignment horizontal="left" vertical="center"/>
    </xf>
    <xf numFmtId="0" fontId="10" fillId="0" borderId="4" xfId="5" applyFont="1" applyBorder="1" applyAlignment="1">
      <alignment vertical="center"/>
    </xf>
    <xf numFmtId="0" fontId="10" fillId="0" borderId="0" xfId="5" applyFont="1" applyBorder="1" applyAlignment="1">
      <alignment vertical="center"/>
    </xf>
    <xf numFmtId="167" fontId="10" fillId="0" borderId="0" xfId="1" applyNumberFormat="1" applyFont="1" applyBorder="1" applyAlignment="1">
      <alignment vertical="center"/>
    </xf>
    <xf numFmtId="0" fontId="5" fillId="0" borderId="0" xfId="5" applyFont="1" applyBorder="1" applyAlignment="1">
      <alignment vertical="center"/>
    </xf>
    <xf numFmtId="0" fontId="6" fillId="0" borderId="0" xfId="4" applyFont="1" applyFill="1" applyBorder="1" applyAlignment="1">
      <alignment horizontal="left" vertical="center"/>
    </xf>
    <xf numFmtId="0" fontId="6" fillId="0" borderId="5" xfId="4" applyFont="1" applyFill="1" applyBorder="1" applyAlignment="1">
      <alignment horizontal="left" vertical="center"/>
    </xf>
    <xf numFmtId="16" fontId="10" fillId="0" borderId="0" xfId="5" applyNumberFormat="1" applyFont="1" applyBorder="1" applyAlignment="1">
      <alignment horizontal="centerContinuous" vertical="center"/>
    </xf>
    <xf numFmtId="0" fontId="10" fillId="0" borderId="0" xfId="5" applyFont="1" applyBorder="1" applyAlignment="1">
      <alignment horizontal="centerContinuous" vertical="center"/>
    </xf>
    <xf numFmtId="40" fontId="5" fillId="0" borderId="0" xfId="1" applyFont="1" applyBorder="1" applyAlignment="1">
      <alignment vertical="center"/>
    </xf>
    <xf numFmtId="14" fontId="5" fillId="0" borderId="4" xfId="5" applyNumberFormat="1" applyFont="1" applyBorder="1" applyAlignment="1">
      <alignment vertical="center"/>
    </xf>
    <xf numFmtId="1" fontId="5" fillId="0" borderId="0" xfId="5" applyNumberFormat="1" applyFont="1" applyBorder="1" applyAlignment="1">
      <alignment horizontal="center" vertical="center"/>
    </xf>
    <xf numFmtId="49" fontId="5" fillId="0" borderId="7" xfId="1" applyNumberFormat="1" applyFont="1" applyBorder="1" applyAlignment="1">
      <alignment vertical="center"/>
    </xf>
    <xf numFmtId="49" fontId="5" fillId="0" borderId="7" xfId="1" quotePrefix="1" applyNumberFormat="1" applyFont="1" applyBorder="1" applyAlignment="1">
      <alignment vertical="center"/>
    </xf>
    <xf numFmtId="0" fontId="5" fillId="0" borderId="0" xfId="4" applyFont="1" applyFill="1" applyBorder="1" applyAlignment="1">
      <alignment horizontal="left" vertical="center"/>
    </xf>
    <xf numFmtId="40" fontId="22" fillId="0" borderId="5" xfId="1" applyFont="1" applyBorder="1" applyAlignment="1">
      <alignment vertical="center"/>
    </xf>
    <xf numFmtId="0" fontId="5" fillId="0" borderId="5" xfId="5" applyFont="1" applyBorder="1" applyAlignment="1">
      <alignment vertical="center"/>
    </xf>
    <xf numFmtId="40" fontId="5" fillId="0" borderId="24" xfId="1" applyFont="1" applyBorder="1" applyAlignment="1">
      <alignment vertical="center"/>
    </xf>
    <xf numFmtId="40" fontId="5" fillId="0" borderId="5" xfId="1" applyFont="1" applyBorder="1" applyAlignment="1">
      <alignment vertical="center"/>
    </xf>
    <xf numFmtId="49" fontId="5" fillId="0" borderId="4" xfId="1" applyNumberFormat="1" applyFont="1" applyBorder="1" applyAlignment="1">
      <alignment vertical="center"/>
    </xf>
    <xf numFmtId="49" fontId="5" fillId="0" borderId="0" xfId="1" applyNumberFormat="1" applyFont="1" applyBorder="1" applyAlignment="1">
      <alignment vertical="center"/>
    </xf>
    <xf numFmtId="49" fontId="5" fillId="0" borderId="0" xfId="1" applyNumberFormat="1" applyFont="1" applyBorder="1" applyAlignment="1">
      <alignment vertical="center" wrapText="1" shrinkToFit="1"/>
    </xf>
    <xf numFmtId="164" fontId="10" fillId="0" borderId="0" xfId="4" applyNumberFormat="1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166" fontId="8" fillId="0" borderId="0" xfId="4" applyNumberFormat="1" applyFont="1" applyFill="1" applyBorder="1" applyAlignment="1">
      <alignment vertical="center"/>
    </xf>
    <xf numFmtId="0" fontId="8" fillId="0" borderId="0" xfId="4" applyFont="1" applyFill="1" applyBorder="1" applyAlignment="1" applyProtection="1">
      <alignment horizontal="left" vertical="center"/>
      <protection locked="0"/>
    </xf>
    <xf numFmtId="0" fontId="10" fillId="0" borderId="1" xfId="4" applyFont="1" applyFill="1" applyBorder="1" applyAlignment="1">
      <alignment horizontal="left" vertical="center"/>
    </xf>
    <xf numFmtId="0" fontId="10" fillId="0" borderId="2" xfId="4" applyFont="1" applyFill="1" applyBorder="1" applyAlignment="1">
      <alignment horizontal="left" vertical="center"/>
    </xf>
    <xf numFmtId="0" fontId="10" fillId="0" borderId="3" xfId="4" applyFont="1" applyFill="1" applyBorder="1" applyAlignment="1">
      <alignment horizontal="left" vertical="center"/>
    </xf>
    <xf numFmtId="164" fontId="5" fillId="0" borderId="0" xfId="4" applyNumberFormat="1" applyFont="1" applyFill="1" applyBorder="1" applyAlignment="1">
      <alignment horizontal="left" vertical="center"/>
    </xf>
    <xf numFmtId="164" fontId="5" fillId="0" borderId="0" xfId="4" applyNumberFormat="1" applyFont="1" applyFill="1" applyBorder="1" applyAlignment="1" applyProtection="1">
      <alignment horizontal="left" vertical="center"/>
      <protection locked="0"/>
    </xf>
    <xf numFmtId="0" fontId="5" fillId="0" borderId="0" xfId="4" applyFont="1" applyFill="1" applyBorder="1" applyAlignment="1" applyProtection="1">
      <alignment horizontal="left" vertical="center"/>
      <protection locked="0"/>
    </xf>
    <xf numFmtId="0" fontId="8" fillId="0" borderId="28" xfId="3" applyFont="1" applyFill="1" applyBorder="1" applyAlignment="1" applyProtection="1">
      <alignment horizontal="center" vertical="center"/>
      <protection hidden="1"/>
    </xf>
    <xf numFmtId="0" fontId="8" fillId="0" borderId="16" xfId="3" applyFont="1" applyFill="1" applyBorder="1" applyAlignment="1" applyProtection="1">
      <alignment horizontal="center" vertical="center"/>
      <protection hidden="1"/>
    </xf>
    <xf numFmtId="0" fontId="12" fillId="0" borderId="4" xfId="3" applyFont="1" applyFill="1" applyBorder="1" applyAlignment="1" applyProtection="1">
      <alignment horizontal="center" vertical="center"/>
      <protection hidden="1"/>
    </xf>
    <xf numFmtId="0" fontId="12" fillId="0" borderId="0" xfId="3" applyFont="1" applyFill="1" applyBorder="1" applyAlignment="1" applyProtection="1">
      <alignment horizontal="center" vertical="center"/>
      <protection hidden="1"/>
    </xf>
    <xf numFmtId="0" fontId="12" fillId="0" borderId="5" xfId="3" applyFont="1" applyFill="1" applyBorder="1" applyAlignment="1" applyProtection="1">
      <alignment horizontal="center" vertical="center"/>
      <protection hidden="1"/>
    </xf>
    <xf numFmtId="0" fontId="12" fillId="0" borderId="6" xfId="3" applyFont="1" applyFill="1" applyBorder="1" applyAlignment="1" applyProtection="1">
      <alignment horizontal="center" vertical="center"/>
      <protection hidden="1"/>
    </xf>
    <xf numFmtId="0" fontId="12" fillId="0" borderId="7" xfId="3" applyFont="1" applyFill="1" applyBorder="1" applyAlignment="1" applyProtection="1">
      <alignment horizontal="center" vertical="center"/>
      <protection hidden="1"/>
    </xf>
    <xf numFmtId="0" fontId="12" fillId="0" borderId="8" xfId="3" applyFont="1" applyFill="1" applyBorder="1" applyAlignment="1" applyProtection="1">
      <alignment horizontal="center" vertical="center"/>
      <protection hidden="1"/>
    </xf>
    <xf numFmtId="14" fontId="15" fillId="0" borderId="0" xfId="3" applyNumberFormat="1" applyFont="1" applyFill="1" applyBorder="1" applyAlignment="1" applyProtection="1">
      <alignment horizontal="left" vertical="center"/>
      <protection locked="0"/>
    </xf>
    <xf numFmtId="0" fontId="15" fillId="0" borderId="0" xfId="3" applyFont="1" applyFill="1" applyBorder="1" applyAlignment="1" applyProtection="1">
      <alignment horizontal="left" vertical="center"/>
      <protection hidden="1"/>
    </xf>
    <xf numFmtId="0" fontId="5" fillId="0" borderId="1" xfId="3" applyFont="1" applyFill="1" applyBorder="1" applyAlignment="1" applyProtection="1">
      <alignment horizontal="center" vertical="center" wrapText="1"/>
      <protection hidden="1"/>
    </xf>
    <xf numFmtId="0" fontId="5" fillId="0" borderId="2" xfId="3" applyFont="1" applyFill="1" applyBorder="1" applyAlignment="1" applyProtection="1">
      <alignment horizontal="center" vertical="center" wrapText="1"/>
      <protection hidden="1"/>
    </xf>
    <xf numFmtId="0" fontId="5" fillId="0" borderId="3" xfId="3" applyFont="1" applyFill="1" applyBorder="1" applyAlignment="1" applyProtection="1">
      <alignment horizontal="center" vertical="center" wrapText="1"/>
      <protection hidden="1"/>
    </xf>
    <xf numFmtId="0" fontId="5" fillId="0" borderId="4" xfId="3" applyFont="1" applyFill="1" applyBorder="1" applyAlignment="1" applyProtection="1">
      <alignment horizontal="center" vertical="center" wrapText="1"/>
      <protection hidden="1"/>
    </xf>
    <xf numFmtId="0" fontId="5" fillId="0" borderId="0" xfId="3" applyFont="1" applyFill="1" applyBorder="1" applyAlignment="1" applyProtection="1">
      <alignment horizontal="center" vertical="center" wrapText="1"/>
      <protection hidden="1"/>
    </xf>
    <xf numFmtId="0" fontId="5" fillId="0" borderId="5" xfId="3" applyFont="1" applyFill="1" applyBorder="1" applyAlignment="1" applyProtection="1">
      <alignment horizontal="center" vertical="center" wrapText="1"/>
      <protection hidden="1"/>
    </xf>
    <xf numFmtId="0" fontId="5" fillId="0" borderId="6" xfId="3" applyFont="1" applyFill="1" applyBorder="1" applyAlignment="1" applyProtection="1">
      <alignment horizontal="center" vertical="center" wrapText="1"/>
      <protection hidden="1"/>
    </xf>
    <xf numFmtId="0" fontId="5" fillId="0" borderId="7" xfId="3" applyFont="1" applyFill="1" applyBorder="1" applyAlignment="1" applyProtection="1">
      <alignment horizontal="center" vertical="center" wrapText="1"/>
      <protection hidden="1"/>
    </xf>
    <xf numFmtId="0" fontId="5" fillId="0" borderId="8" xfId="3" applyFont="1" applyFill="1" applyBorder="1" applyAlignment="1" applyProtection="1">
      <alignment horizontal="center" vertical="center" wrapText="1"/>
      <protection hidden="1"/>
    </xf>
    <xf numFmtId="0" fontId="6" fillId="0" borderId="1" xfId="3" applyFont="1" applyFill="1" applyBorder="1" applyAlignment="1" applyProtection="1">
      <alignment horizontal="center" vertical="center"/>
      <protection hidden="1"/>
    </xf>
    <xf numFmtId="0" fontId="6" fillId="0" borderId="2" xfId="3" applyFont="1" applyFill="1" applyBorder="1" applyAlignment="1" applyProtection="1">
      <alignment horizontal="center" vertical="center"/>
      <protection hidden="1"/>
    </xf>
    <xf numFmtId="0" fontId="6" fillId="0" borderId="3" xfId="3" applyFont="1" applyFill="1" applyBorder="1" applyAlignment="1" applyProtection="1">
      <alignment horizontal="center" vertical="center"/>
      <protection hidden="1"/>
    </xf>
    <xf numFmtId="0" fontId="15" fillId="0" borderId="0" xfId="3" applyFont="1" applyAlignment="1" applyProtection="1">
      <alignment horizontal="left" vertical="center"/>
      <protection locked="0"/>
    </xf>
    <xf numFmtId="0" fontId="9" fillId="0" borderId="7" xfId="3" applyFont="1" applyFill="1" applyBorder="1" applyAlignment="1" applyProtection="1">
      <alignment horizontal="center" vertical="center"/>
      <protection hidden="1"/>
    </xf>
    <xf numFmtId="0" fontId="9" fillId="0" borderId="8" xfId="3" applyFont="1" applyFill="1" applyBorder="1" applyAlignment="1" applyProtection="1">
      <alignment horizontal="center" vertical="center"/>
      <protection hidden="1"/>
    </xf>
    <xf numFmtId="0" fontId="7" fillId="0" borderId="1" xfId="3" applyFont="1" applyFill="1" applyBorder="1" applyAlignment="1" applyProtection="1">
      <alignment horizontal="center" vertical="center" wrapText="1"/>
      <protection locked="0"/>
    </xf>
    <xf numFmtId="0" fontId="7" fillId="0" borderId="2" xfId="3" applyFont="1" applyFill="1" applyBorder="1" applyAlignment="1" applyProtection="1">
      <alignment horizontal="center" vertical="center" wrapText="1"/>
      <protection locked="0"/>
    </xf>
    <xf numFmtId="0" fontId="7" fillId="0" borderId="3" xfId="3" applyFont="1" applyFill="1" applyBorder="1" applyAlignment="1" applyProtection="1">
      <alignment horizontal="center" vertical="center" wrapText="1"/>
      <protection locked="0"/>
    </xf>
    <xf numFmtId="0" fontId="7" fillId="0" borderId="4" xfId="3" applyFont="1" applyFill="1" applyBorder="1" applyAlignment="1" applyProtection="1">
      <alignment horizontal="center" vertical="center" wrapText="1"/>
      <protection locked="0"/>
    </xf>
    <xf numFmtId="0" fontId="7" fillId="0" borderId="0" xfId="3" applyFont="1" applyFill="1" applyBorder="1" applyAlignment="1" applyProtection="1">
      <alignment horizontal="center" vertical="center" wrapText="1"/>
      <protection locked="0"/>
    </xf>
    <xf numFmtId="0" fontId="7" fillId="0" borderId="5" xfId="3" applyFont="1" applyFill="1" applyBorder="1" applyAlignment="1" applyProtection="1">
      <alignment horizontal="center" vertical="center" wrapText="1"/>
      <protection locked="0"/>
    </xf>
    <xf numFmtId="0" fontId="7" fillId="0" borderId="6" xfId="3" applyFont="1" applyFill="1" applyBorder="1" applyAlignment="1" applyProtection="1">
      <alignment horizontal="center" vertical="center" wrapText="1"/>
      <protection locked="0"/>
    </xf>
    <xf numFmtId="0" fontId="7" fillId="0" borderId="7" xfId="3" applyFont="1" applyFill="1" applyBorder="1" applyAlignment="1" applyProtection="1">
      <alignment horizontal="center" vertical="center" wrapText="1"/>
      <protection locked="0"/>
    </xf>
    <xf numFmtId="0" fontId="7" fillId="0" borderId="8" xfId="3" applyFont="1" applyFill="1" applyBorder="1" applyAlignment="1" applyProtection="1">
      <alignment horizontal="center" vertical="center" wrapText="1"/>
      <protection locked="0"/>
    </xf>
    <xf numFmtId="0" fontId="7" fillId="0" borderId="4" xfId="3" applyFont="1" applyFill="1" applyBorder="1" applyAlignment="1" applyProtection="1">
      <alignment horizontal="center" vertical="center" wrapText="1"/>
      <protection hidden="1"/>
    </xf>
    <xf numFmtId="0" fontId="7" fillId="0" borderId="0" xfId="3" applyFont="1" applyFill="1" applyBorder="1" applyAlignment="1" applyProtection="1">
      <alignment horizontal="center" vertical="center" wrapText="1"/>
      <protection hidden="1"/>
    </xf>
    <xf numFmtId="0" fontId="7" fillId="0" borderId="5" xfId="3" applyFont="1" applyFill="1" applyBorder="1" applyAlignment="1" applyProtection="1">
      <alignment horizontal="center" vertical="center" wrapText="1"/>
      <protection hidden="1"/>
    </xf>
    <xf numFmtId="0" fontId="8" fillId="0" borderId="4" xfId="3" applyFont="1" applyFill="1" applyBorder="1" applyAlignment="1" applyProtection="1">
      <alignment horizontal="center" vertical="center" wrapText="1"/>
      <protection hidden="1"/>
    </xf>
    <xf numFmtId="0" fontId="8" fillId="0" borderId="0" xfId="3" applyFont="1" applyFill="1" applyBorder="1" applyAlignment="1" applyProtection="1">
      <alignment horizontal="center" vertical="center" wrapText="1"/>
      <protection hidden="1"/>
    </xf>
    <xf numFmtId="0" fontId="8" fillId="0" borderId="20" xfId="3" applyFont="1" applyFill="1" applyBorder="1" applyAlignment="1" applyProtection="1">
      <alignment horizontal="center" vertical="center"/>
      <protection hidden="1"/>
    </xf>
    <xf numFmtId="0" fontId="15" fillId="0" borderId="4" xfId="3" applyFont="1" applyFill="1" applyBorder="1" applyAlignment="1" applyProtection="1">
      <alignment horizontal="center" vertical="center" wrapText="1"/>
      <protection locked="0"/>
    </xf>
    <xf numFmtId="0" fontId="15" fillId="0" borderId="0" xfId="3" applyFont="1" applyFill="1" applyBorder="1" applyAlignment="1" applyProtection="1">
      <alignment horizontal="center" vertical="center" wrapText="1"/>
      <protection locked="0"/>
    </xf>
    <xf numFmtId="0" fontId="5" fillId="0" borderId="0" xfId="3" applyFont="1" applyAlignment="1" applyProtection="1">
      <alignment horizontal="center" vertical="center" wrapText="1"/>
      <protection locked="0"/>
    </xf>
    <xf numFmtId="0" fontId="5" fillId="0" borderId="5" xfId="3" applyFont="1" applyBorder="1" applyAlignment="1" applyProtection="1">
      <alignment horizontal="center" vertical="center" wrapText="1"/>
      <protection locked="0"/>
    </xf>
    <xf numFmtId="0" fontId="15" fillId="0" borderId="6" xfId="3" applyFont="1" applyFill="1" applyBorder="1" applyAlignment="1" applyProtection="1">
      <alignment horizontal="center" vertical="center" wrapText="1"/>
      <protection locked="0"/>
    </xf>
    <xf numFmtId="0" fontId="15" fillId="0" borderId="7" xfId="3" applyFont="1" applyFill="1" applyBorder="1" applyAlignment="1" applyProtection="1">
      <alignment horizontal="center" vertical="center" wrapText="1"/>
      <protection locked="0"/>
    </xf>
    <xf numFmtId="0" fontId="5" fillId="0" borderId="7" xfId="3" applyFont="1" applyBorder="1" applyAlignment="1" applyProtection="1">
      <alignment horizontal="center" vertical="center" wrapText="1"/>
      <protection locked="0"/>
    </xf>
    <xf numFmtId="0" fontId="5" fillId="0" borderId="8" xfId="3" applyFont="1" applyBorder="1" applyAlignment="1" applyProtection="1">
      <alignment horizontal="center" vertical="center" wrapText="1"/>
      <protection locked="0"/>
    </xf>
    <xf numFmtId="0" fontId="5" fillId="0" borderId="0" xfId="3" applyFont="1" applyFill="1" applyBorder="1" applyAlignment="1" applyProtection="1">
      <alignment horizontal="center" vertical="center" wrapText="1"/>
      <protection locked="0"/>
    </xf>
    <xf numFmtId="0" fontId="12" fillId="0" borderId="20" xfId="3" applyFont="1" applyFill="1" applyBorder="1" applyAlignment="1" applyProtection="1">
      <alignment horizontal="center" vertical="center" wrapText="1"/>
      <protection hidden="1"/>
    </xf>
    <xf numFmtId="0" fontId="5" fillId="0" borderId="20" xfId="3" applyFont="1" applyBorder="1" applyAlignment="1" applyProtection="1">
      <alignment horizontal="center" vertical="center" wrapText="1"/>
      <protection hidden="1"/>
    </xf>
    <xf numFmtId="0" fontId="5" fillId="0" borderId="26" xfId="3" applyFont="1" applyBorder="1" applyAlignment="1" applyProtection="1">
      <alignment horizontal="center" vertical="center" wrapText="1"/>
      <protection hidden="1"/>
    </xf>
    <xf numFmtId="0" fontId="15" fillId="0" borderId="25" xfId="3" applyFont="1" applyFill="1" applyBorder="1" applyAlignment="1" applyProtection="1">
      <alignment horizontal="center" vertical="center" wrapText="1"/>
      <protection locked="0"/>
    </xf>
    <xf numFmtId="0" fontId="15" fillId="0" borderId="20" xfId="3" applyFont="1" applyFill="1" applyBorder="1" applyAlignment="1" applyProtection="1">
      <alignment horizontal="center" vertical="center" wrapText="1"/>
      <protection locked="0"/>
    </xf>
    <xf numFmtId="0" fontId="5" fillId="0" borderId="20" xfId="3" applyFont="1" applyBorder="1" applyAlignment="1" applyProtection="1">
      <alignment horizontal="center" vertical="center" wrapText="1"/>
      <protection locked="0"/>
    </xf>
    <xf numFmtId="0" fontId="5" fillId="0" borderId="26" xfId="3" applyFont="1" applyBorder="1" applyAlignment="1" applyProtection="1">
      <alignment horizontal="center" vertical="center" wrapText="1"/>
      <protection locked="0"/>
    </xf>
    <xf numFmtId="0" fontId="10" fillId="0" borderId="20" xfId="3" applyFont="1" applyFill="1" applyBorder="1" applyAlignment="1" applyProtection="1">
      <alignment horizontal="center" vertical="center"/>
      <protection hidden="1"/>
    </xf>
    <xf numFmtId="14" fontId="15" fillId="0" borderId="0" xfId="3" applyNumberFormat="1" applyFont="1" applyAlignment="1" applyProtection="1">
      <alignment horizontal="left" vertical="center"/>
      <protection locked="0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8" fillId="0" borderId="18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12" fillId="0" borderId="4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>
      <alignment horizontal="center"/>
    </xf>
    <xf numFmtId="0" fontId="12" fillId="0" borderId="20" xfId="0" applyFont="1" applyFill="1" applyBorder="1" applyAlignment="1">
      <alignment horizontal="center" vertical="center" wrapText="1"/>
    </xf>
    <xf numFmtId="0" fontId="12" fillId="0" borderId="26" xfId="0" applyFont="1" applyFill="1" applyBorder="1" applyAlignment="1">
      <alignment horizontal="center" vertical="center" wrapText="1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8" fillId="0" borderId="28" xfId="0" applyFont="1" applyFill="1" applyBorder="1" applyAlignment="1" applyProtection="1">
      <alignment horizontal="center" vertical="center"/>
    </xf>
    <xf numFmtId="0" fontId="8" fillId="0" borderId="16" xfId="0" applyFont="1" applyFill="1" applyBorder="1" applyAlignment="1" applyProtection="1">
      <alignment horizontal="center" vertical="center"/>
    </xf>
    <xf numFmtId="0" fontId="8" fillId="0" borderId="29" xfId="0" applyFont="1" applyFill="1" applyBorder="1" applyAlignment="1" applyProtection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/>
    </xf>
    <xf numFmtId="0" fontId="15" fillId="0" borderId="25" xfId="0" applyFont="1" applyFill="1" applyBorder="1" applyAlignment="1" applyProtection="1">
      <alignment horizontal="center" vertical="center" wrapText="1"/>
      <protection locked="0"/>
    </xf>
    <xf numFmtId="0" fontId="15" fillId="0" borderId="20" xfId="0" applyFont="1" applyFill="1" applyBorder="1" applyAlignment="1" applyProtection="1">
      <alignment horizontal="center" vertical="center" wrapText="1"/>
      <protection locked="0"/>
    </xf>
    <xf numFmtId="0" fontId="15" fillId="0" borderId="26" xfId="0" applyFont="1" applyFill="1" applyBorder="1" applyAlignment="1" applyProtection="1">
      <alignment horizontal="center" vertical="center" wrapText="1"/>
      <protection locked="0"/>
    </xf>
    <xf numFmtId="14" fontId="10" fillId="2" borderId="0" xfId="0" applyNumberFormat="1" applyFont="1" applyFill="1" applyBorder="1" applyAlignment="1" applyProtection="1">
      <alignment horizontal="center"/>
      <protection locked="0"/>
    </xf>
    <xf numFmtId="0" fontId="12" fillId="0" borderId="6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0" borderId="2" xfId="0" applyFont="1" applyFill="1" applyBorder="1" applyAlignment="1" applyProtection="1">
      <alignment horizontal="center" vertical="center" wrapText="1"/>
      <protection locked="0"/>
    </xf>
    <xf numFmtId="0" fontId="15" fillId="0" borderId="3" xfId="0" applyFont="1" applyFill="1" applyBorder="1" applyAlignment="1" applyProtection="1">
      <alignment horizontal="center" vertical="center" wrapText="1"/>
      <protection locked="0"/>
    </xf>
    <xf numFmtId="0" fontId="15" fillId="0" borderId="4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Alignment="1" applyProtection="1">
      <alignment horizontal="center" vertical="center" wrapText="1"/>
      <protection locked="0"/>
    </xf>
    <xf numFmtId="0" fontId="15" fillId="0" borderId="5" xfId="0" applyFont="1" applyFill="1" applyBorder="1" applyAlignment="1" applyProtection="1">
      <alignment horizontal="center" vertical="center" wrapText="1"/>
      <protection locked="0"/>
    </xf>
    <xf numFmtId="0" fontId="15" fillId="0" borderId="6" xfId="0" applyFont="1" applyFill="1" applyBorder="1" applyAlignment="1" applyProtection="1">
      <alignment horizontal="center" vertical="center" wrapText="1"/>
      <protection locked="0"/>
    </xf>
    <xf numFmtId="0" fontId="15" fillId="0" borderId="7" xfId="0" applyFont="1" applyFill="1" applyBorder="1" applyAlignment="1" applyProtection="1">
      <alignment horizontal="center" vertical="center" wrapText="1"/>
      <protection locked="0"/>
    </xf>
    <xf numFmtId="0" fontId="15" fillId="0" borderId="8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49" fontId="10" fillId="0" borderId="1" xfId="1" applyNumberFormat="1" applyFont="1" applyBorder="1" applyAlignment="1">
      <alignment horizontal="center" vertical="center"/>
    </xf>
    <xf numFmtId="49" fontId="10" fillId="0" borderId="2" xfId="1" applyNumberFormat="1" applyFont="1" applyBorder="1" applyAlignment="1">
      <alignment horizontal="center" vertical="center"/>
    </xf>
    <xf numFmtId="49" fontId="10" fillId="0" borderId="3" xfId="1" applyNumberFormat="1" applyFont="1" applyBorder="1" applyAlignment="1">
      <alignment horizontal="center" vertical="center"/>
    </xf>
    <xf numFmtId="49" fontId="10" fillId="0" borderId="6" xfId="1" applyNumberFormat="1" applyFont="1" applyBorder="1" applyAlignment="1">
      <alignment horizontal="center" vertical="center"/>
    </xf>
    <xf numFmtId="49" fontId="10" fillId="0" borderId="7" xfId="1" applyNumberFormat="1" applyFont="1" applyBorder="1" applyAlignment="1">
      <alignment horizontal="center" vertical="center"/>
    </xf>
    <xf numFmtId="49" fontId="10" fillId="0" borderId="8" xfId="1" applyNumberFormat="1" applyFont="1" applyBorder="1" applyAlignment="1">
      <alignment horizontal="center" vertical="center"/>
    </xf>
    <xf numFmtId="166" fontId="10" fillId="0" borderId="25" xfId="4" applyNumberFormat="1" applyFont="1" applyFill="1" applyBorder="1" applyAlignment="1">
      <alignment horizontal="center" vertical="center"/>
    </xf>
    <xf numFmtId="166" fontId="10" fillId="0" borderId="20" xfId="4" applyNumberFormat="1" applyFont="1" applyFill="1" applyBorder="1" applyAlignment="1">
      <alignment horizontal="center" vertical="center"/>
    </xf>
    <xf numFmtId="166" fontId="10" fillId="0" borderId="26" xfId="4" applyNumberFormat="1" applyFont="1" applyFill="1" applyBorder="1" applyAlignment="1">
      <alignment horizontal="center" vertical="center"/>
    </xf>
    <xf numFmtId="0" fontId="10" fillId="0" borderId="1" xfId="4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/>
    </xf>
    <xf numFmtId="0" fontId="10" fillId="0" borderId="3" xfId="4" applyFont="1" applyFill="1" applyBorder="1" applyAlignment="1">
      <alignment horizontal="center" vertical="center"/>
    </xf>
    <xf numFmtId="165" fontId="10" fillId="0" borderId="25" xfId="4" applyNumberFormat="1" applyFont="1" applyFill="1" applyBorder="1" applyAlignment="1">
      <alignment horizontal="center" vertical="center"/>
    </xf>
    <xf numFmtId="165" fontId="10" fillId="0" borderId="20" xfId="4" applyNumberFormat="1" applyFont="1" applyFill="1" applyBorder="1" applyAlignment="1">
      <alignment horizontal="center" vertical="center"/>
    </xf>
    <xf numFmtId="165" fontId="10" fillId="0" borderId="26" xfId="4" applyNumberFormat="1" applyFont="1" applyFill="1" applyBorder="1" applyAlignment="1">
      <alignment horizontal="center" vertical="center"/>
    </xf>
    <xf numFmtId="40" fontId="10" fillId="0" borderId="25" xfId="1" applyFont="1" applyBorder="1" applyAlignment="1">
      <alignment horizontal="center" vertical="center"/>
    </xf>
    <xf numFmtId="40" fontId="10" fillId="0" borderId="20" xfId="1" applyFont="1" applyBorder="1" applyAlignment="1">
      <alignment horizontal="center" vertical="center"/>
    </xf>
    <xf numFmtId="40" fontId="10" fillId="0" borderId="26" xfId="1" applyFont="1" applyBorder="1" applyAlignment="1">
      <alignment horizontal="center" vertical="center"/>
    </xf>
    <xf numFmtId="40" fontId="10" fillId="0" borderId="33" xfId="1" applyFont="1" applyBorder="1" applyAlignment="1">
      <alignment horizontal="center" vertical="center"/>
    </xf>
    <xf numFmtId="40" fontId="10" fillId="0" borderId="34" xfId="1" applyFont="1" applyBorder="1" applyAlignment="1">
      <alignment horizontal="center" vertical="center"/>
    </xf>
    <xf numFmtId="40" fontId="10" fillId="0" borderId="35" xfId="1" applyFont="1" applyBorder="1" applyAlignment="1">
      <alignment horizontal="center" vertical="center"/>
    </xf>
    <xf numFmtId="164" fontId="10" fillId="0" borderId="1" xfId="4" applyNumberFormat="1" applyFont="1" applyFill="1" applyBorder="1" applyAlignment="1">
      <alignment horizontal="center" vertical="center"/>
    </xf>
    <xf numFmtId="164" fontId="10" fillId="0" borderId="2" xfId="4" applyNumberFormat="1" applyFont="1" applyFill="1" applyBorder="1" applyAlignment="1">
      <alignment horizontal="center" vertical="center"/>
    </xf>
    <xf numFmtId="164" fontId="10" fillId="0" borderId="3" xfId="4" applyNumberFormat="1" applyFont="1" applyFill="1" applyBorder="1" applyAlignment="1">
      <alignment horizontal="center" vertical="center"/>
    </xf>
    <xf numFmtId="166" fontId="8" fillId="0" borderId="1" xfId="4" applyNumberFormat="1" applyFont="1" applyFill="1" applyBorder="1" applyAlignment="1">
      <alignment horizontal="center" vertical="center"/>
    </xf>
    <xf numFmtId="166" fontId="8" fillId="0" borderId="2" xfId="4" applyNumberFormat="1" applyFont="1" applyFill="1" applyBorder="1" applyAlignment="1">
      <alignment horizontal="center" vertical="center"/>
    </xf>
    <xf numFmtId="166" fontId="8" fillId="0" borderId="3" xfId="4" applyNumberFormat="1" applyFont="1" applyFill="1" applyBorder="1" applyAlignment="1">
      <alignment horizontal="center" vertical="center"/>
    </xf>
    <xf numFmtId="166" fontId="8" fillId="0" borderId="6" xfId="4" applyNumberFormat="1" applyFont="1" applyFill="1" applyBorder="1" applyAlignment="1">
      <alignment horizontal="center" vertical="center"/>
    </xf>
    <xf numFmtId="166" fontId="8" fillId="0" borderId="7" xfId="4" applyNumberFormat="1" applyFont="1" applyFill="1" applyBorder="1" applyAlignment="1">
      <alignment horizontal="center" vertical="center"/>
    </xf>
    <xf numFmtId="166" fontId="8" fillId="0" borderId="8" xfId="4" applyNumberFormat="1" applyFont="1" applyFill="1" applyBorder="1" applyAlignment="1">
      <alignment horizontal="center" vertical="center"/>
    </xf>
    <xf numFmtId="0" fontId="5" fillId="0" borderId="6" xfId="4" applyFont="1" applyFill="1" applyBorder="1" applyAlignment="1">
      <alignment horizontal="center" vertical="center"/>
    </xf>
    <xf numFmtId="0" fontId="5" fillId="0" borderId="7" xfId="4" applyFont="1" applyFill="1" applyBorder="1" applyAlignment="1">
      <alignment horizontal="center" vertical="center"/>
    </xf>
    <xf numFmtId="0" fontId="5" fillId="0" borderId="8" xfId="4" applyFont="1" applyFill="1" applyBorder="1" applyAlignment="1">
      <alignment horizontal="center" vertical="center"/>
    </xf>
    <xf numFmtId="0" fontId="5" fillId="0" borderId="1" xfId="4" applyFont="1" applyFill="1" applyBorder="1" applyAlignment="1">
      <alignment horizontal="center" vertical="center" wrapText="1"/>
    </xf>
    <xf numFmtId="0" fontId="5" fillId="0" borderId="2" xfId="4" applyFont="1" applyFill="1" applyBorder="1" applyAlignment="1">
      <alignment horizontal="center" vertical="center" wrapText="1"/>
    </xf>
    <xf numFmtId="0" fontId="5" fillId="0" borderId="3" xfId="4" applyFont="1" applyFill="1" applyBorder="1" applyAlignment="1">
      <alignment horizontal="center" vertical="center" wrapText="1"/>
    </xf>
    <xf numFmtId="49" fontId="5" fillId="0" borderId="0" xfId="1" applyNumberFormat="1" applyFont="1" applyBorder="1" applyAlignment="1">
      <alignment horizontal="center" vertical="center"/>
    </xf>
    <xf numFmtId="49" fontId="5" fillId="0" borderId="0" xfId="1" quotePrefix="1" applyNumberFormat="1" applyFont="1" applyBorder="1" applyAlignment="1">
      <alignment horizontal="center" vertical="center"/>
    </xf>
    <xf numFmtId="40" fontId="22" fillId="0" borderId="1" xfId="1" applyFont="1" applyBorder="1" applyAlignment="1">
      <alignment horizontal="center" vertical="center"/>
    </xf>
    <xf numFmtId="40" fontId="22" fillId="0" borderId="2" xfId="1" applyFont="1" applyBorder="1" applyAlignment="1">
      <alignment horizontal="center" vertical="center"/>
    </xf>
    <xf numFmtId="40" fontId="22" fillId="0" borderId="3" xfId="1" applyFont="1" applyBorder="1" applyAlignment="1">
      <alignment horizontal="center" vertical="center"/>
    </xf>
    <xf numFmtId="0" fontId="5" fillId="0" borderId="6" xfId="5" applyFont="1" applyBorder="1" applyAlignment="1">
      <alignment horizontal="center" vertical="center"/>
    </xf>
    <xf numFmtId="0" fontId="5" fillId="0" borderId="7" xfId="5" applyFont="1" applyBorder="1" applyAlignment="1">
      <alignment horizontal="center" vertical="center"/>
    </xf>
    <xf numFmtId="0" fontId="5" fillId="0" borderId="8" xfId="5" applyFont="1" applyBorder="1" applyAlignment="1">
      <alignment horizontal="center" vertical="center"/>
    </xf>
    <xf numFmtId="0" fontId="6" fillId="0" borderId="1" xfId="4" applyFont="1" applyFill="1" applyBorder="1" applyAlignment="1">
      <alignment horizontal="center" vertical="center"/>
    </xf>
    <xf numFmtId="0" fontId="6" fillId="0" borderId="2" xfId="4" applyFont="1" applyFill="1" applyBorder="1" applyAlignment="1">
      <alignment horizontal="center" vertical="center"/>
    </xf>
    <xf numFmtId="0" fontId="6" fillId="0" borderId="3" xfId="4" applyFont="1" applyFill="1" applyBorder="1" applyAlignment="1">
      <alignment horizontal="center" vertical="center"/>
    </xf>
    <xf numFmtId="0" fontId="6" fillId="0" borderId="6" xfId="4" applyFont="1" applyFill="1" applyBorder="1" applyAlignment="1">
      <alignment horizontal="center" vertical="center"/>
    </xf>
    <xf numFmtId="0" fontId="6" fillId="0" borderId="7" xfId="4" applyFont="1" applyFill="1" applyBorder="1" applyAlignment="1">
      <alignment horizontal="center" vertical="center"/>
    </xf>
    <xf numFmtId="0" fontId="6" fillId="0" borderId="8" xfId="4" applyFont="1" applyFill="1" applyBorder="1" applyAlignment="1">
      <alignment horizontal="center" vertical="center"/>
    </xf>
    <xf numFmtId="49" fontId="5" fillId="0" borderId="5" xfId="1" quotePrefix="1" applyNumberFormat="1" applyFont="1" applyBorder="1" applyAlignment="1">
      <alignment horizontal="center" vertical="center"/>
    </xf>
    <xf numFmtId="0" fontId="5" fillId="0" borderId="1" xfId="4" applyFont="1" applyFill="1" applyBorder="1" applyAlignment="1">
      <alignment horizontal="center" vertical="center"/>
    </xf>
    <xf numFmtId="0" fontId="5" fillId="0" borderId="2" xfId="4" applyFont="1" applyFill="1" applyBorder="1" applyAlignment="1">
      <alignment horizontal="center" vertical="center"/>
    </xf>
    <xf numFmtId="0" fontId="5" fillId="0" borderId="3" xfId="4" applyFont="1" applyFill="1" applyBorder="1" applyAlignment="1">
      <alignment horizontal="center" vertical="center"/>
    </xf>
    <xf numFmtId="164" fontId="10" fillId="0" borderId="25" xfId="4" applyNumberFormat="1" applyFont="1" applyFill="1" applyBorder="1" applyAlignment="1">
      <alignment horizontal="center" vertical="center"/>
    </xf>
    <xf numFmtId="164" fontId="10" fillId="0" borderId="20" xfId="4" applyNumberFormat="1" applyFont="1" applyFill="1" applyBorder="1" applyAlignment="1">
      <alignment horizontal="center" vertical="center"/>
    </xf>
    <xf numFmtId="164" fontId="10" fillId="0" borderId="26" xfId="4" applyNumberFormat="1" applyFont="1" applyFill="1" applyBorder="1" applyAlignment="1">
      <alignment horizontal="center" vertical="center"/>
    </xf>
    <xf numFmtId="167" fontId="10" fillId="0" borderId="25" xfId="1" applyNumberFormat="1" applyFont="1" applyBorder="1" applyAlignment="1">
      <alignment horizontal="center" vertical="center"/>
    </xf>
    <xf numFmtId="167" fontId="10" fillId="0" borderId="20" xfId="1" applyNumberFormat="1" applyFont="1" applyBorder="1" applyAlignment="1">
      <alignment horizontal="center" vertical="center"/>
    </xf>
    <xf numFmtId="167" fontId="10" fillId="0" borderId="26" xfId="1" applyNumberFormat="1" applyFont="1" applyBorder="1" applyAlignment="1">
      <alignment horizontal="center" vertical="center"/>
    </xf>
    <xf numFmtId="40" fontId="10" fillId="0" borderId="1" xfId="1" applyFont="1" applyBorder="1" applyAlignment="1">
      <alignment horizontal="center" vertical="center"/>
    </xf>
    <xf numFmtId="40" fontId="10" fillId="0" borderId="2" xfId="1" applyFont="1" applyBorder="1" applyAlignment="1">
      <alignment horizontal="center" vertical="center"/>
    </xf>
    <xf numFmtId="40" fontId="10" fillId="0" borderId="3" xfId="1" applyFont="1" applyBorder="1" applyAlignment="1">
      <alignment horizontal="center" vertical="center"/>
    </xf>
    <xf numFmtId="40" fontId="10" fillId="0" borderId="6" xfId="1" applyFont="1" applyBorder="1" applyAlignment="1">
      <alignment horizontal="center" vertical="center"/>
    </xf>
    <xf numFmtId="40" fontId="10" fillId="0" borderId="7" xfId="1" applyFont="1" applyBorder="1" applyAlignment="1">
      <alignment horizontal="center" vertical="center"/>
    </xf>
    <xf numFmtId="40" fontId="10" fillId="0" borderId="8" xfId="1" applyFont="1" applyBorder="1" applyAlignment="1">
      <alignment horizontal="center" vertical="center"/>
    </xf>
    <xf numFmtId="0" fontId="10" fillId="0" borderId="25" xfId="5" applyFont="1" applyBorder="1" applyAlignment="1">
      <alignment horizontal="center" vertical="center"/>
    </xf>
    <xf numFmtId="0" fontId="10" fillId="0" borderId="20" xfId="5" applyFont="1" applyBorder="1" applyAlignment="1">
      <alignment horizontal="center" vertical="center"/>
    </xf>
    <xf numFmtId="0" fontId="10" fillId="0" borderId="26" xfId="5" applyFont="1" applyBorder="1" applyAlignment="1">
      <alignment horizontal="center" vertical="center"/>
    </xf>
    <xf numFmtId="164" fontId="10" fillId="0" borderId="33" xfId="1" applyNumberFormat="1" applyFont="1" applyBorder="1" applyAlignment="1">
      <alignment horizontal="center" vertical="center"/>
    </xf>
    <xf numFmtId="164" fontId="10" fillId="0" borderId="34" xfId="1" applyNumberFormat="1" applyFont="1" applyBorder="1" applyAlignment="1">
      <alignment horizontal="center" vertical="center"/>
    </xf>
    <xf numFmtId="164" fontId="10" fillId="0" borderId="35" xfId="1" applyNumberFormat="1" applyFont="1" applyBorder="1" applyAlignment="1">
      <alignment horizontal="center" vertical="center"/>
    </xf>
    <xf numFmtId="167" fontId="10" fillId="0" borderId="0" xfId="1" applyNumberFormat="1" applyFont="1" applyBorder="1" applyAlignment="1">
      <alignment horizontal="center" vertical="center"/>
    </xf>
    <xf numFmtId="0" fontId="10" fillId="0" borderId="4" xfId="4" applyFont="1" applyFill="1" applyBorder="1" applyAlignment="1">
      <alignment horizontal="center" vertical="center"/>
    </xf>
    <xf numFmtId="0" fontId="10" fillId="0" borderId="0" xfId="4" applyFont="1" applyFill="1" applyBorder="1" applyAlignment="1">
      <alignment horizontal="center" vertical="center"/>
    </xf>
    <xf numFmtId="0" fontId="10" fillId="0" borderId="5" xfId="4" applyFont="1" applyFill="1" applyBorder="1" applyAlignment="1">
      <alignment horizontal="center" vertical="center"/>
    </xf>
    <xf numFmtId="0" fontId="10" fillId="0" borderId="6" xfId="4" applyFont="1" applyFill="1" applyBorder="1" applyAlignment="1">
      <alignment horizontal="center" vertical="center"/>
    </xf>
    <xf numFmtId="0" fontId="10" fillId="0" borderId="7" xfId="4" applyFont="1" applyFill="1" applyBorder="1" applyAlignment="1">
      <alignment horizontal="center" vertical="center"/>
    </xf>
    <xf numFmtId="0" fontId="10" fillId="0" borderId="8" xfId="4" applyFont="1" applyFill="1" applyBorder="1" applyAlignment="1">
      <alignment horizontal="center" vertical="center"/>
    </xf>
    <xf numFmtId="0" fontId="10" fillId="0" borderId="25" xfId="4" applyFont="1" applyFill="1" applyBorder="1" applyAlignment="1">
      <alignment horizontal="center" vertical="center"/>
    </xf>
    <xf numFmtId="0" fontId="10" fillId="0" borderId="20" xfId="4" applyFont="1" applyFill="1" applyBorder="1" applyAlignment="1">
      <alignment horizontal="center" vertical="center"/>
    </xf>
    <xf numFmtId="0" fontId="10" fillId="0" borderId="26" xfId="4" applyFont="1" applyFill="1" applyBorder="1" applyAlignment="1">
      <alignment horizontal="center" vertical="center"/>
    </xf>
    <xf numFmtId="168" fontId="13" fillId="0" borderId="0" xfId="3" applyNumberFormat="1" applyFont="1" applyFill="1" applyBorder="1" applyAlignment="1" applyProtection="1">
      <alignment horizontal="center" vertical="center"/>
      <protection locked="0"/>
    </xf>
    <xf numFmtId="168" fontId="13" fillId="0" borderId="5" xfId="3" applyNumberFormat="1" applyFont="1" applyFill="1" applyBorder="1" applyAlignment="1" applyProtection="1">
      <alignment horizontal="center" vertical="center"/>
      <protection locked="0"/>
    </xf>
    <xf numFmtId="0" fontId="13" fillId="0" borderId="4" xfId="3" applyFont="1" applyFill="1" applyBorder="1" applyAlignment="1" applyProtection="1">
      <alignment horizontal="center" vertical="center"/>
      <protection locked="0"/>
    </xf>
    <xf numFmtId="0" fontId="13" fillId="0" borderId="0" xfId="3" applyFont="1" applyFill="1" applyBorder="1" applyAlignment="1" applyProtection="1">
      <alignment horizontal="center" vertical="center"/>
      <protection locked="0"/>
    </xf>
    <xf numFmtId="0" fontId="13" fillId="0" borderId="5" xfId="3" applyFont="1" applyFill="1" applyBorder="1" applyAlignment="1" applyProtection="1">
      <alignment horizontal="center" vertical="center"/>
      <protection locked="0"/>
    </xf>
    <xf numFmtId="14" fontId="13" fillId="0" borderId="4" xfId="3" applyNumberFormat="1" applyFont="1" applyFill="1" applyBorder="1" applyAlignment="1" applyProtection="1">
      <alignment horizontal="center" vertical="center"/>
      <protection locked="0"/>
    </xf>
    <xf numFmtId="14" fontId="13" fillId="0" borderId="0" xfId="3" applyNumberFormat="1" applyFont="1" applyFill="1" applyBorder="1" applyAlignment="1" applyProtection="1">
      <alignment horizontal="center" vertical="center"/>
      <protection locked="0"/>
    </xf>
    <xf numFmtId="14" fontId="13" fillId="0" borderId="5" xfId="3" applyNumberFormat="1" applyFont="1" applyFill="1" applyBorder="1" applyAlignment="1" applyProtection="1">
      <alignment horizontal="center" vertical="center"/>
      <protection locked="0"/>
    </xf>
    <xf numFmtId="0" fontId="15" fillId="0" borderId="0" xfId="3" applyFont="1" applyFill="1" applyBorder="1" applyAlignment="1" applyProtection="1">
      <alignment horizontal="left"/>
      <protection hidden="1"/>
    </xf>
    <xf numFmtId="0" fontId="15" fillId="0" borderId="0" xfId="3" applyFont="1" applyFill="1" applyBorder="1" applyAlignment="1" applyProtection="1">
      <alignment horizontal="left"/>
      <protection locked="0"/>
    </xf>
    <xf numFmtId="0" fontId="15" fillId="0" borderId="4" xfId="3" applyFont="1" applyFill="1" applyBorder="1" applyAlignment="1" applyProtection="1">
      <alignment horizontal="left" vertical="center" wrapText="1"/>
      <protection locked="0"/>
    </xf>
    <xf numFmtId="0" fontId="15" fillId="0" borderId="0" xfId="3" applyFont="1" applyFill="1" applyBorder="1" applyAlignment="1" applyProtection="1">
      <alignment horizontal="left" vertical="center" wrapText="1"/>
      <protection locked="0"/>
    </xf>
    <xf numFmtId="0" fontId="15" fillId="0" borderId="5" xfId="3" applyFont="1" applyFill="1" applyBorder="1" applyAlignment="1" applyProtection="1">
      <alignment horizontal="left" vertical="center" wrapText="1"/>
      <protection locked="0"/>
    </xf>
    <xf numFmtId="0" fontId="15" fillId="0" borderId="6" xfId="3" applyFont="1" applyFill="1" applyBorder="1" applyAlignment="1" applyProtection="1">
      <alignment horizontal="left" vertical="center" wrapText="1"/>
      <protection locked="0"/>
    </xf>
    <xf numFmtId="0" fontId="15" fillId="0" borderId="7" xfId="3" applyFont="1" applyFill="1" applyBorder="1" applyAlignment="1" applyProtection="1">
      <alignment horizontal="left" vertical="center" wrapText="1"/>
      <protection locked="0"/>
    </xf>
    <xf numFmtId="0" fontId="15" fillId="0" borderId="8" xfId="3" applyFont="1" applyFill="1" applyBorder="1" applyAlignment="1" applyProtection="1">
      <alignment horizontal="left" vertical="center" wrapText="1"/>
      <protection locked="0"/>
    </xf>
    <xf numFmtId="0" fontId="5" fillId="0" borderId="1" xfId="3" applyFont="1" applyFill="1" applyBorder="1" applyAlignment="1" applyProtection="1">
      <alignment vertical="center" wrapText="1"/>
      <protection locked="0"/>
    </xf>
    <xf numFmtId="0" fontId="5" fillId="0" borderId="2" xfId="3" applyFont="1" applyFill="1" applyBorder="1" applyAlignment="1" applyProtection="1">
      <alignment vertical="center" wrapText="1"/>
      <protection locked="0"/>
    </xf>
    <xf numFmtId="0" fontId="5" fillId="0" borderId="2" xfId="3" applyFont="1" applyBorder="1" applyAlignment="1" applyProtection="1">
      <alignment vertical="center" wrapText="1"/>
      <protection locked="0"/>
    </xf>
    <xf numFmtId="0" fontId="5" fillId="0" borderId="3" xfId="3" applyFont="1" applyBorder="1" applyAlignment="1" applyProtection="1">
      <alignment vertical="center" wrapText="1"/>
      <protection locked="0"/>
    </xf>
    <xf numFmtId="0" fontId="5" fillId="0" borderId="4" xfId="3" applyFont="1" applyFill="1" applyBorder="1" applyAlignment="1" applyProtection="1">
      <alignment vertical="center" wrapText="1"/>
      <protection locked="0"/>
    </xf>
    <xf numFmtId="0" fontId="5" fillId="0" borderId="5" xfId="3" applyFont="1" applyBorder="1" applyAlignment="1" applyProtection="1">
      <alignment vertical="center" wrapText="1"/>
      <protection locked="0"/>
    </xf>
    <xf numFmtId="0" fontId="5" fillId="0" borderId="6" xfId="3" applyFont="1" applyFill="1" applyBorder="1" applyAlignment="1" applyProtection="1">
      <alignment vertical="center" wrapText="1"/>
      <protection locked="0"/>
    </xf>
    <xf numFmtId="0" fontId="5" fillId="0" borderId="7" xfId="3" applyFont="1" applyFill="1" applyBorder="1" applyAlignment="1" applyProtection="1">
      <alignment vertical="center" wrapText="1"/>
      <protection locked="0"/>
    </xf>
    <xf numFmtId="0" fontId="5" fillId="0" borderId="7" xfId="3" applyFont="1" applyBorder="1" applyAlignment="1" applyProtection="1">
      <alignment vertical="center" wrapText="1"/>
      <protection locked="0"/>
    </xf>
    <xf numFmtId="0" fontId="5" fillId="0" borderId="8" xfId="3" applyFont="1" applyBorder="1" applyAlignment="1" applyProtection="1">
      <alignment vertical="center" wrapText="1"/>
      <protection locked="0"/>
    </xf>
    <xf numFmtId="0" fontId="8" fillId="0" borderId="17" xfId="3" applyFont="1" applyFill="1" applyBorder="1" applyAlignment="1" applyProtection="1">
      <alignment horizontal="center" vertical="center"/>
      <protection hidden="1"/>
    </xf>
    <xf numFmtId="0" fontId="10" fillId="0" borderId="6" xfId="3" applyFont="1" applyFill="1" applyBorder="1" applyAlignment="1" applyProtection="1">
      <alignment horizontal="center" vertical="center"/>
      <protection hidden="1"/>
    </xf>
    <xf numFmtId="0" fontId="10" fillId="0" borderId="7" xfId="3" applyFont="1" applyFill="1" applyBorder="1" applyAlignment="1" applyProtection="1">
      <alignment horizontal="center" vertical="center"/>
      <protection hidden="1"/>
    </xf>
    <xf numFmtId="0" fontId="10" fillId="0" borderId="8" xfId="3" applyFont="1" applyFill="1" applyBorder="1" applyAlignment="1" applyProtection="1">
      <alignment horizontal="center" vertical="center"/>
      <protection hidden="1"/>
    </xf>
    <xf numFmtId="0" fontId="13" fillId="0" borderId="21" xfId="3" applyFont="1" applyFill="1" applyBorder="1" applyAlignment="1">
      <alignment horizontal="center" vertical="center"/>
    </xf>
    <xf numFmtId="0" fontId="13" fillId="0" borderId="22" xfId="3" applyFont="1" applyFill="1" applyBorder="1" applyAlignment="1">
      <alignment horizontal="center" vertical="center"/>
    </xf>
    <xf numFmtId="0" fontId="13" fillId="0" borderId="23" xfId="3" applyFont="1" applyFill="1" applyBorder="1" applyAlignment="1">
      <alignment horizontal="center" vertical="center"/>
    </xf>
    <xf numFmtId="0" fontId="13" fillId="0" borderId="13" xfId="3" applyFont="1" applyFill="1" applyBorder="1" applyAlignment="1">
      <alignment horizontal="center" vertical="center"/>
    </xf>
    <xf numFmtId="0" fontId="13" fillId="0" borderId="10" xfId="3" applyFont="1" applyFill="1" applyBorder="1" applyAlignment="1">
      <alignment horizontal="center" vertical="center"/>
    </xf>
    <xf numFmtId="0" fontId="13" fillId="0" borderId="11" xfId="3" applyFont="1" applyFill="1" applyBorder="1" applyAlignment="1">
      <alignment horizontal="center" vertical="center"/>
    </xf>
    <xf numFmtId="0" fontId="13" fillId="0" borderId="12" xfId="3" applyFont="1" applyBorder="1" applyAlignment="1">
      <alignment vertical="center"/>
    </xf>
    <xf numFmtId="0" fontId="15" fillId="0" borderId="0" xfId="3" applyFont="1" applyBorder="1"/>
    <xf numFmtId="0" fontId="15" fillId="0" borderId="0" xfId="3" applyFont="1"/>
    <xf numFmtId="0" fontId="15" fillId="0" borderId="9" xfId="3" applyFont="1" applyBorder="1"/>
    <xf numFmtId="0" fontId="13" fillId="0" borderId="0" xfId="3" applyFont="1" applyAlignment="1">
      <alignment vertical="center"/>
    </xf>
    <xf numFmtId="0" fontId="13" fillId="0" borderId="9" xfId="3" applyFont="1" applyBorder="1" applyAlignment="1">
      <alignment vertical="center"/>
    </xf>
    <xf numFmtId="0" fontId="13" fillId="0" borderId="12" xfId="3" applyFont="1" applyBorder="1" applyAlignment="1">
      <alignment horizontal="left" vertical="center"/>
    </xf>
    <xf numFmtId="0" fontId="13" fillId="0" borderId="0" xfId="3" applyFont="1" applyBorder="1" applyAlignment="1">
      <alignment horizontal="left" vertical="center"/>
    </xf>
    <xf numFmtId="0" fontId="13" fillId="0" borderId="0" xfId="3" applyFont="1" applyBorder="1" applyAlignment="1">
      <alignment horizontal="center" vertical="center"/>
    </xf>
    <xf numFmtId="0" fontId="13" fillId="0" borderId="9" xfId="3" applyFont="1" applyBorder="1" applyAlignment="1">
      <alignment horizontal="center" vertical="center"/>
    </xf>
    <xf numFmtId="1" fontId="13" fillId="0" borderId="12" xfId="3" applyNumberFormat="1" applyFont="1" applyBorder="1" applyAlignment="1">
      <alignment horizontal="center" vertical="center"/>
    </xf>
    <xf numFmtId="1" fontId="13" fillId="0" borderId="0" xfId="3" applyNumberFormat="1" applyFont="1" applyBorder="1" applyAlignment="1">
      <alignment horizontal="center" vertical="center"/>
    </xf>
    <xf numFmtId="1" fontId="13" fillId="0" borderId="9" xfId="3" applyNumberFormat="1" applyFont="1" applyBorder="1" applyAlignment="1">
      <alignment horizontal="center" vertical="center"/>
    </xf>
    <xf numFmtId="0" fontId="13" fillId="0" borderId="0" xfId="3" applyFont="1" applyBorder="1"/>
    <xf numFmtId="0" fontId="13" fillId="0" borderId="12" xfId="3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5" fillId="0" borderId="13" xfId="3" applyFont="1" applyBorder="1" applyAlignment="1">
      <alignment vertical="center"/>
    </xf>
    <xf numFmtId="0" fontId="15" fillId="0" borderId="10" xfId="3" applyFont="1" applyBorder="1"/>
    <xf numFmtId="0" fontId="15" fillId="0" borderId="11" xfId="3" applyFont="1" applyBorder="1"/>
    <xf numFmtId="0" fontId="15" fillId="0" borderId="0" xfId="3" applyFont="1" applyFill="1" applyBorder="1" applyAlignment="1" applyProtection="1">
      <alignment vertical="center"/>
      <protection hidden="1"/>
    </xf>
  </cellXfs>
  <cellStyles count="6">
    <cellStyle name="Milliers_P_HYDRO" xfId="1" xr:uid="{00000000-0005-0000-0000-000000000000}"/>
    <cellStyle name="Monétaire" xfId="2" builtinId="4"/>
    <cellStyle name="Normal" xfId="0" builtinId="0"/>
    <cellStyle name="Normal 2" xfId="3" xr:uid="{00000000-0005-0000-0000-000003000000}"/>
    <cellStyle name="Normal_Coefficient d'absorption d'eau" xfId="4" xr:uid="{00000000-0005-0000-0000-000004000000}"/>
    <cellStyle name="Normal_P_HYDRO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9525</xdr:rowOff>
    </xdr:from>
    <xdr:to>
      <xdr:col>4</xdr:col>
      <xdr:colOff>304800</xdr:colOff>
      <xdr:row>4</xdr:row>
      <xdr:rowOff>19050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3337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0</xdr:row>
      <xdr:rowOff>9525</xdr:rowOff>
    </xdr:from>
    <xdr:to>
      <xdr:col>7</xdr:col>
      <xdr:colOff>1362075</xdr:colOff>
      <xdr:row>6</xdr:row>
      <xdr:rowOff>38100</xdr:rowOff>
    </xdr:to>
    <xdr:sp macro="" textlink="" fLocksText="0">
      <xdr:nvSpPr>
        <xdr:cNvPr id="9218" name="Text Box 2">
          <a:extLst>
            <a:ext uri="{FF2B5EF4-FFF2-40B4-BE49-F238E27FC236}">
              <a16:creationId xmlns:a16="http://schemas.microsoft.com/office/drawing/2014/main" id="{00000000-0008-0000-0100-000002240000}"/>
            </a:ext>
          </a:extLst>
        </xdr:cNvPr>
        <xdr:cNvSpPr txBox="1">
          <a:spLocks noChangeArrowheads="1"/>
        </xdr:cNvSpPr>
      </xdr:nvSpPr>
      <xdr:spPr bwMode="auto">
        <a:xfrm>
          <a:off x="5343525" y="9525"/>
          <a:ext cx="1524000" cy="981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 DU CHANTIER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0</xdr:colOff>
      <xdr:row>6</xdr:row>
      <xdr:rowOff>57150</xdr:rowOff>
    </xdr:to>
    <xdr:sp macro="" textlink="">
      <xdr:nvSpPr>
        <xdr:cNvPr id="11290" name="Rectangle 3">
          <a:extLst>
            <a:ext uri="{FF2B5EF4-FFF2-40B4-BE49-F238E27FC236}">
              <a16:creationId xmlns:a16="http://schemas.microsoft.com/office/drawing/2014/main" id="{00000000-0008-0000-0100-00001A2C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877050" cy="10096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38100</xdr:colOff>
      <xdr:row>3</xdr:row>
      <xdr:rowOff>85725</xdr:rowOff>
    </xdr:from>
    <xdr:to>
      <xdr:col>2</xdr:col>
      <xdr:colOff>752475</xdr:colOff>
      <xdr:row>5</xdr:row>
      <xdr:rowOff>28575</xdr:rowOff>
    </xdr:to>
    <xdr:sp macro="" textlink="">
      <xdr:nvSpPr>
        <xdr:cNvPr id="9221" name="Text Box 5">
          <a:extLst>
            <a:ext uri="{FF2B5EF4-FFF2-40B4-BE49-F238E27FC236}">
              <a16:creationId xmlns:a16="http://schemas.microsoft.com/office/drawing/2014/main" id="{00000000-0008-0000-0100-000005240000}"/>
            </a:ext>
          </a:extLst>
        </xdr:cNvPr>
        <xdr:cNvSpPr txBox="1">
          <a:spLocks noChangeArrowheads="1"/>
        </xdr:cNvSpPr>
      </xdr:nvSpPr>
      <xdr:spPr bwMode="auto">
        <a:xfrm>
          <a:off x="1771650" y="638175"/>
          <a:ext cx="7143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WF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</xdr:col>
      <xdr:colOff>9525</xdr:colOff>
      <xdr:row>3</xdr:row>
      <xdr:rowOff>95250</xdr:rowOff>
    </xdr:from>
    <xdr:to>
      <xdr:col>3</xdr:col>
      <xdr:colOff>447675</xdr:colOff>
      <xdr:row>5</xdr:row>
      <xdr:rowOff>19050</xdr:rowOff>
    </xdr:to>
    <xdr:sp macro="" textlink="" fLocksText="0">
      <xdr:nvSpPr>
        <xdr:cNvPr id="9222" name="Text Box 6">
          <a:extLst>
            <a:ext uri="{FF2B5EF4-FFF2-40B4-BE49-F238E27FC236}">
              <a16:creationId xmlns:a16="http://schemas.microsoft.com/office/drawing/2014/main" id="{00000000-0008-0000-0100-000006240000}"/>
            </a:ext>
          </a:extLst>
        </xdr:cNvPr>
        <xdr:cNvSpPr txBox="1">
          <a:spLocks noChangeArrowheads="1"/>
        </xdr:cNvSpPr>
      </xdr:nvSpPr>
      <xdr:spPr bwMode="auto">
        <a:xfrm>
          <a:off x="2505075" y="647700"/>
          <a:ext cx="43815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466725</xdr:colOff>
      <xdr:row>3</xdr:row>
      <xdr:rowOff>95250</xdr:rowOff>
    </xdr:from>
    <xdr:to>
      <xdr:col>4</xdr:col>
      <xdr:colOff>466725</xdr:colOff>
      <xdr:row>5</xdr:row>
      <xdr:rowOff>38100</xdr:rowOff>
    </xdr:to>
    <xdr:sp macro="" textlink="" fLocksText="0">
      <xdr:nvSpPr>
        <xdr:cNvPr id="9223" name="Text Box 7">
          <a:extLst>
            <a:ext uri="{FF2B5EF4-FFF2-40B4-BE49-F238E27FC236}">
              <a16:creationId xmlns:a16="http://schemas.microsoft.com/office/drawing/2014/main" id="{00000000-0008-0000-0100-000007240000}"/>
            </a:ext>
          </a:extLst>
        </xdr:cNvPr>
        <xdr:cNvSpPr txBox="1">
          <a:spLocks noChangeArrowheads="1"/>
        </xdr:cNvSpPr>
      </xdr:nvSpPr>
      <xdr:spPr bwMode="auto">
        <a:xfrm>
          <a:off x="2962275" y="647700"/>
          <a:ext cx="76200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495300</xdr:colOff>
      <xdr:row>3</xdr:row>
      <xdr:rowOff>95250</xdr:rowOff>
    </xdr:from>
    <xdr:to>
      <xdr:col>5</xdr:col>
      <xdr:colOff>714375</xdr:colOff>
      <xdr:row>6</xdr:row>
      <xdr:rowOff>95250</xdr:rowOff>
    </xdr:to>
    <xdr:sp macro="" textlink="" fLocksText="0">
      <xdr:nvSpPr>
        <xdr:cNvPr id="9224" name="Text Box 8">
          <a:extLst>
            <a:ext uri="{FF2B5EF4-FFF2-40B4-BE49-F238E27FC236}">
              <a16:creationId xmlns:a16="http://schemas.microsoft.com/office/drawing/2014/main" id="{00000000-0008-0000-0100-000008240000}"/>
            </a:ext>
          </a:extLst>
        </xdr:cNvPr>
        <xdr:cNvSpPr txBox="1">
          <a:spLocks noChangeArrowheads="1"/>
        </xdr:cNvSpPr>
      </xdr:nvSpPr>
      <xdr:spPr bwMode="auto">
        <a:xfrm>
          <a:off x="3752850" y="647700"/>
          <a:ext cx="98107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866775</xdr:colOff>
      <xdr:row>0</xdr:row>
      <xdr:rowOff>0</xdr:rowOff>
    </xdr:from>
    <xdr:to>
      <xdr:col>6</xdr:col>
      <xdr:colOff>523875</xdr:colOff>
      <xdr:row>6</xdr:row>
      <xdr:rowOff>57150</xdr:rowOff>
    </xdr:to>
    <xdr:sp macro="" textlink="">
      <xdr:nvSpPr>
        <xdr:cNvPr id="11295" name="Rectangle 9">
          <a:extLst>
            <a:ext uri="{FF2B5EF4-FFF2-40B4-BE49-F238E27FC236}">
              <a16:creationId xmlns:a16="http://schemas.microsoft.com/office/drawing/2014/main" id="{00000000-0008-0000-0100-00001F2C0000}"/>
            </a:ext>
          </a:extLst>
        </xdr:cNvPr>
        <xdr:cNvSpPr>
          <a:spLocks noChangeArrowheads="1"/>
        </xdr:cNvSpPr>
      </xdr:nvSpPr>
      <xdr:spPr bwMode="auto">
        <a:xfrm>
          <a:off x="1704975" y="0"/>
          <a:ext cx="3600450" cy="10096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381000</xdr:colOff>
      <xdr:row>3</xdr:row>
      <xdr:rowOff>95250</xdr:rowOff>
    </xdr:from>
    <xdr:to>
      <xdr:col>3</xdr:col>
      <xdr:colOff>514350</xdr:colOff>
      <xdr:row>6</xdr:row>
      <xdr:rowOff>104775</xdr:rowOff>
    </xdr:to>
    <xdr:sp macro="" textlink="">
      <xdr:nvSpPr>
        <xdr:cNvPr id="9226" name="Text Box 10">
          <a:extLst>
            <a:ext uri="{FF2B5EF4-FFF2-40B4-BE49-F238E27FC236}">
              <a16:creationId xmlns:a16="http://schemas.microsoft.com/office/drawing/2014/main" id="{00000000-0008-0000-0100-00000A240000}"/>
            </a:ext>
          </a:extLst>
        </xdr:cNvPr>
        <xdr:cNvSpPr txBox="1">
          <a:spLocks noChangeArrowheads="1"/>
        </xdr:cNvSpPr>
      </xdr:nvSpPr>
      <xdr:spPr bwMode="auto">
        <a:xfrm>
          <a:off x="2876550" y="647700"/>
          <a:ext cx="133350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4</xdr:col>
      <xdr:colOff>419100</xdr:colOff>
      <xdr:row>3</xdr:row>
      <xdr:rowOff>95250</xdr:rowOff>
    </xdr:from>
    <xdr:to>
      <xdr:col>4</xdr:col>
      <xdr:colOff>571500</xdr:colOff>
      <xdr:row>6</xdr:row>
      <xdr:rowOff>104775</xdr:rowOff>
    </xdr:to>
    <xdr:sp macro="" textlink="">
      <xdr:nvSpPr>
        <xdr:cNvPr id="9227" name="Text Box 11">
          <a:extLst>
            <a:ext uri="{FF2B5EF4-FFF2-40B4-BE49-F238E27FC236}">
              <a16:creationId xmlns:a16="http://schemas.microsoft.com/office/drawing/2014/main" id="{00000000-0008-0000-0100-00000B240000}"/>
            </a:ext>
          </a:extLst>
        </xdr:cNvPr>
        <xdr:cNvSpPr txBox="1">
          <a:spLocks noChangeArrowheads="1"/>
        </xdr:cNvSpPr>
      </xdr:nvSpPr>
      <xdr:spPr bwMode="auto">
        <a:xfrm>
          <a:off x="3676650" y="647700"/>
          <a:ext cx="152400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3</xdr:col>
      <xdr:colOff>180975</xdr:colOff>
      <xdr:row>0</xdr:row>
      <xdr:rowOff>38100</xdr:rowOff>
    </xdr:from>
    <xdr:to>
      <xdr:col>5</xdr:col>
      <xdr:colOff>333375</xdr:colOff>
      <xdr:row>1</xdr:row>
      <xdr:rowOff>57150</xdr:rowOff>
    </xdr:to>
    <xdr:sp macro="" textlink="">
      <xdr:nvSpPr>
        <xdr:cNvPr id="9228" name="Text Box 12">
          <a:extLst>
            <a:ext uri="{FF2B5EF4-FFF2-40B4-BE49-F238E27FC236}">
              <a16:creationId xmlns:a16="http://schemas.microsoft.com/office/drawing/2014/main" id="{00000000-0008-0000-0100-00000C240000}"/>
            </a:ext>
          </a:extLst>
        </xdr:cNvPr>
        <xdr:cNvSpPr txBox="1">
          <a:spLocks noChangeArrowheads="1"/>
        </xdr:cNvSpPr>
      </xdr:nvSpPr>
      <xdr:spPr bwMode="auto">
        <a:xfrm>
          <a:off x="2676525" y="38100"/>
          <a:ext cx="1676400" cy="180975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FICHE D'ESSAIS</a:t>
          </a:r>
        </a:p>
      </xdr:txBody>
    </xdr:sp>
    <xdr:clientData/>
  </xdr:twoCellAnchor>
  <xdr:twoCellAnchor>
    <xdr:from>
      <xdr:col>4</xdr:col>
      <xdr:colOff>600075</xdr:colOff>
      <xdr:row>5</xdr:row>
      <xdr:rowOff>28575</xdr:rowOff>
    </xdr:from>
    <xdr:to>
      <xdr:col>6</xdr:col>
      <xdr:colOff>352425</xdr:colOff>
      <xdr:row>7</xdr:row>
      <xdr:rowOff>9525</xdr:rowOff>
    </xdr:to>
    <xdr:sp macro="" textlink="">
      <xdr:nvSpPr>
        <xdr:cNvPr id="9229" name="Text Box 13">
          <a:extLst>
            <a:ext uri="{FF2B5EF4-FFF2-40B4-BE49-F238E27FC236}">
              <a16:creationId xmlns:a16="http://schemas.microsoft.com/office/drawing/2014/main" id="{00000000-0008-0000-0100-00000D240000}"/>
            </a:ext>
          </a:extLst>
        </xdr:cNvPr>
        <xdr:cNvSpPr txBox="1">
          <a:spLocks noChangeArrowheads="1"/>
        </xdr:cNvSpPr>
      </xdr:nvSpPr>
      <xdr:spPr bwMode="auto">
        <a:xfrm>
          <a:off x="3857625" y="847725"/>
          <a:ext cx="1276350" cy="247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de la FE</a:t>
          </a:r>
        </a:p>
      </xdr:txBody>
    </xdr:sp>
    <xdr:clientData/>
  </xdr:twoCellAnchor>
  <xdr:twoCellAnchor>
    <xdr:from>
      <xdr:col>2</xdr:col>
      <xdr:colOff>657225</xdr:colOff>
      <xdr:row>5</xdr:row>
      <xdr:rowOff>28575</xdr:rowOff>
    </xdr:from>
    <xdr:to>
      <xdr:col>3</xdr:col>
      <xdr:colOff>419100</xdr:colOff>
      <xdr:row>6</xdr:row>
      <xdr:rowOff>57150</xdr:rowOff>
    </xdr:to>
    <xdr:sp macro="" textlink="">
      <xdr:nvSpPr>
        <xdr:cNvPr id="9230" name="Text Box 14">
          <a:extLst>
            <a:ext uri="{FF2B5EF4-FFF2-40B4-BE49-F238E27FC236}">
              <a16:creationId xmlns:a16="http://schemas.microsoft.com/office/drawing/2014/main" id="{00000000-0008-0000-0100-00000E240000}"/>
            </a:ext>
          </a:extLst>
        </xdr:cNvPr>
        <xdr:cNvSpPr txBox="1">
          <a:spLocks noChangeArrowheads="1"/>
        </xdr:cNvSpPr>
      </xdr:nvSpPr>
      <xdr:spPr bwMode="auto">
        <a:xfrm>
          <a:off x="2390775" y="847725"/>
          <a:ext cx="5238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3</xdr:col>
      <xdr:colOff>447675</xdr:colOff>
      <xdr:row>5</xdr:row>
      <xdr:rowOff>28575</xdr:rowOff>
    </xdr:from>
    <xdr:to>
      <xdr:col>4</xdr:col>
      <xdr:colOff>457200</xdr:colOff>
      <xdr:row>6</xdr:row>
      <xdr:rowOff>47625</xdr:rowOff>
    </xdr:to>
    <xdr:sp macro="" textlink="">
      <xdr:nvSpPr>
        <xdr:cNvPr id="9231" name="Text Box 15">
          <a:extLst>
            <a:ext uri="{FF2B5EF4-FFF2-40B4-BE49-F238E27FC236}">
              <a16:creationId xmlns:a16="http://schemas.microsoft.com/office/drawing/2014/main" id="{00000000-0008-0000-0100-00000F240000}"/>
            </a:ext>
          </a:extLst>
        </xdr:cNvPr>
        <xdr:cNvSpPr txBox="1">
          <a:spLocks noChangeArrowheads="1"/>
        </xdr:cNvSpPr>
      </xdr:nvSpPr>
      <xdr:spPr bwMode="auto">
        <a:xfrm>
          <a:off x="2943225" y="847725"/>
          <a:ext cx="771525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</xdr:col>
      <xdr:colOff>809625</xdr:colOff>
      <xdr:row>1</xdr:row>
      <xdr:rowOff>0</xdr:rowOff>
    </xdr:from>
    <xdr:to>
      <xdr:col>6</xdr:col>
      <xdr:colOff>600075</xdr:colOff>
      <xdr:row>3</xdr:row>
      <xdr:rowOff>95250</xdr:rowOff>
    </xdr:to>
    <xdr:sp macro="" textlink="">
      <xdr:nvSpPr>
        <xdr:cNvPr id="9233" name="Text Box 17">
          <a:extLst>
            <a:ext uri="{FF2B5EF4-FFF2-40B4-BE49-F238E27FC236}">
              <a16:creationId xmlns:a16="http://schemas.microsoft.com/office/drawing/2014/main" id="{00000000-0008-0000-0100-000011240000}"/>
            </a:ext>
          </a:extLst>
        </xdr:cNvPr>
        <xdr:cNvSpPr txBox="1">
          <a:spLocks noChangeArrowheads="1"/>
        </xdr:cNvSpPr>
      </xdr:nvSpPr>
      <xdr:spPr bwMode="auto">
        <a:xfrm>
          <a:off x="1647825" y="161925"/>
          <a:ext cx="3733800" cy="485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fr-FR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MASSE  VOLUMIQUE REELLE DES GRANULATS ET COEFFICIENT D'ABSORPTION D'EAU (NF P 18-650-6) </a:t>
          </a:r>
        </a:p>
        <a:p>
          <a:pPr algn="ctr" rtl="0">
            <a:defRPr sz="1000"/>
          </a:pPr>
          <a:r>
            <a:rPr lang="fr-FR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METHODE AU PYCNOMETRE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</xdr:col>
      <xdr:colOff>9525</xdr:colOff>
      <xdr:row>71</xdr:row>
      <xdr:rowOff>0</xdr:rowOff>
    </xdr:from>
    <xdr:to>
      <xdr:col>3</xdr:col>
      <xdr:colOff>752475</xdr:colOff>
      <xdr:row>74</xdr:row>
      <xdr:rowOff>28575</xdr:rowOff>
    </xdr:to>
    <xdr:sp macro="" textlink="">
      <xdr:nvSpPr>
        <xdr:cNvPr id="9234" name="Text Box 18">
          <a:extLst>
            <a:ext uri="{FF2B5EF4-FFF2-40B4-BE49-F238E27FC236}">
              <a16:creationId xmlns:a16="http://schemas.microsoft.com/office/drawing/2014/main" id="{00000000-0008-0000-0100-000012240000}"/>
            </a:ext>
          </a:extLst>
        </xdr:cNvPr>
        <xdr:cNvSpPr txBox="1">
          <a:spLocks noChangeArrowheads="1"/>
        </xdr:cNvSpPr>
      </xdr:nvSpPr>
      <xdr:spPr bwMode="auto">
        <a:xfrm>
          <a:off x="847725" y="11620500"/>
          <a:ext cx="2400300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	M4</a:t>
          </a:r>
        </a:p>
        <a:p>
          <a:pPr algn="l" rtl="0">
            <a:defRPr sz="1000"/>
          </a:pPr>
          <a:r>
            <a:rPr lang="el-G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ρ</a:t>
          </a:r>
          <a:r>
            <a:rPr lang="fr-FR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a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=</a:t>
          </a:r>
          <a:r>
            <a:rPr lang="el-G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ρ</a:t>
          </a:r>
          <a:r>
            <a:rPr lang="fr-FR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w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x 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M4 - (M2 - M3)</a:t>
          </a:r>
        </a:p>
      </xdr:txBody>
    </xdr:sp>
    <xdr:clientData/>
  </xdr:twoCellAnchor>
  <xdr:twoCellAnchor>
    <xdr:from>
      <xdr:col>1</xdr:col>
      <xdr:colOff>609600</xdr:colOff>
      <xdr:row>71</xdr:row>
      <xdr:rowOff>247650</xdr:rowOff>
    </xdr:from>
    <xdr:to>
      <xdr:col>2</xdr:col>
      <xdr:colOff>609600</xdr:colOff>
      <xdr:row>71</xdr:row>
      <xdr:rowOff>247650</xdr:rowOff>
    </xdr:to>
    <xdr:sp macro="" textlink="">
      <xdr:nvSpPr>
        <xdr:cNvPr id="11305" name="Line 20">
          <a:extLst>
            <a:ext uri="{FF2B5EF4-FFF2-40B4-BE49-F238E27FC236}">
              <a16:creationId xmlns:a16="http://schemas.microsoft.com/office/drawing/2014/main" id="{00000000-0008-0000-0100-0000292C0000}"/>
            </a:ext>
          </a:extLst>
        </xdr:cNvPr>
        <xdr:cNvSpPr>
          <a:spLocks noChangeShapeType="1"/>
        </xdr:cNvSpPr>
      </xdr:nvSpPr>
      <xdr:spPr bwMode="auto">
        <a:xfrm>
          <a:off x="1447800" y="11868150"/>
          <a:ext cx="895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91</xdr:row>
      <xdr:rowOff>19050</xdr:rowOff>
    </xdr:from>
    <xdr:to>
      <xdr:col>3</xdr:col>
      <xdr:colOff>752475</xdr:colOff>
      <xdr:row>94</xdr:row>
      <xdr:rowOff>9525</xdr:rowOff>
    </xdr:to>
    <xdr:sp macro="" textlink="">
      <xdr:nvSpPr>
        <xdr:cNvPr id="9237" name="Text Box 21">
          <a:extLst>
            <a:ext uri="{FF2B5EF4-FFF2-40B4-BE49-F238E27FC236}">
              <a16:creationId xmlns:a16="http://schemas.microsoft.com/office/drawing/2014/main" id="{00000000-0008-0000-0100-000015240000}"/>
            </a:ext>
          </a:extLst>
        </xdr:cNvPr>
        <xdr:cNvSpPr txBox="1">
          <a:spLocks noChangeArrowheads="1"/>
        </xdr:cNvSpPr>
      </xdr:nvSpPr>
      <xdr:spPr bwMode="auto">
        <a:xfrm>
          <a:off x="847725" y="13468350"/>
          <a:ext cx="240030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(M1 - M4)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W</a:t>
          </a:r>
          <a:r>
            <a:rPr lang="fr-FR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A24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=   100 x                                                          	        M4</a:t>
          </a:r>
        </a:p>
      </xdr:txBody>
    </xdr:sp>
    <xdr:clientData/>
  </xdr:twoCellAnchor>
  <xdr:twoCellAnchor>
    <xdr:from>
      <xdr:col>6</xdr:col>
      <xdr:colOff>390525</xdr:colOff>
      <xdr:row>153</xdr:row>
      <xdr:rowOff>57150</xdr:rowOff>
    </xdr:from>
    <xdr:to>
      <xdr:col>7</xdr:col>
      <xdr:colOff>1304925</xdr:colOff>
      <xdr:row>153</xdr:row>
      <xdr:rowOff>57150</xdr:rowOff>
    </xdr:to>
    <xdr:sp macro="" textlink="">
      <xdr:nvSpPr>
        <xdr:cNvPr id="11307" name="Line 22">
          <a:extLst>
            <a:ext uri="{FF2B5EF4-FFF2-40B4-BE49-F238E27FC236}">
              <a16:creationId xmlns:a16="http://schemas.microsoft.com/office/drawing/2014/main" id="{00000000-0008-0000-0100-00002B2C0000}"/>
            </a:ext>
          </a:extLst>
        </xdr:cNvPr>
        <xdr:cNvSpPr>
          <a:spLocks noChangeShapeType="1"/>
        </xdr:cNvSpPr>
      </xdr:nvSpPr>
      <xdr:spPr bwMode="auto">
        <a:xfrm>
          <a:off x="5172075" y="25031700"/>
          <a:ext cx="1638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57149</xdr:colOff>
      <xdr:row>92</xdr:row>
      <xdr:rowOff>95250</xdr:rowOff>
    </xdr:from>
    <xdr:to>
      <xdr:col>3</xdr:col>
      <xdr:colOff>28574</xdr:colOff>
      <xdr:row>92</xdr:row>
      <xdr:rowOff>95250</xdr:rowOff>
    </xdr:to>
    <xdr:sp macro="" textlink="">
      <xdr:nvSpPr>
        <xdr:cNvPr id="11308" name="Line 23">
          <a:extLst>
            <a:ext uri="{FF2B5EF4-FFF2-40B4-BE49-F238E27FC236}">
              <a16:creationId xmlns:a16="http://schemas.microsoft.com/office/drawing/2014/main" id="{00000000-0008-0000-0100-00002C2C0000}"/>
            </a:ext>
          </a:extLst>
        </xdr:cNvPr>
        <xdr:cNvSpPr>
          <a:spLocks noChangeShapeType="1"/>
        </xdr:cNvSpPr>
      </xdr:nvSpPr>
      <xdr:spPr bwMode="auto">
        <a:xfrm>
          <a:off x="1790699" y="14735175"/>
          <a:ext cx="733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</xdr:colOff>
      <xdr:row>79</xdr:row>
      <xdr:rowOff>0</xdr:rowOff>
    </xdr:from>
    <xdr:to>
      <xdr:col>3</xdr:col>
      <xdr:colOff>752475</xdr:colOff>
      <xdr:row>82</xdr:row>
      <xdr:rowOff>28575</xdr:rowOff>
    </xdr:to>
    <xdr:sp macro="" textlink="">
      <xdr:nvSpPr>
        <xdr:cNvPr id="25" name="Text Box 18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>
          <a:spLocks noChangeArrowheads="1"/>
        </xdr:cNvSpPr>
      </xdr:nvSpPr>
      <xdr:spPr bwMode="auto">
        <a:xfrm>
          <a:off x="847725" y="11163300"/>
          <a:ext cx="2400300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	M4</a:t>
          </a:r>
        </a:p>
        <a:p>
          <a:pPr algn="l" rtl="0">
            <a:defRPr sz="1000"/>
          </a:pPr>
          <a:r>
            <a:rPr lang="el-G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ρ</a:t>
          </a:r>
          <a:r>
            <a:rPr lang="fr-FR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rd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=</a:t>
          </a:r>
          <a:r>
            <a:rPr lang="el-G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ρ</a:t>
          </a:r>
          <a:r>
            <a:rPr lang="fr-FR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w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x 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M4 - (M2 - M3)</a:t>
          </a:r>
        </a:p>
      </xdr:txBody>
    </xdr:sp>
    <xdr:clientData/>
  </xdr:twoCellAnchor>
  <xdr:twoCellAnchor>
    <xdr:from>
      <xdr:col>1</xdr:col>
      <xdr:colOff>609600</xdr:colOff>
      <xdr:row>80</xdr:row>
      <xdr:rowOff>76200</xdr:rowOff>
    </xdr:from>
    <xdr:to>
      <xdr:col>2</xdr:col>
      <xdr:colOff>609600</xdr:colOff>
      <xdr:row>80</xdr:row>
      <xdr:rowOff>76200</xdr:rowOff>
    </xdr:to>
    <xdr:sp macro="" textlink="">
      <xdr:nvSpPr>
        <xdr:cNvPr id="26" name="Line 20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ShapeType="1"/>
        </xdr:cNvSpPr>
      </xdr:nvSpPr>
      <xdr:spPr bwMode="auto">
        <a:xfrm>
          <a:off x="1447800" y="12715875"/>
          <a:ext cx="8953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447675</xdr:colOff>
      <xdr:row>1</xdr:row>
      <xdr:rowOff>161925</xdr:rowOff>
    </xdr:from>
    <xdr:to>
      <xdr:col>1</xdr:col>
      <xdr:colOff>495300</xdr:colOff>
      <xdr:row>3</xdr:row>
      <xdr:rowOff>95250</xdr:rowOff>
    </xdr:to>
    <xdr:pic>
      <xdr:nvPicPr>
        <xdr:cNvPr id="24" name="Image 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323850"/>
          <a:ext cx="8858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37</xdr:row>
      <xdr:rowOff>0</xdr:rowOff>
    </xdr:from>
    <xdr:to>
      <xdr:col>22</xdr:col>
      <xdr:colOff>104775</xdr:colOff>
      <xdr:row>37</xdr:row>
      <xdr:rowOff>9525</xdr:rowOff>
    </xdr:to>
    <xdr:sp macro="" textlink="">
      <xdr:nvSpPr>
        <xdr:cNvPr id="2115" name="Line 27">
          <a:extLst>
            <a:ext uri="{FF2B5EF4-FFF2-40B4-BE49-F238E27FC236}">
              <a16:creationId xmlns:a16="http://schemas.microsoft.com/office/drawing/2014/main" id="{00000000-0008-0000-0200-000043080000}"/>
            </a:ext>
          </a:extLst>
        </xdr:cNvPr>
        <xdr:cNvSpPr>
          <a:spLocks noChangeShapeType="1"/>
        </xdr:cNvSpPr>
      </xdr:nvSpPr>
      <xdr:spPr bwMode="auto">
        <a:xfrm>
          <a:off x="5895975" y="6848475"/>
          <a:ext cx="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0</xdr:row>
      <xdr:rowOff>152400</xdr:rowOff>
    </xdr:from>
    <xdr:to>
      <xdr:col>20</xdr:col>
      <xdr:colOff>190500</xdr:colOff>
      <xdr:row>3</xdr:row>
      <xdr:rowOff>104775</xdr:rowOff>
    </xdr:to>
    <xdr:sp macro="" textlink="">
      <xdr:nvSpPr>
        <xdr:cNvPr id="2055" name="Text Box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 txBox="1">
          <a:spLocks noChangeArrowheads="1"/>
        </xdr:cNvSpPr>
      </xdr:nvSpPr>
      <xdr:spPr bwMode="auto">
        <a:xfrm>
          <a:off x="1657350" y="152400"/>
          <a:ext cx="373380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MASSE  VOLUMIQUE REELLE DES GRANULATS ET COEFFICIENT D'ABSORPTION D'EAU (NF P 18-650-6)</a:t>
          </a:r>
        </a:p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38100</xdr:colOff>
      <xdr:row>4</xdr:row>
      <xdr:rowOff>114300</xdr:rowOff>
    </xdr:from>
    <xdr:to>
      <xdr:col>12</xdr:col>
      <xdr:colOff>66675</xdr:colOff>
      <xdr:row>5</xdr:row>
      <xdr:rowOff>114300</xdr:rowOff>
    </xdr:to>
    <xdr:sp macro="" textlink="">
      <xdr:nvSpPr>
        <xdr:cNvPr id="2078" name="Text Box 30">
          <a:extLst>
            <a:ext uri="{FF2B5EF4-FFF2-40B4-BE49-F238E27FC236}">
              <a16:creationId xmlns:a16="http://schemas.microsoft.com/office/drawing/2014/main" id="{00000000-0008-0000-0200-00001E080000}"/>
            </a:ext>
          </a:extLst>
        </xdr:cNvPr>
        <xdr:cNvSpPr txBox="1">
          <a:spLocks noChangeArrowheads="1"/>
        </xdr:cNvSpPr>
      </xdr:nvSpPr>
      <xdr:spPr bwMode="auto">
        <a:xfrm>
          <a:off x="2438400" y="762000"/>
          <a:ext cx="5238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1</xdr:col>
      <xdr:colOff>85725</xdr:colOff>
      <xdr:row>5</xdr:row>
      <xdr:rowOff>152400</xdr:rowOff>
    </xdr:from>
    <xdr:to>
      <xdr:col>7</xdr:col>
      <xdr:colOff>38100</xdr:colOff>
      <xdr:row>5</xdr:row>
      <xdr:rowOff>152400</xdr:rowOff>
    </xdr:to>
    <xdr:pic>
      <xdr:nvPicPr>
        <xdr:cNvPr id="2118" name="Picture 31">
          <a:extLst>
            <a:ext uri="{FF2B5EF4-FFF2-40B4-BE49-F238E27FC236}">
              <a16:creationId xmlns:a16="http://schemas.microsoft.com/office/drawing/2014/main" id="{00000000-0008-0000-0200-00004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962025"/>
          <a:ext cx="14382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20</xdr:col>
      <xdr:colOff>209550</xdr:colOff>
      <xdr:row>0</xdr:row>
      <xdr:rowOff>0</xdr:rowOff>
    </xdr:from>
    <xdr:to>
      <xdr:col>25</xdr:col>
      <xdr:colOff>142875</xdr:colOff>
      <xdr:row>5</xdr:row>
      <xdr:rowOff>152400</xdr:rowOff>
    </xdr:to>
    <xdr:sp macro="" textlink="" fLocksText="0">
      <xdr:nvSpPr>
        <xdr:cNvPr id="2080" name="Text Box 32">
          <a:extLst>
            <a:ext uri="{FF2B5EF4-FFF2-40B4-BE49-F238E27FC236}">
              <a16:creationId xmlns:a16="http://schemas.microsoft.com/office/drawing/2014/main" id="{00000000-0008-0000-0200-000020080000}"/>
            </a:ext>
          </a:extLst>
        </xdr:cNvPr>
        <xdr:cNvSpPr txBox="1">
          <a:spLocks noChangeArrowheads="1"/>
        </xdr:cNvSpPr>
      </xdr:nvSpPr>
      <xdr:spPr bwMode="auto">
        <a:xfrm>
          <a:off x="5410200" y="0"/>
          <a:ext cx="138112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19050</xdr:colOff>
      <xdr:row>0</xdr:row>
      <xdr:rowOff>0</xdr:rowOff>
    </xdr:from>
    <xdr:to>
      <xdr:col>26</xdr:col>
      <xdr:colOff>0</xdr:colOff>
      <xdr:row>5</xdr:row>
      <xdr:rowOff>152400</xdr:rowOff>
    </xdr:to>
    <xdr:sp macro="" textlink="">
      <xdr:nvSpPr>
        <xdr:cNvPr id="2120" name="Rectangle 33">
          <a:extLst>
            <a:ext uri="{FF2B5EF4-FFF2-40B4-BE49-F238E27FC236}">
              <a16:creationId xmlns:a16="http://schemas.microsoft.com/office/drawing/2014/main" id="{00000000-0008-0000-0200-000048080000}"/>
            </a:ext>
          </a:extLst>
        </xdr:cNvPr>
        <xdr:cNvSpPr>
          <a:spLocks noChangeArrowheads="1"/>
        </xdr:cNvSpPr>
      </xdr:nvSpPr>
      <xdr:spPr bwMode="auto">
        <a:xfrm>
          <a:off x="19050" y="0"/>
          <a:ext cx="6781800" cy="9620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104775</xdr:colOff>
      <xdr:row>3</xdr:row>
      <xdr:rowOff>95250</xdr:rowOff>
    </xdr:from>
    <xdr:to>
      <xdr:col>10</xdr:col>
      <xdr:colOff>114300</xdr:colOff>
      <xdr:row>6</xdr:row>
      <xdr:rowOff>0</xdr:rowOff>
    </xdr:to>
    <xdr:sp macro="" textlink="">
      <xdr:nvSpPr>
        <xdr:cNvPr id="2083" name="Text Box 35">
          <a:extLst>
            <a:ext uri="{FF2B5EF4-FFF2-40B4-BE49-F238E27FC236}">
              <a16:creationId xmlns:a16="http://schemas.microsoft.com/office/drawing/2014/main" id="{00000000-0008-0000-0200-000023080000}"/>
            </a:ext>
          </a:extLst>
        </xdr:cNvPr>
        <xdr:cNvSpPr txBox="1">
          <a:spLocks noChangeArrowheads="1"/>
        </xdr:cNvSpPr>
      </xdr:nvSpPr>
      <xdr:spPr bwMode="auto">
        <a:xfrm>
          <a:off x="1762125" y="581025"/>
          <a:ext cx="752475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MVR WF:</a:t>
          </a: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95250</xdr:colOff>
      <xdr:row>3</xdr:row>
      <xdr:rowOff>95250</xdr:rowOff>
    </xdr:from>
    <xdr:to>
      <xdr:col>12</xdr:col>
      <xdr:colOff>76200</xdr:colOff>
      <xdr:row>4</xdr:row>
      <xdr:rowOff>104775</xdr:rowOff>
    </xdr:to>
    <xdr:sp macro="" textlink="" fLocksText="0">
      <xdr:nvSpPr>
        <xdr:cNvPr id="2084" name="Text Box 36">
          <a:extLst>
            <a:ext uri="{FF2B5EF4-FFF2-40B4-BE49-F238E27FC236}">
              <a16:creationId xmlns:a16="http://schemas.microsoft.com/office/drawing/2014/main" id="{00000000-0008-0000-0200-000024080000}"/>
            </a:ext>
          </a:extLst>
        </xdr:cNvPr>
        <xdr:cNvSpPr txBox="1">
          <a:spLocks noChangeArrowheads="1"/>
        </xdr:cNvSpPr>
      </xdr:nvSpPr>
      <xdr:spPr bwMode="auto">
        <a:xfrm>
          <a:off x="2495550" y="581025"/>
          <a:ext cx="47625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95250</xdr:colOff>
      <xdr:row>3</xdr:row>
      <xdr:rowOff>95250</xdr:rowOff>
    </xdr:from>
    <xdr:to>
      <xdr:col>15</xdr:col>
      <xdr:colOff>123825</xdr:colOff>
      <xdr:row>4</xdr:row>
      <xdr:rowOff>123825</xdr:rowOff>
    </xdr:to>
    <xdr:sp macro="" textlink="" fLocksText="0">
      <xdr:nvSpPr>
        <xdr:cNvPr id="2085" name="Text Box 37">
          <a:extLst>
            <a:ext uri="{FF2B5EF4-FFF2-40B4-BE49-F238E27FC236}">
              <a16:creationId xmlns:a16="http://schemas.microsoft.com/office/drawing/2014/main" id="{00000000-0008-0000-0200-000025080000}"/>
            </a:ext>
          </a:extLst>
        </xdr:cNvPr>
        <xdr:cNvSpPr txBox="1">
          <a:spLocks noChangeArrowheads="1"/>
        </xdr:cNvSpPr>
      </xdr:nvSpPr>
      <xdr:spPr bwMode="auto">
        <a:xfrm>
          <a:off x="2990850" y="581025"/>
          <a:ext cx="77152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15</xdr:col>
      <xdr:colOff>152400</xdr:colOff>
      <xdr:row>3</xdr:row>
      <xdr:rowOff>95250</xdr:rowOff>
    </xdr:from>
    <xdr:to>
      <xdr:col>18</xdr:col>
      <xdr:colOff>219075</xdr:colOff>
      <xdr:row>5</xdr:row>
      <xdr:rowOff>95250</xdr:rowOff>
    </xdr:to>
    <xdr:sp macro="" textlink="" fLocksText="0">
      <xdr:nvSpPr>
        <xdr:cNvPr id="2086" name="Text Box 38">
          <a:extLst>
            <a:ext uri="{FF2B5EF4-FFF2-40B4-BE49-F238E27FC236}">
              <a16:creationId xmlns:a16="http://schemas.microsoft.com/office/drawing/2014/main" id="{00000000-0008-0000-0200-000026080000}"/>
            </a:ext>
          </a:extLst>
        </xdr:cNvPr>
        <xdr:cNvSpPr txBox="1">
          <a:spLocks noChangeArrowheads="1"/>
        </xdr:cNvSpPr>
      </xdr:nvSpPr>
      <xdr:spPr bwMode="auto">
        <a:xfrm>
          <a:off x="3790950" y="581025"/>
          <a:ext cx="981075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19050</xdr:colOff>
      <xdr:row>0</xdr:row>
      <xdr:rowOff>0</xdr:rowOff>
    </xdr:from>
    <xdr:to>
      <xdr:col>20</xdr:col>
      <xdr:colOff>171450</xdr:colOff>
      <xdr:row>5</xdr:row>
      <xdr:rowOff>152400</xdr:rowOff>
    </xdr:to>
    <xdr:sp macro="" textlink="">
      <xdr:nvSpPr>
        <xdr:cNvPr id="2125" name="Rectangle 39">
          <a:extLst>
            <a:ext uri="{FF2B5EF4-FFF2-40B4-BE49-F238E27FC236}">
              <a16:creationId xmlns:a16="http://schemas.microsoft.com/office/drawing/2014/main" id="{00000000-0008-0000-0200-00004D080000}"/>
            </a:ext>
          </a:extLst>
        </xdr:cNvPr>
        <xdr:cNvSpPr>
          <a:spLocks noChangeArrowheads="1"/>
        </xdr:cNvSpPr>
      </xdr:nvSpPr>
      <xdr:spPr bwMode="auto">
        <a:xfrm>
          <a:off x="1676400" y="0"/>
          <a:ext cx="3695700" cy="9620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9525</xdr:colOff>
      <xdr:row>3</xdr:row>
      <xdr:rowOff>95250</xdr:rowOff>
    </xdr:from>
    <xdr:to>
      <xdr:col>12</xdr:col>
      <xdr:colOff>142875</xdr:colOff>
      <xdr:row>5</xdr:row>
      <xdr:rowOff>104775</xdr:rowOff>
    </xdr:to>
    <xdr:sp macro="" textlink="">
      <xdr:nvSpPr>
        <xdr:cNvPr id="2088" name="Text Box 40">
          <a:extLst>
            <a:ext uri="{FF2B5EF4-FFF2-40B4-BE49-F238E27FC236}">
              <a16:creationId xmlns:a16="http://schemas.microsoft.com/office/drawing/2014/main" id="{00000000-0008-0000-0200-000028080000}"/>
            </a:ext>
          </a:extLst>
        </xdr:cNvPr>
        <xdr:cNvSpPr txBox="1">
          <a:spLocks noChangeArrowheads="1"/>
        </xdr:cNvSpPr>
      </xdr:nvSpPr>
      <xdr:spPr bwMode="auto">
        <a:xfrm>
          <a:off x="2905125" y="581025"/>
          <a:ext cx="1333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15</xdr:col>
      <xdr:colOff>76200</xdr:colOff>
      <xdr:row>3</xdr:row>
      <xdr:rowOff>95250</xdr:rowOff>
    </xdr:from>
    <xdr:to>
      <xdr:col>15</xdr:col>
      <xdr:colOff>228600</xdr:colOff>
      <xdr:row>5</xdr:row>
      <xdr:rowOff>104775</xdr:rowOff>
    </xdr:to>
    <xdr:sp macro="" textlink="">
      <xdr:nvSpPr>
        <xdr:cNvPr id="2089" name="Text Box 41">
          <a:extLst>
            <a:ext uri="{FF2B5EF4-FFF2-40B4-BE49-F238E27FC236}">
              <a16:creationId xmlns:a16="http://schemas.microsoft.com/office/drawing/2014/main" id="{00000000-0008-0000-0200-000029080000}"/>
            </a:ext>
          </a:extLst>
        </xdr:cNvPr>
        <xdr:cNvSpPr txBox="1">
          <a:spLocks noChangeArrowheads="1"/>
        </xdr:cNvSpPr>
      </xdr:nvSpPr>
      <xdr:spPr bwMode="auto">
        <a:xfrm>
          <a:off x="3714750" y="581025"/>
          <a:ext cx="15240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95250</xdr:colOff>
      <xdr:row>4</xdr:row>
      <xdr:rowOff>114300</xdr:rowOff>
    </xdr:from>
    <xdr:to>
      <xdr:col>15</xdr:col>
      <xdr:colOff>123825</xdr:colOff>
      <xdr:row>5</xdr:row>
      <xdr:rowOff>104775</xdr:rowOff>
    </xdr:to>
    <xdr:sp macro="" textlink="">
      <xdr:nvSpPr>
        <xdr:cNvPr id="2090" name="Text Box 42">
          <a:extLst>
            <a:ext uri="{FF2B5EF4-FFF2-40B4-BE49-F238E27FC236}">
              <a16:creationId xmlns:a16="http://schemas.microsoft.com/office/drawing/2014/main" id="{00000000-0008-0000-0200-00002A080000}"/>
            </a:ext>
          </a:extLst>
        </xdr:cNvPr>
        <xdr:cNvSpPr txBox="1">
          <a:spLocks noChangeArrowheads="1"/>
        </xdr:cNvSpPr>
      </xdr:nvSpPr>
      <xdr:spPr bwMode="auto">
        <a:xfrm>
          <a:off x="2990850" y="762000"/>
          <a:ext cx="771525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11</xdr:col>
      <xdr:colOff>57150</xdr:colOff>
      <xdr:row>0</xdr:row>
      <xdr:rowOff>38100</xdr:rowOff>
    </xdr:from>
    <xdr:to>
      <xdr:col>17</xdr:col>
      <xdr:colOff>180975</xdr:colOff>
      <xdr:row>1</xdr:row>
      <xdr:rowOff>38100</xdr:rowOff>
    </xdr:to>
    <xdr:sp macro="" textlink="">
      <xdr:nvSpPr>
        <xdr:cNvPr id="2092" name="Text Box 44">
          <a:extLst>
            <a:ext uri="{FF2B5EF4-FFF2-40B4-BE49-F238E27FC236}">
              <a16:creationId xmlns:a16="http://schemas.microsoft.com/office/drawing/2014/main" id="{00000000-0008-0000-0200-00002C080000}"/>
            </a:ext>
          </a:extLst>
        </xdr:cNvPr>
        <xdr:cNvSpPr txBox="1">
          <a:spLocks noChangeArrowheads="1"/>
        </xdr:cNvSpPr>
      </xdr:nvSpPr>
      <xdr:spPr bwMode="auto">
        <a:xfrm>
          <a:off x="2705100" y="38100"/>
          <a:ext cx="1685925" cy="161925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COMPTE RENDU D'ESSAIS</a:t>
          </a:r>
        </a:p>
      </xdr:txBody>
    </xdr:sp>
    <xdr:clientData/>
  </xdr:twoCellAnchor>
  <xdr:twoCellAnchor>
    <xdr:from>
      <xdr:col>16</xdr:col>
      <xdr:colOff>9525</xdr:colOff>
      <xdr:row>4</xdr:row>
      <xdr:rowOff>114300</xdr:rowOff>
    </xdr:from>
    <xdr:to>
      <xdr:col>19</xdr:col>
      <xdr:colOff>200025</xdr:colOff>
      <xdr:row>5</xdr:row>
      <xdr:rowOff>142875</xdr:rowOff>
    </xdr:to>
    <xdr:sp macro="" textlink="">
      <xdr:nvSpPr>
        <xdr:cNvPr id="2093" name="Text Box 45">
          <a:extLst>
            <a:ext uri="{FF2B5EF4-FFF2-40B4-BE49-F238E27FC236}">
              <a16:creationId xmlns:a16="http://schemas.microsoft.com/office/drawing/2014/main" id="{00000000-0008-0000-0200-00002D080000}"/>
            </a:ext>
          </a:extLst>
        </xdr:cNvPr>
        <xdr:cNvSpPr txBox="1">
          <a:spLocks noChangeArrowheads="1"/>
        </xdr:cNvSpPr>
      </xdr:nvSpPr>
      <xdr:spPr bwMode="auto">
        <a:xfrm>
          <a:off x="3895725" y="762000"/>
          <a:ext cx="116205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du 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39</xdr:row>
          <xdr:rowOff>7620</xdr:rowOff>
        </xdr:from>
        <xdr:to>
          <xdr:col>2</xdr:col>
          <xdr:colOff>76200</xdr:colOff>
          <xdr:row>40</xdr:row>
          <xdr:rowOff>30480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2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38</xdr:row>
          <xdr:rowOff>327660</xdr:rowOff>
        </xdr:from>
        <xdr:to>
          <xdr:col>7</xdr:col>
          <xdr:colOff>68580</xdr:colOff>
          <xdr:row>40</xdr:row>
          <xdr:rowOff>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2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39</xdr:row>
          <xdr:rowOff>0</xdr:rowOff>
        </xdr:from>
        <xdr:to>
          <xdr:col>12</xdr:col>
          <xdr:colOff>175260</xdr:colOff>
          <xdr:row>40</xdr:row>
          <xdr:rowOff>22860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209550</xdr:colOff>
      <xdr:row>2</xdr:row>
      <xdr:rowOff>9525</xdr:rowOff>
    </xdr:from>
    <xdr:to>
      <xdr:col>5</xdr:col>
      <xdr:colOff>209550</xdr:colOff>
      <xdr:row>4</xdr:row>
      <xdr:rowOff>9525</xdr:rowOff>
    </xdr:to>
    <xdr:pic>
      <xdr:nvPicPr>
        <xdr:cNvPr id="23" name="Image 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33375"/>
          <a:ext cx="9906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390525</xdr:colOff>
      <xdr:row>0</xdr:row>
      <xdr:rowOff>0</xdr:rowOff>
    </xdr:from>
    <xdr:to>
      <xdr:col>30</xdr:col>
      <xdr:colOff>390525</xdr:colOff>
      <xdr:row>0</xdr:row>
      <xdr:rowOff>0</xdr:rowOff>
    </xdr:to>
    <xdr:sp macro="" textlink="">
      <xdr:nvSpPr>
        <xdr:cNvPr id="13333" name="Line 1">
          <a:extLst>
            <a:ext uri="{FF2B5EF4-FFF2-40B4-BE49-F238E27FC236}">
              <a16:creationId xmlns:a16="http://schemas.microsoft.com/office/drawing/2014/main" id="{00000000-0008-0000-0300-000015340000}"/>
            </a:ext>
          </a:extLst>
        </xdr:cNvPr>
        <xdr:cNvSpPr>
          <a:spLocks noChangeShapeType="1"/>
        </xdr:cNvSpPr>
      </xdr:nvSpPr>
      <xdr:spPr bwMode="auto">
        <a:xfrm>
          <a:off x="1075372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438150</xdr:colOff>
      <xdr:row>0</xdr:row>
      <xdr:rowOff>0</xdr:rowOff>
    </xdr:from>
    <xdr:to>
      <xdr:col>30</xdr:col>
      <xdr:colOff>0</xdr:colOff>
      <xdr:row>0</xdr:row>
      <xdr:rowOff>0</xdr:rowOff>
    </xdr:to>
    <xdr:sp macro="" textlink="">
      <xdr:nvSpPr>
        <xdr:cNvPr id="13334" name="Line 2">
          <a:extLst>
            <a:ext uri="{FF2B5EF4-FFF2-40B4-BE49-F238E27FC236}">
              <a16:creationId xmlns:a16="http://schemas.microsoft.com/office/drawing/2014/main" id="{00000000-0008-0000-0300-000016340000}"/>
            </a:ext>
          </a:extLst>
        </xdr:cNvPr>
        <xdr:cNvSpPr>
          <a:spLocks noChangeShapeType="1"/>
        </xdr:cNvSpPr>
      </xdr:nvSpPr>
      <xdr:spPr bwMode="auto">
        <a:xfrm flipH="1">
          <a:off x="10039350" y="0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266700</xdr:colOff>
      <xdr:row>0</xdr:row>
      <xdr:rowOff>0</xdr:rowOff>
    </xdr:to>
    <xdr:sp macro="" textlink="">
      <xdr:nvSpPr>
        <xdr:cNvPr id="13335" name="Line 3">
          <a:extLst>
            <a:ext uri="{FF2B5EF4-FFF2-40B4-BE49-F238E27FC236}">
              <a16:creationId xmlns:a16="http://schemas.microsoft.com/office/drawing/2014/main" id="{00000000-0008-0000-0300-000017340000}"/>
            </a:ext>
          </a:extLst>
        </xdr:cNvPr>
        <xdr:cNvSpPr>
          <a:spLocks noChangeShapeType="1"/>
        </xdr:cNvSpPr>
      </xdr:nvSpPr>
      <xdr:spPr bwMode="auto">
        <a:xfrm>
          <a:off x="11125200" y="0"/>
          <a:ext cx="26670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476250</xdr:colOff>
      <xdr:row>0</xdr:row>
      <xdr:rowOff>0</xdr:rowOff>
    </xdr:from>
    <xdr:to>
      <xdr:col>30</xdr:col>
      <xdr:colOff>0</xdr:colOff>
      <xdr:row>0</xdr:row>
      <xdr:rowOff>0</xdr:rowOff>
    </xdr:to>
    <xdr:sp macro="" textlink="">
      <xdr:nvSpPr>
        <xdr:cNvPr id="13336" name="Line 4">
          <a:extLst>
            <a:ext uri="{FF2B5EF4-FFF2-40B4-BE49-F238E27FC236}">
              <a16:creationId xmlns:a16="http://schemas.microsoft.com/office/drawing/2014/main" id="{00000000-0008-0000-0300-0000183400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0"/>
          <a:ext cx="28575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190500</xdr:colOff>
      <xdr:row>0</xdr:row>
      <xdr:rowOff>0</xdr:rowOff>
    </xdr:to>
    <xdr:sp macro="" textlink="">
      <xdr:nvSpPr>
        <xdr:cNvPr id="13337" name="Line 5">
          <a:extLst>
            <a:ext uri="{FF2B5EF4-FFF2-40B4-BE49-F238E27FC236}">
              <a16:creationId xmlns:a16="http://schemas.microsoft.com/office/drawing/2014/main" id="{00000000-0008-0000-0300-000019340000}"/>
            </a:ext>
          </a:extLst>
        </xdr:cNvPr>
        <xdr:cNvSpPr>
          <a:spLocks noChangeShapeType="1"/>
        </xdr:cNvSpPr>
      </xdr:nvSpPr>
      <xdr:spPr bwMode="auto">
        <a:xfrm flipV="1">
          <a:off x="11125200" y="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95250</xdr:colOff>
      <xdr:row>0</xdr:row>
      <xdr:rowOff>847725</xdr:rowOff>
    </xdr:from>
    <xdr:to>
      <xdr:col>9</xdr:col>
      <xdr:colOff>219075</xdr:colOff>
      <xdr:row>1</xdr:row>
      <xdr:rowOff>0</xdr:rowOff>
    </xdr:to>
    <xdr:sp macro="" textlink="">
      <xdr:nvSpPr>
        <xdr:cNvPr id="8198" name="Text Box 6">
          <a:extLst>
            <a:ext uri="{FF2B5EF4-FFF2-40B4-BE49-F238E27FC236}">
              <a16:creationId xmlns:a16="http://schemas.microsoft.com/office/drawing/2014/main" id="{00000000-0008-0000-0300-000006200000}"/>
            </a:ext>
          </a:extLst>
        </xdr:cNvPr>
        <xdr:cNvSpPr txBox="1">
          <a:spLocks noChangeArrowheads="1"/>
        </xdr:cNvSpPr>
      </xdr:nvSpPr>
      <xdr:spPr bwMode="auto">
        <a:xfrm>
          <a:off x="2609850" y="847725"/>
          <a:ext cx="43815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22</xdr:col>
      <xdr:colOff>0</xdr:colOff>
      <xdr:row>0</xdr:row>
      <xdr:rowOff>9525</xdr:rowOff>
    </xdr:from>
    <xdr:to>
      <xdr:col>27</xdr:col>
      <xdr:colOff>304800</xdr:colOff>
      <xdr:row>0</xdr:row>
      <xdr:rowOff>981075</xdr:rowOff>
    </xdr:to>
    <xdr:sp macro="" textlink="" fLocksText="0">
      <xdr:nvSpPr>
        <xdr:cNvPr id="8200" name="Text Box 8">
          <a:extLst>
            <a:ext uri="{FF2B5EF4-FFF2-40B4-BE49-F238E27FC236}">
              <a16:creationId xmlns:a16="http://schemas.microsoft.com/office/drawing/2014/main" id="{00000000-0008-0000-0300-000008200000}"/>
            </a:ext>
          </a:extLst>
        </xdr:cNvPr>
        <xdr:cNvSpPr txBox="1">
          <a:spLocks noChangeArrowheads="1"/>
        </xdr:cNvSpPr>
      </xdr:nvSpPr>
      <xdr:spPr bwMode="auto">
        <a:xfrm>
          <a:off x="6953250" y="9525"/>
          <a:ext cx="1876425" cy="971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0</xdr:colOff>
      <xdr:row>1</xdr:row>
      <xdr:rowOff>0</xdr:rowOff>
    </xdr:to>
    <xdr:sp macro="" textlink="">
      <xdr:nvSpPr>
        <xdr:cNvPr id="13341" name="Rectangle 9">
          <a:extLst>
            <a:ext uri="{FF2B5EF4-FFF2-40B4-BE49-F238E27FC236}">
              <a16:creationId xmlns:a16="http://schemas.microsoft.com/office/drawing/2014/main" id="{00000000-0008-0000-0300-00001D3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839200" cy="10572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47625</xdr:colOff>
      <xdr:row>0</xdr:row>
      <xdr:rowOff>0</xdr:rowOff>
    </xdr:from>
    <xdr:to>
      <xdr:col>22</xdr:col>
      <xdr:colOff>95250</xdr:colOff>
      <xdr:row>0</xdr:row>
      <xdr:rowOff>742950</xdr:rowOff>
    </xdr:to>
    <xdr:sp macro="" textlink="">
      <xdr:nvSpPr>
        <xdr:cNvPr id="8202" name="Text Box 10">
          <a:extLst>
            <a:ext uri="{FF2B5EF4-FFF2-40B4-BE49-F238E27FC236}">
              <a16:creationId xmlns:a16="http://schemas.microsoft.com/office/drawing/2014/main" id="{00000000-0008-0000-0300-00000A200000}"/>
            </a:ext>
          </a:extLst>
        </xdr:cNvPr>
        <xdr:cNvSpPr txBox="1">
          <a:spLocks noChangeArrowheads="1"/>
        </xdr:cNvSpPr>
      </xdr:nvSpPr>
      <xdr:spPr bwMode="auto">
        <a:xfrm>
          <a:off x="1619250" y="0"/>
          <a:ext cx="5429250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COEFFICIENT D'ABSORPTION D'EAU DES GRANULATS </a:t>
          </a:r>
        </a:p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(NF EN 1097 - 6)</a:t>
          </a:r>
        </a:p>
      </xdr:txBody>
    </xdr:sp>
    <xdr:clientData/>
  </xdr:twoCellAnchor>
  <xdr:twoCellAnchor>
    <xdr:from>
      <xdr:col>6</xdr:col>
      <xdr:colOff>190500</xdr:colOff>
      <xdr:row>0</xdr:row>
      <xdr:rowOff>647700</xdr:rowOff>
    </xdr:from>
    <xdr:to>
      <xdr:col>8</xdr:col>
      <xdr:colOff>114300</xdr:colOff>
      <xdr:row>0</xdr:row>
      <xdr:rowOff>904875</xdr:rowOff>
    </xdr:to>
    <xdr:sp macro="" textlink="">
      <xdr:nvSpPr>
        <xdr:cNvPr id="8203" name="Text Box 11">
          <a:extLst>
            <a:ext uri="{FF2B5EF4-FFF2-40B4-BE49-F238E27FC236}">
              <a16:creationId xmlns:a16="http://schemas.microsoft.com/office/drawing/2014/main" id="{00000000-0008-0000-0300-00000B200000}"/>
            </a:ext>
          </a:extLst>
        </xdr:cNvPr>
        <xdr:cNvSpPr txBox="1">
          <a:spLocks noChangeArrowheads="1"/>
        </xdr:cNvSpPr>
      </xdr:nvSpPr>
      <xdr:spPr bwMode="auto">
        <a:xfrm>
          <a:off x="2076450" y="647700"/>
          <a:ext cx="552450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8</xdr:col>
      <xdr:colOff>104775</xdr:colOff>
      <xdr:row>0</xdr:row>
      <xdr:rowOff>647700</xdr:rowOff>
    </xdr:from>
    <xdr:to>
      <xdr:col>9</xdr:col>
      <xdr:colOff>228600</xdr:colOff>
      <xdr:row>0</xdr:row>
      <xdr:rowOff>838200</xdr:rowOff>
    </xdr:to>
    <xdr:sp macro="" textlink="" fLocksText="0">
      <xdr:nvSpPr>
        <xdr:cNvPr id="8204" name="Text Box 12">
          <a:extLst>
            <a:ext uri="{FF2B5EF4-FFF2-40B4-BE49-F238E27FC236}">
              <a16:creationId xmlns:a16="http://schemas.microsoft.com/office/drawing/2014/main" id="{00000000-0008-0000-0300-00000C200000}"/>
            </a:ext>
          </a:extLst>
        </xdr:cNvPr>
        <xdr:cNvSpPr txBox="1">
          <a:spLocks noChangeArrowheads="1"/>
        </xdr:cNvSpPr>
      </xdr:nvSpPr>
      <xdr:spPr bwMode="auto">
        <a:xfrm>
          <a:off x="2619375" y="647700"/>
          <a:ext cx="43815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257175</xdr:colOff>
      <xdr:row>0</xdr:row>
      <xdr:rowOff>647700</xdr:rowOff>
    </xdr:from>
    <xdr:to>
      <xdr:col>12</xdr:col>
      <xdr:colOff>247650</xdr:colOff>
      <xdr:row>0</xdr:row>
      <xdr:rowOff>857250</xdr:rowOff>
    </xdr:to>
    <xdr:sp macro="" textlink="" fLocksText="0">
      <xdr:nvSpPr>
        <xdr:cNvPr id="8205" name="Text Box 13">
          <a:extLst>
            <a:ext uri="{FF2B5EF4-FFF2-40B4-BE49-F238E27FC236}">
              <a16:creationId xmlns:a16="http://schemas.microsoft.com/office/drawing/2014/main" id="{00000000-0008-0000-0300-00000D200000}"/>
            </a:ext>
          </a:extLst>
        </xdr:cNvPr>
        <xdr:cNvSpPr txBox="1">
          <a:spLocks noChangeArrowheads="1"/>
        </xdr:cNvSpPr>
      </xdr:nvSpPr>
      <xdr:spPr bwMode="auto">
        <a:xfrm>
          <a:off x="3086100" y="647700"/>
          <a:ext cx="93345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12</xdr:col>
      <xdr:colOff>276225</xdr:colOff>
      <xdr:row>0</xdr:row>
      <xdr:rowOff>647700</xdr:rowOff>
    </xdr:from>
    <xdr:to>
      <xdr:col>17</xdr:col>
      <xdr:colOff>266700</xdr:colOff>
      <xdr:row>0</xdr:row>
      <xdr:rowOff>914400</xdr:rowOff>
    </xdr:to>
    <xdr:sp macro="" textlink="" fLocksText="0">
      <xdr:nvSpPr>
        <xdr:cNvPr id="8206" name="Text Box 14">
          <a:extLst>
            <a:ext uri="{FF2B5EF4-FFF2-40B4-BE49-F238E27FC236}">
              <a16:creationId xmlns:a16="http://schemas.microsoft.com/office/drawing/2014/main" id="{00000000-0008-0000-0300-00000E200000}"/>
            </a:ext>
          </a:extLst>
        </xdr:cNvPr>
        <xdr:cNvSpPr txBox="1">
          <a:spLocks noChangeArrowheads="1"/>
        </xdr:cNvSpPr>
      </xdr:nvSpPr>
      <xdr:spPr bwMode="auto">
        <a:xfrm>
          <a:off x="4048125" y="647700"/>
          <a:ext cx="16002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161925</xdr:colOff>
      <xdr:row>0</xdr:row>
      <xdr:rowOff>0</xdr:rowOff>
    </xdr:from>
    <xdr:to>
      <xdr:col>22</xdr:col>
      <xdr:colOff>0</xdr:colOff>
      <xdr:row>1</xdr:row>
      <xdr:rowOff>0</xdr:rowOff>
    </xdr:to>
    <xdr:sp macro="" textlink="">
      <xdr:nvSpPr>
        <xdr:cNvPr id="13347" name="Rectangle 15">
          <a:extLst>
            <a:ext uri="{FF2B5EF4-FFF2-40B4-BE49-F238E27FC236}">
              <a16:creationId xmlns:a16="http://schemas.microsoft.com/office/drawing/2014/main" id="{00000000-0008-0000-0300-000023340000}"/>
            </a:ext>
          </a:extLst>
        </xdr:cNvPr>
        <xdr:cNvSpPr>
          <a:spLocks noChangeArrowheads="1"/>
        </xdr:cNvSpPr>
      </xdr:nvSpPr>
      <xdr:spPr bwMode="auto">
        <a:xfrm>
          <a:off x="1733550" y="0"/>
          <a:ext cx="5219700" cy="10572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142875</xdr:colOff>
      <xdr:row>0</xdr:row>
      <xdr:rowOff>647700</xdr:rowOff>
    </xdr:from>
    <xdr:to>
      <xdr:col>10</xdr:col>
      <xdr:colOff>0</xdr:colOff>
      <xdr:row>0</xdr:row>
      <xdr:rowOff>923925</xdr:rowOff>
    </xdr:to>
    <xdr:sp macro="" textlink="">
      <xdr:nvSpPr>
        <xdr:cNvPr id="8208" name="Text Box 16">
          <a:extLst>
            <a:ext uri="{FF2B5EF4-FFF2-40B4-BE49-F238E27FC236}">
              <a16:creationId xmlns:a16="http://schemas.microsoft.com/office/drawing/2014/main" id="{00000000-0008-0000-0300-000010200000}"/>
            </a:ext>
          </a:extLst>
        </xdr:cNvPr>
        <xdr:cNvSpPr txBox="1">
          <a:spLocks noChangeArrowheads="1"/>
        </xdr:cNvSpPr>
      </xdr:nvSpPr>
      <xdr:spPr bwMode="auto">
        <a:xfrm>
          <a:off x="2971800" y="647700"/>
          <a:ext cx="171450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12</xdr:col>
      <xdr:colOff>190500</xdr:colOff>
      <xdr:row>0</xdr:row>
      <xdr:rowOff>647700</xdr:rowOff>
    </xdr:from>
    <xdr:to>
      <xdr:col>13</xdr:col>
      <xdr:colOff>57150</xdr:colOff>
      <xdr:row>0</xdr:row>
      <xdr:rowOff>923925</xdr:rowOff>
    </xdr:to>
    <xdr:sp macro="" textlink="">
      <xdr:nvSpPr>
        <xdr:cNvPr id="8209" name="Text Box 17">
          <a:extLst>
            <a:ext uri="{FF2B5EF4-FFF2-40B4-BE49-F238E27FC236}">
              <a16:creationId xmlns:a16="http://schemas.microsoft.com/office/drawing/2014/main" id="{00000000-0008-0000-0300-000011200000}"/>
            </a:ext>
          </a:extLst>
        </xdr:cNvPr>
        <xdr:cNvSpPr txBox="1">
          <a:spLocks noChangeArrowheads="1"/>
        </xdr:cNvSpPr>
      </xdr:nvSpPr>
      <xdr:spPr bwMode="auto">
        <a:xfrm>
          <a:off x="3962400" y="647700"/>
          <a:ext cx="180975" cy="276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9</xdr:col>
      <xdr:colOff>257175</xdr:colOff>
      <xdr:row>0</xdr:row>
      <xdr:rowOff>847725</xdr:rowOff>
    </xdr:from>
    <xdr:to>
      <xdr:col>12</xdr:col>
      <xdr:colOff>247650</xdr:colOff>
      <xdr:row>1</xdr:row>
      <xdr:rowOff>0</xdr:rowOff>
    </xdr:to>
    <xdr:sp macro="" textlink="">
      <xdr:nvSpPr>
        <xdr:cNvPr id="8210" name="Text Box 18">
          <a:extLst>
            <a:ext uri="{FF2B5EF4-FFF2-40B4-BE49-F238E27FC236}">
              <a16:creationId xmlns:a16="http://schemas.microsoft.com/office/drawing/2014/main" id="{00000000-0008-0000-0300-000012200000}"/>
            </a:ext>
          </a:extLst>
        </xdr:cNvPr>
        <xdr:cNvSpPr txBox="1">
          <a:spLocks noChangeArrowheads="1"/>
        </xdr:cNvSpPr>
      </xdr:nvSpPr>
      <xdr:spPr bwMode="auto">
        <a:xfrm>
          <a:off x="3086100" y="847725"/>
          <a:ext cx="93345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>
    <xdr:from>
      <xdr:col>13</xdr:col>
      <xdr:colOff>133350</xdr:colOff>
      <xdr:row>0</xdr:row>
      <xdr:rowOff>838200</xdr:rowOff>
    </xdr:from>
    <xdr:to>
      <xdr:col>17</xdr:col>
      <xdr:colOff>266700</xdr:colOff>
      <xdr:row>1</xdr:row>
      <xdr:rowOff>28575</xdr:rowOff>
    </xdr:to>
    <xdr:sp macro="" textlink="">
      <xdr:nvSpPr>
        <xdr:cNvPr id="8211" name="Text Box 19">
          <a:extLst>
            <a:ext uri="{FF2B5EF4-FFF2-40B4-BE49-F238E27FC236}">
              <a16:creationId xmlns:a16="http://schemas.microsoft.com/office/drawing/2014/main" id="{00000000-0008-0000-0300-000013200000}"/>
            </a:ext>
          </a:extLst>
        </xdr:cNvPr>
        <xdr:cNvSpPr txBox="1">
          <a:spLocks noChangeArrowheads="1"/>
        </xdr:cNvSpPr>
      </xdr:nvSpPr>
      <xdr:spPr bwMode="auto">
        <a:xfrm>
          <a:off x="4219575" y="838200"/>
          <a:ext cx="1428750" cy="247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de la FE</a:t>
          </a:r>
        </a:p>
      </xdr:txBody>
    </xdr:sp>
    <xdr:clientData/>
  </xdr:twoCellAnchor>
  <xdr:twoCellAnchor editAs="oneCell">
    <xdr:from>
      <xdr:col>1</xdr:col>
      <xdr:colOff>9526</xdr:colOff>
      <xdr:row>0</xdr:row>
      <xdr:rowOff>304800</xdr:rowOff>
    </xdr:from>
    <xdr:to>
      <xdr:col>4</xdr:col>
      <xdr:colOff>152401</xdr:colOff>
      <xdr:row>0</xdr:row>
      <xdr:rowOff>685800</xdr:rowOff>
    </xdr:to>
    <xdr:pic>
      <xdr:nvPicPr>
        <xdr:cNvPr id="21" name="Image 1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1" y="304800"/>
          <a:ext cx="10858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65"/>
  <sheetViews>
    <sheetView tabSelected="1" workbookViewId="0">
      <selection activeCell="A55" sqref="A55:Q58"/>
    </sheetView>
  </sheetViews>
  <sheetFormatPr baseColWidth="10" defaultColWidth="11.44140625" defaultRowHeight="12.75" customHeight="1" x14ac:dyDescent="0.25"/>
  <cols>
    <col min="1" max="1" width="5.109375" style="47" customWidth="1"/>
    <col min="2" max="26" width="5.109375" style="1" customWidth="1"/>
    <col min="27" max="16384" width="11.44140625" style="1"/>
  </cols>
  <sheetData>
    <row r="1" spans="1:26" ht="12.75" customHeight="1" x14ac:dyDescent="0.25">
      <c r="A1" s="238"/>
      <c r="B1" s="239"/>
      <c r="C1" s="239"/>
      <c r="D1" s="239"/>
      <c r="E1" s="239"/>
      <c r="F1" s="240"/>
      <c r="G1" s="247" t="s">
        <v>107</v>
      </c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9"/>
      <c r="U1" s="253"/>
      <c r="V1" s="254"/>
      <c r="W1" s="254"/>
      <c r="X1" s="254"/>
      <c r="Y1" s="254"/>
      <c r="Z1" s="255"/>
    </row>
    <row r="2" spans="1:26" ht="12.75" customHeight="1" x14ac:dyDescent="0.25">
      <c r="A2" s="241"/>
      <c r="B2" s="242"/>
      <c r="C2" s="242"/>
      <c r="D2" s="242"/>
      <c r="E2" s="242"/>
      <c r="F2" s="243"/>
      <c r="G2" s="262" t="s">
        <v>108</v>
      </c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4"/>
      <c r="U2" s="256"/>
      <c r="V2" s="257"/>
      <c r="W2" s="257"/>
      <c r="X2" s="257"/>
      <c r="Y2" s="257"/>
      <c r="Z2" s="258"/>
    </row>
    <row r="3" spans="1:26" ht="12.75" customHeight="1" x14ac:dyDescent="0.25">
      <c r="A3" s="241"/>
      <c r="B3" s="242"/>
      <c r="C3" s="242"/>
      <c r="D3" s="242"/>
      <c r="E3" s="242"/>
      <c r="F3" s="243"/>
      <c r="G3" s="262"/>
      <c r="H3" s="263"/>
      <c r="I3" s="263"/>
      <c r="J3" s="263"/>
      <c r="K3" s="263"/>
      <c r="L3" s="263"/>
      <c r="M3" s="263"/>
      <c r="N3" s="263"/>
      <c r="O3" s="263"/>
      <c r="P3" s="263"/>
      <c r="Q3" s="263"/>
      <c r="R3" s="263"/>
      <c r="S3" s="263"/>
      <c r="T3" s="264"/>
      <c r="U3" s="256"/>
      <c r="V3" s="257"/>
      <c r="W3" s="257"/>
      <c r="X3" s="257"/>
      <c r="Y3" s="257"/>
      <c r="Z3" s="258"/>
    </row>
    <row r="4" spans="1:26" ht="12.75" customHeight="1" x14ac:dyDescent="0.25">
      <c r="A4" s="241"/>
      <c r="B4" s="242"/>
      <c r="C4" s="242"/>
      <c r="D4" s="242"/>
      <c r="E4" s="242"/>
      <c r="F4" s="243"/>
      <c r="G4" s="262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4"/>
      <c r="U4" s="256"/>
      <c r="V4" s="257"/>
      <c r="W4" s="257"/>
      <c r="X4" s="257"/>
      <c r="Y4" s="257"/>
      <c r="Z4" s="258"/>
    </row>
    <row r="5" spans="1:26" ht="12.75" customHeight="1" x14ac:dyDescent="0.25">
      <c r="A5" s="241"/>
      <c r="B5" s="242"/>
      <c r="C5" s="242"/>
      <c r="D5" s="242"/>
      <c r="E5" s="242"/>
      <c r="F5" s="243"/>
      <c r="G5" s="265" t="s">
        <v>106</v>
      </c>
      <c r="H5" s="266"/>
      <c r="I5" s="2" t="s">
        <v>105</v>
      </c>
      <c r="J5" s="417"/>
      <c r="K5" s="418"/>
      <c r="L5" s="419"/>
      <c r="M5" s="420"/>
      <c r="N5" s="420"/>
      <c r="O5" s="421"/>
      <c r="P5" s="422"/>
      <c r="Q5" s="423"/>
      <c r="R5" s="423"/>
      <c r="S5" s="423"/>
      <c r="T5" s="424"/>
      <c r="U5" s="256"/>
      <c r="V5" s="257"/>
      <c r="W5" s="257"/>
      <c r="X5" s="257"/>
      <c r="Y5" s="257"/>
      <c r="Z5" s="258"/>
    </row>
    <row r="6" spans="1:26" ht="12.75" customHeight="1" x14ac:dyDescent="0.25">
      <c r="A6" s="244"/>
      <c r="B6" s="245"/>
      <c r="C6" s="245"/>
      <c r="D6" s="245"/>
      <c r="E6" s="245"/>
      <c r="F6" s="246"/>
      <c r="G6" s="3"/>
      <c r="H6" s="4"/>
      <c r="I6" s="4"/>
      <c r="J6" s="251" t="s">
        <v>104</v>
      </c>
      <c r="K6" s="251"/>
      <c r="L6" s="251" t="s">
        <v>103</v>
      </c>
      <c r="M6" s="251"/>
      <c r="N6" s="251"/>
      <c r="O6" s="251"/>
      <c r="P6" s="251" t="s">
        <v>102</v>
      </c>
      <c r="Q6" s="251"/>
      <c r="R6" s="251"/>
      <c r="S6" s="251"/>
      <c r="T6" s="252"/>
      <c r="U6" s="259"/>
      <c r="V6" s="260"/>
      <c r="W6" s="260"/>
      <c r="X6" s="260"/>
      <c r="Y6" s="260"/>
      <c r="Z6" s="261"/>
    </row>
    <row r="7" spans="1:26" ht="36.6" customHeight="1" x14ac:dyDescent="0.25">
      <c r="A7" s="267" t="s">
        <v>36</v>
      </c>
      <c r="B7" s="267"/>
      <c r="C7" s="267"/>
      <c r="D7" s="267"/>
      <c r="E7" s="267"/>
      <c r="F7" s="267"/>
      <c r="G7" s="284" t="s">
        <v>37</v>
      </c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</row>
    <row r="8" spans="1:26" ht="15.6" customHeight="1" x14ac:dyDescent="0.25">
      <c r="A8" s="5" t="s">
        <v>1</v>
      </c>
      <c r="B8" s="6" t="s">
        <v>2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237" t="s">
        <v>26</v>
      </c>
      <c r="C10" s="237"/>
      <c r="D10" s="237"/>
      <c r="E10" s="237"/>
      <c r="F10" s="237"/>
      <c r="G10" s="237"/>
      <c r="H10" s="236"/>
      <c r="I10" s="236"/>
      <c r="J10" s="236"/>
      <c r="K10" s="236"/>
      <c r="L10" s="236"/>
      <c r="M10" s="236"/>
      <c r="N10" s="237" t="s">
        <v>27</v>
      </c>
      <c r="O10" s="237"/>
      <c r="P10" s="237"/>
      <c r="Q10" s="237"/>
      <c r="R10" s="237"/>
      <c r="S10" s="250"/>
      <c r="T10" s="250"/>
      <c r="U10" s="250"/>
      <c r="V10" s="250"/>
      <c r="W10" s="250"/>
      <c r="X10" s="250"/>
      <c r="Y10" s="250"/>
      <c r="Z10" s="14"/>
    </row>
    <row r="11" spans="1:26" ht="15.9" customHeight="1" x14ac:dyDescent="0.25">
      <c r="A11" s="10"/>
      <c r="B11" s="237" t="s">
        <v>38</v>
      </c>
      <c r="C11" s="237"/>
      <c r="D11" s="237"/>
      <c r="E11" s="237"/>
      <c r="F11" s="237"/>
      <c r="G11" s="237"/>
      <c r="H11" s="285"/>
      <c r="I11" s="285"/>
      <c r="J11" s="285"/>
      <c r="K11" s="285"/>
      <c r="L11" s="285"/>
      <c r="M11" s="285"/>
      <c r="N11" s="237" t="s">
        <v>101</v>
      </c>
      <c r="O11" s="237"/>
      <c r="P11" s="237"/>
      <c r="Q11" s="237"/>
      <c r="R11" s="237"/>
      <c r="S11" s="250"/>
      <c r="T11" s="250"/>
      <c r="U11" s="250"/>
      <c r="V11" s="250"/>
      <c r="W11" s="250"/>
      <c r="X11" s="250"/>
      <c r="Y11" s="250"/>
      <c r="Z11" s="14"/>
    </row>
    <row r="12" spans="1:26" ht="15.9" customHeight="1" x14ac:dyDescent="0.25">
      <c r="A12" s="10"/>
      <c r="B12" s="237" t="s">
        <v>39</v>
      </c>
      <c r="C12" s="237"/>
      <c r="D12" s="237"/>
      <c r="E12" s="237"/>
      <c r="F12" s="237"/>
      <c r="G12" s="237"/>
      <c r="H12" s="285"/>
      <c r="I12" s="285"/>
      <c r="J12" s="285"/>
      <c r="K12" s="285"/>
      <c r="L12" s="285"/>
      <c r="M12" s="285"/>
      <c r="N12" s="237" t="s">
        <v>29</v>
      </c>
      <c r="O12" s="237"/>
      <c r="P12" s="237"/>
      <c r="Q12" s="237"/>
      <c r="R12" s="237"/>
      <c r="S12" s="250"/>
      <c r="T12" s="250"/>
      <c r="U12" s="250"/>
      <c r="V12" s="250"/>
      <c r="W12" s="250"/>
      <c r="X12" s="250"/>
      <c r="Y12" s="250"/>
      <c r="Z12" s="14"/>
    </row>
    <row r="13" spans="1:26" ht="15.9" customHeight="1" x14ac:dyDescent="0.25">
      <c r="A13" s="10"/>
      <c r="B13" s="237" t="s">
        <v>100</v>
      </c>
      <c r="C13" s="237"/>
      <c r="D13" s="237"/>
      <c r="E13" s="237"/>
      <c r="F13" s="237"/>
      <c r="G13" s="237"/>
      <c r="H13" s="285"/>
      <c r="I13" s="285"/>
      <c r="J13" s="285"/>
      <c r="K13" s="285"/>
      <c r="L13" s="285"/>
      <c r="M13" s="285"/>
      <c r="N13" s="237" t="s">
        <v>4</v>
      </c>
      <c r="O13" s="237"/>
      <c r="P13" s="237"/>
      <c r="Q13" s="237"/>
      <c r="R13" s="237"/>
      <c r="S13" s="250"/>
      <c r="T13" s="250"/>
      <c r="U13" s="250"/>
      <c r="V13" s="250"/>
      <c r="W13" s="250"/>
      <c r="X13" s="250"/>
      <c r="Y13" s="250"/>
      <c r="Z13" s="14"/>
    </row>
    <row r="14" spans="1:26" ht="8.25" customHeight="1" x14ac:dyDescent="0.25">
      <c r="A14" s="15"/>
      <c r="B14" s="4"/>
      <c r="C14" s="4"/>
      <c r="D14" s="16"/>
      <c r="E14" s="16"/>
      <c r="F14" s="16"/>
      <c r="G14" s="16"/>
      <c r="H14" s="4"/>
      <c r="I14" s="4"/>
      <c r="J14" s="4"/>
      <c r="K14" s="4"/>
      <c r="L14" s="4"/>
      <c r="M14" s="4"/>
      <c r="N14" s="17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18"/>
    </row>
    <row r="15" spans="1:26" s="19" customFormat="1" ht="15" x14ac:dyDescent="0.25">
      <c r="B15" s="20"/>
      <c r="C15" s="20"/>
      <c r="K15" s="21"/>
      <c r="L15" s="20"/>
      <c r="M15" s="22"/>
    </row>
    <row r="16" spans="1:26" s="19" customFormat="1" ht="15.6" customHeight="1" x14ac:dyDescent="0.25">
      <c r="A16" s="5" t="s">
        <v>5</v>
      </c>
      <c r="B16" s="23" t="s">
        <v>6</v>
      </c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5"/>
    </row>
    <row r="17" spans="1:26" s="19" customFormat="1" ht="15" x14ac:dyDescent="0.25">
      <c r="A17" s="26"/>
      <c r="B17" s="27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9"/>
    </row>
    <row r="18" spans="1:26" s="19" customFormat="1" ht="15" x14ac:dyDescent="0.25">
      <c r="A18" s="26"/>
      <c r="B18" s="425" t="s">
        <v>7</v>
      </c>
      <c r="C18" s="425"/>
      <c r="D18" s="425"/>
      <c r="E18" s="425"/>
      <c r="F18" s="425"/>
      <c r="G18" s="425"/>
      <c r="H18" s="425"/>
      <c r="I18" s="426"/>
      <c r="J18" s="426"/>
      <c r="K18" s="426"/>
      <c r="L18" s="426"/>
      <c r="M18" s="426"/>
      <c r="N18" s="426"/>
      <c r="O18" s="426"/>
      <c r="P18" s="426"/>
      <c r="Q18" s="426"/>
      <c r="R18" s="426"/>
      <c r="S18" s="426"/>
      <c r="T18" s="426"/>
      <c r="U18" s="426"/>
      <c r="V18" s="426"/>
      <c r="W18" s="426"/>
      <c r="X18" s="426"/>
      <c r="Y18" s="426"/>
      <c r="Z18" s="30"/>
    </row>
    <row r="19" spans="1:26" s="19" customFormat="1" ht="15" x14ac:dyDescent="0.25">
      <c r="A19" s="26"/>
      <c r="B19" s="425" t="s">
        <v>8</v>
      </c>
      <c r="C19" s="425"/>
      <c r="D19" s="425"/>
      <c r="E19" s="425"/>
      <c r="F19" s="425"/>
      <c r="G19" s="425"/>
      <c r="H19" s="425"/>
      <c r="I19" s="426"/>
      <c r="J19" s="426"/>
      <c r="K19" s="426"/>
      <c r="L19" s="426"/>
      <c r="M19" s="426"/>
      <c r="N19" s="426"/>
      <c r="O19" s="426"/>
      <c r="P19" s="426"/>
      <c r="Q19" s="426"/>
      <c r="R19" s="426"/>
      <c r="S19" s="426"/>
      <c r="T19" s="426"/>
      <c r="U19" s="426"/>
      <c r="V19" s="426"/>
      <c r="W19" s="426"/>
      <c r="X19" s="426"/>
      <c r="Y19" s="426"/>
      <c r="Z19" s="30"/>
    </row>
    <row r="20" spans="1:26" s="19" customFormat="1" ht="13.2" x14ac:dyDescent="0.25">
      <c r="A20" s="3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3"/>
    </row>
    <row r="21" spans="1:26" ht="12.75" customHeight="1" x14ac:dyDescent="0.25">
      <c r="A21" s="12"/>
      <c r="B21" s="11"/>
      <c r="C21" s="11"/>
      <c r="D21" s="12"/>
      <c r="E21" s="12"/>
      <c r="F21" s="12"/>
      <c r="G21" s="12"/>
      <c r="H21" s="11"/>
      <c r="I21" s="11"/>
      <c r="J21" s="11"/>
      <c r="K21" s="11"/>
      <c r="L21" s="11"/>
      <c r="M21" s="11"/>
      <c r="N21" s="34"/>
      <c r="O21" s="11"/>
      <c r="P21" s="11"/>
      <c r="Q21" s="11"/>
      <c r="R21" s="11"/>
      <c r="S21" s="11"/>
      <c r="T21" s="11"/>
      <c r="U21" s="11"/>
      <c r="V21" s="11"/>
      <c r="W21" s="11"/>
      <c r="X21" s="11"/>
    </row>
    <row r="22" spans="1:26" ht="15.6" customHeight="1" x14ac:dyDescent="0.25">
      <c r="A22" s="5" t="s">
        <v>99</v>
      </c>
      <c r="B22" s="6" t="s">
        <v>10</v>
      </c>
      <c r="C22" s="35"/>
      <c r="D22" s="36"/>
      <c r="E22" s="36"/>
      <c r="F22" s="36"/>
      <c r="G22" s="36"/>
      <c r="H22" s="35"/>
      <c r="I22" s="35"/>
      <c r="J22" s="35"/>
      <c r="K22" s="35"/>
      <c r="L22" s="3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9"/>
    </row>
    <row r="23" spans="1:26" ht="15.75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3"/>
    </row>
    <row r="24" spans="1:26" ht="15.75" customHeight="1" x14ac:dyDescent="0.2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3"/>
    </row>
    <row r="25" spans="1:26" ht="15.75" customHeight="1" x14ac:dyDescent="0.25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3"/>
    </row>
    <row r="26" spans="1:26" ht="15.75" customHeight="1" x14ac:dyDescent="0.25">
      <c r="A26" s="10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3"/>
    </row>
    <row r="27" spans="1:26" ht="15.75" customHeight="1" x14ac:dyDescent="0.25">
      <c r="A27" s="10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3"/>
    </row>
    <row r="28" spans="1:26" ht="15.75" customHeight="1" x14ac:dyDescent="0.25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3"/>
    </row>
    <row r="29" spans="1:26" ht="15.75" customHeight="1" x14ac:dyDescent="0.25">
      <c r="A29" s="1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3"/>
    </row>
    <row r="30" spans="1:26" ht="15.75" customHeight="1" x14ac:dyDescent="0.25">
      <c r="A30" s="1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3"/>
    </row>
    <row r="31" spans="1:26" ht="15.75" customHeight="1" thickBot="1" x14ac:dyDescent="0.3">
      <c r="A31" s="10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3"/>
    </row>
    <row r="32" spans="1:26" ht="15.75" customHeight="1" x14ac:dyDescent="0.25">
      <c r="A32" s="10"/>
      <c r="B32" s="11"/>
      <c r="C32" s="11"/>
      <c r="D32" s="11"/>
      <c r="E32" s="11"/>
      <c r="F32" s="11"/>
      <c r="G32" s="447" t="s">
        <v>11</v>
      </c>
      <c r="H32" s="448"/>
      <c r="I32" s="448"/>
      <c r="J32" s="448"/>
      <c r="K32" s="448"/>
      <c r="L32" s="448"/>
      <c r="M32" s="448"/>
      <c r="N32" s="448"/>
      <c r="O32" s="448"/>
      <c r="P32" s="449"/>
      <c r="Q32" s="447" t="s">
        <v>0</v>
      </c>
      <c r="R32" s="448"/>
      <c r="S32" s="449"/>
      <c r="T32" s="11"/>
      <c r="U32" s="11"/>
      <c r="V32" s="11"/>
      <c r="W32" s="11"/>
      <c r="X32" s="11"/>
      <c r="Y32" s="11"/>
      <c r="Z32" s="13"/>
    </row>
    <row r="33" spans="1:26" ht="15.75" customHeight="1" thickBot="1" x14ac:dyDescent="0.3">
      <c r="A33" s="10"/>
      <c r="B33" s="11"/>
      <c r="C33" s="11"/>
      <c r="D33" s="11"/>
      <c r="E33" s="11"/>
      <c r="F33" s="11"/>
      <c r="G33" s="450"/>
      <c r="H33" s="451"/>
      <c r="I33" s="451"/>
      <c r="J33" s="451"/>
      <c r="K33" s="451"/>
      <c r="L33" s="451"/>
      <c r="M33" s="451"/>
      <c r="N33" s="451"/>
      <c r="O33" s="451"/>
      <c r="P33" s="452"/>
      <c r="Q33" s="450"/>
      <c r="R33" s="451"/>
      <c r="S33" s="452"/>
      <c r="T33" s="11"/>
      <c r="U33" s="11"/>
      <c r="V33" s="11"/>
      <c r="W33" s="11"/>
      <c r="X33" s="11"/>
      <c r="Y33" s="11"/>
      <c r="Z33" s="13"/>
    </row>
    <row r="34" spans="1:26" ht="15.75" customHeight="1" x14ac:dyDescent="0.25">
      <c r="A34" s="10"/>
      <c r="B34" s="11"/>
      <c r="C34" s="11"/>
      <c r="D34" s="11"/>
      <c r="E34" s="11"/>
      <c r="F34" s="11"/>
      <c r="G34" s="453"/>
      <c r="H34" s="454"/>
      <c r="I34" s="454"/>
      <c r="J34" s="454"/>
      <c r="K34" s="454"/>
      <c r="L34" s="454"/>
      <c r="M34" s="454"/>
      <c r="N34" s="455"/>
      <c r="O34" s="455"/>
      <c r="P34" s="456"/>
      <c r="Q34" s="457"/>
      <c r="R34" s="457"/>
      <c r="S34" s="458"/>
      <c r="T34" s="11"/>
      <c r="U34" s="11"/>
      <c r="V34" s="11"/>
      <c r="W34" s="11"/>
      <c r="X34" s="11"/>
      <c r="Y34" s="11"/>
      <c r="Z34" s="13"/>
    </row>
    <row r="35" spans="1:26" ht="15.75" customHeight="1" x14ac:dyDescent="0.25">
      <c r="A35" s="10"/>
      <c r="B35" s="11"/>
      <c r="C35" s="11"/>
      <c r="D35" s="11"/>
      <c r="E35" s="11"/>
      <c r="F35" s="11"/>
      <c r="G35" s="459" t="s">
        <v>32</v>
      </c>
      <c r="H35" s="460"/>
      <c r="I35" s="460"/>
      <c r="J35" s="460"/>
      <c r="K35" s="460"/>
      <c r="L35" s="460"/>
      <c r="M35" s="460"/>
      <c r="N35" s="461" t="s">
        <v>136</v>
      </c>
      <c r="O35" s="461"/>
      <c r="P35" s="462"/>
      <c r="Q35" s="463"/>
      <c r="R35" s="464"/>
      <c r="S35" s="465"/>
      <c r="T35" s="11"/>
      <c r="U35" s="11"/>
      <c r="V35" s="11"/>
      <c r="W35" s="11"/>
      <c r="X35" s="11"/>
      <c r="Y35" s="11"/>
      <c r="Z35" s="13"/>
    </row>
    <row r="36" spans="1:26" ht="15.75" customHeight="1" x14ac:dyDescent="0.25">
      <c r="A36" s="10"/>
      <c r="B36" s="11"/>
      <c r="C36" s="11"/>
      <c r="D36" s="11"/>
      <c r="E36" s="11"/>
      <c r="F36" s="11"/>
      <c r="G36" s="459"/>
      <c r="H36" s="460"/>
      <c r="I36" s="460"/>
      <c r="J36" s="460"/>
      <c r="K36" s="460"/>
      <c r="L36" s="460"/>
      <c r="M36" s="460"/>
      <c r="N36" s="461"/>
      <c r="O36" s="461"/>
      <c r="P36" s="462"/>
      <c r="Q36" s="463"/>
      <c r="R36" s="464"/>
      <c r="S36" s="465"/>
      <c r="T36" s="11"/>
      <c r="U36" s="11"/>
      <c r="V36" s="11"/>
      <c r="W36" s="11"/>
      <c r="X36" s="11"/>
      <c r="Y36" s="11"/>
      <c r="Z36" s="13"/>
    </row>
    <row r="37" spans="1:26" ht="15.75" customHeight="1" x14ac:dyDescent="0.25">
      <c r="A37" s="10"/>
      <c r="B37" s="11"/>
      <c r="C37" s="11"/>
      <c r="D37" s="11"/>
      <c r="E37" s="11"/>
      <c r="F37" s="11"/>
      <c r="G37" s="453"/>
      <c r="H37" s="454"/>
      <c r="I37" s="454"/>
      <c r="J37" s="466"/>
      <c r="K37" s="454"/>
      <c r="L37" s="454"/>
      <c r="M37" s="454"/>
      <c r="N37" s="455"/>
      <c r="O37" s="455"/>
      <c r="P37" s="456"/>
      <c r="Q37" s="457"/>
      <c r="R37" s="457"/>
      <c r="S37" s="458"/>
      <c r="T37" s="11"/>
      <c r="U37" s="11"/>
      <c r="V37" s="11"/>
      <c r="W37" s="11"/>
      <c r="X37" s="11"/>
      <c r="Y37" s="11"/>
      <c r="Z37" s="13"/>
    </row>
    <row r="38" spans="1:26" ht="15.75" customHeight="1" x14ac:dyDescent="0.25">
      <c r="A38" s="10"/>
      <c r="B38" s="11"/>
      <c r="C38" s="11"/>
      <c r="D38" s="11"/>
      <c r="E38" s="11"/>
      <c r="F38" s="11"/>
      <c r="G38" s="459" t="s">
        <v>98</v>
      </c>
      <c r="H38" s="460"/>
      <c r="I38" s="460"/>
      <c r="J38" s="460"/>
      <c r="K38" s="460"/>
      <c r="L38" s="460"/>
      <c r="M38" s="460"/>
      <c r="N38" s="461" t="s">
        <v>137</v>
      </c>
      <c r="O38" s="461"/>
      <c r="P38" s="462"/>
      <c r="Q38" s="467"/>
      <c r="R38" s="468"/>
      <c r="S38" s="462"/>
      <c r="T38" s="11"/>
      <c r="U38" s="11"/>
      <c r="V38" s="11"/>
      <c r="W38" s="11"/>
      <c r="X38" s="11"/>
      <c r="Y38" s="11"/>
      <c r="Z38" s="13"/>
    </row>
    <row r="39" spans="1:26" ht="15.75" customHeight="1" x14ac:dyDescent="0.25">
      <c r="A39" s="10"/>
      <c r="B39" s="11"/>
      <c r="C39" s="11"/>
      <c r="D39" s="11"/>
      <c r="E39" s="11"/>
      <c r="F39" s="11"/>
      <c r="G39" s="459"/>
      <c r="H39" s="460"/>
      <c r="I39" s="460"/>
      <c r="J39" s="460"/>
      <c r="K39" s="460"/>
      <c r="L39" s="460"/>
      <c r="M39" s="460"/>
      <c r="N39" s="461"/>
      <c r="O39" s="461"/>
      <c r="P39" s="462"/>
      <c r="Q39" s="467"/>
      <c r="R39" s="468"/>
      <c r="S39" s="462"/>
      <c r="T39" s="11"/>
      <c r="U39" s="11"/>
      <c r="V39" s="11"/>
      <c r="W39" s="11"/>
      <c r="X39" s="11"/>
      <c r="Y39" s="11"/>
      <c r="Z39" s="13"/>
    </row>
    <row r="40" spans="1:26" ht="15.75" customHeight="1" thickBot="1" x14ac:dyDescent="0.3">
      <c r="A40" s="10"/>
      <c r="B40" s="11"/>
      <c r="C40" s="11"/>
      <c r="D40" s="11"/>
      <c r="E40" s="11"/>
      <c r="F40" s="11"/>
      <c r="G40" s="469"/>
      <c r="H40" s="470"/>
      <c r="I40" s="470"/>
      <c r="J40" s="470"/>
      <c r="K40" s="470"/>
      <c r="L40" s="470"/>
      <c r="M40" s="470"/>
      <c r="N40" s="470"/>
      <c r="O40" s="470"/>
      <c r="P40" s="471"/>
      <c r="Q40" s="470"/>
      <c r="R40" s="470"/>
      <c r="S40" s="471"/>
      <c r="T40" s="11"/>
      <c r="U40" s="11"/>
      <c r="V40" s="11"/>
      <c r="W40" s="11"/>
      <c r="X40" s="11"/>
      <c r="Y40" s="11"/>
      <c r="Z40" s="13"/>
    </row>
    <row r="41" spans="1:26" ht="15.75" customHeight="1" x14ac:dyDescent="0.25">
      <c r="A41" s="10"/>
      <c r="B41" s="11"/>
      <c r="C41" s="11"/>
      <c r="D41" s="11"/>
      <c r="E41" s="11"/>
      <c r="F41" s="11"/>
      <c r="G41" s="472"/>
      <c r="H41" s="472"/>
      <c r="I41" s="472"/>
      <c r="J41" s="472"/>
      <c r="K41" s="472"/>
      <c r="L41" s="472"/>
      <c r="M41" s="472"/>
      <c r="N41" s="472"/>
      <c r="O41" s="472"/>
      <c r="P41" s="472"/>
      <c r="Q41" s="472"/>
      <c r="R41" s="472"/>
      <c r="S41" s="472"/>
      <c r="T41" s="11"/>
      <c r="U41" s="11"/>
      <c r="V41" s="11"/>
      <c r="W41" s="11"/>
      <c r="X41" s="11"/>
      <c r="Y41" s="11"/>
      <c r="Z41" s="13"/>
    </row>
    <row r="42" spans="1:26" ht="15.75" customHeight="1" x14ac:dyDescent="0.25">
      <c r="A42" s="10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3"/>
    </row>
    <row r="43" spans="1:26" ht="15.75" customHeight="1" x14ac:dyDescent="0.25">
      <c r="A43" s="10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3"/>
    </row>
    <row r="44" spans="1:26" ht="15.75" customHeight="1" x14ac:dyDescent="0.25">
      <c r="A44" s="10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3"/>
    </row>
    <row r="45" spans="1:26" ht="15.75" customHeight="1" x14ac:dyDescent="0.25">
      <c r="A45" s="10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3"/>
    </row>
    <row r="46" spans="1:26" ht="15.75" customHeight="1" x14ac:dyDescent="0.25">
      <c r="A46" s="10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3"/>
    </row>
    <row r="47" spans="1:26" ht="15.75" customHeight="1" x14ac:dyDescent="0.25">
      <c r="A47" s="10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3"/>
    </row>
    <row r="48" spans="1:26" ht="15.75" customHeight="1" x14ac:dyDescent="0.25">
      <c r="A48" s="10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3"/>
    </row>
    <row r="49" spans="1:26" ht="15.75" customHeight="1" x14ac:dyDescent="0.25">
      <c r="A49" s="10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3"/>
    </row>
    <row r="50" spans="1:26" ht="12.75" customHeight="1" x14ac:dyDescent="0.25">
      <c r="A50" s="37"/>
      <c r="B50" s="38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Z50" s="18"/>
    </row>
    <row r="51" spans="1:26" s="19" customFormat="1" ht="15.6" customHeight="1" x14ac:dyDescent="0.25">
      <c r="A51" s="39" t="s">
        <v>12</v>
      </c>
      <c r="B51" s="40" t="s">
        <v>13</v>
      </c>
      <c r="C51" s="41"/>
      <c r="D51" s="41"/>
      <c r="E51" s="41"/>
      <c r="F51" s="42"/>
      <c r="G51" s="42"/>
      <c r="H51" s="42"/>
      <c r="I51" s="7"/>
      <c r="J51" s="7"/>
      <c r="K51" s="7"/>
      <c r="L51" s="7"/>
      <c r="M51" s="7"/>
      <c r="N51" s="7"/>
      <c r="O51" s="7"/>
      <c r="P51" s="7"/>
      <c r="Q51" s="42"/>
      <c r="R51" s="7"/>
      <c r="S51" s="7"/>
      <c r="T51" s="7"/>
      <c r="U51" s="277"/>
      <c r="V51" s="277"/>
      <c r="W51" s="277"/>
      <c r="X51" s="278"/>
      <c r="Y51" s="278"/>
      <c r="Z51" s="279"/>
    </row>
    <row r="52" spans="1:26" s="19" customFormat="1" ht="26.4" customHeight="1" x14ac:dyDescent="0.25">
      <c r="A52" s="228" t="s">
        <v>135</v>
      </c>
      <c r="B52" s="229"/>
      <c r="C52" s="229"/>
      <c r="D52" s="229"/>
      <c r="E52" s="229"/>
      <c r="F52" s="229"/>
      <c r="G52" s="229"/>
      <c r="H52" s="229"/>
      <c r="I52" s="229"/>
      <c r="J52" s="229"/>
      <c r="K52" s="229"/>
      <c r="L52" s="229"/>
      <c r="M52" s="229"/>
      <c r="N52" s="229"/>
      <c r="O52" s="229"/>
      <c r="P52" s="229"/>
      <c r="Q52" s="443"/>
      <c r="R52" s="230" t="s">
        <v>23</v>
      </c>
      <c r="S52" s="231"/>
      <c r="T52" s="232"/>
      <c r="U52" s="280"/>
      <c r="V52" s="281"/>
      <c r="W52" s="281"/>
      <c r="X52" s="282"/>
      <c r="Y52" s="282"/>
      <c r="Z52" s="283"/>
    </row>
    <row r="53" spans="1:26" s="19" customFormat="1" ht="26.4" customHeight="1" x14ac:dyDescent="0.25">
      <c r="A53" s="444"/>
      <c r="B53" s="445"/>
      <c r="C53" s="445"/>
      <c r="D53" s="445"/>
      <c r="E53" s="445"/>
      <c r="F53" s="445"/>
      <c r="G53" s="445"/>
      <c r="H53" s="445"/>
      <c r="I53" s="445"/>
      <c r="J53" s="445"/>
      <c r="K53" s="445"/>
      <c r="L53" s="445"/>
      <c r="M53" s="445"/>
      <c r="N53" s="445"/>
      <c r="O53" s="445"/>
      <c r="P53" s="445"/>
      <c r="Q53" s="446"/>
      <c r="R53" s="230"/>
      <c r="S53" s="231"/>
      <c r="T53" s="232"/>
      <c r="U53" s="268"/>
      <c r="V53" s="269"/>
      <c r="W53" s="269"/>
      <c r="X53" s="270"/>
      <c r="Y53" s="270"/>
      <c r="Z53" s="271"/>
    </row>
    <row r="54" spans="1:26" s="19" customFormat="1" ht="15.6" customHeight="1" x14ac:dyDescent="0.25">
      <c r="A54" s="43" t="s">
        <v>17</v>
      </c>
      <c r="B54" s="44" t="s">
        <v>18</v>
      </c>
      <c r="C54" s="11"/>
      <c r="D54" s="11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6"/>
      <c r="R54" s="230"/>
      <c r="S54" s="231"/>
      <c r="T54" s="232"/>
      <c r="U54" s="272"/>
      <c r="V54" s="273"/>
      <c r="W54" s="273"/>
      <c r="X54" s="274"/>
      <c r="Y54" s="274"/>
      <c r="Z54" s="275"/>
    </row>
    <row r="55" spans="1:26" s="19" customFormat="1" ht="15.6" customHeight="1" x14ac:dyDescent="0.25">
      <c r="A55" s="427"/>
      <c r="B55" s="428"/>
      <c r="C55" s="428"/>
      <c r="D55" s="428"/>
      <c r="E55" s="428"/>
      <c r="F55" s="428"/>
      <c r="G55" s="428"/>
      <c r="H55" s="428"/>
      <c r="I55" s="428"/>
      <c r="J55" s="428"/>
      <c r="K55" s="428"/>
      <c r="L55" s="428"/>
      <c r="M55" s="428"/>
      <c r="N55" s="428"/>
      <c r="O55" s="428"/>
      <c r="P55" s="428"/>
      <c r="Q55" s="429"/>
      <c r="R55" s="230" t="s">
        <v>25</v>
      </c>
      <c r="S55" s="231"/>
      <c r="T55" s="232"/>
      <c r="U55" s="433"/>
      <c r="V55" s="434"/>
      <c r="W55" s="434"/>
      <c r="X55" s="435"/>
      <c r="Y55" s="435"/>
      <c r="Z55" s="436"/>
    </row>
    <row r="56" spans="1:26" s="19" customFormat="1" ht="15.6" customHeight="1" x14ac:dyDescent="0.25">
      <c r="A56" s="427"/>
      <c r="B56" s="428"/>
      <c r="C56" s="428"/>
      <c r="D56" s="428"/>
      <c r="E56" s="428"/>
      <c r="F56" s="428"/>
      <c r="G56" s="428"/>
      <c r="H56" s="428"/>
      <c r="I56" s="428"/>
      <c r="J56" s="428"/>
      <c r="K56" s="428"/>
      <c r="L56" s="428"/>
      <c r="M56" s="428"/>
      <c r="N56" s="428"/>
      <c r="O56" s="428"/>
      <c r="P56" s="428"/>
      <c r="Q56" s="429"/>
      <c r="R56" s="230"/>
      <c r="S56" s="231"/>
      <c r="T56" s="232"/>
      <c r="U56" s="437"/>
      <c r="V56" s="276"/>
      <c r="W56" s="276"/>
      <c r="X56" s="276"/>
      <c r="Y56" s="276"/>
      <c r="Z56" s="438"/>
    </row>
    <row r="57" spans="1:26" s="19" customFormat="1" ht="15.6" customHeight="1" x14ac:dyDescent="0.25">
      <c r="A57" s="427"/>
      <c r="B57" s="428"/>
      <c r="C57" s="428"/>
      <c r="D57" s="428"/>
      <c r="E57" s="428"/>
      <c r="F57" s="428"/>
      <c r="G57" s="428"/>
      <c r="H57" s="428"/>
      <c r="I57" s="428"/>
      <c r="J57" s="428"/>
      <c r="K57" s="428"/>
      <c r="L57" s="428"/>
      <c r="M57" s="428"/>
      <c r="N57" s="428"/>
      <c r="O57" s="428"/>
      <c r="P57" s="428"/>
      <c r="Q57" s="429"/>
      <c r="R57" s="230"/>
      <c r="S57" s="231"/>
      <c r="T57" s="232"/>
      <c r="U57" s="437"/>
      <c r="V57" s="276"/>
      <c r="W57" s="276"/>
      <c r="X57" s="276"/>
      <c r="Y57" s="276"/>
      <c r="Z57" s="438"/>
    </row>
    <row r="58" spans="1:26" s="19" customFormat="1" ht="15.6" customHeight="1" x14ac:dyDescent="0.25">
      <c r="A58" s="430"/>
      <c r="B58" s="431"/>
      <c r="C58" s="431"/>
      <c r="D58" s="431"/>
      <c r="E58" s="431"/>
      <c r="F58" s="431"/>
      <c r="G58" s="431"/>
      <c r="H58" s="431"/>
      <c r="I58" s="431"/>
      <c r="J58" s="431"/>
      <c r="K58" s="431"/>
      <c r="L58" s="431"/>
      <c r="M58" s="431"/>
      <c r="N58" s="431"/>
      <c r="O58" s="431"/>
      <c r="P58" s="431"/>
      <c r="Q58" s="432"/>
      <c r="R58" s="233"/>
      <c r="S58" s="234"/>
      <c r="T58" s="235"/>
      <c r="U58" s="439"/>
      <c r="V58" s="440"/>
      <c r="W58" s="440"/>
      <c r="X58" s="441"/>
      <c r="Y58" s="441"/>
      <c r="Z58" s="442"/>
    </row>
    <row r="60" spans="1:26" ht="12.75" customHeight="1" x14ac:dyDescent="0.25">
      <c r="P60" s="11"/>
      <c r="Q60" s="11"/>
      <c r="R60" s="11"/>
      <c r="S60" s="11"/>
      <c r="T60" s="11"/>
      <c r="U60" s="11"/>
      <c r="V60" s="11"/>
      <c r="W60" s="11"/>
    </row>
    <row r="61" spans="1:26" ht="12.75" customHeight="1" x14ac:dyDescent="0.25">
      <c r="P61" s="11"/>
      <c r="Q61" s="11"/>
      <c r="R61" s="11"/>
      <c r="S61" s="11"/>
      <c r="T61" s="11"/>
      <c r="U61" s="11"/>
      <c r="V61" s="11"/>
      <c r="W61" s="11"/>
    </row>
    <row r="62" spans="1:26" ht="12.75" customHeight="1" x14ac:dyDescent="0.25">
      <c r="P62" s="11"/>
      <c r="Q62" s="11"/>
      <c r="R62" s="11"/>
      <c r="S62" s="11"/>
      <c r="T62" s="11"/>
      <c r="U62" s="11"/>
      <c r="V62" s="11"/>
      <c r="W62" s="11"/>
    </row>
    <row r="63" spans="1:26" ht="12.75" customHeight="1" x14ac:dyDescent="0.25">
      <c r="P63" s="11"/>
      <c r="Q63" s="11"/>
      <c r="R63" s="11"/>
      <c r="S63" s="11"/>
      <c r="T63" s="11"/>
      <c r="U63" s="11"/>
      <c r="V63" s="11"/>
      <c r="W63" s="11"/>
    </row>
    <row r="64" spans="1:26" ht="12.75" customHeight="1" x14ac:dyDescent="0.25">
      <c r="P64" s="11"/>
      <c r="Q64" s="11"/>
      <c r="R64" s="11"/>
      <c r="S64" s="11"/>
      <c r="T64" s="11"/>
      <c r="U64" s="11"/>
      <c r="V64" s="11"/>
      <c r="W64" s="11"/>
    </row>
    <row r="65" spans="16:23" ht="12.75" customHeight="1" x14ac:dyDescent="0.25">
      <c r="P65" s="11"/>
      <c r="Q65" s="11"/>
      <c r="R65" s="11"/>
      <c r="S65" s="11"/>
      <c r="T65" s="11"/>
      <c r="U65" s="11"/>
      <c r="V65" s="11"/>
      <c r="W65" s="11"/>
    </row>
  </sheetData>
  <sheetProtection selectLockedCells="1"/>
  <mergeCells count="51">
    <mergeCell ref="H11:M11"/>
    <mergeCell ref="Q35:S36"/>
    <mergeCell ref="Q38:S39"/>
    <mergeCell ref="G32:P33"/>
    <mergeCell ref="Q32:S33"/>
    <mergeCell ref="G35:M36"/>
    <mergeCell ref="N35:P36"/>
    <mergeCell ref="G38:M39"/>
    <mergeCell ref="N38:P39"/>
    <mergeCell ref="J6:K6"/>
    <mergeCell ref="L6:O6"/>
    <mergeCell ref="G7:Z7"/>
    <mergeCell ref="B19:H19"/>
    <mergeCell ref="I18:Y18"/>
    <mergeCell ref="I19:Y19"/>
    <mergeCell ref="S11:Y11"/>
    <mergeCell ref="S13:Y13"/>
    <mergeCell ref="B18:H18"/>
    <mergeCell ref="N13:R13"/>
    <mergeCell ref="B12:G12"/>
    <mergeCell ref="H13:M13"/>
    <mergeCell ref="H12:M12"/>
    <mergeCell ref="N12:R12"/>
    <mergeCell ref="S12:Y12"/>
    <mergeCell ref="N11:R11"/>
    <mergeCell ref="U53:Z54"/>
    <mergeCell ref="R52:T52"/>
    <mergeCell ref="U51:Z51"/>
    <mergeCell ref="U52:Z52"/>
    <mergeCell ref="V56:Y57"/>
    <mergeCell ref="H10:M10"/>
    <mergeCell ref="B13:G13"/>
    <mergeCell ref="B11:G11"/>
    <mergeCell ref="A1:F6"/>
    <mergeCell ref="G1:T1"/>
    <mergeCell ref="B10:G10"/>
    <mergeCell ref="S10:Y10"/>
    <mergeCell ref="N10:R10"/>
    <mergeCell ref="P6:T6"/>
    <mergeCell ref="U1:Z6"/>
    <mergeCell ref="G2:T4"/>
    <mergeCell ref="G5:H5"/>
    <mergeCell ref="A7:F7"/>
    <mergeCell ref="J5:K5"/>
    <mergeCell ref="L5:O5"/>
    <mergeCell ref="P5:T5"/>
    <mergeCell ref="A55:Q58"/>
    <mergeCell ref="R53:T54"/>
    <mergeCell ref="R55:T58"/>
    <mergeCell ref="A52:Q52"/>
    <mergeCell ref="A53:Q53"/>
  </mergeCells>
  <printOptions horizontalCentered="1"/>
  <pageMargins left="0.27559055118110237" right="0.35433070866141736" top="0.39370078740157483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M93"/>
  <sheetViews>
    <sheetView workbookViewId="0">
      <selection activeCell="I17" sqref="I17"/>
    </sheetView>
  </sheetViews>
  <sheetFormatPr baseColWidth="10" defaultColWidth="11.44140625" defaultRowHeight="13.2" x14ac:dyDescent="0.25"/>
  <cols>
    <col min="1" max="1" width="12.5546875" style="48" customWidth="1"/>
    <col min="2" max="2" width="13.44140625" style="48" customWidth="1"/>
    <col min="3" max="6" width="11.44140625" style="48"/>
    <col min="7" max="7" width="10.88671875" style="48" customWidth="1"/>
    <col min="8" max="9" width="16.109375" style="48" customWidth="1"/>
    <col min="10" max="10" width="17.5546875" style="48" customWidth="1"/>
    <col min="11" max="11" width="21.33203125" style="48" customWidth="1"/>
    <col min="12" max="12" width="11.44140625" style="48"/>
    <col min="13" max="13" width="14" style="48" customWidth="1"/>
    <col min="14" max="14" width="16.5546875" style="48" customWidth="1"/>
    <col min="15" max="16384" width="11.44140625" style="48"/>
  </cols>
  <sheetData>
    <row r="1" spans="1:9" x14ac:dyDescent="0.25">
      <c r="F1" s="48" t="s">
        <v>57</v>
      </c>
    </row>
    <row r="2" spans="1:9" ht="17.399999999999999" x14ac:dyDescent="0.25">
      <c r="C2" s="286"/>
      <c r="D2" s="286"/>
      <c r="E2" s="286"/>
      <c r="F2" s="286"/>
      <c r="G2" s="286"/>
      <c r="H2" s="286"/>
      <c r="I2" s="49"/>
    </row>
    <row r="4" spans="1:9" ht="10.5" customHeight="1" x14ac:dyDescent="0.25">
      <c r="A4" s="50"/>
      <c r="B4" s="50"/>
      <c r="C4" s="50"/>
      <c r="D4" s="50"/>
      <c r="E4" s="50"/>
      <c r="F4" s="50"/>
      <c r="G4" s="50"/>
      <c r="H4" s="50"/>
      <c r="I4" s="50"/>
    </row>
    <row r="5" spans="1:9" ht="10.5" customHeight="1" x14ac:dyDescent="0.25">
      <c r="A5" s="51"/>
      <c r="B5" s="51"/>
      <c r="C5" s="51"/>
      <c r="D5" s="51"/>
      <c r="E5" s="51"/>
      <c r="F5" s="51"/>
      <c r="G5" s="51"/>
      <c r="H5" s="51"/>
      <c r="I5" s="51"/>
    </row>
    <row r="6" spans="1:9" ht="10.5" customHeight="1" x14ac:dyDescent="0.25">
      <c r="A6" s="51"/>
      <c r="B6" s="51"/>
      <c r="C6" s="51"/>
      <c r="D6" s="51"/>
      <c r="E6" s="51"/>
      <c r="F6" s="51"/>
      <c r="G6" s="51"/>
      <c r="H6" s="51"/>
      <c r="I6" s="51"/>
    </row>
    <row r="7" spans="1:9" ht="10.5" customHeight="1" x14ac:dyDescent="0.25">
      <c r="A7" s="51"/>
      <c r="B7" s="51"/>
      <c r="C7" s="51"/>
      <c r="D7" s="51"/>
      <c r="E7" s="51"/>
      <c r="F7" s="51"/>
      <c r="G7" s="51"/>
      <c r="H7" s="51"/>
      <c r="I7" s="51"/>
    </row>
    <row r="8" spans="1:9" ht="15" x14ac:dyDescent="0.25">
      <c r="A8" s="51"/>
      <c r="B8" s="52" t="s">
        <v>58</v>
      </c>
      <c r="C8" s="53"/>
      <c r="D8" s="51"/>
      <c r="E8" s="51"/>
      <c r="F8" s="54" t="s">
        <v>59</v>
      </c>
      <c r="G8" s="55"/>
      <c r="H8" s="51"/>
      <c r="I8" s="51"/>
    </row>
    <row r="9" spans="1:9" ht="7.5" customHeight="1" x14ac:dyDescent="0.25">
      <c r="A9" s="51"/>
      <c r="B9" s="52"/>
      <c r="C9" s="51"/>
      <c r="D9" s="51"/>
      <c r="E9" s="51"/>
      <c r="F9" s="54"/>
      <c r="G9" s="51"/>
      <c r="H9" s="51"/>
      <c r="I9" s="51"/>
    </row>
    <row r="10" spans="1:9" ht="15" x14ac:dyDescent="0.25">
      <c r="A10" s="51"/>
      <c r="B10" s="52" t="s">
        <v>60</v>
      </c>
      <c r="C10" s="51"/>
      <c r="D10" s="51"/>
      <c r="E10" s="51"/>
      <c r="F10" s="52" t="s">
        <v>61</v>
      </c>
      <c r="G10" s="55"/>
      <c r="H10" s="51"/>
      <c r="I10" s="51"/>
    </row>
    <row r="11" spans="1:9" ht="9" customHeight="1" x14ac:dyDescent="0.25">
      <c r="A11" s="51"/>
      <c r="B11" s="52"/>
      <c r="C11" s="51"/>
      <c r="D11" s="51"/>
      <c r="E11" s="51"/>
      <c r="F11" s="54"/>
      <c r="G11" s="51"/>
      <c r="H11" s="51"/>
      <c r="I11" s="51"/>
    </row>
    <row r="12" spans="1:9" ht="16.5" customHeight="1" x14ac:dyDescent="0.25">
      <c r="B12" s="52" t="s">
        <v>62</v>
      </c>
      <c r="C12" s="56"/>
      <c r="F12" s="52" t="s">
        <v>63</v>
      </c>
      <c r="G12" s="57"/>
    </row>
    <row r="13" spans="1:9" ht="12" customHeight="1" x14ac:dyDescent="0.25"/>
    <row r="14" spans="1:9" ht="15.75" customHeight="1" x14ac:dyDescent="0.25">
      <c r="A14" s="58" t="s">
        <v>64</v>
      </c>
    </row>
    <row r="15" spans="1:9" ht="6.75" customHeight="1" x14ac:dyDescent="0.25"/>
    <row r="16" spans="1:9" ht="12.75" customHeight="1" x14ac:dyDescent="0.25">
      <c r="B16" s="59" t="s">
        <v>80</v>
      </c>
    </row>
    <row r="17" spans="1:11" ht="12.75" customHeight="1" x14ac:dyDescent="0.25">
      <c r="B17" s="48" t="s">
        <v>81</v>
      </c>
    </row>
    <row r="18" spans="1:11" ht="12.75" customHeight="1" x14ac:dyDescent="0.25">
      <c r="B18" s="60" t="s">
        <v>82</v>
      </c>
    </row>
    <row r="19" spans="1:11" ht="12.75" customHeight="1" x14ac:dyDescent="0.25">
      <c r="B19" s="59" t="s">
        <v>83</v>
      </c>
    </row>
    <row r="20" spans="1:11" ht="12.75" customHeight="1" x14ac:dyDescent="0.25">
      <c r="B20" s="48" t="s">
        <v>84</v>
      </c>
    </row>
    <row r="21" spans="1:11" ht="12.75" customHeight="1" x14ac:dyDescent="0.25">
      <c r="B21" s="48" t="s">
        <v>85</v>
      </c>
    </row>
    <row r="22" spans="1:11" ht="12.75" customHeight="1" x14ac:dyDescent="0.25"/>
    <row r="23" spans="1:11" ht="12.75" customHeight="1" x14ac:dyDescent="0.25">
      <c r="A23" s="58" t="s">
        <v>86</v>
      </c>
    </row>
    <row r="24" spans="1:11" ht="12.75" customHeight="1" x14ac:dyDescent="0.25"/>
    <row r="25" spans="1:11" ht="12.75" customHeight="1" x14ac:dyDescent="0.25">
      <c r="B25" s="48" t="s">
        <v>87</v>
      </c>
    </row>
    <row r="26" spans="1:11" ht="12" customHeight="1" x14ac:dyDescent="0.25">
      <c r="B26" s="48" t="s">
        <v>88</v>
      </c>
    </row>
    <row r="27" spans="1:11" ht="12" customHeight="1" x14ac:dyDescent="0.25">
      <c r="C27" s="61" t="s">
        <v>79</v>
      </c>
      <c r="D27" s="62">
        <v>367.6</v>
      </c>
      <c r="F27" s="57" t="s">
        <v>89</v>
      </c>
      <c r="G27" s="62">
        <v>1227.5999999999999</v>
      </c>
    </row>
    <row r="28" spans="1:11" ht="14.25" customHeight="1" x14ac:dyDescent="0.25">
      <c r="A28" s="58" t="s">
        <v>65</v>
      </c>
    </row>
    <row r="29" spans="1:11" ht="12" customHeight="1" x14ac:dyDescent="0.25">
      <c r="J29" s="63" t="s">
        <v>45</v>
      </c>
      <c r="K29" s="64" t="s">
        <v>46</v>
      </c>
    </row>
    <row r="30" spans="1:11" ht="12" customHeight="1" x14ac:dyDescent="0.25">
      <c r="B30" s="48" t="s">
        <v>90</v>
      </c>
      <c r="C30" s="65"/>
      <c r="D30" s="65"/>
      <c r="E30" s="65"/>
      <c r="F30" s="65"/>
      <c r="G30" s="65"/>
      <c r="H30" s="65"/>
      <c r="I30" s="65"/>
      <c r="J30" s="64" t="s">
        <v>76</v>
      </c>
      <c r="K30" s="64" t="s">
        <v>77</v>
      </c>
    </row>
    <row r="31" spans="1:11" ht="12" customHeight="1" x14ac:dyDescent="0.25">
      <c r="C31" s="65"/>
      <c r="D31" s="65"/>
      <c r="E31" s="65"/>
      <c r="F31" s="65"/>
      <c r="G31" s="65"/>
      <c r="H31" s="65"/>
      <c r="I31" s="65"/>
      <c r="J31" s="66">
        <v>5</v>
      </c>
      <c r="K31" s="67">
        <v>1</v>
      </c>
    </row>
    <row r="32" spans="1:11" ht="12" customHeight="1" x14ac:dyDescent="0.25">
      <c r="B32" s="48" t="s">
        <v>91</v>
      </c>
      <c r="C32" s="65"/>
      <c r="D32" s="65"/>
      <c r="E32" s="65"/>
      <c r="F32" s="61" t="s">
        <v>114</v>
      </c>
      <c r="G32" s="62">
        <f>D27</f>
        <v>367.6</v>
      </c>
      <c r="H32" s="65"/>
      <c r="I32" s="65"/>
      <c r="J32" s="66">
        <v>6</v>
      </c>
      <c r="K32" s="66">
        <v>0.99990000000000001</v>
      </c>
    </row>
    <row r="33" spans="2:13" ht="12" customHeight="1" x14ac:dyDescent="0.25">
      <c r="C33" s="65"/>
      <c r="D33" s="65"/>
      <c r="E33" s="65"/>
      <c r="F33" s="65"/>
      <c r="G33" s="68"/>
      <c r="H33" s="68"/>
      <c r="I33" s="68"/>
      <c r="J33" s="66">
        <v>7</v>
      </c>
      <c r="K33" s="66">
        <v>0.99990000000000001</v>
      </c>
    </row>
    <row r="34" spans="2:13" ht="12" customHeight="1" x14ac:dyDescent="0.25">
      <c r="B34" s="48" t="s">
        <v>110</v>
      </c>
      <c r="C34" s="65"/>
      <c r="D34" s="65"/>
      <c r="E34" s="65"/>
      <c r="F34" s="65"/>
      <c r="G34" s="68"/>
      <c r="H34" s="68"/>
      <c r="I34" s="68"/>
      <c r="J34" s="66">
        <v>8</v>
      </c>
      <c r="K34" s="66">
        <v>0.99980000000000002</v>
      </c>
      <c r="M34" s="48" t="s">
        <v>92</v>
      </c>
    </row>
    <row r="35" spans="2:13" ht="12" customHeight="1" x14ac:dyDescent="0.25">
      <c r="B35" s="48" t="s">
        <v>111</v>
      </c>
      <c r="C35" s="65"/>
      <c r="D35" s="65"/>
      <c r="E35" s="65"/>
      <c r="F35" s="61" t="s">
        <v>112</v>
      </c>
      <c r="G35" s="62">
        <v>1594.7</v>
      </c>
      <c r="H35" s="68"/>
      <c r="I35" s="68"/>
      <c r="J35" s="66">
        <v>9</v>
      </c>
      <c r="K35" s="66">
        <v>0.99980000000000002</v>
      </c>
    </row>
    <row r="36" spans="2:13" ht="12" customHeight="1" x14ac:dyDescent="0.25">
      <c r="C36" s="65"/>
      <c r="D36" s="65"/>
      <c r="E36" s="65"/>
      <c r="F36" s="65"/>
      <c r="G36" s="68"/>
      <c r="H36" s="68"/>
      <c r="I36" s="68"/>
      <c r="J36" s="66">
        <v>10</v>
      </c>
      <c r="K36" s="66">
        <v>0.99970000000000003</v>
      </c>
    </row>
    <row r="37" spans="2:13" ht="12" customHeight="1" x14ac:dyDescent="0.25">
      <c r="B37" s="48" t="s">
        <v>109</v>
      </c>
      <c r="C37" s="65"/>
      <c r="D37" s="65"/>
      <c r="E37" s="65"/>
      <c r="F37" s="61"/>
      <c r="G37" s="69"/>
      <c r="H37" s="68"/>
      <c r="I37" s="68"/>
      <c r="J37" s="66">
        <v>11</v>
      </c>
      <c r="K37" s="66">
        <v>0.99960000000000004</v>
      </c>
    </row>
    <row r="38" spans="2:13" ht="12" customHeight="1" x14ac:dyDescent="0.25">
      <c r="B38" s="70"/>
      <c r="C38" s="65"/>
      <c r="D38" s="65"/>
      <c r="E38" s="65"/>
      <c r="F38" s="61"/>
      <c r="G38" s="68"/>
      <c r="H38" s="68"/>
      <c r="I38" s="68"/>
      <c r="J38" s="66">
        <v>12</v>
      </c>
      <c r="K38" s="66">
        <v>0.99950000000000006</v>
      </c>
    </row>
    <row r="39" spans="2:13" ht="12" customHeight="1" x14ac:dyDescent="0.25">
      <c r="B39" s="57" t="s">
        <v>68</v>
      </c>
      <c r="C39" s="65"/>
      <c r="D39" s="65"/>
      <c r="E39" s="65"/>
      <c r="F39" s="65"/>
      <c r="G39" s="68"/>
      <c r="H39" s="68"/>
      <c r="I39" s="68"/>
      <c r="J39" s="66">
        <v>13</v>
      </c>
      <c r="K39" s="66">
        <v>0.99939999999999996</v>
      </c>
    </row>
    <row r="40" spans="2:13" ht="12" customHeight="1" x14ac:dyDescent="0.25">
      <c r="B40" s="57" t="s">
        <v>69</v>
      </c>
      <c r="C40" s="65"/>
      <c r="D40" s="65"/>
      <c r="E40" s="65"/>
      <c r="F40" s="65"/>
      <c r="G40" s="68"/>
      <c r="H40" s="68"/>
      <c r="I40" s="68"/>
      <c r="J40" s="66">
        <v>14</v>
      </c>
      <c r="K40" s="66">
        <v>0.99919999999999998</v>
      </c>
    </row>
    <row r="41" spans="2:13" ht="12" customHeight="1" x14ac:dyDescent="0.25">
      <c r="B41" s="65"/>
      <c r="C41" s="65"/>
      <c r="D41" s="65"/>
      <c r="E41" s="65"/>
      <c r="F41" s="65"/>
      <c r="G41" s="68"/>
      <c r="H41" s="68"/>
      <c r="I41" s="68"/>
      <c r="J41" s="66">
        <v>15</v>
      </c>
      <c r="K41" s="66">
        <v>0.99909999999999999</v>
      </c>
    </row>
    <row r="42" spans="2:13" ht="12" customHeight="1" x14ac:dyDescent="0.25">
      <c r="B42" s="48" t="s">
        <v>116</v>
      </c>
      <c r="C42" s="65"/>
      <c r="D42" s="65"/>
      <c r="E42" s="65"/>
      <c r="F42" s="65"/>
      <c r="G42" s="68"/>
      <c r="H42" s="71"/>
      <c r="I42" s="72"/>
      <c r="J42" s="66">
        <v>16</v>
      </c>
      <c r="K42" s="66">
        <v>0.99890000000000001</v>
      </c>
    </row>
    <row r="43" spans="2:13" ht="12" customHeight="1" x14ac:dyDescent="0.25">
      <c r="B43" s="48" t="s">
        <v>117</v>
      </c>
      <c r="C43" s="65"/>
      <c r="D43" s="65"/>
      <c r="E43" s="65"/>
      <c r="F43" s="65"/>
      <c r="G43" s="68"/>
      <c r="H43" s="68"/>
      <c r="I43" s="68"/>
      <c r="J43" s="66">
        <v>17</v>
      </c>
      <c r="K43" s="66">
        <v>0.99880000000000002</v>
      </c>
    </row>
    <row r="44" spans="2:13" ht="12" customHeight="1" x14ac:dyDescent="0.25">
      <c r="B44" s="48" t="s">
        <v>95</v>
      </c>
      <c r="C44" s="65"/>
      <c r="D44" s="65"/>
      <c r="E44" s="65"/>
      <c r="F44" s="73"/>
      <c r="G44" s="74"/>
      <c r="H44" s="68"/>
      <c r="I44" s="68"/>
      <c r="J44" s="66">
        <v>18</v>
      </c>
      <c r="K44" s="66">
        <v>0.99860000000000004</v>
      </c>
    </row>
    <row r="45" spans="2:13" ht="12" customHeight="1" x14ac:dyDescent="0.25">
      <c r="B45" s="48" t="s">
        <v>96</v>
      </c>
      <c r="C45" s="65"/>
      <c r="D45" s="65"/>
      <c r="E45" s="65"/>
      <c r="F45" s="61" t="s">
        <v>115</v>
      </c>
      <c r="G45" s="75">
        <v>0.99839999999999995</v>
      </c>
      <c r="H45" s="68"/>
      <c r="I45" s="68"/>
      <c r="J45" s="66">
        <v>19</v>
      </c>
      <c r="K45" s="66">
        <v>0.99839999999999995</v>
      </c>
    </row>
    <row r="46" spans="2:13" ht="12" customHeight="1" x14ac:dyDescent="0.25">
      <c r="B46" s="65"/>
      <c r="C46" s="65"/>
      <c r="D46" s="65"/>
      <c r="E46" s="65"/>
      <c r="F46" s="61"/>
      <c r="G46" s="68"/>
      <c r="H46" s="68"/>
      <c r="I46" s="68"/>
      <c r="J46" s="66">
        <v>20</v>
      </c>
      <c r="K46" s="66">
        <v>0.99819999999999998</v>
      </c>
    </row>
    <row r="47" spans="2:13" ht="12" customHeight="1" x14ac:dyDescent="0.25">
      <c r="B47" s="48" t="s">
        <v>93</v>
      </c>
      <c r="C47" s="65"/>
      <c r="D47" s="65"/>
      <c r="E47" s="65"/>
      <c r="F47" s="61"/>
      <c r="G47" s="68"/>
      <c r="H47" s="68"/>
      <c r="I47" s="68"/>
      <c r="J47" s="66">
        <v>21</v>
      </c>
      <c r="K47" s="66">
        <v>0.998</v>
      </c>
    </row>
    <row r="48" spans="2:13" ht="12" customHeight="1" x14ac:dyDescent="0.25">
      <c r="B48" s="59"/>
      <c r="C48" s="65"/>
      <c r="D48" s="65"/>
      <c r="E48" s="65"/>
      <c r="F48" s="61"/>
      <c r="G48" s="68"/>
      <c r="H48" s="68"/>
      <c r="I48" s="68"/>
      <c r="J48" s="66">
        <v>22</v>
      </c>
      <c r="K48" s="66">
        <v>0.99780000000000002</v>
      </c>
    </row>
    <row r="49" spans="2:11" ht="12" customHeight="1" x14ac:dyDescent="0.25">
      <c r="B49" s="48" t="s">
        <v>118</v>
      </c>
      <c r="C49" s="65"/>
      <c r="D49" s="65"/>
      <c r="E49" s="65"/>
      <c r="F49" s="61"/>
      <c r="G49" s="68"/>
      <c r="H49" s="68"/>
      <c r="I49" s="68"/>
      <c r="J49" s="66">
        <v>23</v>
      </c>
      <c r="K49" s="66">
        <v>0.99750000000000005</v>
      </c>
    </row>
    <row r="50" spans="2:11" ht="12" customHeight="1" x14ac:dyDescent="0.25">
      <c r="B50" s="48" t="s">
        <v>70</v>
      </c>
      <c r="C50" s="65"/>
      <c r="D50" s="65"/>
      <c r="E50" s="65"/>
      <c r="F50" s="61"/>
      <c r="G50" s="68"/>
      <c r="H50" s="68"/>
      <c r="I50" s="68"/>
      <c r="J50" s="66">
        <v>24</v>
      </c>
      <c r="K50" s="66">
        <v>0.99729999999999996</v>
      </c>
    </row>
    <row r="51" spans="2:11" ht="12" customHeight="1" x14ac:dyDescent="0.25">
      <c r="B51" s="57"/>
      <c r="C51" s="65"/>
      <c r="D51" s="65"/>
      <c r="E51" s="65"/>
      <c r="F51" s="61"/>
      <c r="G51" s="68"/>
      <c r="H51" s="68"/>
      <c r="I51" s="68"/>
      <c r="J51" s="66">
        <v>25</v>
      </c>
      <c r="K51" s="66">
        <v>0.997</v>
      </c>
    </row>
    <row r="52" spans="2:11" ht="12" customHeight="1" x14ac:dyDescent="0.25">
      <c r="B52" s="48" t="s">
        <v>94</v>
      </c>
      <c r="C52" s="65"/>
      <c r="D52" s="65"/>
      <c r="E52" s="65"/>
      <c r="F52" s="61"/>
      <c r="G52" s="68"/>
      <c r="H52" s="68"/>
      <c r="I52" s="68"/>
      <c r="J52" s="66">
        <v>26</v>
      </c>
      <c r="K52" s="66">
        <v>0.99680000000000002</v>
      </c>
    </row>
    <row r="53" spans="2:11" ht="12" customHeight="1" x14ac:dyDescent="0.25">
      <c r="B53" s="57"/>
      <c r="C53" s="65"/>
      <c r="D53" s="65"/>
      <c r="E53" s="65"/>
      <c r="F53" s="61"/>
      <c r="G53" s="68"/>
      <c r="H53" s="68"/>
      <c r="I53" s="68"/>
      <c r="J53" s="66">
        <v>27</v>
      </c>
      <c r="K53" s="66">
        <v>0.99650000000000005</v>
      </c>
    </row>
    <row r="54" spans="2:11" ht="12" customHeight="1" x14ac:dyDescent="0.25">
      <c r="B54" s="48" t="s">
        <v>119</v>
      </c>
      <c r="C54" s="65"/>
      <c r="D54" s="65"/>
      <c r="E54" s="65"/>
      <c r="F54" s="61"/>
      <c r="G54" s="68"/>
      <c r="H54" s="68"/>
      <c r="I54" s="68"/>
      <c r="J54" s="66">
        <v>28</v>
      </c>
      <c r="K54" s="66">
        <v>0.99619999999999997</v>
      </c>
    </row>
    <row r="55" spans="2:11" ht="12" customHeight="1" x14ac:dyDescent="0.25">
      <c r="C55" s="65"/>
      <c r="D55" s="65"/>
      <c r="E55" s="65"/>
      <c r="F55" s="61" t="s">
        <v>120</v>
      </c>
      <c r="G55" s="62">
        <v>2190.8000000000002</v>
      </c>
      <c r="H55" s="68"/>
      <c r="I55" s="68"/>
      <c r="J55" s="66">
        <v>29</v>
      </c>
      <c r="K55" s="66">
        <v>0.99590000000000001</v>
      </c>
    </row>
    <row r="56" spans="2:11" ht="12" customHeight="1" x14ac:dyDescent="0.25">
      <c r="C56" s="65"/>
      <c r="D56" s="65"/>
      <c r="E56" s="65"/>
      <c r="H56" s="68"/>
      <c r="I56" s="68"/>
      <c r="J56" s="66">
        <v>30</v>
      </c>
      <c r="K56" s="66">
        <v>0.99560000000000004</v>
      </c>
    </row>
    <row r="57" spans="2:11" ht="12" customHeight="1" x14ac:dyDescent="0.25">
      <c r="B57" s="48" t="s">
        <v>121</v>
      </c>
      <c r="C57" s="65"/>
      <c r="D57" s="65"/>
      <c r="E57" s="65"/>
      <c r="F57" s="61"/>
      <c r="G57" s="68"/>
      <c r="H57" s="68"/>
      <c r="I57" s="68"/>
    </row>
    <row r="58" spans="2:11" ht="12" customHeight="1" x14ac:dyDescent="0.25">
      <c r="C58" s="65"/>
      <c r="D58" s="65"/>
      <c r="E58" s="65"/>
      <c r="F58" s="61"/>
      <c r="G58" s="68"/>
      <c r="H58" s="68"/>
      <c r="I58" s="68"/>
    </row>
    <row r="59" spans="2:11" ht="12" customHeight="1" x14ac:dyDescent="0.25">
      <c r="B59" s="48" t="s">
        <v>122</v>
      </c>
      <c r="C59" s="65"/>
      <c r="D59" s="65"/>
      <c r="E59" s="65"/>
      <c r="F59" s="61"/>
      <c r="G59" s="68"/>
      <c r="H59" s="68"/>
      <c r="I59" s="68"/>
    </row>
    <row r="60" spans="2:11" ht="12" customHeight="1" x14ac:dyDescent="0.25">
      <c r="B60" s="59" t="s">
        <v>123</v>
      </c>
      <c r="C60" s="65"/>
      <c r="D60" s="65"/>
      <c r="E60" s="65"/>
      <c r="F60" s="61" t="s">
        <v>67</v>
      </c>
      <c r="G60" s="62">
        <v>974.2</v>
      </c>
      <c r="H60" s="68"/>
      <c r="I60" s="68"/>
    </row>
    <row r="61" spans="2:11" ht="12" customHeight="1" x14ac:dyDescent="0.25">
      <c r="B61" s="59"/>
      <c r="C61" s="65"/>
      <c r="D61" s="65"/>
      <c r="E61" s="65"/>
      <c r="F61" s="61"/>
      <c r="G61" s="69"/>
      <c r="H61" s="68"/>
      <c r="I61" s="68"/>
    </row>
    <row r="62" spans="2:11" ht="12" customHeight="1" x14ac:dyDescent="0.25">
      <c r="B62" s="59" t="s">
        <v>129</v>
      </c>
      <c r="C62" s="65"/>
      <c r="D62" s="65"/>
      <c r="E62" s="65"/>
      <c r="F62" s="61"/>
      <c r="G62" s="69"/>
      <c r="H62" s="68"/>
      <c r="I62" s="68"/>
    </row>
    <row r="63" spans="2:11" ht="12" customHeight="1" x14ac:dyDescent="0.25">
      <c r="C63" s="65"/>
      <c r="D63" s="65"/>
      <c r="E63" s="65"/>
      <c r="F63" s="61"/>
      <c r="G63" s="68"/>
      <c r="H63" s="68"/>
      <c r="I63" s="68"/>
    </row>
    <row r="64" spans="2:11" ht="12" customHeight="1" x14ac:dyDescent="0.25">
      <c r="B64" s="48" t="s">
        <v>124</v>
      </c>
      <c r="C64" s="65"/>
      <c r="D64" s="65"/>
      <c r="E64" s="65"/>
      <c r="F64" s="61" t="s">
        <v>113</v>
      </c>
      <c r="G64" s="62">
        <f>1796.4-852.4</f>
        <v>944.00000000000011</v>
      </c>
      <c r="H64" s="68"/>
      <c r="I64" s="68"/>
    </row>
    <row r="65" spans="1:9" ht="12" customHeight="1" x14ac:dyDescent="0.25">
      <c r="C65" s="65"/>
      <c r="D65" s="65"/>
      <c r="E65" s="65"/>
      <c r="H65" s="68"/>
      <c r="I65" s="68"/>
    </row>
    <row r="66" spans="1:9" ht="12" customHeight="1" x14ac:dyDescent="0.25">
      <c r="B66" s="48" t="s">
        <v>78</v>
      </c>
      <c r="C66" s="65"/>
      <c r="D66" s="65"/>
      <c r="E66" s="65"/>
      <c r="F66" s="61"/>
      <c r="G66" s="68"/>
      <c r="H66" s="68"/>
      <c r="I66" s="68"/>
    </row>
    <row r="67" spans="1:9" ht="12" customHeight="1" x14ac:dyDescent="0.25">
      <c r="C67" s="65"/>
      <c r="D67" s="65"/>
      <c r="E67" s="65"/>
      <c r="F67" s="61"/>
      <c r="G67" s="68"/>
      <c r="H67" s="68"/>
      <c r="I67" s="68"/>
    </row>
    <row r="68" spans="1:9" ht="15.75" customHeight="1" x14ac:dyDescent="0.25">
      <c r="A68" s="58" t="s">
        <v>66</v>
      </c>
      <c r="B68" s="65"/>
      <c r="C68" s="65"/>
      <c r="D68" s="65"/>
      <c r="E68" s="65"/>
      <c r="F68" s="65"/>
      <c r="G68" s="68"/>
      <c r="H68" s="68"/>
      <c r="I68" s="68"/>
    </row>
    <row r="69" spans="1:9" ht="12" customHeight="1" x14ac:dyDescent="0.25">
      <c r="B69" s="65"/>
      <c r="C69" s="65"/>
      <c r="D69" s="65"/>
      <c r="E69" s="65"/>
      <c r="F69" s="65"/>
      <c r="G69" s="65"/>
      <c r="H69" s="65"/>
      <c r="I69" s="65"/>
    </row>
    <row r="70" spans="1:9" ht="16.5" customHeight="1" x14ac:dyDescent="0.25">
      <c r="B70" s="48" t="s">
        <v>126</v>
      </c>
      <c r="C70" s="65"/>
      <c r="D70" s="65"/>
      <c r="E70" s="65"/>
      <c r="F70" s="65"/>
      <c r="G70" s="65"/>
      <c r="H70" s="65"/>
      <c r="I70" s="65"/>
    </row>
    <row r="71" spans="1:9" ht="16.5" customHeight="1" x14ac:dyDescent="0.25">
      <c r="B71" s="48" t="s">
        <v>71</v>
      </c>
      <c r="C71" s="76"/>
      <c r="D71" s="65"/>
      <c r="E71" s="65"/>
      <c r="F71" s="65"/>
      <c r="G71" s="65"/>
      <c r="H71" s="65"/>
      <c r="I71" s="65"/>
    </row>
    <row r="72" spans="1:9" ht="20.25" customHeight="1" x14ac:dyDescent="0.25">
      <c r="B72" s="65"/>
      <c r="C72" s="65"/>
      <c r="D72" s="65"/>
      <c r="E72" s="65"/>
      <c r="H72" s="65"/>
      <c r="I72" s="65"/>
    </row>
    <row r="73" spans="1:9" ht="16.2" x14ac:dyDescent="0.25">
      <c r="B73" s="65"/>
      <c r="C73" s="65"/>
      <c r="D73" s="65"/>
      <c r="E73" s="65"/>
      <c r="F73" s="77" t="s">
        <v>130</v>
      </c>
      <c r="G73" s="78">
        <f>(G64*G45)/(G64-(G55-G35))</f>
        <v>2.7090819200919811</v>
      </c>
      <c r="H73" s="48" t="s">
        <v>131</v>
      </c>
      <c r="I73" s="65"/>
    </row>
    <row r="74" spans="1:9" ht="12" customHeight="1" x14ac:dyDescent="0.25">
      <c r="B74" s="65"/>
      <c r="C74" s="65"/>
      <c r="D74" s="65"/>
      <c r="E74" s="65"/>
      <c r="F74" s="65"/>
      <c r="G74" s="65"/>
      <c r="H74" s="65"/>
      <c r="I74" s="65"/>
    </row>
    <row r="75" spans="1:9" ht="12" customHeight="1" x14ac:dyDescent="0.25">
      <c r="B75" s="65"/>
      <c r="C75" s="65"/>
      <c r="D75" s="65"/>
      <c r="E75" s="65"/>
      <c r="F75" s="65"/>
      <c r="G75" s="65"/>
      <c r="H75" s="65"/>
      <c r="I75" s="65"/>
    </row>
    <row r="76" spans="1:9" ht="12" customHeight="1" x14ac:dyDescent="0.25">
      <c r="B76" s="48" t="s">
        <v>125</v>
      </c>
    </row>
    <row r="77" spans="1:9" ht="12" customHeight="1" x14ac:dyDescent="0.25"/>
    <row r="78" spans="1:9" ht="12" customHeight="1" x14ac:dyDescent="0.25">
      <c r="B78" s="48" t="s">
        <v>97</v>
      </c>
      <c r="C78" s="65"/>
      <c r="D78" s="65"/>
      <c r="E78" s="65"/>
      <c r="F78" s="65"/>
      <c r="G78" s="65"/>
      <c r="H78" s="65"/>
    </row>
    <row r="79" spans="1:9" ht="12" customHeight="1" x14ac:dyDescent="0.25">
      <c r="B79" s="48" t="s">
        <v>71</v>
      </c>
      <c r="C79" s="76"/>
      <c r="D79" s="65"/>
      <c r="E79" s="65"/>
      <c r="F79" s="65"/>
      <c r="G79" s="65"/>
      <c r="H79" s="65"/>
    </row>
    <row r="80" spans="1:9" ht="12" customHeight="1" x14ac:dyDescent="0.25">
      <c r="B80" s="65"/>
      <c r="C80" s="65"/>
      <c r="D80" s="65"/>
      <c r="E80" s="65"/>
      <c r="H80" s="65"/>
    </row>
    <row r="81" spans="2:8" ht="16.2" x14ac:dyDescent="0.25">
      <c r="B81" s="65"/>
      <c r="C81" s="65"/>
      <c r="D81" s="65"/>
      <c r="E81" s="65"/>
      <c r="F81" s="77" t="s">
        <v>132</v>
      </c>
      <c r="G81" s="78">
        <f>(G64*G45)/(G60-(G55-G35))</f>
        <v>2.4926992859032011</v>
      </c>
      <c r="H81" s="48" t="s">
        <v>131</v>
      </c>
    </row>
    <row r="82" spans="2:8" ht="12" customHeight="1" x14ac:dyDescent="0.25">
      <c r="B82" s="65"/>
      <c r="C82" s="65"/>
      <c r="D82" s="65"/>
      <c r="E82" s="65"/>
      <c r="F82" s="65"/>
      <c r="G82" s="65"/>
      <c r="H82" s="65"/>
    </row>
    <row r="83" spans="2:8" ht="12" customHeight="1" x14ac:dyDescent="0.25">
      <c r="B83" s="65"/>
      <c r="C83" s="65"/>
      <c r="D83" s="65"/>
      <c r="E83" s="65"/>
      <c r="F83" s="65"/>
      <c r="G83" s="65"/>
      <c r="H83" s="65"/>
    </row>
    <row r="84" spans="2:8" ht="12" customHeight="1" x14ac:dyDescent="0.25">
      <c r="B84" s="48" t="s">
        <v>72</v>
      </c>
    </row>
    <row r="87" spans="2:8" x14ac:dyDescent="0.25">
      <c r="B87" s="48" t="s">
        <v>73</v>
      </c>
    </row>
    <row r="88" spans="2:8" x14ac:dyDescent="0.25">
      <c r="B88" s="48" t="s">
        <v>74</v>
      </c>
    </row>
    <row r="90" spans="2:8" x14ac:dyDescent="0.25">
      <c r="B90" s="48" t="s">
        <v>75</v>
      </c>
    </row>
    <row r="91" spans="2:8" ht="20.25" customHeight="1" x14ac:dyDescent="0.25">
      <c r="B91" s="48" t="s">
        <v>127</v>
      </c>
    </row>
    <row r="93" spans="2:8" ht="16.2" x14ac:dyDescent="0.25">
      <c r="F93" s="61" t="s">
        <v>133</v>
      </c>
      <c r="G93" s="79">
        <f>((G60-G64)*100)/G64</f>
        <v>3.1991525423728739</v>
      </c>
      <c r="H93" s="48" t="s">
        <v>128</v>
      </c>
    </row>
  </sheetData>
  <mergeCells count="1">
    <mergeCell ref="C2:H2"/>
  </mergeCells>
  <phoneticPr fontId="0" type="noConversion"/>
  <pageMargins left="0.2" right="0.3" top="0.53" bottom="0.63" header="0.35" footer="0.49"/>
  <pageSetup paperSize="9" scale="80" orientation="portrait" horizontalDpi="300" verticalDpi="300" r:id="rId1"/>
  <headerFooter alignWithMargins="0">
    <oddFooter>&amp;RDG-Q / FE mde du 28/06/06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C47"/>
  <sheetViews>
    <sheetView workbookViewId="0">
      <selection activeCell="AB15" sqref="AB15"/>
    </sheetView>
  </sheetViews>
  <sheetFormatPr baseColWidth="10" defaultColWidth="11.44140625" defaultRowHeight="13.2" x14ac:dyDescent="0.25"/>
  <cols>
    <col min="1" max="1" width="2.5546875" style="81" customWidth="1"/>
    <col min="2" max="16" width="3.6640625" style="81" customWidth="1"/>
    <col min="17" max="17" width="4.88671875" style="81" customWidth="1"/>
    <col min="18" max="18" width="5.109375" style="81" customWidth="1"/>
    <col min="19" max="19" width="4.5546875" style="81" customWidth="1"/>
    <col min="20" max="20" width="5.109375" style="81" customWidth="1"/>
    <col min="21" max="22" width="4.44140625" style="81" customWidth="1"/>
    <col min="23" max="23" width="3.6640625" style="81" customWidth="1"/>
    <col min="24" max="24" width="4.6640625" style="81" customWidth="1"/>
    <col min="25" max="25" width="4.44140625" style="81" customWidth="1"/>
    <col min="26" max="26" width="2.33203125" style="81" customWidth="1"/>
    <col min="27" max="16384" width="11.44140625" style="81"/>
  </cols>
  <sheetData>
    <row r="1" spans="1:26" ht="12.75" customHeight="1" x14ac:dyDescent="0.2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</row>
    <row r="2" spans="1:26" ht="12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</row>
    <row r="3" spans="1:26" ht="12.75" customHeight="1" x14ac:dyDescent="0.25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</row>
    <row r="4" spans="1:26" ht="12.75" customHeight="1" x14ac:dyDescent="0.25">
      <c r="A4" s="80"/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</row>
    <row r="5" spans="1:26" ht="12.75" customHeight="1" x14ac:dyDescent="0.25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</row>
    <row r="6" spans="1:26" ht="12.75" customHeight="1" x14ac:dyDescent="0.25">
      <c r="A6" s="80"/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</row>
    <row r="7" spans="1:26" ht="36.75" customHeight="1" x14ac:dyDescent="0.25">
      <c r="A7" s="82" t="s">
        <v>20</v>
      </c>
      <c r="B7" s="83"/>
      <c r="C7" s="80"/>
      <c r="D7" s="80"/>
      <c r="E7" s="84"/>
      <c r="F7" s="84" t="s">
        <v>21</v>
      </c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</row>
    <row r="8" spans="1:26" ht="15" customHeight="1" x14ac:dyDescent="0.25">
      <c r="A8" s="85" t="s">
        <v>1</v>
      </c>
      <c r="B8" s="86" t="s">
        <v>2</v>
      </c>
      <c r="C8" s="87"/>
      <c r="D8" s="88"/>
      <c r="E8" s="88"/>
      <c r="F8" s="88"/>
      <c r="G8" s="88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90"/>
    </row>
    <row r="9" spans="1:26" ht="15" customHeight="1" x14ac:dyDescent="0.25">
      <c r="A9" s="91"/>
      <c r="B9" s="92" t="s">
        <v>26</v>
      </c>
      <c r="C9" s="93"/>
      <c r="D9" s="94"/>
      <c r="E9" s="94"/>
      <c r="F9" s="293"/>
      <c r="G9" s="293"/>
      <c r="H9" s="293"/>
      <c r="I9" s="293"/>
      <c r="J9" s="293"/>
      <c r="K9" s="293"/>
      <c r="L9" s="93"/>
      <c r="M9" s="93"/>
      <c r="N9" s="95" t="s">
        <v>27</v>
      </c>
      <c r="O9" s="95"/>
      <c r="P9" s="95"/>
      <c r="Q9" s="95"/>
      <c r="R9" s="96"/>
      <c r="S9" s="97"/>
      <c r="T9" s="93"/>
      <c r="U9" s="93"/>
      <c r="V9" s="93"/>
      <c r="W9" s="93"/>
      <c r="X9" s="93"/>
      <c r="Y9" s="93"/>
      <c r="Z9" s="98"/>
    </row>
    <row r="10" spans="1:26" ht="15" customHeight="1" x14ac:dyDescent="0.25">
      <c r="A10" s="91"/>
      <c r="B10" s="97" t="s">
        <v>3</v>
      </c>
      <c r="C10" s="93"/>
      <c r="D10" s="94"/>
      <c r="E10" s="94"/>
      <c r="F10" s="94"/>
      <c r="G10" s="99"/>
      <c r="H10" s="310"/>
      <c r="I10" s="310"/>
      <c r="J10" s="310"/>
      <c r="K10" s="310"/>
      <c r="L10" s="100"/>
      <c r="M10" s="101"/>
      <c r="N10" s="95" t="s">
        <v>28</v>
      </c>
      <c r="O10" s="93"/>
      <c r="P10" s="93"/>
      <c r="Q10" s="93"/>
      <c r="R10" s="97"/>
      <c r="S10" s="100"/>
      <c r="T10" s="100"/>
      <c r="U10" s="100"/>
      <c r="V10" s="100"/>
      <c r="W10" s="100"/>
      <c r="X10" s="100"/>
      <c r="Y10" s="100"/>
      <c r="Z10" s="102"/>
    </row>
    <row r="11" spans="1:26" ht="15" customHeight="1" x14ac:dyDescent="0.25">
      <c r="A11" s="91"/>
      <c r="B11" s="97" t="s">
        <v>19</v>
      </c>
      <c r="C11" s="93"/>
      <c r="D11" s="94"/>
      <c r="E11" s="94"/>
      <c r="F11" s="94"/>
      <c r="G11" s="310"/>
      <c r="H11" s="310"/>
      <c r="I11" s="310"/>
      <c r="J11" s="310"/>
      <c r="K11" s="100"/>
      <c r="L11" s="100"/>
      <c r="M11" s="101"/>
      <c r="N11" s="95" t="s">
        <v>29</v>
      </c>
      <c r="O11" s="93"/>
      <c r="P11" s="93"/>
      <c r="Q11" s="100"/>
      <c r="R11" s="100"/>
      <c r="S11" s="100"/>
      <c r="T11" s="100"/>
      <c r="U11" s="100"/>
      <c r="V11" s="100"/>
      <c r="W11" s="100"/>
      <c r="X11" s="100"/>
      <c r="Y11" s="100"/>
      <c r="Z11" s="102"/>
    </row>
    <row r="12" spans="1:26" ht="15" customHeight="1" x14ac:dyDescent="0.25">
      <c r="A12" s="91"/>
      <c r="B12" s="93"/>
      <c r="C12" s="93"/>
      <c r="D12" s="94"/>
      <c r="E12" s="94"/>
      <c r="F12" s="94"/>
      <c r="G12" s="94"/>
      <c r="H12" s="93"/>
      <c r="I12" s="93"/>
      <c r="J12" s="93"/>
      <c r="K12" s="93"/>
      <c r="L12" s="93"/>
      <c r="M12" s="103"/>
      <c r="N12" s="95" t="s">
        <v>4</v>
      </c>
      <c r="O12" s="93"/>
      <c r="P12" s="93"/>
      <c r="Q12" s="100"/>
      <c r="R12" s="100"/>
      <c r="S12" s="100"/>
      <c r="T12" s="100"/>
      <c r="U12" s="100"/>
      <c r="V12" s="100"/>
      <c r="W12" s="100"/>
      <c r="X12" s="100"/>
      <c r="Y12" s="100"/>
      <c r="Z12" s="102"/>
    </row>
    <row r="13" spans="1:26" ht="15" customHeight="1" x14ac:dyDescent="0.25">
      <c r="A13" s="104"/>
      <c r="B13" s="105"/>
      <c r="C13" s="105"/>
      <c r="D13" s="106"/>
      <c r="E13" s="106"/>
      <c r="F13" s="106"/>
      <c r="G13" s="106"/>
      <c r="H13" s="105"/>
      <c r="I13" s="105"/>
      <c r="J13" s="105"/>
      <c r="K13" s="105"/>
      <c r="L13" s="105"/>
      <c r="M13" s="105"/>
      <c r="N13" s="107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8"/>
    </row>
    <row r="14" spans="1:26" ht="15" x14ac:dyDescent="0.25">
      <c r="B14" s="109"/>
      <c r="C14" s="109"/>
      <c r="K14" s="110"/>
      <c r="L14" s="109"/>
      <c r="M14" s="111"/>
    </row>
    <row r="15" spans="1:26" ht="15" x14ac:dyDescent="0.25">
      <c r="A15" s="85" t="s">
        <v>5</v>
      </c>
      <c r="B15" s="112" t="s">
        <v>6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90"/>
    </row>
    <row r="16" spans="1:26" ht="15" x14ac:dyDescent="0.25">
      <c r="A16" s="91"/>
      <c r="B16" s="11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8"/>
    </row>
    <row r="17" spans="1:26" ht="15" x14ac:dyDescent="0.25">
      <c r="A17" s="91"/>
      <c r="B17" s="97" t="s">
        <v>7</v>
      </c>
      <c r="C17" s="80"/>
      <c r="D17" s="93"/>
      <c r="E17" s="93"/>
      <c r="F17" s="93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2"/>
    </row>
    <row r="18" spans="1:26" ht="15" x14ac:dyDescent="0.25">
      <c r="A18" s="91"/>
      <c r="B18" s="97" t="s">
        <v>8</v>
      </c>
      <c r="C18" s="80"/>
      <c r="D18" s="93"/>
      <c r="E18" s="93"/>
      <c r="F18" s="93"/>
      <c r="G18" s="97"/>
      <c r="H18" s="97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2"/>
    </row>
    <row r="19" spans="1:26" x14ac:dyDescent="0.25">
      <c r="A19" s="104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8"/>
    </row>
    <row r="20" spans="1:26" x14ac:dyDescent="0.25">
      <c r="C20" s="114"/>
    </row>
    <row r="21" spans="1:26" ht="15" x14ac:dyDescent="0.25">
      <c r="A21" s="85" t="s">
        <v>9</v>
      </c>
      <c r="B21" s="86" t="s">
        <v>10</v>
      </c>
      <c r="C21" s="89"/>
      <c r="D21" s="88"/>
      <c r="E21" s="88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90"/>
    </row>
    <row r="22" spans="1:26" x14ac:dyDescent="0.25">
      <c r="A22" s="115"/>
      <c r="B22" s="116"/>
      <c r="C22" s="116"/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7"/>
    </row>
    <row r="23" spans="1:26" x14ac:dyDescent="0.25">
      <c r="A23" s="115"/>
      <c r="W23" s="116"/>
      <c r="X23" s="116"/>
      <c r="Y23" s="116"/>
      <c r="Z23" s="117"/>
    </row>
    <row r="24" spans="1:26" ht="13.8" thickBot="1" x14ac:dyDescent="0.3">
      <c r="A24" s="115"/>
      <c r="W24" s="116"/>
      <c r="X24" s="116"/>
      <c r="Y24" s="116"/>
      <c r="Z24" s="117"/>
    </row>
    <row r="25" spans="1:26" ht="18" customHeight="1" thickBot="1" x14ac:dyDescent="0.3">
      <c r="A25" s="115"/>
      <c r="E25" s="296" t="s">
        <v>11</v>
      </c>
      <c r="F25" s="297"/>
      <c r="G25" s="297"/>
      <c r="H25" s="297"/>
      <c r="I25" s="297"/>
      <c r="J25" s="297"/>
      <c r="K25" s="297"/>
      <c r="L25" s="297"/>
      <c r="M25" s="297"/>
      <c r="N25" s="298"/>
      <c r="O25" s="296" t="s">
        <v>0</v>
      </c>
      <c r="P25" s="297"/>
      <c r="Q25" s="297"/>
      <c r="R25" s="297"/>
      <c r="S25" s="298"/>
      <c r="W25" s="116"/>
      <c r="X25" s="116"/>
      <c r="Y25" s="116"/>
      <c r="Z25" s="117"/>
    </row>
    <row r="26" spans="1:26" ht="9" customHeight="1" x14ac:dyDescent="0.25">
      <c r="A26" s="115"/>
      <c r="E26" s="118"/>
      <c r="F26" s="119"/>
      <c r="G26" s="119"/>
      <c r="H26" s="119"/>
      <c r="I26" s="119"/>
      <c r="J26" s="119"/>
      <c r="K26" s="119"/>
      <c r="N26" s="120"/>
      <c r="O26" s="121"/>
      <c r="P26" s="122"/>
      <c r="Q26" s="122"/>
      <c r="R26" s="122"/>
      <c r="S26" s="123"/>
      <c r="W26" s="116"/>
      <c r="X26" s="116"/>
      <c r="Y26" s="116"/>
      <c r="Z26" s="117"/>
    </row>
    <row r="27" spans="1:26" ht="9" customHeight="1" x14ac:dyDescent="0.25">
      <c r="A27" s="115"/>
      <c r="E27" s="124"/>
      <c r="F27" s="119"/>
      <c r="G27" s="119"/>
      <c r="H27" s="119"/>
      <c r="I27" s="119"/>
      <c r="J27" s="119"/>
      <c r="K27" s="119"/>
      <c r="N27" s="120"/>
      <c r="O27" s="125"/>
      <c r="P27" s="126"/>
      <c r="Q27" s="126"/>
      <c r="R27" s="126"/>
      <c r="S27" s="127"/>
      <c r="W27" s="116"/>
      <c r="X27" s="116"/>
      <c r="Y27" s="116"/>
      <c r="Z27" s="117"/>
    </row>
    <row r="28" spans="1:26" ht="17.25" customHeight="1" x14ac:dyDescent="0.25">
      <c r="A28" s="115"/>
      <c r="E28" s="128" t="s">
        <v>32</v>
      </c>
      <c r="F28" s="119"/>
      <c r="G28" s="119"/>
      <c r="H28" s="129"/>
      <c r="I28" s="119"/>
      <c r="J28" s="129"/>
      <c r="K28" s="119"/>
      <c r="M28" s="130" t="s">
        <v>33</v>
      </c>
      <c r="N28" s="120"/>
      <c r="O28" s="299"/>
      <c r="P28" s="300"/>
      <c r="Q28" s="300"/>
      <c r="R28" s="131" t="s">
        <v>34</v>
      </c>
      <c r="S28" s="127"/>
      <c r="V28" s="132"/>
      <c r="W28" s="116"/>
      <c r="X28" s="116"/>
      <c r="Y28" s="116"/>
      <c r="Z28" s="117"/>
    </row>
    <row r="29" spans="1:26" x14ac:dyDescent="0.25">
      <c r="A29" s="115"/>
      <c r="E29" s="124"/>
      <c r="F29" s="119"/>
      <c r="G29" s="119"/>
      <c r="H29" s="133"/>
      <c r="I29" s="119"/>
      <c r="J29" s="119"/>
      <c r="K29" s="119"/>
      <c r="N29" s="120"/>
      <c r="O29" s="125"/>
      <c r="P29" s="126"/>
      <c r="Q29" s="126"/>
      <c r="R29" s="126"/>
      <c r="S29" s="127"/>
      <c r="W29" s="116"/>
      <c r="X29" s="116"/>
      <c r="Y29" s="116"/>
      <c r="Z29" s="117"/>
    </row>
    <row r="30" spans="1:26" ht="15" x14ac:dyDescent="0.25">
      <c r="A30" s="115"/>
      <c r="E30" s="128" t="s">
        <v>30</v>
      </c>
      <c r="F30" s="119"/>
      <c r="G30" s="119"/>
      <c r="H30" s="133"/>
      <c r="I30" s="119"/>
      <c r="J30" s="133"/>
      <c r="K30" s="119"/>
      <c r="M30" s="134" t="s">
        <v>31</v>
      </c>
      <c r="N30" s="120"/>
      <c r="O30" s="299"/>
      <c r="P30" s="300"/>
      <c r="Q30" s="300"/>
      <c r="R30" s="300"/>
      <c r="S30" s="135" t="s">
        <v>35</v>
      </c>
      <c r="W30" s="116"/>
      <c r="X30" s="116"/>
      <c r="Y30" s="116"/>
      <c r="Z30" s="117"/>
    </row>
    <row r="31" spans="1:26" ht="13.8" thickBot="1" x14ac:dyDescent="0.3">
      <c r="A31" s="115"/>
      <c r="E31" s="136"/>
      <c r="F31" s="137"/>
      <c r="G31" s="137"/>
      <c r="H31" s="137"/>
      <c r="I31" s="137"/>
      <c r="J31" s="137"/>
      <c r="K31" s="137"/>
      <c r="L31" s="137"/>
      <c r="M31" s="137"/>
      <c r="N31" s="138"/>
      <c r="O31" s="139"/>
      <c r="P31" s="140"/>
      <c r="Q31" s="140"/>
      <c r="R31" s="140"/>
      <c r="S31" s="141"/>
      <c r="W31" s="116"/>
      <c r="X31" s="116"/>
      <c r="Y31" s="116"/>
      <c r="Z31" s="117"/>
    </row>
    <row r="32" spans="1:26" x14ac:dyDescent="0.25">
      <c r="A32" s="115"/>
      <c r="W32" s="116"/>
      <c r="X32" s="116"/>
      <c r="Y32" s="116"/>
      <c r="Z32" s="117"/>
    </row>
    <row r="33" spans="1:29" x14ac:dyDescent="0.25">
      <c r="A33" s="115"/>
      <c r="M33" s="80"/>
      <c r="W33" s="116"/>
      <c r="X33" s="116"/>
      <c r="Y33" s="116"/>
      <c r="Z33" s="117"/>
    </row>
    <row r="34" spans="1:29" ht="15" x14ac:dyDescent="0.25">
      <c r="A34" s="142"/>
      <c r="W34" s="116"/>
      <c r="X34" s="116"/>
      <c r="Y34" s="116"/>
      <c r="Z34" s="117"/>
    </row>
    <row r="35" spans="1:29" ht="15" x14ac:dyDescent="0.25">
      <c r="A35" s="142"/>
      <c r="W35" s="116"/>
      <c r="X35" s="116"/>
      <c r="Y35" s="116"/>
      <c r="Z35" s="117"/>
    </row>
    <row r="36" spans="1:29" ht="15" x14ac:dyDescent="0.25">
      <c r="A36" s="142"/>
      <c r="W36" s="116"/>
      <c r="X36" s="116"/>
      <c r="Y36" s="116"/>
      <c r="Z36" s="117"/>
    </row>
    <row r="37" spans="1:29" x14ac:dyDescent="0.25">
      <c r="A37" s="143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3"/>
      <c r="X37" s="143"/>
      <c r="Y37" s="143"/>
      <c r="Z37" s="143"/>
    </row>
    <row r="38" spans="1:29" s="153" customFormat="1" ht="34.5" customHeight="1" x14ac:dyDescent="0.25">
      <c r="A38" s="145" t="s">
        <v>12</v>
      </c>
      <c r="B38" s="146" t="s">
        <v>13</v>
      </c>
      <c r="C38" s="147"/>
      <c r="D38" s="147"/>
      <c r="E38" s="148"/>
      <c r="F38" s="149"/>
      <c r="G38" s="149"/>
      <c r="H38" s="149"/>
      <c r="I38" s="150"/>
      <c r="J38" s="150"/>
      <c r="K38" s="150"/>
      <c r="L38" s="150"/>
      <c r="M38" s="150"/>
      <c r="N38" s="150"/>
      <c r="O38" s="150"/>
      <c r="P38" s="150"/>
      <c r="Q38" s="150"/>
      <c r="R38" s="151"/>
      <c r="S38" s="151"/>
      <c r="T38" s="151"/>
      <c r="U38" s="294"/>
      <c r="V38" s="294"/>
      <c r="W38" s="294"/>
      <c r="X38" s="294"/>
      <c r="Y38" s="294"/>
      <c r="Z38" s="295"/>
      <c r="AA38" s="152"/>
      <c r="AB38" s="152"/>
      <c r="AC38" s="152"/>
    </row>
    <row r="39" spans="1:29" s="153" customFormat="1" ht="27" customHeight="1" x14ac:dyDescent="0.25">
      <c r="A39" s="301" t="s">
        <v>22</v>
      </c>
      <c r="B39" s="302"/>
      <c r="C39" s="302"/>
      <c r="D39" s="302"/>
      <c r="E39" s="302"/>
      <c r="F39" s="302"/>
      <c r="G39" s="302"/>
      <c r="H39" s="302"/>
      <c r="I39" s="302"/>
      <c r="J39" s="302"/>
      <c r="K39" s="303"/>
      <c r="L39" s="154"/>
      <c r="M39" s="154"/>
      <c r="N39" s="154"/>
      <c r="O39" s="154"/>
      <c r="P39" s="154"/>
      <c r="Q39" s="155"/>
      <c r="R39" s="304" t="s">
        <v>23</v>
      </c>
      <c r="S39" s="305"/>
      <c r="T39" s="306"/>
      <c r="U39" s="307"/>
      <c r="V39" s="308"/>
      <c r="W39" s="308"/>
      <c r="X39" s="308"/>
      <c r="Y39" s="308"/>
      <c r="Z39" s="309"/>
      <c r="AA39" s="152"/>
      <c r="AB39" s="152"/>
      <c r="AC39" s="152"/>
    </row>
    <row r="40" spans="1:29" s="153" customFormat="1" ht="15.75" customHeight="1" x14ac:dyDescent="0.25">
      <c r="A40" s="156"/>
      <c r="B40" s="157"/>
      <c r="C40" s="158" t="s">
        <v>14</v>
      </c>
      <c r="D40" s="159"/>
      <c r="E40" s="157"/>
      <c r="H40" s="287" t="s">
        <v>15</v>
      </c>
      <c r="I40" s="287"/>
      <c r="J40" s="287"/>
      <c r="K40" s="288"/>
      <c r="L40" s="159"/>
      <c r="M40" s="287" t="s">
        <v>16</v>
      </c>
      <c r="N40" s="287"/>
      <c r="O40" s="287"/>
      <c r="P40" s="287"/>
      <c r="Q40" s="289"/>
      <c r="R40" s="290" t="s">
        <v>24</v>
      </c>
      <c r="S40" s="291"/>
      <c r="T40" s="292"/>
      <c r="U40" s="314"/>
      <c r="V40" s="315"/>
      <c r="W40" s="315"/>
      <c r="X40" s="315"/>
      <c r="Y40" s="315"/>
      <c r="Z40" s="316"/>
      <c r="AA40" s="152"/>
      <c r="AB40" s="152"/>
      <c r="AC40" s="152"/>
    </row>
    <row r="41" spans="1:29" s="153" customFormat="1" ht="9" customHeight="1" x14ac:dyDescent="0.25">
      <c r="A41" s="156"/>
      <c r="B41" s="160"/>
      <c r="C41" s="159"/>
      <c r="D41" s="159"/>
      <c r="E41" s="160"/>
      <c r="F41" s="159"/>
      <c r="G41" s="159"/>
      <c r="I41" s="160"/>
      <c r="J41" s="159"/>
      <c r="K41" s="161"/>
      <c r="L41" s="159"/>
      <c r="M41" s="159"/>
      <c r="N41" s="159"/>
      <c r="O41" s="159"/>
      <c r="P41" s="159"/>
      <c r="Q41" s="162"/>
      <c r="R41" s="290"/>
      <c r="S41" s="291"/>
      <c r="T41" s="292"/>
      <c r="U41" s="317"/>
      <c r="V41" s="318"/>
      <c r="W41" s="318"/>
      <c r="X41" s="318"/>
      <c r="Y41" s="318"/>
      <c r="Z41" s="319"/>
      <c r="AA41" s="152"/>
      <c r="AB41" s="152"/>
      <c r="AC41" s="152"/>
    </row>
    <row r="42" spans="1:29" s="153" customFormat="1" ht="15.9" customHeight="1" x14ac:dyDescent="0.25">
      <c r="A42" s="163"/>
      <c r="B42" s="164"/>
      <c r="C42" s="165"/>
      <c r="D42" s="165"/>
      <c r="E42" s="166"/>
      <c r="F42" s="165"/>
      <c r="G42" s="165"/>
      <c r="H42" s="165"/>
      <c r="I42" s="166"/>
      <c r="J42" s="165"/>
      <c r="K42" s="167"/>
      <c r="L42" s="165"/>
      <c r="M42" s="165"/>
      <c r="N42" s="165"/>
      <c r="O42" s="165"/>
      <c r="P42" s="165"/>
      <c r="Q42" s="168"/>
      <c r="R42" s="290"/>
      <c r="S42" s="291"/>
      <c r="T42" s="292"/>
      <c r="U42" s="317"/>
      <c r="V42" s="318"/>
      <c r="W42" s="318"/>
      <c r="X42" s="318"/>
      <c r="Y42" s="318"/>
      <c r="Z42" s="319"/>
      <c r="AA42" s="152"/>
      <c r="AB42" s="152"/>
      <c r="AC42" s="152"/>
    </row>
    <row r="43" spans="1:29" s="153" customFormat="1" ht="15.9" customHeight="1" x14ac:dyDescent="0.25">
      <c r="A43" s="169" t="s">
        <v>17</v>
      </c>
      <c r="B43" s="170" t="s">
        <v>18</v>
      </c>
      <c r="C43" s="159"/>
      <c r="D43" s="159"/>
      <c r="E43" s="171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3"/>
      <c r="R43" s="290"/>
      <c r="S43" s="291"/>
      <c r="T43" s="292"/>
      <c r="U43" s="320"/>
      <c r="V43" s="321"/>
      <c r="W43" s="321"/>
      <c r="X43" s="321"/>
      <c r="Y43" s="321"/>
      <c r="Z43" s="322"/>
      <c r="AA43" s="152"/>
      <c r="AB43" s="152"/>
      <c r="AC43" s="152"/>
    </row>
    <row r="44" spans="1:29" s="153" customFormat="1" ht="15.75" customHeight="1" x14ac:dyDescent="0.25">
      <c r="A44" s="174"/>
      <c r="B44" s="172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3"/>
      <c r="R44" s="304" t="s">
        <v>25</v>
      </c>
      <c r="S44" s="305"/>
      <c r="T44" s="306"/>
      <c r="U44" s="323"/>
      <c r="V44" s="324"/>
      <c r="W44" s="324"/>
      <c r="X44" s="325"/>
      <c r="Y44" s="325"/>
      <c r="Z44" s="326"/>
      <c r="AA44" s="152"/>
      <c r="AB44" s="152"/>
      <c r="AC44" s="152"/>
    </row>
    <row r="45" spans="1:29" s="153" customFormat="1" ht="15.9" customHeight="1" x14ac:dyDescent="0.25">
      <c r="A45" s="174"/>
      <c r="B45" s="172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3"/>
      <c r="R45" s="304"/>
      <c r="S45" s="305"/>
      <c r="T45" s="306"/>
      <c r="U45" s="327"/>
      <c r="V45" s="328"/>
      <c r="W45" s="328"/>
      <c r="X45" s="329"/>
      <c r="Y45" s="329"/>
      <c r="Z45" s="330"/>
      <c r="AA45" s="152"/>
      <c r="AB45" s="152"/>
      <c r="AC45" s="152"/>
    </row>
    <row r="46" spans="1:29" s="153" customFormat="1" ht="15.9" customHeight="1" x14ac:dyDescent="0.25">
      <c r="A46" s="174"/>
      <c r="B46" s="172"/>
      <c r="C46" s="172"/>
      <c r="D46" s="172"/>
      <c r="E46" s="172"/>
      <c r="F46" s="172"/>
      <c r="G46" s="172"/>
      <c r="H46" s="172"/>
      <c r="I46" s="175"/>
      <c r="J46" s="172"/>
      <c r="K46" s="172"/>
      <c r="L46" s="172"/>
      <c r="M46" s="172"/>
      <c r="N46" s="172"/>
      <c r="O46" s="172"/>
      <c r="P46" s="172"/>
      <c r="Q46" s="173"/>
      <c r="R46" s="304"/>
      <c r="S46" s="305"/>
      <c r="T46" s="306"/>
      <c r="U46" s="327"/>
      <c r="V46" s="328"/>
      <c r="W46" s="328"/>
      <c r="X46" s="329"/>
      <c r="Y46" s="329"/>
      <c r="Z46" s="330"/>
      <c r="AA46" s="152"/>
      <c r="AB46" s="152"/>
      <c r="AC46" s="152"/>
    </row>
    <row r="47" spans="1:29" s="153" customFormat="1" ht="15.75" customHeight="1" x14ac:dyDescent="0.25">
      <c r="A47" s="176"/>
      <c r="B47" s="177"/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8"/>
      <c r="R47" s="311"/>
      <c r="S47" s="312"/>
      <c r="T47" s="313"/>
      <c r="U47" s="331"/>
      <c r="V47" s="332"/>
      <c r="W47" s="332"/>
      <c r="X47" s="333"/>
      <c r="Y47" s="333"/>
      <c r="Z47" s="334"/>
      <c r="AA47" s="152"/>
      <c r="AB47" s="152"/>
      <c r="AC47" s="152"/>
    </row>
  </sheetData>
  <mergeCells count="17">
    <mergeCell ref="R44:T47"/>
    <mergeCell ref="O25:S25"/>
    <mergeCell ref="O30:R30"/>
    <mergeCell ref="U40:Z43"/>
    <mergeCell ref="U44:Z47"/>
    <mergeCell ref="H40:K40"/>
    <mergeCell ref="M40:Q40"/>
    <mergeCell ref="R40:T43"/>
    <mergeCell ref="F9:K9"/>
    <mergeCell ref="U38:Z38"/>
    <mergeCell ref="E25:N25"/>
    <mergeCell ref="O28:Q28"/>
    <mergeCell ref="A39:K39"/>
    <mergeCell ref="R39:T39"/>
    <mergeCell ref="U39:Z39"/>
    <mergeCell ref="H10:K10"/>
    <mergeCell ref="G11:J11"/>
  </mergeCells>
  <phoneticPr fontId="0" type="noConversion"/>
  <pageMargins left="0.22" right="0.19" top="0.53" bottom="0.7" header="0.34" footer="0.4921259845"/>
  <pageSetup paperSize="9" orientation="portrait" horizontalDpi="300" verticalDpi="300" r:id="rId1"/>
  <headerFooter alignWithMargins="0">
    <oddFooter>&amp;RDG-Q / RE RFU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5" r:id="rId4" name="Check Box 47">
              <controlPr locked="0" defaultSize="0" autoFill="0" autoLine="0" autoPict="0">
                <anchor moveWithCells="1">
                  <from>
                    <xdr:col>1</xdr:col>
                    <xdr:colOff>22860</xdr:colOff>
                    <xdr:row>39</xdr:row>
                    <xdr:rowOff>7620</xdr:rowOff>
                  </from>
                  <to>
                    <xdr:col>2</xdr:col>
                    <xdr:colOff>76200</xdr:colOff>
                    <xdr:row>40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" name="Check Box 48">
              <controlPr locked="0" defaultSize="0" autoFill="0" autoLine="0" autoPict="0">
                <anchor moveWithCells="1">
                  <from>
                    <xdr:col>6</xdr:col>
                    <xdr:colOff>7620</xdr:colOff>
                    <xdr:row>38</xdr:row>
                    <xdr:rowOff>327660</xdr:rowOff>
                  </from>
                  <to>
                    <xdr:col>7</xdr:col>
                    <xdr:colOff>68580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6" name="Check Box 49">
              <controlPr locked="0" defaultSize="0" autoFill="0" autoLine="0" autoPict="0">
                <anchor moveWithCells="1">
                  <from>
                    <xdr:col>11</xdr:col>
                    <xdr:colOff>114300</xdr:colOff>
                    <xdr:row>39</xdr:row>
                    <xdr:rowOff>0</xdr:rowOff>
                  </from>
                  <to>
                    <xdr:col>12</xdr:col>
                    <xdr:colOff>175260</xdr:colOff>
                    <xdr:row>40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1">
    <pageSetUpPr fitToPage="1"/>
  </sheetPr>
  <dimension ref="A1:AB75"/>
  <sheetViews>
    <sheetView showZeros="0" workbookViewId="0">
      <selection activeCell="V10" sqref="V10"/>
    </sheetView>
  </sheetViews>
  <sheetFormatPr baseColWidth="10" defaultColWidth="11.44140625" defaultRowHeight="12.75" customHeight="1" x14ac:dyDescent="0.25"/>
  <cols>
    <col min="1" max="14" width="4.6640625" style="182" customWidth="1"/>
    <col min="15" max="15" width="5.33203125" style="182" customWidth="1"/>
    <col min="16" max="28" width="4.6640625" style="182" customWidth="1"/>
    <col min="29" max="16384" width="11.44140625" style="182"/>
  </cols>
  <sheetData>
    <row r="1" spans="1:28" ht="83.25" customHeight="1" x14ac:dyDescent="0.25">
      <c r="A1" s="179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1"/>
    </row>
    <row r="2" spans="1:28" ht="36.75" customHeight="1" x14ac:dyDescent="0.25">
      <c r="A2" s="183" t="s">
        <v>36</v>
      </c>
      <c r="B2" s="184"/>
      <c r="C2" s="184"/>
      <c r="D2" s="184"/>
      <c r="E2" s="185" t="s">
        <v>37</v>
      </c>
      <c r="F2" s="186"/>
      <c r="G2" s="186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</row>
    <row r="3" spans="1:28" s="191" customFormat="1" ht="18" customHeight="1" x14ac:dyDescent="0.25">
      <c r="A3" s="188"/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90"/>
    </row>
    <row r="4" spans="1:28" s="195" customFormat="1" ht="18" customHeight="1" x14ac:dyDescent="0.25">
      <c r="A4" s="192" t="s">
        <v>26</v>
      </c>
      <c r="B4" s="92"/>
      <c r="C4" s="92"/>
      <c r="D4" s="193"/>
      <c r="E4" s="193"/>
      <c r="F4" s="193"/>
      <c r="G4" s="193"/>
      <c r="H4" s="193"/>
      <c r="I4" s="193"/>
      <c r="J4" s="193"/>
      <c r="K4" s="193"/>
      <c r="L4" s="92" t="s">
        <v>27</v>
      </c>
      <c r="M4" s="92"/>
      <c r="N4" s="92"/>
      <c r="O4" s="92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4"/>
    </row>
    <row r="5" spans="1:28" s="195" customFormat="1" ht="18" customHeight="1" x14ac:dyDescent="0.25">
      <c r="A5" s="192" t="s">
        <v>38</v>
      </c>
      <c r="B5" s="92"/>
      <c r="C5" s="92"/>
      <c r="D5" s="92"/>
      <c r="E5" s="92"/>
      <c r="F5" s="92"/>
      <c r="G5" s="193"/>
      <c r="H5" s="193"/>
      <c r="I5" s="193"/>
      <c r="J5" s="193"/>
      <c r="K5" s="193"/>
      <c r="L5" s="92" t="s">
        <v>28</v>
      </c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193"/>
      <c r="Y5" s="193"/>
      <c r="Z5" s="193"/>
      <c r="AA5" s="193"/>
      <c r="AB5" s="194"/>
    </row>
    <row r="6" spans="1:28" s="195" customFormat="1" ht="18" customHeight="1" x14ac:dyDescent="0.25">
      <c r="A6" s="192" t="s">
        <v>39</v>
      </c>
      <c r="B6" s="92"/>
      <c r="C6" s="92"/>
      <c r="D6" s="92"/>
      <c r="E6" s="193"/>
      <c r="F6" s="193"/>
      <c r="G6" s="193"/>
      <c r="H6" s="193"/>
      <c r="I6" s="193"/>
      <c r="J6" s="193"/>
      <c r="K6" s="193"/>
      <c r="L6" s="92" t="s">
        <v>29</v>
      </c>
      <c r="M6" s="92"/>
      <c r="N6" s="92"/>
      <c r="O6" s="193"/>
      <c r="P6" s="193"/>
      <c r="Q6" s="193"/>
      <c r="R6" s="193"/>
      <c r="S6" s="193"/>
      <c r="T6" s="193"/>
      <c r="U6" s="193"/>
      <c r="V6" s="193"/>
      <c r="W6" s="193"/>
      <c r="X6" s="193"/>
      <c r="Y6" s="193"/>
      <c r="Z6" s="193"/>
      <c r="AA6" s="193"/>
      <c r="AB6" s="194"/>
    </row>
    <row r="7" spans="1:28" s="195" customFormat="1" ht="18" customHeight="1" x14ac:dyDescent="0.25">
      <c r="A7" s="192"/>
      <c r="B7" s="92"/>
      <c r="C7" s="92"/>
      <c r="D7" s="92"/>
      <c r="E7" s="92"/>
      <c r="F7" s="92"/>
      <c r="G7" s="92"/>
      <c r="H7" s="92"/>
      <c r="I7" s="92"/>
      <c r="J7" s="92"/>
      <c r="K7" s="92"/>
      <c r="L7" s="92" t="s">
        <v>4</v>
      </c>
      <c r="M7" s="92"/>
      <c r="N7" s="92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4"/>
    </row>
    <row r="8" spans="1:28" s="195" customFormat="1" ht="18" customHeight="1" x14ac:dyDescent="0.25">
      <c r="A8" s="1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193"/>
      <c r="P8" s="193"/>
      <c r="Q8" s="193"/>
      <c r="R8" s="193"/>
      <c r="S8" s="193"/>
      <c r="T8" s="193"/>
      <c r="U8" s="193"/>
      <c r="V8" s="193"/>
      <c r="W8" s="193"/>
      <c r="X8" s="193"/>
      <c r="Y8" s="193"/>
      <c r="Z8" s="193"/>
      <c r="AA8" s="193"/>
      <c r="AB8" s="194"/>
    </row>
    <row r="9" spans="1:28" s="195" customFormat="1" ht="18" customHeight="1" x14ac:dyDescent="0.25">
      <c r="A9" s="1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193"/>
      <c r="P9" s="193"/>
      <c r="Q9" s="193"/>
      <c r="R9" s="193"/>
      <c r="S9" s="193"/>
      <c r="T9" s="193"/>
      <c r="U9" s="193"/>
      <c r="V9" s="193"/>
      <c r="W9" s="193"/>
      <c r="X9" s="193"/>
      <c r="Y9" s="193"/>
      <c r="Z9" s="193"/>
      <c r="AA9" s="193"/>
      <c r="AB9" s="194"/>
    </row>
    <row r="10" spans="1:28" s="195" customFormat="1" ht="18" customHeight="1" x14ac:dyDescent="0.25">
      <c r="A10" s="1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4"/>
    </row>
    <row r="11" spans="1:28" s="195" customFormat="1" ht="18" customHeight="1" x14ac:dyDescent="0.25">
      <c r="A11" s="1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196"/>
    </row>
    <row r="12" spans="1:28" s="92" customFormat="1" ht="18" customHeight="1" x14ac:dyDescent="0.25">
      <c r="A12" s="197" t="s">
        <v>40</v>
      </c>
      <c r="B12" s="198"/>
      <c r="C12" s="198"/>
      <c r="D12" s="198"/>
      <c r="E12" s="198"/>
      <c r="G12" s="199"/>
      <c r="H12" s="407"/>
      <c r="I12" s="407"/>
      <c r="J12" s="407"/>
      <c r="K12" s="407"/>
      <c r="L12" s="200"/>
      <c r="M12" s="200"/>
      <c r="N12" s="200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2"/>
    </row>
    <row r="13" spans="1:28" s="92" customFormat="1" ht="18" customHeight="1" x14ac:dyDescent="0.25">
      <c r="A13" s="197" t="s">
        <v>41</v>
      </c>
      <c r="B13" s="198"/>
      <c r="C13" s="203"/>
      <c r="D13" s="204"/>
      <c r="E13" s="198"/>
      <c r="G13" s="199"/>
      <c r="H13" s="407"/>
      <c r="I13" s="407"/>
      <c r="J13" s="407"/>
      <c r="K13" s="407"/>
      <c r="L13" s="205"/>
      <c r="M13" s="205"/>
      <c r="N13" s="200"/>
      <c r="AB13" s="196"/>
    </row>
    <row r="14" spans="1:28" s="210" customFormat="1" ht="18" customHeight="1" x14ac:dyDescent="0.25">
      <c r="A14" s="206"/>
      <c r="B14" s="207"/>
      <c r="C14" s="208"/>
      <c r="D14" s="209"/>
      <c r="E14" s="209"/>
      <c r="F14" s="200"/>
      <c r="G14" s="208"/>
      <c r="H14" s="209"/>
      <c r="I14" s="209"/>
      <c r="J14" s="208"/>
      <c r="K14" s="209"/>
      <c r="L14" s="209"/>
      <c r="M14" s="208"/>
      <c r="N14" s="209"/>
      <c r="O14" s="209"/>
      <c r="Q14" s="371"/>
      <c r="R14" s="372"/>
      <c r="S14" s="372"/>
      <c r="T14" s="372"/>
      <c r="U14" s="372"/>
      <c r="V14" s="372"/>
      <c r="W14" s="371"/>
      <c r="X14" s="372"/>
      <c r="Y14" s="372"/>
      <c r="Z14" s="371"/>
      <c r="AA14" s="372"/>
      <c r="AB14" s="385"/>
    </row>
    <row r="15" spans="1:28" s="210" customFormat="1" ht="53.25" customHeight="1" x14ac:dyDescent="0.25">
      <c r="A15" s="373" t="s">
        <v>42</v>
      </c>
      <c r="B15" s="374"/>
      <c r="C15" s="375"/>
      <c r="D15" s="373" t="s">
        <v>43</v>
      </c>
      <c r="E15" s="374"/>
      <c r="F15" s="375"/>
      <c r="G15" s="373" t="s">
        <v>44</v>
      </c>
      <c r="H15" s="374"/>
      <c r="I15" s="375"/>
      <c r="J15" s="373" t="s">
        <v>45</v>
      </c>
      <c r="K15" s="374"/>
      <c r="L15" s="375"/>
      <c r="M15" s="386" t="s">
        <v>46</v>
      </c>
      <c r="N15" s="387"/>
      <c r="O15" s="388"/>
      <c r="P15" s="368" t="s">
        <v>47</v>
      </c>
      <c r="Q15" s="369"/>
      <c r="R15" s="370"/>
      <c r="S15" s="368" t="s">
        <v>48</v>
      </c>
      <c r="T15" s="369"/>
      <c r="U15" s="370"/>
      <c r="V15" s="368" t="s">
        <v>30</v>
      </c>
      <c r="W15" s="369"/>
      <c r="X15" s="370"/>
      <c r="Y15" s="379" t="s">
        <v>49</v>
      </c>
      <c r="Z15" s="380"/>
      <c r="AA15" s="381"/>
      <c r="AB15" s="211"/>
    </row>
    <row r="16" spans="1:28" s="210" customFormat="1" ht="18" customHeight="1" x14ac:dyDescent="0.25">
      <c r="A16" s="376" t="s">
        <v>50</v>
      </c>
      <c r="B16" s="377"/>
      <c r="C16" s="378"/>
      <c r="D16" s="376" t="s">
        <v>51</v>
      </c>
      <c r="E16" s="377"/>
      <c r="F16" s="378"/>
      <c r="G16" s="376" t="s">
        <v>52</v>
      </c>
      <c r="H16" s="377"/>
      <c r="I16" s="378"/>
      <c r="J16" s="376" t="s">
        <v>53</v>
      </c>
      <c r="K16" s="377"/>
      <c r="L16" s="378"/>
      <c r="M16" s="365" t="s">
        <v>134</v>
      </c>
      <c r="N16" s="366"/>
      <c r="O16" s="367"/>
      <c r="P16" s="365" t="s">
        <v>54</v>
      </c>
      <c r="Q16" s="366"/>
      <c r="R16" s="367"/>
      <c r="S16" s="365" t="s">
        <v>55</v>
      </c>
      <c r="T16" s="366"/>
      <c r="U16" s="367"/>
      <c r="V16" s="365" t="s">
        <v>31</v>
      </c>
      <c r="W16" s="366"/>
      <c r="X16" s="367"/>
      <c r="Y16" s="382" t="s">
        <v>31</v>
      </c>
      <c r="Z16" s="383"/>
      <c r="AA16" s="384"/>
      <c r="AB16" s="212"/>
    </row>
    <row r="17" spans="1:28" s="92" customFormat="1" ht="36" customHeight="1" x14ac:dyDescent="0.25">
      <c r="A17" s="395"/>
      <c r="B17" s="396"/>
      <c r="C17" s="397"/>
      <c r="D17" s="404"/>
      <c r="E17" s="405"/>
      <c r="F17" s="406"/>
      <c r="G17" s="356"/>
      <c r="H17" s="357"/>
      <c r="I17" s="358"/>
      <c r="J17" s="389"/>
      <c r="K17" s="390"/>
      <c r="L17" s="391"/>
      <c r="M17" s="401"/>
      <c r="N17" s="402"/>
      <c r="O17" s="403"/>
      <c r="P17" s="347"/>
      <c r="Q17" s="348"/>
      <c r="R17" s="349"/>
      <c r="S17" s="347"/>
      <c r="T17" s="348"/>
      <c r="U17" s="349"/>
      <c r="V17" s="341"/>
      <c r="W17" s="342"/>
      <c r="X17" s="343"/>
      <c r="Y17" s="359" t="str">
        <f>IF(D17&lt;&gt;0,AVERAGE(V17:X18),"0")</f>
        <v>0</v>
      </c>
      <c r="Z17" s="360"/>
      <c r="AA17" s="361"/>
      <c r="AB17" s="213"/>
    </row>
    <row r="18" spans="1:28" s="92" customFormat="1" ht="36" customHeight="1" x14ac:dyDescent="0.25">
      <c r="A18" s="398"/>
      <c r="B18" s="399"/>
      <c r="C18" s="400"/>
      <c r="D18" s="392"/>
      <c r="E18" s="393"/>
      <c r="F18" s="394"/>
      <c r="G18" s="356" t="str">
        <f t="shared" ref="G18:G24" si="0">IF(D18&lt;&gt;0,D18+$G$13,"")</f>
        <v/>
      </c>
      <c r="H18" s="357"/>
      <c r="I18" s="358"/>
      <c r="J18" s="389"/>
      <c r="K18" s="390"/>
      <c r="L18" s="391"/>
      <c r="M18" s="344"/>
      <c r="N18" s="345"/>
      <c r="O18" s="346"/>
      <c r="P18" s="347"/>
      <c r="Q18" s="348"/>
      <c r="R18" s="349"/>
      <c r="S18" s="347"/>
      <c r="T18" s="348"/>
      <c r="U18" s="349"/>
      <c r="V18" s="341" t="str">
        <f t="shared" ref="V18:V24" si="1">IF(J18&lt;&gt;0,P18*D18/($G$12-(J18-G18)),"")</f>
        <v/>
      </c>
      <c r="W18" s="342"/>
      <c r="X18" s="343"/>
      <c r="Y18" s="362"/>
      <c r="Z18" s="363"/>
      <c r="AA18" s="364"/>
      <c r="AB18" s="214"/>
    </row>
    <row r="19" spans="1:28" s="92" customFormat="1" ht="36" customHeight="1" x14ac:dyDescent="0.25">
      <c r="A19" s="335"/>
      <c r="B19" s="336"/>
      <c r="C19" s="337"/>
      <c r="D19" s="392"/>
      <c r="E19" s="393"/>
      <c r="F19" s="394"/>
      <c r="G19" s="356" t="str">
        <f t="shared" si="0"/>
        <v/>
      </c>
      <c r="H19" s="357"/>
      <c r="I19" s="358"/>
      <c r="J19" s="389"/>
      <c r="K19" s="390"/>
      <c r="L19" s="391"/>
      <c r="M19" s="344"/>
      <c r="N19" s="345"/>
      <c r="O19" s="346"/>
      <c r="P19" s="347"/>
      <c r="Q19" s="348"/>
      <c r="R19" s="349"/>
      <c r="S19" s="347"/>
      <c r="T19" s="348"/>
      <c r="U19" s="349"/>
      <c r="V19" s="341" t="str">
        <f t="shared" si="1"/>
        <v/>
      </c>
      <c r="W19" s="342"/>
      <c r="X19" s="343"/>
      <c r="Y19" s="359" t="str">
        <f>IF(D19&lt;&gt;0,AVERAGE(V19:X20),"0")</f>
        <v>0</v>
      </c>
      <c r="Z19" s="360"/>
      <c r="AA19" s="361"/>
      <c r="AB19" s="214"/>
    </row>
    <row r="20" spans="1:28" s="92" customFormat="1" ht="36" customHeight="1" x14ac:dyDescent="0.25">
      <c r="A20" s="338"/>
      <c r="B20" s="339"/>
      <c r="C20" s="340"/>
      <c r="D20" s="350"/>
      <c r="E20" s="351"/>
      <c r="F20" s="352"/>
      <c r="G20" s="356" t="str">
        <f t="shared" si="0"/>
        <v/>
      </c>
      <c r="H20" s="357"/>
      <c r="I20" s="358"/>
      <c r="J20" s="353"/>
      <c r="K20" s="354"/>
      <c r="L20" s="355"/>
      <c r="M20" s="344"/>
      <c r="N20" s="345"/>
      <c r="O20" s="346"/>
      <c r="P20" s="347"/>
      <c r="Q20" s="348"/>
      <c r="R20" s="349"/>
      <c r="S20" s="347"/>
      <c r="T20" s="348"/>
      <c r="U20" s="349"/>
      <c r="V20" s="341" t="str">
        <f t="shared" si="1"/>
        <v/>
      </c>
      <c r="W20" s="342"/>
      <c r="X20" s="343"/>
      <c r="Y20" s="362"/>
      <c r="Z20" s="363"/>
      <c r="AA20" s="364"/>
      <c r="AB20" s="214"/>
    </row>
    <row r="21" spans="1:28" s="92" customFormat="1" ht="36" customHeight="1" x14ac:dyDescent="0.25">
      <c r="A21" s="335"/>
      <c r="B21" s="336"/>
      <c r="C21" s="337"/>
      <c r="D21" s="350"/>
      <c r="E21" s="351"/>
      <c r="F21" s="352"/>
      <c r="G21" s="356" t="str">
        <f t="shared" si="0"/>
        <v/>
      </c>
      <c r="H21" s="357"/>
      <c r="I21" s="358"/>
      <c r="J21" s="353"/>
      <c r="K21" s="354"/>
      <c r="L21" s="355"/>
      <c r="M21" s="344"/>
      <c r="N21" s="345"/>
      <c r="O21" s="346"/>
      <c r="P21" s="347"/>
      <c r="Q21" s="348"/>
      <c r="R21" s="349"/>
      <c r="S21" s="347"/>
      <c r="T21" s="348"/>
      <c r="U21" s="349"/>
      <c r="V21" s="341" t="str">
        <f t="shared" si="1"/>
        <v/>
      </c>
      <c r="W21" s="342"/>
      <c r="X21" s="343"/>
      <c r="Y21" s="359" t="str">
        <f>IF(D21&lt;&gt;0,AVERAGE(V21:X22),"0")</f>
        <v>0</v>
      </c>
      <c r="Z21" s="360"/>
      <c r="AA21" s="361"/>
      <c r="AB21" s="214"/>
    </row>
    <row r="22" spans="1:28" s="92" customFormat="1" ht="36" customHeight="1" x14ac:dyDescent="0.25">
      <c r="A22" s="338"/>
      <c r="B22" s="339"/>
      <c r="C22" s="340"/>
      <c r="D22" s="350"/>
      <c r="E22" s="351"/>
      <c r="F22" s="352"/>
      <c r="G22" s="356" t="str">
        <f t="shared" si="0"/>
        <v/>
      </c>
      <c r="H22" s="357"/>
      <c r="I22" s="358"/>
      <c r="J22" s="353"/>
      <c r="K22" s="354"/>
      <c r="L22" s="355"/>
      <c r="M22" s="344"/>
      <c r="N22" s="345"/>
      <c r="O22" s="346"/>
      <c r="P22" s="347"/>
      <c r="Q22" s="348"/>
      <c r="R22" s="349"/>
      <c r="S22" s="347"/>
      <c r="T22" s="348"/>
      <c r="U22" s="349"/>
      <c r="V22" s="341" t="str">
        <f t="shared" si="1"/>
        <v/>
      </c>
      <c r="W22" s="342"/>
      <c r="X22" s="343"/>
      <c r="Y22" s="362"/>
      <c r="Z22" s="363"/>
      <c r="AA22" s="364"/>
      <c r="AB22" s="214"/>
    </row>
    <row r="23" spans="1:28" s="92" customFormat="1" ht="36" customHeight="1" x14ac:dyDescent="0.25">
      <c r="A23" s="335"/>
      <c r="B23" s="336"/>
      <c r="C23" s="337"/>
      <c r="D23" s="350"/>
      <c r="E23" s="351"/>
      <c r="F23" s="352"/>
      <c r="G23" s="356" t="str">
        <f t="shared" si="0"/>
        <v/>
      </c>
      <c r="H23" s="357"/>
      <c r="I23" s="358"/>
      <c r="J23" s="353"/>
      <c r="K23" s="354"/>
      <c r="L23" s="355"/>
      <c r="M23" s="344"/>
      <c r="N23" s="345"/>
      <c r="O23" s="346"/>
      <c r="P23" s="347"/>
      <c r="Q23" s="348"/>
      <c r="R23" s="349"/>
      <c r="S23" s="347"/>
      <c r="T23" s="348"/>
      <c r="U23" s="349"/>
      <c r="V23" s="341" t="str">
        <f t="shared" si="1"/>
        <v/>
      </c>
      <c r="W23" s="342"/>
      <c r="X23" s="343"/>
      <c r="Y23" s="359" t="str">
        <f>IF(D23&lt;&gt;0,AVERAGE(V23:X24),"0")</f>
        <v>0</v>
      </c>
      <c r="Z23" s="360"/>
      <c r="AA23" s="361"/>
      <c r="AB23" s="214"/>
    </row>
    <row r="24" spans="1:28" s="92" customFormat="1" ht="36" customHeight="1" x14ac:dyDescent="0.25">
      <c r="A24" s="338"/>
      <c r="B24" s="339"/>
      <c r="C24" s="340"/>
      <c r="D24" s="350"/>
      <c r="E24" s="351"/>
      <c r="F24" s="352"/>
      <c r="G24" s="356" t="str">
        <f t="shared" si="0"/>
        <v/>
      </c>
      <c r="H24" s="357"/>
      <c r="I24" s="358"/>
      <c r="J24" s="353"/>
      <c r="K24" s="354"/>
      <c r="L24" s="355"/>
      <c r="M24" s="344"/>
      <c r="N24" s="345"/>
      <c r="O24" s="346"/>
      <c r="P24" s="347"/>
      <c r="Q24" s="348"/>
      <c r="R24" s="349"/>
      <c r="S24" s="347"/>
      <c r="T24" s="348"/>
      <c r="U24" s="349"/>
      <c r="V24" s="341" t="str">
        <f t="shared" si="1"/>
        <v/>
      </c>
      <c r="W24" s="342"/>
      <c r="X24" s="343"/>
      <c r="Y24" s="362"/>
      <c r="Z24" s="363"/>
      <c r="AA24" s="364"/>
      <c r="AB24" s="214"/>
    </row>
    <row r="25" spans="1:28" s="92" customFormat="1" ht="36" customHeight="1" x14ac:dyDescent="0.25">
      <c r="A25" s="335"/>
      <c r="B25" s="336"/>
      <c r="C25" s="337"/>
      <c r="D25" s="350"/>
      <c r="E25" s="351"/>
      <c r="F25" s="352"/>
      <c r="G25" s="356" t="str">
        <f>IF(D25&lt;&gt;0,D25+$G$13,"")</f>
        <v/>
      </c>
      <c r="H25" s="357"/>
      <c r="I25" s="358"/>
      <c r="J25" s="353"/>
      <c r="K25" s="354"/>
      <c r="L25" s="355"/>
      <c r="M25" s="344"/>
      <c r="N25" s="345"/>
      <c r="O25" s="346"/>
      <c r="P25" s="347"/>
      <c r="Q25" s="348"/>
      <c r="R25" s="349"/>
      <c r="S25" s="347"/>
      <c r="T25" s="348"/>
      <c r="U25" s="349"/>
      <c r="V25" s="341" t="str">
        <f>IF(J25&lt;&gt;0,P25*D25/($G$12-(J25-G25)),"")</f>
        <v/>
      </c>
      <c r="W25" s="342"/>
      <c r="X25" s="343"/>
      <c r="Y25" s="359" t="str">
        <f>IF(D25&lt;&gt;0,AVERAGE(V25:X26),"0")</f>
        <v>0</v>
      </c>
      <c r="Z25" s="360"/>
      <c r="AA25" s="361"/>
      <c r="AB25" s="214"/>
    </row>
    <row r="26" spans="1:28" s="92" customFormat="1" ht="36" customHeight="1" x14ac:dyDescent="0.25">
      <c r="A26" s="338"/>
      <c r="B26" s="339"/>
      <c r="C26" s="340"/>
      <c r="D26" s="350"/>
      <c r="E26" s="351"/>
      <c r="F26" s="352"/>
      <c r="G26" s="389" t="str">
        <f>IF(D26&lt;&gt;0,D26+$G$13,"")</f>
        <v/>
      </c>
      <c r="H26" s="390"/>
      <c r="I26" s="391"/>
      <c r="J26" s="350"/>
      <c r="K26" s="351"/>
      <c r="L26" s="352"/>
      <c r="M26" s="414"/>
      <c r="N26" s="415"/>
      <c r="O26" s="416"/>
      <c r="P26" s="347"/>
      <c r="Q26" s="348"/>
      <c r="R26" s="349"/>
      <c r="S26" s="347"/>
      <c r="T26" s="348"/>
      <c r="U26" s="349"/>
      <c r="V26" s="341" t="str">
        <f>IF(J26&lt;&gt;0,P26*D26/($G$12-(J26-G26)),"")</f>
        <v/>
      </c>
      <c r="W26" s="342"/>
      <c r="X26" s="343"/>
      <c r="Y26" s="362"/>
      <c r="Z26" s="363"/>
      <c r="AA26" s="364"/>
      <c r="AB26" s="214"/>
    </row>
    <row r="27" spans="1:28" s="92" customFormat="1" ht="36" customHeight="1" x14ac:dyDescent="0.25">
      <c r="A27" s="215"/>
      <c r="B27" s="216"/>
      <c r="C27" s="216"/>
      <c r="D27" s="216"/>
      <c r="E27" s="216"/>
      <c r="F27" s="217"/>
      <c r="G27" s="217"/>
      <c r="H27" s="217"/>
      <c r="I27" s="217"/>
      <c r="J27" s="199"/>
      <c r="K27" s="199"/>
      <c r="L27" s="199"/>
      <c r="M27" s="218"/>
      <c r="N27" s="218"/>
      <c r="O27" s="218"/>
      <c r="P27" s="218"/>
      <c r="Q27" s="218"/>
      <c r="R27" s="218"/>
      <c r="S27" s="219"/>
      <c r="T27" s="219"/>
      <c r="U27" s="219"/>
      <c r="V27" s="199"/>
      <c r="W27" s="199"/>
      <c r="X27" s="199"/>
      <c r="Y27" s="220"/>
      <c r="Z27" s="220"/>
      <c r="AA27" s="220"/>
      <c r="AB27" s="214"/>
    </row>
    <row r="28" spans="1:28" s="92" customFormat="1" ht="18" customHeight="1" x14ac:dyDescent="0.25">
      <c r="A28" s="192"/>
      <c r="L28" s="221"/>
      <c r="P28" s="221"/>
      <c r="AB28" s="196"/>
    </row>
    <row r="29" spans="1:28" s="92" customFormat="1" ht="18" customHeight="1" x14ac:dyDescent="0.25">
      <c r="A29" s="222" t="s">
        <v>56</v>
      </c>
      <c r="B29" s="223"/>
      <c r="C29" s="223"/>
      <c r="D29" s="223"/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4"/>
    </row>
    <row r="30" spans="1:28" s="92" customFormat="1" ht="18" customHeight="1" x14ac:dyDescent="0.25">
      <c r="A30" s="408"/>
      <c r="B30" s="409"/>
      <c r="C30" s="409"/>
      <c r="D30" s="409"/>
      <c r="E30" s="409"/>
      <c r="F30" s="409"/>
      <c r="G30" s="409"/>
      <c r="H30" s="409"/>
      <c r="I30" s="409"/>
      <c r="J30" s="409"/>
      <c r="K30" s="409"/>
      <c r="L30" s="409"/>
      <c r="M30" s="409"/>
      <c r="N30" s="409"/>
      <c r="O30" s="409"/>
      <c r="P30" s="409"/>
      <c r="Q30" s="409"/>
      <c r="R30" s="409"/>
      <c r="S30" s="409"/>
      <c r="T30" s="409"/>
      <c r="U30" s="409"/>
      <c r="V30" s="409"/>
      <c r="W30" s="409"/>
      <c r="X30" s="409"/>
      <c r="Y30" s="409"/>
      <c r="Z30" s="409"/>
      <c r="AA30" s="409"/>
      <c r="AB30" s="410"/>
    </row>
    <row r="31" spans="1:28" s="92" customFormat="1" ht="18" customHeight="1" x14ac:dyDescent="0.25">
      <c r="A31" s="408"/>
      <c r="B31" s="409"/>
      <c r="C31" s="409"/>
      <c r="D31" s="409"/>
      <c r="E31" s="409"/>
      <c r="F31" s="409"/>
      <c r="G31" s="409"/>
      <c r="H31" s="409"/>
      <c r="I31" s="409"/>
      <c r="J31" s="409"/>
      <c r="K31" s="409"/>
      <c r="L31" s="409"/>
      <c r="M31" s="409"/>
      <c r="N31" s="409"/>
      <c r="O31" s="409"/>
      <c r="P31" s="409"/>
      <c r="Q31" s="409"/>
      <c r="R31" s="409"/>
      <c r="S31" s="409"/>
      <c r="T31" s="409"/>
      <c r="U31" s="409"/>
      <c r="V31" s="409"/>
      <c r="W31" s="409"/>
      <c r="X31" s="409"/>
      <c r="Y31" s="409"/>
      <c r="Z31" s="409"/>
      <c r="AA31" s="409"/>
      <c r="AB31" s="410"/>
    </row>
    <row r="32" spans="1:28" s="92" customFormat="1" ht="18" customHeight="1" x14ac:dyDescent="0.25">
      <c r="A32" s="408"/>
      <c r="B32" s="409"/>
      <c r="C32" s="409"/>
      <c r="D32" s="409"/>
      <c r="E32" s="409"/>
      <c r="F32" s="409"/>
      <c r="G32" s="409"/>
      <c r="H32" s="409"/>
      <c r="I32" s="409"/>
      <c r="J32" s="409"/>
      <c r="K32" s="409"/>
      <c r="L32" s="409"/>
      <c r="M32" s="409"/>
      <c r="N32" s="409"/>
      <c r="O32" s="409"/>
      <c r="P32" s="409"/>
      <c r="Q32" s="409"/>
      <c r="R32" s="409"/>
      <c r="S32" s="409"/>
      <c r="T32" s="409"/>
      <c r="U32" s="409"/>
      <c r="V32" s="409"/>
      <c r="W32" s="409"/>
      <c r="X32" s="409"/>
      <c r="Y32" s="409"/>
      <c r="Z32" s="409"/>
      <c r="AA32" s="409"/>
      <c r="AB32" s="410"/>
    </row>
    <row r="33" spans="1:28" s="92" customFormat="1" ht="18" customHeight="1" x14ac:dyDescent="0.25">
      <c r="A33" s="408"/>
      <c r="B33" s="409"/>
      <c r="C33" s="409"/>
      <c r="D33" s="409"/>
      <c r="E33" s="409"/>
      <c r="F33" s="409"/>
      <c r="G33" s="409"/>
      <c r="H33" s="409"/>
      <c r="I33" s="409"/>
      <c r="J33" s="409"/>
      <c r="K33" s="409"/>
      <c r="L33" s="409"/>
      <c r="M33" s="409"/>
      <c r="N33" s="409"/>
      <c r="O33" s="409"/>
      <c r="P33" s="409"/>
      <c r="Q33" s="409"/>
      <c r="R33" s="409"/>
      <c r="S33" s="409"/>
      <c r="T33" s="409"/>
      <c r="U33" s="409"/>
      <c r="V33" s="409"/>
      <c r="W33" s="409"/>
      <c r="X33" s="409"/>
      <c r="Y33" s="409"/>
      <c r="Z33" s="409"/>
      <c r="AA33" s="409"/>
      <c r="AB33" s="410"/>
    </row>
    <row r="34" spans="1:28" s="92" customFormat="1" ht="18" customHeight="1" x14ac:dyDescent="0.25">
      <c r="A34" s="408"/>
      <c r="B34" s="409"/>
      <c r="C34" s="409"/>
      <c r="D34" s="409"/>
      <c r="E34" s="409"/>
      <c r="F34" s="409"/>
      <c r="G34" s="409"/>
      <c r="H34" s="409"/>
      <c r="I34" s="409"/>
      <c r="J34" s="409"/>
      <c r="K34" s="409"/>
      <c r="L34" s="409"/>
      <c r="M34" s="409"/>
      <c r="N34" s="409"/>
      <c r="O34" s="409"/>
      <c r="P34" s="409"/>
      <c r="Q34" s="409"/>
      <c r="R34" s="409"/>
      <c r="S34" s="409"/>
      <c r="T34" s="409"/>
      <c r="U34" s="409"/>
      <c r="V34" s="409"/>
      <c r="W34" s="409"/>
      <c r="X34" s="409"/>
      <c r="Y34" s="409"/>
      <c r="Z34" s="409"/>
      <c r="AA34" s="409"/>
      <c r="AB34" s="410"/>
    </row>
    <row r="35" spans="1:28" s="92" customFormat="1" ht="18" customHeight="1" x14ac:dyDescent="0.25">
      <c r="A35" s="411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  <c r="Q35" s="412"/>
      <c r="R35" s="412"/>
      <c r="S35" s="412"/>
      <c r="T35" s="412"/>
      <c r="U35" s="412"/>
      <c r="V35" s="412"/>
      <c r="W35" s="412"/>
      <c r="X35" s="412"/>
      <c r="Y35" s="412"/>
      <c r="Z35" s="412"/>
      <c r="AA35" s="412"/>
      <c r="AB35" s="413"/>
    </row>
    <row r="36" spans="1:28" s="92" customFormat="1" ht="18" customHeight="1" x14ac:dyDescent="0.25"/>
    <row r="37" spans="1:28" s="92" customFormat="1" ht="18" customHeight="1" x14ac:dyDescent="0.25"/>
    <row r="38" spans="1:28" s="92" customFormat="1" ht="18" customHeight="1" x14ac:dyDescent="0.25"/>
    <row r="39" spans="1:28" s="92" customFormat="1" ht="18" customHeight="1" x14ac:dyDescent="0.25">
      <c r="A39" s="210"/>
      <c r="B39" s="210"/>
      <c r="C39" s="225"/>
      <c r="D39" s="225"/>
      <c r="E39" s="225"/>
      <c r="F39" s="225"/>
      <c r="G39" s="225"/>
      <c r="H39" s="225"/>
      <c r="N39" s="210"/>
      <c r="O39" s="210"/>
      <c r="P39" s="225"/>
      <c r="Q39" s="225"/>
      <c r="R39" s="225"/>
      <c r="S39" s="225"/>
      <c r="T39" s="225"/>
      <c r="U39" s="225"/>
      <c r="V39" s="225"/>
      <c r="W39" s="225"/>
      <c r="X39" s="225"/>
    </row>
    <row r="40" spans="1:28" s="92" customFormat="1" ht="18" customHeight="1" x14ac:dyDescent="0.25">
      <c r="A40" s="210"/>
      <c r="B40" s="210"/>
      <c r="C40" s="226"/>
      <c r="D40" s="226"/>
      <c r="E40" s="226"/>
      <c r="F40" s="225"/>
      <c r="G40" s="225"/>
      <c r="H40" s="225"/>
      <c r="N40" s="210"/>
      <c r="O40" s="210"/>
      <c r="P40" s="226"/>
      <c r="Q40" s="226"/>
      <c r="R40" s="226"/>
      <c r="S40" s="226"/>
      <c r="T40" s="226"/>
      <c r="U40" s="226"/>
      <c r="V40" s="225"/>
      <c r="W40" s="225"/>
      <c r="X40" s="225"/>
    </row>
    <row r="41" spans="1:28" s="92" customFormat="1" ht="18" customHeight="1" x14ac:dyDescent="0.25">
      <c r="A41" s="210"/>
      <c r="B41" s="210"/>
      <c r="C41" s="226"/>
      <c r="D41" s="226"/>
      <c r="E41" s="226"/>
      <c r="F41" s="225"/>
      <c r="G41" s="225"/>
      <c r="H41" s="225"/>
      <c r="N41" s="210"/>
      <c r="O41" s="210"/>
      <c r="P41" s="226"/>
      <c r="Q41" s="226"/>
      <c r="R41" s="226"/>
      <c r="S41" s="226"/>
      <c r="T41" s="226"/>
      <c r="U41" s="226"/>
      <c r="V41" s="225"/>
      <c r="W41" s="225"/>
      <c r="X41" s="225"/>
    </row>
    <row r="42" spans="1:28" s="92" customFormat="1" ht="18" customHeight="1" x14ac:dyDescent="0.25">
      <c r="A42" s="210"/>
      <c r="B42" s="210"/>
      <c r="C42" s="226"/>
      <c r="D42" s="226"/>
      <c r="E42" s="226"/>
      <c r="F42" s="225"/>
      <c r="G42" s="225"/>
      <c r="H42" s="225"/>
      <c r="N42" s="210"/>
      <c r="O42" s="210"/>
      <c r="P42" s="226"/>
      <c r="Q42" s="226"/>
      <c r="R42" s="226"/>
      <c r="S42" s="226"/>
      <c r="T42" s="226"/>
      <c r="U42" s="226"/>
      <c r="V42" s="225"/>
      <c r="W42" s="225"/>
      <c r="X42" s="225"/>
    </row>
    <row r="43" spans="1:28" s="92" customFormat="1" ht="18" customHeight="1" x14ac:dyDescent="0.25">
      <c r="A43" s="210"/>
      <c r="B43" s="210"/>
      <c r="C43" s="226"/>
      <c r="D43" s="226"/>
      <c r="E43" s="226"/>
      <c r="F43" s="225"/>
      <c r="G43" s="225"/>
      <c r="H43" s="225"/>
      <c r="N43" s="210"/>
      <c r="O43" s="210"/>
      <c r="P43" s="226"/>
      <c r="Q43" s="226"/>
      <c r="R43" s="226"/>
      <c r="S43" s="226"/>
      <c r="T43" s="226"/>
      <c r="U43" s="226"/>
      <c r="V43" s="225"/>
      <c r="W43" s="225"/>
      <c r="X43" s="225"/>
    </row>
    <row r="44" spans="1:28" s="92" customFormat="1" ht="18" customHeight="1" x14ac:dyDescent="0.25">
      <c r="A44" s="210"/>
      <c r="B44" s="210"/>
      <c r="C44" s="226"/>
      <c r="D44" s="226"/>
      <c r="E44" s="226"/>
      <c r="F44" s="225"/>
      <c r="G44" s="225"/>
      <c r="H44" s="225"/>
      <c r="N44" s="210"/>
      <c r="O44" s="210"/>
      <c r="P44" s="226"/>
      <c r="Q44" s="226"/>
      <c r="R44" s="226"/>
      <c r="S44" s="226"/>
      <c r="T44" s="226"/>
      <c r="U44" s="226"/>
      <c r="V44" s="225"/>
      <c r="W44" s="225"/>
      <c r="X44" s="225"/>
    </row>
    <row r="45" spans="1:28" s="92" customFormat="1" ht="18" customHeight="1" x14ac:dyDescent="0.25">
      <c r="A45" s="227"/>
      <c r="B45" s="227"/>
      <c r="C45" s="226"/>
      <c r="D45" s="226"/>
      <c r="E45" s="226"/>
      <c r="F45" s="226"/>
      <c r="G45" s="226"/>
      <c r="H45" s="226"/>
      <c r="N45" s="210"/>
      <c r="O45" s="210"/>
      <c r="P45" s="226"/>
      <c r="Q45" s="226"/>
      <c r="R45" s="226"/>
      <c r="S45" s="226"/>
      <c r="T45" s="226"/>
      <c r="U45" s="226"/>
      <c r="V45" s="225"/>
      <c r="W45" s="225"/>
      <c r="X45" s="225"/>
    </row>
    <row r="46" spans="1:28" s="92" customFormat="1" ht="18" customHeight="1" x14ac:dyDescent="0.25"/>
    <row r="47" spans="1:28" s="195" customFormat="1" ht="15" customHeight="1" x14ac:dyDescent="0.25"/>
    <row r="48" spans="1:28" s="195" customFormat="1" ht="15" customHeight="1" x14ac:dyDescent="0.25"/>
    <row r="49" s="195" customFormat="1" ht="15" customHeight="1" x14ac:dyDescent="0.25"/>
    <row r="50" s="195" customFormat="1" ht="15" customHeight="1" x14ac:dyDescent="0.25"/>
    <row r="51" s="195" customFormat="1" ht="15" customHeight="1" x14ac:dyDescent="0.25"/>
    <row r="52" s="195" customFormat="1" ht="15" customHeight="1" x14ac:dyDescent="0.25"/>
    <row r="53" s="195" customFormat="1" ht="15" customHeight="1" x14ac:dyDescent="0.25"/>
    <row r="54" s="195" customFormat="1" ht="15" customHeight="1" x14ac:dyDescent="0.25"/>
    <row r="55" s="195" customFormat="1" ht="15" customHeight="1" x14ac:dyDescent="0.25"/>
    <row r="56" s="195" customFormat="1" ht="15" customHeight="1" x14ac:dyDescent="0.25"/>
    <row r="57" s="195" customFormat="1" ht="15" customHeight="1" x14ac:dyDescent="0.25"/>
    <row r="58" s="195" customFormat="1" ht="15" customHeight="1" x14ac:dyDescent="0.25"/>
    <row r="59" s="195" customFormat="1" ht="15" customHeight="1" x14ac:dyDescent="0.25"/>
    <row r="60" s="195" customFormat="1" ht="15" customHeight="1" x14ac:dyDescent="0.25"/>
    <row r="61" s="195" customFormat="1" ht="15" customHeight="1" x14ac:dyDescent="0.25"/>
    <row r="62" s="195" customFormat="1" ht="15" customHeight="1" x14ac:dyDescent="0.25"/>
    <row r="63" s="195" customFormat="1" ht="15" customHeight="1" x14ac:dyDescent="0.25"/>
    <row r="64" s="195" customFormat="1" ht="15" customHeight="1" x14ac:dyDescent="0.25"/>
    <row r="65" s="195" customFormat="1" ht="15" customHeight="1" x14ac:dyDescent="0.25"/>
    <row r="66" s="195" customFormat="1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</sheetData>
  <mergeCells count="104">
    <mergeCell ref="P25:R25"/>
    <mergeCell ref="S25:U25"/>
    <mergeCell ref="V25:X25"/>
    <mergeCell ref="A25:C26"/>
    <mergeCell ref="D25:F25"/>
    <mergeCell ref="G25:I25"/>
    <mergeCell ref="J25:L25"/>
    <mergeCell ref="A30:AB35"/>
    <mergeCell ref="Y25:AA26"/>
    <mergeCell ref="D26:F26"/>
    <mergeCell ref="G26:I26"/>
    <mergeCell ref="J26:L26"/>
    <mergeCell ref="M26:O26"/>
    <mergeCell ref="P26:R26"/>
    <mergeCell ref="S26:U26"/>
    <mergeCell ref="V26:X26"/>
    <mergeCell ref="M25:O25"/>
    <mergeCell ref="H12:K12"/>
    <mergeCell ref="H13:K13"/>
    <mergeCell ref="G19:I19"/>
    <mergeCell ref="J19:L19"/>
    <mergeCell ref="G18:I18"/>
    <mergeCell ref="J20:L20"/>
    <mergeCell ref="G21:I21"/>
    <mergeCell ref="J21:L21"/>
    <mergeCell ref="G22:I22"/>
    <mergeCell ref="G17:I17"/>
    <mergeCell ref="A19:C20"/>
    <mergeCell ref="V20:X20"/>
    <mergeCell ref="S20:U20"/>
    <mergeCell ref="D16:F16"/>
    <mergeCell ref="P17:R17"/>
    <mergeCell ref="J17:L17"/>
    <mergeCell ref="M20:O20"/>
    <mergeCell ref="M21:O21"/>
    <mergeCell ref="D18:F18"/>
    <mergeCell ref="D19:F19"/>
    <mergeCell ref="G20:I20"/>
    <mergeCell ref="D21:F21"/>
    <mergeCell ref="J18:L18"/>
    <mergeCell ref="D20:F20"/>
    <mergeCell ref="P18:R18"/>
    <mergeCell ref="P19:R19"/>
    <mergeCell ref="P20:R20"/>
    <mergeCell ref="P21:R21"/>
    <mergeCell ref="M18:O18"/>
    <mergeCell ref="M19:O19"/>
    <mergeCell ref="A17:C18"/>
    <mergeCell ref="M17:O17"/>
    <mergeCell ref="V18:X18"/>
    <mergeCell ref="D17:F17"/>
    <mergeCell ref="V15:X15"/>
    <mergeCell ref="W14:Y14"/>
    <mergeCell ref="J15:L15"/>
    <mergeCell ref="S15:U15"/>
    <mergeCell ref="A15:C15"/>
    <mergeCell ref="A16:C16"/>
    <mergeCell ref="Y15:AA15"/>
    <mergeCell ref="Y16:AA16"/>
    <mergeCell ref="Z14:AB14"/>
    <mergeCell ref="D15:F15"/>
    <mergeCell ref="Q14:V14"/>
    <mergeCell ref="P15:R15"/>
    <mergeCell ref="M15:O15"/>
    <mergeCell ref="G15:I15"/>
    <mergeCell ref="P16:R16"/>
    <mergeCell ref="M16:O16"/>
    <mergeCell ref="G16:I16"/>
    <mergeCell ref="J16:L16"/>
    <mergeCell ref="V16:X16"/>
    <mergeCell ref="Y21:AA22"/>
    <mergeCell ref="Y23:AA24"/>
    <mergeCell ref="S16:U16"/>
    <mergeCell ref="S17:U17"/>
    <mergeCell ref="S18:U18"/>
    <mergeCell ref="S19:U19"/>
    <mergeCell ref="Y17:AA18"/>
    <mergeCell ref="Y19:AA20"/>
    <mergeCell ref="V19:X19"/>
    <mergeCell ref="V17:X17"/>
    <mergeCell ref="V23:X23"/>
    <mergeCell ref="S23:U23"/>
    <mergeCell ref="S24:U24"/>
    <mergeCell ref="A21:C22"/>
    <mergeCell ref="A23:C24"/>
    <mergeCell ref="V21:X21"/>
    <mergeCell ref="V22:X22"/>
    <mergeCell ref="M22:O22"/>
    <mergeCell ref="S21:U21"/>
    <mergeCell ref="S22:U22"/>
    <mergeCell ref="V24:X24"/>
    <mergeCell ref="M24:O24"/>
    <mergeCell ref="D23:F23"/>
    <mergeCell ref="M23:O23"/>
    <mergeCell ref="P22:R22"/>
    <mergeCell ref="J22:L22"/>
    <mergeCell ref="D22:F22"/>
    <mergeCell ref="G23:I23"/>
    <mergeCell ref="J23:L23"/>
    <mergeCell ref="P24:R24"/>
    <mergeCell ref="G24:I24"/>
    <mergeCell ref="J24:L24"/>
    <mergeCell ref="P23:R23"/>
    <mergeCell ref="D24:F24"/>
  </mergeCells>
  <phoneticPr fontId="0" type="noConversion"/>
  <printOptions horizontalCentered="1" verticalCentered="1"/>
  <pageMargins left="0.39370078740157483" right="0.35433070866141736" top="0.39370078740157483" bottom="0.39370078740157483" header="0.35433070866141736" footer="0.19685039370078741"/>
  <pageSetup paperSize="9" scale="74" orientation="portrait" r:id="rId1"/>
  <headerFooter alignWithMargins="0">
    <oddFooter>&amp;RDG-Q /FE mv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CRE</vt:lpstr>
      <vt:lpstr>FE WF</vt:lpstr>
      <vt:lpstr>RE</vt:lpstr>
      <vt:lpstr>FE</vt:lpstr>
      <vt:lpstr>CRE!Zone_d_impression</vt:lpstr>
      <vt:lpstr>FE!Zone_d_impression</vt:lpstr>
      <vt:lpstr>'FE WF'!Zone_d_impression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2008-12-04T08:54:13Z</cp:lastPrinted>
  <dcterms:created xsi:type="dcterms:W3CDTF">2003-10-22T13:58:33Z</dcterms:created>
  <dcterms:modified xsi:type="dcterms:W3CDTF">2023-03-07T10:31:07Z</dcterms:modified>
</cp:coreProperties>
</file>