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1D6A04D2-F159-443D-A9FC-A48108C30929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1" r:id="rId1"/>
    <sheet name="FE" sheetId="2" r:id="rId2"/>
  </sheets>
  <definedNames>
    <definedName name="_xlnm.Print_Area" localSheetId="0">RE!$A$1:$Z$73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63" i="1" l="1"/>
  <c r="AB58" i="1"/>
  <c r="AC58" i="1" s="1"/>
  <c r="AC49" i="1" s="1"/>
  <c r="AD58" i="1"/>
</calcChain>
</file>

<file path=xl/sharedStrings.xml><?xml version="1.0" encoding="utf-8"?>
<sst xmlns="http://schemas.openxmlformats.org/spreadsheetml/2006/main" count="130" uniqueCount="93">
  <si>
    <t>Laboratoire :</t>
  </si>
  <si>
    <t>SUD OUEST - 114 route d'Ox - 31 600 MURET</t>
  </si>
  <si>
    <t>1/</t>
  </si>
  <si>
    <t>RENSEIGNEMENTS GENERAUX</t>
  </si>
  <si>
    <t>Opérateur :</t>
  </si>
  <si>
    <t>Nature du matériau :</t>
  </si>
  <si>
    <t>Date de(s) prélèvement(s) :</t>
  </si>
  <si>
    <t>Nature pétrographique de la roche mère :</t>
  </si>
  <si>
    <t>Date de(s) essai(s) :</t>
  </si>
  <si>
    <t>Provenance :</t>
  </si>
  <si>
    <t>Destination :</t>
  </si>
  <si>
    <t>2/</t>
  </si>
  <si>
    <t>CRITERES DE CONFORMITE</t>
  </si>
  <si>
    <t>Source des critères :</t>
  </si>
  <si>
    <t>Définition des critères / objectifs :</t>
  </si>
  <si>
    <t>3a /</t>
  </si>
  <si>
    <t>ANALYSE GRANULOMETRIQUE DU MATERIAU SOUMIS A L'ESSAI</t>
  </si>
  <si>
    <t>10/20</t>
  </si>
  <si>
    <t>Tamis (mm)</t>
  </si>
  <si>
    <t>% Passant</t>
  </si>
  <si>
    <t>40/80</t>
  </si>
  <si>
    <t>3b/</t>
  </si>
  <si>
    <t>Conditions d'exécution de la désagrégation après pilonnage :</t>
  </si>
  <si>
    <t>Aisées</t>
  </si>
  <si>
    <t>Moyennes</t>
  </si>
  <si>
    <t>Difficiles</t>
  </si>
  <si>
    <t>D10</t>
  </si>
  <si>
    <t>4/</t>
  </si>
  <si>
    <t>CONCLUSIONS</t>
  </si>
  <si>
    <t>Nom</t>
  </si>
  <si>
    <t>5/</t>
  </si>
  <si>
    <t>COMMENTAIRES</t>
  </si>
  <si>
    <t>Visa</t>
  </si>
  <si>
    <t>Fraction souminse à l'essai</t>
  </si>
  <si>
    <t>pour roches argileuses tendres ( marnes , argilites, pelites …)</t>
  </si>
  <si>
    <t>pour roches argileuses type schistes sédimentaires et roches magmatiques ou métamorphique altérées)</t>
  </si>
  <si>
    <t>Nécessité de fragmentation complémentaire de la roche pour obtention du d/D ? :</t>
  </si>
  <si>
    <t>Oui</t>
  </si>
  <si>
    <t>Non</t>
  </si>
  <si>
    <t>1 )    PREPARATION ECHANTILLON</t>
  </si>
  <si>
    <t>T</t>
  </si>
  <si>
    <t xml:space="preserve">TARE </t>
  </si>
  <si>
    <t>T + PH</t>
  </si>
  <si>
    <t>TARE + GRANULATS d/D (Humides)</t>
  </si>
  <si>
    <t>PH</t>
  </si>
  <si>
    <t>2 )    ANALYSE GRANULOMETRIQUE HUMIDE DE L'ECHANTILLON SOUMIS à L'ESSAI</t>
  </si>
  <si>
    <t>POUR MATERIAUX 10/20</t>
  </si>
  <si>
    <t>POUR MATERIAUX 40/80</t>
  </si>
  <si>
    <t>TAMIS</t>
  </si>
  <si>
    <t>Refus (g)</t>
  </si>
  <si>
    <t xml:space="preserve">16 mm </t>
  </si>
  <si>
    <t xml:space="preserve">63 mm </t>
  </si>
  <si>
    <t>50 mm</t>
  </si>
  <si>
    <t>3 )    RE HOMOGENEISATION DE L'ECHANTILLON HUMIDE SOUMIS à L'ESSAI</t>
  </si>
  <si>
    <t>Observations :</t>
  </si>
  <si>
    <t>10 mm</t>
  </si>
  <si>
    <t>5 mm</t>
  </si>
  <si>
    <t>40 mm</t>
  </si>
  <si>
    <t>2 mm</t>
  </si>
  <si>
    <t>20 mm</t>
  </si>
  <si>
    <t>1 mm</t>
  </si>
  <si>
    <t xml:space="preserve"> </t>
  </si>
  <si>
    <t>Cellules bleues à renseigner</t>
  </si>
  <si>
    <t>Ne pas modifier les cellules rouges</t>
  </si>
  <si>
    <t>IMMERSION PENDANT 8 Heures (+ou- 1h)</t>
  </si>
  <si>
    <t>SIPHONNAGE DE L'EAU AU MAXIMUM EN VEILLANT A NE PAS PERDRE DE FINES</t>
  </si>
  <si>
    <t>SECHAGE à 105 °C à L'ETUVE PENDANT 16 Heures (+ou- 1h)</t>
  </si>
  <si>
    <t>5)    PROCEDER à 4 CYCLES IMMERSION SECHAGE COMME SUIT ( soit 4 jours d'essais)</t>
  </si>
  <si>
    <t>4 )   REPARTIR L'ECHANTILLON DANS UN GRAND PLAT METALLIQUE</t>
  </si>
  <si>
    <t xml:space="preserve">POIDS SEC </t>
  </si>
  <si>
    <t>TARE</t>
  </si>
  <si>
    <t>TARE + POIDS SEC</t>
  </si>
  <si>
    <t>POIDS GRANULATS d/D (Humides)</t>
  </si>
  <si>
    <t>Objectif : PH = 2000 g à 1 caillou près.</t>
  </si>
  <si>
    <t>6 )    ANALYSE GRANULOMETRIQUE DE L'ECHANTILLON SEC AYANT SUBI LES 4 CYCLES (sur les tamis suivants)</t>
  </si>
  <si>
    <t xml:space="preserve">Valeur D10 avant 1er cycle d'immersion-séchage : </t>
  </si>
  <si>
    <t>Tamis (mm) encadrant le D10</t>
  </si>
  <si>
    <t>Passants (%) encadrant le D10</t>
  </si>
  <si>
    <t>UTILITAIRE CALCUL du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</si>
  <si>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</si>
  <si>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</si>
  <si>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</si>
  <si>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</si>
  <si>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</si>
  <si>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</si>
  <si>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DEGRADABILITE DES MATERIAUX ROCHEUX
(NF P 94-067)</t>
  </si>
  <si>
    <t>DMR</t>
  </si>
  <si>
    <t>Nature pétrographique de la roche mère:</t>
  </si>
  <si>
    <r>
      <t>ANALYSE GRANULOMETRIQUE APRES 4</t>
    </r>
    <r>
      <rPr>
        <b/>
        <u/>
        <vertAlign val="superscript"/>
        <sz val="12"/>
        <rFont val="Century Gothic"/>
        <family val="2"/>
      </rPr>
      <t>ème</t>
    </r>
    <r>
      <rPr>
        <b/>
        <u/>
        <sz val="12"/>
        <rFont val="Century Gothic"/>
        <family val="2"/>
      </rPr>
      <t xml:space="preserve"> CYCLE D'IMMERSION-SECHAGE et RESULTATS</t>
    </r>
  </si>
  <si>
    <r>
      <t>D</t>
    </r>
    <r>
      <rPr>
        <b/>
        <vertAlign val="subscript"/>
        <sz val="12"/>
        <rFont val="Century Gothic"/>
        <family val="2"/>
      </rPr>
      <t>10</t>
    </r>
  </si>
  <si>
    <r>
      <t>Coefficient de dégradabilité  :  DG  =  D</t>
    </r>
    <r>
      <rPr>
        <b/>
        <vertAlign val="subscript"/>
        <sz val="11"/>
        <rFont val="Century Gothic"/>
        <family val="2"/>
      </rPr>
      <t>10</t>
    </r>
    <r>
      <rPr>
        <b/>
        <sz val="11"/>
        <rFont val="Century Gothic"/>
        <family val="2"/>
      </rPr>
      <t xml:space="preserve"> (avant) / D</t>
    </r>
    <r>
      <rPr>
        <b/>
        <vertAlign val="subscript"/>
        <sz val="11"/>
        <rFont val="Century Gothic"/>
        <family val="2"/>
      </rPr>
      <t>10</t>
    </r>
    <r>
      <rPr>
        <b/>
        <sz val="11"/>
        <rFont val="Century Gothic"/>
        <family val="2"/>
      </rPr>
      <t xml:space="preserve"> (après 4 cycles immersion-séchage) =</t>
    </r>
  </si>
  <si>
    <r>
      <t>Valeur D</t>
    </r>
    <r>
      <rPr>
        <b/>
        <vertAlign val="subscript"/>
        <sz val="11"/>
        <rFont val="Century Gothic"/>
        <family val="2"/>
      </rPr>
      <t>10</t>
    </r>
    <r>
      <rPr>
        <b/>
        <sz val="11"/>
        <rFont val="Century Gothic"/>
        <family val="2"/>
      </rPr>
      <t xml:space="preserve"> après 4ème cycle d'immersion-séchage : 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</si>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</sst>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22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vertAlign val="superscript"/>
      <sz val="12"/>
      <name val="Century Gothic"/>
      <family val="2"/>
    </font>
    <font>
      <b/>
      <vertAlign val="subscript"/>
      <sz val="12"/>
      <name val="Century Gothic"/>
      <family val="2"/>
    </font>
    <font>
      <b/>
      <sz val="12"/>
      <color indexed="12"/>
      <name val="Century Gothic"/>
      <family val="2"/>
    </font>
    <font>
      <b/>
      <sz val="12"/>
      <color indexed="10"/>
      <name val="Century Gothic"/>
      <family val="2"/>
    </font>
    <font>
      <sz val="12"/>
      <color indexed="10"/>
      <name val="Century Gothic"/>
      <family val="2"/>
    </font>
    <font>
      <b/>
      <sz val="9"/>
      <color indexed="10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b/>
      <sz val="10"/>
      <color indexed="9"/>
      <name val="Century Gothic"/>
      <family val="2"/>
    </font>
    <font>
      <sz val="9"/>
      <name val="Century Gothic"/>
      <family val="2"/>
    </font>
    <font>
      <b/>
      <sz val="11"/>
      <name val="Century Gothic"/>
      <family val="2"/>
    </font>
    <font>
      <b/>
      <vertAlign val="subscript"/>
      <sz val="1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 applyBorder="0"/>
  </cellStyleXfs>
  <cellXfs count="268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4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5" xfId="0" applyFont="1" applyFill="1" applyBorder="1" applyAlignment="1">
      <alignment vertical="center"/>
    </xf>
    <xf numFmtId="0" fontId="7" fillId="0" borderId="5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>
      <alignment horizontal="left" vertical="center"/>
    </xf>
    <xf numFmtId="0" fontId="7" fillId="0" borderId="6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0" xfId="0" applyFont="1" applyFill="1" applyBorder="1" applyAlignment="1">
      <alignment vertical="center"/>
    </xf>
    <xf numFmtId="0" fontId="2" fillId="0" borderId="4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7" fillId="0" borderId="5" xfId="0" applyFont="1" applyFill="1" applyBorder="1" applyAlignment="1" applyProtection="1">
      <alignment horizontal="left"/>
      <protection hidden="1"/>
    </xf>
    <xf numFmtId="0" fontId="2" fillId="0" borderId="6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7" fillId="0" borderId="2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0" fontId="7" fillId="0" borderId="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left" vertical="center"/>
    </xf>
    <xf numFmtId="0" fontId="7" fillId="0" borderId="17" xfId="0" applyFont="1" applyFill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5" fillId="0" borderId="1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18" xfId="0" applyFont="1" applyFill="1" applyBorder="1" applyAlignment="1">
      <alignment vertical="center"/>
    </xf>
    <xf numFmtId="164" fontId="2" fillId="0" borderId="1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0" fontId="13" fillId="0" borderId="19" xfId="0" applyFont="1" applyFill="1" applyBorder="1" applyAlignment="1">
      <alignment horizontal="center" vertical="center"/>
    </xf>
    <xf numFmtId="165" fontId="13" fillId="0" borderId="14" xfId="0" applyNumberFormat="1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7" fillId="0" borderId="21" xfId="0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7" fillId="0" borderId="23" xfId="0" applyFont="1" applyFill="1" applyBorder="1" applyAlignment="1">
      <alignment vertical="center"/>
    </xf>
    <xf numFmtId="0" fontId="7" fillId="0" borderId="9" xfId="0" applyFont="1" applyFill="1" applyBorder="1" applyAlignment="1">
      <alignment vertical="center"/>
    </xf>
    <xf numFmtId="0" fontId="5" fillId="0" borderId="10" xfId="0" applyFont="1" applyFill="1" applyBorder="1" applyAlignment="1" applyProtection="1">
      <alignment horizontal="center" vertical="center"/>
    </xf>
    <xf numFmtId="0" fontId="8" fillId="0" borderId="11" xfId="0" applyFont="1" applyFill="1" applyBorder="1" applyAlignment="1" applyProtection="1">
      <alignment vertical="center"/>
    </xf>
    <xf numFmtId="0" fontId="15" fillId="0" borderId="11" xfId="0" applyFont="1" applyFill="1" applyBorder="1" applyAlignment="1" applyProtection="1">
      <alignment vertical="center"/>
    </xf>
    <xf numFmtId="0" fontId="15" fillId="0" borderId="11" xfId="0" applyFont="1" applyFill="1" applyBorder="1" applyAlignment="1" applyProtection="1">
      <alignment vertical="center"/>
      <protection locked="0"/>
    </xf>
    <xf numFmtId="0" fontId="2" fillId="0" borderId="11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vertical="center"/>
    </xf>
    <xf numFmtId="0" fontId="5" fillId="0" borderId="4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0" fontId="7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vertical="center"/>
      <protection locked="0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14" xfId="0" applyFont="1" applyFill="1" applyBorder="1" applyAlignment="1" applyProtection="1">
      <alignment horizontal="left" vertical="center"/>
      <protection locked="0"/>
    </xf>
    <xf numFmtId="17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2" fillId="0" borderId="4" xfId="0" applyFont="1" applyFill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centerContinuous" vertical="center"/>
    </xf>
    <xf numFmtId="0" fontId="2" fillId="0" borderId="3" xfId="0" applyFont="1" applyFill="1" applyBorder="1" applyAlignment="1">
      <alignment horizontal="centerContinuous" vertical="center"/>
    </xf>
    <xf numFmtId="0" fontId="2" fillId="0" borderId="14" xfId="0" applyFont="1" applyFill="1" applyBorder="1" applyAlignment="1">
      <alignment horizontal="centerContinuous" vertical="center"/>
    </xf>
    <xf numFmtId="0" fontId="2" fillId="0" borderId="16" xfId="0" applyFont="1" applyFill="1" applyBorder="1" applyAlignment="1">
      <alignment horizontal="centerContinuous" vertical="center"/>
    </xf>
    <xf numFmtId="0" fontId="2" fillId="0" borderId="0" xfId="0" applyFont="1" applyFill="1" applyBorder="1" applyAlignment="1">
      <alignment horizontal="centerContinuous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centerContinuous" vertical="center"/>
    </xf>
    <xf numFmtId="0" fontId="2" fillId="0" borderId="15" xfId="0" applyFont="1" applyFill="1" applyBorder="1" applyAlignment="1" applyProtection="1">
      <alignment horizontal="centerContinuous" vertical="center"/>
      <protection locked="0"/>
    </xf>
    <xf numFmtId="0" fontId="2" fillId="0" borderId="16" xfId="0" applyFont="1" applyFill="1" applyBorder="1" applyAlignment="1" applyProtection="1">
      <alignment horizontal="centerContinuous" vertical="center"/>
      <protection locked="0"/>
    </xf>
    <xf numFmtId="0" fontId="7" fillId="0" borderId="6" xfId="0" applyFont="1" applyFill="1" applyBorder="1" applyAlignment="1">
      <alignment horizontal="left" vertical="center"/>
    </xf>
    <xf numFmtId="0" fontId="7" fillId="0" borderId="8" xfId="0" applyFont="1" applyFill="1" applyBorder="1" applyAlignment="1">
      <alignment horizontal="left" vertical="center"/>
    </xf>
    <xf numFmtId="14" fontId="17" fillId="0" borderId="0" xfId="0" applyNumberFormat="1" applyFont="1" applyFill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horizontal="left" vertical="center"/>
      <protection hidden="1"/>
    </xf>
    <xf numFmtId="0" fontId="2" fillId="0" borderId="1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7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vertical="center"/>
      <protection hidden="1"/>
    </xf>
    <xf numFmtId="164" fontId="2" fillId="0" borderId="15" xfId="0" applyNumberFormat="1" applyFont="1" applyFill="1" applyBorder="1" applyAlignment="1" applyProtection="1">
      <alignment horizontal="center" vertical="center"/>
      <protection locked="0"/>
    </xf>
    <xf numFmtId="164" fontId="2" fillId="0" borderId="9" xfId="0" applyNumberFormat="1" applyFont="1" applyFill="1" applyBorder="1" applyAlignment="1" applyProtection="1">
      <alignment horizontal="center" vertical="center"/>
      <protection locked="0"/>
    </xf>
    <xf numFmtId="164" fontId="2" fillId="0" borderId="16" xfId="0" applyNumberFormat="1" applyFont="1" applyFill="1" applyBorder="1" applyAlignment="1" applyProtection="1">
      <alignment horizontal="center" vertical="center"/>
      <protection locked="0"/>
    </xf>
    <xf numFmtId="164" fontId="2" fillId="0" borderId="15" xfId="0" applyNumberFormat="1" applyFont="1" applyFill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2" fillId="0" borderId="16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5" fillId="0" borderId="9" xfId="0" applyFont="1" applyFill="1" applyBorder="1" applyAlignment="1" applyProtection="1">
      <alignment horizontal="center" vertical="center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17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17" fontId="5" fillId="0" borderId="0" xfId="0" quotePrefix="1" applyNumberFormat="1" applyFont="1" applyFill="1" applyBorder="1" applyAlignment="1">
      <alignment horizontal="center" vertical="center"/>
    </xf>
    <xf numFmtId="164" fontId="2" fillId="0" borderId="14" xfId="0" applyNumberFormat="1" applyFont="1" applyFill="1" applyBorder="1" applyAlignment="1" applyProtection="1">
      <alignment horizontal="center" vertical="center"/>
      <protection locked="0"/>
    </xf>
    <xf numFmtId="0" fontId="5" fillId="0" borderId="34" xfId="0" applyFont="1" applyFill="1" applyBorder="1" applyAlignment="1">
      <alignment horizontal="left" vertical="center"/>
    </xf>
    <xf numFmtId="0" fontId="5" fillId="0" borderId="23" xfId="0" applyFont="1" applyFill="1" applyBorder="1" applyAlignment="1">
      <alignment horizontal="left" vertical="center"/>
    </xf>
    <xf numFmtId="0" fontId="5" fillId="0" borderId="35" xfId="0" applyFont="1" applyFill="1" applyBorder="1" applyAlignment="1">
      <alignment horizontal="right" vertical="center" wrapText="1"/>
    </xf>
    <xf numFmtId="0" fontId="5" fillId="0" borderId="36" xfId="0" applyFont="1" applyFill="1" applyBorder="1" applyAlignment="1">
      <alignment horizontal="right" vertical="center" wrapText="1"/>
    </xf>
    <xf numFmtId="0" fontId="5" fillId="0" borderId="21" xfId="0" applyFont="1" applyFill="1" applyBorder="1" applyAlignment="1">
      <alignment horizontal="right" vertical="center" wrapText="1"/>
    </xf>
    <xf numFmtId="0" fontId="5" fillId="0" borderId="22" xfId="0" applyFont="1" applyFill="1" applyBorder="1" applyAlignment="1">
      <alignment horizontal="right" vertical="center" wrapText="1"/>
    </xf>
    <xf numFmtId="17" fontId="5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11" fillId="0" borderId="19" xfId="0" applyFont="1" applyFill="1" applyBorder="1" applyAlignment="1" applyProtection="1">
      <alignment horizontal="center" vertical="center"/>
      <protection locked="0"/>
    </xf>
    <xf numFmtId="0" fontId="11" fillId="0" borderId="20" xfId="0" applyFont="1" applyFill="1" applyBorder="1" applyAlignment="1" applyProtection="1">
      <alignment horizontal="center" vertical="center"/>
      <protection locked="0"/>
    </xf>
    <xf numFmtId="0" fontId="11" fillId="0" borderId="24" xfId="0" applyFont="1" applyFill="1" applyBorder="1" applyAlignment="1" applyProtection="1">
      <alignment horizontal="center" vertical="center"/>
      <protection locked="0"/>
    </xf>
    <xf numFmtId="0" fontId="11" fillId="0" borderId="25" xfId="0" applyFont="1" applyFill="1" applyBorder="1" applyAlignment="1" applyProtection="1">
      <alignment horizontal="center" vertical="center"/>
      <protection locked="0"/>
    </xf>
    <xf numFmtId="2" fontId="12" fillId="0" borderId="26" xfId="0" applyNumberFormat="1" applyFont="1" applyFill="1" applyBorder="1" applyAlignment="1">
      <alignment horizontal="center" vertical="center"/>
    </xf>
    <xf numFmtId="2" fontId="12" fillId="0" borderId="27" xfId="0" applyNumberFormat="1" applyFont="1" applyFill="1" applyBorder="1" applyAlignment="1">
      <alignment horizontal="center" vertical="center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16" fillId="0" borderId="9" xfId="0" applyFont="1" applyFill="1" applyBorder="1" applyAlignment="1">
      <alignment horizontal="center" vertical="center" wrapText="1"/>
    </xf>
    <xf numFmtId="0" fontId="17" fillId="0" borderId="4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6" xfId="0" applyFont="1" applyFill="1" applyBorder="1" applyAlignment="1" applyProtection="1">
      <alignment horizontal="center" vertical="center" wrapText="1"/>
      <protection locked="0"/>
    </xf>
    <xf numFmtId="0" fontId="17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31" xfId="0" applyFont="1" applyFill="1" applyBorder="1" applyAlignment="1" applyProtection="1">
      <alignment horizontal="center" vertical="center"/>
    </xf>
    <xf numFmtId="0" fontId="5" fillId="0" borderId="12" xfId="0" applyFont="1" applyFill="1" applyBorder="1" applyAlignment="1" applyProtection="1">
      <alignment horizontal="center" vertical="center"/>
    </xf>
    <xf numFmtId="0" fontId="16" fillId="0" borderId="4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center" vertical="center"/>
      <protection locked="0"/>
    </xf>
    <xf numFmtId="0" fontId="16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6" fillId="0" borderId="6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164" fontId="2" fillId="0" borderId="14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 applyProtection="1">
      <alignment horizontal="center" vertical="center"/>
      <protection locked="0"/>
    </xf>
    <xf numFmtId="0" fontId="20" fillId="0" borderId="4" xfId="0" applyFont="1" applyFill="1" applyBorder="1" applyAlignment="1" applyProtection="1">
      <alignment horizontal="center" vertical="center"/>
      <protection locked="0"/>
    </xf>
    <xf numFmtId="14" fontId="20" fillId="0" borderId="4" xfId="0" applyNumberFormat="1" applyFont="1" applyFill="1" applyBorder="1" applyAlignment="1" applyProtection="1">
      <alignment horizontal="center" vertical="center"/>
      <protection locked="0"/>
    </xf>
    <xf numFmtId="14" fontId="20" fillId="0" borderId="0" xfId="0" applyNumberFormat="1" applyFont="1" applyFill="1" applyBorder="1" applyAlignment="1" applyProtection="1">
      <alignment horizontal="center" vertical="center"/>
      <protection locked="0"/>
    </xf>
    <xf numFmtId="14" fontId="20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>
      <alignment vertical="center" wrapText="1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7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17" fillId="0" borderId="5" xfId="0" applyFont="1" applyFill="1" applyBorder="1" applyAlignment="1" applyProtection="1">
      <alignment horizontal="center" vertical="center" wrapText="1"/>
      <protection locked="0"/>
    </xf>
    <xf numFmtId="0" fontId="17" fillId="0" borderId="8" xfId="0" applyFont="1" applyFill="1" applyBorder="1" applyAlignment="1" applyProtection="1">
      <alignment horizontal="center" vertical="center" wrapText="1"/>
      <protection locked="0"/>
    </xf>
    <xf numFmtId="0" fontId="20" fillId="0" borderId="28" xfId="0" applyFont="1" applyFill="1" applyBorder="1" applyAlignment="1">
      <alignment horizontal="center" vertical="center"/>
    </xf>
    <xf numFmtId="0" fontId="20" fillId="0" borderId="30" xfId="0" applyFont="1" applyFill="1" applyBorder="1" applyAlignment="1">
      <alignment horizontal="center" vertical="center"/>
    </xf>
    <xf numFmtId="164" fontId="20" fillId="0" borderId="28" xfId="0" applyNumberFormat="1" applyFont="1" applyFill="1" applyBorder="1" applyAlignment="1" applyProtection="1">
      <alignment horizontal="center" vertical="center"/>
      <protection locked="0"/>
    </xf>
    <xf numFmtId="164" fontId="20" fillId="0" borderId="29" xfId="0" applyNumberFormat="1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vertical="center"/>
    </xf>
    <xf numFmtId="17" fontId="20" fillId="0" borderId="0" xfId="0" quotePrefix="1" applyNumberFormat="1" applyFont="1" applyFill="1" applyBorder="1" applyAlignment="1">
      <alignment horizontal="center" vertical="center"/>
    </xf>
    <xf numFmtId="17" fontId="20" fillId="0" borderId="5" xfId="0" quotePrefix="1" applyNumberFormat="1" applyFont="1" applyFill="1" applyBorder="1" applyAlignment="1">
      <alignment horizontal="center" vertical="center"/>
    </xf>
    <xf numFmtId="0" fontId="17" fillId="0" borderId="15" xfId="0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17" fillId="0" borderId="16" xfId="0" applyFont="1" applyFill="1" applyBorder="1" applyAlignment="1">
      <alignment horizontal="center" vertical="center"/>
    </xf>
    <xf numFmtId="164" fontId="17" fillId="0" borderId="15" xfId="0" applyNumberFormat="1" applyFont="1" applyFill="1" applyBorder="1" applyAlignment="1">
      <alignment horizontal="center" vertical="center"/>
    </xf>
    <xf numFmtId="164" fontId="17" fillId="0" borderId="9" xfId="0" applyNumberFormat="1" applyFont="1" applyFill="1" applyBorder="1" applyAlignment="1">
      <alignment horizontal="center" vertical="center"/>
    </xf>
    <xf numFmtId="164" fontId="17" fillId="0" borderId="16" xfId="0" applyNumberFormat="1" applyFont="1" applyFill="1" applyBorder="1" applyAlignment="1">
      <alignment horizontal="center" vertical="center"/>
    </xf>
    <xf numFmtId="164" fontId="17" fillId="0" borderId="15" xfId="0" applyNumberFormat="1" applyFont="1" applyFill="1" applyBorder="1" applyAlignment="1" applyProtection="1">
      <alignment horizontal="center" vertical="center"/>
      <protection locked="0"/>
    </xf>
    <xf numFmtId="164" fontId="17" fillId="0" borderId="9" xfId="0" applyNumberFormat="1" applyFont="1" applyFill="1" applyBorder="1" applyAlignment="1" applyProtection="1">
      <alignment horizontal="center" vertical="center"/>
      <protection locked="0"/>
    </xf>
    <xf numFmtId="164" fontId="17" fillId="0" borderId="16" xfId="0" applyNumberFormat="1" applyFont="1" applyFill="1" applyBorder="1" applyAlignment="1" applyProtection="1">
      <alignment horizontal="center" vertical="center"/>
      <protection locked="0"/>
    </xf>
    <xf numFmtId="164" fontId="17" fillId="0" borderId="14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>
      <alignment horizontal="center" vertical="center"/>
    </xf>
    <xf numFmtId="0" fontId="20" fillId="0" borderId="18" xfId="0" applyFont="1" applyFill="1" applyBorder="1" applyAlignment="1">
      <alignment horizontal="center" vertical="center"/>
    </xf>
    <xf numFmtId="0" fontId="20" fillId="0" borderId="32" xfId="0" applyFont="1" applyFill="1" applyBorder="1" applyAlignment="1" applyProtection="1">
      <alignment horizontal="center" vertical="center"/>
      <protection locked="0"/>
    </xf>
    <xf numFmtId="0" fontId="20" fillId="0" borderId="33" xfId="0" applyFont="1" applyFill="1" applyBorder="1" applyAlignment="1" applyProtection="1">
      <alignment horizontal="center" vertical="center"/>
      <protection locked="0"/>
    </xf>
    <xf numFmtId="17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right" vertical="center"/>
    </xf>
    <xf numFmtId="0" fontId="17" fillId="0" borderId="0" xfId="0" applyFont="1" applyFill="1" applyBorder="1" applyAlignment="1" applyProtection="1">
      <alignment horizontal="left"/>
      <protection hidden="1"/>
    </xf>
    <xf numFmtId="0" fontId="17" fillId="0" borderId="0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578227156205543E-2"/>
          <c:y val="5.6478496934854093E-2"/>
          <c:w val="0.91469247230708972"/>
          <c:h val="0.81395480876701487"/>
        </c:manualLayout>
      </c:layout>
      <c:scatterChart>
        <c:scatterStyle val="smoothMarker"/>
        <c:varyColors val="0"/>
        <c:ser>
          <c:idx val="0"/>
          <c:order val="0"/>
          <c:tx>
            <c:v>Avant Fragmentation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RE!$G$25:$G$27</c:f>
              <c:numCache>
                <c:formatCode>General</c:formatCode>
                <c:ptCount val="3"/>
                <c:pt idx="0">
                  <c:v>20</c:v>
                </c:pt>
                <c:pt idx="1">
                  <c:v>16</c:v>
                </c:pt>
                <c:pt idx="2">
                  <c:v>10</c:v>
                </c:pt>
              </c:numCache>
            </c:numRef>
          </c:xVal>
          <c:yVal>
            <c:numRef>
              <c:f>RE!$J$25:$J$27</c:f>
              <c:numCache>
                <c:formatCode>0.0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3-453F-9102-2BE1C8DE5EA8}"/>
            </c:ext>
          </c:extLst>
        </c:ser>
        <c:ser>
          <c:idx val="1"/>
          <c:order val="1"/>
          <c:tx>
            <c:v>Après Fragmentation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RE!$G$36:$G$41</c:f>
              <c:numCache>
                <c:formatCode>General</c:formatCode>
                <c:ptCount val="6"/>
                <c:pt idx="0">
                  <c:v>20</c:v>
                </c:pt>
                <c:pt idx="1">
                  <c:v>16</c:v>
                </c:pt>
                <c:pt idx="2">
                  <c:v>10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</c:numCache>
            </c:numRef>
          </c:xVal>
          <c:yVal>
            <c:numRef>
              <c:f>RE!$J$36:$J$41</c:f>
              <c:numCache>
                <c:formatCode>0.0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3-453F-9102-2BE1C8DE5EA8}"/>
            </c:ext>
          </c:extLst>
        </c:ser>
        <c:ser>
          <c:idx val="2"/>
          <c:order val="2"/>
          <c:tx>
            <c:v>Avant Fragmentation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RE!$R$25:$R$28</c:f>
              <c:numCache>
                <c:formatCode>General</c:formatCode>
                <c:ptCount val="4"/>
                <c:pt idx="0">
                  <c:v>80</c:v>
                </c:pt>
                <c:pt idx="1">
                  <c:v>63</c:v>
                </c:pt>
                <c:pt idx="2">
                  <c:v>50</c:v>
                </c:pt>
                <c:pt idx="3">
                  <c:v>40</c:v>
                </c:pt>
              </c:numCache>
            </c:numRef>
          </c:xVal>
          <c:yVal>
            <c:numRef>
              <c:f>RE!$U$25:$U$28</c:f>
              <c:numCache>
                <c:formatCode>0.0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63-453F-9102-2BE1C8DE5EA8}"/>
            </c:ext>
          </c:extLst>
        </c:ser>
        <c:ser>
          <c:idx val="3"/>
          <c:order val="3"/>
          <c:tx>
            <c:v>Après Fragmentation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RE!$R$36:$R$42</c:f>
              <c:numCache>
                <c:formatCode>General</c:formatCode>
                <c:ptCount val="7"/>
                <c:pt idx="0">
                  <c:v>80</c:v>
                </c:pt>
                <c:pt idx="1">
                  <c:v>63</c:v>
                </c:pt>
                <c:pt idx="2">
                  <c:v>50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RE!$U$36:$U$42</c:f>
              <c:numCache>
                <c:formatCode>0.0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63-453F-9102-2BE1C8DE5EA8}"/>
            </c:ext>
          </c:extLst>
        </c:ser>
        <c:ser>
          <c:idx val="4"/>
          <c:order val="4"/>
          <c:tx>
            <c:strRef>
              <c:f>RE!$AD$38</c:f>
              <c:strCache>
                <c:ptCount val="1"/>
                <c:pt idx="0">
                  <c:v>D10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RE!$D$46:$D$47</c:f>
              <c:numCache>
                <c:formatCode>General</c:formatCode>
                <c:ptCount val="2"/>
                <c:pt idx="0" formatCode="0.0">
                  <c:v>0.1</c:v>
                </c:pt>
                <c:pt idx="1">
                  <c:v>100</c:v>
                </c:pt>
              </c:numCache>
            </c:numRef>
          </c:xVal>
          <c:yVal>
            <c:numRef>
              <c:f>RE!$E$46:$E$47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3-453F-9102-2BE1C8DE5EA8}"/>
            </c:ext>
          </c:extLst>
        </c:ser>
        <c:ser>
          <c:idx val="5"/>
          <c:order val="5"/>
          <c:tx>
            <c:v>12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RE!$F$46:$F$47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RE!$G$46:$G$47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63-453F-9102-2BE1C8DE5EA8}"/>
            </c:ext>
          </c:extLst>
        </c:ser>
        <c:ser>
          <c:idx val="6"/>
          <c:order val="6"/>
          <c:tx>
            <c:v>14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RE!$H$46:$H$47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RE!$I$46:$I$47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3-453F-9102-2BE1C8DE5EA8}"/>
            </c:ext>
          </c:extLst>
        </c:ser>
        <c:ser>
          <c:idx val="7"/>
          <c:order val="7"/>
          <c:tx>
            <c:v>16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RE!$J$46:$J$47</c:f>
              <c:numCache>
                <c:formatCode>General</c:formatCode>
                <c:ptCount val="2"/>
                <c:pt idx="0">
                  <c:v>16</c:v>
                </c:pt>
                <c:pt idx="1">
                  <c:v>16</c:v>
                </c:pt>
              </c:numCache>
            </c:numRef>
          </c:xVal>
          <c:yVal>
            <c:numRef>
              <c:f>RE!$K$46:$K$47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63-453F-9102-2BE1C8DE5EA8}"/>
            </c:ext>
          </c:extLst>
        </c:ser>
        <c:ser>
          <c:idx val="8"/>
          <c:order val="8"/>
          <c:tx>
            <c:v>18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RE!$L$46:$L$47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xVal>
          <c:yVal>
            <c:numRef>
              <c:f>RE!$M$46:$M$47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63-453F-9102-2BE1C8DE5EA8}"/>
            </c:ext>
          </c:extLst>
        </c:ser>
        <c:ser>
          <c:idx val="9"/>
          <c:order val="9"/>
          <c:tx>
            <c:v>22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RE!$N$46:$N$47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RE!$O$46:$O$47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3-453F-9102-2BE1C8DE5EA8}"/>
            </c:ext>
          </c:extLst>
        </c:ser>
        <c:ser>
          <c:idx val="10"/>
          <c:order val="10"/>
          <c:tx>
            <c:v>24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RE!$P$46:$P$47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RE!$Q$46:$Q$47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3-453F-9102-2BE1C8DE5EA8}"/>
            </c:ext>
          </c:extLst>
        </c:ser>
        <c:ser>
          <c:idx val="11"/>
          <c:order val="11"/>
          <c:tx>
            <c:v>26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RE!$R$46:$R$47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xVal>
          <c:yVal>
            <c:numRef>
              <c:f>RE!$S$46:$S$47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3-453F-9102-2BE1C8DE5EA8}"/>
            </c:ext>
          </c:extLst>
        </c:ser>
        <c:ser>
          <c:idx val="12"/>
          <c:order val="12"/>
          <c:tx>
            <c:v>28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RE!$T$46:$T$47</c:f>
              <c:numCache>
                <c:formatCode>General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xVal>
          <c:yVal>
            <c:numRef>
              <c:f>RE!$U$46:$U$47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563-453F-9102-2BE1C8DE5EA8}"/>
            </c:ext>
          </c:extLst>
        </c:ser>
        <c:ser>
          <c:idx val="13"/>
          <c:order val="13"/>
          <c:tx>
            <c:v>35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RE!$V$46:$V$47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xVal>
          <c:yVal>
            <c:numRef>
              <c:f>RE!$W$46:$W$47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563-453F-9102-2BE1C8DE5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53232"/>
        <c:axId val="137353624"/>
      </c:scatterChart>
      <c:valAx>
        <c:axId val="137353232"/>
        <c:scaling>
          <c:logBase val="10"/>
          <c:orientation val="minMax"/>
          <c:max val="100"/>
          <c:min val="1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37440785723173803"/>
              <c:y val="0.906978139360486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7353624"/>
        <c:crosses val="autoZero"/>
        <c:crossBetween val="midCat"/>
      </c:valAx>
      <c:valAx>
        <c:axId val="137353624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8056932519598231E-2"/>
              <c:y val="0.30564818932517157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7353232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12322287718445338"/>
          <c:y val="9.634551495016612E-2"/>
          <c:w val="0.21682475467854276"/>
          <c:h val="0.225913970056068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-4" verticalDpi="0"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43</xdr:row>
      <xdr:rowOff>47625</xdr:rowOff>
    </xdr:from>
    <xdr:to>
      <xdr:col>25</xdr:col>
      <xdr:colOff>161925</xdr:colOff>
      <xdr:row>61</xdr:row>
      <xdr:rowOff>0</xdr:rowOff>
    </xdr:to>
    <xdr:graphicFrame macro="">
      <xdr:nvGraphicFramePr>
        <xdr:cNvPr id="1074" name="Graphique 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390525</xdr:colOff>
      <xdr:row>45</xdr:row>
      <xdr:rowOff>28575</xdr:rowOff>
    </xdr:from>
    <xdr:to>
      <xdr:col>28</xdr:col>
      <xdr:colOff>390525</xdr:colOff>
      <xdr:row>47</xdr:row>
      <xdr:rowOff>66675</xdr:rowOff>
    </xdr:to>
    <xdr:sp macro="" textlink="">
      <xdr:nvSpPr>
        <xdr:cNvPr id="1076" name="Line 16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>
          <a:spLocks noChangeShapeType="1"/>
        </xdr:cNvSpPr>
      </xdr:nvSpPr>
      <xdr:spPr bwMode="auto">
        <a:xfrm>
          <a:off x="11087100" y="8124825"/>
          <a:ext cx="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400050</xdr:colOff>
      <xdr:row>42</xdr:row>
      <xdr:rowOff>47625</xdr:rowOff>
    </xdr:from>
    <xdr:to>
      <xdr:col>28</xdr:col>
      <xdr:colOff>0</xdr:colOff>
      <xdr:row>48</xdr:row>
      <xdr:rowOff>19050</xdr:rowOff>
    </xdr:to>
    <xdr:sp macro="" textlink="">
      <xdr:nvSpPr>
        <xdr:cNvPr id="1077" name="Line 17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>
          <a:spLocks noChangeShapeType="1"/>
        </xdr:cNvSpPr>
      </xdr:nvSpPr>
      <xdr:spPr bwMode="auto">
        <a:xfrm flipH="1">
          <a:off x="10077450" y="7572375"/>
          <a:ext cx="619125" cy="1028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0</xdr:colOff>
      <xdr:row>42</xdr:row>
      <xdr:rowOff>0</xdr:rowOff>
    </xdr:from>
    <xdr:to>
      <xdr:col>29</xdr:col>
      <xdr:colOff>342900</xdr:colOff>
      <xdr:row>47</xdr:row>
      <xdr:rowOff>152400</xdr:rowOff>
    </xdr:to>
    <xdr:sp macro="" textlink="">
      <xdr:nvSpPr>
        <xdr:cNvPr id="1078" name="Line 18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>
          <a:spLocks noChangeShapeType="1"/>
        </xdr:cNvSpPr>
      </xdr:nvSpPr>
      <xdr:spPr bwMode="auto">
        <a:xfrm>
          <a:off x="11715750" y="7524750"/>
          <a:ext cx="342900" cy="1047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400050</xdr:colOff>
      <xdr:row>51</xdr:row>
      <xdr:rowOff>152400</xdr:rowOff>
    </xdr:from>
    <xdr:to>
      <xdr:col>28</xdr:col>
      <xdr:colOff>0</xdr:colOff>
      <xdr:row>54</xdr:row>
      <xdr:rowOff>0</xdr:rowOff>
    </xdr:to>
    <xdr:sp macro="" textlink="">
      <xdr:nvSpPr>
        <xdr:cNvPr id="1079" name="Line 19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9220200"/>
          <a:ext cx="619125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0</xdr:colOff>
      <xdr:row>51</xdr:row>
      <xdr:rowOff>142875</xdr:rowOff>
    </xdr:from>
    <xdr:to>
      <xdr:col>29</xdr:col>
      <xdr:colOff>361950</xdr:colOff>
      <xdr:row>54</xdr:row>
      <xdr:rowOff>0</xdr:rowOff>
    </xdr:to>
    <xdr:sp macro="" textlink="">
      <xdr:nvSpPr>
        <xdr:cNvPr id="1080" name="Line 20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>
          <a:spLocks noChangeShapeType="1"/>
        </xdr:cNvSpPr>
      </xdr:nvSpPr>
      <xdr:spPr bwMode="auto">
        <a:xfrm flipV="1">
          <a:off x="11715750" y="9210675"/>
          <a:ext cx="3619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22</xdr:row>
          <xdr:rowOff>121920</xdr:rowOff>
        </xdr:from>
        <xdr:to>
          <xdr:col>15</xdr:col>
          <xdr:colOff>167640</xdr:colOff>
          <xdr:row>24</xdr:row>
          <xdr:rowOff>19050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22</xdr:row>
          <xdr:rowOff>121920</xdr:rowOff>
        </xdr:from>
        <xdr:to>
          <xdr:col>4</xdr:col>
          <xdr:colOff>167640</xdr:colOff>
          <xdr:row>24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33</xdr:row>
          <xdr:rowOff>121920</xdr:rowOff>
        </xdr:from>
        <xdr:to>
          <xdr:col>4</xdr:col>
          <xdr:colOff>167640</xdr:colOff>
          <xdr:row>35</xdr:row>
          <xdr:rowOff>19050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33</xdr:row>
          <xdr:rowOff>121920</xdr:rowOff>
        </xdr:from>
        <xdr:to>
          <xdr:col>15</xdr:col>
          <xdr:colOff>167640</xdr:colOff>
          <xdr:row>35</xdr:row>
          <xdr:rowOff>19050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213360</xdr:colOff>
          <xdr:row>31</xdr:row>
          <xdr:rowOff>152400</xdr:rowOff>
        </xdr:from>
        <xdr:to>
          <xdr:col>13</xdr:col>
          <xdr:colOff>171450</xdr:colOff>
          <xdr:row>33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236220</xdr:colOff>
          <xdr:row>31</xdr:row>
          <xdr:rowOff>152400</xdr:rowOff>
        </xdr:from>
        <xdr:to>
          <xdr:col>17</xdr:col>
          <xdr:colOff>205740</xdr:colOff>
          <xdr:row>33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274320</xdr:colOff>
          <xdr:row>31</xdr:row>
          <xdr:rowOff>152400</xdr:rowOff>
        </xdr:from>
        <xdr:to>
          <xdr:col>22</xdr:col>
          <xdr:colOff>243840</xdr:colOff>
          <xdr:row>33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66675</xdr:colOff>
      <xdr:row>1</xdr:row>
      <xdr:rowOff>152400</xdr:rowOff>
    </xdr:from>
    <xdr:to>
      <xdr:col>5</xdr:col>
      <xdr:colOff>19050</xdr:colOff>
      <xdr:row>3</xdr:row>
      <xdr:rowOff>152400</xdr:rowOff>
    </xdr:to>
    <xdr:pic>
      <xdr:nvPicPr>
        <xdr:cNvPr id="19" name="Image 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1432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390525</xdr:colOff>
      <xdr:row>0</xdr:row>
      <xdr:rowOff>0</xdr:rowOff>
    </xdr:from>
    <xdr:to>
      <xdr:col>28</xdr:col>
      <xdr:colOff>390525</xdr:colOff>
      <xdr:row>0</xdr:row>
      <xdr:rowOff>0</xdr:rowOff>
    </xdr:to>
    <xdr:sp macro="" textlink="">
      <xdr:nvSpPr>
        <xdr:cNvPr id="3114" name="Line 16">
          <a:extLst>
            <a:ext uri="{FF2B5EF4-FFF2-40B4-BE49-F238E27FC236}">
              <a16:creationId xmlns:a16="http://schemas.microsoft.com/office/drawing/2014/main" id="{00000000-0008-0000-0100-00002A0C0000}"/>
            </a:ext>
          </a:extLst>
        </xdr:cNvPr>
        <xdr:cNvSpPr>
          <a:spLocks noChangeShapeType="1"/>
        </xdr:cNvSpPr>
      </xdr:nvSpPr>
      <xdr:spPr bwMode="auto">
        <a:xfrm>
          <a:off x="10201275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438150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115" name="Line 17">
          <a:extLst>
            <a:ext uri="{FF2B5EF4-FFF2-40B4-BE49-F238E27FC236}">
              <a16:creationId xmlns:a16="http://schemas.microsoft.com/office/drawing/2014/main" id="{00000000-0008-0000-0100-00002B0C0000}"/>
            </a:ext>
          </a:extLst>
        </xdr:cNvPr>
        <xdr:cNvSpPr>
          <a:spLocks noChangeShapeType="1"/>
        </xdr:cNvSpPr>
      </xdr:nvSpPr>
      <xdr:spPr bwMode="auto">
        <a:xfrm flipH="1">
          <a:off x="9486900" y="0"/>
          <a:ext cx="323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0</xdr:row>
      <xdr:rowOff>0</xdr:rowOff>
    </xdr:from>
    <xdr:to>
      <xdr:col>29</xdr:col>
      <xdr:colOff>266700</xdr:colOff>
      <xdr:row>0</xdr:row>
      <xdr:rowOff>0</xdr:rowOff>
    </xdr:to>
    <xdr:sp macro="" textlink="">
      <xdr:nvSpPr>
        <xdr:cNvPr id="3116" name="Line 18">
          <a:extLst>
            <a:ext uri="{FF2B5EF4-FFF2-40B4-BE49-F238E27FC236}">
              <a16:creationId xmlns:a16="http://schemas.microsoft.com/office/drawing/2014/main" id="{00000000-0008-0000-0100-00002C0C0000}"/>
            </a:ext>
          </a:extLst>
        </xdr:cNvPr>
        <xdr:cNvSpPr>
          <a:spLocks noChangeShapeType="1"/>
        </xdr:cNvSpPr>
      </xdr:nvSpPr>
      <xdr:spPr bwMode="auto">
        <a:xfrm>
          <a:off x="10572750" y="0"/>
          <a:ext cx="266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476250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117" name="Line 19">
          <a:extLst>
            <a:ext uri="{FF2B5EF4-FFF2-40B4-BE49-F238E27FC236}">
              <a16:creationId xmlns:a16="http://schemas.microsoft.com/office/drawing/2014/main" id="{00000000-0008-0000-0100-00002D0C0000}"/>
            </a:ext>
          </a:extLst>
        </xdr:cNvPr>
        <xdr:cNvSpPr>
          <a:spLocks noChangeShapeType="1"/>
        </xdr:cNvSpPr>
      </xdr:nvSpPr>
      <xdr:spPr bwMode="auto">
        <a:xfrm flipH="1" flipV="1">
          <a:off x="9525000" y="0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0</xdr:row>
      <xdr:rowOff>0</xdr:rowOff>
    </xdr:from>
    <xdr:to>
      <xdr:col>29</xdr:col>
      <xdr:colOff>190500</xdr:colOff>
      <xdr:row>0</xdr:row>
      <xdr:rowOff>0</xdr:rowOff>
    </xdr:to>
    <xdr:sp macro="" textlink="">
      <xdr:nvSpPr>
        <xdr:cNvPr id="3118" name="Line 20">
          <a:extLst>
            <a:ext uri="{FF2B5EF4-FFF2-40B4-BE49-F238E27FC236}">
              <a16:creationId xmlns:a16="http://schemas.microsoft.com/office/drawing/2014/main" id="{00000000-0008-0000-0100-00002E0C0000}"/>
            </a:ext>
          </a:extLst>
        </xdr:cNvPr>
        <xdr:cNvSpPr>
          <a:spLocks noChangeShapeType="1"/>
        </xdr:cNvSpPr>
      </xdr:nvSpPr>
      <xdr:spPr bwMode="auto">
        <a:xfrm flipV="1">
          <a:off x="10572750" y="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95250</xdr:colOff>
      <xdr:row>0</xdr:row>
      <xdr:rowOff>847725</xdr:rowOff>
    </xdr:from>
    <xdr:to>
      <xdr:col>10</xdr:col>
      <xdr:colOff>219075</xdr:colOff>
      <xdr:row>1</xdr:row>
      <xdr:rowOff>0</xdr:rowOff>
    </xdr:to>
    <xdr:sp macro="" textlink="">
      <xdr:nvSpPr>
        <xdr:cNvPr id="3096" name="Text Box 24">
          <a:extLst>
            <a:ext uri="{FF2B5EF4-FFF2-40B4-BE49-F238E27FC236}">
              <a16:creationId xmlns:a16="http://schemas.microsoft.com/office/drawing/2014/main" id="{00000000-0008-0000-0100-0000180C0000}"/>
            </a:ext>
          </a:extLst>
        </xdr:cNvPr>
        <xdr:cNvSpPr txBox="1">
          <a:spLocks noChangeArrowheads="1"/>
        </xdr:cNvSpPr>
      </xdr:nvSpPr>
      <xdr:spPr bwMode="auto">
        <a:xfrm>
          <a:off x="3000375" y="847725"/>
          <a:ext cx="4381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20</xdr:col>
      <xdr:colOff>0</xdr:colOff>
      <xdr:row>0</xdr:row>
      <xdr:rowOff>9525</xdr:rowOff>
    </xdr:from>
    <xdr:to>
      <xdr:col>25</xdr:col>
      <xdr:colOff>304800</xdr:colOff>
      <xdr:row>0</xdr:row>
      <xdr:rowOff>981075</xdr:rowOff>
    </xdr:to>
    <xdr:sp macro="" textlink="" fLocksText="0">
      <xdr:nvSpPr>
        <xdr:cNvPr id="3098" name="Text Box 26">
          <a:extLst>
            <a:ext uri="{FF2B5EF4-FFF2-40B4-BE49-F238E27FC236}">
              <a16:creationId xmlns:a16="http://schemas.microsoft.com/office/drawing/2014/main" id="{00000000-0008-0000-0100-00001A0C0000}"/>
            </a:ext>
          </a:extLst>
        </xdr:cNvPr>
        <xdr:cNvSpPr txBox="1">
          <a:spLocks noChangeArrowheads="1"/>
        </xdr:cNvSpPr>
      </xdr:nvSpPr>
      <xdr:spPr bwMode="auto">
        <a:xfrm>
          <a:off x="6400800" y="9525"/>
          <a:ext cx="187642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0</xdr:colOff>
      <xdr:row>1</xdr:row>
      <xdr:rowOff>0</xdr:rowOff>
    </xdr:to>
    <xdr:sp macro="" textlink="">
      <xdr:nvSpPr>
        <xdr:cNvPr id="3122" name="Rectangle 27">
          <a:extLst>
            <a:ext uri="{FF2B5EF4-FFF2-40B4-BE49-F238E27FC236}">
              <a16:creationId xmlns:a16="http://schemas.microsoft.com/office/drawing/2014/main" id="{00000000-0008-0000-0100-00003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286750" cy="10572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6</xdr:col>
      <xdr:colOff>209550</xdr:colOff>
      <xdr:row>0</xdr:row>
      <xdr:rowOff>209550</xdr:rowOff>
    </xdr:from>
    <xdr:to>
      <xdr:col>20</xdr:col>
      <xdr:colOff>0</xdr:colOff>
      <xdr:row>0</xdr:row>
      <xdr:rowOff>657225</xdr:rowOff>
    </xdr:to>
    <xdr:sp macro="" textlink="">
      <xdr:nvSpPr>
        <xdr:cNvPr id="3100" name="Text Box 28">
          <a:extLst>
            <a:ext uri="{FF2B5EF4-FFF2-40B4-BE49-F238E27FC236}">
              <a16:creationId xmlns:a16="http://schemas.microsoft.com/office/drawing/2014/main" id="{00000000-0008-0000-0100-00001C0C0000}"/>
            </a:ext>
          </a:extLst>
        </xdr:cNvPr>
        <xdr:cNvSpPr txBox="1">
          <a:spLocks noChangeArrowheads="1"/>
        </xdr:cNvSpPr>
      </xdr:nvSpPr>
      <xdr:spPr bwMode="auto">
        <a:xfrm>
          <a:off x="2171700" y="209550"/>
          <a:ext cx="42291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DEGRADABILITE DES MATERIAUX ROCHEUX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(NF P 94-067)</a:t>
          </a:r>
        </a:p>
      </xdr:txBody>
    </xdr:sp>
    <xdr:clientData/>
  </xdr:twoCellAnchor>
  <xdr:twoCellAnchor>
    <xdr:from>
      <xdr:col>7</xdr:col>
      <xdr:colOff>285750</xdr:colOff>
      <xdr:row>0</xdr:row>
      <xdr:rowOff>647700</xdr:rowOff>
    </xdr:from>
    <xdr:to>
      <xdr:col>9</xdr:col>
      <xdr:colOff>114300</xdr:colOff>
      <xdr:row>0</xdr:row>
      <xdr:rowOff>904875</xdr:rowOff>
    </xdr:to>
    <xdr:sp macro="" textlink="">
      <xdr:nvSpPr>
        <xdr:cNvPr id="3101" name="Text Box 29">
          <a:extLst>
            <a:ext uri="{FF2B5EF4-FFF2-40B4-BE49-F238E27FC236}">
              <a16:creationId xmlns:a16="http://schemas.microsoft.com/office/drawing/2014/main" id="{00000000-0008-0000-0100-00001D0C0000}"/>
            </a:ext>
          </a:extLst>
        </xdr:cNvPr>
        <xdr:cNvSpPr txBox="1">
          <a:spLocks noChangeArrowheads="1"/>
        </xdr:cNvSpPr>
      </xdr:nvSpPr>
      <xdr:spPr bwMode="auto">
        <a:xfrm>
          <a:off x="2562225" y="647700"/>
          <a:ext cx="4572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dg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</a:p>
      </xdr:txBody>
    </xdr:sp>
    <xdr:clientData/>
  </xdr:twoCellAnchor>
  <xdr:twoCellAnchor>
    <xdr:from>
      <xdr:col>9</xdr:col>
      <xdr:colOff>104775</xdr:colOff>
      <xdr:row>0</xdr:row>
      <xdr:rowOff>647700</xdr:rowOff>
    </xdr:from>
    <xdr:to>
      <xdr:col>10</xdr:col>
      <xdr:colOff>228600</xdr:colOff>
      <xdr:row>0</xdr:row>
      <xdr:rowOff>838200</xdr:rowOff>
    </xdr:to>
    <xdr:sp macro="" textlink="" fLocksText="0">
      <xdr:nvSpPr>
        <xdr:cNvPr id="3102" name="Text Box 30">
          <a:extLst>
            <a:ext uri="{FF2B5EF4-FFF2-40B4-BE49-F238E27FC236}">
              <a16:creationId xmlns:a16="http://schemas.microsoft.com/office/drawing/2014/main" id="{00000000-0008-0000-0100-00001E0C0000}"/>
            </a:ext>
          </a:extLst>
        </xdr:cNvPr>
        <xdr:cNvSpPr txBox="1">
          <a:spLocks noChangeArrowheads="1"/>
        </xdr:cNvSpPr>
      </xdr:nvSpPr>
      <xdr:spPr bwMode="auto">
        <a:xfrm>
          <a:off x="3009900" y="64770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10</xdr:col>
      <xdr:colOff>257175</xdr:colOff>
      <xdr:row>0</xdr:row>
      <xdr:rowOff>647700</xdr:rowOff>
    </xdr:from>
    <xdr:to>
      <xdr:col>13</xdr:col>
      <xdr:colOff>247650</xdr:colOff>
      <xdr:row>0</xdr:row>
      <xdr:rowOff>857250</xdr:rowOff>
    </xdr:to>
    <xdr:sp macro="" textlink="" fLocksText="0">
      <xdr:nvSpPr>
        <xdr:cNvPr id="3103" name="Text Box 3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SpPr txBox="1">
          <a:spLocks noChangeArrowheads="1"/>
        </xdr:cNvSpPr>
      </xdr:nvSpPr>
      <xdr:spPr bwMode="auto">
        <a:xfrm>
          <a:off x="3476625" y="647700"/>
          <a:ext cx="933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276225</xdr:colOff>
      <xdr:row>0</xdr:row>
      <xdr:rowOff>647700</xdr:rowOff>
    </xdr:from>
    <xdr:to>
      <xdr:col>18</xdr:col>
      <xdr:colOff>266700</xdr:colOff>
      <xdr:row>0</xdr:row>
      <xdr:rowOff>914400</xdr:rowOff>
    </xdr:to>
    <xdr:sp macro="" textlink="" fLocksText="0">
      <xdr:nvSpPr>
        <xdr:cNvPr id="3104" name="Text Box 32">
          <a:extLst>
            <a:ext uri="{FF2B5EF4-FFF2-40B4-BE49-F238E27FC236}">
              <a16:creationId xmlns:a16="http://schemas.microsoft.com/office/drawing/2014/main" id="{00000000-0008-0000-0100-0000200C0000}"/>
            </a:ext>
          </a:extLst>
        </xdr:cNvPr>
        <xdr:cNvSpPr txBox="1">
          <a:spLocks noChangeArrowheads="1"/>
        </xdr:cNvSpPr>
      </xdr:nvSpPr>
      <xdr:spPr bwMode="auto">
        <a:xfrm>
          <a:off x="4438650" y="647700"/>
          <a:ext cx="16002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6</xdr:col>
      <xdr:colOff>161925</xdr:colOff>
      <xdr:row>0</xdr:row>
      <xdr:rowOff>0</xdr:rowOff>
    </xdr:from>
    <xdr:to>
      <xdr:col>20</xdr:col>
      <xdr:colOff>0</xdr:colOff>
      <xdr:row>1</xdr:row>
      <xdr:rowOff>0</xdr:rowOff>
    </xdr:to>
    <xdr:sp macro="" textlink="">
      <xdr:nvSpPr>
        <xdr:cNvPr id="3128" name="Rectangle 33">
          <a:extLst>
            <a:ext uri="{FF2B5EF4-FFF2-40B4-BE49-F238E27FC236}">
              <a16:creationId xmlns:a16="http://schemas.microsoft.com/office/drawing/2014/main" id="{00000000-0008-0000-0100-0000380C0000}"/>
            </a:ext>
          </a:extLst>
        </xdr:cNvPr>
        <xdr:cNvSpPr>
          <a:spLocks noChangeArrowheads="1"/>
        </xdr:cNvSpPr>
      </xdr:nvSpPr>
      <xdr:spPr bwMode="auto">
        <a:xfrm>
          <a:off x="2124075" y="0"/>
          <a:ext cx="4276725" cy="10572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10</xdr:col>
      <xdr:colOff>142875</xdr:colOff>
      <xdr:row>0</xdr:row>
      <xdr:rowOff>647700</xdr:rowOff>
    </xdr:from>
    <xdr:to>
      <xdr:col>11</xdr:col>
      <xdr:colOff>0</xdr:colOff>
      <xdr:row>0</xdr:row>
      <xdr:rowOff>923925</xdr:rowOff>
    </xdr:to>
    <xdr:sp macro="" textlink="">
      <xdr:nvSpPr>
        <xdr:cNvPr id="3106" name="Text Box 34">
          <a:extLst>
            <a:ext uri="{FF2B5EF4-FFF2-40B4-BE49-F238E27FC236}">
              <a16:creationId xmlns:a16="http://schemas.microsoft.com/office/drawing/2014/main" id="{00000000-0008-0000-0100-0000220C0000}"/>
            </a:ext>
          </a:extLst>
        </xdr:cNvPr>
        <xdr:cNvSpPr txBox="1">
          <a:spLocks noChangeArrowheads="1"/>
        </xdr:cNvSpPr>
      </xdr:nvSpPr>
      <xdr:spPr bwMode="auto">
        <a:xfrm>
          <a:off x="3362325" y="647700"/>
          <a:ext cx="1714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13</xdr:col>
      <xdr:colOff>190500</xdr:colOff>
      <xdr:row>0</xdr:row>
      <xdr:rowOff>647700</xdr:rowOff>
    </xdr:from>
    <xdr:to>
      <xdr:col>14</xdr:col>
      <xdr:colOff>57150</xdr:colOff>
      <xdr:row>0</xdr:row>
      <xdr:rowOff>923925</xdr:rowOff>
    </xdr:to>
    <xdr:sp macro="" textlink="">
      <xdr:nvSpPr>
        <xdr:cNvPr id="3107" name="Text Box 35">
          <a:extLst>
            <a:ext uri="{FF2B5EF4-FFF2-40B4-BE49-F238E27FC236}">
              <a16:creationId xmlns:a16="http://schemas.microsoft.com/office/drawing/2014/main" id="{00000000-0008-0000-0100-0000230C0000}"/>
            </a:ext>
          </a:extLst>
        </xdr:cNvPr>
        <xdr:cNvSpPr txBox="1">
          <a:spLocks noChangeArrowheads="1"/>
        </xdr:cNvSpPr>
      </xdr:nvSpPr>
      <xdr:spPr bwMode="auto">
        <a:xfrm>
          <a:off x="4352925" y="647700"/>
          <a:ext cx="1809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10</xdr:col>
      <xdr:colOff>257175</xdr:colOff>
      <xdr:row>0</xdr:row>
      <xdr:rowOff>847725</xdr:rowOff>
    </xdr:from>
    <xdr:to>
      <xdr:col>13</xdr:col>
      <xdr:colOff>247650</xdr:colOff>
      <xdr:row>1</xdr:row>
      <xdr:rowOff>0</xdr:rowOff>
    </xdr:to>
    <xdr:sp macro="" textlink="">
      <xdr:nvSpPr>
        <xdr:cNvPr id="3108" name="Text Box 36">
          <a:extLst>
            <a:ext uri="{FF2B5EF4-FFF2-40B4-BE49-F238E27FC236}">
              <a16:creationId xmlns:a16="http://schemas.microsoft.com/office/drawing/2014/main" id="{00000000-0008-0000-0100-0000240C0000}"/>
            </a:ext>
          </a:extLst>
        </xdr:cNvPr>
        <xdr:cNvSpPr txBox="1">
          <a:spLocks noChangeArrowheads="1"/>
        </xdr:cNvSpPr>
      </xdr:nvSpPr>
      <xdr:spPr bwMode="auto">
        <a:xfrm>
          <a:off x="3476625" y="847725"/>
          <a:ext cx="933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14</xdr:col>
      <xdr:colOff>133350</xdr:colOff>
      <xdr:row>0</xdr:row>
      <xdr:rowOff>838200</xdr:rowOff>
    </xdr:from>
    <xdr:to>
      <xdr:col>18</xdr:col>
      <xdr:colOff>266700</xdr:colOff>
      <xdr:row>1</xdr:row>
      <xdr:rowOff>28575</xdr:rowOff>
    </xdr:to>
    <xdr:sp macro="" textlink="">
      <xdr:nvSpPr>
        <xdr:cNvPr id="3109" name="Text Box 37">
          <a:extLst>
            <a:ext uri="{FF2B5EF4-FFF2-40B4-BE49-F238E27FC236}">
              <a16:creationId xmlns:a16="http://schemas.microsoft.com/office/drawing/2014/main" id="{00000000-0008-0000-0100-0000250C0000}"/>
            </a:ext>
          </a:extLst>
        </xdr:cNvPr>
        <xdr:cNvSpPr txBox="1">
          <a:spLocks noChangeArrowheads="1"/>
        </xdr:cNvSpPr>
      </xdr:nvSpPr>
      <xdr:spPr bwMode="auto">
        <a:xfrm>
          <a:off x="4610100" y="838200"/>
          <a:ext cx="14287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>
    <xdr:from>
      <xdr:col>10</xdr:col>
      <xdr:colOff>238125</xdr:colOff>
      <xdr:row>0</xdr:row>
      <xdr:rowOff>38100</xdr:rowOff>
    </xdr:from>
    <xdr:to>
      <xdr:col>15</xdr:col>
      <xdr:colOff>66675</xdr:colOff>
      <xdr:row>0</xdr:row>
      <xdr:rowOff>219075</xdr:rowOff>
    </xdr:to>
    <xdr:sp macro="" textlink="">
      <xdr:nvSpPr>
        <xdr:cNvPr id="3113" name="Text Box 41">
          <a:extLst>
            <a:ext uri="{FF2B5EF4-FFF2-40B4-BE49-F238E27FC236}">
              <a16:creationId xmlns:a16="http://schemas.microsoft.com/office/drawing/2014/main" id="{00000000-0008-0000-0100-0000290C0000}"/>
            </a:ext>
          </a:extLst>
        </xdr:cNvPr>
        <xdr:cNvSpPr txBox="1">
          <a:spLocks noChangeArrowheads="1"/>
        </xdr:cNvSpPr>
      </xdr:nvSpPr>
      <xdr:spPr bwMode="auto">
        <a:xfrm>
          <a:off x="3457575" y="38100"/>
          <a:ext cx="1400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xdr:twoCellAnchor editAs="oneCell">
    <xdr:from>
      <xdr:col>1</xdr:col>
      <xdr:colOff>123825</xdr:colOff>
      <xdr:row>0</xdr:row>
      <xdr:rowOff>285750</xdr:rowOff>
    </xdr:from>
    <xdr:to>
      <xdr:col>5</xdr:col>
      <xdr:colOff>95250</xdr:colOff>
      <xdr:row>0</xdr:row>
      <xdr:rowOff>742950</xdr:rowOff>
    </xdr:to>
    <xdr:pic>
      <xdr:nvPicPr>
        <xdr:cNvPr id="22" name="Image 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285750"/>
          <a:ext cx="12287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E99"/>
  <sheetViews>
    <sheetView tabSelected="1" topLeftCell="A36" workbookViewId="0">
      <selection activeCell="A70" sqref="A70:Q73"/>
    </sheetView>
  </sheetViews>
  <sheetFormatPr baseColWidth="10" defaultColWidth="11.44140625" defaultRowHeight="12.75" customHeight="1" x14ac:dyDescent="0.25"/>
  <cols>
    <col min="1" max="26" width="5.109375" style="1" customWidth="1"/>
    <col min="27" max="27" width="11.44140625" style="1"/>
    <col min="28" max="30" width="15.33203125" style="1" customWidth="1"/>
    <col min="31" max="16384" width="11.44140625" style="1"/>
  </cols>
  <sheetData>
    <row r="1" spans="1:28" ht="12.75" customHeight="1" x14ac:dyDescent="0.25">
      <c r="A1" s="128"/>
      <c r="B1" s="129"/>
      <c r="C1" s="129"/>
      <c r="D1" s="129"/>
      <c r="E1" s="129"/>
      <c r="F1" s="130"/>
      <c r="G1" s="137" t="s">
        <v>80</v>
      </c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9"/>
      <c r="U1" s="140"/>
      <c r="V1" s="141"/>
      <c r="W1" s="141"/>
      <c r="X1" s="141"/>
      <c r="Y1" s="141"/>
      <c r="Z1" s="142"/>
    </row>
    <row r="2" spans="1:28" ht="12.75" customHeight="1" x14ac:dyDescent="0.25">
      <c r="A2" s="131"/>
      <c r="B2" s="132"/>
      <c r="C2" s="132"/>
      <c r="D2" s="132"/>
      <c r="E2" s="132"/>
      <c r="F2" s="133"/>
      <c r="G2" s="149" t="s">
        <v>85</v>
      </c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1"/>
      <c r="U2" s="143"/>
      <c r="V2" s="144"/>
      <c r="W2" s="144"/>
      <c r="X2" s="144"/>
      <c r="Y2" s="144"/>
      <c r="Z2" s="145"/>
    </row>
    <row r="3" spans="1:28" ht="12.75" customHeight="1" x14ac:dyDescent="0.25">
      <c r="A3" s="131"/>
      <c r="B3" s="132"/>
      <c r="C3" s="132"/>
      <c r="D3" s="132"/>
      <c r="E3" s="132"/>
      <c r="F3" s="133"/>
      <c r="G3" s="149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1"/>
      <c r="U3" s="143"/>
      <c r="V3" s="144"/>
      <c r="W3" s="144"/>
      <c r="X3" s="144"/>
      <c r="Y3" s="144"/>
      <c r="Z3" s="145"/>
    </row>
    <row r="4" spans="1:28" ht="12.75" customHeight="1" x14ac:dyDescent="0.25">
      <c r="A4" s="131"/>
      <c r="B4" s="132"/>
      <c r="C4" s="132"/>
      <c r="D4" s="132"/>
      <c r="E4" s="132"/>
      <c r="F4" s="133"/>
      <c r="G4" s="149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1"/>
      <c r="U4" s="143"/>
      <c r="V4" s="144"/>
      <c r="W4" s="144"/>
      <c r="X4" s="144"/>
      <c r="Y4" s="144"/>
      <c r="Z4" s="145"/>
    </row>
    <row r="5" spans="1:28" ht="12.75" customHeight="1" x14ac:dyDescent="0.25">
      <c r="A5" s="131"/>
      <c r="B5" s="132"/>
      <c r="C5" s="132"/>
      <c r="D5" s="132"/>
      <c r="E5" s="132"/>
      <c r="F5" s="133"/>
      <c r="G5" s="152" t="s">
        <v>86</v>
      </c>
      <c r="H5" s="153"/>
      <c r="I5" s="2" t="s">
        <v>81</v>
      </c>
      <c r="J5" s="216"/>
      <c r="K5" s="217"/>
      <c r="L5" s="218"/>
      <c r="M5" s="216"/>
      <c r="N5" s="216"/>
      <c r="O5" s="217"/>
      <c r="P5" s="219"/>
      <c r="Q5" s="220"/>
      <c r="R5" s="220"/>
      <c r="S5" s="220"/>
      <c r="T5" s="221"/>
      <c r="U5" s="143"/>
      <c r="V5" s="144"/>
      <c r="W5" s="144"/>
      <c r="X5" s="144"/>
      <c r="Y5" s="144"/>
      <c r="Z5" s="145"/>
    </row>
    <row r="6" spans="1:28" ht="12.75" customHeight="1" x14ac:dyDescent="0.25">
      <c r="A6" s="134"/>
      <c r="B6" s="135"/>
      <c r="C6" s="135"/>
      <c r="D6" s="135"/>
      <c r="E6" s="135"/>
      <c r="F6" s="136"/>
      <c r="G6" s="3"/>
      <c r="H6" s="4"/>
      <c r="I6" s="4"/>
      <c r="J6" s="124" t="s">
        <v>82</v>
      </c>
      <c r="K6" s="124"/>
      <c r="L6" s="124" t="s">
        <v>83</v>
      </c>
      <c r="M6" s="124"/>
      <c r="N6" s="124"/>
      <c r="O6" s="124"/>
      <c r="P6" s="124" t="s">
        <v>84</v>
      </c>
      <c r="Q6" s="124"/>
      <c r="R6" s="124"/>
      <c r="S6" s="124"/>
      <c r="T6" s="125"/>
      <c r="U6" s="146"/>
      <c r="V6" s="147"/>
      <c r="W6" s="147"/>
      <c r="X6" s="147"/>
      <c r="Y6" s="147"/>
      <c r="Z6" s="148"/>
    </row>
    <row r="7" spans="1:28" ht="36.6" customHeight="1" x14ac:dyDescent="0.25">
      <c r="A7" s="126" t="s">
        <v>0</v>
      </c>
      <c r="B7" s="126"/>
      <c r="C7" s="126"/>
      <c r="D7" s="126"/>
      <c r="E7" s="126"/>
      <c r="F7" s="126"/>
      <c r="G7" s="127" t="s">
        <v>79</v>
      </c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</row>
    <row r="8" spans="1:28" s="9" customFormat="1" ht="15.6" customHeight="1" x14ac:dyDescent="0.25">
      <c r="A8" s="5" t="s">
        <v>2</v>
      </c>
      <c r="B8" s="6" t="s">
        <v>3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8" s="9" customFormat="1" ht="8.2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8" s="9" customFormat="1" ht="15.9" customHeight="1" x14ac:dyDescent="0.25">
      <c r="A10" s="10"/>
      <c r="B10" s="111" t="s">
        <v>4</v>
      </c>
      <c r="C10" s="111"/>
      <c r="D10" s="111"/>
      <c r="E10" s="111"/>
      <c r="F10" s="111"/>
      <c r="G10" s="111"/>
      <c r="H10" s="110"/>
      <c r="I10" s="110"/>
      <c r="J10" s="110"/>
      <c r="K10" s="110"/>
      <c r="L10" s="110"/>
      <c r="M10" s="110"/>
      <c r="N10" s="111" t="s">
        <v>5</v>
      </c>
      <c r="O10" s="111"/>
      <c r="P10" s="111"/>
      <c r="Q10" s="111"/>
      <c r="R10" s="111"/>
      <c r="S10" s="115"/>
      <c r="T10" s="115"/>
      <c r="U10" s="115"/>
      <c r="V10" s="115"/>
      <c r="W10" s="115"/>
      <c r="X10" s="115"/>
      <c r="Y10" s="115"/>
      <c r="Z10" s="13"/>
      <c r="AB10" s="11"/>
    </row>
    <row r="11" spans="1:28" s="9" customFormat="1" ht="15.9" customHeight="1" x14ac:dyDescent="0.25">
      <c r="A11" s="10"/>
      <c r="B11" s="111" t="s">
        <v>6</v>
      </c>
      <c r="C11" s="111"/>
      <c r="D11" s="111"/>
      <c r="E11" s="111"/>
      <c r="F11" s="111"/>
      <c r="G11" s="111"/>
      <c r="H11" s="110"/>
      <c r="I11" s="110"/>
      <c r="J11" s="110"/>
      <c r="K11" s="110"/>
      <c r="L11" s="110"/>
      <c r="M11" s="110"/>
      <c r="N11" s="117" t="s">
        <v>87</v>
      </c>
      <c r="O11" s="117"/>
      <c r="P11" s="117"/>
      <c r="Q11" s="117"/>
      <c r="R11" s="117"/>
      <c r="S11" s="117"/>
      <c r="T11" s="117"/>
      <c r="U11" s="117"/>
      <c r="V11" s="116"/>
      <c r="W11" s="116"/>
      <c r="X11" s="116"/>
      <c r="Y11" s="116"/>
      <c r="Z11" s="13"/>
      <c r="AB11" s="11"/>
    </row>
    <row r="12" spans="1:28" s="9" customFormat="1" ht="15.9" customHeight="1" x14ac:dyDescent="0.25">
      <c r="A12" s="10"/>
      <c r="B12" s="111" t="s">
        <v>8</v>
      </c>
      <c r="C12" s="111"/>
      <c r="D12" s="111"/>
      <c r="E12" s="111"/>
      <c r="F12" s="111"/>
      <c r="G12" s="111"/>
      <c r="H12" s="110"/>
      <c r="I12" s="110"/>
      <c r="J12" s="110"/>
      <c r="K12" s="110"/>
      <c r="L12" s="110"/>
      <c r="M12" s="110"/>
      <c r="N12" s="111" t="s">
        <v>9</v>
      </c>
      <c r="O12" s="111"/>
      <c r="P12" s="111"/>
      <c r="Q12" s="111"/>
      <c r="R12" s="111"/>
      <c r="S12" s="115"/>
      <c r="T12" s="115"/>
      <c r="U12" s="115"/>
      <c r="V12" s="115"/>
      <c r="W12" s="115"/>
      <c r="X12" s="115"/>
      <c r="Y12" s="115"/>
      <c r="Z12" s="13"/>
      <c r="AB12" s="11"/>
    </row>
    <row r="13" spans="1:28" s="9" customFormat="1" ht="15.9" customHeight="1" x14ac:dyDescent="0.25">
      <c r="A13" s="10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1"/>
      <c r="M13" s="15"/>
      <c r="N13" s="111" t="s">
        <v>10</v>
      </c>
      <c r="O13" s="111"/>
      <c r="P13" s="111"/>
      <c r="Q13" s="111"/>
      <c r="R13" s="111"/>
      <c r="S13" s="115"/>
      <c r="T13" s="115"/>
      <c r="U13" s="115"/>
      <c r="V13" s="115"/>
      <c r="W13" s="115"/>
      <c r="X13" s="115"/>
      <c r="Y13" s="115"/>
      <c r="Z13" s="13"/>
      <c r="AB13" s="11"/>
    </row>
    <row r="14" spans="1:28" s="9" customFormat="1" ht="9" customHeight="1" x14ac:dyDescent="0.25">
      <c r="A14" s="16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9"/>
      <c r="AB14" s="11"/>
    </row>
    <row r="15" spans="1:28" s="9" customFormat="1" ht="12.75" customHeight="1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</row>
    <row r="16" spans="1:28" s="24" customFormat="1" ht="15.6" customHeight="1" x14ac:dyDescent="0.25">
      <c r="A16" s="20" t="s">
        <v>11</v>
      </c>
      <c r="B16" s="21" t="s">
        <v>12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3"/>
    </row>
    <row r="17" spans="1:26" s="24" customFormat="1" ht="6.75" customHeight="1" x14ac:dyDescent="0.25">
      <c r="A17" s="25"/>
      <c r="B17" s="2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8"/>
    </row>
    <row r="18" spans="1:26" s="9" customFormat="1" ht="15.9" customHeight="1" x14ac:dyDescent="0.25">
      <c r="A18" s="25"/>
      <c r="B18" s="266" t="s">
        <v>13</v>
      </c>
      <c r="C18" s="266"/>
      <c r="D18" s="266"/>
      <c r="E18" s="266"/>
      <c r="F18" s="266"/>
      <c r="G18" s="266"/>
      <c r="H18" s="266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67"/>
      <c r="U18" s="267"/>
      <c r="V18" s="267"/>
      <c r="W18" s="267"/>
      <c r="X18" s="267"/>
      <c r="Y18" s="267"/>
      <c r="Z18" s="29"/>
    </row>
    <row r="19" spans="1:26" s="9" customFormat="1" ht="15.9" customHeight="1" x14ac:dyDescent="0.25">
      <c r="A19" s="25"/>
      <c r="B19" s="266" t="s">
        <v>14</v>
      </c>
      <c r="C19" s="266"/>
      <c r="D19" s="266"/>
      <c r="E19" s="266"/>
      <c r="F19" s="266"/>
      <c r="G19" s="266"/>
      <c r="H19" s="266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67"/>
      <c r="U19" s="267"/>
      <c r="V19" s="267"/>
      <c r="W19" s="267"/>
      <c r="X19" s="267"/>
      <c r="Y19" s="267"/>
      <c r="Z19" s="29"/>
    </row>
    <row r="20" spans="1:26" s="9" customFormat="1" ht="10.5" customHeight="1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2"/>
    </row>
    <row r="21" spans="1:26" s="9" customFormat="1" ht="12.75" customHeight="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6" s="9" customFormat="1" ht="15.6" customHeight="1" x14ac:dyDescent="0.25">
      <c r="A22" s="5" t="s">
        <v>15</v>
      </c>
      <c r="B22" s="6" t="s">
        <v>16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4"/>
    </row>
    <row r="23" spans="1:26" s="9" customFormat="1" ht="12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s="9" customFormat="1" ht="12.75" customHeight="1" x14ac:dyDescent="0.25">
      <c r="A24" s="35"/>
      <c r="B24" s="11"/>
      <c r="C24" s="245"/>
      <c r="D24" s="245"/>
      <c r="E24" s="248" t="s">
        <v>17</v>
      </c>
      <c r="F24" s="249"/>
      <c r="G24" s="250" t="s">
        <v>18</v>
      </c>
      <c r="H24" s="251"/>
      <c r="I24" s="252"/>
      <c r="J24" s="253" t="s">
        <v>19</v>
      </c>
      <c r="K24" s="254"/>
      <c r="L24" s="255"/>
      <c r="M24" s="245"/>
      <c r="N24" s="245"/>
      <c r="O24" s="245"/>
      <c r="P24" s="264" t="s">
        <v>20</v>
      </c>
      <c r="Q24" s="249"/>
      <c r="R24" s="250" t="s">
        <v>18</v>
      </c>
      <c r="S24" s="251"/>
      <c r="T24" s="252"/>
      <c r="U24" s="253" t="s">
        <v>19</v>
      </c>
      <c r="V24" s="254"/>
      <c r="W24" s="255"/>
      <c r="X24" s="11"/>
      <c r="Y24" s="11"/>
      <c r="Z24" s="12"/>
    </row>
    <row r="25" spans="1:26" s="9" customFormat="1" ht="12.75" customHeight="1" x14ac:dyDescent="0.25">
      <c r="A25" s="35"/>
      <c r="B25" s="11"/>
      <c r="C25" s="245"/>
      <c r="D25" s="245"/>
      <c r="E25" s="245"/>
      <c r="F25" s="245"/>
      <c r="G25" s="250">
        <v>20</v>
      </c>
      <c r="H25" s="251"/>
      <c r="I25" s="252"/>
      <c r="J25" s="256"/>
      <c r="K25" s="257"/>
      <c r="L25" s="258"/>
      <c r="M25" s="245"/>
      <c r="N25" s="245"/>
      <c r="O25" s="245"/>
      <c r="P25" s="245"/>
      <c r="Q25" s="245"/>
      <c r="R25" s="250">
        <v>80</v>
      </c>
      <c r="S25" s="251"/>
      <c r="T25" s="252"/>
      <c r="U25" s="259"/>
      <c r="V25" s="259"/>
      <c r="W25" s="259"/>
      <c r="X25" s="11"/>
      <c r="Y25" s="11"/>
      <c r="Z25" s="12"/>
    </row>
    <row r="26" spans="1:26" s="9" customFormat="1" ht="12.75" customHeight="1" x14ac:dyDescent="0.25">
      <c r="A26" s="10"/>
      <c r="B26" s="11"/>
      <c r="C26" s="245"/>
      <c r="D26" s="245"/>
      <c r="E26" s="245"/>
      <c r="F26" s="245"/>
      <c r="G26" s="250">
        <v>16</v>
      </c>
      <c r="H26" s="251"/>
      <c r="I26" s="252"/>
      <c r="J26" s="256"/>
      <c r="K26" s="257"/>
      <c r="L26" s="258"/>
      <c r="M26" s="245"/>
      <c r="N26" s="245"/>
      <c r="O26" s="245"/>
      <c r="P26" s="245"/>
      <c r="Q26" s="245"/>
      <c r="R26" s="250">
        <v>63</v>
      </c>
      <c r="S26" s="251"/>
      <c r="T26" s="252"/>
      <c r="U26" s="259"/>
      <c r="V26" s="259"/>
      <c r="W26" s="259"/>
      <c r="X26" s="11"/>
      <c r="Y26" s="11"/>
      <c r="Z26" s="12"/>
    </row>
    <row r="27" spans="1:26" s="9" customFormat="1" ht="12.75" customHeight="1" x14ac:dyDescent="0.25">
      <c r="A27" s="10"/>
      <c r="B27" s="11"/>
      <c r="C27" s="245"/>
      <c r="D27" s="245"/>
      <c r="E27" s="245"/>
      <c r="F27" s="245"/>
      <c r="G27" s="250">
        <v>10</v>
      </c>
      <c r="H27" s="251"/>
      <c r="I27" s="252"/>
      <c r="J27" s="256"/>
      <c r="K27" s="257"/>
      <c r="L27" s="258"/>
      <c r="M27" s="245"/>
      <c r="N27" s="245"/>
      <c r="O27" s="245"/>
      <c r="P27" s="245"/>
      <c r="Q27" s="245"/>
      <c r="R27" s="250">
        <v>50</v>
      </c>
      <c r="S27" s="251"/>
      <c r="T27" s="252"/>
      <c r="U27" s="259"/>
      <c r="V27" s="259"/>
      <c r="W27" s="259"/>
      <c r="X27" s="11"/>
      <c r="Y27" s="11"/>
      <c r="Z27" s="12"/>
    </row>
    <row r="28" spans="1:26" s="9" customFormat="1" ht="12.75" customHeight="1" thickBot="1" x14ac:dyDescent="0.3">
      <c r="A28" s="10"/>
      <c r="B28" s="11"/>
      <c r="C28" s="245"/>
      <c r="D28" s="245"/>
      <c r="E28" s="245"/>
      <c r="F28" s="245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50">
        <v>40</v>
      </c>
      <c r="S28" s="251"/>
      <c r="T28" s="252"/>
      <c r="U28" s="259"/>
      <c r="V28" s="259"/>
      <c r="W28" s="259"/>
      <c r="X28" s="11"/>
      <c r="Y28" s="11"/>
      <c r="Z28" s="12"/>
    </row>
    <row r="29" spans="1:26" s="9" customFormat="1" ht="15.6" thickBot="1" x14ac:dyDescent="0.3">
      <c r="A29" s="10"/>
      <c r="B29" s="11"/>
      <c r="C29" s="245"/>
      <c r="D29" s="245"/>
      <c r="E29" s="245"/>
      <c r="F29" s="245"/>
      <c r="G29" s="245"/>
      <c r="H29" s="245"/>
      <c r="I29" s="245"/>
      <c r="J29" s="245"/>
      <c r="K29" s="245"/>
      <c r="L29" s="245"/>
      <c r="M29" s="265" t="s">
        <v>75</v>
      </c>
      <c r="N29" s="262"/>
      <c r="O29" s="263"/>
      <c r="P29" s="245"/>
      <c r="Q29" s="245"/>
      <c r="R29" s="245"/>
      <c r="S29" s="245"/>
      <c r="T29" s="245"/>
      <c r="U29" s="245"/>
      <c r="V29" s="245"/>
      <c r="W29" s="245"/>
      <c r="X29" s="11"/>
      <c r="Y29" s="11"/>
      <c r="Z29" s="12"/>
    </row>
    <row r="30" spans="1:26" s="9" customFormat="1" ht="15" x14ac:dyDescent="0.25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36"/>
      <c r="N30" s="37"/>
      <c r="O30" s="3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s="9" customFormat="1" ht="15.6" customHeight="1" x14ac:dyDescent="0.25">
      <c r="A31" s="38" t="s">
        <v>21</v>
      </c>
      <c r="B31" s="39" t="s">
        <v>88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s="9" customFormat="1" ht="12.75" customHeight="1" x14ac:dyDescent="0.25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30" s="9" customFormat="1" ht="15" x14ac:dyDescent="0.25">
      <c r="A33" s="242" t="s">
        <v>22</v>
      </c>
      <c r="B33" s="243"/>
      <c r="C33" s="243"/>
      <c r="D33" s="243"/>
      <c r="E33" s="243"/>
      <c r="F33" s="243"/>
      <c r="G33" s="243"/>
      <c r="H33" s="243"/>
      <c r="I33" s="243"/>
      <c r="J33" s="243"/>
      <c r="K33" s="243"/>
      <c r="L33" s="244"/>
      <c r="M33" s="245"/>
      <c r="N33" s="246" t="s">
        <v>23</v>
      </c>
      <c r="O33" s="246"/>
      <c r="P33" s="244"/>
      <c r="Q33" s="245"/>
      <c r="R33" s="246" t="s">
        <v>24</v>
      </c>
      <c r="S33" s="246"/>
      <c r="T33" s="246"/>
      <c r="U33" s="244"/>
      <c r="V33" s="245"/>
      <c r="W33" s="246" t="s">
        <v>25</v>
      </c>
      <c r="X33" s="246"/>
      <c r="Y33" s="246"/>
      <c r="Z33" s="40"/>
    </row>
    <row r="34" spans="1:30" s="9" customFormat="1" ht="12.75" customHeight="1" x14ac:dyDescent="0.25">
      <c r="A34" s="247"/>
      <c r="B34" s="245"/>
      <c r="C34" s="245"/>
      <c r="D34" s="245"/>
      <c r="E34" s="245"/>
      <c r="F34" s="245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  <c r="U34" s="245"/>
      <c r="V34" s="245"/>
      <c r="W34" s="245"/>
      <c r="X34" s="245"/>
      <c r="Y34" s="245"/>
      <c r="Z34" s="12"/>
    </row>
    <row r="35" spans="1:30" s="9" customFormat="1" ht="12.75" customHeight="1" x14ac:dyDescent="0.25">
      <c r="A35" s="247"/>
      <c r="B35" s="245"/>
      <c r="C35" s="245"/>
      <c r="D35" s="245"/>
      <c r="E35" s="248" t="s">
        <v>17</v>
      </c>
      <c r="F35" s="249"/>
      <c r="G35" s="250" t="s">
        <v>18</v>
      </c>
      <c r="H35" s="251"/>
      <c r="I35" s="252"/>
      <c r="J35" s="253" t="s">
        <v>19</v>
      </c>
      <c r="K35" s="254"/>
      <c r="L35" s="255"/>
      <c r="M35" s="245"/>
      <c r="N35" s="245"/>
      <c r="O35" s="245"/>
      <c r="P35" s="248" t="s">
        <v>20</v>
      </c>
      <c r="Q35" s="249"/>
      <c r="R35" s="250" t="s">
        <v>18</v>
      </c>
      <c r="S35" s="251"/>
      <c r="T35" s="252"/>
      <c r="U35" s="253" t="s">
        <v>19</v>
      </c>
      <c r="V35" s="254"/>
      <c r="W35" s="255"/>
      <c r="X35" s="245"/>
      <c r="Y35" s="245"/>
      <c r="Z35" s="12"/>
    </row>
    <row r="36" spans="1:30" s="9" customFormat="1" ht="12.75" customHeight="1" x14ac:dyDescent="0.25">
      <c r="A36" s="247"/>
      <c r="B36" s="245"/>
      <c r="C36" s="245"/>
      <c r="D36" s="245"/>
      <c r="E36" s="245"/>
      <c r="F36" s="245"/>
      <c r="G36" s="250">
        <v>20</v>
      </c>
      <c r="H36" s="251"/>
      <c r="I36" s="252"/>
      <c r="J36" s="256"/>
      <c r="K36" s="257"/>
      <c r="L36" s="258"/>
      <c r="M36" s="245"/>
      <c r="N36" s="245"/>
      <c r="O36" s="245"/>
      <c r="P36" s="245"/>
      <c r="Q36" s="245"/>
      <c r="R36" s="250">
        <v>80</v>
      </c>
      <c r="S36" s="251"/>
      <c r="T36" s="252"/>
      <c r="U36" s="259"/>
      <c r="V36" s="259"/>
      <c r="W36" s="259"/>
      <c r="X36" s="245"/>
      <c r="Y36" s="245"/>
      <c r="Z36" s="12"/>
    </row>
    <row r="37" spans="1:30" s="9" customFormat="1" ht="12.75" customHeight="1" thickBot="1" x14ac:dyDescent="0.3">
      <c r="A37" s="247"/>
      <c r="B37" s="245"/>
      <c r="C37" s="245"/>
      <c r="D37" s="245"/>
      <c r="E37" s="245"/>
      <c r="F37" s="245"/>
      <c r="G37" s="250">
        <v>16</v>
      </c>
      <c r="H37" s="251"/>
      <c r="I37" s="252"/>
      <c r="J37" s="256"/>
      <c r="K37" s="257"/>
      <c r="L37" s="258"/>
      <c r="M37" s="245"/>
      <c r="N37" s="245"/>
      <c r="O37" s="245"/>
      <c r="P37" s="245"/>
      <c r="Q37" s="245"/>
      <c r="R37" s="250">
        <v>63</v>
      </c>
      <c r="S37" s="251"/>
      <c r="T37" s="252"/>
      <c r="U37" s="259"/>
      <c r="V37" s="259"/>
      <c r="W37" s="259"/>
      <c r="X37" s="245"/>
      <c r="Y37" s="245"/>
      <c r="Z37" s="12"/>
    </row>
    <row r="38" spans="1:30" s="9" customFormat="1" ht="12.75" customHeight="1" x14ac:dyDescent="0.25">
      <c r="A38" s="247"/>
      <c r="B38" s="245"/>
      <c r="C38" s="245"/>
      <c r="D38" s="245"/>
      <c r="E38" s="245"/>
      <c r="F38" s="245"/>
      <c r="G38" s="250">
        <v>10</v>
      </c>
      <c r="H38" s="251"/>
      <c r="I38" s="252"/>
      <c r="J38" s="256"/>
      <c r="K38" s="257"/>
      <c r="L38" s="258"/>
      <c r="M38" s="245"/>
      <c r="N38" s="245"/>
      <c r="O38" s="245"/>
      <c r="P38" s="245"/>
      <c r="Q38" s="245"/>
      <c r="R38" s="250">
        <v>50</v>
      </c>
      <c r="S38" s="251"/>
      <c r="T38" s="252"/>
      <c r="U38" s="259"/>
      <c r="V38" s="259"/>
      <c r="W38" s="259"/>
      <c r="X38" s="245"/>
      <c r="Y38" s="245"/>
      <c r="Z38" s="12"/>
      <c r="AB38" s="167" t="s">
        <v>78</v>
      </c>
      <c r="AC38" s="168"/>
      <c r="AD38" s="165" t="s">
        <v>89</v>
      </c>
    </row>
    <row r="39" spans="1:30" s="9" customFormat="1" ht="12.75" customHeight="1" thickBot="1" x14ac:dyDescent="0.3">
      <c r="A39" s="247"/>
      <c r="B39" s="245"/>
      <c r="C39" s="245"/>
      <c r="D39" s="245"/>
      <c r="E39" s="245"/>
      <c r="F39" s="245"/>
      <c r="G39" s="250">
        <v>5</v>
      </c>
      <c r="H39" s="251"/>
      <c r="I39" s="252"/>
      <c r="J39" s="256"/>
      <c r="K39" s="257"/>
      <c r="L39" s="258"/>
      <c r="M39" s="245"/>
      <c r="N39" s="245"/>
      <c r="O39" s="245"/>
      <c r="P39" s="245"/>
      <c r="Q39" s="245"/>
      <c r="R39" s="250">
        <v>40</v>
      </c>
      <c r="S39" s="251"/>
      <c r="T39" s="252"/>
      <c r="U39" s="259"/>
      <c r="V39" s="259"/>
      <c r="W39" s="259"/>
      <c r="X39" s="245"/>
      <c r="Y39" s="245"/>
      <c r="Z39" s="12"/>
      <c r="AB39" s="169"/>
      <c r="AC39" s="170"/>
      <c r="AD39" s="166"/>
    </row>
    <row r="40" spans="1:30" s="9" customFormat="1" ht="12.75" customHeight="1" x14ac:dyDescent="0.25">
      <c r="A40" s="247"/>
      <c r="B40" s="245"/>
      <c r="C40" s="245"/>
      <c r="D40" s="245"/>
      <c r="E40" s="245"/>
      <c r="F40" s="245"/>
      <c r="G40" s="250">
        <v>2</v>
      </c>
      <c r="H40" s="251"/>
      <c r="I40" s="252"/>
      <c r="J40" s="256"/>
      <c r="K40" s="257"/>
      <c r="L40" s="258"/>
      <c r="M40" s="245"/>
      <c r="N40" s="245"/>
      <c r="O40" s="245"/>
      <c r="P40" s="245"/>
      <c r="Q40" s="245"/>
      <c r="R40" s="250">
        <v>20</v>
      </c>
      <c r="S40" s="251"/>
      <c r="T40" s="252"/>
      <c r="U40" s="259"/>
      <c r="V40" s="259"/>
      <c r="W40" s="259"/>
      <c r="X40" s="245"/>
      <c r="Y40" s="245"/>
      <c r="Z40" s="12"/>
      <c r="AB40" s="41"/>
      <c r="AC40" s="11"/>
      <c r="AD40" s="42"/>
    </row>
    <row r="41" spans="1:30" s="9" customFormat="1" ht="12.75" customHeight="1" x14ac:dyDescent="0.25">
      <c r="A41" s="247"/>
      <c r="B41" s="245"/>
      <c r="C41" s="245"/>
      <c r="D41" s="245"/>
      <c r="E41" s="245"/>
      <c r="F41" s="245"/>
      <c r="G41" s="250">
        <v>1</v>
      </c>
      <c r="H41" s="251"/>
      <c r="I41" s="252"/>
      <c r="J41" s="256"/>
      <c r="K41" s="257"/>
      <c r="L41" s="258"/>
      <c r="M41" s="245"/>
      <c r="N41" s="245"/>
      <c r="O41" s="245"/>
      <c r="P41" s="245"/>
      <c r="Q41" s="245"/>
      <c r="R41" s="250">
        <v>10</v>
      </c>
      <c r="S41" s="251"/>
      <c r="T41" s="252"/>
      <c r="U41" s="259"/>
      <c r="V41" s="259"/>
      <c r="W41" s="259"/>
      <c r="X41" s="245"/>
      <c r="Y41" s="245"/>
      <c r="Z41" s="12"/>
      <c r="AB41" s="41"/>
      <c r="AC41" s="11"/>
      <c r="AD41" s="42"/>
    </row>
    <row r="42" spans="1:30" s="9" customFormat="1" ht="12.75" customHeight="1" thickBot="1" x14ac:dyDescent="0.3">
      <c r="A42" s="247"/>
      <c r="B42" s="245"/>
      <c r="C42" s="245"/>
      <c r="D42" s="245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50">
        <v>5</v>
      </c>
      <c r="S42" s="251"/>
      <c r="T42" s="252"/>
      <c r="U42" s="259"/>
      <c r="V42" s="259"/>
      <c r="W42" s="259"/>
      <c r="X42" s="245"/>
      <c r="Y42" s="245"/>
      <c r="Z42" s="12"/>
      <c r="AB42" s="160" t="s">
        <v>76</v>
      </c>
      <c r="AC42" s="161"/>
      <c r="AD42" s="162"/>
    </row>
    <row r="43" spans="1:30" s="9" customFormat="1" ht="16.8" thickBot="1" x14ac:dyDescent="0.3">
      <c r="A43" s="247"/>
      <c r="B43" s="245"/>
      <c r="C43" s="260" t="s">
        <v>91</v>
      </c>
      <c r="D43" s="260"/>
      <c r="E43" s="260"/>
      <c r="F43" s="260"/>
      <c r="G43" s="260"/>
      <c r="H43" s="260"/>
      <c r="I43" s="260"/>
      <c r="J43" s="260"/>
      <c r="K43" s="260"/>
      <c r="L43" s="260"/>
      <c r="M43" s="261"/>
      <c r="N43" s="262"/>
      <c r="O43" s="263"/>
      <c r="P43" s="245"/>
      <c r="Q43" s="245"/>
      <c r="R43" s="245"/>
      <c r="S43" s="245"/>
      <c r="T43" s="245"/>
      <c r="U43" s="245"/>
      <c r="V43" s="245"/>
      <c r="W43" s="245"/>
      <c r="X43" s="245"/>
      <c r="Y43" s="245"/>
      <c r="Z43" s="12"/>
      <c r="AB43" s="43"/>
      <c r="AC43" s="44"/>
      <c r="AD43" s="45"/>
    </row>
    <row r="44" spans="1:30" s="9" customFormat="1" ht="12.75" customHeight="1" x14ac:dyDescent="0.25">
      <c r="A44" s="10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2"/>
      <c r="AB44" s="43"/>
      <c r="AC44" s="177" t="s">
        <v>26</v>
      </c>
      <c r="AD44" s="45"/>
    </row>
    <row r="45" spans="1:30" s="9" customFormat="1" ht="12.75" customHeight="1" x14ac:dyDescent="0.25">
      <c r="A45" s="10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2"/>
      <c r="AB45" s="43"/>
      <c r="AC45" s="177"/>
      <c r="AD45" s="45"/>
    </row>
    <row r="46" spans="1:30" s="9" customFormat="1" ht="12.75" customHeight="1" x14ac:dyDescent="0.25">
      <c r="A46" s="10"/>
      <c r="B46" s="11"/>
      <c r="C46" s="11"/>
      <c r="D46" s="46">
        <v>0.1</v>
      </c>
      <c r="E46" s="47">
        <v>10</v>
      </c>
      <c r="F46" s="24">
        <v>12</v>
      </c>
      <c r="G46" s="24">
        <v>0</v>
      </c>
      <c r="H46" s="24">
        <v>14</v>
      </c>
      <c r="I46" s="24">
        <v>0</v>
      </c>
      <c r="J46" s="24">
        <v>16</v>
      </c>
      <c r="K46" s="24">
        <v>0</v>
      </c>
      <c r="L46" s="24">
        <v>18</v>
      </c>
      <c r="M46" s="24">
        <v>0</v>
      </c>
      <c r="N46" s="24">
        <v>22</v>
      </c>
      <c r="O46" s="24">
        <v>0</v>
      </c>
      <c r="P46" s="24">
        <v>24</v>
      </c>
      <c r="Q46" s="24">
        <v>0</v>
      </c>
      <c r="R46" s="24">
        <v>26</v>
      </c>
      <c r="S46" s="24">
        <v>0</v>
      </c>
      <c r="T46" s="24">
        <v>28</v>
      </c>
      <c r="U46" s="24">
        <v>0</v>
      </c>
      <c r="V46" s="24">
        <v>35</v>
      </c>
      <c r="W46" s="24">
        <v>0</v>
      </c>
      <c r="X46" s="11"/>
      <c r="Y46" s="11"/>
      <c r="Z46" s="12"/>
      <c r="AB46" s="43"/>
      <c r="AC46" s="177"/>
      <c r="AD46" s="45"/>
    </row>
    <row r="47" spans="1:30" s="9" customFormat="1" ht="12.75" customHeight="1" x14ac:dyDescent="0.25">
      <c r="A47" s="10"/>
      <c r="B47" s="11"/>
      <c r="C47" s="11"/>
      <c r="D47" s="48">
        <v>100</v>
      </c>
      <c r="E47" s="49">
        <v>10</v>
      </c>
      <c r="F47" s="24">
        <v>12</v>
      </c>
      <c r="G47" s="24">
        <v>100</v>
      </c>
      <c r="H47" s="24">
        <v>14</v>
      </c>
      <c r="I47" s="24">
        <v>100</v>
      </c>
      <c r="J47" s="24">
        <v>16</v>
      </c>
      <c r="K47" s="24">
        <v>100</v>
      </c>
      <c r="L47" s="24">
        <v>18</v>
      </c>
      <c r="M47" s="24">
        <v>100</v>
      </c>
      <c r="N47" s="24">
        <v>22</v>
      </c>
      <c r="O47" s="24">
        <v>100</v>
      </c>
      <c r="P47" s="24">
        <v>24</v>
      </c>
      <c r="Q47" s="24">
        <v>100</v>
      </c>
      <c r="R47" s="24">
        <v>26</v>
      </c>
      <c r="S47" s="24">
        <v>100</v>
      </c>
      <c r="T47" s="24">
        <v>28</v>
      </c>
      <c r="U47" s="24">
        <v>100</v>
      </c>
      <c r="V47" s="24">
        <v>35</v>
      </c>
      <c r="W47" s="24">
        <v>100</v>
      </c>
      <c r="X47" s="11"/>
      <c r="Y47" s="11"/>
      <c r="Z47" s="12"/>
      <c r="AB47" s="43"/>
      <c r="AC47" s="44"/>
      <c r="AD47" s="45"/>
    </row>
    <row r="48" spans="1:30" s="9" customFormat="1" ht="12.75" customHeight="1" thickBot="1" x14ac:dyDescent="0.3">
      <c r="A48" s="10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2"/>
      <c r="AB48" s="43"/>
      <c r="AC48" s="44"/>
      <c r="AD48" s="45"/>
    </row>
    <row r="49" spans="1:31" s="9" customFormat="1" ht="12.75" customHeight="1" x14ac:dyDescent="0.25">
      <c r="A49" s="10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2"/>
      <c r="AB49" s="180">
        <v>2</v>
      </c>
      <c r="AC49" s="182" t="str">
        <f>CONCATENATE(ROUND(POWER(10,AC58),2)," mm")</f>
        <v>4,29 mm</v>
      </c>
      <c r="AD49" s="181">
        <v>5</v>
      </c>
    </row>
    <row r="50" spans="1:31" s="9" customFormat="1" ht="12.75" customHeight="1" thickBot="1" x14ac:dyDescent="0.3">
      <c r="A50" s="10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2"/>
      <c r="AB50" s="180"/>
      <c r="AC50" s="183"/>
      <c r="AD50" s="181"/>
    </row>
    <row r="51" spans="1:31" s="9" customFormat="1" ht="12.75" customHeight="1" x14ac:dyDescent="0.25">
      <c r="A51" s="10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2"/>
      <c r="AB51" s="178">
        <v>0</v>
      </c>
      <c r="AC51" s="37"/>
      <c r="AD51" s="179">
        <v>12</v>
      </c>
    </row>
    <row r="52" spans="1:31" s="9" customFormat="1" ht="12.75" customHeight="1" x14ac:dyDescent="0.25">
      <c r="A52" s="10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2"/>
      <c r="AB52" s="178"/>
      <c r="AC52" s="44"/>
      <c r="AD52" s="179"/>
    </row>
    <row r="53" spans="1:31" s="9" customFormat="1" ht="12.75" customHeight="1" x14ac:dyDescent="0.25">
      <c r="A53" s="10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2"/>
      <c r="AB53" s="43"/>
      <c r="AC53" s="44"/>
      <c r="AD53" s="45"/>
    </row>
    <row r="54" spans="1:31" s="9" customFormat="1" ht="12.75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2"/>
      <c r="AB54" s="43"/>
      <c r="AC54" s="44"/>
      <c r="AD54" s="45"/>
    </row>
    <row r="55" spans="1:31" s="9" customFormat="1" ht="12.75" customHeight="1" x14ac:dyDescent="0.25">
      <c r="A55" s="10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2"/>
      <c r="AB55" s="160" t="s">
        <v>77</v>
      </c>
      <c r="AC55" s="161"/>
      <c r="AD55" s="162"/>
    </row>
    <row r="56" spans="1:31" s="9" customFormat="1" ht="12.7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2"/>
      <c r="AB56" s="41"/>
      <c r="AC56" s="11"/>
      <c r="AD56" s="42"/>
    </row>
    <row r="57" spans="1:31" s="9" customFormat="1" ht="12.75" customHeight="1" x14ac:dyDescent="0.25">
      <c r="A57" s="10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2"/>
      <c r="AB57" s="41"/>
      <c r="AC57" s="11"/>
      <c r="AD57" s="42"/>
    </row>
    <row r="58" spans="1:31" s="9" customFormat="1" ht="12.75" customHeight="1" x14ac:dyDescent="0.25">
      <c r="A58" s="10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2"/>
      <c r="AB58" s="50">
        <f>LOG(AB49)</f>
        <v>0.3010299956639812</v>
      </c>
      <c r="AC58" s="51">
        <f>AB58+(AD58-AB58)*(10-AB51)/(AD51-AB51)</f>
        <v>0.63264666955734594</v>
      </c>
      <c r="AD58" s="52">
        <f>LOG(AD49)</f>
        <v>0.69897000433601886</v>
      </c>
    </row>
    <row r="59" spans="1:31" s="9" customFormat="1" ht="12.75" customHeight="1" x14ac:dyDescent="0.25">
      <c r="A59" s="10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2"/>
      <c r="AB59" s="41"/>
      <c r="AC59" s="11"/>
      <c r="AD59" s="42"/>
    </row>
    <row r="60" spans="1:31" s="9" customFormat="1" ht="12.75" customHeight="1" x14ac:dyDescent="0.25">
      <c r="A60" s="10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2"/>
      <c r="AB60" s="154" t="s">
        <v>63</v>
      </c>
      <c r="AC60" s="155"/>
      <c r="AD60" s="156"/>
      <c r="AE60" s="53"/>
    </row>
    <row r="61" spans="1:31" s="9" customFormat="1" ht="12.75" customHeight="1" x14ac:dyDescent="0.25">
      <c r="A61" s="10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2"/>
      <c r="AB61" s="157"/>
      <c r="AC61" s="158"/>
      <c r="AD61" s="159"/>
    </row>
    <row r="62" spans="1:31" s="9" customFormat="1" ht="12.75" customHeight="1" thickBot="1" x14ac:dyDescent="0.3">
      <c r="A62" s="10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2"/>
      <c r="AB62" s="160" t="s">
        <v>62</v>
      </c>
      <c r="AC62" s="161"/>
      <c r="AD62" s="162"/>
      <c r="AE62" s="53"/>
    </row>
    <row r="63" spans="1:31" s="9" customFormat="1" ht="20.25" customHeight="1" thickTop="1" thickBot="1" x14ac:dyDescent="0.3">
      <c r="A63" s="10"/>
      <c r="B63" s="238" t="s">
        <v>90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39"/>
      <c r="M63" s="239"/>
      <c r="N63" s="239"/>
      <c r="O63" s="239"/>
      <c r="P63" s="239"/>
      <c r="Q63" s="239"/>
      <c r="R63" s="239"/>
      <c r="S63" s="239"/>
      <c r="T63" s="239"/>
      <c r="U63" s="239"/>
      <c r="V63" s="239"/>
      <c r="W63" s="239"/>
      <c r="X63" s="240" t="e">
        <f>N29/N43</f>
        <v>#DIV/0!</v>
      </c>
      <c r="Y63" s="241"/>
      <c r="Z63" s="12"/>
      <c r="AB63" s="54"/>
      <c r="AC63" s="55"/>
      <c r="AD63" s="56"/>
    </row>
    <row r="64" spans="1:31" s="9" customFormat="1" ht="12.75" customHeight="1" thickTop="1" x14ac:dyDescent="0.25">
      <c r="A64" s="16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9"/>
    </row>
    <row r="65" spans="1:29" s="9" customFormat="1" ht="12.75" customHeight="1" x14ac:dyDescent="0.25">
      <c r="A65" s="57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8"/>
      <c r="Y65" s="18"/>
      <c r="Z65" s="57"/>
    </row>
    <row r="66" spans="1:29" ht="15.6" customHeight="1" x14ac:dyDescent="0.25">
      <c r="A66" s="58" t="s">
        <v>27</v>
      </c>
      <c r="B66" s="59" t="s">
        <v>28</v>
      </c>
      <c r="C66" s="60"/>
      <c r="D66" s="60"/>
      <c r="E66" s="61"/>
      <c r="F66" s="62"/>
      <c r="G66" s="62"/>
      <c r="H66" s="62"/>
      <c r="I66" s="63"/>
      <c r="J66" s="63"/>
      <c r="K66" s="63"/>
      <c r="L66" s="63"/>
      <c r="M66" s="63"/>
      <c r="N66" s="63"/>
      <c r="O66" s="63"/>
      <c r="P66" s="63"/>
      <c r="Q66" s="63"/>
      <c r="R66" s="64"/>
      <c r="S66" s="64"/>
      <c r="T66" s="64"/>
      <c r="U66" s="188"/>
      <c r="V66" s="188"/>
      <c r="W66" s="188"/>
      <c r="X66" s="186"/>
      <c r="Y66" s="186"/>
      <c r="Z66" s="187"/>
      <c r="AA66" s="9"/>
      <c r="AB66" s="9"/>
      <c r="AC66" s="9"/>
    </row>
    <row r="67" spans="1:29" ht="26.4" customHeight="1" x14ac:dyDescent="0.25">
      <c r="A67" s="193" t="s">
        <v>92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4"/>
      <c r="P67" s="194"/>
      <c r="Q67" s="222"/>
      <c r="R67" s="198" t="s">
        <v>29</v>
      </c>
      <c r="S67" s="199"/>
      <c r="T67" s="200"/>
      <c r="U67" s="184"/>
      <c r="V67" s="185"/>
      <c r="W67" s="185"/>
      <c r="X67" s="186"/>
      <c r="Y67" s="186"/>
      <c r="Z67" s="187"/>
      <c r="AA67" s="9"/>
      <c r="AB67" s="9"/>
      <c r="AC67" s="9"/>
    </row>
    <row r="68" spans="1:29" ht="26.4" customHeight="1" x14ac:dyDescent="0.25">
      <c r="A68" s="223"/>
      <c r="B68" s="224"/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5"/>
      <c r="R68" s="195"/>
      <c r="S68" s="196"/>
      <c r="T68" s="197"/>
      <c r="U68" s="189"/>
      <c r="V68" s="190"/>
      <c r="W68" s="190"/>
      <c r="X68" s="173"/>
      <c r="Y68" s="173"/>
      <c r="Z68" s="174"/>
      <c r="AA68" s="9"/>
      <c r="AB68" s="9"/>
      <c r="AC68" s="9"/>
    </row>
    <row r="69" spans="1:29" ht="15.6" customHeight="1" x14ac:dyDescent="0.25">
      <c r="A69" s="66" t="s">
        <v>30</v>
      </c>
      <c r="B69" s="67" t="s">
        <v>31</v>
      </c>
      <c r="C69" s="65"/>
      <c r="D69" s="65"/>
      <c r="E69" s="6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3"/>
      <c r="R69" s="195"/>
      <c r="S69" s="196"/>
      <c r="T69" s="197"/>
      <c r="U69" s="191"/>
      <c r="V69" s="192"/>
      <c r="W69" s="192"/>
      <c r="X69" s="175"/>
      <c r="Y69" s="175"/>
      <c r="Z69" s="176"/>
      <c r="AA69" s="9"/>
      <c r="AB69" s="9"/>
      <c r="AC69" s="9"/>
    </row>
    <row r="70" spans="1:29" ht="15.6" customHeight="1" x14ac:dyDescent="0.25">
      <c r="A70" s="189"/>
      <c r="B70" s="190"/>
      <c r="C70" s="190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236"/>
      <c r="R70" s="198" t="s">
        <v>32</v>
      </c>
      <c r="S70" s="199"/>
      <c r="T70" s="200"/>
      <c r="U70" s="226"/>
      <c r="V70" s="227"/>
      <c r="W70" s="227"/>
      <c r="X70" s="228"/>
      <c r="Y70" s="228"/>
      <c r="Z70" s="229"/>
      <c r="AA70" s="9"/>
      <c r="AB70" s="9"/>
      <c r="AC70" s="9"/>
    </row>
    <row r="71" spans="1:29" ht="15.6" customHeight="1" x14ac:dyDescent="0.25">
      <c r="A71" s="189"/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236"/>
      <c r="R71" s="198"/>
      <c r="S71" s="199"/>
      <c r="T71" s="200"/>
      <c r="U71" s="230"/>
      <c r="V71" s="172"/>
      <c r="W71" s="172"/>
      <c r="X71" s="172"/>
      <c r="Y71" s="172"/>
      <c r="Z71" s="231"/>
      <c r="AA71" s="9"/>
      <c r="AB71" s="9"/>
      <c r="AC71" s="9"/>
    </row>
    <row r="72" spans="1:29" ht="15.6" customHeight="1" x14ac:dyDescent="0.25">
      <c r="A72" s="189"/>
      <c r="B72" s="190"/>
      <c r="C72" s="190"/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236"/>
      <c r="R72" s="198"/>
      <c r="S72" s="199"/>
      <c r="T72" s="200"/>
      <c r="U72" s="230"/>
      <c r="V72" s="172"/>
      <c r="W72" s="172"/>
      <c r="X72" s="172"/>
      <c r="Y72" s="172"/>
      <c r="Z72" s="231"/>
      <c r="AA72" s="9"/>
      <c r="AB72" s="9"/>
      <c r="AC72" s="9"/>
    </row>
    <row r="73" spans="1:29" ht="15.6" customHeight="1" x14ac:dyDescent="0.25">
      <c r="A73" s="191"/>
      <c r="B73" s="192"/>
      <c r="C73" s="192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192"/>
      <c r="O73" s="192"/>
      <c r="P73" s="192"/>
      <c r="Q73" s="237"/>
      <c r="R73" s="201"/>
      <c r="S73" s="202"/>
      <c r="T73" s="203"/>
      <c r="U73" s="232"/>
      <c r="V73" s="233"/>
      <c r="W73" s="233"/>
      <c r="X73" s="234"/>
      <c r="Y73" s="234"/>
      <c r="Z73" s="235"/>
      <c r="AA73" s="9"/>
      <c r="AB73" s="9"/>
      <c r="AC73" s="9"/>
    </row>
    <row r="74" spans="1:29" s="69" customFormat="1" ht="15" customHeight="1" x14ac:dyDescent="0.25"/>
    <row r="75" spans="1:29" s="69" customFormat="1" ht="15" customHeight="1" x14ac:dyDescent="0.25"/>
    <row r="76" spans="1:29" s="69" customFormat="1" ht="15" customHeight="1" x14ac:dyDescent="0.25"/>
    <row r="77" spans="1:29" s="69" customFormat="1" ht="15" customHeight="1" x14ac:dyDescent="0.25"/>
    <row r="78" spans="1:29" s="69" customFormat="1" ht="15" customHeight="1" x14ac:dyDescent="0.25"/>
    <row r="79" spans="1:29" s="69" customFormat="1" ht="15" customHeight="1" x14ac:dyDescent="0.25"/>
    <row r="80" spans="1:29" s="69" customFormat="1" ht="15" customHeight="1" x14ac:dyDescent="0.25"/>
    <row r="81" s="69" customFormat="1" ht="15" customHeight="1" x14ac:dyDescent="0.25"/>
    <row r="82" s="69" customFormat="1" ht="15" customHeight="1" x14ac:dyDescent="0.25"/>
    <row r="83" s="69" customFormat="1" ht="15" customHeight="1" x14ac:dyDescent="0.25"/>
    <row r="84" s="69" customFormat="1" ht="15" customHeight="1" x14ac:dyDescent="0.25"/>
    <row r="85" s="69" customFormat="1" ht="15" customHeight="1" x14ac:dyDescent="0.25"/>
    <row r="86" s="69" customFormat="1" ht="15" customHeight="1" x14ac:dyDescent="0.25"/>
    <row r="87" s="69" customFormat="1" ht="15" customHeight="1" x14ac:dyDescent="0.25"/>
    <row r="88" s="69" customFormat="1" ht="15" customHeight="1" x14ac:dyDescent="0.25"/>
    <row r="89" s="69" customFormat="1" ht="15" customHeight="1" x14ac:dyDescent="0.25"/>
    <row r="90" s="69" customFormat="1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</sheetData>
  <mergeCells count="115">
    <mergeCell ref="U35:W35"/>
    <mergeCell ref="A67:Q67"/>
    <mergeCell ref="A68:Q68"/>
    <mergeCell ref="V71:Y72"/>
    <mergeCell ref="AB42:AD42"/>
    <mergeCell ref="AB55:AD55"/>
    <mergeCell ref="AC44:AC46"/>
    <mergeCell ref="AB51:AB52"/>
    <mergeCell ref="AD51:AD52"/>
    <mergeCell ref="AB49:AB50"/>
    <mergeCell ref="AD49:AD50"/>
    <mergeCell ref="AC49:AC50"/>
    <mergeCell ref="U67:Z67"/>
    <mergeCell ref="X63:Y63"/>
    <mergeCell ref="U66:Z66"/>
    <mergeCell ref="U68:Z69"/>
    <mergeCell ref="B63:W63"/>
    <mergeCell ref="R68:T69"/>
    <mergeCell ref="R70:T73"/>
    <mergeCell ref="R67:T67"/>
    <mergeCell ref="U36:W36"/>
    <mergeCell ref="U37:W37"/>
    <mergeCell ref="U38:W38"/>
    <mergeCell ref="U42:W42"/>
    <mergeCell ref="U40:W40"/>
    <mergeCell ref="U39:W39"/>
    <mergeCell ref="E24:F24"/>
    <mergeCell ref="N29:O29"/>
    <mergeCell ref="J26:L26"/>
    <mergeCell ref="G24:I24"/>
    <mergeCell ref="G25:I25"/>
    <mergeCell ref="G26:I26"/>
    <mergeCell ref="G27:I27"/>
    <mergeCell ref="P24:Q24"/>
    <mergeCell ref="U24:W24"/>
    <mergeCell ref="U25:W25"/>
    <mergeCell ref="U26:W26"/>
    <mergeCell ref="R26:T26"/>
    <mergeCell ref="R25:T25"/>
    <mergeCell ref="N33:O33"/>
    <mergeCell ref="A33:K33"/>
    <mergeCell ref="E35:F35"/>
    <mergeCell ref="R40:T40"/>
    <mergeCell ref="G39:I39"/>
    <mergeCell ref="AB60:AD60"/>
    <mergeCell ref="AB61:AD61"/>
    <mergeCell ref="AB62:AD62"/>
    <mergeCell ref="J27:L27"/>
    <mergeCell ref="J35:L35"/>
    <mergeCell ref="J36:L36"/>
    <mergeCell ref="J37:L37"/>
    <mergeCell ref="J38:L38"/>
    <mergeCell ref="N43:O43"/>
    <mergeCell ref="R28:T28"/>
    <mergeCell ref="P35:Q35"/>
    <mergeCell ref="U27:W27"/>
    <mergeCell ref="U28:W28"/>
    <mergeCell ref="W33:Y33"/>
    <mergeCell ref="R27:T27"/>
    <mergeCell ref="R35:T35"/>
    <mergeCell ref="R36:T36"/>
    <mergeCell ref="R37:T37"/>
    <mergeCell ref="R38:T38"/>
    <mergeCell ref="R39:T39"/>
    <mergeCell ref="AD38:AD39"/>
    <mergeCell ref="J41:L41"/>
    <mergeCell ref="U41:W41"/>
    <mergeCell ref="AB38:AC39"/>
    <mergeCell ref="I18:Y18"/>
    <mergeCell ref="B19:H19"/>
    <mergeCell ref="I19:Y19"/>
    <mergeCell ref="P6:T6"/>
    <mergeCell ref="A7:F7"/>
    <mergeCell ref="G7:Z7"/>
    <mergeCell ref="B10:G10"/>
    <mergeCell ref="H10:M10"/>
    <mergeCell ref="N10:R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B11:G11"/>
    <mergeCell ref="B12:G12"/>
    <mergeCell ref="N12:R12"/>
    <mergeCell ref="H11:M11"/>
    <mergeCell ref="H12:M12"/>
    <mergeCell ref="A70:Q73"/>
    <mergeCell ref="C43:M43"/>
    <mergeCell ref="N13:R13"/>
    <mergeCell ref="R24:T24"/>
    <mergeCell ref="R33:T33"/>
    <mergeCell ref="R41:T41"/>
    <mergeCell ref="R42:T42"/>
    <mergeCell ref="S12:Y12"/>
    <mergeCell ref="S13:Y13"/>
    <mergeCell ref="V11:Y11"/>
    <mergeCell ref="N11:U11"/>
    <mergeCell ref="G40:I40"/>
    <mergeCell ref="G41:I41"/>
    <mergeCell ref="G35:I35"/>
    <mergeCell ref="G36:I36"/>
    <mergeCell ref="G37:I37"/>
    <mergeCell ref="G38:I38"/>
    <mergeCell ref="J39:L39"/>
    <mergeCell ref="J40:L40"/>
    <mergeCell ref="J25:L25"/>
    <mergeCell ref="J24:L24"/>
    <mergeCell ref="B18:H18"/>
  </mergeCells>
  <phoneticPr fontId="1" type="noConversion"/>
  <printOptions horizontalCentered="1"/>
  <pageMargins left="0.39370078740157483" right="0.35433070866141736" top="0.39370078740157483" bottom="0.39370078740157483" header="0.35433070866141736" footer="0.19685039370078741"/>
  <pageSetup paperSize="9" scale="74" orientation="portrait" r:id="rId1"/>
  <headerFooter alignWithMargins="0">
    <oddFooter>&amp;RDG-Q / RE DG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4" name="Check Box 42">
              <controlPr defaultSize="0" autoFill="0" autoLine="0" autoPict="0">
                <anchor moveWithCells="1">
                  <from>
                    <xdr:col>14</xdr:col>
                    <xdr:colOff>198120</xdr:colOff>
                    <xdr:row>22</xdr:row>
                    <xdr:rowOff>121920</xdr:rowOff>
                  </from>
                  <to>
                    <xdr:col>15</xdr:col>
                    <xdr:colOff>160020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Check Box 43">
              <controlPr defaultSize="0" autoFill="0" autoLine="0" autoPict="0">
                <anchor moveWithCells="1">
                  <from>
                    <xdr:col>3</xdr:col>
                    <xdr:colOff>198120</xdr:colOff>
                    <xdr:row>22</xdr:row>
                    <xdr:rowOff>121920</xdr:rowOff>
                  </from>
                  <to>
                    <xdr:col>4</xdr:col>
                    <xdr:colOff>160020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3</xdr:col>
                    <xdr:colOff>198120</xdr:colOff>
                    <xdr:row>33</xdr:row>
                    <xdr:rowOff>121920</xdr:rowOff>
                  </from>
                  <to>
                    <xdr:col>4</xdr:col>
                    <xdr:colOff>160020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14</xdr:col>
                    <xdr:colOff>198120</xdr:colOff>
                    <xdr:row>33</xdr:row>
                    <xdr:rowOff>121920</xdr:rowOff>
                  </from>
                  <to>
                    <xdr:col>15</xdr:col>
                    <xdr:colOff>160020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12</xdr:col>
                    <xdr:colOff>213360</xdr:colOff>
                    <xdr:row>31</xdr:row>
                    <xdr:rowOff>152400</xdr:rowOff>
                  </from>
                  <to>
                    <xdr:col>13</xdr:col>
                    <xdr:colOff>175260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16</xdr:col>
                    <xdr:colOff>236220</xdr:colOff>
                    <xdr:row>31</xdr:row>
                    <xdr:rowOff>152400</xdr:rowOff>
                  </from>
                  <to>
                    <xdr:col>17</xdr:col>
                    <xdr:colOff>198120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21</xdr:col>
                    <xdr:colOff>274320</xdr:colOff>
                    <xdr:row>31</xdr:row>
                    <xdr:rowOff>152400</xdr:rowOff>
                  </from>
                  <to>
                    <xdr:col>22</xdr:col>
                    <xdr:colOff>236220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pageSetUpPr fitToPage="1"/>
  </sheetPr>
  <dimension ref="A1:Z86"/>
  <sheetViews>
    <sheetView workbookViewId="0">
      <selection activeCell="AC14" sqref="AC14"/>
    </sheetView>
  </sheetViews>
  <sheetFormatPr baseColWidth="10" defaultColWidth="11.44140625" defaultRowHeight="12.75" customHeight="1" x14ac:dyDescent="0.25"/>
  <cols>
    <col min="1" max="1" width="5.88671875" style="1" customWidth="1"/>
    <col min="2" max="15" width="4.6640625" style="1" customWidth="1"/>
    <col min="16" max="16" width="5.33203125" style="1" customWidth="1"/>
    <col min="17" max="26" width="4.6640625" style="1" customWidth="1"/>
    <col min="27" max="16384" width="11.44140625" style="1"/>
  </cols>
  <sheetData>
    <row r="1" spans="1:26" ht="83.25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ht="36.75" customHeight="1" x14ac:dyDescent="0.25">
      <c r="A2" s="70"/>
      <c r="B2" s="44" t="s">
        <v>0</v>
      </c>
      <c r="C2" s="70"/>
      <c r="D2" s="70"/>
      <c r="E2" s="70"/>
      <c r="F2" s="14" t="s">
        <v>1</v>
      </c>
      <c r="G2" s="71"/>
      <c r="H2" s="71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s="75" customFormat="1" ht="18" customHeight="1" x14ac:dyDescent="0.25">
      <c r="A3" s="72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4"/>
    </row>
    <row r="4" spans="1:26" s="69" customFormat="1" ht="18" customHeight="1" x14ac:dyDescent="0.25">
      <c r="A4" s="35"/>
      <c r="B4" s="76" t="s">
        <v>4</v>
      </c>
      <c r="C4" s="15"/>
      <c r="D4" s="15"/>
      <c r="E4" s="77"/>
      <c r="F4" s="77"/>
      <c r="G4" s="77"/>
      <c r="H4" s="77"/>
      <c r="I4" s="77"/>
      <c r="J4" s="77"/>
      <c r="K4" s="77"/>
      <c r="L4" s="77"/>
      <c r="M4" s="15" t="s">
        <v>5</v>
      </c>
      <c r="N4" s="15"/>
      <c r="O4" s="15"/>
      <c r="P4" s="15"/>
      <c r="Q4" s="77"/>
      <c r="R4" s="77"/>
      <c r="S4" s="77"/>
      <c r="T4" s="77"/>
      <c r="U4" s="77"/>
      <c r="V4" s="77"/>
      <c r="W4" s="77"/>
      <c r="X4" s="77"/>
      <c r="Y4" s="77"/>
      <c r="Z4" s="78"/>
    </row>
    <row r="5" spans="1:26" s="69" customFormat="1" ht="18" customHeight="1" x14ac:dyDescent="0.25">
      <c r="A5" s="35"/>
      <c r="B5" s="15" t="s">
        <v>6</v>
      </c>
      <c r="C5" s="15"/>
      <c r="D5" s="15"/>
      <c r="E5" s="15"/>
      <c r="F5" s="15"/>
      <c r="G5" s="15"/>
      <c r="H5" s="77"/>
      <c r="I5" s="77"/>
      <c r="J5" s="77"/>
      <c r="K5" s="77"/>
      <c r="L5" s="77"/>
      <c r="M5" s="76" t="s">
        <v>7</v>
      </c>
      <c r="N5" s="15"/>
      <c r="O5" s="15"/>
      <c r="P5" s="15"/>
      <c r="Q5" s="15"/>
      <c r="R5" s="15"/>
      <c r="S5" s="15"/>
      <c r="T5" s="15"/>
      <c r="U5" s="15"/>
      <c r="V5" s="77"/>
      <c r="W5" s="77"/>
      <c r="X5" s="77"/>
      <c r="Y5" s="77"/>
      <c r="Z5" s="78"/>
    </row>
    <row r="6" spans="1:26" s="69" customFormat="1" ht="18" customHeight="1" x14ac:dyDescent="0.25">
      <c r="A6" s="35"/>
      <c r="B6" s="15" t="s">
        <v>8</v>
      </c>
      <c r="C6" s="15"/>
      <c r="D6" s="15"/>
      <c r="E6" s="15"/>
      <c r="F6" s="77"/>
      <c r="G6" s="77"/>
      <c r="H6" s="77"/>
      <c r="I6" s="77"/>
      <c r="J6" s="77"/>
      <c r="K6" s="77"/>
      <c r="L6" s="77"/>
      <c r="M6" s="15" t="s">
        <v>9</v>
      </c>
      <c r="N6" s="15"/>
      <c r="O6" s="15"/>
      <c r="P6" s="77"/>
      <c r="Q6" s="77"/>
      <c r="R6" s="77"/>
      <c r="S6" s="77"/>
      <c r="T6" s="77"/>
      <c r="U6" s="77"/>
      <c r="V6" s="77"/>
      <c r="W6" s="77"/>
      <c r="X6" s="77"/>
      <c r="Y6" s="77"/>
      <c r="Z6" s="78"/>
    </row>
    <row r="7" spans="1:26" s="69" customFormat="1" ht="18" customHeight="1" x14ac:dyDescent="0.25">
      <c r="A7" s="3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 t="s">
        <v>10</v>
      </c>
      <c r="N7" s="15"/>
      <c r="O7" s="15"/>
      <c r="P7" s="77"/>
      <c r="Q7" s="77"/>
      <c r="R7" s="77"/>
      <c r="S7" s="77"/>
      <c r="T7" s="77"/>
      <c r="U7" s="77"/>
      <c r="V7" s="77"/>
      <c r="W7" s="77"/>
      <c r="X7" s="77"/>
      <c r="Y7" s="77"/>
      <c r="Z7" s="78"/>
    </row>
    <row r="8" spans="1:26" s="69" customFormat="1" ht="18" customHeight="1" x14ac:dyDescent="0.25">
      <c r="A8" s="35" t="s">
        <v>33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40"/>
    </row>
    <row r="9" spans="1:26" s="69" customFormat="1" ht="18" customHeight="1" x14ac:dyDescent="0.25">
      <c r="A9" s="35"/>
      <c r="B9" s="79"/>
      <c r="C9" s="163" t="s">
        <v>17</v>
      </c>
      <c r="D9" s="163"/>
      <c r="E9" s="80"/>
      <c r="F9" s="85" t="s">
        <v>34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40"/>
    </row>
    <row r="10" spans="1:26" s="69" customFormat="1" ht="18" customHeight="1" x14ac:dyDescent="0.25">
      <c r="A10" s="35"/>
      <c r="B10" s="79"/>
      <c r="C10" s="171" t="s">
        <v>20</v>
      </c>
      <c r="D10" s="163"/>
      <c r="E10" s="15"/>
      <c r="F10" s="85" t="s">
        <v>35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40"/>
    </row>
    <row r="11" spans="1:26" s="69" customFormat="1" ht="18" customHeight="1" x14ac:dyDescent="0.25">
      <c r="A11" s="3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40"/>
    </row>
    <row r="12" spans="1:26" s="69" customFormat="1" ht="18" customHeight="1" x14ac:dyDescent="0.25">
      <c r="A12" s="35"/>
      <c r="B12" s="85" t="s">
        <v>36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79"/>
      <c r="T12" s="213" t="s">
        <v>37</v>
      </c>
      <c r="U12" s="158"/>
      <c r="V12" s="15"/>
      <c r="W12" s="79"/>
      <c r="X12" s="213" t="s">
        <v>38</v>
      </c>
      <c r="Y12" s="158"/>
      <c r="Z12" s="40"/>
    </row>
    <row r="13" spans="1:26" s="69" customFormat="1" ht="18" customHeight="1" x14ac:dyDescent="0.25">
      <c r="A13" s="3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40"/>
    </row>
    <row r="14" spans="1:26" s="81" customFormat="1" ht="18" customHeight="1" x14ac:dyDescent="0.25">
      <c r="A14" s="210" t="s">
        <v>39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2"/>
    </row>
    <row r="15" spans="1:26" s="69" customFormat="1" ht="18" customHeight="1" x14ac:dyDescent="0.25">
      <c r="A15" s="82"/>
      <c r="B15" s="83"/>
      <c r="C15" s="83"/>
      <c r="D15" s="84"/>
      <c r="E15" s="84"/>
      <c r="F15" s="84"/>
      <c r="G15" s="84"/>
      <c r="H15" s="24"/>
      <c r="I15" s="24"/>
      <c r="J15" s="24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40"/>
    </row>
    <row r="16" spans="1:26" s="87" customFormat="1" ht="18" customHeight="1" x14ac:dyDescent="0.25">
      <c r="A16" s="112" t="s">
        <v>40</v>
      </c>
      <c r="B16" s="114"/>
      <c r="C16" s="112" t="s">
        <v>41</v>
      </c>
      <c r="D16" s="113"/>
      <c r="E16" s="113"/>
      <c r="F16" s="113"/>
      <c r="G16" s="113"/>
      <c r="H16" s="113"/>
      <c r="I16" s="113"/>
      <c r="J16" s="114"/>
      <c r="K16" s="214"/>
      <c r="L16" s="214"/>
      <c r="M16" s="214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6"/>
    </row>
    <row r="17" spans="1:26" s="87" customFormat="1" ht="18" customHeight="1" x14ac:dyDescent="0.25">
      <c r="A17" s="112" t="s">
        <v>42</v>
      </c>
      <c r="B17" s="114"/>
      <c r="C17" s="112" t="s">
        <v>43</v>
      </c>
      <c r="D17" s="113"/>
      <c r="E17" s="113"/>
      <c r="F17" s="113"/>
      <c r="G17" s="113"/>
      <c r="H17" s="113"/>
      <c r="I17" s="113"/>
      <c r="J17" s="114"/>
      <c r="K17" s="214"/>
      <c r="L17" s="214"/>
      <c r="M17" s="214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6"/>
    </row>
    <row r="18" spans="1:26" s="87" customFormat="1" ht="18" customHeight="1" x14ac:dyDescent="0.25">
      <c r="A18" s="207" t="s">
        <v>44</v>
      </c>
      <c r="B18" s="209"/>
      <c r="C18" s="207" t="s">
        <v>72</v>
      </c>
      <c r="D18" s="208"/>
      <c r="E18" s="208"/>
      <c r="F18" s="208"/>
      <c r="G18" s="208"/>
      <c r="H18" s="208"/>
      <c r="I18" s="208"/>
      <c r="J18" s="209"/>
      <c r="K18" s="214"/>
      <c r="L18" s="214"/>
      <c r="M18" s="214"/>
      <c r="N18" s="85"/>
      <c r="O18" s="85"/>
      <c r="P18" s="88" t="s">
        <v>73</v>
      </c>
      <c r="Q18" s="85"/>
      <c r="R18" s="85"/>
      <c r="S18" s="85"/>
      <c r="T18" s="85"/>
      <c r="U18" s="85"/>
      <c r="V18" s="85"/>
      <c r="W18" s="85"/>
      <c r="X18" s="85"/>
      <c r="Y18" s="85"/>
      <c r="Z18" s="86"/>
    </row>
    <row r="19" spans="1:26" s="69" customFormat="1" ht="18" customHeight="1" x14ac:dyDescent="0.25">
      <c r="A19" s="3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40"/>
    </row>
    <row r="20" spans="1:26" s="81" customFormat="1" ht="18" customHeight="1" x14ac:dyDescent="0.25">
      <c r="A20" s="210" t="s">
        <v>45</v>
      </c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2"/>
    </row>
    <row r="21" spans="1:26" s="69" customFormat="1" ht="18" customHeight="1" x14ac:dyDescent="0.25">
      <c r="A21" s="3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40"/>
    </row>
    <row r="22" spans="1:26" s="69" customFormat="1" ht="18" customHeight="1" x14ac:dyDescent="0.25">
      <c r="A22" s="35"/>
      <c r="B22" s="158" t="s">
        <v>46</v>
      </c>
      <c r="C22" s="158"/>
      <c r="D22" s="158"/>
      <c r="E22" s="158"/>
      <c r="F22" s="158"/>
      <c r="G22" s="158"/>
      <c r="H22" s="158"/>
      <c r="I22" s="158"/>
      <c r="J22" s="15"/>
      <c r="K22" s="15"/>
      <c r="L22" s="15"/>
      <c r="M22" s="15"/>
      <c r="N22" s="15"/>
      <c r="O22" s="158" t="s">
        <v>47</v>
      </c>
      <c r="P22" s="158"/>
      <c r="Q22" s="158"/>
      <c r="R22" s="158"/>
      <c r="S22" s="158"/>
      <c r="T22" s="158"/>
      <c r="U22" s="158"/>
      <c r="V22" s="158"/>
      <c r="W22" s="15"/>
      <c r="X22" s="15"/>
      <c r="Y22" s="15"/>
      <c r="Z22" s="40"/>
    </row>
    <row r="23" spans="1:26" s="69" customFormat="1" ht="18" customHeight="1" x14ac:dyDescent="0.25">
      <c r="A23" s="3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40"/>
    </row>
    <row r="24" spans="1:26" s="69" customFormat="1" ht="18" customHeight="1" x14ac:dyDescent="0.25">
      <c r="A24" s="35"/>
      <c r="B24" s="89" t="s">
        <v>48</v>
      </c>
      <c r="C24" s="90"/>
      <c r="D24" s="121" t="s">
        <v>49</v>
      </c>
      <c r="E24" s="122"/>
      <c r="F24" s="123"/>
      <c r="G24" s="121" t="s">
        <v>19</v>
      </c>
      <c r="H24" s="122"/>
      <c r="I24" s="123"/>
      <c r="J24" s="15"/>
      <c r="K24" s="15"/>
      <c r="L24" s="15"/>
      <c r="M24" s="15"/>
      <c r="N24" s="15"/>
      <c r="O24" s="89" t="s">
        <v>48</v>
      </c>
      <c r="P24" s="90"/>
      <c r="Q24" s="121" t="s">
        <v>49</v>
      </c>
      <c r="R24" s="122"/>
      <c r="S24" s="123"/>
      <c r="T24" s="121" t="s">
        <v>19</v>
      </c>
      <c r="U24" s="122"/>
      <c r="V24" s="123"/>
      <c r="W24" s="15"/>
      <c r="X24" s="15"/>
      <c r="Y24" s="15"/>
      <c r="Z24" s="40"/>
    </row>
    <row r="25" spans="1:26" s="69" customFormat="1" ht="18" customHeight="1" x14ac:dyDescent="0.25">
      <c r="A25" s="35"/>
      <c r="B25" s="91" t="s">
        <v>50</v>
      </c>
      <c r="C25" s="91"/>
      <c r="D25" s="164"/>
      <c r="E25" s="164"/>
      <c r="F25" s="164"/>
      <c r="G25" s="215"/>
      <c r="H25" s="215"/>
      <c r="I25" s="215"/>
      <c r="J25" s="15"/>
      <c r="K25" s="15"/>
      <c r="L25" s="15"/>
      <c r="M25" s="15"/>
      <c r="N25" s="15"/>
      <c r="O25" s="89" t="s">
        <v>51</v>
      </c>
      <c r="P25" s="92"/>
      <c r="Q25" s="118"/>
      <c r="R25" s="119"/>
      <c r="S25" s="120"/>
      <c r="T25" s="215"/>
      <c r="U25" s="215"/>
      <c r="V25" s="215"/>
      <c r="W25" s="15"/>
      <c r="X25" s="15"/>
      <c r="Y25" s="15"/>
      <c r="Z25" s="40"/>
    </row>
    <row r="26" spans="1:26" s="69" customFormat="1" ht="18" customHeight="1" x14ac:dyDescent="0.25">
      <c r="A26" s="35"/>
      <c r="B26" s="93"/>
      <c r="C26" s="93"/>
      <c r="D26" s="94"/>
      <c r="E26" s="94"/>
      <c r="F26" s="94"/>
      <c r="G26" s="94"/>
      <c r="H26" s="94"/>
      <c r="I26" s="94"/>
      <c r="J26" s="15"/>
      <c r="K26" s="15"/>
      <c r="L26" s="15"/>
      <c r="M26" s="15"/>
      <c r="N26" s="15"/>
      <c r="O26" s="91" t="s">
        <v>52</v>
      </c>
      <c r="P26" s="91"/>
      <c r="Q26" s="118"/>
      <c r="R26" s="119"/>
      <c r="S26" s="120"/>
      <c r="T26" s="215"/>
      <c r="U26" s="215"/>
      <c r="V26" s="215"/>
      <c r="W26" s="15"/>
      <c r="X26" s="15"/>
      <c r="Y26" s="15"/>
      <c r="Z26" s="40"/>
    </row>
    <row r="27" spans="1:26" s="69" customFormat="1" ht="18" customHeight="1" x14ac:dyDescent="0.25">
      <c r="A27" s="95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40"/>
    </row>
    <row r="28" spans="1:26" s="81" customFormat="1" ht="18" customHeight="1" x14ac:dyDescent="0.25">
      <c r="A28" s="210" t="s">
        <v>53</v>
      </c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2"/>
    </row>
    <row r="29" spans="1:26" s="69" customFormat="1" ht="18" customHeight="1" x14ac:dyDescent="0.25">
      <c r="A29" s="3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40"/>
    </row>
    <row r="30" spans="1:26" s="81" customFormat="1" ht="18" customHeight="1" x14ac:dyDescent="0.25">
      <c r="A30" s="210" t="s">
        <v>68</v>
      </c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2"/>
    </row>
    <row r="31" spans="1:26" s="69" customFormat="1" ht="18" customHeight="1" x14ac:dyDescent="0.25">
      <c r="A31" s="3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40"/>
    </row>
    <row r="32" spans="1:26" s="81" customFormat="1" ht="18" customHeight="1" x14ac:dyDescent="0.25">
      <c r="A32" s="210" t="s">
        <v>67</v>
      </c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2"/>
    </row>
    <row r="33" spans="1:26" s="69" customFormat="1" ht="18" customHeight="1" x14ac:dyDescent="0.25">
      <c r="A33" s="3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40"/>
    </row>
    <row r="34" spans="1:26" s="81" customFormat="1" ht="18" customHeight="1" x14ac:dyDescent="0.25">
      <c r="A34" s="96"/>
      <c r="B34" s="97"/>
      <c r="C34" s="97"/>
      <c r="D34" s="97"/>
      <c r="E34" s="97"/>
      <c r="F34" s="97"/>
      <c r="G34" s="97"/>
      <c r="H34" s="97"/>
      <c r="I34" s="98"/>
      <c r="J34" s="98" t="s">
        <v>64</v>
      </c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100"/>
    </row>
    <row r="35" spans="1:26" s="69" customFormat="1" ht="18" customHeight="1" x14ac:dyDescent="0.25">
      <c r="A35" s="3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40"/>
    </row>
    <row r="36" spans="1:26" s="69" customFormat="1" ht="18" customHeight="1" x14ac:dyDescent="0.25">
      <c r="A36" s="35"/>
      <c r="B36" s="15"/>
      <c r="C36" s="15"/>
      <c r="D36" s="15"/>
      <c r="E36" s="15"/>
      <c r="F36" s="15"/>
      <c r="G36" s="15"/>
      <c r="H36" s="15"/>
      <c r="I36" s="98"/>
      <c r="J36" s="98" t="s">
        <v>65</v>
      </c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100"/>
    </row>
    <row r="37" spans="1:26" s="69" customFormat="1" ht="18" customHeight="1" x14ac:dyDescent="0.25">
      <c r="A37" s="3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40"/>
    </row>
    <row r="38" spans="1:26" s="69" customFormat="1" ht="18" customHeight="1" x14ac:dyDescent="0.25">
      <c r="A38" s="35"/>
      <c r="C38" s="15"/>
      <c r="D38" s="15"/>
      <c r="E38" s="77"/>
      <c r="F38" s="77"/>
      <c r="G38" s="77"/>
      <c r="H38" s="77"/>
      <c r="I38" s="98"/>
      <c r="J38" s="98" t="s">
        <v>66</v>
      </c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100"/>
    </row>
    <row r="39" spans="1:26" s="69" customFormat="1" ht="18" customHeight="1" x14ac:dyDescent="0.25">
      <c r="A39" s="35"/>
      <c r="C39" s="15"/>
      <c r="D39" s="15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8"/>
    </row>
    <row r="40" spans="1:26" s="81" customFormat="1" ht="18" customHeight="1" x14ac:dyDescent="0.25">
      <c r="A40" s="210" t="s">
        <v>74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2"/>
    </row>
    <row r="41" spans="1:26" s="69" customFormat="1" ht="18" customHeight="1" x14ac:dyDescent="0.25">
      <c r="A41" s="101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3"/>
    </row>
    <row r="42" spans="1:26" s="69" customFormat="1" ht="18" customHeight="1" x14ac:dyDescent="0.25">
      <c r="A42" s="35"/>
      <c r="B42" s="104" t="s">
        <v>54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40"/>
    </row>
    <row r="43" spans="1:26" s="69" customFormat="1" ht="18" customHeight="1" x14ac:dyDescent="0.25">
      <c r="A43" s="3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40"/>
    </row>
    <row r="44" spans="1:26" s="69" customFormat="1" ht="18" customHeight="1" x14ac:dyDescent="0.25">
      <c r="A44" s="35"/>
      <c r="B44" s="158" t="s">
        <v>46</v>
      </c>
      <c r="C44" s="158"/>
      <c r="D44" s="158"/>
      <c r="E44" s="158"/>
      <c r="F44" s="158"/>
      <c r="G44" s="158"/>
      <c r="H44" s="158"/>
      <c r="I44" s="158"/>
      <c r="J44" s="15"/>
      <c r="K44" s="15"/>
      <c r="L44" s="15"/>
      <c r="M44" s="15"/>
      <c r="N44" s="15"/>
      <c r="O44" s="158" t="s">
        <v>47</v>
      </c>
      <c r="P44" s="158"/>
      <c r="Q44" s="158"/>
      <c r="R44" s="158"/>
      <c r="S44" s="158"/>
      <c r="T44" s="158"/>
      <c r="U44" s="158"/>
      <c r="V44" s="158"/>
      <c r="W44" s="15"/>
      <c r="X44" s="15"/>
      <c r="Y44" s="15"/>
      <c r="Z44" s="40"/>
    </row>
    <row r="45" spans="1:26" s="69" customFormat="1" ht="18" customHeight="1" x14ac:dyDescent="0.25">
      <c r="A45" s="3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40"/>
    </row>
    <row r="46" spans="1:26" s="69" customFormat="1" ht="18" customHeight="1" x14ac:dyDescent="0.25">
      <c r="A46" s="35"/>
      <c r="B46" s="204" t="s">
        <v>70</v>
      </c>
      <c r="C46" s="205"/>
      <c r="D46" s="205"/>
      <c r="E46" s="205"/>
      <c r="F46" s="206"/>
      <c r="G46" s="204"/>
      <c r="H46" s="205"/>
      <c r="I46" s="206"/>
      <c r="J46" s="15"/>
      <c r="K46" s="15"/>
      <c r="L46" s="15"/>
      <c r="M46" s="15"/>
      <c r="N46" s="15"/>
      <c r="O46" s="204" t="s">
        <v>70</v>
      </c>
      <c r="P46" s="205"/>
      <c r="Q46" s="205"/>
      <c r="R46" s="205"/>
      <c r="S46" s="206"/>
      <c r="T46" s="204"/>
      <c r="U46" s="205"/>
      <c r="V46" s="206"/>
      <c r="W46" s="15"/>
      <c r="X46" s="15"/>
      <c r="Y46" s="15"/>
      <c r="Z46" s="40"/>
    </row>
    <row r="47" spans="1:26" s="69" customFormat="1" ht="18" customHeight="1" x14ac:dyDescent="0.25">
      <c r="A47" s="35"/>
      <c r="B47" s="204" t="s">
        <v>71</v>
      </c>
      <c r="C47" s="205"/>
      <c r="D47" s="205"/>
      <c r="E47" s="205"/>
      <c r="F47" s="206"/>
      <c r="G47" s="204"/>
      <c r="H47" s="205"/>
      <c r="I47" s="206"/>
      <c r="J47" s="15"/>
      <c r="K47" s="15"/>
      <c r="L47" s="15"/>
      <c r="M47" s="15"/>
      <c r="N47" s="15"/>
      <c r="O47" s="204" t="s">
        <v>71</v>
      </c>
      <c r="P47" s="205"/>
      <c r="Q47" s="205"/>
      <c r="R47" s="205"/>
      <c r="S47" s="206"/>
      <c r="T47" s="204"/>
      <c r="U47" s="205"/>
      <c r="V47" s="206"/>
      <c r="W47" s="15"/>
      <c r="X47" s="15"/>
      <c r="Y47" s="15"/>
      <c r="Z47" s="40"/>
    </row>
    <row r="48" spans="1:26" s="69" customFormat="1" ht="18" customHeight="1" x14ac:dyDescent="0.25">
      <c r="A48" s="35"/>
      <c r="B48" s="204" t="s">
        <v>69</v>
      </c>
      <c r="C48" s="205"/>
      <c r="D48" s="205"/>
      <c r="E48" s="205"/>
      <c r="F48" s="206"/>
      <c r="G48" s="204"/>
      <c r="H48" s="205"/>
      <c r="I48" s="206"/>
      <c r="J48" s="15"/>
      <c r="K48" s="15"/>
      <c r="L48" s="15"/>
      <c r="M48" s="15"/>
      <c r="N48" s="15"/>
      <c r="O48" s="204" t="s">
        <v>69</v>
      </c>
      <c r="P48" s="205"/>
      <c r="Q48" s="205"/>
      <c r="R48" s="205"/>
      <c r="S48" s="206"/>
      <c r="T48" s="204"/>
      <c r="U48" s="205"/>
      <c r="V48" s="206"/>
      <c r="W48" s="15"/>
      <c r="X48" s="15"/>
      <c r="Y48" s="15"/>
      <c r="Z48" s="40"/>
    </row>
    <row r="49" spans="1:26" s="69" customFormat="1" ht="18" customHeight="1" x14ac:dyDescent="0.25">
      <c r="A49" s="35"/>
      <c r="B49" s="35"/>
      <c r="C49" s="15"/>
      <c r="D49" s="15"/>
      <c r="E49" s="15"/>
      <c r="F49" s="15"/>
      <c r="G49" s="15"/>
      <c r="H49" s="15"/>
      <c r="I49" s="40"/>
      <c r="J49" s="15"/>
      <c r="K49" s="15"/>
      <c r="L49" s="15"/>
      <c r="M49" s="15"/>
      <c r="N49" s="15"/>
      <c r="O49" s="35"/>
      <c r="P49" s="15"/>
      <c r="Q49" s="15"/>
      <c r="R49" s="15"/>
      <c r="S49" s="15"/>
      <c r="T49" s="15"/>
      <c r="U49" s="15"/>
      <c r="V49" s="40"/>
      <c r="W49" s="15"/>
      <c r="X49" s="15"/>
      <c r="Y49" s="15"/>
      <c r="Z49" s="40"/>
    </row>
    <row r="50" spans="1:26" s="69" customFormat="1" ht="18" customHeight="1" x14ac:dyDescent="0.25">
      <c r="A50" s="35"/>
      <c r="B50" s="89" t="s">
        <v>48</v>
      </c>
      <c r="C50" s="90"/>
      <c r="D50" s="121" t="s">
        <v>49</v>
      </c>
      <c r="E50" s="122"/>
      <c r="F50" s="123"/>
      <c r="G50" s="121" t="s">
        <v>19</v>
      </c>
      <c r="H50" s="122"/>
      <c r="I50" s="123"/>
      <c r="J50" s="15"/>
      <c r="K50" s="15"/>
      <c r="L50" s="15"/>
      <c r="M50" s="15"/>
      <c r="N50" s="15"/>
      <c r="O50" s="89" t="s">
        <v>48</v>
      </c>
      <c r="P50" s="90"/>
      <c r="Q50" s="121" t="s">
        <v>49</v>
      </c>
      <c r="R50" s="122"/>
      <c r="S50" s="123"/>
      <c r="T50" s="121" t="s">
        <v>19</v>
      </c>
      <c r="U50" s="122"/>
      <c r="V50" s="123"/>
      <c r="W50" s="15"/>
      <c r="X50" s="15"/>
      <c r="Y50" s="15"/>
      <c r="Z50" s="40"/>
    </row>
    <row r="51" spans="1:26" s="69" customFormat="1" ht="18" customHeight="1" x14ac:dyDescent="0.25">
      <c r="A51" s="35"/>
      <c r="B51" s="89" t="s">
        <v>50</v>
      </c>
      <c r="C51" s="92"/>
      <c r="D51" s="118"/>
      <c r="E51" s="119"/>
      <c r="F51" s="120"/>
      <c r="G51" s="215"/>
      <c r="H51" s="215"/>
      <c r="I51" s="215"/>
      <c r="J51" s="15"/>
      <c r="K51" s="15"/>
      <c r="L51" s="15"/>
      <c r="M51" s="15"/>
      <c r="N51" s="15"/>
      <c r="O51" s="89" t="s">
        <v>51</v>
      </c>
      <c r="P51" s="92"/>
      <c r="Q51" s="118"/>
      <c r="R51" s="119"/>
      <c r="S51" s="120"/>
      <c r="T51" s="215"/>
      <c r="U51" s="215"/>
      <c r="V51" s="215"/>
      <c r="W51" s="15"/>
      <c r="X51" s="15"/>
      <c r="Y51" s="15"/>
      <c r="Z51" s="40"/>
    </row>
    <row r="52" spans="1:26" s="69" customFormat="1" ht="18" customHeight="1" x14ac:dyDescent="0.25">
      <c r="A52" s="35"/>
      <c r="B52" s="89" t="s">
        <v>55</v>
      </c>
      <c r="C52" s="105"/>
      <c r="D52" s="118"/>
      <c r="E52" s="119"/>
      <c r="F52" s="120"/>
      <c r="G52" s="215"/>
      <c r="H52" s="215"/>
      <c r="I52" s="215"/>
      <c r="J52" s="15"/>
      <c r="K52" s="15"/>
      <c r="L52" s="15"/>
      <c r="M52" s="15"/>
      <c r="N52" s="15"/>
      <c r="O52" s="89" t="s">
        <v>52</v>
      </c>
      <c r="P52" s="105"/>
      <c r="Q52" s="118"/>
      <c r="R52" s="119"/>
      <c r="S52" s="120"/>
      <c r="T52" s="215"/>
      <c r="U52" s="215"/>
      <c r="V52" s="215"/>
      <c r="W52" s="15"/>
      <c r="X52" s="15"/>
      <c r="Y52" s="15"/>
      <c r="Z52" s="40"/>
    </row>
    <row r="53" spans="1:26" s="69" customFormat="1" ht="18" customHeight="1" x14ac:dyDescent="0.25">
      <c r="A53" s="35"/>
      <c r="B53" s="89" t="s">
        <v>56</v>
      </c>
      <c r="C53" s="92"/>
      <c r="D53" s="118"/>
      <c r="E53" s="119"/>
      <c r="F53" s="120"/>
      <c r="G53" s="215"/>
      <c r="H53" s="215"/>
      <c r="I53" s="215"/>
      <c r="J53" s="15"/>
      <c r="K53" s="15"/>
      <c r="L53" s="15"/>
      <c r="M53" s="15"/>
      <c r="N53" s="15"/>
      <c r="O53" s="89" t="s">
        <v>57</v>
      </c>
      <c r="P53" s="92"/>
      <c r="Q53" s="118"/>
      <c r="R53" s="119"/>
      <c r="S53" s="120"/>
      <c r="T53" s="215"/>
      <c r="U53" s="215"/>
      <c r="V53" s="215"/>
      <c r="W53" s="15"/>
      <c r="X53" s="15"/>
      <c r="Y53" s="15"/>
      <c r="Z53" s="40"/>
    </row>
    <row r="54" spans="1:26" s="69" customFormat="1" ht="18" customHeight="1" x14ac:dyDescent="0.25">
      <c r="A54" s="35"/>
      <c r="B54" s="89" t="s">
        <v>58</v>
      </c>
      <c r="C54" s="105"/>
      <c r="D54" s="118"/>
      <c r="E54" s="119"/>
      <c r="F54" s="120"/>
      <c r="G54" s="215"/>
      <c r="H54" s="215"/>
      <c r="I54" s="215"/>
      <c r="J54" s="15"/>
      <c r="K54" s="15"/>
      <c r="L54" s="15"/>
      <c r="M54" s="15"/>
      <c r="N54" s="15"/>
      <c r="O54" s="89" t="s">
        <v>59</v>
      </c>
      <c r="P54" s="105"/>
      <c r="Q54" s="118"/>
      <c r="R54" s="119"/>
      <c r="S54" s="120"/>
      <c r="T54" s="215"/>
      <c r="U54" s="215"/>
      <c r="V54" s="215"/>
      <c r="W54" s="15"/>
      <c r="X54" s="15"/>
      <c r="Y54" s="15"/>
      <c r="Z54" s="40"/>
    </row>
    <row r="55" spans="1:26" s="69" customFormat="1" ht="18" customHeight="1" x14ac:dyDescent="0.25">
      <c r="A55" s="35"/>
      <c r="B55" s="89" t="s">
        <v>60</v>
      </c>
      <c r="C55" s="92"/>
      <c r="D55" s="118"/>
      <c r="E55" s="119"/>
      <c r="F55" s="120"/>
      <c r="G55" s="215"/>
      <c r="H55" s="215"/>
      <c r="I55" s="215"/>
      <c r="J55" s="15"/>
      <c r="K55" s="15"/>
      <c r="L55" s="15"/>
      <c r="M55" s="15"/>
      <c r="N55" s="15"/>
      <c r="O55" s="89" t="s">
        <v>55</v>
      </c>
      <c r="P55" s="92"/>
      <c r="Q55" s="118"/>
      <c r="R55" s="119"/>
      <c r="S55" s="120"/>
      <c r="T55" s="215"/>
      <c r="U55" s="215"/>
      <c r="V55" s="215"/>
      <c r="W55" s="15"/>
      <c r="X55" s="15"/>
      <c r="Y55" s="15"/>
      <c r="Z55" s="40"/>
    </row>
    <row r="56" spans="1:26" s="69" customFormat="1" ht="18" customHeight="1" x14ac:dyDescent="0.25">
      <c r="A56" s="35"/>
      <c r="B56" s="106"/>
      <c r="C56" s="107"/>
      <c r="D56" s="118" t="s">
        <v>61</v>
      </c>
      <c r="E56" s="119"/>
      <c r="F56" s="120"/>
      <c r="G56" s="118"/>
      <c r="H56" s="119"/>
      <c r="I56" s="120"/>
      <c r="J56" s="15"/>
      <c r="K56" s="15"/>
      <c r="L56" s="15"/>
      <c r="M56" s="15"/>
      <c r="N56" s="15"/>
      <c r="O56" s="89" t="s">
        <v>56</v>
      </c>
      <c r="P56" s="92"/>
      <c r="Q56" s="118"/>
      <c r="R56" s="119"/>
      <c r="S56" s="120"/>
      <c r="T56" s="215"/>
      <c r="U56" s="215"/>
      <c r="V56" s="215"/>
      <c r="W56" s="15"/>
      <c r="X56" s="15"/>
      <c r="Y56" s="15"/>
      <c r="Z56" s="40"/>
    </row>
    <row r="57" spans="1:26" s="69" customFormat="1" ht="18" customHeight="1" x14ac:dyDescent="0.25">
      <c r="A57" s="10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09"/>
    </row>
    <row r="58" spans="1:26" s="69" customFormat="1" ht="15" customHeight="1" x14ac:dyDescent="0.25"/>
    <row r="59" spans="1:26" s="69" customFormat="1" ht="15" customHeight="1" x14ac:dyDescent="0.25"/>
    <row r="60" spans="1:26" s="69" customFormat="1" ht="15" customHeight="1" x14ac:dyDescent="0.25"/>
    <row r="61" spans="1:26" s="69" customFormat="1" ht="15" customHeight="1" x14ac:dyDescent="0.25"/>
    <row r="62" spans="1:26" s="69" customFormat="1" ht="15" customHeight="1" x14ac:dyDescent="0.25"/>
    <row r="63" spans="1:26" s="69" customFormat="1" ht="15" customHeight="1" x14ac:dyDescent="0.25"/>
    <row r="64" spans="1:26" s="69" customFormat="1" ht="15" customHeight="1" x14ac:dyDescent="0.25"/>
    <row r="65" s="69" customFormat="1" ht="15" customHeight="1" x14ac:dyDescent="0.25"/>
    <row r="66" s="69" customFormat="1" ht="15" customHeight="1" x14ac:dyDescent="0.25"/>
    <row r="67" s="69" customFormat="1" ht="15" customHeight="1" x14ac:dyDescent="0.25"/>
    <row r="68" s="69" customFormat="1" ht="15" customHeight="1" x14ac:dyDescent="0.25"/>
    <row r="69" s="69" customFormat="1" ht="15" customHeight="1" x14ac:dyDescent="0.25"/>
    <row r="70" s="69" customFormat="1" ht="15" customHeight="1" x14ac:dyDescent="0.25"/>
    <row r="71" s="69" customFormat="1" ht="15" customHeight="1" x14ac:dyDescent="0.25"/>
    <row r="72" s="69" customFormat="1" ht="15" customHeight="1" x14ac:dyDescent="0.25"/>
    <row r="73" s="69" customFormat="1" ht="15" customHeight="1" x14ac:dyDescent="0.25"/>
    <row r="74" s="69" customFormat="1" ht="15" customHeight="1" x14ac:dyDescent="0.25"/>
    <row r="75" s="69" customFormat="1" ht="15" customHeight="1" x14ac:dyDescent="0.25"/>
    <row r="76" s="69" customFormat="1" ht="15" customHeight="1" x14ac:dyDescent="0.25"/>
    <row r="77" s="69" customFormat="1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</sheetData>
  <mergeCells count="73">
    <mergeCell ref="G48:I48"/>
    <mergeCell ref="T52:V52"/>
    <mergeCell ref="Q51:S51"/>
    <mergeCell ref="D51:F51"/>
    <mergeCell ref="D52:F52"/>
    <mergeCell ref="T51:V51"/>
    <mergeCell ref="Q52:S52"/>
    <mergeCell ref="G51:I51"/>
    <mergeCell ref="G52:I52"/>
    <mergeCell ref="T55:V55"/>
    <mergeCell ref="G56:I56"/>
    <mergeCell ref="D55:F55"/>
    <mergeCell ref="D53:F53"/>
    <mergeCell ref="Q55:S55"/>
    <mergeCell ref="T53:V53"/>
    <mergeCell ref="Q54:S54"/>
    <mergeCell ref="D56:F56"/>
    <mergeCell ref="G55:I55"/>
    <mergeCell ref="D54:F54"/>
    <mergeCell ref="T54:V54"/>
    <mergeCell ref="Q56:S56"/>
    <mergeCell ref="T56:V56"/>
    <mergeCell ref="G53:I53"/>
    <mergeCell ref="G54:I54"/>
    <mergeCell ref="Q53:S53"/>
    <mergeCell ref="X12:Y12"/>
    <mergeCell ref="O46:S46"/>
    <mergeCell ref="T46:V46"/>
    <mergeCell ref="O47:S47"/>
    <mergeCell ref="T47:V47"/>
    <mergeCell ref="O44:V44"/>
    <mergeCell ref="Q26:S26"/>
    <mergeCell ref="A28:Z28"/>
    <mergeCell ref="B22:I22"/>
    <mergeCell ref="O22:V22"/>
    <mergeCell ref="D24:F24"/>
    <mergeCell ref="G24:I24"/>
    <mergeCell ref="Q24:S24"/>
    <mergeCell ref="T24:V24"/>
    <mergeCell ref="D25:F25"/>
    <mergeCell ref="T25:V25"/>
    <mergeCell ref="Q50:S50"/>
    <mergeCell ref="T50:V50"/>
    <mergeCell ref="A14:Z14"/>
    <mergeCell ref="K16:M16"/>
    <mergeCell ref="K17:M17"/>
    <mergeCell ref="K18:M18"/>
    <mergeCell ref="G25:I25"/>
    <mergeCell ref="Q25:S25"/>
    <mergeCell ref="T26:V26"/>
    <mergeCell ref="A32:Z32"/>
    <mergeCell ref="T48:V48"/>
    <mergeCell ref="O48:S48"/>
    <mergeCell ref="G50:I50"/>
    <mergeCell ref="D50:F50"/>
    <mergeCell ref="B48:F48"/>
    <mergeCell ref="B44:I44"/>
    <mergeCell ref="C9:D9"/>
    <mergeCell ref="B46:F46"/>
    <mergeCell ref="G46:I46"/>
    <mergeCell ref="B47:F47"/>
    <mergeCell ref="G47:I47"/>
    <mergeCell ref="C10:D10"/>
    <mergeCell ref="C16:J16"/>
    <mergeCell ref="C17:J17"/>
    <mergeCell ref="C18:J18"/>
    <mergeCell ref="A16:B16"/>
    <mergeCell ref="A17:B17"/>
    <mergeCell ref="A18:B18"/>
    <mergeCell ref="A30:Z30"/>
    <mergeCell ref="T12:U12"/>
    <mergeCell ref="A20:Z20"/>
    <mergeCell ref="A40:Z40"/>
  </mergeCells>
  <phoneticPr fontId="1" type="noConversion"/>
  <printOptions horizontalCentered="1" verticalCentered="1"/>
  <pageMargins left="0.39370078740157483" right="0.35433070866141736" top="0.39370078740157483" bottom="0.39370078740157483" header="0.35433070866141736" footer="0.19685039370078741"/>
  <pageSetup paperSize="9" scale="72" orientation="portrait" r:id="rId1"/>
  <headerFooter alignWithMargins="0">
    <oddFooter>&amp;RDG-Q / FE dg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RE</vt:lpstr>
      <vt:lpstr>FE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CHIAVASSA</dc:creator>
  <cp:lastModifiedBy>MONTET Frederic</cp:lastModifiedBy>
  <cp:lastPrinted>2006-06-28T14:33:34Z</cp:lastPrinted>
  <dcterms:created xsi:type="dcterms:W3CDTF">2005-06-22T06:30:18Z</dcterms:created>
  <dcterms:modified xsi:type="dcterms:W3CDTF">2023-03-07T10:18:31Z</dcterms:modified>
</cp:coreProperties>
</file>