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4AD79604-8B09-4CF0-9448-5A4F1E78AC4A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9" r:id="rId1"/>
  </sheets>
  <definedNames>
    <definedName name="_xlnm.Print_Titles" localSheetId="0">CRE!$1:$14</definedName>
    <definedName name="_xlnm.Print_Area" localSheetId="0">CRE!$A$1:$Z$104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7" i="9" l="1"/>
  <c r="T77" i="9"/>
  <c r="V77" i="9"/>
  <c r="X77" i="9"/>
  <c r="K132" i="9"/>
  <c r="J132" i="9"/>
  <c r="I132" i="9"/>
  <c r="H132" i="9"/>
  <c r="H129" i="9"/>
  <c r="G129" i="9"/>
  <c r="F129" i="9"/>
  <c r="F134" i="9" s="1"/>
  <c r="F135" i="9" s="1"/>
  <c r="E129" i="9"/>
  <c r="D129" i="9"/>
  <c r="C129" i="9"/>
  <c r="B129" i="9"/>
  <c r="I129" i="9" s="1"/>
  <c r="R60" i="9"/>
  <c r="R76" i="9" s="1"/>
  <c r="T60" i="9"/>
  <c r="T76" i="9" s="1"/>
  <c r="V60" i="9"/>
  <c r="V76" i="9" s="1"/>
  <c r="X60" i="9"/>
  <c r="X76" i="9" s="1"/>
  <c r="C70" i="9"/>
  <c r="X36" i="9"/>
  <c r="X35" i="9" s="1"/>
  <c r="V36" i="9"/>
  <c r="V35" i="9" s="1"/>
  <c r="T36" i="9"/>
  <c r="N123" i="9" s="1"/>
  <c r="P36" i="9"/>
  <c r="P35" i="9" s="1"/>
  <c r="M122" i="9"/>
  <c r="K123" i="9"/>
  <c r="K122" i="9"/>
  <c r="J123" i="9"/>
  <c r="J122" i="9"/>
  <c r="I123" i="9"/>
  <c r="I122" i="9"/>
  <c r="H122" i="9"/>
  <c r="G122" i="9"/>
  <c r="F122" i="9"/>
  <c r="E122" i="9"/>
  <c r="D122" i="9"/>
  <c r="C122" i="9"/>
  <c r="B122" i="9"/>
  <c r="N69" i="9"/>
  <c r="N68" i="9"/>
  <c r="M69" i="9"/>
  <c r="M68" i="9"/>
  <c r="O68" i="9"/>
  <c r="O69" i="9"/>
  <c r="R34" i="9"/>
  <c r="M121" i="9" s="1"/>
  <c r="R36" i="9"/>
  <c r="M123" i="9" s="1"/>
  <c r="L36" i="9"/>
  <c r="H123" i="9" s="1"/>
  <c r="K36" i="9"/>
  <c r="G123" i="9" s="1"/>
  <c r="J36" i="9"/>
  <c r="F123" i="9" s="1"/>
  <c r="I36" i="9"/>
  <c r="E123" i="9" s="1"/>
  <c r="H36" i="9"/>
  <c r="D123" i="9" s="1"/>
  <c r="G36" i="9"/>
  <c r="C123" i="9" s="1"/>
  <c r="L34" i="9"/>
  <c r="H121" i="9" s="1"/>
  <c r="K34" i="9"/>
  <c r="G121" i="9" s="1"/>
  <c r="J34" i="9"/>
  <c r="F121" i="9" s="1"/>
  <c r="I34" i="9"/>
  <c r="E121" i="9" s="1"/>
  <c r="H34" i="9"/>
  <c r="D121" i="9" s="1"/>
  <c r="G34" i="9"/>
  <c r="C121" i="9" s="1"/>
  <c r="F34" i="9"/>
  <c r="B121" i="9" s="1"/>
  <c r="F36" i="9"/>
  <c r="B123" i="9" s="1"/>
  <c r="K117" i="9"/>
  <c r="K116" i="9"/>
  <c r="K115" i="9"/>
  <c r="K114" i="9"/>
  <c r="J117" i="9"/>
  <c r="J116" i="9"/>
  <c r="J115" i="9"/>
  <c r="J114" i="9"/>
  <c r="I117" i="9"/>
  <c r="I116" i="9"/>
  <c r="I115" i="9"/>
  <c r="I114" i="9"/>
  <c r="H117" i="9"/>
  <c r="H116" i="9"/>
  <c r="H115" i="9"/>
  <c r="H114" i="9"/>
  <c r="G117" i="9"/>
  <c r="G116" i="9"/>
  <c r="G115" i="9"/>
  <c r="G114" i="9"/>
  <c r="F117" i="9"/>
  <c r="F116" i="9"/>
  <c r="F115" i="9"/>
  <c r="F114" i="9"/>
  <c r="E117" i="9"/>
  <c r="E116" i="9"/>
  <c r="E115" i="9"/>
  <c r="E114" i="9"/>
  <c r="D117" i="9"/>
  <c r="D116" i="9"/>
  <c r="D115" i="9"/>
  <c r="D114" i="9"/>
  <c r="C117" i="9"/>
  <c r="C116" i="9"/>
  <c r="C115" i="9"/>
  <c r="C114" i="9"/>
  <c r="B117" i="9"/>
  <c r="B116" i="9"/>
  <c r="B115" i="9"/>
  <c r="B114" i="9"/>
  <c r="H112" i="9"/>
  <c r="G112" i="9"/>
  <c r="F112" i="9"/>
  <c r="E112" i="9"/>
  <c r="D112" i="9"/>
  <c r="C112" i="9"/>
  <c r="B112" i="9"/>
  <c r="O123" i="9"/>
  <c r="L123" i="9"/>
  <c r="K60" i="9"/>
  <c r="G131" i="9" s="1"/>
  <c r="J60" i="9"/>
  <c r="F131" i="9" s="1"/>
  <c r="I60" i="9"/>
  <c r="E131" i="9" s="1"/>
  <c r="H60" i="9"/>
  <c r="D131" i="9" s="1"/>
  <c r="G60" i="9"/>
  <c r="C131" i="9" s="1"/>
  <c r="F60" i="9"/>
  <c r="B131" i="9" s="1"/>
  <c r="P77" i="9"/>
  <c r="O77" i="9"/>
  <c r="N77" i="9"/>
  <c r="M77" i="9"/>
  <c r="L77" i="9"/>
  <c r="P60" i="9"/>
  <c r="P76" i="9" s="1"/>
  <c r="O60" i="9"/>
  <c r="K131" i="9" s="1"/>
  <c r="N60" i="9"/>
  <c r="J131" i="9" s="1"/>
  <c r="M60" i="9"/>
  <c r="M59" i="9" s="1"/>
  <c r="L60" i="9"/>
  <c r="L76" i="9" s="1"/>
  <c r="I76" i="9"/>
  <c r="IV60" i="9"/>
  <c r="IV61" i="9" s="1"/>
  <c r="IU60" i="9"/>
  <c r="IU61" i="9" s="1"/>
  <c r="IT60" i="9"/>
  <c r="IT61" i="9" s="1"/>
  <c r="IS60" i="9"/>
  <c r="IS61" i="9" s="1"/>
  <c r="IR60" i="9"/>
  <c r="IR59" i="9" s="1"/>
  <c r="IQ60" i="9"/>
  <c r="IQ61" i="9" s="1"/>
  <c r="IP60" i="9"/>
  <c r="IP61" i="9" s="1"/>
  <c r="IO60" i="9"/>
  <c r="IO61" i="9" s="1"/>
  <c r="IN60" i="9"/>
  <c r="IN61" i="9" s="1"/>
  <c r="IM60" i="9"/>
  <c r="IM61" i="9" s="1"/>
  <c r="IL60" i="9"/>
  <c r="IL61" i="9" s="1"/>
  <c r="IK60" i="9"/>
  <c r="IK61" i="9" s="1"/>
  <c r="IJ60" i="9"/>
  <c r="IJ61" i="9" s="1"/>
  <c r="II60" i="9"/>
  <c r="II59" i="9" s="1"/>
  <c r="IH60" i="9"/>
  <c r="IH59" i="9" s="1"/>
  <c r="IF60" i="9"/>
  <c r="IF61" i="9" s="1"/>
  <c r="IE60" i="9"/>
  <c r="IE61" i="9" s="1"/>
  <c r="ID60" i="9"/>
  <c r="ID59" i="9" s="1"/>
  <c r="IC60" i="9"/>
  <c r="IC59" i="9" s="1"/>
  <c r="IB60" i="9"/>
  <c r="IB61" i="9" s="1"/>
  <c r="IA60" i="9"/>
  <c r="IA61" i="9" s="1"/>
  <c r="HZ60" i="9"/>
  <c r="HZ59" i="9" s="1"/>
  <c r="HY60" i="9"/>
  <c r="HY61" i="9" s="1"/>
  <c r="HX60" i="9"/>
  <c r="HX61" i="9" s="1"/>
  <c r="HW60" i="9"/>
  <c r="HW61" i="9" s="1"/>
  <c r="HV60" i="9"/>
  <c r="HV61" i="9" s="1"/>
  <c r="HU60" i="9"/>
  <c r="HU61" i="9" s="1"/>
  <c r="HT60" i="9"/>
  <c r="HT61" i="9" s="1"/>
  <c r="HS60" i="9"/>
  <c r="HS61" i="9" s="1"/>
  <c r="HR60" i="9"/>
  <c r="HR61" i="9" s="1"/>
  <c r="HP60" i="9"/>
  <c r="HP61" i="9" s="1"/>
  <c r="HO60" i="9"/>
  <c r="HO59" i="9" s="1"/>
  <c r="HN60" i="9"/>
  <c r="HN61" i="9" s="1"/>
  <c r="HM60" i="9"/>
  <c r="HM61" i="9" s="1"/>
  <c r="HL60" i="9"/>
  <c r="HL61" i="9" s="1"/>
  <c r="HK60" i="9"/>
  <c r="HK61" i="9" s="1"/>
  <c r="HJ60" i="9"/>
  <c r="HJ61" i="9" s="1"/>
  <c r="HI60" i="9"/>
  <c r="HI61" i="9" s="1"/>
  <c r="HH60" i="9"/>
  <c r="HH61" i="9" s="1"/>
  <c r="HG60" i="9"/>
  <c r="HG61" i="9" s="1"/>
  <c r="HF60" i="9"/>
  <c r="HF61" i="9" s="1"/>
  <c r="HE60" i="9"/>
  <c r="HE61" i="9" s="1"/>
  <c r="HD60" i="9"/>
  <c r="HD61" i="9" s="1"/>
  <c r="HC60" i="9"/>
  <c r="HC61" i="9" s="1"/>
  <c r="HB60" i="9"/>
  <c r="HB61" i="9" s="1"/>
  <c r="GZ60" i="9"/>
  <c r="GZ59" i="9" s="1"/>
  <c r="GY60" i="9"/>
  <c r="GY61" i="9" s="1"/>
  <c r="GX60" i="9"/>
  <c r="GX61" i="9" s="1"/>
  <c r="GW60" i="9"/>
  <c r="GW59" i="9" s="1"/>
  <c r="GV60" i="9"/>
  <c r="GV61" i="9" s="1"/>
  <c r="GU60" i="9"/>
  <c r="GU61" i="9" s="1"/>
  <c r="GT60" i="9"/>
  <c r="GT61" i="9" s="1"/>
  <c r="GS60" i="9"/>
  <c r="GS59" i="9" s="1"/>
  <c r="GR60" i="9"/>
  <c r="GR61" i="9" s="1"/>
  <c r="GQ60" i="9"/>
  <c r="GQ61" i="9" s="1"/>
  <c r="GP60" i="9"/>
  <c r="GP61" i="9" s="1"/>
  <c r="GO60" i="9"/>
  <c r="GO61" i="9" s="1"/>
  <c r="GN60" i="9"/>
  <c r="GN61" i="9" s="1"/>
  <c r="GM60" i="9"/>
  <c r="GM61" i="9" s="1"/>
  <c r="GL60" i="9"/>
  <c r="GL61" i="9" s="1"/>
  <c r="GJ60" i="9"/>
  <c r="GJ61" i="9" s="1"/>
  <c r="GI60" i="9"/>
  <c r="GI61" i="9" s="1"/>
  <c r="GH60" i="9"/>
  <c r="GH61" i="9" s="1"/>
  <c r="GG60" i="9"/>
  <c r="GG61" i="9" s="1"/>
  <c r="GF60" i="9"/>
  <c r="GF61" i="9" s="1"/>
  <c r="GE60" i="9"/>
  <c r="GE61" i="9" s="1"/>
  <c r="GD60" i="9"/>
  <c r="GD61" i="9" s="1"/>
  <c r="GC60" i="9"/>
  <c r="GC61" i="9" s="1"/>
  <c r="GB60" i="9"/>
  <c r="GB61" i="9" s="1"/>
  <c r="GA60" i="9"/>
  <c r="GA61" i="9" s="1"/>
  <c r="FZ60" i="9"/>
  <c r="FZ61" i="9" s="1"/>
  <c r="FY60" i="9"/>
  <c r="FY61" i="9" s="1"/>
  <c r="FX60" i="9"/>
  <c r="FX61" i="9" s="1"/>
  <c r="FW60" i="9"/>
  <c r="FW61" i="9" s="1"/>
  <c r="FV60" i="9"/>
  <c r="FV61" i="9" s="1"/>
  <c r="FT60" i="9"/>
  <c r="FT61" i="9" s="1"/>
  <c r="FS60" i="9"/>
  <c r="FS61" i="9" s="1"/>
  <c r="FR60" i="9"/>
  <c r="FR59" i="9" s="1"/>
  <c r="FQ60" i="9"/>
  <c r="FQ61" i="9"/>
  <c r="FP60" i="9"/>
  <c r="FP61" i="9" s="1"/>
  <c r="FO60" i="9"/>
  <c r="FO61" i="9" s="1"/>
  <c r="FN60" i="9"/>
  <c r="FN61" i="9" s="1"/>
  <c r="FM60" i="9"/>
  <c r="FM59" i="9" s="1"/>
  <c r="FL60" i="9"/>
  <c r="FL61" i="9" s="1"/>
  <c r="FK60" i="9"/>
  <c r="FK61" i="9" s="1"/>
  <c r="FJ60" i="9"/>
  <c r="FJ61" i="9" s="1"/>
  <c r="FI60" i="9"/>
  <c r="FI61" i="9" s="1"/>
  <c r="FH60" i="9"/>
  <c r="FH61" i="9" s="1"/>
  <c r="FG60" i="9"/>
  <c r="FG61" i="9" s="1"/>
  <c r="FF60" i="9"/>
  <c r="FF61" i="9" s="1"/>
  <c r="FD60" i="9"/>
  <c r="FD61" i="9" s="1"/>
  <c r="FC60" i="9"/>
  <c r="FC61" i="9" s="1"/>
  <c r="FB60" i="9"/>
  <c r="FB61" i="9" s="1"/>
  <c r="FA60" i="9"/>
  <c r="FA61" i="9" s="1"/>
  <c r="EZ60" i="9"/>
  <c r="EZ61" i="9" s="1"/>
  <c r="EY60" i="9"/>
  <c r="EY61" i="9"/>
  <c r="EX60" i="9"/>
  <c r="EX61" i="9" s="1"/>
  <c r="EW60" i="9"/>
  <c r="EW61" i="9" s="1"/>
  <c r="EV60" i="9"/>
  <c r="EV61" i="9" s="1"/>
  <c r="EU60" i="9"/>
  <c r="EU61" i="9" s="1"/>
  <c r="ET60" i="9"/>
  <c r="ET61" i="9" s="1"/>
  <c r="ES60" i="9"/>
  <c r="ES61" i="9" s="1"/>
  <c r="ER60" i="9"/>
  <c r="ER61" i="9" s="1"/>
  <c r="EQ60" i="9"/>
  <c r="EQ61" i="9" s="1"/>
  <c r="EP60" i="9"/>
  <c r="EP61" i="9" s="1"/>
  <c r="EN60" i="9"/>
  <c r="EN61" i="9" s="1"/>
  <c r="EM60" i="9"/>
  <c r="EM61" i="9" s="1"/>
  <c r="EL60" i="9"/>
  <c r="EL61" i="9" s="1"/>
  <c r="EK60" i="9"/>
  <c r="EK61" i="9" s="1"/>
  <c r="EJ60" i="9"/>
  <c r="EJ59" i="9" s="1"/>
  <c r="EI60" i="9"/>
  <c r="EI61" i="9" s="1"/>
  <c r="EH60" i="9"/>
  <c r="EH59" i="9" s="1"/>
  <c r="EG60" i="9"/>
  <c r="EG61" i="9" s="1"/>
  <c r="EF60" i="9"/>
  <c r="EF59" i="9" s="1"/>
  <c r="EF61" i="9"/>
  <c r="EE60" i="9"/>
  <c r="EE61" i="9" s="1"/>
  <c r="ED60" i="9"/>
  <c r="ED61" i="9"/>
  <c r="EC60" i="9"/>
  <c r="EC61" i="9" s="1"/>
  <c r="EB60" i="9"/>
  <c r="EB61" i="9" s="1"/>
  <c r="EB59" i="9"/>
  <c r="EA60" i="9"/>
  <c r="EA61" i="9" s="1"/>
  <c r="DZ60" i="9"/>
  <c r="DZ61" i="9" s="1"/>
  <c r="DX60" i="9"/>
  <c r="DX61" i="9" s="1"/>
  <c r="DW60" i="9"/>
  <c r="DW61" i="9" s="1"/>
  <c r="DV60" i="9"/>
  <c r="DV61" i="9" s="1"/>
  <c r="DU60" i="9"/>
  <c r="DU61" i="9" s="1"/>
  <c r="DT60" i="9"/>
  <c r="DT61" i="9" s="1"/>
  <c r="DS60" i="9"/>
  <c r="DS61" i="9" s="1"/>
  <c r="DR60" i="9"/>
  <c r="DR61" i="9" s="1"/>
  <c r="DQ60" i="9"/>
  <c r="DQ61" i="9" s="1"/>
  <c r="DP60" i="9"/>
  <c r="DP61" i="9" s="1"/>
  <c r="DO60" i="9"/>
  <c r="DO61" i="9" s="1"/>
  <c r="DN60" i="9"/>
  <c r="DN61" i="9"/>
  <c r="DM60" i="9"/>
  <c r="DM61" i="9" s="1"/>
  <c r="DL60" i="9"/>
  <c r="DL59" i="9" s="1"/>
  <c r="DK60" i="9"/>
  <c r="DK61" i="9" s="1"/>
  <c r="DJ60" i="9"/>
  <c r="DJ61" i="9" s="1"/>
  <c r="DH60" i="9"/>
  <c r="DH61" i="9" s="1"/>
  <c r="DG60" i="9"/>
  <c r="DG61" i="9" s="1"/>
  <c r="DF60" i="9"/>
  <c r="DF61" i="9" s="1"/>
  <c r="DE60" i="9"/>
  <c r="DE61" i="9" s="1"/>
  <c r="DD60" i="9"/>
  <c r="DD61" i="9" s="1"/>
  <c r="DC60" i="9"/>
  <c r="DC61" i="9" s="1"/>
  <c r="DB60" i="9"/>
  <c r="DB59" i="9" s="1"/>
  <c r="DA60" i="9"/>
  <c r="DA61" i="9" s="1"/>
  <c r="CZ60" i="9"/>
  <c r="CZ61" i="9" s="1"/>
  <c r="CY60" i="9"/>
  <c r="CY59" i="9" s="1"/>
  <c r="CX60" i="9"/>
  <c r="CX61" i="9" s="1"/>
  <c r="CW60" i="9"/>
  <c r="CW59" i="9" s="1"/>
  <c r="CV60" i="9"/>
  <c r="CV61" i="9" s="1"/>
  <c r="CU60" i="9"/>
  <c r="CU61" i="9" s="1"/>
  <c r="CT60" i="9"/>
  <c r="CT61" i="9" s="1"/>
  <c r="CR60" i="9"/>
  <c r="CR61" i="9" s="1"/>
  <c r="CQ60" i="9"/>
  <c r="CQ61" i="9" s="1"/>
  <c r="CP60" i="9"/>
  <c r="CP59" i="9" s="1"/>
  <c r="CO60" i="9"/>
  <c r="CO61" i="9" s="1"/>
  <c r="CN60" i="9"/>
  <c r="CN61" i="9" s="1"/>
  <c r="CM60" i="9"/>
  <c r="CM61" i="9" s="1"/>
  <c r="CL60" i="9"/>
  <c r="CL59" i="9" s="1"/>
  <c r="CK60" i="9"/>
  <c r="CK61" i="9" s="1"/>
  <c r="CJ60" i="9"/>
  <c r="CJ61" i="9" s="1"/>
  <c r="CI60" i="9"/>
  <c r="CI61" i="9" s="1"/>
  <c r="CH60" i="9"/>
  <c r="CH61" i="9" s="1"/>
  <c r="CG60" i="9"/>
  <c r="CG61" i="9" s="1"/>
  <c r="CF60" i="9"/>
  <c r="CF59" i="9" s="1"/>
  <c r="CE60" i="9"/>
  <c r="CE61" i="9" s="1"/>
  <c r="CD60" i="9"/>
  <c r="CD61" i="9" s="1"/>
  <c r="CB60" i="9"/>
  <c r="CB61" i="9" s="1"/>
  <c r="CA60" i="9"/>
  <c r="CA61" i="9" s="1"/>
  <c r="BZ60" i="9"/>
  <c r="BZ61" i="9" s="1"/>
  <c r="BY60" i="9"/>
  <c r="BY59" i="9" s="1"/>
  <c r="BX60" i="9"/>
  <c r="BX61" i="9" s="1"/>
  <c r="BW60" i="9"/>
  <c r="BW61" i="9" s="1"/>
  <c r="BV60" i="9"/>
  <c r="BV61" i="9" s="1"/>
  <c r="BU60" i="9"/>
  <c r="BU61" i="9" s="1"/>
  <c r="BU59" i="9"/>
  <c r="BT60" i="9"/>
  <c r="BT61" i="9" s="1"/>
  <c r="BS60" i="9"/>
  <c r="BS61" i="9" s="1"/>
  <c r="BR60" i="9"/>
  <c r="BR61" i="9" s="1"/>
  <c r="BQ60" i="9"/>
  <c r="BQ61" i="9" s="1"/>
  <c r="BP60" i="9"/>
  <c r="BP61" i="9" s="1"/>
  <c r="BO60" i="9"/>
  <c r="BO61" i="9" s="1"/>
  <c r="BN60" i="9"/>
  <c r="BN61" i="9" s="1"/>
  <c r="BL60" i="9"/>
  <c r="BL61" i="9" s="1"/>
  <c r="BK60" i="9"/>
  <c r="BK61" i="9" s="1"/>
  <c r="BJ60" i="9"/>
  <c r="BJ61" i="9" s="1"/>
  <c r="BI60" i="9"/>
  <c r="BI61" i="9" s="1"/>
  <c r="BH60" i="9"/>
  <c r="BH59" i="9" s="1"/>
  <c r="BG60" i="9"/>
  <c r="BG61" i="9" s="1"/>
  <c r="BF60" i="9"/>
  <c r="BF61" i="9" s="1"/>
  <c r="BE60" i="9"/>
  <c r="BE61" i="9" s="1"/>
  <c r="BD60" i="9"/>
  <c r="BD59" i="9" s="1"/>
  <c r="BC60" i="9"/>
  <c r="BC61" i="9" s="1"/>
  <c r="BB60" i="9"/>
  <c r="BB61" i="9" s="1"/>
  <c r="BA60" i="9"/>
  <c r="BA61" i="9" s="1"/>
  <c r="AZ60" i="9"/>
  <c r="AZ61" i="9" s="1"/>
  <c r="AY60" i="9"/>
  <c r="AY61" i="9" s="1"/>
  <c r="AX60" i="9"/>
  <c r="AX61" i="9" s="1"/>
  <c r="AV60" i="9"/>
  <c r="AV59" i="9" s="1"/>
  <c r="AU60" i="9"/>
  <c r="AU61" i="9" s="1"/>
  <c r="AB60" i="9"/>
  <c r="AB61" i="9" s="1"/>
  <c r="AA60" i="9"/>
  <c r="AA61" i="9" s="1"/>
  <c r="Z60" i="9"/>
  <c r="Z61" i="9" s="1"/>
  <c r="IV59" i="9"/>
  <c r="IU59" i="9"/>
  <c r="IT59" i="9"/>
  <c r="IP59" i="9"/>
  <c r="IN59" i="9"/>
  <c r="IM59" i="9"/>
  <c r="IL59" i="9"/>
  <c r="IJ59" i="9"/>
  <c r="IF59" i="9"/>
  <c r="IB59" i="9"/>
  <c r="HW59" i="9"/>
  <c r="HV59" i="9"/>
  <c r="HU59" i="9"/>
  <c r="HS59" i="9"/>
  <c r="HM59" i="9"/>
  <c r="HL59" i="9"/>
  <c r="HK59" i="9"/>
  <c r="HH59" i="9"/>
  <c r="HG59" i="9"/>
  <c r="HE59" i="9"/>
  <c r="HD59" i="9"/>
  <c r="GX59" i="9"/>
  <c r="GV59" i="9"/>
  <c r="GP59" i="9"/>
  <c r="GN59" i="9"/>
  <c r="GJ59" i="9"/>
  <c r="GG59" i="9"/>
  <c r="GB59" i="9"/>
  <c r="FY59" i="9"/>
  <c r="FW59" i="9"/>
  <c r="FS59" i="9"/>
  <c r="FQ59" i="9"/>
  <c r="FN59" i="9"/>
  <c r="FK59" i="9"/>
  <c r="FI59" i="9"/>
  <c r="FD59" i="9"/>
  <c r="FC59" i="9"/>
  <c r="FB59" i="9"/>
  <c r="EZ59" i="9"/>
  <c r="EY59" i="9"/>
  <c r="EW59" i="9"/>
  <c r="EV59" i="9"/>
  <c r="EU59" i="9"/>
  <c r="ET59" i="9"/>
  <c r="EQ59" i="9"/>
  <c r="EN59" i="9"/>
  <c r="EM59" i="9"/>
  <c r="EL59" i="9"/>
  <c r="EK59" i="9"/>
  <c r="EI59" i="9"/>
  <c r="EE59" i="9"/>
  <c r="ED59" i="9"/>
  <c r="EC59" i="9"/>
  <c r="EA59" i="9"/>
  <c r="DZ59" i="9"/>
  <c r="DW59" i="9"/>
  <c r="DV59" i="9"/>
  <c r="DR59" i="9"/>
  <c r="DQ59" i="9"/>
  <c r="DN59" i="9"/>
  <c r="DJ59" i="9"/>
  <c r="DH59" i="9"/>
  <c r="DC59" i="9"/>
  <c r="DA59" i="9"/>
  <c r="CZ59" i="9"/>
  <c r="CV59" i="9"/>
  <c r="CA59" i="9"/>
  <c r="BV59" i="9"/>
  <c r="BS59" i="9"/>
  <c r="BO59" i="9"/>
  <c r="BN59" i="9"/>
  <c r="BJ59" i="9"/>
  <c r="BE59" i="9"/>
  <c r="BB59" i="9"/>
  <c r="AX59" i="9"/>
  <c r="O34" i="9"/>
  <c r="N34" i="9"/>
  <c r="J121" i="9" s="1"/>
  <c r="M34" i="9"/>
  <c r="I121" i="9" s="1"/>
  <c r="K73" i="9"/>
  <c r="C73" i="9"/>
  <c r="C72" i="9"/>
  <c r="C71" i="9"/>
  <c r="M70" i="9"/>
  <c r="M72" i="9"/>
  <c r="M73" i="9"/>
  <c r="K68" i="9"/>
  <c r="K69" i="9"/>
  <c r="K70" i="9"/>
  <c r="K71" i="9"/>
  <c r="K72" i="9"/>
  <c r="J68" i="9"/>
  <c r="J69" i="9"/>
  <c r="J70" i="9"/>
  <c r="J72" i="9"/>
  <c r="I68" i="9"/>
  <c r="I69" i="9"/>
  <c r="I70" i="9"/>
  <c r="I72" i="9"/>
  <c r="I73" i="9"/>
  <c r="G68" i="9"/>
  <c r="G69" i="9"/>
  <c r="G70" i="9"/>
  <c r="G71" i="9"/>
  <c r="G72" i="9"/>
  <c r="F68" i="9"/>
  <c r="F69" i="9"/>
  <c r="F70" i="9"/>
  <c r="F72" i="9"/>
  <c r="C68" i="9"/>
  <c r="C69" i="9"/>
  <c r="O73" i="9"/>
  <c r="N73" i="9"/>
  <c r="O72" i="9"/>
  <c r="N72" i="9"/>
  <c r="L72" i="9"/>
  <c r="H72" i="9"/>
  <c r="O70" i="9"/>
  <c r="N70" i="9"/>
  <c r="L70" i="9"/>
  <c r="H70" i="9"/>
  <c r="L69" i="9"/>
  <c r="H69" i="9"/>
  <c r="L68" i="9"/>
  <c r="H68" i="9"/>
  <c r="F113" i="9"/>
  <c r="G113" i="9"/>
  <c r="H113" i="9"/>
  <c r="G134" i="9"/>
  <c r="G135" i="9" s="1"/>
  <c r="H134" i="9"/>
  <c r="H135" i="9" s="1"/>
  <c r="C76" i="9"/>
  <c r="G76" i="9"/>
  <c r="K61" i="9"/>
  <c r="G132" i="9" s="1"/>
  <c r="P59" i="9"/>
  <c r="P75" i="9" s="1"/>
  <c r="I71" i="9"/>
  <c r="J113" i="9"/>
  <c r="K113" i="9"/>
  <c r="G59" i="9"/>
  <c r="C130" i="9" s="1"/>
  <c r="BK59" i="9"/>
  <c r="BT59" i="9"/>
  <c r="CB59" i="9"/>
  <c r="CG59" i="9"/>
  <c r="CK59" i="9"/>
  <c r="CO59" i="9"/>
  <c r="CT59" i="9"/>
  <c r="CX59" i="9"/>
  <c r="DF59" i="9"/>
  <c r="DG59" i="9"/>
  <c r="DP59" i="9"/>
  <c r="DX59" i="9"/>
  <c r="EG59" i="9"/>
  <c r="FO59" i="9"/>
  <c r="GF59" i="9"/>
  <c r="GO59" i="9"/>
  <c r="HF59" i="9"/>
  <c r="HN59" i="9"/>
  <c r="K76" i="9"/>
  <c r="K59" i="9"/>
  <c r="G130" i="9" s="1"/>
  <c r="G61" i="9"/>
  <c r="C132" i="9" s="1"/>
  <c r="C75" i="9"/>
  <c r="C77" i="9"/>
  <c r="K75" i="9"/>
  <c r="E134" i="9"/>
  <c r="E135" i="9" s="1"/>
  <c r="D134" i="9"/>
  <c r="D135" i="9" s="1"/>
  <c r="C134" i="9"/>
  <c r="C135" i="9" s="1"/>
  <c r="I113" i="9"/>
  <c r="EX59" i="9" l="1"/>
  <c r="G75" i="9"/>
  <c r="AB59" i="9"/>
  <c r="IA59" i="9"/>
  <c r="EH61" i="9"/>
  <c r="FM61" i="9"/>
  <c r="L73" i="9"/>
  <c r="CJ59" i="9"/>
  <c r="J76" i="9"/>
  <c r="CR59" i="9"/>
  <c r="FT59" i="9"/>
  <c r="EJ61" i="9"/>
  <c r="K77" i="9"/>
  <c r="BG59" i="9"/>
  <c r="FF59" i="9"/>
  <c r="ID61" i="9"/>
  <c r="F59" i="9"/>
  <c r="I112" i="9"/>
  <c r="J112" i="9" s="1"/>
  <c r="K112" i="9" s="1"/>
  <c r="AY59" i="9"/>
  <c r="EP59" i="9"/>
  <c r="J71" i="9"/>
  <c r="F76" i="9"/>
  <c r="X34" i="9"/>
  <c r="P121" i="9" s="1"/>
  <c r="P122" i="9"/>
  <c r="GT59" i="9"/>
  <c r="BY61" i="9"/>
  <c r="HZ61" i="9"/>
  <c r="V59" i="9"/>
  <c r="V75" i="9" s="1"/>
  <c r="H61" i="9"/>
  <c r="D132" i="9" s="1"/>
  <c r="G73" i="9"/>
  <c r="DT59" i="9"/>
  <c r="ER59" i="9"/>
  <c r="GD59" i="9"/>
  <c r="GU59" i="9"/>
  <c r="HY59" i="9"/>
  <c r="FJ59" i="9"/>
  <c r="FR61" i="9"/>
  <c r="T59" i="9"/>
  <c r="T75" i="9" s="1"/>
  <c r="CE59" i="9"/>
  <c r="DE59" i="9"/>
  <c r="FP59" i="9"/>
  <c r="GE59" i="9"/>
  <c r="R59" i="9"/>
  <c r="R75" i="9" s="1"/>
  <c r="N71" i="9"/>
  <c r="F73" i="9"/>
  <c r="IS59" i="9"/>
  <c r="I59" i="9"/>
  <c r="E130" i="9" s="1"/>
  <c r="FL59" i="9"/>
  <c r="FX59" i="9"/>
  <c r="BX59" i="9"/>
  <c r="BP59" i="9"/>
  <c r="M71" i="9"/>
  <c r="CN59" i="9"/>
  <c r="FH59" i="9"/>
  <c r="HB59" i="9"/>
  <c r="HP59" i="9"/>
  <c r="GZ61" i="9"/>
  <c r="II61" i="9"/>
  <c r="P123" i="9"/>
  <c r="H73" i="9"/>
  <c r="F71" i="9"/>
  <c r="DM59" i="9"/>
  <c r="GL59" i="9"/>
  <c r="HI59" i="9"/>
  <c r="J129" i="9"/>
  <c r="J134" i="9" s="1"/>
  <c r="J135" i="9" s="1"/>
  <c r="I134" i="9"/>
  <c r="I135" i="9" s="1"/>
  <c r="BC59" i="9"/>
  <c r="H59" i="9"/>
  <c r="L71" i="9"/>
  <c r="J73" i="9"/>
  <c r="BW59" i="9"/>
  <c r="CI59" i="9"/>
  <c r="CQ59" i="9"/>
  <c r="GC59" i="9"/>
  <c r="GH59" i="9"/>
  <c r="GY59" i="9"/>
  <c r="IE59" i="9"/>
  <c r="IK59" i="9"/>
  <c r="IO59" i="9"/>
  <c r="AV61" i="9"/>
  <c r="BL59" i="9"/>
  <c r="CD59" i="9"/>
  <c r="CF61" i="9"/>
  <c r="CU59" i="9"/>
  <c r="CW61" i="9"/>
  <c r="CY61" i="9"/>
  <c r="DL61" i="9"/>
  <c r="ES59" i="9"/>
  <c r="GS61" i="9"/>
  <c r="GW61" i="9"/>
  <c r="HO61" i="9"/>
  <c r="IC61" i="9"/>
  <c r="IH61" i="9"/>
  <c r="IR61" i="9"/>
  <c r="X59" i="9"/>
  <c r="X75" i="9" s="1"/>
  <c r="B134" i="9"/>
  <c r="B135" i="9" s="1"/>
  <c r="BF59" i="9"/>
  <c r="CM59" i="9"/>
  <c r="DO59" i="9"/>
  <c r="DU59" i="9"/>
  <c r="FZ59" i="9"/>
  <c r="GQ59" i="9"/>
  <c r="HC59" i="9"/>
  <c r="HT59" i="9"/>
  <c r="HX59" i="9"/>
  <c r="AU59" i="9"/>
  <c r="DB61" i="9"/>
  <c r="GR59" i="9"/>
  <c r="T35" i="9"/>
  <c r="T34" i="9" s="1"/>
  <c r="N121" i="9" s="1"/>
  <c r="FG59" i="9"/>
  <c r="H76" i="9"/>
  <c r="H71" i="9"/>
  <c r="DD59" i="9"/>
  <c r="FV59" i="9"/>
  <c r="GM59" i="9"/>
  <c r="HJ59" i="9"/>
  <c r="BD61" i="9"/>
  <c r="CL61" i="9"/>
  <c r="F61" i="9"/>
  <c r="I61" i="9"/>
  <c r="BH61" i="9"/>
  <c r="CP61" i="9"/>
  <c r="DK59" i="9"/>
  <c r="GA59" i="9"/>
  <c r="IQ59" i="9"/>
  <c r="E113" i="9"/>
  <c r="D113" i="9" s="1"/>
  <c r="C113" i="9" s="1"/>
  <c r="B113" i="9" s="1"/>
  <c r="L122" i="9"/>
  <c r="P34" i="9"/>
  <c r="L121" i="9" s="1"/>
  <c r="I130" i="9"/>
  <c r="M75" i="9"/>
  <c r="G77" i="9"/>
  <c r="O71" i="9"/>
  <c r="K121" i="9"/>
  <c r="V34" i="9"/>
  <c r="O121" i="9" s="1"/>
  <c r="O122" i="9"/>
  <c r="AA59" i="9"/>
  <c r="BA59" i="9"/>
  <c r="BI59" i="9"/>
  <c r="BR59" i="9"/>
  <c r="BZ59" i="9"/>
  <c r="Z59" i="9"/>
  <c r="AZ59" i="9"/>
  <c r="BQ59" i="9"/>
  <c r="CH59" i="9"/>
  <c r="DS59" i="9"/>
  <c r="FA59" i="9"/>
  <c r="GI59" i="9"/>
  <c r="HR59" i="9"/>
  <c r="L59" i="9"/>
  <c r="N59" i="9"/>
  <c r="M76" i="9"/>
  <c r="O76" i="9"/>
  <c r="J59" i="9"/>
  <c r="J61" i="9"/>
  <c r="I131" i="9"/>
  <c r="H131" i="9"/>
  <c r="O59" i="9"/>
  <c r="N76" i="9"/>
  <c r="I75" i="9"/>
  <c r="B130" i="9" l="1"/>
  <c r="F75" i="9"/>
  <c r="K129" i="9"/>
  <c r="K134" i="9" s="1"/>
  <c r="K135" i="9" s="1"/>
  <c r="H77" i="9"/>
  <c r="N122" i="9"/>
  <c r="D130" i="9"/>
  <c r="H75" i="9"/>
  <c r="E132" i="9"/>
  <c r="I77" i="9"/>
  <c r="B132" i="9"/>
  <c r="F77" i="9"/>
  <c r="J77" i="9"/>
  <c r="F132" i="9"/>
  <c r="N75" i="9"/>
  <c r="J130" i="9"/>
  <c r="K130" i="9"/>
  <c r="O75" i="9"/>
  <c r="F130" i="9"/>
  <c r="J75" i="9"/>
  <c r="L75" i="9"/>
  <c r="H130" i="9"/>
</calcChain>
</file>

<file path=xl/sharedStrings.xml><?xml version="1.0" encoding="utf-8"?>
<sst xmlns="http://schemas.openxmlformats.org/spreadsheetml/2006/main" count="174" uniqueCount="92">
  <si>
    <t>Nature du matériau :</t>
  </si>
  <si>
    <t>PARTIE NORMATIVE</t>
  </si>
  <si>
    <t>MB</t>
  </si>
  <si>
    <t>MBf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</si>
  <si>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</si>
  <si>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</si>
  <si>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</si>
  <si>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</si>
  <si>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</si>
  <si>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</si>
  <si>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</si>
  <si>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</si>
  <si>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</si>
  <si>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</si>
  <si>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</si>
  <si>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</si>
  <si>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</si>
  <si>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</si>
  <si>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</si>
  <si>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</si>
  <si>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NE PAS MODIFIER LES ELEMENTS A L'INTERIEUR DU CADRE !!!!!!</t>
  </si>
  <si>
    <t>Tamis</t>
  </si>
  <si>
    <t>Moyenne Xf</t>
  </si>
  <si>
    <t>Partie Informative</t>
  </si>
  <si>
    <t>Xf - U</t>
  </si>
  <si>
    <t>Xf + U</t>
  </si>
  <si>
    <t>N°4</t>
  </si>
  <si>
    <t>N°5</t>
  </si>
  <si>
    <t>N°6</t>
  </si>
  <si>
    <t>N°7</t>
  </si>
  <si>
    <t>N°8</t>
  </si>
  <si>
    <t>N°9</t>
  </si>
  <si>
    <t>N°10</t>
  </si>
  <si>
    <t>N°11</t>
  </si>
  <si>
    <t>N°12</t>
  </si>
  <si>
    <t>N°13</t>
  </si>
  <si>
    <t>N°14</t>
  </si>
  <si>
    <t>N°15</t>
  </si>
  <si>
    <t>MOYENNE</t>
  </si>
  <si>
    <t>Feuille 1/2</t>
  </si>
  <si>
    <t>U</t>
  </si>
  <si>
    <t>Rappel des éléments de la feuille 1/2</t>
  </si>
  <si>
    <t>Partie Informative Fournisseur</t>
  </si>
  <si>
    <t>PARTIE CONTRÔLE ENTREPRISE</t>
  </si>
  <si>
    <t>Feuille 2/2</t>
  </si>
  <si>
    <t>N°1 - 12/02/05</t>
  </si>
  <si>
    <t>N°2 - 15/02/05</t>
  </si>
  <si>
    <t>N°3 - 18/02/05</t>
  </si>
  <si>
    <t>XP P 18-545, article 8 - EN 13043</t>
  </si>
  <si>
    <t>B III</t>
  </si>
  <si>
    <t>d/2</t>
  </si>
  <si>
    <t>d</t>
  </si>
  <si>
    <t>D/1.4</t>
  </si>
  <si>
    <t>FI</t>
  </si>
  <si>
    <t>LA</t>
  </si>
  <si>
    <t>MDE</t>
  </si>
  <si>
    <t>PSV</t>
  </si>
  <si>
    <t>Vss + U</t>
  </si>
  <si>
    <t>Vss</t>
  </si>
  <si>
    <t>Vsi</t>
  </si>
  <si>
    <t>Vsi - U</t>
  </si>
  <si>
    <t>PARTIE INFORMATIVE</t>
  </si>
  <si>
    <t>Sup à Vss + U</t>
  </si>
  <si>
    <t>Inf à Vsi - U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</si>
  <si>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</si>
  <si>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</si>
  <si>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</si>
  <si>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</si>
  <si>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</si>
  <si>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</si>
  <si>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Opérateur :</t>
  </si>
  <si>
    <t>Nature pétrographique de la roche mère:</t>
  </si>
  <si>
    <t>Date de(s) essai(s) :</t>
  </si>
  <si>
    <t>Date de(s) prélèvement(s) :</t>
  </si>
  <si>
    <t>CONTRÔLE ACQUEREUR GRAVILLONS
(3 analyses au moins) SELON  XP P  18-545</t>
  </si>
  <si>
    <t>CAG</t>
  </si>
  <si>
    <t>2/</t>
  </si>
  <si>
    <t>CRITERES DE CONFORMITE</t>
  </si>
  <si>
    <t>Source des critères :</t>
  </si>
  <si>
    <t>Définition des critères / objectifs :</t>
  </si>
  <si>
    <t>6,3/10</t>
  </si>
  <si>
    <t>Norme :</t>
  </si>
  <si>
    <t xml:space="preserve">                Tamis
Echantillons</t>
  </si>
  <si>
    <t>CONCLUSIONS</t>
  </si>
  <si>
    <t>COMMENTAIRES</t>
  </si>
  <si>
    <t>4/</t>
  </si>
  <si>
    <t>5/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</si>
  <si>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</si>
  <si>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3.1/   </t>
    </r>
    <r>
      <rPr>
        <b/>
        <u/>
        <sz val="12"/>
        <rFont val="Century Gothic"/>
        <family val="2"/>
      </rPr>
      <t>RESULTATS DES ESSAIS</t>
    </r>
  </si>
  <si>
    <r>
      <t xml:space="preserve">  3.2/   </t>
    </r>
    <r>
      <rPr>
        <b/>
        <u/>
        <sz val="12"/>
        <rFont val="Century Gothic"/>
        <family val="2"/>
      </rPr>
      <t>RESULTATS DES ESSAIS (suite)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</si>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</sst>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b/>
      <sz val="10"/>
      <color indexed="10"/>
      <name val="Century Gothic"/>
      <family val="2"/>
    </font>
    <font>
      <b/>
      <sz val="10"/>
      <color rgb="FFFF0000"/>
      <name val="Century Gothic"/>
      <family val="2"/>
    </font>
    <font>
      <sz val="10"/>
      <color indexed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14"/>
      <color indexed="10"/>
      <name val="Century Gothic"/>
      <family val="2"/>
    </font>
    <font>
      <b/>
      <i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9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medium">
        <color indexed="64"/>
      </diagonal>
    </border>
    <border diagonalDown="1">
      <left/>
      <right/>
      <top style="medium">
        <color indexed="64"/>
      </top>
      <bottom/>
      <diagonal style="medium">
        <color indexed="64"/>
      </diagonal>
    </border>
    <border diagonalDown="1">
      <left/>
      <right style="thin">
        <color indexed="64"/>
      </right>
      <top style="medium">
        <color indexed="64"/>
      </top>
      <bottom/>
      <diagonal style="medium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medium">
        <color indexed="64"/>
      </diagonal>
    </border>
    <border diagonalDown="1">
      <left/>
      <right/>
      <top/>
      <bottom style="medium">
        <color indexed="64"/>
      </bottom>
      <diagonal style="medium">
        <color indexed="64"/>
      </diagonal>
    </border>
    <border diagonalDown="1">
      <left/>
      <right style="thin">
        <color indexed="64"/>
      </right>
      <top/>
      <bottom style="medium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</borders>
  <cellStyleXfs count="1">
    <xf numFmtId="0" fontId="0" fillId="0" borderId="0"/>
  </cellStyleXfs>
  <cellXfs count="484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47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0" fontId="5" fillId="0" borderId="47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Alignment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9" fillId="0" borderId="47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5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53" xfId="0" applyFont="1" applyFill="1" applyBorder="1" applyAlignment="1" applyProtection="1">
      <alignment horizontal="center" vertical="center"/>
      <protection locked="0"/>
    </xf>
    <xf numFmtId="0" fontId="3" fillId="0" borderId="50" xfId="0" applyFont="1" applyFill="1" applyBorder="1" applyAlignment="1" applyProtection="1">
      <alignment horizontal="center" vertical="center"/>
      <protection locked="0"/>
    </xf>
    <xf numFmtId="0" fontId="2" fillId="0" borderId="4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54" xfId="0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10" fillId="0" borderId="19" xfId="0" applyFont="1" applyFill="1" applyBorder="1" applyAlignment="1" applyProtection="1">
      <alignment horizontal="center" vertical="center"/>
      <protection locked="0"/>
    </xf>
    <xf numFmtId="0" fontId="10" fillId="0" borderId="20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164" fontId="2" fillId="0" borderId="15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164" fontId="2" fillId="0" borderId="60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" fontId="2" fillId="0" borderId="13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center"/>
    </xf>
    <xf numFmtId="0" fontId="2" fillId="0" borderId="52" xfId="0" applyFont="1" applyFill="1" applyBorder="1" applyAlignment="1">
      <alignment horizontal="center" vertical="center"/>
    </xf>
    <xf numFmtId="164" fontId="3" fillId="0" borderId="61" xfId="0" applyNumberFormat="1" applyFont="1" applyFill="1" applyBorder="1" applyAlignment="1">
      <alignment horizontal="center" vertical="center"/>
    </xf>
    <xf numFmtId="164" fontId="3" fillId="0" borderId="21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" fontId="3" fillId="0" borderId="21" xfId="0" applyNumberFormat="1" applyFont="1" applyFill="1" applyBorder="1" applyAlignment="1">
      <alignment horizontal="center" vertical="center"/>
    </xf>
    <xf numFmtId="1" fontId="3" fillId="0" borderId="20" xfId="0" applyNumberFormat="1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horizontal="center" vertical="center"/>
    </xf>
    <xf numFmtId="164" fontId="2" fillId="0" borderId="62" xfId="0" applyNumberFormat="1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14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3" xfId="0" applyFont="1" applyFill="1" applyBorder="1" applyAlignment="1">
      <alignment vertical="center"/>
    </xf>
    <xf numFmtId="0" fontId="9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vertical="center"/>
    </xf>
    <xf numFmtId="0" fontId="3" fillId="0" borderId="39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left" vertical="center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164" fontId="2" fillId="0" borderId="8" xfId="0" applyNumberFormat="1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64" fontId="2" fillId="0" borderId="16" xfId="0" applyNumberFormat="1" applyFont="1" applyFill="1" applyBorder="1" applyAlignment="1">
      <alignment horizontal="center" vertical="center"/>
    </xf>
    <xf numFmtId="164" fontId="2" fillId="0" borderId="17" xfId="0" applyNumberFormat="1" applyFont="1" applyFill="1" applyBorder="1" applyAlignment="1">
      <alignment horizontal="center" vertical="center"/>
    </xf>
    <xf numFmtId="1" fontId="2" fillId="0" borderId="17" xfId="0" applyNumberFormat="1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164" fontId="2" fillId="0" borderId="19" xfId="0" applyNumberFormat="1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164" fontId="12" fillId="0" borderId="43" xfId="0" applyNumberFormat="1" applyFont="1" applyFill="1" applyBorder="1" applyAlignment="1">
      <alignment horizontal="center" vertical="center"/>
    </xf>
    <xf numFmtId="164" fontId="11" fillId="0" borderId="43" xfId="0" applyNumberFormat="1" applyFont="1" applyFill="1" applyBorder="1" applyAlignment="1">
      <alignment horizontal="center" vertical="center"/>
    </xf>
    <xf numFmtId="164" fontId="11" fillId="0" borderId="44" xfId="0" applyNumberFormat="1" applyFont="1" applyFill="1" applyBorder="1" applyAlignment="1">
      <alignment horizontal="center" vertical="center"/>
    </xf>
    <xf numFmtId="164" fontId="11" fillId="0" borderId="46" xfId="0" applyNumberFormat="1" applyFont="1" applyFill="1" applyBorder="1" applyAlignment="1">
      <alignment horizontal="center" vertical="center"/>
    </xf>
    <xf numFmtId="164" fontId="11" fillId="0" borderId="45" xfId="0" applyNumberFormat="1" applyFont="1" applyFill="1" applyBorder="1" applyAlignment="1">
      <alignment horizontal="center" vertical="center"/>
    </xf>
    <xf numFmtId="164" fontId="3" fillId="0" borderId="43" xfId="0" applyNumberFormat="1" applyFont="1" applyFill="1" applyBorder="1" applyAlignment="1">
      <alignment horizontal="center" vertical="center"/>
    </xf>
    <xf numFmtId="164" fontId="3" fillId="0" borderId="44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1" fontId="2" fillId="0" borderId="6" xfId="0" applyNumberFormat="1" applyFont="1" applyFill="1" applyBorder="1" applyAlignment="1">
      <alignment vertical="center"/>
    </xf>
    <xf numFmtId="1" fontId="7" fillId="0" borderId="0" xfId="0" applyNumberFormat="1" applyFont="1" applyFill="1" applyBorder="1" applyAlignment="1">
      <alignment horizontal="right" vertical="center"/>
    </xf>
    <xf numFmtId="1" fontId="7" fillId="0" borderId="4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vertical="center"/>
    </xf>
    <xf numFmtId="1" fontId="7" fillId="0" borderId="5" xfId="0" applyNumberFormat="1" applyFont="1" applyFill="1" applyBorder="1" applyAlignment="1">
      <alignment vertical="center"/>
    </xf>
    <xf numFmtId="1" fontId="7" fillId="0" borderId="0" xfId="0" applyNumberFormat="1" applyFont="1" applyFill="1" applyAlignment="1">
      <alignment vertical="center"/>
    </xf>
    <xf numFmtId="1" fontId="7" fillId="0" borderId="0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right" vertical="center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164" fontId="3" fillId="0" borderId="19" xfId="0" applyNumberFormat="1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horizontal="center" vertical="center"/>
    </xf>
    <xf numFmtId="164" fontId="12" fillId="0" borderId="8" xfId="0" applyNumberFormat="1" applyFont="1" applyFill="1" applyBorder="1" applyAlignment="1">
      <alignment horizontal="center" vertical="center"/>
    </xf>
    <xf numFmtId="1" fontId="13" fillId="0" borderId="9" xfId="0" applyNumberFormat="1" applyFont="1" applyFill="1" applyBorder="1" applyAlignment="1">
      <alignment horizontal="center" vertical="center"/>
    </xf>
    <xf numFmtId="164" fontId="13" fillId="0" borderId="9" xfId="0" applyNumberFormat="1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13" fillId="0" borderId="11" xfId="0" applyNumberFormat="1" applyFont="1" applyFill="1" applyBorder="1" applyAlignment="1">
      <alignment horizontal="center" vertical="center"/>
    </xf>
    <xf numFmtId="164" fontId="13" fillId="0" borderId="12" xfId="0" applyNumberFormat="1" applyFont="1" applyFill="1" applyBorder="1" applyAlignment="1">
      <alignment horizontal="center" vertical="center"/>
    </xf>
    <xf numFmtId="164" fontId="12" fillId="0" borderId="12" xfId="0" applyNumberFormat="1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vertical="center"/>
    </xf>
    <xf numFmtId="1" fontId="2" fillId="0" borderId="7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5" fillId="0" borderId="69" xfId="0" quotePrefix="1" applyFont="1" applyFill="1" applyBorder="1" applyAlignment="1" applyProtection="1">
      <alignment horizontal="center" vertical="center"/>
      <protection hidden="1"/>
    </xf>
    <xf numFmtId="0" fontId="8" fillId="0" borderId="66" xfId="0" applyFont="1" applyFill="1" applyBorder="1" applyAlignment="1" applyProtection="1">
      <alignment vertical="center"/>
      <protection hidden="1"/>
    </xf>
    <xf numFmtId="0" fontId="14" fillId="0" borderId="66" xfId="0" applyFont="1" applyFill="1" applyBorder="1" applyAlignment="1" applyProtection="1">
      <alignment vertical="center"/>
      <protection hidden="1"/>
    </xf>
    <xf numFmtId="0" fontId="2" fillId="0" borderId="66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2" fillId="0" borderId="25" xfId="0" applyFont="1" applyFill="1" applyBorder="1" applyAlignment="1">
      <alignment vertical="center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13" fillId="0" borderId="28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3" fillId="0" borderId="29" xfId="0" applyFont="1" applyFill="1" applyBorder="1" applyAlignment="1">
      <alignment vertical="center"/>
    </xf>
    <xf numFmtId="0" fontId="18" fillId="0" borderId="28" xfId="0" applyFont="1" applyFill="1" applyBorder="1" applyAlignment="1">
      <alignment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6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>
      <alignment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20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22" xfId="0" applyFont="1" applyFill="1" applyBorder="1" applyAlignment="1">
      <alignment vertical="center"/>
    </xf>
    <xf numFmtId="0" fontId="13" fillId="0" borderId="23" xfId="0" applyFont="1" applyFill="1" applyBorder="1" applyAlignment="1">
      <alignment horizontal="center" vertical="center"/>
    </xf>
    <xf numFmtId="0" fontId="13" fillId="0" borderId="32" xfId="0" applyFont="1" applyFill="1" applyBorder="1" applyAlignment="1">
      <alignment horizontal="center" vertical="center"/>
    </xf>
    <xf numFmtId="164" fontId="13" fillId="0" borderId="15" xfId="0" applyNumberFormat="1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3" fillId="0" borderId="40" xfId="0" applyFont="1" applyFill="1" applyBorder="1" applyAlignment="1">
      <alignment horizontal="center" vertical="center"/>
    </xf>
    <xf numFmtId="164" fontId="13" fillId="0" borderId="8" xfId="0" applyNumberFormat="1" applyFont="1" applyFill="1" applyBorder="1" applyAlignment="1">
      <alignment horizontal="center" vertical="center"/>
    </xf>
    <xf numFmtId="164" fontId="13" fillId="0" borderId="39" xfId="0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13" fillId="0" borderId="39" xfId="0" applyFont="1" applyFill="1" applyBorder="1" applyAlignment="1">
      <alignment vertical="center"/>
    </xf>
    <xf numFmtId="0" fontId="13" fillId="0" borderId="39" xfId="0" applyFont="1" applyFill="1" applyBorder="1" applyAlignment="1">
      <alignment horizontal="center" vertical="center"/>
    </xf>
    <xf numFmtId="0" fontId="11" fillId="0" borderId="41" xfId="0" applyFont="1" applyFill="1" applyBorder="1" applyAlignment="1">
      <alignment horizontal="center" vertical="center"/>
    </xf>
    <xf numFmtId="164" fontId="11" fillId="0" borderId="19" xfId="0" applyNumberFormat="1" applyFont="1" applyFill="1" applyBorder="1" applyAlignment="1">
      <alignment horizontal="center" vertical="center"/>
    </xf>
    <xf numFmtId="164" fontId="11" fillId="0" borderId="20" xfId="0" applyNumberFormat="1" applyFont="1" applyFill="1" applyBorder="1" applyAlignment="1">
      <alignment horizontal="center" vertical="center"/>
    </xf>
    <xf numFmtId="1" fontId="11" fillId="0" borderId="20" xfId="0" applyNumberFormat="1" applyFont="1" applyFill="1" applyBorder="1" applyAlignment="1">
      <alignment horizontal="center" vertical="center"/>
    </xf>
    <xf numFmtId="164" fontId="11" fillId="0" borderId="22" xfId="0" applyNumberFormat="1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vertical="center"/>
    </xf>
    <xf numFmtId="0" fontId="11" fillId="0" borderId="22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164" fontId="13" fillId="0" borderId="14" xfId="0" applyNumberFormat="1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right" vertical="center"/>
    </xf>
    <xf numFmtId="14" fontId="13" fillId="0" borderId="0" xfId="0" applyNumberFormat="1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9" fillId="0" borderId="34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0" fontId="21" fillId="0" borderId="4" xfId="0" applyFont="1" applyFill="1" applyBorder="1" applyAlignment="1">
      <alignment vertical="center"/>
    </xf>
    <xf numFmtId="0" fontId="21" fillId="0" borderId="35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3" fillId="0" borderId="14" xfId="0" applyFont="1" applyFill="1" applyBorder="1" applyAlignment="1" applyProtection="1">
      <alignment horizontal="center" vertical="center"/>
      <protection locked="0"/>
    </xf>
    <xf numFmtId="1" fontId="13" fillId="0" borderId="0" xfId="0" applyNumberFormat="1" applyFont="1" applyFill="1" applyBorder="1" applyAlignment="1" applyProtection="1">
      <alignment vertical="center"/>
      <protection locked="0"/>
    </xf>
    <xf numFmtId="0" fontId="13" fillId="0" borderId="29" xfId="0" applyFont="1" applyFill="1" applyBorder="1" applyAlignment="1">
      <alignment horizontal="center" vertical="center"/>
    </xf>
    <xf numFmtId="0" fontId="22" fillId="0" borderId="28" xfId="0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0" fontId="13" fillId="0" borderId="28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vertical="center"/>
    </xf>
    <xf numFmtId="164" fontId="2" fillId="0" borderId="37" xfId="0" applyNumberFormat="1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38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164" fontId="2" fillId="0" borderId="0" xfId="0" applyNumberFormat="1" applyFont="1" applyFill="1" applyAlignment="1">
      <alignment vertical="center"/>
    </xf>
    <xf numFmtId="0" fontId="2" fillId="0" borderId="47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11" fillId="0" borderId="60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52" xfId="0" applyFont="1" applyFill="1" applyBorder="1" applyAlignment="1">
      <alignment horizontal="center" vertical="center"/>
    </xf>
    <xf numFmtId="0" fontId="13" fillId="0" borderId="91" xfId="0" applyFont="1" applyFill="1" applyBorder="1" applyAlignment="1">
      <alignment horizontal="center" vertical="center"/>
    </xf>
    <xf numFmtId="0" fontId="13" fillId="0" borderId="92" xfId="0" applyFont="1" applyFill="1" applyBorder="1" applyAlignment="1">
      <alignment horizontal="center" vertical="center"/>
    </xf>
    <xf numFmtId="0" fontId="13" fillId="0" borderId="93" xfId="0" applyFont="1" applyFill="1" applyBorder="1" applyAlignment="1">
      <alignment horizontal="center" vertical="center"/>
    </xf>
    <xf numFmtId="0" fontId="13" fillId="0" borderId="94" xfId="0" applyFont="1" applyFill="1" applyBorder="1" applyAlignment="1">
      <alignment horizontal="center" vertical="center"/>
    </xf>
    <xf numFmtId="0" fontId="2" fillId="0" borderId="9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7" xfId="0" applyFont="1" applyFill="1" applyBorder="1" applyAlignment="1">
      <alignment horizontal="center" vertical="center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0" borderId="87" xfId="0" applyFont="1" applyFill="1" applyBorder="1" applyAlignment="1" applyProtection="1">
      <alignment horizontal="center" vertical="center"/>
      <protection locked="0"/>
    </xf>
    <xf numFmtId="164" fontId="17" fillId="0" borderId="0" xfId="0" applyNumberFormat="1" applyFont="1" applyFill="1" applyAlignment="1">
      <alignment horizontal="center" vertical="center"/>
    </xf>
    <xf numFmtId="0" fontId="2" fillId="0" borderId="74" xfId="0" applyFont="1" applyFill="1" applyBorder="1" applyAlignment="1" applyProtection="1">
      <alignment horizontal="center" vertical="center"/>
      <protection locked="0"/>
    </xf>
    <xf numFmtId="0" fontId="2" fillId="0" borderId="48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3" fillId="0" borderId="71" xfId="0" applyFont="1" applyFill="1" applyBorder="1" applyAlignment="1">
      <alignment horizontal="center" vertical="center"/>
    </xf>
    <xf numFmtId="0" fontId="3" fillId="0" borderId="72" xfId="0" applyFont="1" applyFill="1" applyBorder="1" applyAlignment="1">
      <alignment horizontal="center" vertical="center"/>
    </xf>
    <xf numFmtId="164" fontId="2" fillId="0" borderId="60" xfId="0" applyNumberFormat="1" applyFont="1" applyFill="1" applyBorder="1" applyAlignment="1">
      <alignment horizontal="center" vertical="center"/>
    </xf>
    <xf numFmtId="164" fontId="2" fillId="0" borderId="51" xfId="0" applyNumberFormat="1" applyFont="1" applyFill="1" applyBorder="1" applyAlignment="1">
      <alignment horizontal="center" vertical="center"/>
    </xf>
    <xf numFmtId="164" fontId="2" fillId="0" borderId="5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2" fillId="0" borderId="88" xfId="0" applyFont="1" applyFill="1" applyBorder="1" applyAlignment="1">
      <alignment horizontal="center" vertical="center"/>
    </xf>
    <xf numFmtId="0" fontId="2" fillId="0" borderId="89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63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90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87" xfId="0" applyNumberFormat="1" applyFont="1" applyFill="1" applyBorder="1" applyAlignment="1">
      <alignment horizontal="center" vertical="center"/>
    </xf>
    <xf numFmtId="164" fontId="2" fillId="0" borderId="74" xfId="0" applyNumberFormat="1" applyFont="1" applyFill="1" applyBorder="1" applyAlignment="1">
      <alignment horizontal="center" vertical="center"/>
    </xf>
    <xf numFmtId="164" fontId="2" fillId="0" borderId="48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6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14" fontId="16" fillId="0" borderId="0" xfId="0" applyNumberFormat="1" applyFont="1" applyFill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/>
      <protection locked="0"/>
    </xf>
    <xf numFmtId="0" fontId="2" fillId="0" borderId="47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4" fillId="0" borderId="47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24" fillId="0" borderId="3" xfId="0" applyFont="1" applyFill="1" applyBorder="1" applyAlignment="1" applyProtection="1">
      <alignment horizontal="center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14" fontId="24" fillId="0" borderId="6" xfId="0" applyNumberFormat="1" applyFont="1" applyFill="1" applyBorder="1" applyAlignment="1" applyProtection="1">
      <alignment horizontal="center" vertical="center"/>
      <protection locked="0"/>
    </xf>
    <xf numFmtId="14" fontId="24" fillId="0" borderId="0" xfId="0" applyNumberFormat="1" applyFont="1" applyFill="1" applyBorder="1" applyAlignment="1" applyProtection="1">
      <alignment horizontal="center" vertical="center"/>
      <protection locked="0"/>
    </xf>
    <xf numFmtId="14" fontId="24" fillId="0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8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83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/>
      <protection locked="0"/>
    </xf>
    <xf numFmtId="0" fontId="9" fillId="0" borderId="20" xfId="0" applyFont="1" applyFill="1" applyBorder="1" applyAlignment="1">
      <alignment horizontal="center" vertical="center"/>
    </xf>
    <xf numFmtId="0" fontId="3" fillId="0" borderId="83" xfId="0" applyFont="1" applyFill="1" applyBorder="1" applyAlignment="1">
      <alignment horizontal="center" vertical="center"/>
    </xf>
    <xf numFmtId="0" fontId="3" fillId="0" borderId="48" xfId="0" applyFont="1" applyFill="1" applyBorder="1" applyAlignment="1">
      <alignment horizontal="center" vertical="center"/>
    </xf>
    <xf numFmtId="0" fontId="3" fillId="0" borderId="49" xfId="0" applyFont="1" applyFill="1" applyBorder="1" applyAlignment="1">
      <alignment horizontal="center" vertical="center"/>
    </xf>
    <xf numFmtId="0" fontId="2" fillId="0" borderId="62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/>
    </xf>
    <xf numFmtId="0" fontId="2" fillId="0" borderId="8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4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82" xfId="0" applyFont="1" applyFill="1" applyBorder="1" applyAlignment="1">
      <alignment horizontal="center" vertical="center"/>
    </xf>
    <xf numFmtId="0" fontId="3" fillId="0" borderId="74" xfId="0" applyFont="1" applyFill="1" applyBorder="1" applyAlignment="1">
      <alignment horizontal="center" vertical="center"/>
    </xf>
    <xf numFmtId="164" fontId="3" fillId="0" borderId="61" xfId="0" applyNumberFormat="1" applyFont="1" applyFill="1" applyBorder="1" applyAlignment="1">
      <alignment horizontal="center" vertical="center"/>
    </xf>
    <xf numFmtId="164" fontId="3" fillId="0" borderId="65" xfId="0" applyNumberFormat="1" applyFont="1" applyFill="1" applyBorder="1" applyAlignment="1">
      <alignment horizontal="center" vertical="center"/>
    </xf>
    <xf numFmtId="164" fontId="3" fillId="0" borderId="63" xfId="0" applyNumberFormat="1" applyFont="1" applyFill="1" applyBorder="1" applyAlignment="1">
      <alignment horizontal="center" vertical="center"/>
    </xf>
    <xf numFmtId="164" fontId="2" fillId="0" borderId="62" xfId="0" applyNumberFormat="1" applyFont="1" applyFill="1" applyBorder="1" applyAlignment="1">
      <alignment horizontal="center" vertical="center"/>
    </xf>
    <xf numFmtId="164" fontId="2" fillId="0" borderId="58" xfId="0" applyNumberFormat="1" applyFont="1" applyFill="1" applyBorder="1" applyAlignment="1">
      <alignment horizontal="center" vertical="center"/>
    </xf>
    <xf numFmtId="164" fontId="2" fillId="0" borderId="73" xfId="0" applyNumberFormat="1" applyFont="1" applyFill="1" applyBorder="1" applyAlignment="1">
      <alignment horizontal="center" vertical="center"/>
    </xf>
    <xf numFmtId="0" fontId="2" fillId="0" borderId="60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62" xfId="0" applyFont="1" applyFill="1" applyBorder="1" applyAlignment="1" applyProtection="1">
      <alignment horizontal="center" vertical="center"/>
      <protection locked="0"/>
    </xf>
    <xf numFmtId="0" fontId="2" fillId="0" borderId="58" xfId="0" applyFont="1" applyFill="1" applyBorder="1" applyAlignment="1" applyProtection="1">
      <alignment horizontal="center" vertical="center"/>
      <protection locked="0"/>
    </xf>
    <xf numFmtId="0" fontId="2" fillId="0" borderId="73" xfId="0" applyFont="1" applyFill="1" applyBorder="1" applyAlignment="1" applyProtection="1">
      <alignment horizontal="center" vertical="center"/>
      <protection locked="0"/>
    </xf>
    <xf numFmtId="0" fontId="3" fillId="0" borderId="5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86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51" xfId="0" applyFont="1" applyFill="1" applyBorder="1" applyAlignment="1">
      <alignment horizontal="center" vertical="center"/>
    </xf>
    <xf numFmtId="0" fontId="3" fillId="0" borderId="52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horizontal="left" vertical="center" wrapText="1"/>
    </xf>
    <xf numFmtId="0" fontId="3" fillId="0" borderId="77" xfId="0" applyFont="1" applyFill="1" applyBorder="1" applyAlignment="1">
      <alignment horizontal="left" vertical="center" wrapText="1"/>
    </xf>
    <xf numFmtId="0" fontId="3" fillId="0" borderId="78" xfId="0" applyFont="1" applyFill="1" applyBorder="1" applyAlignment="1">
      <alignment horizontal="left" vertical="center" wrapText="1"/>
    </xf>
    <xf numFmtId="0" fontId="3" fillId="0" borderId="79" xfId="0" applyFont="1" applyFill="1" applyBorder="1" applyAlignment="1">
      <alignment horizontal="left" vertical="center" wrapText="1"/>
    </xf>
    <xf numFmtId="0" fontId="3" fillId="0" borderId="80" xfId="0" applyFont="1" applyFill="1" applyBorder="1" applyAlignment="1">
      <alignment horizontal="left" vertical="center" wrapText="1"/>
    </xf>
    <xf numFmtId="0" fontId="3" fillId="0" borderId="81" xfId="0" applyFont="1" applyFill="1" applyBorder="1" applyAlignment="1">
      <alignment horizontal="left" vertical="center" wrapText="1"/>
    </xf>
    <xf numFmtId="164" fontId="2" fillId="0" borderId="61" xfId="0" applyNumberFormat="1" applyFont="1" applyFill="1" applyBorder="1" applyAlignment="1">
      <alignment horizontal="center" vertical="center"/>
    </xf>
    <xf numFmtId="164" fontId="2" fillId="0" borderId="65" xfId="0" applyNumberFormat="1" applyFont="1" applyFill="1" applyBorder="1" applyAlignment="1">
      <alignment horizontal="center" vertical="center"/>
    </xf>
    <xf numFmtId="164" fontId="2" fillId="0" borderId="63" xfId="0" applyNumberFormat="1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center" vertical="center"/>
    </xf>
    <xf numFmtId="0" fontId="2" fillId="0" borderId="75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2" fillId="0" borderId="71" xfId="0" applyFont="1" applyFill="1" applyBorder="1" applyAlignment="1">
      <alignment horizontal="center" vertical="center"/>
    </xf>
    <xf numFmtId="0" fontId="2" fillId="0" borderId="72" xfId="0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horizontal="center" vertical="center"/>
    </xf>
    <xf numFmtId="164" fontId="11" fillId="0" borderId="59" xfId="0" applyNumberFormat="1" applyFont="1" applyFill="1" applyBorder="1" applyAlignment="1">
      <alignment horizontal="center" vertical="center"/>
    </xf>
    <xf numFmtId="164" fontId="11" fillId="0" borderId="64" xfId="0" applyNumberFormat="1" applyFont="1" applyFill="1" applyBorder="1" applyAlignment="1">
      <alignment horizontal="center" vertical="center"/>
    </xf>
    <xf numFmtId="164" fontId="3" fillId="0" borderId="59" xfId="0" applyNumberFormat="1" applyFont="1" applyFill="1" applyBorder="1" applyAlignment="1">
      <alignment horizontal="center" vertical="center"/>
    </xf>
    <xf numFmtId="164" fontId="3" fillId="0" borderId="64" xfId="0" applyNumberFormat="1" applyFont="1" applyFill="1" applyBorder="1" applyAlignment="1">
      <alignment horizontal="center" vertical="center"/>
    </xf>
    <xf numFmtId="164" fontId="12" fillId="0" borderId="59" xfId="0" applyNumberFormat="1" applyFont="1" applyFill="1" applyBorder="1" applyAlignment="1">
      <alignment horizontal="center" vertical="center"/>
    </xf>
    <xf numFmtId="164" fontId="12" fillId="0" borderId="64" xfId="0" applyNumberFormat="1" applyFont="1" applyFill="1" applyBorder="1" applyAlignment="1">
      <alignment horizontal="center" vertical="center"/>
    </xf>
    <xf numFmtId="164" fontId="3" fillId="0" borderId="5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5" xfId="0" applyNumberFormat="1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6" fillId="0" borderId="6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15" fillId="0" borderId="65" xfId="0" applyFont="1" applyFill="1" applyBorder="1" applyAlignment="1" applyProtection="1">
      <alignment horizontal="center" vertical="center" wrapText="1"/>
      <protection hidden="1"/>
    </xf>
    <xf numFmtId="0" fontId="2" fillId="0" borderId="65" xfId="0" applyFont="1" applyBorder="1" applyAlignment="1" applyProtection="1">
      <alignment horizontal="center" vertical="center" wrapText="1"/>
      <protection hidden="1"/>
    </xf>
    <xf numFmtId="0" fontId="2" fillId="0" borderId="23" xfId="0" applyFont="1" applyBorder="1" applyAlignment="1" applyProtection="1">
      <alignment horizontal="center" vertical="center" wrapText="1"/>
      <protection hidden="1"/>
    </xf>
    <xf numFmtId="0" fontId="16" fillId="0" borderId="6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3" xfId="0" applyFont="1" applyFill="1" applyBorder="1" applyAlignment="1" applyProtection="1">
      <alignment horizontal="left" vertical="center" wrapText="1"/>
      <protection locked="0"/>
    </xf>
    <xf numFmtId="0" fontId="16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2" xfId="0" applyFont="1" applyFill="1" applyBorder="1" applyAlignment="1" applyProtection="1">
      <alignment horizontal="left" vertical="center" wrapText="1"/>
      <protection locked="0"/>
    </xf>
    <xf numFmtId="0" fontId="16" fillId="0" borderId="7" xfId="0" applyFont="1" applyFill="1" applyBorder="1" applyAlignment="1" applyProtection="1">
      <alignment horizontal="left" vertical="center" wrapText="1"/>
      <protection locked="0"/>
    </xf>
    <xf numFmtId="0" fontId="15" fillId="0" borderId="6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3" xfId="0" applyFon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5" fillId="0" borderId="7" xfId="0" applyFont="1" applyFill="1" applyBorder="1" applyAlignment="1" applyProtection="1">
      <alignment horizontal="center" vertical="center"/>
      <protection hidden="1"/>
    </xf>
    <xf numFmtId="0" fontId="16" fillId="0" borderId="21" xfId="0" applyFont="1" applyFill="1" applyBorder="1" applyAlignment="1" applyProtection="1">
      <alignment horizontal="center" vertical="center" wrapText="1"/>
      <protection locked="0"/>
    </xf>
    <xf numFmtId="0" fontId="16" fillId="0" borderId="65" xfId="0" applyFont="1" applyFill="1" applyBorder="1" applyAlignment="1" applyProtection="1">
      <alignment horizontal="center" vertical="center" wrapText="1"/>
      <protection locked="0"/>
    </xf>
    <xf numFmtId="0" fontId="2" fillId="0" borderId="65" xfId="0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5" fillId="0" borderId="70" xfId="0" applyFont="1" applyFill="1" applyBorder="1" applyAlignment="1" applyProtection="1">
      <alignment horizontal="center" vertical="center"/>
      <protection hidden="1"/>
    </xf>
    <xf numFmtId="0" fontId="5" fillId="0" borderId="67" xfId="0" applyFont="1" applyFill="1" applyBorder="1" applyAlignment="1" applyProtection="1">
      <alignment horizontal="center" vertical="center"/>
      <protection hidden="1"/>
    </xf>
    <xf numFmtId="0" fontId="5" fillId="0" borderId="68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331125827814571E-2"/>
          <c:y val="3.8626649915598506E-2"/>
          <c:w val="0.89139072847682121"/>
          <c:h val="0.90128849803063182"/>
        </c:manualLayout>
      </c:layout>
      <c:scatterChart>
        <c:scatterStyle val="lineMarker"/>
        <c:varyColors val="0"/>
        <c:ser>
          <c:idx val="0"/>
          <c:order val="0"/>
          <c:tx>
            <c:strRef>
              <c:f>CRE!$A$114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CRE!$B$114:$K$114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21</c:v>
                </c:pt>
                <c:pt idx="3">
                  <c:v>62</c:v>
                </c:pt>
                <c:pt idx="4">
                  <c:v>98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79-48A9-9BF8-40582A21CA53}"/>
            </c:ext>
          </c:extLst>
        </c:ser>
        <c:ser>
          <c:idx val="1"/>
          <c:order val="1"/>
          <c:tx>
            <c:strRef>
              <c:f>CRE!$A$117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CRE!$B$117:$K$117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8</c:v>
                </c:pt>
                <c:pt idx="4">
                  <c:v>78</c:v>
                </c:pt>
                <c:pt idx="5">
                  <c:v>97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79-48A9-9BF8-40582A21CA53}"/>
            </c:ext>
          </c:extLst>
        </c:ser>
        <c:ser>
          <c:idx val="2"/>
          <c:order val="2"/>
          <c:tx>
            <c:v>Moy Entreprise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CRE!$B$131:$K$131</c:f>
              <c:numCache>
                <c:formatCode>0.0</c:formatCode>
                <c:ptCount val="10"/>
                <c:pt idx="0">
                  <c:v>2.2549999999999999</c:v>
                </c:pt>
                <c:pt idx="1">
                  <c:v>0.96666666666666667</c:v>
                </c:pt>
                <c:pt idx="2">
                  <c:v>9.2666666666666657</c:v>
                </c:pt>
                <c:pt idx="3">
                  <c:v>24.266666666666669</c:v>
                </c:pt>
                <c:pt idx="4">
                  <c:v>77.766666666666666</c:v>
                </c:pt>
                <c:pt idx="5">
                  <c:v>99.833333333333329</c:v>
                </c:pt>
                <c:pt idx="6">
                  <c:v>99.833333333333329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79-48A9-9BF8-40582A21CA53}"/>
            </c:ext>
          </c:extLst>
        </c:ser>
        <c:ser>
          <c:idx val="3"/>
          <c:order val="3"/>
          <c:tx>
            <c:strRef>
              <c:f>CRE!$A$115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CRE!$B$115:$K$115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16</c:v>
                </c:pt>
                <c:pt idx="3">
                  <c:v>50</c:v>
                </c:pt>
                <c:pt idx="4">
                  <c:v>93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79-48A9-9BF8-40582A21CA53}"/>
            </c:ext>
          </c:extLst>
        </c:ser>
        <c:ser>
          <c:idx val="4"/>
          <c:order val="4"/>
          <c:tx>
            <c:strRef>
              <c:f>CRE!$A$116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CRE!$B$116:$K$116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6</c:v>
                </c:pt>
                <c:pt idx="3">
                  <c:v>20</c:v>
                </c:pt>
                <c:pt idx="4">
                  <c:v>83</c:v>
                </c:pt>
                <c:pt idx="5">
                  <c:v>98</c:v>
                </c:pt>
                <c:pt idx="6">
                  <c:v>100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79-48A9-9BF8-40582A21CA53}"/>
            </c:ext>
          </c:extLst>
        </c:ser>
        <c:ser>
          <c:idx val="6"/>
          <c:order val="6"/>
          <c:tx>
            <c:strRef>
              <c:f>CRE!$B$113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CRE!$B$134:$B$135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679-48A9-9BF8-40582A21CA53}"/>
            </c:ext>
          </c:extLst>
        </c:ser>
        <c:ser>
          <c:idx val="7"/>
          <c:order val="7"/>
          <c:tx>
            <c:strRef>
              <c:f>CRE!$C$113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CRE!$C$134:$C$135</c:f>
              <c:numCache>
                <c:formatCode>0.0</c:formatCode>
                <c:ptCount val="2"/>
                <c:pt idx="0">
                  <c:v>0.49831055378960049</c:v>
                </c:pt>
                <c:pt idx="1">
                  <c:v>0.49831055378960049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79-48A9-9BF8-40582A21CA53}"/>
            </c:ext>
          </c:extLst>
        </c:ser>
        <c:ser>
          <c:idx val="8"/>
          <c:order val="8"/>
          <c:tx>
            <c:strRef>
              <c:f>CRE!$D$113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CRE!$D$134:$D$135</c:f>
              <c:numCache>
                <c:formatCode>0.0</c:formatCode>
                <c:ptCount val="2"/>
                <c:pt idx="0">
                  <c:v>0.79934054945358168</c:v>
                </c:pt>
                <c:pt idx="1">
                  <c:v>0.79934054945358168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679-48A9-9BF8-40582A21CA53}"/>
            </c:ext>
          </c:extLst>
        </c:ser>
        <c:ser>
          <c:idx val="10"/>
          <c:order val="9"/>
          <c:tx>
            <c:strRef>
              <c:f>CRE!$E$113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CRE!$E$134:$E$135</c:f>
              <c:numCache>
                <c:formatCode>0.0</c:formatCode>
                <c:ptCount val="2"/>
                <c:pt idx="0">
                  <c:v>0.85125834871907524</c:v>
                </c:pt>
                <c:pt idx="1">
                  <c:v>0.85125834871907524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679-48A9-9BF8-40582A21CA53}"/>
            </c:ext>
          </c:extLst>
        </c:ser>
        <c:ser>
          <c:idx val="11"/>
          <c:order val="10"/>
          <c:tx>
            <c:strRef>
              <c:f>CRE!$F$113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CRE!$F$134:$F$135</c:f>
              <c:numCache>
                <c:formatCode>0.0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679-48A9-9BF8-40582A21CA53}"/>
            </c:ext>
          </c:extLst>
        </c:ser>
        <c:ser>
          <c:idx val="12"/>
          <c:order val="11"/>
          <c:tx>
            <c:strRef>
              <c:f>CRE!$G$113</c:f>
              <c:strCache>
                <c:ptCount val="1"/>
                <c:pt idx="0">
                  <c:v>3,15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CRE!$G$134:$G$135</c:f>
              <c:numCache>
                <c:formatCode>0.0</c:formatCode>
                <c:ptCount val="2"/>
                <c:pt idx="0">
                  <c:v>1.146128035678238</c:v>
                </c:pt>
                <c:pt idx="1">
                  <c:v>1.146128035678238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679-48A9-9BF8-40582A21CA53}"/>
            </c:ext>
          </c:extLst>
        </c:ser>
        <c:ser>
          <c:idx val="14"/>
          <c:order val="12"/>
          <c:tx>
            <c:strRef>
              <c:f>CRE!$J$113</c:f>
              <c:strCache>
                <c:ptCount val="1"/>
                <c:pt idx="0">
                  <c:v>10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CRE!$J$134:$J$135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679-48A9-9BF8-40582A21CA53}"/>
            </c:ext>
          </c:extLst>
        </c:ser>
        <c:ser>
          <c:idx val="9"/>
          <c:order val="13"/>
          <c:tx>
            <c:strRef>
              <c:f>CRE!$K$113</c:f>
              <c:strCache>
                <c:ptCount val="1"/>
                <c:pt idx="0">
                  <c:v>14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CRE!$K$134:$K$135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679-48A9-9BF8-40582A21CA53}"/>
            </c:ext>
          </c:extLst>
        </c:ser>
        <c:ser>
          <c:idx val="13"/>
          <c:order val="14"/>
          <c:tx>
            <c:strRef>
              <c:f>CRE!$I$113</c:f>
              <c:strCache>
                <c:ptCount val="1"/>
                <c:pt idx="0">
                  <c:v>7,1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CRE!$I$134:$I$135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679-48A9-9BF8-40582A21CA53}"/>
            </c:ext>
          </c:extLst>
        </c:ser>
        <c:ser>
          <c:idx val="15"/>
          <c:order val="15"/>
          <c:tx>
            <c:strRef>
              <c:f>CRE!$H$113</c:f>
              <c:strCache>
                <c:ptCount val="1"/>
                <c:pt idx="0">
                  <c:v>6,3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CRE!$H$134:$H$135</c:f>
              <c:numCache>
                <c:formatCode>0.0</c:formatCode>
                <c:ptCount val="2"/>
                <c:pt idx="0">
                  <c:v>1.3010299956639813</c:v>
                </c:pt>
                <c:pt idx="1">
                  <c:v>1.3010299956639813</c:v>
                </c:pt>
              </c:numCache>
            </c:numRef>
          </c:xVal>
          <c:yVal>
            <c:numRef>
              <c:f>CRE!$A$134:$A$135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679-48A9-9BF8-40582A21CA53}"/>
            </c:ext>
          </c:extLst>
        </c:ser>
        <c:ser>
          <c:idx val="16"/>
          <c:order val="16"/>
          <c:tx>
            <c:strRef>
              <c:f>CRE!$A$121</c:f>
              <c:strCache>
                <c:ptCount val="1"/>
                <c:pt idx="0">
                  <c:v>Xf + U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CRE!$B$121:$K$121</c:f>
              <c:numCache>
                <c:formatCode>0.0</c:formatCode>
                <c:ptCount val="10"/>
                <c:pt idx="0">
                  <c:v>2.36</c:v>
                </c:pt>
                <c:pt idx="1">
                  <c:v>6.8</c:v>
                </c:pt>
                <c:pt idx="2">
                  <c:v>15.1</c:v>
                </c:pt>
                <c:pt idx="3">
                  <c:v>26.1</c:v>
                </c:pt>
                <c:pt idx="4">
                  <c:v>90.9</c:v>
                </c:pt>
                <c:pt idx="5" formatCode="0">
                  <c:v>100</c:v>
                </c:pt>
                <c:pt idx="6" formatCode="0">
                  <c:v>100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679-48A9-9BF8-40582A21CA53}"/>
            </c:ext>
          </c:extLst>
        </c:ser>
        <c:ser>
          <c:idx val="17"/>
          <c:order val="17"/>
          <c:tx>
            <c:strRef>
              <c:f>CRE!$A$123</c:f>
              <c:strCache>
                <c:ptCount val="1"/>
                <c:pt idx="0">
                  <c:v>Xf - U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CRE!$B$123:$K$123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3.0999999999999996</c:v>
                </c:pt>
                <c:pt idx="3">
                  <c:v>22.1</c:v>
                </c:pt>
                <c:pt idx="4">
                  <c:v>86.9</c:v>
                </c:pt>
                <c:pt idx="5">
                  <c:v>98</c:v>
                </c:pt>
                <c:pt idx="6">
                  <c:v>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679-48A9-9BF8-40582A21CA53}"/>
            </c:ext>
          </c:extLst>
        </c:ser>
        <c:ser>
          <c:idx val="18"/>
          <c:order val="18"/>
          <c:tx>
            <c:v>Pt Non Conf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CRE!$B$130:$K$130</c:f>
              <c:numCache>
                <c:formatCode>General</c:formatCode>
                <c:ptCount val="10"/>
                <c:pt idx="0">
                  <c:v>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679-48A9-9BF8-40582A21CA53}"/>
            </c:ext>
          </c:extLst>
        </c:ser>
        <c:ser>
          <c:idx val="19"/>
          <c:order val="19"/>
          <c:tx>
            <c:v>Pt Non Conf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CRE!$B$129:$K$129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CRE!$B$132:$K$132</c:f>
              <c:numCache>
                <c:formatCode>0.0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679-48A9-9BF8-40582A21C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19200"/>
        <c:axId val="166619592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CRE!$B$112:$K$112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0.49831055378960049</c:v>
                </c:pt>
                <c:pt idx="2">
                  <c:v>0.79934054945358168</c:v>
                </c:pt>
                <c:pt idx="3">
                  <c:v>0.85125834871907524</c:v>
                </c:pt>
                <c:pt idx="4">
                  <c:v>1</c:v>
                </c:pt>
                <c:pt idx="5">
                  <c:v>1.146128035678238</c:v>
                </c:pt>
                <c:pt idx="6">
                  <c:v>1.3010299956639813</c:v>
                </c:pt>
                <c:pt idx="7">
                  <c:v>-1.2006594505464183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CRE!$B$113:$K$113</c:f>
              <c:numCache>
                <c:formatCode>General</c:formatCode>
                <c:ptCount val="10"/>
                <c:pt idx="0">
                  <c:v>6.3E-2</c:v>
                </c:pt>
                <c:pt idx="1">
                  <c:v>6.3E-2</c:v>
                </c:pt>
                <c:pt idx="2">
                  <c:v>6.3E-2</c:v>
                </c:pt>
                <c:pt idx="3">
                  <c:v>6.3E-2</c:v>
                </c:pt>
                <c:pt idx="4">
                  <c:v>6.3E-2</c:v>
                </c:pt>
                <c:pt idx="5">
                  <c:v>3.15</c:v>
                </c:pt>
                <c:pt idx="6">
                  <c:v>6.3</c:v>
                </c:pt>
                <c:pt idx="7">
                  <c:v>7.1</c:v>
                </c:pt>
                <c:pt idx="8">
                  <c:v>10</c:v>
                </c:pt>
                <c:pt idx="9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679-48A9-9BF8-40582A21C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19984"/>
        <c:axId val="166620376"/>
      </c:scatterChart>
      <c:valAx>
        <c:axId val="16661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6619592"/>
        <c:crossesAt val="0"/>
        <c:crossBetween val="midCat"/>
      </c:valAx>
      <c:valAx>
        <c:axId val="1666195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6619200"/>
        <c:crossesAt val="-1.5"/>
        <c:crossBetween val="midCat"/>
        <c:majorUnit val="10"/>
        <c:minorUnit val="2"/>
      </c:valAx>
      <c:valAx>
        <c:axId val="166619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6620376"/>
        <c:crosses val="autoZero"/>
        <c:crossBetween val="midCat"/>
      </c:valAx>
      <c:valAx>
        <c:axId val="166620376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6619984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.18013242662848963"/>
          <c:y val="0.17811181327655931"/>
          <c:w val="0.15894034836554524"/>
          <c:h val="0.345494012819212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79</xdr:row>
      <xdr:rowOff>0</xdr:rowOff>
    </xdr:from>
    <xdr:to>
      <xdr:col>25</xdr:col>
      <xdr:colOff>19050</xdr:colOff>
      <xdr:row>94</xdr:row>
      <xdr:rowOff>9525</xdr:rowOff>
    </xdr:to>
    <xdr:graphicFrame macro="">
      <xdr:nvGraphicFramePr>
        <xdr:cNvPr id="1362" name="Graphique 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161925</xdr:colOff>
      <xdr:row>65</xdr:row>
      <xdr:rowOff>114300</xdr:rowOff>
    </xdr:from>
    <xdr:to>
      <xdr:col>27</xdr:col>
      <xdr:colOff>323850</xdr:colOff>
      <xdr:row>78</xdr:row>
      <xdr:rowOff>28575</xdr:rowOff>
    </xdr:to>
    <xdr:sp macro="" textlink="">
      <xdr:nvSpPr>
        <xdr:cNvPr id="1161" name="Text Box 137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9077325" y="14258925"/>
          <a:ext cx="923925" cy="304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LE RAPPEL SE FAIT DE MANIERE AUTOMATIQUE NE PAS RENSEIGNER LES 2 PARTIES</a:t>
          </a:r>
        </a:p>
      </xdr:txBody>
    </xdr:sp>
    <xdr:clientData fPrintsWithSheet="0"/>
  </xdr:twoCellAnchor>
  <xdr:twoCellAnchor>
    <xdr:from>
      <xdr:col>23</xdr:col>
      <xdr:colOff>19050</xdr:colOff>
      <xdr:row>65</xdr:row>
      <xdr:rowOff>161925</xdr:rowOff>
    </xdr:from>
    <xdr:to>
      <xdr:col>26</xdr:col>
      <xdr:colOff>142875</xdr:colOff>
      <xdr:row>66</xdr:row>
      <xdr:rowOff>209550</xdr:rowOff>
    </xdr:to>
    <xdr:sp macro="" textlink="">
      <xdr:nvSpPr>
        <xdr:cNvPr id="1365" name="Line 138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>
          <a:spLocks noChangeShapeType="1"/>
        </xdr:cNvSpPr>
      </xdr:nvSpPr>
      <xdr:spPr bwMode="auto">
        <a:xfrm flipH="1">
          <a:off x="7905750" y="14306550"/>
          <a:ext cx="1152525" cy="342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24</xdr:col>
      <xdr:colOff>28575</xdr:colOff>
      <xdr:row>77</xdr:row>
      <xdr:rowOff>28575</xdr:rowOff>
    </xdr:from>
    <xdr:to>
      <xdr:col>26</xdr:col>
      <xdr:colOff>142875</xdr:colOff>
      <xdr:row>77</xdr:row>
      <xdr:rowOff>161925</xdr:rowOff>
    </xdr:to>
    <xdr:sp macro="" textlink="">
      <xdr:nvSpPr>
        <xdr:cNvPr id="1366" name="Line 139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>
          <a:spLocks noChangeShapeType="1"/>
        </xdr:cNvSpPr>
      </xdr:nvSpPr>
      <xdr:spPr bwMode="auto">
        <a:xfrm flipH="1" flipV="1">
          <a:off x="8258175" y="17106900"/>
          <a:ext cx="800100" cy="13335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10</xdr:col>
      <xdr:colOff>142875</xdr:colOff>
      <xdr:row>22</xdr:row>
      <xdr:rowOff>66675</xdr:rowOff>
    </xdr:from>
    <xdr:to>
      <xdr:col>26</xdr:col>
      <xdr:colOff>228600</xdr:colOff>
      <xdr:row>22</xdr:row>
      <xdr:rowOff>180975</xdr:rowOff>
    </xdr:to>
    <xdr:grpSp>
      <xdr:nvGrpSpPr>
        <xdr:cNvPr id="1367" name="Group 150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GrpSpPr>
          <a:grpSpLocks/>
        </xdr:cNvGrpSpPr>
      </xdr:nvGrpSpPr>
      <xdr:grpSpPr bwMode="auto">
        <a:xfrm>
          <a:off x="3665220" y="4227195"/>
          <a:ext cx="5726430" cy="114300"/>
          <a:chOff x="512" y="450"/>
          <a:chExt cx="300" cy="9"/>
        </a:xfrm>
      </xdr:grpSpPr>
      <xdr:sp macro="" textlink="">
        <xdr:nvSpPr>
          <xdr:cNvPr id="1375" name="Line 142">
            <a:extLst>
              <a:ext uri="{FF2B5EF4-FFF2-40B4-BE49-F238E27FC236}">
                <a16:creationId xmlns:a16="http://schemas.microsoft.com/office/drawing/2014/main" id="{00000000-0008-0000-0000-00005F05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12" y="450"/>
            <a:ext cx="51" cy="9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76" name="Line 143">
            <a:extLst>
              <a:ext uri="{FF2B5EF4-FFF2-40B4-BE49-F238E27FC236}">
                <a16:creationId xmlns:a16="http://schemas.microsoft.com/office/drawing/2014/main" id="{00000000-0008-0000-0000-000060050000}"/>
              </a:ext>
            </a:extLst>
          </xdr:cNvPr>
          <xdr:cNvSpPr>
            <a:spLocks noChangeShapeType="1"/>
          </xdr:cNvSpPr>
        </xdr:nvSpPr>
        <xdr:spPr bwMode="auto">
          <a:xfrm>
            <a:off x="563" y="450"/>
            <a:ext cx="249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 fPrintsWithSheet="0"/>
  </xdr:twoCellAnchor>
  <xdr:twoCellAnchor>
    <xdr:from>
      <xdr:col>10</xdr:col>
      <xdr:colOff>0</xdr:colOff>
      <xdr:row>39</xdr:row>
      <xdr:rowOff>38100</xdr:rowOff>
    </xdr:from>
    <xdr:to>
      <xdr:col>26</xdr:col>
      <xdr:colOff>238125</xdr:colOff>
      <xdr:row>39</xdr:row>
      <xdr:rowOff>190500</xdr:rowOff>
    </xdr:to>
    <xdr:grpSp>
      <xdr:nvGrpSpPr>
        <xdr:cNvPr id="1368" name="Group 149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GrpSpPr>
          <a:grpSpLocks/>
        </xdr:cNvGrpSpPr>
      </xdr:nvGrpSpPr>
      <xdr:grpSpPr bwMode="auto">
        <a:xfrm>
          <a:off x="3524250" y="8001000"/>
          <a:ext cx="5878830" cy="152400"/>
          <a:chOff x="494" y="854"/>
          <a:chExt cx="300" cy="9"/>
        </a:xfrm>
      </xdr:grpSpPr>
      <xdr:sp macro="" textlink="">
        <xdr:nvSpPr>
          <xdr:cNvPr id="1373" name="Line 146">
            <a:extLst>
              <a:ext uri="{FF2B5EF4-FFF2-40B4-BE49-F238E27FC236}">
                <a16:creationId xmlns:a16="http://schemas.microsoft.com/office/drawing/2014/main" id="{00000000-0008-0000-0000-00005D05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" y="854"/>
            <a:ext cx="51" cy="9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74" name="Line 147">
            <a:extLst>
              <a:ext uri="{FF2B5EF4-FFF2-40B4-BE49-F238E27FC236}">
                <a16:creationId xmlns:a16="http://schemas.microsoft.com/office/drawing/2014/main" id="{00000000-0008-0000-0000-00005E050000}"/>
              </a:ext>
            </a:extLst>
          </xdr:cNvPr>
          <xdr:cNvSpPr>
            <a:spLocks noChangeShapeType="1"/>
          </xdr:cNvSpPr>
        </xdr:nvSpPr>
        <xdr:spPr bwMode="auto">
          <a:xfrm>
            <a:off x="545" y="854"/>
            <a:ext cx="249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 fPrintsWithSheet="0"/>
  </xdr:twoCellAnchor>
  <xdr:twoCellAnchor>
    <xdr:from>
      <xdr:col>26</xdr:col>
      <xdr:colOff>228600</xdr:colOff>
      <xdr:row>21</xdr:row>
      <xdr:rowOff>142875</xdr:rowOff>
    </xdr:from>
    <xdr:to>
      <xdr:col>27</xdr:col>
      <xdr:colOff>247650</xdr:colOff>
      <xdr:row>39</xdr:row>
      <xdr:rowOff>209550</xdr:rowOff>
    </xdr:to>
    <xdr:sp macro="" textlink="">
      <xdr:nvSpPr>
        <xdr:cNvPr id="1172" name="Text Box 148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 txBox="1">
          <a:spLocks noChangeArrowheads="1"/>
        </xdr:cNvSpPr>
      </xdr:nvSpPr>
      <xdr:spPr bwMode="auto">
        <a:xfrm>
          <a:off x="9144000" y="4152900"/>
          <a:ext cx="781050" cy="411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TAMIS DU FOURNISSEUR (FTP)</a:t>
          </a:r>
        </a:p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+</a:t>
          </a:r>
        </a:p>
        <a:p>
          <a:pPr algn="ctr" rtl="0">
            <a:defRPr sz="1000"/>
          </a:pPr>
          <a:r>
            <a:rPr lang="fr-FR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t>TAMIS INTERMEDIAIRES CHOISIS PAR L'ENTREPRISE POUR LE CONTRÔLE</a:t>
          </a:r>
        </a:p>
      </xdr:txBody>
    </xdr:sp>
    <xdr:clientData fPrintsWithSheet="0"/>
  </xdr:twoCellAnchor>
  <xdr:twoCellAnchor>
    <xdr:from>
      <xdr:col>26</xdr:col>
      <xdr:colOff>238124</xdr:colOff>
      <xdr:row>79</xdr:row>
      <xdr:rowOff>209550</xdr:rowOff>
    </xdr:from>
    <xdr:to>
      <xdr:col>27</xdr:col>
      <xdr:colOff>742949</xdr:colOff>
      <xdr:row>92</xdr:row>
      <xdr:rowOff>276225</xdr:rowOff>
    </xdr:to>
    <xdr:sp macro="" textlink="">
      <xdr:nvSpPr>
        <xdr:cNvPr id="1175" name="Text Box 15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 txBox="1">
          <a:spLocks noChangeArrowheads="1"/>
        </xdr:cNvSpPr>
      </xdr:nvSpPr>
      <xdr:spPr bwMode="auto">
        <a:xfrm>
          <a:off x="9153524" y="17735550"/>
          <a:ext cx="1266825" cy="3905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lnSpc>
              <a:spcPts val="800"/>
            </a:lnSpc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CONFORME SI :</a:t>
          </a:r>
        </a:p>
        <a:p>
          <a:pPr algn="ctr" rtl="0">
            <a:lnSpc>
              <a:spcPts val="800"/>
            </a:lnSpc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800"/>
            </a:lnSpc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1 -    AUCUN POINTS "NON CONFORMES" VIS à VIS DE Vss+U et Vsi-U</a:t>
          </a:r>
        </a:p>
        <a:p>
          <a:pPr algn="ctr" rtl="0">
            <a:lnSpc>
              <a:spcPts val="900"/>
            </a:lnSpc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900"/>
            </a:lnSpc>
            <a:defRPr sz="1000"/>
          </a:pPr>
          <a:r>
            <a:rPr lang="fr-FR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ET</a:t>
          </a: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900"/>
            </a:lnSpc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900"/>
            </a:lnSpc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2 -  VALEURS MOYENNES ENTREPRISE DANS LE FUSEAU Xf+U et Xf-U (pointillé) DU FOURNISSEUR POUR LES TAMIS CONTRACTUELS</a:t>
          </a:r>
        </a:p>
        <a:p>
          <a:pPr algn="ctr" rtl="0">
            <a:lnSpc>
              <a:spcPts val="900"/>
            </a:lnSpc>
            <a:defRPr sz="1000"/>
          </a:pPr>
          <a:endParaRPr lang="fr-F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1100"/>
            </a:lnSpc>
            <a:defRPr sz="1000"/>
          </a:pPr>
          <a:r>
            <a:rPr lang="fr-F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car la courbe Moyenne Entreprise ne doit s'écarter de celle du Fournisseur de plus de l'incertitude U.</a:t>
          </a:r>
        </a:p>
      </xdr:txBody>
    </xdr:sp>
    <xdr:clientData fPrintsWithSheet="0"/>
  </xdr:twoCellAnchor>
  <xdr:twoCellAnchor>
    <xdr:from>
      <xdr:col>24</xdr:col>
      <xdr:colOff>47625</xdr:colOff>
      <xdr:row>85</xdr:row>
      <xdr:rowOff>180975</xdr:rowOff>
    </xdr:from>
    <xdr:to>
      <xdr:col>26</xdr:col>
      <xdr:colOff>238125</xdr:colOff>
      <xdr:row>85</xdr:row>
      <xdr:rowOff>190500</xdr:rowOff>
    </xdr:to>
    <xdr:sp macro="" textlink="">
      <xdr:nvSpPr>
        <xdr:cNvPr id="1371" name="Line 152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>
          <a:spLocks noChangeShapeType="1"/>
        </xdr:cNvSpPr>
      </xdr:nvSpPr>
      <xdr:spPr bwMode="auto">
        <a:xfrm flipH="1">
          <a:off x="8277225" y="19478625"/>
          <a:ext cx="876300" cy="95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 editAs="oneCell">
    <xdr:from>
      <xdr:col>1</xdr:col>
      <xdr:colOff>28575</xdr:colOff>
      <xdr:row>1</xdr:row>
      <xdr:rowOff>152400</xdr:rowOff>
    </xdr:from>
    <xdr:to>
      <xdr:col>4</xdr:col>
      <xdr:colOff>314325</xdr:colOff>
      <xdr:row>3</xdr:row>
      <xdr:rowOff>148590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1432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0.80713</cdr:x>
      <cdr:y>0.84079</cdr:y>
    </cdr:from>
    <cdr:to>
      <cdr:x>0.92481</cdr:x>
      <cdr:y>0.8814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15259" y="3743169"/>
          <a:ext cx="847348" cy="1806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0.07421</cdr:x>
      <cdr:y>0.0934</cdr:y>
    </cdr:from>
    <cdr:to>
      <cdr:x>0.10208</cdr:x>
      <cdr:y>0.27321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37537" y="418622"/>
          <a:ext cx="200735" cy="79985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V1821"/>
  <sheetViews>
    <sheetView tabSelected="1" topLeftCell="A94" workbookViewId="0">
      <selection activeCell="A99" sqref="A99:Q99"/>
    </sheetView>
  </sheetViews>
  <sheetFormatPr baseColWidth="10" defaultColWidth="11.44140625" defaultRowHeight="13.2" x14ac:dyDescent="0.25"/>
  <cols>
    <col min="1" max="16" width="5.109375" style="1" customWidth="1"/>
    <col min="17" max="17" width="5.109375" style="106" customWidth="1"/>
    <col min="18" max="26" width="5.109375" style="1" customWidth="1"/>
    <col min="27" max="16384" width="11.44140625" style="1"/>
  </cols>
  <sheetData>
    <row r="1" spans="1:39" ht="12.6" customHeight="1" x14ac:dyDescent="0.25">
      <c r="A1" s="330"/>
      <c r="B1" s="331"/>
      <c r="C1" s="331"/>
      <c r="D1" s="331"/>
      <c r="E1" s="331"/>
      <c r="F1" s="332"/>
      <c r="G1" s="339" t="s">
        <v>65</v>
      </c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1"/>
      <c r="U1" s="342"/>
      <c r="V1" s="343"/>
      <c r="W1" s="343"/>
      <c r="X1" s="343"/>
      <c r="Y1" s="343"/>
      <c r="Z1" s="344"/>
    </row>
    <row r="2" spans="1:39" ht="12.6" customHeight="1" x14ac:dyDescent="0.25">
      <c r="A2" s="333"/>
      <c r="B2" s="334"/>
      <c r="C2" s="334"/>
      <c r="D2" s="334"/>
      <c r="E2" s="334"/>
      <c r="F2" s="335"/>
      <c r="G2" s="351" t="s">
        <v>74</v>
      </c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3"/>
      <c r="U2" s="345"/>
      <c r="V2" s="346"/>
      <c r="W2" s="346"/>
      <c r="X2" s="346"/>
      <c r="Y2" s="346"/>
      <c r="Z2" s="347"/>
    </row>
    <row r="3" spans="1:39" ht="12.6" customHeight="1" x14ac:dyDescent="0.25">
      <c r="A3" s="333"/>
      <c r="B3" s="334"/>
      <c r="C3" s="334"/>
      <c r="D3" s="334"/>
      <c r="E3" s="334"/>
      <c r="F3" s="335"/>
      <c r="G3" s="351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3"/>
      <c r="U3" s="345"/>
      <c r="V3" s="346"/>
      <c r="W3" s="346"/>
      <c r="X3" s="346"/>
      <c r="Y3" s="346"/>
      <c r="Z3" s="347"/>
    </row>
    <row r="4" spans="1:39" ht="12.6" customHeight="1" x14ac:dyDescent="0.25">
      <c r="A4" s="333"/>
      <c r="B4" s="334"/>
      <c r="C4" s="334"/>
      <c r="D4" s="334"/>
      <c r="E4" s="334"/>
      <c r="F4" s="335"/>
      <c r="G4" s="351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  <c r="S4" s="352"/>
      <c r="T4" s="353"/>
      <c r="U4" s="345"/>
      <c r="V4" s="346"/>
      <c r="W4" s="346"/>
      <c r="X4" s="346"/>
      <c r="Y4" s="346"/>
      <c r="Z4" s="347"/>
    </row>
    <row r="5" spans="1:39" ht="12.6" customHeight="1" x14ac:dyDescent="0.25">
      <c r="A5" s="333"/>
      <c r="B5" s="334"/>
      <c r="C5" s="334"/>
      <c r="D5" s="334"/>
      <c r="E5" s="334"/>
      <c r="F5" s="335"/>
      <c r="G5" s="354" t="s">
        <v>75</v>
      </c>
      <c r="H5" s="355"/>
      <c r="I5" s="2" t="s">
        <v>66</v>
      </c>
      <c r="J5" s="356"/>
      <c r="K5" s="357"/>
      <c r="L5" s="358"/>
      <c r="M5" s="356"/>
      <c r="N5" s="356"/>
      <c r="O5" s="357"/>
      <c r="P5" s="359"/>
      <c r="Q5" s="360"/>
      <c r="R5" s="360"/>
      <c r="S5" s="360"/>
      <c r="T5" s="361"/>
      <c r="U5" s="345"/>
      <c r="V5" s="346"/>
      <c r="W5" s="346"/>
      <c r="X5" s="346"/>
      <c r="Y5" s="346"/>
      <c r="Z5" s="347"/>
    </row>
    <row r="6" spans="1:39" ht="12.6" customHeight="1" x14ac:dyDescent="0.25">
      <c r="A6" s="336"/>
      <c r="B6" s="337"/>
      <c r="C6" s="337"/>
      <c r="D6" s="337"/>
      <c r="E6" s="337"/>
      <c r="F6" s="338"/>
      <c r="G6" s="3"/>
      <c r="H6" s="4"/>
      <c r="I6" s="4"/>
      <c r="J6" s="323" t="s">
        <v>67</v>
      </c>
      <c r="K6" s="323"/>
      <c r="L6" s="323" t="s">
        <v>68</v>
      </c>
      <c r="M6" s="323"/>
      <c r="N6" s="323"/>
      <c r="O6" s="323"/>
      <c r="P6" s="323" t="s">
        <v>69</v>
      </c>
      <c r="Q6" s="323"/>
      <c r="R6" s="323"/>
      <c r="S6" s="323"/>
      <c r="T6" s="324"/>
      <c r="U6" s="348"/>
      <c r="V6" s="349"/>
      <c r="W6" s="349"/>
      <c r="X6" s="349"/>
      <c r="Y6" s="349"/>
      <c r="Z6" s="350"/>
    </row>
    <row r="7" spans="1:39" ht="36.75" customHeight="1" x14ac:dyDescent="0.25">
      <c r="A7" s="325" t="s">
        <v>7</v>
      </c>
      <c r="B7" s="325"/>
      <c r="C7" s="325"/>
      <c r="D7" s="325"/>
      <c r="E7" s="325"/>
      <c r="F7" s="325"/>
      <c r="G7" s="326" t="s">
        <v>64</v>
      </c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</row>
    <row r="8" spans="1:39" s="9" customFormat="1" ht="15.6" customHeight="1" x14ac:dyDescent="0.25">
      <c r="A8" s="5" t="s">
        <v>87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39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39" ht="15" x14ac:dyDescent="0.25">
      <c r="A10" s="13"/>
      <c r="B10" s="327" t="s">
        <v>70</v>
      </c>
      <c r="C10" s="327"/>
      <c r="D10" s="327"/>
      <c r="E10" s="327"/>
      <c r="F10" s="327"/>
      <c r="G10" s="327"/>
      <c r="H10" s="328"/>
      <c r="I10" s="328"/>
      <c r="J10" s="328"/>
      <c r="K10" s="328"/>
      <c r="L10" s="328"/>
      <c r="M10" s="328"/>
      <c r="N10" s="327" t="s">
        <v>0</v>
      </c>
      <c r="O10" s="327"/>
      <c r="P10" s="327"/>
      <c r="Q10" s="327"/>
      <c r="R10" s="327"/>
      <c r="S10" s="329"/>
      <c r="T10" s="329"/>
      <c r="U10" s="329"/>
      <c r="V10" s="329"/>
      <c r="W10" s="329"/>
      <c r="X10" s="329"/>
      <c r="Y10" s="329"/>
      <c r="Z10" s="12"/>
      <c r="AA10" s="9"/>
    </row>
    <row r="11" spans="1:39" ht="15" x14ac:dyDescent="0.25">
      <c r="A11" s="13"/>
      <c r="B11" s="327" t="s">
        <v>73</v>
      </c>
      <c r="C11" s="327"/>
      <c r="D11" s="327"/>
      <c r="E11" s="327"/>
      <c r="F11" s="327"/>
      <c r="G11" s="327"/>
      <c r="H11" s="328"/>
      <c r="I11" s="328"/>
      <c r="J11" s="328"/>
      <c r="K11" s="328"/>
      <c r="L11" s="328"/>
      <c r="M11" s="328"/>
      <c r="N11" s="365" t="s">
        <v>71</v>
      </c>
      <c r="O11" s="365"/>
      <c r="P11" s="365"/>
      <c r="Q11" s="365"/>
      <c r="R11" s="365"/>
      <c r="S11" s="365"/>
      <c r="T11" s="365"/>
      <c r="U11" s="365"/>
      <c r="V11" s="366"/>
      <c r="W11" s="366"/>
      <c r="X11" s="366"/>
      <c r="Y11" s="366"/>
      <c r="Z11" s="12"/>
      <c r="AA11" s="9"/>
      <c r="AB11" s="14"/>
      <c r="AC11" s="14"/>
      <c r="AD11" s="15"/>
      <c r="AE11" s="15"/>
      <c r="AF11" s="15"/>
      <c r="AG11" s="15"/>
      <c r="AH11" s="15"/>
      <c r="AI11" s="15"/>
      <c r="AJ11" s="14"/>
      <c r="AK11" s="16"/>
      <c r="AL11" s="14"/>
      <c r="AM11" s="15"/>
    </row>
    <row r="12" spans="1:39" ht="15" x14ac:dyDescent="0.25">
      <c r="A12" s="13"/>
      <c r="B12" s="327" t="s">
        <v>72</v>
      </c>
      <c r="C12" s="327"/>
      <c r="D12" s="327"/>
      <c r="E12" s="327"/>
      <c r="F12" s="327"/>
      <c r="G12" s="327"/>
      <c r="H12" s="328"/>
      <c r="I12" s="328"/>
      <c r="J12" s="328"/>
      <c r="K12" s="328"/>
      <c r="L12" s="328"/>
      <c r="M12" s="328"/>
      <c r="N12" s="327" t="s">
        <v>5</v>
      </c>
      <c r="O12" s="327"/>
      <c r="P12" s="327"/>
      <c r="Q12" s="327"/>
      <c r="R12" s="327"/>
      <c r="S12" s="329"/>
      <c r="T12" s="329"/>
      <c r="U12" s="329"/>
      <c r="V12" s="329"/>
      <c r="W12" s="329"/>
      <c r="X12" s="329"/>
      <c r="Y12" s="329"/>
      <c r="Z12" s="12"/>
      <c r="AA12" s="9"/>
      <c r="AB12" s="14"/>
      <c r="AC12" s="14"/>
      <c r="AD12" s="14"/>
      <c r="AE12" s="16"/>
      <c r="AF12" s="15"/>
      <c r="AG12" s="15"/>
      <c r="AH12" s="15"/>
      <c r="AI12" s="15"/>
      <c r="AJ12" s="14"/>
      <c r="AK12" s="16"/>
      <c r="AL12" s="14"/>
      <c r="AM12" s="16"/>
    </row>
    <row r="13" spans="1:39" ht="15" x14ac:dyDescent="0.25">
      <c r="A13" s="10"/>
      <c r="B13" s="327"/>
      <c r="C13" s="327"/>
      <c r="D13" s="327"/>
      <c r="E13" s="327"/>
      <c r="F13" s="327"/>
      <c r="G13" s="327"/>
      <c r="H13" s="328"/>
      <c r="I13" s="328"/>
      <c r="J13" s="328"/>
      <c r="K13" s="328"/>
      <c r="L13" s="328"/>
      <c r="M13" s="328"/>
      <c r="N13" s="327" t="s">
        <v>6</v>
      </c>
      <c r="O13" s="327"/>
      <c r="P13" s="327"/>
      <c r="Q13" s="327"/>
      <c r="R13" s="327"/>
      <c r="S13" s="329"/>
      <c r="T13" s="329"/>
      <c r="U13" s="329"/>
      <c r="V13" s="329"/>
      <c r="W13" s="329"/>
      <c r="X13" s="329"/>
      <c r="Y13" s="329"/>
      <c r="Z13" s="12"/>
      <c r="AA13" s="9"/>
      <c r="AB13" s="14"/>
      <c r="AC13" s="14"/>
      <c r="AD13" s="14"/>
      <c r="AE13" s="15"/>
      <c r="AF13" s="15"/>
      <c r="AG13" s="15"/>
      <c r="AH13" s="15"/>
      <c r="AI13" s="15"/>
      <c r="AJ13" s="14"/>
      <c r="AK13" s="16"/>
      <c r="AL13" s="15"/>
      <c r="AM13" s="15"/>
    </row>
    <row r="14" spans="1:39" ht="6.75" customHeight="1" x14ac:dyDescent="0.25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  <c r="AA14" s="9"/>
      <c r="AB14" s="14"/>
      <c r="AC14" s="11"/>
      <c r="AD14" s="16"/>
      <c r="AE14" s="16"/>
      <c r="AF14" s="16"/>
      <c r="AG14" s="16"/>
      <c r="AH14" s="16"/>
      <c r="AI14" s="16"/>
      <c r="AJ14" s="14"/>
      <c r="AK14" s="16"/>
      <c r="AL14" s="15"/>
      <c r="AM14" s="15"/>
    </row>
    <row r="15" spans="1:39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39" s="9" customFormat="1" ht="15.6" customHeight="1" x14ac:dyDescent="0.25">
      <c r="A16" s="21" t="s">
        <v>76</v>
      </c>
      <c r="B16" s="22" t="s">
        <v>77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4"/>
      <c r="AA16" s="11"/>
    </row>
    <row r="17" spans="1:45" ht="8.25" customHeight="1" x14ac:dyDescent="0.25">
      <c r="A17" s="25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8"/>
      <c r="AA17" s="14"/>
    </row>
    <row r="18" spans="1:45" ht="18" customHeight="1" x14ac:dyDescent="0.25">
      <c r="A18" s="25"/>
      <c r="B18" s="367" t="s">
        <v>78</v>
      </c>
      <c r="C18" s="367"/>
      <c r="D18" s="367"/>
      <c r="E18" s="367"/>
      <c r="F18" s="367"/>
      <c r="G18" s="367"/>
      <c r="H18" s="367"/>
      <c r="I18" s="368"/>
      <c r="J18" s="368"/>
      <c r="K18" s="368"/>
      <c r="L18" s="368"/>
      <c r="M18" s="368"/>
      <c r="N18" s="368"/>
      <c r="O18" s="368"/>
      <c r="P18" s="368"/>
      <c r="Q18" s="368"/>
      <c r="R18" s="368"/>
      <c r="S18" s="368"/>
      <c r="T18" s="368"/>
      <c r="U18" s="368"/>
      <c r="V18" s="368"/>
      <c r="W18" s="368"/>
      <c r="X18" s="368"/>
      <c r="Y18" s="368"/>
      <c r="Z18" s="29"/>
      <c r="AA18" s="14"/>
    </row>
    <row r="19" spans="1:45" ht="18" customHeight="1" x14ac:dyDescent="0.25">
      <c r="A19" s="25"/>
      <c r="B19" s="367" t="s">
        <v>79</v>
      </c>
      <c r="C19" s="367"/>
      <c r="D19" s="367"/>
      <c r="E19" s="367"/>
      <c r="F19" s="367"/>
      <c r="G19" s="367"/>
      <c r="H19" s="367"/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68"/>
      <c r="V19" s="368"/>
      <c r="W19" s="368"/>
      <c r="X19" s="368"/>
      <c r="Y19" s="368"/>
      <c r="Z19" s="29"/>
      <c r="AA19" s="14"/>
    </row>
    <row r="20" spans="1:45" ht="18" customHeight="1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2"/>
      <c r="AA20" s="14"/>
    </row>
    <row r="21" spans="1:45" ht="18" customHeight="1" x14ac:dyDescent="0.25">
      <c r="A21" s="33"/>
      <c r="B21" s="34"/>
      <c r="C21" s="369" t="s">
        <v>1</v>
      </c>
      <c r="D21" s="369"/>
      <c r="E21" s="369"/>
      <c r="F21" s="369"/>
      <c r="G21" s="369"/>
      <c r="H21" s="369"/>
      <c r="I21" s="369"/>
      <c r="J21" s="369"/>
      <c r="K21" s="369"/>
      <c r="L21" s="369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5"/>
      <c r="AA21" s="14"/>
    </row>
    <row r="22" spans="1:45" ht="18" customHeight="1" x14ac:dyDescent="0.25">
      <c r="A22" s="36"/>
      <c r="B22" s="37"/>
      <c r="C22" s="311" t="s">
        <v>18</v>
      </c>
      <c r="D22" s="311"/>
      <c r="E22" s="311"/>
      <c r="F22" s="311"/>
      <c r="G22" s="311" t="s">
        <v>80</v>
      </c>
      <c r="H22" s="311"/>
      <c r="I22" s="311" t="s">
        <v>81</v>
      </c>
      <c r="J22" s="311"/>
      <c r="K22" s="311" t="s">
        <v>48</v>
      </c>
      <c r="L22" s="311"/>
      <c r="M22" s="311"/>
      <c r="N22" s="311"/>
      <c r="O22" s="311"/>
      <c r="P22" s="311"/>
      <c r="Q22" s="311"/>
      <c r="R22" s="311" t="s">
        <v>19</v>
      </c>
      <c r="S22" s="311"/>
      <c r="T22" s="311"/>
      <c r="U22" s="311" t="s">
        <v>49</v>
      </c>
      <c r="V22" s="311"/>
      <c r="W22" s="311"/>
      <c r="X22" s="311"/>
      <c r="Y22" s="311"/>
      <c r="Z22" s="38"/>
      <c r="AA22" s="14"/>
      <c r="AD22" s="39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37"/>
      <c r="AP22" s="37"/>
      <c r="AQ22" s="37"/>
      <c r="AR22" s="37"/>
      <c r="AS22" s="37"/>
    </row>
    <row r="23" spans="1:45" ht="18" customHeight="1" thickBot="1" x14ac:dyDescent="0.3">
      <c r="A23" s="41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42"/>
      <c r="R23" s="14"/>
      <c r="S23" s="14"/>
      <c r="T23" s="14"/>
      <c r="U23" s="40"/>
      <c r="V23" s="40"/>
      <c r="W23" s="40"/>
      <c r="X23" s="40"/>
      <c r="Y23" s="40"/>
      <c r="Z23" s="38"/>
      <c r="AA23" s="14"/>
      <c r="AD23" s="43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37"/>
      <c r="AP23" s="37"/>
      <c r="AQ23" s="37"/>
      <c r="AR23" s="37"/>
      <c r="AS23" s="37"/>
    </row>
    <row r="24" spans="1:45" ht="18" customHeight="1" x14ac:dyDescent="0.25">
      <c r="A24" s="41"/>
      <c r="B24" s="14"/>
      <c r="C24" s="362"/>
      <c r="D24" s="363"/>
      <c r="E24" s="364"/>
      <c r="F24" s="45" t="s">
        <v>4</v>
      </c>
      <c r="G24" s="46" t="s">
        <v>50</v>
      </c>
      <c r="H24" s="46" t="s">
        <v>51</v>
      </c>
      <c r="I24" s="46" t="s">
        <v>52</v>
      </c>
      <c r="J24" s="46" t="s">
        <v>13</v>
      </c>
      <c r="K24" s="46" t="s">
        <v>15</v>
      </c>
      <c r="L24" s="46" t="s">
        <v>12</v>
      </c>
      <c r="M24" s="47"/>
      <c r="N24" s="47"/>
      <c r="O24" s="48"/>
      <c r="P24" s="384" t="s">
        <v>53</v>
      </c>
      <c r="Q24" s="318"/>
      <c r="R24" s="384" t="s">
        <v>3</v>
      </c>
      <c r="S24" s="370"/>
      <c r="T24" s="318" t="s">
        <v>54</v>
      </c>
      <c r="U24" s="318"/>
      <c r="V24" s="384" t="s">
        <v>55</v>
      </c>
      <c r="W24" s="370"/>
      <c r="X24" s="318" t="s">
        <v>56</v>
      </c>
      <c r="Y24" s="370"/>
      <c r="Z24" s="38"/>
      <c r="AA24" s="14"/>
      <c r="AD24" s="42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2"/>
      <c r="AR24" s="42"/>
      <c r="AS24" s="42"/>
    </row>
    <row r="25" spans="1:45" ht="18" customHeight="1" thickBot="1" x14ac:dyDescent="0.3">
      <c r="A25" s="41"/>
      <c r="B25" s="14"/>
      <c r="C25" s="284" t="s">
        <v>21</v>
      </c>
      <c r="D25" s="285"/>
      <c r="E25" s="286"/>
      <c r="F25" s="50">
        <v>6.3E-2</v>
      </c>
      <c r="G25" s="51">
        <v>3.15</v>
      </c>
      <c r="H25" s="51">
        <v>6.3</v>
      </c>
      <c r="I25" s="51">
        <v>7.1</v>
      </c>
      <c r="J25" s="51">
        <v>10</v>
      </c>
      <c r="K25" s="51">
        <v>14</v>
      </c>
      <c r="L25" s="51">
        <v>20</v>
      </c>
      <c r="M25" s="52"/>
      <c r="N25" s="53"/>
      <c r="O25" s="54"/>
      <c r="P25" s="385"/>
      <c r="Q25" s="371"/>
      <c r="R25" s="385"/>
      <c r="S25" s="372"/>
      <c r="T25" s="371"/>
      <c r="U25" s="371"/>
      <c r="V25" s="385"/>
      <c r="W25" s="372"/>
      <c r="X25" s="371"/>
      <c r="Y25" s="372"/>
      <c r="Z25" s="38"/>
      <c r="AA25" s="14"/>
      <c r="AD25" s="42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2"/>
      <c r="AR25" s="42"/>
      <c r="AS25" s="42"/>
    </row>
    <row r="26" spans="1:45" ht="18" customHeight="1" x14ac:dyDescent="0.25">
      <c r="A26" s="41"/>
      <c r="B26" s="14"/>
      <c r="C26" s="287" t="s">
        <v>10</v>
      </c>
      <c r="D26" s="288"/>
      <c r="E26" s="289"/>
      <c r="F26" s="55"/>
      <c r="G26" s="56"/>
      <c r="H26" s="56">
        <v>10</v>
      </c>
      <c r="I26" s="56">
        <v>30</v>
      </c>
      <c r="J26" s="56">
        <v>10</v>
      </c>
      <c r="K26" s="56"/>
      <c r="L26" s="57"/>
      <c r="M26" s="57"/>
      <c r="N26" s="57"/>
      <c r="O26" s="48"/>
      <c r="P26" s="362"/>
      <c r="Q26" s="364"/>
      <c r="R26" s="362"/>
      <c r="S26" s="364"/>
      <c r="T26" s="362"/>
      <c r="U26" s="364"/>
      <c r="V26" s="362"/>
      <c r="W26" s="364"/>
      <c r="X26" s="362"/>
      <c r="Y26" s="364"/>
      <c r="Z26" s="38"/>
      <c r="AA26" s="14"/>
      <c r="AD26" s="42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49"/>
      <c r="AP26" s="49"/>
      <c r="AQ26" s="42"/>
      <c r="AR26" s="42"/>
      <c r="AS26" s="42"/>
    </row>
    <row r="27" spans="1:45" ht="18" customHeight="1" x14ac:dyDescent="0.25">
      <c r="A27" s="41"/>
      <c r="B27" s="14"/>
      <c r="C27" s="287" t="s">
        <v>57</v>
      </c>
      <c r="D27" s="288"/>
      <c r="E27" s="289"/>
      <c r="F27" s="59">
        <v>6</v>
      </c>
      <c r="G27" s="60">
        <v>6</v>
      </c>
      <c r="H27" s="60">
        <v>21</v>
      </c>
      <c r="I27" s="60">
        <v>62</v>
      </c>
      <c r="J27" s="60">
        <v>98</v>
      </c>
      <c r="K27" s="60"/>
      <c r="L27" s="60"/>
      <c r="M27" s="61"/>
      <c r="N27" s="61"/>
      <c r="O27" s="62"/>
      <c r="P27" s="300">
        <v>29</v>
      </c>
      <c r="Q27" s="301"/>
      <c r="R27" s="302"/>
      <c r="S27" s="303"/>
      <c r="T27" s="300"/>
      <c r="U27" s="301"/>
      <c r="V27" s="300"/>
      <c r="W27" s="301"/>
      <c r="X27" s="300"/>
      <c r="Y27" s="301"/>
      <c r="Z27" s="38"/>
      <c r="AA27" s="14"/>
      <c r="AD27" s="42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2"/>
      <c r="AR27" s="42"/>
      <c r="AS27" s="42"/>
    </row>
    <row r="28" spans="1:45" ht="18" customHeight="1" x14ac:dyDescent="0.25">
      <c r="A28" s="41"/>
      <c r="B28" s="14"/>
      <c r="C28" s="287" t="s">
        <v>58</v>
      </c>
      <c r="D28" s="288"/>
      <c r="E28" s="289"/>
      <c r="F28" s="63">
        <v>5</v>
      </c>
      <c r="G28" s="64">
        <v>5</v>
      </c>
      <c r="H28" s="64">
        <v>16</v>
      </c>
      <c r="I28" s="64">
        <v>50</v>
      </c>
      <c r="J28" s="64">
        <v>93</v>
      </c>
      <c r="K28" s="64"/>
      <c r="L28" s="64"/>
      <c r="M28" s="61"/>
      <c r="N28" s="61"/>
      <c r="O28" s="62"/>
      <c r="P28" s="300">
        <v>25</v>
      </c>
      <c r="Q28" s="301"/>
      <c r="R28" s="302"/>
      <c r="S28" s="303"/>
      <c r="T28" s="300"/>
      <c r="U28" s="301"/>
      <c r="V28" s="300"/>
      <c r="W28" s="301"/>
      <c r="X28" s="300"/>
      <c r="Y28" s="301"/>
      <c r="Z28" s="38"/>
      <c r="AA28" s="14"/>
      <c r="AD28" s="42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2"/>
      <c r="AR28" s="42"/>
      <c r="AS28" s="42"/>
    </row>
    <row r="29" spans="1:45" ht="18" customHeight="1" x14ac:dyDescent="0.25">
      <c r="A29" s="41"/>
      <c r="B29" s="14"/>
      <c r="C29" s="287" t="s">
        <v>59</v>
      </c>
      <c r="D29" s="288"/>
      <c r="E29" s="289"/>
      <c r="F29" s="59"/>
      <c r="G29" s="60"/>
      <c r="H29" s="60">
        <v>6</v>
      </c>
      <c r="I29" s="60">
        <v>20</v>
      </c>
      <c r="J29" s="60">
        <v>83</v>
      </c>
      <c r="K29" s="60">
        <v>98</v>
      </c>
      <c r="L29" s="60">
        <v>100</v>
      </c>
      <c r="M29" s="61"/>
      <c r="N29" s="61"/>
      <c r="O29" s="62"/>
      <c r="P29" s="300"/>
      <c r="Q29" s="301"/>
      <c r="R29" s="302"/>
      <c r="S29" s="303"/>
      <c r="T29" s="300"/>
      <c r="U29" s="301"/>
      <c r="V29" s="300"/>
      <c r="W29" s="301"/>
      <c r="X29" s="300"/>
      <c r="Y29" s="301"/>
      <c r="Z29" s="38"/>
      <c r="AD29" s="42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42"/>
      <c r="AP29" s="42"/>
      <c r="AQ29" s="42"/>
      <c r="AR29" s="42"/>
      <c r="AS29" s="42"/>
    </row>
    <row r="30" spans="1:45" ht="18" customHeight="1" x14ac:dyDescent="0.25">
      <c r="A30" s="41"/>
      <c r="B30" s="14"/>
      <c r="C30" s="287" t="s">
        <v>60</v>
      </c>
      <c r="D30" s="288"/>
      <c r="E30" s="289"/>
      <c r="F30" s="59"/>
      <c r="G30" s="60"/>
      <c r="H30" s="60">
        <v>1</v>
      </c>
      <c r="I30" s="60">
        <v>8</v>
      </c>
      <c r="J30" s="60">
        <v>78</v>
      </c>
      <c r="K30" s="60">
        <v>97</v>
      </c>
      <c r="L30" s="60"/>
      <c r="M30" s="61"/>
      <c r="N30" s="61"/>
      <c r="O30" s="62"/>
      <c r="P30" s="300"/>
      <c r="Q30" s="301"/>
      <c r="R30" s="302"/>
      <c r="S30" s="303"/>
      <c r="T30" s="300"/>
      <c r="U30" s="301"/>
      <c r="V30" s="300"/>
      <c r="W30" s="301"/>
      <c r="X30" s="300"/>
      <c r="Y30" s="301"/>
      <c r="Z30" s="38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ht="18" customHeight="1" thickBot="1" x14ac:dyDescent="0.3">
      <c r="A31" s="41"/>
      <c r="B31" s="14"/>
      <c r="C31" s="291" t="s">
        <v>11</v>
      </c>
      <c r="D31" s="292"/>
      <c r="E31" s="293"/>
      <c r="F31" s="66"/>
      <c r="G31" s="67"/>
      <c r="H31" s="67"/>
      <c r="I31" s="67"/>
      <c r="J31" s="67"/>
      <c r="K31" s="68"/>
      <c r="L31" s="69"/>
      <c r="M31" s="69"/>
      <c r="N31" s="69"/>
      <c r="O31" s="70"/>
      <c r="P31" s="373"/>
      <c r="Q31" s="374"/>
      <c r="R31" s="373"/>
      <c r="S31" s="374"/>
      <c r="T31" s="373"/>
      <c r="U31" s="374"/>
      <c r="V31" s="373"/>
      <c r="W31" s="374"/>
      <c r="X31" s="373"/>
      <c r="Y31" s="374"/>
      <c r="Z31" s="38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</row>
    <row r="32" spans="1:45" ht="18" customHeight="1" thickBot="1" x14ac:dyDescent="0.3">
      <c r="A32" s="41"/>
      <c r="B32" s="39"/>
      <c r="C32" s="299" t="s">
        <v>61</v>
      </c>
      <c r="D32" s="299"/>
      <c r="E32" s="299"/>
      <c r="F32" s="299"/>
      <c r="G32" s="299"/>
      <c r="H32" s="299"/>
      <c r="I32" s="299"/>
      <c r="J32" s="299"/>
      <c r="K32" s="299"/>
      <c r="L32" s="299"/>
      <c r="M32" s="299"/>
      <c r="N32" s="299"/>
      <c r="O32" s="299"/>
      <c r="P32" s="299"/>
      <c r="Q32" s="299"/>
      <c r="R32" s="299"/>
      <c r="S32" s="299"/>
      <c r="T32" s="299"/>
      <c r="U32" s="299"/>
      <c r="V32" s="299"/>
      <c r="W32" s="299"/>
      <c r="X32" s="299"/>
      <c r="Y32" s="299"/>
      <c r="Z32" s="38"/>
      <c r="AD32" s="42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42"/>
      <c r="AP32" s="42"/>
      <c r="AQ32" s="14"/>
      <c r="AR32" s="42"/>
      <c r="AS32" s="42"/>
    </row>
    <row r="33" spans="1:46" ht="18" customHeight="1" thickBot="1" x14ac:dyDescent="0.3">
      <c r="A33" s="71"/>
      <c r="B33" s="40"/>
      <c r="C33" s="294" t="s">
        <v>40</v>
      </c>
      <c r="D33" s="295"/>
      <c r="E33" s="320"/>
      <c r="F33" s="72">
        <v>2</v>
      </c>
      <c r="G33" s="73">
        <v>6</v>
      </c>
      <c r="H33" s="73">
        <v>6</v>
      </c>
      <c r="I33" s="73">
        <v>2</v>
      </c>
      <c r="J33" s="73">
        <v>2</v>
      </c>
      <c r="K33" s="73">
        <v>2</v>
      </c>
      <c r="L33" s="74">
        <v>2</v>
      </c>
      <c r="M33" s="73"/>
      <c r="N33" s="75"/>
      <c r="O33" s="76"/>
      <c r="P33" s="294">
        <v>4</v>
      </c>
      <c r="Q33" s="295"/>
      <c r="R33" s="294">
        <v>2</v>
      </c>
      <c r="S33" s="320"/>
      <c r="T33" s="295">
        <v>3</v>
      </c>
      <c r="U33" s="295"/>
      <c r="V33" s="294">
        <v>3</v>
      </c>
      <c r="W33" s="320"/>
      <c r="X33" s="295">
        <v>4</v>
      </c>
      <c r="Y33" s="320"/>
      <c r="Z33" s="38"/>
      <c r="AD33" s="40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40"/>
      <c r="AP33" s="40"/>
      <c r="AQ33" s="40"/>
      <c r="AR33" s="40"/>
      <c r="AS33" s="40"/>
    </row>
    <row r="34" spans="1:46" ht="18" customHeight="1" x14ac:dyDescent="0.25">
      <c r="A34" s="78"/>
      <c r="B34" s="65"/>
      <c r="C34" s="296" t="s">
        <v>25</v>
      </c>
      <c r="D34" s="297"/>
      <c r="E34" s="298"/>
      <c r="F34" s="79">
        <f t="shared" ref="F34:L34" si="0">IF(ISNUMBER(F35),IF(F35+F33&gt;100,100,F35+F33),"")</f>
        <v>2.36</v>
      </c>
      <c r="G34" s="80">
        <f t="shared" si="0"/>
        <v>6.8</v>
      </c>
      <c r="H34" s="80">
        <f t="shared" si="0"/>
        <v>15.1</v>
      </c>
      <c r="I34" s="81">
        <f t="shared" si="0"/>
        <v>26.1</v>
      </c>
      <c r="J34" s="80">
        <f t="shared" si="0"/>
        <v>90.9</v>
      </c>
      <c r="K34" s="82">
        <f t="shared" si="0"/>
        <v>100</v>
      </c>
      <c r="L34" s="83">
        <f t="shared" si="0"/>
        <v>100</v>
      </c>
      <c r="M34" s="84" t="str">
        <f>IF(ISNUMBER(M35),M35+M33,"")</f>
        <v/>
      </c>
      <c r="N34" s="85" t="str">
        <f>IF(ISNUMBER(N35),N35+N33,"")</f>
        <v/>
      </c>
      <c r="O34" s="86" t="str">
        <f>IF(ISNUMBER(O35),O35+O33,"")</f>
        <v/>
      </c>
      <c r="P34" s="392" t="str">
        <f>IF(ISNUMBER(P35),P35+P33,"")</f>
        <v/>
      </c>
      <c r="Q34" s="393"/>
      <c r="R34" s="394" t="str">
        <f>IF(ISNUMBER(R35),R35+R33,"")</f>
        <v/>
      </c>
      <c r="S34" s="393"/>
      <c r="T34" s="394" t="str">
        <f>IF(ISNUMBER(T35),T35+T33,"")</f>
        <v/>
      </c>
      <c r="U34" s="393"/>
      <c r="V34" s="394" t="str">
        <f>IF(ISNUMBER(V35),V35+V33,"")</f>
        <v/>
      </c>
      <c r="W34" s="393"/>
      <c r="X34" s="321" t="str">
        <f>IF(ISNUMBER(X35),X35+X33,"")</f>
        <v/>
      </c>
      <c r="Y34" s="322"/>
      <c r="Z34" s="38"/>
      <c r="AD34" s="42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42"/>
      <c r="AP34" s="42"/>
      <c r="AQ34" s="42"/>
      <c r="AR34" s="42"/>
      <c r="AS34" s="42"/>
    </row>
    <row r="35" spans="1:46" ht="18" customHeight="1" x14ac:dyDescent="0.25">
      <c r="A35" s="71"/>
      <c r="B35" s="77"/>
      <c r="C35" s="386" t="s">
        <v>22</v>
      </c>
      <c r="D35" s="387"/>
      <c r="E35" s="388"/>
      <c r="F35" s="87">
        <v>0.36</v>
      </c>
      <c r="G35" s="88">
        <v>0.8</v>
      </c>
      <c r="H35" s="88">
        <v>9.1</v>
      </c>
      <c r="I35" s="89">
        <v>24.1</v>
      </c>
      <c r="J35" s="88">
        <v>88.9</v>
      </c>
      <c r="K35" s="90">
        <v>100</v>
      </c>
      <c r="L35" s="91">
        <v>100</v>
      </c>
      <c r="M35" s="92"/>
      <c r="N35" s="93"/>
      <c r="O35" s="94"/>
      <c r="P35" s="302" t="str">
        <f>IF(ISNUMBER(P36),P36+P34,"")</f>
        <v/>
      </c>
      <c r="Q35" s="383"/>
      <c r="R35" s="306"/>
      <c r="S35" s="306"/>
      <c r="T35" s="306" t="str">
        <f>IF(ISNUMBER(T36),T36+T34,"")</f>
        <v/>
      </c>
      <c r="U35" s="306"/>
      <c r="V35" s="306" t="str">
        <f>IF(ISNUMBER(V36),V36+V34,"")</f>
        <v/>
      </c>
      <c r="W35" s="306"/>
      <c r="X35" s="376" t="str">
        <f>IF(ISNUMBER(X36),X36+X34,"")</f>
        <v/>
      </c>
      <c r="Y35" s="286"/>
      <c r="Z35" s="38"/>
    </row>
    <row r="36" spans="1:46" ht="18" customHeight="1" thickBot="1" x14ac:dyDescent="0.3">
      <c r="A36" s="78"/>
      <c r="B36" s="65"/>
      <c r="C36" s="389" t="s">
        <v>24</v>
      </c>
      <c r="D36" s="390"/>
      <c r="E36" s="391"/>
      <c r="F36" s="95">
        <f t="shared" ref="F36:L36" si="1">IF(ISNUMBER(F35),IF(F35-F33&lt;0,0,F35-F33),"")</f>
        <v>0</v>
      </c>
      <c r="G36" s="68">
        <f t="shared" si="1"/>
        <v>0</v>
      </c>
      <c r="H36" s="68">
        <f t="shared" si="1"/>
        <v>3.0999999999999996</v>
      </c>
      <c r="I36" s="67">
        <f t="shared" si="1"/>
        <v>22.1</v>
      </c>
      <c r="J36" s="68">
        <f t="shared" si="1"/>
        <v>86.9</v>
      </c>
      <c r="K36" s="68">
        <f t="shared" si="1"/>
        <v>98</v>
      </c>
      <c r="L36" s="67">
        <f t="shared" si="1"/>
        <v>98</v>
      </c>
      <c r="M36" s="96"/>
      <c r="N36" s="96"/>
      <c r="O36" s="97"/>
      <c r="P36" s="377" t="str">
        <f>IF(ISNUMBER(P37),P37+P35,"")</f>
        <v/>
      </c>
      <c r="Q36" s="378"/>
      <c r="R36" s="379" t="str">
        <f>IF(ISNUMBER(R37),R37+R35,"")</f>
        <v/>
      </c>
      <c r="S36" s="380"/>
      <c r="T36" s="381" t="str">
        <f>IF(ISNUMBER(T37),T37+T35,"")</f>
        <v/>
      </c>
      <c r="U36" s="380"/>
      <c r="V36" s="381" t="str">
        <f>IF(ISNUMBER(V37),V37+V35,"")</f>
        <v/>
      </c>
      <c r="W36" s="380"/>
      <c r="X36" s="378" t="str">
        <f>IF(ISNUMBER(X37),X37+X35,"")</f>
        <v/>
      </c>
      <c r="Y36" s="382"/>
      <c r="Z36" s="38"/>
    </row>
    <row r="37" spans="1:46" ht="18" customHeight="1" x14ac:dyDescent="0.25">
      <c r="A37" s="98"/>
      <c r="B37" s="99"/>
      <c r="C37" s="99"/>
      <c r="D37" s="99"/>
      <c r="E37" s="99"/>
      <c r="F37" s="100"/>
      <c r="G37" s="101"/>
      <c r="H37" s="102"/>
      <c r="I37" s="99"/>
      <c r="J37" s="99"/>
      <c r="K37" s="99"/>
      <c r="L37" s="99"/>
      <c r="M37" s="99"/>
      <c r="N37" s="99"/>
      <c r="O37" s="100"/>
      <c r="P37" s="99"/>
      <c r="Q37" s="103"/>
      <c r="R37" s="104"/>
      <c r="S37" s="104"/>
      <c r="T37" s="104"/>
      <c r="U37" s="104"/>
      <c r="V37" s="104"/>
      <c r="W37" s="104"/>
      <c r="X37" s="104"/>
      <c r="Y37" s="104"/>
      <c r="Z37" s="105"/>
    </row>
    <row r="38" spans="1:46" x14ac:dyDescent="0.25">
      <c r="R38" s="40"/>
      <c r="S38" s="40"/>
      <c r="T38" s="40"/>
      <c r="U38" s="40"/>
      <c r="V38" s="40"/>
      <c r="W38" s="40"/>
      <c r="X38" s="40"/>
      <c r="Y38" s="40"/>
      <c r="Z38" s="40"/>
    </row>
    <row r="39" spans="1:46" s="9" customFormat="1" ht="15.6" customHeight="1" x14ac:dyDescent="0.25">
      <c r="A39" s="5" t="s">
        <v>88</v>
      </c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8"/>
      <c r="AA39" s="11"/>
    </row>
    <row r="40" spans="1:46" ht="18" customHeight="1" thickBot="1" x14ac:dyDescent="0.3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42"/>
      <c r="R40" s="14"/>
      <c r="S40" s="14"/>
      <c r="T40" s="14"/>
      <c r="U40" s="14"/>
      <c r="V40" s="14"/>
      <c r="W40" s="14"/>
      <c r="X40" s="14"/>
      <c r="Y40" s="14"/>
      <c r="Z40" s="107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ht="18" customHeight="1" x14ac:dyDescent="0.25">
      <c r="A41" s="108"/>
      <c r="B41" s="40"/>
      <c r="C41" s="405" t="s">
        <v>82</v>
      </c>
      <c r="D41" s="406"/>
      <c r="E41" s="407"/>
      <c r="F41" s="109" t="s">
        <v>4</v>
      </c>
      <c r="G41" s="109" t="s">
        <v>50</v>
      </c>
      <c r="H41" s="109" t="s">
        <v>51</v>
      </c>
      <c r="I41" s="109" t="s">
        <v>52</v>
      </c>
      <c r="J41" s="109" t="s">
        <v>13</v>
      </c>
      <c r="K41" s="109" t="s">
        <v>15</v>
      </c>
      <c r="L41" s="109" t="s">
        <v>12</v>
      </c>
      <c r="M41" s="110"/>
      <c r="N41" s="110"/>
      <c r="O41" s="111"/>
      <c r="P41" s="384" t="s">
        <v>53</v>
      </c>
      <c r="Q41" s="370"/>
      <c r="R41" s="384" t="s">
        <v>3</v>
      </c>
      <c r="S41" s="370"/>
      <c r="T41" s="318" t="s">
        <v>54</v>
      </c>
      <c r="U41" s="318"/>
      <c r="V41" s="384" t="s">
        <v>55</v>
      </c>
      <c r="W41" s="370"/>
      <c r="X41" s="318" t="s">
        <v>56</v>
      </c>
      <c r="Y41" s="370"/>
      <c r="Z41" s="107"/>
      <c r="AC41" s="14"/>
      <c r="AD41" s="112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37"/>
      <c r="AP41" s="37"/>
      <c r="AQ41" s="37"/>
      <c r="AR41" s="37"/>
      <c r="AS41" s="37"/>
      <c r="AT41" s="14"/>
    </row>
    <row r="42" spans="1:46" ht="18" customHeight="1" thickBot="1" x14ac:dyDescent="0.3">
      <c r="A42" s="113"/>
      <c r="B42" s="44"/>
      <c r="C42" s="408"/>
      <c r="D42" s="409"/>
      <c r="E42" s="410"/>
      <c r="F42" s="114">
        <v>6.3E-2</v>
      </c>
      <c r="G42" s="114">
        <v>3.15</v>
      </c>
      <c r="H42" s="114">
        <v>6.3</v>
      </c>
      <c r="I42" s="114">
        <v>7.1</v>
      </c>
      <c r="J42" s="114">
        <v>10</v>
      </c>
      <c r="K42" s="114">
        <v>14</v>
      </c>
      <c r="L42" s="114">
        <v>20</v>
      </c>
      <c r="M42" s="115"/>
      <c r="N42" s="115"/>
      <c r="O42" s="116"/>
      <c r="P42" s="385"/>
      <c r="Q42" s="372"/>
      <c r="R42" s="385"/>
      <c r="S42" s="372"/>
      <c r="T42" s="371"/>
      <c r="U42" s="371"/>
      <c r="V42" s="385"/>
      <c r="W42" s="372"/>
      <c r="X42" s="371"/>
      <c r="Y42" s="372"/>
      <c r="Z42" s="107"/>
      <c r="AC42" s="14"/>
      <c r="AD42" s="117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37"/>
      <c r="AP42" s="37"/>
      <c r="AQ42" s="37"/>
      <c r="AR42" s="37"/>
      <c r="AS42" s="37"/>
      <c r="AT42" s="14"/>
    </row>
    <row r="43" spans="1:46" s="121" customFormat="1" ht="18" customHeight="1" x14ac:dyDescent="0.25">
      <c r="A43" s="78"/>
      <c r="B43" s="65"/>
      <c r="C43" s="296" t="s">
        <v>45</v>
      </c>
      <c r="D43" s="297"/>
      <c r="E43" s="298"/>
      <c r="F43" s="118">
        <v>0.36</v>
      </c>
      <c r="G43" s="81">
        <v>0.8</v>
      </c>
      <c r="H43" s="81">
        <v>9.1</v>
      </c>
      <c r="I43" s="81">
        <v>24.1</v>
      </c>
      <c r="J43" s="81">
        <v>55</v>
      </c>
      <c r="K43" s="83">
        <v>100</v>
      </c>
      <c r="L43" s="83">
        <v>100</v>
      </c>
      <c r="M43" s="56"/>
      <c r="N43" s="119"/>
      <c r="O43" s="48"/>
      <c r="P43" s="362">
        <v>17</v>
      </c>
      <c r="Q43" s="364"/>
      <c r="R43" s="362"/>
      <c r="S43" s="364"/>
      <c r="T43" s="362"/>
      <c r="U43" s="363"/>
      <c r="V43" s="375"/>
      <c r="W43" s="363"/>
      <c r="X43" s="375"/>
      <c r="Y43" s="364"/>
      <c r="Z43" s="120"/>
      <c r="AC43" s="122"/>
      <c r="AD43" s="42"/>
      <c r="AE43" s="65"/>
      <c r="AF43" s="65"/>
      <c r="AG43" s="65"/>
      <c r="AH43" s="65"/>
      <c r="AI43" s="65"/>
      <c r="AJ43" s="65"/>
      <c r="AK43" s="65"/>
      <c r="AL43" s="65"/>
      <c r="AM43" s="65"/>
      <c r="AN43" s="49"/>
      <c r="AO43" s="49"/>
      <c r="AP43" s="49"/>
      <c r="AQ43" s="42"/>
      <c r="AR43" s="42"/>
      <c r="AS43" s="42"/>
      <c r="AT43" s="122"/>
    </row>
    <row r="44" spans="1:46" s="121" customFormat="1" ht="18" customHeight="1" x14ac:dyDescent="0.25">
      <c r="A44" s="78"/>
      <c r="B44" s="65"/>
      <c r="C44" s="411" t="s">
        <v>46</v>
      </c>
      <c r="D44" s="412"/>
      <c r="E44" s="413"/>
      <c r="F44" s="123">
        <v>1.36</v>
      </c>
      <c r="G44" s="124">
        <v>1.8</v>
      </c>
      <c r="H44" s="124">
        <v>10.1</v>
      </c>
      <c r="I44" s="124">
        <v>25.1</v>
      </c>
      <c r="J44" s="124">
        <v>89.9</v>
      </c>
      <c r="K44" s="125">
        <v>100</v>
      </c>
      <c r="L44" s="125">
        <v>100</v>
      </c>
      <c r="M44" s="60"/>
      <c r="N44" s="126"/>
      <c r="O44" s="127"/>
      <c r="P44" s="304">
        <v>31</v>
      </c>
      <c r="Q44" s="305"/>
      <c r="R44" s="304"/>
      <c r="S44" s="305"/>
      <c r="T44" s="304"/>
      <c r="U44" s="306"/>
      <c r="V44" s="306"/>
      <c r="W44" s="306"/>
      <c r="X44" s="306"/>
      <c r="Y44" s="305"/>
      <c r="Z44" s="120"/>
      <c r="AC44" s="122"/>
      <c r="AD44" s="42"/>
      <c r="AE44" s="65"/>
      <c r="AF44" s="65"/>
      <c r="AG44" s="65"/>
      <c r="AH44" s="65"/>
      <c r="AI44" s="65"/>
      <c r="AJ44" s="65"/>
      <c r="AK44" s="65"/>
      <c r="AL44" s="65"/>
      <c r="AM44" s="65"/>
      <c r="AN44" s="49"/>
      <c r="AO44" s="49"/>
      <c r="AP44" s="49"/>
      <c r="AQ44" s="42"/>
      <c r="AR44" s="42"/>
      <c r="AS44" s="42"/>
      <c r="AT44" s="122"/>
    </row>
    <row r="45" spans="1:46" s="121" customFormat="1" ht="18" customHeight="1" x14ac:dyDescent="0.25">
      <c r="A45" s="78"/>
      <c r="B45" s="65"/>
      <c r="C45" s="411" t="s">
        <v>47</v>
      </c>
      <c r="D45" s="412"/>
      <c r="E45" s="413"/>
      <c r="F45" s="128">
        <v>0.3</v>
      </c>
      <c r="G45" s="129">
        <v>0.3</v>
      </c>
      <c r="H45" s="129">
        <v>8.6</v>
      </c>
      <c r="I45" s="129">
        <v>23.6</v>
      </c>
      <c r="J45" s="129">
        <v>88.4</v>
      </c>
      <c r="K45" s="129">
        <v>99.5</v>
      </c>
      <c r="L45" s="129">
        <v>99.5</v>
      </c>
      <c r="M45" s="60"/>
      <c r="N45" s="126"/>
      <c r="O45" s="127"/>
      <c r="P45" s="304">
        <v>15</v>
      </c>
      <c r="Q45" s="305"/>
      <c r="R45" s="304"/>
      <c r="S45" s="305"/>
      <c r="T45" s="304"/>
      <c r="U45" s="306"/>
      <c r="V45" s="306"/>
      <c r="W45" s="306"/>
      <c r="X45" s="306"/>
      <c r="Y45" s="305"/>
      <c r="Z45" s="120"/>
      <c r="AC45" s="122"/>
      <c r="AD45" s="42"/>
      <c r="AE45" s="65"/>
      <c r="AF45" s="65"/>
      <c r="AG45" s="65"/>
      <c r="AH45" s="65"/>
      <c r="AI45" s="65"/>
      <c r="AJ45" s="65"/>
      <c r="AK45" s="65"/>
      <c r="AL45" s="65"/>
      <c r="AM45" s="65"/>
      <c r="AN45" s="49"/>
      <c r="AO45" s="49"/>
      <c r="AP45" s="49"/>
      <c r="AQ45" s="42"/>
      <c r="AR45" s="42"/>
      <c r="AS45" s="42"/>
      <c r="AT45" s="122"/>
    </row>
    <row r="46" spans="1:46" s="121" customFormat="1" ht="18" customHeight="1" x14ac:dyDescent="0.25">
      <c r="A46" s="78"/>
      <c r="B46" s="65"/>
      <c r="C46" s="302" t="s">
        <v>26</v>
      </c>
      <c r="D46" s="414"/>
      <c r="E46" s="303"/>
      <c r="F46" s="128">
        <v>7</v>
      </c>
      <c r="G46" s="129"/>
      <c r="H46" s="129"/>
      <c r="I46" s="129"/>
      <c r="J46" s="129"/>
      <c r="K46" s="129"/>
      <c r="L46" s="129"/>
      <c r="M46" s="60"/>
      <c r="N46" s="126"/>
      <c r="O46" s="127"/>
      <c r="P46" s="304"/>
      <c r="Q46" s="305"/>
      <c r="R46" s="304"/>
      <c r="S46" s="305"/>
      <c r="T46" s="304"/>
      <c r="U46" s="306"/>
      <c r="V46" s="306"/>
      <c r="W46" s="306"/>
      <c r="X46" s="306"/>
      <c r="Y46" s="305"/>
      <c r="Z46" s="120"/>
      <c r="AC46" s="122"/>
      <c r="AD46" s="42"/>
      <c r="AE46" s="65"/>
      <c r="AF46" s="65"/>
      <c r="AG46" s="65"/>
      <c r="AH46" s="65"/>
      <c r="AI46" s="65"/>
      <c r="AJ46" s="65"/>
      <c r="AK46" s="65"/>
      <c r="AL46" s="65"/>
      <c r="AM46" s="65"/>
      <c r="AN46" s="49"/>
      <c r="AO46" s="49"/>
      <c r="AP46" s="49"/>
      <c r="AQ46" s="42"/>
      <c r="AR46" s="42"/>
      <c r="AS46" s="42"/>
      <c r="AT46" s="122"/>
    </row>
    <row r="47" spans="1:46" s="121" customFormat="1" ht="18" customHeight="1" x14ac:dyDescent="0.25">
      <c r="A47" s="78"/>
      <c r="B47" s="65"/>
      <c r="C47" s="302" t="s">
        <v>27</v>
      </c>
      <c r="D47" s="414"/>
      <c r="E47" s="303"/>
      <c r="F47" s="128"/>
      <c r="G47" s="129"/>
      <c r="H47" s="129"/>
      <c r="I47" s="129"/>
      <c r="J47" s="129"/>
      <c r="K47" s="130"/>
      <c r="L47" s="60"/>
      <c r="M47" s="60"/>
      <c r="N47" s="126"/>
      <c r="O47" s="127"/>
      <c r="P47" s="304"/>
      <c r="Q47" s="305"/>
      <c r="R47" s="304"/>
      <c r="S47" s="305"/>
      <c r="T47" s="304"/>
      <c r="U47" s="306"/>
      <c r="V47" s="306"/>
      <c r="W47" s="306"/>
      <c r="X47" s="306"/>
      <c r="Y47" s="305"/>
      <c r="Z47" s="120"/>
      <c r="AC47" s="122"/>
      <c r="AD47" s="42"/>
      <c r="AE47" s="65"/>
      <c r="AF47" s="65"/>
      <c r="AG47" s="65"/>
      <c r="AH47" s="65"/>
      <c r="AI47" s="65"/>
      <c r="AJ47" s="65"/>
      <c r="AK47" s="65"/>
      <c r="AL47" s="65"/>
      <c r="AM47" s="65"/>
      <c r="AN47" s="49"/>
      <c r="AO47" s="49"/>
      <c r="AP47" s="49"/>
      <c r="AQ47" s="42"/>
      <c r="AR47" s="42"/>
      <c r="AS47" s="42"/>
      <c r="AT47" s="122"/>
    </row>
    <row r="48" spans="1:46" s="121" customFormat="1" ht="18" customHeight="1" x14ac:dyDescent="0.25">
      <c r="A48" s="78"/>
      <c r="B48" s="65"/>
      <c r="C48" s="302" t="s">
        <v>28</v>
      </c>
      <c r="D48" s="414"/>
      <c r="E48" s="303"/>
      <c r="F48" s="128"/>
      <c r="G48" s="129"/>
      <c r="H48" s="129"/>
      <c r="I48" s="129"/>
      <c r="J48" s="129"/>
      <c r="K48" s="130"/>
      <c r="L48" s="60"/>
      <c r="M48" s="60"/>
      <c r="N48" s="126"/>
      <c r="O48" s="127"/>
      <c r="P48" s="304"/>
      <c r="Q48" s="305"/>
      <c r="R48" s="304"/>
      <c r="S48" s="305"/>
      <c r="T48" s="304"/>
      <c r="U48" s="306"/>
      <c r="V48" s="306"/>
      <c r="W48" s="306"/>
      <c r="X48" s="306"/>
      <c r="Y48" s="305"/>
      <c r="Z48" s="120"/>
      <c r="AC48" s="122"/>
      <c r="AD48" s="42"/>
      <c r="AE48" s="65"/>
      <c r="AF48" s="65"/>
      <c r="AG48" s="65"/>
      <c r="AH48" s="65"/>
      <c r="AI48" s="65"/>
      <c r="AJ48" s="65"/>
      <c r="AK48" s="65"/>
      <c r="AL48" s="65"/>
      <c r="AM48" s="65"/>
      <c r="AN48" s="49"/>
      <c r="AO48" s="49"/>
      <c r="AP48" s="49"/>
      <c r="AQ48" s="42"/>
      <c r="AR48" s="42"/>
      <c r="AS48" s="42"/>
      <c r="AT48" s="122"/>
    </row>
    <row r="49" spans="1:256" s="121" customFormat="1" ht="18" customHeight="1" x14ac:dyDescent="0.25">
      <c r="A49" s="78"/>
      <c r="B49" s="65"/>
      <c r="C49" s="302" t="s">
        <v>29</v>
      </c>
      <c r="D49" s="414"/>
      <c r="E49" s="303"/>
      <c r="F49" s="128"/>
      <c r="G49" s="129"/>
      <c r="H49" s="129"/>
      <c r="I49" s="129"/>
      <c r="J49" s="129"/>
      <c r="K49" s="130"/>
      <c r="L49" s="60"/>
      <c r="M49" s="60"/>
      <c r="N49" s="126"/>
      <c r="O49" s="127"/>
      <c r="P49" s="304"/>
      <c r="Q49" s="305"/>
      <c r="R49" s="304"/>
      <c r="S49" s="305"/>
      <c r="T49" s="304"/>
      <c r="U49" s="306"/>
      <c r="V49" s="306"/>
      <c r="W49" s="306"/>
      <c r="X49" s="306"/>
      <c r="Y49" s="305"/>
      <c r="Z49" s="120"/>
      <c r="AC49" s="122"/>
      <c r="AD49" s="42"/>
      <c r="AE49" s="65"/>
      <c r="AF49" s="65"/>
      <c r="AG49" s="65"/>
      <c r="AH49" s="65"/>
      <c r="AI49" s="65"/>
      <c r="AJ49" s="65"/>
      <c r="AK49" s="65"/>
      <c r="AL49" s="65"/>
      <c r="AM49" s="65"/>
      <c r="AN49" s="49"/>
      <c r="AO49" s="49"/>
      <c r="AP49" s="49"/>
      <c r="AQ49" s="42"/>
      <c r="AR49" s="42"/>
      <c r="AS49" s="42"/>
      <c r="AT49" s="122"/>
    </row>
    <row r="50" spans="1:256" s="121" customFormat="1" ht="18" customHeight="1" x14ac:dyDescent="0.25">
      <c r="A50" s="78"/>
      <c r="B50" s="65"/>
      <c r="C50" s="302" t="s">
        <v>30</v>
      </c>
      <c r="D50" s="414"/>
      <c r="E50" s="303"/>
      <c r="F50" s="128"/>
      <c r="G50" s="129"/>
      <c r="H50" s="129"/>
      <c r="I50" s="129"/>
      <c r="J50" s="129"/>
      <c r="K50" s="130"/>
      <c r="L50" s="60"/>
      <c r="M50" s="60"/>
      <c r="N50" s="126"/>
      <c r="O50" s="127"/>
      <c r="P50" s="304"/>
      <c r="Q50" s="305"/>
      <c r="R50" s="304"/>
      <c r="S50" s="305"/>
      <c r="T50" s="304"/>
      <c r="U50" s="306"/>
      <c r="V50" s="306"/>
      <c r="W50" s="306"/>
      <c r="X50" s="306"/>
      <c r="Y50" s="305"/>
      <c r="Z50" s="120"/>
      <c r="AC50" s="122"/>
      <c r="AD50" s="42"/>
      <c r="AE50" s="65"/>
      <c r="AF50" s="65"/>
      <c r="AG50" s="65"/>
      <c r="AH50" s="65"/>
      <c r="AI50" s="65"/>
      <c r="AJ50" s="65"/>
      <c r="AK50" s="65"/>
      <c r="AL50" s="65"/>
      <c r="AM50" s="65"/>
      <c r="AN50" s="49"/>
      <c r="AO50" s="49"/>
      <c r="AP50" s="49"/>
      <c r="AQ50" s="42"/>
      <c r="AR50" s="42"/>
      <c r="AS50" s="42"/>
      <c r="AT50" s="122"/>
    </row>
    <row r="51" spans="1:256" s="121" customFormat="1" ht="18" customHeight="1" x14ac:dyDescent="0.25">
      <c r="A51" s="78"/>
      <c r="B51" s="65"/>
      <c r="C51" s="302" t="s">
        <v>31</v>
      </c>
      <c r="D51" s="414"/>
      <c r="E51" s="303"/>
      <c r="F51" s="128"/>
      <c r="G51" s="129"/>
      <c r="H51" s="129"/>
      <c r="I51" s="129"/>
      <c r="J51" s="129"/>
      <c r="K51" s="130"/>
      <c r="L51" s="60"/>
      <c r="M51" s="60"/>
      <c r="N51" s="126"/>
      <c r="O51" s="127"/>
      <c r="P51" s="304"/>
      <c r="Q51" s="305"/>
      <c r="R51" s="304"/>
      <c r="S51" s="305"/>
      <c r="T51" s="304"/>
      <c r="U51" s="306"/>
      <c r="V51" s="306"/>
      <c r="W51" s="306"/>
      <c r="X51" s="306"/>
      <c r="Y51" s="305"/>
      <c r="Z51" s="120"/>
      <c r="AC51" s="122"/>
      <c r="AD51" s="42"/>
      <c r="AE51" s="65"/>
      <c r="AF51" s="65"/>
      <c r="AG51" s="65"/>
      <c r="AH51" s="65"/>
      <c r="AI51" s="65"/>
      <c r="AJ51" s="65"/>
      <c r="AK51" s="65"/>
      <c r="AL51" s="65"/>
      <c r="AM51" s="65"/>
      <c r="AN51" s="49"/>
      <c r="AO51" s="49"/>
      <c r="AP51" s="49"/>
      <c r="AQ51" s="42"/>
      <c r="AR51" s="42"/>
      <c r="AS51" s="42"/>
      <c r="AT51" s="122"/>
    </row>
    <row r="52" spans="1:256" s="121" customFormat="1" ht="18" customHeight="1" x14ac:dyDescent="0.25">
      <c r="A52" s="78"/>
      <c r="B52" s="65"/>
      <c r="C52" s="302" t="s">
        <v>32</v>
      </c>
      <c r="D52" s="414"/>
      <c r="E52" s="303"/>
      <c r="F52" s="128"/>
      <c r="G52" s="129"/>
      <c r="H52" s="129"/>
      <c r="I52" s="129"/>
      <c r="J52" s="129"/>
      <c r="K52" s="130"/>
      <c r="L52" s="60"/>
      <c r="M52" s="60"/>
      <c r="N52" s="126"/>
      <c r="O52" s="127"/>
      <c r="P52" s="304"/>
      <c r="Q52" s="305"/>
      <c r="R52" s="304"/>
      <c r="S52" s="305"/>
      <c r="T52" s="304"/>
      <c r="U52" s="306"/>
      <c r="V52" s="306"/>
      <c r="W52" s="306"/>
      <c r="X52" s="306"/>
      <c r="Y52" s="305"/>
      <c r="Z52" s="120"/>
      <c r="AC52" s="122"/>
      <c r="AD52" s="42"/>
      <c r="AE52" s="65"/>
      <c r="AF52" s="65"/>
      <c r="AG52" s="65"/>
      <c r="AH52" s="65"/>
      <c r="AI52" s="65"/>
      <c r="AJ52" s="65"/>
      <c r="AK52" s="65"/>
      <c r="AL52" s="65"/>
      <c r="AM52" s="65"/>
      <c r="AN52" s="49"/>
      <c r="AO52" s="49"/>
      <c r="AP52" s="49"/>
      <c r="AQ52" s="42"/>
      <c r="AR52" s="42"/>
      <c r="AS52" s="42"/>
      <c r="AT52" s="122"/>
    </row>
    <row r="53" spans="1:256" s="121" customFormat="1" ht="18" customHeight="1" x14ac:dyDescent="0.25">
      <c r="A53" s="78"/>
      <c r="B53" s="65"/>
      <c r="C53" s="302" t="s">
        <v>33</v>
      </c>
      <c r="D53" s="414"/>
      <c r="E53" s="303"/>
      <c r="F53" s="128"/>
      <c r="G53" s="129"/>
      <c r="H53" s="129"/>
      <c r="I53" s="129"/>
      <c r="J53" s="129"/>
      <c r="K53" s="130"/>
      <c r="L53" s="60"/>
      <c r="M53" s="60"/>
      <c r="N53" s="126"/>
      <c r="O53" s="127"/>
      <c r="P53" s="304"/>
      <c r="Q53" s="305"/>
      <c r="R53" s="304"/>
      <c r="S53" s="305"/>
      <c r="T53" s="304"/>
      <c r="U53" s="306"/>
      <c r="V53" s="306"/>
      <c r="W53" s="306"/>
      <c r="X53" s="306"/>
      <c r="Y53" s="305"/>
      <c r="Z53" s="120"/>
      <c r="AC53" s="122"/>
      <c r="AD53" s="42"/>
      <c r="AE53" s="65"/>
      <c r="AF53" s="65"/>
      <c r="AG53" s="65"/>
      <c r="AH53" s="65"/>
      <c r="AI53" s="65"/>
      <c r="AJ53" s="65"/>
      <c r="AK53" s="65"/>
      <c r="AL53" s="65"/>
      <c r="AM53" s="65"/>
      <c r="AN53" s="49"/>
      <c r="AO53" s="49"/>
      <c r="AP53" s="49"/>
      <c r="AQ53" s="42"/>
      <c r="AR53" s="42"/>
      <c r="AS53" s="42"/>
      <c r="AT53" s="122"/>
    </row>
    <row r="54" spans="1:256" s="121" customFormat="1" ht="18" customHeight="1" x14ac:dyDescent="0.25">
      <c r="A54" s="78"/>
      <c r="B54" s="65"/>
      <c r="C54" s="302" t="s">
        <v>34</v>
      </c>
      <c r="D54" s="414"/>
      <c r="E54" s="303"/>
      <c r="F54" s="128"/>
      <c r="G54" s="129"/>
      <c r="H54" s="129"/>
      <c r="I54" s="129"/>
      <c r="J54" s="129"/>
      <c r="K54" s="130"/>
      <c r="L54" s="60"/>
      <c r="M54" s="60"/>
      <c r="N54" s="126"/>
      <c r="O54" s="127"/>
      <c r="P54" s="304"/>
      <c r="Q54" s="305"/>
      <c r="R54" s="304"/>
      <c r="S54" s="305"/>
      <c r="T54" s="304"/>
      <c r="U54" s="306"/>
      <c r="V54" s="306"/>
      <c r="W54" s="306"/>
      <c r="X54" s="306"/>
      <c r="Y54" s="305"/>
      <c r="Z54" s="120"/>
      <c r="AC54" s="122"/>
      <c r="AD54" s="42"/>
      <c r="AE54" s="65"/>
      <c r="AF54" s="65"/>
      <c r="AG54" s="65"/>
      <c r="AH54" s="65"/>
      <c r="AI54" s="65"/>
      <c r="AJ54" s="65"/>
      <c r="AK54" s="65"/>
      <c r="AL54" s="65"/>
      <c r="AM54" s="65"/>
      <c r="AN54" s="49"/>
      <c r="AO54" s="49"/>
      <c r="AP54" s="49"/>
      <c r="AQ54" s="42"/>
      <c r="AR54" s="42"/>
      <c r="AS54" s="42"/>
      <c r="AT54" s="122"/>
    </row>
    <row r="55" spans="1:256" s="121" customFormat="1" ht="18" customHeight="1" x14ac:dyDescent="0.25">
      <c r="A55" s="78"/>
      <c r="B55" s="65"/>
      <c r="C55" s="302" t="s">
        <v>35</v>
      </c>
      <c r="D55" s="414"/>
      <c r="E55" s="303"/>
      <c r="F55" s="128"/>
      <c r="G55" s="129"/>
      <c r="H55" s="129"/>
      <c r="I55" s="129"/>
      <c r="J55" s="129"/>
      <c r="K55" s="130"/>
      <c r="L55" s="60"/>
      <c r="M55" s="60"/>
      <c r="N55" s="126"/>
      <c r="O55" s="127"/>
      <c r="P55" s="304"/>
      <c r="Q55" s="305"/>
      <c r="R55" s="304"/>
      <c r="S55" s="305"/>
      <c r="T55" s="304"/>
      <c r="U55" s="306"/>
      <c r="V55" s="306"/>
      <c r="W55" s="306"/>
      <c r="X55" s="306"/>
      <c r="Y55" s="305"/>
      <c r="Z55" s="120"/>
      <c r="AC55" s="122"/>
      <c r="AD55" s="42"/>
      <c r="AE55" s="65"/>
      <c r="AF55" s="65"/>
      <c r="AG55" s="65"/>
      <c r="AH55" s="65"/>
      <c r="AI55" s="65"/>
      <c r="AJ55" s="65"/>
      <c r="AK55" s="65"/>
      <c r="AL55" s="65"/>
      <c r="AM55" s="65"/>
      <c r="AN55" s="49"/>
      <c r="AO55" s="49"/>
      <c r="AP55" s="49"/>
      <c r="AQ55" s="42"/>
      <c r="AR55" s="42"/>
      <c r="AS55" s="42"/>
      <c r="AT55" s="122"/>
    </row>
    <row r="56" spans="1:256" s="121" customFormat="1" ht="18" customHeight="1" x14ac:dyDescent="0.25">
      <c r="A56" s="78"/>
      <c r="B56" s="65"/>
      <c r="C56" s="302" t="s">
        <v>36</v>
      </c>
      <c r="D56" s="414"/>
      <c r="E56" s="303"/>
      <c r="F56" s="128"/>
      <c r="G56" s="129"/>
      <c r="H56" s="129"/>
      <c r="I56" s="129"/>
      <c r="J56" s="129"/>
      <c r="K56" s="130"/>
      <c r="L56" s="60"/>
      <c r="M56" s="60"/>
      <c r="N56" s="126"/>
      <c r="O56" s="127"/>
      <c r="P56" s="304"/>
      <c r="Q56" s="305"/>
      <c r="R56" s="304"/>
      <c r="S56" s="305"/>
      <c r="T56" s="304"/>
      <c r="U56" s="306"/>
      <c r="V56" s="306"/>
      <c r="W56" s="306"/>
      <c r="X56" s="306"/>
      <c r="Y56" s="305"/>
      <c r="Z56" s="120"/>
      <c r="AC56" s="122"/>
      <c r="AD56" s="42"/>
      <c r="AE56" s="65"/>
      <c r="AF56" s="65"/>
      <c r="AG56" s="65"/>
      <c r="AH56" s="65"/>
      <c r="AI56" s="65"/>
      <c r="AJ56" s="65"/>
      <c r="AK56" s="65"/>
      <c r="AL56" s="65"/>
      <c r="AM56" s="65"/>
      <c r="AN56" s="49"/>
      <c r="AO56" s="49"/>
      <c r="AP56" s="49"/>
      <c r="AQ56" s="42"/>
      <c r="AR56" s="42"/>
      <c r="AS56" s="42"/>
      <c r="AT56" s="122"/>
    </row>
    <row r="57" spans="1:256" s="121" customFormat="1" ht="18" customHeight="1" thickBot="1" x14ac:dyDescent="0.3">
      <c r="A57" s="78"/>
      <c r="B57" s="65"/>
      <c r="C57" s="373" t="s">
        <v>37</v>
      </c>
      <c r="D57" s="381"/>
      <c r="E57" s="374"/>
      <c r="F57" s="66"/>
      <c r="G57" s="67"/>
      <c r="H57" s="67"/>
      <c r="I57" s="67"/>
      <c r="J57" s="67"/>
      <c r="K57" s="131"/>
      <c r="L57" s="53"/>
      <c r="M57" s="53"/>
      <c r="N57" s="132"/>
      <c r="O57" s="54"/>
      <c r="P57" s="377"/>
      <c r="Q57" s="382"/>
      <c r="R57" s="377"/>
      <c r="S57" s="382"/>
      <c r="T57" s="377"/>
      <c r="U57" s="378"/>
      <c r="V57" s="415"/>
      <c r="W57" s="378"/>
      <c r="X57" s="415"/>
      <c r="Y57" s="382"/>
      <c r="Z57" s="120"/>
      <c r="AC57" s="122"/>
      <c r="AD57" s="42"/>
      <c r="AE57" s="65"/>
      <c r="AF57" s="65"/>
      <c r="AG57" s="65"/>
      <c r="AH57" s="65"/>
      <c r="AI57" s="65"/>
      <c r="AJ57" s="65"/>
      <c r="AK57" s="65"/>
      <c r="AL57" s="65"/>
      <c r="AM57" s="65"/>
      <c r="AN57" s="49"/>
      <c r="AO57" s="42"/>
      <c r="AP57" s="42"/>
      <c r="AQ57" s="42"/>
      <c r="AR57" s="42"/>
      <c r="AS57" s="42"/>
      <c r="AT57" s="122"/>
    </row>
    <row r="58" spans="1:256" s="122" customFormat="1" ht="18" customHeight="1" thickBot="1" x14ac:dyDescent="0.3">
      <c r="A58" s="78"/>
      <c r="B58" s="77"/>
      <c r="C58" s="77"/>
      <c r="D58" s="77"/>
      <c r="E58" s="77"/>
      <c r="F58" s="77"/>
      <c r="G58" s="77"/>
      <c r="H58" s="77"/>
      <c r="I58" s="77"/>
      <c r="J58" s="77"/>
      <c r="K58" s="44"/>
      <c r="L58" s="133"/>
      <c r="M58" s="133"/>
      <c r="N58" s="134"/>
      <c r="O58" s="40"/>
      <c r="P58" s="40"/>
      <c r="Q58" s="135"/>
      <c r="Z58" s="120"/>
      <c r="AD58" s="42"/>
      <c r="AE58" s="77"/>
      <c r="AF58" s="77"/>
      <c r="AG58" s="77"/>
      <c r="AH58" s="77"/>
      <c r="AI58" s="77"/>
      <c r="AJ58" s="77"/>
      <c r="AK58" s="77"/>
      <c r="AL58" s="77"/>
      <c r="AM58" s="77"/>
      <c r="AN58" s="44"/>
      <c r="AO58" s="133"/>
      <c r="AP58" s="133"/>
      <c r="AQ58" s="134"/>
      <c r="AR58" s="40"/>
      <c r="AS58" s="40"/>
    </row>
    <row r="59" spans="1:256" s="122" customFormat="1" ht="21" customHeight="1" thickBot="1" x14ac:dyDescent="0.3">
      <c r="A59" s="78"/>
      <c r="B59" s="136"/>
      <c r="C59" s="419" t="s">
        <v>62</v>
      </c>
      <c r="D59" s="420"/>
      <c r="E59" s="421"/>
      <c r="F59" s="137">
        <f t="shared" ref="F59:BL59" si="2">IF(ISNUMBER(F60),IF(ISNUMBER(F27)=FALSE,"",IF(MAX(F43:F57)&gt;F27,MAX(F43:F57),"")),"")</f>
        <v>7</v>
      </c>
      <c r="G59" s="138" t="str">
        <f t="shared" si="2"/>
        <v/>
      </c>
      <c r="H59" s="138" t="str">
        <f t="shared" si="2"/>
        <v/>
      </c>
      <c r="I59" s="138" t="str">
        <f t="shared" si="2"/>
        <v/>
      </c>
      <c r="J59" s="138" t="str">
        <f t="shared" si="2"/>
        <v/>
      </c>
      <c r="K59" s="139" t="str">
        <f t="shared" si="2"/>
        <v/>
      </c>
      <c r="L59" s="140" t="str">
        <f t="shared" si="2"/>
        <v/>
      </c>
      <c r="M59" s="140" t="str">
        <f t="shared" si="2"/>
        <v/>
      </c>
      <c r="N59" s="141" t="str">
        <f t="shared" si="2"/>
        <v/>
      </c>
      <c r="O59" s="139" t="str">
        <f t="shared" si="2"/>
        <v/>
      </c>
      <c r="P59" s="426">
        <f t="shared" si="2"/>
        <v>31</v>
      </c>
      <c r="Q59" s="427"/>
      <c r="R59" s="422" t="str">
        <f t="shared" si="2"/>
        <v/>
      </c>
      <c r="S59" s="423"/>
      <c r="T59" s="422" t="str">
        <f t="shared" si="2"/>
        <v/>
      </c>
      <c r="U59" s="423"/>
      <c r="V59" s="422" t="str">
        <f t="shared" si="2"/>
        <v/>
      </c>
      <c r="W59" s="423"/>
      <c r="X59" s="422" t="str">
        <f t="shared" si="2"/>
        <v/>
      </c>
      <c r="Y59" s="423"/>
      <c r="Z59" s="120" t="str">
        <f t="shared" si="2"/>
        <v/>
      </c>
      <c r="AA59" s="122" t="str">
        <f t="shared" si="2"/>
        <v/>
      </c>
      <c r="AB59" s="122" t="str">
        <f t="shared" si="2"/>
        <v/>
      </c>
      <c r="AD59" s="42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U59" s="122" t="str">
        <f t="shared" si="2"/>
        <v/>
      </c>
      <c r="AV59" s="122" t="str">
        <f t="shared" si="2"/>
        <v/>
      </c>
      <c r="AW59" s="122" t="s">
        <v>62</v>
      </c>
      <c r="AX59" s="122" t="str">
        <f>IF(ISNUMBER(AX60),IF(ISNUMBER(AX27)=FALSE,"",IF(MAX(AX43:AX57)&gt;AX27,MAX(AX43:AX57),"")),"")</f>
        <v/>
      </c>
      <c r="AY59" s="122" t="str">
        <f t="shared" si="2"/>
        <v/>
      </c>
      <c r="AZ59" s="122" t="str">
        <f t="shared" si="2"/>
        <v/>
      </c>
      <c r="BA59" s="122" t="str">
        <f t="shared" si="2"/>
        <v/>
      </c>
      <c r="BB59" s="122" t="str">
        <f t="shared" si="2"/>
        <v/>
      </c>
      <c r="BC59" s="122" t="str">
        <f t="shared" si="2"/>
        <v/>
      </c>
      <c r="BD59" s="122" t="str">
        <f t="shared" si="2"/>
        <v/>
      </c>
      <c r="BE59" s="122" t="str">
        <f t="shared" si="2"/>
        <v/>
      </c>
      <c r="BF59" s="122" t="str">
        <f t="shared" si="2"/>
        <v/>
      </c>
      <c r="BG59" s="122" t="str">
        <f t="shared" si="2"/>
        <v/>
      </c>
      <c r="BH59" s="122" t="str">
        <f t="shared" si="2"/>
        <v/>
      </c>
      <c r="BI59" s="122" t="str">
        <f t="shared" si="2"/>
        <v/>
      </c>
      <c r="BJ59" s="122" t="str">
        <f t="shared" si="2"/>
        <v/>
      </c>
      <c r="BK59" s="122" t="str">
        <f t="shared" si="2"/>
        <v/>
      </c>
      <c r="BL59" s="122" t="str">
        <f t="shared" si="2"/>
        <v/>
      </c>
      <c r="BM59" s="122" t="s">
        <v>62</v>
      </c>
      <c r="BN59" s="122" t="str">
        <f>IF(ISNUMBER(BN60),IF(ISNUMBER(BN27)=FALSE,"",IF(MAX(BN43:BN57)&gt;BN27,MAX(BN43:BN57),"")),"")</f>
        <v/>
      </c>
      <c r="BO59" s="122" t="str">
        <f t="shared" ref="BO59:DX59" si="3">IF(ISNUMBER(BO60),IF(ISNUMBER(BO27)=FALSE,"",IF(MAX(BO43:BO57)&gt;BO27,MAX(BO43:BO57),"")),"")</f>
        <v/>
      </c>
      <c r="BP59" s="122" t="str">
        <f t="shared" si="3"/>
        <v/>
      </c>
      <c r="BQ59" s="122" t="str">
        <f t="shared" si="3"/>
        <v/>
      </c>
      <c r="BR59" s="122" t="str">
        <f t="shared" si="3"/>
        <v/>
      </c>
      <c r="BS59" s="122" t="str">
        <f t="shared" si="3"/>
        <v/>
      </c>
      <c r="BT59" s="122" t="str">
        <f t="shared" si="3"/>
        <v/>
      </c>
      <c r="BU59" s="122" t="str">
        <f t="shared" si="3"/>
        <v/>
      </c>
      <c r="BV59" s="122" t="str">
        <f t="shared" si="3"/>
        <v/>
      </c>
      <c r="BW59" s="122" t="str">
        <f t="shared" si="3"/>
        <v/>
      </c>
      <c r="BX59" s="122" t="str">
        <f t="shared" si="3"/>
        <v/>
      </c>
      <c r="BY59" s="122" t="str">
        <f t="shared" si="3"/>
        <v/>
      </c>
      <c r="BZ59" s="122" t="str">
        <f t="shared" si="3"/>
        <v/>
      </c>
      <c r="CA59" s="122" t="str">
        <f t="shared" si="3"/>
        <v/>
      </c>
      <c r="CB59" s="122" t="str">
        <f t="shared" si="3"/>
        <v/>
      </c>
      <c r="CC59" s="122" t="s">
        <v>62</v>
      </c>
      <c r="CD59" s="122" t="str">
        <f>IF(ISNUMBER(CD60),IF(ISNUMBER(CD27)=FALSE,"",IF(MAX(CD43:CD57)&gt;CD27,MAX(CD43:CD57),"")),"")</f>
        <v/>
      </c>
      <c r="CE59" s="122" t="str">
        <f t="shared" si="3"/>
        <v/>
      </c>
      <c r="CF59" s="122" t="str">
        <f t="shared" si="3"/>
        <v/>
      </c>
      <c r="CG59" s="122" t="str">
        <f t="shared" si="3"/>
        <v/>
      </c>
      <c r="CH59" s="122" t="str">
        <f t="shared" si="3"/>
        <v/>
      </c>
      <c r="CI59" s="122" t="str">
        <f t="shared" si="3"/>
        <v/>
      </c>
      <c r="CJ59" s="122" t="str">
        <f t="shared" si="3"/>
        <v/>
      </c>
      <c r="CK59" s="122" t="str">
        <f t="shared" si="3"/>
        <v/>
      </c>
      <c r="CL59" s="122" t="str">
        <f t="shared" si="3"/>
        <v/>
      </c>
      <c r="CM59" s="122" t="str">
        <f t="shared" si="3"/>
        <v/>
      </c>
      <c r="CN59" s="122" t="str">
        <f t="shared" si="3"/>
        <v/>
      </c>
      <c r="CO59" s="122" t="str">
        <f t="shared" si="3"/>
        <v/>
      </c>
      <c r="CP59" s="122" t="str">
        <f t="shared" si="3"/>
        <v/>
      </c>
      <c r="CQ59" s="122" t="str">
        <f t="shared" si="3"/>
        <v/>
      </c>
      <c r="CR59" s="122" t="str">
        <f t="shared" si="3"/>
        <v/>
      </c>
      <c r="CS59" s="122" t="s">
        <v>62</v>
      </c>
      <c r="CT59" s="122" t="str">
        <f>IF(ISNUMBER(CT60),IF(ISNUMBER(CT27)=FALSE,"",IF(MAX(CT43:CT57)&gt;CT27,MAX(CT43:CT57),"")),"")</f>
        <v/>
      </c>
      <c r="CU59" s="122" t="str">
        <f t="shared" si="3"/>
        <v/>
      </c>
      <c r="CV59" s="122" t="str">
        <f t="shared" si="3"/>
        <v/>
      </c>
      <c r="CW59" s="122" t="str">
        <f t="shared" si="3"/>
        <v/>
      </c>
      <c r="CX59" s="122" t="str">
        <f t="shared" si="3"/>
        <v/>
      </c>
      <c r="CY59" s="122" t="str">
        <f t="shared" si="3"/>
        <v/>
      </c>
      <c r="CZ59" s="122" t="str">
        <f t="shared" si="3"/>
        <v/>
      </c>
      <c r="DA59" s="122" t="str">
        <f t="shared" si="3"/>
        <v/>
      </c>
      <c r="DB59" s="122" t="str">
        <f t="shared" si="3"/>
        <v/>
      </c>
      <c r="DC59" s="122" t="str">
        <f t="shared" si="3"/>
        <v/>
      </c>
      <c r="DD59" s="122" t="str">
        <f t="shared" si="3"/>
        <v/>
      </c>
      <c r="DE59" s="122" t="str">
        <f t="shared" si="3"/>
        <v/>
      </c>
      <c r="DF59" s="122" t="str">
        <f t="shared" si="3"/>
        <v/>
      </c>
      <c r="DG59" s="122" t="str">
        <f t="shared" si="3"/>
        <v/>
      </c>
      <c r="DH59" s="122" t="str">
        <f t="shared" si="3"/>
        <v/>
      </c>
      <c r="DI59" s="122" t="s">
        <v>62</v>
      </c>
      <c r="DJ59" s="122" t="str">
        <f>IF(ISNUMBER(DJ60),IF(ISNUMBER(DJ27)=FALSE,"",IF(MAX(DJ43:DJ57)&gt;DJ27,MAX(DJ43:DJ57),"")),"")</f>
        <v/>
      </c>
      <c r="DK59" s="122" t="str">
        <f t="shared" si="3"/>
        <v/>
      </c>
      <c r="DL59" s="122" t="str">
        <f t="shared" si="3"/>
        <v/>
      </c>
      <c r="DM59" s="122" t="str">
        <f t="shared" si="3"/>
        <v/>
      </c>
      <c r="DN59" s="122" t="str">
        <f t="shared" si="3"/>
        <v/>
      </c>
      <c r="DO59" s="122" t="str">
        <f t="shared" si="3"/>
        <v/>
      </c>
      <c r="DP59" s="122" t="str">
        <f t="shared" si="3"/>
        <v/>
      </c>
      <c r="DQ59" s="122" t="str">
        <f t="shared" si="3"/>
        <v/>
      </c>
      <c r="DR59" s="122" t="str">
        <f t="shared" si="3"/>
        <v/>
      </c>
      <c r="DS59" s="122" t="str">
        <f t="shared" si="3"/>
        <v/>
      </c>
      <c r="DT59" s="122" t="str">
        <f t="shared" si="3"/>
        <v/>
      </c>
      <c r="DU59" s="122" t="str">
        <f t="shared" si="3"/>
        <v/>
      </c>
      <c r="DV59" s="122" t="str">
        <f t="shared" si="3"/>
        <v/>
      </c>
      <c r="DW59" s="122" t="str">
        <f t="shared" si="3"/>
        <v/>
      </c>
      <c r="DX59" s="122" t="str">
        <f t="shared" si="3"/>
        <v/>
      </c>
      <c r="DY59" s="122" t="s">
        <v>62</v>
      </c>
      <c r="DZ59" s="122" t="str">
        <f>IF(ISNUMBER(DZ60),IF(ISNUMBER(DZ27)=FALSE,"",IF(MAX(DZ43:DZ57)&gt;DZ27,MAX(DZ43:DZ57),"")),"")</f>
        <v/>
      </c>
      <c r="EA59" s="122" t="str">
        <f t="shared" ref="EA59:GJ59" si="4">IF(ISNUMBER(EA60),IF(ISNUMBER(EA27)=FALSE,"",IF(MAX(EA43:EA57)&gt;EA27,MAX(EA43:EA57),"")),"")</f>
        <v/>
      </c>
      <c r="EB59" s="122" t="str">
        <f t="shared" si="4"/>
        <v/>
      </c>
      <c r="EC59" s="122" t="str">
        <f t="shared" si="4"/>
        <v/>
      </c>
      <c r="ED59" s="122" t="str">
        <f t="shared" si="4"/>
        <v/>
      </c>
      <c r="EE59" s="122" t="str">
        <f t="shared" si="4"/>
        <v/>
      </c>
      <c r="EF59" s="122" t="str">
        <f t="shared" si="4"/>
        <v/>
      </c>
      <c r="EG59" s="122" t="str">
        <f t="shared" si="4"/>
        <v/>
      </c>
      <c r="EH59" s="122" t="str">
        <f t="shared" si="4"/>
        <v/>
      </c>
      <c r="EI59" s="122" t="str">
        <f t="shared" si="4"/>
        <v/>
      </c>
      <c r="EJ59" s="122" t="str">
        <f t="shared" si="4"/>
        <v/>
      </c>
      <c r="EK59" s="122" t="str">
        <f t="shared" si="4"/>
        <v/>
      </c>
      <c r="EL59" s="122" t="str">
        <f t="shared" si="4"/>
        <v/>
      </c>
      <c r="EM59" s="122" t="str">
        <f t="shared" si="4"/>
        <v/>
      </c>
      <c r="EN59" s="122" t="str">
        <f t="shared" si="4"/>
        <v/>
      </c>
      <c r="EO59" s="122" t="s">
        <v>62</v>
      </c>
      <c r="EP59" s="122" t="str">
        <f>IF(ISNUMBER(EP60),IF(ISNUMBER(EP27)=FALSE,"",IF(MAX(EP43:EP57)&gt;EP27,MAX(EP43:EP57),"")),"")</f>
        <v/>
      </c>
      <c r="EQ59" s="122" t="str">
        <f t="shared" si="4"/>
        <v/>
      </c>
      <c r="ER59" s="122" t="str">
        <f t="shared" si="4"/>
        <v/>
      </c>
      <c r="ES59" s="122" t="str">
        <f t="shared" si="4"/>
        <v/>
      </c>
      <c r="ET59" s="122" t="str">
        <f t="shared" si="4"/>
        <v/>
      </c>
      <c r="EU59" s="122" t="str">
        <f t="shared" si="4"/>
        <v/>
      </c>
      <c r="EV59" s="122" t="str">
        <f t="shared" si="4"/>
        <v/>
      </c>
      <c r="EW59" s="122" t="str">
        <f t="shared" si="4"/>
        <v/>
      </c>
      <c r="EX59" s="122" t="str">
        <f t="shared" si="4"/>
        <v/>
      </c>
      <c r="EY59" s="122" t="str">
        <f t="shared" si="4"/>
        <v/>
      </c>
      <c r="EZ59" s="122" t="str">
        <f t="shared" si="4"/>
        <v/>
      </c>
      <c r="FA59" s="122" t="str">
        <f t="shared" si="4"/>
        <v/>
      </c>
      <c r="FB59" s="122" t="str">
        <f t="shared" si="4"/>
        <v/>
      </c>
      <c r="FC59" s="122" t="str">
        <f t="shared" si="4"/>
        <v/>
      </c>
      <c r="FD59" s="122" t="str">
        <f t="shared" si="4"/>
        <v/>
      </c>
      <c r="FE59" s="122" t="s">
        <v>62</v>
      </c>
      <c r="FF59" s="122" t="str">
        <f>IF(ISNUMBER(FF60),IF(ISNUMBER(FF27)=FALSE,"",IF(MAX(FF43:FF57)&gt;FF27,MAX(FF43:FF57),"")),"")</f>
        <v/>
      </c>
      <c r="FG59" s="122" t="str">
        <f t="shared" si="4"/>
        <v/>
      </c>
      <c r="FH59" s="122" t="str">
        <f t="shared" si="4"/>
        <v/>
      </c>
      <c r="FI59" s="122" t="str">
        <f t="shared" si="4"/>
        <v/>
      </c>
      <c r="FJ59" s="122" t="str">
        <f t="shared" si="4"/>
        <v/>
      </c>
      <c r="FK59" s="122" t="str">
        <f t="shared" si="4"/>
        <v/>
      </c>
      <c r="FL59" s="122" t="str">
        <f t="shared" si="4"/>
        <v/>
      </c>
      <c r="FM59" s="122" t="str">
        <f t="shared" si="4"/>
        <v/>
      </c>
      <c r="FN59" s="122" t="str">
        <f t="shared" si="4"/>
        <v/>
      </c>
      <c r="FO59" s="122" t="str">
        <f t="shared" si="4"/>
        <v/>
      </c>
      <c r="FP59" s="122" t="str">
        <f t="shared" si="4"/>
        <v/>
      </c>
      <c r="FQ59" s="122" t="str">
        <f t="shared" si="4"/>
        <v/>
      </c>
      <c r="FR59" s="122" t="str">
        <f t="shared" si="4"/>
        <v/>
      </c>
      <c r="FS59" s="122" t="str">
        <f t="shared" si="4"/>
        <v/>
      </c>
      <c r="FT59" s="122" t="str">
        <f t="shared" si="4"/>
        <v/>
      </c>
      <c r="FU59" s="122" t="s">
        <v>62</v>
      </c>
      <c r="FV59" s="122" t="str">
        <f>IF(ISNUMBER(FV60),IF(ISNUMBER(FV27)=FALSE,"",IF(MAX(FV43:FV57)&gt;FV27,MAX(FV43:FV57),"")),"")</f>
        <v/>
      </c>
      <c r="FW59" s="122" t="str">
        <f t="shared" si="4"/>
        <v/>
      </c>
      <c r="FX59" s="122" t="str">
        <f t="shared" si="4"/>
        <v/>
      </c>
      <c r="FY59" s="122" t="str">
        <f t="shared" si="4"/>
        <v/>
      </c>
      <c r="FZ59" s="122" t="str">
        <f t="shared" si="4"/>
        <v/>
      </c>
      <c r="GA59" s="122" t="str">
        <f t="shared" si="4"/>
        <v/>
      </c>
      <c r="GB59" s="122" t="str">
        <f t="shared" si="4"/>
        <v/>
      </c>
      <c r="GC59" s="122" t="str">
        <f t="shared" si="4"/>
        <v/>
      </c>
      <c r="GD59" s="122" t="str">
        <f t="shared" si="4"/>
        <v/>
      </c>
      <c r="GE59" s="122" t="str">
        <f t="shared" si="4"/>
        <v/>
      </c>
      <c r="GF59" s="122" t="str">
        <f t="shared" si="4"/>
        <v/>
      </c>
      <c r="GG59" s="122" t="str">
        <f t="shared" si="4"/>
        <v/>
      </c>
      <c r="GH59" s="122" t="str">
        <f t="shared" si="4"/>
        <v/>
      </c>
      <c r="GI59" s="122" t="str">
        <f t="shared" si="4"/>
        <v/>
      </c>
      <c r="GJ59" s="122" t="str">
        <f t="shared" si="4"/>
        <v/>
      </c>
      <c r="GK59" s="122" t="s">
        <v>62</v>
      </c>
      <c r="GL59" s="122" t="str">
        <f>IF(ISNUMBER(GL60),IF(ISNUMBER(GL27)=FALSE,"",IF(MAX(GL43:GL57)&gt;GL27,MAX(GL43:GL57),"")),"")</f>
        <v/>
      </c>
      <c r="GM59" s="122" t="str">
        <f t="shared" ref="GM59:IV59" si="5">IF(ISNUMBER(GM60),IF(ISNUMBER(GM27)=FALSE,"",IF(MAX(GM43:GM57)&gt;GM27,MAX(GM43:GM57),"")),"")</f>
        <v/>
      </c>
      <c r="GN59" s="122" t="str">
        <f t="shared" si="5"/>
        <v/>
      </c>
      <c r="GO59" s="122" t="str">
        <f t="shared" si="5"/>
        <v/>
      </c>
      <c r="GP59" s="122" t="str">
        <f t="shared" si="5"/>
        <v/>
      </c>
      <c r="GQ59" s="122" t="str">
        <f t="shared" si="5"/>
        <v/>
      </c>
      <c r="GR59" s="122" t="str">
        <f t="shared" si="5"/>
        <v/>
      </c>
      <c r="GS59" s="122" t="str">
        <f t="shared" si="5"/>
        <v/>
      </c>
      <c r="GT59" s="122" t="str">
        <f t="shared" si="5"/>
        <v/>
      </c>
      <c r="GU59" s="122" t="str">
        <f t="shared" si="5"/>
        <v/>
      </c>
      <c r="GV59" s="122" t="str">
        <f t="shared" si="5"/>
        <v/>
      </c>
      <c r="GW59" s="122" t="str">
        <f t="shared" si="5"/>
        <v/>
      </c>
      <c r="GX59" s="122" t="str">
        <f t="shared" si="5"/>
        <v/>
      </c>
      <c r="GY59" s="122" t="str">
        <f t="shared" si="5"/>
        <v/>
      </c>
      <c r="GZ59" s="122" t="str">
        <f t="shared" si="5"/>
        <v/>
      </c>
      <c r="HA59" s="122" t="s">
        <v>62</v>
      </c>
      <c r="HB59" s="122" t="str">
        <f>IF(ISNUMBER(HB60),IF(ISNUMBER(HB27)=FALSE,"",IF(MAX(HB43:HB57)&gt;HB27,MAX(HB43:HB57),"")),"")</f>
        <v/>
      </c>
      <c r="HC59" s="122" t="str">
        <f t="shared" si="5"/>
        <v/>
      </c>
      <c r="HD59" s="122" t="str">
        <f t="shared" si="5"/>
        <v/>
      </c>
      <c r="HE59" s="122" t="str">
        <f t="shared" si="5"/>
        <v/>
      </c>
      <c r="HF59" s="122" t="str">
        <f t="shared" si="5"/>
        <v/>
      </c>
      <c r="HG59" s="122" t="str">
        <f t="shared" si="5"/>
        <v/>
      </c>
      <c r="HH59" s="122" t="str">
        <f t="shared" si="5"/>
        <v/>
      </c>
      <c r="HI59" s="122" t="str">
        <f t="shared" si="5"/>
        <v/>
      </c>
      <c r="HJ59" s="122" t="str">
        <f t="shared" si="5"/>
        <v/>
      </c>
      <c r="HK59" s="122" t="str">
        <f t="shared" si="5"/>
        <v/>
      </c>
      <c r="HL59" s="122" t="str">
        <f t="shared" si="5"/>
        <v/>
      </c>
      <c r="HM59" s="122" t="str">
        <f t="shared" si="5"/>
        <v/>
      </c>
      <c r="HN59" s="122" t="str">
        <f t="shared" si="5"/>
        <v/>
      </c>
      <c r="HO59" s="122" t="str">
        <f t="shared" si="5"/>
        <v/>
      </c>
      <c r="HP59" s="122" t="str">
        <f t="shared" si="5"/>
        <v/>
      </c>
      <c r="HQ59" s="122" t="s">
        <v>62</v>
      </c>
      <c r="HR59" s="122" t="str">
        <f>IF(ISNUMBER(HR60),IF(ISNUMBER(HR27)=FALSE,"",IF(MAX(HR43:HR57)&gt;HR27,MAX(HR43:HR57),"")),"")</f>
        <v/>
      </c>
      <c r="HS59" s="122" t="str">
        <f t="shared" si="5"/>
        <v/>
      </c>
      <c r="HT59" s="122" t="str">
        <f t="shared" si="5"/>
        <v/>
      </c>
      <c r="HU59" s="122" t="str">
        <f t="shared" si="5"/>
        <v/>
      </c>
      <c r="HV59" s="122" t="str">
        <f t="shared" si="5"/>
        <v/>
      </c>
      <c r="HW59" s="122" t="str">
        <f t="shared" si="5"/>
        <v/>
      </c>
      <c r="HX59" s="122" t="str">
        <f t="shared" si="5"/>
        <v/>
      </c>
      <c r="HY59" s="122" t="str">
        <f t="shared" si="5"/>
        <v/>
      </c>
      <c r="HZ59" s="122" t="str">
        <f t="shared" si="5"/>
        <v/>
      </c>
      <c r="IA59" s="122" t="str">
        <f t="shared" si="5"/>
        <v/>
      </c>
      <c r="IB59" s="122" t="str">
        <f t="shared" si="5"/>
        <v/>
      </c>
      <c r="IC59" s="122" t="str">
        <f t="shared" si="5"/>
        <v/>
      </c>
      <c r="ID59" s="122" t="str">
        <f t="shared" si="5"/>
        <v/>
      </c>
      <c r="IE59" s="122" t="str">
        <f t="shared" si="5"/>
        <v/>
      </c>
      <c r="IF59" s="122" t="str">
        <f t="shared" si="5"/>
        <v/>
      </c>
      <c r="IG59" s="122" t="s">
        <v>62</v>
      </c>
      <c r="IH59" s="122" t="str">
        <f>IF(ISNUMBER(IH60),IF(ISNUMBER(IH27)=FALSE,"",IF(MAX(IH43:IH57)&gt;IH27,MAX(IH43:IH57),"")),"")</f>
        <v/>
      </c>
      <c r="II59" s="122" t="str">
        <f t="shared" si="5"/>
        <v/>
      </c>
      <c r="IJ59" s="122" t="str">
        <f t="shared" si="5"/>
        <v/>
      </c>
      <c r="IK59" s="122" t="str">
        <f t="shared" si="5"/>
        <v/>
      </c>
      <c r="IL59" s="122" t="str">
        <f t="shared" si="5"/>
        <v/>
      </c>
      <c r="IM59" s="122" t="str">
        <f t="shared" si="5"/>
        <v/>
      </c>
      <c r="IN59" s="122" t="str">
        <f t="shared" si="5"/>
        <v/>
      </c>
      <c r="IO59" s="122" t="str">
        <f t="shared" si="5"/>
        <v/>
      </c>
      <c r="IP59" s="122" t="str">
        <f t="shared" si="5"/>
        <v/>
      </c>
      <c r="IQ59" s="122" t="str">
        <f t="shared" si="5"/>
        <v/>
      </c>
      <c r="IR59" s="122" t="str">
        <f t="shared" si="5"/>
        <v/>
      </c>
      <c r="IS59" s="122" t="str">
        <f t="shared" si="5"/>
        <v/>
      </c>
      <c r="IT59" s="122" t="str">
        <f t="shared" si="5"/>
        <v/>
      </c>
      <c r="IU59" s="122" t="str">
        <f t="shared" si="5"/>
        <v/>
      </c>
      <c r="IV59" s="122" t="str">
        <f t="shared" si="5"/>
        <v/>
      </c>
    </row>
    <row r="60" spans="1:256" s="121" customFormat="1" ht="21" customHeight="1" thickBot="1" x14ac:dyDescent="0.3">
      <c r="A60" s="78"/>
      <c r="B60" s="77"/>
      <c r="C60" s="419" t="s">
        <v>38</v>
      </c>
      <c r="D60" s="420"/>
      <c r="E60" s="421"/>
      <c r="F60" s="142">
        <f t="shared" ref="F60:BL60" si="6">IF(SUM(F43:F57)&lt;&gt;0,AVERAGE(F43:F57),"")</f>
        <v>2.2549999999999999</v>
      </c>
      <c r="G60" s="142">
        <f t="shared" si="6"/>
        <v>0.96666666666666667</v>
      </c>
      <c r="H60" s="142">
        <f t="shared" si="6"/>
        <v>9.2666666666666657</v>
      </c>
      <c r="I60" s="142">
        <f t="shared" si="6"/>
        <v>24.266666666666669</v>
      </c>
      <c r="J60" s="142">
        <f t="shared" si="6"/>
        <v>77.766666666666666</v>
      </c>
      <c r="K60" s="143">
        <f t="shared" si="6"/>
        <v>99.833333333333329</v>
      </c>
      <c r="L60" s="144">
        <f t="shared" si="6"/>
        <v>99.833333333333329</v>
      </c>
      <c r="M60" s="144" t="str">
        <f t="shared" si="6"/>
        <v/>
      </c>
      <c r="N60" s="145" t="str">
        <f t="shared" si="6"/>
        <v/>
      </c>
      <c r="O60" s="143" t="str">
        <f t="shared" si="6"/>
        <v/>
      </c>
      <c r="P60" s="424">
        <f t="shared" si="6"/>
        <v>21</v>
      </c>
      <c r="Q60" s="425"/>
      <c r="R60" s="424" t="str">
        <f t="shared" si="6"/>
        <v/>
      </c>
      <c r="S60" s="425"/>
      <c r="T60" s="424" t="str">
        <f t="shared" si="6"/>
        <v/>
      </c>
      <c r="U60" s="425"/>
      <c r="V60" s="424" t="str">
        <f t="shared" si="6"/>
        <v/>
      </c>
      <c r="W60" s="425"/>
      <c r="X60" s="424" t="str">
        <f t="shared" si="6"/>
        <v/>
      </c>
      <c r="Y60" s="425"/>
      <c r="Z60" s="120" t="str">
        <f t="shared" si="6"/>
        <v/>
      </c>
      <c r="AA60" s="121" t="str">
        <f t="shared" si="6"/>
        <v/>
      </c>
      <c r="AB60" s="121" t="str">
        <f t="shared" si="6"/>
        <v/>
      </c>
      <c r="AC60" s="122"/>
      <c r="AD60" s="42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122"/>
      <c r="AU60" s="121" t="str">
        <f t="shared" si="6"/>
        <v/>
      </c>
      <c r="AV60" s="121" t="str">
        <f t="shared" si="6"/>
        <v/>
      </c>
      <c r="AW60" s="121" t="s">
        <v>38</v>
      </c>
      <c r="AX60" s="121" t="str">
        <f>IF(SUM(AX43:AX57)&lt;&gt;0,AVERAGE(AX43:AX57),"")</f>
        <v/>
      </c>
      <c r="AY60" s="121" t="str">
        <f t="shared" si="6"/>
        <v/>
      </c>
      <c r="AZ60" s="121" t="str">
        <f t="shared" si="6"/>
        <v/>
      </c>
      <c r="BA60" s="121" t="str">
        <f t="shared" si="6"/>
        <v/>
      </c>
      <c r="BB60" s="121" t="str">
        <f t="shared" si="6"/>
        <v/>
      </c>
      <c r="BC60" s="121" t="str">
        <f t="shared" si="6"/>
        <v/>
      </c>
      <c r="BD60" s="121" t="str">
        <f t="shared" si="6"/>
        <v/>
      </c>
      <c r="BE60" s="121" t="str">
        <f t="shared" si="6"/>
        <v/>
      </c>
      <c r="BF60" s="121" t="str">
        <f t="shared" si="6"/>
        <v/>
      </c>
      <c r="BG60" s="121" t="str">
        <f t="shared" si="6"/>
        <v/>
      </c>
      <c r="BH60" s="121" t="str">
        <f t="shared" si="6"/>
        <v/>
      </c>
      <c r="BI60" s="121" t="str">
        <f t="shared" si="6"/>
        <v/>
      </c>
      <c r="BJ60" s="121" t="str">
        <f t="shared" si="6"/>
        <v/>
      </c>
      <c r="BK60" s="121" t="str">
        <f t="shared" si="6"/>
        <v/>
      </c>
      <c r="BL60" s="121" t="str">
        <f t="shared" si="6"/>
        <v/>
      </c>
      <c r="BM60" s="121" t="s">
        <v>38</v>
      </c>
      <c r="BN60" s="121" t="str">
        <f>IF(SUM(BN43:BN57)&lt;&gt;0,AVERAGE(BN43:BN57),"")</f>
        <v/>
      </c>
      <c r="BO60" s="121" t="str">
        <f t="shared" ref="BO60:DX60" si="7">IF(SUM(BO43:BO57)&lt;&gt;0,AVERAGE(BO43:BO57),"")</f>
        <v/>
      </c>
      <c r="BP60" s="121" t="str">
        <f t="shared" si="7"/>
        <v/>
      </c>
      <c r="BQ60" s="121" t="str">
        <f t="shared" si="7"/>
        <v/>
      </c>
      <c r="BR60" s="121" t="str">
        <f t="shared" si="7"/>
        <v/>
      </c>
      <c r="BS60" s="121" t="str">
        <f t="shared" si="7"/>
        <v/>
      </c>
      <c r="BT60" s="121" t="str">
        <f t="shared" si="7"/>
        <v/>
      </c>
      <c r="BU60" s="121" t="str">
        <f t="shared" si="7"/>
        <v/>
      </c>
      <c r="BV60" s="121" t="str">
        <f t="shared" si="7"/>
        <v/>
      </c>
      <c r="BW60" s="121" t="str">
        <f t="shared" si="7"/>
        <v/>
      </c>
      <c r="BX60" s="121" t="str">
        <f t="shared" si="7"/>
        <v/>
      </c>
      <c r="BY60" s="121" t="str">
        <f t="shared" si="7"/>
        <v/>
      </c>
      <c r="BZ60" s="121" t="str">
        <f t="shared" si="7"/>
        <v/>
      </c>
      <c r="CA60" s="121" t="str">
        <f t="shared" si="7"/>
        <v/>
      </c>
      <c r="CB60" s="121" t="str">
        <f t="shared" si="7"/>
        <v/>
      </c>
      <c r="CC60" s="121" t="s">
        <v>38</v>
      </c>
      <c r="CD60" s="121" t="str">
        <f>IF(SUM(CD43:CD57)&lt;&gt;0,AVERAGE(CD43:CD57),"")</f>
        <v/>
      </c>
      <c r="CE60" s="121" t="str">
        <f t="shared" si="7"/>
        <v/>
      </c>
      <c r="CF60" s="121" t="str">
        <f t="shared" si="7"/>
        <v/>
      </c>
      <c r="CG60" s="121" t="str">
        <f t="shared" si="7"/>
        <v/>
      </c>
      <c r="CH60" s="121" t="str">
        <f t="shared" si="7"/>
        <v/>
      </c>
      <c r="CI60" s="121" t="str">
        <f t="shared" si="7"/>
        <v/>
      </c>
      <c r="CJ60" s="121" t="str">
        <f t="shared" si="7"/>
        <v/>
      </c>
      <c r="CK60" s="121" t="str">
        <f t="shared" si="7"/>
        <v/>
      </c>
      <c r="CL60" s="121" t="str">
        <f t="shared" si="7"/>
        <v/>
      </c>
      <c r="CM60" s="121" t="str">
        <f t="shared" si="7"/>
        <v/>
      </c>
      <c r="CN60" s="121" t="str">
        <f t="shared" si="7"/>
        <v/>
      </c>
      <c r="CO60" s="121" t="str">
        <f t="shared" si="7"/>
        <v/>
      </c>
      <c r="CP60" s="121" t="str">
        <f t="shared" si="7"/>
        <v/>
      </c>
      <c r="CQ60" s="121" t="str">
        <f t="shared" si="7"/>
        <v/>
      </c>
      <c r="CR60" s="121" t="str">
        <f t="shared" si="7"/>
        <v/>
      </c>
      <c r="CS60" s="121" t="s">
        <v>38</v>
      </c>
      <c r="CT60" s="121" t="str">
        <f>IF(SUM(CT43:CT57)&lt;&gt;0,AVERAGE(CT43:CT57),"")</f>
        <v/>
      </c>
      <c r="CU60" s="121" t="str">
        <f t="shared" si="7"/>
        <v/>
      </c>
      <c r="CV60" s="121" t="str">
        <f t="shared" si="7"/>
        <v/>
      </c>
      <c r="CW60" s="121" t="str">
        <f t="shared" si="7"/>
        <v/>
      </c>
      <c r="CX60" s="121" t="str">
        <f t="shared" si="7"/>
        <v/>
      </c>
      <c r="CY60" s="121" t="str">
        <f t="shared" si="7"/>
        <v/>
      </c>
      <c r="CZ60" s="121" t="str">
        <f t="shared" si="7"/>
        <v/>
      </c>
      <c r="DA60" s="121" t="str">
        <f t="shared" si="7"/>
        <v/>
      </c>
      <c r="DB60" s="121" t="str">
        <f t="shared" si="7"/>
        <v/>
      </c>
      <c r="DC60" s="121" t="str">
        <f t="shared" si="7"/>
        <v/>
      </c>
      <c r="DD60" s="121" t="str">
        <f t="shared" si="7"/>
        <v/>
      </c>
      <c r="DE60" s="121" t="str">
        <f t="shared" si="7"/>
        <v/>
      </c>
      <c r="DF60" s="121" t="str">
        <f t="shared" si="7"/>
        <v/>
      </c>
      <c r="DG60" s="121" t="str">
        <f t="shared" si="7"/>
        <v/>
      </c>
      <c r="DH60" s="121" t="str">
        <f t="shared" si="7"/>
        <v/>
      </c>
      <c r="DI60" s="121" t="s">
        <v>38</v>
      </c>
      <c r="DJ60" s="121" t="str">
        <f>IF(SUM(DJ43:DJ57)&lt;&gt;0,AVERAGE(DJ43:DJ57),"")</f>
        <v/>
      </c>
      <c r="DK60" s="121" t="str">
        <f t="shared" si="7"/>
        <v/>
      </c>
      <c r="DL60" s="121" t="str">
        <f t="shared" si="7"/>
        <v/>
      </c>
      <c r="DM60" s="121" t="str">
        <f t="shared" si="7"/>
        <v/>
      </c>
      <c r="DN60" s="121" t="str">
        <f t="shared" si="7"/>
        <v/>
      </c>
      <c r="DO60" s="121" t="str">
        <f t="shared" si="7"/>
        <v/>
      </c>
      <c r="DP60" s="121" t="str">
        <f t="shared" si="7"/>
        <v/>
      </c>
      <c r="DQ60" s="121" t="str">
        <f t="shared" si="7"/>
        <v/>
      </c>
      <c r="DR60" s="121" t="str">
        <f t="shared" si="7"/>
        <v/>
      </c>
      <c r="DS60" s="121" t="str">
        <f t="shared" si="7"/>
        <v/>
      </c>
      <c r="DT60" s="121" t="str">
        <f t="shared" si="7"/>
        <v/>
      </c>
      <c r="DU60" s="121" t="str">
        <f t="shared" si="7"/>
        <v/>
      </c>
      <c r="DV60" s="121" t="str">
        <f t="shared" si="7"/>
        <v/>
      </c>
      <c r="DW60" s="121" t="str">
        <f t="shared" si="7"/>
        <v/>
      </c>
      <c r="DX60" s="121" t="str">
        <f t="shared" si="7"/>
        <v/>
      </c>
      <c r="DY60" s="121" t="s">
        <v>38</v>
      </c>
      <c r="DZ60" s="121" t="str">
        <f>IF(SUM(DZ43:DZ57)&lt;&gt;0,AVERAGE(DZ43:DZ57),"")</f>
        <v/>
      </c>
      <c r="EA60" s="121" t="str">
        <f t="shared" ref="EA60:GJ60" si="8">IF(SUM(EA43:EA57)&lt;&gt;0,AVERAGE(EA43:EA57),"")</f>
        <v/>
      </c>
      <c r="EB60" s="121" t="str">
        <f t="shared" si="8"/>
        <v/>
      </c>
      <c r="EC60" s="121" t="str">
        <f t="shared" si="8"/>
        <v/>
      </c>
      <c r="ED60" s="121" t="str">
        <f t="shared" si="8"/>
        <v/>
      </c>
      <c r="EE60" s="121" t="str">
        <f t="shared" si="8"/>
        <v/>
      </c>
      <c r="EF60" s="121" t="str">
        <f t="shared" si="8"/>
        <v/>
      </c>
      <c r="EG60" s="121" t="str">
        <f t="shared" si="8"/>
        <v/>
      </c>
      <c r="EH60" s="121" t="str">
        <f t="shared" si="8"/>
        <v/>
      </c>
      <c r="EI60" s="121" t="str">
        <f t="shared" si="8"/>
        <v/>
      </c>
      <c r="EJ60" s="121" t="str">
        <f t="shared" si="8"/>
        <v/>
      </c>
      <c r="EK60" s="121" t="str">
        <f t="shared" si="8"/>
        <v/>
      </c>
      <c r="EL60" s="121" t="str">
        <f t="shared" si="8"/>
        <v/>
      </c>
      <c r="EM60" s="121" t="str">
        <f t="shared" si="8"/>
        <v/>
      </c>
      <c r="EN60" s="121" t="str">
        <f t="shared" si="8"/>
        <v/>
      </c>
      <c r="EO60" s="121" t="s">
        <v>38</v>
      </c>
      <c r="EP60" s="121" t="str">
        <f>IF(SUM(EP43:EP57)&lt;&gt;0,AVERAGE(EP43:EP57),"")</f>
        <v/>
      </c>
      <c r="EQ60" s="121" t="str">
        <f t="shared" si="8"/>
        <v/>
      </c>
      <c r="ER60" s="121" t="str">
        <f t="shared" si="8"/>
        <v/>
      </c>
      <c r="ES60" s="121" t="str">
        <f t="shared" si="8"/>
        <v/>
      </c>
      <c r="ET60" s="121" t="str">
        <f t="shared" si="8"/>
        <v/>
      </c>
      <c r="EU60" s="121" t="str">
        <f t="shared" si="8"/>
        <v/>
      </c>
      <c r="EV60" s="121" t="str">
        <f t="shared" si="8"/>
        <v/>
      </c>
      <c r="EW60" s="121" t="str">
        <f t="shared" si="8"/>
        <v/>
      </c>
      <c r="EX60" s="121" t="str">
        <f t="shared" si="8"/>
        <v/>
      </c>
      <c r="EY60" s="121" t="str">
        <f t="shared" si="8"/>
        <v/>
      </c>
      <c r="EZ60" s="121" t="str">
        <f t="shared" si="8"/>
        <v/>
      </c>
      <c r="FA60" s="121" t="str">
        <f t="shared" si="8"/>
        <v/>
      </c>
      <c r="FB60" s="121" t="str">
        <f t="shared" si="8"/>
        <v/>
      </c>
      <c r="FC60" s="121" t="str">
        <f t="shared" si="8"/>
        <v/>
      </c>
      <c r="FD60" s="121" t="str">
        <f t="shared" si="8"/>
        <v/>
      </c>
      <c r="FE60" s="121" t="s">
        <v>38</v>
      </c>
      <c r="FF60" s="121" t="str">
        <f>IF(SUM(FF43:FF57)&lt;&gt;0,AVERAGE(FF43:FF57),"")</f>
        <v/>
      </c>
      <c r="FG60" s="121" t="str">
        <f t="shared" si="8"/>
        <v/>
      </c>
      <c r="FH60" s="121" t="str">
        <f t="shared" si="8"/>
        <v/>
      </c>
      <c r="FI60" s="121" t="str">
        <f t="shared" si="8"/>
        <v/>
      </c>
      <c r="FJ60" s="121" t="str">
        <f t="shared" si="8"/>
        <v/>
      </c>
      <c r="FK60" s="121" t="str">
        <f t="shared" si="8"/>
        <v/>
      </c>
      <c r="FL60" s="121" t="str">
        <f t="shared" si="8"/>
        <v/>
      </c>
      <c r="FM60" s="121" t="str">
        <f t="shared" si="8"/>
        <v/>
      </c>
      <c r="FN60" s="121" t="str">
        <f t="shared" si="8"/>
        <v/>
      </c>
      <c r="FO60" s="121" t="str">
        <f t="shared" si="8"/>
        <v/>
      </c>
      <c r="FP60" s="121" t="str">
        <f t="shared" si="8"/>
        <v/>
      </c>
      <c r="FQ60" s="121" t="str">
        <f t="shared" si="8"/>
        <v/>
      </c>
      <c r="FR60" s="121" t="str">
        <f t="shared" si="8"/>
        <v/>
      </c>
      <c r="FS60" s="121" t="str">
        <f t="shared" si="8"/>
        <v/>
      </c>
      <c r="FT60" s="121" t="str">
        <f t="shared" si="8"/>
        <v/>
      </c>
      <c r="FU60" s="121" t="s">
        <v>38</v>
      </c>
      <c r="FV60" s="121" t="str">
        <f>IF(SUM(FV43:FV57)&lt;&gt;0,AVERAGE(FV43:FV57),"")</f>
        <v/>
      </c>
      <c r="FW60" s="121" t="str">
        <f t="shared" si="8"/>
        <v/>
      </c>
      <c r="FX60" s="121" t="str">
        <f t="shared" si="8"/>
        <v/>
      </c>
      <c r="FY60" s="121" t="str">
        <f t="shared" si="8"/>
        <v/>
      </c>
      <c r="FZ60" s="121" t="str">
        <f t="shared" si="8"/>
        <v/>
      </c>
      <c r="GA60" s="121" t="str">
        <f t="shared" si="8"/>
        <v/>
      </c>
      <c r="GB60" s="121" t="str">
        <f t="shared" si="8"/>
        <v/>
      </c>
      <c r="GC60" s="121" t="str">
        <f t="shared" si="8"/>
        <v/>
      </c>
      <c r="GD60" s="121" t="str">
        <f t="shared" si="8"/>
        <v/>
      </c>
      <c r="GE60" s="121" t="str">
        <f t="shared" si="8"/>
        <v/>
      </c>
      <c r="GF60" s="121" t="str">
        <f t="shared" si="8"/>
        <v/>
      </c>
      <c r="GG60" s="121" t="str">
        <f t="shared" si="8"/>
        <v/>
      </c>
      <c r="GH60" s="121" t="str">
        <f t="shared" si="8"/>
        <v/>
      </c>
      <c r="GI60" s="121" t="str">
        <f t="shared" si="8"/>
        <v/>
      </c>
      <c r="GJ60" s="121" t="str">
        <f t="shared" si="8"/>
        <v/>
      </c>
      <c r="GK60" s="121" t="s">
        <v>38</v>
      </c>
      <c r="GL60" s="121" t="str">
        <f>IF(SUM(GL43:GL57)&lt;&gt;0,AVERAGE(GL43:GL57),"")</f>
        <v/>
      </c>
      <c r="GM60" s="121" t="str">
        <f t="shared" ref="GM60:IV60" si="9">IF(SUM(GM43:GM57)&lt;&gt;0,AVERAGE(GM43:GM57),"")</f>
        <v/>
      </c>
      <c r="GN60" s="121" t="str">
        <f t="shared" si="9"/>
        <v/>
      </c>
      <c r="GO60" s="121" t="str">
        <f t="shared" si="9"/>
        <v/>
      </c>
      <c r="GP60" s="121" t="str">
        <f t="shared" si="9"/>
        <v/>
      </c>
      <c r="GQ60" s="121" t="str">
        <f t="shared" si="9"/>
        <v/>
      </c>
      <c r="GR60" s="121" t="str">
        <f t="shared" si="9"/>
        <v/>
      </c>
      <c r="GS60" s="121" t="str">
        <f t="shared" si="9"/>
        <v/>
      </c>
      <c r="GT60" s="121" t="str">
        <f t="shared" si="9"/>
        <v/>
      </c>
      <c r="GU60" s="121" t="str">
        <f t="shared" si="9"/>
        <v/>
      </c>
      <c r="GV60" s="121" t="str">
        <f t="shared" si="9"/>
        <v/>
      </c>
      <c r="GW60" s="121" t="str">
        <f t="shared" si="9"/>
        <v/>
      </c>
      <c r="GX60" s="121" t="str">
        <f t="shared" si="9"/>
        <v/>
      </c>
      <c r="GY60" s="121" t="str">
        <f t="shared" si="9"/>
        <v/>
      </c>
      <c r="GZ60" s="121" t="str">
        <f t="shared" si="9"/>
        <v/>
      </c>
      <c r="HA60" s="121" t="s">
        <v>38</v>
      </c>
      <c r="HB60" s="121" t="str">
        <f>IF(SUM(HB43:HB57)&lt;&gt;0,AVERAGE(HB43:HB57),"")</f>
        <v/>
      </c>
      <c r="HC60" s="121" t="str">
        <f t="shared" si="9"/>
        <v/>
      </c>
      <c r="HD60" s="121" t="str">
        <f t="shared" si="9"/>
        <v/>
      </c>
      <c r="HE60" s="121" t="str">
        <f t="shared" si="9"/>
        <v/>
      </c>
      <c r="HF60" s="121" t="str">
        <f t="shared" si="9"/>
        <v/>
      </c>
      <c r="HG60" s="121" t="str">
        <f t="shared" si="9"/>
        <v/>
      </c>
      <c r="HH60" s="121" t="str">
        <f t="shared" si="9"/>
        <v/>
      </c>
      <c r="HI60" s="121" t="str">
        <f t="shared" si="9"/>
        <v/>
      </c>
      <c r="HJ60" s="121" t="str">
        <f t="shared" si="9"/>
        <v/>
      </c>
      <c r="HK60" s="121" t="str">
        <f t="shared" si="9"/>
        <v/>
      </c>
      <c r="HL60" s="121" t="str">
        <f t="shared" si="9"/>
        <v/>
      </c>
      <c r="HM60" s="121" t="str">
        <f t="shared" si="9"/>
        <v/>
      </c>
      <c r="HN60" s="121" t="str">
        <f t="shared" si="9"/>
        <v/>
      </c>
      <c r="HO60" s="121" t="str">
        <f t="shared" si="9"/>
        <v/>
      </c>
      <c r="HP60" s="121" t="str">
        <f t="shared" si="9"/>
        <v/>
      </c>
      <c r="HQ60" s="121" t="s">
        <v>38</v>
      </c>
      <c r="HR60" s="121" t="str">
        <f>IF(SUM(HR43:HR57)&lt;&gt;0,AVERAGE(HR43:HR57),"")</f>
        <v/>
      </c>
      <c r="HS60" s="121" t="str">
        <f t="shared" si="9"/>
        <v/>
      </c>
      <c r="HT60" s="121" t="str">
        <f t="shared" si="9"/>
        <v/>
      </c>
      <c r="HU60" s="121" t="str">
        <f t="shared" si="9"/>
        <v/>
      </c>
      <c r="HV60" s="121" t="str">
        <f t="shared" si="9"/>
        <v/>
      </c>
      <c r="HW60" s="121" t="str">
        <f t="shared" si="9"/>
        <v/>
      </c>
      <c r="HX60" s="121" t="str">
        <f t="shared" si="9"/>
        <v/>
      </c>
      <c r="HY60" s="121" t="str">
        <f t="shared" si="9"/>
        <v/>
      </c>
      <c r="HZ60" s="121" t="str">
        <f t="shared" si="9"/>
        <v/>
      </c>
      <c r="IA60" s="121" t="str">
        <f t="shared" si="9"/>
        <v/>
      </c>
      <c r="IB60" s="121" t="str">
        <f t="shared" si="9"/>
        <v/>
      </c>
      <c r="IC60" s="121" t="str">
        <f t="shared" si="9"/>
        <v/>
      </c>
      <c r="ID60" s="121" t="str">
        <f t="shared" si="9"/>
        <v/>
      </c>
      <c r="IE60" s="121" t="str">
        <f t="shared" si="9"/>
        <v/>
      </c>
      <c r="IF60" s="121" t="str">
        <f t="shared" si="9"/>
        <v/>
      </c>
      <c r="IG60" s="121" t="s">
        <v>38</v>
      </c>
      <c r="IH60" s="121" t="str">
        <f>IF(SUM(IH43:IH57)&lt;&gt;0,AVERAGE(IH43:IH57),"")</f>
        <v/>
      </c>
      <c r="II60" s="121" t="str">
        <f t="shared" si="9"/>
        <v/>
      </c>
      <c r="IJ60" s="121" t="str">
        <f t="shared" si="9"/>
        <v/>
      </c>
      <c r="IK60" s="121" t="str">
        <f t="shared" si="9"/>
        <v/>
      </c>
      <c r="IL60" s="121" t="str">
        <f t="shared" si="9"/>
        <v/>
      </c>
      <c r="IM60" s="121" t="str">
        <f t="shared" si="9"/>
        <v/>
      </c>
      <c r="IN60" s="121" t="str">
        <f t="shared" si="9"/>
        <v/>
      </c>
      <c r="IO60" s="121" t="str">
        <f t="shared" si="9"/>
        <v/>
      </c>
      <c r="IP60" s="121" t="str">
        <f t="shared" si="9"/>
        <v/>
      </c>
      <c r="IQ60" s="121" t="str">
        <f t="shared" si="9"/>
        <v/>
      </c>
      <c r="IR60" s="121" t="str">
        <f t="shared" si="9"/>
        <v/>
      </c>
      <c r="IS60" s="121" t="str">
        <f t="shared" si="9"/>
        <v/>
      </c>
      <c r="IT60" s="121" t="str">
        <f t="shared" si="9"/>
        <v/>
      </c>
      <c r="IU60" s="121" t="str">
        <f t="shared" si="9"/>
        <v/>
      </c>
      <c r="IV60" s="121" t="str">
        <f t="shared" si="9"/>
        <v/>
      </c>
    </row>
    <row r="61" spans="1:256" s="121" customFormat="1" ht="21" customHeight="1" thickBot="1" x14ac:dyDescent="0.3">
      <c r="A61" s="78"/>
      <c r="B61" s="136"/>
      <c r="C61" s="419" t="s">
        <v>63</v>
      </c>
      <c r="D61" s="420"/>
      <c r="E61" s="421"/>
      <c r="F61" s="138" t="str">
        <f t="shared" ref="F61:K61" si="10">IF(ISNUMBER(F60),IF(ISNUMBER(F30)=FALSE,"",IF(MIN(F43:F57)&lt;F30,MIN(F43:F57),"")),"")</f>
        <v/>
      </c>
      <c r="G61" s="138" t="str">
        <f t="shared" si="10"/>
        <v/>
      </c>
      <c r="H61" s="138" t="str">
        <f t="shared" si="10"/>
        <v/>
      </c>
      <c r="I61" s="138" t="str">
        <f t="shared" si="10"/>
        <v/>
      </c>
      <c r="J61" s="137">
        <f t="shared" si="10"/>
        <v>55</v>
      </c>
      <c r="K61" s="139" t="str">
        <f t="shared" si="10"/>
        <v/>
      </c>
      <c r="L61" s="144"/>
      <c r="M61" s="144"/>
      <c r="N61" s="145"/>
      <c r="O61" s="143"/>
      <c r="P61" s="424"/>
      <c r="Q61" s="425"/>
      <c r="R61" s="424"/>
      <c r="S61" s="425"/>
      <c r="T61" s="428"/>
      <c r="U61" s="429"/>
      <c r="V61" s="429"/>
      <c r="W61" s="429"/>
      <c r="X61" s="429"/>
      <c r="Y61" s="430"/>
      <c r="Z61" s="120" t="str">
        <f>IF(ISNUMBER(Z60),IF(ISNUMBER(Z30)=FALSE,"",IF(MIN(Z43:Z57)&lt;Z30,MIN(Z43:Z57),"")),"")</f>
        <v/>
      </c>
      <c r="AA61" s="121" t="str">
        <f>IF(ISNUMBER(AA60),IF(ISNUMBER(AA30)=FALSE,"",IF(MIN(AA43:AA57)&lt;AA30,MIN(AA43:AA57),"")),"")</f>
        <v/>
      </c>
      <c r="AB61" s="121" t="str">
        <f>IF(ISNUMBER(AB60),IF(ISNUMBER(AB30)=FALSE,"",IF(MIN(AB43:AB57)&lt;AB30,MIN(AB43:AB57),"")),"")</f>
        <v/>
      </c>
      <c r="AC61" s="122"/>
      <c r="AD61" s="42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77"/>
      <c r="AP61" s="77"/>
      <c r="AQ61" s="77"/>
      <c r="AR61" s="77"/>
      <c r="AS61" s="77"/>
      <c r="AT61" s="122"/>
      <c r="AU61" s="121" t="str">
        <f>IF(ISNUMBER(AU60),IF(ISNUMBER(AU30)=FALSE,"",IF(MIN(AU43:AU57)&lt;AU30,MIN(AU43:AU57),"")),"")</f>
        <v/>
      </c>
      <c r="AV61" s="121" t="str">
        <f>IF(ISNUMBER(AV60),IF(ISNUMBER(AV30)=FALSE,"",IF(MIN(AV43:AV57)&lt;AV30,MIN(AV43:AV57),"")),"")</f>
        <v/>
      </c>
      <c r="AW61" s="121" t="s">
        <v>63</v>
      </c>
      <c r="AX61" s="121" t="str">
        <f t="shared" ref="AX61:BL61" si="11">IF(ISNUMBER(AX60),IF(ISNUMBER(AX30)=FALSE,"",IF(MIN(AX43:AX57)&lt;AX30,MIN(AX43:AX57),"")),"")</f>
        <v/>
      </c>
      <c r="AY61" s="121" t="str">
        <f t="shared" si="11"/>
        <v/>
      </c>
      <c r="AZ61" s="121" t="str">
        <f t="shared" si="11"/>
        <v/>
      </c>
      <c r="BA61" s="121" t="str">
        <f t="shared" si="11"/>
        <v/>
      </c>
      <c r="BB61" s="121" t="str">
        <f t="shared" si="11"/>
        <v/>
      </c>
      <c r="BC61" s="121" t="str">
        <f t="shared" si="11"/>
        <v/>
      </c>
      <c r="BD61" s="121" t="str">
        <f t="shared" si="11"/>
        <v/>
      </c>
      <c r="BE61" s="121" t="str">
        <f t="shared" si="11"/>
        <v/>
      </c>
      <c r="BF61" s="121" t="str">
        <f t="shared" si="11"/>
        <v/>
      </c>
      <c r="BG61" s="121" t="str">
        <f t="shared" si="11"/>
        <v/>
      </c>
      <c r="BH61" s="121" t="str">
        <f t="shared" si="11"/>
        <v/>
      </c>
      <c r="BI61" s="121" t="str">
        <f t="shared" si="11"/>
        <v/>
      </c>
      <c r="BJ61" s="121" t="str">
        <f t="shared" si="11"/>
        <v/>
      </c>
      <c r="BK61" s="121" t="str">
        <f t="shared" si="11"/>
        <v/>
      </c>
      <c r="BL61" s="121" t="str">
        <f t="shared" si="11"/>
        <v/>
      </c>
      <c r="BM61" s="121" t="s">
        <v>63</v>
      </c>
      <c r="BN61" s="121" t="str">
        <f>IF(ISNUMBER(BN60),IF(ISNUMBER(BN30)=FALSE,"",IF(MIN(BN43:BN57)&lt;BN30,MIN(BN43:BN57),"")),"")</f>
        <v/>
      </c>
      <c r="BO61" s="121" t="str">
        <f t="shared" ref="BO61:DX61" si="12">IF(ISNUMBER(BO60),IF(ISNUMBER(BO30)=FALSE,"",IF(MIN(BO43:BO57)&lt;BO30,MIN(BO43:BO57),"")),"")</f>
        <v/>
      </c>
      <c r="BP61" s="121" t="str">
        <f t="shared" si="12"/>
        <v/>
      </c>
      <c r="BQ61" s="121" t="str">
        <f t="shared" si="12"/>
        <v/>
      </c>
      <c r="BR61" s="121" t="str">
        <f t="shared" si="12"/>
        <v/>
      </c>
      <c r="BS61" s="121" t="str">
        <f t="shared" si="12"/>
        <v/>
      </c>
      <c r="BT61" s="121" t="str">
        <f t="shared" si="12"/>
        <v/>
      </c>
      <c r="BU61" s="121" t="str">
        <f t="shared" si="12"/>
        <v/>
      </c>
      <c r="BV61" s="121" t="str">
        <f t="shared" si="12"/>
        <v/>
      </c>
      <c r="BW61" s="121" t="str">
        <f t="shared" si="12"/>
        <v/>
      </c>
      <c r="BX61" s="121" t="str">
        <f t="shared" si="12"/>
        <v/>
      </c>
      <c r="BY61" s="121" t="str">
        <f t="shared" si="12"/>
        <v/>
      </c>
      <c r="BZ61" s="121" t="str">
        <f t="shared" si="12"/>
        <v/>
      </c>
      <c r="CA61" s="121" t="str">
        <f t="shared" si="12"/>
        <v/>
      </c>
      <c r="CB61" s="121" t="str">
        <f t="shared" si="12"/>
        <v/>
      </c>
      <c r="CC61" s="121" t="s">
        <v>63</v>
      </c>
      <c r="CD61" s="121" t="str">
        <f>IF(ISNUMBER(CD60),IF(ISNUMBER(CD30)=FALSE,"",IF(MIN(CD43:CD57)&lt;CD30,MIN(CD43:CD57),"")),"")</f>
        <v/>
      </c>
      <c r="CE61" s="121" t="str">
        <f t="shared" si="12"/>
        <v/>
      </c>
      <c r="CF61" s="121" t="str">
        <f t="shared" si="12"/>
        <v/>
      </c>
      <c r="CG61" s="121" t="str">
        <f t="shared" si="12"/>
        <v/>
      </c>
      <c r="CH61" s="121" t="str">
        <f t="shared" si="12"/>
        <v/>
      </c>
      <c r="CI61" s="121" t="str">
        <f t="shared" si="12"/>
        <v/>
      </c>
      <c r="CJ61" s="121" t="str">
        <f t="shared" si="12"/>
        <v/>
      </c>
      <c r="CK61" s="121" t="str">
        <f t="shared" si="12"/>
        <v/>
      </c>
      <c r="CL61" s="121" t="str">
        <f t="shared" si="12"/>
        <v/>
      </c>
      <c r="CM61" s="121" t="str">
        <f t="shared" si="12"/>
        <v/>
      </c>
      <c r="CN61" s="121" t="str">
        <f t="shared" si="12"/>
        <v/>
      </c>
      <c r="CO61" s="121" t="str">
        <f t="shared" si="12"/>
        <v/>
      </c>
      <c r="CP61" s="121" t="str">
        <f t="shared" si="12"/>
        <v/>
      </c>
      <c r="CQ61" s="121" t="str">
        <f t="shared" si="12"/>
        <v/>
      </c>
      <c r="CR61" s="121" t="str">
        <f t="shared" si="12"/>
        <v/>
      </c>
      <c r="CS61" s="121" t="s">
        <v>63</v>
      </c>
      <c r="CT61" s="121" t="str">
        <f>IF(ISNUMBER(CT60),IF(ISNUMBER(CT30)=FALSE,"",IF(MIN(CT43:CT57)&lt;CT30,MIN(CT43:CT57),"")),"")</f>
        <v/>
      </c>
      <c r="CU61" s="121" t="str">
        <f t="shared" si="12"/>
        <v/>
      </c>
      <c r="CV61" s="121" t="str">
        <f t="shared" si="12"/>
        <v/>
      </c>
      <c r="CW61" s="121" t="str">
        <f t="shared" si="12"/>
        <v/>
      </c>
      <c r="CX61" s="121" t="str">
        <f t="shared" si="12"/>
        <v/>
      </c>
      <c r="CY61" s="121" t="str">
        <f t="shared" si="12"/>
        <v/>
      </c>
      <c r="CZ61" s="121" t="str">
        <f t="shared" si="12"/>
        <v/>
      </c>
      <c r="DA61" s="121" t="str">
        <f t="shared" si="12"/>
        <v/>
      </c>
      <c r="DB61" s="121" t="str">
        <f t="shared" si="12"/>
        <v/>
      </c>
      <c r="DC61" s="121" t="str">
        <f t="shared" si="12"/>
        <v/>
      </c>
      <c r="DD61" s="121" t="str">
        <f t="shared" si="12"/>
        <v/>
      </c>
      <c r="DE61" s="121" t="str">
        <f t="shared" si="12"/>
        <v/>
      </c>
      <c r="DF61" s="121" t="str">
        <f t="shared" si="12"/>
        <v/>
      </c>
      <c r="DG61" s="121" t="str">
        <f t="shared" si="12"/>
        <v/>
      </c>
      <c r="DH61" s="121" t="str">
        <f t="shared" si="12"/>
        <v/>
      </c>
      <c r="DI61" s="121" t="s">
        <v>63</v>
      </c>
      <c r="DJ61" s="121" t="str">
        <f>IF(ISNUMBER(DJ60),IF(ISNUMBER(DJ30)=FALSE,"",IF(MIN(DJ43:DJ57)&lt;DJ30,MIN(DJ43:DJ57),"")),"")</f>
        <v/>
      </c>
      <c r="DK61" s="121" t="str">
        <f t="shared" si="12"/>
        <v/>
      </c>
      <c r="DL61" s="121" t="str">
        <f t="shared" si="12"/>
        <v/>
      </c>
      <c r="DM61" s="121" t="str">
        <f t="shared" si="12"/>
        <v/>
      </c>
      <c r="DN61" s="121" t="str">
        <f t="shared" si="12"/>
        <v/>
      </c>
      <c r="DO61" s="121" t="str">
        <f t="shared" si="12"/>
        <v/>
      </c>
      <c r="DP61" s="121" t="str">
        <f t="shared" si="12"/>
        <v/>
      </c>
      <c r="DQ61" s="121" t="str">
        <f t="shared" si="12"/>
        <v/>
      </c>
      <c r="DR61" s="121" t="str">
        <f t="shared" si="12"/>
        <v/>
      </c>
      <c r="DS61" s="121" t="str">
        <f t="shared" si="12"/>
        <v/>
      </c>
      <c r="DT61" s="121" t="str">
        <f t="shared" si="12"/>
        <v/>
      </c>
      <c r="DU61" s="121" t="str">
        <f t="shared" si="12"/>
        <v/>
      </c>
      <c r="DV61" s="121" t="str">
        <f t="shared" si="12"/>
        <v/>
      </c>
      <c r="DW61" s="121" t="str">
        <f t="shared" si="12"/>
        <v/>
      </c>
      <c r="DX61" s="121" t="str">
        <f t="shared" si="12"/>
        <v/>
      </c>
      <c r="DY61" s="121" t="s">
        <v>63</v>
      </c>
      <c r="DZ61" s="121" t="str">
        <f>IF(ISNUMBER(DZ60),IF(ISNUMBER(DZ30)=FALSE,"",IF(MIN(DZ43:DZ57)&lt;DZ30,MIN(DZ43:DZ57),"")),"")</f>
        <v/>
      </c>
      <c r="EA61" s="121" t="str">
        <f t="shared" ref="EA61:GJ61" si="13">IF(ISNUMBER(EA60),IF(ISNUMBER(EA30)=FALSE,"",IF(MIN(EA43:EA57)&lt;EA30,MIN(EA43:EA57),"")),"")</f>
        <v/>
      </c>
      <c r="EB61" s="121" t="str">
        <f t="shared" si="13"/>
        <v/>
      </c>
      <c r="EC61" s="121" t="str">
        <f t="shared" si="13"/>
        <v/>
      </c>
      <c r="ED61" s="121" t="str">
        <f t="shared" si="13"/>
        <v/>
      </c>
      <c r="EE61" s="121" t="str">
        <f t="shared" si="13"/>
        <v/>
      </c>
      <c r="EF61" s="121" t="str">
        <f t="shared" si="13"/>
        <v/>
      </c>
      <c r="EG61" s="121" t="str">
        <f t="shared" si="13"/>
        <v/>
      </c>
      <c r="EH61" s="121" t="str">
        <f t="shared" si="13"/>
        <v/>
      </c>
      <c r="EI61" s="121" t="str">
        <f t="shared" si="13"/>
        <v/>
      </c>
      <c r="EJ61" s="121" t="str">
        <f t="shared" si="13"/>
        <v/>
      </c>
      <c r="EK61" s="121" t="str">
        <f t="shared" si="13"/>
        <v/>
      </c>
      <c r="EL61" s="121" t="str">
        <f t="shared" si="13"/>
        <v/>
      </c>
      <c r="EM61" s="121" t="str">
        <f t="shared" si="13"/>
        <v/>
      </c>
      <c r="EN61" s="121" t="str">
        <f t="shared" si="13"/>
        <v/>
      </c>
      <c r="EO61" s="121" t="s">
        <v>63</v>
      </c>
      <c r="EP61" s="121" t="str">
        <f>IF(ISNUMBER(EP60),IF(ISNUMBER(EP30)=FALSE,"",IF(MIN(EP43:EP57)&lt;EP30,MIN(EP43:EP57),"")),"")</f>
        <v/>
      </c>
      <c r="EQ61" s="121" t="str">
        <f t="shared" si="13"/>
        <v/>
      </c>
      <c r="ER61" s="121" t="str">
        <f t="shared" si="13"/>
        <v/>
      </c>
      <c r="ES61" s="121" t="str">
        <f t="shared" si="13"/>
        <v/>
      </c>
      <c r="ET61" s="121" t="str">
        <f t="shared" si="13"/>
        <v/>
      </c>
      <c r="EU61" s="121" t="str">
        <f t="shared" si="13"/>
        <v/>
      </c>
      <c r="EV61" s="121" t="str">
        <f t="shared" si="13"/>
        <v/>
      </c>
      <c r="EW61" s="121" t="str">
        <f t="shared" si="13"/>
        <v/>
      </c>
      <c r="EX61" s="121" t="str">
        <f t="shared" si="13"/>
        <v/>
      </c>
      <c r="EY61" s="121" t="str">
        <f t="shared" si="13"/>
        <v/>
      </c>
      <c r="EZ61" s="121" t="str">
        <f t="shared" si="13"/>
        <v/>
      </c>
      <c r="FA61" s="121" t="str">
        <f t="shared" si="13"/>
        <v/>
      </c>
      <c r="FB61" s="121" t="str">
        <f t="shared" si="13"/>
        <v/>
      </c>
      <c r="FC61" s="121" t="str">
        <f t="shared" si="13"/>
        <v/>
      </c>
      <c r="FD61" s="121" t="str">
        <f t="shared" si="13"/>
        <v/>
      </c>
      <c r="FE61" s="121" t="s">
        <v>63</v>
      </c>
      <c r="FF61" s="121" t="str">
        <f>IF(ISNUMBER(FF60),IF(ISNUMBER(FF30)=FALSE,"",IF(MIN(FF43:FF57)&lt;FF30,MIN(FF43:FF57),"")),"")</f>
        <v/>
      </c>
      <c r="FG61" s="121" t="str">
        <f t="shared" si="13"/>
        <v/>
      </c>
      <c r="FH61" s="121" t="str">
        <f t="shared" si="13"/>
        <v/>
      </c>
      <c r="FI61" s="121" t="str">
        <f t="shared" si="13"/>
        <v/>
      </c>
      <c r="FJ61" s="121" t="str">
        <f t="shared" si="13"/>
        <v/>
      </c>
      <c r="FK61" s="121" t="str">
        <f t="shared" si="13"/>
        <v/>
      </c>
      <c r="FL61" s="121" t="str">
        <f t="shared" si="13"/>
        <v/>
      </c>
      <c r="FM61" s="121" t="str">
        <f t="shared" si="13"/>
        <v/>
      </c>
      <c r="FN61" s="121" t="str">
        <f t="shared" si="13"/>
        <v/>
      </c>
      <c r="FO61" s="121" t="str">
        <f t="shared" si="13"/>
        <v/>
      </c>
      <c r="FP61" s="121" t="str">
        <f t="shared" si="13"/>
        <v/>
      </c>
      <c r="FQ61" s="121" t="str">
        <f t="shared" si="13"/>
        <v/>
      </c>
      <c r="FR61" s="121" t="str">
        <f t="shared" si="13"/>
        <v/>
      </c>
      <c r="FS61" s="121" t="str">
        <f t="shared" si="13"/>
        <v/>
      </c>
      <c r="FT61" s="121" t="str">
        <f t="shared" si="13"/>
        <v/>
      </c>
      <c r="FU61" s="121" t="s">
        <v>63</v>
      </c>
      <c r="FV61" s="121" t="str">
        <f>IF(ISNUMBER(FV60),IF(ISNUMBER(FV30)=FALSE,"",IF(MIN(FV43:FV57)&lt;FV30,MIN(FV43:FV57),"")),"")</f>
        <v/>
      </c>
      <c r="FW61" s="121" t="str">
        <f t="shared" si="13"/>
        <v/>
      </c>
      <c r="FX61" s="121" t="str">
        <f t="shared" si="13"/>
        <v/>
      </c>
      <c r="FY61" s="121" t="str">
        <f t="shared" si="13"/>
        <v/>
      </c>
      <c r="FZ61" s="121" t="str">
        <f t="shared" si="13"/>
        <v/>
      </c>
      <c r="GA61" s="121" t="str">
        <f t="shared" si="13"/>
        <v/>
      </c>
      <c r="GB61" s="121" t="str">
        <f t="shared" si="13"/>
        <v/>
      </c>
      <c r="GC61" s="121" t="str">
        <f t="shared" si="13"/>
        <v/>
      </c>
      <c r="GD61" s="121" t="str">
        <f t="shared" si="13"/>
        <v/>
      </c>
      <c r="GE61" s="121" t="str">
        <f t="shared" si="13"/>
        <v/>
      </c>
      <c r="GF61" s="121" t="str">
        <f t="shared" si="13"/>
        <v/>
      </c>
      <c r="GG61" s="121" t="str">
        <f t="shared" si="13"/>
        <v/>
      </c>
      <c r="GH61" s="121" t="str">
        <f t="shared" si="13"/>
        <v/>
      </c>
      <c r="GI61" s="121" t="str">
        <f t="shared" si="13"/>
        <v/>
      </c>
      <c r="GJ61" s="121" t="str">
        <f t="shared" si="13"/>
        <v/>
      </c>
      <c r="GK61" s="121" t="s">
        <v>63</v>
      </c>
      <c r="GL61" s="121" t="str">
        <f>IF(ISNUMBER(GL60),IF(ISNUMBER(GL30)=FALSE,"",IF(MIN(GL43:GL57)&lt;GL30,MIN(GL43:GL57),"")),"")</f>
        <v/>
      </c>
      <c r="GM61" s="121" t="str">
        <f t="shared" ref="GM61:IV61" si="14">IF(ISNUMBER(GM60),IF(ISNUMBER(GM30)=FALSE,"",IF(MIN(GM43:GM57)&lt;GM30,MIN(GM43:GM57),"")),"")</f>
        <v/>
      </c>
      <c r="GN61" s="121" t="str">
        <f t="shared" si="14"/>
        <v/>
      </c>
      <c r="GO61" s="121" t="str">
        <f t="shared" si="14"/>
        <v/>
      </c>
      <c r="GP61" s="121" t="str">
        <f t="shared" si="14"/>
        <v/>
      </c>
      <c r="GQ61" s="121" t="str">
        <f t="shared" si="14"/>
        <v/>
      </c>
      <c r="GR61" s="121" t="str">
        <f t="shared" si="14"/>
        <v/>
      </c>
      <c r="GS61" s="121" t="str">
        <f t="shared" si="14"/>
        <v/>
      </c>
      <c r="GT61" s="121" t="str">
        <f t="shared" si="14"/>
        <v/>
      </c>
      <c r="GU61" s="121" t="str">
        <f t="shared" si="14"/>
        <v/>
      </c>
      <c r="GV61" s="121" t="str">
        <f t="shared" si="14"/>
        <v/>
      </c>
      <c r="GW61" s="121" t="str">
        <f t="shared" si="14"/>
        <v/>
      </c>
      <c r="GX61" s="121" t="str">
        <f t="shared" si="14"/>
        <v/>
      </c>
      <c r="GY61" s="121" t="str">
        <f t="shared" si="14"/>
        <v/>
      </c>
      <c r="GZ61" s="121" t="str">
        <f t="shared" si="14"/>
        <v/>
      </c>
      <c r="HA61" s="121" t="s">
        <v>63</v>
      </c>
      <c r="HB61" s="121" t="str">
        <f>IF(ISNUMBER(HB60),IF(ISNUMBER(HB30)=FALSE,"",IF(MIN(HB43:HB57)&lt;HB30,MIN(HB43:HB57),"")),"")</f>
        <v/>
      </c>
      <c r="HC61" s="121" t="str">
        <f t="shared" si="14"/>
        <v/>
      </c>
      <c r="HD61" s="121" t="str">
        <f t="shared" si="14"/>
        <v/>
      </c>
      <c r="HE61" s="121" t="str">
        <f t="shared" si="14"/>
        <v/>
      </c>
      <c r="HF61" s="121" t="str">
        <f t="shared" si="14"/>
        <v/>
      </c>
      <c r="HG61" s="121" t="str">
        <f t="shared" si="14"/>
        <v/>
      </c>
      <c r="HH61" s="121" t="str">
        <f t="shared" si="14"/>
        <v/>
      </c>
      <c r="HI61" s="121" t="str">
        <f t="shared" si="14"/>
        <v/>
      </c>
      <c r="HJ61" s="121" t="str">
        <f t="shared" si="14"/>
        <v/>
      </c>
      <c r="HK61" s="121" t="str">
        <f t="shared" si="14"/>
        <v/>
      </c>
      <c r="HL61" s="121" t="str">
        <f t="shared" si="14"/>
        <v/>
      </c>
      <c r="HM61" s="121" t="str">
        <f t="shared" si="14"/>
        <v/>
      </c>
      <c r="HN61" s="121" t="str">
        <f t="shared" si="14"/>
        <v/>
      </c>
      <c r="HO61" s="121" t="str">
        <f t="shared" si="14"/>
        <v/>
      </c>
      <c r="HP61" s="121" t="str">
        <f t="shared" si="14"/>
        <v/>
      </c>
      <c r="HQ61" s="121" t="s">
        <v>63</v>
      </c>
      <c r="HR61" s="121" t="str">
        <f>IF(ISNUMBER(HR60),IF(ISNUMBER(HR30)=FALSE,"",IF(MIN(HR43:HR57)&lt;HR30,MIN(HR43:HR57),"")),"")</f>
        <v/>
      </c>
      <c r="HS61" s="121" t="str">
        <f t="shared" si="14"/>
        <v/>
      </c>
      <c r="HT61" s="121" t="str">
        <f t="shared" si="14"/>
        <v/>
      </c>
      <c r="HU61" s="121" t="str">
        <f t="shared" si="14"/>
        <v/>
      </c>
      <c r="HV61" s="121" t="str">
        <f t="shared" si="14"/>
        <v/>
      </c>
      <c r="HW61" s="121" t="str">
        <f t="shared" si="14"/>
        <v/>
      </c>
      <c r="HX61" s="121" t="str">
        <f t="shared" si="14"/>
        <v/>
      </c>
      <c r="HY61" s="121" t="str">
        <f t="shared" si="14"/>
        <v/>
      </c>
      <c r="HZ61" s="121" t="str">
        <f t="shared" si="14"/>
        <v/>
      </c>
      <c r="IA61" s="121" t="str">
        <f t="shared" si="14"/>
        <v/>
      </c>
      <c r="IB61" s="121" t="str">
        <f t="shared" si="14"/>
        <v/>
      </c>
      <c r="IC61" s="121" t="str">
        <f t="shared" si="14"/>
        <v/>
      </c>
      <c r="ID61" s="121" t="str">
        <f t="shared" si="14"/>
        <v/>
      </c>
      <c r="IE61" s="121" t="str">
        <f t="shared" si="14"/>
        <v/>
      </c>
      <c r="IF61" s="121" t="str">
        <f t="shared" si="14"/>
        <v/>
      </c>
      <c r="IG61" s="121" t="s">
        <v>63</v>
      </c>
      <c r="IH61" s="121" t="str">
        <f>IF(ISNUMBER(IH60),IF(ISNUMBER(IH30)=FALSE,"",IF(MIN(IH43:IH57)&lt;IH30,MIN(IH43:IH57),"")),"")</f>
        <v/>
      </c>
      <c r="II61" s="121" t="str">
        <f t="shared" si="14"/>
        <v/>
      </c>
      <c r="IJ61" s="121" t="str">
        <f t="shared" si="14"/>
        <v/>
      </c>
      <c r="IK61" s="121" t="str">
        <f t="shared" si="14"/>
        <v/>
      </c>
      <c r="IL61" s="121" t="str">
        <f t="shared" si="14"/>
        <v/>
      </c>
      <c r="IM61" s="121" t="str">
        <f t="shared" si="14"/>
        <v/>
      </c>
      <c r="IN61" s="121" t="str">
        <f t="shared" si="14"/>
        <v/>
      </c>
      <c r="IO61" s="121" t="str">
        <f t="shared" si="14"/>
        <v/>
      </c>
      <c r="IP61" s="121" t="str">
        <f t="shared" si="14"/>
        <v/>
      </c>
      <c r="IQ61" s="121" t="str">
        <f t="shared" si="14"/>
        <v/>
      </c>
      <c r="IR61" s="121" t="str">
        <f t="shared" si="14"/>
        <v/>
      </c>
      <c r="IS61" s="121" t="str">
        <f t="shared" si="14"/>
        <v/>
      </c>
      <c r="IT61" s="121" t="str">
        <f t="shared" si="14"/>
        <v/>
      </c>
      <c r="IU61" s="121" t="str">
        <f t="shared" si="14"/>
        <v/>
      </c>
      <c r="IV61" s="121" t="str">
        <f t="shared" si="14"/>
        <v/>
      </c>
    </row>
    <row r="62" spans="1:256" s="121" customFormat="1" ht="18" customHeight="1" x14ac:dyDescent="0.25">
      <c r="A62" s="78"/>
      <c r="B62" s="77"/>
      <c r="C62" s="77"/>
      <c r="D62" s="77"/>
      <c r="E62" s="77"/>
      <c r="F62" s="77"/>
      <c r="G62" s="77"/>
      <c r="H62" s="77"/>
      <c r="I62" s="77"/>
      <c r="J62" s="77"/>
      <c r="K62" s="44"/>
      <c r="L62" s="133"/>
      <c r="M62" s="133"/>
      <c r="N62" s="134"/>
      <c r="O62" s="40"/>
      <c r="P62" s="40"/>
      <c r="Q62" s="135"/>
      <c r="R62" s="122"/>
      <c r="S62" s="122"/>
      <c r="T62" s="122"/>
      <c r="U62" s="122"/>
      <c r="V62" s="122"/>
      <c r="W62" s="122"/>
      <c r="X62" s="122"/>
      <c r="Y62" s="122"/>
      <c r="Z62" s="120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</row>
    <row r="63" spans="1:256" s="121" customFormat="1" ht="26.25" customHeight="1" x14ac:dyDescent="0.25">
      <c r="A63" s="146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47"/>
      <c r="Q63" s="135"/>
      <c r="R63" s="122"/>
      <c r="S63" s="122"/>
      <c r="T63" s="122"/>
      <c r="U63" s="122"/>
      <c r="V63" s="122"/>
      <c r="W63" s="122"/>
      <c r="X63" s="147"/>
      <c r="Y63" s="147" t="s">
        <v>39</v>
      </c>
      <c r="Z63" s="120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</row>
    <row r="64" spans="1:256" s="151" customFormat="1" ht="15.6" customHeight="1" x14ac:dyDescent="0.25">
      <c r="A64" s="5" t="s">
        <v>89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148"/>
      <c r="R64" s="149"/>
      <c r="S64" s="149"/>
      <c r="T64" s="149"/>
      <c r="U64" s="149"/>
      <c r="V64" s="149"/>
      <c r="W64" s="149"/>
      <c r="X64" s="149"/>
      <c r="Y64" s="149"/>
      <c r="Z64" s="150"/>
      <c r="AC64" s="152"/>
      <c r="AD64" s="152"/>
      <c r="AE64" s="152"/>
      <c r="AF64" s="152"/>
      <c r="AG64" s="152"/>
      <c r="AH64" s="152"/>
      <c r="AI64" s="152"/>
      <c r="AJ64" s="152"/>
      <c r="AK64" s="152"/>
      <c r="AL64" s="152"/>
      <c r="AM64" s="152"/>
      <c r="AN64" s="152"/>
      <c r="AO64" s="152"/>
      <c r="AP64" s="152"/>
      <c r="AQ64" s="152"/>
      <c r="AR64" s="152"/>
      <c r="AS64" s="152"/>
      <c r="AT64" s="152"/>
    </row>
    <row r="65" spans="1:46" s="121" customFormat="1" ht="6.75" customHeight="1" x14ac:dyDescent="0.25">
      <c r="A65" s="13"/>
      <c r="B65" s="122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35"/>
      <c r="R65" s="122"/>
      <c r="S65" s="122"/>
      <c r="T65" s="122"/>
      <c r="U65" s="122"/>
      <c r="V65" s="122"/>
      <c r="W65" s="122"/>
      <c r="X65" s="122"/>
      <c r="Y65" s="122"/>
      <c r="Z65" s="120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</row>
    <row r="66" spans="1:46" s="121" customFormat="1" ht="23.25" customHeight="1" x14ac:dyDescent="0.25">
      <c r="A66" s="36"/>
      <c r="B66" s="122"/>
      <c r="C66" s="319" t="s">
        <v>41</v>
      </c>
      <c r="D66" s="319"/>
      <c r="E66" s="319"/>
      <c r="F66" s="319"/>
      <c r="G66" s="319"/>
      <c r="H66" s="319"/>
      <c r="I66" s="319"/>
      <c r="J66" s="319"/>
      <c r="K66" s="319"/>
      <c r="L66" s="319"/>
      <c r="M66" s="14"/>
      <c r="N66" s="14"/>
      <c r="O66" s="14"/>
      <c r="P66" s="14"/>
      <c r="Q66" s="135"/>
      <c r="R66" s="122"/>
      <c r="S66" s="122"/>
      <c r="T66" s="122"/>
      <c r="U66" s="122"/>
      <c r="V66" s="122"/>
      <c r="W66" s="122"/>
      <c r="X66" s="122"/>
      <c r="Y66" s="122"/>
      <c r="Z66" s="120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</row>
    <row r="67" spans="1:46" ht="18" customHeight="1" thickBot="1" x14ac:dyDescent="0.3">
      <c r="A67" s="36"/>
      <c r="B67" s="37"/>
      <c r="C67" s="312" t="s">
        <v>42</v>
      </c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8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</row>
    <row r="68" spans="1:46" ht="18" customHeight="1" x14ac:dyDescent="0.25">
      <c r="A68" s="41"/>
      <c r="B68" s="40"/>
      <c r="C68" s="402" t="str">
        <f t="shared" ref="C68:O68" si="15">IF(ISBLANK(C24),"",C24)</f>
        <v/>
      </c>
      <c r="D68" s="403"/>
      <c r="E68" s="404"/>
      <c r="F68" s="153" t="str">
        <f t="shared" si="15"/>
        <v>f</v>
      </c>
      <c r="G68" s="109" t="str">
        <f t="shared" si="15"/>
        <v>d/2</v>
      </c>
      <c r="H68" s="109" t="str">
        <f t="shared" si="15"/>
        <v>d</v>
      </c>
      <c r="I68" s="109" t="str">
        <f t="shared" si="15"/>
        <v>D/1.4</v>
      </c>
      <c r="J68" s="154" t="str">
        <f t="shared" si="15"/>
        <v>D</v>
      </c>
      <c r="K68" s="109" t="str">
        <f t="shared" si="15"/>
        <v>1.4D</v>
      </c>
      <c r="L68" s="109" t="str">
        <f t="shared" si="15"/>
        <v>2D</v>
      </c>
      <c r="M68" s="109" t="str">
        <f>IF(ISBLANK(M24),"",M24)</f>
        <v/>
      </c>
      <c r="N68" s="109" t="str">
        <f>IF(ISBLANK(N24),"",N24)</f>
        <v/>
      </c>
      <c r="O68" s="111" t="str">
        <f t="shared" si="15"/>
        <v/>
      </c>
      <c r="P68" s="318" t="s">
        <v>53</v>
      </c>
      <c r="Q68" s="370"/>
      <c r="R68" s="384" t="s">
        <v>3</v>
      </c>
      <c r="S68" s="370"/>
      <c r="T68" s="384" t="s">
        <v>54</v>
      </c>
      <c r="U68" s="370"/>
      <c r="V68" s="384" t="s">
        <v>55</v>
      </c>
      <c r="W68" s="318"/>
      <c r="X68" s="384" t="s">
        <v>56</v>
      </c>
      <c r="Y68" s="370"/>
      <c r="Z68" s="38"/>
      <c r="AC68" s="39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37"/>
      <c r="AO68" s="37"/>
      <c r="AP68" s="37"/>
      <c r="AQ68" s="37"/>
      <c r="AR68" s="37"/>
      <c r="AS68" s="14"/>
      <c r="AT68" s="14"/>
    </row>
    <row r="69" spans="1:46" ht="18" customHeight="1" thickBot="1" x14ac:dyDescent="0.3">
      <c r="A69" s="155"/>
      <c r="B69" s="49"/>
      <c r="C69" s="395" t="str">
        <f t="shared" ref="C69:O69" si="16">IF(ISBLANK(C25),"",C25)</f>
        <v>Tamis</v>
      </c>
      <c r="D69" s="396"/>
      <c r="E69" s="397"/>
      <c r="F69" s="156">
        <f t="shared" si="16"/>
        <v>6.3E-2</v>
      </c>
      <c r="G69" s="157">
        <f t="shared" si="16"/>
        <v>3.15</v>
      </c>
      <c r="H69" s="157">
        <f t="shared" si="16"/>
        <v>6.3</v>
      </c>
      <c r="I69" s="157">
        <f t="shared" si="16"/>
        <v>7.1</v>
      </c>
      <c r="J69" s="157">
        <f t="shared" si="16"/>
        <v>10</v>
      </c>
      <c r="K69" s="157">
        <f t="shared" si="16"/>
        <v>14</v>
      </c>
      <c r="L69" s="158">
        <f t="shared" si="16"/>
        <v>20</v>
      </c>
      <c r="M69" s="159" t="str">
        <f>IF(ISBLANK(M25),"",M25)</f>
        <v/>
      </c>
      <c r="N69" s="159" t="str">
        <f>IF(ISBLANK(N25),"",N25)</f>
        <v/>
      </c>
      <c r="O69" s="116" t="str">
        <f t="shared" si="16"/>
        <v/>
      </c>
      <c r="P69" s="312"/>
      <c r="Q69" s="400"/>
      <c r="R69" s="401"/>
      <c r="S69" s="400"/>
      <c r="T69" s="401"/>
      <c r="U69" s="400"/>
      <c r="V69" s="401"/>
      <c r="W69" s="312"/>
      <c r="X69" s="401"/>
      <c r="Y69" s="400"/>
      <c r="Z69" s="38"/>
      <c r="AC69" s="43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37"/>
      <c r="AO69" s="37"/>
      <c r="AP69" s="37"/>
      <c r="AQ69" s="37"/>
      <c r="AR69" s="37"/>
      <c r="AS69" s="14"/>
      <c r="AT69" s="14"/>
    </row>
    <row r="70" spans="1:46" ht="18" customHeight="1" thickBot="1" x14ac:dyDescent="0.3">
      <c r="A70" s="71"/>
      <c r="B70" s="40"/>
      <c r="C70" s="294" t="str">
        <f>IF(ISBLANK(C33),"",C33)</f>
        <v>U</v>
      </c>
      <c r="D70" s="295"/>
      <c r="E70" s="320"/>
      <c r="F70" s="72">
        <f t="shared" ref="F70:O70" si="17">IF(ISBLANK(F33),"",F33)</f>
        <v>2</v>
      </c>
      <c r="G70" s="73">
        <f t="shared" si="17"/>
        <v>6</v>
      </c>
      <c r="H70" s="73">
        <f t="shared" si="17"/>
        <v>6</v>
      </c>
      <c r="I70" s="73">
        <f t="shared" si="17"/>
        <v>2</v>
      </c>
      <c r="J70" s="73">
        <f t="shared" si="17"/>
        <v>2</v>
      </c>
      <c r="K70" s="73">
        <f t="shared" si="17"/>
        <v>2</v>
      </c>
      <c r="L70" s="74">
        <f t="shared" si="17"/>
        <v>2</v>
      </c>
      <c r="M70" s="73" t="str">
        <f t="shared" si="17"/>
        <v/>
      </c>
      <c r="N70" s="73" t="str">
        <f t="shared" si="17"/>
        <v/>
      </c>
      <c r="O70" s="160" t="str">
        <f t="shared" si="17"/>
        <v/>
      </c>
      <c r="P70" s="398"/>
      <c r="Q70" s="399"/>
      <c r="R70" s="399"/>
      <c r="S70" s="399"/>
      <c r="T70" s="399"/>
      <c r="U70" s="399"/>
      <c r="V70" s="399"/>
      <c r="W70" s="399"/>
      <c r="X70" s="399"/>
      <c r="Y70" s="416"/>
      <c r="Z70" s="38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14"/>
      <c r="AT70" s="14"/>
    </row>
    <row r="71" spans="1:46" ht="18" customHeight="1" x14ac:dyDescent="0.25">
      <c r="A71" s="78"/>
      <c r="B71" s="65"/>
      <c r="C71" s="296" t="str">
        <f>IF(ISBLANK(C34),"",C34)</f>
        <v>Xf + U</v>
      </c>
      <c r="D71" s="297"/>
      <c r="E71" s="298"/>
      <c r="F71" s="118">
        <f t="shared" ref="F71:O71" si="18">IF(ISBLANK(F34),"",F34)</f>
        <v>2.36</v>
      </c>
      <c r="G71" s="83">
        <f t="shared" si="18"/>
        <v>6.8</v>
      </c>
      <c r="H71" s="83">
        <f t="shared" si="18"/>
        <v>15.1</v>
      </c>
      <c r="I71" s="81">
        <f t="shared" si="18"/>
        <v>26.1</v>
      </c>
      <c r="J71" s="81">
        <f t="shared" si="18"/>
        <v>90.9</v>
      </c>
      <c r="K71" s="83">
        <f t="shared" si="18"/>
        <v>100</v>
      </c>
      <c r="L71" s="161">
        <f t="shared" si="18"/>
        <v>100</v>
      </c>
      <c r="M71" s="84" t="str">
        <f t="shared" si="18"/>
        <v/>
      </c>
      <c r="N71" s="85" t="str">
        <f t="shared" si="18"/>
        <v/>
      </c>
      <c r="O71" s="48" t="str">
        <f t="shared" si="18"/>
        <v/>
      </c>
      <c r="P71" s="417"/>
      <c r="Q71" s="418"/>
      <c r="R71" s="418"/>
      <c r="S71" s="418"/>
      <c r="T71" s="418"/>
      <c r="U71" s="418"/>
      <c r="V71" s="431"/>
      <c r="W71" s="432"/>
      <c r="X71" s="418"/>
      <c r="Y71" s="433"/>
      <c r="Z71" s="38"/>
      <c r="AC71" s="42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42"/>
      <c r="AO71" s="42"/>
      <c r="AP71" s="14"/>
      <c r="AQ71" s="42"/>
      <c r="AR71" s="42"/>
      <c r="AS71" s="14"/>
      <c r="AT71" s="14"/>
    </row>
    <row r="72" spans="1:46" ht="18" customHeight="1" x14ac:dyDescent="0.25">
      <c r="A72" s="71"/>
      <c r="B72" s="77"/>
      <c r="C72" s="386" t="str">
        <f>IF(ISBLANK(C35),"",C35)</f>
        <v>Moyenne Xf</v>
      </c>
      <c r="D72" s="387"/>
      <c r="E72" s="388"/>
      <c r="F72" s="162">
        <f t="shared" ref="F72:O72" si="19">IF(ISBLANK(F35),"",F35)</f>
        <v>0.36</v>
      </c>
      <c r="G72" s="91">
        <f t="shared" si="19"/>
        <v>0.8</v>
      </c>
      <c r="H72" s="91">
        <f t="shared" si="19"/>
        <v>9.1</v>
      </c>
      <c r="I72" s="89">
        <f t="shared" si="19"/>
        <v>24.1</v>
      </c>
      <c r="J72" s="89">
        <f t="shared" si="19"/>
        <v>88.9</v>
      </c>
      <c r="K72" s="91">
        <f t="shared" si="19"/>
        <v>100</v>
      </c>
      <c r="L72" s="163">
        <f t="shared" si="19"/>
        <v>100</v>
      </c>
      <c r="M72" s="92" t="str">
        <f t="shared" si="19"/>
        <v/>
      </c>
      <c r="N72" s="61" t="str">
        <f t="shared" si="19"/>
        <v/>
      </c>
      <c r="O72" s="127" t="str">
        <f t="shared" si="19"/>
        <v/>
      </c>
      <c r="P72" s="310"/>
      <c r="Q72" s="311"/>
      <c r="R72" s="311"/>
      <c r="S72" s="311"/>
      <c r="T72" s="311"/>
      <c r="U72" s="311"/>
      <c r="V72" s="311"/>
      <c r="W72" s="435"/>
      <c r="X72" s="311"/>
      <c r="Y72" s="441"/>
      <c r="Z72" s="38"/>
      <c r="AC72" s="40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40"/>
      <c r="AO72" s="40"/>
      <c r="AP72" s="42"/>
      <c r="AQ72" s="42"/>
      <c r="AR72" s="42"/>
      <c r="AS72" s="14"/>
      <c r="AT72" s="14"/>
    </row>
    <row r="73" spans="1:46" ht="18" customHeight="1" thickBot="1" x14ac:dyDescent="0.3">
      <c r="A73" s="78"/>
      <c r="B73" s="65"/>
      <c r="C73" s="389" t="str">
        <f>IF(ISBLANK(C36),"",C36)</f>
        <v>Xf - U</v>
      </c>
      <c r="D73" s="390"/>
      <c r="E73" s="391"/>
      <c r="F73" s="66">
        <f t="shared" ref="F73:O73" si="20">IF(ISBLANK(F36),"",F36)</f>
        <v>0</v>
      </c>
      <c r="G73" s="67">
        <f t="shared" si="20"/>
        <v>0</v>
      </c>
      <c r="H73" s="67">
        <f t="shared" si="20"/>
        <v>3.0999999999999996</v>
      </c>
      <c r="I73" s="67">
        <f t="shared" si="20"/>
        <v>22.1</v>
      </c>
      <c r="J73" s="67">
        <f t="shared" si="20"/>
        <v>86.9</v>
      </c>
      <c r="K73" s="67">
        <f t="shared" si="20"/>
        <v>98</v>
      </c>
      <c r="L73" s="164">
        <f t="shared" si="20"/>
        <v>98</v>
      </c>
      <c r="M73" s="53" t="str">
        <f t="shared" si="20"/>
        <v/>
      </c>
      <c r="N73" s="53" t="str">
        <f t="shared" si="20"/>
        <v/>
      </c>
      <c r="O73" s="54" t="str">
        <f t="shared" si="20"/>
        <v/>
      </c>
      <c r="P73" s="442"/>
      <c r="Q73" s="443"/>
      <c r="R73" s="443"/>
      <c r="S73" s="443"/>
      <c r="T73" s="443"/>
      <c r="U73" s="443"/>
      <c r="V73" s="443"/>
      <c r="W73" s="444"/>
      <c r="X73" s="443"/>
      <c r="Y73" s="445"/>
      <c r="Z73" s="38"/>
      <c r="AC73" s="42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42"/>
      <c r="AO73" s="42"/>
      <c r="AP73" s="42"/>
      <c r="AQ73" s="42"/>
      <c r="AR73" s="42"/>
      <c r="AS73" s="14"/>
      <c r="AT73" s="14"/>
    </row>
    <row r="74" spans="1:46" s="121" customFormat="1" ht="18.75" customHeight="1" thickBot="1" x14ac:dyDescent="0.3">
      <c r="A74" s="36"/>
      <c r="B74" s="37"/>
      <c r="C74" s="318" t="s">
        <v>43</v>
      </c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120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122"/>
      <c r="AT74" s="122"/>
    </row>
    <row r="75" spans="1:46" s="121" customFormat="1" ht="21" customHeight="1" x14ac:dyDescent="0.25">
      <c r="A75" s="78"/>
      <c r="B75" s="165"/>
      <c r="C75" s="296" t="str">
        <f t="shared" ref="C75:R76" si="21">IF(ISBLANK(C59),"",C59)</f>
        <v>Sup à Vss + U</v>
      </c>
      <c r="D75" s="297"/>
      <c r="E75" s="298"/>
      <c r="F75" s="166">
        <f t="shared" si="21"/>
        <v>7</v>
      </c>
      <c r="G75" s="167" t="str">
        <f t="shared" si="21"/>
        <v/>
      </c>
      <c r="H75" s="167" t="str">
        <f t="shared" si="21"/>
        <v/>
      </c>
      <c r="I75" s="168" t="str">
        <f t="shared" si="21"/>
        <v/>
      </c>
      <c r="J75" s="168" t="str">
        <f t="shared" si="21"/>
        <v/>
      </c>
      <c r="K75" s="168" t="str">
        <f t="shared" si="21"/>
        <v/>
      </c>
      <c r="L75" s="168" t="str">
        <f t="shared" si="21"/>
        <v/>
      </c>
      <c r="M75" s="168" t="str">
        <f t="shared" si="21"/>
        <v/>
      </c>
      <c r="N75" s="169" t="str">
        <f t="shared" si="21"/>
        <v/>
      </c>
      <c r="O75" s="170" t="str">
        <f t="shared" si="21"/>
        <v/>
      </c>
      <c r="P75" s="437">
        <f t="shared" si="21"/>
        <v>31</v>
      </c>
      <c r="Q75" s="438"/>
      <c r="R75" s="439" t="str">
        <f t="shared" si="21"/>
        <v/>
      </c>
      <c r="S75" s="440"/>
      <c r="T75" s="393" t="str">
        <f t="shared" ref="T75:X76" si="22">IF(ISBLANK(T59),"",T59)</f>
        <v/>
      </c>
      <c r="U75" s="394"/>
      <c r="V75" s="439" t="str">
        <f t="shared" si="22"/>
        <v/>
      </c>
      <c r="W75" s="440"/>
      <c r="X75" s="393" t="str">
        <f t="shared" si="22"/>
        <v/>
      </c>
      <c r="Y75" s="440"/>
      <c r="Z75" s="120"/>
      <c r="AC75" s="42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71"/>
      <c r="AQ75" s="172"/>
      <c r="AR75" s="172"/>
      <c r="AS75" s="122"/>
      <c r="AT75" s="122"/>
    </row>
    <row r="76" spans="1:46" s="121" customFormat="1" ht="21" customHeight="1" x14ac:dyDescent="0.25">
      <c r="A76" s="78"/>
      <c r="B76" s="77"/>
      <c r="C76" s="313" t="str">
        <f t="shared" si="21"/>
        <v>MOYENNE</v>
      </c>
      <c r="D76" s="314"/>
      <c r="E76" s="315"/>
      <c r="F76" s="162">
        <f t="shared" si="21"/>
        <v>2.2549999999999999</v>
      </c>
      <c r="G76" s="89">
        <f t="shared" si="21"/>
        <v>0.96666666666666667</v>
      </c>
      <c r="H76" s="89">
        <f t="shared" si="21"/>
        <v>9.2666666666666657</v>
      </c>
      <c r="I76" s="89">
        <f t="shared" si="21"/>
        <v>24.266666666666669</v>
      </c>
      <c r="J76" s="89">
        <f t="shared" si="21"/>
        <v>77.766666666666666</v>
      </c>
      <c r="K76" s="89">
        <f t="shared" si="21"/>
        <v>99.833333333333329</v>
      </c>
      <c r="L76" s="89">
        <f t="shared" si="21"/>
        <v>99.833333333333329</v>
      </c>
      <c r="M76" s="89" t="str">
        <f t="shared" si="21"/>
        <v/>
      </c>
      <c r="N76" s="61" t="str">
        <f t="shared" si="21"/>
        <v/>
      </c>
      <c r="O76" s="173" t="str">
        <f t="shared" si="21"/>
        <v/>
      </c>
      <c r="P76" s="434">
        <f t="shared" si="21"/>
        <v>21</v>
      </c>
      <c r="Q76" s="435"/>
      <c r="R76" s="304" t="str">
        <f t="shared" si="21"/>
        <v/>
      </c>
      <c r="S76" s="305"/>
      <c r="T76" s="383" t="str">
        <f t="shared" si="22"/>
        <v/>
      </c>
      <c r="U76" s="436"/>
      <c r="V76" s="304" t="str">
        <f t="shared" si="22"/>
        <v/>
      </c>
      <c r="W76" s="305"/>
      <c r="X76" s="383" t="str">
        <f t="shared" si="22"/>
        <v/>
      </c>
      <c r="Y76" s="305"/>
      <c r="Z76" s="120"/>
      <c r="AC76" s="42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42"/>
      <c r="AQ76" s="42"/>
      <c r="AR76" s="42"/>
      <c r="AS76" s="122"/>
      <c r="AT76" s="122"/>
    </row>
    <row r="77" spans="1:46" s="121" customFormat="1" ht="21" customHeight="1" thickBot="1" x14ac:dyDescent="0.3">
      <c r="A77" s="78"/>
      <c r="B77" s="165"/>
      <c r="C77" s="316" t="str">
        <f t="shared" ref="C77:X77" si="23">IF(ISBLANK(C61),"",C61)</f>
        <v>Inf à Vsi - U</v>
      </c>
      <c r="D77" s="317"/>
      <c r="E77" s="317"/>
      <c r="F77" s="174" t="str">
        <f t="shared" si="23"/>
        <v/>
      </c>
      <c r="G77" s="175" t="str">
        <f t="shared" si="23"/>
        <v/>
      </c>
      <c r="H77" s="175" t="str">
        <f t="shared" si="23"/>
        <v/>
      </c>
      <c r="I77" s="175" t="str">
        <f t="shared" si="23"/>
        <v/>
      </c>
      <c r="J77" s="176">
        <f t="shared" si="23"/>
        <v>55</v>
      </c>
      <c r="K77" s="175" t="str">
        <f t="shared" si="23"/>
        <v/>
      </c>
      <c r="L77" s="175" t="str">
        <f t="shared" si="23"/>
        <v/>
      </c>
      <c r="M77" s="175" t="str">
        <f t="shared" si="23"/>
        <v/>
      </c>
      <c r="N77" s="177" t="str">
        <f t="shared" si="23"/>
        <v/>
      </c>
      <c r="O77" s="178" t="str">
        <f t="shared" si="23"/>
        <v/>
      </c>
      <c r="P77" s="446" t="str">
        <f t="shared" si="23"/>
        <v/>
      </c>
      <c r="Q77" s="447"/>
      <c r="R77" s="446" t="str">
        <f t="shared" si="23"/>
        <v/>
      </c>
      <c r="S77" s="448"/>
      <c r="T77" s="449" t="str">
        <f t="shared" si="23"/>
        <v/>
      </c>
      <c r="U77" s="447"/>
      <c r="V77" s="446" t="str">
        <f t="shared" si="23"/>
        <v/>
      </c>
      <c r="W77" s="448"/>
      <c r="X77" s="449" t="str">
        <f t="shared" si="23"/>
        <v/>
      </c>
      <c r="Y77" s="448"/>
      <c r="Z77" s="120"/>
      <c r="AC77" s="42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72"/>
      <c r="AQ77" s="172"/>
      <c r="AR77" s="172"/>
      <c r="AS77" s="122"/>
      <c r="AT77" s="122"/>
    </row>
    <row r="78" spans="1:46" s="121" customFormat="1" ht="15.75" customHeight="1" x14ac:dyDescent="0.25">
      <c r="A78" s="146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0"/>
      <c r="Q78" s="135"/>
      <c r="R78" s="122"/>
      <c r="S78" s="122"/>
      <c r="T78" s="122"/>
      <c r="U78" s="122"/>
      <c r="V78" s="122"/>
      <c r="W78" s="122"/>
      <c r="X78" s="122"/>
      <c r="Y78" s="122"/>
      <c r="Z78" s="120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</row>
    <row r="79" spans="1:46" s="121" customFormat="1" ht="19.5" customHeight="1" x14ac:dyDescent="0.25">
      <c r="A79" s="146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0"/>
      <c r="Q79" s="135"/>
      <c r="R79" s="122"/>
      <c r="S79" s="122"/>
      <c r="T79" s="122"/>
      <c r="U79" s="122"/>
      <c r="V79" s="122"/>
      <c r="W79" s="122"/>
      <c r="X79" s="122"/>
      <c r="Y79" s="122"/>
      <c r="Z79" s="120"/>
      <c r="AC79" s="122"/>
      <c r="AD79" s="122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</row>
    <row r="80" spans="1:46" s="121" customFormat="1" ht="23.25" customHeight="1" x14ac:dyDescent="0.25">
      <c r="A80" s="146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0"/>
      <c r="Q80" s="135"/>
      <c r="R80" s="122"/>
      <c r="S80" s="122"/>
      <c r="T80" s="122"/>
      <c r="U80" s="122"/>
      <c r="V80" s="122"/>
      <c r="W80" s="122"/>
      <c r="X80" s="122"/>
      <c r="Y80" s="122"/>
      <c r="Z80" s="120"/>
    </row>
    <row r="81" spans="1:26" s="121" customFormat="1" ht="23.25" customHeight="1" x14ac:dyDescent="0.25">
      <c r="A81" s="146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0"/>
      <c r="Q81" s="135"/>
      <c r="R81" s="122"/>
      <c r="S81" s="122"/>
      <c r="T81" s="122"/>
      <c r="U81" s="122"/>
      <c r="V81" s="122"/>
      <c r="W81" s="122"/>
      <c r="X81" s="122"/>
      <c r="Y81" s="122"/>
      <c r="Z81" s="120"/>
    </row>
    <row r="82" spans="1:26" s="121" customFormat="1" ht="23.25" customHeight="1" x14ac:dyDescent="0.25">
      <c r="A82" s="146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0"/>
      <c r="Q82" s="135"/>
      <c r="R82" s="122"/>
      <c r="S82" s="122"/>
      <c r="T82" s="122"/>
      <c r="U82" s="122"/>
      <c r="V82" s="122"/>
      <c r="W82" s="122"/>
      <c r="X82" s="122"/>
      <c r="Y82" s="122"/>
      <c r="Z82" s="120"/>
    </row>
    <row r="83" spans="1:26" s="121" customFormat="1" ht="23.25" customHeight="1" x14ac:dyDescent="0.25">
      <c r="A83" s="146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0"/>
      <c r="Q83" s="135"/>
      <c r="R83" s="122"/>
      <c r="S83" s="122"/>
      <c r="T83" s="122"/>
      <c r="U83" s="122"/>
      <c r="V83" s="122"/>
      <c r="W83" s="122"/>
      <c r="X83" s="122"/>
      <c r="Y83" s="122"/>
      <c r="Z83" s="120"/>
    </row>
    <row r="84" spans="1:26" s="121" customFormat="1" ht="23.25" customHeight="1" x14ac:dyDescent="0.25">
      <c r="A84" s="146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0"/>
      <c r="Q84" s="135"/>
      <c r="R84" s="122"/>
      <c r="S84" s="122"/>
      <c r="T84" s="122"/>
      <c r="U84" s="122"/>
      <c r="V84" s="122"/>
      <c r="W84" s="122"/>
      <c r="X84" s="122"/>
      <c r="Y84" s="122"/>
      <c r="Z84" s="120"/>
    </row>
    <row r="85" spans="1:26" s="121" customFormat="1" ht="23.25" customHeight="1" x14ac:dyDescent="0.25">
      <c r="A85" s="146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0"/>
      <c r="Q85" s="135"/>
      <c r="R85" s="122"/>
      <c r="S85" s="122"/>
      <c r="T85" s="122"/>
      <c r="U85" s="122"/>
      <c r="V85" s="122"/>
      <c r="W85" s="122"/>
      <c r="X85" s="122"/>
      <c r="Y85" s="122"/>
      <c r="Z85" s="120"/>
    </row>
    <row r="86" spans="1:26" s="121" customFormat="1" ht="23.25" customHeight="1" x14ac:dyDescent="0.25">
      <c r="A86" s="146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0"/>
      <c r="Q86" s="135"/>
      <c r="R86" s="122"/>
      <c r="S86" s="122"/>
      <c r="T86" s="122"/>
      <c r="U86" s="122"/>
      <c r="V86" s="122"/>
      <c r="W86" s="122"/>
      <c r="X86" s="122"/>
      <c r="Y86" s="122"/>
      <c r="Z86" s="120"/>
    </row>
    <row r="87" spans="1:26" s="121" customFormat="1" ht="23.25" customHeight="1" x14ac:dyDescent="0.25">
      <c r="A87" s="146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0"/>
      <c r="Q87" s="135"/>
      <c r="R87" s="122"/>
      <c r="S87" s="122"/>
      <c r="T87" s="122"/>
      <c r="U87" s="122"/>
      <c r="V87" s="122"/>
      <c r="W87" s="122"/>
      <c r="X87" s="122"/>
      <c r="Y87" s="122"/>
      <c r="Z87" s="120"/>
    </row>
    <row r="88" spans="1:26" s="121" customFormat="1" ht="23.25" customHeight="1" x14ac:dyDescent="0.25">
      <c r="A88" s="146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0"/>
      <c r="Q88" s="135"/>
      <c r="R88" s="122"/>
      <c r="S88" s="122"/>
      <c r="T88" s="122"/>
      <c r="U88" s="122"/>
      <c r="V88" s="122"/>
      <c r="W88" s="122"/>
      <c r="X88" s="122"/>
      <c r="Y88" s="122"/>
      <c r="Z88" s="120"/>
    </row>
    <row r="89" spans="1:26" s="121" customFormat="1" ht="23.25" customHeight="1" x14ac:dyDescent="0.25">
      <c r="A89" s="146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0"/>
      <c r="Q89" s="135"/>
      <c r="R89" s="122"/>
      <c r="S89" s="122"/>
      <c r="T89" s="122"/>
      <c r="U89" s="122"/>
      <c r="V89" s="122"/>
      <c r="W89" s="122"/>
      <c r="X89" s="122"/>
      <c r="Y89" s="122"/>
      <c r="Z89" s="120"/>
    </row>
    <row r="90" spans="1:26" s="121" customFormat="1" ht="23.25" customHeight="1" x14ac:dyDescent="0.25">
      <c r="A90" s="146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0"/>
      <c r="Q90" s="135"/>
      <c r="R90" s="122"/>
      <c r="S90" s="122"/>
      <c r="T90" s="122"/>
      <c r="U90" s="122"/>
      <c r="V90" s="122"/>
      <c r="W90" s="122"/>
      <c r="X90" s="122"/>
      <c r="Y90" s="122"/>
      <c r="Z90" s="120"/>
    </row>
    <row r="91" spans="1:26" s="121" customFormat="1" ht="23.25" customHeight="1" x14ac:dyDescent="0.25">
      <c r="A91" s="146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0"/>
      <c r="Q91" s="135"/>
      <c r="R91" s="122"/>
      <c r="S91" s="122"/>
      <c r="T91" s="122"/>
      <c r="U91" s="122"/>
      <c r="V91" s="122"/>
      <c r="W91" s="122"/>
      <c r="X91" s="122"/>
      <c r="Y91" s="122"/>
      <c r="Z91" s="120"/>
    </row>
    <row r="92" spans="1:26" s="121" customFormat="1" ht="23.25" customHeight="1" x14ac:dyDescent="0.25">
      <c r="A92" s="146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0"/>
      <c r="Q92" s="135"/>
      <c r="R92" s="122"/>
      <c r="S92" s="122"/>
      <c r="T92" s="122"/>
      <c r="U92" s="122"/>
      <c r="V92" s="122"/>
      <c r="W92" s="122"/>
      <c r="X92" s="122"/>
      <c r="Y92" s="122"/>
      <c r="Z92" s="120"/>
    </row>
    <row r="93" spans="1:26" s="121" customFormat="1" ht="23.25" customHeight="1" x14ac:dyDescent="0.25">
      <c r="A93" s="146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0"/>
      <c r="Q93" s="135"/>
      <c r="R93" s="122"/>
      <c r="S93" s="122"/>
      <c r="T93" s="122"/>
      <c r="U93" s="122"/>
      <c r="V93" s="122"/>
      <c r="W93" s="122"/>
      <c r="X93" s="122"/>
      <c r="Y93" s="122"/>
      <c r="Z93" s="120"/>
    </row>
    <row r="94" spans="1:26" s="121" customFormat="1" ht="23.25" customHeight="1" x14ac:dyDescent="0.25">
      <c r="A94" s="146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0"/>
      <c r="Q94" s="135"/>
      <c r="R94" s="122"/>
      <c r="S94" s="122"/>
      <c r="T94" s="122"/>
      <c r="U94" s="122"/>
      <c r="V94" s="122"/>
      <c r="W94" s="122"/>
      <c r="X94" s="122"/>
      <c r="Y94" s="122"/>
      <c r="Z94" s="120"/>
    </row>
    <row r="95" spans="1:26" s="121" customFormat="1" ht="23.25" customHeight="1" x14ac:dyDescent="0.25">
      <c r="A95" s="179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1"/>
      <c r="Q95" s="182"/>
      <c r="R95" s="180"/>
      <c r="S95" s="180"/>
      <c r="T95" s="180"/>
      <c r="U95" s="180"/>
      <c r="V95" s="180"/>
      <c r="W95" s="180"/>
      <c r="X95" s="180"/>
      <c r="Y95" s="180"/>
      <c r="Z95" s="181"/>
    </row>
    <row r="96" spans="1:26" s="121" customFormat="1" x14ac:dyDescent="0.25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Q96" s="183"/>
    </row>
    <row r="97" spans="1:27" s="121" customFormat="1" ht="15.6" customHeight="1" x14ac:dyDescent="0.25">
      <c r="A97" s="184" t="s">
        <v>85</v>
      </c>
      <c r="B97" s="185" t="s">
        <v>83</v>
      </c>
      <c r="C97" s="186"/>
      <c r="D97" s="186"/>
      <c r="E97" s="186"/>
      <c r="F97" s="187"/>
      <c r="G97" s="187"/>
      <c r="H97" s="187"/>
      <c r="I97" s="188"/>
      <c r="J97" s="188"/>
      <c r="K97" s="188"/>
      <c r="L97" s="188"/>
      <c r="M97" s="188"/>
      <c r="N97" s="188"/>
      <c r="O97" s="188"/>
      <c r="P97" s="188"/>
      <c r="Q97" s="187"/>
      <c r="R97" s="188"/>
      <c r="S97" s="188"/>
      <c r="T97" s="188"/>
      <c r="U97" s="458"/>
      <c r="V97" s="458"/>
      <c r="W97" s="458"/>
      <c r="X97" s="459"/>
      <c r="Y97" s="459"/>
      <c r="Z97" s="460"/>
    </row>
    <row r="98" spans="1:27" ht="23.25" customHeight="1" x14ac:dyDescent="0.25">
      <c r="A98" s="477" t="s">
        <v>91</v>
      </c>
      <c r="B98" s="478"/>
      <c r="C98" s="478"/>
      <c r="D98" s="478"/>
      <c r="E98" s="478"/>
      <c r="F98" s="478"/>
      <c r="G98" s="478"/>
      <c r="H98" s="478"/>
      <c r="I98" s="478"/>
      <c r="J98" s="478"/>
      <c r="K98" s="478"/>
      <c r="L98" s="478"/>
      <c r="M98" s="478"/>
      <c r="N98" s="478"/>
      <c r="O98" s="478"/>
      <c r="P98" s="478"/>
      <c r="Q98" s="479"/>
      <c r="R98" s="467" t="s">
        <v>8</v>
      </c>
      <c r="S98" s="468"/>
      <c r="T98" s="469"/>
      <c r="U98" s="473"/>
      <c r="V98" s="474"/>
      <c r="W98" s="474"/>
      <c r="X98" s="475"/>
      <c r="Y98" s="475"/>
      <c r="Z98" s="476"/>
    </row>
    <row r="99" spans="1:27" s="121" customFormat="1" ht="26.4" customHeight="1" x14ac:dyDescent="0.25">
      <c r="A99" s="480"/>
      <c r="B99" s="481"/>
      <c r="C99" s="481"/>
      <c r="D99" s="481"/>
      <c r="E99" s="481"/>
      <c r="F99" s="481"/>
      <c r="G99" s="481"/>
      <c r="H99" s="481"/>
      <c r="I99" s="481"/>
      <c r="J99" s="481"/>
      <c r="K99" s="481"/>
      <c r="L99" s="481"/>
      <c r="M99" s="481"/>
      <c r="N99" s="481"/>
      <c r="O99" s="481"/>
      <c r="P99" s="481"/>
      <c r="Q99" s="482"/>
      <c r="R99" s="467"/>
      <c r="S99" s="468"/>
      <c r="T99" s="469"/>
      <c r="U99" s="450"/>
      <c r="V99" s="451"/>
      <c r="W99" s="451"/>
      <c r="X99" s="452"/>
      <c r="Y99" s="452"/>
      <c r="Z99" s="453"/>
    </row>
    <row r="100" spans="1:27" ht="15.6" customHeight="1" x14ac:dyDescent="0.25">
      <c r="A100" s="190" t="s">
        <v>86</v>
      </c>
      <c r="B100" s="191" t="s">
        <v>84</v>
      </c>
      <c r="C100" s="189"/>
      <c r="D100" s="189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2"/>
      <c r="Q100" s="193"/>
      <c r="R100" s="467"/>
      <c r="S100" s="468"/>
      <c r="T100" s="469"/>
      <c r="U100" s="454"/>
      <c r="V100" s="455"/>
      <c r="W100" s="455"/>
      <c r="X100" s="456"/>
      <c r="Y100" s="456"/>
      <c r="Z100" s="457"/>
    </row>
    <row r="101" spans="1:27" ht="15.6" customHeight="1" x14ac:dyDescent="0.25">
      <c r="A101" s="461"/>
      <c r="B101" s="462"/>
      <c r="C101" s="462"/>
      <c r="D101" s="462"/>
      <c r="E101" s="462"/>
      <c r="F101" s="462"/>
      <c r="G101" s="462"/>
      <c r="H101" s="462"/>
      <c r="I101" s="462"/>
      <c r="J101" s="462"/>
      <c r="K101" s="462"/>
      <c r="L101" s="462"/>
      <c r="M101" s="462"/>
      <c r="N101" s="462"/>
      <c r="O101" s="462"/>
      <c r="P101" s="462"/>
      <c r="Q101" s="463"/>
      <c r="R101" s="467" t="s">
        <v>9</v>
      </c>
      <c r="S101" s="468"/>
      <c r="T101" s="469"/>
      <c r="U101" s="267"/>
      <c r="V101" s="268"/>
      <c r="W101" s="268"/>
      <c r="X101" s="269"/>
      <c r="Y101" s="269"/>
      <c r="Z101" s="270"/>
    </row>
    <row r="102" spans="1:27" ht="15.6" customHeight="1" x14ac:dyDescent="0.25">
      <c r="A102" s="461"/>
      <c r="B102" s="462"/>
      <c r="C102" s="462"/>
      <c r="D102" s="462"/>
      <c r="E102" s="462"/>
      <c r="F102" s="462"/>
      <c r="G102" s="462"/>
      <c r="H102" s="462"/>
      <c r="I102" s="462"/>
      <c r="J102" s="462"/>
      <c r="K102" s="462"/>
      <c r="L102" s="462"/>
      <c r="M102" s="462"/>
      <c r="N102" s="462"/>
      <c r="O102" s="462"/>
      <c r="P102" s="462"/>
      <c r="Q102" s="463"/>
      <c r="R102" s="467"/>
      <c r="S102" s="468"/>
      <c r="T102" s="469"/>
      <c r="U102" s="271"/>
      <c r="V102" s="483"/>
      <c r="W102" s="483"/>
      <c r="X102" s="483"/>
      <c r="Y102" s="483"/>
      <c r="Z102" s="272"/>
    </row>
    <row r="103" spans="1:27" ht="15.6" customHeight="1" x14ac:dyDescent="0.25">
      <c r="A103" s="461"/>
      <c r="B103" s="462"/>
      <c r="C103" s="462"/>
      <c r="D103" s="462"/>
      <c r="E103" s="462"/>
      <c r="F103" s="462"/>
      <c r="G103" s="462"/>
      <c r="H103" s="462"/>
      <c r="I103" s="462"/>
      <c r="J103" s="462"/>
      <c r="K103" s="462"/>
      <c r="L103" s="462"/>
      <c r="M103" s="462"/>
      <c r="N103" s="462"/>
      <c r="O103" s="462"/>
      <c r="P103" s="462"/>
      <c r="Q103" s="463"/>
      <c r="R103" s="467"/>
      <c r="S103" s="468"/>
      <c r="T103" s="469"/>
      <c r="U103" s="271"/>
      <c r="V103" s="483"/>
      <c r="W103" s="483"/>
      <c r="X103" s="483"/>
      <c r="Y103" s="483"/>
      <c r="Z103" s="272"/>
    </row>
    <row r="104" spans="1:27" ht="15.6" customHeight="1" x14ac:dyDescent="0.25">
      <c r="A104" s="464"/>
      <c r="B104" s="465"/>
      <c r="C104" s="465"/>
      <c r="D104" s="465"/>
      <c r="E104" s="465"/>
      <c r="F104" s="465"/>
      <c r="G104" s="465"/>
      <c r="H104" s="465"/>
      <c r="I104" s="465"/>
      <c r="J104" s="465"/>
      <c r="K104" s="465"/>
      <c r="L104" s="465"/>
      <c r="M104" s="465"/>
      <c r="N104" s="465"/>
      <c r="O104" s="465"/>
      <c r="P104" s="465"/>
      <c r="Q104" s="466"/>
      <c r="R104" s="470"/>
      <c r="S104" s="471"/>
      <c r="T104" s="472"/>
      <c r="U104" s="273"/>
      <c r="V104" s="274"/>
      <c r="W104" s="274"/>
      <c r="X104" s="275"/>
      <c r="Y104" s="275"/>
      <c r="Z104" s="276"/>
    </row>
    <row r="105" spans="1:27" ht="9.75" customHeight="1" x14ac:dyDescent="0.25">
      <c r="Q105" s="183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7" ht="15" x14ac:dyDescent="0.25">
      <c r="P106" s="147"/>
      <c r="Q106" s="183"/>
      <c r="R106" s="121"/>
      <c r="S106" s="121"/>
      <c r="T106" s="121"/>
      <c r="U106" s="121"/>
      <c r="V106" s="121"/>
      <c r="W106" s="121"/>
      <c r="X106" s="121"/>
      <c r="Y106" s="147" t="s">
        <v>44</v>
      </c>
      <c r="Z106" s="121"/>
    </row>
    <row r="107" spans="1:27" ht="17.399999999999999" thickBot="1" x14ac:dyDescent="0.3">
      <c r="A107" s="290" t="s">
        <v>20</v>
      </c>
      <c r="B107" s="290"/>
      <c r="C107" s="290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</row>
    <row r="108" spans="1:27" ht="13.8" thickTop="1" x14ac:dyDescent="0.25">
      <c r="A108" s="194"/>
      <c r="B108" s="195"/>
      <c r="C108" s="195"/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195"/>
      <c r="O108" s="195"/>
      <c r="P108" s="196"/>
    </row>
    <row r="109" spans="1:27" x14ac:dyDescent="0.25">
      <c r="A109" s="197"/>
      <c r="B109" s="198" t="s">
        <v>1</v>
      </c>
      <c r="C109" s="171"/>
      <c r="D109" s="171"/>
      <c r="E109" s="171"/>
      <c r="F109" s="198"/>
      <c r="G109" s="171"/>
      <c r="H109" s="171"/>
      <c r="I109" s="171"/>
      <c r="J109" s="171"/>
      <c r="K109" s="171"/>
      <c r="L109" s="171"/>
      <c r="M109" s="171"/>
      <c r="N109" s="171"/>
      <c r="O109" s="171"/>
      <c r="P109" s="199"/>
      <c r="R109" s="40"/>
      <c r="S109" s="40"/>
      <c r="T109" s="40"/>
      <c r="U109" s="40"/>
      <c r="V109" s="40"/>
      <c r="W109" s="40"/>
      <c r="X109" s="40"/>
      <c r="Y109" s="40"/>
      <c r="Z109" s="40"/>
      <c r="AA109" s="14"/>
    </row>
    <row r="110" spans="1:27" ht="13.8" thickBot="1" x14ac:dyDescent="0.3">
      <c r="A110" s="200"/>
      <c r="B110" s="171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99"/>
      <c r="R110" s="40"/>
      <c r="S110" s="40"/>
      <c r="T110" s="40"/>
      <c r="U110" s="40"/>
      <c r="V110" s="40"/>
      <c r="W110" s="40"/>
      <c r="X110" s="40"/>
      <c r="Y110" s="40"/>
      <c r="Z110" s="40"/>
      <c r="AA110" s="14"/>
    </row>
    <row r="111" spans="1:27" x14ac:dyDescent="0.25">
      <c r="A111" s="200"/>
      <c r="B111" s="201" t="s">
        <v>4</v>
      </c>
      <c r="C111" s="202"/>
      <c r="D111" s="202"/>
      <c r="E111" s="202"/>
      <c r="F111" s="202"/>
      <c r="G111" s="203" t="s">
        <v>14</v>
      </c>
      <c r="H111" s="203"/>
      <c r="I111" s="203" t="s">
        <v>13</v>
      </c>
      <c r="J111" s="204" t="s">
        <v>15</v>
      </c>
      <c r="K111" s="205" t="s">
        <v>12</v>
      </c>
      <c r="L111" s="277" t="s">
        <v>17</v>
      </c>
      <c r="M111" s="278"/>
      <c r="N111" s="278"/>
      <c r="O111" s="280"/>
      <c r="P111" s="282"/>
      <c r="R111" s="40"/>
      <c r="S111" s="40"/>
      <c r="T111" s="40"/>
      <c r="U111" s="40"/>
      <c r="V111" s="40"/>
      <c r="W111" s="40"/>
      <c r="X111" s="40"/>
      <c r="Y111" s="40"/>
      <c r="Z111" s="40"/>
      <c r="AA111" s="14"/>
    </row>
    <row r="112" spans="1:27" ht="13.8" thickBot="1" x14ac:dyDescent="0.3">
      <c r="A112" s="200"/>
      <c r="B112" s="206">
        <f>IF(ISNUMBER(F25),LOG(F25),MIN(C112:$K112))</f>
        <v>-1.2006594505464183</v>
      </c>
      <c r="C112" s="207">
        <f>IF(ISNUMBER(G25),LOG(G25),MIN(D112:$K112))</f>
        <v>0.49831055378960049</v>
      </c>
      <c r="D112" s="207">
        <f>IF(ISNUMBER(H25),LOG(H25),MIN(E112:$K112))</f>
        <v>0.79934054945358168</v>
      </c>
      <c r="E112" s="207">
        <f>IF(ISNUMBER(I25),LOG(I25),MIN(F112:$K112))</f>
        <v>0.85125834871907524</v>
      </c>
      <c r="F112" s="207">
        <f>IF(ISNUMBER(J25),LOG(J25),MIN(G112:$K112))</f>
        <v>1</v>
      </c>
      <c r="G112" s="207">
        <f>IF(ISNUMBER(K25),LOG(K25),MIN($B112:F112))</f>
        <v>1.146128035678238</v>
      </c>
      <c r="H112" s="207">
        <f>IF(ISNUMBER(L25),LOG(L25),MIN($B112:G112))</f>
        <v>1.3010299956639813</v>
      </c>
      <c r="I112" s="207">
        <f>IF(ISNUMBER(M25),LOG(M25),MIN($B112:H112))</f>
        <v>-1.2006594505464183</v>
      </c>
      <c r="J112" s="207">
        <f>IF(ISNUMBER(N25),LOG(N25),MIN($B112:I112))</f>
        <v>-1.2006594505464183</v>
      </c>
      <c r="K112" s="207">
        <f>IF(ISNUMBER(O25),LOG(O25),MIN($B112:J112))</f>
        <v>-1.2006594505464183</v>
      </c>
      <c r="L112" s="208" t="s">
        <v>16</v>
      </c>
      <c r="M112" s="177" t="s">
        <v>2</v>
      </c>
      <c r="N112" s="178" t="s">
        <v>3</v>
      </c>
      <c r="O112" s="281"/>
      <c r="P112" s="283"/>
      <c r="R112" s="40"/>
      <c r="S112" s="40"/>
      <c r="T112" s="40"/>
      <c r="U112" s="40"/>
      <c r="V112" s="40"/>
      <c r="W112" s="40"/>
      <c r="X112" s="40"/>
      <c r="Y112" s="40"/>
      <c r="Z112" s="40"/>
      <c r="AA112" s="14"/>
    </row>
    <row r="113" spans="1:27" x14ac:dyDescent="0.25">
      <c r="A113" s="209" t="s">
        <v>21</v>
      </c>
      <c r="B113" s="210">
        <f>IF(ISNUMBER(B42),B42,MIN(C113:$K113))</f>
        <v>6.3E-2</v>
      </c>
      <c r="C113" s="211">
        <f>IF(ISNUMBER(C42),C42,MIN(D113:$K113))</f>
        <v>6.3E-2</v>
      </c>
      <c r="D113" s="211">
        <f>IF(ISNUMBER(D42),D42,MIN(E113:$K113))</f>
        <v>6.3E-2</v>
      </c>
      <c r="E113" s="211">
        <f>IF(ISNUMBER(E42),E42,MIN(F113:$K113))</f>
        <v>6.3E-2</v>
      </c>
      <c r="F113" s="211">
        <f>IF(ISNUMBER(F42),F42,MIN(G113:$K113))</f>
        <v>6.3E-2</v>
      </c>
      <c r="G113" s="211">
        <f>IF(ISNUMBER(G42),G42,MIN($B113:F113))</f>
        <v>3.15</v>
      </c>
      <c r="H113" s="211">
        <f>IF(ISNUMBER(H42),H42,MIN($B113:G113))</f>
        <v>6.3</v>
      </c>
      <c r="I113" s="211">
        <f>IF(ISNUMBER(I42),I42,MIN($B113:H113))</f>
        <v>7.1</v>
      </c>
      <c r="J113" s="211">
        <f>IF(ISNUMBER(J42),J42,MIN($B113:I113))</f>
        <v>10</v>
      </c>
      <c r="K113" s="212">
        <f>IF(ISNUMBER(K42),K42,MIN($B113:J113))</f>
        <v>14</v>
      </c>
      <c r="L113" s="213"/>
      <c r="M113" s="211"/>
      <c r="N113" s="214"/>
      <c r="O113" s="215"/>
      <c r="P113" s="216"/>
      <c r="R113" s="40"/>
      <c r="S113" s="40"/>
      <c r="T113" s="40"/>
      <c r="U113" s="40"/>
      <c r="V113" s="40"/>
      <c r="W113" s="40"/>
      <c r="X113" s="40"/>
      <c r="Y113" s="40"/>
      <c r="Z113" s="40"/>
      <c r="AA113" s="14"/>
    </row>
    <row r="114" spans="1:27" x14ac:dyDescent="0.25">
      <c r="A114" s="209" t="s">
        <v>57</v>
      </c>
      <c r="B114" s="210">
        <f t="shared" ref="B114:K117" si="24">IF(ISNUMBER(F27),F27,NA())</f>
        <v>6</v>
      </c>
      <c r="C114" s="217">
        <f t="shared" si="24"/>
        <v>6</v>
      </c>
      <c r="D114" s="217">
        <f t="shared" si="24"/>
        <v>21</v>
      </c>
      <c r="E114" s="217">
        <f t="shared" si="24"/>
        <v>62</v>
      </c>
      <c r="F114" s="217">
        <f t="shared" si="24"/>
        <v>98</v>
      </c>
      <c r="G114" s="217" t="e">
        <f t="shared" si="24"/>
        <v>#N/A</v>
      </c>
      <c r="H114" s="217" t="e">
        <f t="shared" si="24"/>
        <v>#N/A</v>
      </c>
      <c r="I114" s="217" t="e">
        <f t="shared" si="24"/>
        <v>#N/A</v>
      </c>
      <c r="J114" s="217" t="e">
        <f t="shared" si="24"/>
        <v>#N/A</v>
      </c>
      <c r="K114" s="218" t="e">
        <f t="shared" si="24"/>
        <v>#N/A</v>
      </c>
      <c r="L114" s="210"/>
      <c r="M114" s="217"/>
      <c r="N114" s="219"/>
      <c r="O114" s="220"/>
      <c r="P114" s="221"/>
      <c r="R114" s="40"/>
      <c r="S114" s="40"/>
      <c r="T114" s="40"/>
      <c r="U114" s="40"/>
      <c r="V114" s="40"/>
      <c r="W114" s="40"/>
      <c r="X114" s="40"/>
      <c r="Y114" s="40"/>
      <c r="Z114" s="40"/>
      <c r="AA114" s="14"/>
    </row>
    <row r="115" spans="1:27" x14ac:dyDescent="0.25">
      <c r="A115" s="209" t="s">
        <v>58</v>
      </c>
      <c r="B115" s="210">
        <f t="shared" si="24"/>
        <v>5</v>
      </c>
      <c r="C115" s="217">
        <f t="shared" si="24"/>
        <v>5</v>
      </c>
      <c r="D115" s="217">
        <f t="shared" si="24"/>
        <v>16</v>
      </c>
      <c r="E115" s="217">
        <f t="shared" si="24"/>
        <v>50</v>
      </c>
      <c r="F115" s="217">
        <f t="shared" si="24"/>
        <v>93</v>
      </c>
      <c r="G115" s="217" t="e">
        <f t="shared" si="24"/>
        <v>#N/A</v>
      </c>
      <c r="H115" s="217" t="e">
        <f t="shared" si="24"/>
        <v>#N/A</v>
      </c>
      <c r="I115" s="217" t="e">
        <f t="shared" si="24"/>
        <v>#N/A</v>
      </c>
      <c r="J115" s="217" t="e">
        <f t="shared" si="24"/>
        <v>#N/A</v>
      </c>
      <c r="K115" s="218" t="e">
        <f t="shared" si="24"/>
        <v>#N/A</v>
      </c>
      <c r="L115" s="210"/>
      <c r="M115" s="217"/>
      <c r="N115" s="219"/>
      <c r="O115" s="220"/>
      <c r="P115" s="221"/>
      <c r="R115" s="40"/>
      <c r="S115" s="40"/>
      <c r="T115" s="40"/>
      <c r="U115" s="40"/>
      <c r="V115" s="40"/>
      <c r="W115" s="40"/>
      <c r="X115" s="40"/>
      <c r="Y115" s="40"/>
      <c r="Z115" s="40"/>
      <c r="AA115" s="14"/>
    </row>
    <row r="116" spans="1:27" x14ac:dyDescent="0.25">
      <c r="A116" s="209" t="s">
        <v>59</v>
      </c>
      <c r="B116" s="210" t="e">
        <f t="shared" si="24"/>
        <v>#N/A</v>
      </c>
      <c r="C116" s="217" t="e">
        <f t="shared" si="24"/>
        <v>#N/A</v>
      </c>
      <c r="D116" s="217">
        <f t="shared" si="24"/>
        <v>6</v>
      </c>
      <c r="E116" s="217">
        <f t="shared" si="24"/>
        <v>20</v>
      </c>
      <c r="F116" s="217">
        <f t="shared" si="24"/>
        <v>83</v>
      </c>
      <c r="G116" s="217">
        <f t="shared" si="24"/>
        <v>98</v>
      </c>
      <c r="H116" s="217">
        <f t="shared" si="24"/>
        <v>100</v>
      </c>
      <c r="I116" s="217" t="e">
        <f t="shared" si="24"/>
        <v>#N/A</v>
      </c>
      <c r="J116" s="217" t="e">
        <f t="shared" si="24"/>
        <v>#N/A</v>
      </c>
      <c r="K116" s="218" t="e">
        <f t="shared" si="24"/>
        <v>#N/A</v>
      </c>
      <c r="L116" s="210"/>
      <c r="M116" s="217"/>
      <c r="N116" s="219"/>
      <c r="O116" s="220"/>
      <c r="P116" s="221"/>
      <c r="R116" s="40"/>
      <c r="S116" s="40"/>
      <c r="T116" s="40"/>
      <c r="U116" s="40"/>
      <c r="V116" s="40"/>
      <c r="W116" s="40"/>
      <c r="X116" s="40"/>
      <c r="Y116" s="40"/>
      <c r="Z116" s="40"/>
    </row>
    <row r="117" spans="1:27" x14ac:dyDescent="0.25">
      <c r="A117" s="209" t="s">
        <v>60</v>
      </c>
      <c r="B117" s="210" t="e">
        <f t="shared" si="24"/>
        <v>#N/A</v>
      </c>
      <c r="C117" s="217" t="e">
        <f t="shared" si="24"/>
        <v>#N/A</v>
      </c>
      <c r="D117" s="217">
        <f t="shared" si="24"/>
        <v>1</v>
      </c>
      <c r="E117" s="217">
        <f t="shared" si="24"/>
        <v>8</v>
      </c>
      <c r="F117" s="217">
        <f t="shared" si="24"/>
        <v>78</v>
      </c>
      <c r="G117" s="217">
        <f t="shared" si="24"/>
        <v>97</v>
      </c>
      <c r="H117" s="217" t="e">
        <f t="shared" si="24"/>
        <v>#N/A</v>
      </c>
      <c r="I117" s="217" t="e">
        <f t="shared" si="24"/>
        <v>#N/A</v>
      </c>
      <c r="J117" s="217" t="e">
        <f t="shared" si="24"/>
        <v>#N/A</v>
      </c>
      <c r="K117" s="218" t="e">
        <f t="shared" si="24"/>
        <v>#N/A</v>
      </c>
      <c r="L117" s="210"/>
      <c r="M117" s="217"/>
      <c r="N117" s="219"/>
      <c r="O117" s="220"/>
      <c r="P117" s="221"/>
      <c r="R117" s="40"/>
      <c r="S117" s="40"/>
      <c r="T117" s="40"/>
      <c r="U117" s="40"/>
      <c r="V117" s="40"/>
      <c r="W117" s="40"/>
      <c r="X117" s="40"/>
      <c r="Y117" s="40"/>
      <c r="Z117" s="40"/>
    </row>
    <row r="118" spans="1:27" ht="13.8" thickBot="1" x14ac:dyDescent="0.3">
      <c r="A118" s="209"/>
      <c r="B118" s="174"/>
      <c r="C118" s="175"/>
      <c r="D118" s="175"/>
      <c r="E118" s="175"/>
      <c r="F118" s="175"/>
      <c r="G118" s="175"/>
      <c r="H118" s="175"/>
      <c r="I118" s="175"/>
      <c r="J118" s="175"/>
      <c r="K118" s="222"/>
      <c r="L118" s="208"/>
      <c r="M118" s="177"/>
      <c r="N118" s="223"/>
      <c r="O118" s="224"/>
      <c r="P118" s="225"/>
      <c r="R118" s="40"/>
      <c r="S118" s="40"/>
      <c r="T118" s="40"/>
      <c r="U118" s="40"/>
      <c r="V118" s="40"/>
      <c r="W118" s="40"/>
      <c r="X118" s="40"/>
      <c r="Y118" s="40"/>
      <c r="Z118" s="40"/>
    </row>
    <row r="119" spans="1:27" ht="18" customHeight="1" x14ac:dyDescent="0.25">
      <c r="A119" s="307" t="s">
        <v>23</v>
      </c>
      <c r="B119" s="308"/>
      <c r="C119" s="308"/>
      <c r="D119" s="308"/>
      <c r="E119" s="308"/>
      <c r="F119" s="308"/>
      <c r="G119" s="308"/>
      <c r="H119" s="308"/>
      <c r="I119" s="308"/>
      <c r="J119" s="308"/>
      <c r="K119" s="308"/>
      <c r="L119" s="308"/>
      <c r="M119" s="308"/>
      <c r="N119" s="308"/>
      <c r="O119" s="308"/>
      <c r="P119" s="309"/>
      <c r="R119" s="40"/>
      <c r="S119" s="40"/>
      <c r="T119" s="40"/>
      <c r="U119" s="40"/>
      <c r="V119" s="40"/>
      <c r="W119" s="40"/>
      <c r="X119" s="40"/>
      <c r="Y119" s="40"/>
      <c r="Z119" s="40"/>
    </row>
    <row r="120" spans="1:27" ht="18" customHeight="1" thickBot="1" x14ac:dyDescent="0.3">
      <c r="A120" s="226"/>
      <c r="B120" s="226"/>
      <c r="C120" s="226"/>
      <c r="D120" s="226"/>
      <c r="E120" s="226"/>
      <c r="F120" s="226"/>
      <c r="G120" s="226"/>
      <c r="H120" s="226"/>
      <c r="I120" s="226"/>
      <c r="J120" s="226"/>
      <c r="K120" s="226"/>
      <c r="L120" s="226"/>
      <c r="M120" s="226"/>
      <c r="N120" s="226"/>
      <c r="O120" s="226"/>
      <c r="P120" s="226"/>
      <c r="R120" s="40"/>
      <c r="S120" s="40"/>
      <c r="T120" s="40"/>
      <c r="U120" s="40"/>
      <c r="V120" s="40"/>
      <c r="W120" s="40"/>
      <c r="X120" s="40"/>
      <c r="Y120" s="40"/>
      <c r="Z120" s="40"/>
    </row>
    <row r="121" spans="1:27" ht="18" customHeight="1" x14ac:dyDescent="0.25">
      <c r="A121" s="227" t="s">
        <v>25</v>
      </c>
      <c r="B121" s="228">
        <f t="shared" ref="B121:L123" si="25">IF(ISNUMBER(F34),F34,NA())</f>
        <v>2.36</v>
      </c>
      <c r="C121" s="168">
        <f t="shared" si="25"/>
        <v>6.8</v>
      </c>
      <c r="D121" s="168">
        <f t="shared" si="25"/>
        <v>15.1</v>
      </c>
      <c r="E121" s="168">
        <f t="shared" si="25"/>
        <v>26.1</v>
      </c>
      <c r="F121" s="168">
        <f t="shared" si="25"/>
        <v>90.9</v>
      </c>
      <c r="G121" s="167">
        <f t="shared" si="25"/>
        <v>100</v>
      </c>
      <c r="H121" s="167">
        <f t="shared" si="25"/>
        <v>100</v>
      </c>
      <c r="I121" s="168" t="e">
        <f t="shared" si="25"/>
        <v>#N/A</v>
      </c>
      <c r="J121" s="168" t="e">
        <f t="shared" si="25"/>
        <v>#N/A</v>
      </c>
      <c r="K121" s="229" t="e">
        <f t="shared" si="25"/>
        <v>#N/A</v>
      </c>
      <c r="L121" s="230" t="e">
        <f t="shared" si="25"/>
        <v>#N/A</v>
      </c>
      <c r="M121" s="231" t="e">
        <f>IF(ISNUMBER(R34),R34,NA())</f>
        <v>#N/A</v>
      </c>
      <c r="N121" s="232" t="e">
        <f>IF(ISNUMBER(T34),T34,NA())</f>
        <v>#N/A</v>
      </c>
      <c r="O121" s="230" t="e">
        <f>IF(ISNUMBER(V34),V34,NA())</f>
        <v>#N/A</v>
      </c>
      <c r="P121" s="233" t="e">
        <f>IF(ISNUMBER(X34),X34,NA())</f>
        <v>#N/A</v>
      </c>
      <c r="R121" s="40"/>
      <c r="S121" s="40"/>
      <c r="T121" s="40"/>
      <c r="U121" s="40"/>
      <c r="V121" s="40"/>
      <c r="W121" s="40"/>
      <c r="X121" s="40"/>
      <c r="Y121" s="40"/>
      <c r="Z121" s="40"/>
    </row>
    <row r="122" spans="1:27" ht="18" customHeight="1" x14ac:dyDescent="0.25">
      <c r="A122" s="234" t="s">
        <v>22</v>
      </c>
      <c r="B122" s="235">
        <f t="shared" si="25"/>
        <v>0.36</v>
      </c>
      <c r="C122" s="236">
        <f t="shared" si="25"/>
        <v>0.8</v>
      </c>
      <c r="D122" s="236">
        <f t="shared" si="25"/>
        <v>9.1</v>
      </c>
      <c r="E122" s="236">
        <f t="shared" si="25"/>
        <v>24.1</v>
      </c>
      <c r="F122" s="236">
        <f t="shared" si="25"/>
        <v>88.9</v>
      </c>
      <c r="G122" s="237">
        <f t="shared" si="25"/>
        <v>100</v>
      </c>
      <c r="H122" s="237">
        <f t="shared" si="25"/>
        <v>100</v>
      </c>
      <c r="I122" s="236" t="e">
        <f t="shared" si="25"/>
        <v>#N/A</v>
      </c>
      <c r="J122" s="236" t="e">
        <f t="shared" si="25"/>
        <v>#N/A</v>
      </c>
      <c r="K122" s="238" t="e">
        <f t="shared" si="25"/>
        <v>#N/A</v>
      </c>
      <c r="L122" s="239" t="e">
        <f t="shared" si="25"/>
        <v>#N/A</v>
      </c>
      <c r="M122" s="240" t="e">
        <f>IF(ISNUMBER(R35),R35,NA())</f>
        <v>#N/A</v>
      </c>
      <c r="N122" s="241" t="e">
        <f>IF(ISNUMBER(T35),T35,NA())</f>
        <v>#N/A</v>
      </c>
      <c r="O122" s="239" t="e">
        <f>IF(ISNUMBER(V35),V35,NA())</f>
        <v>#N/A</v>
      </c>
      <c r="P122" s="242" t="e">
        <f>IF(ISNUMBER(X35),X35,NA())</f>
        <v>#N/A</v>
      </c>
      <c r="R122" s="40"/>
      <c r="S122" s="40"/>
      <c r="T122" s="40"/>
      <c r="U122" s="40"/>
      <c r="V122" s="40"/>
      <c r="W122" s="40"/>
      <c r="X122" s="40"/>
      <c r="Y122" s="40"/>
      <c r="Z122" s="40"/>
    </row>
    <row r="123" spans="1:27" ht="18" customHeight="1" thickBot="1" x14ac:dyDescent="0.3">
      <c r="A123" s="243" t="s">
        <v>24</v>
      </c>
      <c r="B123" s="174">
        <f t="shared" si="25"/>
        <v>0</v>
      </c>
      <c r="C123" s="175">
        <f t="shared" si="25"/>
        <v>0</v>
      </c>
      <c r="D123" s="175">
        <f t="shared" si="25"/>
        <v>3.0999999999999996</v>
      </c>
      <c r="E123" s="175">
        <f t="shared" si="25"/>
        <v>22.1</v>
      </c>
      <c r="F123" s="175">
        <f t="shared" si="25"/>
        <v>86.9</v>
      </c>
      <c r="G123" s="175">
        <f t="shared" si="25"/>
        <v>98</v>
      </c>
      <c r="H123" s="175">
        <f t="shared" si="25"/>
        <v>98</v>
      </c>
      <c r="I123" s="175" t="e">
        <f t="shared" si="25"/>
        <v>#N/A</v>
      </c>
      <c r="J123" s="175" t="e">
        <f t="shared" si="25"/>
        <v>#N/A</v>
      </c>
      <c r="K123" s="244" t="e">
        <f t="shared" si="25"/>
        <v>#N/A</v>
      </c>
      <c r="L123" s="208" t="e">
        <f t="shared" si="25"/>
        <v>#N/A</v>
      </c>
      <c r="M123" s="177" t="e">
        <f>IF(ISNUMBER(R36),R36,NA())</f>
        <v>#N/A</v>
      </c>
      <c r="N123" s="223" t="e">
        <f>IF(ISNUMBER(T36),T36,NA())</f>
        <v>#N/A</v>
      </c>
      <c r="O123" s="208" t="e">
        <f>IF(ISNUMBER(V36),V36,NA())</f>
        <v>#N/A</v>
      </c>
      <c r="P123" s="245" t="e">
        <f>IF(ISNUMBER(X36),X36,NA())</f>
        <v>#N/A</v>
      </c>
      <c r="R123" s="40"/>
      <c r="S123" s="40"/>
      <c r="T123" s="40"/>
      <c r="U123" s="40"/>
      <c r="V123" s="40"/>
      <c r="W123" s="40"/>
      <c r="X123" s="40"/>
      <c r="Y123" s="40"/>
      <c r="Z123" s="40"/>
    </row>
    <row r="124" spans="1:27" x14ac:dyDescent="0.25">
      <c r="A124" s="246"/>
      <c r="B124" s="171"/>
      <c r="C124" s="171"/>
      <c r="D124" s="171"/>
      <c r="E124" s="171"/>
      <c r="F124" s="247"/>
      <c r="G124" s="248"/>
      <c r="H124" s="249"/>
      <c r="I124" s="171"/>
      <c r="J124" s="171"/>
      <c r="K124" s="171"/>
      <c r="L124" s="171"/>
      <c r="M124" s="171"/>
      <c r="N124" s="171"/>
      <c r="O124" s="247"/>
      <c r="P124" s="199"/>
      <c r="R124" s="40"/>
      <c r="S124" s="40"/>
      <c r="T124" s="40"/>
      <c r="U124" s="40"/>
      <c r="V124" s="40"/>
      <c r="W124" s="40"/>
      <c r="X124" s="40"/>
      <c r="Y124" s="40"/>
      <c r="Z124" s="40"/>
    </row>
    <row r="125" spans="1:27" x14ac:dyDescent="0.25">
      <c r="A125" s="197"/>
      <c r="B125" s="171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99"/>
      <c r="R125" s="40"/>
      <c r="S125" s="40"/>
      <c r="T125" s="40"/>
      <c r="U125" s="40"/>
      <c r="V125" s="40"/>
      <c r="W125" s="40"/>
      <c r="X125" s="40"/>
      <c r="Y125" s="40"/>
      <c r="Z125" s="40"/>
    </row>
    <row r="126" spans="1:27" ht="15" x14ac:dyDescent="0.25">
      <c r="A126" s="250" t="s">
        <v>90</v>
      </c>
      <c r="B126" s="251"/>
      <c r="C126" s="252"/>
      <c r="D126" s="252"/>
      <c r="E126" s="252"/>
      <c r="F126" s="252"/>
      <c r="G126" s="252"/>
      <c r="H126" s="252"/>
      <c r="I126" s="252"/>
      <c r="J126" s="252"/>
      <c r="K126" s="252"/>
      <c r="L126" s="252"/>
      <c r="M126" s="252"/>
      <c r="N126" s="252"/>
      <c r="O126" s="252"/>
      <c r="P126" s="253"/>
      <c r="Q126" s="254"/>
      <c r="R126" s="254"/>
      <c r="S126" s="254"/>
      <c r="T126" s="254"/>
      <c r="U126" s="254"/>
      <c r="V126" s="254"/>
      <c r="W126" s="254"/>
      <c r="X126" s="254"/>
      <c r="Y126" s="254"/>
      <c r="Z126" s="254"/>
      <c r="AA126" s="14"/>
    </row>
    <row r="127" spans="1:27" ht="13.8" thickBot="1" x14ac:dyDescent="0.3">
      <c r="A127" s="197"/>
      <c r="B127" s="171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99"/>
    </row>
    <row r="128" spans="1:27" ht="16.5" customHeight="1" x14ac:dyDescent="0.25">
      <c r="A128" s="200"/>
      <c r="B128" s="201" t="s">
        <v>4</v>
      </c>
      <c r="C128" s="202"/>
      <c r="D128" s="202"/>
      <c r="E128" s="202"/>
      <c r="F128" s="202"/>
      <c r="G128" s="203" t="s">
        <v>14</v>
      </c>
      <c r="H128" s="203"/>
      <c r="I128" s="203" t="s">
        <v>13</v>
      </c>
      <c r="J128" s="204" t="s">
        <v>15</v>
      </c>
      <c r="K128" s="205" t="s">
        <v>12</v>
      </c>
      <c r="L128" s="277" t="s">
        <v>17</v>
      </c>
      <c r="M128" s="278"/>
      <c r="N128" s="279"/>
      <c r="O128" s="280"/>
      <c r="P128" s="282"/>
    </row>
    <row r="129" spans="1:17" ht="16.5" customHeight="1" thickBot="1" x14ac:dyDescent="0.3">
      <c r="A129" s="200"/>
      <c r="B129" s="206">
        <f>IF(ISNUMBER(F42),LOG(F42),MIN(C129:$K129))</f>
        <v>-1.2006594505464183</v>
      </c>
      <c r="C129" s="207">
        <f>IF(ISNUMBER(G42),LOG(G42),MIN(D129:$K129))</f>
        <v>0.49831055378960049</v>
      </c>
      <c r="D129" s="207">
        <f>IF(ISNUMBER(H42),LOG(H42),MIN(E129:$K129))</f>
        <v>0.79934054945358168</v>
      </c>
      <c r="E129" s="207">
        <f>IF(ISNUMBER(I42),LOG(I42),MIN(F129:$K129))</f>
        <v>0.85125834871907524</v>
      </c>
      <c r="F129" s="207">
        <f>IF(ISNUMBER(J42),LOG(J42),MIN(G129:$K129))</f>
        <v>1</v>
      </c>
      <c r="G129" s="207">
        <f>IF(ISNUMBER(K42),LOG(K42),MIN($B129:F129))</f>
        <v>1.146128035678238</v>
      </c>
      <c r="H129" s="207">
        <f>IF(ISNUMBER(L42),LOG(L42),MIN($B129:G129))</f>
        <v>1.3010299956639813</v>
      </c>
      <c r="I129" s="207">
        <f>IF(ISNUMBER(M42),LOG(M42),MIN($B129:H129))</f>
        <v>-1.2006594505464183</v>
      </c>
      <c r="J129" s="207">
        <f>IF(ISNUMBER(N42),LOG(N42),MIN($B129:I129))</f>
        <v>-1.2006594505464183</v>
      </c>
      <c r="K129" s="207">
        <f>IF(ISNUMBER(O42),LOG(O42),MIN($B129:J129))</f>
        <v>-1.2006594505464183</v>
      </c>
      <c r="L129" s="208" t="s">
        <v>16</v>
      </c>
      <c r="M129" s="177" t="s">
        <v>2</v>
      </c>
      <c r="N129" s="245" t="s">
        <v>3</v>
      </c>
      <c r="O129" s="281"/>
      <c r="P129" s="283"/>
    </row>
    <row r="130" spans="1:17" ht="16.5" customHeight="1" thickBot="1" x14ac:dyDescent="0.3">
      <c r="A130" s="209" t="s">
        <v>62</v>
      </c>
      <c r="B130" s="206">
        <f t="shared" ref="B130:K132" si="26">IF(ISNUMBER(F59),F59,NA())</f>
        <v>7</v>
      </c>
      <c r="C130" s="207" t="e">
        <f t="shared" si="26"/>
        <v>#N/A</v>
      </c>
      <c r="D130" s="207" t="e">
        <f t="shared" si="26"/>
        <v>#N/A</v>
      </c>
      <c r="E130" s="207" t="e">
        <f t="shared" si="26"/>
        <v>#N/A</v>
      </c>
      <c r="F130" s="207" t="e">
        <f t="shared" si="26"/>
        <v>#N/A</v>
      </c>
      <c r="G130" s="207" t="e">
        <f t="shared" si="26"/>
        <v>#N/A</v>
      </c>
      <c r="H130" s="207" t="e">
        <f t="shared" si="26"/>
        <v>#N/A</v>
      </c>
      <c r="I130" s="207" t="e">
        <f t="shared" si="26"/>
        <v>#N/A</v>
      </c>
      <c r="J130" s="207" t="e">
        <f t="shared" si="26"/>
        <v>#N/A</v>
      </c>
      <c r="K130" s="255" t="e">
        <f t="shared" si="26"/>
        <v>#N/A</v>
      </c>
      <c r="L130" s="172"/>
      <c r="M130" s="172"/>
      <c r="N130" s="172"/>
      <c r="O130" s="172"/>
      <c r="P130" s="199"/>
    </row>
    <row r="131" spans="1:17" s="121" customFormat="1" ht="16.5" customHeight="1" thickBot="1" x14ac:dyDescent="0.3">
      <c r="A131" s="209" t="s">
        <v>38</v>
      </c>
      <c r="B131" s="174">
        <f t="shared" si="26"/>
        <v>2.2549999999999999</v>
      </c>
      <c r="C131" s="175">
        <f t="shared" si="26"/>
        <v>0.96666666666666667</v>
      </c>
      <c r="D131" s="175">
        <f t="shared" si="26"/>
        <v>9.2666666666666657</v>
      </c>
      <c r="E131" s="175">
        <f t="shared" si="26"/>
        <v>24.266666666666669</v>
      </c>
      <c r="F131" s="175">
        <f t="shared" si="26"/>
        <v>77.766666666666666</v>
      </c>
      <c r="G131" s="175">
        <f t="shared" si="26"/>
        <v>99.833333333333329</v>
      </c>
      <c r="H131" s="175">
        <f t="shared" si="26"/>
        <v>99.833333333333329</v>
      </c>
      <c r="I131" s="175" t="e">
        <f t="shared" si="26"/>
        <v>#N/A</v>
      </c>
      <c r="J131" s="175" t="e">
        <f t="shared" si="26"/>
        <v>#N/A</v>
      </c>
      <c r="K131" s="255" t="e">
        <f t="shared" si="26"/>
        <v>#N/A</v>
      </c>
      <c r="L131" s="256"/>
      <c r="M131" s="256"/>
      <c r="N131" s="165"/>
      <c r="O131" s="172"/>
      <c r="P131" s="199"/>
      <c r="Q131" s="183"/>
    </row>
    <row r="132" spans="1:17" s="121" customFormat="1" ht="16.5" customHeight="1" thickBot="1" x14ac:dyDescent="0.3">
      <c r="A132" s="209" t="s">
        <v>63</v>
      </c>
      <c r="B132" s="174" t="e">
        <f t="shared" si="26"/>
        <v>#N/A</v>
      </c>
      <c r="C132" s="175" t="e">
        <f t="shared" si="26"/>
        <v>#N/A</v>
      </c>
      <c r="D132" s="175" t="e">
        <f t="shared" si="26"/>
        <v>#N/A</v>
      </c>
      <c r="E132" s="175" t="e">
        <f t="shared" si="26"/>
        <v>#N/A</v>
      </c>
      <c r="F132" s="175">
        <f t="shared" si="26"/>
        <v>55</v>
      </c>
      <c r="G132" s="175" t="e">
        <f t="shared" si="26"/>
        <v>#N/A</v>
      </c>
      <c r="H132" s="175" t="e">
        <f t="shared" si="26"/>
        <v>#N/A</v>
      </c>
      <c r="I132" s="175" t="e">
        <f t="shared" si="26"/>
        <v>#N/A</v>
      </c>
      <c r="J132" s="175" t="e">
        <f t="shared" si="26"/>
        <v>#N/A</v>
      </c>
      <c r="K132" s="255" t="e">
        <f t="shared" si="26"/>
        <v>#N/A</v>
      </c>
      <c r="L132" s="256"/>
      <c r="M132" s="256"/>
      <c r="N132" s="165"/>
      <c r="O132" s="172"/>
      <c r="P132" s="257"/>
      <c r="Q132" s="183"/>
    </row>
    <row r="133" spans="1:17" x14ac:dyDescent="0.25">
      <c r="A133" s="258"/>
      <c r="B133" s="259"/>
      <c r="C133" s="259"/>
      <c r="D133" s="259"/>
      <c r="E133" s="259"/>
      <c r="F133" s="259"/>
      <c r="G133" s="259"/>
      <c r="H133" s="259"/>
      <c r="I133" s="259"/>
      <c r="J133" s="259"/>
      <c r="K133" s="259"/>
      <c r="L133" s="171"/>
      <c r="M133" s="171"/>
      <c r="N133" s="171"/>
      <c r="O133" s="171"/>
      <c r="P133" s="199"/>
    </row>
    <row r="134" spans="1:17" x14ac:dyDescent="0.25">
      <c r="A134" s="260">
        <v>0</v>
      </c>
      <c r="B134" s="259">
        <f>B$129</f>
        <v>-1.2006594505464183</v>
      </c>
      <c r="C134" s="259">
        <f t="shared" ref="C134:K134" si="27">C$129</f>
        <v>0.49831055378960049</v>
      </c>
      <c r="D134" s="259">
        <f t="shared" si="27"/>
        <v>0.79934054945358168</v>
      </c>
      <c r="E134" s="259">
        <f t="shared" si="27"/>
        <v>0.85125834871907524</v>
      </c>
      <c r="F134" s="259">
        <f t="shared" si="27"/>
        <v>1</v>
      </c>
      <c r="G134" s="259">
        <f t="shared" si="27"/>
        <v>1.146128035678238</v>
      </c>
      <c r="H134" s="259">
        <f t="shared" si="27"/>
        <v>1.3010299956639813</v>
      </c>
      <c r="I134" s="259">
        <f t="shared" si="27"/>
        <v>-1.2006594505464183</v>
      </c>
      <c r="J134" s="259">
        <f t="shared" si="27"/>
        <v>-1.2006594505464183</v>
      </c>
      <c r="K134" s="259">
        <f t="shared" si="27"/>
        <v>-1.2006594505464183</v>
      </c>
      <c r="L134" s="171"/>
      <c r="M134" s="171"/>
      <c r="N134" s="171"/>
      <c r="O134" s="171"/>
      <c r="P134" s="199"/>
    </row>
    <row r="135" spans="1:17" x14ac:dyDescent="0.25">
      <c r="A135" s="260">
        <v>100</v>
      </c>
      <c r="B135" s="259">
        <f>B134</f>
        <v>-1.2006594505464183</v>
      </c>
      <c r="C135" s="259">
        <f t="shared" ref="C135:K135" si="28">C134</f>
        <v>0.49831055378960049</v>
      </c>
      <c r="D135" s="259">
        <f t="shared" si="28"/>
        <v>0.79934054945358168</v>
      </c>
      <c r="E135" s="259">
        <f t="shared" si="28"/>
        <v>0.85125834871907524</v>
      </c>
      <c r="F135" s="259">
        <f t="shared" si="28"/>
        <v>1</v>
      </c>
      <c r="G135" s="259">
        <f t="shared" si="28"/>
        <v>1.146128035678238</v>
      </c>
      <c r="H135" s="259">
        <f t="shared" si="28"/>
        <v>1.3010299956639813</v>
      </c>
      <c r="I135" s="259">
        <f t="shared" si="28"/>
        <v>-1.2006594505464183</v>
      </c>
      <c r="J135" s="259">
        <f t="shared" si="28"/>
        <v>-1.2006594505464183</v>
      </c>
      <c r="K135" s="259">
        <f t="shared" si="28"/>
        <v>-1.2006594505464183</v>
      </c>
      <c r="L135" s="171"/>
      <c r="M135" s="171"/>
      <c r="N135" s="171"/>
      <c r="O135" s="171"/>
      <c r="P135" s="199"/>
    </row>
    <row r="136" spans="1:17" ht="13.8" thickBot="1" x14ac:dyDescent="0.3">
      <c r="A136" s="261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3"/>
      <c r="M136" s="263"/>
      <c r="N136" s="263"/>
      <c r="O136" s="263"/>
      <c r="P136" s="264"/>
    </row>
    <row r="137" spans="1:17" ht="13.8" thickTop="1" x14ac:dyDescent="0.25">
      <c r="A137" s="265"/>
      <c r="B137" s="266"/>
      <c r="C137" s="266"/>
      <c r="D137" s="266"/>
      <c r="E137" s="266"/>
      <c r="F137" s="266"/>
      <c r="G137" s="266"/>
      <c r="H137" s="266"/>
      <c r="I137" s="266"/>
      <c r="J137" s="266"/>
      <c r="K137" s="266"/>
    </row>
    <row r="139" spans="1:17" x14ac:dyDescent="0.25">
      <c r="A139" s="265"/>
      <c r="B139" s="266"/>
      <c r="C139" s="266"/>
      <c r="D139" s="266"/>
      <c r="E139" s="266"/>
      <c r="F139" s="266"/>
      <c r="G139" s="266"/>
      <c r="H139" s="266"/>
      <c r="I139" s="266"/>
      <c r="J139" s="266"/>
      <c r="K139" s="266"/>
    </row>
    <row r="144" spans="1:17" x14ac:dyDescent="0.25">
      <c r="A144" s="265"/>
      <c r="B144" s="266"/>
      <c r="C144" s="266"/>
      <c r="D144" s="266"/>
      <c r="E144" s="266"/>
      <c r="F144" s="266"/>
      <c r="G144" s="266"/>
      <c r="H144" s="266"/>
      <c r="I144" s="266"/>
      <c r="J144" s="266"/>
      <c r="K144" s="266"/>
    </row>
    <row r="145" spans="1:11" x14ac:dyDescent="0.25">
      <c r="A145" s="265"/>
      <c r="B145" s="266"/>
      <c r="C145" s="266"/>
      <c r="D145" s="266"/>
      <c r="E145" s="266"/>
      <c r="F145" s="266"/>
      <c r="G145" s="266"/>
      <c r="H145" s="266"/>
      <c r="I145" s="266"/>
      <c r="J145" s="266"/>
      <c r="K145" s="266"/>
    </row>
    <row r="146" spans="1:11" x14ac:dyDescent="0.25">
      <c r="A146" s="265"/>
      <c r="B146" s="266"/>
      <c r="C146" s="266"/>
      <c r="D146" s="266"/>
      <c r="E146" s="266"/>
      <c r="F146" s="266"/>
      <c r="G146" s="266"/>
      <c r="H146" s="266"/>
      <c r="I146" s="266"/>
      <c r="J146" s="266"/>
      <c r="K146" s="266"/>
    </row>
    <row r="147" spans="1:11" x14ac:dyDescent="0.25">
      <c r="A147" s="265"/>
      <c r="B147" s="266"/>
      <c r="C147" s="266"/>
      <c r="D147" s="266"/>
      <c r="E147" s="266"/>
      <c r="F147" s="266"/>
      <c r="G147" s="266"/>
      <c r="H147" s="266"/>
      <c r="I147" s="266"/>
      <c r="J147" s="266"/>
      <c r="K147" s="266"/>
    </row>
    <row r="148" spans="1:11" x14ac:dyDescent="0.25">
      <c r="A148" s="265"/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</row>
    <row r="149" spans="1:11" x14ac:dyDescent="0.25">
      <c r="A149" s="265"/>
      <c r="B149" s="266"/>
      <c r="C149" s="266"/>
      <c r="D149" s="266"/>
      <c r="E149" s="266"/>
      <c r="F149" s="266"/>
      <c r="G149" s="266"/>
      <c r="H149" s="266"/>
      <c r="I149" s="266"/>
      <c r="J149" s="266"/>
      <c r="K149" s="266"/>
    </row>
    <row r="150" spans="1:11" x14ac:dyDescent="0.25">
      <c r="A150" s="265"/>
      <c r="B150" s="266"/>
      <c r="C150" s="266"/>
      <c r="D150" s="266"/>
      <c r="E150" s="266"/>
      <c r="F150" s="266"/>
      <c r="G150" s="266"/>
      <c r="H150" s="266"/>
      <c r="I150" s="266"/>
      <c r="J150" s="266"/>
      <c r="K150" s="266"/>
    </row>
    <row r="151" spans="1:11" x14ac:dyDescent="0.25">
      <c r="A151" s="265"/>
      <c r="B151" s="266"/>
      <c r="C151" s="266"/>
      <c r="D151" s="266"/>
      <c r="E151" s="266"/>
      <c r="F151" s="266"/>
      <c r="G151" s="266"/>
      <c r="H151" s="266"/>
      <c r="I151" s="266"/>
      <c r="J151" s="266"/>
      <c r="K151" s="266"/>
    </row>
    <row r="152" spans="1:11" x14ac:dyDescent="0.25">
      <c r="A152" s="265"/>
      <c r="B152" s="266"/>
      <c r="C152" s="266"/>
      <c r="D152" s="266"/>
      <c r="E152" s="266"/>
      <c r="F152" s="266"/>
      <c r="G152" s="266"/>
      <c r="H152" s="266"/>
      <c r="I152" s="266"/>
      <c r="J152" s="266"/>
      <c r="K152" s="266"/>
    </row>
    <row r="153" spans="1:11" x14ac:dyDescent="0.25">
      <c r="A153" s="265"/>
      <c r="B153" s="266"/>
      <c r="C153" s="266"/>
      <c r="D153" s="266"/>
      <c r="E153" s="266"/>
      <c r="F153" s="266"/>
      <c r="G153" s="266"/>
      <c r="H153" s="266"/>
      <c r="I153" s="266"/>
      <c r="J153" s="266"/>
      <c r="K153" s="266"/>
    </row>
    <row r="154" spans="1:11" x14ac:dyDescent="0.25">
      <c r="A154" s="265"/>
      <c r="B154" s="266"/>
      <c r="C154" s="266"/>
      <c r="D154" s="266"/>
      <c r="E154" s="266"/>
      <c r="F154" s="266"/>
      <c r="G154" s="266"/>
      <c r="H154" s="266"/>
      <c r="I154" s="266"/>
      <c r="J154" s="266"/>
      <c r="K154" s="266"/>
    </row>
    <row r="155" spans="1:11" x14ac:dyDescent="0.25">
      <c r="A155" s="265"/>
      <c r="B155" s="266"/>
      <c r="C155" s="266"/>
      <c r="D155" s="266"/>
      <c r="E155" s="266"/>
      <c r="F155" s="266"/>
      <c r="G155" s="266"/>
      <c r="H155" s="266"/>
      <c r="I155" s="266"/>
      <c r="J155" s="266"/>
      <c r="K155" s="266"/>
    </row>
    <row r="156" spans="1:11" x14ac:dyDescent="0.25">
      <c r="A156" s="265"/>
      <c r="B156" s="266"/>
      <c r="C156" s="266"/>
      <c r="D156" s="266"/>
      <c r="E156" s="266"/>
      <c r="F156" s="266"/>
      <c r="G156" s="266"/>
      <c r="H156" s="266"/>
      <c r="I156" s="266"/>
      <c r="J156" s="266"/>
      <c r="K156" s="266"/>
    </row>
    <row r="157" spans="1:11" x14ac:dyDescent="0.25">
      <c r="A157" s="265"/>
      <c r="B157" s="266"/>
      <c r="C157" s="266"/>
      <c r="D157" s="266"/>
      <c r="E157" s="266"/>
      <c r="F157" s="266"/>
      <c r="G157" s="266"/>
      <c r="H157" s="266"/>
      <c r="I157" s="266"/>
      <c r="J157" s="266"/>
      <c r="K157" s="266"/>
    </row>
    <row r="158" spans="1:11" x14ac:dyDescent="0.25">
      <c r="A158" s="265"/>
      <c r="B158" s="266"/>
      <c r="C158" s="266"/>
      <c r="D158" s="266"/>
      <c r="E158" s="266"/>
      <c r="F158" s="266"/>
      <c r="G158" s="266"/>
      <c r="H158" s="266"/>
      <c r="I158" s="266"/>
      <c r="J158" s="266"/>
      <c r="K158" s="266"/>
    </row>
    <row r="159" spans="1:11" x14ac:dyDescent="0.25">
      <c r="A159" s="265"/>
      <c r="B159" s="266"/>
      <c r="C159" s="266"/>
      <c r="D159" s="266"/>
      <c r="E159" s="266"/>
      <c r="F159" s="266"/>
      <c r="G159" s="266"/>
      <c r="H159" s="266"/>
      <c r="I159" s="266"/>
      <c r="J159" s="266"/>
      <c r="K159" s="266"/>
    </row>
    <row r="160" spans="1:11" x14ac:dyDescent="0.25">
      <c r="A160" s="265"/>
      <c r="B160" s="266"/>
      <c r="C160" s="266"/>
      <c r="D160" s="266"/>
      <c r="E160" s="266"/>
      <c r="F160" s="266"/>
      <c r="G160" s="266"/>
      <c r="H160" s="266"/>
      <c r="I160" s="266"/>
      <c r="J160" s="266"/>
      <c r="K160" s="266"/>
    </row>
    <row r="161" spans="1:11" x14ac:dyDescent="0.25">
      <c r="A161" s="265"/>
      <c r="B161" s="266"/>
      <c r="C161" s="266"/>
      <c r="D161" s="266"/>
      <c r="E161" s="266"/>
      <c r="F161" s="266"/>
      <c r="G161" s="266"/>
      <c r="H161" s="266"/>
      <c r="I161" s="266"/>
      <c r="J161" s="266"/>
      <c r="K161" s="266"/>
    </row>
    <row r="162" spans="1:11" x14ac:dyDescent="0.25">
      <c r="A162" s="265"/>
      <c r="B162" s="266"/>
      <c r="C162" s="266"/>
      <c r="D162" s="266"/>
      <c r="E162" s="266"/>
      <c r="F162" s="266"/>
      <c r="G162" s="266"/>
      <c r="H162" s="266"/>
      <c r="I162" s="266"/>
      <c r="J162" s="266"/>
      <c r="K162" s="266"/>
    </row>
    <row r="163" spans="1:11" x14ac:dyDescent="0.25">
      <c r="A163" s="265"/>
      <c r="B163" s="266"/>
      <c r="C163" s="266"/>
      <c r="D163" s="266"/>
      <c r="E163" s="266"/>
      <c r="F163" s="266"/>
      <c r="G163" s="266"/>
      <c r="H163" s="266"/>
      <c r="I163" s="266"/>
      <c r="J163" s="266"/>
      <c r="K163" s="266"/>
    </row>
    <row r="164" spans="1:11" x14ac:dyDescent="0.25">
      <c r="A164" s="265"/>
      <c r="B164" s="266"/>
      <c r="C164" s="266"/>
      <c r="D164" s="266"/>
      <c r="E164" s="266"/>
      <c r="F164" s="266"/>
      <c r="G164" s="266"/>
      <c r="H164" s="266"/>
      <c r="I164" s="266"/>
      <c r="J164" s="266"/>
      <c r="K164" s="266"/>
    </row>
    <row r="165" spans="1:11" x14ac:dyDescent="0.25">
      <c r="A165" s="265"/>
      <c r="B165" s="266"/>
      <c r="C165" s="266"/>
      <c r="D165" s="266"/>
      <c r="E165" s="266"/>
      <c r="F165" s="266"/>
      <c r="G165" s="266"/>
      <c r="H165" s="266"/>
      <c r="I165" s="266"/>
      <c r="J165" s="266"/>
      <c r="K165" s="266"/>
    </row>
    <row r="166" spans="1:11" x14ac:dyDescent="0.25">
      <c r="A166" s="265"/>
      <c r="B166" s="266"/>
      <c r="C166" s="266"/>
      <c r="D166" s="266"/>
      <c r="E166" s="266"/>
      <c r="F166" s="266"/>
      <c r="G166" s="266"/>
      <c r="H166" s="266"/>
      <c r="I166" s="266"/>
      <c r="J166" s="266"/>
      <c r="K166" s="266"/>
    </row>
    <row r="167" spans="1:11" x14ac:dyDescent="0.25">
      <c r="A167" s="265"/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</row>
    <row r="168" spans="1:11" x14ac:dyDescent="0.25">
      <c r="A168" s="265"/>
      <c r="B168" s="266"/>
      <c r="C168" s="266"/>
      <c r="D168" s="266"/>
      <c r="E168" s="266"/>
      <c r="F168" s="266"/>
      <c r="G168" s="266"/>
      <c r="H168" s="266"/>
      <c r="I168" s="266"/>
      <c r="J168" s="266"/>
      <c r="K168" s="266"/>
    </row>
    <row r="169" spans="1:11" x14ac:dyDescent="0.25">
      <c r="A169" s="265"/>
      <c r="B169" s="266"/>
      <c r="C169" s="266"/>
      <c r="D169" s="266"/>
      <c r="E169" s="266"/>
      <c r="F169" s="266"/>
      <c r="G169" s="266"/>
      <c r="H169" s="266"/>
      <c r="I169" s="266"/>
      <c r="J169" s="266"/>
      <c r="K169" s="266"/>
    </row>
    <row r="170" spans="1:11" x14ac:dyDescent="0.25">
      <c r="A170" s="265"/>
      <c r="B170" s="266"/>
      <c r="C170" s="266"/>
      <c r="D170" s="266"/>
      <c r="E170" s="266"/>
      <c r="F170" s="266"/>
      <c r="G170" s="266"/>
      <c r="H170" s="266"/>
      <c r="I170" s="266"/>
      <c r="J170" s="266"/>
      <c r="K170" s="266"/>
    </row>
    <row r="171" spans="1:11" x14ac:dyDescent="0.25">
      <c r="A171" s="265"/>
      <c r="B171" s="266"/>
      <c r="C171" s="266"/>
      <c r="D171" s="266"/>
      <c r="E171" s="266"/>
      <c r="F171" s="266"/>
      <c r="G171" s="266"/>
      <c r="H171" s="266"/>
      <c r="I171" s="266"/>
      <c r="J171" s="266"/>
      <c r="K171" s="266"/>
    </row>
    <row r="172" spans="1:11" x14ac:dyDescent="0.25">
      <c r="A172" s="265"/>
      <c r="B172" s="266"/>
      <c r="C172" s="266"/>
      <c r="D172" s="266"/>
      <c r="E172" s="266"/>
      <c r="F172" s="266"/>
      <c r="G172" s="266"/>
      <c r="H172" s="266"/>
      <c r="I172" s="266"/>
      <c r="J172" s="266"/>
      <c r="K172" s="266"/>
    </row>
    <row r="173" spans="1:11" x14ac:dyDescent="0.25">
      <c r="A173" s="265"/>
      <c r="B173" s="266"/>
      <c r="C173" s="266"/>
      <c r="D173" s="266"/>
      <c r="E173" s="266"/>
      <c r="F173" s="266"/>
      <c r="G173" s="266"/>
      <c r="H173" s="266"/>
      <c r="I173" s="266"/>
      <c r="J173" s="266"/>
      <c r="K173" s="266"/>
    </row>
    <row r="174" spans="1:11" x14ac:dyDescent="0.25">
      <c r="A174" s="265"/>
      <c r="B174" s="266"/>
      <c r="C174" s="266"/>
      <c r="D174" s="266"/>
      <c r="E174" s="266"/>
      <c r="F174" s="266"/>
      <c r="G174" s="266"/>
      <c r="H174" s="266"/>
      <c r="I174" s="266"/>
      <c r="J174" s="266"/>
      <c r="K174" s="266"/>
    </row>
    <row r="175" spans="1:11" x14ac:dyDescent="0.25">
      <c r="A175" s="265"/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</row>
    <row r="176" spans="1:11" x14ac:dyDescent="0.25">
      <c r="A176" s="265"/>
      <c r="B176" s="266"/>
      <c r="C176" s="266"/>
      <c r="D176" s="266"/>
      <c r="E176" s="266"/>
      <c r="F176" s="266"/>
      <c r="G176" s="266"/>
      <c r="H176" s="266"/>
      <c r="I176" s="266"/>
      <c r="J176" s="266"/>
      <c r="K176" s="266"/>
    </row>
    <row r="177" spans="1:11" x14ac:dyDescent="0.25">
      <c r="A177" s="265"/>
      <c r="B177" s="266"/>
      <c r="C177" s="266"/>
      <c r="D177" s="266"/>
      <c r="E177" s="266"/>
      <c r="F177" s="266"/>
      <c r="G177" s="266"/>
      <c r="H177" s="266"/>
      <c r="I177" s="266"/>
      <c r="J177" s="266"/>
      <c r="K177" s="266"/>
    </row>
    <row r="178" spans="1:11" x14ac:dyDescent="0.25">
      <c r="A178" s="265"/>
      <c r="B178" s="266"/>
      <c r="C178" s="266"/>
      <c r="D178" s="266"/>
      <c r="E178" s="266"/>
      <c r="F178" s="266"/>
      <c r="G178" s="266"/>
      <c r="H178" s="266"/>
      <c r="I178" s="266"/>
      <c r="J178" s="266"/>
      <c r="K178" s="266"/>
    </row>
    <row r="179" spans="1:11" x14ac:dyDescent="0.25">
      <c r="A179" s="265"/>
      <c r="B179" s="266"/>
      <c r="C179" s="266"/>
      <c r="D179" s="266"/>
      <c r="E179" s="266"/>
      <c r="F179" s="266"/>
      <c r="G179" s="266"/>
      <c r="H179" s="266"/>
      <c r="I179" s="266"/>
      <c r="J179" s="266"/>
      <c r="K179" s="266"/>
    </row>
    <row r="180" spans="1:11" x14ac:dyDescent="0.25">
      <c r="A180" s="265"/>
      <c r="B180" s="266"/>
      <c r="C180" s="266"/>
      <c r="D180" s="266"/>
      <c r="E180" s="266"/>
      <c r="F180" s="266"/>
      <c r="G180" s="266"/>
      <c r="H180" s="266"/>
      <c r="I180" s="266"/>
      <c r="J180" s="266"/>
      <c r="K180" s="266"/>
    </row>
    <row r="181" spans="1:11" x14ac:dyDescent="0.25">
      <c r="A181" s="265"/>
      <c r="B181" s="266"/>
      <c r="C181" s="266"/>
      <c r="D181" s="266"/>
      <c r="E181" s="266"/>
      <c r="F181" s="266"/>
      <c r="G181" s="266"/>
      <c r="H181" s="266"/>
      <c r="I181" s="266"/>
      <c r="J181" s="266"/>
      <c r="K181" s="266"/>
    </row>
    <row r="182" spans="1:11" x14ac:dyDescent="0.25">
      <c r="A182" s="265"/>
      <c r="B182" s="266"/>
      <c r="C182" s="266"/>
      <c r="D182" s="266"/>
      <c r="E182" s="266"/>
      <c r="F182" s="266"/>
      <c r="G182" s="266"/>
      <c r="H182" s="266"/>
      <c r="I182" s="266"/>
      <c r="J182" s="266"/>
      <c r="K182" s="266"/>
    </row>
    <row r="183" spans="1:11" x14ac:dyDescent="0.25">
      <c r="A183" s="265"/>
      <c r="B183" s="266"/>
      <c r="C183" s="266"/>
      <c r="D183" s="266"/>
      <c r="E183" s="266"/>
      <c r="F183" s="266"/>
      <c r="G183" s="266"/>
      <c r="H183" s="266"/>
      <c r="I183" s="266"/>
      <c r="J183" s="266"/>
      <c r="K183" s="266"/>
    </row>
    <row r="184" spans="1:11" x14ac:dyDescent="0.25">
      <c r="A184" s="265"/>
      <c r="B184" s="266"/>
      <c r="C184" s="266"/>
      <c r="D184" s="266"/>
      <c r="E184" s="266"/>
      <c r="F184" s="266"/>
      <c r="G184" s="266"/>
      <c r="H184" s="266"/>
      <c r="I184" s="266"/>
      <c r="J184" s="266"/>
      <c r="K184" s="266"/>
    </row>
    <row r="185" spans="1:11" x14ac:dyDescent="0.25">
      <c r="A185" s="265"/>
      <c r="B185" s="266"/>
      <c r="C185" s="266"/>
      <c r="D185" s="266"/>
      <c r="E185" s="266"/>
      <c r="F185" s="266"/>
      <c r="G185" s="266"/>
      <c r="H185" s="266"/>
      <c r="I185" s="266"/>
      <c r="J185" s="266"/>
      <c r="K185" s="266"/>
    </row>
    <row r="186" spans="1:11" x14ac:dyDescent="0.25">
      <c r="A186" s="265"/>
      <c r="B186" s="266"/>
      <c r="C186" s="266"/>
      <c r="D186" s="266"/>
      <c r="E186" s="266"/>
      <c r="F186" s="266"/>
      <c r="G186" s="266"/>
      <c r="H186" s="266"/>
      <c r="I186" s="266"/>
      <c r="J186" s="266"/>
      <c r="K186" s="266"/>
    </row>
    <row r="187" spans="1:11" x14ac:dyDescent="0.25">
      <c r="A187" s="265"/>
      <c r="B187" s="266"/>
      <c r="C187" s="266"/>
      <c r="D187" s="266"/>
      <c r="E187" s="266"/>
      <c r="F187" s="266"/>
      <c r="G187" s="266"/>
      <c r="H187" s="266"/>
      <c r="I187" s="266"/>
      <c r="J187" s="266"/>
      <c r="K187" s="266"/>
    </row>
    <row r="188" spans="1:11" x14ac:dyDescent="0.25">
      <c r="A188" s="265"/>
      <c r="B188" s="266"/>
      <c r="C188" s="266"/>
      <c r="D188" s="266"/>
      <c r="E188" s="266"/>
      <c r="F188" s="266"/>
      <c r="G188" s="266"/>
      <c r="H188" s="266"/>
      <c r="I188" s="266"/>
      <c r="J188" s="266"/>
      <c r="K188" s="266"/>
    </row>
    <row r="189" spans="1:11" x14ac:dyDescent="0.25">
      <c r="A189" s="265"/>
      <c r="B189" s="266"/>
      <c r="C189" s="266"/>
      <c r="D189" s="266"/>
      <c r="E189" s="266"/>
      <c r="F189" s="266"/>
      <c r="G189" s="266"/>
      <c r="H189" s="266"/>
      <c r="I189" s="266"/>
      <c r="J189" s="266"/>
      <c r="K189" s="266"/>
    </row>
    <row r="190" spans="1:11" x14ac:dyDescent="0.25">
      <c r="A190" s="265"/>
      <c r="B190" s="266"/>
      <c r="C190" s="266"/>
      <c r="D190" s="266"/>
      <c r="E190" s="266"/>
      <c r="F190" s="266"/>
      <c r="G190" s="266"/>
      <c r="H190" s="266"/>
      <c r="I190" s="266"/>
      <c r="J190" s="266"/>
      <c r="K190" s="266"/>
    </row>
    <row r="191" spans="1:11" x14ac:dyDescent="0.25">
      <c r="A191" s="265"/>
    </row>
    <row r="192" spans="1:11" x14ac:dyDescent="0.25">
      <c r="A192" s="265"/>
    </row>
    <row r="193" spans="1:1" x14ac:dyDescent="0.25">
      <c r="A193" s="265"/>
    </row>
    <row r="194" spans="1:1" x14ac:dyDescent="0.25">
      <c r="A194" s="265"/>
    </row>
    <row r="195" spans="1:1" x14ac:dyDescent="0.25">
      <c r="A195" s="265"/>
    </row>
    <row r="196" spans="1:1" x14ac:dyDescent="0.25">
      <c r="A196" s="265"/>
    </row>
    <row r="197" spans="1:1" x14ac:dyDescent="0.25">
      <c r="A197" s="265"/>
    </row>
    <row r="198" spans="1:1" x14ac:dyDescent="0.25">
      <c r="A198" s="265"/>
    </row>
    <row r="199" spans="1:1" x14ac:dyDescent="0.25">
      <c r="A199" s="265"/>
    </row>
    <row r="200" spans="1:1" x14ac:dyDescent="0.25">
      <c r="A200" s="265"/>
    </row>
    <row r="201" spans="1:1" x14ac:dyDescent="0.25">
      <c r="A201" s="265"/>
    </row>
    <row r="202" spans="1:1" x14ac:dyDescent="0.25">
      <c r="A202" s="265"/>
    </row>
    <row r="203" spans="1:1" x14ac:dyDescent="0.25">
      <c r="A203" s="265"/>
    </row>
    <row r="204" spans="1:1" x14ac:dyDescent="0.25">
      <c r="A204" s="265"/>
    </row>
    <row r="205" spans="1:1" x14ac:dyDescent="0.25">
      <c r="A205" s="265"/>
    </row>
    <row r="206" spans="1:1" x14ac:dyDescent="0.25">
      <c r="A206" s="265"/>
    </row>
    <row r="207" spans="1:1" x14ac:dyDescent="0.25">
      <c r="A207" s="265"/>
    </row>
    <row r="208" spans="1:1" x14ac:dyDescent="0.25">
      <c r="A208" s="265"/>
    </row>
    <row r="209" spans="1:1" x14ac:dyDescent="0.25">
      <c r="A209" s="265"/>
    </row>
    <row r="210" spans="1:1" x14ac:dyDescent="0.25">
      <c r="A210" s="265"/>
    </row>
    <row r="211" spans="1:1" x14ac:dyDescent="0.25">
      <c r="A211" s="265"/>
    </row>
    <row r="212" spans="1:1" x14ac:dyDescent="0.25">
      <c r="A212" s="265"/>
    </row>
    <row r="213" spans="1:1" x14ac:dyDescent="0.25">
      <c r="A213" s="265"/>
    </row>
    <row r="214" spans="1:1" x14ac:dyDescent="0.25">
      <c r="A214" s="265"/>
    </row>
    <row r="215" spans="1:1" x14ac:dyDescent="0.25">
      <c r="A215" s="265"/>
    </row>
    <row r="216" spans="1:1" x14ac:dyDescent="0.25">
      <c r="A216" s="265"/>
    </row>
    <row r="217" spans="1:1" x14ac:dyDescent="0.25">
      <c r="A217" s="265"/>
    </row>
    <row r="218" spans="1:1" x14ac:dyDescent="0.25">
      <c r="A218" s="265"/>
    </row>
    <row r="219" spans="1:1" x14ac:dyDescent="0.25">
      <c r="A219" s="265"/>
    </row>
    <row r="220" spans="1:1" x14ac:dyDescent="0.25">
      <c r="A220" s="265"/>
    </row>
    <row r="221" spans="1:1" x14ac:dyDescent="0.25">
      <c r="A221" s="265"/>
    </row>
    <row r="222" spans="1:1" x14ac:dyDescent="0.25">
      <c r="A222" s="265"/>
    </row>
    <row r="223" spans="1:1" x14ac:dyDescent="0.25">
      <c r="A223" s="265"/>
    </row>
    <row r="224" spans="1:1" x14ac:dyDescent="0.25">
      <c r="A224" s="265"/>
    </row>
    <row r="225" spans="1:1" x14ac:dyDescent="0.25">
      <c r="A225" s="265"/>
    </row>
    <row r="226" spans="1:1" x14ac:dyDescent="0.25">
      <c r="A226" s="265"/>
    </row>
    <row r="227" spans="1:1" x14ac:dyDescent="0.25">
      <c r="A227" s="265"/>
    </row>
    <row r="228" spans="1:1" x14ac:dyDescent="0.25">
      <c r="A228" s="265"/>
    </row>
    <row r="229" spans="1:1" x14ac:dyDescent="0.25">
      <c r="A229" s="265"/>
    </row>
    <row r="230" spans="1:1" x14ac:dyDescent="0.25">
      <c r="A230" s="265"/>
    </row>
    <row r="231" spans="1:1" x14ac:dyDescent="0.25">
      <c r="A231" s="265"/>
    </row>
    <row r="232" spans="1:1" x14ac:dyDescent="0.25">
      <c r="A232" s="265"/>
    </row>
    <row r="233" spans="1:1" x14ac:dyDescent="0.25">
      <c r="A233" s="265"/>
    </row>
    <row r="234" spans="1:1" x14ac:dyDescent="0.25">
      <c r="A234" s="265"/>
    </row>
    <row r="235" spans="1:1" x14ac:dyDescent="0.25">
      <c r="A235" s="265"/>
    </row>
    <row r="236" spans="1:1" x14ac:dyDescent="0.25">
      <c r="A236" s="265"/>
    </row>
    <row r="237" spans="1:1" x14ac:dyDescent="0.25">
      <c r="A237" s="265"/>
    </row>
    <row r="238" spans="1:1" x14ac:dyDescent="0.25">
      <c r="A238" s="265"/>
    </row>
    <row r="239" spans="1:1" x14ac:dyDescent="0.25">
      <c r="A239" s="265"/>
    </row>
    <row r="240" spans="1:1" x14ac:dyDescent="0.25">
      <c r="A240" s="265"/>
    </row>
    <row r="241" spans="1:1" x14ac:dyDescent="0.25">
      <c r="A241" s="265"/>
    </row>
    <row r="242" spans="1:1" x14ac:dyDescent="0.25">
      <c r="A242" s="265"/>
    </row>
    <row r="243" spans="1:1" x14ac:dyDescent="0.25">
      <c r="A243" s="265"/>
    </row>
    <row r="244" spans="1:1" x14ac:dyDescent="0.25">
      <c r="A244" s="265"/>
    </row>
    <row r="245" spans="1:1" x14ac:dyDescent="0.25">
      <c r="A245" s="265"/>
    </row>
    <row r="246" spans="1:1" x14ac:dyDescent="0.25">
      <c r="A246" s="265"/>
    </row>
    <row r="247" spans="1:1" x14ac:dyDescent="0.25">
      <c r="A247" s="265"/>
    </row>
    <row r="248" spans="1:1" x14ac:dyDescent="0.25">
      <c r="A248" s="265"/>
    </row>
    <row r="249" spans="1:1" x14ac:dyDescent="0.25">
      <c r="A249" s="265"/>
    </row>
    <row r="250" spans="1:1" x14ac:dyDescent="0.25">
      <c r="A250" s="265"/>
    </row>
    <row r="251" spans="1:1" x14ac:dyDescent="0.25">
      <c r="A251" s="265"/>
    </row>
    <row r="252" spans="1:1" x14ac:dyDescent="0.25">
      <c r="A252" s="265"/>
    </row>
    <row r="253" spans="1:1" x14ac:dyDescent="0.25">
      <c r="A253" s="265"/>
    </row>
    <row r="254" spans="1:1" x14ac:dyDescent="0.25">
      <c r="A254" s="265"/>
    </row>
    <row r="255" spans="1:1" x14ac:dyDescent="0.25">
      <c r="A255" s="265"/>
    </row>
    <row r="256" spans="1:1" x14ac:dyDescent="0.25">
      <c r="A256" s="265"/>
    </row>
    <row r="257" spans="1:1" x14ac:dyDescent="0.25">
      <c r="A257" s="265"/>
    </row>
    <row r="258" spans="1:1" x14ac:dyDescent="0.25">
      <c r="A258" s="265"/>
    </row>
    <row r="259" spans="1:1" x14ac:dyDescent="0.25">
      <c r="A259" s="265"/>
    </row>
    <row r="260" spans="1:1" x14ac:dyDescent="0.25">
      <c r="A260" s="265"/>
    </row>
    <row r="261" spans="1:1" x14ac:dyDescent="0.25">
      <c r="A261" s="265"/>
    </row>
    <row r="262" spans="1:1" x14ac:dyDescent="0.25">
      <c r="A262" s="265"/>
    </row>
    <row r="263" spans="1:1" x14ac:dyDescent="0.25">
      <c r="A263" s="265"/>
    </row>
    <row r="264" spans="1:1" x14ac:dyDescent="0.25">
      <c r="A264" s="265"/>
    </row>
    <row r="265" spans="1:1" x14ac:dyDescent="0.25">
      <c r="A265" s="265"/>
    </row>
    <row r="266" spans="1:1" x14ac:dyDescent="0.25">
      <c r="A266" s="265"/>
    </row>
    <row r="267" spans="1:1" x14ac:dyDescent="0.25">
      <c r="A267" s="265"/>
    </row>
    <row r="268" spans="1:1" x14ac:dyDescent="0.25">
      <c r="A268" s="265"/>
    </row>
    <row r="269" spans="1:1" x14ac:dyDescent="0.25">
      <c r="A269" s="265"/>
    </row>
    <row r="270" spans="1:1" x14ac:dyDescent="0.25">
      <c r="A270" s="265"/>
    </row>
    <row r="271" spans="1:1" x14ac:dyDescent="0.25">
      <c r="A271" s="265"/>
    </row>
    <row r="272" spans="1:1" x14ac:dyDescent="0.25">
      <c r="A272" s="265"/>
    </row>
    <row r="273" spans="1:1" x14ac:dyDescent="0.25">
      <c r="A273" s="265"/>
    </row>
    <row r="274" spans="1:1" x14ac:dyDescent="0.25">
      <c r="A274" s="265"/>
    </row>
    <row r="275" spans="1:1" x14ac:dyDescent="0.25">
      <c r="A275" s="265"/>
    </row>
    <row r="276" spans="1:1" x14ac:dyDescent="0.25">
      <c r="A276" s="265"/>
    </row>
    <row r="277" spans="1:1" x14ac:dyDescent="0.25">
      <c r="A277" s="265"/>
    </row>
    <row r="278" spans="1:1" x14ac:dyDescent="0.25">
      <c r="A278" s="265"/>
    </row>
    <row r="279" spans="1:1" x14ac:dyDescent="0.25">
      <c r="A279" s="265"/>
    </row>
    <row r="280" spans="1:1" x14ac:dyDescent="0.25">
      <c r="A280" s="265"/>
    </row>
    <row r="281" spans="1:1" x14ac:dyDescent="0.25">
      <c r="A281" s="265"/>
    </row>
    <row r="282" spans="1:1" x14ac:dyDescent="0.25">
      <c r="A282" s="265"/>
    </row>
    <row r="283" spans="1:1" x14ac:dyDescent="0.25">
      <c r="A283" s="265"/>
    </row>
    <row r="284" spans="1:1" x14ac:dyDescent="0.25">
      <c r="A284" s="265"/>
    </row>
    <row r="285" spans="1:1" x14ac:dyDescent="0.25">
      <c r="A285" s="265"/>
    </row>
    <row r="286" spans="1:1" x14ac:dyDescent="0.25">
      <c r="A286" s="265"/>
    </row>
    <row r="287" spans="1:1" x14ac:dyDescent="0.25">
      <c r="A287" s="265"/>
    </row>
    <row r="288" spans="1:1" x14ac:dyDescent="0.25">
      <c r="A288" s="265"/>
    </row>
    <row r="289" spans="1:1" x14ac:dyDescent="0.25">
      <c r="A289" s="265"/>
    </row>
    <row r="290" spans="1:1" x14ac:dyDescent="0.25">
      <c r="A290" s="265"/>
    </row>
    <row r="291" spans="1:1" x14ac:dyDescent="0.25">
      <c r="A291" s="265"/>
    </row>
    <row r="292" spans="1:1" x14ac:dyDescent="0.25">
      <c r="A292" s="265"/>
    </row>
    <row r="293" spans="1:1" x14ac:dyDescent="0.25">
      <c r="A293" s="265"/>
    </row>
    <row r="294" spans="1:1" x14ac:dyDescent="0.25">
      <c r="A294" s="265"/>
    </row>
    <row r="295" spans="1:1" x14ac:dyDescent="0.25">
      <c r="A295" s="265"/>
    </row>
    <row r="296" spans="1:1" x14ac:dyDescent="0.25">
      <c r="A296" s="265"/>
    </row>
    <row r="297" spans="1:1" x14ac:dyDescent="0.25">
      <c r="A297" s="265"/>
    </row>
    <row r="298" spans="1:1" x14ac:dyDescent="0.25">
      <c r="A298" s="265"/>
    </row>
    <row r="299" spans="1:1" x14ac:dyDescent="0.25">
      <c r="A299" s="265"/>
    </row>
    <row r="300" spans="1:1" x14ac:dyDescent="0.25">
      <c r="A300" s="265"/>
    </row>
    <row r="301" spans="1:1" x14ac:dyDescent="0.25">
      <c r="A301" s="265"/>
    </row>
    <row r="302" spans="1:1" x14ac:dyDescent="0.25">
      <c r="A302" s="265"/>
    </row>
    <row r="303" spans="1:1" x14ac:dyDescent="0.25">
      <c r="A303" s="265"/>
    </row>
    <row r="304" spans="1:1" x14ac:dyDescent="0.25">
      <c r="A304" s="265"/>
    </row>
    <row r="305" spans="1:1" x14ac:dyDescent="0.25">
      <c r="A305" s="265"/>
    </row>
    <row r="306" spans="1:1" x14ac:dyDescent="0.25">
      <c r="A306" s="265"/>
    </row>
    <row r="307" spans="1:1" x14ac:dyDescent="0.25">
      <c r="A307" s="265"/>
    </row>
    <row r="308" spans="1:1" x14ac:dyDescent="0.25">
      <c r="A308" s="265"/>
    </row>
    <row r="309" spans="1:1" x14ac:dyDescent="0.25">
      <c r="A309" s="265"/>
    </row>
    <row r="310" spans="1:1" x14ac:dyDescent="0.25">
      <c r="A310" s="265"/>
    </row>
    <row r="311" spans="1:1" x14ac:dyDescent="0.25">
      <c r="A311" s="265"/>
    </row>
    <row r="312" spans="1:1" x14ac:dyDescent="0.25">
      <c r="A312" s="265"/>
    </row>
    <row r="313" spans="1:1" x14ac:dyDescent="0.25">
      <c r="A313" s="265"/>
    </row>
    <row r="314" spans="1:1" x14ac:dyDescent="0.25">
      <c r="A314" s="265"/>
    </row>
    <row r="315" spans="1:1" x14ac:dyDescent="0.25">
      <c r="A315" s="265"/>
    </row>
    <row r="316" spans="1:1" x14ac:dyDescent="0.25">
      <c r="A316" s="265"/>
    </row>
    <row r="317" spans="1:1" x14ac:dyDescent="0.25">
      <c r="A317" s="265"/>
    </row>
    <row r="318" spans="1:1" x14ac:dyDescent="0.25">
      <c r="A318" s="265"/>
    </row>
    <row r="319" spans="1:1" x14ac:dyDescent="0.25">
      <c r="A319" s="265"/>
    </row>
    <row r="320" spans="1:1" x14ac:dyDescent="0.25">
      <c r="A320" s="265"/>
    </row>
    <row r="321" spans="1:1" x14ac:dyDescent="0.25">
      <c r="A321" s="265"/>
    </row>
    <row r="322" spans="1:1" x14ac:dyDescent="0.25">
      <c r="A322" s="265"/>
    </row>
    <row r="323" spans="1:1" x14ac:dyDescent="0.25">
      <c r="A323" s="265"/>
    </row>
    <row r="324" spans="1:1" x14ac:dyDescent="0.25">
      <c r="A324" s="265"/>
    </row>
    <row r="325" spans="1:1" x14ac:dyDescent="0.25">
      <c r="A325" s="265"/>
    </row>
    <row r="326" spans="1:1" x14ac:dyDescent="0.25">
      <c r="A326" s="265"/>
    </row>
    <row r="327" spans="1:1" x14ac:dyDescent="0.25">
      <c r="A327" s="265"/>
    </row>
    <row r="328" spans="1:1" x14ac:dyDescent="0.25">
      <c r="A328" s="265"/>
    </row>
    <row r="329" spans="1:1" x14ac:dyDescent="0.25">
      <c r="A329" s="265"/>
    </row>
    <row r="330" spans="1:1" x14ac:dyDescent="0.25">
      <c r="A330" s="265"/>
    </row>
    <row r="331" spans="1:1" x14ac:dyDescent="0.25">
      <c r="A331" s="265"/>
    </row>
    <row r="332" spans="1:1" x14ac:dyDescent="0.25">
      <c r="A332" s="265"/>
    </row>
    <row r="333" spans="1:1" x14ac:dyDescent="0.25">
      <c r="A333" s="265"/>
    </row>
    <row r="334" spans="1:1" x14ac:dyDescent="0.25">
      <c r="A334" s="265"/>
    </row>
    <row r="335" spans="1:1" x14ac:dyDescent="0.25">
      <c r="A335" s="265"/>
    </row>
    <row r="336" spans="1:1" x14ac:dyDescent="0.25">
      <c r="A336" s="265"/>
    </row>
    <row r="337" spans="1:1" x14ac:dyDescent="0.25">
      <c r="A337" s="265"/>
    </row>
    <row r="338" spans="1:1" x14ac:dyDescent="0.25">
      <c r="A338" s="265"/>
    </row>
    <row r="339" spans="1:1" x14ac:dyDescent="0.25">
      <c r="A339" s="265"/>
    </row>
    <row r="340" spans="1:1" x14ac:dyDescent="0.25">
      <c r="A340" s="265"/>
    </row>
    <row r="341" spans="1:1" x14ac:dyDescent="0.25">
      <c r="A341" s="265"/>
    </row>
    <row r="342" spans="1:1" x14ac:dyDescent="0.25">
      <c r="A342" s="265"/>
    </row>
    <row r="343" spans="1:1" x14ac:dyDescent="0.25">
      <c r="A343" s="265"/>
    </row>
    <row r="344" spans="1:1" x14ac:dyDescent="0.25">
      <c r="A344" s="265"/>
    </row>
    <row r="345" spans="1:1" x14ac:dyDescent="0.25">
      <c r="A345" s="265"/>
    </row>
    <row r="346" spans="1:1" x14ac:dyDescent="0.25">
      <c r="A346" s="265"/>
    </row>
    <row r="347" spans="1:1" x14ac:dyDescent="0.25">
      <c r="A347" s="265"/>
    </row>
    <row r="348" spans="1:1" x14ac:dyDescent="0.25">
      <c r="A348" s="265"/>
    </row>
    <row r="349" spans="1:1" x14ac:dyDescent="0.25">
      <c r="A349" s="265"/>
    </row>
    <row r="350" spans="1:1" x14ac:dyDescent="0.25">
      <c r="A350" s="265"/>
    </row>
    <row r="351" spans="1:1" x14ac:dyDescent="0.25">
      <c r="A351" s="265"/>
    </row>
    <row r="352" spans="1:1" x14ac:dyDescent="0.25">
      <c r="A352" s="265"/>
    </row>
    <row r="353" spans="1:1" x14ac:dyDescent="0.25">
      <c r="A353" s="265"/>
    </row>
    <row r="354" spans="1:1" x14ac:dyDescent="0.25">
      <c r="A354" s="265"/>
    </row>
    <row r="355" spans="1:1" x14ac:dyDescent="0.25">
      <c r="A355" s="265"/>
    </row>
    <row r="356" spans="1:1" x14ac:dyDescent="0.25">
      <c r="A356" s="265"/>
    </row>
    <row r="357" spans="1:1" x14ac:dyDescent="0.25">
      <c r="A357" s="265"/>
    </row>
    <row r="358" spans="1:1" x14ac:dyDescent="0.25">
      <c r="A358" s="265"/>
    </row>
    <row r="359" spans="1:1" x14ac:dyDescent="0.25">
      <c r="A359" s="265"/>
    </row>
    <row r="360" spans="1:1" x14ac:dyDescent="0.25">
      <c r="A360" s="265"/>
    </row>
    <row r="361" spans="1:1" x14ac:dyDescent="0.25">
      <c r="A361" s="265"/>
    </row>
    <row r="362" spans="1:1" x14ac:dyDescent="0.25">
      <c r="A362" s="265"/>
    </row>
    <row r="363" spans="1:1" x14ac:dyDescent="0.25">
      <c r="A363" s="265"/>
    </row>
    <row r="364" spans="1:1" x14ac:dyDescent="0.25">
      <c r="A364" s="265"/>
    </row>
    <row r="365" spans="1:1" x14ac:dyDescent="0.25">
      <c r="A365" s="265"/>
    </row>
    <row r="366" spans="1:1" x14ac:dyDescent="0.25">
      <c r="A366" s="265"/>
    </row>
    <row r="367" spans="1:1" x14ac:dyDescent="0.25">
      <c r="A367" s="265"/>
    </row>
    <row r="368" spans="1:1" x14ac:dyDescent="0.25">
      <c r="A368" s="265"/>
    </row>
    <row r="369" spans="1:1" x14ac:dyDescent="0.25">
      <c r="A369" s="265"/>
    </row>
    <row r="370" spans="1:1" x14ac:dyDescent="0.25">
      <c r="A370" s="265"/>
    </row>
    <row r="371" spans="1:1" x14ac:dyDescent="0.25">
      <c r="A371" s="265"/>
    </row>
    <row r="372" spans="1:1" x14ac:dyDescent="0.25">
      <c r="A372" s="265"/>
    </row>
    <row r="373" spans="1:1" x14ac:dyDescent="0.25">
      <c r="A373" s="265"/>
    </row>
    <row r="374" spans="1:1" x14ac:dyDescent="0.25">
      <c r="A374" s="265"/>
    </row>
    <row r="375" spans="1:1" x14ac:dyDescent="0.25">
      <c r="A375" s="265"/>
    </row>
    <row r="376" spans="1:1" x14ac:dyDescent="0.25">
      <c r="A376" s="265"/>
    </row>
    <row r="377" spans="1:1" x14ac:dyDescent="0.25">
      <c r="A377" s="265"/>
    </row>
    <row r="378" spans="1:1" x14ac:dyDescent="0.25">
      <c r="A378" s="265"/>
    </row>
    <row r="379" spans="1:1" x14ac:dyDescent="0.25">
      <c r="A379" s="265"/>
    </row>
    <row r="380" spans="1:1" x14ac:dyDescent="0.25">
      <c r="A380" s="265"/>
    </row>
    <row r="381" spans="1:1" x14ac:dyDescent="0.25">
      <c r="A381" s="265"/>
    </row>
    <row r="382" spans="1:1" x14ac:dyDescent="0.25">
      <c r="A382" s="265"/>
    </row>
    <row r="383" spans="1:1" x14ac:dyDescent="0.25">
      <c r="A383" s="265"/>
    </row>
    <row r="384" spans="1:1" x14ac:dyDescent="0.25">
      <c r="A384" s="265"/>
    </row>
    <row r="385" spans="1:1" x14ac:dyDescent="0.25">
      <c r="A385" s="265"/>
    </row>
    <row r="386" spans="1:1" x14ac:dyDescent="0.25">
      <c r="A386" s="265"/>
    </row>
    <row r="387" spans="1:1" x14ac:dyDescent="0.25">
      <c r="A387" s="265"/>
    </row>
    <row r="388" spans="1:1" x14ac:dyDescent="0.25">
      <c r="A388" s="265"/>
    </row>
    <row r="389" spans="1:1" x14ac:dyDescent="0.25">
      <c r="A389" s="265"/>
    </row>
    <row r="390" spans="1:1" x14ac:dyDescent="0.25">
      <c r="A390" s="265"/>
    </row>
    <row r="391" spans="1:1" x14ac:dyDescent="0.25">
      <c r="A391" s="265"/>
    </row>
    <row r="392" spans="1:1" x14ac:dyDescent="0.25">
      <c r="A392" s="265"/>
    </row>
    <row r="393" spans="1:1" x14ac:dyDescent="0.25">
      <c r="A393" s="265"/>
    </row>
    <row r="394" spans="1:1" x14ac:dyDescent="0.25">
      <c r="A394" s="265"/>
    </row>
    <row r="395" spans="1:1" x14ac:dyDescent="0.25">
      <c r="A395" s="265"/>
    </row>
    <row r="396" spans="1:1" x14ac:dyDescent="0.25">
      <c r="A396" s="265"/>
    </row>
    <row r="397" spans="1:1" x14ac:dyDescent="0.25">
      <c r="A397" s="265"/>
    </row>
    <row r="398" spans="1:1" x14ac:dyDescent="0.25">
      <c r="A398" s="265"/>
    </row>
    <row r="399" spans="1:1" x14ac:dyDescent="0.25">
      <c r="A399" s="265"/>
    </row>
    <row r="400" spans="1:1" x14ac:dyDescent="0.25">
      <c r="A400" s="265"/>
    </row>
    <row r="401" spans="1:1" x14ac:dyDescent="0.25">
      <c r="A401" s="265"/>
    </row>
    <row r="402" spans="1:1" x14ac:dyDescent="0.25">
      <c r="A402" s="265"/>
    </row>
    <row r="403" spans="1:1" x14ac:dyDescent="0.25">
      <c r="A403" s="265"/>
    </row>
    <row r="404" spans="1:1" x14ac:dyDescent="0.25">
      <c r="A404" s="265"/>
    </row>
    <row r="405" spans="1:1" x14ac:dyDescent="0.25">
      <c r="A405" s="265"/>
    </row>
    <row r="406" spans="1:1" x14ac:dyDescent="0.25">
      <c r="A406" s="265"/>
    </row>
    <row r="407" spans="1:1" x14ac:dyDescent="0.25">
      <c r="A407" s="265"/>
    </row>
    <row r="408" spans="1:1" x14ac:dyDescent="0.25">
      <c r="A408" s="265"/>
    </row>
    <row r="409" spans="1:1" x14ac:dyDescent="0.25">
      <c r="A409" s="265"/>
    </row>
    <row r="410" spans="1:1" x14ac:dyDescent="0.25">
      <c r="A410" s="265"/>
    </row>
    <row r="411" spans="1:1" x14ac:dyDescent="0.25">
      <c r="A411" s="265"/>
    </row>
    <row r="412" spans="1:1" x14ac:dyDescent="0.25">
      <c r="A412" s="265"/>
    </row>
    <row r="413" spans="1:1" x14ac:dyDescent="0.25">
      <c r="A413" s="265"/>
    </row>
    <row r="414" spans="1:1" x14ac:dyDescent="0.25">
      <c r="A414" s="265"/>
    </row>
    <row r="415" spans="1:1" x14ac:dyDescent="0.25">
      <c r="A415" s="265"/>
    </row>
    <row r="416" spans="1:1" x14ac:dyDescent="0.25">
      <c r="A416" s="265"/>
    </row>
    <row r="417" spans="1:1" x14ac:dyDescent="0.25">
      <c r="A417" s="265"/>
    </row>
    <row r="418" spans="1:1" x14ac:dyDescent="0.25">
      <c r="A418" s="265"/>
    </row>
    <row r="419" spans="1:1" x14ac:dyDescent="0.25">
      <c r="A419" s="265"/>
    </row>
    <row r="420" spans="1:1" x14ac:dyDescent="0.25">
      <c r="A420" s="265"/>
    </row>
    <row r="421" spans="1:1" x14ac:dyDescent="0.25">
      <c r="A421" s="265"/>
    </row>
    <row r="422" spans="1:1" x14ac:dyDescent="0.25">
      <c r="A422" s="265"/>
    </row>
    <row r="423" spans="1:1" x14ac:dyDescent="0.25">
      <c r="A423" s="265"/>
    </row>
    <row r="424" spans="1:1" x14ac:dyDescent="0.25">
      <c r="A424" s="265"/>
    </row>
    <row r="425" spans="1:1" x14ac:dyDescent="0.25">
      <c r="A425" s="265"/>
    </row>
    <row r="426" spans="1:1" x14ac:dyDescent="0.25">
      <c r="A426" s="265"/>
    </row>
    <row r="427" spans="1:1" x14ac:dyDescent="0.25">
      <c r="A427" s="265"/>
    </row>
    <row r="428" spans="1:1" x14ac:dyDescent="0.25">
      <c r="A428" s="265"/>
    </row>
    <row r="429" spans="1:1" x14ac:dyDescent="0.25">
      <c r="A429" s="265"/>
    </row>
    <row r="430" spans="1:1" x14ac:dyDescent="0.25">
      <c r="A430" s="265"/>
    </row>
    <row r="431" spans="1:1" x14ac:dyDescent="0.25">
      <c r="A431" s="265"/>
    </row>
    <row r="432" spans="1:1" x14ac:dyDescent="0.25">
      <c r="A432" s="265"/>
    </row>
    <row r="433" spans="1:1" x14ac:dyDescent="0.25">
      <c r="A433" s="265"/>
    </row>
    <row r="434" spans="1:1" x14ac:dyDescent="0.25">
      <c r="A434" s="265"/>
    </row>
    <row r="435" spans="1:1" x14ac:dyDescent="0.25">
      <c r="A435" s="265"/>
    </row>
    <row r="436" spans="1:1" x14ac:dyDescent="0.25">
      <c r="A436" s="265"/>
    </row>
    <row r="437" spans="1:1" x14ac:dyDescent="0.25">
      <c r="A437" s="265"/>
    </row>
    <row r="438" spans="1:1" x14ac:dyDescent="0.25">
      <c r="A438" s="265"/>
    </row>
    <row r="439" spans="1:1" x14ac:dyDescent="0.25">
      <c r="A439" s="265"/>
    </row>
    <row r="440" spans="1:1" x14ac:dyDescent="0.25">
      <c r="A440" s="265"/>
    </row>
    <row r="441" spans="1:1" x14ac:dyDescent="0.25">
      <c r="A441" s="265"/>
    </row>
    <row r="442" spans="1:1" x14ac:dyDescent="0.25">
      <c r="A442" s="265"/>
    </row>
    <row r="443" spans="1:1" x14ac:dyDescent="0.25">
      <c r="A443" s="265"/>
    </row>
    <row r="444" spans="1:1" x14ac:dyDescent="0.25">
      <c r="A444" s="265"/>
    </row>
    <row r="445" spans="1:1" x14ac:dyDescent="0.25">
      <c r="A445" s="265"/>
    </row>
    <row r="446" spans="1:1" x14ac:dyDescent="0.25">
      <c r="A446" s="265"/>
    </row>
    <row r="447" spans="1:1" x14ac:dyDescent="0.25">
      <c r="A447" s="265"/>
    </row>
    <row r="448" spans="1:1" x14ac:dyDescent="0.25">
      <c r="A448" s="265"/>
    </row>
    <row r="449" spans="1:1" x14ac:dyDescent="0.25">
      <c r="A449" s="265"/>
    </row>
    <row r="450" spans="1:1" x14ac:dyDescent="0.25">
      <c r="A450" s="265"/>
    </row>
    <row r="451" spans="1:1" x14ac:dyDescent="0.25">
      <c r="A451" s="265"/>
    </row>
    <row r="452" spans="1:1" x14ac:dyDescent="0.25">
      <c r="A452" s="265"/>
    </row>
    <row r="453" spans="1:1" x14ac:dyDescent="0.25">
      <c r="A453" s="265"/>
    </row>
    <row r="454" spans="1:1" x14ac:dyDescent="0.25">
      <c r="A454" s="265"/>
    </row>
    <row r="455" spans="1:1" x14ac:dyDescent="0.25">
      <c r="A455" s="265"/>
    </row>
    <row r="456" spans="1:1" x14ac:dyDescent="0.25">
      <c r="A456" s="265"/>
    </row>
    <row r="457" spans="1:1" x14ac:dyDescent="0.25">
      <c r="A457" s="265"/>
    </row>
    <row r="458" spans="1:1" x14ac:dyDescent="0.25">
      <c r="A458" s="265"/>
    </row>
    <row r="459" spans="1:1" x14ac:dyDescent="0.25">
      <c r="A459" s="265"/>
    </row>
    <row r="460" spans="1:1" x14ac:dyDescent="0.25">
      <c r="A460" s="265"/>
    </row>
    <row r="461" spans="1:1" x14ac:dyDescent="0.25">
      <c r="A461" s="265"/>
    </row>
    <row r="462" spans="1:1" x14ac:dyDescent="0.25">
      <c r="A462" s="265"/>
    </row>
    <row r="463" spans="1:1" x14ac:dyDescent="0.25">
      <c r="A463" s="265"/>
    </row>
    <row r="464" spans="1:1" x14ac:dyDescent="0.25">
      <c r="A464" s="265"/>
    </row>
    <row r="465" spans="1:1" x14ac:dyDescent="0.25">
      <c r="A465" s="265"/>
    </row>
    <row r="466" spans="1:1" x14ac:dyDescent="0.25">
      <c r="A466" s="265"/>
    </row>
    <row r="467" spans="1:1" x14ac:dyDescent="0.25">
      <c r="A467" s="265"/>
    </row>
    <row r="468" spans="1:1" x14ac:dyDescent="0.25">
      <c r="A468" s="265"/>
    </row>
    <row r="469" spans="1:1" x14ac:dyDescent="0.25">
      <c r="A469" s="265"/>
    </row>
    <row r="470" spans="1:1" x14ac:dyDescent="0.25">
      <c r="A470" s="265"/>
    </row>
    <row r="471" spans="1:1" x14ac:dyDescent="0.25">
      <c r="A471" s="265"/>
    </row>
    <row r="472" spans="1:1" x14ac:dyDescent="0.25">
      <c r="A472" s="265"/>
    </row>
    <row r="473" spans="1:1" x14ac:dyDescent="0.25">
      <c r="A473" s="265"/>
    </row>
    <row r="474" spans="1:1" x14ac:dyDescent="0.25">
      <c r="A474" s="265"/>
    </row>
    <row r="475" spans="1:1" x14ac:dyDescent="0.25">
      <c r="A475" s="265"/>
    </row>
    <row r="476" spans="1:1" x14ac:dyDescent="0.25">
      <c r="A476" s="265"/>
    </row>
    <row r="477" spans="1:1" x14ac:dyDescent="0.25">
      <c r="A477" s="265"/>
    </row>
    <row r="478" spans="1:1" x14ac:dyDescent="0.25">
      <c r="A478" s="265"/>
    </row>
    <row r="479" spans="1:1" x14ac:dyDescent="0.25">
      <c r="A479" s="265"/>
    </row>
    <row r="480" spans="1:1" x14ac:dyDescent="0.25">
      <c r="A480" s="265"/>
    </row>
    <row r="481" spans="1:1" x14ac:dyDescent="0.25">
      <c r="A481" s="265"/>
    </row>
    <row r="482" spans="1:1" x14ac:dyDescent="0.25">
      <c r="A482" s="265"/>
    </row>
    <row r="483" spans="1:1" x14ac:dyDescent="0.25">
      <c r="A483" s="265"/>
    </row>
    <row r="484" spans="1:1" x14ac:dyDescent="0.25">
      <c r="A484" s="265"/>
    </row>
    <row r="485" spans="1:1" x14ac:dyDescent="0.25">
      <c r="A485" s="265"/>
    </row>
    <row r="486" spans="1:1" x14ac:dyDescent="0.25">
      <c r="A486" s="265"/>
    </row>
    <row r="487" spans="1:1" x14ac:dyDescent="0.25">
      <c r="A487" s="265"/>
    </row>
    <row r="488" spans="1:1" x14ac:dyDescent="0.25">
      <c r="A488" s="265"/>
    </row>
    <row r="489" spans="1:1" x14ac:dyDescent="0.25">
      <c r="A489" s="265"/>
    </row>
    <row r="490" spans="1:1" x14ac:dyDescent="0.25">
      <c r="A490" s="265"/>
    </row>
    <row r="491" spans="1:1" x14ac:dyDescent="0.25">
      <c r="A491" s="265"/>
    </row>
    <row r="492" spans="1:1" x14ac:dyDescent="0.25">
      <c r="A492" s="265"/>
    </row>
    <row r="493" spans="1:1" x14ac:dyDescent="0.25">
      <c r="A493" s="265"/>
    </row>
    <row r="494" spans="1:1" x14ac:dyDescent="0.25">
      <c r="A494" s="265"/>
    </row>
    <row r="495" spans="1:1" x14ac:dyDescent="0.25">
      <c r="A495" s="265"/>
    </row>
    <row r="496" spans="1:1" x14ac:dyDescent="0.25">
      <c r="A496" s="265"/>
    </row>
    <row r="497" spans="1:1" x14ac:dyDescent="0.25">
      <c r="A497" s="265"/>
    </row>
    <row r="498" spans="1:1" x14ac:dyDescent="0.25">
      <c r="A498" s="265"/>
    </row>
    <row r="499" spans="1:1" x14ac:dyDescent="0.25">
      <c r="A499" s="265"/>
    </row>
    <row r="500" spans="1:1" x14ac:dyDescent="0.25">
      <c r="A500" s="265"/>
    </row>
    <row r="501" spans="1:1" x14ac:dyDescent="0.25">
      <c r="A501" s="265"/>
    </row>
    <row r="502" spans="1:1" x14ac:dyDescent="0.25">
      <c r="A502" s="265"/>
    </row>
    <row r="503" spans="1:1" x14ac:dyDescent="0.25">
      <c r="A503" s="265"/>
    </row>
    <row r="504" spans="1:1" x14ac:dyDescent="0.25">
      <c r="A504" s="265"/>
    </row>
    <row r="505" spans="1:1" x14ac:dyDescent="0.25">
      <c r="A505" s="265"/>
    </row>
    <row r="506" spans="1:1" x14ac:dyDescent="0.25">
      <c r="A506" s="265"/>
    </row>
    <row r="507" spans="1:1" x14ac:dyDescent="0.25">
      <c r="A507" s="265"/>
    </row>
    <row r="508" spans="1:1" x14ac:dyDescent="0.25">
      <c r="A508" s="265"/>
    </row>
    <row r="509" spans="1:1" x14ac:dyDescent="0.25">
      <c r="A509" s="265"/>
    </row>
    <row r="510" spans="1:1" x14ac:dyDescent="0.25">
      <c r="A510" s="265"/>
    </row>
    <row r="511" spans="1:1" x14ac:dyDescent="0.25">
      <c r="A511" s="265"/>
    </row>
    <row r="512" spans="1:1" x14ac:dyDescent="0.25">
      <c r="A512" s="265"/>
    </row>
    <row r="513" spans="1:1" x14ac:dyDescent="0.25">
      <c r="A513" s="265"/>
    </row>
    <row r="514" spans="1:1" x14ac:dyDescent="0.25">
      <c r="A514" s="265"/>
    </row>
    <row r="515" spans="1:1" x14ac:dyDescent="0.25">
      <c r="A515" s="265"/>
    </row>
    <row r="516" spans="1:1" x14ac:dyDescent="0.25">
      <c r="A516" s="265"/>
    </row>
    <row r="517" spans="1:1" x14ac:dyDescent="0.25">
      <c r="A517" s="265"/>
    </row>
    <row r="518" spans="1:1" x14ac:dyDescent="0.25">
      <c r="A518" s="265"/>
    </row>
    <row r="519" spans="1:1" x14ac:dyDescent="0.25">
      <c r="A519" s="265"/>
    </row>
    <row r="520" spans="1:1" x14ac:dyDescent="0.25">
      <c r="A520" s="265"/>
    </row>
    <row r="521" spans="1:1" x14ac:dyDescent="0.25">
      <c r="A521" s="265"/>
    </row>
    <row r="522" spans="1:1" x14ac:dyDescent="0.25">
      <c r="A522" s="265"/>
    </row>
    <row r="523" spans="1:1" x14ac:dyDescent="0.25">
      <c r="A523" s="265"/>
    </row>
    <row r="524" spans="1:1" x14ac:dyDescent="0.25">
      <c r="A524" s="265"/>
    </row>
    <row r="525" spans="1:1" x14ac:dyDescent="0.25">
      <c r="A525" s="265"/>
    </row>
    <row r="526" spans="1:1" x14ac:dyDescent="0.25">
      <c r="A526" s="265"/>
    </row>
    <row r="527" spans="1:1" x14ac:dyDescent="0.25">
      <c r="A527" s="265"/>
    </row>
    <row r="528" spans="1:1" x14ac:dyDescent="0.25">
      <c r="A528" s="265"/>
    </row>
    <row r="529" spans="1:1" x14ac:dyDescent="0.25">
      <c r="A529" s="265"/>
    </row>
    <row r="530" spans="1:1" x14ac:dyDescent="0.25">
      <c r="A530" s="265"/>
    </row>
    <row r="531" spans="1:1" x14ac:dyDescent="0.25">
      <c r="A531" s="265"/>
    </row>
    <row r="532" spans="1:1" x14ac:dyDescent="0.25">
      <c r="A532" s="265"/>
    </row>
    <row r="533" spans="1:1" x14ac:dyDescent="0.25">
      <c r="A533" s="265"/>
    </row>
    <row r="534" spans="1:1" x14ac:dyDescent="0.25">
      <c r="A534" s="265"/>
    </row>
    <row r="535" spans="1:1" x14ac:dyDescent="0.25">
      <c r="A535" s="265"/>
    </row>
    <row r="536" spans="1:1" x14ac:dyDescent="0.25">
      <c r="A536" s="265"/>
    </row>
    <row r="537" spans="1:1" x14ac:dyDescent="0.25">
      <c r="A537" s="265"/>
    </row>
    <row r="538" spans="1:1" x14ac:dyDescent="0.25">
      <c r="A538" s="265"/>
    </row>
    <row r="539" spans="1:1" x14ac:dyDescent="0.25">
      <c r="A539" s="265"/>
    </row>
    <row r="540" spans="1:1" x14ac:dyDescent="0.25">
      <c r="A540" s="265"/>
    </row>
    <row r="541" spans="1:1" x14ac:dyDescent="0.25">
      <c r="A541" s="265"/>
    </row>
    <row r="542" spans="1:1" x14ac:dyDescent="0.25">
      <c r="A542" s="265"/>
    </row>
    <row r="543" spans="1:1" x14ac:dyDescent="0.25">
      <c r="A543" s="265"/>
    </row>
    <row r="544" spans="1:1" x14ac:dyDescent="0.25">
      <c r="A544" s="265"/>
    </row>
    <row r="545" spans="1:1" x14ac:dyDescent="0.25">
      <c r="A545" s="265"/>
    </row>
    <row r="546" spans="1:1" x14ac:dyDescent="0.25">
      <c r="A546" s="265"/>
    </row>
    <row r="547" spans="1:1" x14ac:dyDescent="0.25">
      <c r="A547" s="265"/>
    </row>
    <row r="548" spans="1:1" x14ac:dyDescent="0.25">
      <c r="A548" s="265"/>
    </row>
    <row r="549" spans="1:1" x14ac:dyDescent="0.25">
      <c r="A549" s="265"/>
    </row>
    <row r="550" spans="1:1" x14ac:dyDescent="0.25">
      <c r="A550" s="265"/>
    </row>
    <row r="551" spans="1:1" x14ac:dyDescent="0.25">
      <c r="A551" s="265"/>
    </row>
    <row r="552" spans="1:1" x14ac:dyDescent="0.25">
      <c r="A552" s="265"/>
    </row>
    <row r="553" spans="1:1" x14ac:dyDescent="0.25">
      <c r="A553" s="265"/>
    </row>
    <row r="554" spans="1:1" x14ac:dyDescent="0.25">
      <c r="A554" s="265"/>
    </row>
    <row r="555" spans="1:1" x14ac:dyDescent="0.25">
      <c r="A555" s="265"/>
    </row>
    <row r="556" spans="1:1" x14ac:dyDescent="0.25">
      <c r="A556" s="265"/>
    </row>
    <row r="557" spans="1:1" x14ac:dyDescent="0.25">
      <c r="A557" s="265"/>
    </row>
    <row r="558" spans="1:1" x14ac:dyDescent="0.25">
      <c r="A558" s="265"/>
    </row>
    <row r="559" spans="1:1" x14ac:dyDescent="0.25">
      <c r="A559" s="265"/>
    </row>
    <row r="560" spans="1:1" x14ac:dyDescent="0.25">
      <c r="A560" s="265"/>
    </row>
    <row r="561" spans="1:1" x14ac:dyDescent="0.25">
      <c r="A561" s="265"/>
    </row>
    <row r="562" spans="1:1" x14ac:dyDescent="0.25">
      <c r="A562" s="265"/>
    </row>
    <row r="563" spans="1:1" x14ac:dyDescent="0.25">
      <c r="A563" s="265"/>
    </row>
    <row r="564" spans="1:1" x14ac:dyDescent="0.25">
      <c r="A564" s="265"/>
    </row>
    <row r="565" spans="1:1" x14ac:dyDescent="0.25">
      <c r="A565" s="265"/>
    </row>
    <row r="566" spans="1:1" x14ac:dyDescent="0.25">
      <c r="A566" s="265"/>
    </row>
    <row r="567" spans="1:1" x14ac:dyDescent="0.25">
      <c r="A567" s="265"/>
    </row>
    <row r="568" spans="1:1" x14ac:dyDescent="0.25">
      <c r="A568" s="265"/>
    </row>
    <row r="569" spans="1:1" x14ac:dyDescent="0.25">
      <c r="A569" s="265"/>
    </row>
    <row r="570" spans="1:1" x14ac:dyDescent="0.25">
      <c r="A570" s="265"/>
    </row>
    <row r="571" spans="1:1" x14ac:dyDescent="0.25">
      <c r="A571" s="265"/>
    </row>
    <row r="572" spans="1:1" x14ac:dyDescent="0.25">
      <c r="A572" s="265"/>
    </row>
    <row r="573" spans="1:1" x14ac:dyDescent="0.25">
      <c r="A573" s="265"/>
    </row>
    <row r="574" spans="1:1" x14ac:dyDescent="0.25">
      <c r="A574" s="265"/>
    </row>
    <row r="575" spans="1:1" x14ac:dyDescent="0.25">
      <c r="A575" s="265"/>
    </row>
    <row r="576" spans="1:1" x14ac:dyDescent="0.25">
      <c r="A576" s="265"/>
    </row>
    <row r="577" spans="1:1" x14ac:dyDescent="0.25">
      <c r="A577" s="265"/>
    </row>
    <row r="578" spans="1:1" x14ac:dyDescent="0.25">
      <c r="A578" s="265"/>
    </row>
    <row r="579" spans="1:1" x14ac:dyDescent="0.25">
      <c r="A579" s="265"/>
    </row>
    <row r="580" spans="1:1" x14ac:dyDescent="0.25">
      <c r="A580" s="265"/>
    </row>
    <row r="581" spans="1:1" x14ac:dyDescent="0.25">
      <c r="A581" s="265"/>
    </row>
    <row r="582" spans="1:1" x14ac:dyDescent="0.25">
      <c r="A582" s="265"/>
    </row>
    <row r="583" spans="1:1" x14ac:dyDescent="0.25">
      <c r="A583" s="265"/>
    </row>
    <row r="584" spans="1:1" x14ac:dyDescent="0.25">
      <c r="A584" s="265"/>
    </row>
    <row r="585" spans="1:1" x14ac:dyDescent="0.25">
      <c r="A585" s="265"/>
    </row>
    <row r="586" spans="1:1" x14ac:dyDescent="0.25">
      <c r="A586" s="265"/>
    </row>
    <row r="587" spans="1:1" x14ac:dyDescent="0.25">
      <c r="A587" s="265"/>
    </row>
    <row r="588" spans="1:1" x14ac:dyDescent="0.25">
      <c r="A588" s="265"/>
    </row>
    <row r="589" spans="1:1" x14ac:dyDescent="0.25">
      <c r="A589" s="265"/>
    </row>
    <row r="590" spans="1:1" x14ac:dyDescent="0.25">
      <c r="A590" s="265"/>
    </row>
    <row r="591" spans="1:1" x14ac:dyDescent="0.25">
      <c r="A591" s="265"/>
    </row>
    <row r="592" spans="1:1" x14ac:dyDescent="0.25">
      <c r="A592" s="265"/>
    </row>
    <row r="593" spans="1:1" x14ac:dyDescent="0.25">
      <c r="A593" s="265"/>
    </row>
    <row r="594" spans="1:1" x14ac:dyDescent="0.25">
      <c r="A594" s="265"/>
    </row>
    <row r="595" spans="1:1" x14ac:dyDescent="0.25">
      <c r="A595" s="265"/>
    </row>
    <row r="596" spans="1:1" x14ac:dyDescent="0.25">
      <c r="A596" s="265"/>
    </row>
    <row r="597" spans="1:1" x14ac:dyDescent="0.25">
      <c r="A597" s="265"/>
    </row>
    <row r="598" spans="1:1" x14ac:dyDescent="0.25">
      <c r="A598" s="265"/>
    </row>
    <row r="599" spans="1:1" x14ac:dyDescent="0.25">
      <c r="A599" s="265"/>
    </row>
    <row r="600" spans="1:1" x14ac:dyDescent="0.25">
      <c r="A600" s="265"/>
    </row>
    <row r="601" spans="1:1" x14ac:dyDescent="0.25">
      <c r="A601" s="265"/>
    </row>
    <row r="602" spans="1:1" x14ac:dyDescent="0.25">
      <c r="A602" s="265"/>
    </row>
    <row r="603" spans="1:1" x14ac:dyDescent="0.25">
      <c r="A603" s="265"/>
    </row>
    <row r="604" spans="1:1" x14ac:dyDescent="0.25">
      <c r="A604" s="265"/>
    </row>
    <row r="605" spans="1:1" x14ac:dyDescent="0.25">
      <c r="A605" s="265"/>
    </row>
    <row r="606" spans="1:1" x14ac:dyDescent="0.25">
      <c r="A606" s="265"/>
    </row>
    <row r="607" spans="1:1" x14ac:dyDescent="0.25">
      <c r="A607" s="265"/>
    </row>
    <row r="608" spans="1:1" x14ac:dyDescent="0.25">
      <c r="A608" s="265"/>
    </row>
    <row r="609" spans="1:1" x14ac:dyDescent="0.25">
      <c r="A609" s="265"/>
    </row>
    <row r="610" spans="1:1" x14ac:dyDescent="0.25">
      <c r="A610" s="265"/>
    </row>
    <row r="611" spans="1:1" x14ac:dyDescent="0.25">
      <c r="A611" s="265"/>
    </row>
    <row r="612" spans="1:1" x14ac:dyDescent="0.25">
      <c r="A612" s="265"/>
    </row>
    <row r="613" spans="1:1" x14ac:dyDescent="0.25">
      <c r="A613" s="265"/>
    </row>
    <row r="614" spans="1:1" x14ac:dyDescent="0.25">
      <c r="A614" s="265"/>
    </row>
    <row r="615" spans="1:1" x14ac:dyDescent="0.25">
      <c r="A615" s="265"/>
    </row>
    <row r="616" spans="1:1" x14ac:dyDescent="0.25">
      <c r="A616" s="265"/>
    </row>
    <row r="617" spans="1:1" x14ac:dyDescent="0.25">
      <c r="A617" s="265"/>
    </row>
    <row r="618" spans="1:1" x14ac:dyDescent="0.25">
      <c r="A618" s="265"/>
    </row>
    <row r="619" spans="1:1" x14ac:dyDescent="0.25">
      <c r="A619" s="265"/>
    </row>
    <row r="620" spans="1:1" x14ac:dyDescent="0.25">
      <c r="A620" s="265"/>
    </row>
    <row r="621" spans="1:1" x14ac:dyDescent="0.25">
      <c r="A621" s="265"/>
    </row>
    <row r="622" spans="1:1" x14ac:dyDescent="0.25">
      <c r="A622" s="265"/>
    </row>
    <row r="623" spans="1:1" x14ac:dyDescent="0.25">
      <c r="A623" s="265"/>
    </row>
    <row r="624" spans="1:1" x14ac:dyDescent="0.25">
      <c r="A624" s="265"/>
    </row>
    <row r="625" spans="1:1" x14ac:dyDescent="0.25">
      <c r="A625" s="265"/>
    </row>
    <row r="626" spans="1:1" x14ac:dyDescent="0.25">
      <c r="A626" s="265"/>
    </row>
    <row r="627" spans="1:1" x14ac:dyDescent="0.25">
      <c r="A627" s="265"/>
    </row>
    <row r="628" spans="1:1" x14ac:dyDescent="0.25">
      <c r="A628" s="265"/>
    </row>
    <row r="629" spans="1:1" x14ac:dyDescent="0.25">
      <c r="A629" s="265"/>
    </row>
    <row r="630" spans="1:1" x14ac:dyDescent="0.25">
      <c r="A630" s="265"/>
    </row>
    <row r="631" spans="1:1" x14ac:dyDescent="0.25">
      <c r="A631" s="265"/>
    </row>
    <row r="632" spans="1:1" x14ac:dyDescent="0.25">
      <c r="A632" s="265"/>
    </row>
    <row r="633" spans="1:1" x14ac:dyDescent="0.25">
      <c r="A633" s="265"/>
    </row>
    <row r="634" spans="1:1" x14ac:dyDescent="0.25">
      <c r="A634" s="265"/>
    </row>
    <row r="635" spans="1:1" x14ac:dyDescent="0.25">
      <c r="A635" s="265"/>
    </row>
    <row r="636" spans="1:1" x14ac:dyDescent="0.25">
      <c r="A636" s="265"/>
    </row>
    <row r="637" spans="1:1" x14ac:dyDescent="0.25">
      <c r="A637" s="265"/>
    </row>
    <row r="638" spans="1:1" x14ac:dyDescent="0.25">
      <c r="A638" s="265"/>
    </row>
    <row r="639" spans="1:1" x14ac:dyDescent="0.25">
      <c r="A639" s="265"/>
    </row>
    <row r="640" spans="1:1" x14ac:dyDescent="0.25">
      <c r="A640" s="265"/>
    </row>
    <row r="641" spans="1:1" x14ac:dyDescent="0.25">
      <c r="A641" s="265"/>
    </row>
    <row r="642" spans="1:1" x14ac:dyDescent="0.25">
      <c r="A642" s="265"/>
    </row>
    <row r="643" spans="1:1" x14ac:dyDescent="0.25">
      <c r="A643" s="265"/>
    </row>
    <row r="644" spans="1:1" x14ac:dyDescent="0.25">
      <c r="A644" s="265"/>
    </row>
    <row r="645" spans="1:1" x14ac:dyDescent="0.25">
      <c r="A645" s="265"/>
    </row>
    <row r="646" spans="1:1" x14ac:dyDescent="0.25">
      <c r="A646" s="265"/>
    </row>
    <row r="647" spans="1:1" x14ac:dyDescent="0.25">
      <c r="A647" s="265"/>
    </row>
    <row r="648" spans="1:1" x14ac:dyDescent="0.25">
      <c r="A648" s="265"/>
    </row>
    <row r="649" spans="1:1" x14ac:dyDescent="0.25">
      <c r="A649" s="265"/>
    </row>
    <row r="650" spans="1:1" x14ac:dyDescent="0.25">
      <c r="A650" s="265"/>
    </row>
    <row r="651" spans="1:1" x14ac:dyDescent="0.25">
      <c r="A651" s="265"/>
    </row>
    <row r="652" spans="1:1" x14ac:dyDescent="0.25">
      <c r="A652" s="265"/>
    </row>
    <row r="653" spans="1:1" x14ac:dyDescent="0.25">
      <c r="A653" s="265"/>
    </row>
    <row r="654" spans="1:1" x14ac:dyDescent="0.25">
      <c r="A654" s="265"/>
    </row>
    <row r="655" spans="1:1" x14ac:dyDescent="0.25">
      <c r="A655" s="265"/>
    </row>
    <row r="656" spans="1:1" x14ac:dyDescent="0.25">
      <c r="A656" s="265"/>
    </row>
    <row r="657" spans="1:1" x14ac:dyDescent="0.25">
      <c r="A657" s="265"/>
    </row>
    <row r="658" spans="1:1" x14ac:dyDescent="0.25">
      <c r="A658" s="265"/>
    </row>
    <row r="659" spans="1:1" x14ac:dyDescent="0.25">
      <c r="A659" s="265"/>
    </row>
    <row r="660" spans="1:1" x14ac:dyDescent="0.25">
      <c r="A660" s="265"/>
    </row>
    <row r="661" spans="1:1" x14ac:dyDescent="0.25">
      <c r="A661" s="265"/>
    </row>
    <row r="662" spans="1:1" x14ac:dyDescent="0.25">
      <c r="A662" s="265"/>
    </row>
    <row r="663" spans="1:1" x14ac:dyDescent="0.25">
      <c r="A663" s="265"/>
    </row>
    <row r="664" spans="1:1" x14ac:dyDescent="0.25">
      <c r="A664" s="265"/>
    </row>
    <row r="665" spans="1:1" x14ac:dyDescent="0.25">
      <c r="A665" s="265"/>
    </row>
    <row r="666" spans="1:1" x14ac:dyDescent="0.25">
      <c r="A666" s="265"/>
    </row>
    <row r="667" spans="1:1" x14ac:dyDescent="0.25">
      <c r="A667" s="265"/>
    </row>
    <row r="668" spans="1:1" x14ac:dyDescent="0.25">
      <c r="A668" s="265"/>
    </row>
    <row r="669" spans="1:1" x14ac:dyDescent="0.25">
      <c r="A669" s="265"/>
    </row>
    <row r="670" spans="1:1" x14ac:dyDescent="0.25">
      <c r="A670" s="265"/>
    </row>
    <row r="671" spans="1:1" x14ac:dyDescent="0.25">
      <c r="A671" s="265"/>
    </row>
    <row r="672" spans="1:1" x14ac:dyDescent="0.25">
      <c r="A672" s="265"/>
    </row>
    <row r="673" spans="1:1" x14ac:dyDescent="0.25">
      <c r="A673" s="265"/>
    </row>
    <row r="674" spans="1:1" x14ac:dyDescent="0.25">
      <c r="A674" s="265"/>
    </row>
    <row r="675" spans="1:1" x14ac:dyDescent="0.25">
      <c r="A675" s="265"/>
    </row>
    <row r="676" spans="1:1" x14ac:dyDescent="0.25">
      <c r="A676" s="265"/>
    </row>
    <row r="677" spans="1:1" x14ac:dyDescent="0.25">
      <c r="A677" s="265"/>
    </row>
    <row r="678" spans="1:1" x14ac:dyDescent="0.25">
      <c r="A678" s="265"/>
    </row>
    <row r="679" spans="1:1" x14ac:dyDescent="0.25">
      <c r="A679" s="265"/>
    </row>
    <row r="680" spans="1:1" x14ac:dyDescent="0.25">
      <c r="A680" s="265"/>
    </row>
    <row r="681" spans="1:1" x14ac:dyDescent="0.25">
      <c r="A681" s="265"/>
    </row>
    <row r="682" spans="1:1" x14ac:dyDescent="0.25">
      <c r="A682" s="265"/>
    </row>
    <row r="683" spans="1:1" x14ac:dyDescent="0.25">
      <c r="A683" s="265"/>
    </row>
    <row r="684" spans="1:1" x14ac:dyDescent="0.25">
      <c r="A684" s="265"/>
    </row>
    <row r="685" spans="1:1" x14ac:dyDescent="0.25">
      <c r="A685" s="265"/>
    </row>
    <row r="686" spans="1:1" x14ac:dyDescent="0.25">
      <c r="A686" s="265"/>
    </row>
    <row r="687" spans="1:1" x14ac:dyDescent="0.25">
      <c r="A687" s="265"/>
    </row>
    <row r="688" spans="1:1" x14ac:dyDescent="0.25">
      <c r="A688" s="265"/>
    </row>
    <row r="689" spans="1:1" x14ac:dyDescent="0.25">
      <c r="A689" s="265"/>
    </row>
    <row r="690" spans="1:1" x14ac:dyDescent="0.25">
      <c r="A690" s="265"/>
    </row>
    <row r="691" spans="1:1" x14ac:dyDescent="0.25">
      <c r="A691" s="265"/>
    </row>
    <row r="692" spans="1:1" x14ac:dyDescent="0.25">
      <c r="A692" s="265"/>
    </row>
    <row r="693" spans="1:1" x14ac:dyDescent="0.25">
      <c r="A693" s="265"/>
    </row>
    <row r="694" spans="1:1" x14ac:dyDescent="0.25">
      <c r="A694" s="265"/>
    </row>
    <row r="695" spans="1:1" x14ac:dyDescent="0.25">
      <c r="A695" s="265"/>
    </row>
    <row r="696" spans="1:1" x14ac:dyDescent="0.25">
      <c r="A696" s="265"/>
    </row>
    <row r="697" spans="1:1" x14ac:dyDescent="0.25">
      <c r="A697" s="265"/>
    </row>
    <row r="698" spans="1:1" x14ac:dyDescent="0.25">
      <c r="A698" s="265"/>
    </row>
    <row r="699" spans="1:1" x14ac:dyDescent="0.25">
      <c r="A699" s="265"/>
    </row>
    <row r="700" spans="1:1" x14ac:dyDescent="0.25">
      <c r="A700" s="265"/>
    </row>
    <row r="701" spans="1:1" x14ac:dyDescent="0.25">
      <c r="A701" s="265"/>
    </row>
    <row r="702" spans="1:1" x14ac:dyDescent="0.25">
      <c r="A702" s="265"/>
    </row>
    <row r="703" spans="1:1" x14ac:dyDescent="0.25">
      <c r="A703" s="265"/>
    </row>
    <row r="704" spans="1:1" x14ac:dyDescent="0.25">
      <c r="A704" s="265"/>
    </row>
    <row r="705" spans="1:1" x14ac:dyDescent="0.25">
      <c r="A705" s="265"/>
    </row>
    <row r="706" spans="1:1" x14ac:dyDescent="0.25">
      <c r="A706" s="265"/>
    </row>
    <row r="707" spans="1:1" x14ac:dyDescent="0.25">
      <c r="A707" s="265"/>
    </row>
    <row r="708" spans="1:1" x14ac:dyDescent="0.25">
      <c r="A708" s="265"/>
    </row>
    <row r="709" spans="1:1" x14ac:dyDescent="0.25">
      <c r="A709" s="265"/>
    </row>
    <row r="710" spans="1:1" x14ac:dyDescent="0.25">
      <c r="A710" s="265"/>
    </row>
    <row r="711" spans="1:1" x14ac:dyDescent="0.25">
      <c r="A711" s="265"/>
    </row>
    <row r="712" spans="1:1" x14ac:dyDescent="0.25">
      <c r="A712" s="265"/>
    </row>
    <row r="713" spans="1:1" x14ac:dyDescent="0.25">
      <c r="A713" s="265"/>
    </row>
    <row r="714" spans="1:1" x14ac:dyDescent="0.25">
      <c r="A714" s="265"/>
    </row>
    <row r="715" spans="1:1" x14ac:dyDescent="0.25">
      <c r="A715" s="265"/>
    </row>
    <row r="716" spans="1:1" x14ac:dyDescent="0.25">
      <c r="A716" s="265"/>
    </row>
    <row r="717" spans="1:1" x14ac:dyDescent="0.25">
      <c r="A717" s="265"/>
    </row>
    <row r="718" spans="1:1" x14ac:dyDescent="0.25">
      <c r="A718" s="265"/>
    </row>
    <row r="719" spans="1:1" x14ac:dyDescent="0.25">
      <c r="A719" s="265"/>
    </row>
    <row r="720" spans="1:1" x14ac:dyDescent="0.25">
      <c r="A720" s="265"/>
    </row>
    <row r="721" spans="1:1" x14ac:dyDescent="0.25">
      <c r="A721" s="265"/>
    </row>
    <row r="722" spans="1:1" x14ac:dyDescent="0.25">
      <c r="A722" s="265"/>
    </row>
    <row r="723" spans="1:1" x14ac:dyDescent="0.25">
      <c r="A723" s="265"/>
    </row>
    <row r="724" spans="1:1" x14ac:dyDescent="0.25">
      <c r="A724" s="265"/>
    </row>
    <row r="725" spans="1:1" x14ac:dyDescent="0.25">
      <c r="A725" s="265"/>
    </row>
    <row r="726" spans="1:1" x14ac:dyDescent="0.25">
      <c r="A726" s="265"/>
    </row>
    <row r="727" spans="1:1" x14ac:dyDescent="0.25">
      <c r="A727" s="265"/>
    </row>
    <row r="728" spans="1:1" x14ac:dyDescent="0.25">
      <c r="A728" s="265"/>
    </row>
    <row r="729" spans="1:1" x14ac:dyDescent="0.25">
      <c r="A729" s="265"/>
    </row>
    <row r="730" spans="1:1" x14ac:dyDescent="0.25">
      <c r="A730" s="265"/>
    </row>
    <row r="731" spans="1:1" x14ac:dyDescent="0.25">
      <c r="A731" s="265"/>
    </row>
    <row r="732" spans="1:1" x14ac:dyDescent="0.25">
      <c r="A732" s="265"/>
    </row>
    <row r="733" spans="1:1" x14ac:dyDescent="0.25">
      <c r="A733" s="265"/>
    </row>
    <row r="734" spans="1:1" x14ac:dyDescent="0.25">
      <c r="A734" s="265"/>
    </row>
    <row r="735" spans="1:1" x14ac:dyDescent="0.25">
      <c r="A735" s="265"/>
    </row>
    <row r="736" spans="1:1" x14ac:dyDescent="0.25">
      <c r="A736" s="265"/>
    </row>
    <row r="737" spans="1:1" x14ac:dyDescent="0.25">
      <c r="A737" s="265"/>
    </row>
    <row r="738" spans="1:1" x14ac:dyDescent="0.25">
      <c r="A738" s="265"/>
    </row>
    <row r="739" spans="1:1" x14ac:dyDescent="0.25">
      <c r="A739" s="265"/>
    </row>
    <row r="740" spans="1:1" x14ac:dyDescent="0.25">
      <c r="A740" s="265"/>
    </row>
    <row r="741" spans="1:1" x14ac:dyDescent="0.25">
      <c r="A741" s="265"/>
    </row>
    <row r="742" spans="1:1" x14ac:dyDescent="0.25">
      <c r="A742" s="265"/>
    </row>
    <row r="743" spans="1:1" x14ac:dyDescent="0.25">
      <c r="A743" s="265"/>
    </row>
    <row r="744" spans="1:1" x14ac:dyDescent="0.25">
      <c r="A744" s="265"/>
    </row>
    <row r="745" spans="1:1" x14ac:dyDescent="0.25">
      <c r="A745" s="265"/>
    </row>
    <row r="746" spans="1:1" x14ac:dyDescent="0.25">
      <c r="A746" s="265"/>
    </row>
    <row r="747" spans="1:1" x14ac:dyDescent="0.25">
      <c r="A747" s="265"/>
    </row>
    <row r="748" spans="1:1" x14ac:dyDescent="0.25">
      <c r="A748" s="265"/>
    </row>
    <row r="749" spans="1:1" x14ac:dyDescent="0.25">
      <c r="A749" s="265"/>
    </row>
    <row r="750" spans="1:1" x14ac:dyDescent="0.25">
      <c r="A750" s="265"/>
    </row>
    <row r="751" spans="1:1" x14ac:dyDescent="0.25">
      <c r="A751" s="265"/>
    </row>
    <row r="752" spans="1:1" x14ac:dyDescent="0.25">
      <c r="A752" s="265"/>
    </row>
    <row r="753" spans="1:1" x14ac:dyDescent="0.25">
      <c r="A753" s="265"/>
    </row>
    <row r="754" spans="1:1" x14ac:dyDescent="0.25">
      <c r="A754" s="265"/>
    </row>
    <row r="755" spans="1:1" x14ac:dyDescent="0.25">
      <c r="A755" s="265"/>
    </row>
    <row r="756" spans="1:1" x14ac:dyDescent="0.25">
      <c r="A756" s="265"/>
    </row>
    <row r="757" spans="1:1" x14ac:dyDescent="0.25">
      <c r="A757" s="265"/>
    </row>
    <row r="758" spans="1:1" x14ac:dyDescent="0.25">
      <c r="A758" s="265"/>
    </row>
    <row r="759" spans="1:1" x14ac:dyDescent="0.25">
      <c r="A759" s="265"/>
    </row>
    <row r="760" spans="1:1" x14ac:dyDescent="0.25">
      <c r="A760" s="265"/>
    </row>
    <row r="761" spans="1:1" x14ac:dyDescent="0.25">
      <c r="A761" s="265"/>
    </row>
    <row r="762" spans="1:1" x14ac:dyDescent="0.25">
      <c r="A762" s="265"/>
    </row>
    <row r="763" spans="1:1" x14ac:dyDescent="0.25">
      <c r="A763" s="265"/>
    </row>
    <row r="764" spans="1:1" x14ac:dyDescent="0.25">
      <c r="A764" s="265"/>
    </row>
    <row r="765" spans="1:1" x14ac:dyDescent="0.25">
      <c r="A765" s="265"/>
    </row>
    <row r="766" spans="1:1" x14ac:dyDescent="0.25">
      <c r="A766" s="265"/>
    </row>
    <row r="767" spans="1:1" x14ac:dyDescent="0.25">
      <c r="A767" s="265"/>
    </row>
    <row r="768" spans="1:1" x14ac:dyDescent="0.25">
      <c r="A768" s="265"/>
    </row>
    <row r="769" spans="1:1" x14ac:dyDescent="0.25">
      <c r="A769" s="265"/>
    </row>
    <row r="770" spans="1:1" x14ac:dyDescent="0.25">
      <c r="A770" s="265"/>
    </row>
    <row r="771" spans="1:1" x14ac:dyDescent="0.25">
      <c r="A771" s="265"/>
    </row>
    <row r="772" spans="1:1" x14ac:dyDescent="0.25">
      <c r="A772" s="265"/>
    </row>
    <row r="773" spans="1:1" x14ac:dyDescent="0.25">
      <c r="A773" s="265"/>
    </row>
    <row r="774" spans="1:1" x14ac:dyDescent="0.25">
      <c r="A774" s="265"/>
    </row>
    <row r="775" spans="1:1" x14ac:dyDescent="0.25">
      <c r="A775" s="265"/>
    </row>
    <row r="776" spans="1:1" x14ac:dyDescent="0.25">
      <c r="A776" s="265"/>
    </row>
    <row r="777" spans="1:1" x14ac:dyDescent="0.25">
      <c r="A777" s="265"/>
    </row>
    <row r="778" spans="1:1" x14ac:dyDescent="0.25">
      <c r="A778" s="265"/>
    </row>
    <row r="779" spans="1:1" x14ac:dyDescent="0.25">
      <c r="A779" s="265"/>
    </row>
    <row r="780" spans="1:1" x14ac:dyDescent="0.25">
      <c r="A780" s="265"/>
    </row>
    <row r="781" spans="1:1" x14ac:dyDescent="0.25">
      <c r="A781" s="265"/>
    </row>
    <row r="782" spans="1:1" x14ac:dyDescent="0.25">
      <c r="A782" s="265"/>
    </row>
    <row r="783" spans="1:1" x14ac:dyDescent="0.25">
      <c r="A783" s="265"/>
    </row>
    <row r="784" spans="1:1" x14ac:dyDescent="0.25">
      <c r="A784" s="265"/>
    </row>
    <row r="785" spans="1:1" x14ac:dyDescent="0.25">
      <c r="A785" s="265"/>
    </row>
    <row r="786" spans="1:1" x14ac:dyDescent="0.25">
      <c r="A786" s="265"/>
    </row>
    <row r="787" spans="1:1" x14ac:dyDescent="0.25">
      <c r="A787" s="265"/>
    </row>
    <row r="788" spans="1:1" x14ac:dyDescent="0.25">
      <c r="A788" s="265"/>
    </row>
    <row r="789" spans="1:1" x14ac:dyDescent="0.25">
      <c r="A789" s="265"/>
    </row>
    <row r="790" spans="1:1" x14ac:dyDescent="0.25">
      <c r="A790" s="265"/>
    </row>
    <row r="791" spans="1:1" x14ac:dyDescent="0.25">
      <c r="A791" s="265"/>
    </row>
    <row r="792" spans="1:1" x14ac:dyDescent="0.25">
      <c r="A792" s="265"/>
    </row>
    <row r="793" spans="1:1" x14ac:dyDescent="0.25">
      <c r="A793" s="265"/>
    </row>
    <row r="794" spans="1:1" x14ac:dyDescent="0.25">
      <c r="A794" s="265"/>
    </row>
    <row r="795" spans="1:1" x14ac:dyDescent="0.25">
      <c r="A795" s="265"/>
    </row>
    <row r="796" spans="1:1" x14ac:dyDescent="0.25">
      <c r="A796" s="265"/>
    </row>
    <row r="797" spans="1:1" x14ac:dyDescent="0.25">
      <c r="A797" s="265"/>
    </row>
    <row r="798" spans="1:1" x14ac:dyDescent="0.25">
      <c r="A798" s="265"/>
    </row>
    <row r="799" spans="1:1" x14ac:dyDescent="0.25">
      <c r="A799" s="265"/>
    </row>
    <row r="800" spans="1:1" x14ac:dyDescent="0.25">
      <c r="A800" s="265"/>
    </row>
    <row r="801" spans="1:1" x14ac:dyDescent="0.25">
      <c r="A801" s="265"/>
    </row>
    <row r="802" spans="1:1" x14ac:dyDescent="0.25">
      <c r="A802" s="265"/>
    </row>
    <row r="803" spans="1:1" x14ac:dyDescent="0.25">
      <c r="A803" s="265"/>
    </row>
    <row r="804" spans="1:1" x14ac:dyDescent="0.25">
      <c r="A804" s="265"/>
    </row>
    <row r="805" spans="1:1" x14ac:dyDescent="0.25">
      <c r="A805" s="265"/>
    </row>
    <row r="806" spans="1:1" x14ac:dyDescent="0.25">
      <c r="A806" s="265"/>
    </row>
    <row r="807" spans="1:1" x14ac:dyDescent="0.25">
      <c r="A807" s="265"/>
    </row>
    <row r="808" spans="1:1" x14ac:dyDescent="0.25">
      <c r="A808" s="265"/>
    </row>
    <row r="809" spans="1:1" x14ac:dyDescent="0.25">
      <c r="A809" s="265"/>
    </row>
    <row r="810" spans="1:1" x14ac:dyDescent="0.25">
      <c r="A810" s="265"/>
    </row>
    <row r="811" spans="1:1" x14ac:dyDescent="0.25">
      <c r="A811" s="265"/>
    </row>
    <row r="812" spans="1:1" x14ac:dyDescent="0.25">
      <c r="A812" s="265"/>
    </row>
    <row r="813" spans="1:1" x14ac:dyDescent="0.25">
      <c r="A813" s="265"/>
    </row>
    <row r="814" spans="1:1" x14ac:dyDescent="0.25">
      <c r="A814" s="265"/>
    </row>
    <row r="815" spans="1:1" x14ac:dyDescent="0.25">
      <c r="A815" s="265"/>
    </row>
    <row r="816" spans="1:1" x14ac:dyDescent="0.25">
      <c r="A816" s="265"/>
    </row>
    <row r="817" spans="1:1" x14ac:dyDescent="0.25">
      <c r="A817" s="265"/>
    </row>
    <row r="818" spans="1:1" x14ac:dyDescent="0.25">
      <c r="A818" s="265"/>
    </row>
    <row r="819" spans="1:1" x14ac:dyDescent="0.25">
      <c r="A819" s="265"/>
    </row>
    <row r="820" spans="1:1" x14ac:dyDescent="0.25">
      <c r="A820" s="265"/>
    </row>
    <row r="821" spans="1:1" x14ac:dyDescent="0.25">
      <c r="A821" s="265"/>
    </row>
    <row r="822" spans="1:1" x14ac:dyDescent="0.25">
      <c r="A822" s="265"/>
    </row>
    <row r="823" spans="1:1" x14ac:dyDescent="0.25">
      <c r="A823" s="265"/>
    </row>
    <row r="824" spans="1:1" x14ac:dyDescent="0.25">
      <c r="A824" s="265"/>
    </row>
    <row r="825" spans="1:1" x14ac:dyDescent="0.25">
      <c r="A825" s="265"/>
    </row>
    <row r="826" spans="1:1" x14ac:dyDescent="0.25">
      <c r="A826" s="265"/>
    </row>
    <row r="827" spans="1:1" x14ac:dyDescent="0.25">
      <c r="A827" s="265"/>
    </row>
    <row r="828" spans="1:1" x14ac:dyDescent="0.25">
      <c r="A828" s="265"/>
    </row>
    <row r="829" spans="1:1" x14ac:dyDescent="0.25">
      <c r="A829" s="265"/>
    </row>
    <row r="830" spans="1:1" x14ac:dyDescent="0.25">
      <c r="A830" s="265"/>
    </row>
    <row r="831" spans="1:1" x14ac:dyDescent="0.25">
      <c r="A831" s="265"/>
    </row>
    <row r="832" spans="1:1" x14ac:dyDescent="0.25">
      <c r="A832" s="265"/>
    </row>
    <row r="833" spans="1:1" x14ac:dyDescent="0.25">
      <c r="A833" s="265"/>
    </row>
    <row r="834" spans="1:1" x14ac:dyDescent="0.25">
      <c r="A834" s="265"/>
    </row>
    <row r="835" spans="1:1" x14ac:dyDescent="0.25">
      <c r="A835" s="265"/>
    </row>
    <row r="836" spans="1:1" x14ac:dyDescent="0.25">
      <c r="A836" s="265"/>
    </row>
    <row r="837" spans="1:1" x14ac:dyDescent="0.25">
      <c r="A837" s="265"/>
    </row>
    <row r="838" spans="1:1" x14ac:dyDescent="0.25">
      <c r="A838" s="265"/>
    </row>
    <row r="839" spans="1:1" x14ac:dyDescent="0.25">
      <c r="A839" s="265"/>
    </row>
    <row r="840" spans="1:1" x14ac:dyDescent="0.25">
      <c r="A840" s="265"/>
    </row>
    <row r="841" spans="1:1" x14ac:dyDescent="0.25">
      <c r="A841" s="265"/>
    </row>
    <row r="842" spans="1:1" x14ac:dyDescent="0.25">
      <c r="A842" s="265"/>
    </row>
    <row r="843" spans="1:1" x14ac:dyDescent="0.25">
      <c r="A843" s="265"/>
    </row>
    <row r="844" spans="1:1" x14ac:dyDescent="0.25">
      <c r="A844" s="265"/>
    </row>
    <row r="845" spans="1:1" x14ac:dyDescent="0.25">
      <c r="A845" s="265"/>
    </row>
    <row r="846" spans="1:1" x14ac:dyDescent="0.25">
      <c r="A846" s="265"/>
    </row>
    <row r="847" spans="1:1" x14ac:dyDescent="0.25">
      <c r="A847" s="265"/>
    </row>
    <row r="848" spans="1:1" x14ac:dyDescent="0.25">
      <c r="A848" s="265"/>
    </row>
    <row r="849" spans="1:1" x14ac:dyDescent="0.25">
      <c r="A849" s="265"/>
    </row>
    <row r="850" spans="1:1" x14ac:dyDescent="0.25">
      <c r="A850" s="265"/>
    </row>
    <row r="851" spans="1:1" x14ac:dyDescent="0.25">
      <c r="A851" s="265"/>
    </row>
    <row r="852" spans="1:1" x14ac:dyDescent="0.25">
      <c r="A852" s="265"/>
    </row>
    <row r="853" spans="1:1" x14ac:dyDescent="0.25">
      <c r="A853" s="265"/>
    </row>
    <row r="854" spans="1:1" x14ac:dyDescent="0.25">
      <c r="A854" s="265"/>
    </row>
    <row r="855" spans="1:1" x14ac:dyDescent="0.25">
      <c r="A855" s="265"/>
    </row>
    <row r="856" spans="1:1" x14ac:dyDescent="0.25">
      <c r="A856" s="265"/>
    </row>
    <row r="857" spans="1:1" x14ac:dyDescent="0.25">
      <c r="A857" s="265"/>
    </row>
    <row r="858" spans="1:1" x14ac:dyDescent="0.25">
      <c r="A858" s="265"/>
    </row>
    <row r="859" spans="1:1" x14ac:dyDescent="0.25">
      <c r="A859" s="265"/>
    </row>
    <row r="860" spans="1:1" x14ac:dyDescent="0.25">
      <c r="A860" s="265"/>
    </row>
    <row r="861" spans="1:1" x14ac:dyDescent="0.25">
      <c r="A861" s="265"/>
    </row>
    <row r="862" spans="1:1" x14ac:dyDescent="0.25">
      <c r="A862" s="265"/>
    </row>
    <row r="863" spans="1:1" x14ac:dyDescent="0.25">
      <c r="A863" s="265"/>
    </row>
    <row r="864" spans="1:1" x14ac:dyDescent="0.25">
      <c r="A864" s="265"/>
    </row>
    <row r="865" spans="1:1" x14ac:dyDescent="0.25">
      <c r="A865" s="265"/>
    </row>
    <row r="866" spans="1:1" x14ac:dyDescent="0.25">
      <c r="A866" s="265"/>
    </row>
    <row r="867" spans="1:1" x14ac:dyDescent="0.25">
      <c r="A867" s="265"/>
    </row>
    <row r="868" spans="1:1" x14ac:dyDescent="0.25">
      <c r="A868" s="265"/>
    </row>
    <row r="869" spans="1:1" x14ac:dyDescent="0.25">
      <c r="A869" s="265"/>
    </row>
    <row r="870" spans="1:1" x14ac:dyDescent="0.25">
      <c r="A870" s="265"/>
    </row>
    <row r="871" spans="1:1" x14ac:dyDescent="0.25">
      <c r="A871" s="265"/>
    </row>
    <row r="872" spans="1:1" x14ac:dyDescent="0.25">
      <c r="A872" s="265"/>
    </row>
    <row r="873" spans="1:1" x14ac:dyDescent="0.25">
      <c r="A873" s="265"/>
    </row>
    <row r="874" spans="1:1" x14ac:dyDescent="0.25">
      <c r="A874" s="265"/>
    </row>
    <row r="875" spans="1:1" x14ac:dyDescent="0.25">
      <c r="A875" s="265"/>
    </row>
    <row r="876" spans="1:1" x14ac:dyDescent="0.25">
      <c r="A876" s="265"/>
    </row>
    <row r="877" spans="1:1" x14ac:dyDescent="0.25">
      <c r="A877" s="265"/>
    </row>
    <row r="878" spans="1:1" x14ac:dyDescent="0.25">
      <c r="A878" s="265"/>
    </row>
    <row r="879" spans="1:1" x14ac:dyDescent="0.25">
      <c r="A879" s="265"/>
    </row>
    <row r="880" spans="1:1" x14ac:dyDescent="0.25">
      <c r="A880" s="265"/>
    </row>
    <row r="881" spans="1:1" x14ac:dyDescent="0.25">
      <c r="A881" s="265"/>
    </row>
    <row r="882" spans="1:1" x14ac:dyDescent="0.25">
      <c r="A882" s="265"/>
    </row>
    <row r="883" spans="1:1" x14ac:dyDescent="0.25">
      <c r="A883" s="265"/>
    </row>
    <row r="884" spans="1:1" x14ac:dyDescent="0.25">
      <c r="A884" s="265"/>
    </row>
    <row r="885" spans="1:1" x14ac:dyDescent="0.25">
      <c r="A885" s="265"/>
    </row>
    <row r="886" spans="1:1" x14ac:dyDescent="0.25">
      <c r="A886" s="265"/>
    </row>
    <row r="887" spans="1:1" x14ac:dyDescent="0.25">
      <c r="A887" s="265"/>
    </row>
    <row r="888" spans="1:1" x14ac:dyDescent="0.25">
      <c r="A888" s="265"/>
    </row>
    <row r="889" spans="1:1" x14ac:dyDescent="0.25">
      <c r="A889" s="265"/>
    </row>
    <row r="890" spans="1:1" x14ac:dyDescent="0.25">
      <c r="A890" s="265"/>
    </row>
    <row r="891" spans="1:1" x14ac:dyDescent="0.25">
      <c r="A891" s="265"/>
    </row>
    <row r="892" spans="1:1" x14ac:dyDescent="0.25">
      <c r="A892" s="265"/>
    </row>
    <row r="893" spans="1:1" x14ac:dyDescent="0.25">
      <c r="A893" s="265"/>
    </row>
    <row r="894" spans="1:1" x14ac:dyDescent="0.25">
      <c r="A894" s="265"/>
    </row>
    <row r="895" spans="1:1" x14ac:dyDescent="0.25">
      <c r="A895" s="265"/>
    </row>
    <row r="896" spans="1:1" x14ac:dyDescent="0.25">
      <c r="A896" s="265"/>
    </row>
    <row r="897" spans="1:1" x14ac:dyDescent="0.25">
      <c r="A897" s="265"/>
    </row>
    <row r="898" spans="1:1" x14ac:dyDescent="0.25">
      <c r="A898" s="265"/>
    </row>
    <row r="899" spans="1:1" x14ac:dyDescent="0.25">
      <c r="A899" s="265"/>
    </row>
    <row r="900" spans="1:1" x14ac:dyDescent="0.25">
      <c r="A900" s="265"/>
    </row>
    <row r="901" spans="1:1" x14ac:dyDescent="0.25">
      <c r="A901" s="265"/>
    </row>
    <row r="902" spans="1:1" x14ac:dyDescent="0.25">
      <c r="A902" s="265"/>
    </row>
    <row r="903" spans="1:1" x14ac:dyDescent="0.25">
      <c r="A903" s="265"/>
    </row>
    <row r="904" spans="1:1" x14ac:dyDescent="0.25">
      <c r="A904" s="265"/>
    </row>
    <row r="905" spans="1:1" x14ac:dyDescent="0.25">
      <c r="A905" s="265"/>
    </row>
    <row r="906" spans="1:1" x14ac:dyDescent="0.25">
      <c r="A906" s="265"/>
    </row>
    <row r="907" spans="1:1" x14ac:dyDescent="0.25">
      <c r="A907" s="265"/>
    </row>
    <row r="908" spans="1:1" x14ac:dyDescent="0.25">
      <c r="A908" s="265"/>
    </row>
    <row r="909" spans="1:1" x14ac:dyDescent="0.25">
      <c r="A909" s="265"/>
    </row>
    <row r="910" spans="1:1" x14ac:dyDescent="0.25">
      <c r="A910" s="265"/>
    </row>
    <row r="911" spans="1:1" x14ac:dyDescent="0.25">
      <c r="A911" s="265"/>
    </row>
    <row r="912" spans="1:1" x14ac:dyDescent="0.25">
      <c r="A912" s="265"/>
    </row>
    <row r="913" spans="1:1" x14ac:dyDescent="0.25">
      <c r="A913" s="265"/>
    </row>
    <row r="914" spans="1:1" x14ac:dyDescent="0.25">
      <c r="A914" s="265"/>
    </row>
    <row r="915" spans="1:1" x14ac:dyDescent="0.25">
      <c r="A915" s="265"/>
    </row>
    <row r="916" spans="1:1" x14ac:dyDescent="0.25">
      <c r="A916" s="265"/>
    </row>
    <row r="917" spans="1:1" x14ac:dyDescent="0.25">
      <c r="A917" s="265"/>
    </row>
    <row r="918" spans="1:1" x14ac:dyDescent="0.25">
      <c r="A918" s="265"/>
    </row>
    <row r="919" spans="1:1" x14ac:dyDescent="0.25">
      <c r="A919" s="265"/>
    </row>
    <row r="920" spans="1:1" x14ac:dyDescent="0.25">
      <c r="A920" s="265"/>
    </row>
    <row r="921" spans="1:1" x14ac:dyDescent="0.25">
      <c r="A921" s="265"/>
    </row>
    <row r="922" spans="1:1" x14ac:dyDescent="0.25">
      <c r="A922" s="265"/>
    </row>
    <row r="923" spans="1:1" x14ac:dyDescent="0.25">
      <c r="A923" s="265"/>
    </row>
    <row r="924" spans="1:1" x14ac:dyDescent="0.25">
      <c r="A924" s="265"/>
    </row>
    <row r="925" spans="1:1" x14ac:dyDescent="0.25">
      <c r="A925" s="265"/>
    </row>
    <row r="926" spans="1:1" x14ac:dyDescent="0.25">
      <c r="A926" s="265"/>
    </row>
    <row r="927" spans="1:1" x14ac:dyDescent="0.25">
      <c r="A927" s="265"/>
    </row>
    <row r="928" spans="1:1" x14ac:dyDescent="0.25">
      <c r="A928" s="265"/>
    </row>
    <row r="929" spans="1:1" x14ac:dyDescent="0.25">
      <c r="A929" s="265"/>
    </row>
    <row r="930" spans="1:1" x14ac:dyDescent="0.25">
      <c r="A930" s="265"/>
    </row>
    <row r="931" spans="1:1" x14ac:dyDescent="0.25">
      <c r="A931" s="265"/>
    </row>
    <row r="932" spans="1:1" x14ac:dyDescent="0.25">
      <c r="A932" s="265"/>
    </row>
    <row r="933" spans="1:1" x14ac:dyDescent="0.25">
      <c r="A933" s="265"/>
    </row>
    <row r="934" spans="1:1" x14ac:dyDescent="0.25">
      <c r="A934" s="265"/>
    </row>
    <row r="935" spans="1:1" x14ac:dyDescent="0.25">
      <c r="A935" s="265"/>
    </row>
    <row r="936" spans="1:1" x14ac:dyDescent="0.25">
      <c r="A936" s="265"/>
    </row>
    <row r="937" spans="1:1" x14ac:dyDescent="0.25">
      <c r="A937" s="265"/>
    </row>
    <row r="938" spans="1:1" x14ac:dyDescent="0.25">
      <c r="A938" s="265"/>
    </row>
    <row r="939" spans="1:1" x14ac:dyDescent="0.25">
      <c r="A939" s="265"/>
    </row>
    <row r="940" spans="1:1" x14ac:dyDescent="0.25">
      <c r="A940" s="265"/>
    </row>
    <row r="941" spans="1:1" x14ac:dyDescent="0.25">
      <c r="A941" s="265"/>
    </row>
    <row r="942" spans="1:1" x14ac:dyDescent="0.25">
      <c r="A942" s="265"/>
    </row>
    <row r="943" spans="1:1" x14ac:dyDescent="0.25">
      <c r="A943" s="265"/>
    </row>
    <row r="944" spans="1:1" x14ac:dyDescent="0.25">
      <c r="A944" s="265"/>
    </row>
    <row r="945" spans="1:1" x14ac:dyDescent="0.25">
      <c r="A945" s="265"/>
    </row>
    <row r="946" spans="1:1" x14ac:dyDescent="0.25">
      <c r="A946" s="265"/>
    </row>
    <row r="947" spans="1:1" x14ac:dyDescent="0.25">
      <c r="A947" s="265"/>
    </row>
    <row r="948" spans="1:1" x14ac:dyDescent="0.25">
      <c r="A948" s="265"/>
    </row>
    <row r="949" spans="1:1" x14ac:dyDescent="0.25">
      <c r="A949" s="265"/>
    </row>
    <row r="950" spans="1:1" x14ac:dyDescent="0.25">
      <c r="A950" s="265"/>
    </row>
    <row r="951" spans="1:1" x14ac:dyDescent="0.25">
      <c r="A951" s="265"/>
    </row>
    <row r="952" spans="1:1" x14ac:dyDescent="0.25">
      <c r="A952" s="265"/>
    </row>
    <row r="953" spans="1:1" x14ac:dyDescent="0.25">
      <c r="A953" s="265"/>
    </row>
    <row r="954" spans="1:1" x14ac:dyDescent="0.25">
      <c r="A954" s="265"/>
    </row>
    <row r="955" spans="1:1" x14ac:dyDescent="0.25">
      <c r="A955" s="265"/>
    </row>
    <row r="956" spans="1:1" x14ac:dyDescent="0.25">
      <c r="A956" s="265"/>
    </row>
    <row r="957" spans="1:1" x14ac:dyDescent="0.25">
      <c r="A957" s="265"/>
    </row>
    <row r="958" spans="1:1" x14ac:dyDescent="0.25">
      <c r="A958" s="265"/>
    </row>
    <row r="959" spans="1:1" x14ac:dyDescent="0.25">
      <c r="A959" s="265"/>
    </row>
    <row r="960" spans="1:1" x14ac:dyDescent="0.25">
      <c r="A960" s="265"/>
    </row>
    <row r="961" spans="1:1" x14ac:dyDescent="0.25">
      <c r="A961" s="265"/>
    </row>
    <row r="962" spans="1:1" x14ac:dyDescent="0.25">
      <c r="A962" s="265"/>
    </row>
    <row r="963" spans="1:1" x14ac:dyDescent="0.25">
      <c r="A963" s="265"/>
    </row>
    <row r="964" spans="1:1" x14ac:dyDescent="0.25">
      <c r="A964" s="265"/>
    </row>
    <row r="965" spans="1:1" x14ac:dyDescent="0.25">
      <c r="A965" s="265"/>
    </row>
    <row r="966" spans="1:1" x14ac:dyDescent="0.25">
      <c r="A966" s="265"/>
    </row>
    <row r="967" spans="1:1" x14ac:dyDescent="0.25">
      <c r="A967" s="265"/>
    </row>
    <row r="968" spans="1:1" x14ac:dyDescent="0.25">
      <c r="A968" s="265"/>
    </row>
    <row r="969" spans="1:1" x14ac:dyDescent="0.25">
      <c r="A969" s="265"/>
    </row>
    <row r="970" spans="1:1" x14ac:dyDescent="0.25">
      <c r="A970" s="265"/>
    </row>
    <row r="971" spans="1:1" x14ac:dyDescent="0.25">
      <c r="A971" s="265"/>
    </row>
    <row r="972" spans="1:1" x14ac:dyDescent="0.25">
      <c r="A972" s="265"/>
    </row>
    <row r="973" spans="1:1" x14ac:dyDescent="0.25">
      <c r="A973" s="265"/>
    </row>
    <row r="974" spans="1:1" x14ac:dyDescent="0.25">
      <c r="A974" s="265"/>
    </row>
    <row r="975" spans="1:1" x14ac:dyDescent="0.25">
      <c r="A975" s="265"/>
    </row>
    <row r="976" spans="1:1" x14ac:dyDescent="0.25">
      <c r="A976" s="265"/>
    </row>
    <row r="977" spans="1:1" x14ac:dyDescent="0.25">
      <c r="A977" s="265"/>
    </row>
    <row r="978" spans="1:1" x14ac:dyDescent="0.25">
      <c r="A978" s="265"/>
    </row>
    <row r="979" spans="1:1" x14ac:dyDescent="0.25">
      <c r="A979" s="265"/>
    </row>
    <row r="980" spans="1:1" x14ac:dyDescent="0.25">
      <c r="A980" s="265"/>
    </row>
    <row r="981" spans="1:1" x14ac:dyDescent="0.25">
      <c r="A981" s="265"/>
    </row>
    <row r="982" spans="1:1" x14ac:dyDescent="0.25">
      <c r="A982" s="265"/>
    </row>
    <row r="983" spans="1:1" x14ac:dyDescent="0.25">
      <c r="A983" s="265"/>
    </row>
    <row r="984" spans="1:1" x14ac:dyDescent="0.25">
      <c r="A984" s="265"/>
    </row>
    <row r="985" spans="1:1" x14ac:dyDescent="0.25">
      <c r="A985" s="265"/>
    </row>
    <row r="986" spans="1:1" x14ac:dyDescent="0.25">
      <c r="A986" s="265"/>
    </row>
    <row r="987" spans="1:1" x14ac:dyDescent="0.25">
      <c r="A987" s="265"/>
    </row>
    <row r="988" spans="1:1" x14ac:dyDescent="0.25">
      <c r="A988" s="265"/>
    </row>
    <row r="989" spans="1:1" x14ac:dyDescent="0.25">
      <c r="A989" s="265"/>
    </row>
    <row r="990" spans="1:1" x14ac:dyDescent="0.25">
      <c r="A990" s="265"/>
    </row>
    <row r="991" spans="1:1" x14ac:dyDescent="0.25">
      <c r="A991" s="265"/>
    </row>
    <row r="992" spans="1:1" x14ac:dyDescent="0.25">
      <c r="A992" s="265"/>
    </row>
    <row r="993" spans="1:1" x14ac:dyDescent="0.25">
      <c r="A993" s="265"/>
    </row>
    <row r="994" spans="1:1" x14ac:dyDescent="0.25">
      <c r="A994" s="265"/>
    </row>
    <row r="995" spans="1:1" x14ac:dyDescent="0.25">
      <c r="A995" s="265"/>
    </row>
    <row r="996" spans="1:1" x14ac:dyDescent="0.25">
      <c r="A996" s="265"/>
    </row>
    <row r="997" spans="1:1" x14ac:dyDescent="0.25">
      <c r="A997" s="265"/>
    </row>
    <row r="998" spans="1:1" x14ac:dyDescent="0.25">
      <c r="A998" s="265"/>
    </row>
    <row r="999" spans="1:1" x14ac:dyDescent="0.25">
      <c r="A999" s="265"/>
    </row>
    <row r="1000" spans="1:1" x14ac:dyDescent="0.25">
      <c r="A1000" s="265"/>
    </row>
    <row r="1001" spans="1:1" x14ac:dyDescent="0.25">
      <c r="A1001" s="265"/>
    </row>
    <row r="1002" spans="1:1" x14ac:dyDescent="0.25">
      <c r="A1002" s="265"/>
    </row>
    <row r="1003" spans="1:1" x14ac:dyDescent="0.25">
      <c r="A1003" s="265"/>
    </row>
    <row r="1004" spans="1:1" x14ac:dyDescent="0.25">
      <c r="A1004" s="265"/>
    </row>
    <row r="1005" spans="1:1" x14ac:dyDescent="0.25">
      <c r="A1005" s="265"/>
    </row>
    <row r="1006" spans="1:1" x14ac:dyDescent="0.25">
      <c r="A1006" s="265"/>
    </row>
    <row r="1007" spans="1:1" x14ac:dyDescent="0.25">
      <c r="A1007" s="265"/>
    </row>
    <row r="1008" spans="1:1" x14ac:dyDescent="0.25">
      <c r="A1008" s="265"/>
    </row>
    <row r="1009" spans="1:1" x14ac:dyDescent="0.25">
      <c r="A1009" s="265"/>
    </row>
    <row r="1010" spans="1:1" x14ac:dyDescent="0.25">
      <c r="A1010" s="265"/>
    </row>
    <row r="1011" spans="1:1" x14ac:dyDescent="0.25">
      <c r="A1011" s="265"/>
    </row>
    <row r="1012" spans="1:1" x14ac:dyDescent="0.25">
      <c r="A1012" s="265"/>
    </row>
    <row r="1013" spans="1:1" x14ac:dyDescent="0.25">
      <c r="A1013" s="265"/>
    </row>
    <row r="1014" spans="1:1" x14ac:dyDescent="0.25">
      <c r="A1014" s="265"/>
    </row>
    <row r="1015" spans="1:1" x14ac:dyDescent="0.25">
      <c r="A1015" s="265"/>
    </row>
    <row r="1016" spans="1:1" x14ac:dyDescent="0.25">
      <c r="A1016" s="265"/>
    </row>
    <row r="1017" spans="1:1" x14ac:dyDescent="0.25">
      <c r="A1017" s="265"/>
    </row>
    <row r="1018" spans="1:1" x14ac:dyDescent="0.25">
      <c r="A1018" s="265"/>
    </row>
    <row r="1019" spans="1:1" x14ac:dyDescent="0.25">
      <c r="A1019" s="265"/>
    </row>
    <row r="1020" spans="1:1" x14ac:dyDescent="0.25">
      <c r="A1020" s="265"/>
    </row>
    <row r="1021" spans="1:1" x14ac:dyDescent="0.25">
      <c r="A1021" s="265"/>
    </row>
    <row r="1022" spans="1:1" x14ac:dyDescent="0.25">
      <c r="A1022" s="265"/>
    </row>
    <row r="1023" spans="1:1" x14ac:dyDescent="0.25">
      <c r="A1023" s="265"/>
    </row>
    <row r="1024" spans="1:1" x14ac:dyDescent="0.25">
      <c r="A1024" s="265"/>
    </row>
    <row r="1025" spans="1:1" x14ac:dyDescent="0.25">
      <c r="A1025" s="265"/>
    </row>
    <row r="1026" spans="1:1" x14ac:dyDescent="0.25">
      <c r="A1026" s="265"/>
    </row>
    <row r="1027" spans="1:1" x14ac:dyDescent="0.25">
      <c r="A1027" s="265"/>
    </row>
    <row r="1028" spans="1:1" x14ac:dyDescent="0.25">
      <c r="A1028" s="265"/>
    </row>
    <row r="1029" spans="1:1" x14ac:dyDescent="0.25">
      <c r="A1029" s="265"/>
    </row>
    <row r="1030" spans="1:1" x14ac:dyDescent="0.25">
      <c r="A1030" s="265"/>
    </row>
    <row r="1031" spans="1:1" x14ac:dyDescent="0.25">
      <c r="A1031" s="265"/>
    </row>
    <row r="1032" spans="1:1" x14ac:dyDescent="0.25">
      <c r="A1032" s="265"/>
    </row>
    <row r="1033" spans="1:1" x14ac:dyDescent="0.25">
      <c r="A1033" s="265"/>
    </row>
    <row r="1034" spans="1:1" x14ac:dyDescent="0.25">
      <c r="A1034" s="265"/>
    </row>
    <row r="1035" spans="1:1" x14ac:dyDescent="0.25">
      <c r="A1035" s="265"/>
    </row>
    <row r="1036" spans="1:1" x14ac:dyDescent="0.25">
      <c r="A1036" s="265"/>
    </row>
    <row r="1037" spans="1:1" x14ac:dyDescent="0.25">
      <c r="A1037" s="265"/>
    </row>
    <row r="1038" spans="1:1" x14ac:dyDescent="0.25">
      <c r="A1038" s="265"/>
    </row>
    <row r="1039" spans="1:1" x14ac:dyDescent="0.25">
      <c r="A1039" s="265"/>
    </row>
    <row r="1040" spans="1:1" x14ac:dyDescent="0.25">
      <c r="A1040" s="265"/>
    </row>
    <row r="1041" spans="1:1" x14ac:dyDescent="0.25">
      <c r="A1041" s="265"/>
    </row>
    <row r="1042" spans="1:1" x14ac:dyDescent="0.25">
      <c r="A1042" s="265"/>
    </row>
    <row r="1043" spans="1:1" x14ac:dyDescent="0.25">
      <c r="A1043" s="265"/>
    </row>
    <row r="1044" spans="1:1" x14ac:dyDescent="0.25">
      <c r="A1044" s="265"/>
    </row>
    <row r="1045" spans="1:1" x14ac:dyDescent="0.25">
      <c r="A1045" s="265"/>
    </row>
    <row r="1046" spans="1:1" x14ac:dyDescent="0.25">
      <c r="A1046" s="265"/>
    </row>
    <row r="1047" spans="1:1" x14ac:dyDescent="0.25">
      <c r="A1047" s="265"/>
    </row>
    <row r="1048" spans="1:1" x14ac:dyDescent="0.25">
      <c r="A1048" s="265"/>
    </row>
    <row r="1049" spans="1:1" x14ac:dyDescent="0.25">
      <c r="A1049" s="265"/>
    </row>
    <row r="1050" spans="1:1" x14ac:dyDescent="0.25">
      <c r="A1050" s="265"/>
    </row>
    <row r="1051" spans="1:1" x14ac:dyDescent="0.25">
      <c r="A1051" s="265"/>
    </row>
    <row r="1052" spans="1:1" x14ac:dyDescent="0.25">
      <c r="A1052" s="265"/>
    </row>
    <row r="1053" spans="1:1" x14ac:dyDescent="0.25">
      <c r="A1053" s="265"/>
    </row>
    <row r="1054" spans="1:1" x14ac:dyDescent="0.25">
      <c r="A1054" s="265"/>
    </row>
    <row r="1055" spans="1:1" x14ac:dyDescent="0.25">
      <c r="A1055" s="265"/>
    </row>
    <row r="1056" spans="1:1" x14ac:dyDescent="0.25">
      <c r="A1056" s="265"/>
    </row>
    <row r="1057" spans="1:1" x14ac:dyDescent="0.25">
      <c r="A1057" s="265"/>
    </row>
    <row r="1058" spans="1:1" x14ac:dyDescent="0.25">
      <c r="A1058" s="265"/>
    </row>
    <row r="1059" spans="1:1" x14ac:dyDescent="0.25">
      <c r="A1059" s="265"/>
    </row>
    <row r="1060" spans="1:1" x14ac:dyDescent="0.25">
      <c r="A1060" s="265"/>
    </row>
    <row r="1061" spans="1:1" x14ac:dyDescent="0.25">
      <c r="A1061" s="265"/>
    </row>
    <row r="1062" spans="1:1" x14ac:dyDescent="0.25">
      <c r="A1062" s="265"/>
    </row>
    <row r="1063" spans="1:1" x14ac:dyDescent="0.25">
      <c r="A1063" s="265"/>
    </row>
    <row r="1064" spans="1:1" x14ac:dyDescent="0.25">
      <c r="A1064" s="265"/>
    </row>
    <row r="1065" spans="1:1" x14ac:dyDescent="0.25">
      <c r="A1065" s="265"/>
    </row>
    <row r="1066" spans="1:1" x14ac:dyDescent="0.25">
      <c r="A1066" s="265"/>
    </row>
    <row r="1067" spans="1:1" x14ac:dyDescent="0.25">
      <c r="A1067" s="265"/>
    </row>
    <row r="1068" spans="1:1" x14ac:dyDescent="0.25">
      <c r="A1068" s="265"/>
    </row>
    <row r="1069" spans="1:1" x14ac:dyDescent="0.25">
      <c r="A1069" s="265"/>
    </row>
    <row r="1070" spans="1:1" x14ac:dyDescent="0.25">
      <c r="A1070" s="265"/>
    </row>
    <row r="1071" spans="1:1" x14ac:dyDescent="0.25">
      <c r="A1071" s="265"/>
    </row>
    <row r="1072" spans="1:1" x14ac:dyDescent="0.25">
      <c r="A1072" s="265"/>
    </row>
    <row r="1073" spans="1:1" x14ac:dyDescent="0.25">
      <c r="A1073" s="265"/>
    </row>
    <row r="1074" spans="1:1" x14ac:dyDescent="0.25">
      <c r="A1074" s="265"/>
    </row>
    <row r="1075" spans="1:1" x14ac:dyDescent="0.25">
      <c r="A1075" s="265"/>
    </row>
    <row r="1076" spans="1:1" x14ac:dyDescent="0.25">
      <c r="A1076" s="265"/>
    </row>
    <row r="1077" spans="1:1" x14ac:dyDescent="0.25">
      <c r="A1077" s="265"/>
    </row>
    <row r="1078" spans="1:1" x14ac:dyDescent="0.25">
      <c r="A1078" s="265"/>
    </row>
    <row r="1079" spans="1:1" x14ac:dyDescent="0.25">
      <c r="A1079" s="265"/>
    </row>
    <row r="1080" spans="1:1" x14ac:dyDescent="0.25">
      <c r="A1080" s="265"/>
    </row>
    <row r="1081" spans="1:1" x14ac:dyDescent="0.25">
      <c r="A1081" s="265"/>
    </row>
    <row r="1082" spans="1:1" x14ac:dyDescent="0.25">
      <c r="A1082" s="265"/>
    </row>
    <row r="1083" spans="1:1" x14ac:dyDescent="0.25">
      <c r="A1083" s="265"/>
    </row>
    <row r="1084" spans="1:1" x14ac:dyDescent="0.25">
      <c r="A1084" s="265"/>
    </row>
    <row r="1085" spans="1:1" x14ac:dyDescent="0.25">
      <c r="A1085" s="265"/>
    </row>
    <row r="1086" spans="1:1" x14ac:dyDescent="0.25">
      <c r="A1086" s="265"/>
    </row>
    <row r="1087" spans="1:1" x14ac:dyDescent="0.25">
      <c r="A1087" s="265"/>
    </row>
    <row r="1088" spans="1:1" x14ac:dyDescent="0.25">
      <c r="A1088" s="265"/>
    </row>
    <row r="1089" spans="1:1" x14ac:dyDescent="0.25">
      <c r="A1089" s="265"/>
    </row>
    <row r="1090" spans="1:1" x14ac:dyDescent="0.25">
      <c r="A1090" s="265"/>
    </row>
    <row r="1091" spans="1:1" x14ac:dyDescent="0.25">
      <c r="A1091" s="265"/>
    </row>
    <row r="1092" spans="1:1" x14ac:dyDescent="0.25">
      <c r="A1092" s="265"/>
    </row>
    <row r="1093" spans="1:1" x14ac:dyDescent="0.25">
      <c r="A1093" s="265"/>
    </row>
    <row r="1094" spans="1:1" x14ac:dyDescent="0.25">
      <c r="A1094" s="265"/>
    </row>
    <row r="1095" spans="1:1" x14ac:dyDescent="0.25">
      <c r="A1095" s="265"/>
    </row>
    <row r="1096" spans="1:1" x14ac:dyDescent="0.25">
      <c r="A1096" s="265"/>
    </row>
    <row r="1097" spans="1:1" x14ac:dyDescent="0.25">
      <c r="A1097" s="265"/>
    </row>
    <row r="1098" spans="1:1" x14ac:dyDescent="0.25">
      <c r="A1098" s="265"/>
    </row>
    <row r="1099" spans="1:1" x14ac:dyDescent="0.25">
      <c r="A1099" s="265"/>
    </row>
    <row r="1100" spans="1:1" x14ac:dyDescent="0.25">
      <c r="A1100" s="265"/>
    </row>
    <row r="1101" spans="1:1" x14ac:dyDescent="0.25">
      <c r="A1101" s="265"/>
    </row>
    <row r="1102" spans="1:1" x14ac:dyDescent="0.25">
      <c r="A1102" s="265"/>
    </row>
    <row r="1103" spans="1:1" x14ac:dyDescent="0.25">
      <c r="A1103" s="265"/>
    </row>
    <row r="1104" spans="1:1" x14ac:dyDescent="0.25">
      <c r="A1104" s="265"/>
    </row>
    <row r="1105" spans="1:1" x14ac:dyDescent="0.25">
      <c r="A1105" s="265"/>
    </row>
    <row r="1106" spans="1:1" x14ac:dyDescent="0.25">
      <c r="A1106" s="265"/>
    </row>
    <row r="1107" spans="1:1" x14ac:dyDescent="0.25">
      <c r="A1107" s="265"/>
    </row>
    <row r="1108" spans="1:1" x14ac:dyDescent="0.25">
      <c r="A1108" s="265"/>
    </row>
    <row r="1109" spans="1:1" x14ac:dyDescent="0.25">
      <c r="A1109" s="265"/>
    </row>
    <row r="1110" spans="1:1" x14ac:dyDescent="0.25">
      <c r="A1110" s="265"/>
    </row>
    <row r="1111" spans="1:1" x14ac:dyDescent="0.25">
      <c r="A1111" s="265"/>
    </row>
    <row r="1112" spans="1:1" x14ac:dyDescent="0.25">
      <c r="A1112" s="265"/>
    </row>
    <row r="1113" spans="1:1" x14ac:dyDescent="0.25">
      <c r="A1113" s="265"/>
    </row>
    <row r="1114" spans="1:1" x14ac:dyDescent="0.25">
      <c r="A1114" s="265"/>
    </row>
    <row r="1115" spans="1:1" x14ac:dyDescent="0.25">
      <c r="A1115" s="265"/>
    </row>
    <row r="1116" spans="1:1" x14ac:dyDescent="0.25">
      <c r="A1116" s="265"/>
    </row>
    <row r="1117" spans="1:1" x14ac:dyDescent="0.25">
      <c r="A1117" s="265"/>
    </row>
    <row r="1118" spans="1:1" x14ac:dyDescent="0.25">
      <c r="A1118" s="265"/>
    </row>
    <row r="1119" spans="1:1" x14ac:dyDescent="0.25">
      <c r="A1119" s="265"/>
    </row>
    <row r="1120" spans="1:1" x14ac:dyDescent="0.25">
      <c r="A1120" s="265"/>
    </row>
    <row r="1121" spans="1:1" x14ac:dyDescent="0.25">
      <c r="A1121" s="265"/>
    </row>
    <row r="1122" spans="1:1" x14ac:dyDescent="0.25">
      <c r="A1122" s="265"/>
    </row>
    <row r="1123" spans="1:1" x14ac:dyDescent="0.25">
      <c r="A1123" s="265"/>
    </row>
    <row r="1124" spans="1:1" x14ac:dyDescent="0.25">
      <c r="A1124" s="265"/>
    </row>
    <row r="1125" spans="1:1" x14ac:dyDescent="0.25">
      <c r="A1125" s="265"/>
    </row>
    <row r="1126" spans="1:1" x14ac:dyDescent="0.25">
      <c r="A1126" s="265"/>
    </row>
    <row r="1127" spans="1:1" x14ac:dyDescent="0.25">
      <c r="A1127" s="265"/>
    </row>
    <row r="1128" spans="1:1" x14ac:dyDescent="0.25">
      <c r="A1128" s="265"/>
    </row>
    <row r="1129" spans="1:1" x14ac:dyDescent="0.25">
      <c r="A1129" s="265"/>
    </row>
    <row r="1130" spans="1:1" x14ac:dyDescent="0.25">
      <c r="A1130" s="265"/>
    </row>
    <row r="1131" spans="1:1" x14ac:dyDescent="0.25">
      <c r="A1131" s="265"/>
    </row>
    <row r="1132" spans="1:1" x14ac:dyDescent="0.25">
      <c r="A1132" s="265"/>
    </row>
    <row r="1133" spans="1:1" x14ac:dyDescent="0.25">
      <c r="A1133" s="265"/>
    </row>
    <row r="1134" spans="1:1" x14ac:dyDescent="0.25">
      <c r="A1134" s="265"/>
    </row>
    <row r="1135" spans="1:1" x14ac:dyDescent="0.25">
      <c r="A1135" s="265"/>
    </row>
    <row r="1136" spans="1:1" x14ac:dyDescent="0.25">
      <c r="A1136" s="265"/>
    </row>
    <row r="1137" spans="1:1" x14ac:dyDescent="0.25">
      <c r="A1137" s="265"/>
    </row>
    <row r="1138" spans="1:1" x14ac:dyDescent="0.25">
      <c r="A1138" s="265"/>
    </row>
    <row r="1139" spans="1:1" x14ac:dyDescent="0.25">
      <c r="A1139" s="265"/>
    </row>
    <row r="1140" spans="1:1" x14ac:dyDescent="0.25">
      <c r="A1140" s="265"/>
    </row>
    <row r="1141" spans="1:1" x14ac:dyDescent="0.25">
      <c r="A1141" s="265"/>
    </row>
    <row r="1142" spans="1:1" x14ac:dyDescent="0.25">
      <c r="A1142" s="265"/>
    </row>
    <row r="1143" spans="1:1" x14ac:dyDescent="0.25">
      <c r="A1143" s="265"/>
    </row>
    <row r="1144" spans="1:1" x14ac:dyDescent="0.25">
      <c r="A1144" s="265"/>
    </row>
    <row r="1145" spans="1:1" x14ac:dyDescent="0.25">
      <c r="A1145" s="265"/>
    </row>
    <row r="1146" spans="1:1" x14ac:dyDescent="0.25">
      <c r="A1146" s="265"/>
    </row>
    <row r="1147" spans="1:1" x14ac:dyDescent="0.25">
      <c r="A1147" s="265"/>
    </row>
    <row r="1148" spans="1:1" x14ac:dyDescent="0.25">
      <c r="A1148" s="265"/>
    </row>
    <row r="1149" spans="1:1" x14ac:dyDescent="0.25">
      <c r="A1149" s="265"/>
    </row>
    <row r="1150" spans="1:1" x14ac:dyDescent="0.25">
      <c r="A1150" s="265"/>
    </row>
    <row r="1151" spans="1:1" x14ac:dyDescent="0.25">
      <c r="A1151" s="265"/>
    </row>
    <row r="1152" spans="1:1" x14ac:dyDescent="0.25">
      <c r="A1152" s="265"/>
    </row>
    <row r="1153" spans="1:1" x14ac:dyDescent="0.25">
      <c r="A1153" s="265"/>
    </row>
    <row r="1154" spans="1:1" x14ac:dyDescent="0.25">
      <c r="A1154" s="265"/>
    </row>
    <row r="1155" spans="1:1" x14ac:dyDescent="0.25">
      <c r="A1155" s="265"/>
    </row>
    <row r="1156" spans="1:1" x14ac:dyDescent="0.25">
      <c r="A1156" s="265"/>
    </row>
    <row r="1157" spans="1:1" x14ac:dyDescent="0.25">
      <c r="A1157" s="265"/>
    </row>
    <row r="1158" spans="1:1" x14ac:dyDescent="0.25">
      <c r="A1158" s="265"/>
    </row>
    <row r="1159" spans="1:1" x14ac:dyDescent="0.25">
      <c r="A1159" s="265"/>
    </row>
    <row r="1160" spans="1:1" x14ac:dyDescent="0.25">
      <c r="A1160" s="265"/>
    </row>
    <row r="1161" spans="1:1" x14ac:dyDescent="0.25">
      <c r="A1161" s="265"/>
    </row>
    <row r="1162" spans="1:1" x14ac:dyDescent="0.25">
      <c r="A1162" s="265"/>
    </row>
    <row r="1163" spans="1:1" x14ac:dyDescent="0.25">
      <c r="A1163" s="265"/>
    </row>
    <row r="1164" spans="1:1" x14ac:dyDescent="0.25">
      <c r="A1164" s="265"/>
    </row>
    <row r="1165" spans="1:1" x14ac:dyDescent="0.25">
      <c r="A1165" s="265"/>
    </row>
    <row r="1166" spans="1:1" x14ac:dyDescent="0.25">
      <c r="A1166" s="265"/>
    </row>
    <row r="1167" spans="1:1" x14ac:dyDescent="0.25">
      <c r="A1167" s="265"/>
    </row>
    <row r="1168" spans="1:1" x14ac:dyDescent="0.25">
      <c r="A1168" s="265"/>
    </row>
    <row r="1169" spans="1:1" x14ac:dyDescent="0.25">
      <c r="A1169" s="265"/>
    </row>
    <row r="1170" spans="1:1" x14ac:dyDescent="0.25">
      <c r="A1170" s="265"/>
    </row>
    <row r="1171" spans="1:1" x14ac:dyDescent="0.25">
      <c r="A1171" s="265"/>
    </row>
    <row r="1172" spans="1:1" x14ac:dyDescent="0.25">
      <c r="A1172" s="265"/>
    </row>
    <row r="1173" spans="1:1" x14ac:dyDescent="0.25">
      <c r="A1173" s="265"/>
    </row>
    <row r="1174" spans="1:1" x14ac:dyDescent="0.25">
      <c r="A1174" s="265"/>
    </row>
    <row r="1175" spans="1:1" x14ac:dyDescent="0.25">
      <c r="A1175" s="265"/>
    </row>
    <row r="1176" spans="1:1" x14ac:dyDescent="0.25">
      <c r="A1176" s="265"/>
    </row>
    <row r="1177" spans="1:1" x14ac:dyDescent="0.25">
      <c r="A1177" s="265"/>
    </row>
    <row r="1178" spans="1:1" x14ac:dyDescent="0.25">
      <c r="A1178" s="265"/>
    </row>
    <row r="1179" spans="1:1" x14ac:dyDescent="0.25">
      <c r="A1179" s="265"/>
    </row>
    <row r="1180" spans="1:1" x14ac:dyDescent="0.25">
      <c r="A1180" s="265"/>
    </row>
    <row r="1181" spans="1:1" x14ac:dyDescent="0.25">
      <c r="A1181" s="265"/>
    </row>
    <row r="1182" spans="1:1" x14ac:dyDescent="0.25">
      <c r="A1182" s="265"/>
    </row>
    <row r="1183" spans="1:1" x14ac:dyDescent="0.25">
      <c r="A1183" s="265"/>
    </row>
    <row r="1184" spans="1:1" x14ac:dyDescent="0.25">
      <c r="A1184" s="265"/>
    </row>
    <row r="1185" spans="1:1" x14ac:dyDescent="0.25">
      <c r="A1185" s="265"/>
    </row>
    <row r="1186" spans="1:1" x14ac:dyDescent="0.25">
      <c r="A1186" s="265"/>
    </row>
    <row r="1187" spans="1:1" x14ac:dyDescent="0.25">
      <c r="A1187" s="265"/>
    </row>
    <row r="1188" spans="1:1" x14ac:dyDescent="0.25">
      <c r="A1188" s="265"/>
    </row>
    <row r="1189" spans="1:1" x14ac:dyDescent="0.25">
      <c r="A1189" s="265"/>
    </row>
    <row r="1190" spans="1:1" x14ac:dyDescent="0.25">
      <c r="A1190" s="265"/>
    </row>
    <row r="1191" spans="1:1" x14ac:dyDescent="0.25">
      <c r="A1191" s="265"/>
    </row>
    <row r="1192" spans="1:1" x14ac:dyDescent="0.25">
      <c r="A1192" s="265"/>
    </row>
    <row r="1193" spans="1:1" x14ac:dyDescent="0.25">
      <c r="A1193" s="265"/>
    </row>
    <row r="1194" spans="1:1" x14ac:dyDescent="0.25">
      <c r="A1194" s="265"/>
    </row>
    <row r="1195" spans="1:1" x14ac:dyDescent="0.25">
      <c r="A1195" s="265"/>
    </row>
    <row r="1196" spans="1:1" x14ac:dyDescent="0.25">
      <c r="A1196" s="265"/>
    </row>
    <row r="1197" spans="1:1" x14ac:dyDescent="0.25">
      <c r="A1197" s="265"/>
    </row>
    <row r="1198" spans="1:1" x14ac:dyDescent="0.25">
      <c r="A1198" s="265"/>
    </row>
    <row r="1199" spans="1:1" x14ac:dyDescent="0.25">
      <c r="A1199" s="265"/>
    </row>
    <row r="1200" spans="1:1" x14ac:dyDescent="0.25">
      <c r="A1200" s="265"/>
    </row>
    <row r="1201" spans="1:1" x14ac:dyDescent="0.25">
      <c r="A1201" s="265"/>
    </row>
    <row r="1202" spans="1:1" x14ac:dyDescent="0.25">
      <c r="A1202" s="265"/>
    </row>
    <row r="1203" spans="1:1" x14ac:dyDescent="0.25">
      <c r="A1203" s="265"/>
    </row>
    <row r="1204" spans="1:1" x14ac:dyDescent="0.25">
      <c r="A1204" s="265"/>
    </row>
    <row r="1205" spans="1:1" x14ac:dyDescent="0.25">
      <c r="A1205" s="265"/>
    </row>
    <row r="1206" spans="1:1" x14ac:dyDescent="0.25">
      <c r="A1206" s="265"/>
    </row>
    <row r="1207" spans="1:1" x14ac:dyDescent="0.25">
      <c r="A1207" s="265"/>
    </row>
    <row r="1208" spans="1:1" x14ac:dyDescent="0.25">
      <c r="A1208" s="265"/>
    </row>
    <row r="1209" spans="1:1" x14ac:dyDescent="0.25">
      <c r="A1209" s="265"/>
    </row>
    <row r="1210" spans="1:1" x14ac:dyDescent="0.25">
      <c r="A1210" s="265"/>
    </row>
    <row r="1211" spans="1:1" x14ac:dyDescent="0.25">
      <c r="A1211" s="265"/>
    </row>
    <row r="1212" spans="1:1" x14ac:dyDescent="0.25">
      <c r="A1212" s="265"/>
    </row>
    <row r="1213" spans="1:1" x14ac:dyDescent="0.25">
      <c r="A1213" s="265"/>
    </row>
    <row r="1214" spans="1:1" x14ac:dyDescent="0.25">
      <c r="A1214" s="265"/>
    </row>
    <row r="1215" spans="1:1" x14ac:dyDescent="0.25">
      <c r="A1215" s="265"/>
    </row>
    <row r="1216" spans="1:1" x14ac:dyDescent="0.25">
      <c r="A1216" s="265"/>
    </row>
    <row r="1217" spans="1:1" x14ac:dyDescent="0.25">
      <c r="A1217" s="265"/>
    </row>
    <row r="1218" spans="1:1" x14ac:dyDescent="0.25">
      <c r="A1218" s="265"/>
    </row>
    <row r="1219" spans="1:1" x14ac:dyDescent="0.25">
      <c r="A1219" s="265"/>
    </row>
    <row r="1220" spans="1:1" x14ac:dyDescent="0.25">
      <c r="A1220" s="265"/>
    </row>
    <row r="1221" spans="1:1" x14ac:dyDescent="0.25">
      <c r="A1221" s="265"/>
    </row>
    <row r="1222" spans="1:1" x14ac:dyDescent="0.25">
      <c r="A1222" s="265"/>
    </row>
    <row r="1223" spans="1:1" x14ac:dyDescent="0.25">
      <c r="A1223" s="265"/>
    </row>
    <row r="1224" spans="1:1" x14ac:dyDescent="0.25">
      <c r="A1224" s="265"/>
    </row>
    <row r="1225" spans="1:1" x14ac:dyDescent="0.25">
      <c r="A1225" s="265"/>
    </row>
    <row r="1226" spans="1:1" x14ac:dyDescent="0.25">
      <c r="A1226" s="265"/>
    </row>
    <row r="1227" spans="1:1" x14ac:dyDescent="0.25">
      <c r="A1227" s="265"/>
    </row>
    <row r="1228" spans="1:1" x14ac:dyDescent="0.25">
      <c r="A1228" s="265"/>
    </row>
    <row r="1229" spans="1:1" x14ac:dyDescent="0.25">
      <c r="A1229" s="265"/>
    </row>
    <row r="1230" spans="1:1" x14ac:dyDescent="0.25">
      <c r="A1230" s="265"/>
    </row>
    <row r="1231" spans="1:1" x14ac:dyDescent="0.25">
      <c r="A1231" s="265"/>
    </row>
    <row r="1232" spans="1:1" x14ac:dyDescent="0.25">
      <c r="A1232" s="265"/>
    </row>
    <row r="1233" spans="1:1" x14ac:dyDescent="0.25">
      <c r="A1233" s="265"/>
    </row>
    <row r="1234" spans="1:1" x14ac:dyDescent="0.25">
      <c r="A1234" s="265"/>
    </row>
    <row r="1235" spans="1:1" x14ac:dyDescent="0.25">
      <c r="A1235" s="265"/>
    </row>
    <row r="1236" spans="1:1" x14ac:dyDescent="0.25">
      <c r="A1236" s="265"/>
    </row>
    <row r="1237" spans="1:1" x14ac:dyDescent="0.25">
      <c r="A1237" s="265"/>
    </row>
    <row r="1238" spans="1:1" x14ac:dyDescent="0.25">
      <c r="A1238" s="265"/>
    </row>
    <row r="1239" spans="1:1" x14ac:dyDescent="0.25">
      <c r="A1239" s="265"/>
    </row>
    <row r="1240" spans="1:1" x14ac:dyDescent="0.25">
      <c r="A1240" s="265"/>
    </row>
    <row r="1241" spans="1:1" x14ac:dyDescent="0.25">
      <c r="A1241" s="265"/>
    </row>
    <row r="1242" spans="1:1" x14ac:dyDescent="0.25">
      <c r="A1242" s="265"/>
    </row>
    <row r="1243" spans="1:1" x14ac:dyDescent="0.25">
      <c r="A1243" s="265"/>
    </row>
    <row r="1244" spans="1:1" x14ac:dyDescent="0.25">
      <c r="A1244" s="265"/>
    </row>
    <row r="1245" spans="1:1" x14ac:dyDescent="0.25">
      <c r="A1245" s="265"/>
    </row>
    <row r="1246" spans="1:1" x14ac:dyDescent="0.25">
      <c r="A1246" s="265"/>
    </row>
    <row r="1247" spans="1:1" x14ac:dyDescent="0.25">
      <c r="A1247" s="265"/>
    </row>
    <row r="1248" spans="1:1" x14ac:dyDescent="0.25">
      <c r="A1248" s="265"/>
    </row>
    <row r="1249" spans="1:1" x14ac:dyDescent="0.25">
      <c r="A1249" s="265"/>
    </row>
    <row r="1250" spans="1:1" x14ac:dyDescent="0.25">
      <c r="A1250" s="265"/>
    </row>
    <row r="1251" spans="1:1" x14ac:dyDescent="0.25">
      <c r="A1251" s="265"/>
    </row>
    <row r="1252" spans="1:1" x14ac:dyDescent="0.25">
      <c r="A1252" s="265"/>
    </row>
    <row r="1253" spans="1:1" x14ac:dyDescent="0.25">
      <c r="A1253" s="265"/>
    </row>
    <row r="1254" spans="1:1" x14ac:dyDescent="0.25">
      <c r="A1254" s="265"/>
    </row>
    <row r="1255" spans="1:1" x14ac:dyDescent="0.25">
      <c r="A1255" s="265"/>
    </row>
    <row r="1256" spans="1:1" x14ac:dyDescent="0.25">
      <c r="A1256" s="265"/>
    </row>
    <row r="1257" spans="1:1" x14ac:dyDescent="0.25">
      <c r="A1257" s="265"/>
    </row>
    <row r="1258" spans="1:1" x14ac:dyDescent="0.25">
      <c r="A1258" s="265"/>
    </row>
    <row r="1259" spans="1:1" x14ac:dyDescent="0.25">
      <c r="A1259" s="265"/>
    </row>
    <row r="1260" spans="1:1" x14ac:dyDescent="0.25">
      <c r="A1260" s="265"/>
    </row>
    <row r="1261" spans="1:1" x14ac:dyDescent="0.25">
      <c r="A1261" s="265"/>
    </row>
    <row r="1262" spans="1:1" x14ac:dyDescent="0.25">
      <c r="A1262" s="265"/>
    </row>
    <row r="1263" spans="1:1" x14ac:dyDescent="0.25">
      <c r="A1263" s="265"/>
    </row>
    <row r="1264" spans="1:1" x14ac:dyDescent="0.25">
      <c r="A1264" s="265"/>
    </row>
    <row r="1265" spans="1:1" x14ac:dyDescent="0.25">
      <c r="A1265" s="265"/>
    </row>
    <row r="1266" spans="1:1" x14ac:dyDescent="0.25">
      <c r="A1266" s="265"/>
    </row>
    <row r="1267" spans="1:1" x14ac:dyDescent="0.25">
      <c r="A1267" s="265"/>
    </row>
    <row r="1268" spans="1:1" x14ac:dyDescent="0.25">
      <c r="A1268" s="265"/>
    </row>
    <row r="1269" spans="1:1" x14ac:dyDescent="0.25">
      <c r="A1269" s="265"/>
    </row>
    <row r="1270" spans="1:1" x14ac:dyDescent="0.25">
      <c r="A1270" s="265"/>
    </row>
    <row r="1271" spans="1:1" x14ac:dyDescent="0.25">
      <c r="A1271" s="265"/>
    </row>
    <row r="1272" spans="1:1" x14ac:dyDescent="0.25">
      <c r="A1272" s="265"/>
    </row>
    <row r="1273" spans="1:1" x14ac:dyDescent="0.25">
      <c r="A1273" s="265"/>
    </row>
    <row r="1274" spans="1:1" x14ac:dyDescent="0.25">
      <c r="A1274" s="265"/>
    </row>
    <row r="1275" spans="1:1" x14ac:dyDescent="0.25">
      <c r="A1275" s="265"/>
    </row>
    <row r="1276" spans="1:1" x14ac:dyDescent="0.25">
      <c r="A1276" s="265"/>
    </row>
    <row r="1277" spans="1:1" x14ac:dyDescent="0.25">
      <c r="A1277" s="265"/>
    </row>
    <row r="1278" spans="1:1" x14ac:dyDescent="0.25">
      <c r="A1278" s="265"/>
    </row>
    <row r="1279" spans="1:1" x14ac:dyDescent="0.25">
      <c r="A1279" s="265"/>
    </row>
    <row r="1280" spans="1:1" x14ac:dyDescent="0.25">
      <c r="A1280" s="265"/>
    </row>
    <row r="1281" spans="1:1" x14ac:dyDescent="0.25">
      <c r="A1281" s="265"/>
    </row>
    <row r="1282" spans="1:1" x14ac:dyDescent="0.25">
      <c r="A1282" s="265"/>
    </row>
    <row r="1283" spans="1:1" x14ac:dyDescent="0.25">
      <c r="A1283" s="265"/>
    </row>
    <row r="1284" spans="1:1" x14ac:dyDescent="0.25">
      <c r="A1284" s="265"/>
    </row>
    <row r="1285" spans="1:1" x14ac:dyDescent="0.25">
      <c r="A1285" s="265"/>
    </row>
    <row r="1286" spans="1:1" x14ac:dyDescent="0.25">
      <c r="A1286" s="265"/>
    </row>
    <row r="1287" spans="1:1" x14ac:dyDescent="0.25">
      <c r="A1287" s="265"/>
    </row>
    <row r="1288" spans="1:1" x14ac:dyDescent="0.25">
      <c r="A1288" s="265"/>
    </row>
    <row r="1289" spans="1:1" x14ac:dyDescent="0.25">
      <c r="A1289" s="265"/>
    </row>
    <row r="1290" spans="1:1" x14ac:dyDescent="0.25">
      <c r="A1290" s="265"/>
    </row>
    <row r="1291" spans="1:1" x14ac:dyDescent="0.25">
      <c r="A1291" s="265"/>
    </row>
    <row r="1292" spans="1:1" x14ac:dyDescent="0.25">
      <c r="A1292" s="265"/>
    </row>
    <row r="1293" spans="1:1" x14ac:dyDescent="0.25">
      <c r="A1293" s="265"/>
    </row>
    <row r="1294" spans="1:1" x14ac:dyDescent="0.25">
      <c r="A1294" s="265"/>
    </row>
    <row r="1295" spans="1:1" x14ac:dyDescent="0.25">
      <c r="A1295" s="265"/>
    </row>
    <row r="1296" spans="1:1" x14ac:dyDescent="0.25">
      <c r="A1296" s="265"/>
    </row>
    <row r="1297" spans="1:1" x14ac:dyDescent="0.25">
      <c r="A1297" s="265"/>
    </row>
    <row r="1298" spans="1:1" x14ac:dyDescent="0.25">
      <c r="A1298" s="265"/>
    </row>
    <row r="1299" spans="1:1" x14ac:dyDescent="0.25">
      <c r="A1299" s="265"/>
    </row>
    <row r="1300" spans="1:1" x14ac:dyDescent="0.25">
      <c r="A1300" s="265"/>
    </row>
    <row r="1301" spans="1:1" x14ac:dyDescent="0.25">
      <c r="A1301" s="265"/>
    </row>
    <row r="1302" spans="1:1" x14ac:dyDescent="0.25">
      <c r="A1302" s="265"/>
    </row>
    <row r="1303" spans="1:1" x14ac:dyDescent="0.25">
      <c r="A1303" s="265"/>
    </row>
    <row r="1304" spans="1:1" x14ac:dyDescent="0.25">
      <c r="A1304" s="265"/>
    </row>
    <row r="1305" spans="1:1" x14ac:dyDescent="0.25">
      <c r="A1305" s="265"/>
    </row>
    <row r="1306" spans="1:1" x14ac:dyDescent="0.25">
      <c r="A1306" s="265"/>
    </row>
    <row r="1307" spans="1:1" x14ac:dyDescent="0.25">
      <c r="A1307" s="265"/>
    </row>
    <row r="1308" spans="1:1" x14ac:dyDescent="0.25">
      <c r="A1308" s="265"/>
    </row>
    <row r="1309" spans="1:1" x14ac:dyDescent="0.25">
      <c r="A1309" s="265"/>
    </row>
    <row r="1310" spans="1:1" x14ac:dyDescent="0.25">
      <c r="A1310" s="265"/>
    </row>
    <row r="1311" spans="1:1" x14ac:dyDescent="0.25">
      <c r="A1311" s="265"/>
    </row>
    <row r="1312" spans="1:1" x14ac:dyDescent="0.25">
      <c r="A1312" s="265"/>
    </row>
    <row r="1313" spans="1:1" x14ac:dyDescent="0.25">
      <c r="A1313" s="265"/>
    </row>
    <row r="1314" spans="1:1" x14ac:dyDescent="0.25">
      <c r="A1314" s="265"/>
    </row>
    <row r="1315" spans="1:1" x14ac:dyDescent="0.25">
      <c r="A1315" s="265"/>
    </row>
    <row r="1316" spans="1:1" x14ac:dyDescent="0.25">
      <c r="A1316" s="265"/>
    </row>
    <row r="1317" spans="1:1" x14ac:dyDescent="0.25">
      <c r="A1317" s="265"/>
    </row>
    <row r="1318" spans="1:1" x14ac:dyDescent="0.25">
      <c r="A1318" s="265"/>
    </row>
    <row r="1319" spans="1:1" x14ac:dyDescent="0.25">
      <c r="A1319" s="265"/>
    </row>
    <row r="1320" spans="1:1" x14ac:dyDescent="0.25">
      <c r="A1320" s="265"/>
    </row>
    <row r="1321" spans="1:1" x14ac:dyDescent="0.25">
      <c r="A1321" s="265"/>
    </row>
    <row r="1322" spans="1:1" x14ac:dyDescent="0.25">
      <c r="A1322" s="265"/>
    </row>
    <row r="1323" spans="1:1" x14ac:dyDescent="0.25">
      <c r="A1323" s="265"/>
    </row>
    <row r="1324" spans="1:1" x14ac:dyDescent="0.25">
      <c r="A1324" s="265"/>
    </row>
    <row r="1325" spans="1:1" x14ac:dyDescent="0.25">
      <c r="A1325" s="265"/>
    </row>
    <row r="1326" spans="1:1" x14ac:dyDescent="0.25">
      <c r="A1326" s="265"/>
    </row>
    <row r="1327" spans="1:1" x14ac:dyDescent="0.25">
      <c r="A1327" s="265"/>
    </row>
    <row r="1328" spans="1:1" x14ac:dyDescent="0.25">
      <c r="A1328" s="265"/>
    </row>
    <row r="1329" spans="1:1" x14ac:dyDescent="0.25">
      <c r="A1329" s="265"/>
    </row>
    <row r="1330" spans="1:1" x14ac:dyDescent="0.25">
      <c r="A1330" s="265"/>
    </row>
    <row r="1331" spans="1:1" x14ac:dyDescent="0.25">
      <c r="A1331" s="265"/>
    </row>
    <row r="1332" spans="1:1" x14ac:dyDescent="0.25">
      <c r="A1332" s="265"/>
    </row>
    <row r="1333" spans="1:1" x14ac:dyDescent="0.25">
      <c r="A1333" s="265"/>
    </row>
    <row r="1334" spans="1:1" x14ac:dyDescent="0.25">
      <c r="A1334" s="265"/>
    </row>
    <row r="1335" spans="1:1" x14ac:dyDescent="0.25">
      <c r="A1335" s="265"/>
    </row>
    <row r="1336" spans="1:1" x14ac:dyDescent="0.25">
      <c r="A1336" s="265"/>
    </row>
    <row r="1337" spans="1:1" x14ac:dyDescent="0.25">
      <c r="A1337" s="265"/>
    </row>
    <row r="1338" spans="1:1" x14ac:dyDescent="0.25">
      <c r="A1338" s="265"/>
    </row>
    <row r="1339" spans="1:1" x14ac:dyDescent="0.25">
      <c r="A1339" s="265"/>
    </row>
    <row r="1340" spans="1:1" x14ac:dyDescent="0.25">
      <c r="A1340" s="265"/>
    </row>
    <row r="1341" spans="1:1" x14ac:dyDescent="0.25">
      <c r="A1341" s="265"/>
    </row>
    <row r="1342" spans="1:1" x14ac:dyDescent="0.25">
      <c r="A1342" s="265"/>
    </row>
    <row r="1343" spans="1:1" x14ac:dyDescent="0.25">
      <c r="A1343" s="265"/>
    </row>
    <row r="1344" spans="1:1" x14ac:dyDescent="0.25">
      <c r="A1344" s="265"/>
    </row>
    <row r="1345" spans="1:1" x14ac:dyDescent="0.25">
      <c r="A1345" s="265"/>
    </row>
    <row r="1346" spans="1:1" x14ac:dyDescent="0.25">
      <c r="A1346" s="265"/>
    </row>
    <row r="1347" spans="1:1" x14ac:dyDescent="0.25">
      <c r="A1347" s="265"/>
    </row>
    <row r="1348" spans="1:1" x14ac:dyDescent="0.25">
      <c r="A1348" s="265"/>
    </row>
    <row r="1349" spans="1:1" x14ac:dyDescent="0.25">
      <c r="A1349" s="265"/>
    </row>
    <row r="1350" spans="1:1" x14ac:dyDescent="0.25">
      <c r="A1350" s="265"/>
    </row>
    <row r="1351" spans="1:1" x14ac:dyDescent="0.25">
      <c r="A1351" s="265"/>
    </row>
    <row r="1352" spans="1:1" x14ac:dyDescent="0.25">
      <c r="A1352" s="265"/>
    </row>
    <row r="1353" spans="1:1" x14ac:dyDescent="0.25">
      <c r="A1353" s="265"/>
    </row>
    <row r="1354" spans="1:1" x14ac:dyDescent="0.25">
      <c r="A1354" s="265"/>
    </row>
    <row r="1355" spans="1:1" x14ac:dyDescent="0.25">
      <c r="A1355" s="265"/>
    </row>
    <row r="1356" spans="1:1" x14ac:dyDescent="0.25">
      <c r="A1356" s="265"/>
    </row>
    <row r="1357" spans="1:1" x14ac:dyDescent="0.25">
      <c r="A1357" s="265"/>
    </row>
    <row r="1358" spans="1:1" x14ac:dyDescent="0.25">
      <c r="A1358" s="265"/>
    </row>
    <row r="1359" spans="1:1" x14ac:dyDescent="0.25">
      <c r="A1359" s="265"/>
    </row>
    <row r="1360" spans="1:1" x14ac:dyDescent="0.25">
      <c r="A1360" s="265"/>
    </row>
    <row r="1361" spans="1:1" x14ac:dyDescent="0.25">
      <c r="A1361" s="265"/>
    </row>
    <row r="1362" spans="1:1" x14ac:dyDescent="0.25">
      <c r="A1362" s="265"/>
    </row>
    <row r="1363" spans="1:1" x14ac:dyDescent="0.25">
      <c r="A1363" s="265"/>
    </row>
    <row r="1364" spans="1:1" x14ac:dyDescent="0.25">
      <c r="A1364" s="265"/>
    </row>
    <row r="1365" spans="1:1" x14ac:dyDescent="0.25">
      <c r="A1365" s="265"/>
    </row>
    <row r="1366" spans="1:1" x14ac:dyDescent="0.25">
      <c r="A1366" s="265"/>
    </row>
    <row r="1367" spans="1:1" x14ac:dyDescent="0.25">
      <c r="A1367" s="265"/>
    </row>
    <row r="1368" spans="1:1" x14ac:dyDescent="0.25">
      <c r="A1368" s="265"/>
    </row>
    <row r="1369" spans="1:1" x14ac:dyDescent="0.25">
      <c r="A1369" s="265"/>
    </row>
    <row r="1370" spans="1:1" x14ac:dyDescent="0.25">
      <c r="A1370" s="265"/>
    </row>
    <row r="1371" spans="1:1" x14ac:dyDescent="0.25">
      <c r="A1371" s="265"/>
    </row>
    <row r="1372" spans="1:1" x14ac:dyDescent="0.25">
      <c r="A1372" s="265"/>
    </row>
    <row r="1373" spans="1:1" x14ac:dyDescent="0.25">
      <c r="A1373" s="265"/>
    </row>
    <row r="1374" spans="1:1" x14ac:dyDescent="0.25">
      <c r="A1374" s="265"/>
    </row>
    <row r="1375" spans="1:1" x14ac:dyDescent="0.25">
      <c r="A1375" s="265"/>
    </row>
    <row r="1376" spans="1:1" x14ac:dyDescent="0.25">
      <c r="A1376" s="265"/>
    </row>
    <row r="1377" spans="1:1" x14ac:dyDescent="0.25">
      <c r="A1377" s="265"/>
    </row>
    <row r="1378" spans="1:1" x14ac:dyDescent="0.25">
      <c r="A1378" s="265"/>
    </row>
    <row r="1379" spans="1:1" x14ac:dyDescent="0.25">
      <c r="A1379" s="265"/>
    </row>
    <row r="1380" spans="1:1" x14ac:dyDescent="0.25">
      <c r="A1380" s="265"/>
    </row>
    <row r="1381" spans="1:1" x14ac:dyDescent="0.25">
      <c r="A1381" s="265"/>
    </row>
    <row r="1382" spans="1:1" x14ac:dyDescent="0.25">
      <c r="A1382" s="265"/>
    </row>
    <row r="1383" spans="1:1" x14ac:dyDescent="0.25">
      <c r="A1383" s="265"/>
    </row>
    <row r="1384" spans="1:1" x14ac:dyDescent="0.25">
      <c r="A1384" s="265"/>
    </row>
    <row r="1385" spans="1:1" x14ac:dyDescent="0.25">
      <c r="A1385" s="265"/>
    </row>
    <row r="1386" spans="1:1" x14ac:dyDescent="0.25">
      <c r="A1386" s="265"/>
    </row>
    <row r="1387" spans="1:1" x14ac:dyDescent="0.25">
      <c r="A1387" s="265"/>
    </row>
    <row r="1388" spans="1:1" x14ac:dyDescent="0.25">
      <c r="A1388" s="265"/>
    </row>
    <row r="1389" spans="1:1" x14ac:dyDescent="0.25">
      <c r="A1389" s="265"/>
    </row>
    <row r="1390" spans="1:1" x14ac:dyDescent="0.25">
      <c r="A1390" s="265"/>
    </row>
    <row r="1391" spans="1:1" x14ac:dyDescent="0.25">
      <c r="A1391" s="265"/>
    </row>
    <row r="1392" spans="1:1" x14ac:dyDescent="0.25">
      <c r="A1392" s="265"/>
    </row>
    <row r="1393" spans="1:1" x14ac:dyDescent="0.25">
      <c r="A1393" s="265"/>
    </row>
    <row r="1394" spans="1:1" x14ac:dyDescent="0.25">
      <c r="A1394" s="265"/>
    </row>
    <row r="1395" spans="1:1" x14ac:dyDescent="0.25">
      <c r="A1395" s="265"/>
    </row>
    <row r="1396" spans="1:1" x14ac:dyDescent="0.25">
      <c r="A1396" s="265"/>
    </row>
    <row r="1397" spans="1:1" x14ac:dyDescent="0.25">
      <c r="A1397" s="265"/>
    </row>
    <row r="1398" spans="1:1" x14ac:dyDescent="0.25">
      <c r="A1398" s="265"/>
    </row>
    <row r="1399" spans="1:1" x14ac:dyDescent="0.25">
      <c r="A1399" s="265"/>
    </row>
    <row r="1400" spans="1:1" x14ac:dyDescent="0.25">
      <c r="A1400" s="265"/>
    </row>
    <row r="1401" spans="1:1" x14ac:dyDescent="0.25">
      <c r="A1401" s="265"/>
    </row>
    <row r="1402" spans="1:1" x14ac:dyDescent="0.25">
      <c r="A1402" s="265"/>
    </row>
    <row r="1403" spans="1:1" x14ac:dyDescent="0.25">
      <c r="A1403" s="265"/>
    </row>
    <row r="1404" spans="1:1" x14ac:dyDescent="0.25">
      <c r="A1404" s="265"/>
    </row>
    <row r="1405" spans="1:1" x14ac:dyDescent="0.25">
      <c r="A1405" s="265"/>
    </row>
    <row r="1406" spans="1:1" x14ac:dyDescent="0.25">
      <c r="A1406" s="265"/>
    </row>
    <row r="1407" spans="1:1" x14ac:dyDescent="0.25">
      <c r="A1407" s="265"/>
    </row>
    <row r="1408" spans="1:1" x14ac:dyDescent="0.25">
      <c r="A1408" s="265"/>
    </row>
    <row r="1409" spans="1:1" x14ac:dyDescent="0.25">
      <c r="A1409" s="265"/>
    </row>
    <row r="1410" spans="1:1" x14ac:dyDescent="0.25">
      <c r="A1410" s="265"/>
    </row>
    <row r="1411" spans="1:1" x14ac:dyDescent="0.25">
      <c r="A1411" s="265"/>
    </row>
    <row r="1412" spans="1:1" x14ac:dyDescent="0.25">
      <c r="A1412" s="265"/>
    </row>
    <row r="1413" spans="1:1" x14ac:dyDescent="0.25">
      <c r="A1413" s="265"/>
    </row>
    <row r="1414" spans="1:1" x14ac:dyDescent="0.25">
      <c r="A1414" s="265"/>
    </row>
    <row r="1415" spans="1:1" x14ac:dyDescent="0.25">
      <c r="A1415" s="265"/>
    </row>
    <row r="1416" spans="1:1" x14ac:dyDescent="0.25">
      <c r="A1416" s="265"/>
    </row>
    <row r="1417" spans="1:1" x14ac:dyDescent="0.25">
      <c r="A1417" s="265"/>
    </row>
    <row r="1418" spans="1:1" x14ac:dyDescent="0.25">
      <c r="A1418" s="265"/>
    </row>
    <row r="1419" spans="1:1" x14ac:dyDescent="0.25">
      <c r="A1419" s="265"/>
    </row>
    <row r="1420" spans="1:1" x14ac:dyDescent="0.25">
      <c r="A1420" s="265"/>
    </row>
    <row r="1421" spans="1:1" x14ac:dyDescent="0.25">
      <c r="A1421" s="265"/>
    </row>
    <row r="1422" spans="1:1" x14ac:dyDescent="0.25">
      <c r="A1422" s="265"/>
    </row>
    <row r="1423" spans="1:1" x14ac:dyDescent="0.25">
      <c r="A1423" s="265"/>
    </row>
    <row r="1424" spans="1:1" x14ac:dyDescent="0.25">
      <c r="A1424" s="265"/>
    </row>
    <row r="1425" spans="1:1" x14ac:dyDescent="0.25">
      <c r="A1425" s="265"/>
    </row>
    <row r="1426" spans="1:1" x14ac:dyDescent="0.25">
      <c r="A1426" s="265"/>
    </row>
    <row r="1427" spans="1:1" x14ac:dyDescent="0.25">
      <c r="A1427" s="265"/>
    </row>
    <row r="1428" spans="1:1" x14ac:dyDescent="0.25">
      <c r="A1428" s="265"/>
    </row>
    <row r="1429" spans="1:1" x14ac:dyDescent="0.25">
      <c r="A1429" s="265"/>
    </row>
    <row r="1430" spans="1:1" x14ac:dyDescent="0.25">
      <c r="A1430" s="265"/>
    </row>
    <row r="1431" spans="1:1" x14ac:dyDescent="0.25">
      <c r="A1431" s="265"/>
    </row>
    <row r="1432" spans="1:1" x14ac:dyDescent="0.25">
      <c r="A1432" s="265"/>
    </row>
    <row r="1433" spans="1:1" x14ac:dyDescent="0.25">
      <c r="A1433" s="265"/>
    </row>
    <row r="1434" spans="1:1" x14ac:dyDescent="0.25">
      <c r="A1434" s="265"/>
    </row>
    <row r="1435" spans="1:1" x14ac:dyDescent="0.25">
      <c r="A1435" s="265"/>
    </row>
    <row r="1436" spans="1:1" x14ac:dyDescent="0.25">
      <c r="A1436" s="265"/>
    </row>
    <row r="1437" spans="1:1" x14ac:dyDescent="0.25">
      <c r="A1437" s="265"/>
    </row>
    <row r="1438" spans="1:1" x14ac:dyDescent="0.25">
      <c r="A1438" s="265"/>
    </row>
    <row r="1439" spans="1:1" x14ac:dyDescent="0.25">
      <c r="A1439" s="265"/>
    </row>
    <row r="1440" spans="1:1" x14ac:dyDescent="0.25">
      <c r="A1440" s="265"/>
    </row>
    <row r="1441" spans="1:1" x14ac:dyDescent="0.25">
      <c r="A1441" s="265"/>
    </row>
    <row r="1442" spans="1:1" x14ac:dyDescent="0.25">
      <c r="A1442" s="265"/>
    </row>
    <row r="1443" spans="1:1" x14ac:dyDescent="0.25">
      <c r="A1443" s="265"/>
    </row>
    <row r="1444" spans="1:1" x14ac:dyDescent="0.25">
      <c r="A1444" s="265"/>
    </row>
    <row r="1445" spans="1:1" x14ac:dyDescent="0.25">
      <c r="A1445" s="265"/>
    </row>
    <row r="1446" spans="1:1" x14ac:dyDescent="0.25">
      <c r="A1446" s="265"/>
    </row>
    <row r="1447" spans="1:1" x14ac:dyDescent="0.25">
      <c r="A1447" s="265"/>
    </row>
    <row r="1448" spans="1:1" x14ac:dyDescent="0.25">
      <c r="A1448" s="265"/>
    </row>
    <row r="1449" spans="1:1" x14ac:dyDescent="0.25">
      <c r="A1449" s="265"/>
    </row>
    <row r="1450" spans="1:1" x14ac:dyDescent="0.25">
      <c r="A1450" s="265"/>
    </row>
    <row r="1451" spans="1:1" x14ac:dyDescent="0.25">
      <c r="A1451" s="265"/>
    </row>
    <row r="1452" spans="1:1" x14ac:dyDescent="0.25">
      <c r="A1452" s="265"/>
    </row>
    <row r="1453" spans="1:1" x14ac:dyDescent="0.25">
      <c r="A1453" s="265"/>
    </row>
    <row r="1454" spans="1:1" x14ac:dyDescent="0.25">
      <c r="A1454" s="265"/>
    </row>
    <row r="1455" spans="1:1" x14ac:dyDescent="0.25">
      <c r="A1455" s="265"/>
    </row>
    <row r="1456" spans="1:1" x14ac:dyDescent="0.25">
      <c r="A1456" s="265"/>
    </row>
    <row r="1457" spans="1:1" x14ac:dyDescent="0.25">
      <c r="A1457" s="265"/>
    </row>
    <row r="1458" spans="1:1" x14ac:dyDescent="0.25">
      <c r="A1458" s="265"/>
    </row>
    <row r="1459" spans="1:1" x14ac:dyDescent="0.25">
      <c r="A1459" s="265"/>
    </row>
    <row r="1460" spans="1:1" x14ac:dyDescent="0.25">
      <c r="A1460" s="265"/>
    </row>
    <row r="1461" spans="1:1" x14ac:dyDescent="0.25">
      <c r="A1461" s="265"/>
    </row>
    <row r="1462" spans="1:1" x14ac:dyDescent="0.25">
      <c r="A1462" s="265"/>
    </row>
    <row r="1463" spans="1:1" x14ac:dyDescent="0.25">
      <c r="A1463" s="265"/>
    </row>
    <row r="1464" spans="1:1" x14ac:dyDescent="0.25">
      <c r="A1464" s="265"/>
    </row>
    <row r="1465" spans="1:1" x14ac:dyDescent="0.25">
      <c r="A1465" s="265"/>
    </row>
    <row r="1466" spans="1:1" x14ac:dyDescent="0.25">
      <c r="A1466" s="265"/>
    </row>
    <row r="1467" spans="1:1" x14ac:dyDescent="0.25">
      <c r="A1467" s="265"/>
    </row>
    <row r="1468" spans="1:1" x14ac:dyDescent="0.25">
      <c r="A1468" s="265"/>
    </row>
    <row r="1469" spans="1:1" x14ac:dyDescent="0.25">
      <c r="A1469" s="265"/>
    </row>
    <row r="1470" spans="1:1" x14ac:dyDescent="0.25">
      <c r="A1470" s="265"/>
    </row>
    <row r="1471" spans="1:1" x14ac:dyDescent="0.25">
      <c r="A1471" s="265"/>
    </row>
    <row r="1472" spans="1:1" x14ac:dyDescent="0.25">
      <c r="A1472" s="265"/>
    </row>
    <row r="1473" spans="1:1" x14ac:dyDescent="0.25">
      <c r="A1473" s="265"/>
    </row>
    <row r="1474" spans="1:1" x14ac:dyDescent="0.25">
      <c r="A1474" s="265"/>
    </row>
    <row r="1475" spans="1:1" x14ac:dyDescent="0.25">
      <c r="A1475" s="265"/>
    </row>
    <row r="1476" spans="1:1" x14ac:dyDescent="0.25">
      <c r="A1476" s="265"/>
    </row>
    <row r="1477" spans="1:1" x14ac:dyDescent="0.25">
      <c r="A1477" s="265"/>
    </row>
    <row r="1478" spans="1:1" x14ac:dyDescent="0.25">
      <c r="A1478" s="265"/>
    </row>
    <row r="1479" spans="1:1" x14ac:dyDescent="0.25">
      <c r="A1479" s="265"/>
    </row>
    <row r="1480" spans="1:1" x14ac:dyDescent="0.25">
      <c r="A1480" s="265"/>
    </row>
    <row r="1481" spans="1:1" x14ac:dyDescent="0.25">
      <c r="A1481" s="265"/>
    </row>
    <row r="1482" spans="1:1" x14ac:dyDescent="0.25">
      <c r="A1482" s="265"/>
    </row>
    <row r="1483" spans="1:1" x14ac:dyDescent="0.25">
      <c r="A1483" s="265"/>
    </row>
    <row r="1484" spans="1:1" x14ac:dyDescent="0.25">
      <c r="A1484" s="265"/>
    </row>
    <row r="1485" spans="1:1" x14ac:dyDescent="0.25">
      <c r="A1485" s="265"/>
    </row>
    <row r="1486" spans="1:1" x14ac:dyDescent="0.25">
      <c r="A1486" s="265"/>
    </row>
    <row r="1487" spans="1:1" x14ac:dyDescent="0.25">
      <c r="A1487" s="265"/>
    </row>
    <row r="1488" spans="1:1" x14ac:dyDescent="0.25">
      <c r="A1488" s="265"/>
    </row>
    <row r="1489" spans="1:1" x14ac:dyDescent="0.25">
      <c r="A1489" s="265"/>
    </row>
    <row r="1490" spans="1:1" x14ac:dyDescent="0.25">
      <c r="A1490" s="265"/>
    </row>
    <row r="1491" spans="1:1" x14ac:dyDescent="0.25">
      <c r="A1491" s="265"/>
    </row>
    <row r="1492" spans="1:1" x14ac:dyDescent="0.25">
      <c r="A1492" s="265"/>
    </row>
    <row r="1493" spans="1:1" x14ac:dyDescent="0.25">
      <c r="A1493" s="265"/>
    </row>
    <row r="1494" spans="1:1" x14ac:dyDescent="0.25">
      <c r="A1494" s="265"/>
    </row>
    <row r="1495" spans="1:1" x14ac:dyDescent="0.25">
      <c r="A1495" s="265"/>
    </row>
    <row r="1496" spans="1:1" x14ac:dyDescent="0.25">
      <c r="A1496" s="265"/>
    </row>
    <row r="1497" spans="1:1" x14ac:dyDescent="0.25">
      <c r="A1497" s="265"/>
    </row>
    <row r="1498" spans="1:1" x14ac:dyDescent="0.25">
      <c r="A1498" s="265"/>
    </row>
    <row r="1499" spans="1:1" x14ac:dyDescent="0.25">
      <c r="A1499" s="265"/>
    </row>
    <row r="1500" spans="1:1" x14ac:dyDescent="0.25">
      <c r="A1500" s="265"/>
    </row>
    <row r="1501" spans="1:1" x14ac:dyDescent="0.25">
      <c r="A1501" s="265"/>
    </row>
    <row r="1502" spans="1:1" x14ac:dyDescent="0.25">
      <c r="A1502" s="265"/>
    </row>
    <row r="1503" spans="1:1" x14ac:dyDescent="0.25">
      <c r="A1503" s="265"/>
    </row>
    <row r="1504" spans="1:1" x14ac:dyDescent="0.25">
      <c r="A1504" s="265"/>
    </row>
    <row r="1505" spans="1:1" x14ac:dyDescent="0.25">
      <c r="A1505" s="265"/>
    </row>
    <row r="1506" spans="1:1" x14ac:dyDescent="0.25">
      <c r="A1506" s="265"/>
    </row>
    <row r="1507" spans="1:1" x14ac:dyDescent="0.25">
      <c r="A1507" s="265"/>
    </row>
    <row r="1508" spans="1:1" x14ac:dyDescent="0.25">
      <c r="A1508" s="265"/>
    </row>
    <row r="1509" spans="1:1" x14ac:dyDescent="0.25">
      <c r="A1509" s="265"/>
    </row>
    <row r="1510" spans="1:1" x14ac:dyDescent="0.25">
      <c r="A1510" s="265"/>
    </row>
    <row r="1511" spans="1:1" x14ac:dyDescent="0.25">
      <c r="A1511" s="265"/>
    </row>
    <row r="1512" spans="1:1" x14ac:dyDescent="0.25">
      <c r="A1512" s="265"/>
    </row>
    <row r="1513" spans="1:1" x14ac:dyDescent="0.25">
      <c r="A1513" s="265"/>
    </row>
    <row r="1514" spans="1:1" x14ac:dyDescent="0.25">
      <c r="A1514" s="265"/>
    </row>
    <row r="1515" spans="1:1" x14ac:dyDescent="0.25">
      <c r="A1515" s="265"/>
    </row>
    <row r="1516" spans="1:1" x14ac:dyDescent="0.25">
      <c r="A1516" s="265"/>
    </row>
    <row r="1517" spans="1:1" x14ac:dyDescent="0.25">
      <c r="A1517" s="265"/>
    </row>
    <row r="1518" spans="1:1" x14ac:dyDescent="0.25">
      <c r="A1518" s="265"/>
    </row>
    <row r="1519" spans="1:1" x14ac:dyDescent="0.25">
      <c r="A1519" s="265"/>
    </row>
    <row r="1520" spans="1:1" x14ac:dyDescent="0.25">
      <c r="A1520" s="265"/>
    </row>
    <row r="1521" spans="1:1" x14ac:dyDescent="0.25">
      <c r="A1521" s="265"/>
    </row>
    <row r="1522" spans="1:1" x14ac:dyDescent="0.25">
      <c r="A1522" s="265"/>
    </row>
    <row r="1523" spans="1:1" x14ac:dyDescent="0.25">
      <c r="A1523" s="265"/>
    </row>
    <row r="1524" spans="1:1" x14ac:dyDescent="0.25">
      <c r="A1524" s="265"/>
    </row>
    <row r="1525" spans="1:1" x14ac:dyDescent="0.25">
      <c r="A1525" s="265"/>
    </row>
    <row r="1526" spans="1:1" x14ac:dyDescent="0.25">
      <c r="A1526" s="265"/>
    </row>
    <row r="1527" spans="1:1" x14ac:dyDescent="0.25">
      <c r="A1527" s="265"/>
    </row>
    <row r="1528" spans="1:1" x14ac:dyDescent="0.25">
      <c r="A1528" s="265"/>
    </row>
    <row r="1529" spans="1:1" x14ac:dyDescent="0.25">
      <c r="A1529" s="265"/>
    </row>
    <row r="1530" spans="1:1" x14ac:dyDescent="0.25">
      <c r="A1530" s="265"/>
    </row>
    <row r="1531" spans="1:1" x14ac:dyDescent="0.25">
      <c r="A1531" s="265"/>
    </row>
    <row r="1532" spans="1:1" x14ac:dyDescent="0.25">
      <c r="A1532" s="265"/>
    </row>
    <row r="1533" spans="1:1" x14ac:dyDescent="0.25">
      <c r="A1533" s="265"/>
    </row>
    <row r="1534" spans="1:1" x14ac:dyDescent="0.25">
      <c r="A1534" s="265"/>
    </row>
    <row r="1535" spans="1:1" x14ac:dyDescent="0.25">
      <c r="A1535" s="265"/>
    </row>
    <row r="1536" spans="1:1" x14ac:dyDescent="0.25">
      <c r="A1536" s="265"/>
    </row>
    <row r="1537" spans="1:1" x14ac:dyDescent="0.25">
      <c r="A1537" s="265"/>
    </row>
    <row r="1538" spans="1:1" x14ac:dyDescent="0.25">
      <c r="A1538" s="265"/>
    </row>
    <row r="1539" spans="1:1" x14ac:dyDescent="0.25">
      <c r="A1539" s="265"/>
    </row>
    <row r="1540" spans="1:1" x14ac:dyDescent="0.25">
      <c r="A1540" s="265"/>
    </row>
    <row r="1541" spans="1:1" x14ac:dyDescent="0.25">
      <c r="A1541" s="265"/>
    </row>
    <row r="1542" spans="1:1" x14ac:dyDescent="0.25">
      <c r="A1542" s="265"/>
    </row>
    <row r="1543" spans="1:1" x14ac:dyDescent="0.25">
      <c r="A1543" s="265"/>
    </row>
    <row r="1544" spans="1:1" x14ac:dyDescent="0.25">
      <c r="A1544" s="265"/>
    </row>
    <row r="1545" spans="1:1" x14ac:dyDescent="0.25">
      <c r="A1545" s="265"/>
    </row>
    <row r="1546" spans="1:1" x14ac:dyDescent="0.25">
      <c r="A1546" s="265"/>
    </row>
    <row r="1547" spans="1:1" x14ac:dyDescent="0.25">
      <c r="A1547" s="265"/>
    </row>
    <row r="1548" spans="1:1" x14ac:dyDescent="0.25">
      <c r="A1548" s="265"/>
    </row>
    <row r="1549" spans="1:1" x14ac:dyDescent="0.25">
      <c r="A1549" s="265"/>
    </row>
    <row r="1550" spans="1:1" x14ac:dyDescent="0.25">
      <c r="A1550" s="265"/>
    </row>
    <row r="1551" spans="1:1" x14ac:dyDescent="0.25">
      <c r="A1551" s="265"/>
    </row>
    <row r="1552" spans="1:1" x14ac:dyDescent="0.25">
      <c r="A1552" s="265"/>
    </row>
    <row r="1553" spans="1:1" x14ac:dyDescent="0.25">
      <c r="A1553" s="265"/>
    </row>
    <row r="1554" spans="1:1" x14ac:dyDescent="0.25">
      <c r="A1554" s="265"/>
    </row>
    <row r="1555" spans="1:1" x14ac:dyDescent="0.25">
      <c r="A1555" s="265"/>
    </row>
    <row r="1556" spans="1:1" x14ac:dyDescent="0.25">
      <c r="A1556" s="265"/>
    </row>
    <row r="1557" spans="1:1" x14ac:dyDescent="0.25">
      <c r="A1557" s="265"/>
    </row>
    <row r="1558" spans="1:1" x14ac:dyDescent="0.25">
      <c r="A1558" s="265"/>
    </row>
    <row r="1559" spans="1:1" x14ac:dyDescent="0.25">
      <c r="A1559" s="265"/>
    </row>
    <row r="1560" spans="1:1" x14ac:dyDescent="0.25">
      <c r="A1560" s="265"/>
    </row>
    <row r="1561" spans="1:1" x14ac:dyDescent="0.25">
      <c r="A1561" s="265"/>
    </row>
    <row r="1562" spans="1:1" x14ac:dyDescent="0.25">
      <c r="A1562" s="265"/>
    </row>
    <row r="1563" spans="1:1" x14ac:dyDescent="0.25">
      <c r="A1563" s="265"/>
    </row>
    <row r="1564" spans="1:1" x14ac:dyDescent="0.25">
      <c r="A1564" s="265"/>
    </row>
    <row r="1565" spans="1:1" x14ac:dyDescent="0.25">
      <c r="A1565" s="265"/>
    </row>
    <row r="1566" spans="1:1" x14ac:dyDescent="0.25">
      <c r="A1566" s="265"/>
    </row>
    <row r="1567" spans="1:1" x14ac:dyDescent="0.25">
      <c r="A1567" s="265"/>
    </row>
    <row r="1568" spans="1:1" x14ac:dyDescent="0.25">
      <c r="A1568" s="265"/>
    </row>
    <row r="1569" spans="1:1" x14ac:dyDescent="0.25">
      <c r="A1569" s="265"/>
    </row>
    <row r="1570" spans="1:1" x14ac:dyDescent="0.25">
      <c r="A1570" s="265"/>
    </row>
    <row r="1571" spans="1:1" x14ac:dyDescent="0.25">
      <c r="A1571" s="265"/>
    </row>
    <row r="1572" spans="1:1" x14ac:dyDescent="0.25">
      <c r="A1572" s="265"/>
    </row>
    <row r="1573" spans="1:1" x14ac:dyDescent="0.25">
      <c r="A1573" s="265"/>
    </row>
    <row r="1574" spans="1:1" x14ac:dyDescent="0.25">
      <c r="A1574" s="265"/>
    </row>
    <row r="1575" spans="1:1" x14ac:dyDescent="0.25">
      <c r="A1575" s="265"/>
    </row>
    <row r="1576" spans="1:1" x14ac:dyDescent="0.25">
      <c r="A1576" s="265"/>
    </row>
    <row r="1577" spans="1:1" x14ac:dyDescent="0.25">
      <c r="A1577" s="265"/>
    </row>
    <row r="1578" spans="1:1" x14ac:dyDescent="0.25">
      <c r="A1578" s="265"/>
    </row>
    <row r="1579" spans="1:1" x14ac:dyDescent="0.25">
      <c r="A1579" s="265"/>
    </row>
    <row r="1580" spans="1:1" x14ac:dyDescent="0.25">
      <c r="A1580" s="265"/>
    </row>
    <row r="1581" spans="1:1" x14ac:dyDescent="0.25">
      <c r="A1581" s="265"/>
    </row>
    <row r="1582" spans="1:1" x14ac:dyDescent="0.25">
      <c r="A1582" s="265"/>
    </row>
    <row r="1583" spans="1:1" x14ac:dyDescent="0.25">
      <c r="A1583" s="265"/>
    </row>
    <row r="1584" spans="1:1" x14ac:dyDescent="0.25">
      <c r="A1584" s="265"/>
    </row>
    <row r="1585" spans="1:1" x14ac:dyDescent="0.25">
      <c r="A1585" s="265"/>
    </row>
    <row r="1586" spans="1:1" x14ac:dyDescent="0.25">
      <c r="A1586" s="265"/>
    </row>
    <row r="1587" spans="1:1" x14ac:dyDescent="0.25">
      <c r="A1587" s="265"/>
    </row>
    <row r="1588" spans="1:1" x14ac:dyDescent="0.25">
      <c r="A1588" s="265"/>
    </row>
    <row r="1589" spans="1:1" x14ac:dyDescent="0.25">
      <c r="A1589" s="265"/>
    </row>
    <row r="1590" spans="1:1" x14ac:dyDescent="0.25">
      <c r="A1590" s="265"/>
    </row>
    <row r="1591" spans="1:1" x14ac:dyDescent="0.25">
      <c r="A1591" s="265"/>
    </row>
    <row r="1592" spans="1:1" x14ac:dyDescent="0.25">
      <c r="A1592" s="265"/>
    </row>
    <row r="1593" spans="1:1" x14ac:dyDescent="0.25">
      <c r="A1593" s="265"/>
    </row>
    <row r="1594" spans="1:1" x14ac:dyDescent="0.25">
      <c r="A1594" s="265"/>
    </row>
    <row r="1595" spans="1:1" x14ac:dyDescent="0.25">
      <c r="A1595" s="265"/>
    </row>
    <row r="1596" spans="1:1" x14ac:dyDescent="0.25">
      <c r="A1596" s="265"/>
    </row>
    <row r="1597" spans="1:1" x14ac:dyDescent="0.25">
      <c r="A1597" s="265"/>
    </row>
    <row r="1598" spans="1:1" x14ac:dyDescent="0.25">
      <c r="A1598" s="265"/>
    </row>
    <row r="1599" spans="1:1" x14ac:dyDescent="0.25">
      <c r="A1599" s="265"/>
    </row>
    <row r="1600" spans="1:1" x14ac:dyDescent="0.25">
      <c r="A1600" s="265"/>
    </row>
    <row r="1601" spans="1:1" x14ac:dyDescent="0.25">
      <c r="A1601" s="265"/>
    </row>
    <row r="1602" spans="1:1" x14ac:dyDescent="0.25">
      <c r="A1602" s="265"/>
    </row>
    <row r="1603" spans="1:1" x14ac:dyDescent="0.25">
      <c r="A1603" s="265"/>
    </row>
    <row r="1604" spans="1:1" x14ac:dyDescent="0.25">
      <c r="A1604" s="265"/>
    </row>
    <row r="1605" spans="1:1" x14ac:dyDescent="0.25">
      <c r="A1605" s="265"/>
    </row>
    <row r="1606" spans="1:1" x14ac:dyDescent="0.25">
      <c r="A1606" s="265"/>
    </row>
    <row r="1607" spans="1:1" x14ac:dyDescent="0.25">
      <c r="A1607" s="265"/>
    </row>
    <row r="1608" spans="1:1" x14ac:dyDescent="0.25">
      <c r="A1608" s="265"/>
    </row>
    <row r="1609" spans="1:1" x14ac:dyDescent="0.25">
      <c r="A1609" s="265"/>
    </row>
    <row r="1610" spans="1:1" x14ac:dyDescent="0.25">
      <c r="A1610" s="265"/>
    </row>
    <row r="1611" spans="1:1" x14ac:dyDescent="0.25">
      <c r="A1611" s="265"/>
    </row>
    <row r="1612" spans="1:1" x14ac:dyDescent="0.25">
      <c r="A1612" s="265"/>
    </row>
    <row r="1613" spans="1:1" x14ac:dyDescent="0.25">
      <c r="A1613" s="265"/>
    </row>
    <row r="1614" spans="1:1" x14ac:dyDescent="0.25">
      <c r="A1614" s="265"/>
    </row>
    <row r="1615" spans="1:1" x14ac:dyDescent="0.25">
      <c r="A1615" s="265"/>
    </row>
    <row r="1616" spans="1:1" x14ac:dyDescent="0.25">
      <c r="A1616" s="265"/>
    </row>
    <row r="1617" spans="1:1" x14ac:dyDescent="0.25">
      <c r="A1617" s="265"/>
    </row>
    <row r="1618" spans="1:1" x14ac:dyDescent="0.25">
      <c r="A1618" s="265"/>
    </row>
    <row r="1619" spans="1:1" x14ac:dyDescent="0.25">
      <c r="A1619" s="265"/>
    </row>
    <row r="1620" spans="1:1" x14ac:dyDescent="0.25">
      <c r="A1620" s="265"/>
    </row>
    <row r="1621" spans="1:1" x14ac:dyDescent="0.25">
      <c r="A1621" s="265"/>
    </row>
    <row r="1622" spans="1:1" x14ac:dyDescent="0.25">
      <c r="A1622" s="265"/>
    </row>
    <row r="1623" spans="1:1" x14ac:dyDescent="0.25">
      <c r="A1623" s="265"/>
    </row>
    <row r="1624" spans="1:1" x14ac:dyDescent="0.25">
      <c r="A1624" s="265"/>
    </row>
    <row r="1625" spans="1:1" x14ac:dyDescent="0.25">
      <c r="A1625" s="265"/>
    </row>
    <row r="1626" spans="1:1" x14ac:dyDescent="0.25">
      <c r="A1626" s="265"/>
    </row>
    <row r="1627" spans="1:1" x14ac:dyDescent="0.25">
      <c r="A1627" s="265"/>
    </row>
    <row r="1628" spans="1:1" x14ac:dyDescent="0.25">
      <c r="A1628" s="265"/>
    </row>
    <row r="1629" spans="1:1" x14ac:dyDescent="0.25">
      <c r="A1629" s="265"/>
    </row>
    <row r="1630" spans="1:1" x14ac:dyDescent="0.25">
      <c r="A1630" s="265"/>
    </row>
    <row r="1631" spans="1:1" x14ac:dyDescent="0.25">
      <c r="A1631" s="265"/>
    </row>
    <row r="1632" spans="1:1" x14ac:dyDescent="0.25">
      <c r="A1632" s="265"/>
    </row>
    <row r="1633" spans="1:1" x14ac:dyDescent="0.25">
      <c r="A1633" s="265"/>
    </row>
    <row r="1634" spans="1:1" x14ac:dyDescent="0.25">
      <c r="A1634" s="265"/>
    </row>
    <row r="1635" spans="1:1" x14ac:dyDescent="0.25">
      <c r="A1635" s="265"/>
    </row>
    <row r="1636" spans="1:1" x14ac:dyDescent="0.25">
      <c r="A1636" s="265"/>
    </row>
    <row r="1637" spans="1:1" x14ac:dyDescent="0.25">
      <c r="A1637" s="265"/>
    </row>
    <row r="1638" spans="1:1" x14ac:dyDescent="0.25">
      <c r="A1638" s="265"/>
    </row>
    <row r="1639" spans="1:1" x14ac:dyDescent="0.25">
      <c r="A1639" s="265"/>
    </row>
    <row r="1640" spans="1:1" x14ac:dyDescent="0.25">
      <c r="A1640" s="265"/>
    </row>
    <row r="1641" spans="1:1" x14ac:dyDescent="0.25">
      <c r="A1641" s="265"/>
    </row>
    <row r="1642" spans="1:1" x14ac:dyDescent="0.25">
      <c r="A1642" s="265"/>
    </row>
    <row r="1643" spans="1:1" x14ac:dyDescent="0.25">
      <c r="A1643" s="265"/>
    </row>
    <row r="1644" spans="1:1" x14ac:dyDescent="0.25">
      <c r="A1644" s="265"/>
    </row>
    <row r="1645" spans="1:1" x14ac:dyDescent="0.25">
      <c r="A1645" s="265"/>
    </row>
    <row r="1646" spans="1:1" x14ac:dyDescent="0.25">
      <c r="A1646" s="265"/>
    </row>
    <row r="1647" spans="1:1" x14ac:dyDescent="0.25">
      <c r="A1647" s="265"/>
    </row>
    <row r="1648" spans="1:1" x14ac:dyDescent="0.25">
      <c r="A1648" s="265"/>
    </row>
    <row r="1649" spans="1:1" x14ac:dyDescent="0.25">
      <c r="A1649" s="265"/>
    </row>
    <row r="1650" spans="1:1" x14ac:dyDescent="0.25">
      <c r="A1650" s="265"/>
    </row>
    <row r="1651" spans="1:1" x14ac:dyDescent="0.25">
      <c r="A1651" s="265"/>
    </row>
    <row r="1652" spans="1:1" x14ac:dyDescent="0.25">
      <c r="A1652" s="265"/>
    </row>
    <row r="1653" spans="1:1" x14ac:dyDescent="0.25">
      <c r="A1653" s="265"/>
    </row>
    <row r="1654" spans="1:1" x14ac:dyDescent="0.25">
      <c r="A1654" s="265"/>
    </row>
    <row r="1655" spans="1:1" x14ac:dyDescent="0.25">
      <c r="A1655" s="265"/>
    </row>
    <row r="1656" spans="1:1" x14ac:dyDescent="0.25">
      <c r="A1656" s="265"/>
    </row>
    <row r="1657" spans="1:1" x14ac:dyDescent="0.25">
      <c r="A1657" s="265"/>
    </row>
    <row r="1658" spans="1:1" x14ac:dyDescent="0.25">
      <c r="A1658" s="265"/>
    </row>
    <row r="1659" spans="1:1" x14ac:dyDescent="0.25">
      <c r="A1659" s="265"/>
    </row>
    <row r="1660" spans="1:1" x14ac:dyDescent="0.25">
      <c r="A1660" s="265"/>
    </row>
    <row r="1661" spans="1:1" x14ac:dyDescent="0.25">
      <c r="A1661" s="265"/>
    </row>
    <row r="1662" spans="1:1" x14ac:dyDescent="0.25">
      <c r="A1662" s="265"/>
    </row>
    <row r="1663" spans="1:1" x14ac:dyDescent="0.25">
      <c r="A1663" s="265"/>
    </row>
    <row r="1664" spans="1:1" x14ac:dyDescent="0.25">
      <c r="A1664" s="265"/>
    </row>
    <row r="1665" spans="1:1" x14ac:dyDescent="0.25">
      <c r="A1665" s="265"/>
    </row>
    <row r="1666" spans="1:1" x14ac:dyDescent="0.25">
      <c r="A1666" s="265"/>
    </row>
    <row r="1667" spans="1:1" x14ac:dyDescent="0.25">
      <c r="A1667" s="265"/>
    </row>
    <row r="1668" spans="1:1" x14ac:dyDescent="0.25">
      <c r="A1668" s="265"/>
    </row>
    <row r="1669" spans="1:1" x14ac:dyDescent="0.25">
      <c r="A1669" s="265"/>
    </row>
    <row r="1670" spans="1:1" x14ac:dyDescent="0.25">
      <c r="A1670" s="265"/>
    </row>
    <row r="1671" spans="1:1" x14ac:dyDescent="0.25">
      <c r="A1671" s="265"/>
    </row>
    <row r="1672" spans="1:1" x14ac:dyDescent="0.25">
      <c r="A1672" s="265"/>
    </row>
    <row r="1673" spans="1:1" x14ac:dyDescent="0.25">
      <c r="A1673" s="265"/>
    </row>
    <row r="1674" spans="1:1" x14ac:dyDescent="0.25">
      <c r="A1674" s="265"/>
    </row>
    <row r="1675" spans="1:1" x14ac:dyDescent="0.25">
      <c r="A1675" s="265"/>
    </row>
    <row r="1676" spans="1:1" x14ac:dyDescent="0.25">
      <c r="A1676" s="265"/>
    </row>
    <row r="1677" spans="1:1" x14ac:dyDescent="0.25">
      <c r="A1677" s="265"/>
    </row>
    <row r="1678" spans="1:1" x14ac:dyDescent="0.25">
      <c r="A1678" s="265"/>
    </row>
    <row r="1679" spans="1:1" x14ac:dyDescent="0.25">
      <c r="A1679" s="265"/>
    </row>
    <row r="1680" spans="1:1" x14ac:dyDescent="0.25">
      <c r="A1680" s="265"/>
    </row>
    <row r="1681" spans="1:1" x14ac:dyDescent="0.25">
      <c r="A1681" s="265"/>
    </row>
    <row r="1682" spans="1:1" x14ac:dyDescent="0.25">
      <c r="A1682" s="265"/>
    </row>
    <row r="1683" spans="1:1" x14ac:dyDescent="0.25">
      <c r="A1683" s="265"/>
    </row>
    <row r="1684" spans="1:1" x14ac:dyDescent="0.25">
      <c r="A1684" s="265"/>
    </row>
    <row r="1685" spans="1:1" x14ac:dyDescent="0.25">
      <c r="A1685" s="265"/>
    </row>
    <row r="1686" spans="1:1" x14ac:dyDescent="0.25">
      <c r="A1686" s="265"/>
    </row>
    <row r="1687" spans="1:1" x14ac:dyDescent="0.25">
      <c r="A1687" s="265"/>
    </row>
    <row r="1688" spans="1:1" x14ac:dyDescent="0.25">
      <c r="A1688" s="265"/>
    </row>
    <row r="1689" spans="1:1" x14ac:dyDescent="0.25">
      <c r="A1689" s="265"/>
    </row>
    <row r="1690" spans="1:1" x14ac:dyDescent="0.25">
      <c r="A1690" s="265"/>
    </row>
    <row r="1691" spans="1:1" x14ac:dyDescent="0.25">
      <c r="A1691" s="265"/>
    </row>
    <row r="1692" spans="1:1" x14ac:dyDescent="0.25">
      <c r="A1692" s="265"/>
    </row>
    <row r="1693" spans="1:1" x14ac:dyDescent="0.25">
      <c r="A1693" s="265"/>
    </row>
    <row r="1694" spans="1:1" x14ac:dyDescent="0.25">
      <c r="A1694" s="265"/>
    </row>
    <row r="1695" spans="1:1" x14ac:dyDescent="0.25">
      <c r="A1695" s="265"/>
    </row>
    <row r="1696" spans="1:1" x14ac:dyDescent="0.25">
      <c r="A1696" s="265"/>
    </row>
    <row r="1697" spans="1:1" x14ac:dyDescent="0.25">
      <c r="A1697" s="265"/>
    </row>
    <row r="1698" spans="1:1" x14ac:dyDescent="0.25">
      <c r="A1698" s="265"/>
    </row>
    <row r="1699" spans="1:1" x14ac:dyDescent="0.25">
      <c r="A1699" s="265"/>
    </row>
    <row r="1700" spans="1:1" x14ac:dyDescent="0.25">
      <c r="A1700" s="265"/>
    </row>
    <row r="1701" spans="1:1" x14ac:dyDescent="0.25">
      <c r="A1701" s="265"/>
    </row>
    <row r="1702" spans="1:1" x14ac:dyDescent="0.25">
      <c r="A1702" s="265"/>
    </row>
    <row r="1703" spans="1:1" x14ac:dyDescent="0.25">
      <c r="A1703" s="265"/>
    </row>
    <row r="1704" spans="1:1" x14ac:dyDescent="0.25">
      <c r="A1704" s="265"/>
    </row>
    <row r="1705" spans="1:1" x14ac:dyDescent="0.25">
      <c r="A1705" s="265"/>
    </row>
    <row r="1706" spans="1:1" x14ac:dyDescent="0.25">
      <c r="A1706" s="265"/>
    </row>
    <row r="1707" spans="1:1" x14ac:dyDescent="0.25">
      <c r="A1707" s="265"/>
    </row>
    <row r="1708" spans="1:1" x14ac:dyDescent="0.25">
      <c r="A1708" s="265"/>
    </row>
    <row r="1709" spans="1:1" x14ac:dyDescent="0.25">
      <c r="A1709" s="265"/>
    </row>
    <row r="1710" spans="1:1" x14ac:dyDescent="0.25">
      <c r="A1710" s="265"/>
    </row>
    <row r="1711" spans="1:1" x14ac:dyDescent="0.25">
      <c r="A1711" s="265"/>
    </row>
    <row r="1712" spans="1:1" x14ac:dyDescent="0.25">
      <c r="A1712" s="265"/>
    </row>
    <row r="1713" spans="1:1" x14ac:dyDescent="0.25">
      <c r="A1713" s="265"/>
    </row>
    <row r="1714" spans="1:1" x14ac:dyDescent="0.25">
      <c r="A1714" s="265"/>
    </row>
    <row r="1715" spans="1:1" x14ac:dyDescent="0.25">
      <c r="A1715" s="265"/>
    </row>
    <row r="1716" spans="1:1" x14ac:dyDescent="0.25">
      <c r="A1716" s="265"/>
    </row>
    <row r="1717" spans="1:1" x14ac:dyDescent="0.25">
      <c r="A1717" s="265"/>
    </row>
    <row r="1718" spans="1:1" x14ac:dyDescent="0.25">
      <c r="A1718" s="265"/>
    </row>
    <row r="1719" spans="1:1" x14ac:dyDescent="0.25">
      <c r="A1719" s="265"/>
    </row>
    <row r="1720" spans="1:1" x14ac:dyDescent="0.25">
      <c r="A1720" s="265"/>
    </row>
    <row r="1721" spans="1:1" x14ac:dyDescent="0.25">
      <c r="A1721" s="265"/>
    </row>
    <row r="1722" spans="1:1" x14ac:dyDescent="0.25">
      <c r="A1722" s="265"/>
    </row>
    <row r="1723" spans="1:1" x14ac:dyDescent="0.25">
      <c r="A1723" s="265"/>
    </row>
    <row r="1724" spans="1:1" x14ac:dyDescent="0.25">
      <c r="A1724" s="265"/>
    </row>
    <row r="1725" spans="1:1" x14ac:dyDescent="0.25">
      <c r="A1725" s="265"/>
    </row>
    <row r="1726" spans="1:1" x14ac:dyDescent="0.25">
      <c r="A1726" s="265"/>
    </row>
    <row r="1727" spans="1:1" x14ac:dyDescent="0.25">
      <c r="A1727" s="265"/>
    </row>
    <row r="1728" spans="1:1" x14ac:dyDescent="0.25">
      <c r="A1728" s="265"/>
    </row>
    <row r="1729" spans="1:1" x14ac:dyDescent="0.25">
      <c r="A1729" s="265"/>
    </row>
    <row r="1730" spans="1:1" x14ac:dyDescent="0.25">
      <c r="A1730" s="265"/>
    </row>
    <row r="1731" spans="1:1" x14ac:dyDescent="0.25">
      <c r="A1731" s="265"/>
    </row>
    <row r="1732" spans="1:1" x14ac:dyDescent="0.25">
      <c r="A1732" s="265"/>
    </row>
    <row r="1733" spans="1:1" x14ac:dyDescent="0.25">
      <c r="A1733" s="265"/>
    </row>
    <row r="1734" spans="1:1" x14ac:dyDescent="0.25">
      <c r="A1734" s="265"/>
    </row>
    <row r="1735" spans="1:1" x14ac:dyDescent="0.25">
      <c r="A1735" s="265"/>
    </row>
    <row r="1736" spans="1:1" x14ac:dyDescent="0.25">
      <c r="A1736" s="265"/>
    </row>
    <row r="1737" spans="1:1" x14ac:dyDescent="0.25">
      <c r="A1737" s="265"/>
    </row>
    <row r="1738" spans="1:1" x14ac:dyDescent="0.25">
      <c r="A1738" s="265"/>
    </row>
    <row r="1739" spans="1:1" x14ac:dyDescent="0.25">
      <c r="A1739" s="265"/>
    </row>
    <row r="1740" spans="1:1" x14ac:dyDescent="0.25">
      <c r="A1740" s="265"/>
    </row>
    <row r="1741" spans="1:1" x14ac:dyDescent="0.25">
      <c r="A1741" s="265"/>
    </row>
    <row r="1742" spans="1:1" x14ac:dyDescent="0.25">
      <c r="A1742" s="265"/>
    </row>
    <row r="1743" spans="1:1" x14ac:dyDescent="0.25">
      <c r="A1743" s="265"/>
    </row>
    <row r="1744" spans="1:1" x14ac:dyDescent="0.25">
      <c r="A1744" s="265"/>
    </row>
    <row r="1745" spans="1:1" x14ac:dyDescent="0.25">
      <c r="A1745" s="265"/>
    </row>
    <row r="1746" spans="1:1" x14ac:dyDescent="0.25">
      <c r="A1746" s="265"/>
    </row>
    <row r="1747" spans="1:1" x14ac:dyDescent="0.25">
      <c r="A1747" s="265"/>
    </row>
    <row r="1748" spans="1:1" x14ac:dyDescent="0.25">
      <c r="A1748" s="265"/>
    </row>
    <row r="1749" spans="1:1" x14ac:dyDescent="0.25">
      <c r="A1749" s="265"/>
    </row>
    <row r="1750" spans="1:1" x14ac:dyDescent="0.25">
      <c r="A1750" s="265"/>
    </row>
    <row r="1751" spans="1:1" x14ac:dyDescent="0.25">
      <c r="A1751" s="265"/>
    </row>
    <row r="1752" spans="1:1" x14ac:dyDescent="0.25">
      <c r="A1752" s="265"/>
    </row>
    <row r="1753" spans="1:1" x14ac:dyDescent="0.25">
      <c r="A1753" s="265"/>
    </row>
    <row r="1754" spans="1:1" x14ac:dyDescent="0.25">
      <c r="A1754" s="265"/>
    </row>
    <row r="1755" spans="1:1" x14ac:dyDescent="0.25">
      <c r="A1755" s="265"/>
    </row>
    <row r="1756" spans="1:1" x14ac:dyDescent="0.25">
      <c r="A1756" s="265"/>
    </row>
    <row r="1757" spans="1:1" x14ac:dyDescent="0.25">
      <c r="A1757" s="265"/>
    </row>
    <row r="1758" spans="1:1" x14ac:dyDescent="0.25">
      <c r="A1758" s="265"/>
    </row>
    <row r="1759" spans="1:1" x14ac:dyDescent="0.25">
      <c r="A1759" s="265"/>
    </row>
    <row r="1760" spans="1:1" x14ac:dyDescent="0.25">
      <c r="A1760" s="265"/>
    </row>
    <row r="1761" spans="1:1" x14ac:dyDescent="0.25">
      <c r="A1761" s="265"/>
    </row>
    <row r="1762" spans="1:1" x14ac:dyDescent="0.25">
      <c r="A1762" s="265"/>
    </row>
    <row r="1763" spans="1:1" x14ac:dyDescent="0.25">
      <c r="A1763" s="265"/>
    </row>
    <row r="1764" spans="1:1" x14ac:dyDescent="0.25">
      <c r="A1764" s="265"/>
    </row>
    <row r="1765" spans="1:1" x14ac:dyDescent="0.25">
      <c r="A1765" s="265"/>
    </row>
    <row r="1766" spans="1:1" x14ac:dyDescent="0.25">
      <c r="A1766" s="265"/>
    </row>
    <row r="1767" spans="1:1" x14ac:dyDescent="0.25">
      <c r="A1767" s="265"/>
    </row>
    <row r="1768" spans="1:1" x14ac:dyDescent="0.25">
      <c r="A1768" s="265"/>
    </row>
    <row r="1769" spans="1:1" x14ac:dyDescent="0.25">
      <c r="A1769" s="265"/>
    </row>
    <row r="1770" spans="1:1" x14ac:dyDescent="0.25">
      <c r="A1770" s="265"/>
    </row>
    <row r="1771" spans="1:1" x14ac:dyDescent="0.25">
      <c r="A1771" s="265"/>
    </row>
    <row r="1772" spans="1:1" x14ac:dyDescent="0.25">
      <c r="A1772" s="265"/>
    </row>
    <row r="1773" spans="1:1" x14ac:dyDescent="0.25">
      <c r="A1773" s="265"/>
    </row>
    <row r="1774" spans="1:1" x14ac:dyDescent="0.25">
      <c r="A1774" s="265"/>
    </row>
    <row r="1775" spans="1:1" x14ac:dyDescent="0.25">
      <c r="A1775" s="265"/>
    </row>
    <row r="1776" spans="1:1" x14ac:dyDescent="0.25">
      <c r="A1776" s="265"/>
    </row>
    <row r="1777" spans="1:1" x14ac:dyDescent="0.25">
      <c r="A1777" s="265"/>
    </row>
    <row r="1778" spans="1:1" x14ac:dyDescent="0.25">
      <c r="A1778" s="265"/>
    </row>
    <row r="1779" spans="1:1" x14ac:dyDescent="0.25">
      <c r="A1779" s="265"/>
    </row>
    <row r="1780" spans="1:1" x14ac:dyDescent="0.25">
      <c r="A1780" s="265"/>
    </row>
    <row r="1781" spans="1:1" x14ac:dyDescent="0.25">
      <c r="A1781" s="265"/>
    </row>
    <row r="1782" spans="1:1" x14ac:dyDescent="0.25">
      <c r="A1782" s="265"/>
    </row>
    <row r="1783" spans="1:1" x14ac:dyDescent="0.25">
      <c r="A1783" s="265"/>
    </row>
    <row r="1784" spans="1:1" x14ac:dyDescent="0.25">
      <c r="A1784" s="265"/>
    </row>
    <row r="1785" spans="1:1" x14ac:dyDescent="0.25">
      <c r="A1785" s="265"/>
    </row>
    <row r="1786" spans="1:1" x14ac:dyDescent="0.25">
      <c r="A1786" s="265"/>
    </row>
    <row r="1787" spans="1:1" x14ac:dyDescent="0.25">
      <c r="A1787" s="265"/>
    </row>
    <row r="1788" spans="1:1" x14ac:dyDescent="0.25">
      <c r="A1788" s="265"/>
    </row>
    <row r="1789" spans="1:1" x14ac:dyDescent="0.25">
      <c r="A1789" s="265"/>
    </row>
    <row r="1790" spans="1:1" x14ac:dyDescent="0.25">
      <c r="A1790" s="265"/>
    </row>
    <row r="1791" spans="1:1" x14ac:dyDescent="0.25">
      <c r="A1791" s="265"/>
    </row>
    <row r="1792" spans="1:1" x14ac:dyDescent="0.25">
      <c r="A1792" s="265"/>
    </row>
    <row r="1793" spans="1:1" x14ac:dyDescent="0.25">
      <c r="A1793" s="265"/>
    </row>
    <row r="1794" spans="1:1" x14ac:dyDescent="0.25">
      <c r="A1794" s="265"/>
    </row>
    <row r="1795" spans="1:1" x14ac:dyDescent="0.25">
      <c r="A1795" s="265"/>
    </row>
    <row r="1796" spans="1:1" x14ac:dyDescent="0.25">
      <c r="A1796" s="265"/>
    </row>
    <row r="1797" spans="1:1" x14ac:dyDescent="0.25">
      <c r="A1797" s="265"/>
    </row>
    <row r="1798" spans="1:1" x14ac:dyDescent="0.25">
      <c r="A1798" s="265"/>
    </row>
    <row r="1799" spans="1:1" x14ac:dyDescent="0.25">
      <c r="A1799" s="265"/>
    </row>
    <row r="1800" spans="1:1" x14ac:dyDescent="0.25">
      <c r="A1800" s="265"/>
    </row>
    <row r="1801" spans="1:1" x14ac:dyDescent="0.25">
      <c r="A1801" s="265"/>
    </row>
    <row r="1802" spans="1:1" x14ac:dyDescent="0.25">
      <c r="A1802" s="265"/>
    </row>
    <row r="1803" spans="1:1" x14ac:dyDescent="0.25">
      <c r="A1803" s="265"/>
    </row>
    <row r="1804" spans="1:1" x14ac:dyDescent="0.25">
      <c r="A1804" s="265"/>
    </row>
    <row r="1805" spans="1:1" x14ac:dyDescent="0.25">
      <c r="A1805" s="265"/>
    </row>
    <row r="1806" spans="1:1" x14ac:dyDescent="0.25">
      <c r="A1806" s="265"/>
    </row>
    <row r="1807" spans="1:1" x14ac:dyDescent="0.25">
      <c r="A1807" s="265"/>
    </row>
    <row r="1808" spans="1:1" x14ac:dyDescent="0.25">
      <c r="A1808" s="265"/>
    </row>
    <row r="1809" spans="1:1" x14ac:dyDescent="0.25">
      <c r="A1809" s="265"/>
    </row>
    <row r="1810" spans="1:1" x14ac:dyDescent="0.25">
      <c r="A1810" s="265"/>
    </row>
    <row r="1811" spans="1:1" x14ac:dyDescent="0.25">
      <c r="A1811" s="265"/>
    </row>
    <row r="1812" spans="1:1" x14ac:dyDescent="0.25">
      <c r="A1812" s="265"/>
    </row>
    <row r="1813" spans="1:1" x14ac:dyDescent="0.25">
      <c r="A1813" s="265"/>
    </row>
    <row r="1814" spans="1:1" x14ac:dyDescent="0.25">
      <c r="A1814" s="265"/>
    </row>
    <row r="1815" spans="1:1" x14ac:dyDescent="0.25">
      <c r="A1815" s="265"/>
    </row>
    <row r="1816" spans="1:1" x14ac:dyDescent="0.25">
      <c r="A1816" s="265"/>
    </row>
    <row r="1817" spans="1:1" x14ac:dyDescent="0.25">
      <c r="A1817" s="265"/>
    </row>
    <row r="1818" spans="1:1" x14ac:dyDescent="0.25">
      <c r="A1818" s="265"/>
    </row>
    <row r="1819" spans="1:1" x14ac:dyDescent="0.25">
      <c r="A1819" s="265"/>
    </row>
    <row r="1820" spans="1:1" x14ac:dyDescent="0.25">
      <c r="A1820" s="265"/>
    </row>
    <row r="1821" spans="1:1" x14ac:dyDescent="0.25">
      <c r="A1821" s="265"/>
    </row>
  </sheetData>
  <sheetProtection selectLockedCells="1"/>
  <mergeCells count="292">
    <mergeCell ref="X73:Y73"/>
    <mergeCell ref="P77:Q77"/>
    <mergeCell ref="R77:S77"/>
    <mergeCell ref="T77:U77"/>
    <mergeCell ref="V77:W77"/>
    <mergeCell ref="X77:Y77"/>
    <mergeCell ref="U99:Z100"/>
    <mergeCell ref="U97:Z97"/>
    <mergeCell ref="A101:Q104"/>
    <mergeCell ref="R101:T104"/>
    <mergeCell ref="R98:T98"/>
    <mergeCell ref="U98:Z98"/>
    <mergeCell ref="R99:T100"/>
    <mergeCell ref="A98:Q98"/>
    <mergeCell ref="A99:Q99"/>
    <mergeCell ref="V102:Y103"/>
    <mergeCell ref="V61:W61"/>
    <mergeCell ref="X61:Y61"/>
    <mergeCell ref="T71:U71"/>
    <mergeCell ref="V71:W71"/>
    <mergeCell ref="X71:Y71"/>
    <mergeCell ref="X68:Y69"/>
    <mergeCell ref="P76:Q76"/>
    <mergeCell ref="R76:S76"/>
    <mergeCell ref="T76:U76"/>
    <mergeCell ref="V76:W76"/>
    <mergeCell ref="X76:Y76"/>
    <mergeCell ref="P75:Q75"/>
    <mergeCell ref="R75:S75"/>
    <mergeCell ref="T75:U75"/>
    <mergeCell ref="V75:W75"/>
    <mergeCell ref="X75:Y75"/>
    <mergeCell ref="R72:S72"/>
    <mergeCell ref="T72:U72"/>
    <mergeCell ref="V72:W72"/>
    <mergeCell ref="X72:Y72"/>
    <mergeCell ref="P73:Q73"/>
    <mergeCell ref="R73:S73"/>
    <mergeCell ref="T73:U73"/>
    <mergeCell ref="V73:W73"/>
    <mergeCell ref="C72:E72"/>
    <mergeCell ref="C73:E73"/>
    <mergeCell ref="X70:Y70"/>
    <mergeCell ref="P71:Q71"/>
    <mergeCell ref="R71:S71"/>
    <mergeCell ref="C55:E55"/>
    <mergeCell ref="C56:E56"/>
    <mergeCell ref="C57:E57"/>
    <mergeCell ref="C59:E59"/>
    <mergeCell ref="X59:Y59"/>
    <mergeCell ref="P60:Q60"/>
    <mergeCell ref="R60:S60"/>
    <mergeCell ref="T60:U60"/>
    <mergeCell ref="V60:W60"/>
    <mergeCell ref="X60:Y60"/>
    <mergeCell ref="C60:E60"/>
    <mergeCell ref="C61:E61"/>
    <mergeCell ref="P59:Q59"/>
    <mergeCell ref="R59:S59"/>
    <mergeCell ref="T59:U59"/>
    <mergeCell ref="V59:W59"/>
    <mergeCell ref="P61:Q61"/>
    <mergeCell ref="R61:S61"/>
    <mergeCell ref="T61:U61"/>
    <mergeCell ref="C47:E47"/>
    <mergeCell ref="C48:E48"/>
    <mergeCell ref="C49:E49"/>
    <mergeCell ref="C50:E50"/>
    <mergeCell ref="C51:E51"/>
    <mergeCell ref="C52:E52"/>
    <mergeCell ref="T57:U57"/>
    <mergeCell ref="V57:W57"/>
    <mergeCell ref="X57:Y57"/>
    <mergeCell ref="X55:Y55"/>
    <mergeCell ref="P56:Q56"/>
    <mergeCell ref="R56:S56"/>
    <mergeCell ref="T56:U56"/>
    <mergeCell ref="V56:W56"/>
    <mergeCell ref="X56:Y56"/>
    <mergeCell ref="X50:Y50"/>
    <mergeCell ref="X53:Y53"/>
    <mergeCell ref="X54:Y54"/>
    <mergeCell ref="X51:Y51"/>
    <mergeCell ref="R52:S52"/>
    <mergeCell ref="T52:U52"/>
    <mergeCell ref="V52:W52"/>
    <mergeCell ref="X52:Y52"/>
    <mergeCell ref="X47:Y47"/>
    <mergeCell ref="C41:E42"/>
    <mergeCell ref="C43:E43"/>
    <mergeCell ref="C44:E44"/>
    <mergeCell ref="C45:E45"/>
    <mergeCell ref="C46:E46"/>
    <mergeCell ref="P55:Q55"/>
    <mergeCell ref="R55:S55"/>
    <mergeCell ref="T55:U55"/>
    <mergeCell ref="V55:W55"/>
    <mergeCell ref="P53:Q53"/>
    <mergeCell ref="R53:S53"/>
    <mergeCell ref="T53:U53"/>
    <mergeCell ref="V53:W53"/>
    <mergeCell ref="C53:E53"/>
    <mergeCell ref="C54:E54"/>
    <mergeCell ref="P54:Q54"/>
    <mergeCell ref="R54:S54"/>
    <mergeCell ref="T54:U54"/>
    <mergeCell ref="V54:W54"/>
    <mergeCell ref="P51:Q51"/>
    <mergeCell ref="R51:S51"/>
    <mergeCell ref="T51:U51"/>
    <mergeCell ref="V51:W51"/>
    <mergeCell ref="P52:Q52"/>
    <mergeCell ref="P48:Q48"/>
    <mergeCell ref="R48:S48"/>
    <mergeCell ref="T48:U48"/>
    <mergeCell ref="V48:W48"/>
    <mergeCell ref="X48:Y48"/>
    <mergeCell ref="P49:Q49"/>
    <mergeCell ref="R49:S49"/>
    <mergeCell ref="T49:U49"/>
    <mergeCell ref="V49:W49"/>
    <mergeCell ref="X49:Y49"/>
    <mergeCell ref="V29:W29"/>
    <mergeCell ref="P24:Q25"/>
    <mergeCell ref="R24:S25"/>
    <mergeCell ref="T24:U25"/>
    <mergeCell ref="V24:W25"/>
    <mergeCell ref="P47:Q47"/>
    <mergeCell ref="R47:S47"/>
    <mergeCell ref="T47:U47"/>
    <mergeCell ref="V47:W47"/>
    <mergeCell ref="R41:S42"/>
    <mergeCell ref="T41:U42"/>
    <mergeCell ref="P43:Q43"/>
    <mergeCell ref="R43:S43"/>
    <mergeCell ref="T43:U43"/>
    <mergeCell ref="V43:W43"/>
    <mergeCell ref="P31:Q31"/>
    <mergeCell ref="R31:S31"/>
    <mergeCell ref="T31:U31"/>
    <mergeCell ref="V31:W31"/>
    <mergeCell ref="P27:Q27"/>
    <mergeCell ref="R27:S27"/>
    <mergeCell ref="T27:U27"/>
    <mergeCell ref="V27:W27"/>
    <mergeCell ref="C35:E35"/>
    <mergeCell ref="C36:E36"/>
    <mergeCell ref="P34:Q34"/>
    <mergeCell ref="R34:S34"/>
    <mergeCell ref="T34:U34"/>
    <mergeCell ref="V34:W34"/>
    <mergeCell ref="C70:E70"/>
    <mergeCell ref="C69:E69"/>
    <mergeCell ref="C71:E71"/>
    <mergeCell ref="P70:Q70"/>
    <mergeCell ref="R70:S70"/>
    <mergeCell ref="T70:U70"/>
    <mergeCell ref="V70:W70"/>
    <mergeCell ref="P68:Q69"/>
    <mergeCell ref="R68:S69"/>
    <mergeCell ref="T68:U69"/>
    <mergeCell ref="V68:W69"/>
    <mergeCell ref="C68:E68"/>
    <mergeCell ref="P50:Q50"/>
    <mergeCell ref="R50:S50"/>
    <mergeCell ref="T50:U50"/>
    <mergeCell ref="V50:W50"/>
    <mergeCell ref="P57:Q57"/>
    <mergeCell ref="R57:S57"/>
    <mergeCell ref="X31:Y31"/>
    <mergeCell ref="P30:Q30"/>
    <mergeCell ref="X41:Y42"/>
    <mergeCell ref="X43:Y43"/>
    <mergeCell ref="P44:Q44"/>
    <mergeCell ref="R44:S44"/>
    <mergeCell ref="T44:U44"/>
    <mergeCell ref="V44:W44"/>
    <mergeCell ref="X35:Y35"/>
    <mergeCell ref="P36:Q36"/>
    <mergeCell ref="R36:S36"/>
    <mergeCell ref="T36:U36"/>
    <mergeCell ref="V36:W36"/>
    <mergeCell ref="X36:Y36"/>
    <mergeCell ref="P35:Q35"/>
    <mergeCell ref="R35:S35"/>
    <mergeCell ref="T35:U35"/>
    <mergeCell ref="V35:W35"/>
    <mergeCell ref="V41:W42"/>
    <mergeCell ref="P41:Q42"/>
    <mergeCell ref="R33:S33"/>
    <mergeCell ref="T33:U33"/>
    <mergeCell ref="V33:W33"/>
    <mergeCell ref="X27:Y27"/>
    <mergeCell ref="R28:S28"/>
    <mergeCell ref="T28:U28"/>
    <mergeCell ref="V28:W28"/>
    <mergeCell ref="X28:Y28"/>
    <mergeCell ref="X24:Y25"/>
    <mergeCell ref="P26:Q26"/>
    <mergeCell ref="R26:S26"/>
    <mergeCell ref="T26:U26"/>
    <mergeCell ref="V26:W26"/>
    <mergeCell ref="X26:Y26"/>
    <mergeCell ref="C24:E24"/>
    <mergeCell ref="S12:Y12"/>
    <mergeCell ref="S13:Y13"/>
    <mergeCell ref="N11:U11"/>
    <mergeCell ref="V11:Y11"/>
    <mergeCell ref="B18:H18"/>
    <mergeCell ref="I18:Y18"/>
    <mergeCell ref="N12:R12"/>
    <mergeCell ref="N13:R13"/>
    <mergeCell ref="B11:G11"/>
    <mergeCell ref="B12:G12"/>
    <mergeCell ref="H11:M11"/>
    <mergeCell ref="H12:M12"/>
    <mergeCell ref="H13:M13"/>
    <mergeCell ref="B13:G13"/>
    <mergeCell ref="B19:H19"/>
    <mergeCell ref="I19:Y19"/>
    <mergeCell ref="C21:Y21"/>
    <mergeCell ref="C22:F22"/>
    <mergeCell ref="G22:H22"/>
    <mergeCell ref="I22:J22"/>
    <mergeCell ref="K22:Q22"/>
    <mergeCell ref="R22:T22"/>
    <mergeCell ref="U22:Y22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A119:P119"/>
    <mergeCell ref="P72:Q72"/>
    <mergeCell ref="C67:Y67"/>
    <mergeCell ref="C75:E75"/>
    <mergeCell ref="C76:E76"/>
    <mergeCell ref="C77:E77"/>
    <mergeCell ref="C74:Y74"/>
    <mergeCell ref="C28:E28"/>
    <mergeCell ref="C66:L66"/>
    <mergeCell ref="X44:Y44"/>
    <mergeCell ref="P46:Q46"/>
    <mergeCell ref="R46:S46"/>
    <mergeCell ref="T46:U46"/>
    <mergeCell ref="V46:W46"/>
    <mergeCell ref="X46:Y46"/>
    <mergeCell ref="X29:Y29"/>
    <mergeCell ref="P28:Q28"/>
    <mergeCell ref="R30:S30"/>
    <mergeCell ref="T30:U30"/>
    <mergeCell ref="V30:W30"/>
    <mergeCell ref="X30:Y30"/>
    <mergeCell ref="X33:Y33"/>
    <mergeCell ref="C33:E33"/>
    <mergeCell ref="X34:Y34"/>
    <mergeCell ref="L128:N128"/>
    <mergeCell ref="O128:O129"/>
    <mergeCell ref="P128:P129"/>
    <mergeCell ref="C25:E25"/>
    <mergeCell ref="C26:E26"/>
    <mergeCell ref="C27:E27"/>
    <mergeCell ref="L111:N111"/>
    <mergeCell ref="O111:O112"/>
    <mergeCell ref="P111:P112"/>
    <mergeCell ref="A107:P107"/>
    <mergeCell ref="C29:E29"/>
    <mergeCell ref="C30:E30"/>
    <mergeCell ref="C31:E31"/>
    <mergeCell ref="P33:Q33"/>
    <mergeCell ref="C34:E34"/>
    <mergeCell ref="C32:Y32"/>
    <mergeCell ref="P29:Q29"/>
    <mergeCell ref="R29:S29"/>
    <mergeCell ref="T29:U29"/>
    <mergeCell ref="P45:Q45"/>
    <mergeCell ref="R45:S45"/>
    <mergeCell ref="T45:U45"/>
    <mergeCell ref="V45:W45"/>
    <mergeCell ref="X45:Y45"/>
  </mergeCells>
  <phoneticPr fontId="1" type="noConversion"/>
  <printOptions horizontalCentered="1"/>
  <pageMargins left="0.39370078740157483" right="0.39370078740157483" top="0.34" bottom="0.39370078740157483" header="0.23622047244094491" footer="0.27559055118110237"/>
  <pageSetup paperSize="9" scale="68" fitToHeight="2" orientation="portrait" horizontalDpi="4294967294" verticalDpi="300" r:id="rId1"/>
  <headerFooter alignWithMargins="0">
    <oddFooter>&amp;RDG-Q / RE GR3 du 28/06/06</oddFooter>
  </headerFooter>
  <rowBreaks count="1" manualBreakCount="1">
    <brk id="6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CRE</vt:lpstr>
      <vt:lpstr>CRE!Impression_des_titres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2013-10-07T12:40:46Z</cp:lastPrinted>
  <dcterms:created xsi:type="dcterms:W3CDTF">2005-03-08T15:59:40Z</dcterms:created>
  <dcterms:modified xsi:type="dcterms:W3CDTF">2023-03-07T10:15:42Z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