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E86D6F49-137E-4B66-BD79-321E3CE1BA22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1" r:id="rId1"/>
    <sheet name="FE" sheetId="2" r:id="rId2"/>
  </sheets>
  <definedNames>
    <definedName name="_xlnm.Print_Area" localSheetId="0">CRE!$A$1:$Z$52</definedName>
    <definedName name="_xlnm.Print_Area" localSheetId="1">FE!$A$1:$Z$57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/>
  <c r="T53" i="2" s="1"/>
  <c r="K53" i="2"/>
  <c r="B34" i="2"/>
  <c r="T41" i="1"/>
</calcChain>
</file>

<file path=xl/sharedStrings.xml><?xml version="1.0" encoding="utf-8"?>
<sst xmlns="http://schemas.openxmlformats.org/spreadsheetml/2006/main" count="82" uniqueCount="58">
  <si>
    <t>RENSEIGNEMENTS GENERAUX</t>
  </si>
  <si>
    <t>1/</t>
  </si>
  <si>
    <t>Date du prélèvement :</t>
  </si>
  <si>
    <t>Provenance :</t>
  </si>
  <si>
    <t>Destination :</t>
  </si>
  <si>
    <t>g</t>
  </si>
  <si>
    <t>RESULTATS DES ESSAIS</t>
  </si>
  <si>
    <t xml:space="preserve">3/ </t>
  </si>
  <si>
    <t>Définition des critères / objectifs :</t>
  </si>
  <si>
    <t>2/</t>
  </si>
  <si>
    <t>CRITERES DE CONFORMITE</t>
  </si>
  <si>
    <t>N° Tare</t>
  </si>
  <si>
    <t>V1 =</t>
  </si>
  <si>
    <t>4/</t>
  </si>
  <si>
    <t>5/</t>
  </si>
  <si>
    <t>COMMENTAIRES</t>
  </si>
  <si>
    <t>CONCLUSIONS</t>
  </si>
  <si>
    <t>Date de(s) essai(s) :</t>
  </si>
  <si>
    <t>Source des critères :</t>
  </si>
  <si>
    <t>Opérateur :</t>
  </si>
  <si>
    <t>Laboratoire :</t>
  </si>
  <si>
    <t>Nom</t>
  </si>
  <si>
    <t>Visa</t>
  </si>
  <si>
    <t>OUI</t>
  </si>
  <si>
    <t>NON</t>
  </si>
  <si>
    <t>PREPARATION DE LA SUSPENSION EN AJOUTANT 500 ml (+- 5 ml) à LA PRISE D'ESSAI SECHE</t>
  </si>
  <si>
    <t>M1 =</t>
  </si>
  <si>
    <t>ml</t>
  </si>
  <si>
    <t>Date de réception :</t>
  </si>
  <si>
    <t>Identification du matériau :</t>
  </si>
  <si>
    <t>PREPARATION SOLUTION DE BLEU DE METHYLENE DOSEE à 10 g/l CONFORMÉMENT à L'ANNEXE C - VALIDITE 28 JOURS</t>
  </si>
  <si>
    <t>MODE OPERATOIRE ET RESULTATS DES ESSAIS</t>
  </si>
  <si>
    <t>Volume Total
V1 (ml)</t>
  </si>
  <si>
    <t>VOLUME TOTAL DE SOLUTION DE BLEU</t>
  </si>
  <si>
    <t>g/kg</t>
  </si>
  <si>
    <t>AGITATION DE LA SUSPENSION PENDANT 5 Minutes à 600 Tours/mn - PUIS à 400 Tours/mn PENDANT ESSAI</t>
  </si>
  <si>
    <t>Certificat d'échantillonnage joint :</t>
  </si>
  <si>
    <t>SECHAGE DU SABLE OU DE LA GRAVE à 110°C POUR OBTENTION D'AU MOINS 30 g DE FRACTION 0/0.125 SECHE</t>
  </si>
  <si>
    <t>TAMISAGE à 0,125 mm (soit 125 µm) DES FINES DU MATERIAU SEC</t>
  </si>
  <si>
    <t>PRISE D'ESSAI DE FINES   (fraction 0/0,125 mm)</t>
  </si>
  <si>
    <t>MASSE DE BLEU MBF DES FINES du MATERIAU en g de bleu par kg de 0/0,125 mm</t>
  </si>
  <si>
    <t>Description du matériau :</t>
  </si>
  <si>
    <t>Masse
Tare + M1 (g)</t>
  </si>
  <si>
    <t>Masse Tare (g)</t>
  </si>
  <si>
    <t>Masse prise d'essai M1 (g)</t>
  </si>
  <si>
    <t>RELEVER V1 : LE VOLUME TOTAL DE SOLUTION DE BLEU NECESSAIRE à PERSISTANCE DE LA TACHE PENDANT 5 MINUTES</t>
  </si>
  <si>
    <t>DEVERSEMENT DE 5 ml (PUIS 2 ml) DE SOLUTION DE BLEU AVEC TEST à LA TACHE APRES 1 MINUTE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</si>
  <si>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</si>
  <si>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</si>
  <si>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</si>
  <si>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</si>
  <si>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</si>
  <si>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</si>
  <si>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MESURE DE LA MASSE DE BLEU DE METHYLENE DES FINES (NF EN 933-9)</t>
  </si>
  <si>
    <t>MBf</t>
  </si>
  <si>
    <r>
      <t>Masse de Bleu MB</t>
    </r>
    <r>
      <rPr>
        <b/>
        <vertAlign val="subscript"/>
        <sz val="10"/>
        <rFont val="Century Gothic"/>
        <family val="2"/>
      </rPr>
      <t>F</t>
    </r>
    <r>
      <rPr>
        <b/>
        <sz val="10"/>
        <rFont val="Century Gothic"/>
        <family val="2"/>
      </rPr>
      <t xml:space="preserve">
MB</t>
    </r>
    <r>
      <rPr>
        <b/>
        <vertAlign val="subscript"/>
        <sz val="10"/>
        <rFont val="Century Gothic"/>
        <family val="2"/>
      </rPr>
      <t>F</t>
    </r>
    <r>
      <rPr>
        <b/>
        <sz val="10"/>
        <rFont val="Century Gothic"/>
        <family val="2"/>
      </rPr>
      <t xml:space="preserve"> = V1/M1x10
( en g de bleu par kg de FINES)</t>
    </r>
  </si>
  <si>
    <t>Contrôle :</t>
  </si>
  <si>
    <r>
      <t>MB</t>
    </r>
    <r>
      <rPr>
        <b/>
        <vertAlign val="subscript"/>
        <sz val="11"/>
        <rFont val="Century Gothic"/>
        <family val="2"/>
      </rPr>
      <t>F</t>
    </r>
    <r>
      <rPr>
        <b/>
        <sz val="11"/>
        <rFont val="Century Gothic"/>
        <family val="2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</si>
</sst>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u/>
      <sz val="10"/>
      <name val="Century Gothic"/>
      <family val="2"/>
    </font>
    <font>
      <u/>
      <sz val="10"/>
      <name val="Century Gothic"/>
      <family val="2"/>
    </font>
    <font>
      <b/>
      <vertAlign val="subscript"/>
      <sz val="10"/>
      <name val="Century Gothic"/>
      <family val="2"/>
    </font>
    <font>
      <i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b/>
      <sz val="10"/>
      <color indexed="9"/>
      <name val="Century Gothic"/>
      <family val="2"/>
    </font>
    <font>
      <b/>
      <sz val="11"/>
      <name val="Century Gothic"/>
      <family val="2"/>
    </font>
    <font>
      <b/>
      <vertAlign val="subscript"/>
      <sz val="1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0" fontId="2" fillId="0" borderId="4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7" fillId="0" borderId="5" xfId="0" applyFont="1" applyFill="1" applyBorder="1" applyAlignment="1" applyProtection="1">
      <alignment horizontal="left"/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5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vertical="center"/>
    </xf>
    <xf numFmtId="14" fontId="2" fillId="0" borderId="0" xfId="0" applyNumberFormat="1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3" fillId="0" borderId="14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left" vertical="center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5" fillId="0" borderId="9" xfId="0" applyFont="1" applyFill="1" applyBorder="1" applyAlignment="1" applyProtection="1">
      <alignment horizontal="center" vertical="center"/>
    </xf>
    <xf numFmtId="0" fontId="8" fillId="0" borderId="10" xfId="0" applyFont="1" applyFill="1" applyBorder="1" applyAlignment="1" applyProtection="1">
      <alignment vertical="center"/>
    </xf>
    <xf numFmtId="0" fontId="10" fillId="0" borderId="10" xfId="0" applyFont="1" applyFill="1" applyBorder="1" applyAlignment="1" applyProtection="1">
      <alignment vertical="center"/>
    </xf>
    <xf numFmtId="0" fontId="10" fillId="0" borderId="10" xfId="0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7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vertical="center"/>
    </xf>
    <xf numFmtId="0" fontId="5" fillId="0" borderId="4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5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centerContinuous" vertical="center"/>
    </xf>
    <xf numFmtId="0" fontId="3" fillId="2" borderId="16" xfId="0" applyFont="1" applyFill="1" applyBorder="1" applyAlignment="1">
      <alignment horizontal="centerContinuous" vertical="center"/>
    </xf>
    <xf numFmtId="0" fontId="3" fillId="2" borderId="17" xfId="0" applyFont="1" applyFill="1" applyBorder="1" applyAlignment="1">
      <alignment horizontal="centerContinuous" vertical="center"/>
    </xf>
    <xf numFmtId="0" fontId="3" fillId="0" borderId="13" xfId="0" applyFont="1" applyFill="1" applyBorder="1" applyAlignment="1">
      <alignment vertical="center"/>
    </xf>
    <xf numFmtId="0" fontId="2" fillId="0" borderId="5" xfId="0" applyFont="1" applyFill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4" fillId="0" borderId="6" xfId="0" applyFont="1" applyFill="1" applyBorder="1" applyAlignment="1" applyProtection="1">
      <alignment horizontal="center" vertical="center" wrapText="1"/>
      <protection locked="0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1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14" fillId="0" borderId="13" xfId="0" applyFont="1" applyFill="1" applyBorder="1" applyAlignment="1" applyProtection="1">
      <alignment horizontal="center" vertical="center" wrapText="1"/>
      <protection locked="0"/>
    </xf>
    <xf numFmtId="0" fontId="14" fillId="0" borderId="19" xfId="0" applyFont="1" applyFill="1" applyBorder="1" applyAlignment="1" applyProtection="1">
      <alignment horizontal="center" vertical="center" wrapText="1"/>
      <protection locked="0"/>
    </xf>
    <xf numFmtId="164" fontId="3" fillId="0" borderId="19" xfId="0" applyNumberFormat="1" applyFont="1" applyFill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5" fillId="0" borderId="19" xfId="0" applyFont="1" applyFill="1" applyBorder="1" applyAlignment="1" applyProtection="1">
      <alignment horizontal="center" vertical="center"/>
      <protection hidden="1"/>
    </xf>
    <xf numFmtId="0" fontId="7" fillId="0" borderId="19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" fontId="3" fillId="0" borderId="19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2" fontId="2" fillId="0" borderId="20" xfId="0" applyNumberFormat="1" applyFont="1" applyFill="1" applyBorder="1" applyAlignment="1">
      <alignment horizontal="center" vertical="center"/>
    </xf>
    <xf numFmtId="2" fontId="2" fillId="0" borderId="21" xfId="0" applyNumberFormat="1" applyFont="1" applyFill="1" applyBorder="1" applyAlignment="1">
      <alignment horizontal="center" vertical="center"/>
    </xf>
    <xf numFmtId="2" fontId="2" fillId="0" borderId="22" xfId="0" applyNumberFormat="1" applyFont="1" applyFill="1" applyBorder="1" applyAlignment="1">
      <alignment horizontal="center" vertical="center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3" fillId="0" borderId="23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1" fontId="2" fillId="0" borderId="13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center" vertical="center"/>
      <protection locked="0"/>
    </xf>
    <xf numFmtId="0" fontId="16" fillId="0" borderId="4" xfId="0" applyFont="1" applyFill="1" applyBorder="1" applyAlignment="1" applyProtection="1">
      <alignment horizontal="center" vertical="center"/>
      <protection locked="0"/>
    </xf>
    <xf numFmtId="14" fontId="16" fillId="0" borderId="4" xfId="0" applyNumberFormat="1" applyFont="1" applyFill="1" applyBorder="1" applyAlignment="1" applyProtection="1">
      <alignment horizontal="center" vertical="center"/>
      <protection locked="0"/>
    </xf>
    <xf numFmtId="14" fontId="16" fillId="0" borderId="0" xfId="0" applyNumberFormat="1" applyFont="1" applyFill="1" applyBorder="1" applyAlignment="1" applyProtection="1">
      <alignment horizontal="center" vertical="center"/>
      <protection locked="0"/>
    </xf>
    <xf numFmtId="14" fontId="16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hidden="1"/>
    </xf>
    <xf numFmtId="14" fontId="14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 applyProtection="1">
      <alignment horizontal="left"/>
      <protection hidden="1"/>
    </xf>
    <xf numFmtId="0" fontId="14" fillId="0" borderId="0" xfId="0" applyFont="1" applyFill="1" applyBorder="1" applyAlignment="1" applyProtection="1">
      <alignment horizontal="left"/>
      <protection locked="0"/>
    </xf>
    <xf numFmtId="0" fontId="5" fillId="0" borderId="12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14" fillId="0" borderId="5" xfId="0" applyFont="1" applyFill="1" applyBorder="1" applyAlignment="1" applyProtection="1">
      <alignment horizontal="center" vertical="center" wrapText="1"/>
      <protection locked="0"/>
    </xf>
    <xf numFmtId="0" fontId="14" fillId="0" borderId="8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>
      <alignment vertical="center" wrapText="1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164" fontId="16" fillId="0" borderId="19" xfId="0" applyNumberFormat="1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left" vertical="center"/>
    </xf>
    <xf numFmtId="1" fontId="16" fillId="0" borderId="19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6</xdr:row>
      <xdr:rowOff>161925</xdr:rowOff>
    </xdr:from>
    <xdr:to>
      <xdr:col>6</xdr:col>
      <xdr:colOff>95250</xdr:colOff>
      <xdr:row>6</xdr:row>
      <xdr:rowOff>161925</xdr:rowOff>
    </xdr:to>
    <xdr:pic>
      <xdr:nvPicPr>
        <xdr:cNvPr id="1114" name="Picture 3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209675"/>
          <a:ext cx="18573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257175</xdr:colOff>
      <xdr:row>7</xdr:row>
      <xdr:rowOff>104775</xdr:rowOff>
    </xdr:from>
    <xdr:to>
      <xdr:col>5</xdr:col>
      <xdr:colOff>676275</xdr:colOff>
      <xdr:row>7</xdr:row>
      <xdr:rowOff>104775</xdr:rowOff>
    </xdr:to>
    <xdr:pic>
      <xdr:nvPicPr>
        <xdr:cNvPr id="1115" name="Picture 79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1628775"/>
          <a:ext cx="4286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295275</xdr:colOff>
      <xdr:row>6</xdr:row>
      <xdr:rowOff>161925</xdr:rowOff>
    </xdr:from>
    <xdr:to>
      <xdr:col>6</xdr:col>
      <xdr:colOff>95250</xdr:colOff>
      <xdr:row>6</xdr:row>
      <xdr:rowOff>161925</xdr:rowOff>
    </xdr:to>
    <xdr:pic>
      <xdr:nvPicPr>
        <xdr:cNvPr id="1117" name="Picture 20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209675"/>
          <a:ext cx="18573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</xdr:colOff>
          <xdr:row>12</xdr:row>
          <xdr:rowOff>190500</xdr:rowOff>
        </xdr:from>
        <xdr:to>
          <xdr:col>21</xdr:col>
          <xdr:colOff>57150</xdr:colOff>
          <xdr:row>14</xdr:row>
          <xdr:rowOff>15240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12</xdr:row>
          <xdr:rowOff>190500</xdr:rowOff>
        </xdr:from>
        <xdr:to>
          <xdr:col>24</xdr:col>
          <xdr:colOff>53340</xdr:colOff>
          <xdr:row>14</xdr:row>
          <xdr:rowOff>15240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257175</xdr:colOff>
      <xdr:row>7</xdr:row>
      <xdr:rowOff>104775</xdr:rowOff>
    </xdr:from>
    <xdr:to>
      <xdr:col>5</xdr:col>
      <xdr:colOff>676275</xdr:colOff>
      <xdr:row>7</xdr:row>
      <xdr:rowOff>104775</xdr:rowOff>
    </xdr:to>
    <xdr:pic>
      <xdr:nvPicPr>
        <xdr:cNvPr id="1118" name="Picture 48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1628775"/>
          <a:ext cx="4286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28575</xdr:colOff>
      <xdr:row>1</xdr:row>
      <xdr:rowOff>133350</xdr:rowOff>
    </xdr:from>
    <xdr:to>
      <xdr:col>4</xdr:col>
      <xdr:colOff>287655</xdr:colOff>
      <xdr:row>4</xdr:row>
      <xdr:rowOff>53340</xdr:rowOff>
    </xdr:to>
    <xdr:pic>
      <xdr:nvPicPr>
        <xdr:cNvPr id="13" name="Image 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95275"/>
          <a:ext cx="1295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7</xdr:row>
      <xdr:rowOff>0</xdr:rowOff>
    </xdr:from>
    <xdr:to>
      <xdr:col>6</xdr:col>
      <xdr:colOff>76200</xdr:colOff>
      <xdr:row>7</xdr:row>
      <xdr:rowOff>0</xdr:rowOff>
    </xdr:to>
    <xdr:pic>
      <xdr:nvPicPr>
        <xdr:cNvPr id="2095" name="Picture 1">
          <a:extLst>
            <a:ext uri="{FF2B5EF4-FFF2-40B4-BE49-F238E27FC236}">
              <a16:creationId xmlns:a16="http://schemas.microsoft.com/office/drawing/2014/main" id="{00000000-0008-0000-01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000125"/>
          <a:ext cx="17335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133350</xdr:colOff>
      <xdr:row>0</xdr:row>
      <xdr:rowOff>0</xdr:rowOff>
    </xdr:from>
    <xdr:to>
      <xdr:col>5</xdr:col>
      <xdr:colOff>104775</xdr:colOff>
      <xdr:row>0</xdr:row>
      <xdr:rowOff>0</xdr:rowOff>
    </xdr:to>
    <xdr:pic>
      <xdr:nvPicPr>
        <xdr:cNvPr id="2096" name="Picture 3">
          <a:extLst>
            <a:ext uri="{FF2B5EF4-FFF2-40B4-BE49-F238E27FC236}">
              <a16:creationId xmlns:a16="http://schemas.microsoft.com/office/drawing/2014/main" id="{00000000-0008-0000-01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0"/>
          <a:ext cx="12287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15</xdr:col>
      <xdr:colOff>9525</xdr:colOff>
      <xdr:row>0</xdr:row>
      <xdr:rowOff>0</xdr:rowOff>
    </xdr:from>
    <xdr:to>
      <xdr:col>20</xdr:col>
      <xdr:colOff>0</xdr:colOff>
      <xdr:row>0</xdr:row>
      <xdr:rowOff>0</xdr:rowOff>
    </xdr:to>
    <xdr:sp macro="" textlink="" fLocksText="0">
      <xdr:nvSpPr>
        <xdr:cNvPr id="2052" name="Text Box 4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 txBox="1">
          <a:spLocks noChangeArrowheads="1"/>
        </xdr:cNvSpPr>
      </xdr:nvSpPr>
      <xdr:spPr bwMode="auto">
        <a:xfrm>
          <a:off x="4791075" y="0"/>
          <a:ext cx="15621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du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CHANTIER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098" name="Rectangle 5">
          <a:extLst>
            <a:ext uri="{FF2B5EF4-FFF2-40B4-BE49-F238E27FC236}">
              <a16:creationId xmlns:a16="http://schemas.microsoft.com/office/drawing/2014/main" id="{00000000-0008-0000-0100-000032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353175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400050</xdr:colOff>
      <xdr:row>0</xdr:row>
      <xdr:rowOff>0</xdr:rowOff>
    </xdr:from>
    <xdr:to>
      <xdr:col>15</xdr:col>
      <xdr:colOff>9525</xdr:colOff>
      <xdr:row>0</xdr:row>
      <xdr:rowOff>0</xdr:rowOff>
    </xdr:to>
    <xdr:sp macro="" textlink="">
      <xdr:nvSpPr>
        <xdr:cNvPr id="2054" name="Text Box 6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 txBox="1">
          <a:spLocks noChangeArrowheads="1"/>
        </xdr:cNvSpPr>
      </xdr:nvSpPr>
      <xdr:spPr bwMode="auto">
        <a:xfrm>
          <a:off x="1638300" y="0"/>
          <a:ext cx="3152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EQUIVALENT DE SABLE</a:t>
          </a:r>
        </a:p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(NF P 18-598)</a:t>
          </a:r>
        </a:p>
      </xdr:txBody>
    </xdr:sp>
    <xdr:clientData/>
  </xdr:twoCellAnchor>
  <xdr:twoCellAnchor>
    <xdr:from>
      <xdr:col>4</xdr:col>
      <xdr:colOff>400050</xdr:colOff>
      <xdr:row>0</xdr:row>
      <xdr:rowOff>0</xdr:rowOff>
    </xdr:from>
    <xdr:to>
      <xdr:col>9</xdr:col>
      <xdr:colOff>47625</xdr:colOff>
      <xdr:row>0</xdr:row>
      <xdr:rowOff>0</xdr:rowOff>
    </xdr:to>
    <xdr:sp macro="" textlink="">
      <xdr:nvSpPr>
        <xdr:cNvPr id="2055" name="Text Box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 txBox="1">
          <a:spLocks noChangeArrowheads="1"/>
        </xdr:cNvSpPr>
      </xdr:nvSpPr>
      <xdr:spPr bwMode="auto">
        <a:xfrm>
          <a:off x="1638300" y="0"/>
          <a:ext cx="13049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PV D'ESSAIS</a:t>
          </a: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ES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38100</xdr:colOff>
      <xdr:row>0</xdr:row>
      <xdr:rowOff>0</xdr:rowOff>
    </xdr:to>
    <xdr:sp macro="" textlink="" fLocksText="0">
      <xdr:nvSpPr>
        <xdr:cNvPr id="2056" name="Text Box 8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ChangeArrowheads="1"/>
        </xdr:cNvSpPr>
      </xdr:nvSpPr>
      <xdr:spPr bwMode="auto">
        <a:xfrm>
          <a:off x="2933700" y="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10</xdr:col>
      <xdr:colOff>57150</xdr:colOff>
      <xdr:row>0</xdr:row>
      <xdr:rowOff>0</xdr:rowOff>
    </xdr:from>
    <xdr:to>
      <xdr:col>12</xdr:col>
      <xdr:colOff>104775</xdr:colOff>
      <xdr:row>0</xdr:row>
      <xdr:rowOff>0</xdr:rowOff>
    </xdr:to>
    <xdr:sp macro="" textlink="" fLocksText="0">
      <xdr:nvSpPr>
        <xdr:cNvPr id="2057" name="Text Box 9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>
          <a:spLocks noChangeArrowheads="1"/>
        </xdr:cNvSpPr>
      </xdr:nvSpPr>
      <xdr:spPr bwMode="auto">
        <a:xfrm>
          <a:off x="3267075" y="0"/>
          <a:ext cx="676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SO 6123</a:t>
          </a:r>
        </a:p>
      </xdr:txBody>
    </xdr:sp>
    <xdr:clientData/>
  </xdr:twoCellAnchor>
  <xdr:twoCellAnchor>
    <xdr:from>
      <xdr:col>12</xdr:col>
      <xdr:colOff>123825</xdr:colOff>
      <xdr:row>0</xdr:row>
      <xdr:rowOff>0</xdr:rowOff>
    </xdr:from>
    <xdr:to>
      <xdr:col>15</xdr:col>
      <xdr:colOff>9525</xdr:colOff>
      <xdr:row>0</xdr:row>
      <xdr:rowOff>0</xdr:rowOff>
    </xdr:to>
    <xdr:sp macro="" textlink="" fLocksText="0">
      <xdr:nvSpPr>
        <xdr:cNvPr id="2058" name="Text Box 10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>
          <a:spLocks noChangeArrowheads="1"/>
        </xdr:cNvSpPr>
      </xdr:nvSpPr>
      <xdr:spPr bwMode="auto">
        <a:xfrm>
          <a:off x="3962400" y="0"/>
          <a:ext cx="828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20/10/2004</a:t>
          </a:r>
        </a:p>
      </xdr:txBody>
    </xdr:sp>
    <xdr:clientData/>
  </xdr:twoCellAnchor>
  <xdr:twoCellAnchor>
    <xdr:from>
      <xdr:col>5</xdr:col>
      <xdr:colOff>171450</xdr:colOff>
      <xdr:row>0</xdr:row>
      <xdr:rowOff>0</xdr:rowOff>
    </xdr:from>
    <xdr:to>
      <xdr:col>15</xdr:col>
      <xdr:colOff>9525</xdr:colOff>
      <xdr:row>0</xdr:row>
      <xdr:rowOff>0</xdr:rowOff>
    </xdr:to>
    <xdr:sp macro="" textlink="">
      <xdr:nvSpPr>
        <xdr:cNvPr id="2104" name="Rectangle 11">
          <a:extLst>
            <a:ext uri="{FF2B5EF4-FFF2-40B4-BE49-F238E27FC236}">
              <a16:creationId xmlns:a16="http://schemas.microsoft.com/office/drawing/2014/main" id="{00000000-0008-0000-0100-000038080000}"/>
            </a:ext>
          </a:extLst>
        </xdr:cNvPr>
        <xdr:cNvSpPr>
          <a:spLocks noChangeArrowheads="1"/>
        </xdr:cNvSpPr>
      </xdr:nvSpPr>
      <xdr:spPr bwMode="auto">
        <a:xfrm>
          <a:off x="1809750" y="0"/>
          <a:ext cx="2981325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114300</xdr:colOff>
      <xdr:row>0</xdr:row>
      <xdr:rowOff>0</xdr:rowOff>
    </xdr:from>
    <xdr:to>
      <xdr:col>5</xdr:col>
      <xdr:colOff>85725</xdr:colOff>
      <xdr:row>0</xdr:row>
      <xdr:rowOff>0</xdr:rowOff>
    </xdr:to>
    <xdr:sp macro="" textlink="" fLocksText="0">
      <xdr:nvSpPr>
        <xdr:cNvPr id="2060" name="Text Box 12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SpPr txBox="1">
          <a:spLocks noChangeArrowheads="1"/>
        </xdr:cNvSpPr>
      </xdr:nvSpPr>
      <xdr:spPr bwMode="auto">
        <a:xfrm flipV="1">
          <a:off x="114300" y="0"/>
          <a:ext cx="1609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LABORATOIRE ILE DE FRANCE</a:t>
          </a:r>
        </a:p>
      </xdr:txBody>
    </xdr:sp>
    <xdr:clientData/>
  </xdr:twoCellAnchor>
  <xdr:twoCellAnchor>
    <xdr:from>
      <xdr:col>9</xdr:col>
      <xdr:colOff>371475</xdr:colOff>
      <xdr:row>0</xdr:row>
      <xdr:rowOff>0</xdr:rowOff>
    </xdr:from>
    <xdr:to>
      <xdr:col>10</xdr:col>
      <xdr:colOff>114300</xdr:colOff>
      <xdr:row>0</xdr:row>
      <xdr:rowOff>0</xdr:rowOff>
    </xdr:to>
    <xdr:sp macro="" textlink="">
      <xdr:nvSpPr>
        <xdr:cNvPr id="2061" name="Text Box 13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SpPr txBox="1">
          <a:spLocks noChangeArrowheads="1"/>
        </xdr:cNvSpPr>
      </xdr:nvSpPr>
      <xdr:spPr bwMode="auto">
        <a:xfrm>
          <a:off x="3209925" y="0"/>
          <a:ext cx="1143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47625</xdr:colOff>
      <xdr:row>0</xdr:row>
      <xdr:rowOff>0</xdr:rowOff>
    </xdr:from>
    <xdr:to>
      <xdr:col>12</xdr:col>
      <xdr:colOff>219075</xdr:colOff>
      <xdr:row>0</xdr:row>
      <xdr:rowOff>0</xdr:rowOff>
    </xdr:to>
    <xdr:sp macro="" textlink="">
      <xdr:nvSpPr>
        <xdr:cNvPr id="2062" name="Text Box 14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 txBox="1">
          <a:spLocks noChangeArrowheads="1"/>
        </xdr:cNvSpPr>
      </xdr:nvSpPr>
      <xdr:spPr bwMode="auto">
        <a:xfrm>
          <a:off x="3886200" y="0"/>
          <a:ext cx="1714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10</xdr:col>
      <xdr:colOff>76200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2063" name="Text Box 15">
          <a:extLs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SpPr txBox="1">
          <a:spLocks noChangeArrowheads="1"/>
        </xdr:cNvSpPr>
      </xdr:nvSpPr>
      <xdr:spPr bwMode="auto">
        <a:xfrm>
          <a:off x="3286125" y="0"/>
          <a:ext cx="676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0</xdr:col>
      <xdr:colOff>95250</xdr:colOff>
      <xdr:row>0</xdr:row>
      <xdr:rowOff>0</xdr:rowOff>
    </xdr:from>
    <xdr:to>
      <xdr:col>5</xdr:col>
      <xdr:colOff>114300</xdr:colOff>
      <xdr:row>0</xdr:row>
      <xdr:rowOff>0</xdr:rowOff>
    </xdr:to>
    <xdr:pic>
      <xdr:nvPicPr>
        <xdr:cNvPr id="2109" name="Picture 16">
          <a:extLst>
            <a:ext uri="{FF2B5EF4-FFF2-40B4-BE49-F238E27FC236}">
              <a16:creationId xmlns:a16="http://schemas.microsoft.com/office/drawing/2014/main" id="{00000000-0008-0000-01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6573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19050</xdr:colOff>
      <xdr:row>0</xdr:row>
      <xdr:rowOff>0</xdr:rowOff>
    </xdr:from>
    <xdr:to>
      <xdr:col>10</xdr:col>
      <xdr:colOff>38100</xdr:colOff>
      <xdr:row>0</xdr:row>
      <xdr:rowOff>0</xdr:rowOff>
    </xdr:to>
    <xdr:sp macro="" textlink="">
      <xdr:nvSpPr>
        <xdr:cNvPr id="2065" name="Text Box 17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SpPr txBox="1">
          <a:spLocks noChangeArrowheads="1"/>
        </xdr:cNvSpPr>
      </xdr:nvSpPr>
      <xdr:spPr bwMode="auto">
        <a:xfrm>
          <a:off x="2914650" y="0"/>
          <a:ext cx="333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11</xdr:col>
      <xdr:colOff>371475</xdr:colOff>
      <xdr:row>0</xdr:row>
      <xdr:rowOff>0</xdr:rowOff>
    </xdr:from>
    <xdr:to>
      <xdr:col>15</xdr:col>
      <xdr:colOff>123825</xdr:colOff>
      <xdr:row>0</xdr:row>
      <xdr:rowOff>0</xdr:rowOff>
    </xdr:to>
    <xdr:sp macro="" textlink="">
      <xdr:nvSpPr>
        <xdr:cNvPr id="2066" name="Text Box 18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SpPr txBox="1">
          <a:spLocks noChangeArrowheads="1"/>
        </xdr:cNvSpPr>
      </xdr:nvSpPr>
      <xdr:spPr bwMode="auto">
        <a:xfrm>
          <a:off x="3838575" y="0"/>
          <a:ext cx="1066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PV</a:t>
          </a:r>
        </a:p>
      </xdr:txBody>
    </xdr:sp>
    <xdr:clientData/>
  </xdr:twoCellAnchor>
  <xdr:twoCellAnchor>
    <xdr:from>
      <xdr:col>9</xdr:col>
      <xdr:colOff>209550</xdr:colOff>
      <xdr:row>5</xdr:row>
      <xdr:rowOff>47625</xdr:rowOff>
    </xdr:from>
    <xdr:to>
      <xdr:col>11</xdr:col>
      <xdr:colOff>19050</xdr:colOff>
      <xdr:row>6</xdr:row>
      <xdr:rowOff>47625</xdr:rowOff>
    </xdr:to>
    <xdr:sp macro="" textlink="">
      <xdr:nvSpPr>
        <xdr:cNvPr id="2067" name="Text Box 19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SpPr txBox="1">
          <a:spLocks noChangeArrowheads="1"/>
        </xdr:cNvSpPr>
      </xdr:nvSpPr>
      <xdr:spPr bwMode="auto">
        <a:xfrm>
          <a:off x="3105150" y="857250"/>
          <a:ext cx="4381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0</xdr:col>
      <xdr:colOff>295275</xdr:colOff>
      <xdr:row>6</xdr:row>
      <xdr:rowOff>0</xdr:rowOff>
    </xdr:from>
    <xdr:to>
      <xdr:col>6</xdr:col>
      <xdr:colOff>95250</xdr:colOff>
      <xdr:row>6</xdr:row>
      <xdr:rowOff>0</xdr:rowOff>
    </xdr:to>
    <xdr:pic>
      <xdr:nvPicPr>
        <xdr:cNvPr id="2113" name="Picture 20">
          <a:extLst>
            <a:ext uri="{FF2B5EF4-FFF2-40B4-BE49-F238E27FC236}">
              <a16:creationId xmlns:a16="http://schemas.microsoft.com/office/drawing/2014/main" id="{00000000-0008-0000-01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971550"/>
          <a:ext cx="175260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20</xdr:col>
      <xdr:colOff>47625</xdr:colOff>
      <xdr:row>0</xdr:row>
      <xdr:rowOff>0</xdr:rowOff>
    </xdr:from>
    <xdr:to>
      <xdr:col>26</xdr:col>
      <xdr:colOff>38100</xdr:colOff>
      <xdr:row>6</xdr:row>
      <xdr:rowOff>0</xdr:rowOff>
    </xdr:to>
    <xdr:sp macro="" textlink="" fLocksText="0">
      <xdr:nvSpPr>
        <xdr:cNvPr id="2069" name="Text Box 2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SpPr txBox="1">
          <a:spLocks noChangeArrowheads="1"/>
        </xdr:cNvSpPr>
      </xdr:nvSpPr>
      <xdr:spPr bwMode="auto">
        <a:xfrm>
          <a:off x="6400800" y="0"/>
          <a:ext cx="18764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0</xdr:colOff>
      <xdr:row>6</xdr:row>
      <xdr:rowOff>28575</xdr:rowOff>
    </xdr:to>
    <xdr:sp macro="" textlink="">
      <xdr:nvSpPr>
        <xdr:cNvPr id="2115" name="Rectangle 22">
          <a:extLst>
            <a:ext uri="{FF2B5EF4-FFF2-40B4-BE49-F238E27FC236}">
              <a16:creationId xmlns:a16="http://schemas.microsoft.com/office/drawing/2014/main" id="{00000000-0008-0000-0100-000043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239125" cy="10001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6</xdr:col>
      <xdr:colOff>200025</xdr:colOff>
      <xdr:row>1</xdr:row>
      <xdr:rowOff>66675</xdr:rowOff>
    </xdr:from>
    <xdr:to>
      <xdr:col>20</xdr:col>
      <xdr:colOff>28575</xdr:colOff>
      <xdr:row>4</xdr:row>
      <xdr:rowOff>28575</xdr:rowOff>
    </xdr:to>
    <xdr:sp macro="" textlink="">
      <xdr:nvSpPr>
        <xdr:cNvPr id="2071" name="Text Box 23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SpPr txBox="1">
          <a:spLocks noChangeArrowheads="1"/>
        </xdr:cNvSpPr>
      </xdr:nvSpPr>
      <xdr:spPr bwMode="auto">
        <a:xfrm>
          <a:off x="2152650" y="228600"/>
          <a:ext cx="42291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MESURE DE LA MASSE DE BLEU DE METHYLENEDES FINES (NF EN 933-9)</a:t>
          </a:r>
        </a:p>
      </xdr:txBody>
    </xdr:sp>
    <xdr:clientData/>
  </xdr:twoCellAnchor>
  <xdr:twoCellAnchor>
    <xdr:from>
      <xdr:col>7</xdr:col>
      <xdr:colOff>238125</xdr:colOff>
      <xdr:row>4</xdr:row>
      <xdr:rowOff>19050</xdr:rowOff>
    </xdr:from>
    <xdr:to>
      <xdr:col>9</xdr:col>
      <xdr:colOff>228600</xdr:colOff>
      <xdr:row>5</xdr:row>
      <xdr:rowOff>66675</xdr:rowOff>
    </xdr:to>
    <xdr:sp macro="" textlink="">
      <xdr:nvSpPr>
        <xdr:cNvPr id="2072" name="Text Box 24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SpPr txBox="1">
          <a:spLocks noChangeArrowheads="1"/>
        </xdr:cNvSpPr>
      </xdr:nvSpPr>
      <xdr:spPr bwMode="auto">
        <a:xfrm>
          <a:off x="2505075" y="666750"/>
          <a:ext cx="6191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36576" bIns="0" anchor="t" upright="1"/>
        <a:lstStyle/>
        <a:p>
          <a:pPr algn="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mbf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219075</xdr:colOff>
      <xdr:row>4</xdr:row>
      <xdr:rowOff>19050</xdr:rowOff>
    </xdr:from>
    <xdr:to>
      <xdr:col>11</xdr:col>
      <xdr:colOff>28575</xdr:colOff>
      <xdr:row>5</xdr:row>
      <xdr:rowOff>47625</xdr:rowOff>
    </xdr:to>
    <xdr:sp macro="" textlink="" fLocksText="0">
      <xdr:nvSpPr>
        <xdr:cNvPr id="2073" name="Text Box 25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SpPr txBox="1">
          <a:spLocks noChangeArrowheads="1"/>
        </xdr:cNvSpPr>
      </xdr:nvSpPr>
      <xdr:spPr bwMode="auto">
        <a:xfrm>
          <a:off x="3114675" y="66675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11</xdr:col>
      <xdr:colOff>57150</xdr:colOff>
      <xdr:row>4</xdr:row>
      <xdr:rowOff>19050</xdr:rowOff>
    </xdr:from>
    <xdr:to>
      <xdr:col>14</xdr:col>
      <xdr:colOff>47625</xdr:colOff>
      <xdr:row>5</xdr:row>
      <xdr:rowOff>66675</xdr:rowOff>
    </xdr:to>
    <xdr:sp macro="" textlink="" fLocksText="0">
      <xdr:nvSpPr>
        <xdr:cNvPr id="2074" name="Text Box 26">
          <a:extLst>
            <a:ext uri="{FF2B5EF4-FFF2-40B4-BE49-F238E27FC236}">
              <a16:creationId xmlns:a16="http://schemas.microsoft.com/office/drawing/2014/main" id="{00000000-0008-0000-0100-00001A080000}"/>
            </a:ext>
          </a:extLst>
        </xdr:cNvPr>
        <xdr:cNvSpPr txBox="1">
          <a:spLocks noChangeArrowheads="1"/>
        </xdr:cNvSpPr>
      </xdr:nvSpPr>
      <xdr:spPr bwMode="auto">
        <a:xfrm>
          <a:off x="3581400" y="666750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76200</xdr:colOff>
      <xdr:row>4</xdr:row>
      <xdr:rowOff>19050</xdr:rowOff>
    </xdr:from>
    <xdr:to>
      <xdr:col>18</xdr:col>
      <xdr:colOff>28575</xdr:colOff>
      <xdr:row>5</xdr:row>
      <xdr:rowOff>57150</xdr:rowOff>
    </xdr:to>
    <xdr:sp macro="" textlink="" fLocksText="0">
      <xdr:nvSpPr>
        <xdr:cNvPr id="2075" name="Text Box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 txBox="1">
          <a:spLocks noChangeArrowheads="1"/>
        </xdr:cNvSpPr>
      </xdr:nvSpPr>
      <xdr:spPr bwMode="auto">
        <a:xfrm>
          <a:off x="4543425" y="666750"/>
          <a:ext cx="12096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6</xdr:col>
      <xdr:colOff>180975</xdr:colOff>
      <xdr:row>0</xdr:row>
      <xdr:rowOff>0</xdr:rowOff>
    </xdr:from>
    <xdr:to>
      <xdr:col>20</xdr:col>
      <xdr:colOff>47625</xdr:colOff>
      <xdr:row>6</xdr:row>
      <xdr:rowOff>28575</xdr:rowOff>
    </xdr:to>
    <xdr:sp macro="" textlink="">
      <xdr:nvSpPr>
        <xdr:cNvPr id="2121" name="Rectangle 28">
          <a:extLst>
            <a:ext uri="{FF2B5EF4-FFF2-40B4-BE49-F238E27FC236}">
              <a16:creationId xmlns:a16="http://schemas.microsoft.com/office/drawing/2014/main" id="{00000000-0008-0000-0100-000049080000}"/>
            </a:ext>
          </a:extLst>
        </xdr:cNvPr>
        <xdr:cNvSpPr>
          <a:spLocks noChangeArrowheads="1"/>
        </xdr:cNvSpPr>
      </xdr:nvSpPr>
      <xdr:spPr bwMode="auto">
        <a:xfrm>
          <a:off x="2133600" y="0"/>
          <a:ext cx="4267200" cy="10001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257175</xdr:colOff>
      <xdr:row>4</xdr:row>
      <xdr:rowOff>19050</xdr:rowOff>
    </xdr:from>
    <xdr:to>
      <xdr:col>11</xdr:col>
      <xdr:colOff>114300</xdr:colOff>
      <xdr:row>5</xdr:row>
      <xdr:rowOff>133350</xdr:rowOff>
    </xdr:to>
    <xdr:sp macro="" textlink="">
      <xdr:nvSpPr>
        <xdr:cNvPr id="2077" name="Text Box 29">
          <a:extLst>
            <a:ext uri="{FF2B5EF4-FFF2-40B4-BE49-F238E27FC236}">
              <a16:creationId xmlns:a16="http://schemas.microsoft.com/office/drawing/2014/main" id="{00000000-0008-0000-0100-00001D080000}"/>
            </a:ext>
          </a:extLst>
        </xdr:cNvPr>
        <xdr:cNvSpPr txBox="1">
          <a:spLocks noChangeArrowheads="1"/>
        </xdr:cNvSpPr>
      </xdr:nvSpPr>
      <xdr:spPr bwMode="auto">
        <a:xfrm>
          <a:off x="3467100" y="666750"/>
          <a:ext cx="1714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13</xdr:col>
      <xdr:colOff>304800</xdr:colOff>
      <xdr:row>4</xdr:row>
      <xdr:rowOff>19050</xdr:rowOff>
    </xdr:from>
    <xdr:to>
      <xdr:col>14</xdr:col>
      <xdr:colOff>171450</xdr:colOff>
      <xdr:row>5</xdr:row>
      <xdr:rowOff>133350</xdr:rowOff>
    </xdr:to>
    <xdr:sp macro="" textlink="">
      <xdr:nvSpPr>
        <xdr:cNvPr id="2078" name="Text Box 30">
          <a:extLst>
            <a:ext uri="{FF2B5EF4-FFF2-40B4-BE49-F238E27FC236}">
              <a16:creationId xmlns:a16="http://schemas.microsoft.com/office/drawing/2014/main" id="{00000000-0008-0000-0100-00001E080000}"/>
            </a:ext>
          </a:extLst>
        </xdr:cNvPr>
        <xdr:cNvSpPr txBox="1">
          <a:spLocks noChangeArrowheads="1"/>
        </xdr:cNvSpPr>
      </xdr:nvSpPr>
      <xdr:spPr bwMode="auto">
        <a:xfrm>
          <a:off x="4457700" y="666750"/>
          <a:ext cx="1809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11</xdr:col>
      <xdr:colOff>57150</xdr:colOff>
      <xdr:row>5</xdr:row>
      <xdr:rowOff>47625</xdr:rowOff>
    </xdr:from>
    <xdr:to>
      <xdr:col>14</xdr:col>
      <xdr:colOff>47625</xdr:colOff>
      <xdr:row>6</xdr:row>
      <xdr:rowOff>38100</xdr:rowOff>
    </xdr:to>
    <xdr:sp macro="" textlink="">
      <xdr:nvSpPr>
        <xdr:cNvPr id="2079" name="Text Box 31">
          <a:extLst>
            <a:ext uri="{FF2B5EF4-FFF2-40B4-BE49-F238E27FC236}">
              <a16:creationId xmlns:a16="http://schemas.microsoft.com/office/drawing/2014/main" id="{00000000-0008-0000-0100-00001F080000}"/>
            </a:ext>
          </a:extLst>
        </xdr:cNvPr>
        <xdr:cNvSpPr txBox="1">
          <a:spLocks noChangeArrowheads="1"/>
        </xdr:cNvSpPr>
      </xdr:nvSpPr>
      <xdr:spPr bwMode="auto">
        <a:xfrm>
          <a:off x="3581400" y="857250"/>
          <a:ext cx="9334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14</xdr:col>
      <xdr:colOff>9525</xdr:colOff>
      <xdr:row>5</xdr:row>
      <xdr:rowOff>38100</xdr:rowOff>
    </xdr:from>
    <xdr:to>
      <xdr:col>18</xdr:col>
      <xdr:colOff>180975</xdr:colOff>
      <xdr:row>6</xdr:row>
      <xdr:rowOff>19050</xdr:rowOff>
    </xdr:to>
    <xdr:sp macro="" textlink="">
      <xdr:nvSpPr>
        <xdr:cNvPr id="2082" name="Text Box 34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SpPr txBox="1">
          <a:spLocks noChangeArrowheads="1"/>
        </xdr:cNvSpPr>
      </xdr:nvSpPr>
      <xdr:spPr bwMode="auto">
        <a:xfrm>
          <a:off x="4476750" y="847725"/>
          <a:ext cx="14287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xdr:twoCellAnchor>
    <xdr:from>
      <xdr:col>11</xdr:col>
      <xdr:colOff>142875</xdr:colOff>
      <xdr:row>0</xdr:row>
      <xdr:rowOff>38100</xdr:rowOff>
    </xdr:from>
    <xdr:to>
      <xdr:col>15</xdr:col>
      <xdr:colOff>285750</xdr:colOff>
      <xdr:row>1</xdr:row>
      <xdr:rowOff>57150</xdr:rowOff>
    </xdr:to>
    <xdr:sp macro="" textlink="">
      <xdr:nvSpPr>
        <xdr:cNvPr id="2086" name="Text Box 38">
          <a:extLst>
            <a:ext uri="{FF2B5EF4-FFF2-40B4-BE49-F238E27FC236}">
              <a16:creationId xmlns:a16="http://schemas.microsoft.com/office/drawing/2014/main" id="{00000000-0008-0000-0100-000026080000}"/>
            </a:ext>
          </a:extLst>
        </xdr:cNvPr>
        <xdr:cNvSpPr txBox="1">
          <a:spLocks noChangeArrowheads="1"/>
        </xdr:cNvSpPr>
      </xdr:nvSpPr>
      <xdr:spPr bwMode="auto">
        <a:xfrm>
          <a:off x="3667125" y="38100"/>
          <a:ext cx="1400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</xdr:colOff>
          <xdr:row>13</xdr:row>
          <xdr:rowOff>190500</xdr:rowOff>
        </xdr:from>
        <xdr:to>
          <xdr:col>22</xdr:col>
          <xdr:colOff>83820</xdr:colOff>
          <xdr:row>15</xdr:row>
          <xdr:rowOff>7620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13</xdr:row>
          <xdr:rowOff>190500</xdr:rowOff>
        </xdr:from>
        <xdr:to>
          <xdr:col>25</xdr:col>
          <xdr:colOff>76200</xdr:colOff>
          <xdr:row>15</xdr:row>
          <xdr:rowOff>7620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47625</xdr:colOff>
      <xdr:row>2</xdr:row>
      <xdr:rowOff>19050</xdr:rowOff>
    </xdr:from>
    <xdr:to>
      <xdr:col>5</xdr:col>
      <xdr:colOff>19050</xdr:colOff>
      <xdr:row>4</xdr:row>
      <xdr:rowOff>19050</xdr:rowOff>
    </xdr:to>
    <xdr:pic>
      <xdr:nvPicPr>
        <xdr:cNvPr id="38" name="Image 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342900"/>
          <a:ext cx="122872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C73"/>
  <sheetViews>
    <sheetView showZeros="0" tabSelected="1" topLeftCell="A34" workbookViewId="0">
      <selection activeCell="Z40" sqref="Z40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26" ht="12.6" customHeight="1" x14ac:dyDescent="0.25">
      <c r="A1" s="110"/>
      <c r="B1" s="111"/>
      <c r="C1" s="111"/>
      <c r="D1" s="111"/>
      <c r="E1" s="111"/>
      <c r="F1" s="112"/>
      <c r="G1" s="119" t="s">
        <v>48</v>
      </c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1"/>
      <c r="U1" s="122"/>
      <c r="V1" s="123"/>
      <c r="W1" s="123"/>
      <c r="X1" s="123"/>
      <c r="Y1" s="123"/>
      <c r="Z1" s="124"/>
    </row>
    <row r="2" spans="1:26" ht="12.6" customHeight="1" x14ac:dyDescent="0.25">
      <c r="A2" s="113"/>
      <c r="B2" s="114"/>
      <c r="C2" s="114"/>
      <c r="D2" s="114"/>
      <c r="E2" s="114"/>
      <c r="F2" s="115"/>
      <c r="G2" s="131" t="s">
        <v>53</v>
      </c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3"/>
      <c r="U2" s="125"/>
      <c r="V2" s="126"/>
      <c r="W2" s="126"/>
      <c r="X2" s="126"/>
      <c r="Y2" s="126"/>
      <c r="Z2" s="127"/>
    </row>
    <row r="3" spans="1:26" ht="12.6" customHeight="1" x14ac:dyDescent="0.25">
      <c r="A3" s="113"/>
      <c r="B3" s="114"/>
      <c r="C3" s="114"/>
      <c r="D3" s="114"/>
      <c r="E3" s="114"/>
      <c r="F3" s="115"/>
      <c r="G3" s="131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3"/>
      <c r="U3" s="125"/>
      <c r="V3" s="126"/>
      <c r="W3" s="126"/>
      <c r="X3" s="126"/>
      <c r="Y3" s="126"/>
      <c r="Z3" s="127"/>
    </row>
    <row r="4" spans="1:26" ht="12.6" customHeight="1" x14ac:dyDescent="0.25">
      <c r="A4" s="113"/>
      <c r="B4" s="114"/>
      <c r="C4" s="114"/>
      <c r="D4" s="114"/>
      <c r="E4" s="114"/>
      <c r="F4" s="115"/>
      <c r="G4" s="131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3"/>
      <c r="U4" s="125"/>
      <c r="V4" s="126"/>
      <c r="W4" s="126"/>
      <c r="X4" s="126"/>
      <c r="Y4" s="126"/>
      <c r="Z4" s="127"/>
    </row>
    <row r="5" spans="1:26" ht="12.6" customHeight="1" x14ac:dyDescent="0.25">
      <c r="A5" s="113"/>
      <c r="B5" s="114"/>
      <c r="C5" s="114"/>
      <c r="D5" s="114"/>
      <c r="E5" s="114"/>
      <c r="F5" s="115"/>
      <c r="G5" s="134" t="s">
        <v>54</v>
      </c>
      <c r="H5" s="135"/>
      <c r="I5" s="2" t="s">
        <v>49</v>
      </c>
      <c r="J5" s="164"/>
      <c r="K5" s="165"/>
      <c r="L5" s="166"/>
      <c r="M5" s="164"/>
      <c r="N5" s="164"/>
      <c r="O5" s="165"/>
      <c r="P5" s="167"/>
      <c r="Q5" s="168"/>
      <c r="R5" s="168"/>
      <c r="S5" s="168"/>
      <c r="T5" s="169"/>
      <c r="U5" s="125"/>
      <c r="V5" s="126"/>
      <c r="W5" s="126"/>
      <c r="X5" s="126"/>
      <c r="Y5" s="126"/>
      <c r="Z5" s="127"/>
    </row>
    <row r="6" spans="1:26" ht="12.6" customHeight="1" x14ac:dyDescent="0.25">
      <c r="A6" s="116"/>
      <c r="B6" s="117"/>
      <c r="C6" s="117"/>
      <c r="D6" s="117"/>
      <c r="E6" s="117"/>
      <c r="F6" s="118"/>
      <c r="G6" s="3"/>
      <c r="H6" s="4"/>
      <c r="I6" s="4"/>
      <c r="J6" s="80" t="s">
        <v>50</v>
      </c>
      <c r="K6" s="80"/>
      <c r="L6" s="80" t="s">
        <v>51</v>
      </c>
      <c r="M6" s="80"/>
      <c r="N6" s="80"/>
      <c r="O6" s="80"/>
      <c r="P6" s="80" t="s">
        <v>52</v>
      </c>
      <c r="Q6" s="80"/>
      <c r="R6" s="80"/>
      <c r="S6" s="80"/>
      <c r="T6" s="81"/>
      <c r="U6" s="128"/>
      <c r="V6" s="129"/>
      <c r="W6" s="129"/>
      <c r="X6" s="129"/>
      <c r="Y6" s="129"/>
      <c r="Z6" s="130"/>
    </row>
    <row r="7" spans="1:26" ht="36.6" customHeight="1" x14ac:dyDescent="0.25">
      <c r="A7" s="108" t="s">
        <v>20</v>
      </c>
      <c r="B7" s="108"/>
      <c r="C7" s="108"/>
      <c r="D7" s="108"/>
      <c r="E7" s="108"/>
      <c r="F7" s="108"/>
      <c r="G7" s="109" t="s">
        <v>47</v>
      </c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</row>
    <row r="8" spans="1:26" ht="15.6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2"/>
      <c r="D9" s="13"/>
      <c r="E9" s="13"/>
      <c r="F9" s="13"/>
      <c r="G9" s="13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4"/>
    </row>
    <row r="10" spans="1:26" ht="12.75" customHeight="1" x14ac:dyDescent="0.25">
      <c r="A10" s="15"/>
      <c r="B10" s="170" t="s">
        <v>19</v>
      </c>
      <c r="C10" s="170"/>
      <c r="D10" s="170"/>
      <c r="E10" s="170"/>
      <c r="F10" s="170"/>
      <c r="G10" s="170"/>
      <c r="H10" s="171"/>
      <c r="I10" s="171"/>
      <c r="J10" s="171"/>
      <c r="K10" s="171"/>
      <c r="L10" s="171"/>
      <c r="M10" s="171"/>
      <c r="N10" s="136" t="s">
        <v>29</v>
      </c>
      <c r="O10" s="136"/>
      <c r="P10" s="136"/>
      <c r="Q10" s="136"/>
      <c r="R10" s="136"/>
      <c r="S10" s="172"/>
      <c r="T10" s="172"/>
      <c r="U10" s="172"/>
      <c r="V10" s="172"/>
      <c r="W10" s="172"/>
      <c r="X10" s="172"/>
      <c r="Y10" s="172"/>
      <c r="Z10" s="16"/>
    </row>
    <row r="11" spans="1:26" ht="15.9" customHeight="1" x14ac:dyDescent="0.25">
      <c r="A11" s="17"/>
      <c r="B11" s="170" t="s">
        <v>2</v>
      </c>
      <c r="C11" s="170"/>
      <c r="D11" s="170"/>
      <c r="E11" s="170"/>
      <c r="F11" s="170"/>
      <c r="G11" s="170"/>
      <c r="H11" s="171"/>
      <c r="I11" s="171"/>
      <c r="J11" s="171"/>
      <c r="K11" s="171"/>
      <c r="L11" s="171"/>
      <c r="M11" s="171"/>
      <c r="N11" s="136" t="s">
        <v>41</v>
      </c>
      <c r="O11" s="136"/>
      <c r="P11" s="136"/>
      <c r="Q11" s="136"/>
      <c r="R11" s="136"/>
      <c r="S11" s="173"/>
      <c r="T11" s="173"/>
      <c r="U11" s="173"/>
      <c r="V11" s="173"/>
      <c r="W11" s="173"/>
      <c r="X11" s="173"/>
      <c r="Y11" s="173"/>
      <c r="Z11" s="19"/>
    </row>
    <row r="12" spans="1:26" ht="15.9" customHeight="1" x14ac:dyDescent="0.25">
      <c r="A12" s="17"/>
      <c r="B12" s="170" t="s">
        <v>28</v>
      </c>
      <c r="C12" s="170"/>
      <c r="D12" s="170"/>
      <c r="E12" s="170"/>
      <c r="F12" s="170"/>
      <c r="G12" s="170"/>
      <c r="H12" s="171"/>
      <c r="I12" s="171"/>
      <c r="J12" s="171"/>
      <c r="K12" s="171"/>
      <c r="L12" s="171"/>
      <c r="M12" s="171"/>
      <c r="N12" s="170" t="s">
        <v>3</v>
      </c>
      <c r="O12" s="170"/>
      <c r="P12" s="170"/>
      <c r="Q12" s="170"/>
      <c r="R12" s="170"/>
      <c r="S12" s="173"/>
      <c r="T12" s="173"/>
      <c r="U12" s="173"/>
      <c r="V12" s="173"/>
      <c r="W12" s="173"/>
      <c r="X12" s="173"/>
      <c r="Y12" s="173"/>
      <c r="Z12" s="19"/>
    </row>
    <row r="13" spans="1:26" ht="15.9" customHeight="1" x14ac:dyDescent="0.25">
      <c r="A13" s="17"/>
      <c r="B13" s="170" t="s">
        <v>17</v>
      </c>
      <c r="C13" s="170"/>
      <c r="D13" s="170"/>
      <c r="E13" s="170"/>
      <c r="F13" s="170"/>
      <c r="G13" s="170"/>
      <c r="H13" s="171"/>
      <c r="I13" s="171"/>
      <c r="J13" s="171"/>
      <c r="K13" s="171"/>
      <c r="L13" s="171"/>
      <c r="M13" s="171"/>
      <c r="N13" s="170" t="s">
        <v>4</v>
      </c>
      <c r="O13" s="170"/>
      <c r="P13" s="170"/>
      <c r="Q13" s="170"/>
      <c r="R13" s="170"/>
      <c r="S13" s="173"/>
      <c r="T13" s="173"/>
      <c r="U13" s="173"/>
      <c r="V13" s="173"/>
      <c r="W13" s="173"/>
      <c r="X13" s="173"/>
      <c r="Y13" s="173"/>
      <c r="Z13" s="19"/>
    </row>
    <row r="14" spans="1:26" ht="15.9" customHeight="1" x14ac:dyDescent="0.25">
      <c r="A14" s="17"/>
      <c r="B14" s="174"/>
      <c r="C14" s="174"/>
      <c r="D14" s="174"/>
      <c r="E14" s="174"/>
      <c r="F14" s="174"/>
      <c r="G14" s="173"/>
      <c r="H14" s="173"/>
      <c r="I14" s="173"/>
      <c r="J14" s="173"/>
      <c r="K14" s="173"/>
      <c r="L14" s="173"/>
      <c r="M14" s="173"/>
      <c r="N14" s="170" t="s">
        <v>36</v>
      </c>
      <c r="O14" s="170"/>
      <c r="P14" s="170"/>
      <c r="Q14" s="170"/>
      <c r="R14" s="170"/>
      <c r="S14" s="170"/>
      <c r="T14" s="170"/>
      <c r="U14" s="174"/>
      <c r="V14" s="174" t="s">
        <v>23</v>
      </c>
      <c r="W14" s="174"/>
      <c r="X14" s="174"/>
      <c r="Y14" s="174" t="s">
        <v>24</v>
      </c>
      <c r="Z14" s="19"/>
    </row>
    <row r="15" spans="1:26" ht="15.9" customHeight="1" x14ac:dyDescent="0.25">
      <c r="A15" s="21"/>
      <c r="B15" s="22"/>
      <c r="C15" s="22"/>
      <c r="D15" s="23"/>
      <c r="E15" s="23"/>
      <c r="F15" s="23"/>
      <c r="G15" s="23"/>
      <c r="H15" s="22"/>
      <c r="I15" s="22"/>
      <c r="J15" s="22"/>
      <c r="K15" s="22"/>
      <c r="L15" s="22"/>
      <c r="M15" s="22"/>
      <c r="N15" s="24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5"/>
    </row>
    <row r="16" spans="1:26" ht="12.75" customHeight="1" x14ac:dyDescent="0.25">
      <c r="A16" s="26"/>
      <c r="B16" s="27"/>
      <c r="C16" s="27"/>
      <c r="D16" s="28"/>
      <c r="E16" s="28"/>
      <c r="F16" s="28"/>
      <c r="G16" s="28"/>
      <c r="H16" s="27"/>
      <c r="I16" s="27"/>
      <c r="J16" s="27"/>
      <c r="K16" s="27"/>
      <c r="L16" s="27"/>
      <c r="M16" s="27"/>
      <c r="N16" s="20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7" ht="15.6" customHeight="1" x14ac:dyDescent="0.25">
      <c r="A17" s="5" t="s">
        <v>9</v>
      </c>
      <c r="B17" s="29" t="s">
        <v>10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1"/>
      <c r="AA17" s="27"/>
    </row>
    <row r="18" spans="1:27" ht="15" customHeight="1" x14ac:dyDescent="0.25">
      <c r="A18" s="32"/>
      <c r="B18" s="33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</row>
    <row r="19" spans="1:27" ht="12.75" customHeight="1" x14ac:dyDescent="0.25">
      <c r="A19" s="32"/>
      <c r="B19" s="175" t="s">
        <v>18</v>
      </c>
      <c r="C19" s="175"/>
      <c r="D19" s="175"/>
      <c r="E19" s="175"/>
      <c r="F19" s="175"/>
      <c r="G19" s="175"/>
      <c r="H19" s="175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36"/>
    </row>
    <row r="20" spans="1:27" ht="15" customHeight="1" x14ac:dyDescent="0.25">
      <c r="A20" s="32"/>
      <c r="B20" s="175" t="s">
        <v>8</v>
      </c>
      <c r="C20" s="175"/>
      <c r="D20" s="175"/>
      <c r="E20" s="175"/>
      <c r="F20" s="175"/>
      <c r="G20" s="175"/>
      <c r="H20" s="175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36"/>
    </row>
    <row r="21" spans="1:27" ht="15" customHeight="1" x14ac:dyDescent="0.25">
      <c r="A21" s="3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9"/>
    </row>
    <row r="22" spans="1:27" ht="15" customHeight="1" x14ac:dyDescent="0.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5"/>
    </row>
    <row r="23" spans="1:27" ht="15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</row>
    <row r="24" spans="1:27" ht="15.6" customHeight="1" x14ac:dyDescent="0.25">
      <c r="A24" s="40" t="s">
        <v>7</v>
      </c>
      <c r="B24" s="41" t="s">
        <v>6</v>
      </c>
      <c r="C24" s="42"/>
      <c r="D24" s="43"/>
      <c r="E24" s="43"/>
      <c r="F24" s="43"/>
      <c r="G24" s="43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4"/>
    </row>
    <row r="25" spans="1:27" ht="26.25" customHeight="1" x14ac:dyDescent="0.25">
      <c r="A25" s="26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45"/>
      <c r="T25" s="27"/>
      <c r="U25" s="27"/>
      <c r="V25" s="27"/>
      <c r="W25" s="27"/>
      <c r="X25" s="27"/>
      <c r="Y25" s="27"/>
      <c r="Z25" s="46"/>
    </row>
    <row r="26" spans="1:27" ht="15.75" customHeight="1" x14ac:dyDescent="0.25">
      <c r="A26" s="26"/>
      <c r="B26" s="47"/>
      <c r="C26" s="48"/>
      <c r="D26" s="48"/>
      <c r="E26" s="48"/>
      <c r="F26" s="48"/>
      <c r="G26" s="48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46"/>
    </row>
    <row r="27" spans="1:27" ht="18.75" customHeight="1" x14ac:dyDescent="0.25">
      <c r="A27" s="26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46"/>
    </row>
    <row r="28" spans="1:27" ht="18.75" customHeight="1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46"/>
    </row>
    <row r="29" spans="1:27" ht="18.75" customHeight="1" x14ac:dyDescent="0.25">
      <c r="A29" s="26"/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4"/>
      <c r="S29" s="194"/>
      <c r="T29" s="194"/>
      <c r="U29" s="194"/>
      <c r="V29" s="194"/>
      <c r="W29" s="193"/>
      <c r="X29" s="27"/>
      <c r="Y29" s="27"/>
      <c r="Z29" s="46"/>
    </row>
    <row r="30" spans="1:27" ht="18.75" customHeight="1" x14ac:dyDescent="0.25">
      <c r="A30" s="26"/>
      <c r="B30" s="195" t="s">
        <v>39</v>
      </c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7"/>
      <c r="R30" s="194"/>
      <c r="S30" s="198" t="s">
        <v>26</v>
      </c>
      <c r="T30" s="199"/>
      <c r="U30" s="199"/>
      <c r="V30" s="199"/>
      <c r="W30" s="200" t="s">
        <v>5</v>
      </c>
      <c r="X30" s="27"/>
      <c r="Y30" s="27"/>
      <c r="Z30" s="46"/>
    </row>
    <row r="31" spans="1:27" ht="18.75" customHeight="1" x14ac:dyDescent="0.25">
      <c r="A31" s="26"/>
      <c r="B31" s="193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27"/>
      <c r="Y31" s="27"/>
      <c r="Z31" s="46"/>
    </row>
    <row r="32" spans="1:27" ht="18.75" customHeight="1" x14ac:dyDescent="0.25">
      <c r="A32" s="26"/>
      <c r="B32" s="193"/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27"/>
      <c r="Y32" s="27"/>
      <c r="Z32" s="46"/>
    </row>
    <row r="33" spans="1:29" ht="18.75" customHeight="1" x14ac:dyDescent="0.25">
      <c r="A33" s="26"/>
      <c r="B33" s="193"/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27"/>
      <c r="Y33" s="27"/>
      <c r="Z33" s="46"/>
    </row>
    <row r="34" spans="1:29" ht="18.75" customHeight="1" x14ac:dyDescent="0.25">
      <c r="A34" s="26"/>
      <c r="B34" s="193"/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93"/>
      <c r="W34" s="193"/>
      <c r="X34" s="27"/>
      <c r="Y34" s="27"/>
      <c r="Z34" s="46"/>
    </row>
    <row r="35" spans="1:29" ht="18.75" customHeight="1" x14ac:dyDescent="0.25">
      <c r="A35" s="26"/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27"/>
      <c r="Y35" s="27"/>
      <c r="Z35" s="46"/>
    </row>
    <row r="36" spans="1:29" ht="18.75" customHeight="1" x14ac:dyDescent="0.25">
      <c r="A36" s="26"/>
      <c r="B36" s="201"/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4"/>
      <c r="R36" s="194"/>
      <c r="S36" s="194"/>
      <c r="T36" s="194"/>
      <c r="U36" s="194"/>
      <c r="V36" s="193"/>
      <c r="W36" s="193"/>
      <c r="X36" s="27"/>
      <c r="Y36" s="27"/>
      <c r="Z36" s="46"/>
    </row>
    <row r="37" spans="1:29" ht="18.75" customHeight="1" x14ac:dyDescent="0.25">
      <c r="A37" s="26"/>
      <c r="B37" s="195" t="s">
        <v>33</v>
      </c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7"/>
      <c r="R37" s="194"/>
      <c r="S37" s="198" t="s">
        <v>12</v>
      </c>
      <c r="T37" s="202"/>
      <c r="U37" s="202"/>
      <c r="V37" s="202"/>
      <c r="W37" s="200" t="s">
        <v>27</v>
      </c>
      <c r="X37" s="27"/>
      <c r="Y37" s="27"/>
      <c r="Z37" s="46"/>
    </row>
    <row r="38" spans="1:29" ht="18.75" customHeight="1" x14ac:dyDescent="0.25">
      <c r="A38" s="26"/>
      <c r="B38" s="201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27"/>
      <c r="Y38" s="27"/>
      <c r="Z38" s="46"/>
    </row>
    <row r="39" spans="1:29" ht="30" customHeight="1" x14ac:dyDescent="0.25">
      <c r="A39" s="26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27"/>
      <c r="Y39" s="27"/>
      <c r="Z39" s="46"/>
    </row>
    <row r="40" spans="1:29" ht="30" customHeight="1" x14ac:dyDescent="0.25">
      <c r="A40" s="26"/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4"/>
      <c r="R40" s="194"/>
      <c r="S40" s="194"/>
      <c r="T40" s="194"/>
      <c r="U40" s="194"/>
      <c r="V40" s="193"/>
      <c r="W40" s="193"/>
      <c r="X40" s="27"/>
      <c r="Y40" s="27"/>
      <c r="Z40" s="46"/>
    </row>
    <row r="41" spans="1:29" ht="30" customHeight="1" x14ac:dyDescent="0.25">
      <c r="A41" s="26"/>
      <c r="B41" s="203" t="s">
        <v>40</v>
      </c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  <c r="Q41" s="205"/>
      <c r="R41" s="194"/>
      <c r="S41" s="198" t="s">
        <v>57</v>
      </c>
      <c r="T41" s="199" t="str">
        <f>IF(T37&lt;&gt;"",(T37-R34)/T30*10,"")</f>
        <v/>
      </c>
      <c r="U41" s="199"/>
      <c r="V41" s="199"/>
      <c r="W41" s="200" t="s">
        <v>34</v>
      </c>
      <c r="X41" s="27"/>
      <c r="Y41" s="27"/>
      <c r="Z41" s="46"/>
    </row>
    <row r="42" spans="1:29" ht="30" customHeight="1" x14ac:dyDescent="0.25">
      <c r="A42" s="26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46"/>
    </row>
    <row r="43" spans="1:29" ht="18.75" customHeight="1" x14ac:dyDescent="0.25">
      <c r="A43" s="21"/>
      <c r="B43" s="22"/>
      <c r="C43" s="22"/>
      <c r="D43" s="22"/>
      <c r="E43" s="22"/>
      <c r="F43" s="22"/>
      <c r="G43" s="22"/>
      <c r="H43" s="51"/>
      <c r="I43" s="22"/>
      <c r="J43" s="22"/>
      <c r="K43" s="51"/>
      <c r="L43" s="22"/>
      <c r="M43" s="22"/>
      <c r="N43" s="22"/>
      <c r="O43" s="22"/>
      <c r="P43" s="22"/>
      <c r="Q43" s="22"/>
      <c r="R43" s="22"/>
      <c r="S43" s="22"/>
      <c r="T43" s="22"/>
      <c r="U43" s="51"/>
      <c r="V43" s="22"/>
      <c r="W43" s="22"/>
      <c r="X43" s="51"/>
      <c r="Y43" s="22"/>
      <c r="Z43" s="25"/>
    </row>
    <row r="44" spans="1:29" ht="15.75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52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9" ht="15.6" customHeight="1" x14ac:dyDescent="0.25">
      <c r="A45" s="53" t="s">
        <v>13</v>
      </c>
      <c r="B45" s="54" t="s">
        <v>16</v>
      </c>
      <c r="C45" s="55"/>
      <c r="D45" s="55"/>
      <c r="E45" s="56"/>
      <c r="F45" s="57"/>
      <c r="G45" s="57"/>
      <c r="H45" s="57"/>
      <c r="I45" s="58"/>
      <c r="J45" s="58"/>
      <c r="K45" s="58"/>
      <c r="L45" s="58"/>
      <c r="M45" s="58"/>
      <c r="N45" s="58"/>
      <c r="O45" s="58"/>
      <c r="P45" s="58"/>
      <c r="Q45" s="57"/>
      <c r="R45" s="42"/>
      <c r="S45" s="42"/>
      <c r="T45" s="42"/>
      <c r="U45" s="99"/>
      <c r="V45" s="99"/>
      <c r="W45" s="99"/>
      <c r="X45" s="100"/>
      <c r="Y45" s="100"/>
      <c r="Z45" s="101"/>
      <c r="AA45" s="59"/>
      <c r="AB45" s="59"/>
      <c r="AC45" s="59"/>
    </row>
    <row r="46" spans="1:29" ht="26.4" customHeight="1" x14ac:dyDescent="0.25">
      <c r="A46" s="85" t="s">
        <v>56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177"/>
      <c r="R46" s="87" t="s">
        <v>21</v>
      </c>
      <c r="S46" s="88"/>
      <c r="T46" s="89"/>
      <c r="U46" s="102"/>
      <c r="V46" s="103"/>
      <c r="W46" s="103"/>
      <c r="X46" s="100"/>
      <c r="Y46" s="100"/>
      <c r="Z46" s="101"/>
      <c r="AA46" s="59"/>
      <c r="AB46" s="59"/>
      <c r="AC46" s="59"/>
    </row>
    <row r="47" spans="1:29" ht="26.4" customHeight="1" x14ac:dyDescent="0.25">
      <c r="A47" s="178"/>
      <c r="B47" s="179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80"/>
      <c r="R47" s="82"/>
      <c r="S47" s="83"/>
      <c r="T47" s="84"/>
      <c r="U47" s="90"/>
      <c r="V47" s="91"/>
      <c r="W47" s="91"/>
      <c r="X47" s="92"/>
      <c r="Y47" s="92"/>
      <c r="Z47" s="93"/>
      <c r="AA47" s="59"/>
      <c r="AB47" s="59"/>
      <c r="AC47" s="59"/>
    </row>
    <row r="48" spans="1:29" ht="15.6" customHeight="1" x14ac:dyDescent="0.25">
      <c r="A48" s="61" t="s">
        <v>14</v>
      </c>
      <c r="B48" s="62" t="s">
        <v>15</v>
      </c>
      <c r="C48" s="60"/>
      <c r="D48" s="60"/>
      <c r="E48" s="63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82"/>
      <c r="S48" s="83"/>
      <c r="T48" s="84"/>
      <c r="U48" s="94"/>
      <c r="V48" s="95"/>
      <c r="W48" s="95"/>
      <c r="X48" s="96"/>
      <c r="Y48" s="96"/>
      <c r="Z48" s="97"/>
      <c r="AA48" s="59"/>
      <c r="AB48" s="59"/>
      <c r="AC48" s="59"/>
    </row>
    <row r="49" spans="1:29" ht="15.6" customHeight="1" x14ac:dyDescent="0.25">
      <c r="A49" s="90"/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181"/>
      <c r="R49" s="87" t="s">
        <v>22</v>
      </c>
      <c r="S49" s="88"/>
      <c r="T49" s="89"/>
      <c r="U49" s="183"/>
      <c r="V49" s="184"/>
      <c r="W49" s="184"/>
      <c r="X49" s="185"/>
      <c r="Y49" s="185"/>
      <c r="Z49" s="186"/>
      <c r="AA49" s="59"/>
      <c r="AB49" s="59"/>
      <c r="AC49" s="59"/>
    </row>
    <row r="50" spans="1:29" ht="15.6" customHeight="1" x14ac:dyDescent="0.25">
      <c r="A50" s="90"/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181"/>
      <c r="R50" s="87"/>
      <c r="S50" s="88"/>
      <c r="T50" s="89"/>
      <c r="U50" s="187"/>
      <c r="V50" s="98"/>
      <c r="W50" s="98"/>
      <c r="X50" s="98"/>
      <c r="Y50" s="98"/>
      <c r="Z50" s="188"/>
      <c r="AA50" s="59"/>
      <c r="AB50" s="59"/>
      <c r="AC50" s="59"/>
    </row>
    <row r="51" spans="1:29" ht="15.6" customHeight="1" x14ac:dyDescent="0.25">
      <c r="A51" s="90"/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181"/>
      <c r="R51" s="87"/>
      <c r="S51" s="88"/>
      <c r="T51" s="89"/>
      <c r="U51" s="187"/>
      <c r="V51" s="98"/>
      <c r="W51" s="98"/>
      <c r="X51" s="98"/>
      <c r="Y51" s="98"/>
      <c r="Z51" s="188"/>
      <c r="AA51" s="59"/>
      <c r="AB51" s="59"/>
      <c r="AC51" s="59"/>
    </row>
    <row r="52" spans="1:29" ht="15.6" customHeight="1" x14ac:dyDescent="0.25">
      <c r="A52" s="94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182"/>
      <c r="R52" s="105"/>
      <c r="S52" s="106"/>
      <c r="T52" s="107"/>
      <c r="U52" s="189"/>
      <c r="V52" s="190"/>
      <c r="W52" s="190"/>
      <c r="X52" s="191"/>
      <c r="Y52" s="191"/>
      <c r="Z52" s="192"/>
      <c r="AA52" s="59"/>
      <c r="AB52" s="59"/>
      <c r="AC52" s="59"/>
    </row>
    <row r="53" spans="1:29" ht="15.75" customHeight="1" x14ac:dyDescent="0.25">
      <c r="A53" s="66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7"/>
      <c r="V53" s="27"/>
      <c r="W53" s="27"/>
      <c r="X53" s="27"/>
      <c r="Y53" s="27"/>
      <c r="Z53" s="27"/>
    </row>
    <row r="54" spans="1:29" ht="15.75" customHeight="1" x14ac:dyDescent="0.25">
      <c r="A54" s="66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9" ht="15.75" customHeight="1" x14ac:dyDescent="0.25">
      <c r="A55" s="68"/>
      <c r="B55" s="69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9" ht="12.75" customHeight="1" x14ac:dyDescent="0.25">
      <c r="A56" s="68"/>
      <c r="B56" s="69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9" ht="15.9" customHeight="1" x14ac:dyDescent="0.25">
      <c r="A57" s="70"/>
      <c r="B57" s="71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71"/>
      <c r="T57" s="27"/>
      <c r="U57" s="27"/>
      <c r="V57" s="27"/>
      <c r="W57" s="27"/>
      <c r="X57" s="27"/>
      <c r="Y57" s="27"/>
      <c r="Z57" s="27"/>
    </row>
    <row r="58" spans="1:29" ht="15.9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71"/>
      <c r="T58" s="27"/>
      <c r="U58" s="27"/>
      <c r="V58" s="27"/>
      <c r="W58" s="27"/>
      <c r="X58" s="27"/>
      <c r="Y58" s="27"/>
      <c r="Z58" s="27"/>
    </row>
    <row r="59" spans="1:29" ht="15.9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71"/>
      <c r="T59" s="27"/>
      <c r="U59" s="27"/>
      <c r="V59" s="27"/>
      <c r="W59" s="27"/>
      <c r="X59" s="27"/>
      <c r="Y59" s="27"/>
      <c r="Z59" s="27"/>
    </row>
    <row r="60" spans="1:29" ht="15.9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9" ht="15.9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9" ht="15.9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71"/>
      <c r="T62" s="27"/>
      <c r="U62" s="27"/>
      <c r="V62" s="27"/>
      <c r="W62" s="27"/>
      <c r="X62" s="27"/>
      <c r="Y62" s="27"/>
      <c r="Z62" s="27"/>
    </row>
    <row r="63" spans="1:29" ht="15.9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71"/>
      <c r="T63" s="27"/>
      <c r="U63" s="27"/>
      <c r="V63" s="27"/>
      <c r="W63" s="27"/>
      <c r="X63" s="27"/>
      <c r="Y63" s="27"/>
      <c r="Z63" s="27"/>
    </row>
    <row r="64" spans="1:29" ht="15.9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71"/>
      <c r="T64" s="27"/>
      <c r="U64" s="27"/>
      <c r="V64" s="27"/>
      <c r="W64" s="27"/>
      <c r="X64" s="27"/>
      <c r="Y64" s="27"/>
      <c r="Z64" s="27"/>
    </row>
    <row r="65" spans="1:26" ht="15.9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71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75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8" spans="1:26" ht="12.75" customHeight="1" x14ac:dyDescent="0.25">
      <c r="P68" s="27"/>
      <c r="Q68" s="27"/>
      <c r="R68" s="27"/>
      <c r="S68" s="27"/>
      <c r="T68" s="27"/>
      <c r="U68" s="27"/>
      <c r="V68" s="27"/>
      <c r="W68" s="27"/>
    </row>
    <row r="69" spans="1:26" ht="12.75" customHeight="1" x14ac:dyDescent="0.25">
      <c r="P69" s="27"/>
      <c r="Q69" s="27"/>
      <c r="R69" s="27"/>
      <c r="S69" s="27"/>
      <c r="T69" s="27"/>
      <c r="U69" s="27"/>
      <c r="V69" s="27"/>
      <c r="W69" s="27"/>
    </row>
    <row r="70" spans="1:26" ht="12.75" customHeight="1" x14ac:dyDescent="0.25">
      <c r="P70" s="27"/>
      <c r="Q70" s="27"/>
      <c r="R70" s="27"/>
      <c r="S70" s="27"/>
      <c r="T70" s="27"/>
      <c r="U70" s="27"/>
      <c r="V70" s="27"/>
      <c r="W70" s="27"/>
    </row>
    <row r="71" spans="1:26" ht="12.75" customHeight="1" x14ac:dyDescent="0.25">
      <c r="P71" s="27"/>
      <c r="Q71" s="27"/>
      <c r="R71" s="27"/>
      <c r="S71" s="27"/>
      <c r="T71" s="27"/>
      <c r="U71" s="27"/>
      <c r="V71" s="27"/>
      <c r="W71" s="27"/>
    </row>
    <row r="72" spans="1:26" ht="12.75" customHeight="1" x14ac:dyDescent="0.25">
      <c r="P72" s="27"/>
      <c r="Q72" s="27"/>
      <c r="R72" s="27"/>
      <c r="S72" s="27"/>
      <c r="T72" s="27"/>
      <c r="U72" s="27"/>
      <c r="V72" s="27"/>
      <c r="W72" s="27"/>
    </row>
    <row r="73" spans="1:26" ht="12.75" customHeight="1" x14ac:dyDescent="0.25">
      <c r="P73" s="27"/>
      <c r="Q73" s="27"/>
      <c r="R73" s="27"/>
      <c r="S73" s="27"/>
      <c r="T73" s="27"/>
      <c r="U73" s="27"/>
      <c r="V73" s="27"/>
      <c r="W73" s="27"/>
    </row>
  </sheetData>
  <sheetProtection selectLockedCells="1"/>
  <mergeCells count="47">
    <mergeCell ref="A46:Q46"/>
    <mergeCell ref="A47:Q47"/>
    <mergeCell ref="V50:Y51"/>
    <mergeCell ref="B13:G13"/>
    <mergeCell ref="H13:M13"/>
    <mergeCell ref="N13:R13"/>
    <mergeCell ref="B41:Q41"/>
    <mergeCell ref="B37:Q37"/>
    <mergeCell ref="B30:Q30"/>
    <mergeCell ref="N14:T14"/>
    <mergeCell ref="B19:H19"/>
    <mergeCell ref="I19:Y19"/>
    <mergeCell ref="B20:H20"/>
    <mergeCell ref="I20:Y20"/>
    <mergeCell ref="B11:G11"/>
    <mergeCell ref="H11:M11"/>
    <mergeCell ref="N11:R11"/>
    <mergeCell ref="B10:G10"/>
    <mergeCell ref="B12:G12"/>
    <mergeCell ref="H12:M12"/>
    <mergeCell ref="N12:R12"/>
    <mergeCell ref="G2:T4"/>
    <mergeCell ref="G5:H5"/>
    <mergeCell ref="J5:K5"/>
    <mergeCell ref="H10:M10"/>
    <mergeCell ref="N10:R10"/>
    <mergeCell ref="S10:Y10"/>
    <mergeCell ref="U47:Z48"/>
    <mergeCell ref="U45:Z45"/>
    <mergeCell ref="U46:Z46"/>
    <mergeCell ref="T30:V30"/>
    <mergeCell ref="T41:V41"/>
    <mergeCell ref="R49:T52"/>
    <mergeCell ref="T37:V37"/>
    <mergeCell ref="A49:Q52"/>
    <mergeCell ref="L5:O5"/>
    <mergeCell ref="P5:T5"/>
    <mergeCell ref="J6:K6"/>
    <mergeCell ref="L6:O6"/>
    <mergeCell ref="P6:T6"/>
    <mergeCell ref="R47:T48"/>
    <mergeCell ref="R46:T46"/>
    <mergeCell ref="A7:F7"/>
    <mergeCell ref="G7:Z7"/>
    <mergeCell ref="A1:F6"/>
    <mergeCell ref="G1:T1"/>
    <mergeCell ref="U1:Z6"/>
  </mergeCells>
  <phoneticPr fontId="1" type="noConversion"/>
  <printOptions horizontalCentered="1"/>
  <pageMargins left="0.39370078740157483" right="0.35433070866141736" top="0.28999999999999998" bottom="0.34" header="0.23" footer="0.21"/>
  <pageSetup paperSize="9" scale="79" orientation="portrait" r:id="rId1"/>
  <headerFooter alignWithMargins="0">
    <oddFooter>&amp;RDG-Q / RE MBF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4" name="Check Box 85">
              <controlPr locked="0" defaultSize="0" autoFill="0" autoLine="0" autoPict="0">
                <anchor moveWithCells="1">
                  <from>
                    <xdr:col>20</xdr:col>
                    <xdr:colOff>45720</xdr:colOff>
                    <xdr:row>12</xdr:row>
                    <xdr:rowOff>190500</xdr:rowOff>
                  </from>
                  <to>
                    <xdr:col>21</xdr:col>
                    <xdr:colOff>60960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" name="Check Box 86">
              <controlPr locked="0" defaultSize="0" autoFill="0" autoLine="0" autoPict="0">
                <anchor moveWithCells="1">
                  <from>
                    <xdr:col>23</xdr:col>
                    <xdr:colOff>38100</xdr:colOff>
                    <xdr:row>12</xdr:row>
                    <xdr:rowOff>190500</xdr:rowOff>
                  </from>
                  <to>
                    <xdr:col>24</xdr:col>
                    <xdr:colOff>45720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7:AH62"/>
  <sheetViews>
    <sheetView showZeros="0" workbookViewId="0">
      <selection activeCell="V17" sqref="V17"/>
    </sheetView>
  </sheetViews>
  <sheetFormatPr baseColWidth="10" defaultColWidth="11.44140625" defaultRowHeight="12.75" customHeight="1" x14ac:dyDescent="0.25"/>
  <cols>
    <col min="1" max="1" width="5.6640625" style="1" customWidth="1"/>
    <col min="2" max="26" width="4.6640625" style="1" customWidth="1"/>
    <col min="27" max="16384" width="11.44140625" style="1"/>
  </cols>
  <sheetData>
    <row r="7" spans="1:26" ht="2.25" customHeight="1" x14ac:dyDescent="0.25"/>
    <row r="8" spans="1:26" ht="36.75" customHeight="1" x14ac:dyDescent="0.25">
      <c r="A8" s="69"/>
      <c r="B8" s="71" t="s">
        <v>20</v>
      </c>
      <c r="C8" s="69"/>
      <c r="D8" s="69"/>
      <c r="E8" s="69"/>
      <c r="F8" s="67" t="s">
        <v>47</v>
      </c>
    </row>
    <row r="9" spans="1:26" ht="15.9" customHeight="1" x14ac:dyDescent="0.25">
      <c r="A9" s="40" t="s">
        <v>1</v>
      </c>
      <c r="B9" s="41" t="s">
        <v>0</v>
      </c>
      <c r="C9" s="42"/>
      <c r="D9" s="43"/>
      <c r="E9" s="43"/>
      <c r="F9" s="43"/>
      <c r="G9" s="43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4"/>
    </row>
    <row r="10" spans="1:26" ht="8.25" customHeight="1" x14ac:dyDescent="0.25">
      <c r="A10" s="26"/>
      <c r="B10" s="27"/>
      <c r="C10" s="27"/>
      <c r="D10" s="28"/>
      <c r="E10" s="28"/>
      <c r="F10" s="28"/>
      <c r="G10" s="28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46"/>
    </row>
    <row r="11" spans="1:26" ht="15.9" customHeight="1" x14ac:dyDescent="0.25">
      <c r="A11" s="17"/>
      <c r="B11" s="20" t="s">
        <v>19</v>
      </c>
      <c r="C11" s="20"/>
      <c r="D11" s="20"/>
      <c r="E11" s="72"/>
      <c r="F11" s="72"/>
      <c r="G11" s="72"/>
      <c r="H11" s="72"/>
      <c r="I11" s="72"/>
      <c r="J11" s="72"/>
      <c r="K11" s="72"/>
      <c r="L11" s="72"/>
      <c r="M11" s="72"/>
      <c r="N11" s="20" t="s">
        <v>29</v>
      </c>
      <c r="O11" s="20"/>
      <c r="P11" s="20"/>
      <c r="Q11" s="20"/>
      <c r="R11" s="20"/>
      <c r="S11" s="72"/>
      <c r="T11" s="72"/>
      <c r="U11" s="72"/>
      <c r="V11" s="72"/>
      <c r="W11" s="72"/>
      <c r="X11" s="72"/>
      <c r="Y11" s="72"/>
      <c r="Z11" s="79"/>
    </row>
    <row r="12" spans="1:26" ht="15.9" customHeight="1" x14ac:dyDescent="0.25">
      <c r="A12" s="17"/>
      <c r="B12" s="20" t="s">
        <v>2</v>
      </c>
      <c r="C12" s="20"/>
      <c r="D12" s="20"/>
      <c r="E12" s="20"/>
      <c r="F12" s="20"/>
      <c r="G12" s="72"/>
      <c r="H12" s="72"/>
      <c r="I12" s="72"/>
      <c r="J12" s="72"/>
      <c r="K12" s="72"/>
      <c r="L12" s="72"/>
      <c r="M12" s="72"/>
      <c r="N12" s="20" t="s">
        <v>41</v>
      </c>
      <c r="O12" s="20"/>
      <c r="P12" s="20"/>
      <c r="Q12" s="72"/>
      <c r="R12" s="72"/>
      <c r="S12" s="72"/>
      <c r="T12" s="72"/>
      <c r="U12" s="72"/>
      <c r="V12" s="72"/>
      <c r="W12" s="72"/>
      <c r="X12" s="72"/>
      <c r="Y12" s="72"/>
      <c r="Z12" s="79"/>
    </row>
    <row r="13" spans="1:26" ht="15.9" customHeight="1" x14ac:dyDescent="0.25">
      <c r="A13" s="17"/>
      <c r="B13" s="20" t="s">
        <v>28</v>
      </c>
      <c r="C13" s="20"/>
      <c r="D13" s="20"/>
      <c r="E13" s="20"/>
      <c r="F13" s="20"/>
      <c r="G13" s="72"/>
      <c r="H13" s="72"/>
      <c r="I13" s="72"/>
      <c r="J13" s="72"/>
      <c r="K13" s="72"/>
      <c r="L13" s="72"/>
      <c r="M13" s="72"/>
      <c r="N13" s="20" t="s">
        <v>3</v>
      </c>
      <c r="O13" s="20"/>
      <c r="P13" s="20"/>
      <c r="Q13" s="72"/>
      <c r="R13" s="72"/>
      <c r="S13" s="72"/>
      <c r="T13" s="72"/>
      <c r="U13" s="72"/>
      <c r="V13" s="72"/>
      <c r="W13" s="72"/>
      <c r="X13" s="72"/>
      <c r="Y13" s="72"/>
      <c r="Z13" s="79"/>
    </row>
    <row r="14" spans="1:26" ht="15.9" customHeight="1" x14ac:dyDescent="0.25">
      <c r="A14" s="17"/>
      <c r="B14" s="20" t="s">
        <v>17</v>
      </c>
      <c r="C14" s="20"/>
      <c r="D14" s="20"/>
      <c r="E14" s="20"/>
      <c r="F14" s="20"/>
      <c r="G14" s="72"/>
      <c r="H14" s="72"/>
      <c r="I14" s="72"/>
      <c r="J14" s="72"/>
      <c r="K14" s="72"/>
      <c r="L14" s="72"/>
      <c r="M14" s="72"/>
      <c r="N14" s="20" t="s">
        <v>4</v>
      </c>
      <c r="O14" s="20"/>
      <c r="P14" s="20"/>
      <c r="Q14" s="72"/>
      <c r="R14" s="72"/>
      <c r="S14" s="72"/>
      <c r="T14" s="72"/>
      <c r="U14" s="72"/>
      <c r="V14" s="72"/>
      <c r="W14" s="72"/>
      <c r="X14" s="72"/>
      <c r="Y14" s="72"/>
      <c r="Z14" s="79"/>
    </row>
    <row r="15" spans="1:26" ht="15.9" customHeight="1" x14ac:dyDescent="0.25">
      <c r="A15" s="17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 t="s">
        <v>36</v>
      </c>
      <c r="O15" s="20"/>
      <c r="P15" s="20"/>
      <c r="Q15" s="20"/>
      <c r="R15" s="20"/>
      <c r="S15" s="72"/>
      <c r="T15" s="73"/>
      <c r="U15" s="20"/>
      <c r="V15" s="20"/>
      <c r="W15" s="20" t="s">
        <v>23</v>
      </c>
      <c r="X15" s="20"/>
      <c r="Y15" s="20"/>
      <c r="Z15" s="74" t="s">
        <v>24</v>
      </c>
    </row>
    <row r="16" spans="1:26" ht="15.9" customHeight="1" x14ac:dyDescent="0.25">
      <c r="A16" s="21"/>
      <c r="B16" s="22"/>
      <c r="C16" s="22"/>
      <c r="D16" s="23"/>
      <c r="E16" s="23"/>
      <c r="F16" s="23"/>
      <c r="G16" s="23"/>
      <c r="H16" s="22"/>
      <c r="I16" s="22"/>
      <c r="J16" s="22"/>
      <c r="K16" s="22"/>
      <c r="L16" s="22"/>
      <c r="M16" s="22"/>
      <c r="N16" s="24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5"/>
    </row>
    <row r="17" spans="1:26" ht="12.75" customHeight="1" x14ac:dyDescent="0.25">
      <c r="A17" s="26"/>
      <c r="B17" s="27"/>
      <c r="C17" s="27"/>
      <c r="D17" s="28"/>
      <c r="E17" s="28"/>
      <c r="F17" s="28"/>
      <c r="G17" s="28"/>
      <c r="H17" s="27"/>
      <c r="I17" s="27"/>
      <c r="J17" s="27"/>
      <c r="K17" s="27"/>
      <c r="L17" s="27"/>
      <c r="M17" s="27"/>
      <c r="N17" s="20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46"/>
    </row>
    <row r="18" spans="1:26" ht="15" customHeight="1" x14ac:dyDescent="0.25">
      <c r="A18" s="40" t="s">
        <v>9</v>
      </c>
      <c r="B18" s="41" t="s">
        <v>10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4"/>
    </row>
    <row r="19" spans="1:26" ht="7.5" customHeight="1" x14ac:dyDescent="0.25">
      <c r="A19" s="26"/>
      <c r="B19" s="71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46"/>
    </row>
    <row r="20" spans="1:26" ht="15" customHeight="1" x14ac:dyDescent="0.25">
      <c r="A20" s="26"/>
      <c r="B20" s="67" t="s">
        <v>18</v>
      </c>
      <c r="C20" s="27"/>
      <c r="D20" s="27"/>
      <c r="E20" s="27"/>
      <c r="F20" s="27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9"/>
    </row>
    <row r="21" spans="1:26" ht="15" customHeight="1" x14ac:dyDescent="0.25">
      <c r="A21" s="26"/>
      <c r="B21" s="67" t="s">
        <v>8</v>
      </c>
      <c r="C21" s="27"/>
      <c r="D21" s="27"/>
      <c r="E21" s="27"/>
      <c r="F21" s="27"/>
      <c r="G21" s="67"/>
      <c r="H21" s="67"/>
      <c r="I21" s="64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9"/>
    </row>
    <row r="22" spans="1:26" ht="15" customHeight="1" x14ac:dyDescent="0.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5"/>
    </row>
    <row r="23" spans="1:26" ht="15" customHeight="1" x14ac:dyDescent="0.25">
      <c r="A23" s="26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46"/>
    </row>
    <row r="24" spans="1:26" ht="15.9" customHeight="1" x14ac:dyDescent="0.25">
      <c r="A24" s="40" t="s">
        <v>7</v>
      </c>
      <c r="B24" s="41" t="s">
        <v>31</v>
      </c>
      <c r="C24" s="42"/>
      <c r="D24" s="43"/>
      <c r="E24" s="43"/>
      <c r="F24" s="43"/>
      <c r="G24" s="43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4"/>
    </row>
    <row r="25" spans="1:26" ht="9" customHeight="1" x14ac:dyDescent="0.25">
      <c r="A25" s="26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45"/>
      <c r="T25" s="27"/>
      <c r="U25" s="27"/>
      <c r="V25" s="27"/>
      <c r="W25" s="27"/>
      <c r="X25" s="27"/>
      <c r="Y25" s="27"/>
      <c r="Z25" s="46"/>
    </row>
    <row r="26" spans="1:26" ht="15.75" customHeight="1" x14ac:dyDescent="0.25">
      <c r="A26" s="26"/>
      <c r="B26" s="47"/>
      <c r="C26" s="48"/>
      <c r="D26" s="48"/>
      <c r="E26" s="48"/>
      <c r="F26" s="48"/>
      <c r="G26" s="48"/>
      <c r="H26" s="27"/>
      <c r="I26" s="27"/>
      <c r="J26" s="27"/>
      <c r="K26" s="27"/>
      <c r="L26" s="27"/>
      <c r="M26" s="27"/>
      <c r="N26" s="20"/>
      <c r="O26" s="20"/>
      <c r="P26" s="20"/>
      <c r="Q26" s="20"/>
      <c r="R26" s="20"/>
      <c r="S26" s="20"/>
      <c r="T26" s="27"/>
      <c r="V26" s="27"/>
      <c r="W26" s="27"/>
      <c r="X26" s="27"/>
      <c r="Y26" s="27"/>
      <c r="Z26" s="46"/>
    </row>
    <row r="27" spans="1:26" ht="15" customHeight="1" thickBot="1" x14ac:dyDescent="0.3">
      <c r="A27" s="26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46"/>
    </row>
    <row r="28" spans="1:26" ht="15.75" customHeight="1" thickBot="1" x14ac:dyDescent="0.3">
      <c r="A28" s="26"/>
      <c r="B28" s="75" t="s">
        <v>30</v>
      </c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7"/>
      <c r="Z28" s="46"/>
    </row>
    <row r="29" spans="1:26" ht="15" customHeight="1" x14ac:dyDescent="0.25">
      <c r="A29" s="26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46"/>
    </row>
    <row r="30" spans="1:26" ht="15.75" customHeight="1" x14ac:dyDescent="0.25">
      <c r="A30" s="26"/>
      <c r="B30" s="138" t="s">
        <v>37</v>
      </c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46"/>
    </row>
    <row r="31" spans="1:26" ht="15" customHeight="1" x14ac:dyDescent="0.25">
      <c r="A31" s="26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46"/>
    </row>
    <row r="32" spans="1:26" ht="15.75" customHeight="1" x14ac:dyDescent="0.25">
      <c r="A32" s="26"/>
      <c r="B32" s="138" t="s">
        <v>38</v>
      </c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46"/>
    </row>
    <row r="33" spans="1:34" ht="15" customHeight="1" x14ac:dyDescent="0.25">
      <c r="A33" s="26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46"/>
    </row>
    <row r="34" spans="1:34" ht="15.75" customHeight="1" x14ac:dyDescent="0.25">
      <c r="A34" s="26"/>
      <c r="B34" s="138" t="str">
        <f>CONCATENATE("PRISE D'ESSAI DE FINES (0/0,125) SECHE EGALE à (30 ",CHAR(177)," 0,1) grammes :")</f>
        <v>PRISE D'ESSAI DE FINES (0/0,125) SECHE EGALE à (30 ± 0,1) grammes :</v>
      </c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Q34" s="78" t="s">
        <v>26</v>
      </c>
      <c r="R34" s="104">
        <v>30.3</v>
      </c>
      <c r="S34" s="104"/>
      <c r="T34" s="104"/>
      <c r="U34" s="49" t="s">
        <v>5</v>
      </c>
      <c r="V34" s="27"/>
      <c r="W34" s="27"/>
      <c r="X34" s="27"/>
      <c r="Y34" s="27"/>
      <c r="Z34" s="46"/>
    </row>
    <row r="35" spans="1:34" ht="15" customHeight="1" x14ac:dyDescent="0.25">
      <c r="A35" s="26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46"/>
    </row>
    <row r="36" spans="1:34" ht="15.75" customHeight="1" x14ac:dyDescent="0.25">
      <c r="A36" s="26"/>
      <c r="B36" s="138" t="s">
        <v>25</v>
      </c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46"/>
    </row>
    <row r="37" spans="1:34" ht="15" customHeight="1" x14ac:dyDescent="0.25">
      <c r="A37" s="26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46"/>
    </row>
    <row r="38" spans="1:34" ht="15.75" customHeight="1" x14ac:dyDescent="0.25">
      <c r="A38" s="26"/>
      <c r="B38" s="138" t="s">
        <v>35</v>
      </c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46"/>
      <c r="AA38" s="73"/>
      <c r="AB38" s="73"/>
      <c r="AC38" s="73"/>
      <c r="AD38" s="73"/>
      <c r="AE38" s="73"/>
      <c r="AF38" s="73"/>
      <c r="AG38" s="73"/>
      <c r="AH38" s="73"/>
    </row>
    <row r="39" spans="1:34" ht="15" customHeight="1" x14ac:dyDescent="0.25">
      <c r="A39" s="26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46"/>
      <c r="AA39" s="73"/>
      <c r="AB39" s="73"/>
      <c r="AC39" s="73"/>
      <c r="AD39" s="73"/>
      <c r="AE39" s="73"/>
      <c r="AF39" s="73"/>
      <c r="AG39" s="73"/>
      <c r="AH39" s="73"/>
    </row>
    <row r="40" spans="1:34" ht="15.75" customHeight="1" x14ac:dyDescent="0.25">
      <c r="A40" s="26"/>
      <c r="B40" s="138" t="s">
        <v>46</v>
      </c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46"/>
      <c r="AA40" s="73"/>
      <c r="AG40" s="73"/>
      <c r="AH40" s="73"/>
    </row>
    <row r="41" spans="1:34" ht="15" customHeight="1" x14ac:dyDescent="0.25">
      <c r="A41" s="26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46"/>
      <c r="AA41" s="73"/>
      <c r="AG41" s="73"/>
      <c r="AH41" s="73"/>
    </row>
    <row r="42" spans="1:34" ht="15.75" customHeight="1" x14ac:dyDescent="0.25">
      <c r="A42" s="26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46"/>
      <c r="AA42" s="73"/>
      <c r="AG42" s="73"/>
      <c r="AH42" s="73"/>
    </row>
    <row r="43" spans="1:34" ht="15.75" customHeight="1" x14ac:dyDescent="0.25">
      <c r="A43" s="26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46"/>
      <c r="AA43" s="73"/>
      <c r="AG43" s="73"/>
      <c r="AH43" s="73"/>
    </row>
    <row r="44" spans="1:34" ht="7.5" customHeight="1" x14ac:dyDescent="0.2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46"/>
      <c r="AA44" s="73"/>
      <c r="AG44" s="73"/>
      <c r="AH44" s="73"/>
    </row>
    <row r="45" spans="1:34" ht="15.75" customHeight="1" x14ac:dyDescent="0.25">
      <c r="A45" s="26"/>
      <c r="B45" s="138" t="s">
        <v>45</v>
      </c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46"/>
      <c r="AA45" s="73"/>
      <c r="AB45" s="73"/>
      <c r="AC45" s="73"/>
      <c r="AD45" s="73"/>
      <c r="AE45" s="73"/>
      <c r="AF45" s="73"/>
      <c r="AG45" s="73"/>
      <c r="AH45" s="73"/>
    </row>
    <row r="46" spans="1:34" ht="7.5" customHeight="1" x14ac:dyDescent="0.25">
      <c r="A46" s="26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46"/>
    </row>
    <row r="47" spans="1:34" ht="15.75" customHeight="1" x14ac:dyDescent="0.25">
      <c r="A47" s="26"/>
      <c r="B47" s="50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Q47" s="78" t="s">
        <v>12</v>
      </c>
      <c r="R47" s="137">
        <v>10</v>
      </c>
      <c r="S47" s="137"/>
      <c r="T47" s="137"/>
      <c r="U47" s="49" t="s">
        <v>5</v>
      </c>
      <c r="V47" s="27"/>
      <c r="W47" s="27"/>
      <c r="X47" s="27"/>
      <c r="Y47" s="27"/>
      <c r="Z47" s="46"/>
    </row>
    <row r="48" spans="1:34" ht="12.75" customHeight="1" x14ac:dyDescent="0.25">
      <c r="A48" s="26"/>
      <c r="Z48" s="46"/>
    </row>
    <row r="49" spans="1:26" ht="12.75" customHeight="1" x14ac:dyDescent="0.25">
      <c r="A49" s="26"/>
      <c r="Z49" s="46"/>
    </row>
    <row r="50" spans="1:26" ht="12.75" customHeight="1" thickBot="1" x14ac:dyDescent="0.3">
      <c r="A50" s="26"/>
      <c r="Z50" s="46"/>
    </row>
    <row r="51" spans="1:26" ht="28.5" customHeight="1" x14ac:dyDescent="0.25">
      <c r="A51" s="26"/>
      <c r="B51" s="145" t="s">
        <v>11</v>
      </c>
      <c r="C51" s="146"/>
      <c r="D51" s="147"/>
      <c r="E51" s="145" t="s">
        <v>43</v>
      </c>
      <c r="F51" s="146"/>
      <c r="G51" s="147"/>
      <c r="H51" s="145" t="s">
        <v>42</v>
      </c>
      <c r="I51" s="146"/>
      <c r="J51" s="147"/>
      <c r="K51" s="158" t="s">
        <v>44</v>
      </c>
      <c r="L51" s="159"/>
      <c r="M51" s="159"/>
      <c r="N51" s="159"/>
      <c r="O51" s="159"/>
      <c r="P51" s="160"/>
      <c r="Q51" s="158" t="s">
        <v>32</v>
      </c>
      <c r="R51" s="159"/>
      <c r="S51" s="159"/>
      <c r="T51" s="151" t="s">
        <v>55</v>
      </c>
      <c r="U51" s="152"/>
      <c r="V51" s="152"/>
      <c r="W51" s="152"/>
      <c r="X51" s="152"/>
      <c r="Y51" s="153"/>
      <c r="Z51" s="46"/>
    </row>
    <row r="52" spans="1:26" ht="28.5" customHeight="1" x14ac:dyDescent="0.25">
      <c r="A52" s="26"/>
      <c r="B52" s="148"/>
      <c r="C52" s="149"/>
      <c r="D52" s="150"/>
      <c r="E52" s="148"/>
      <c r="F52" s="149"/>
      <c r="G52" s="150"/>
      <c r="H52" s="148"/>
      <c r="I52" s="149"/>
      <c r="J52" s="150"/>
      <c r="K52" s="161"/>
      <c r="L52" s="162"/>
      <c r="M52" s="162"/>
      <c r="N52" s="162"/>
      <c r="O52" s="162"/>
      <c r="P52" s="163"/>
      <c r="Q52" s="161"/>
      <c r="R52" s="162"/>
      <c r="S52" s="162"/>
      <c r="T52" s="154"/>
      <c r="U52" s="155"/>
      <c r="V52" s="155"/>
      <c r="W52" s="155"/>
      <c r="X52" s="155"/>
      <c r="Y52" s="156"/>
      <c r="Z52" s="46"/>
    </row>
    <row r="53" spans="1:26" ht="28.5" customHeight="1" thickBot="1" x14ac:dyDescent="0.3">
      <c r="A53" s="26"/>
      <c r="B53" s="142">
        <v>1</v>
      </c>
      <c r="C53" s="143"/>
      <c r="D53" s="144"/>
      <c r="E53" s="142">
        <v>100</v>
      </c>
      <c r="F53" s="143"/>
      <c r="G53" s="144"/>
      <c r="H53" s="142">
        <v>134</v>
      </c>
      <c r="I53" s="143"/>
      <c r="J53" s="144"/>
      <c r="K53" s="142">
        <f>IF(H53&lt;&gt;"",H53-E53,"")</f>
        <v>34</v>
      </c>
      <c r="L53" s="143"/>
      <c r="M53" s="143"/>
      <c r="N53" s="143"/>
      <c r="O53" s="143"/>
      <c r="P53" s="144"/>
      <c r="Q53" s="157">
        <f>R47</f>
        <v>10</v>
      </c>
      <c r="R53" s="143"/>
      <c r="S53" s="143"/>
      <c r="T53" s="139">
        <f>IF(Q53&lt;&gt;"",Q53/K53*10,"")</f>
        <v>2.9411764705882355</v>
      </c>
      <c r="U53" s="140"/>
      <c r="V53" s="140"/>
      <c r="W53" s="140"/>
      <c r="X53" s="140"/>
      <c r="Y53" s="141"/>
      <c r="Z53" s="46"/>
    </row>
    <row r="54" spans="1:26" ht="20.25" customHeight="1" x14ac:dyDescent="0.25">
      <c r="A54" s="26"/>
      <c r="Z54" s="46"/>
    </row>
    <row r="55" spans="1:26" ht="10.5" customHeight="1" x14ac:dyDescent="0.25">
      <c r="A55" s="26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46"/>
    </row>
    <row r="56" spans="1:26" ht="15.75" customHeight="1" x14ac:dyDescent="0.25">
      <c r="A56" s="21"/>
      <c r="B56" s="22"/>
      <c r="C56" s="22"/>
      <c r="D56" s="22"/>
      <c r="E56" s="22"/>
      <c r="F56" s="22"/>
      <c r="G56" s="22"/>
      <c r="H56" s="51"/>
      <c r="I56" s="22"/>
      <c r="J56" s="22"/>
      <c r="K56" s="51"/>
      <c r="L56" s="22"/>
      <c r="M56" s="22"/>
      <c r="N56" s="22"/>
      <c r="O56" s="22"/>
      <c r="P56" s="22"/>
      <c r="Q56" s="22"/>
      <c r="R56" s="22"/>
      <c r="S56" s="22"/>
      <c r="T56" s="22"/>
      <c r="U56" s="51"/>
      <c r="V56" s="22"/>
      <c r="W56" s="22"/>
      <c r="X56" s="51"/>
      <c r="Y56" s="22"/>
      <c r="Z56" s="25"/>
    </row>
    <row r="57" spans="1:26" ht="20.25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52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2.75" customHeight="1" x14ac:dyDescent="0.25">
      <c r="P58" s="27"/>
      <c r="Q58" s="27"/>
      <c r="R58" s="27"/>
      <c r="S58" s="27"/>
      <c r="T58" s="27"/>
      <c r="U58" s="27"/>
      <c r="V58" s="27"/>
      <c r="W58" s="27"/>
    </row>
    <row r="59" spans="1:26" ht="12.75" customHeight="1" x14ac:dyDescent="0.25">
      <c r="P59" s="27"/>
      <c r="Q59" s="27"/>
      <c r="R59" s="27"/>
      <c r="S59" s="27"/>
      <c r="T59" s="27"/>
      <c r="U59" s="27"/>
      <c r="V59" s="27"/>
      <c r="W59" s="27"/>
    </row>
    <row r="60" spans="1:26" ht="12.75" customHeight="1" x14ac:dyDescent="0.25">
      <c r="P60" s="27"/>
      <c r="Q60" s="27"/>
      <c r="R60" s="27"/>
      <c r="S60" s="27"/>
      <c r="T60" s="27"/>
      <c r="U60" s="27"/>
      <c r="V60" s="27"/>
      <c r="W60" s="27"/>
    </row>
    <row r="61" spans="1:26" ht="12.75" customHeight="1" x14ac:dyDescent="0.25">
      <c r="P61" s="27"/>
      <c r="Q61" s="27"/>
      <c r="R61" s="27"/>
      <c r="S61" s="27"/>
      <c r="T61" s="27"/>
      <c r="U61" s="27"/>
      <c r="V61" s="27"/>
      <c r="W61" s="27"/>
    </row>
    <row r="62" spans="1:26" ht="12.75" customHeight="1" x14ac:dyDescent="0.25">
      <c r="P62" s="27"/>
      <c r="Q62" s="27"/>
      <c r="R62" s="27"/>
      <c r="S62" s="27"/>
      <c r="T62" s="27"/>
      <c r="U62" s="27"/>
      <c r="V62" s="27"/>
      <c r="W62" s="27"/>
    </row>
  </sheetData>
  <sheetProtection selectLockedCells="1"/>
  <mergeCells count="21">
    <mergeCell ref="B38:Y38"/>
    <mergeCell ref="B40:Y40"/>
    <mergeCell ref="T53:Y53"/>
    <mergeCell ref="B53:D53"/>
    <mergeCell ref="B45:Y45"/>
    <mergeCell ref="E51:G52"/>
    <mergeCell ref="H51:J52"/>
    <mergeCell ref="T51:Y52"/>
    <mergeCell ref="R47:T47"/>
    <mergeCell ref="Q53:S53"/>
    <mergeCell ref="B51:D52"/>
    <mergeCell ref="K51:P52"/>
    <mergeCell ref="K53:P53"/>
    <mergeCell ref="E53:G53"/>
    <mergeCell ref="H53:J53"/>
    <mergeCell ref="Q51:S52"/>
    <mergeCell ref="B30:Y30"/>
    <mergeCell ref="B32:Y32"/>
    <mergeCell ref="B34:O34"/>
    <mergeCell ref="R34:T34"/>
    <mergeCell ref="B36:Y36"/>
  </mergeCells>
  <phoneticPr fontId="1" type="noConversion"/>
  <printOptions horizontalCentered="1"/>
  <pageMargins left="0.39370078740157483" right="0.35433070866141736" top="0.28999999999999998" bottom="0.34" header="0.23" footer="0.21"/>
  <pageSetup paperSize="9" scale="79" orientation="portrait" r:id="rId1"/>
  <headerFooter alignWithMargins="0">
    <oddFooter>&amp;RDG-Q / FE mbf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0" r:id="rId4" name="Check Box 42">
              <controlPr locked="0" defaultSize="0" autoFill="0" autoLine="0" autoPict="0">
                <anchor moveWithCells="1">
                  <from>
                    <xdr:col>21</xdr:col>
                    <xdr:colOff>45720</xdr:colOff>
                    <xdr:row>13</xdr:row>
                    <xdr:rowOff>190500</xdr:rowOff>
                  </from>
                  <to>
                    <xdr:col>22</xdr:col>
                    <xdr:colOff>83820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5" name="Check Box 43">
              <controlPr locked="0" defaultSize="0" autoFill="0" autoLine="0" autoPict="0">
                <anchor moveWithCells="1">
                  <from>
                    <xdr:col>24</xdr:col>
                    <xdr:colOff>38100</xdr:colOff>
                    <xdr:row>13</xdr:row>
                    <xdr:rowOff>190500</xdr:rowOff>
                  </from>
                  <to>
                    <xdr:col>25</xdr:col>
                    <xdr:colOff>76200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CRE</vt:lpstr>
      <vt:lpstr>FE</vt:lpstr>
      <vt:lpstr>CRE!Zone_d_impression</vt:lpstr>
      <vt:lpstr>FE!Zone_d_impression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2008-05-13T12:41:44Z</cp:lastPrinted>
  <dcterms:created xsi:type="dcterms:W3CDTF">2004-11-13T18:13:05Z</dcterms:created>
  <dcterms:modified xsi:type="dcterms:W3CDTF">2023-03-07T10:27:31Z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607245854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