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Enrobés\"/>
    </mc:Choice>
  </mc:AlternateContent>
  <xr:revisionPtr revIDLastSave="0" documentId="13_ncr:1_{B8C9FDF6-B647-453C-A480-FC4224E16DB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RE" sheetId="1" r:id="rId1"/>
    <sheet name="FE" sheetId="5" r:id="rId2"/>
  </sheets>
  <definedNames>
    <definedName name="_xlnm.Print_Area" localSheetId="0">CRE!$A$1:$Z$74</definedName>
    <definedName name="_xlnm.Print_Area" localSheetId="1">FE!$A$1:$Z$76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2" i="5" l="1"/>
  <c r="Q62" i="5" s="1"/>
  <c r="T62" i="5" s="1"/>
  <c r="N59" i="5"/>
  <c r="Q59" i="5" s="1"/>
  <c r="T59" i="5" s="1"/>
  <c r="N56" i="5"/>
  <c r="Q56" i="5" s="1"/>
  <c r="T56" i="5" s="1"/>
  <c r="AD55" i="5"/>
  <c r="AD54" i="5"/>
  <c r="AD53" i="5"/>
  <c r="N53" i="5"/>
  <c r="Q53" i="5" s="1"/>
  <c r="T53" i="5" s="1"/>
  <c r="AD52" i="5"/>
  <c r="AD51" i="5"/>
  <c r="AD50" i="5"/>
  <c r="N50" i="5"/>
  <c r="Q50" i="5"/>
  <c r="T50" i="5" s="1"/>
  <c r="AD49" i="5"/>
  <c r="AD48" i="5"/>
  <c r="AD47" i="5"/>
  <c r="N47" i="5"/>
  <c r="Q47" i="5" s="1"/>
  <c r="T47" i="5" s="1"/>
  <c r="AD46" i="5"/>
  <c r="AD45" i="5"/>
  <c r="AD44" i="5"/>
  <c r="N44" i="5"/>
  <c r="Q44" i="5" s="1"/>
  <c r="T44" i="5" s="1"/>
  <c r="AD43" i="5"/>
  <c r="AD42" i="5"/>
  <c r="AD41" i="5"/>
  <c r="N41" i="5"/>
  <c r="Q41" i="5" s="1"/>
  <c r="T41" i="5" s="1"/>
  <c r="AD40" i="5"/>
  <c r="AD39" i="5"/>
  <c r="AD38" i="5"/>
  <c r="N38" i="5"/>
  <c r="Q38" i="5"/>
  <c r="T38" i="5" s="1"/>
  <c r="AD37" i="5"/>
  <c r="AD36" i="5"/>
  <c r="AD35" i="5"/>
  <c r="N35" i="5"/>
  <c r="Q35" i="5" s="1"/>
  <c r="T35" i="5" s="1"/>
  <c r="F27" i="5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35" i="1"/>
  <c r="F27" i="1"/>
  <c r="N62" i="1"/>
  <c r="Q62" i="1" s="1"/>
  <c r="T62" i="1" s="1"/>
  <c r="N59" i="1"/>
  <c r="Q59" i="1" s="1"/>
  <c r="T59" i="1" s="1"/>
  <c r="N50" i="1"/>
  <c r="Q50" i="1" s="1"/>
  <c r="T50" i="1" s="1"/>
  <c r="N53" i="1"/>
  <c r="Q53" i="1" s="1"/>
  <c r="T53" i="1" s="1"/>
  <c r="N56" i="1"/>
  <c r="Q56" i="1" s="1"/>
  <c r="T56" i="1" s="1"/>
  <c r="N38" i="1"/>
  <c r="Q38" i="1" s="1"/>
  <c r="T38" i="1" s="1"/>
  <c r="N41" i="1"/>
  <c r="Q41" i="1" s="1"/>
  <c r="T41" i="1" s="1"/>
  <c r="N44" i="1"/>
  <c r="Q44" i="1" s="1"/>
  <c r="T44" i="1" s="1"/>
  <c r="N47" i="1"/>
  <c r="Q47" i="1" s="1"/>
  <c r="T47" i="1" s="1"/>
  <c r="N35" i="1"/>
  <c r="Q35" i="1" s="1"/>
  <c r="T35" i="1" s="1"/>
</calcChain>
</file>

<file path=xl/sharedStrings.xml><?xml version="1.0" encoding="utf-8"?>
<sst xmlns="http://schemas.openxmlformats.org/spreadsheetml/2006/main" count="93" uniqueCount="48">
  <si>
    <t>RENSEIGNEMENTS GENERAUX</t>
  </si>
  <si>
    <t>Provenance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</si>
  <si>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</si>
  <si>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</si>
  <si>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</si>
  <si>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</si>
  <si>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</si>
  <si>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</si>
  <si>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</si>
  <si>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</si>
  <si>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</si>
  <si>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</si>
  <si>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</si>
  <si>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</si>
  <si>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</si>
  <si>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</si>
  <si>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7/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</si>
  <si>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</si>
  <si>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</si>
  <si>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</si>
  <si>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</si>
  <si>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</si>
  <si>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</si>
  <si>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°C</t>
  </si>
  <si>
    <t xml:space="preserve">Masse volumique de la paraffine: </t>
  </si>
  <si>
    <t>kg/m3</t>
  </si>
  <si>
    <t>MVR :</t>
  </si>
  <si>
    <t>Compacité %</t>
  </si>
  <si>
    <t>% vides</t>
  </si>
  <si>
    <t>Hauteur de l'éprouvette (cm)</t>
  </si>
  <si>
    <t>Masse volumique de l'eau :</t>
  </si>
  <si>
    <t>Masse séche
(g)</t>
  </si>
  <si>
    <t>Masse sèche paraffinée
(g)</t>
  </si>
  <si>
    <t>Masse dans l'eau
(g)</t>
  </si>
  <si>
    <t>RESULTATS DES ESSAIS</t>
  </si>
  <si>
    <t>Nature du produit :</t>
  </si>
  <si>
    <t>Couche :</t>
  </si>
  <si>
    <t>Température mesurée au 1°C</t>
  </si>
  <si>
    <t>Facteur de correction K</t>
  </si>
  <si>
    <t>Référence de l'éprouvette</t>
  </si>
  <si>
    <t>4/</t>
  </si>
  <si>
    <t>Facteur de correction à utiliser</t>
  </si>
  <si>
    <t>MASSE VOLUMIQUE DES ENROBES
(NF EN 12697-6-A1)</t>
  </si>
  <si>
    <t>Température mesurée de l'eau :
(±1 - °C)</t>
  </si>
  <si>
    <r>
      <t>kg/m</t>
    </r>
    <r>
      <rPr>
        <b/>
        <vertAlign val="superscript"/>
        <sz val="10"/>
        <rFont val="Century Gothic"/>
        <family val="2"/>
      </rPr>
      <t>3</t>
    </r>
  </si>
  <si>
    <r>
      <t>Masse volumique de l'éprouvette
(kg/m</t>
    </r>
    <r>
      <rPr>
        <b/>
        <vertAlign val="superscript"/>
        <sz val="10"/>
        <rFont val="Century Gothic"/>
        <family val="2"/>
      </rPr>
      <t>3)</t>
    </r>
  </si>
  <si>
    <t>MVA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</si>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</sst>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0"/>
      <name val="Century Gothic"/>
      <family val="2"/>
    </font>
    <font>
      <i/>
      <sz val="10"/>
      <name val="Century Gothic"/>
      <family val="2"/>
    </font>
    <font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0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1" fillId="0" borderId="2" xfId="0" applyFont="1" applyFill="1" applyBorder="1" applyAlignment="1" applyProtection="1">
      <alignment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horizontal="right" wrapText="1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165" fontId="2" fillId="0" borderId="9" xfId="0" applyNumberFormat="1" applyFont="1" applyFill="1" applyBorder="1" applyAlignment="1" applyProtection="1">
      <alignment vertical="center"/>
      <protection hidden="1"/>
    </xf>
    <xf numFmtId="165" fontId="2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vertical="center" textRotation="90" wrapText="1"/>
      <protection hidden="1"/>
    </xf>
    <xf numFmtId="0" fontId="2" fillId="0" borderId="9" xfId="0" applyFont="1" applyBorder="1" applyProtection="1"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165" fontId="2" fillId="0" borderId="10" xfId="0" applyNumberFormat="1" applyFont="1" applyFill="1" applyBorder="1" applyAlignment="1" applyProtection="1">
      <alignment vertical="center"/>
      <protection hidden="1"/>
    </xf>
    <xf numFmtId="0" fontId="13" fillId="0" borderId="6" xfId="0" quotePrefix="1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1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3" fillId="0" borderId="13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2" fillId="0" borderId="7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5" fillId="0" borderId="28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9" fillId="0" borderId="13" xfId="0" applyFont="1" applyFill="1" applyBorder="1" applyAlignment="1" applyProtection="1">
      <alignment horizontal="center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  <protection hidden="1"/>
    </xf>
    <xf numFmtId="0" fontId="2" fillId="0" borderId="26" xfId="0" applyFont="1" applyBorder="1" applyAlignment="1" applyProtection="1">
      <alignment horizontal="center" vertical="center" wrapText="1"/>
      <protection hidden="1"/>
    </xf>
    <xf numFmtId="0" fontId="14" fillId="0" borderId="27" xfId="0" applyFont="1" applyFill="1" applyBorder="1" applyAlignment="1" applyProtection="1">
      <alignment horizontal="center" vertical="center" wrapText="1"/>
      <protection locked="0"/>
    </xf>
    <xf numFmtId="0" fontId="14" fillId="0" borderId="13" xfId="0" applyFont="1" applyFill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14" fontId="10" fillId="0" borderId="6" xfId="0" applyNumberFormat="1" applyFont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horizontal="center" vertical="center"/>
      <protection hidden="1"/>
    </xf>
    <xf numFmtId="14" fontId="14" fillId="0" borderId="0" xfId="0" applyNumberFormat="1" applyFont="1" applyAlignment="1" applyProtection="1">
      <alignment horizontal="left" vertical="center"/>
      <protection locked="0"/>
    </xf>
    <xf numFmtId="0" fontId="6" fillId="0" borderId="10" xfId="0" applyFont="1" applyBorder="1" applyAlignment="1" applyProtection="1">
      <alignment horizontal="center" vertical="center"/>
      <protection hidden="1"/>
    </xf>
    <xf numFmtId="0" fontId="5" fillId="0" borderId="13" xfId="0" applyFont="1" applyFill="1" applyBorder="1" applyAlignment="1" applyProtection="1">
      <alignment horizontal="center" vertical="center"/>
      <protection hidden="1"/>
    </xf>
    <xf numFmtId="0" fontId="7" fillId="0" borderId="13" xfId="0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10" fillId="0" borderId="6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left"/>
      <protection hidden="1"/>
    </xf>
    <xf numFmtId="14" fontId="14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25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14" fillId="0" borderId="0" xfId="0" applyFont="1" applyFill="1" applyBorder="1" applyAlignment="1" applyProtection="1">
      <alignment horizontal="left"/>
      <protection locked="0"/>
    </xf>
    <xf numFmtId="0" fontId="3" fillId="0" borderId="25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164" fontId="14" fillId="0" borderId="23" xfId="0" applyNumberFormat="1" applyFont="1" applyBorder="1" applyAlignment="1">
      <alignment horizontal="center" vertical="center"/>
    </xf>
    <xf numFmtId="164" fontId="14" fillId="0" borderId="0" xfId="0" applyNumberFormat="1" applyFont="1" applyBorder="1" applyAlignment="1">
      <alignment horizontal="center" vertical="center"/>
    </xf>
    <xf numFmtId="164" fontId="14" fillId="0" borderId="3" xfId="0" applyNumberFormat="1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14" fillId="0" borderId="3" xfId="0" applyNumberFormat="1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4" fontId="14" fillId="0" borderId="14" xfId="0" applyNumberFormat="1" applyFont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left"/>
      <protection hidden="1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left" vertical="center"/>
      <protection hidden="1"/>
    </xf>
    <xf numFmtId="14" fontId="7" fillId="0" borderId="0" xfId="0" applyNumberFormat="1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4" fontId="7" fillId="0" borderId="0" xfId="0" applyNumberFormat="1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14" fillId="0" borderId="6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Alignment="1" applyProtection="1">
      <alignment horizontal="left" vertical="center" wrapText="1"/>
      <protection locked="0"/>
    </xf>
    <xf numFmtId="0" fontId="14" fillId="0" borderId="9" xfId="0" applyFont="1" applyFill="1" applyBorder="1" applyAlignment="1" applyProtection="1">
      <alignment horizontal="left" vertical="center" wrapText="1"/>
      <protection locked="0"/>
    </xf>
    <xf numFmtId="0" fontId="14" fillId="0" borderId="7" xfId="0" applyFont="1" applyFill="1" applyBorder="1" applyAlignment="1" applyProtection="1">
      <alignment horizontal="left" vertical="center" wrapText="1"/>
      <protection locked="0"/>
    </xf>
    <xf numFmtId="0" fontId="14" fillId="0" borderId="3" xfId="0" applyFont="1" applyFill="1" applyBorder="1" applyAlignment="1" applyProtection="1">
      <alignment horizontal="left" vertical="center" wrapText="1"/>
      <protection locked="0"/>
    </xf>
    <xf numFmtId="0" fontId="14" fillId="0" borderId="10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2</xdr:row>
      <xdr:rowOff>0</xdr:rowOff>
    </xdr:from>
    <xdr:to>
      <xdr:col>5</xdr:col>
      <xdr:colOff>0</xdr:colOff>
      <xdr:row>4</xdr:row>
      <xdr:rowOff>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142875</xdr:rowOff>
    </xdr:from>
    <xdr:to>
      <xdr:col>4</xdr:col>
      <xdr:colOff>323850</xdr:colOff>
      <xdr:row>3</xdr:row>
      <xdr:rowOff>135255</xdr:rowOff>
    </xdr:to>
    <xdr:pic>
      <xdr:nvPicPr>
        <xdr:cNvPr id="18" name="Image 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0480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D81"/>
  <sheetViews>
    <sheetView tabSelected="1" topLeftCell="A55" workbookViewId="0">
      <selection activeCell="A71" sqref="A71:Q74"/>
    </sheetView>
  </sheetViews>
  <sheetFormatPr baseColWidth="10" defaultColWidth="11.44140625" defaultRowHeight="12.75" customHeight="1" x14ac:dyDescent="0.25"/>
  <cols>
    <col min="1" max="1" width="5.109375" style="60" customWidth="1"/>
    <col min="2" max="26" width="5.109375" style="1" customWidth="1"/>
    <col min="27" max="27" width="11.44140625" style="1"/>
    <col min="28" max="30" width="0" style="1" hidden="1" customWidth="1"/>
    <col min="31" max="16384" width="11.44140625" style="1"/>
  </cols>
  <sheetData>
    <row r="1" spans="1:26" ht="12.75" customHeight="1" x14ac:dyDescent="0.25">
      <c r="A1" s="108"/>
      <c r="B1" s="109"/>
      <c r="C1" s="109"/>
      <c r="D1" s="109"/>
      <c r="E1" s="109"/>
      <c r="F1" s="110"/>
      <c r="G1" s="117" t="s">
        <v>18</v>
      </c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9"/>
      <c r="U1" s="120"/>
      <c r="V1" s="121"/>
      <c r="W1" s="121"/>
      <c r="X1" s="121"/>
      <c r="Y1" s="121"/>
      <c r="Z1" s="122"/>
    </row>
    <row r="2" spans="1:26" ht="12.75" customHeight="1" x14ac:dyDescent="0.25">
      <c r="A2" s="111"/>
      <c r="B2" s="112"/>
      <c r="C2" s="112"/>
      <c r="D2" s="112"/>
      <c r="E2" s="112"/>
      <c r="F2" s="113"/>
      <c r="G2" s="129" t="s">
        <v>42</v>
      </c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1"/>
      <c r="U2" s="123"/>
      <c r="V2" s="124"/>
      <c r="W2" s="124"/>
      <c r="X2" s="124"/>
      <c r="Y2" s="124"/>
      <c r="Z2" s="125"/>
    </row>
    <row r="3" spans="1:26" ht="12.75" customHeight="1" x14ac:dyDescent="0.25">
      <c r="A3" s="111"/>
      <c r="B3" s="112"/>
      <c r="C3" s="112"/>
      <c r="D3" s="112"/>
      <c r="E3" s="112"/>
      <c r="F3" s="113"/>
      <c r="G3" s="129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1"/>
      <c r="U3" s="123"/>
      <c r="V3" s="124"/>
      <c r="W3" s="124"/>
      <c r="X3" s="124"/>
      <c r="Y3" s="124"/>
      <c r="Z3" s="125"/>
    </row>
    <row r="4" spans="1:26" ht="12.75" customHeight="1" x14ac:dyDescent="0.25">
      <c r="A4" s="111"/>
      <c r="B4" s="112"/>
      <c r="C4" s="112"/>
      <c r="D4" s="112"/>
      <c r="E4" s="112"/>
      <c r="F4" s="113"/>
      <c r="G4" s="129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1"/>
      <c r="U4" s="123"/>
      <c r="V4" s="124"/>
      <c r="W4" s="124"/>
      <c r="X4" s="124"/>
      <c r="Y4" s="124"/>
      <c r="Z4" s="125"/>
    </row>
    <row r="5" spans="1:26" ht="12.75" customHeight="1" x14ac:dyDescent="0.25">
      <c r="A5" s="111"/>
      <c r="B5" s="112"/>
      <c r="C5" s="112"/>
      <c r="D5" s="112"/>
      <c r="E5" s="112"/>
      <c r="F5" s="113"/>
      <c r="G5" s="132" t="s">
        <v>46</v>
      </c>
      <c r="H5" s="133"/>
      <c r="I5" s="62" t="s">
        <v>19</v>
      </c>
      <c r="J5" s="92"/>
      <c r="K5" s="93"/>
      <c r="L5" s="94"/>
      <c r="M5" s="92"/>
      <c r="N5" s="92"/>
      <c r="O5" s="93"/>
      <c r="P5" s="95"/>
      <c r="Q5" s="96"/>
      <c r="R5" s="96"/>
      <c r="S5" s="96"/>
      <c r="T5" s="97"/>
      <c r="U5" s="123"/>
      <c r="V5" s="124"/>
      <c r="W5" s="124"/>
      <c r="X5" s="124"/>
      <c r="Y5" s="124"/>
      <c r="Z5" s="125"/>
    </row>
    <row r="6" spans="1:26" ht="12.75" customHeight="1" x14ac:dyDescent="0.25">
      <c r="A6" s="114"/>
      <c r="B6" s="115"/>
      <c r="C6" s="115"/>
      <c r="D6" s="115"/>
      <c r="E6" s="115"/>
      <c r="F6" s="116"/>
      <c r="G6" s="63"/>
      <c r="H6" s="64"/>
      <c r="I6" s="64"/>
      <c r="J6" s="98" t="s">
        <v>20</v>
      </c>
      <c r="K6" s="98"/>
      <c r="L6" s="98" t="s">
        <v>21</v>
      </c>
      <c r="M6" s="98"/>
      <c r="N6" s="98"/>
      <c r="O6" s="98"/>
      <c r="P6" s="98" t="s">
        <v>22</v>
      </c>
      <c r="Q6" s="98"/>
      <c r="R6" s="98"/>
      <c r="S6" s="98"/>
      <c r="T6" s="103"/>
      <c r="U6" s="126"/>
      <c r="V6" s="127"/>
      <c r="W6" s="127"/>
      <c r="X6" s="127"/>
      <c r="Y6" s="127"/>
      <c r="Z6" s="128"/>
    </row>
    <row r="7" spans="1:26" ht="36.6" customHeight="1" x14ac:dyDescent="0.25">
      <c r="A7" s="104" t="s">
        <v>9</v>
      </c>
      <c r="B7" s="104"/>
      <c r="C7" s="104"/>
      <c r="D7" s="104"/>
      <c r="E7" s="104"/>
      <c r="F7" s="104"/>
      <c r="G7" s="105" t="s">
        <v>17</v>
      </c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</row>
    <row r="8" spans="1:26" ht="15.9" customHeight="1" x14ac:dyDescent="0.25">
      <c r="A8" s="3" t="s">
        <v>3</v>
      </c>
      <c r="B8" s="4" t="s">
        <v>0</v>
      </c>
      <c r="C8" s="5"/>
      <c r="D8" s="6"/>
      <c r="E8" s="6"/>
      <c r="F8" s="6"/>
      <c r="G8" s="6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7"/>
    </row>
    <row r="9" spans="1:26" ht="8.25" customHeight="1" x14ac:dyDescent="0.25">
      <c r="A9" s="8"/>
      <c r="B9" s="9"/>
      <c r="C9" s="9"/>
      <c r="D9" s="10"/>
      <c r="E9" s="10"/>
      <c r="F9" s="10"/>
      <c r="G9" s="10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11"/>
    </row>
    <row r="10" spans="1:26" ht="15.9" customHeight="1" x14ac:dyDescent="0.25">
      <c r="A10" s="8"/>
      <c r="B10" s="106" t="s">
        <v>8</v>
      </c>
      <c r="C10" s="106"/>
      <c r="D10" s="106"/>
      <c r="E10" s="106"/>
      <c r="F10" s="106"/>
      <c r="G10" s="106"/>
      <c r="H10" s="143"/>
      <c r="I10" s="143"/>
      <c r="J10" s="143"/>
      <c r="K10" s="143"/>
      <c r="L10" s="143"/>
      <c r="M10" s="143"/>
      <c r="N10" s="106" t="s">
        <v>35</v>
      </c>
      <c r="O10" s="106"/>
      <c r="P10" s="106"/>
      <c r="Q10" s="106"/>
      <c r="R10" s="106"/>
      <c r="S10" s="107"/>
      <c r="T10" s="107"/>
      <c r="U10" s="107"/>
      <c r="V10" s="107"/>
      <c r="W10" s="107"/>
      <c r="X10" s="107"/>
      <c r="Y10" s="107"/>
      <c r="Z10" s="12"/>
    </row>
    <row r="11" spans="1:26" ht="15.9" customHeight="1" x14ac:dyDescent="0.25">
      <c r="A11" s="8"/>
      <c r="B11" s="106" t="s">
        <v>2</v>
      </c>
      <c r="C11" s="106"/>
      <c r="D11" s="106"/>
      <c r="E11" s="106"/>
      <c r="F11" s="106"/>
      <c r="G11" s="106"/>
      <c r="H11" s="102"/>
      <c r="I11" s="102"/>
      <c r="J11" s="102"/>
      <c r="K11" s="102"/>
      <c r="L11" s="102"/>
      <c r="M11" s="102"/>
      <c r="N11" s="106" t="s">
        <v>1</v>
      </c>
      <c r="O11" s="106"/>
      <c r="P11" s="106"/>
      <c r="Q11" s="106"/>
      <c r="R11" s="106"/>
      <c r="S11" s="107"/>
      <c r="T11" s="107"/>
      <c r="U11" s="107"/>
      <c r="V11" s="107"/>
      <c r="W11" s="107"/>
      <c r="X11" s="107"/>
      <c r="Y11" s="107"/>
      <c r="Z11" s="12"/>
    </row>
    <row r="12" spans="1:26" ht="15.9" customHeight="1" x14ac:dyDescent="0.25">
      <c r="A12" s="8"/>
      <c r="B12" s="106" t="s">
        <v>7</v>
      </c>
      <c r="C12" s="106"/>
      <c r="D12" s="106"/>
      <c r="E12" s="106"/>
      <c r="F12" s="106"/>
      <c r="G12" s="106"/>
      <c r="H12" s="102"/>
      <c r="I12" s="102"/>
      <c r="J12" s="102"/>
      <c r="K12" s="102"/>
      <c r="L12" s="102"/>
      <c r="M12" s="102"/>
      <c r="N12" s="106" t="s">
        <v>36</v>
      </c>
      <c r="O12" s="106"/>
      <c r="P12" s="106"/>
      <c r="Q12" s="106"/>
      <c r="R12" s="106"/>
      <c r="S12" s="107"/>
      <c r="T12" s="107"/>
      <c r="U12" s="107"/>
      <c r="V12" s="107"/>
      <c r="W12" s="107"/>
      <c r="X12" s="107"/>
      <c r="Y12" s="107"/>
      <c r="Z12" s="12"/>
    </row>
    <row r="13" spans="1:26" ht="8.25" customHeight="1" x14ac:dyDescent="0.25">
      <c r="A13" s="13"/>
      <c r="B13" s="2"/>
      <c r="C13" s="2"/>
      <c r="D13" s="14"/>
      <c r="E13" s="14"/>
      <c r="F13" s="14"/>
      <c r="G13" s="14"/>
      <c r="H13" s="2"/>
      <c r="I13" s="2"/>
      <c r="J13" s="2"/>
      <c r="K13" s="2"/>
      <c r="L13" s="2"/>
      <c r="M13" s="2"/>
      <c r="N13" s="1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6"/>
    </row>
    <row r="14" spans="1:26" s="17" customFormat="1" ht="15" x14ac:dyDescent="0.25">
      <c r="B14" s="18"/>
      <c r="C14" s="18"/>
      <c r="K14" s="19"/>
      <c r="L14" s="18"/>
      <c r="M14" s="20"/>
    </row>
    <row r="15" spans="1:26" s="17" customFormat="1" ht="15.6" customHeight="1" x14ac:dyDescent="0.25">
      <c r="A15" s="3" t="s">
        <v>4</v>
      </c>
      <c r="B15" s="21" t="s"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3"/>
    </row>
    <row r="16" spans="1:26" s="17" customFormat="1" ht="15" x14ac:dyDescent="0.25">
      <c r="A16" s="24"/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7"/>
    </row>
    <row r="17" spans="1:30" s="17" customFormat="1" ht="15" x14ac:dyDescent="0.25">
      <c r="A17" s="24"/>
      <c r="B17" s="142" t="s">
        <v>13</v>
      </c>
      <c r="C17" s="142"/>
      <c r="D17" s="142"/>
      <c r="E17" s="142"/>
      <c r="F17" s="142"/>
      <c r="G17" s="142"/>
      <c r="H17" s="142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28"/>
    </row>
    <row r="18" spans="1:30" s="17" customFormat="1" ht="15" x14ac:dyDescent="0.25">
      <c r="A18" s="24"/>
      <c r="B18" s="142" t="s">
        <v>14</v>
      </c>
      <c r="C18" s="142"/>
      <c r="D18" s="142"/>
      <c r="E18" s="142"/>
      <c r="F18" s="142"/>
      <c r="G18" s="142"/>
      <c r="H18" s="142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28"/>
    </row>
    <row r="19" spans="1:30" s="17" customFormat="1" ht="13.2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1"/>
    </row>
    <row r="20" spans="1:30" ht="12.75" customHeight="1" x14ac:dyDescent="0.25">
      <c r="A20" s="10"/>
      <c r="B20" s="9"/>
      <c r="C20" s="9"/>
      <c r="D20" s="10"/>
      <c r="E20" s="10"/>
      <c r="F20" s="10"/>
      <c r="G20" s="10"/>
      <c r="H20" s="9"/>
      <c r="I20" s="9"/>
      <c r="J20" s="9"/>
      <c r="K20" s="9"/>
      <c r="L20" s="9"/>
      <c r="M20" s="9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30" ht="15.9" customHeight="1" x14ac:dyDescent="0.25">
      <c r="A21" s="3" t="s">
        <v>5</v>
      </c>
      <c r="B21" s="4" t="s">
        <v>34</v>
      </c>
      <c r="C21" s="33"/>
      <c r="D21" s="34"/>
      <c r="E21" s="34"/>
      <c r="F21" s="34"/>
      <c r="G21" s="34"/>
      <c r="H21" s="33"/>
      <c r="I21" s="33"/>
      <c r="J21" s="33"/>
      <c r="K21" s="33"/>
      <c r="L21" s="33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7"/>
    </row>
    <row r="22" spans="1:30" ht="12.75" customHeight="1" x14ac:dyDescent="0.25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11"/>
    </row>
    <row r="23" spans="1:30" ht="12.75" customHeight="1" x14ac:dyDescent="0.25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11"/>
    </row>
    <row r="24" spans="1:30" ht="12.75" customHeight="1" x14ac:dyDescent="0.25">
      <c r="A24" s="8"/>
      <c r="B24" s="183" t="s">
        <v>43</v>
      </c>
      <c r="C24" s="178"/>
      <c r="D24" s="178"/>
      <c r="E24" s="178"/>
      <c r="F24" s="178"/>
      <c r="G24" s="178"/>
      <c r="H24" s="178"/>
      <c r="I24" s="178"/>
      <c r="J24" s="172" t="s">
        <v>23</v>
      </c>
      <c r="K24" s="172"/>
      <c r="L24" s="173"/>
      <c r="M24" s="9"/>
      <c r="N24" s="9"/>
      <c r="O24" s="183" t="s">
        <v>24</v>
      </c>
      <c r="P24" s="186"/>
      <c r="Q24" s="186"/>
      <c r="R24" s="186"/>
      <c r="S24" s="178">
        <v>890</v>
      </c>
      <c r="T24" s="178"/>
      <c r="U24" s="178"/>
      <c r="V24" s="178"/>
      <c r="W24" s="172" t="s">
        <v>44</v>
      </c>
      <c r="X24" s="172"/>
      <c r="Y24" s="173"/>
      <c r="Z24" s="11"/>
    </row>
    <row r="25" spans="1:30" ht="12.75" customHeight="1" x14ac:dyDescent="0.25">
      <c r="A25" s="8"/>
      <c r="B25" s="184"/>
      <c r="C25" s="151"/>
      <c r="D25" s="151"/>
      <c r="E25" s="151"/>
      <c r="F25" s="151"/>
      <c r="G25" s="151"/>
      <c r="H25" s="151"/>
      <c r="I25" s="151"/>
      <c r="J25" s="174"/>
      <c r="K25" s="174"/>
      <c r="L25" s="175"/>
      <c r="M25" s="9"/>
      <c r="N25" s="9"/>
      <c r="O25" s="187"/>
      <c r="P25" s="155"/>
      <c r="Q25" s="155"/>
      <c r="R25" s="155"/>
      <c r="S25" s="151"/>
      <c r="T25" s="151"/>
      <c r="U25" s="151"/>
      <c r="V25" s="151"/>
      <c r="W25" s="174"/>
      <c r="X25" s="174"/>
      <c r="Y25" s="175"/>
      <c r="Z25" s="11"/>
    </row>
    <row r="26" spans="1:30" ht="12.75" customHeight="1" x14ac:dyDescent="0.25">
      <c r="A26" s="8"/>
      <c r="B26" s="185"/>
      <c r="C26" s="179"/>
      <c r="D26" s="179"/>
      <c r="E26" s="179"/>
      <c r="F26" s="179"/>
      <c r="G26" s="179"/>
      <c r="H26" s="179"/>
      <c r="I26" s="179"/>
      <c r="J26" s="176"/>
      <c r="K26" s="176"/>
      <c r="L26" s="177"/>
      <c r="M26" s="9"/>
      <c r="N26" s="9"/>
      <c r="O26" s="188"/>
      <c r="P26" s="189"/>
      <c r="Q26" s="189"/>
      <c r="R26" s="189"/>
      <c r="S26" s="179"/>
      <c r="T26" s="179"/>
      <c r="U26" s="179"/>
      <c r="V26" s="179"/>
      <c r="W26" s="176"/>
      <c r="X26" s="176"/>
      <c r="Y26" s="177"/>
      <c r="Z26" s="11"/>
    </row>
    <row r="27" spans="1:30" ht="12.75" customHeight="1" x14ac:dyDescent="0.25">
      <c r="A27" s="8"/>
      <c r="B27" s="183" t="s">
        <v>30</v>
      </c>
      <c r="C27" s="186"/>
      <c r="D27" s="186"/>
      <c r="E27" s="186"/>
      <c r="F27" s="180" t="str">
        <f>IF(F24&lt;&gt;"",(997.1*(SUM(AD35:AD55))),"")</f>
        <v/>
      </c>
      <c r="G27" s="180"/>
      <c r="H27" s="180"/>
      <c r="I27" s="180"/>
      <c r="J27" s="172" t="s">
        <v>25</v>
      </c>
      <c r="K27" s="172"/>
      <c r="L27" s="173"/>
      <c r="M27" s="9"/>
      <c r="N27" s="9"/>
      <c r="O27" s="190" t="s">
        <v>26</v>
      </c>
      <c r="P27" s="178"/>
      <c r="Q27" s="178"/>
      <c r="R27" s="178"/>
      <c r="S27" s="178"/>
      <c r="T27" s="178"/>
      <c r="U27" s="178"/>
      <c r="V27" s="178"/>
      <c r="W27" s="172" t="s">
        <v>25</v>
      </c>
      <c r="X27" s="172"/>
      <c r="Y27" s="173"/>
      <c r="Z27" s="11"/>
    </row>
    <row r="28" spans="1:30" ht="12.75" customHeight="1" x14ac:dyDescent="0.25">
      <c r="A28" s="8"/>
      <c r="B28" s="187"/>
      <c r="C28" s="155"/>
      <c r="D28" s="155"/>
      <c r="E28" s="155"/>
      <c r="F28" s="181"/>
      <c r="G28" s="181"/>
      <c r="H28" s="181"/>
      <c r="I28" s="181"/>
      <c r="J28" s="174"/>
      <c r="K28" s="174"/>
      <c r="L28" s="175"/>
      <c r="M28" s="9"/>
      <c r="N28" s="9"/>
      <c r="O28" s="184"/>
      <c r="P28" s="151"/>
      <c r="Q28" s="151"/>
      <c r="R28" s="151"/>
      <c r="S28" s="151"/>
      <c r="T28" s="151"/>
      <c r="U28" s="151"/>
      <c r="V28" s="151"/>
      <c r="W28" s="174"/>
      <c r="X28" s="174"/>
      <c r="Y28" s="175"/>
      <c r="Z28" s="11"/>
    </row>
    <row r="29" spans="1:30" ht="12.75" customHeight="1" x14ac:dyDescent="0.25">
      <c r="A29" s="8"/>
      <c r="B29" s="188"/>
      <c r="C29" s="189"/>
      <c r="D29" s="189"/>
      <c r="E29" s="189"/>
      <c r="F29" s="182"/>
      <c r="G29" s="182"/>
      <c r="H29" s="182"/>
      <c r="I29" s="182"/>
      <c r="J29" s="176"/>
      <c r="K29" s="176"/>
      <c r="L29" s="177"/>
      <c r="M29" s="9"/>
      <c r="N29" s="9"/>
      <c r="O29" s="185"/>
      <c r="P29" s="179"/>
      <c r="Q29" s="179"/>
      <c r="R29" s="179"/>
      <c r="S29" s="179"/>
      <c r="T29" s="179"/>
      <c r="U29" s="179"/>
      <c r="V29" s="179"/>
      <c r="W29" s="176"/>
      <c r="X29" s="176"/>
      <c r="Y29" s="177"/>
      <c r="Z29" s="11"/>
    </row>
    <row r="30" spans="1:30" ht="12.75" customHeight="1" x14ac:dyDescent="0.25">
      <c r="A30" s="8"/>
      <c r="B30" s="35"/>
      <c r="C30" s="36"/>
      <c r="D30" s="37"/>
      <c r="I30" s="38"/>
      <c r="J30" s="38"/>
      <c r="K30" s="9"/>
      <c r="L30" s="9"/>
      <c r="M30" s="9"/>
      <c r="N30" s="9"/>
      <c r="O30" s="9"/>
      <c r="P30" s="36"/>
      <c r="Q30" s="36"/>
      <c r="R30" s="36"/>
      <c r="S30" s="36"/>
      <c r="T30" s="36"/>
      <c r="U30" s="36"/>
      <c r="V30" s="36"/>
      <c r="W30" s="37"/>
      <c r="X30" s="9"/>
      <c r="Y30" s="9"/>
      <c r="Z30" s="11"/>
    </row>
    <row r="31" spans="1:30" ht="12.75" customHeight="1" thickBot="1" x14ac:dyDescent="0.3">
      <c r="A31" s="8"/>
      <c r="B31" s="35"/>
      <c r="C31" s="36"/>
      <c r="D31" s="37"/>
      <c r="E31" s="38"/>
      <c r="F31" s="39"/>
      <c r="G31" s="36"/>
      <c r="H31" s="37"/>
      <c r="I31" s="38"/>
      <c r="J31" s="38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11"/>
    </row>
    <row r="32" spans="1:30" ht="19.5" customHeight="1" x14ac:dyDescent="0.25">
      <c r="A32" s="8"/>
      <c r="B32" s="160" t="s">
        <v>39</v>
      </c>
      <c r="C32" s="153"/>
      <c r="D32" s="153"/>
      <c r="E32" s="153" t="s">
        <v>31</v>
      </c>
      <c r="F32" s="153"/>
      <c r="G32" s="153"/>
      <c r="H32" s="153" t="s">
        <v>32</v>
      </c>
      <c r="I32" s="153"/>
      <c r="J32" s="153"/>
      <c r="K32" s="153" t="s">
        <v>33</v>
      </c>
      <c r="L32" s="153"/>
      <c r="M32" s="153"/>
      <c r="N32" s="153" t="s">
        <v>45</v>
      </c>
      <c r="O32" s="153"/>
      <c r="P32" s="153"/>
      <c r="Q32" s="153" t="s">
        <v>27</v>
      </c>
      <c r="R32" s="153"/>
      <c r="S32" s="153"/>
      <c r="T32" s="150" t="s">
        <v>28</v>
      </c>
      <c r="U32" s="150"/>
      <c r="V32" s="150"/>
      <c r="W32" s="153" t="s">
        <v>29</v>
      </c>
      <c r="X32" s="153"/>
      <c r="Y32" s="154"/>
      <c r="Z32" s="11"/>
      <c r="AB32" s="108" t="s">
        <v>37</v>
      </c>
      <c r="AC32" s="109" t="s">
        <v>38</v>
      </c>
      <c r="AD32" s="110" t="s">
        <v>41</v>
      </c>
    </row>
    <row r="33" spans="1:30" ht="19.5" customHeight="1" x14ac:dyDescent="0.25">
      <c r="A33" s="8"/>
      <c r="B33" s="161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1"/>
      <c r="U33" s="151"/>
      <c r="V33" s="151"/>
      <c r="W33" s="155"/>
      <c r="X33" s="155"/>
      <c r="Y33" s="156"/>
      <c r="Z33" s="11"/>
      <c r="AB33" s="111"/>
      <c r="AC33" s="112"/>
      <c r="AD33" s="113"/>
    </row>
    <row r="34" spans="1:30" ht="19.5" customHeight="1" thickBot="1" x14ac:dyDescent="0.3">
      <c r="A34" s="8"/>
      <c r="B34" s="162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2"/>
      <c r="U34" s="152"/>
      <c r="V34" s="152"/>
      <c r="W34" s="157"/>
      <c r="X34" s="157"/>
      <c r="Y34" s="158"/>
      <c r="Z34" s="11"/>
      <c r="AB34" s="114"/>
      <c r="AC34" s="115"/>
      <c r="AD34" s="116"/>
    </row>
    <row r="35" spans="1:30" ht="12.75" customHeight="1" x14ac:dyDescent="0.25">
      <c r="A35" s="8"/>
      <c r="B35" s="144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63" t="str">
        <f>IF(E35&lt;&gt;"",E35/(((H35-K35)/$F$27)-((H35-E35)/$S$24)),"")</f>
        <v/>
      </c>
      <c r="O35" s="163"/>
      <c r="P35" s="163"/>
      <c r="Q35" s="166" t="str">
        <f>IF(N35&lt;&gt;"",(N35/$S$27)*100,"")</f>
        <v/>
      </c>
      <c r="R35" s="166"/>
      <c r="S35" s="166"/>
      <c r="T35" s="166" t="str">
        <f>IF(Q35&lt;&gt;"",100-Q35,"")</f>
        <v/>
      </c>
      <c r="U35" s="166"/>
      <c r="V35" s="166"/>
      <c r="W35" s="145"/>
      <c r="X35" s="145"/>
      <c r="Y35" s="169"/>
      <c r="Z35" s="11"/>
      <c r="AB35" s="8">
        <v>10</v>
      </c>
      <c r="AC35" s="10">
        <v>1.0026999999999999</v>
      </c>
      <c r="AD35" s="40" t="str">
        <f>IF($F$24=AB35,AC35,"")</f>
        <v/>
      </c>
    </row>
    <row r="36" spans="1:30" ht="12.75" customHeight="1" x14ac:dyDescent="0.25">
      <c r="A36" s="8"/>
      <c r="B36" s="146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64"/>
      <c r="O36" s="164"/>
      <c r="P36" s="164"/>
      <c r="Q36" s="167"/>
      <c r="R36" s="167"/>
      <c r="S36" s="167"/>
      <c r="T36" s="167"/>
      <c r="U36" s="167"/>
      <c r="V36" s="167"/>
      <c r="W36" s="147"/>
      <c r="X36" s="147"/>
      <c r="Y36" s="170"/>
      <c r="Z36" s="11"/>
      <c r="AB36" s="8">
        <v>11</v>
      </c>
      <c r="AC36" s="10">
        <v>1.0025999999999999</v>
      </c>
      <c r="AD36" s="40" t="str">
        <f t="shared" ref="AD36:AD55" si="0">IF($F$24=AB36,AC36,"")</f>
        <v/>
      </c>
    </row>
    <row r="37" spans="1:30" ht="12.75" customHeight="1" x14ac:dyDescent="0.25">
      <c r="A37" s="8"/>
      <c r="B37" s="148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65"/>
      <c r="O37" s="165"/>
      <c r="P37" s="165"/>
      <c r="Q37" s="168"/>
      <c r="R37" s="168"/>
      <c r="S37" s="168"/>
      <c r="T37" s="168"/>
      <c r="U37" s="168"/>
      <c r="V37" s="168"/>
      <c r="W37" s="149"/>
      <c r="X37" s="149"/>
      <c r="Y37" s="171"/>
      <c r="Z37" s="11"/>
      <c r="AB37" s="8">
        <v>12</v>
      </c>
      <c r="AC37" s="10">
        <v>1.0024999999999999</v>
      </c>
      <c r="AD37" s="40" t="str">
        <f t="shared" si="0"/>
        <v/>
      </c>
    </row>
    <row r="38" spans="1:30" ht="12.75" customHeight="1" x14ac:dyDescent="0.25">
      <c r="A38" s="8"/>
      <c r="B38" s="194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5" t="str">
        <f>IF(E38&lt;&gt;"",E38/(((H38-K38)/$F$27)-((H38-E38)/$S$24)),"")</f>
        <v/>
      </c>
      <c r="O38" s="195"/>
      <c r="P38" s="195"/>
      <c r="Q38" s="191" t="str">
        <f>IF(N38&lt;&gt;"",(N38/$S$27)*100,"")</f>
        <v/>
      </c>
      <c r="R38" s="191"/>
      <c r="S38" s="191"/>
      <c r="T38" s="191" t="str">
        <f>IF(Q38&lt;&gt;"",100-Q38,"")</f>
        <v/>
      </c>
      <c r="U38" s="191"/>
      <c r="V38" s="191"/>
      <c r="W38" s="192"/>
      <c r="X38" s="192"/>
      <c r="Y38" s="193"/>
      <c r="Z38" s="11"/>
      <c r="AB38" s="8">
        <v>13</v>
      </c>
      <c r="AC38" s="10">
        <v>1.0023</v>
      </c>
      <c r="AD38" s="40" t="str">
        <f t="shared" si="0"/>
        <v/>
      </c>
    </row>
    <row r="39" spans="1:30" ht="12.75" customHeight="1" x14ac:dyDescent="0.25">
      <c r="A39" s="8"/>
      <c r="B39" s="146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64"/>
      <c r="O39" s="164"/>
      <c r="P39" s="164"/>
      <c r="Q39" s="167"/>
      <c r="R39" s="167"/>
      <c r="S39" s="167"/>
      <c r="T39" s="167"/>
      <c r="U39" s="167"/>
      <c r="V39" s="167"/>
      <c r="W39" s="147"/>
      <c r="X39" s="147"/>
      <c r="Y39" s="170"/>
      <c r="Z39" s="11"/>
      <c r="AB39" s="8">
        <v>14</v>
      </c>
      <c r="AC39" s="10">
        <v>1.0022</v>
      </c>
      <c r="AD39" s="40" t="str">
        <f t="shared" si="0"/>
        <v/>
      </c>
    </row>
    <row r="40" spans="1:30" ht="12.75" customHeight="1" x14ac:dyDescent="0.25">
      <c r="A40" s="8"/>
      <c r="B40" s="148"/>
      <c r="C40" s="149"/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65"/>
      <c r="O40" s="165"/>
      <c r="P40" s="165"/>
      <c r="Q40" s="168"/>
      <c r="R40" s="168"/>
      <c r="S40" s="168"/>
      <c r="T40" s="168"/>
      <c r="U40" s="168"/>
      <c r="V40" s="168"/>
      <c r="W40" s="149"/>
      <c r="X40" s="149"/>
      <c r="Y40" s="171"/>
      <c r="Z40" s="11"/>
      <c r="AB40" s="8">
        <v>15</v>
      </c>
      <c r="AC40" s="10">
        <v>1.0021</v>
      </c>
      <c r="AD40" s="40" t="str">
        <f t="shared" si="0"/>
        <v/>
      </c>
    </row>
    <row r="41" spans="1:30" ht="12.75" customHeight="1" x14ac:dyDescent="0.25">
      <c r="A41" s="8"/>
      <c r="B41" s="194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5" t="str">
        <f>IF(E41&lt;&gt;"",E41/(((H41-K41)/$F$27)-((H41-E41)/$S$24)),"")</f>
        <v/>
      </c>
      <c r="O41" s="195"/>
      <c r="P41" s="195"/>
      <c r="Q41" s="191" t="str">
        <f>IF(N41&lt;&gt;"",(N41/$S$27)*100,"")</f>
        <v/>
      </c>
      <c r="R41" s="191"/>
      <c r="S41" s="191"/>
      <c r="T41" s="191" t="str">
        <f>IF(Q41&lt;&gt;"",100-Q41,"")</f>
        <v/>
      </c>
      <c r="U41" s="191"/>
      <c r="V41" s="191"/>
      <c r="W41" s="192"/>
      <c r="X41" s="192"/>
      <c r="Y41" s="193"/>
      <c r="Z41" s="11"/>
      <c r="AB41" s="8">
        <v>16</v>
      </c>
      <c r="AC41" s="10">
        <v>1.0019</v>
      </c>
      <c r="AD41" s="40" t="str">
        <f t="shared" si="0"/>
        <v/>
      </c>
    </row>
    <row r="42" spans="1:30" ht="12.75" customHeight="1" x14ac:dyDescent="0.25">
      <c r="A42" s="8"/>
      <c r="B42" s="146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64"/>
      <c r="O42" s="164"/>
      <c r="P42" s="164"/>
      <c r="Q42" s="167"/>
      <c r="R42" s="167"/>
      <c r="S42" s="167"/>
      <c r="T42" s="167"/>
      <c r="U42" s="167"/>
      <c r="V42" s="167"/>
      <c r="W42" s="147"/>
      <c r="X42" s="147"/>
      <c r="Y42" s="170"/>
      <c r="Z42" s="11"/>
      <c r="AB42" s="8">
        <v>17</v>
      </c>
      <c r="AC42" s="10">
        <v>1.0017</v>
      </c>
      <c r="AD42" s="40" t="str">
        <f t="shared" si="0"/>
        <v/>
      </c>
    </row>
    <row r="43" spans="1:30" ht="12.75" customHeight="1" x14ac:dyDescent="0.25">
      <c r="A43" s="8"/>
      <c r="B43" s="148"/>
      <c r="C43" s="149"/>
      <c r="D43" s="149"/>
      <c r="E43" s="149"/>
      <c r="F43" s="149"/>
      <c r="G43" s="149"/>
      <c r="H43" s="149"/>
      <c r="I43" s="149"/>
      <c r="J43" s="149"/>
      <c r="K43" s="149"/>
      <c r="L43" s="149"/>
      <c r="M43" s="149"/>
      <c r="N43" s="165"/>
      <c r="O43" s="165"/>
      <c r="P43" s="165"/>
      <c r="Q43" s="168"/>
      <c r="R43" s="168"/>
      <c r="S43" s="168"/>
      <c r="T43" s="168"/>
      <c r="U43" s="168"/>
      <c r="V43" s="168"/>
      <c r="W43" s="149"/>
      <c r="X43" s="149"/>
      <c r="Y43" s="171"/>
      <c r="Z43" s="11"/>
      <c r="AB43" s="8">
        <v>18</v>
      </c>
      <c r="AC43" s="10">
        <v>1.0016</v>
      </c>
      <c r="AD43" s="40" t="str">
        <f t="shared" si="0"/>
        <v/>
      </c>
    </row>
    <row r="44" spans="1:30" ht="12.75" customHeight="1" x14ac:dyDescent="0.25">
      <c r="A44" s="8"/>
      <c r="B44" s="194"/>
      <c r="C44" s="192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195" t="str">
        <f>IF(E44&lt;&gt;"",E44/(((H44-K44)/$F$27)-((H44-E44)/$S$24)),"")</f>
        <v/>
      </c>
      <c r="O44" s="195"/>
      <c r="P44" s="195"/>
      <c r="Q44" s="191" t="str">
        <f>IF(N44&lt;&gt;"",(N44/$S$27)*100,"")</f>
        <v/>
      </c>
      <c r="R44" s="191"/>
      <c r="S44" s="191"/>
      <c r="T44" s="191" t="str">
        <f>IF(Q44&lt;&gt;"",100-Q44,"")</f>
        <v/>
      </c>
      <c r="U44" s="191"/>
      <c r="V44" s="191"/>
      <c r="W44" s="192"/>
      <c r="X44" s="192"/>
      <c r="Y44" s="193"/>
      <c r="Z44" s="11"/>
      <c r="AB44" s="8">
        <v>19</v>
      </c>
      <c r="AC44" s="10">
        <v>1.0014000000000001</v>
      </c>
      <c r="AD44" s="40" t="str">
        <f t="shared" si="0"/>
        <v/>
      </c>
    </row>
    <row r="45" spans="1:30" ht="12.75" customHeight="1" x14ac:dyDescent="0.25">
      <c r="A45" s="8"/>
      <c r="B45" s="146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64"/>
      <c r="O45" s="164"/>
      <c r="P45" s="164"/>
      <c r="Q45" s="167"/>
      <c r="R45" s="167"/>
      <c r="S45" s="167"/>
      <c r="T45" s="167"/>
      <c r="U45" s="167"/>
      <c r="V45" s="167"/>
      <c r="W45" s="147"/>
      <c r="X45" s="147"/>
      <c r="Y45" s="170"/>
      <c r="Z45" s="11"/>
      <c r="AB45" s="8">
        <v>20</v>
      </c>
      <c r="AC45" s="10">
        <v>1.0012000000000001</v>
      </c>
      <c r="AD45" s="40" t="str">
        <f t="shared" si="0"/>
        <v/>
      </c>
    </row>
    <row r="46" spans="1:30" ht="12.75" customHeight="1" x14ac:dyDescent="0.25">
      <c r="A46" s="8"/>
      <c r="B46" s="148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65"/>
      <c r="O46" s="165"/>
      <c r="P46" s="165"/>
      <c r="Q46" s="168"/>
      <c r="R46" s="168"/>
      <c r="S46" s="168"/>
      <c r="T46" s="168"/>
      <c r="U46" s="168"/>
      <c r="V46" s="168"/>
      <c r="W46" s="149"/>
      <c r="X46" s="149"/>
      <c r="Y46" s="171"/>
      <c r="Z46" s="11"/>
      <c r="AB46" s="8">
        <v>21</v>
      </c>
      <c r="AC46" s="41">
        <v>1.0009999999999999</v>
      </c>
      <c r="AD46" s="40" t="str">
        <f t="shared" si="0"/>
        <v/>
      </c>
    </row>
    <row r="47" spans="1:30" ht="12.75" customHeight="1" x14ac:dyDescent="0.25">
      <c r="A47" s="42"/>
      <c r="B47" s="194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5" t="str">
        <f>IF(E47&lt;&gt;"",E47/(((H47-K47)/$F$27)-((H47-E47)/$S$24)),"")</f>
        <v/>
      </c>
      <c r="O47" s="195"/>
      <c r="P47" s="195"/>
      <c r="Q47" s="191" t="str">
        <f>IF(N47&lt;&gt;"",(N47/$S$27)*100,"")</f>
        <v/>
      </c>
      <c r="R47" s="191"/>
      <c r="S47" s="191"/>
      <c r="T47" s="191" t="str">
        <f>IF(Q47&lt;&gt;"",100-Q47,"")</f>
        <v/>
      </c>
      <c r="U47" s="191"/>
      <c r="V47" s="191"/>
      <c r="W47" s="192"/>
      <c r="X47" s="192"/>
      <c r="Y47" s="193"/>
      <c r="Z47" s="43"/>
      <c r="AB47" s="8">
        <v>22</v>
      </c>
      <c r="AC47" s="10">
        <v>1.0006999999999999</v>
      </c>
      <c r="AD47" s="40" t="str">
        <f t="shared" si="0"/>
        <v/>
      </c>
    </row>
    <row r="48" spans="1:30" ht="12.75" customHeight="1" x14ac:dyDescent="0.25">
      <c r="A48" s="42"/>
      <c r="B48" s="146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64"/>
      <c r="O48" s="164"/>
      <c r="P48" s="164"/>
      <c r="Q48" s="167"/>
      <c r="R48" s="167"/>
      <c r="S48" s="167"/>
      <c r="T48" s="167"/>
      <c r="U48" s="167"/>
      <c r="V48" s="167"/>
      <c r="W48" s="147"/>
      <c r="X48" s="147"/>
      <c r="Y48" s="170"/>
      <c r="Z48" s="43"/>
      <c r="AB48" s="8">
        <v>23</v>
      </c>
      <c r="AC48" s="10">
        <v>1.0004999999999999</v>
      </c>
      <c r="AD48" s="40" t="str">
        <f t="shared" si="0"/>
        <v/>
      </c>
    </row>
    <row r="49" spans="1:30" ht="12.75" customHeight="1" x14ac:dyDescent="0.25">
      <c r="A49" s="8"/>
      <c r="B49" s="148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65"/>
      <c r="O49" s="165"/>
      <c r="P49" s="165"/>
      <c r="Q49" s="168"/>
      <c r="R49" s="168"/>
      <c r="S49" s="168"/>
      <c r="T49" s="168"/>
      <c r="U49" s="168"/>
      <c r="V49" s="168"/>
      <c r="W49" s="149"/>
      <c r="X49" s="149"/>
      <c r="Y49" s="171"/>
      <c r="Z49" s="11"/>
      <c r="AB49" s="8">
        <v>24</v>
      </c>
      <c r="AC49" s="10">
        <v>1.0003</v>
      </c>
      <c r="AD49" s="40" t="str">
        <f t="shared" si="0"/>
        <v/>
      </c>
    </row>
    <row r="50" spans="1:30" ht="12.75" customHeight="1" x14ac:dyDescent="0.25">
      <c r="A50" s="8"/>
      <c r="B50" s="194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5" t="str">
        <f>IF(E50&lt;&gt;"",E50/(((H50-K50)/$F$27)-((H50-E50)/$S$24)),"")</f>
        <v/>
      </c>
      <c r="O50" s="195"/>
      <c r="P50" s="195"/>
      <c r="Q50" s="191" t="str">
        <f>IF(N50&lt;&gt;"",(N50/$S$27)*100,"")</f>
        <v/>
      </c>
      <c r="R50" s="191"/>
      <c r="S50" s="191"/>
      <c r="T50" s="191" t="str">
        <f>IF(Q50&lt;&gt;"",100-Q50,"")</f>
        <v/>
      </c>
      <c r="U50" s="191"/>
      <c r="V50" s="191"/>
      <c r="W50" s="192"/>
      <c r="X50" s="192"/>
      <c r="Y50" s="193"/>
      <c r="Z50" s="11"/>
      <c r="AB50" s="8">
        <v>25</v>
      </c>
      <c r="AC50" s="41">
        <v>1</v>
      </c>
      <c r="AD50" s="40" t="str">
        <f t="shared" si="0"/>
        <v/>
      </c>
    </row>
    <row r="51" spans="1:30" ht="12.75" customHeight="1" x14ac:dyDescent="0.25">
      <c r="A51" s="44"/>
      <c r="B51" s="146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64"/>
      <c r="O51" s="164"/>
      <c r="P51" s="164"/>
      <c r="Q51" s="167"/>
      <c r="R51" s="167"/>
      <c r="S51" s="167"/>
      <c r="T51" s="167"/>
      <c r="U51" s="167"/>
      <c r="V51" s="167"/>
      <c r="W51" s="147"/>
      <c r="X51" s="147"/>
      <c r="Y51" s="170"/>
      <c r="Z51" s="11"/>
      <c r="AB51" s="8">
        <v>26</v>
      </c>
      <c r="AC51" s="10">
        <v>0.99970000000000003</v>
      </c>
      <c r="AD51" s="40" t="str">
        <f t="shared" si="0"/>
        <v/>
      </c>
    </row>
    <row r="52" spans="1:30" ht="12.75" customHeight="1" x14ac:dyDescent="0.25">
      <c r="A52" s="8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65"/>
      <c r="O52" s="165"/>
      <c r="P52" s="165"/>
      <c r="Q52" s="168"/>
      <c r="R52" s="168"/>
      <c r="S52" s="168"/>
      <c r="T52" s="168"/>
      <c r="U52" s="168"/>
      <c r="V52" s="168"/>
      <c r="W52" s="149"/>
      <c r="X52" s="149"/>
      <c r="Y52" s="171"/>
      <c r="Z52" s="11"/>
      <c r="AB52" s="8">
        <v>27</v>
      </c>
      <c r="AC52" s="10">
        <v>0.99950000000000006</v>
      </c>
      <c r="AD52" s="40" t="str">
        <f t="shared" si="0"/>
        <v/>
      </c>
    </row>
    <row r="53" spans="1:30" ht="12.75" customHeight="1" x14ac:dyDescent="0.25">
      <c r="A53" s="45"/>
      <c r="B53" s="194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5" t="str">
        <f>IF(E53&lt;&gt;"",E53/(((H53-K53)/$F$27)-((H53-E53)/$S$24)),"")</f>
        <v/>
      </c>
      <c r="O53" s="195"/>
      <c r="P53" s="195"/>
      <c r="Q53" s="191" t="str">
        <f>IF(N53&lt;&gt;"",(N53/$S$27)*100,"")</f>
        <v/>
      </c>
      <c r="R53" s="191"/>
      <c r="S53" s="191"/>
      <c r="T53" s="191" t="str">
        <f>IF(Q53&lt;&gt;"",100-Q53,"")</f>
        <v/>
      </c>
      <c r="U53" s="191"/>
      <c r="V53" s="191"/>
      <c r="W53" s="192"/>
      <c r="X53" s="192"/>
      <c r="Y53" s="193"/>
      <c r="Z53" s="46"/>
      <c r="AB53" s="8">
        <v>28</v>
      </c>
      <c r="AC53" s="10">
        <v>0.99919999999999998</v>
      </c>
      <c r="AD53" s="40" t="str">
        <f t="shared" si="0"/>
        <v/>
      </c>
    </row>
    <row r="54" spans="1:30" ht="12.75" customHeight="1" x14ac:dyDescent="0.25">
      <c r="A54" s="45"/>
      <c r="B54" s="146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64"/>
      <c r="O54" s="164"/>
      <c r="P54" s="164"/>
      <c r="Q54" s="167"/>
      <c r="R54" s="167"/>
      <c r="S54" s="167"/>
      <c r="T54" s="167"/>
      <c r="U54" s="167"/>
      <c r="V54" s="167"/>
      <c r="W54" s="147"/>
      <c r="X54" s="147"/>
      <c r="Y54" s="170"/>
      <c r="Z54" s="11"/>
      <c r="AB54" s="8">
        <v>29</v>
      </c>
      <c r="AC54" s="10">
        <v>0.99890000000000001</v>
      </c>
      <c r="AD54" s="40" t="str">
        <f t="shared" si="0"/>
        <v/>
      </c>
    </row>
    <row r="55" spans="1:30" ht="12.75" customHeight="1" x14ac:dyDescent="0.25">
      <c r="A55" s="45"/>
      <c r="B55" s="148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65"/>
      <c r="O55" s="165"/>
      <c r="P55" s="165"/>
      <c r="Q55" s="168"/>
      <c r="R55" s="168"/>
      <c r="S55" s="168"/>
      <c r="T55" s="168"/>
      <c r="U55" s="168"/>
      <c r="V55" s="168"/>
      <c r="W55" s="149"/>
      <c r="X55" s="149"/>
      <c r="Y55" s="171"/>
      <c r="Z55" s="47"/>
      <c r="AB55" s="13">
        <v>30</v>
      </c>
      <c r="AC55" s="14">
        <v>0.99860000000000004</v>
      </c>
      <c r="AD55" s="48" t="str">
        <f t="shared" si="0"/>
        <v/>
      </c>
    </row>
    <row r="56" spans="1:30" ht="12.75" customHeight="1" x14ac:dyDescent="0.25">
      <c r="A56" s="45"/>
      <c r="B56" s="194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5" t="str">
        <f>IF(E56&lt;&gt;"",E56/(((H56-K56)/$F$27)-((H56-E56)/$S$24)),"")</f>
        <v/>
      </c>
      <c r="O56" s="195"/>
      <c r="P56" s="195"/>
      <c r="Q56" s="191" t="str">
        <f>IF(N56&lt;&gt;"",(N56/$S$27)*100,"")</f>
        <v/>
      </c>
      <c r="R56" s="191"/>
      <c r="S56" s="191"/>
      <c r="T56" s="191" t="str">
        <f>IF(Q56&lt;&gt;"",100-Q56,"")</f>
        <v/>
      </c>
      <c r="U56" s="191"/>
      <c r="V56" s="191"/>
      <c r="W56" s="192"/>
      <c r="X56" s="192"/>
      <c r="Y56" s="193"/>
      <c r="Z56" s="11"/>
    </row>
    <row r="57" spans="1:30" ht="12.75" customHeight="1" x14ac:dyDescent="0.25">
      <c r="A57" s="49"/>
      <c r="B57" s="146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64"/>
      <c r="O57" s="164"/>
      <c r="P57" s="164"/>
      <c r="Q57" s="167"/>
      <c r="R57" s="167"/>
      <c r="S57" s="167"/>
      <c r="T57" s="167"/>
      <c r="U57" s="167"/>
      <c r="V57" s="167"/>
      <c r="W57" s="147"/>
      <c r="X57" s="147"/>
      <c r="Y57" s="170"/>
      <c r="Z57" s="47"/>
    </row>
    <row r="58" spans="1:30" ht="12.75" customHeight="1" x14ac:dyDescent="0.25">
      <c r="A58" s="8"/>
      <c r="B58" s="148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65"/>
      <c r="O58" s="165"/>
      <c r="P58" s="165"/>
      <c r="Q58" s="168"/>
      <c r="R58" s="168"/>
      <c r="S58" s="168"/>
      <c r="T58" s="168"/>
      <c r="U58" s="168"/>
      <c r="V58" s="168"/>
      <c r="W58" s="149"/>
      <c r="X58" s="149"/>
      <c r="Y58" s="171"/>
      <c r="Z58" s="11"/>
    </row>
    <row r="59" spans="1:30" ht="12.75" customHeight="1" x14ac:dyDescent="0.25">
      <c r="A59" s="8"/>
      <c r="B59" s="194"/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5" t="str">
        <f>IF(E59&lt;&gt;"",E59/(((H59-K59)/$F$27)-((H59-E59)/$S$24)),"")</f>
        <v/>
      </c>
      <c r="O59" s="195"/>
      <c r="P59" s="195"/>
      <c r="Q59" s="191" t="str">
        <f>IF(N59&lt;&gt;"",(N59/$S$27)*100,"")</f>
        <v/>
      </c>
      <c r="R59" s="191"/>
      <c r="S59" s="191"/>
      <c r="T59" s="191" t="str">
        <f>IF(Q59&lt;&gt;"",100-Q59,"")</f>
        <v/>
      </c>
      <c r="U59" s="191"/>
      <c r="V59" s="191"/>
      <c r="W59" s="192"/>
      <c r="X59" s="192"/>
      <c r="Y59" s="193"/>
      <c r="Z59" s="47"/>
    </row>
    <row r="60" spans="1:30" ht="12.75" customHeight="1" x14ac:dyDescent="0.25">
      <c r="A60" s="45"/>
      <c r="B60" s="146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64"/>
      <c r="O60" s="164"/>
      <c r="P60" s="164"/>
      <c r="Q60" s="167"/>
      <c r="R60" s="167"/>
      <c r="S60" s="167"/>
      <c r="T60" s="167"/>
      <c r="U60" s="167"/>
      <c r="V60" s="167"/>
      <c r="W60" s="147"/>
      <c r="X60" s="147"/>
      <c r="Y60" s="170"/>
      <c r="Z60" s="47"/>
    </row>
    <row r="61" spans="1:30" ht="12.75" customHeight="1" x14ac:dyDescent="0.25">
      <c r="A61" s="45"/>
      <c r="B61" s="148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65"/>
      <c r="O61" s="165"/>
      <c r="P61" s="165"/>
      <c r="Q61" s="168"/>
      <c r="R61" s="168"/>
      <c r="S61" s="168"/>
      <c r="T61" s="168"/>
      <c r="U61" s="168"/>
      <c r="V61" s="168"/>
      <c r="W61" s="149"/>
      <c r="X61" s="149"/>
      <c r="Y61" s="171"/>
      <c r="Z61" s="47"/>
    </row>
    <row r="62" spans="1:30" ht="12.75" customHeight="1" x14ac:dyDescent="0.25">
      <c r="A62" s="45"/>
      <c r="B62" s="146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64" t="str">
        <f>IF(E62&lt;&gt;"",E62/(((H62-K62)/$F$27)-((H62-E62)/$S$24)),"")</f>
        <v/>
      </c>
      <c r="O62" s="164"/>
      <c r="P62" s="164"/>
      <c r="Q62" s="167" t="str">
        <f>IF(N62&lt;&gt;"",(N62/$S$27)*100,"")</f>
        <v/>
      </c>
      <c r="R62" s="167"/>
      <c r="S62" s="167"/>
      <c r="T62" s="167" t="str">
        <f>IF(Q62&lt;&gt;"",100-Q62,"")</f>
        <v/>
      </c>
      <c r="U62" s="167"/>
      <c r="V62" s="167"/>
      <c r="W62" s="147"/>
      <c r="X62" s="147"/>
      <c r="Y62" s="170"/>
      <c r="Z62" s="47"/>
    </row>
    <row r="63" spans="1:30" ht="12.75" customHeight="1" x14ac:dyDescent="0.25">
      <c r="A63" s="45"/>
      <c r="B63" s="146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64"/>
      <c r="O63" s="164"/>
      <c r="P63" s="164"/>
      <c r="Q63" s="167"/>
      <c r="R63" s="167"/>
      <c r="S63" s="167"/>
      <c r="T63" s="167"/>
      <c r="U63" s="167"/>
      <c r="V63" s="167"/>
      <c r="W63" s="147"/>
      <c r="X63" s="147"/>
      <c r="Y63" s="170"/>
      <c r="Z63" s="47"/>
    </row>
    <row r="64" spans="1:30" ht="12.75" customHeight="1" thickBot="1" x14ac:dyDescent="0.3">
      <c r="A64" s="45"/>
      <c r="B64" s="199"/>
      <c r="C64" s="197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200"/>
      <c r="O64" s="200"/>
      <c r="P64" s="200"/>
      <c r="Q64" s="196"/>
      <c r="R64" s="196"/>
      <c r="S64" s="196"/>
      <c r="T64" s="196"/>
      <c r="U64" s="196"/>
      <c r="V64" s="196"/>
      <c r="W64" s="197"/>
      <c r="X64" s="197"/>
      <c r="Y64" s="198"/>
      <c r="Z64" s="11"/>
    </row>
    <row r="65" spans="1:26" ht="15.9" customHeight="1" x14ac:dyDescent="0.25">
      <c r="A65" s="50"/>
      <c r="B65" s="51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16"/>
    </row>
    <row r="66" spans="1:26" ht="12.75" customHeight="1" x14ac:dyDescent="0.25">
      <c r="A66" s="52"/>
      <c r="B66" s="53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6" s="17" customFormat="1" ht="15.6" customHeight="1" x14ac:dyDescent="0.25">
      <c r="A67" s="54" t="s">
        <v>40</v>
      </c>
      <c r="B67" s="55" t="s">
        <v>15</v>
      </c>
      <c r="C67" s="56"/>
      <c r="D67" s="56"/>
      <c r="E67" s="56"/>
      <c r="F67" s="57"/>
      <c r="G67" s="57"/>
      <c r="H67" s="57"/>
      <c r="I67" s="5"/>
      <c r="J67" s="5"/>
      <c r="K67" s="5"/>
      <c r="L67" s="5"/>
      <c r="M67" s="5"/>
      <c r="N67" s="5"/>
      <c r="O67" s="5"/>
      <c r="P67" s="5"/>
      <c r="Q67" s="57"/>
      <c r="R67" s="5"/>
      <c r="S67" s="5"/>
      <c r="T67" s="5"/>
      <c r="U67" s="85"/>
      <c r="V67" s="85"/>
      <c r="W67" s="85"/>
      <c r="X67" s="86"/>
      <c r="Y67" s="86"/>
      <c r="Z67" s="87"/>
    </row>
    <row r="68" spans="1:26" s="17" customFormat="1" ht="25.8" customHeight="1" x14ac:dyDescent="0.25">
      <c r="A68" s="75" t="s">
        <v>47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7"/>
      <c r="R68" s="82" t="s">
        <v>10</v>
      </c>
      <c r="S68" s="83"/>
      <c r="T68" s="84"/>
      <c r="U68" s="88"/>
      <c r="V68" s="89"/>
      <c r="W68" s="89"/>
      <c r="X68" s="90"/>
      <c r="Y68" s="90"/>
      <c r="Z68" s="91"/>
    </row>
    <row r="69" spans="1:26" s="17" customFormat="1" ht="26.4" customHeight="1" x14ac:dyDescent="0.25">
      <c r="A69" s="78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80"/>
      <c r="R69" s="82"/>
      <c r="S69" s="83"/>
      <c r="T69" s="84"/>
      <c r="U69" s="134"/>
      <c r="V69" s="135"/>
      <c r="W69" s="135"/>
      <c r="X69" s="136"/>
      <c r="Y69" s="136"/>
      <c r="Z69" s="137"/>
    </row>
    <row r="70" spans="1:26" s="17" customFormat="1" ht="16.2" customHeight="1" x14ac:dyDescent="0.25">
      <c r="A70" s="44" t="s">
        <v>16</v>
      </c>
      <c r="B70" s="58" t="s">
        <v>6</v>
      </c>
      <c r="C70" s="9"/>
      <c r="D70" s="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47"/>
      <c r="R70" s="82"/>
      <c r="S70" s="83"/>
      <c r="T70" s="84"/>
      <c r="U70" s="138"/>
      <c r="V70" s="139"/>
      <c r="W70" s="139"/>
      <c r="X70" s="140"/>
      <c r="Y70" s="140"/>
      <c r="Z70" s="141"/>
    </row>
    <row r="71" spans="1:26" s="17" customFormat="1" ht="16.2" customHeight="1" x14ac:dyDescent="0.25">
      <c r="A71" s="214"/>
      <c r="B71" s="215"/>
      <c r="C71" s="215"/>
      <c r="D71" s="215"/>
      <c r="E71" s="215"/>
      <c r="F71" s="215"/>
      <c r="G71" s="215"/>
      <c r="H71" s="215"/>
      <c r="I71" s="215"/>
      <c r="J71" s="215"/>
      <c r="K71" s="215"/>
      <c r="L71" s="215"/>
      <c r="M71" s="215"/>
      <c r="N71" s="215"/>
      <c r="O71" s="215"/>
      <c r="P71" s="215"/>
      <c r="Q71" s="216"/>
      <c r="R71" s="82" t="s">
        <v>11</v>
      </c>
      <c r="S71" s="83"/>
      <c r="T71" s="84"/>
      <c r="U71" s="65"/>
      <c r="V71" s="66"/>
      <c r="W71" s="66"/>
      <c r="X71" s="67"/>
      <c r="Y71" s="67"/>
      <c r="Z71" s="68"/>
    </row>
    <row r="72" spans="1:26" s="17" customFormat="1" ht="16.2" customHeight="1" x14ac:dyDescent="0.25">
      <c r="A72" s="214"/>
      <c r="B72" s="215"/>
      <c r="C72" s="215"/>
      <c r="D72" s="215"/>
      <c r="E72" s="215"/>
      <c r="F72" s="215"/>
      <c r="G72" s="215"/>
      <c r="H72" s="215"/>
      <c r="I72" s="215"/>
      <c r="J72" s="215"/>
      <c r="K72" s="215"/>
      <c r="L72" s="215"/>
      <c r="M72" s="215"/>
      <c r="N72" s="215"/>
      <c r="O72" s="215"/>
      <c r="P72" s="215"/>
      <c r="Q72" s="216"/>
      <c r="R72" s="82"/>
      <c r="S72" s="83"/>
      <c r="T72" s="84"/>
      <c r="U72" s="69"/>
      <c r="V72" s="81"/>
      <c r="W72" s="81"/>
      <c r="X72" s="81"/>
      <c r="Y72" s="81"/>
      <c r="Z72" s="70"/>
    </row>
    <row r="73" spans="1:26" s="17" customFormat="1" ht="16.2" customHeight="1" x14ac:dyDescent="0.25">
      <c r="A73" s="214"/>
      <c r="B73" s="215"/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6"/>
      <c r="R73" s="82"/>
      <c r="S73" s="83"/>
      <c r="T73" s="84"/>
      <c r="U73" s="69"/>
      <c r="V73" s="81"/>
      <c r="W73" s="81"/>
      <c r="X73" s="81"/>
      <c r="Y73" s="81"/>
      <c r="Z73" s="70"/>
    </row>
    <row r="74" spans="1:26" s="17" customFormat="1" ht="16.2" customHeight="1" x14ac:dyDescent="0.25">
      <c r="A74" s="217"/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9"/>
      <c r="R74" s="99"/>
      <c r="S74" s="100"/>
      <c r="T74" s="101"/>
      <c r="U74" s="71"/>
      <c r="V74" s="72"/>
      <c r="W74" s="72"/>
      <c r="X74" s="73"/>
      <c r="Y74" s="73"/>
      <c r="Z74" s="74"/>
    </row>
    <row r="76" spans="1:26" ht="12.75" customHeight="1" x14ac:dyDescent="0.25">
      <c r="P76" s="9"/>
      <c r="Q76" s="9"/>
      <c r="R76" s="9"/>
      <c r="S76" s="9"/>
      <c r="T76" s="9"/>
      <c r="U76" s="9"/>
      <c r="V76" s="9"/>
      <c r="W76" s="9"/>
    </row>
    <row r="77" spans="1:26" ht="12.75" customHeight="1" x14ac:dyDescent="0.25">
      <c r="P77" s="9"/>
      <c r="Q77" s="9"/>
      <c r="R77" s="9"/>
      <c r="S77" s="9"/>
      <c r="T77" s="9"/>
      <c r="U77" s="9"/>
      <c r="V77" s="9"/>
      <c r="W77" s="9"/>
    </row>
    <row r="78" spans="1:26" ht="12.75" customHeight="1" x14ac:dyDescent="0.25">
      <c r="P78" s="9"/>
      <c r="Q78" s="9"/>
      <c r="R78" s="9"/>
      <c r="S78" s="9"/>
      <c r="T78" s="9"/>
      <c r="U78" s="9"/>
      <c r="V78" s="9"/>
      <c r="W78" s="9"/>
    </row>
    <row r="79" spans="1:26" ht="12.75" customHeight="1" x14ac:dyDescent="0.25">
      <c r="P79" s="9"/>
      <c r="Q79" s="9"/>
      <c r="R79" s="9"/>
      <c r="S79" s="9"/>
      <c r="T79" s="9"/>
      <c r="U79" s="9"/>
      <c r="V79" s="9"/>
      <c r="W79" s="9"/>
    </row>
    <row r="80" spans="1:26" ht="12.75" customHeight="1" x14ac:dyDescent="0.25">
      <c r="P80" s="9"/>
      <c r="Q80" s="9"/>
      <c r="R80" s="9"/>
      <c r="S80" s="9"/>
      <c r="T80" s="9"/>
      <c r="U80" s="9"/>
      <c r="V80" s="9"/>
      <c r="W80" s="9"/>
    </row>
    <row r="81" spans="16:23" ht="12.75" customHeight="1" x14ac:dyDescent="0.25">
      <c r="P81" s="9"/>
      <c r="Q81" s="9"/>
      <c r="R81" s="9"/>
      <c r="S81" s="9"/>
      <c r="T81" s="9"/>
      <c r="U81" s="9"/>
      <c r="V81" s="9"/>
      <c r="W81" s="9"/>
    </row>
  </sheetData>
  <sheetProtection selectLockedCells="1"/>
  <mergeCells count="142">
    <mergeCell ref="T62:V64"/>
    <mergeCell ref="W62:Y64"/>
    <mergeCell ref="AB32:AB34"/>
    <mergeCell ref="AC32:AC34"/>
    <mergeCell ref="B62:D64"/>
    <mergeCell ref="E62:G64"/>
    <mergeCell ref="H62:J64"/>
    <mergeCell ref="K62:M64"/>
    <mergeCell ref="N62:P64"/>
    <mergeCell ref="Q62:S64"/>
    <mergeCell ref="T56:V58"/>
    <mergeCell ref="W56:Y58"/>
    <mergeCell ref="B59:D61"/>
    <mergeCell ref="E59:G61"/>
    <mergeCell ref="H59:J61"/>
    <mergeCell ref="K59:M61"/>
    <mergeCell ref="N59:P61"/>
    <mergeCell ref="Q59:S61"/>
    <mergeCell ref="T59:V61"/>
    <mergeCell ref="W59:Y61"/>
    <mergeCell ref="B56:D58"/>
    <mergeCell ref="E56:G58"/>
    <mergeCell ref="H56:J58"/>
    <mergeCell ref="K56:M58"/>
    <mergeCell ref="N56:P58"/>
    <mergeCell ref="Q56:S58"/>
    <mergeCell ref="T50:V52"/>
    <mergeCell ref="W50:Y52"/>
    <mergeCell ref="B53:D55"/>
    <mergeCell ref="E53:G55"/>
    <mergeCell ref="H53:J55"/>
    <mergeCell ref="K53:M55"/>
    <mergeCell ref="N53:P55"/>
    <mergeCell ref="Q53:S55"/>
    <mergeCell ref="T53:V55"/>
    <mergeCell ref="W53:Y55"/>
    <mergeCell ref="B50:D52"/>
    <mergeCell ref="E50:G52"/>
    <mergeCell ref="H50:J52"/>
    <mergeCell ref="K50:M52"/>
    <mergeCell ref="N50:P52"/>
    <mergeCell ref="Q50:S52"/>
    <mergeCell ref="T44:V46"/>
    <mergeCell ref="W44:Y46"/>
    <mergeCell ref="B47:D49"/>
    <mergeCell ref="E47:G49"/>
    <mergeCell ref="H47:J49"/>
    <mergeCell ref="K47:M49"/>
    <mergeCell ref="N47:P49"/>
    <mergeCell ref="Q47:S49"/>
    <mergeCell ref="T47:V49"/>
    <mergeCell ref="W47:Y49"/>
    <mergeCell ref="B44:D46"/>
    <mergeCell ref="E44:G46"/>
    <mergeCell ref="H44:J46"/>
    <mergeCell ref="K44:M46"/>
    <mergeCell ref="N44:P46"/>
    <mergeCell ref="Q44:S46"/>
    <mergeCell ref="B41:D43"/>
    <mergeCell ref="E41:G43"/>
    <mergeCell ref="H41:J43"/>
    <mergeCell ref="K41:M43"/>
    <mergeCell ref="N41:P43"/>
    <mergeCell ref="Q41:S43"/>
    <mergeCell ref="T41:V43"/>
    <mergeCell ref="W41:Y43"/>
    <mergeCell ref="B38:D40"/>
    <mergeCell ref="E38:G40"/>
    <mergeCell ref="H38:J40"/>
    <mergeCell ref="K38:M40"/>
    <mergeCell ref="N38:P40"/>
    <mergeCell ref="Q38:S40"/>
    <mergeCell ref="B24:E26"/>
    <mergeCell ref="B27:E29"/>
    <mergeCell ref="S24:V26"/>
    <mergeCell ref="W24:Y26"/>
    <mergeCell ref="O24:R26"/>
    <mergeCell ref="O27:R29"/>
    <mergeCell ref="S27:V29"/>
    <mergeCell ref="W27:Y29"/>
    <mergeCell ref="T38:V40"/>
    <mergeCell ref="W38:Y40"/>
    <mergeCell ref="Q32:S34"/>
    <mergeCell ref="AD32:AD34"/>
    <mergeCell ref="H35:J37"/>
    <mergeCell ref="K35:M37"/>
    <mergeCell ref="N35:P37"/>
    <mergeCell ref="Q35:S37"/>
    <mergeCell ref="T35:V37"/>
    <mergeCell ref="W35:Y37"/>
    <mergeCell ref="J24:L26"/>
    <mergeCell ref="J27:L29"/>
    <mergeCell ref="F24:I26"/>
    <mergeCell ref="F27:I29"/>
    <mergeCell ref="G5:H5"/>
    <mergeCell ref="U69:Z70"/>
    <mergeCell ref="S11:Y11"/>
    <mergeCell ref="S12:Y12"/>
    <mergeCell ref="B17:H17"/>
    <mergeCell ref="B12:G12"/>
    <mergeCell ref="B11:G11"/>
    <mergeCell ref="N10:R10"/>
    <mergeCell ref="N11:R11"/>
    <mergeCell ref="N12:R12"/>
    <mergeCell ref="H10:M10"/>
    <mergeCell ref="H11:M11"/>
    <mergeCell ref="B35:D37"/>
    <mergeCell ref="T32:V34"/>
    <mergeCell ref="W32:Y34"/>
    <mergeCell ref="E35:G37"/>
    <mergeCell ref="B18:H18"/>
    <mergeCell ref="I17:Y17"/>
    <mergeCell ref="I18:Y18"/>
    <mergeCell ref="B32:D34"/>
    <mergeCell ref="E32:G34"/>
    <mergeCell ref="H32:J34"/>
    <mergeCell ref="K32:M34"/>
    <mergeCell ref="N32:P34"/>
    <mergeCell ref="A68:Q68"/>
    <mergeCell ref="A69:Q69"/>
    <mergeCell ref="V72:Y73"/>
    <mergeCell ref="R68:T68"/>
    <mergeCell ref="U67:Z67"/>
    <mergeCell ref="U68:Z68"/>
    <mergeCell ref="J5:K5"/>
    <mergeCell ref="L5:O5"/>
    <mergeCell ref="P5:T5"/>
    <mergeCell ref="J6:K6"/>
    <mergeCell ref="L6:O6"/>
    <mergeCell ref="A71:Q74"/>
    <mergeCell ref="R69:T70"/>
    <mergeCell ref="R71:T74"/>
    <mergeCell ref="H12:M12"/>
    <mergeCell ref="P6:T6"/>
    <mergeCell ref="A7:F7"/>
    <mergeCell ref="G7:Z7"/>
    <mergeCell ref="B10:G10"/>
    <mergeCell ref="S10:Y10"/>
    <mergeCell ref="A1:F6"/>
    <mergeCell ref="G1:T1"/>
    <mergeCell ref="U1:Z6"/>
    <mergeCell ref="G2:T4"/>
  </mergeCells>
  <phoneticPr fontId="1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83"/>
  <sheetViews>
    <sheetView workbookViewId="0">
      <selection activeCell="G5" sqref="G5:T6"/>
    </sheetView>
  </sheetViews>
  <sheetFormatPr baseColWidth="10" defaultColWidth="11.44140625" defaultRowHeight="12.75" customHeight="1" x14ac:dyDescent="0.25"/>
  <cols>
    <col min="1" max="1" width="5.109375" style="60" customWidth="1"/>
    <col min="2" max="26" width="5.109375" style="1" customWidth="1"/>
    <col min="27" max="27" width="11.44140625" style="1"/>
    <col min="28" max="30" width="0" style="1" hidden="1" customWidth="1"/>
    <col min="31" max="16384" width="11.44140625" style="1"/>
  </cols>
  <sheetData>
    <row r="1" spans="1:26" ht="12.75" customHeight="1" x14ac:dyDescent="0.25">
      <c r="A1" s="108"/>
      <c r="B1" s="109"/>
      <c r="C1" s="109"/>
      <c r="D1" s="109"/>
      <c r="E1" s="109"/>
      <c r="F1" s="110"/>
      <c r="G1" s="117" t="s">
        <v>18</v>
      </c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9"/>
      <c r="U1" s="120"/>
      <c r="V1" s="121"/>
      <c r="W1" s="121"/>
      <c r="X1" s="121"/>
      <c r="Y1" s="121"/>
      <c r="Z1" s="122"/>
    </row>
    <row r="2" spans="1:26" ht="12.75" customHeight="1" x14ac:dyDescent="0.25">
      <c r="A2" s="111"/>
      <c r="B2" s="112"/>
      <c r="C2" s="112"/>
      <c r="D2" s="112"/>
      <c r="E2" s="112"/>
      <c r="F2" s="113"/>
      <c r="G2" s="129" t="s">
        <v>42</v>
      </c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1"/>
      <c r="U2" s="123"/>
      <c r="V2" s="124"/>
      <c r="W2" s="124"/>
      <c r="X2" s="124"/>
      <c r="Y2" s="124"/>
      <c r="Z2" s="125"/>
    </row>
    <row r="3" spans="1:26" ht="12.75" customHeight="1" x14ac:dyDescent="0.25">
      <c r="A3" s="111"/>
      <c r="B3" s="112"/>
      <c r="C3" s="112"/>
      <c r="D3" s="112"/>
      <c r="E3" s="112"/>
      <c r="F3" s="113"/>
      <c r="G3" s="129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1"/>
      <c r="U3" s="123"/>
      <c r="V3" s="124"/>
      <c r="W3" s="124"/>
      <c r="X3" s="124"/>
      <c r="Y3" s="124"/>
      <c r="Z3" s="125"/>
    </row>
    <row r="4" spans="1:26" ht="12.6" customHeight="1" x14ac:dyDescent="0.25">
      <c r="A4" s="111"/>
      <c r="B4" s="112"/>
      <c r="C4" s="112"/>
      <c r="D4" s="112"/>
      <c r="E4" s="112"/>
      <c r="F4" s="113"/>
      <c r="G4" s="129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1"/>
      <c r="U4" s="123"/>
      <c r="V4" s="124"/>
      <c r="W4" s="124"/>
      <c r="X4" s="124"/>
      <c r="Y4" s="124"/>
      <c r="Z4" s="125"/>
    </row>
    <row r="5" spans="1:26" ht="12.75" customHeight="1" x14ac:dyDescent="0.25">
      <c r="A5" s="111"/>
      <c r="B5" s="112"/>
      <c r="C5" s="112"/>
      <c r="D5" s="112"/>
      <c r="E5" s="112"/>
      <c r="F5" s="113"/>
      <c r="G5" s="132" t="s">
        <v>46</v>
      </c>
      <c r="H5" s="133"/>
      <c r="I5" s="62" t="s">
        <v>19</v>
      </c>
      <c r="J5" s="92"/>
      <c r="K5" s="93"/>
      <c r="L5" s="94"/>
      <c r="M5" s="92"/>
      <c r="N5" s="92"/>
      <c r="O5" s="93"/>
      <c r="P5" s="95"/>
      <c r="Q5" s="96"/>
      <c r="R5" s="96"/>
      <c r="S5" s="96"/>
      <c r="T5" s="97"/>
      <c r="U5" s="123"/>
      <c r="V5" s="124"/>
      <c r="W5" s="124"/>
      <c r="X5" s="124"/>
      <c r="Y5" s="124"/>
      <c r="Z5" s="125"/>
    </row>
    <row r="6" spans="1:26" ht="12.75" customHeight="1" x14ac:dyDescent="0.25">
      <c r="A6" s="114"/>
      <c r="B6" s="115"/>
      <c r="C6" s="115"/>
      <c r="D6" s="115"/>
      <c r="E6" s="115"/>
      <c r="F6" s="116"/>
      <c r="G6" s="63"/>
      <c r="H6" s="64"/>
      <c r="I6" s="64"/>
      <c r="J6" s="98" t="s">
        <v>20</v>
      </c>
      <c r="K6" s="98"/>
      <c r="L6" s="98" t="s">
        <v>21</v>
      </c>
      <c r="M6" s="98"/>
      <c r="N6" s="98"/>
      <c r="O6" s="98"/>
      <c r="P6" s="98" t="s">
        <v>22</v>
      </c>
      <c r="Q6" s="98"/>
      <c r="R6" s="98"/>
      <c r="S6" s="98"/>
      <c r="T6" s="103"/>
      <c r="U6" s="126"/>
      <c r="V6" s="127"/>
      <c r="W6" s="127"/>
      <c r="X6" s="127"/>
      <c r="Y6" s="127"/>
      <c r="Z6" s="128"/>
    </row>
    <row r="7" spans="1:26" ht="37.5" customHeight="1" x14ac:dyDescent="0.25">
      <c r="A7" s="104" t="s">
        <v>9</v>
      </c>
      <c r="B7" s="104"/>
      <c r="C7" s="104"/>
      <c r="D7" s="104"/>
      <c r="E7" s="104"/>
      <c r="F7" s="104"/>
      <c r="G7" s="105" t="s">
        <v>17</v>
      </c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</row>
    <row r="8" spans="1:26" ht="15.9" customHeight="1" x14ac:dyDescent="0.25">
      <c r="A8" s="3" t="s">
        <v>3</v>
      </c>
      <c r="B8" s="4" t="s">
        <v>0</v>
      </c>
      <c r="C8" s="5"/>
      <c r="D8" s="6"/>
      <c r="E8" s="6"/>
      <c r="F8" s="6"/>
      <c r="G8" s="6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7"/>
    </row>
    <row r="9" spans="1:26" ht="8.25" customHeight="1" x14ac:dyDescent="0.25">
      <c r="A9" s="8"/>
      <c r="B9" s="9"/>
      <c r="C9" s="9"/>
      <c r="D9" s="10"/>
      <c r="E9" s="10"/>
      <c r="F9" s="10"/>
      <c r="G9" s="10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11"/>
    </row>
    <row r="10" spans="1:26" ht="15.9" customHeight="1" x14ac:dyDescent="0.25">
      <c r="A10" s="8"/>
      <c r="B10" s="203" t="s">
        <v>8</v>
      </c>
      <c r="C10" s="203"/>
      <c r="D10" s="203"/>
      <c r="E10" s="203"/>
      <c r="F10" s="203"/>
      <c r="G10" s="203"/>
      <c r="H10" s="206"/>
      <c r="I10" s="206"/>
      <c r="J10" s="206"/>
      <c r="K10" s="206"/>
      <c r="L10" s="206"/>
      <c r="M10" s="206"/>
      <c r="N10" s="203" t="s">
        <v>35</v>
      </c>
      <c r="O10" s="203"/>
      <c r="P10" s="203"/>
      <c r="Q10" s="203"/>
      <c r="R10" s="203"/>
      <c r="S10" s="205"/>
      <c r="T10" s="205"/>
      <c r="U10" s="205"/>
      <c r="V10" s="205"/>
      <c r="W10" s="205"/>
      <c r="X10" s="205"/>
      <c r="Y10" s="205"/>
      <c r="Z10" s="12"/>
    </row>
    <row r="11" spans="1:26" ht="15.9" customHeight="1" x14ac:dyDescent="0.25">
      <c r="A11" s="8"/>
      <c r="B11" s="203" t="s">
        <v>2</v>
      </c>
      <c r="C11" s="203"/>
      <c r="D11" s="203"/>
      <c r="E11" s="203"/>
      <c r="F11" s="203"/>
      <c r="G11" s="203"/>
      <c r="H11" s="204"/>
      <c r="I11" s="204"/>
      <c r="J11" s="204"/>
      <c r="K11" s="204"/>
      <c r="L11" s="204"/>
      <c r="M11" s="204"/>
      <c r="N11" s="203" t="s">
        <v>1</v>
      </c>
      <c r="O11" s="203"/>
      <c r="P11" s="203"/>
      <c r="Q11" s="203"/>
      <c r="R11" s="203"/>
      <c r="S11" s="205"/>
      <c r="T11" s="205"/>
      <c r="U11" s="205"/>
      <c r="V11" s="205"/>
      <c r="W11" s="205"/>
      <c r="X11" s="205"/>
      <c r="Y11" s="205"/>
      <c r="Z11" s="12"/>
    </row>
    <row r="12" spans="1:26" ht="15.9" customHeight="1" x14ac:dyDescent="0.25">
      <c r="A12" s="8"/>
      <c r="B12" s="203" t="s">
        <v>7</v>
      </c>
      <c r="C12" s="203"/>
      <c r="D12" s="203"/>
      <c r="E12" s="203"/>
      <c r="F12" s="203"/>
      <c r="G12" s="203"/>
      <c r="H12" s="204"/>
      <c r="I12" s="204"/>
      <c r="J12" s="204"/>
      <c r="K12" s="204"/>
      <c r="L12" s="204"/>
      <c r="M12" s="204"/>
      <c r="N12" s="203" t="s">
        <v>36</v>
      </c>
      <c r="O12" s="203"/>
      <c r="P12" s="203"/>
      <c r="Q12" s="203"/>
      <c r="R12" s="203"/>
      <c r="S12" s="205"/>
      <c r="T12" s="205"/>
      <c r="U12" s="205"/>
      <c r="V12" s="205"/>
      <c r="W12" s="205"/>
      <c r="X12" s="205"/>
      <c r="Y12" s="205"/>
      <c r="Z12" s="12"/>
    </row>
    <row r="13" spans="1:26" ht="8.25" customHeight="1" x14ac:dyDescent="0.25">
      <c r="A13" s="13"/>
      <c r="B13" s="2"/>
      <c r="C13" s="2"/>
      <c r="D13" s="14"/>
      <c r="E13" s="14"/>
      <c r="F13" s="14"/>
      <c r="G13" s="14"/>
      <c r="H13" s="2"/>
      <c r="I13" s="2"/>
      <c r="J13" s="2"/>
      <c r="K13" s="2"/>
      <c r="L13" s="2"/>
      <c r="M13" s="2"/>
      <c r="N13" s="1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6"/>
    </row>
    <row r="14" spans="1:26" s="17" customFormat="1" ht="15" x14ac:dyDescent="0.25">
      <c r="B14" s="18"/>
      <c r="C14" s="18"/>
      <c r="K14" s="19"/>
      <c r="L14" s="18"/>
      <c r="M14" s="20"/>
    </row>
    <row r="15" spans="1:26" s="17" customFormat="1" ht="15.6" customHeight="1" x14ac:dyDescent="0.25">
      <c r="A15" s="3" t="s">
        <v>4</v>
      </c>
      <c r="B15" s="21" t="s"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3"/>
    </row>
    <row r="16" spans="1:26" s="17" customFormat="1" ht="15" x14ac:dyDescent="0.25">
      <c r="A16" s="24"/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7"/>
    </row>
    <row r="17" spans="1:30" s="17" customFormat="1" ht="15" x14ac:dyDescent="0.25">
      <c r="A17" s="24"/>
      <c r="B17" s="201" t="s">
        <v>13</v>
      </c>
      <c r="C17" s="201"/>
      <c r="D17" s="201"/>
      <c r="E17" s="201"/>
      <c r="F17" s="201"/>
      <c r="G17" s="201"/>
      <c r="H17" s="201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202"/>
      <c r="W17" s="202"/>
      <c r="X17" s="202"/>
      <c r="Y17" s="202"/>
      <c r="Z17" s="28"/>
    </row>
    <row r="18" spans="1:30" s="17" customFormat="1" ht="15" x14ac:dyDescent="0.25">
      <c r="A18" s="24"/>
      <c r="B18" s="201" t="s">
        <v>14</v>
      </c>
      <c r="C18" s="201"/>
      <c r="D18" s="201"/>
      <c r="E18" s="201"/>
      <c r="F18" s="201"/>
      <c r="G18" s="201"/>
      <c r="H18" s="201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8"/>
    </row>
    <row r="19" spans="1:30" s="17" customFormat="1" ht="13.2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1"/>
    </row>
    <row r="20" spans="1:30" ht="12.75" customHeight="1" x14ac:dyDescent="0.25">
      <c r="A20" s="10"/>
      <c r="B20" s="9"/>
      <c r="C20" s="9"/>
      <c r="D20" s="10"/>
      <c r="E20" s="10"/>
      <c r="F20" s="10"/>
      <c r="G20" s="10"/>
      <c r="H20" s="9"/>
      <c r="I20" s="9"/>
      <c r="J20" s="9"/>
      <c r="K20" s="9"/>
      <c r="L20" s="9"/>
      <c r="M20" s="9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30" ht="15.9" customHeight="1" x14ac:dyDescent="0.25">
      <c r="A21" s="3" t="s">
        <v>5</v>
      </c>
      <c r="B21" s="4" t="s">
        <v>34</v>
      </c>
      <c r="C21" s="33"/>
      <c r="D21" s="34"/>
      <c r="E21" s="34"/>
      <c r="F21" s="34"/>
      <c r="G21" s="34"/>
      <c r="H21" s="33"/>
      <c r="I21" s="33"/>
      <c r="J21" s="33"/>
      <c r="K21" s="33"/>
      <c r="L21" s="33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7"/>
    </row>
    <row r="22" spans="1:30" ht="12.75" customHeight="1" x14ac:dyDescent="0.25">
      <c r="A22" s="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11"/>
    </row>
    <row r="23" spans="1:30" ht="12.75" customHeight="1" x14ac:dyDescent="0.25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11"/>
    </row>
    <row r="24" spans="1:30" ht="12.75" customHeight="1" x14ac:dyDescent="0.25">
      <c r="A24" s="8"/>
      <c r="B24" s="183" t="s">
        <v>43</v>
      </c>
      <c r="C24" s="178"/>
      <c r="D24" s="178"/>
      <c r="E24" s="178"/>
      <c r="F24" s="178"/>
      <c r="G24" s="178"/>
      <c r="H24" s="178"/>
      <c r="I24" s="178"/>
      <c r="J24" s="172" t="s">
        <v>23</v>
      </c>
      <c r="K24" s="172"/>
      <c r="L24" s="173"/>
      <c r="M24" s="9"/>
      <c r="N24" s="9"/>
      <c r="O24" s="183" t="s">
        <v>24</v>
      </c>
      <c r="P24" s="186"/>
      <c r="Q24" s="186"/>
      <c r="R24" s="186"/>
      <c r="S24" s="178">
        <v>890</v>
      </c>
      <c r="T24" s="178"/>
      <c r="U24" s="178"/>
      <c r="V24" s="178"/>
      <c r="W24" s="172" t="s">
        <v>44</v>
      </c>
      <c r="X24" s="172"/>
      <c r="Y24" s="173"/>
      <c r="Z24" s="11"/>
    </row>
    <row r="25" spans="1:30" ht="12.75" customHeight="1" x14ac:dyDescent="0.25">
      <c r="A25" s="8"/>
      <c r="B25" s="184"/>
      <c r="C25" s="151"/>
      <c r="D25" s="151"/>
      <c r="E25" s="151"/>
      <c r="F25" s="151"/>
      <c r="G25" s="151"/>
      <c r="H25" s="151"/>
      <c r="I25" s="151"/>
      <c r="J25" s="174"/>
      <c r="K25" s="174"/>
      <c r="L25" s="175"/>
      <c r="M25" s="9"/>
      <c r="N25" s="9"/>
      <c r="O25" s="187"/>
      <c r="P25" s="155"/>
      <c r="Q25" s="155"/>
      <c r="R25" s="155"/>
      <c r="S25" s="151"/>
      <c r="T25" s="151"/>
      <c r="U25" s="151"/>
      <c r="V25" s="151"/>
      <c r="W25" s="174"/>
      <c r="X25" s="174"/>
      <c r="Y25" s="175"/>
      <c r="Z25" s="11"/>
    </row>
    <row r="26" spans="1:30" ht="12.75" customHeight="1" x14ac:dyDescent="0.25">
      <c r="A26" s="8"/>
      <c r="B26" s="185"/>
      <c r="C26" s="179"/>
      <c r="D26" s="179"/>
      <c r="E26" s="179"/>
      <c r="F26" s="179"/>
      <c r="G26" s="179"/>
      <c r="H26" s="179"/>
      <c r="I26" s="179"/>
      <c r="J26" s="176"/>
      <c r="K26" s="176"/>
      <c r="L26" s="177"/>
      <c r="M26" s="9"/>
      <c r="N26" s="9"/>
      <c r="O26" s="188"/>
      <c r="P26" s="189"/>
      <c r="Q26" s="189"/>
      <c r="R26" s="189"/>
      <c r="S26" s="179"/>
      <c r="T26" s="179"/>
      <c r="U26" s="179"/>
      <c r="V26" s="179"/>
      <c r="W26" s="176"/>
      <c r="X26" s="176"/>
      <c r="Y26" s="177"/>
      <c r="Z26" s="11"/>
    </row>
    <row r="27" spans="1:30" ht="12.75" customHeight="1" x14ac:dyDescent="0.25">
      <c r="A27" s="8"/>
      <c r="B27" s="183" t="s">
        <v>30</v>
      </c>
      <c r="C27" s="186"/>
      <c r="D27" s="186"/>
      <c r="E27" s="186"/>
      <c r="F27" s="180" t="str">
        <f>IF(F24&lt;&gt;"",(997.1*(SUM(AD35:AD55))),"")</f>
        <v/>
      </c>
      <c r="G27" s="180"/>
      <c r="H27" s="180"/>
      <c r="I27" s="180"/>
      <c r="J27" s="172" t="s">
        <v>25</v>
      </c>
      <c r="K27" s="172"/>
      <c r="L27" s="173"/>
      <c r="M27" s="9"/>
      <c r="N27" s="9"/>
      <c r="O27" s="190" t="s">
        <v>26</v>
      </c>
      <c r="P27" s="178"/>
      <c r="Q27" s="178"/>
      <c r="R27" s="178"/>
      <c r="S27" s="178"/>
      <c r="T27" s="178"/>
      <c r="U27" s="178"/>
      <c r="V27" s="178"/>
      <c r="W27" s="172" t="s">
        <v>25</v>
      </c>
      <c r="X27" s="172"/>
      <c r="Y27" s="173"/>
      <c r="Z27" s="11"/>
    </row>
    <row r="28" spans="1:30" ht="12.75" customHeight="1" x14ac:dyDescent="0.25">
      <c r="A28" s="8"/>
      <c r="B28" s="187"/>
      <c r="C28" s="155"/>
      <c r="D28" s="155"/>
      <c r="E28" s="155"/>
      <c r="F28" s="181"/>
      <c r="G28" s="181"/>
      <c r="H28" s="181"/>
      <c r="I28" s="181"/>
      <c r="J28" s="174"/>
      <c r="K28" s="174"/>
      <c r="L28" s="175"/>
      <c r="M28" s="9"/>
      <c r="N28" s="9"/>
      <c r="O28" s="184"/>
      <c r="P28" s="151"/>
      <c r="Q28" s="151"/>
      <c r="R28" s="151"/>
      <c r="S28" s="151"/>
      <c r="T28" s="151"/>
      <c r="U28" s="151"/>
      <c r="V28" s="151"/>
      <c r="W28" s="174"/>
      <c r="X28" s="174"/>
      <c r="Y28" s="175"/>
      <c r="Z28" s="11"/>
    </row>
    <row r="29" spans="1:30" ht="12.75" customHeight="1" x14ac:dyDescent="0.25">
      <c r="A29" s="8"/>
      <c r="B29" s="188"/>
      <c r="C29" s="189"/>
      <c r="D29" s="189"/>
      <c r="E29" s="189"/>
      <c r="F29" s="182"/>
      <c r="G29" s="182"/>
      <c r="H29" s="182"/>
      <c r="I29" s="182"/>
      <c r="J29" s="176"/>
      <c r="K29" s="176"/>
      <c r="L29" s="177"/>
      <c r="M29" s="9"/>
      <c r="N29" s="9"/>
      <c r="O29" s="185"/>
      <c r="P29" s="179"/>
      <c r="Q29" s="179"/>
      <c r="R29" s="179"/>
      <c r="S29" s="179"/>
      <c r="T29" s="179"/>
      <c r="U29" s="179"/>
      <c r="V29" s="179"/>
      <c r="W29" s="176"/>
      <c r="X29" s="176"/>
      <c r="Y29" s="177"/>
      <c r="Z29" s="11"/>
    </row>
    <row r="30" spans="1:30" ht="12.75" customHeight="1" x14ac:dyDescent="0.25">
      <c r="A30" s="8"/>
      <c r="B30" s="35"/>
      <c r="C30" s="36"/>
      <c r="D30" s="37"/>
      <c r="I30" s="38"/>
      <c r="J30" s="38"/>
      <c r="K30" s="9"/>
      <c r="L30" s="9"/>
      <c r="M30" s="9"/>
      <c r="N30" s="9"/>
      <c r="O30" s="9"/>
      <c r="P30" s="36"/>
      <c r="Q30" s="36"/>
      <c r="R30" s="36"/>
      <c r="S30" s="36"/>
      <c r="T30" s="36"/>
      <c r="U30" s="36"/>
      <c r="V30" s="36"/>
      <c r="W30" s="37"/>
      <c r="X30" s="9"/>
      <c r="Y30" s="9"/>
      <c r="Z30" s="11"/>
    </row>
    <row r="31" spans="1:30" ht="12.75" customHeight="1" thickBot="1" x14ac:dyDescent="0.3">
      <c r="A31" s="8"/>
      <c r="B31" s="35"/>
      <c r="C31" s="36"/>
      <c r="D31" s="37"/>
      <c r="E31" s="38"/>
      <c r="F31" s="39"/>
      <c r="G31" s="36"/>
      <c r="H31" s="37"/>
      <c r="I31" s="38"/>
      <c r="J31" s="38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11"/>
    </row>
    <row r="32" spans="1:30" ht="19.5" customHeight="1" x14ac:dyDescent="0.25">
      <c r="A32" s="8"/>
      <c r="B32" s="160" t="s">
        <v>39</v>
      </c>
      <c r="C32" s="153"/>
      <c r="D32" s="153"/>
      <c r="E32" s="153" t="s">
        <v>31</v>
      </c>
      <c r="F32" s="153"/>
      <c r="G32" s="153"/>
      <c r="H32" s="153" t="s">
        <v>32</v>
      </c>
      <c r="I32" s="153"/>
      <c r="J32" s="153"/>
      <c r="K32" s="153" t="s">
        <v>33</v>
      </c>
      <c r="L32" s="153"/>
      <c r="M32" s="153"/>
      <c r="N32" s="153" t="s">
        <v>45</v>
      </c>
      <c r="O32" s="153"/>
      <c r="P32" s="153"/>
      <c r="Q32" s="153" t="s">
        <v>27</v>
      </c>
      <c r="R32" s="153"/>
      <c r="S32" s="153"/>
      <c r="T32" s="150" t="s">
        <v>28</v>
      </c>
      <c r="U32" s="150"/>
      <c r="V32" s="150"/>
      <c r="W32" s="153" t="s">
        <v>29</v>
      </c>
      <c r="X32" s="153"/>
      <c r="Y32" s="154"/>
      <c r="Z32" s="11"/>
      <c r="AB32" s="108" t="s">
        <v>37</v>
      </c>
      <c r="AC32" s="109" t="s">
        <v>38</v>
      </c>
      <c r="AD32" s="110" t="s">
        <v>41</v>
      </c>
    </row>
    <row r="33" spans="1:30" ht="19.5" customHeight="1" x14ac:dyDescent="0.25">
      <c r="A33" s="8"/>
      <c r="B33" s="161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1"/>
      <c r="U33" s="151"/>
      <c r="V33" s="151"/>
      <c r="W33" s="155"/>
      <c r="X33" s="155"/>
      <c r="Y33" s="156"/>
      <c r="Z33" s="11"/>
      <c r="AB33" s="111"/>
      <c r="AC33" s="112"/>
      <c r="AD33" s="113"/>
    </row>
    <row r="34" spans="1:30" ht="19.5" customHeight="1" thickBot="1" x14ac:dyDescent="0.3">
      <c r="A34" s="8"/>
      <c r="B34" s="162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2"/>
      <c r="U34" s="152"/>
      <c r="V34" s="152"/>
      <c r="W34" s="157"/>
      <c r="X34" s="157"/>
      <c r="Y34" s="158"/>
      <c r="Z34" s="11"/>
      <c r="AB34" s="114"/>
      <c r="AC34" s="115"/>
      <c r="AD34" s="116"/>
    </row>
    <row r="35" spans="1:30" ht="12.75" customHeight="1" x14ac:dyDescent="0.25">
      <c r="A35" s="8"/>
      <c r="B35" s="144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63" t="str">
        <f>IF(E35&lt;&gt;"",E35/(((H35-K35)/$F$27)-((H35-E35)/$S$24)),"")</f>
        <v/>
      </c>
      <c r="O35" s="163"/>
      <c r="P35" s="163"/>
      <c r="Q35" s="166" t="str">
        <f>IF(N35&lt;&gt;"",(N35/$S$27)*100,"")</f>
        <v/>
      </c>
      <c r="R35" s="166"/>
      <c r="S35" s="166"/>
      <c r="T35" s="166" t="str">
        <f>IF(Q35&lt;&gt;"",100-Q35,"")</f>
        <v/>
      </c>
      <c r="U35" s="166"/>
      <c r="V35" s="166"/>
      <c r="W35" s="145"/>
      <c r="X35" s="145"/>
      <c r="Y35" s="169"/>
      <c r="Z35" s="11"/>
      <c r="AB35" s="8">
        <v>10</v>
      </c>
      <c r="AC35" s="10">
        <v>1.0026999999999999</v>
      </c>
      <c r="AD35" s="40" t="str">
        <f>IF($F$24=AB35,AC35,"")</f>
        <v/>
      </c>
    </row>
    <row r="36" spans="1:30" ht="12.75" customHeight="1" x14ac:dyDescent="0.25">
      <c r="A36" s="8"/>
      <c r="B36" s="146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64"/>
      <c r="O36" s="164"/>
      <c r="P36" s="164"/>
      <c r="Q36" s="167"/>
      <c r="R36" s="167"/>
      <c r="S36" s="167"/>
      <c r="T36" s="167"/>
      <c r="U36" s="167"/>
      <c r="V36" s="167"/>
      <c r="W36" s="147"/>
      <c r="X36" s="147"/>
      <c r="Y36" s="170"/>
      <c r="Z36" s="11"/>
      <c r="AB36" s="8">
        <v>11</v>
      </c>
      <c r="AC36" s="10">
        <v>1.0025999999999999</v>
      </c>
      <c r="AD36" s="40" t="str">
        <f t="shared" ref="AD36:AD55" si="0">IF($F$24=AB36,AC36,"")</f>
        <v/>
      </c>
    </row>
    <row r="37" spans="1:30" ht="12.75" customHeight="1" x14ac:dyDescent="0.25">
      <c r="A37" s="8"/>
      <c r="B37" s="148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65"/>
      <c r="O37" s="165"/>
      <c r="P37" s="165"/>
      <c r="Q37" s="168"/>
      <c r="R37" s="168"/>
      <c r="S37" s="168"/>
      <c r="T37" s="168"/>
      <c r="U37" s="168"/>
      <c r="V37" s="168"/>
      <c r="W37" s="149"/>
      <c r="X37" s="149"/>
      <c r="Y37" s="171"/>
      <c r="Z37" s="11"/>
      <c r="AB37" s="8">
        <v>12</v>
      </c>
      <c r="AC37" s="10">
        <v>1.0024999999999999</v>
      </c>
      <c r="AD37" s="40" t="str">
        <f t="shared" si="0"/>
        <v/>
      </c>
    </row>
    <row r="38" spans="1:30" ht="12.75" customHeight="1" x14ac:dyDescent="0.25">
      <c r="A38" s="8"/>
      <c r="B38" s="194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5" t="str">
        <f>IF(E38&lt;&gt;"",E38/(((H38-K38)/$F$27)-((H38-E38)/$S$24)),"")</f>
        <v/>
      </c>
      <c r="O38" s="195"/>
      <c r="P38" s="195"/>
      <c r="Q38" s="191" t="str">
        <f>IF(N38&lt;&gt;"",(N38/$S$27)*100,"")</f>
        <v/>
      </c>
      <c r="R38" s="191"/>
      <c r="S38" s="191"/>
      <c r="T38" s="191" t="str">
        <f>IF(Q38&lt;&gt;"",100-Q38,"")</f>
        <v/>
      </c>
      <c r="U38" s="191"/>
      <c r="V38" s="191"/>
      <c r="W38" s="192"/>
      <c r="X38" s="192"/>
      <c r="Y38" s="193"/>
      <c r="Z38" s="11"/>
      <c r="AB38" s="8">
        <v>13</v>
      </c>
      <c r="AC38" s="10">
        <v>1.0023</v>
      </c>
      <c r="AD38" s="40" t="str">
        <f t="shared" si="0"/>
        <v/>
      </c>
    </row>
    <row r="39" spans="1:30" ht="12.75" customHeight="1" x14ac:dyDescent="0.25">
      <c r="A39" s="8"/>
      <c r="B39" s="146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64"/>
      <c r="O39" s="164"/>
      <c r="P39" s="164"/>
      <c r="Q39" s="167"/>
      <c r="R39" s="167"/>
      <c r="S39" s="167"/>
      <c r="T39" s="167"/>
      <c r="U39" s="167"/>
      <c r="V39" s="167"/>
      <c r="W39" s="147"/>
      <c r="X39" s="147"/>
      <c r="Y39" s="170"/>
      <c r="Z39" s="11"/>
      <c r="AB39" s="8">
        <v>14</v>
      </c>
      <c r="AC39" s="10">
        <v>1.0022</v>
      </c>
      <c r="AD39" s="40" t="str">
        <f t="shared" si="0"/>
        <v/>
      </c>
    </row>
    <row r="40" spans="1:30" ht="12.75" customHeight="1" x14ac:dyDescent="0.25">
      <c r="A40" s="8"/>
      <c r="B40" s="148"/>
      <c r="C40" s="149"/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65"/>
      <c r="O40" s="165"/>
      <c r="P40" s="165"/>
      <c r="Q40" s="168"/>
      <c r="R40" s="168"/>
      <c r="S40" s="168"/>
      <c r="T40" s="168"/>
      <c r="U40" s="168"/>
      <c r="V40" s="168"/>
      <c r="W40" s="149"/>
      <c r="X40" s="149"/>
      <c r="Y40" s="171"/>
      <c r="Z40" s="11"/>
      <c r="AB40" s="8">
        <v>15</v>
      </c>
      <c r="AC40" s="10">
        <v>1.0021</v>
      </c>
      <c r="AD40" s="40" t="str">
        <f t="shared" si="0"/>
        <v/>
      </c>
    </row>
    <row r="41" spans="1:30" ht="12.75" customHeight="1" x14ac:dyDescent="0.25">
      <c r="A41" s="8"/>
      <c r="B41" s="194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5" t="str">
        <f>IF(E41&lt;&gt;"",E41/(((H41-K41)/$F$27)-((H41-E41)/$S$24)),"")</f>
        <v/>
      </c>
      <c r="O41" s="195"/>
      <c r="P41" s="195"/>
      <c r="Q41" s="191" t="str">
        <f>IF(N41&lt;&gt;"",(N41/$S$27)*100,"")</f>
        <v/>
      </c>
      <c r="R41" s="191"/>
      <c r="S41" s="191"/>
      <c r="T41" s="191" t="str">
        <f>IF(Q41&lt;&gt;"",100-Q41,"")</f>
        <v/>
      </c>
      <c r="U41" s="191"/>
      <c r="V41" s="191"/>
      <c r="W41" s="192"/>
      <c r="X41" s="192"/>
      <c r="Y41" s="193"/>
      <c r="Z41" s="11"/>
      <c r="AB41" s="8">
        <v>16</v>
      </c>
      <c r="AC41" s="10">
        <v>1.0019</v>
      </c>
      <c r="AD41" s="40" t="str">
        <f t="shared" si="0"/>
        <v/>
      </c>
    </row>
    <row r="42" spans="1:30" ht="12.75" customHeight="1" x14ac:dyDescent="0.25">
      <c r="A42" s="8"/>
      <c r="B42" s="146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64"/>
      <c r="O42" s="164"/>
      <c r="P42" s="164"/>
      <c r="Q42" s="167"/>
      <c r="R42" s="167"/>
      <c r="S42" s="167"/>
      <c r="T42" s="167"/>
      <c r="U42" s="167"/>
      <c r="V42" s="167"/>
      <c r="W42" s="147"/>
      <c r="X42" s="147"/>
      <c r="Y42" s="170"/>
      <c r="Z42" s="11"/>
      <c r="AB42" s="8">
        <v>17</v>
      </c>
      <c r="AC42" s="10">
        <v>1.0017</v>
      </c>
      <c r="AD42" s="40" t="str">
        <f t="shared" si="0"/>
        <v/>
      </c>
    </row>
    <row r="43" spans="1:30" ht="12.75" customHeight="1" x14ac:dyDescent="0.25">
      <c r="A43" s="8"/>
      <c r="B43" s="148"/>
      <c r="C43" s="149"/>
      <c r="D43" s="149"/>
      <c r="E43" s="149"/>
      <c r="F43" s="149"/>
      <c r="G43" s="149"/>
      <c r="H43" s="149"/>
      <c r="I43" s="149"/>
      <c r="J43" s="149"/>
      <c r="K43" s="149"/>
      <c r="L43" s="149"/>
      <c r="M43" s="149"/>
      <c r="N43" s="165"/>
      <c r="O43" s="165"/>
      <c r="P43" s="165"/>
      <c r="Q43" s="168"/>
      <c r="R43" s="168"/>
      <c r="S43" s="168"/>
      <c r="T43" s="168"/>
      <c r="U43" s="168"/>
      <c r="V43" s="168"/>
      <c r="W43" s="149"/>
      <c r="X43" s="149"/>
      <c r="Y43" s="171"/>
      <c r="Z43" s="11"/>
      <c r="AB43" s="8">
        <v>18</v>
      </c>
      <c r="AC43" s="10">
        <v>1.0016</v>
      </c>
      <c r="AD43" s="40" t="str">
        <f t="shared" si="0"/>
        <v/>
      </c>
    </row>
    <row r="44" spans="1:30" ht="12.75" customHeight="1" x14ac:dyDescent="0.25">
      <c r="A44" s="8"/>
      <c r="B44" s="194"/>
      <c r="C44" s="192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195" t="str">
        <f>IF(E44&lt;&gt;"",E44/(((H44-K44)/$F$27)-((H44-E44)/$S$24)),"")</f>
        <v/>
      </c>
      <c r="O44" s="195"/>
      <c r="P44" s="195"/>
      <c r="Q44" s="191" t="str">
        <f>IF(N44&lt;&gt;"",(N44/$S$27)*100,"")</f>
        <v/>
      </c>
      <c r="R44" s="191"/>
      <c r="S44" s="191"/>
      <c r="T44" s="191" t="str">
        <f>IF(Q44&lt;&gt;"",100-Q44,"")</f>
        <v/>
      </c>
      <c r="U44" s="191"/>
      <c r="V44" s="191"/>
      <c r="W44" s="192"/>
      <c r="X44" s="192"/>
      <c r="Y44" s="193"/>
      <c r="Z44" s="11"/>
      <c r="AB44" s="8">
        <v>19</v>
      </c>
      <c r="AC44" s="10">
        <v>1.0014000000000001</v>
      </c>
      <c r="AD44" s="40" t="str">
        <f t="shared" si="0"/>
        <v/>
      </c>
    </row>
    <row r="45" spans="1:30" ht="12.75" customHeight="1" x14ac:dyDescent="0.25">
      <c r="A45" s="8"/>
      <c r="B45" s="146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64"/>
      <c r="O45" s="164"/>
      <c r="P45" s="164"/>
      <c r="Q45" s="167"/>
      <c r="R45" s="167"/>
      <c r="S45" s="167"/>
      <c r="T45" s="167"/>
      <c r="U45" s="167"/>
      <c r="V45" s="167"/>
      <c r="W45" s="147"/>
      <c r="X45" s="147"/>
      <c r="Y45" s="170"/>
      <c r="Z45" s="11"/>
      <c r="AB45" s="8">
        <v>20</v>
      </c>
      <c r="AC45" s="10">
        <v>1.0012000000000001</v>
      </c>
      <c r="AD45" s="40" t="str">
        <f t="shared" si="0"/>
        <v/>
      </c>
    </row>
    <row r="46" spans="1:30" ht="12.75" customHeight="1" x14ac:dyDescent="0.25">
      <c r="A46" s="8"/>
      <c r="B46" s="148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65"/>
      <c r="O46" s="165"/>
      <c r="P46" s="165"/>
      <c r="Q46" s="168"/>
      <c r="R46" s="168"/>
      <c r="S46" s="168"/>
      <c r="T46" s="168"/>
      <c r="U46" s="168"/>
      <c r="V46" s="168"/>
      <c r="W46" s="149"/>
      <c r="X46" s="149"/>
      <c r="Y46" s="171"/>
      <c r="Z46" s="11"/>
      <c r="AB46" s="8">
        <v>21</v>
      </c>
      <c r="AC46" s="41">
        <v>1.0009999999999999</v>
      </c>
      <c r="AD46" s="40" t="str">
        <f t="shared" si="0"/>
        <v/>
      </c>
    </row>
    <row r="47" spans="1:30" ht="12.75" customHeight="1" x14ac:dyDescent="0.25">
      <c r="A47" s="42"/>
      <c r="B47" s="194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5" t="str">
        <f>IF(E47&lt;&gt;"",E47/(((H47-K47)/$F$27)-((H47-E47)/$S$24)),"")</f>
        <v/>
      </c>
      <c r="O47" s="195"/>
      <c r="P47" s="195"/>
      <c r="Q47" s="191" t="str">
        <f>IF(N47&lt;&gt;"",(N47/$S$27)*100,"")</f>
        <v/>
      </c>
      <c r="R47" s="191"/>
      <c r="S47" s="191"/>
      <c r="T47" s="191" t="str">
        <f>IF(Q47&lt;&gt;"",100-Q47,"")</f>
        <v/>
      </c>
      <c r="U47" s="191"/>
      <c r="V47" s="191"/>
      <c r="W47" s="192"/>
      <c r="X47" s="192"/>
      <c r="Y47" s="193"/>
      <c r="Z47" s="43"/>
      <c r="AB47" s="8">
        <v>22</v>
      </c>
      <c r="AC47" s="10">
        <v>1.0006999999999999</v>
      </c>
      <c r="AD47" s="40" t="str">
        <f t="shared" si="0"/>
        <v/>
      </c>
    </row>
    <row r="48" spans="1:30" ht="12.75" customHeight="1" x14ac:dyDescent="0.25">
      <c r="A48" s="42"/>
      <c r="B48" s="146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64"/>
      <c r="O48" s="164"/>
      <c r="P48" s="164"/>
      <c r="Q48" s="167"/>
      <c r="R48" s="167"/>
      <c r="S48" s="167"/>
      <c r="T48" s="167"/>
      <c r="U48" s="167"/>
      <c r="V48" s="167"/>
      <c r="W48" s="147"/>
      <c r="X48" s="147"/>
      <c r="Y48" s="170"/>
      <c r="Z48" s="43"/>
      <c r="AB48" s="8">
        <v>23</v>
      </c>
      <c r="AC48" s="10">
        <v>1.0004999999999999</v>
      </c>
      <c r="AD48" s="40" t="str">
        <f t="shared" si="0"/>
        <v/>
      </c>
    </row>
    <row r="49" spans="1:30" ht="12.75" customHeight="1" x14ac:dyDescent="0.25">
      <c r="A49" s="8"/>
      <c r="B49" s="148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65"/>
      <c r="O49" s="165"/>
      <c r="P49" s="165"/>
      <c r="Q49" s="168"/>
      <c r="R49" s="168"/>
      <c r="S49" s="168"/>
      <c r="T49" s="168"/>
      <c r="U49" s="168"/>
      <c r="V49" s="168"/>
      <c r="W49" s="149"/>
      <c r="X49" s="149"/>
      <c r="Y49" s="171"/>
      <c r="Z49" s="11"/>
      <c r="AB49" s="8">
        <v>24</v>
      </c>
      <c r="AC49" s="10">
        <v>1.0003</v>
      </c>
      <c r="AD49" s="40" t="str">
        <f t="shared" si="0"/>
        <v/>
      </c>
    </row>
    <row r="50" spans="1:30" ht="12.75" customHeight="1" x14ac:dyDescent="0.25">
      <c r="A50" s="8"/>
      <c r="B50" s="194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5" t="str">
        <f>IF(E50&lt;&gt;"",E50/(((H50-K50)/$F$27)-((H50-E50)/$S$24)),"")</f>
        <v/>
      </c>
      <c r="O50" s="195"/>
      <c r="P50" s="195"/>
      <c r="Q50" s="191" t="str">
        <f>IF(N50&lt;&gt;"",(N50/$S$27)*100,"")</f>
        <v/>
      </c>
      <c r="R50" s="191"/>
      <c r="S50" s="191"/>
      <c r="T50" s="191" t="str">
        <f>IF(Q50&lt;&gt;"",100-Q50,"")</f>
        <v/>
      </c>
      <c r="U50" s="191"/>
      <c r="V50" s="191"/>
      <c r="W50" s="192"/>
      <c r="X50" s="192"/>
      <c r="Y50" s="193"/>
      <c r="Z50" s="11"/>
      <c r="AB50" s="8">
        <v>25</v>
      </c>
      <c r="AC50" s="41">
        <v>1</v>
      </c>
      <c r="AD50" s="40" t="str">
        <f t="shared" si="0"/>
        <v/>
      </c>
    </row>
    <row r="51" spans="1:30" ht="12.75" customHeight="1" x14ac:dyDescent="0.25">
      <c r="A51" s="44"/>
      <c r="B51" s="146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64"/>
      <c r="O51" s="164"/>
      <c r="P51" s="164"/>
      <c r="Q51" s="167"/>
      <c r="R51" s="167"/>
      <c r="S51" s="167"/>
      <c r="T51" s="167"/>
      <c r="U51" s="167"/>
      <c r="V51" s="167"/>
      <c r="W51" s="147"/>
      <c r="X51" s="147"/>
      <c r="Y51" s="170"/>
      <c r="Z51" s="11"/>
      <c r="AB51" s="8">
        <v>26</v>
      </c>
      <c r="AC51" s="10">
        <v>0.99970000000000003</v>
      </c>
      <c r="AD51" s="40" t="str">
        <f t="shared" si="0"/>
        <v/>
      </c>
    </row>
    <row r="52" spans="1:30" ht="12.75" customHeight="1" x14ac:dyDescent="0.25">
      <c r="A52" s="8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65"/>
      <c r="O52" s="165"/>
      <c r="P52" s="165"/>
      <c r="Q52" s="168"/>
      <c r="R52" s="168"/>
      <c r="S52" s="168"/>
      <c r="T52" s="168"/>
      <c r="U52" s="168"/>
      <c r="V52" s="168"/>
      <c r="W52" s="149"/>
      <c r="X52" s="149"/>
      <c r="Y52" s="171"/>
      <c r="Z52" s="11"/>
      <c r="AB52" s="8">
        <v>27</v>
      </c>
      <c r="AC52" s="10">
        <v>0.99950000000000006</v>
      </c>
      <c r="AD52" s="40" t="str">
        <f t="shared" si="0"/>
        <v/>
      </c>
    </row>
    <row r="53" spans="1:30" ht="12.75" customHeight="1" x14ac:dyDescent="0.25">
      <c r="A53" s="45"/>
      <c r="B53" s="194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5" t="str">
        <f>IF(E53&lt;&gt;"",E53/(((H53-K53)/$F$27)-((H53-E53)/$S$24)),"")</f>
        <v/>
      </c>
      <c r="O53" s="195"/>
      <c r="P53" s="195"/>
      <c r="Q53" s="191" t="str">
        <f>IF(N53&lt;&gt;"",(N53/$S$27)*100,"")</f>
        <v/>
      </c>
      <c r="R53" s="191"/>
      <c r="S53" s="191"/>
      <c r="T53" s="191" t="str">
        <f>IF(Q53&lt;&gt;"",100-Q53,"")</f>
        <v/>
      </c>
      <c r="U53" s="191"/>
      <c r="V53" s="191"/>
      <c r="W53" s="192"/>
      <c r="X53" s="192"/>
      <c r="Y53" s="193"/>
      <c r="Z53" s="46"/>
      <c r="AB53" s="8">
        <v>28</v>
      </c>
      <c r="AC53" s="10">
        <v>0.99919999999999998</v>
      </c>
      <c r="AD53" s="40" t="str">
        <f t="shared" si="0"/>
        <v/>
      </c>
    </row>
    <row r="54" spans="1:30" ht="12.75" customHeight="1" x14ac:dyDescent="0.25">
      <c r="A54" s="45"/>
      <c r="B54" s="146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64"/>
      <c r="O54" s="164"/>
      <c r="P54" s="164"/>
      <c r="Q54" s="167"/>
      <c r="R54" s="167"/>
      <c r="S54" s="167"/>
      <c r="T54" s="167"/>
      <c r="U54" s="167"/>
      <c r="V54" s="167"/>
      <c r="W54" s="147"/>
      <c r="X54" s="147"/>
      <c r="Y54" s="170"/>
      <c r="Z54" s="11"/>
      <c r="AB54" s="8">
        <v>29</v>
      </c>
      <c r="AC54" s="10">
        <v>0.99890000000000001</v>
      </c>
      <c r="AD54" s="40" t="str">
        <f t="shared" si="0"/>
        <v/>
      </c>
    </row>
    <row r="55" spans="1:30" ht="12.75" customHeight="1" x14ac:dyDescent="0.25">
      <c r="A55" s="45"/>
      <c r="B55" s="148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65"/>
      <c r="O55" s="165"/>
      <c r="P55" s="165"/>
      <c r="Q55" s="168"/>
      <c r="R55" s="168"/>
      <c r="S55" s="168"/>
      <c r="T55" s="168"/>
      <c r="U55" s="168"/>
      <c r="V55" s="168"/>
      <c r="W55" s="149"/>
      <c r="X55" s="149"/>
      <c r="Y55" s="171"/>
      <c r="Z55" s="47"/>
      <c r="AB55" s="13">
        <v>30</v>
      </c>
      <c r="AC55" s="14">
        <v>0.99860000000000004</v>
      </c>
      <c r="AD55" s="48" t="str">
        <f t="shared" si="0"/>
        <v/>
      </c>
    </row>
    <row r="56" spans="1:30" ht="12.75" customHeight="1" x14ac:dyDescent="0.25">
      <c r="A56" s="45"/>
      <c r="B56" s="194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5" t="str">
        <f>IF(E56&lt;&gt;"",E56/(((H56-K56)/$F$27)-((H56-E56)/$S$24)),"")</f>
        <v/>
      </c>
      <c r="O56" s="195"/>
      <c r="P56" s="195"/>
      <c r="Q56" s="191" t="str">
        <f>IF(N56&lt;&gt;"",(N56/$S$27)*100,"")</f>
        <v/>
      </c>
      <c r="R56" s="191"/>
      <c r="S56" s="191"/>
      <c r="T56" s="191" t="str">
        <f>IF(Q56&lt;&gt;"",100-Q56,"")</f>
        <v/>
      </c>
      <c r="U56" s="191"/>
      <c r="V56" s="191"/>
      <c r="W56" s="192"/>
      <c r="X56" s="192"/>
      <c r="Y56" s="193"/>
      <c r="Z56" s="11"/>
    </row>
    <row r="57" spans="1:30" ht="12.75" customHeight="1" x14ac:dyDescent="0.25">
      <c r="A57" s="49"/>
      <c r="B57" s="146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64"/>
      <c r="O57" s="164"/>
      <c r="P57" s="164"/>
      <c r="Q57" s="167"/>
      <c r="R57" s="167"/>
      <c r="S57" s="167"/>
      <c r="T57" s="167"/>
      <c r="U57" s="167"/>
      <c r="V57" s="167"/>
      <c r="W57" s="147"/>
      <c r="X57" s="147"/>
      <c r="Y57" s="170"/>
      <c r="Z57" s="47"/>
    </row>
    <row r="58" spans="1:30" ht="12.75" customHeight="1" x14ac:dyDescent="0.25">
      <c r="A58" s="8"/>
      <c r="B58" s="148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65"/>
      <c r="O58" s="165"/>
      <c r="P58" s="165"/>
      <c r="Q58" s="168"/>
      <c r="R58" s="168"/>
      <c r="S58" s="168"/>
      <c r="T58" s="168"/>
      <c r="U58" s="168"/>
      <c r="V58" s="168"/>
      <c r="W58" s="149"/>
      <c r="X58" s="149"/>
      <c r="Y58" s="171"/>
      <c r="Z58" s="11"/>
    </row>
    <row r="59" spans="1:30" ht="12.75" customHeight="1" x14ac:dyDescent="0.25">
      <c r="A59" s="8"/>
      <c r="B59" s="194"/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5" t="str">
        <f>IF(E59&lt;&gt;"",E59/(((H59-K59)/$F$27)-((H59-E59)/$S$24)),"")</f>
        <v/>
      </c>
      <c r="O59" s="195"/>
      <c r="P59" s="195"/>
      <c r="Q59" s="191" t="str">
        <f>IF(N59&lt;&gt;"",(N59/$S$27)*100,"")</f>
        <v/>
      </c>
      <c r="R59" s="191"/>
      <c r="S59" s="191"/>
      <c r="T59" s="191" t="str">
        <f>IF(Q59&lt;&gt;"",100-Q59,"")</f>
        <v/>
      </c>
      <c r="U59" s="191"/>
      <c r="V59" s="191"/>
      <c r="W59" s="192"/>
      <c r="X59" s="192"/>
      <c r="Y59" s="193"/>
      <c r="Z59" s="47"/>
    </row>
    <row r="60" spans="1:30" ht="12.75" customHeight="1" x14ac:dyDescent="0.25">
      <c r="A60" s="45"/>
      <c r="B60" s="146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64"/>
      <c r="O60" s="164"/>
      <c r="P60" s="164"/>
      <c r="Q60" s="167"/>
      <c r="R60" s="167"/>
      <c r="S60" s="167"/>
      <c r="T60" s="167"/>
      <c r="U60" s="167"/>
      <c r="V60" s="167"/>
      <c r="W60" s="147"/>
      <c r="X60" s="147"/>
      <c r="Y60" s="170"/>
      <c r="Z60" s="47"/>
    </row>
    <row r="61" spans="1:30" ht="12.75" customHeight="1" x14ac:dyDescent="0.25">
      <c r="A61" s="45"/>
      <c r="B61" s="148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65"/>
      <c r="O61" s="165"/>
      <c r="P61" s="165"/>
      <c r="Q61" s="168"/>
      <c r="R61" s="168"/>
      <c r="S61" s="168"/>
      <c r="T61" s="168"/>
      <c r="U61" s="168"/>
      <c r="V61" s="168"/>
      <c r="W61" s="149"/>
      <c r="X61" s="149"/>
      <c r="Y61" s="171"/>
      <c r="Z61" s="47"/>
    </row>
    <row r="62" spans="1:30" ht="12.75" customHeight="1" x14ac:dyDescent="0.25">
      <c r="A62" s="45"/>
      <c r="B62" s="146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64" t="str">
        <f>IF(E62&lt;&gt;"",E62/(((H62-K62)/$F$27)-((H62-E62)/$S$24)),"")</f>
        <v/>
      </c>
      <c r="O62" s="164"/>
      <c r="P62" s="164"/>
      <c r="Q62" s="167" t="str">
        <f>IF(N62&lt;&gt;"",(N62/$S$27)*100,"")</f>
        <v/>
      </c>
      <c r="R62" s="167"/>
      <c r="S62" s="167"/>
      <c r="T62" s="167" t="str">
        <f>IF(Q62&lt;&gt;"",100-Q62,"")</f>
        <v/>
      </c>
      <c r="U62" s="167"/>
      <c r="V62" s="167"/>
      <c r="W62" s="147"/>
      <c r="X62" s="147"/>
      <c r="Y62" s="170"/>
      <c r="Z62" s="47"/>
    </row>
    <row r="63" spans="1:30" ht="12.75" customHeight="1" x14ac:dyDescent="0.25">
      <c r="A63" s="45"/>
      <c r="B63" s="146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64"/>
      <c r="O63" s="164"/>
      <c r="P63" s="164"/>
      <c r="Q63" s="167"/>
      <c r="R63" s="167"/>
      <c r="S63" s="167"/>
      <c r="T63" s="167"/>
      <c r="U63" s="167"/>
      <c r="V63" s="167"/>
      <c r="W63" s="147"/>
      <c r="X63" s="147"/>
      <c r="Y63" s="170"/>
      <c r="Z63" s="47"/>
    </row>
    <row r="64" spans="1:30" ht="12.75" customHeight="1" thickBot="1" x14ac:dyDescent="0.3">
      <c r="A64" s="45"/>
      <c r="B64" s="199"/>
      <c r="C64" s="197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200"/>
      <c r="O64" s="200"/>
      <c r="P64" s="200"/>
      <c r="Q64" s="196"/>
      <c r="R64" s="196"/>
      <c r="S64" s="196"/>
      <c r="T64" s="196"/>
      <c r="U64" s="196"/>
      <c r="V64" s="196"/>
      <c r="W64" s="197"/>
      <c r="X64" s="197"/>
      <c r="Y64" s="198"/>
      <c r="Z64" s="11"/>
    </row>
    <row r="65" spans="1:26" ht="15.9" customHeight="1" x14ac:dyDescent="0.25">
      <c r="A65" s="50"/>
      <c r="B65" s="51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16"/>
    </row>
    <row r="66" spans="1:26" ht="12.75" customHeight="1" x14ac:dyDescent="0.25">
      <c r="A66" s="52"/>
      <c r="B66" s="6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6" s="17" customFormat="1" ht="15.6" customHeight="1" x14ac:dyDescent="0.25">
      <c r="A67" s="3" t="s">
        <v>40</v>
      </c>
      <c r="B67" s="58" t="s">
        <v>6</v>
      </c>
      <c r="C67" s="33"/>
      <c r="D67" s="33"/>
      <c r="E67" s="33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211"/>
      <c r="V67" s="211"/>
      <c r="W67" s="211"/>
      <c r="X67" s="212"/>
      <c r="Y67" s="212"/>
      <c r="Z67" s="213"/>
    </row>
    <row r="68" spans="1:26" s="17" customFormat="1" ht="25.8" customHeight="1" x14ac:dyDescent="0.25">
      <c r="A68" s="207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8"/>
    </row>
    <row r="69" spans="1:26" s="17" customFormat="1" ht="15.6" customHeight="1" x14ac:dyDescent="0.25">
      <c r="A69" s="207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8"/>
    </row>
    <row r="70" spans="1:26" s="17" customFormat="1" ht="15.6" customHeight="1" x14ac:dyDescent="0.25">
      <c r="A70" s="207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8"/>
    </row>
    <row r="71" spans="1:26" s="17" customFormat="1" ht="15.6" customHeight="1" x14ac:dyDescent="0.25">
      <c r="A71" s="207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8"/>
    </row>
    <row r="72" spans="1:26" s="17" customFormat="1" ht="15.6" customHeight="1" x14ac:dyDescent="0.25">
      <c r="A72" s="207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8"/>
    </row>
    <row r="73" spans="1:26" s="17" customFormat="1" ht="15.6" customHeight="1" x14ac:dyDescent="0.25">
      <c r="A73" s="207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8"/>
    </row>
    <row r="74" spans="1:26" s="17" customFormat="1" ht="15.6" customHeight="1" x14ac:dyDescent="0.25">
      <c r="A74" s="207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8"/>
    </row>
    <row r="75" spans="1:26" s="17" customFormat="1" ht="15.6" customHeight="1" x14ac:dyDescent="0.25">
      <c r="A75" s="207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8"/>
    </row>
    <row r="76" spans="1:26" s="17" customFormat="1" ht="15.6" customHeight="1" x14ac:dyDescent="0.25">
      <c r="A76" s="209"/>
      <c r="B76" s="209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09"/>
      <c r="Y76" s="209"/>
      <c r="Z76" s="210"/>
    </row>
    <row r="78" spans="1:26" ht="12.75" customHeight="1" x14ac:dyDescent="0.25">
      <c r="P78" s="9"/>
      <c r="Q78" s="9"/>
      <c r="R78" s="9"/>
      <c r="S78" s="9"/>
      <c r="T78" s="9"/>
      <c r="U78" s="9"/>
      <c r="V78" s="9"/>
      <c r="W78" s="9"/>
    </row>
    <row r="79" spans="1:26" ht="12.75" customHeight="1" x14ac:dyDescent="0.25">
      <c r="P79" s="9"/>
      <c r="Q79" s="9"/>
      <c r="R79" s="9"/>
      <c r="S79" s="9"/>
      <c r="T79" s="9"/>
      <c r="U79" s="9"/>
      <c r="V79" s="9"/>
      <c r="W79" s="9"/>
    </row>
    <row r="80" spans="1:26" ht="12.75" customHeight="1" x14ac:dyDescent="0.25">
      <c r="P80" s="9"/>
      <c r="Q80" s="9"/>
      <c r="R80" s="9"/>
      <c r="S80" s="9"/>
      <c r="T80" s="9"/>
      <c r="U80" s="9"/>
      <c r="V80" s="9"/>
      <c r="W80" s="9"/>
    </row>
    <row r="81" spans="16:23" ht="12.75" customHeight="1" x14ac:dyDescent="0.25">
      <c r="P81" s="9"/>
      <c r="Q81" s="9"/>
      <c r="R81" s="9"/>
      <c r="S81" s="9"/>
      <c r="T81" s="9"/>
      <c r="U81" s="9"/>
      <c r="V81" s="9"/>
      <c r="W81" s="9"/>
    </row>
    <row r="82" spans="16:23" ht="12.75" customHeight="1" x14ac:dyDescent="0.25">
      <c r="P82" s="9"/>
      <c r="Q82" s="9"/>
      <c r="R82" s="9"/>
      <c r="S82" s="9"/>
      <c r="T82" s="9"/>
      <c r="U82" s="9"/>
      <c r="V82" s="9"/>
      <c r="W82" s="9"/>
    </row>
    <row r="83" spans="16:23" ht="12.75" customHeight="1" x14ac:dyDescent="0.25">
      <c r="P83" s="9"/>
      <c r="Q83" s="9"/>
      <c r="R83" s="9"/>
      <c r="S83" s="9"/>
      <c r="T83" s="9"/>
      <c r="U83" s="9"/>
      <c r="V83" s="9"/>
      <c r="W83" s="9"/>
    </row>
  </sheetData>
  <sheetProtection selectLockedCells="1"/>
  <mergeCells count="134">
    <mergeCell ref="A68:Z76"/>
    <mergeCell ref="T62:V64"/>
    <mergeCell ref="W62:Y64"/>
    <mergeCell ref="U67:Z67"/>
    <mergeCell ref="B62:D64"/>
    <mergeCell ref="E62:G64"/>
    <mergeCell ref="H62:J64"/>
    <mergeCell ref="K62:M64"/>
    <mergeCell ref="N62:P64"/>
    <mergeCell ref="Q62:S64"/>
    <mergeCell ref="T56:V58"/>
    <mergeCell ref="W56:Y58"/>
    <mergeCell ref="B59:D61"/>
    <mergeCell ref="E59:G61"/>
    <mergeCell ref="H59:J61"/>
    <mergeCell ref="K59:M61"/>
    <mergeCell ref="N59:P61"/>
    <mergeCell ref="Q59:S61"/>
    <mergeCell ref="T59:V61"/>
    <mergeCell ref="W59:Y61"/>
    <mergeCell ref="B56:D58"/>
    <mergeCell ref="E56:G58"/>
    <mergeCell ref="H56:J58"/>
    <mergeCell ref="K56:M58"/>
    <mergeCell ref="N56:P58"/>
    <mergeCell ref="Q56:S58"/>
    <mergeCell ref="T50:V52"/>
    <mergeCell ref="W50:Y52"/>
    <mergeCell ref="B53:D55"/>
    <mergeCell ref="E53:G55"/>
    <mergeCell ref="H53:J55"/>
    <mergeCell ref="K53:M55"/>
    <mergeCell ref="N53:P55"/>
    <mergeCell ref="Q53:S55"/>
    <mergeCell ref="T53:V55"/>
    <mergeCell ref="W53:Y55"/>
    <mergeCell ref="B50:D52"/>
    <mergeCell ref="E50:G52"/>
    <mergeCell ref="H50:J52"/>
    <mergeCell ref="K50:M52"/>
    <mergeCell ref="N50:P52"/>
    <mergeCell ref="Q50:S52"/>
    <mergeCell ref="T44:V46"/>
    <mergeCell ref="W44:Y46"/>
    <mergeCell ref="B47:D49"/>
    <mergeCell ref="E47:G49"/>
    <mergeCell ref="H47:J49"/>
    <mergeCell ref="K47:M49"/>
    <mergeCell ref="N47:P49"/>
    <mergeCell ref="Q47:S49"/>
    <mergeCell ref="T47:V49"/>
    <mergeCell ref="W47:Y49"/>
    <mergeCell ref="B44:D46"/>
    <mergeCell ref="E44:G46"/>
    <mergeCell ref="H44:J46"/>
    <mergeCell ref="K44:M46"/>
    <mergeCell ref="N44:P46"/>
    <mergeCell ref="Q44:S46"/>
    <mergeCell ref="B38:D40"/>
    <mergeCell ref="E38:G40"/>
    <mergeCell ref="H38:J40"/>
    <mergeCell ref="K38:M40"/>
    <mergeCell ref="N38:P40"/>
    <mergeCell ref="Q38:S40"/>
    <mergeCell ref="T38:V40"/>
    <mergeCell ref="W38:Y40"/>
    <mergeCell ref="B41:D43"/>
    <mergeCell ref="E41:G43"/>
    <mergeCell ref="H41:J43"/>
    <mergeCell ref="K41:M43"/>
    <mergeCell ref="N41:P43"/>
    <mergeCell ref="Q41:S43"/>
    <mergeCell ref="T41:V43"/>
    <mergeCell ref="W41:Y43"/>
    <mergeCell ref="H12:M12"/>
    <mergeCell ref="N12:R12"/>
    <mergeCell ref="S12:Y12"/>
    <mergeCell ref="T32:V34"/>
    <mergeCell ref="W32:Y34"/>
    <mergeCell ref="AB32:AB34"/>
    <mergeCell ref="AC32:AC34"/>
    <mergeCell ref="AD32:AD34"/>
    <mergeCell ref="B35:D37"/>
    <mergeCell ref="E35:G37"/>
    <mergeCell ref="H35:J37"/>
    <mergeCell ref="K35:M37"/>
    <mergeCell ref="N35:P37"/>
    <mergeCell ref="B32:D34"/>
    <mergeCell ref="E32:G34"/>
    <mergeCell ref="H32:J34"/>
    <mergeCell ref="K32:M34"/>
    <mergeCell ref="N32:P34"/>
    <mergeCell ref="Q32:S34"/>
    <mergeCell ref="Q35:S37"/>
    <mergeCell ref="T35:V37"/>
    <mergeCell ref="W35:Y37"/>
    <mergeCell ref="B27:E29"/>
    <mergeCell ref="F27:I29"/>
    <mergeCell ref="J27:L29"/>
    <mergeCell ref="O27:R29"/>
    <mergeCell ref="S27:V29"/>
    <mergeCell ref="W27:Y29"/>
    <mergeCell ref="B18:H18"/>
    <mergeCell ref="I18:Y18"/>
    <mergeCell ref="B24:E26"/>
    <mergeCell ref="F24:I26"/>
    <mergeCell ref="J24:L26"/>
    <mergeCell ref="O24:R26"/>
    <mergeCell ref="S24:V26"/>
    <mergeCell ref="W24:Y26"/>
    <mergeCell ref="B17:H17"/>
    <mergeCell ref="I17:Y17"/>
    <mergeCell ref="A1:F6"/>
    <mergeCell ref="G1:T1"/>
    <mergeCell ref="U1:Z6"/>
    <mergeCell ref="B11:G11"/>
    <mergeCell ref="H11:M11"/>
    <mergeCell ref="N11:R11"/>
    <mergeCell ref="S11:Y11"/>
    <mergeCell ref="A7:F7"/>
    <mergeCell ref="G7:Z7"/>
    <mergeCell ref="B10:G10"/>
    <mergeCell ref="H10:M10"/>
    <mergeCell ref="N10:R10"/>
    <mergeCell ref="S10:Y10"/>
    <mergeCell ref="G2:T4"/>
    <mergeCell ref="G5:H5"/>
    <mergeCell ref="J5:K5"/>
    <mergeCell ref="L5:O5"/>
    <mergeCell ref="P5:T5"/>
    <mergeCell ref="J6:K6"/>
    <mergeCell ref="L6:O6"/>
    <mergeCell ref="P6:T6"/>
    <mergeCell ref="B12:G12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</vt:lpstr>
      <vt:lpstr>FE</vt:lpstr>
      <vt:lpstr>CRE!Zone_d_impression</vt:lpstr>
      <vt:lpstr>FE!Zone_d_impression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2011-10-11T09:15:15Z</cp:lastPrinted>
  <dcterms:created xsi:type="dcterms:W3CDTF">2004-11-13T18:13:05Z</dcterms:created>
  <dcterms:modified xsi:type="dcterms:W3CDTF">2023-03-07T07:17:26Z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