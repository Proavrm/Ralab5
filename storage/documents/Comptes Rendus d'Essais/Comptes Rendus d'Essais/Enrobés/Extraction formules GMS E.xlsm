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S:\Labo\Documents types\Comptes Rendus d'Essais\Enrobés\"/>
    </mc:Choice>
  </mc:AlternateContent>
  <bookViews>
    <workbookView xWindow="-15" yWindow="-15" windowWidth="12120" windowHeight="4950"/>
  </bookViews>
  <sheets>
    <sheet name="EME 0-14 CL2 BEROUD" sheetId="16" r:id="rId1"/>
    <sheet name="EME 0-14 CL2 GAUDIN" sheetId="15" r:id="rId2"/>
    <sheet name="BBME 0-10 CL3 GAUDIN" sheetId="14" r:id="rId3"/>
    <sheet name="GB 0-14 CL 3 SILLANS" sheetId="13" r:id="rId4"/>
    <sheet name="GB 0-14 CL 3 GAUDIN" sheetId="11" r:id="rId5"/>
    <sheet name="BBSG 0-10 CL3 GAUDIN" sheetId="9" r:id="rId6"/>
    <sheet name="BBSG 0-10 CL2" sheetId="12" r:id="rId7"/>
  </sheets>
  <definedNames>
    <definedName name="_xlnm.Print_Area" localSheetId="2">'BBME 0-10 CL3 GAUDIN'!$A$1:$AB$71</definedName>
    <definedName name="_xlnm.Print_Area" localSheetId="6">'BBSG 0-10 CL2'!$A$1:$AB$71</definedName>
    <definedName name="_xlnm.Print_Area" localSheetId="5">'BBSG 0-10 CL3 GAUDIN'!$A$1:$AB$71</definedName>
    <definedName name="_xlnm.Print_Area" localSheetId="0">'EME 0-14 CL2 BEROUD'!$A$1:$AB$71</definedName>
    <definedName name="_xlnm.Print_Area" localSheetId="1">'EME 0-14 CL2 GAUDIN'!$A$1:$AB$71</definedName>
    <definedName name="_xlnm.Print_Area" localSheetId="4">'GB 0-14 CL 3 GAUDIN'!$A$1:$AB$71</definedName>
    <definedName name="_xlnm.Print_Area" localSheetId="3">'GB 0-14 CL 3 SILLANS'!$A$1:$AB$71</definedName>
  </definedNames>
  <calcPr calcId="152511"/>
</workbook>
</file>

<file path=xl/calcChain.xml><?xml version="1.0" encoding="utf-8"?>
<calcChain xmlns="http://schemas.openxmlformats.org/spreadsheetml/2006/main">
  <c r="Y59" i="16" l="1"/>
  <c r="Y58" i="16"/>
  <c r="V59" i="16"/>
  <c r="R59" i="16"/>
  <c r="M59" i="16"/>
  <c r="E59" i="16"/>
  <c r="R58" i="16"/>
  <c r="M58" i="16"/>
  <c r="E58" i="16"/>
  <c r="Z50" i="16"/>
  <c r="AE50" i="16"/>
  <c r="AF50" i="16" s="1"/>
  <c r="Z51" i="16"/>
  <c r="AE51" i="16"/>
  <c r="AF51" i="16"/>
  <c r="Z52" i="16"/>
  <c r="AE52" i="16"/>
  <c r="AF52" i="16" s="1"/>
  <c r="Z53" i="16"/>
  <c r="AE53" i="16"/>
  <c r="AF53" i="16" s="1"/>
  <c r="E56" i="16"/>
  <c r="F56" i="16"/>
  <c r="G56" i="16"/>
  <c r="H56" i="16"/>
  <c r="I56" i="16"/>
  <c r="J56" i="16"/>
  <c r="K56" i="16"/>
  <c r="L56" i="16"/>
  <c r="M56" i="16"/>
  <c r="N56" i="16"/>
  <c r="O56" i="16"/>
  <c r="P56" i="16"/>
  <c r="Q56" i="16"/>
  <c r="R56" i="16"/>
  <c r="S56" i="16"/>
  <c r="T56" i="16"/>
  <c r="X56" i="16"/>
  <c r="Y56" i="16"/>
  <c r="AE57" i="16"/>
  <c r="AF57" i="16" s="1"/>
  <c r="Z50" i="15"/>
  <c r="AE50" i="15"/>
  <c r="AF50" i="15" s="1"/>
  <c r="Z51" i="15"/>
  <c r="AE51" i="15"/>
  <c r="AF51" i="15" s="1"/>
  <c r="Z52" i="15"/>
  <c r="AE52" i="15"/>
  <c r="AF52" i="15"/>
  <c r="Z53" i="15"/>
  <c r="AE53" i="15"/>
  <c r="AF53" i="15" s="1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X56" i="15"/>
  <c r="Y56" i="15"/>
  <c r="AE56" i="15"/>
  <c r="AE57" i="15"/>
  <c r="AF57" i="15" s="1"/>
  <c r="Z57" i="15" s="1"/>
  <c r="Z50" i="14"/>
  <c r="AE50" i="14"/>
  <c r="AF50" i="14"/>
  <c r="Z51" i="14"/>
  <c r="AE51" i="14"/>
  <c r="AF51" i="14" s="1"/>
  <c r="Z52" i="14"/>
  <c r="AE52" i="14"/>
  <c r="AF52" i="14" s="1"/>
  <c r="Z53" i="14"/>
  <c r="AE53" i="14"/>
  <c r="AF53" i="14" s="1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AE56" i="14" s="1"/>
  <c r="R56" i="14"/>
  <c r="S56" i="14"/>
  <c r="T56" i="14"/>
  <c r="X56" i="14"/>
  <c r="Y56" i="14"/>
  <c r="AE57" i="14"/>
  <c r="AF57" i="14"/>
  <c r="Z57" i="14" s="1"/>
  <c r="Z50" i="13"/>
  <c r="AE50" i="13"/>
  <c r="AF50" i="13"/>
  <c r="Z51" i="13"/>
  <c r="AE51" i="13"/>
  <c r="AF51" i="13" s="1"/>
  <c r="Z52" i="13"/>
  <c r="AE52" i="13"/>
  <c r="AF52" i="13"/>
  <c r="Z53" i="13"/>
  <c r="AE53" i="13"/>
  <c r="AF53" i="13" s="1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AE57" i="13"/>
  <c r="AF57" i="13" s="1"/>
  <c r="Z57" i="13" s="1"/>
  <c r="X56" i="12"/>
  <c r="V56" i="11"/>
  <c r="W56" i="11"/>
  <c r="X56" i="11"/>
  <c r="Y56" i="11"/>
  <c r="T56" i="12"/>
  <c r="U56" i="12"/>
  <c r="V56" i="12"/>
  <c r="W56" i="12"/>
  <c r="Y56" i="12"/>
  <c r="AE50" i="12"/>
  <c r="AF50" i="12"/>
  <c r="Z50" i="12"/>
  <c r="AE51" i="12"/>
  <c r="AF51" i="12" s="1"/>
  <c r="Z51" i="12"/>
  <c r="AE52" i="12"/>
  <c r="AF52" i="12" s="1"/>
  <c r="Z52" i="12"/>
  <c r="Z53" i="12"/>
  <c r="AE53" i="12"/>
  <c r="AF53" i="12" s="1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AE57" i="12"/>
  <c r="AF57" i="12" s="1"/>
  <c r="Z57" i="12" s="1"/>
  <c r="X56" i="9"/>
  <c r="Y56" i="9"/>
  <c r="U56" i="11"/>
  <c r="F56" i="9"/>
  <c r="G56" i="9"/>
  <c r="H56" i="9"/>
  <c r="I56" i="9"/>
  <c r="J56" i="9"/>
  <c r="K56" i="9"/>
  <c r="L56" i="9"/>
  <c r="M56" i="9"/>
  <c r="N56" i="9"/>
  <c r="O56" i="9"/>
  <c r="P56" i="9"/>
  <c r="Q56" i="9"/>
  <c r="AE56" i="9" s="1"/>
  <c r="AF56" i="9" s="1"/>
  <c r="Z56" i="9" s="1"/>
  <c r="R56" i="9"/>
  <c r="S56" i="9"/>
  <c r="T56" i="9"/>
  <c r="U56" i="9"/>
  <c r="V56" i="9"/>
  <c r="W56" i="9"/>
  <c r="E56" i="9"/>
  <c r="AE50" i="11"/>
  <c r="AF50" i="11" s="1"/>
  <c r="Z50" i="11"/>
  <c r="AE51" i="11"/>
  <c r="AF51" i="11"/>
  <c r="Z51" i="11"/>
  <c r="AE52" i="11"/>
  <c r="AF52" i="11" s="1"/>
  <c r="Z52" i="11"/>
  <c r="Z53" i="11"/>
  <c r="AE53" i="11"/>
  <c r="AF53" i="11" s="1"/>
  <c r="E56" i="11"/>
  <c r="F56" i="11"/>
  <c r="G56" i="11"/>
  <c r="H56" i="11"/>
  <c r="I56" i="11"/>
  <c r="J56" i="11"/>
  <c r="K56" i="11"/>
  <c r="AE56" i="11" s="1"/>
  <c r="AF56" i="11" s="1"/>
  <c r="Z56" i="11" s="1"/>
  <c r="L56" i="11"/>
  <c r="M56" i="11"/>
  <c r="N56" i="11"/>
  <c r="O56" i="11"/>
  <c r="P56" i="11"/>
  <c r="Q56" i="11"/>
  <c r="R56" i="11"/>
  <c r="S56" i="11"/>
  <c r="T56" i="11"/>
  <c r="AE57" i="11"/>
  <c r="AF57" i="11"/>
  <c r="Z57" i="11" s="1"/>
  <c r="AE57" i="9"/>
  <c r="AE50" i="9"/>
  <c r="AF50" i="9" s="1"/>
  <c r="Z50" i="9"/>
  <c r="AE51" i="9"/>
  <c r="AF51" i="9" s="1"/>
  <c r="Z51" i="9"/>
  <c r="AE52" i="9"/>
  <c r="AF52" i="9"/>
  <c r="Z52" i="9"/>
  <c r="Z53" i="9"/>
  <c r="AE53" i="9"/>
  <c r="AF53" i="9"/>
  <c r="AF57" i="9"/>
  <c r="Z57" i="9" s="1"/>
  <c r="AE56" i="13" l="1"/>
  <c r="AF56" i="13" s="1"/>
  <c r="Z56" i="13" s="1"/>
  <c r="AE56" i="12"/>
  <c r="AF56" i="12" s="1"/>
  <c r="Z56" i="12" s="1"/>
  <c r="AF56" i="15"/>
  <c r="Z56" i="15" s="1"/>
  <c r="AF56" i="14"/>
  <c r="Z56" i="14" s="1"/>
  <c r="AE56" i="16"/>
  <c r="AF56" i="16" s="1"/>
  <c r="Z56" i="16" s="1"/>
</calcChain>
</file>

<file path=xl/sharedStrings.xml><?xml version="1.0" encoding="utf-8"?>
<sst xmlns="http://schemas.openxmlformats.org/spreadsheetml/2006/main" count="384" uniqueCount="62">
  <si>
    <t>RENSEIGNEMENTS GENERAUX</t>
  </si>
  <si>
    <t>1/</t>
  </si>
  <si>
    <t>2/</t>
  </si>
  <si>
    <t>5/</t>
  </si>
  <si>
    <t>4/</t>
  </si>
  <si>
    <t>COMMENTAIRES</t>
  </si>
  <si>
    <t>Date de l'essai :</t>
  </si>
  <si>
    <t>Moyenne</t>
  </si>
  <si>
    <t>Mini</t>
  </si>
  <si>
    <t>Théorique</t>
  </si>
  <si>
    <t>Heure</t>
  </si>
  <si>
    <t>Analyse granulométrique</t>
  </si>
  <si>
    <t>teneur en liant</t>
  </si>
  <si>
    <t>temp mesurée</t>
  </si>
  <si>
    <t>Module  richesse</t>
  </si>
  <si>
    <t>surface spécifique</t>
  </si>
  <si>
    <t>module de richesse</t>
  </si>
  <si>
    <t>MVR granulats:</t>
  </si>
  <si>
    <t>RESULTATS DES ESSAIS</t>
  </si>
  <si>
    <t>CRITERES DE CONFORMITE</t>
  </si>
  <si>
    <t>Source des critères :</t>
  </si>
  <si>
    <t>Définition des critères / objectifs :</t>
  </si>
  <si>
    <t>CONCLUSIONS</t>
  </si>
  <si>
    <t>Conforme</t>
  </si>
  <si>
    <t>Non conforme</t>
  </si>
  <si>
    <t>Pour information</t>
  </si>
  <si>
    <t xml:space="preserve">OUI </t>
  </si>
  <si>
    <t>NON</t>
  </si>
  <si>
    <t xml:space="preserve">N° </t>
  </si>
  <si>
    <t>Laboratoire:</t>
  </si>
  <si>
    <t>Seuil maxi</t>
  </si>
  <si>
    <t>Seuil mini</t>
  </si>
  <si>
    <t>Fonction</t>
  </si>
  <si>
    <t>Visa</t>
  </si>
  <si>
    <t>Certificat d'échantillonnage :</t>
  </si>
  <si>
    <t>Méthode d'essai :</t>
  </si>
  <si>
    <t>Identification du prélèvement :</t>
  </si>
  <si>
    <t>Lieu du prélèvement :</t>
  </si>
  <si>
    <t>Date de réception :</t>
  </si>
  <si>
    <t>Produit contrôlé :</t>
  </si>
  <si>
    <t>Opérateur :</t>
  </si>
  <si>
    <t>Date de mise en œuvre :</t>
  </si>
  <si>
    <t>Couche de :</t>
  </si>
  <si>
    <t>Lieu de fabrication :</t>
  </si>
  <si>
    <t>Nom du client :</t>
  </si>
  <si>
    <t>Contrôle</t>
  </si>
  <si>
    <t>Nom</t>
  </si>
  <si>
    <t>Région Rhône Alpes - 29-31 rue des Tâches - ZI Mi-Plaine - 69800 SAINT PRIEST</t>
  </si>
  <si>
    <t>Roulement</t>
  </si>
  <si>
    <t>Centrifugeuse SMM</t>
  </si>
  <si>
    <t>Norme NF P 98-130</t>
  </si>
  <si>
    <t>Norme produit</t>
  </si>
  <si>
    <t>GMS Enrobés La chavanne</t>
  </si>
  <si>
    <t>GB 0/14 cl3</t>
  </si>
  <si>
    <t>Base</t>
  </si>
  <si>
    <t>BBSG 0/10 cl2 sillans</t>
  </si>
  <si>
    <t>Norme NF P 98-138</t>
  </si>
  <si>
    <t>BBME 0/10 CL3</t>
  </si>
  <si>
    <t>Norme NF P 98-141</t>
  </si>
  <si>
    <t>EME 0/14 CL2</t>
  </si>
  <si>
    <t>Norme NF P 98-140</t>
  </si>
  <si>
    <t>BBSG 0/10 cl3 GAUDIN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</si>
</sst>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6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2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u/>
      <sz val="10"/>
      <name val="Century Gothic"/>
      <family val="2"/>
    </font>
    <font>
      <b/>
      <sz val="10"/>
      <name val="Century Gothic"/>
      <family val="2"/>
    </font>
    <font>
      <b/>
      <sz val="10"/>
      <color indexed="10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b/>
      <sz val="8"/>
      <color indexed="10"/>
      <name val="Century Gothic"/>
      <family val="2"/>
    </font>
    <font>
      <b/>
      <u/>
      <sz val="11"/>
      <name val="Century Gothic"/>
      <family val="2"/>
    </font>
    <font>
      <sz val="10"/>
      <color indexed="1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</borders>
  <cellStyleXfs count="1">
    <xf numFmtId="0" fontId="0" fillId="0" borderId="0"/>
  </cellStyleXfs>
  <cellXfs count="211">
    <xf numFmtId="0" fontId="0" fillId="0" borderId="0" xfId="0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 applyProtection="1">
      <alignment vertical="center"/>
      <protection locked="0"/>
    </xf>
    <xf numFmtId="0" fontId="5" fillId="2" borderId="0" xfId="0" applyFont="1" applyFill="1" applyBorder="1" applyAlignment="1">
      <alignment horizontal="left" vertical="center"/>
    </xf>
    <xf numFmtId="0" fontId="5" fillId="2" borderId="35" xfId="0" applyFont="1" applyFill="1" applyBorder="1" applyAlignment="1" applyProtection="1">
      <alignment vertical="center"/>
      <protection locked="0"/>
    </xf>
    <xf numFmtId="0" fontId="7" fillId="2" borderId="0" xfId="0" applyFont="1" applyFill="1" applyBorder="1" applyAlignment="1">
      <alignment horizontal="center" vertical="center"/>
    </xf>
    <xf numFmtId="14" fontId="7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26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vertical="center"/>
    </xf>
    <xf numFmtId="0" fontId="3" fillId="2" borderId="36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>
      <alignment vertical="center"/>
    </xf>
    <xf numFmtId="0" fontId="3" fillId="2" borderId="26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2" borderId="59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right" vertical="center"/>
    </xf>
    <xf numFmtId="0" fontId="3" fillId="0" borderId="60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9" fillId="0" borderId="2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0" fontId="9" fillId="0" borderId="58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 wrapText="1"/>
    </xf>
    <xf numFmtId="0" fontId="11" fillId="0" borderId="24" xfId="0" applyFont="1" applyFill="1" applyBorder="1" applyAlignment="1">
      <alignment horizontal="center" vertical="center" wrapText="1"/>
    </xf>
    <xf numFmtId="0" fontId="11" fillId="0" borderId="17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9" fillId="2" borderId="24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9" fillId="0" borderId="29" xfId="0" applyFont="1" applyFill="1" applyBorder="1" applyAlignment="1">
      <alignment horizontal="center" vertical="center"/>
    </xf>
    <xf numFmtId="0" fontId="9" fillId="0" borderId="55" xfId="0" applyFont="1" applyFill="1" applyBorder="1" applyAlignment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12" fillId="0" borderId="37" xfId="0" applyFont="1" applyFill="1" applyBorder="1" applyAlignment="1" applyProtection="1">
      <alignment horizontal="center" vertical="center"/>
      <protection locked="0"/>
    </xf>
    <xf numFmtId="0" fontId="12" fillId="0" borderId="38" xfId="0" applyFont="1" applyFill="1" applyBorder="1" applyAlignment="1" applyProtection="1">
      <alignment horizontal="center" vertical="center"/>
      <protection locked="0"/>
    </xf>
    <xf numFmtId="0" fontId="11" fillId="0" borderId="60" xfId="0" applyFont="1" applyFill="1" applyBorder="1" applyAlignment="1">
      <alignment horizontal="center" vertical="center" wrapText="1"/>
    </xf>
    <xf numFmtId="0" fontId="11" fillId="0" borderId="33" xfId="0" applyFont="1" applyFill="1" applyBorder="1" applyAlignment="1">
      <alignment horizontal="center" vertical="center" wrapText="1"/>
    </xf>
    <xf numFmtId="0" fontId="11" fillId="0" borderId="4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9" fillId="0" borderId="33" xfId="0" applyFont="1" applyBorder="1" applyAlignment="1">
      <alignment vertical="center" wrapText="1"/>
    </xf>
    <xf numFmtId="0" fontId="9" fillId="2" borderId="4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 wrapText="1"/>
    </xf>
    <xf numFmtId="0" fontId="3" fillId="2" borderId="52" xfId="0" applyFont="1" applyFill="1" applyBorder="1" applyAlignment="1">
      <alignment horizontal="center" vertical="center" wrapText="1"/>
    </xf>
    <xf numFmtId="164" fontId="11" fillId="2" borderId="19" xfId="0" applyNumberFormat="1" applyFont="1" applyFill="1" applyBorder="1" applyAlignment="1">
      <alignment horizontal="center" vertical="center" wrapText="1"/>
    </xf>
    <xf numFmtId="164" fontId="11" fillId="2" borderId="20" xfId="0" applyNumberFormat="1" applyFont="1" applyFill="1" applyBorder="1" applyAlignment="1" applyProtection="1">
      <alignment horizontal="center" vertical="center"/>
      <protection locked="0"/>
    </xf>
    <xf numFmtId="164" fontId="11" fillId="2" borderId="19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2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2" borderId="39" xfId="0" applyFont="1" applyFill="1" applyBorder="1" applyAlignment="1">
      <alignment horizontal="center" vertical="center"/>
    </xf>
    <xf numFmtId="2" fontId="3" fillId="2" borderId="40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2" fontId="3" fillId="2" borderId="13" xfId="0" applyNumberFormat="1" applyFont="1" applyFill="1" applyBorder="1" applyAlignment="1" applyProtection="1">
      <alignment horizontal="center" vertical="center"/>
      <protection locked="0"/>
    </xf>
    <xf numFmtId="2" fontId="3" fillId="2" borderId="28" xfId="0" applyNumberFormat="1" applyFont="1" applyFill="1" applyBorder="1" applyAlignment="1" applyProtection="1">
      <alignment horizontal="center" vertical="center"/>
      <protection locked="0"/>
    </xf>
    <xf numFmtId="164" fontId="11" fillId="2" borderId="21" xfId="0" applyNumberFormat="1" applyFont="1" applyFill="1" applyBorder="1" applyAlignment="1">
      <alignment horizontal="center" vertical="center" wrapText="1"/>
    </xf>
    <xf numFmtId="164" fontId="11" fillId="2" borderId="22" xfId="0" applyNumberFormat="1" applyFont="1" applyFill="1" applyBorder="1" applyAlignment="1" applyProtection="1">
      <alignment horizontal="center" vertical="center"/>
      <protection locked="0"/>
    </xf>
    <xf numFmtId="164" fontId="11" fillId="2" borderId="21" xfId="0" applyNumberFormat="1" applyFont="1" applyFill="1" applyBorder="1" applyAlignment="1" applyProtection="1">
      <alignment horizontal="center" vertical="center"/>
      <protection locked="0"/>
    </xf>
    <xf numFmtId="2" fontId="3" fillId="2" borderId="27" xfId="0" applyNumberFormat="1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64" fontId="11" fillId="2" borderId="23" xfId="0" applyNumberFormat="1" applyFont="1" applyFill="1" applyBorder="1" applyAlignment="1">
      <alignment horizontal="center" vertical="center" wrapText="1"/>
    </xf>
    <xf numFmtId="164" fontId="11" fillId="2" borderId="8" xfId="0" applyNumberFormat="1" applyFont="1" applyFill="1" applyBorder="1" applyAlignment="1" applyProtection="1">
      <alignment horizontal="center" vertical="center"/>
      <protection locked="0"/>
    </xf>
    <xf numFmtId="164" fontId="11" fillId="2" borderId="23" xfId="0" applyNumberFormat="1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2" fontId="3" fillId="2" borderId="2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164" fontId="11" fillId="0" borderId="0" xfId="0" applyNumberFormat="1" applyFont="1" applyAlignment="1">
      <alignment vertical="center"/>
    </xf>
    <xf numFmtId="164" fontId="11" fillId="0" borderId="14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9" fillId="0" borderId="15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 vertical="center"/>
    </xf>
    <xf numFmtId="1" fontId="3" fillId="0" borderId="50" xfId="0" applyNumberFormat="1" applyFont="1" applyBorder="1" applyAlignment="1">
      <alignment horizontal="center" vertical="center"/>
    </xf>
    <xf numFmtId="2" fontId="3" fillId="0" borderId="25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164" fontId="13" fillId="0" borderId="30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28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 applyProtection="1">
      <alignment horizontal="center" vertical="center"/>
      <protection locked="0"/>
    </xf>
    <xf numFmtId="2" fontId="11" fillId="0" borderId="13" xfId="0" applyNumberFormat="1" applyFont="1" applyBorder="1" applyAlignment="1">
      <alignment horizontal="center" vertical="center"/>
    </xf>
    <xf numFmtId="2" fontId="11" fillId="0" borderId="27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11" fillId="2" borderId="41" xfId="0" applyFont="1" applyFill="1" applyBorder="1" applyAlignment="1">
      <alignment horizontal="center" vertical="center" wrapText="1"/>
    </xf>
    <xf numFmtId="0" fontId="11" fillId="2" borderId="53" xfId="0" applyFont="1" applyFill="1" applyBorder="1" applyAlignment="1">
      <alignment horizontal="center" vertical="center" wrapText="1"/>
    </xf>
    <xf numFmtId="0" fontId="11" fillId="2" borderId="54" xfId="0" applyFont="1" applyFill="1" applyBorder="1" applyAlignment="1">
      <alignment horizontal="center" vertical="center" wrapText="1"/>
    </xf>
    <xf numFmtId="164" fontId="11" fillId="2" borderId="33" xfId="0" applyNumberFormat="1" applyFont="1" applyFill="1" applyBorder="1" applyAlignment="1">
      <alignment horizontal="center" vertical="center" wrapText="1"/>
    </xf>
    <xf numFmtId="164" fontId="11" fillId="2" borderId="33" xfId="0" applyNumberFormat="1" applyFont="1" applyFill="1" applyBorder="1" applyAlignment="1" applyProtection="1">
      <alignment horizontal="center" vertical="center"/>
      <protection locked="0"/>
    </xf>
    <xf numFmtId="0" fontId="11" fillId="2" borderId="33" xfId="0" applyFont="1" applyFill="1" applyBorder="1" applyAlignment="1" applyProtection="1">
      <alignment horizontal="center" vertical="center"/>
      <protection locked="0"/>
    </xf>
    <xf numFmtId="0" fontId="11" fillId="0" borderId="41" xfId="0" applyFont="1" applyBorder="1" applyAlignment="1">
      <alignment horizontal="center" vertical="center"/>
    </xf>
    <xf numFmtId="2" fontId="11" fillId="0" borderId="42" xfId="0" applyNumberFormat="1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3" fillId="2" borderId="33" xfId="0" applyFont="1" applyFill="1" applyBorder="1" applyAlignment="1">
      <alignment vertical="center"/>
    </xf>
    <xf numFmtId="0" fontId="3" fillId="2" borderId="43" xfId="0" applyFont="1" applyFill="1" applyBorder="1" applyAlignment="1">
      <alignment vertical="center"/>
    </xf>
    <xf numFmtId="0" fontId="4" fillId="0" borderId="44" xfId="0" applyFont="1" applyFill="1" applyBorder="1" applyAlignment="1" applyProtection="1">
      <alignment horizontal="center" vertical="center"/>
    </xf>
    <xf numFmtId="0" fontId="6" fillId="0" borderId="45" xfId="0" applyFont="1" applyFill="1" applyBorder="1" applyAlignment="1" applyProtection="1">
      <alignment vertical="center"/>
    </xf>
    <xf numFmtId="0" fontId="8" fillId="0" borderId="45" xfId="0" applyFont="1" applyFill="1" applyBorder="1" applyAlignment="1" applyProtection="1">
      <alignment vertical="center"/>
    </xf>
    <xf numFmtId="0" fontId="8" fillId="0" borderId="45" xfId="0" applyFont="1" applyFill="1" applyBorder="1" applyAlignment="1" applyProtection="1">
      <alignment vertical="center"/>
      <protection locked="0"/>
    </xf>
    <xf numFmtId="0" fontId="3" fillId="0" borderId="45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>
      <alignment vertical="center"/>
    </xf>
    <xf numFmtId="0" fontId="14" fillId="0" borderId="32" xfId="0" applyFont="1" applyFill="1" applyBorder="1" applyAlignment="1">
      <alignment horizontal="center" vertical="center" wrapText="1"/>
    </xf>
    <xf numFmtId="0" fontId="14" fillId="0" borderId="22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61" xfId="0" applyFont="1" applyFill="1" applyBorder="1" applyAlignment="1" applyProtection="1">
      <alignment horizontal="center" vertical="center"/>
    </xf>
    <xf numFmtId="0" fontId="4" fillId="0" borderId="46" xfId="0" applyFont="1" applyFill="1" applyBorder="1" applyAlignment="1" applyProtection="1">
      <alignment horizontal="center" vertical="center"/>
    </xf>
    <xf numFmtId="0" fontId="4" fillId="0" borderId="62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vertical="center"/>
    </xf>
    <xf numFmtId="0" fontId="3" fillId="0" borderId="47" xfId="0" applyFont="1" applyFill="1" applyBorder="1" applyAlignment="1" applyProtection="1">
      <alignment vertical="center"/>
    </xf>
    <xf numFmtId="0" fontId="14" fillId="0" borderId="9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48" xfId="0" applyFont="1" applyFill="1" applyBorder="1" applyAlignment="1" applyProtection="1">
      <alignment horizontal="center" vertical="center"/>
    </xf>
    <xf numFmtId="0" fontId="4" fillId="0" borderId="35" xfId="0" applyFont="1" applyFill="1" applyBorder="1" applyAlignment="1" applyProtection="1">
      <alignment horizontal="center" vertical="center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vertical="center"/>
    </xf>
    <xf numFmtId="0" fontId="3" fillId="0" borderId="35" xfId="0" applyFont="1" applyFill="1" applyBorder="1" applyAlignment="1" applyProtection="1">
      <alignment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36" xfId="0" applyFont="1" applyFill="1" applyBorder="1" applyAlignment="1">
      <alignment vertical="center"/>
    </xf>
    <xf numFmtId="0" fontId="3" fillId="0" borderId="36" xfId="0" applyFont="1" applyFill="1" applyBorder="1" applyAlignment="1" applyProtection="1">
      <alignment vertical="center"/>
    </xf>
    <xf numFmtId="0" fontId="3" fillId="0" borderId="36" xfId="0" applyFont="1" applyFill="1" applyBorder="1" applyAlignment="1" applyProtection="1">
      <alignment vertical="center"/>
      <protection locked="0"/>
    </xf>
    <xf numFmtId="0" fontId="3" fillId="0" borderId="49" xfId="0" applyFont="1" applyFill="1" applyBorder="1" applyAlignment="1" applyProtection="1">
      <alignment vertical="center"/>
    </xf>
    <xf numFmtId="0" fontId="3" fillId="0" borderId="20" xfId="0" applyFont="1" applyFill="1" applyBorder="1" applyAlignment="1" applyProtection="1">
      <alignment vertical="center"/>
    </xf>
    <xf numFmtId="0" fontId="4" fillId="0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35" xfId="0" applyFont="1" applyFill="1" applyBorder="1" applyAlignment="1" applyProtection="1">
      <alignment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3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26" xfId="0" applyFont="1" applyFill="1" applyBorder="1" applyAlignment="1" applyProtection="1">
      <alignment horizontal="center" vertical="center"/>
      <protection locked="0"/>
    </xf>
    <xf numFmtId="0" fontId="5" fillId="0" borderId="36" xfId="0" applyFont="1" applyFill="1" applyBorder="1" applyAlignment="1" applyProtection="1">
      <alignment vertical="center"/>
      <protection locked="0"/>
    </xf>
    <xf numFmtId="0" fontId="5" fillId="0" borderId="20" xfId="0" applyFont="1" applyFill="1" applyBorder="1" applyAlignment="1" applyProtection="1">
      <alignment vertical="center"/>
      <protection locked="0"/>
    </xf>
    <xf numFmtId="0" fontId="14" fillId="0" borderId="26" xfId="0" applyFont="1" applyFill="1" applyBorder="1" applyAlignment="1">
      <alignment horizontal="center" vertical="center"/>
    </xf>
    <xf numFmtId="0" fontId="14" fillId="0" borderId="36" xfId="0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7" fillId="2" borderId="0" xfId="0" applyFont="1" applyFill="1" applyBorder="1" applyAlignment="1" applyProtection="1">
      <alignment vertical="center"/>
      <protection locked="0"/>
    </xf>
    <xf numFmtId="0" fontId="7" fillId="2" borderId="0" xfId="0" applyFont="1" applyFill="1" applyAlignment="1">
      <alignment vertical="center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7" fillId="2" borderId="36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6" xfId="0" applyFont="1" applyFill="1" applyBorder="1" applyAlignment="1">
      <alignment horizontal="left" vertical="center"/>
    </xf>
    <xf numFmtId="14" fontId="7" fillId="2" borderId="0" xfId="0" applyNumberFormat="1" applyFont="1" applyFill="1" applyBorder="1" applyAlignment="1">
      <alignment vertical="center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0" fontId="11" fillId="0" borderId="13" xfId="0" applyFont="1" applyBorder="1" applyAlignment="1">
      <alignment horizontal="center" vertical="center"/>
    </xf>
    <xf numFmtId="0" fontId="11" fillId="2" borderId="33" xfId="0" applyFont="1" applyFill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/>
    </xf>
    <xf numFmtId="0" fontId="5" fillId="0" borderId="2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'EME 0-14 CL2 BEROUD'!$E$49:$W$49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BEROUD'!$E$56:$W$56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'EME 0-14 CL2 BEROUD'!$E$49:$W$49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BEROUD'!$E$57:$W$57</c:f>
              <c:numCache>
                <c:formatCode>0.0</c:formatCode>
                <c:ptCount val="19"/>
                <c:pt idx="0">
                  <c:v>7.1</c:v>
                </c:pt>
                <c:pt idx="1">
                  <c:v>7.9</c:v>
                </c:pt>
                <c:pt idx="2">
                  <c:v>11.8</c:v>
                </c:pt>
                <c:pt idx="3">
                  <c:v>#N/A</c:v>
                </c:pt>
                <c:pt idx="4">
                  <c:v>15.5</c:v>
                </c:pt>
                <c:pt idx="5">
                  <c:v>17</c:v>
                </c:pt>
                <c:pt idx="6">
                  <c:v>#N/A</c:v>
                </c:pt>
                <c:pt idx="7">
                  <c:v>28.7</c:v>
                </c:pt>
                <c:pt idx="8">
                  <c:v>38</c:v>
                </c:pt>
                <c:pt idx="9">
                  <c:v>#N/A</c:v>
                </c:pt>
                <c:pt idx="10">
                  <c:v>48.4</c:v>
                </c:pt>
                <c:pt idx="11">
                  <c:v>54.6</c:v>
                </c:pt>
                <c:pt idx="12">
                  <c:v>60.9</c:v>
                </c:pt>
                <c:pt idx="13">
                  <c:v>65</c:v>
                </c:pt>
                <c:pt idx="14">
                  <c:v>68.8</c:v>
                </c:pt>
                <c:pt idx="15">
                  <c:v>77.3</c:v>
                </c:pt>
                <c:pt idx="16">
                  <c:v>89</c:v>
                </c:pt>
                <c:pt idx="17">
                  <c:v>96.1</c:v>
                </c:pt>
                <c:pt idx="18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'EME 0-14 CL2 BEROUD'!$E$49:$W$49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BEROUD'!$E$55:$W$55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BEROUD'!$E$49:$W$49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BEROUD'!$E$59:$W$59</c:f>
              <c:numCache>
                <c:formatCode>0.0</c:formatCode>
                <c:ptCount val="19"/>
                <c:pt idx="0">
                  <c:v>5.0999999999999996</c:v>
                </c:pt>
                <c:pt idx="8">
                  <c:v>32</c:v>
                </c:pt>
                <c:pt idx="13">
                  <c:v>58</c:v>
                </c:pt>
                <c:pt idx="17">
                  <c:v>89.1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BEROUD'!$E$49:$W$49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BEROUD'!$E$58:$W$58</c:f>
              <c:numCache>
                <c:formatCode>0.0</c:formatCode>
                <c:ptCount val="19"/>
                <c:pt idx="0">
                  <c:v>9.1</c:v>
                </c:pt>
                <c:pt idx="8">
                  <c:v>44</c:v>
                </c:pt>
                <c:pt idx="13">
                  <c:v>72</c:v>
                </c:pt>
                <c:pt idx="17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29664"/>
        <c:axId val="162130056"/>
      </c:scatterChart>
      <c:valAx>
        <c:axId val="162129664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5346543473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0056"/>
        <c:crosses val="autoZero"/>
        <c:crossBetween val="midCat"/>
      </c:valAx>
      <c:valAx>
        <c:axId val="16213005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74501905519E-3"/>
              <c:y val="0.308124092163679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296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16688426836"/>
          <c:y val="6.7227074653893812E-2"/>
          <c:w val="0.20524526820685987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GAUDIN'!$E$57:$W$57</c:f>
              <c:numCache>
                <c:formatCode>0.0</c:formatCode>
                <c:ptCount val="19"/>
                <c:pt idx="0">
                  <c:v>6.48</c:v>
                </c:pt>
                <c:pt idx="1">
                  <c:v>7.3</c:v>
                </c:pt>
                <c:pt idx="2">
                  <c:v>#N/A</c:v>
                </c:pt>
                <c:pt idx="3">
                  <c:v>10.1</c:v>
                </c:pt>
                <c:pt idx="4">
                  <c:v>#N/A</c:v>
                </c:pt>
                <c:pt idx="5">
                  <c:v>12.2</c:v>
                </c:pt>
                <c:pt idx="6">
                  <c:v>15.6</c:v>
                </c:pt>
                <c:pt idx="7">
                  <c:v>21.5</c:v>
                </c:pt>
                <c:pt idx="8">
                  <c:v>31</c:v>
                </c:pt>
                <c:pt idx="9">
                  <c:v>41</c:v>
                </c:pt>
                <c:pt idx="10">
                  <c:v>45</c:v>
                </c:pt>
                <c:pt idx="11">
                  <c:v>50.5</c:v>
                </c:pt>
                <c:pt idx="12">
                  <c:v>59.3</c:v>
                </c:pt>
                <c:pt idx="13" formatCode="General">
                  <c:v>#N/A</c:v>
                </c:pt>
                <c:pt idx="14">
                  <c:v>67.5</c:v>
                </c:pt>
                <c:pt idx="15">
                  <c:v>79.5</c:v>
                </c:pt>
                <c:pt idx="16">
                  <c:v>94.7</c:v>
                </c:pt>
                <c:pt idx="17">
                  <c:v>99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1232"/>
        <c:axId val="163272304"/>
      </c:scatterChart>
      <c:valAx>
        <c:axId val="162131232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5346543473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2304"/>
        <c:crosses val="autoZero"/>
        <c:crossBetween val="midCat"/>
      </c:valAx>
      <c:valAx>
        <c:axId val="163272304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74501905519E-3"/>
              <c:y val="0.308124092163679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1232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16688426836"/>
          <c:y val="6.7227074653893812E-2"/>
          <c:w val="0.20524526820685987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GAUDIN'!$E$57:$W$57</c:f>
              <c:numCache>
                <c:formatCode>0.0</c:formatCode>
                <c:ptCount val="19"/>
                <c:pt idx="0">
                  <c:v>6.48</c:v>
                </c:pt>
                <c:pt idx="1">
                  <c:v>7.2</c:v>
                </c:pt>
                <c:pt idx="2">
                  <c:v>#N/A</c:v>
                </c:pt>
                <c:pt idx="3">
                  <c:v>10.199999999999999</c:v>
                </c:pt>
                <c:pt idx="4">
                  <c:v>#N/A</c:v>
                </c:pt>
                <c:pt idx="5">
                  <c:v>12.3</c:v>
                </c:pt>
                <c:pt idx="6">
                  <c:v>15.5</c:v>
                </c:pt>
                <c:pt idx="7">
                  <c:v>21.6</c:v>
                </c:pt>
                <c:pt idx="8">
                  <c:v>30.3</c:v>
                </c:pt>
                <c:pt idx="9">
                  <c:v>39.200000000000003</c:v>
                </c:pt>
                <c:pt idx="10">
                  <c:v>42.7</c:v>
                </c:pt>
                <c:pt idx="11">
                  <c:v>50.7</c:v>
                </c:pt>
                <c:pt idx="12">
                  <c:v>62.3</c:v>
                </c:pt>
                <c:pt idx="13" formatCode="General">
                  <c:v>#N/A</c:v>
                </c:pt>
                <c:pt idx="14">
                  <c:v>77.3</c:v>
                </c:pt>
                <c:pt idx="15">
                  <c:v>94.3</c:v>
                </c:pt>
                <c:pt idx="16">
                  <c:v>99.2</c:v>
                </c:pt>
                <c:pt idx="17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088"/>
        <c:axId val="163273480"/>
      </c:scatterChart>
      <c:valAx>
        <c:axId val="163273088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5346543473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3480"/>
        <c:crosses val="autoZero"/>
        <c:crossBetween val="midCat"/>
      </c:valAx>
      <c:valAx>
        <c:axId val="16327348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74501905519E-3"/>
              <c:y val="0.308124092163679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3088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16688426836"/>
          <c:y val="6.7227074653893812E-2"/>
          <c:w val="0.20524526820685987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SILLANS'!$E$57:$W$57</c:f>
              <c:numCache>
                <c:formatCode>0.0</c:formatCode>
                <c:ptCount val="19"/>
                <c:pt idx="0">
                  <c:v>6.6</c:v>
                </c:pt>
                <c:pt idx="1">
                  <c:v>7.3</c:v>
                </c:pt>
                <c:pt idx="2">
                  <c:v>#N/A</c:v>
                </c:pt>
                <c:pt idx="3">
                  <c:v>10.9</c:v>
                </c:pt>
                <c:pt idx="4">
                  <c:v>#N/A</c:v>
                </c:pt>
                <c:pt idx="5">
                  <c:v>13</c:v>
                </c:pt>
                <c:pt idx="6">
                  <c:v>15.9</c:v>
                </c:pt>
                <c:pt idx="7">
                  <c:v>22.6</c:v>
                </c:pt>
                <c:pt idx="8">
                  <c:v>34</c:v>
                </c:pt>
                <c:pt idx="9">
                  <c:v>45</c:v>
                </c:pt>
                <c:pt idx="10">
                  <c:v>50.6</c:v>
                </c:pt>
                <c:pt idx="11">
                  <c:v>55.8</c:v>
                </c:pt>
                <c:pt idx="12">
                  <c:v>61.8</c:v>
                </c:pt>
                <c:pt idx="13" formatCode="General">
                  <c:v>#N/A</c:v>
                </c:pt>
                <c:pt idx="14">
                  <c:v>69.900000000000006</c:v>
                </c:pt>
                <c:pt idx="15">
                  <c:v>80.400000000000006</c:v>
                </c:pt>
                <c:pt idx="16">
                  <c:v>94.1</c:v>
                </c:pt>
                <c:pt idx="17">
                  <c:v>98.8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4264"/>
        <c:axId val="163274656"/>
      </c:scatterChart>
      <c:valAx>
        <c:axId val="163274264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5346543473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4656"/>
        <c:crosses val="autoZero"/>
        <c:crossBetween val="midCat"/>
      </c:valAx>
      <c:valAx>
        <c:axId val="16327465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74501905519E-3"/>
              <c:y val="0.308124092163679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42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16688426836"/>
          <c:y val="6.7227074653893812E-2"/>
          <c:w val="0.20524526820685987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GAUDIN'!$E$57:$W$57</c:f>
              <c:numCache>
                <c:formatCode>0.0</c:formatCode>
                <c:ptCount val="19"/>
                <c:pt idx="0">
                  <c:v>7.1</c:v>
                </c:pt>
                <c:pt idx="1">
                  <c:v>7.5</c:v>
                </c:pt>
                <c:pt idx="2">
                  <c:v>9</c:v>
                </c:pt>
                <c:pt idx="3">
                  <c:v>10.3</c:v>
                </c:pt>
                <c:pt idx="4">
                  <c:v>12</c:v>
                </c:pt>
                <c:pt idx="5">
                  <c:v>12.4</c:v>
                </c:pt>
                <c:pt idx="6">
                  <c:v>15.7</c:v>
                </c:pt>
                <c:pt idx="7">
                  <c:v>21.8</c:v>
                </c:pt>
                <c:pt idx="8">
                  <c:v>31.9</c:v>
                </c:pt>
                <c:pt idx="9">
                  <c:v>41.4</c:v>
                </c:pt>
                <c:pt idx="10">
                  <c:v>46.1</c:v>
                </c:pt>
                <c:pt idx="11">
                  <c:v>51</c:v>
                </c:pt>
                <c:pt idx="12">
                  <c:v>57.6</c:v>
                </c:pt>
                <c:pt idx="13" formatCode="General">
                  <c:v>#N/A</c:v>
                </c:pt>
                <c:pt idx="14">
                  <c:v>66.900000000000006</c:v>
                </c:pt>
                <c:pt idx="15">
                  <c:v>78</c:v>
                </c:pt>
                <c:pt idx="16">
                  <c:v>94.7</c:v>
                </c:pt>
                <c:pt idx="17">
                  <c:v>98.9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5440"/>
        <c:axId val="163275832"/>
      </c:scatterChart>
      <c:valAx>
        <c:axId val="163275440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5346543473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5832"/>
        <c:crosses val="autoZero"/>
        <c:crossBetween val="midCat"/>
      </c:valAx>
      <c:valAx>
        <c:axId val="16327583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74501905519E-3"/>
              <c:y val="0.308124092163679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275440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16688426836"/>
          <c:y val="6.7227074653893812E-2"/>
          <c:w val="0.20524526820685987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0735718463802E-2"/>
          <c:y val="5.0420305990420362E-2"/>
          <c:w val="0.84096156822169987"/>
          <c:h val="0.78711699907267341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GAUDIN'!$E$57:$W$57</c:f>
              <c:numCache>
                <c:formatCode>0.0</c:formatCode>
                <c:ptCount val="19"/>
                <c:pt idx="0">
                  <c:v>7.1</c:v>
                </c:pt>
                <c:pt idx="1">
                  <c:v>7.9</c:v>
                </c:pt>
                <c:pt idx="2">
                  <c:v>#N/A</c:v>
                </c:pt>
                <c:pt idx="3">
                  <c:v>10.9</c:v>
                </c:pt>
                <c:pt idx="4">
                  <c:v>#N/A</c:v>
                </c:pt>
                <c:pt idx="5">
                  <c:v>13</c:v>
                </c:pt>
                <c:pt idx="6">
                  <c:v>16.2</c:v>
                </c:pt>
                <c:pt idx="7">
                  <c:v>22.1</c:v>
                </c:pt>
                <c:pt idx="8">
                  <c:v>30.6</c:v>
                </c:pt>
                <c:pt idx="9">
                  <c:v>39.299999999999997</c:v>
                </c:pt>
                <c:pt idx="10">
                  <c:v>42.7</c:v>
                </c:pt>
                <c:pt idx="11">
                  <c:v>50.8</c:v>
                </c:pt>
                <c:pt idx="12">
                  <c:v>62.3</c:v>
                </c:pt>
                <c:pt idx="13" formatCode="General">
                  <c:v>#N/A</c:v>
                </c:pt>
                <c:pt idx="14">
                  <c:v>77.3</c:v>
                </c:pt>
                <c:pt idx="15">
                  <c:v>94.3</c:v>
                </c:pt>
                <c:pt idx="16">
                  <c:v>99.2</c:v>
                </c:pt>
                <c:pt idx="17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04648"/>
        <c:axId val="251705040"/>
      </c:scatterChart>
      <c:valAx>
        <c:axId val="251704648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5766615957643531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1705040"/>
        <c:crosses val="autoZero"/>
        <c:crossBetween val="midCat"/>
      </c:valAx>
      <c:valAx>
        <c:axId val="25170504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208269947054413E-3"/>
              <c:y val="0.31652747649541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1704648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78490360909321"/>
          <c:y val="7.2829330875051626E-2"/>
          <c:w val="0.20594977180939589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0735718463802E-2"/>
          <c:y val="5.0420305990420362E-2"/>
          <c:w val="0.84096156822169987"/>
          <c:h val="0.78711699907267341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CL2'!$E$57:$W$57</c:f>
              <c:numCache>
                <c:formatCode>0.0</c:formatCode>
                <c:ptCount val="19"/>
                <c:pt idx="0">
                  <c:v>7</c:v>
                </c:pt>
                <c:pt idx="1">
                  <c:v>7.8</c:v>
                </c:pt>
                <c:pt idx="2">
                  <c:v>9.6</c:v>
                </c:pt>
                <c:pt idx="3">
                  <c:v>11.3</c:v>
                </c:pt>
                <c:pt idx="4">
                  <c:v>12.4</c:v>
                </c:pt>
                <c:pt idx="5">
                  <c:v>13.4</c:v>
                </c:pt>
                <c:pt idx="6">
                  <c:v>16.100000000000001</c:v>
                </c:pt>
                <c:pt idx="7">
                  <c:v>22.4</c:v>
                </c:pt>
                <c:pt idx="8">
                  <c:v>33.200000000000003</c:v>
                </c:pt>
                <c:pt idx="9">
                  <c:v>43.6</c:v>
                </c:pt>
                <c:pt idx="10">
                  <c:v>49.6</c:v>
                </c:pt>
                <c:pt idx="11">
                  <c:v>57.7</c:v>
                </c:pt>
                <c:pt idx="12">
                  <c:v>68.5</c:v>
                </c:pt>
                <c:pt idx="13">
                  <c:v>77</c:v>
                </c:pt>
                <c:pt idx="14">
                  <c:v>84.4</c:v>
                </c:pt>
                <c:pt idx="15">
                  <c:v>98.3</c:v>
                </c:pt>
                <c:pt idx="16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CL2'!$E$59:$W$59</c:f>
              <c:numCache>
                <c:formatCode>0.0</c:formatCode>
                <c:ptCount val="19"/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CL2'!$E$58:$W$58</c:f>
              <c:numCache>
                <c:formatCode>0.0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06216"/>
        <c:axId val="251706608"/>
      </c:scatterChart>
      <c:valAx>
        <c:axId val="251706216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Tamis (mm)</a:t>
                </a:r>
              </a:p>
            </c:rich>
          </c:tx>
          <c:layout>
            <c:manualLayout>
              <c:xMode val="edge"/>
              <c:yMode val="edge"/>
              <c:x val="0.45766615957643531"/>
              <c:y val="0.91877002026988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1706608"/>
        <c:crosses val="autoZero"/>
        <c:crossBetween val="midCat"/>
      </c:valAx>
      <c:valAx>
        <c:axId val="25170660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Passants (%)</a:t>
                </a:r>
              </a:p>
            </c:rich>
          </c:tx>
          <c:layout>
            <c:manualLayout>
              <c:xMode val="edge"/>
              <c:yMode val="edge"/>
              <c:x val="5.7208269947054413E-3"/>
              <c:y val="0.31652747649541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1706216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78490360909321"/>
          <c:y val="7.2829330875051626E-2"/>
          <c:w val="0.20594977180939589"/>
          <c:h val="0.2717094267261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1.png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740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7412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7413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7414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7415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7416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741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7418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7419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7420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7421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7422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7423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7424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7425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7426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7427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7428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7429" name="Text Box 21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7430" name="Text Box 22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314324</xdr:colOff>
      <xdr:row>0</xdr:row>
      <xdr:rowOff>361950</xdr:rowOff>
    </xdr:from>
    <xdr:to>
      <xdr:col>6</xdr:col>
      <xdr:colOff>57149</xdr:colOff>
      <xdr:row>2</xdr:row>
      <xdr:rowOff>200025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49" y="361950"/>
          <a:ext cx="12858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6385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6388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6389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6390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6391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6392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639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6394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6395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6396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6397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6398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6399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6400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6401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6402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6403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6404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6406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6407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276224</xdr:colOff>
      <xdr:row>0</xdr:row>
      <xdr:rowOff>371475</xdr:rowOff>
    </xdr:from>
    <xdr:to>
      <xdr:col>6</xdr:col>
      <xdr:colOff>95249</xdr:colOff>
      <xdr:row>2</xdr:row>
      <xdr:rowOff>209550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49" y="371475"/>
          <a:ext cx="13620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536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5364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5365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5366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5367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5368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5369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5370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5371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5372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5373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5374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5375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5376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5377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5378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5379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5380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5382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5383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314324</xdr:colOff>
      <xdr:row>0</xdr:row>
      <xdr:rowOff>371475</xdr:rowOff>
    </xdr:from>
    <xdr:to>
      <xdr:col>6</xdr:col>
      <xdr:colOff>19049</xdr:colOff>
      <xdr:row>2</xdr:row>
      <xdr:rowOff>209550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49" y="371475"/>
          <a:ext cx="12477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4337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4340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4341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4342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4343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4344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4345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4346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4347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4348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4349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4350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4351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4352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4353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4354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4355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4356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4358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4359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304799</xdr:colOff>
      <xdr:row>0</xdr:row>
      <xdr:rowOff>342900</xdr:rowOff>
    </xdr:from>
    <xdr:to>
      <xdr:col>6</xdr:col>
      <xdr:colOff>47624</xdr:colOff>
      <xdr:row>2</xdr:row>
      <xdr:rowOff>180975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4" y="342900"/>
          <a:ext cx="12858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228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2292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2293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2294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2295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2296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229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2298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2299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2300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2301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2302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2303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2304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2305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2306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2307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2308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2310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2311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238125</xdr:colOff>
      <xdr:row>1</xdr:row>
      <xdr:rowOff>0</xdr:rowOff>
    </xdr:from>
    <xdr:to>
      <xdr:col>6</xdr:col>
      <xdr:colOff>104775</xdr:colOff>
      <xdr:row>2</xdr:row>
      <xdr:rowOff>219075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81000"/>
          <a:ext cx="140970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6145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6168" name="Line 24"/>
        <xdr:cNvSpPr>
          <a:spLocks noChangeShapeType="1"/>
        </xdr:cNvSpPr>
      </xdr:nvSpPr>
      <xdr:spPr bwMode="auto">
        <a:xfrm>
          <a:off x="7677150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6172" name="Text Box 28"/>
        <xdr:cNvSpPr txBox="1">
          <a:spLocks noChangeArrowheads="1"/>
        </xdr:cNvSpPr>
      </xdr:nvSpPr>
      <xdr:spPr bwMode="auto">
        <a:xfrm>
          <a:off x="8048625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6173" name="Line 29"/>
        <xdr:cNvSpPr>
          <a:spLocks noChangeShapeType="1"/>
        </xdr:cNvSpPr>
      </xdr:nvSpPr>
      <xdr:spPr bwMode="auto">
        <a:xfrm>
          <a:off x="9096375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6174" name="Line 30"/>
        <xdr:cNvSpPr>
          <a:spLocks noChangeShapeType="1"/>
        </xdr:cNvSpPr>
      </xdr:nvSpPr>
      <xdr:spPr bwMode="auto">
        <a:xfrm flipH="1">
          <a:off x="8248650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6175" name="Text Box 31"/>
        <xdr:cNvSpPr txBox="1">
          <a:spLocks noChangeArrowheads="1"/>
        </xdr:cNvSpPr>
      </xdr:nvSpPr>
      <xdr:spPr bwMode="auto">
        <a:xfrm>
          <a:off x="3028950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6176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6177" name="Text Box 33"/>
        <xdr:cNvSpPr txBox="1">
          <a:spLocks noChangeArrowheads="1"/>
        </xdr:cNvSpPr>
      </xdr:nvSpPr>
      <xdr:spPr bwMode="auto">
        <a:xfrm>
          <a:off x="6562725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6178" name="Rectangle 34"/>
        <xdr:cNvSpPr>
          <a:spLocks noChangeArrowheads="1"/>
        </xdr:cNvSpPr>
      </xdr:nvSpPr>
      <xdr:spPr bwMode="auto">
        <a:xfrm>
          <a:off x="0" y="0"/>
          <a:ext cx="84867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6179" name="Text Box 35"/>
        <xdr:cNvSpPr txBox="1">
          <a:spLocks noChangeArrowheads="1"/>
        </xdr:cNvSpPr>
      </xdr:nvSpPr>
      <xdr:spPr bwMode="auto">
        <a:xfrm>
          <a:off x="2133600" y="266700"/>
          <a:ext cx="44862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6180" name="Text Box 36"/>
        <xdr:cNvSpPr txBox="1">
          <a:spLocks noChangeArrowheads="1"/>
        </xdr:cNvSpPr>
      </xdr:nvSpPr>
      <xdr:spPr bwMode="auto">
        <a:xfrm>
          <a:off x="2419350" y="809625"/>
          <a:ext cx="9429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6181" name="Text Box 37"/>
        <xdr:cNvSpPr txBox="1">
          <a:spLocks noChangeArrowheads="1"/>
        </xdr:cNvSpPr>
      </xdr:nvSpPr>
      <xdr:spPr bwMode="auto">
        <a:xfrm>
          <a:off x="3248025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6182" name="Text Box 38"/>
        <xdr:cNvSpPr txBox="1">
          <a:spLocks noChangeArrowheads="1"/>
        </xdr:cNvSpPr>
      </xdr:nvSpPr>
      <xdr:spPr bwMode="auto">
        <a:xfrm>
          <a:off x="3724275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6183" name="Text Box 39"/>
        <xdr:cNvSpPr txBox="1">
          <a:spLocks noChangeArrowheads="1"/>
        </xdr:cNvSpPr>
      </xdr:nvSpPr>
      <xdr:spPr bwMode="auto">
        <a:xfrm>
          <a:off x="4714875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6184" name="Rectangle 40"/>
        <xdr:cNvSpPr>
          <a:spLocks noChangeArrowheads="1"/>
        </xdr:cNvSpPr>
      </xdr:nvSpPr>
      <xdr:spPr bwMode="auto">
        <a:xfrm>
          <a:off x="2143125" y="0"/>
          <a:ext cx="441960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6185" name="Text Box 41"/>
        <xdr:cNvSpPr txBox="1">
          <a:spLocks noChangeArrowheads="1"/>
        </xdr:cNvSpPr>
      </xdr:nvSpPr>
      <xdr:spPr bwMode="auto">
        <a:xfrm>
          <a:off x="3619500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6186" name="Text Box 42"/>
        <xdr:cNvSpPr txBox="1">
          <a:spLocks noChangeArrowheads="1"/>
        </xdr:cNvSpPr>
      </xdr:nvSpPr>
      <xdr:spPr bwMode="auto">
        <a:xfrm>
          <a:off x="4619625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6187" name="Text Box 43"/>
        <xdr:cNvSpPr txBox="1">
          <a:spLocks noChangeArrowheads="1"/>
        </xdr:cNvSpPr>
      </xdr:nvSpPr>
      <xdr:spPr bwMode="auto">
        <a:xfrm>
          <a:off x="3724275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6189" name="Text Box 45"/>
        <xdr:cNvSpPr txBox="1">
          <a:spLocks noChangeArrowheads="1"/>
        </xdr:cNvSpPr>
      </xdr:nvSpPr>
      <xdr:spPr bwMode="auto">
        <a:xfrm>
          <a:off x="3362325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6190" name="Text Box 46"/>
        <xdr:cNvSpPr txBox="1">
          <a:spLocks noChangeArrowheads="1"/>
        </xdr:cNvSpPr>
      </xdr:nvSpPr>
      <xdr:spPr bwMode="auto">
        <a:xfrm>
          <a:off x="4848225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38099</xdr:colOff>
      <xdr:row>0</xdr:row>
      <xdr:rowOff>361950</xdr:rowOff>
    </xdr:from>
    <xdr:to>
      <xdr:col>6</xdr:col>
      <xdr:colOff>133349</xdr:colOff>
      <xdr:row>2</xdr:row>
      <xdr:rowOff>200025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49" y="361950"/>
          <a:ext cx="13239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331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3316" name="Line 4"/>
        <xdr:cNvSpPr>
          <a:spLocks noChangeShapeType="1"/>
        </xdr:cNvSpPr>
      </xdr:nvSpPr>
      <xdr:spPr bwMode="auto">
        <a:xfrm>
          <a:off x="7677150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8048625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3318" name="Line 6"/>
        <xdr:cNvSpPr>
          <a:spLocks noChangeShapeType="1"/>
        </xdr:cNvSpPr>
      </xdr:nvSpPr>
      <xdr:spPr bwMode="auto">
        <a:xfrm>
          <a:off x="9096375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3319" name="Line 7"/>
        <xdr:cNvSpPr>
          <a:spLocks noChangeShapeType="1"/>
        </xdr:cNvSpPr>
      </xdr:nvSpPr>
      <xdr:spPr bwMode="auto">
        <a:xfrm flipH="1">
          <a:off x="8248650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3320" name="Text Box 8"/>
        <xdr:cNvSpPr txBox="1">
          <a:spLocks noChangeArrowheads="1"/>
        </xdr:cNvSpPr>
      </xdr:nvSpPr>
      <xdr:spPr bwMode="auto">
        <a:xfrm>
          <a:off x="3028950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3321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3322" name="Text Box 10"/>
        <xdr:cNvSpPr txBox="1">
          <a:spLocks noChangeArrowheads="1"/>
        </xdr:cNvSpPr>
      </xdr:nvSpPr>
      <xdr:spPr bwMode="auto">
        <a:xfrm>
          <a:off x="6562725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3323" name="Rectangle 11"/>
        <xdr:cNvSpPr>
          <a:spLocks noChangeArrowheads="1"/>
        </xdr:cNvSpPr>
      </xdr:nvSpPr>
      <xdr:spPr bwMode="auto">
        <a:xfrm>
          <a:off x="0" y="0"/>
          <a:ext cx="84867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3324" name="Text Box 12"/>
        <xdr:cNvSpPr txBox="1">
          <a:spLocks noChangeArrowheads="1"/>
        </xdr:cNvSpPr>
      </xdr:nvSpPr>
      <xdr:spPr bwMode="auto">
        <a:xfrm>
          <a:off x="2133600" y="266700"/>
          <a:ext cx="44862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3325" name="Text Box 13"/>
        <xdr:cNvSpPr txBox="1">
          <a:spLocks noChangeArrowheads="1"/>
        </xdr:cNvSpPr>
      </xdr:nvSpPr>
      <xdr:spPr bwMode="auto">
        <a:xfrm>
          <a:off x="2419350" y="809625"/>
          <a:ext cx="9429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3326" name="Text Box 14"/>
        <xdr:cNvSpPr txBox="1">
          <a:spLocks noChangeArrowheads="1"/>
        </xdr:cNvSpPr>
      </xdr:nvSpPr>
      <xdr:spPr bwMode="auto">
        <a:xfrm>
          <a:off x="3248025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3327" name="Text Box 15"/>
        <xdr:cNvSpPr txBox="1">
          <a:spLocks noChangeArrowheads="1"/>
        </xdr:cNvSpPr>
      </xdr:nvSpPr>
      <xdr:spPr bwMode="auto">
        <a:xfrm>
          <a:off x="3724275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3328" name="Text Box 16"/>
        <xdr:cNvSpPr txBox="1">
          <a:spLocks noChangeArrowheads="1"/>
        </xdr:cNvSpPr>
      </xdr:nvSpPr>
      <xdr:spPr bwMode="auto">
        <a:xfrm>
          <a:off x="4714875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3329" name="Rectangle 17"/>
        <xdr:cNvSpPr>
          <a:spLocks noChangeArrowheads="1"/>
        </xdr:cNvSpPr>
      </xdr:nvSpPr>
      <xdr:spPr bwMode="auto">
        <a:xfrm>
          <a:off x="2143125" y="0"/>
          <a:ext cx="441960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3330" name="Text Box 18"/>
        <xdr:cNvSpPr txBox="1">
          <a:spLocks noChangeArrowheads="1"/>
        </xdr:cNvSpPr>
      </xdr:nvSpPr>
      <xdr:spPr bwMode="auto">
        <a:xfrm>
          <a:off x="3619500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3331" name="Text Box 19"/>
        <xdr:cNvSpPr txBox="1">
          <a:spLocks noChangeArrowheads="1"/>
        </xdr:cNvSpPr>
      </xdr:nvSpPr>
      <xdr:spPr bwMode="auto">
        <a:xfrm>
          <a:off x="4619625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3332" name="Text Box 20"/>
        <xdr:cNvSpPr txBox="1">
          <a:spLocks noChangeArrowheads="1"/>
        </xdr:cNvSpPr>
      </xdr:nvSpPr>
      <xdr:spPr bwMode="auto">
        <a:xfrm>
          <a:off x="3724275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3334" name="Text Box 22"/>
        <xdr:cNvSpPr txBox="1">
          <a:spLocks noChangeArrowheads="1"/>
        </xdr:cNvSpPr>
      </xdr:nvSpPr>
      <xdr:spPr bwMode="auto">
        <a:xfrm>
          <a:off x="3362325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3335" name="Text Box 23"/>
        <xdr:cNvSpPr txBox="1">
          <a:spLocks noChangeArrowheads="1"/>
        </xdr:cNvSpPr>
      </xdr:nvSpPr>
      <xdr:spPr bwMode="auto">
        <a:xfrm>
          <a:off x="4848225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266700</xdr:colOff>
      <xdr:row>0</xdr:row>
      <xdr:rowOff>333375</xdr:rowOff>
    </xdr:from>
    <xdr:to>
      <xdr:col>6</xdr:col>
      <xdr:colOff>114300</xdr:colOff>
      <xdr:row>2</xdr:row>
      <xdr:rowOff>171450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33375"/>
          <a:ext cx="13906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tabSelected="1" workbookViewId="0">
      <selection activeCell="AF16" sqref="AF16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3"/>
      <c r="C8" s="15" t="s">
        <v>40</v>
      </c>
      <c r="D8" s="11"/>
      <c r="E8" s="11"/>
      <c r="F8" s="16"/>
      <c r="G8" s="13"/>
      <c r="H8" s="13"/>
      <c r="I8" s="13"/>
      <c r="J8" s="13"/>
      <c r="K8" s="13"/>
      <c r="L8" s="13"/>
      <c r="M8" s="13"/>
      <c r="N8" s="17"/>
      <c r="O8" s="17"/>
      <c r="P8" s="17"/>
      <c r="Q8" s="16" t="s">
        <v>39</v>
      </c>
      <c r="R8" s="17"/>
      <c r="T8" s="18"/>
      <c r="U8" s="16" t="s">
        <v>59</v>
      </c>
      <c r="V8" s="11"/>
      <c r="W8" s="11"/>
      <c r="X8" s="17"/>
      <c r="Y8" s="17"/>
      <c r="Z8" s="17"/>
      <c r="AA8" s="17"/>
      <c r="AB8" s="19"/>
      <c r="AC8" s="17"/>
      <c r="AD8" s="17"/>
      <c r="AE8" s="17"/>
    </row>
    <row r="9" spans="1:31" ht="15.95" customHeight="1" x14ac:dyDescent="0.2">
      <c r="A9" s="12"/>
      <c r="B9" s="13"/>
      <c r="C9" s="15" t="s">
        <v>6</v>
      </c>
      <c r="D9" s="11"/>
      <c r="E9" s="11"/>
      <c r="F9" s="20"/>
      <c r="G9" s="21"/>
      <c r="H9" s="21"/>
      <c r="I9" s="20"/>
      <c r="J9" s="13"/>
      <c r="K9" s="13"/>
      <c r="L9" s="22"/>
      <c r="M9" s="23"/>
      <c r="N9" s="17"/>
      <c r="O9" s="17"/>
      <c r="P9" s="17"/>
      <c r="Q9" s="16" t="s">
        <v>38</v>
      </c>
      <c r="R9" s="17"/>
      <c r="T9" s="18"/>
      <c r="U9" s="21"/>
      <c r="V9" s="21"/>
      <c r="W9" s="21"/>
      <c r="X9" s="21"/>
      <c r="Y9" s="17"/>
      <c r="Z9" s="17"/>
      <c r="AA9" s="17"/>
      <c r="AB9" s="19"/>
      <c r="AC9" s="17"/>
      <c r="AD9" s="17"/>
      <c r="AE9" s="17"/>
    </row>
    <row r="10" spans="1:31" ht="15.95" customHeight="1" x14ac:dyDescent="0.2">
      <c r="A10" s="12"/>
      <c r="B10" s="13"/>
      <c r="C10" s="15" t="s">
        <v>41</v>
      </c>
      <c r="D10" s="11"/>
      <c r="E10" s="11"/>
      <c r="F10" s="13"/>
      <c r="G10" s="13"/>
      <c r="H10" s="21"/>
      <c r="I10" s="21"/>
      <c r="J10" s="21"/>
      <c r="K10" s="21"/>
      <c r="L10" s="22"/>
      <c r="M10" s="23"/>
      <c r="N10" s="17"/>
      <c r="O10" s="17"/>
      <c r="P10" s="17"/>
      <c r="Q10" s="16" t="s">
        <v>37</v>
      </c>
      <c r="R10" s="17"/>
      <c r="T10" s="18"/>
      <c r="U10" s="16"/>
      <c r="V10" s="11"/>
      <c r="W10" s="11"/>
      <c r="X10" s="24"/>
      <c r="Y10" s="17"/>
      <c r="Z10" s="17"/>
      <c r="AA10" s="17"/>
      <c r="AB10" s="19"/>
      <c r="AC10" s="17"/>
      <c r="AD10" s="17"/>
      <c r="AE10" s="17"/>
    </row>
    <row r="11" spans="1:31" ht="15.95" customHeight="1" x14ac:dyDescent="0.2">
      <c r="A11" s="12"/>
      <c r="B11" s="13"/>
      <c r="C11" s="15" t="s">
        <v>42</v>
      </c>
      <c r="D11" s="11"/>
      <c r="E11" s="11"/>
      <c r="F11" s="16" t="s">
        <v>54</v>
      </c>
      <c r="G11" s="13"/>
      <c r="H11" s="13"/>
      <c r="I11" s="13"/>
      <c r="J11" s="13"/>
      <c r="K11" s="13"/>
      <c r="L11" s="22"/>
      <c r="M11" s="23"/>
      <c r="N11" s="17"/>
      <c r="O11" s="17"/>
      <c r="P11" s="17"/>
      <c r="Q11" s="16" t="s">
        <v>36</v>
      </c>
      <c r="R11" s="17"/>
      <c r="T11" s="18"/>
      <c r="U11" s="18"/>
      <c r="V11" s="11"/>
      <c r="W11" s="15"/>
      <c r="X11" s="17"/>
      <c r="Y11" s="17"/>
      <c r="Z11" s="17"/>
      <c r="AA11" s="17"/>
      <c r="AB11" s="19"/>
      <c r="AC11" s="17"/>
      <c r="AD11" s="17"/>
      <c r="AE11" s="17"/>
    </row>
    <row r="12" spans="1:31" ht="15.95" customHeight="1" x14ac:dyDescent="0.2">
      <c r="A12" s="12"/>
      <c r="B12" s="13"/>
      <c r="C12" s="16" t="s">
        <v>43</v>
      </c>
      <c r="D12" s="11"/>
      <c r="E12" s="11"/>
      <c r="F12" s="13"/>
      <c r="G12" s="16" t="s">
        <v>52</v>
      </c>
      <c r="H12" s="13"/>
      <c r="I12" s="13"/>
      <c r="J12" s="13"/>
      <c r="K12" s="13"/>
      <c r="L12" s="22"/>
      <c r="M12" s="23"/>
      <c r="N12" s="17"/>
      <c r="O12" s="17"/>
      <c r="P12" s="17"/>
      <c r="Q12" s="16" t="s">
        <v>35</v>
      </c>
      <c r="R12" s="17"/>
      <c r="T12" s="18"/>
      <c r="U12" s="16" t="s">
        <v>49</v>
      </c>
      <c r="V12" s="11"/>
      <c r="W12" s="11"/>
      <c r="X12" s="17"/>
      <c r="Y12" s="17"/>
      <c r="Z12" s="17"/>
      <c r="AA12" s="17"/>
      <c r="AB12" s="19"/>
      <c r="AC12" s="17"/>
      <c r="AD12" s="17"/>
      <c r="AE12" s="17"/>
    </row>
    <row r="13" spans="1:31" ht="15.95" customHeight="1" x14ac:dyDescent="0.2">
      <c r="A13" s="12"/>
      <c r="B13" s="13"/>
      <c r="C13" s="15" t="s">
        <v>44</v>
      </c>
      <c r="D13" s="11"/>
      <c r="E13" s="11"/>
      <c r="F13" s="25"/>
      <c r="G13" s="13"/>
      <c r="H13" s="13"/>
      <c r="I13" s="13"/>
      <c r="J13" s="13"/>
      <c r="K13" s="13"/>
      <c r="L13" s="25"/>
      <c r="M13" s="23"/>
      <c r="N13" s="17"/>
      <c r="O13" s="17"/>
      <c r="P13" s="17"/>
      <c r="Q13" s="16" t="s">
        <v>34</v>
      </c>
      <c r="R13" s="17"/>
      <c r="T13" s="18"/>
      <c r="U13" s="18"/>
      <c r="V13" s="11"/>
      <c r="W13" s="11"/>
      <c r="X13" s="26" t="s">
        <v>26</v>
      </c>
      <c r="Y13" s="24" t="s">
        <v>27</v>
      </c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60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2.6850000000000001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84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T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/>
      <c r="V56" s="114"/>
      <c r="W56" s="115"/>
      <c r="X56" s="116" t="str">
        <f>IF(X50&lt;&gt;0,AVERAGE(X50:X53),"")</f>
        <v/>
      </c>
      <c r="Y56" s="117" t="str">
        <f>IF(Y50&lt;&gt;0,AVERAGE(Y50:Y53),"")</f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7.1</v>
      </c>
      <c r="F57" s="122">
        <v>7.9</v>
      </c>
      <c r="G57" s="122">
        <v>11.8</v>
      </c>
      <c r="H57" s="122" t="e">
        <v>#N/A</v>
      </c>
      <c r="I57" s="122">
        <v>15.5</v>
      </c>
      <c r="J57" s="122">
        <v>17</v>
      </c>
      <c r="K57" s="122" t="e">
        <v>#N/A</v>
      </c>
      <c r="L57" s="122">
        <v>28.7</v>
      </c>
      <c r="M57" s="122">
        <v>38</v>
      </c>
      <c r="N57" s="122" t="e">
        <v>#N/A</v>
      </c>
      <c r="O57" s="122">
        <v>48.4</v>
      </c>
      <c r="P57" s="122">
        <v>54.6</v>
      </c>
      <c r="Q57" s="122">
        <v>60.9</v>
      </c>
      <c r="R57" s="122">
        <v>65</v>
      </c>
      <c r="S57" s="122">
        <v>68.8</v>
      </c>
      <c r="T57" s="122">
        <v>77.3</v>
      </c>
      <c r="U57" s="122">
        <v>89</v>
      </c>
      <c r="V57" s="122">
        <v>96.1</v>
      </c>
      <c r="W57" s="122">
        <v>100</v>
      </c>
      <c r="X57" s="123">
        <v>150</v>
      </c>
      <c r="Y57" s="124">
        <v>5.6</v>
      </c>
      <c r="Z57" s="125">
        <v>3.41</v>
      </c>
      <c r="AA57" s="66"/>
      <c r="AB57" s="14"/>
      <c r="AE57" s="78">
        <f>(0.25*(100-Q57)+2.3*(Q57-J57)+12*(J57-F57)+135*(F57))/100</f>
        <v>12.86445</v>
      </c>
      <c r="AF57" s="79">
        <f>(Y57*$AF$46)/(2.65*(AE57)^(1/5))</f>
        <v>3.4041461585039778</v>
      </c>
    </row>
    <row r="58" spans="1:32" ht="13.5" customHeight="1" x14ac:dyDescent="0.2">
      <c r="A58" s="33"/>
      <c r="B58" s="126"/>
      <c r="C58" s="127" t="s">
        <v>30</v>
      </c>
      <c r="D58" s="128"/>
      <c r="E58" s="129">
        <f>E57+2</f>
        <v>9.1</v>
      </c>
      <c r="F58" s="130"/>
      <c r="G58" s="130"/>
      <c r="H58" s="130"/>
      <c r="I58" s="130"/>
      <c r="J58" s="130"/>
      <c r="K58" s="130"/>
      <c r="L58" s="130"/>
      <c r="M58" s="130">
        <f>M57+6</f>
        <v>44</v>
      </c>
      <c r="N58" s="130"/>
      <c r="O58" s="130"/>
      <c r="P58" s="130"/>
      <c r="Q58" s="130"/>
      <c r="R58" s="130">
        <f>R57+7</f>
        <v>72</v>
      </c>
      <c r="S58" s="130"/>
      <c r="T58" s="130"/>
      <c r="U58" s="130"/>
      <c r="V58" s="130">
        <v>100</v>
      </c>
      <c r="W58" s="130"/>
      <c r="X58" s="126"/>
      <c r="Y58" s="131">
        <f>Y57+0.5</f>
        <v>6.1</v>
      </c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137">
        <f>E57-2</f>
        <v>5.0999999999999996</v>
      </c>
      <c r="F59" s="138"/>
      <c r="G59" s="139"/>
      <c r="H59" s="139"/>
      <c r="I59" s="139"/>
      <c r="J59" s="139"/>
      <c r="K59" s="139"/>
      <c r="L59" s="139"/>
      <c r="M59" s="138">
        <f>M57-6</f>
        <v>32</v>
      </c>
      <c r="N59" s="139"/>
      <c r="O59" s="139"/>
      <c r="P59" s="138"/>
      <c r="Q59" s="138"/>
      <c r="R59" s="138">
        <f>R57-7</f>
        <v>58</v>
      </c>
      <c r="S59" s="139"/>
      <c r="T59" s="139"/>
      <c r="U59" s="139"/>
      <c r="V59" s="138">
        <f>V57-7</f>
        <v>89.1</v>
      </c>
      <c r="W59" s="139"/>
      <c r="X59" s="140"/>
      <c r="Y59" s="141">
        <f>Y57-0.5</f>
        <v>5.0999999999999996</v>
      </c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U9:X9"/>
    <mergeCell ref="B56:D56"/>
    <mergeCell ref="B57:D57"/>
    <mergeCell ref="B59:D59"/>
    <mergeCell ref="G9:H9"/>
    <mergeCell ref="H10:K10"/>
    <mergeCell ref="C52:D52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6" name="Check Box 23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7" name="Check Box 24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8" name="Check Box 25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D11" sqref="AD11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3"/>
      <c r="C8" s="15" t="s">
        <v>40</v>
      </c>
      <c r="D8" s="11"/>
      <c r="E8" s="11"/>
      <c r="F8" s="16"/>
      <c r="G8" s="13"/>
      <c r="H8" s="13"/>
      <c r="I8" s="13"/>
      <c r="J8" s="13"/>
      <c r="K8" s="13"/>
      <c r="L8" s="13"/>
      <c r="M8" s="13"/>
      <c r="N8" s="17"/>
      <c r="O8" s="17"/>
      <c r="P8" s="17"/>
      <c r="Q8" s="16" t="s">
        <v>39</v>
      </c>
      <c r="R8" s="17"/>
      <c r="T8" s="18"/>
      <c r="U8" s="16" t="s">
        <v>59</v>
      </c>
      <c r="V8" s="11"/>
      <c r="W8" s="11"/>
      <c r="X8" s="17"/>
      <c r="Y8" s="17"/>
      <c r="Z8" s="17"/>
      <c r="AA8" s="17"/>
      <c r="AB8" s="19"/>
      <c r="AC8" s="17"/>
      <c r="AD8" s="17"/>
      <c r="AE8" s="17"/>
    </row>
    <row r="9" spans="1:31" ht="15.95" customHeight="1" x14ac:dyDescent="0.2">
      <c r="A9" s="12"/>
      <c r="B9" s="13"/>
      <c r="C9" s="15" t="s">
        <v>6</v>
      </c>
      <c r="D9" s="11"/>
      <c r="E9" s="11"/>
      <c r="F9" s="20"/>
      <c r="G9" s="21"/>
      <c r="H9" s="21"/>
      <c r="I9" s="20"/>
      <c r="J9" s="13"/>
      <c r="K9" s="13"/>
      <c r="L9" s="22"/>
      <c r="M9" s="23"/>
      <c r="N9" s="17"/>
      <c r="O9" s="17"/>
      <c r="P9" s="17"/>
      <c r="Q9" s="16" t="s">
        <v>38</v>
      </c>
      <c r="R9" s="17"/>
      <c r="T9" s="18"/>
      <c r="U9" s="21"/>
      <c r="V9" s="21"/>
      <c r="W9" s="21"/>
      <c r="X9" s="21"/>
      <c r="Y9" s="17"/>
      <c r="Z9" s="17"/>
      <c r="AA9" s="17"/>
      <c r="AB9" s="19"/>
      <c r="AC9" s="17"/>
      <c r="AD9" s="17"/>
      <c r="AE9" s="17"/>
    </row>
    <row r="10" spans="1:31" ht="15.95" customHeight="1" x14ac:dyDescent="0.2">
      <c r="A10" s="12"/>
      <c r="B10" s="13"/>
      <c r="C10" s="15" t="s">
        <v>41</v>
      </c>
      <c r="D10" s="11"/>
      <c r="E10" s="11"/>
      <c r="F10" s="13"/>
      <c r="G10" s="13"/>
      <c r="H10" s="21"/>
      <c r="I10" s="21"/>
      <c r="J10" s="21"/>
      <c r="K10" s="21"/>
      <c r="L10" s="22"/>
      <c r="M10" s="23"/>
      <c r="N10" s="17"/>
      <c r="O10" s="17"/>
      <c r="P10" s="17"/>
      <c r="Q10" s="16" t="s">
        <v>37</v>
      </c>
      <c r="R10" s="17"/>
      <c r="T10" s="18"/>
      <c r="U10" s="16"/>
      <c r="V10" s="11"/>
      <c r="W10" s="11"/>
      <c r="X10" s="24"/>
      <c r="Y10" s="17"/>
      <c r="Z10" s="17"/>
      <c r="AA10" s="17"/>
      <c r="AB10" s="19"/>
      <c r="AC10" s="17"/>
      <c r="AD10" s="17"/>
      <c r="AE10" s="17"/>
    </row>
    <row r="11" spans="1:31" ht="15.95" customHeight="1" x14ac:dyDescent="0.2">
      <c r="A11" s="12"/>
      <c r="B11" s="13"/>
      <c r="C11" s="15" t="s">
        <v>42</v>
      </c>
      <c r="D11" s="11"/>
      <c r="E11" s="11"/>
      <c r="F11" s="16" t="s">
        <v>54</v>
      </c>
      <c r="G11" s="13"/>
      <c r="H11" s="13"/>
      <c r="I11" s="13"/>
      <c r="J11" s="13"/>
      <c r="K11" s="13"/>
      <c r="L11" s="22"/>
      <c r="M11" s="23"/>
      <c r="N11" s="17"/>
      <c r="O11" s="17"/>
      <c r="P11" s="17"/>
      <c r="Q11" s="16" t="s">
        <v>36</v>
      </c>
      <c r="R11" s="17"/>
      <c r="T11" s="18"/>
      <c r="U11" s="18"/>
      <c r="V11" s="11"/>
      <c r="W11" s="15"/>
      <c r="X11" s="17"/>
      <c r="Y11" s="17"/>
      <c r="Z11" s="17"/>
      <c r="AA11" s="17"/>
      <c r="AB11" s="19"/>
      <c r="AC11" s="17"/>
      <c r="AD11" s="17"/>
      <c r="AE11" s="17"/>
    </row>
    <row r="12" spans="1:31" ht="15.95" customHeight="1" x14ac:dyDescent="0.2">
      <c r="A12" s="12"/>
      <c r="B12" s="13"/>
      <c r="C12" s="16" t="s">
        <v>43</v>
      </c>
      <c r="D12" s="11"/>
      <c r="E12" s="11"/>
      <c r="F12" s="13"/>
      <c r="G12" s="16" t="s">
        <v>52</v>
      </c>
      <c r="H12" s="13"/>
      <c r="I12" s="13"/>
      <c r="J12" s="13"/>
      <c r="K12" s="13"/>
      <c r="L12" s="22"/>
      <c r="M12" s="23"/>
      <c r="N12" s="17"/>
      <c r="O12" s="17"/>
      <c r="P12" s="17"/>
      <c r="Q12" s="16" t="s">
        <v>35</v>
      </c>
      <c r="R12" s="17"/>
      <c r="T12" s="18"/>
      <c r="U12" s="16" t="s">
        <v>49</v>
      </c>
      <c r="V12" s="11"/>
      <c r="W12" s="11"/>
      <c r="X12" s="17"/>
      <c r="Y12" s="17"/>
      <c r="Z12" s="17"/>
      <c r="AA12" s="17"/>
      <c r="AB12" s="19"/>
      <c r="AC12" s="17"/>
      <c r="AD12" s="17"/>
      <c r="AE12" s="17"/>
    </row>
    <row r="13" spans="1:31" ht="15.95" customHeight="1" x14ac:dyDescent="0.2">
      <c r="A13" s="12"/>
      <c r="B13" s="13"/>
      <c r="C13" s="15" t="s">
        <v>44</v>
      </c>
      <c r="D13" s="11"/>
      <c r="E13" s="11"/>
      <c r="F13" s="25"/>
      <c r="G13" s="13"/>
      <c r="H13" s="13"/>
      <c r="I13" s="13"/>
      <c r="J13" s="13"/>
      <c r="K13" s="13"/>
      <c r="L13" s="25"/>
      <c r="M13" s="23"/>
      <c r="N13" s="17"/>
      <c r="O13" s="17"/>
      <c r="P13" s="17"/>
      <c r="Q13" s="16" t="s">
        <v>34</v>
      </c>
      <c r="R13" s="17"/>
      <c r="T13" s="18"/>
      <c r="U13" s="18"/>
      <c r="V13" s="11"/>
      <c r="W13" s="11"/>
      <c r="X13" s="26" t="s">
        <v>26</v>
      </c>
      <c r="Y13" s="24" t="s">
        <v>27</v>
      </c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60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2.7149999999999999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84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T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/>
      <c r="V56" s="114"/>
      <c r="W56" s="115"/>
      <c r="X56" s="116" t="str">
        <f>IF(X50&lt;&gt;0,AVERAGE(X50:X53),"")</f>
        <v/>
      </c>
      <c r="Y56" s="117" t="str">
        <f>IF(Y50&lt;&gt;0,AVERAGE(Y50:Y53),"")</f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6.48</v>
      </c>
      <c r="F57" s="122">
        <v>7.3</v>
      </c>
      <c r="G57" s="122" t="e">
        <v>#N/A</v>
      </c>
      <c r="H57" s="122">
        <v>10.1</v>
      </c>
      <c r="I57" s="122" t="e">
        <v>#N/A</v>
      </c>
      <c r="J57" s="122">
        <v>12.2</v>
      </c>
      <c r="K57" s="122">
        <v>15.6</v>
      </c>
      <c r="L57" s="122">
        <v>21.5</v>
      </c>
      <c r="M57" s="122">
        <v>31</v>
      </c>
      <c r="N57" s="122">
        <v>41</v>
      </c>
      <c r="O57" s="122">
        <v>45</v>
      </c>
      <c r="P57" s="122">
        <v>50.5</v>
      </c>
      <c r="Q57" s="122">
        <v>59.3</v>
      </c>
      <c r="R57" s="197" t="e">
        <v>#N/A</v>
      </c>
      <c r="S57" s="122">
        <v>67.5</v>
      </c>
      <c r="T57" s="122">
        <v>79.5</v>
      </c>
      <c r="U57" s="122">
        <v>94.7</v>
      </c>
      <c r="V57" s="122">
        <v>99</v>
      </c>
      <c r="W57" s="122"/>
      <c r="X57" s="123">
        <v>150</v>
      </c>
      <c r="Y57" s="124">
        <v>5.6</v>
      </c>
      <c r="Z57" s="125">
        <f>AF57</f>
        <v>3.5124537053387499</v>
      </c>
      <c r="AA57" s="66"/>
      <c r="AB57" s="14"/>
      <c r="AE57" s="78">
        <f>(0.25*(100-Q57)+2.3*(Q57-J57)+12*(J57-F57)+135*(F57))/100</f>
        <v>11.62805</v>
      </c>
      <c r="AF57" s="79">
        <f>(Y57*$AF$46)/(2.65*(AE57)^(1/5))</f>
        <v>3.5124537053387499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131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137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141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A63:K63"/>
    <mergeCell ref="R63:T63"/>
    <mergeCell ref="H64:K64"/>
    <mergeCell ref="M64:Q64"/>
    <mergeCell ref="R64:T67"/>
    <mergeCell ref="R68:T71"/>
    <mergeCell ref="U62:AB62"/>
    <mergeCell ref="U63:AB63"/>
    <mergeCell ref="U64:AB67"/>
    <mergeCell ref="U68:AB71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9:X9"/>
    <mergeCell ref="B56:D56"/>
    <mergeCell ref="B57:D57"/>
    <mergeCell ref="B59:D59"/>
    <mergeCell ref="G9:H9"/>
    <mergeCell ref="H10:K10"/>
    <mergeCell ref="C52:D52"/>
    <mergeCell ref="C50:D50"/>
    <mergeCell ref="C49:D49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D6" sqref="AD6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3"/>
      <c r="C8" s="15" t="s">
        <v>40</v>
      </c>
      <c r="D8" s="11"/>
      <c r="E8" s="11"/>
      <c r="F8" s="16"/>
      <c r="G8" s="13"/>
      <c r="H8" s="13"/>
      <c r="I8" s="13"/>
      <c r="J8" s="13"/>
      <c r="K8" s="13"/>
      <c r="L8" s="13"/>
      <c r="M8" s="13"/>
      <c r="N8" s="17"/>
      <c r="O8" s="17"/>
      <c r="P8" s="17"/>
      <c r="Q8" s="16" t="s">
        <v>39</v>
      </c>
      <c r="R8" s="17"/>
      <c r="T8" s="18"/>
      <c r="U8" s="16" t="s">
        <v>57</v>
      </c>
      <c r="V8" s="11"/>
      <c r="W8" s="11"/>
      <c r="X8" s="17"/>
      <c r="Y8" s="17"/>
      <c r="Z8" s="17"/>
      <c r="AA8" s="17"/>
      <c r="AB8" s="19"/>
      <c r="AC8" s="17"/>
      <c r="AD8" s="17"/>
      <c r="AE8" s="17"/>
    </row>
    <row r="9" spans="1:31" ht="15.95" customHeight="1" x14ac:dyDescent="0.2">
      <c r="A9" s="12"/>
      <c r="B9" s="13"/>
      <c r="C9" s="15" t="s">
        <v>6</v>
      </c>
      <c r="D9" s="11"/>
      <c r="E9" s="11"/>
      <c r="F9" s="13"/>
      <c r="G9" s="21"/>
      <c r="H9" s="21"/>
      <c r="I9" s="13"/>
      <c r="J9" s="13"/>
      <c r="K9" s="13"/>
      <c r="L9" s="22"/>
      <c r="M9" s="23"/>
      <c r="N9" s="17"/>
      <c r="O9" s="17"/>
      <c r="P9" s="17"/>
      <c r="Q9" s="16" t="s">
        <v>38</v>
      </c>
      <c r="R9" s="17"/>
      <c r="T9" s="16"/>
      <c r="U9" s="21"/>
      <c r="V9" s="21"/>
      <c r="W9" s="21"/>
      <c r="X9" s="21"/>
      <c r="Y9" s="17"/>
      <c r="Z9" s="17"/>
      <c r="AA9" s="17"/>
      <c r="AB9" s="19"/>
      <c r="AC9" s="17"/>
      <c r="AD9" s="17"/>
      <c r="AE9" s="17"/>
    </row>
    <row r="10" spans="1:31" ht="15.95" customHeight="1" x14ac:dyDescent="0.2">
      <c r="A10" s="12"/>
      <c r="B10" s="13"/>
      <c r="C10" s="15" t="s">
        <v>41</v>
      </c>
      <c r="D10" s="11"/>
      <c r="E10" s="11"/>
      <c r="F10" s="13"/>
      <c r="G10" s="13"/>
      <c r="H10" s="21"/>
      <c r="I10" s="21"/>
      <c r="J10" s="21"/>
      <c r="K10" s="21"/>
      <c r="L10" s="22"/>
      <c r="M10" s="23"/>
      <c r="N10" s="17"/>
      <c r="O10" s="17"/>
      <c r="P10" s="17"/>
      <c r="Q10" s="16" t="s">
        <v>37</v>
      </c>
      <c r="R10" s="17"/>
      <c r="T10" s="18"/>
      <c r="U10" s="16"/>
      <c r="V10" s="15"/>
      <c r="W10" s="15"/>
      <c r="X10" s="198"/>
      <c r="Y10" s="17"/>
      <c r="Z10" s="17"/>
      <c r="AA10" s="17"/>
      <c r="AB10" s="19"/>
      <c r="AC10" s="17"/>
      <c r="AD10" s="17"/>
      <c r="AE10" s="17"/>
    </row>
    <row r="11" spans="1:31" ht="15.95" customHeight="1" x14ac:dyDescent="0.2">
      <c r="A11" s="12"/>
      <c r="B11" s="13"/>
      <c r="C11" s="15" t="s">
        <v>42</v>
      </c>
      <c r="D11" s="11"/>
      <c r="E11" s="11"/>
      <c r="F11" s="16"/>
      <c r="G11" s="13"/>
      <c r="H11" s="20"/>
      <c r="I11" s="13"/>
      <c r="J11" s="13"/>
      <c r="K11" s="13"/>
      <c r="L11" s="22"/>
      <c r="M11" s="23"/>
      <c r="N11" s="17"/>
      <c r="O11" s="17"/>
      <c r="P11" s="17"/>
      <c r="Q11" s="16" t="s">
        <v>36</v>
      </c>
      <c r="R11" s="17"/>
      <c r="T11" s="18"/>
      <c r="U11" s="16"/>
      <c r="V11" s="15"/>
      <c r="W11" s="15"/>
      <c r="X11" s="198"/>
      <c r="Y11" s="17"/>
      <c r="Z11" s="17"/>
      <c r="AA11" s="17"/>
      <c r="AB11" s="19"/>
      <c r="AC11" s="17"/>
      <c r="AD11" s="17"/>
      <c r="AE11" s="17"/>
    </row>
    <row r="12" spans="1:31" ht="15.95" customHeight="1" x14ac:dyDescent="0.2">
      <c r="A12" s="12"/>
      <c r="B12" s="13"/>
      <c r="C12" s="16" t="s">
        <v>43</v>
      </c>
      <c r="D12" s="11"/>
      <c r="E12" s="11"/>
      <c r="F12" s="13"/>
      <c r="G12" s="16" t="s">
        <v>52</v>
      </c>
      <c r="H12" s="13"/>
      <c r="I12" s="13"/>
      <c r="J12" s="13"/>
      <c r="K12" s="13"/>
      <c r="L12" s="22"/>
      <c r="M12" s="23"/>
      <c r="N12" s="17"/>
      <c r="O12" s="17"/>
      <c r="P12" s="17"/>
      <c r="Q12" s="16" t="s">
        <v>35</v>
      </c>
      <c r="R12" s="17"/>
      <c r="T12" s="18"/>
      <c r="U12" s="16" t="s">
        <v>49</v>
      </c>
      <c r="V12" s="11"/>
      <c r="W12" s="11"/>
      <c r="X12" s="17"/>
      <c r="Y12" s="17"/>
      <c r="Z12" s="17"/>
      <c r="AA12" s="17"/>
      <c r="AB12" s="19"/>
      <c r="AC12" s="17"/>
      <c r="AD12" s="17"/>
      <c r="AE12" s="17"/>
    </row>
    <row r="13" spans="1:31" ht="15.95" customHeight="1" x14ac:dyDescent="0.2">
      <c r="A13" s="12"/>
      <c r="B13" s="13"/>
      <c r="C13" s="15" t="s">
        <v>44</v>
      </c>
      <c r="D13" s="11"/>
      <c r="E13" s="11"/>
      <c r="F13" s="16"/>
      <c r="G13" s="20"/>
      <c r="H13" s="13"/>
      <c r="I13" s="13"/>
      <c r="J13" s="13"/>
      <c r="K13" s="13"/>
      <c r="L13" s="25"/>
      <c r="M13" s="23"/>
      <c r="N13" s="17"/>
      <c r="O13" s="17"/>
      <c r="P13" s="17"/>
      <c r="Q13" s="16" t="s">
        <v>34</v>
      </c>
      <c r="R13" s="17"/>
      <c r="T13" s="18"/>
      <c r="U13" s="18"/>
      <c r="V13" s="11"/>
      <c r="W13" s="11"/>
      <c r="X13" s="26" t="s">
        <v>26</v>
      </c>
      <c r="Y13" s="24" t="s">
        <v>27</v>
      </c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58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2.7149999999999999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84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Y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/>
      <c r="V56" s="114"/>
      <c r="W56" s="115"/>
      <c r="X56" s="116" t="str">
        <f t="shared" si="0"/>
        <v/>
      </c>
      <c r="Y56" s="117" t="str">
        <f t="shared" si="0"/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6.48</v>
      </c>
      <c r="F57" s="122">
        <v>7.2</v>
      </c>
      <c r="G57" s="122" t="e">
        <v>#N/A</v>
      </c>
      <c r="H57" s="122">
        <v>10.199999999999999</v>
      </c>
      <c r="I57" s="122" t="e">
        <v>#N/A</v>
      </c>
      <c r="J57" s="122">
        <v>12.3</v>
      </c>
      <c r="K57" s="122">
        <v>15.5</v>
      </c>
      <c r="L57" s="122">
        <v>21.6</v>
      </c>
      <c r="M57" s="122">
        <v>30.3</v>
      </c>
      <c r="N57" s="122">
        <v>39.200000000000003</v>
      </c>
      <c r="O57" s="122">
        <v>42.7</v>
      </c>
      <c r="P57" s="122">
        <v>50.7</v>
      </c>
      <c r="Q57" s="122">
        <v>62.3</v>
      </c>
      <c r="R57" s="197" t="e">
        <v>#N/A</v>
      </c>
      <c r="S57" s="122">
        <v>77.3</v>
      </c>
      <c r="T57" s="122">
        <v>94.3</v>
      </c>
      <c r="U57" s="122">
        <v>99.2</v>
      </c>
      <c r="V57" s="122">
        <v>100</v>
      </c>
      <c r="W57" s="122"/>
      <c r="X57" s="123">
        <v>150</v>
      </c>
      <c r="Y57" s="124">
        <v>5.7</v>
      </c>
      <c r="Z57" s="125">
        <f>AF57</f>
        <v>3.5783699343783835</v>
      </c>
      <c r="AA57" s="66"/>
      <c r="AB57" s="14"/>
      <c r="AE57" s="78">
        <f>(0.25*(100-Q57)+2.3*(Q57-J57)+12*(J57-F57)+135*(F57))/100</f>
        <v>11.57625</v>
      </c>
      <c r="AF57" s="79">
        <f>(Y57*$AF$46)/(2.65*(AE57)^(1/5))</f>
        <v>3.5783699343783835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131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137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141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U9:X9"/>
    <mergeCell ref="B56:D56"/>
    <mergeCell ref="B57:D57"/>
    <mergeCell ref="B59:D59"/>
    <mergeCell ref="G9:H9"/>
    <mergeCell ref="H10:K10"/>
    <mergeCell ref="C52:D52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E6" sqref="AE6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20"/>
      <c r="C8" s="15" t="s">
        <v>40</v>
      </c>
      <c r="D8" s="15"/>
      <c r="E8" s="15"/>
      <c r="F8" s="16"/>
      <c r="G8" s="20"/>
      <c r="H8" s="20"/>
      <c r="I8" s="20"/>
      <c r="J8" s="20"/>
      <c r="K8" s="20"/>
      <c r="L8" s="20"/>
      <c r="M8" s="20"/>
      <c r="N8" s="198"/>
      <c r="O8" s="198"/>
      <c r="P8" s="198"/>
      <c r="Q8" s="16" t="s">
        <v>39</v>
      </c>
      <c r="R8" s="198"/>
      <c r="S8" s="199"/>
      <c r="T8" s="16"/>
      <c r="U8" s="16" t="s">
        <v>53</v>
      </c>
      <c r="V8" s="15"/>
      <c r="W8" s="15"/>
      <c r="X8" s="198"/>
      <c r="Y8" s="198"/>
      <c r="Z8" s="198"/>
      <c r="AA8" s="17"/>
      <c r="AB8" s="19"/>
      <c r="AC8" s="17"/>
      <c r="AD8" s="17"/>
      <c r="AE8" s="17"/>
    </row>
    <row r="9" spans="1:31" ht="15.95" customHeight="1" x14ac:dyDescent="0.2">
      <c r="A9" s="12"/>
      <c r="B9" s="20"/>
      <c r="C9" s="15" t="s">
        <v>6</v>
      </c>
      <c r="D9" s="15"/>
      <c r="E9" s="15"/>
      <c r="F9" s="20"/>
      <c r="G9" s="21"/>
      <c r="H9" s="21"/>
      <c r="I9" s="20"/>
      <c r="J9" s="20"/>
      <c r="K9" s="20"/>
      <c r="L9" s="20"/>
      <c r="M9" s="200"/>
      <c r="N9" s="198"/>
      <c r="O9" s="198"/>
      <c r="P9" s="198"/>
      <c r="Q9" s="16" t="s">
        <v>38</v>
      </c>
      <c r="R9" s="198"/>
      <c r="S9" s="199"/>
      <c r="T9" s="16"/>
      <c r="U9" s="21"/>
      <c r="V9" s="21"/>
      <c r="W9" s="21"/>
      <c r="X9" s="21"/>
      <c r="Y9" s="198"/>
      <c r="Z9" s="198"/>
      <c r="AA9" s="17"/>
      <c r="AB9" s="19"/>
      <c r="AC9" s="17"/>
      <c r="AD9" s="17"/>
      <c r="AE9" s="17"/>
    </row>
    <row r="10" spans="1:31" ht="15.95" customHeight="1" x14ac:dyDescent="0.2">
      <c r="A10" s="12"/>
      <c r="B10" s="20"/>
      <c r="C10" s="15" t="s">
        <v>41</v>
      </c>
      <c r="D10" s="15"/>
      <c r="E10" s="15"/>
      <c r="F10" s="20"/>
      <c r="G10" s="20"/>
      <c r="H10" s="21"/>
      <c r="I10" s="21"/>
      <c r="J10" s="21"/>
      <c r="K10" s="21"/>
      <c r="L10" s="20"/>
      <c r="M10" s="200"/>
      <c r="N10" s="198"/>
      <c r="O10" s="198"/>
      <c r="P10" s="198"/>
      <c r="Q10" s="16" t="s">
        <v>37</v>
      </c>
      <c r="R10" s="198"/>
      <c r="S10" s="199"/>
      <c r="T10" s="16"/>
      <c r="U10" s="16"/>
      <c r="V10" s="15"/>
      <c r="W10" s="15"/>
      <c r="X10" s="198"/>
      <c r="Y10" s="198"/>
      <c r="Z10" s="198"/>
      <c r="AA10" s="17"/>
      <c r="AB10" s="19"/>
      <c r="AC10" s="17"/>
      <c r="AD10" s="17"/>
      <c r="AE10" s="17"/>
    </row>
    <row r="11" spans="1:31" ht="15.95" customHeight="1" x14ac:dyDescent="0.2">
      <c r="A11" s="12"/>
      <c r="B11" s="20"/>
      <c r="C11" s="15" t="s">
        <v>42</v>
      </c>
      <c r="D11" s="15"/>
      <c r="E11" s="15"/>
      <c r="F11" s="16" t="s">
        <v>54</v>
      </c>
      <c r="G11" s="20"/>
      <c r="H11" s="20"/>
      <c r="I11" s="20"/>
      <c r="J11" s="20"/>
      <c r="K11" s="20"/>
      <c r="L11" s="20"/>
      <c r="M11" s="200"/>
      <c r="N11" s="198"/>
      <c r="O11" s="198"/>
      <c r="P11" s="198"/>
      <c r="Q11" s="16" t="s">
        <v>36</v>
      </c>
      <c r="R11" s="198"/>
      <c r="S11" s="199"/>
      <c r="T11" s="16"/>
      <c r="U11" s="16"/>
      <c r="V11" s="15"/>
      <c r="W11" s="15"/>
      <c r="X11" s="198"/>
      <c r="Y11" s="198"/>
      <c r="Z11" s="198"/>
      <c r="AA11" s="17"/>
      <c r="AB11" s="19"/>
      <c r="AC11" s="17"/>
      <c r="AD11" s="17"/>
      <c r="AE11" s="17"/>
    </row>
    <row r="12" spans="1:31" ht="15.95" customHeight="1" x14ac:dyDescent="0.2">
      <c r="A12" s="12"/>
      <c r="B12" s="20"/>
      <c r="C12" s="16" t="s">
        <v>43</v>
      </c>
      <c r="D12" s="15"/>
      <c r="E12" s="15"/>
      <c r="F12" s="20"/>
      <c r="G12" s="16" t="s">
        <v>52</v>
      </c>
      <c r="H12" s="20"/>
      <c r="I12" s="20"/>
      <c r="J12" s="20"/>
      <c r="K12" s="20"/>
      <c r="L12" s="20"/>
      <c r="M12" s="200"/>
      <c r="N12" s="198"/>
      <c r="O12" s="198"/>
      <c r="P12" s="198"/>
      <c r="Q12" s="16" t="s">
        <v>35</v>
      </c>
      <c r="R12" s="198"/>
      <c r="S12" s="199"/>
      <c r="T12" s="16"/>
      <c r="U12" s="16" t="s">
        <v>49</v>
      </c>
      <c r="V12" s="15"/>
      <c r="W12" s="15"/>
      <c r="X12" s="198"/>
      <c r="Y12" s="198"/>
      <c r="Z12" s="198"/>
      <c r="AA12" s="17"/>
      <c r="AB12" s="19"/>
      <c r="AC12" s="17"/>
      <c r="AD12" s="17"/>
      <c r="AE12" s="17"/>
    </row>
    <row r="13" spans="1:31" ht="15.95" customHeight="1" x14ac:dyDescent="0.2">
      <c r="A13" s="12"/>
      <c r="B13" s="20"/>
      <c r="C13" s="15" t="s">
        <v>44</v>
      </c>
      <c r="D13" s="15"/>
      <c r="E13" s="15"/>
      <c r="F13" s="16"/>
      <c r="G13" s="20"/>
      <c r="H13" s="20"/>
      <c r="I13" s="20"/>
      <c r="J13" s="20"/>
      <c r="K13" s="20"/>
      <c r="L13" s="16"/>
      <c r="M13" s="200"/>
      <c r="N13" s="198"/>
      <c r="O13" s="198"/>
      <c r="P13" s="198"/>
      <c r="Q13" s="16" t="s">
        <v>34</v>
      </c>
      <c r="R13" s="198"/>
      <c r="S13" s="199"/>
      <c r="T13" s="16"/>
      <c r="U13" s="16"/>
      <c r="V13" s="15"/>
      <c r="W13" s="15"/>
      <c r="X13" s="201" t="s">
        <v>26</v>
      </c>
      <c r="Y13" s="198" t="s">
        <v>27</v>
      </c>
      <c r="Z13" s="199"/>
      <c r="AA13" s="27"/>
      <c r="AB13" s="19"/>
      <c r="AC13" s="17"/>
      <c r="AD13" s="17"/>
      <c r="AE13" s="17"/>
    </row>
    <row r="14" spans="1:31" ht="6" customHeight="1" x14ac:dyDescent="0.2">
      <c r="A14" s="28"/>
      <c r="B14" s="202"/>
      <c r="C14" s="203"/>
      <c r="D14" s="203"/>
      <c r="E14" s="203"/>
      <c r="F14" s="202"/>
      <c r="G14" s="202"/>
      <c r="H14" s="202"/>
      <c r="I14" s="202"/>
      <c r="J14" s="202"/>
      <c r="K14" s="202"/>
      <c r="L14" s="202"/>
      <c r="M14" s="202"/>
      <c r="N14" s="203"/>
      <c r="O14" s="203"/>
      <c r="P14" s="203"/>
      <c r="Q14" s="203"/>
      <c r="R14" s="203"/>
      <c r="S14" s="203"/>
      <c r="T14" s="204"/>
      <c r="U14" s="204"/>
      <c r="V14" s="203"/>
      <c r="W14" s="203"/>
      <c r="X14" s="203"/>
      <c r="Y14" s="203"/>
      <c r="Z14" s="203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56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2.6659999999999999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84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Y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 t="str">
        <f t="shared" si="0"/>
        <v/>
      </c>
      <c r="V56" s="114" t="str">
        <f t="shared" si="0"/>
        <v/>
      </c>
      <c r="W56" s="115" t="str">
        <f t="shared" si="0"/>
        <v/>
      </c>
      <c r="X56" s="116" t="str">
        <f t="shared" si="0"/>
        <v/>
      </c>
      <c r="Y56" s="117" t="str">
        <f t="shared" si="0"/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6.6</v>
      </c>
      <c r="F57" s="122">
        <v>7.3</v>
      </c>
      <c r="G57" s="122" t="e">
        <v>#N/A</v>
      </c>
      <c r="H57" s="122">
        <v>10.9</v>
      </c>
      <c r="I57" s="122" t="e">
        <v>#N/A</v>
      </c>
      <c r="J57" s="122">
        <v>13</v>
      </c>
      <c r="K57" s="122">
        <v>15.9</v>
      </c>
      <c r="L57" s="122">
        <v>22.6</v>
      </c>
      <c r="M57" s="122">
        <v>34</v>
      </c>
      <c r="N57" s="122">
        <v>45</v>
      </c>
      <c r="O57" s="122">
        <v>50.6</v>
      </c>
      <c r="P57" s="122">
        <v>55.8</v>
      </c>
      <c r="Q57" s="122">
        <v>61.8</v>
      </c>
      <c r="R57" s="197" t="e">
        <v>#N/A</v>
      </c>
      <c r="S57" s="122">
        <v>69.900000000000006</v>
      </c>
      <c r="T57" s="122">
        <v>80.400000000000006</v>
      </c>
      <c r="U57" s="122">
        <v>94.1</v>
      </c>
      <c r="V57" s="122">
        <v>98.8</v>
      </c>
      <c r="W57" s="122"/>
      <c r="X57" s="123">
        <v>150</v>
      </c>
      <c r="Y57" s="124">
        <v>4.5999999999999996</v>
      </c>
      <c r="Z57" s="125">
        <f>AF57</f>
        <v>2.8269201273144056</v>
      </c>
      <c r="AA57" s="66"/>
      <c r="AB57" s="14"/>
      <c r="AE57" s="78">
        <f>(0.25*(100-Q57)+2.3*(Q57-J57)+12*(J57-F57)+135*(F57))/100</f>
        <v>11.7569</v>
      </c>
      <c r="AF57" s="79">
        <f>(Y57*$AF$46)/(2.65*(AE57)^(1/5))</f>
        <v>2.8269201273144056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131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137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141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A63:K63"/>
    <mergeCell ref="R63:T63"/>
    <mergeCell ref="H64:K64"/>
    <mergeCell ref="M64:Q64"/>
    <mergeCell ref="R64:T67"/>
    <mergeCell ref="R68:T71"/>
    <mergeCell ref="U62:AB62"/>
    <mergeCell ref="U63:AB63"/>
    <mergeCell ref="U64:AB67"/>
    <mergeCell ref="U68:AB71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9:X9"/>
    <mergeCell ref="B56:D56"/>
    <mergeCell ref="B57:D57"/>
    <mergeCell ref="B59:D59"/>
    <mergeCell ref="G9:H9"/>
    <mergeCell ref="H10:K10"/>
    <mergeCell ref="C52:D52"/>
    <mergeCell ref="C50:D50"/>
    <mergeCell ref="C49:D49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E11" sqref="AE11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20"/>
      <c r="C8" s="15" t="s">
        <v>40</v>
      </c>
      <c r="D8" s="15"/>
      <c r="E8" s="15"/>
      <c r="F8" s="16"/>
      <c r="G8" s="20"/>
      <c r="H8" s="20"/>
      <c r="I8" s="20"/>
      <c r="J8" s="20"/>
      <c r="K8" s="20"/>
      <c r="L8" s="20"/>
      <c r="M8" s="20"/>
      <c r="N8" s="198"/>
      <c r="O8" s="198"/>
      <c r="P8" s="198"/>
      <c r="Q8" s="16" t="s">
        <v>39</v>
      </c>
      <c r="R8" s="198"/>
      <c r="S8" s="199"/>
      <c r="T8" s="16"/>
      <c r="U8" s="16" t="s">
        <v>53</v>
      </c>
      <c r="V8" s="15"/>
      <c r="W8" s="15"/>
      <c r="X8" s="198"/>
      <c r="Y8" s="198"/>
      <c r="Z8" s="198"/>
      <c r="AA8" s="17"/>
      <c r="AB8" s="19"/>
      <c r="AC8" s="17"/>
      <c r="AD8" s="17"/>
      <c r="AE8" s="17"/>
    </row>
    <row r="9" spans="1:31" ht="15.95" customHeight="1" x14ac:dyDescent="0.2">
      <c r="A9" s="12"/>
      <c r="B9" s="20"/>
      <c r="C9" s="15" t="s">
        <v>6</v>
      </c>
      <c r="D9" s="15"/>
      <c r="E9" s="15"/>
      <c r="F9" s="20"/>
      <c r="G9" s="21"/>
      <c r="H9" s="21"/>
      <c r="I9" s="20"/>
      <c r="J9" s="20"/>
      <c r="K9" s="20"/>
      <c r="L9" s="20"/>
      <c r="M9" s="200"/>
      <c r="N9" s="198"/>
      <c r="O9" s="198"/>
      <c r="P9" s="198"/>
      <c r="Q9" s="16" t="s">
        <v>38</v>
      </c>
      <c r="R9" s="198"/>
      <c r="S9" s="199"/>
      <c r="T9" s="16"/>
      <c r="U9" s="21"/>
      <c r="V9" s="21"/>
      <c r="W9" s="21"/>
      <c r="X9" s="21"/>
      <c r="Y9" s="198"/>
      <c r="Z9" s="198"/>
      <c r="AA9" s="17"/>
      <c r="AB9" s="19"/>
      <c r="AC9" s="17"/>
      <c r="AD9" s="17"/>
      <c r="AE9" s="17"/>
    </row>
    <row r="10" spans="1:31" ht="15.95" customHeight="1" x14ac:dyDescent="0.2">
      <c r="A10" s="12"/>
      <c r="B10" s="20"/>
      <c r="C10" s="15" t="s">
        <v>41</v>
      </c>
      <c r="D10" s="15"/>
      <c r="E10" s="15"/>
      <c r="F10" s="20"/>
      <c r="G10" s="20"/>
      <c r="H10" s="21"/>
      <c r="I10" s="21"/>
      <c r="J10" s="21"/>
      <c r="K10" s="21"/>
      <c r="L10" s="20"/>
      <c r="M10" s="200"/>
      <c r="N10" s="198"/>
      <c r="O10" s="198"/>
      <c r="P10" s="198"/>
      <c r="Q10" s="16" t="s">
        <v>37</v>
      </c>
      <c r="R10" s="198"/>
      <c r="S10" s="199"/>
      <c r="T10" s="16"/>
      <c r="U10" s="16"/>
      <c r="V10" s="15"/>
      <c r="W10" s="15"/>
      <c r="X10" s="198"/>
      <c r="Y10" s="198"/>
      <c r="Z10" s="198"/>
      <c r="AA10" s="17"/>
      <c r="AB10" s="19"/>
      <c r="AC10" s="17"/>
      <c r="AD10" s="17"/>
      <c r="AE10" s="17"/>
    </row>
    <row r="11" spans="1:31" ht="15.95" customHeight="1" x14ac:dyDescent="0.2">
      <c r="A11" s="12"/>
      <c r="B11" s="20"/>
      <c r="C11" s="15" t="s">
        <v>42</v>
      </c>
      <c r="D11" s="15"/>
      <c r="E11" s="15"/>
      <c r="F11" s="16" t="s">
        <v>54</v>
      </c>
      <c r="G11" s="20"/>
      <c r="H11" s="20"/>
      <c r="I11" s="20"/>
      <c r="J11" s="20"/>
      <c r="K11" s="20"/>
      <c r="L11" s="20"/>
      <c r="M11" s="200"/>
      <c r="N11" s="198"/>
      <c r="O11" s="198"/>
      <c r="P11" s="198"/>
      <c r="Q11" s="16" t="s">
        <v>36</v>
      </c>
      <c r="R11" s="198"/>
      <c r="S11" s="199"/>
      <c r="T11" s="16"/>
      <c r="U11" s="16"/>
      <c r="V11" s="15"/>
      <c r="W11" s="15"/>
      <c r="X11" s="198"/>
      <c r="Y11" s="198"/>
      <c r="Z11" s="198"/>
      <c r="AA11" s="17"/>
      <c r="AB11" s="19"/>
      <c r="AC11" s="17"/>
      <c r="AD11" s="17"/>
      <c r="AE11" s="17"/>
    </row>
    <row r="12" spans="1:31" ht="15.95" customHeight="1" x14ac:dyDescent="0.2">
      <c r="A12" s="12"/>
      <c r="B12" s="20"/>
      <c r="C12" s="16" t="s">
        <v>43</v>
      </c>
      <c r="D12" s="15"/>
      <c r="E12" s="15"/>
      <c r="F12" s="20"/>
      <c r="G12" s="16" t="s">
        <v>52</v>
      </c>
      <c r="H12" s="20"/>
      <c r="I12" s="20"/>
      <c r="J12" s="20"/>
      <c r="K12" s="20"/>
      <c r="L12" s="20"/>
      <c r="M12" s="200"/>
      <c r="N12" s="198"/>
      <c r="O12" s="198"/>
      <c r="P12" s="198"/>
      <c r="Q12" s="16" t="s">
        <v>35</v>
      </c>
      <c r="R12" s="198"/>
      <c r="S12" s="199"/>
      <c r="T12" s="16"/>
      <c r="U12" s="16" t="s">
        <v>49</v>
      </c>
      <c r="V12" s="15"/>
      <c r="W12" s="15"/>
      <c r="X12" s="198"/>
      <c r="Y12" s="198"/>
      <c r="Z12" s="198"/>
      <c r="AA12" s="17"/>
      <c r="AB12" s="19"/>
      <c r="AC12" s="17"/>
      <c r="AD12" s="17"/>
      <c r="AE12" s="17"/>
    </row>
    <row r="13" spans="1:31" ht="15.95" customHeight="1" x14ac:dyDescent="0.2">
      <c r="A13" s="12"/>
      <c r="B13" s="20"/>
      <c r="C13" s="15" t="s">
        <v>44</v>
      </c>
      <c r="D13" s="15"/>
      <c r="E13" s="15"/>
      <c r="F13" s="16"/>
      <c r="G13" s="20"/>
      <c r="H13" s="20"/>
      <c r="I13" s="20"/>
      <c r="J13" s="20"/>
      <c r="K13" s="20"/>
      <c r="L13" s="16"/>
      <c r="M13" s="200"/>
      <c r="N13" s="198"/>
      <c r="O13" s="198"/>
      <c r="P13" s="198"/>
      <c r="Q13" s="16" t="s">
        <v>34</v>
      </c>
      <c r="R13" s="198"/>
      <c r="S13" s="199"/>
      <c r="T13" s="16"/>
      <c r="U13" s="16"/>
      <c r="V13" s="15"/>
      <c r="W13" s="15"/>
      <c r="X13" s="201" t="s">
        <v>26</v>
      </c>
      <c r="Y13" s="198" t="s">
        <v>27</v>
      </c>
      <c r="Z13" s="199"/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56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2.7149999999999999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84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Y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 t="str">
        <f t="shared" si="0"/>
        <v/>
      </c>
      <c r="V56" s="114" t="str">
        <f t="shared" si="0"/>
        <v/>
      </c>
      <c r="W56" s="115" t="str">
        <f t="shared" si="0"/>
        <v/>
      </c>
      <c r="X56" s="116" t="str">
        <f t="shared" si="0"/>
        <v/>
      </c>
      <c r="Y56" s="117" t="str">
        <f t="shared" si="0"/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7.1</v>
      </c>
      <c r="F57" s="122">
        <v>7.5</v>
      </c>
      <c r="G57" s="122">
        <v>9</v>
      </c>
      <c r="H57" s="122">
        <v>10.3</v>
      </c>
      <c r="I57" s="122">
        <v>12</v>
      </c>
      <c r="J57" s="122">
        <v>12.4</v>
      </c>
      <c r="K57" s="122">
        <v>15.7</v>
      </c>
      <c r="L57" s="122">
        <v>21.8</v>
      </c>
      <c r="M57" s="122">
        <v>31.9</v>
      </c>
      <c r="N57" s="122">
        <v>41.4</v>
      </c>
      <c r="O57" s="122">
        <v>46.1</v>
      </c>
      <c r="P57" s="122">
        <v>51</v>
      </c>
      <c r="Q57" s="122">
        <v>57.6</v>
      </c>
      <c r="R57" s="197" t="e">
        <v>#N/A</v>
      </c>
      <c r="S57" s="122">
        <v>66.900000000000006</v>
      </c>
      <c r="T57" s="122">
        <v>78</v>
      </c>
      <c r="U57" s="122">
        <v>94.7</v>
      </c>
      <c r="V57" s="122">
        <v>98.9</v>
      </c>
      <c r="W57" s="122"/>
      <c r="X57" s="123">
        <v>150</v>
      </c>
      <c r="Y57" s="124">
        <v>4.5999999999999996</v>
      </c>
      <c r="Z57" s="125">
        <f>AF57</f>
        <v>2.8739228648138875</v>
      </c>
      <c r="AA57" s="66"/>
      <c r="AB57" s="14"/>
      <c r="AE57" s="78">
        <f>(0.25*(100-Q57)+2.3*(Q57-J57)+12*(J57-F57)+135*(F57))/100</f>
        <v>11.858599999999999</v>
      </c>
      <c r="AF57" s="79">
        <f>(Y57*$AF$46)/(2.65*(AE57)^(1/5))</f>
        <v>2.8739228648138875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131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137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141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U9:X9"/>
    <mergeCell ref="B56:D56"/>
    <mergeCell ref="B57:D57"/>
    <mergeCell ref="B59:D59"/>
    <mergeCell ref="G9:H9"/>
    <mergeCell ref="H10:K10"/>
    <mergeCell ref="C52:D52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topLeftCell="B1" workbookViewId="0">
      <selection activeCell="AE10" sqref="AE10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10" width="4.710937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20"/>
      <c r="C8" s="15" t="s">
        <v>40</v>
      </c>
      <c r="D8" s="15"/>
      <c r="E8" s="15"/>
      <c r="F8" s="16"/>
      <c r="G8" s="20"/>
      <c r="H8" s="20"/>
      <c r="I8" s="20"/>
      <c r="J8" s="20"/>
      <c r="K8" s="20"/>
      <c r="L8" s="20"/>
      <c r="M8" s="20"/>
      <c r="N8" s="198"/>
      <c r="O8" s="198"/>
      <c r="P8" s="198"/>
      <c r="Q8" s="16" t="s">
        <v>39</v>
      </c>
      <c r="R8" s="198"/>
      <c r="S8" s="199"/>
      <c r="T8" s="16"/>
      <c r="U8" s="16" t="s">
        <v>61</v>
      </c>
      <c r="V8" s="15"/>
      <c r="W8" s="15"/>
      <c r="X8" s="198"/>
      <c r="Y8" s="198"/>
      <c r="Z8" s="198"/>
      <c r="AA8" s="17"/>
      <c r="AB8" s="19"/>
      <c r="AC8" s="17"/>
      <c r="AD8" s="17"/>
      <c r="AE8" s="17"/>
    </row>
    <row r="9" spans="1:31" ht="15.95" customHeight="1" x14ac:dyDescent="0.2">
      <c r="A9" s="12"/>
      <c r="B9" s="20"/>
      <c r="C9" s="15" t="s">
        <v>6</v>
      </c>
      <c r="D9" s="15"/>
      <c r="E9" s="15"/>
      <c r="F9" s="20"/>
      <c r="G9" s="205"/>
      <c r="H9" s="205"/>
      <c r="I9" s="20"/>
      <c r="J9" s="20"/>
      <c r="K9" s="20"/>
      <c r="L9" s="20"/>
      <c r="M9" s="200"/>
      <c r="N9" s="198"/>
      <c r="O9" s="198"/>
      <c r="P9" s="198"/>
      <c r="Q9" s="16" t="s">
        <v>38</v>
      </c>
      <c r="R9" s="198"/>
      <c r="S9" s="199"/>
      <c r="T9" s="16"/>
      <c r="U9" s="21"/>
      <c r="V9" s="21"/>
      <c r="W9" s="21"/>
      <c r="X9" s="21"/>
      <c r="Y9" s="198"/>
      <c r="Z9" s="198"/>
      <c r="AA9" s="17"/>
      <c r="AB9" s="19"/>
      <c r="AC9" s="17"/>
      <c r="AD9" s="17"/>
      <c r="AE9" s="17"/>
    </row>
    <row r="10" spans="1:31" ht="15.95" customHeight="1" x14ac:dyDescent="0.2">
      <c r="A10" s="12"/>
      <c r="B10" s="20"/>
      <c r="C10" s="15" t="s">
        <v>41</v>
      </c>
      <c r="D10" s="15"/>
      <c r="E10" s="15"/>
      <c r="F10" s="20"/>
      <c r="G10" s="20"/>
      <c r="H10" s="21"/>
      <c r="I10" s="21"/>
      <c r="J10" s="21"/>
      <c r="K10" s="21"/>
      <c r="L10" s="20"/>
      <c r="M10" s="200"/>
      <c r="N10" s="198"/>
      <c r="O10" s="198"/>
      <c r="P10" s="198"/>
      <c r="Q10" s="16" t="s">
        <v>37</v>
      </c>
      <c r="R10" s="198"/>
      <c r="S10" s="199"/>
      <c r="T10" s="16"/>
      <c r="U10" s="16"/>
      <c r="V10" s="15"/>
      <c r="W10" s="15"/>
      <c r="X10" s="198"/>
      <c r="Y10" s="198"/>
      <c r="Z10" s="198"/>
      <c r="AA10" s="17"/>
      <c r="AB10" s="19"/>
      <c r="AC10" s="17"/>
      <c r="AD10" s="17"/>
      <c r="AE10" s="17"/>
    </row>
    <row r="11" spans="1:31" ht="15.95" customHeight="1" x14ac:dyDescent="0.2">
      <c r="A11" s="12"/>
      <c r="B11" s="20"/>
      <c r="C11" s="15" t="s">
        <v>42</v>
      </c>
      <c r="D11" s="15"/>
      <c r="E11" s="15"/>
      <c r="F11" s="16" t="s">
        <v>48</v>
      </c>
      <c r="G11" s="20"/>
      <c r="H11" s="20"/>
      <c r="I11" s="20"/>
      <c r="J11" s="20"/>
      <c r="K11" s="20"/>
      <c r="L11" s="20"/>
      <c r="M11" s="200"/>
      <c r="N11" s="198"/>
      <c r="O11" s="198"/>
      <c r="P11" s="198"/>
      <c r="Q11" s="16" t="s">
        <v>36</v>
      </c>
      <c r="R11" s="198"/>
      <c r="S11" s="199"/>
      <c r="T11" s="16"/>
      <c r="U11" s="16"/>
      <c r="V11" s="15"/>
      <c r="W11" s="15"/>
      <c r="X11" s="198"/>
      <c r="Y11" s="198"/>
      <c r="Z11" s="198"/>
      <c r="AA11" s="17"/>
      <c r="AB11" s="19"/>
      <c r="AC11" s="17"/>
      <c r="AD11" s="17"/>
      <c r="AE11" s="17"/>
    </row>
    <row r="12" spans="1:31" ht="15.95" customHeight="1" x14ac:dyDescent="0.2">
      <c r="A12" s="12"/>
      <c r="B12" s="20"/>
      <c r="C12" s="16" t="s">
        <v>43</v>
      </c>
      <c r="D12" s="15"/>
      <c r="E12" s="15"/>
      <c r="F12" s="20"/>
      <c r="G12" s="16" t="s">
        <v>52</v>
      </c>
      <c r="H12" s="20"/>
      <c r="I12" s="20"/>
      <c r="J12" s="20"/>
      <c r="K12" s="20"/>
      <c r="L12" s="20"/>
      <c r="M12" s="200"/>
      <c r="N12" s="198"/>
      <c r="O12" s="198"/>
      <c r="P12" s="198"/>
      <c r="Q12" s="16" t="s">
        <v>35</v>
      </c>
      <c r="R12" s="198"/>
      <c r="S12" s="199"/>
      <c r="T12" s="16"/>
      <c r="U12" s="16" t="s">
        <v>49</v>
      </c>
      <c r="V12" s="15"/>
      <c r="W12" s="15"/>
      <c r="X12" s="198"/>
      <c r="Y12" s="198"/>
      <c r="Z12" s="198"/>
      <c r="AA12" s="17"/>
      <c r="AB12" s="19"/>
      <c r="AC12" s="17"/>
      <c r="AD12" s="17"/>
      <c r="AE12" s="17"/>
    </row>
    <row r="13" spans="1:31" ht="15.95" customHeight="1" x14ac:dyDescent="0.2">
      <c r="A13" s="12"/>
      <c r="B13" s="20"/>
      <c r="C13" s="15" t="s">
        <v>44</v>
      </c>
      <c r="D13" s="15"/>
      <c r="E13" s="15"/>
      <c r="F13" s="16"/>
      <c r="G13" s="20"/>
      <c r="H13" s="20"/>
      <c r="I13" s="20"/>
      <c r="J13" s="20"/>
      <c r="K13" s="20"/>
      <c r="L13" s="16"/>
      <c r="M13" s="200"/>
      <c r="N13" s="198"/>
      <c r="O13" s="198"/>
      <c r="P13" s="198"/>
      <c r="Q13" s="16" t="s">
        <v>34</v>
      </c>
      <c r="R13" s="198"/>
      <c r="S13" s="199"/>
      <c r="T13" s="16"/>
      <c r="U13" s="16"/>
      <c r="V13" s="15"/>
      <c r="W13" s="15"/>
      <c r="X13" s="201" t="s">
        <v>26</v>
      </c>
      <c r="Y13" s="198" t="s">
        <v>27</v>
      </c>
      <c r="Z13" s="199"/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17" t="s">
        <v>50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5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2.7149999999999999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206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Y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 t="str">
        <f t="shared" si="0"/>
        <v/>
      </c>
      <c r="V56" s="114" t="str">
        <f t="shared" si="0"/>
        <v/>
      </c>
      <c r="W56" s="115" t="str">
        <f t="shared" si="0"/>
        <v/>
      </c>
      <c r="X56" s="116" t="str">
        <f t="shared" si="0"/>
        <v/>
      </c>
      <c r="Y56" s="117" t="str">
        <f t="shared" si="0"/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7.1</v>
      </c>
      <c r="F57" s="122">
        <v>7.9</v>
      </c>
      <c r="G57" s="122" t="e">
        <v>#N/A</v>
      </c>
      <c r="H57" s="122">
        <v>10.9</v>
      </c>
      <c r="I57" s="122" t="e">
        <v>#N/A</v>
      </c>
      <c r="J57" s="122">
        <v>13</v>
      </c>
      <c r="K57" s="122">
        <v>16.2</v>
      </c>
      <c r="L57" s="122">
        <v>22.1</v>
      </c>
      <c r="M57" s="122">
        <v>30.6</v>
      </c>
      <c r="N57" s="122">
        <v>39.299999999999997</v>
      </c>
      <c r="O57" s="122">
        <v>42.7</v>
      </c>
      <c r="P57" s="122">
        <v>50.8</v>
      </c>
      <c r="Q57" s="122">
        <v>62.3</v>
      </c>
      <c r="R57" s="197" t="e">
        <v>#N/A</v>
      </c>
      <c r="S57" s="122">
        <v>77.3</v>
      </c>
      <c r="T57" s="122">
        <v>94.3</v>
      </c>
      <c r="U57" s="122">
        <v>99.2</v>
      </c>
      <c r="V57" s="122">
        <v>100</v>
      </c>
      <c r="W57" s="122"/>
      <c r="X57" s="123">
        <v>150</v>
      </c>
      <c r="Y57" s="124">
        <v>5.7</v>
      </c>
      <c r="Z57" s="125">
        <f>AF57</f>
        <v>3.5235548350766153</v>
      </c>
      <c r="AA57" s="66"/>
      <c r="AB57" s="14"/>
      <c r="AE57" s="78">
        <f>(0.25*(100-Q57)+2.3*(Q57-J57)+12*(J57-F57)+135*(F57))/100</f>
        <v>12.505149999999999</v>
      </c>
      <c r="AF57" s="79">
        <f>(Y57*$AF$46)/(2.65*(AE57)^(1/5))</f>
        <v>3.5235548350766153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207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208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209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210"/>
      <c r="V63" s="210"/>
      <c r="W63" s="210"/>
      <c r="X63" s="210"/>
      <c r="Y63" s="210"/>
      <c r="Z63" s="210"/>
      <c r="AA63" s="210"/>
      <c r="AB63" s="210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210"/>
      <c r="V64" s="210"/>
      <c r="W64" s="210"/>
      <c r="X64" s="210"/>
      <c r="Y64" s="210"/>
      <c r="Z64" s="210"/>
      <c r="AA64" s="210"/>
      <c r="AB64" s="210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210"/>
      <c r="V65" s="210"/>
      <c r="W65" s="210"/>
      <c r="X65" s="210"/>
      <c r="Y65" s="210"/>
      <c r="Z65" s="210"/>
      <c r="AA65" s="210"/>
      <c r="AB65" s="210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210"/>
      <c r="V66" s="210"/>
      <c r="W66" s="210"/>
      <c r="X66" s="210"/>
      <c r="Y66" s="210"/>
      <c r="Z66" s="210"/>
      <c r="AA66" s="210"/>
      <c r="AB66" s="210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210"/>
      <c r="V67" s="210"/>
      <c r="W67" s="210"/>
      <c r="X67" s="210"/>
      <c r="Y67" s="210"/>
      <c r="Z67" s="210"/>
      <c r="AA67" s="210"/>
      <c r="AB67" s="210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8">
    <mergeCell ref="U9:X9"/>
    <mergeCell ref="B56:D56"/>
    <mergeCell ref="B57:D57"/>
    <mergeCell ref="B59:D59"/>
    <mergeCell ref="H10:K10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C52:D52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1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2" r:id="rId4" name="Check Box 18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Check Box 19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6" name="Check Box 48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7" name="Check Box 49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8" name="Check Box 50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E8" sqref="AE8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10" width="4.710937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20"/>
      <c r="C8" s="15" t="s">
        <v>40</v>
      </c>
      <c r="D8" s="15"/>
      <c r="E8" s="15"/>
      <c r="F8" s="16"/>
      <c r="G8" s="20"/>
      <c r="H8" s="20"/>
      <c r="I8" s="20"/>
      <c r="J8" s="20"/>
      <c r="K8" s="20"/>
      <c r="L8" s="20"/>
      <c r="M8" s="20"/>
      <c r="N8" s="198"/>
      <c r="O8" s="198"/>
      <c r="P8" s="198"/>
      <c r="Q8" s="16" t="s">
        <v>39</v>
      </c>
      <c r="R8" s="198"/>
      <c r="S8" s="199"/>
      <c r="T8" s="16"/>
      <c r="U8" s="16" t="s">
        <v>55</v>
      </c>
      <c r="V8" s="15"/>
      <c r="W8" s="15"/>
      <c r="X8" s="198"/>
      <c r="Y8" s="198"/>
      <c r="Z8" s="198"/>
      <c r="AA8" s="17"/>
      <c r="AB8" s="19"/>
      <c r="AC8" s="17"/>
      <c r="AD8" s="17"/>
      <c r="AE8" s="17"/>
    </row>
    <row r="9" spans="1:31" ht="15.95" customHeight="1" x14ac:dyDescent="0.2">
      <c r="A9" s="12"/>
      <c r="B9" s="20"/>
      <c r="C9" s="15" t="s">
        <v>6</v>
      </c>
      <c r="D9" s="15"/>
      <c r="E9" s="15"/>
      <c r="F9" s="20"/>
      <c r="G9" s="21"/>
      <c r="H9" s="21"/>
      <c r="I9" s="20"/>
      <c r="J9" s="20"/>
      <c r="K9" s="20"/>
      <c r="L9" s="20"/>
      <c r="M9" s="200"/>
      <c r="N9" s="198"/>
      <c r="O9" s="198"/>
      <c r="P9" s="198"/>
      <c r="Q9" s="16" t="s">
        <v>38</v>
      </c>
      <c r="R9" s="198"/>
      <c r="S9" s="199"/>
      <c r="T9" s="16"/>
      <c r="U9" s="21"/>
      <c r="V9" s="21"/>
      <c r="W9" s="21"/>
      <c r="X9" s="21"/>
      <c r="Y9" s="198"/>
      <c r="Z9" s="198"/>
      <c r="AA9" s="17"/>
      <c r="AB9" s="19"/>
      <c r="AC9" s="17"/>
      <c r="AD9" s="17"/>
      <c r="AE9" s="17"/>
    </row>
    <row r="10" spans="1:31" ht="15.95" customHeight="1" x14ac:dyDescent="0.2">
      <c r="A10" s="12"/>
      <c r="B10" s="20"/>
      <c r="C10" s="15" t="s">
        <v>41</v>
      </c>
      <c r="D10" s="15"/>
      <c r="E10" s="15"/>
      <c r="F10" s="20"/>
      <c r="G10" s="20"/>
      <c r="H10" s="21"/>
      <c r="I10" s="21"/>
      <c r="J10" s="21"/>
      <c r="K10" s="21"/>
      <c r="L10" s="20"/>
      <c r="M10" s="200"/>
      <c r="N10" s="198"/>
      <c r="O10" s="198"/>
      <c r="P10" s="198"/>
      <c r="Q10" s="16" t="s">
        <v>37</v>
      </c>
      <c r="R10" s="198"/>
      <c r="S10" s="199"/>
      <c r="T10" s="16"/>
      <c r="U10" s="16"/>
      <c r="V10" s="15"/>
      <c r="W10" s="15"/>
      <c r="X10" s="198"/>
      <c r="Y10" s="198"/>
      <c r="Z10" s="198"/>
      <c r="AA10" s="17"/>
      <c r="AB10" s="19"/>
      <c r="AC10" s="17"/>
      <c r="AD10" s="17"/>
      <c r="AE10" s="17"/>
    </row>
    <row r="11" spans="1:31" ht="15.95" customHeight="1" x14ac:dyDescent="0.2">
      <c r="A11" s="12"/>
      <c r="B11" s="20"/>
      <c r="C11" s="15" t="s">
        <v>42</v>
      </c>
      <c r="D11" s="15"/>
      <c r="E11" s="15"/>
      <c r="F11" s="16" t="s">
        <v>48</v>
      </c>
      <c r="G11" s="20"/>
      <c r="H11" s="20"/>
      <c r="I11" s="20"/>
      <c r="J11" s="20"/>
      <c r="K11" s="20"/>
      <c r="L11" s="20"/>
      <c r="M11" s="200"/>
      <c r="N11" s="198"/>
      <c r="O11" s="198"/>
      <c r="P11" s="198"/>
      <c r="Q11" s="16" t="s">
        <v>36</v>
      </c>
      <c r="R11" s="198"/>
      <c r="S11" s="199"/>
      <c r="T11" s="16"/>
      <c r="U11" s="16"/>
      <c r="V11" s="15"/>
      <c r="W11" s="15"/>
      <c r="X11" s="198"/>
      <c r="Y11" s="198"/>
      <c r="Z11" s="198"/>
      <c r="AA11" s="17"/>
      <c r="AB11" s="19"/>
      <c r="AC11" s="17"/>
      <c r="AD11" s="17"/>
      <c r="AE11" s="17"/>
    </row>
    <row r="12" spans="1:31" ht="15.95" customHeight="1" x14ac:dyDescent="0.2">
      <c r="A12" s="12"/>
      <c r="B12" s="20"/>
      <c r="C12" s="16" t="s">
        <v>43</v>
      </c>
      <c r="D12" s="15"/>
      <c r="E12" s="15"/>
      <c r="F12" s="20"/>
      <c r="G12" s="16" t="s">
        <v>52</v>
      </c>
      <c r="H12" s="20"/>
      <c r="I12" s="20"/>
      <c r="J12" s="20"/>
      <c r="K12" s="20"/>
      <c r="L12" s="20"/>
      <c r="M12" s="200"/>
      <c r="N12" s="198"/>
      <c r="O12" s="198"/>
      <c r="P12" s="198"/>
      <c r="Q12" s="16" t="s">
        <v>35</v>
      </c>
      <c r="R12" s="198"/>
      <c r="S12" s="199"/>
      <c r="T12" s="16"/>
      <c r="U12" s="16" t="s">
        <v>49</v>
      </c>
      <c r="V12" s="15"/>
      <c r="W12" s="15"/>
      <c r="X12" s="198"/>
      <c r="Y12" s="198"/>
      <c r="Z12" s="198"/>
      <c r="AA12" s="17"/>
      <c r="AB12" s="19"/>
      <c r="AC12" s="17"/>
      <c r="AD12" s="17"/>
      <c r="AE12" s="17"/>
    </row>
    <row r="13" spans="1:31" ht="15.95" customHeight="1" x14ac:dyDescent="0.2">
      <c r="A13" s="12"/>
      <c r="B13" s="20"/>
      <c r="C13" s="15" t="s">
        <v>44</v>
      </c>
      <c r="D13" s="15"/>
      <c r="E13" s="15"/>
      <c r="F13" s="16"/>
      <c r="G13" s="20"/>
      <c r="H13" s="20"/>
      <c r="I13" s="20"/>
      <c r="J13" s="20"/>
      <c r="K13" s="20"/>
      <c r="L13" s="16"/>
      <c r="M13" s="200"/>
      <c r="N13" s="198"/>
      <c r="O13" s="198"/>
      <c r="P13" s="198"/>
      <c r="Q13" s="16" t="s">
        <v>34</v>
      </c>
      <c r="R13" s="198"/>
      <c r="S13" s="199"/>
      <c r="T13" s="16"/>
      <c r="U13" s="16"/>
      <c r="V13" s="15"/>
      <c r="W13" s="15"/>
      <c r="X13" s="201" t="s">
        <v>26</v>
      </c>
      <c r="Y13" s="198" t="s">
        <v>27</v>
      </c>
      <c r="Z13" s="199"/>
      <c r="AA13" s="27"/>
      <c r="AB13" s="19"/>
      <c r="AC13" s="17"/>
      <c r="AD13" s="17"/>
      <c r="AE13" s="17"/>
    </row>
    <row r="14" spans="1:31" ht="6" customHeight="1" x14ac:dyDescent="0.2">
      <c r="A14" s="28"/>
      <c r="B14" s="29"/>
      <c r="C14" s="30"/>
      <c r="D14" s="30"/>
      <c r="E14" s="30"/>
      <c r="F14" s="29"/>
      <c r="G14" s="29"/>
      <c r="H14" s="29"/>
      <c r="I14" s="29"/>
      <c r="J14" s="29"/>
      <c r="K14" s="29"/>
      <c r="L14" s="29"/>
      <c r="M14" s="29"/>
      <c r="N14" s="30"/>
      <c r="O14" s="30"/>
      <c r="P14" s="30"/>
      <c r="Q14" s="30"/>
      <c r="R14" s="30"/>
      <c r="S14" s="30"/>
      <c r="T14" s="31"/>
      <c r="U14" s="31"/>
      <c r="V14" s="30"/>
      <c r="W14" s="30"/>
      <c r="X14" s="30"/>
      <c r="Y14" s="30"/>
      <c r="Z14" s="30"/>
      <c r="AA14" s="30"/>
      <c r="AB14" s="32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5"/>
      <c r="U15" s="25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33"/>
      <c r="B17" s="11"/>
      <c r="C17" s="3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33"/>
      <c r="B18" s="11"/>
      <c r="C18" s="35" t="s">
        <v>20</v>
      </c>
      <c r="E18" s="11"/>
      <c r="F18" s="11"/>
      <c r="G18" s="11"/>
      <c r="H18" s="36" t="s">
        <v>50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1"/>
      <c r="AA18" s="11"/>
      <c r="AB18" s="14"/>
      <c r="AC18" s="11"/>
      <c r="AD18" s="11"/>
      <c r="AE18" s="11"/>
    </row>
    <row r="19" spans="1:31" ht="15.95" customHeight="1" x14ac:dyDescent="0.2">
      <c r="A19" s="33"/>
      <c r="B19" s="11"/>
      <c r="C19" s="35" t="s">
        <v>21</v>
      </c>
      <c r="E19" s="11"/>
      <c r="F19" s="11"/>
      <c r="G19" s="11"/>
      <c r="H19" s="35"/>
      <c r="I19" s="35"/>
      <c r="J19" s="37" t="s">
        <v>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1"/>
      <c r="AA19" s="11"/>
      <c r="AB19" s="14"/>
      <c r="AC19" s="11"/>
      <c r="AD19" s="11"/>
      <c r="AE19" s="11"/>
    </row>
    <row r="20" spans="1:31" ht="7.5" customHeight="1" x14ac:dyDescent="0.2">
      <c r="A20" s="3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2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5"/>
      <c r="U21" s="25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9"/>
      <c r="E22" s="39"/>
      <c r="F22" s="40"/>
      <c r="G22" s="40"/>
      <c r="H22" s="40"/>
      <c r="I22" s="40"/>
      <c r="J22" s="40"/>
      <c r="K22" s="40"/>
      <c r="L22" s="40"/>
      <c r="M22" s="40"/>
      <c r="N22" s="39"/>
      <c r="O22" s="39"/>
      <c r="P22" s="39"/>
      <c r="Q22" s="39"/>
      <c r="R22" s="39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41" t="s">
        <v>17</v>
      </c>
      <c r="AF46" s="42">
        <v>2.6659999999999999</v>
      </c>
      <c r="AG46" s="43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44"/>
      <c r="AF47" s="45"/>
    </row>
    <row r="48" spans="1:33" ht="18.75" customHeight="1" thickBot="1" x14ac:dyDescent="0.25">
      <c r="A48" s="12"/>
      <c r="B48" s="46"/>
      <c r="C48" s="47"/>
      <c r="D48" s="47"/>
      <c r="E48" s="48" t="s">
        <v>11</v>
      </c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50"/>
      <c r="X48" s="51" t="s">
        <v>13</v>
      </c>
      <c r="Y48" s="52" t="s">
        <v>12</v>
      </c>
      <c r="Z48" s="53" t="s">
        <v>14</v>
      </c>
      <c r="AA48" s="54"/>
      <c r="AB48" s="14"/>
      <c r="AE48" s="55" t="s">
        <v>15</v>
      </c>
      <c r="AF48" s="56" t="s">
        <v>16</v>
      </c>
      <c r="AG48" s="57"/>
    </row>
    <row r="49" spans="1:32" ht="24.95" customHeight="1" thickBot="1" x14ac:dyDescent="0.25">
      <c r="A49" s="33"/>
      <c r="B49" s="58" t="s">
        <v>28</v>
      </c>
      <c r="C49" s="59" t="s">
        <v>10</v>
      </c>
      <c r="D49" s="60"/>
      <c r="E49" s="61">
        <v>6.3E-2</v>
      </c>
      <c r="F49" s="61">
        <v>0.08</v>
      </c>
      <c r="G49" s="61">
        <v>0.125</v>
      </c>
      <c r="H49" s="62">
        <v>0.2</v>
      </c>
      <c r="I49" s="62">
        <v>0.25</v>
      </c>
      <c r="J49" s="62">
        <v>0.315</v>
      </c>
      <c r="K49" s="62">
        <v>0.5</v>
      </c>
      <c r="L49" s="62">
        <v>1</v>
      </c>
      <c r="M49" s="62">
        <v>2</v>
      </c>
      <c r="N49" s="62">
        <v>3.15</v>
      </c>
      <c r="O49" s="62">
        <v>4</v>
      </c>
      <c r="P49" s="62">
        <v>5</v>
      </c>
      <c r="Q49" s="62">
        <v>6.3</v>
      </c>
      <c r="R49" s="62">
        <v>7.1</v>
      </c>
      <c r="S49" s="62">
        <v>8</v>
      </c>
      <c r="T49" s="62">
        <v>10</v>
      </c>
      <c r="U49" s="62">
        <v>12.5</v>
      </c>
      <c r="V49" s="62">
        <v>14</v>
      </c>
      <c r="W49" s="62">
        <v>16</v>
      </c>
      <c r="X49" s="63"/>
      <c r="Y49" s="64"/>
      <c r="Z49" s="65"/>
      <c r="AA49" s="66"/>
      <c r="AB49" s="14"/>
      <c r="AE49" s="67"/>
      <c r="AF49" s="68"/>
    </row>
    <row r="50" spans="1:32" ht="24.95" customHeight="1" x14ac:dyDescent="0.2">
      <c r="A50" s="33"/>
      <c r="B50" s="69">
        <v>1</v>
      </c>
      <c r="C50" s="70"/>
      <c r="D50" s="71"/>
      <c r="E50" s="72"/>
      <c r="F50" s="73"/>
      <c r="G50" s="73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5"/>
      <c r="Y50" s="76"/>
      <c r="Z50" s="77" t="str">
        <f>IF(Y50&lt;&gt;0,AF50,"")</f>
        <v/>
      </c>
      <c r="AA50" s="66"/>
      <c r="AB50" s="14"/>
      <c r="AE50" s="78">
        <f>(0.25*(100-Q50)+2.3*(Q50-K50)+12*(K50-F50)+135*(F50))/100</f>
        <v>0.25</v>
      </c>
      <c r="AF50" s="79">
        <f>(Y50*$AF$46)/(2.65*(AE50)^(1/5))</f>
        <v>0</v>
      </c>
    </row>
    <row r="51" spans="1:32" ht="24.95" customHeight="1" x14ac:dyDescent="0.2">
      <c r="A51" s="33"/>
      <c r="B51" s="80">
        <v>2</v>
      </c>
      <c r="C51" s="81"/>
      <c r="D51" s="82"/>
      <c r="E51" s="72"/>
      <c r="F51" s="73"/>
      <c r="G51" s="73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83"/>
      <c r="Y51" s="84"/>
      <c r="Z51" s="85" t="str">
        <f>IF(Y51&lt;&gt;0,AF51,"")</f>
        <v/>
      </c>
      <c r="AA51" s="66"/>
      <c r="AB51" s="14"/>
      <c r="AE51" s="78">
        <f>(0.25*(100-Q51)+2.3*(Q51-K51)+12*(K51-F51)+135*(F51))/100</f>
        <v>0.25</v>
      </c>
      <c r="AF51" s="79">
        <f>(Y51*$AF$46)/(2.65*(AE51)^(1/5))</f>
        <v>0</v>
      </c>
    </row>
    <row r="52" spans="1:32" ht="24.95" customHeight="1" x14ac:dyDescent="0.2">
      <c r="A52" s="33"/>
      <c r="B52" s="80">
        <v>3</v>
      </c>
      <c r="C52" s="81"/>
      <c r="D52" s="82"/>
      <c r="E52" s="86"/>
      <c r="F52" s="87"/>
      <c r="G52" s="8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3"/>
      <c r="Y52" s="206"/>
      <c r="Z52" s="89" t="str">
        <f>IF(Y52&lt;&gt;0,AF52,"")</f>
        <v/>
      </c>
      <c r="AA52" s="66"/>
      <c r="AB52" s="14"/>
      <c r="AE52" s="78">
        <f>(0.25*(100-Q52)+2.3*(Q52-K52)+12*(K52-F52)+135*(F52))/100</f>
        <v>0.25</v>
      </c>
      <c r="AF52" s="79">
        <f>(Y52*$AF$46)/(2.65*(AE52)^(1/5))</f>
        <v>0</v>
      </c>
    </row>
    <row r="53" spans="1:32" ht="24.95" customHeight="1" thickBot="1" x14ac:dyDescent="0.25">
      <c r="A53" s="33"/>
      <c r="B53" s="90">
        <v>4</v>
      </c>
      <c r="C53" s="91"/>
      <c r="D53" s="92"/>
      <c r="E53" s="93"/>
      <c r="F53" s="94"/>
      <c r="G53" s="94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6"/>
      <c r="Y53" s="97"/>
      <c r="Z53" s="98" t="str">
        <f>IF(Y53&lt;&gt;0,AF53,"")</f>
        <v/>
      </c>
      <c r="AA53" s="66"/>
      <c r="AB53" s="14"/>
      <c r="AE53" s="78">
        <f>(0.25*(100-Q53)+2.3*(Q53-K53)+12*(K53-F53)+135*(F53))/100</f>
        <v>0.25</v>
      </c>
      <c r="AF53" s="79">
        <f>(Y53*$AF$46)/(2.65*(AE53)^(1/5))</f>
        <v>0</v>
      </c>
    </row>
    <row r="54" spans="1:32" ht="10.5" customHeight="1" thickBot="1" x14ac:dyDescent="0.25">
      <c r="A54" s="33"/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X54" s="102"/>
      <c r="Y54" s="102"/>
      <c r="Z54" s="103"/>
      <c r="AA54" s="11"/>
      <c r="AB54" s="14"/>
      <c r="AE54" s="78"/>
      <c r="AF54" s="79"/>
    </row>
    <row r="55" spans="1:32" ht="24.75" hidden="1" customHeight="1" x14ac:dyDescent="0.2">
      <c r="A55" s="33"/>
      <c r="B55" s="104" t="s">
        <v>8</v>
      </c>
      <c r="C55" s="105"/>
      <c r="D55" s="106"/>
      <c r="E55" s="107"/>
      <c r="F55" s="107"/>
      <c r="G55" s="107"/>
      <c r="H55" s="107"/>
      <c r="I55" s="107"/>
      <c r="J55" s="107"/>
      <c r="K55" s="107"/>
      <c r="L55" s="107"/>
      <c r="M55" s="107">
        <v>10</v>
      </c>
      <c r="N55" s="107">
        <v>10</v>
      </c>
      <c r="O55" s="107"/>
      <c r="P55" s="107"/>
      <c r="Q55" s="107">
        <v>50</v>
      </c>
      <c r="R55" s="107"/>
      <c r="S55" s="107">
        <v>70</v>
      </c>
      <c r="T55" s="107"/>
      <c r="U55" s="107"/>
      <c r="V55" s="107"/>
      <c r="W55" s="107"/>
      <c r="X55" s="108"/>
      <c r="Y55" s="109">
        <v>4.5</v>
      </c>
      <c r="Z55" s="110"/>
      <c r="AA55" s="66"/>
      <c r="AB55" s="14"/>
      <c r="AE55" s="78"/>
      <c r="AF55" s="79"/>
    </row>
    <row r="56" spans="1:32" ht="18.75" customHeight="1" x14ac:dyDescent="0.2">
      <c r="A56" s="33"/>
      <c r="B56" s="111" t="s">
        <v>7</v>
      </c>
      <c r="C56" s="112"/>
      <c r="D56" s="113"/>
      <c r="E56" s="114" t="str">
        <f t="shared" ref="E56:Y56" si="0">IF(E50&lt;&gt;0,AVERAGE(E50:E53),"")</f>
        <v/>
      </c>
      <c r="F56" s="114" t="str">
        <f t="shared" si="0"/>
        <v/>
      </c>
      <c r="G56" s="114" t="str">
        <f t="shared" si="0"/>
        <v/>
      </c>
      <c r="H56" s="114" t="str">
        <f t="shared" si="0"/>
        <v/>
      </c>
      <c r="I56" s="114" t="str">
        <f t="shared" si="0"/>
        <v/>
      </c>
      <c r="J56" s="114" t="str">
        <f t="shared" si="0"/>
        <v/>
      </c>
      <c r="K56" s="114" t="str">
        <f t="shared" si="0"/>
        <v/>
      </c>
      <c r="L56" s="114" t="str">
        <f t="shared" si="0"/>
        <v/>
      </c>
      <c r="M56" s="114" t="str">
        <f t="shared" si="0"/>
        <v/>
      </c>
      <c r="N56" s="114" t="str">
        <f t="shared" si="0"/>
        <v/>
      </c>
      <c r="O56" s="114" t="str">
        <f t="shared" si="0"/>
        <v/>
      </c>
      <c r="P56" s="114" t="str">
        <f t="shared" si="0"/>
        <v/>
      </c>
      <c r="Q56" s="114" t="str">
        <f t="shared" si="0"/>
        <v/>
      </c>
      <c r="R56" s="114" t="str">
        <f t="shared" si="0"/>
        <v/>
      </c>
      <c r="S56" s="114" t="str">
        <f t="shared" si="0"/>
        <v/>
      </c>
      <c r="T56" s="114" t="str">
        <f t="shared" si="0"/>
        <v/>
      </c>
      <c r="U56" s="114" t="str">
        <f t="shared" si="0"/>
        <v/>
      </c>
      <c r="V56" s="114" t="str">
        <f t="shared" si="0"/>
        <v/>
      </c>
      <c r="W56" s="115" t="str">
        <f t="shared" si="0"/>
        <v/>
      </c>
      <c r="X56" s="116" t="str">
        <f t="shared" si="0"/>
        <v/>
      </c>
      <c r="Y56" s="117" t="str">
        <f t="shared" si="0"/>
        <v/>
      </c>
      <c r="Z56" s="118" t="e">
        <f>AF56</f>
        <v>#VALUE!</v>
      </c>
      <c r="AA56" s="66"/>
      <c r="AB56" s="14"/>
      <c r="AE56" s="78" t="e">
        <f>(0.25*(100-Q56)+2.3*(Q56-K56)+12*(K56-F56)+135*(F56))/100</f>
        <v>#VALUE!</v>
      </c>
      <c r="AF56" s="79" t="e">
        <f>(Y56*$AF$46)/(2.65*(AE56)^(1/5))</f>
        <v>#VALUE!</v>
      </c>
    </row>
    <row r="57" spans="1:32" ht="21" customHeight="1" x14ac:dyDescent="0.2">
      <c r="A57" s="33"/>
      <c r="B57" s="119" t="s">
        <v>9</v>
      </c>
      <c r="C57" s="120"/>
      <c r="D57" s="121"/>
      <c r="E57" s="122">
        <v>7</v>
      </c>
      <c r="F57" s="122">
        <v>7.8</v>
      </c>
      <c r="G57" s="122">
        <v>9.6</v>
      </c>
      <c r="H57" s="122">
        <v>11.3</v>
      </c>
      <c r="I57" s="122">
        <v>12.4</v>
      </c>
      <c r="J57" s="122">
        <v>13.4</v>
      </c>
      <c r="K57" s="122">
        <v>16.100000000000001</v>
      </c>
      <c r="L57" s="122">
        <v>22.4</v>
      </c>
      <c r="M57" s="122">
        <v>33.200000000000003</v>
      </c>
      <c r="N57" s="122">
        <v>43.6</v>
      </c>
      <c r="O57" s="122">
        <v>49.6</v>
      </c>
      <c r="P57" s="122">
        <v>57.7</v>
      </c>
      <c r="Q57" s="122">
        <v>68.5</v>
      </c>
      <c r="R57" s="122">
        <v>77</v>
      </c>
      <c r="S57" s="122">
        <v>84.4</v>
      </c>
      <c r="T57" s="122">
        <v>98.3</v>
      </c>
      <c r="U57" s="122">
        <v>100</v>
      </c>
      <c r="V57" s="122"/>
      <c r="W57" s="122"/>
      <c r="X57" s="123">
        <v>150</v>
      </c>
      <c r="Y57" s="124">
        <v>5.8</v>
      </c>
      <c r="Z57" s="125">
        <f>AF57</f>
        <v>3.5182525944020266</v>
      </c>
      <c r="AA57" s="66"/>
      <c r="AB57" s="14"/>
      <c r="AE57" s="78">
        <f>(0.25*(100-Q57)+2.3*(Q57-J57)+12*(J57-F57)+135*(F57))/100</f>
        <v>12.54805</v>
      </c>
      <c r="AF57" s="79">
        <f>(Y57*$AF$46)/(2.65*(AE57)^(1/5))</f>
        <v>3.5182525944020266</v>
      </c>
    </row>
    <row r="58" spans="1:32" ht="13.5" customHeight="1" x14ac:dyDescent="0.2">
      <c r="A58" s="33"/>
      <c r="B58" s="126"/>
      <c r="C58" s="127" t="s">
        <v>30</v>
      </c>
      <c r="D58" s="128"/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26"/>
      <c r="Y58" s="207"/>
      <c r="Z58" s="132"/>
      <c r="AA58" s="66"/>
      <c r="AB58" s="14"/>
      <c r="AE58" s="78"/>
      <c r="AF58" s="79"/>
    </row>
    <row r="59" spans="1:32" ht="13.5" customHeight="1" thickBot="1" x14ac:dyDescent="0.25">
      <c r="A59" s="133"/>
      <c r="B59" s="134" t="s">
        <v>31</v>
      </c>
      <c r="C59" s="135"/>
      <c r="D59" s="136"/>
      <c r="E59" s="208"/>
      <c r="F59" s="138"/>
      <c r="G59" s="139"/>
      <c r="H59" s="139"/>
      <c r="I59" s="139"/>
      <c r="J59" s="139"/>
      <c r="K59" s="139"/>
      <c r="L59" s="139"/>
      <c r="M59" s="138"/>
      <c r="N59" s="139"/>
      <c r="O59" s="139"/>
      <c r="P59" s="139"/>
      <c r="Q59" s="138"/>
      <c r="R59" s="139"/>
      <c r="S59" s="139"/>
      <c r="T59" s="139"/>
      <c r="U59" s="139"/>
      <c r="V59" s="139"/>
      <c r="W59" s="139"/>
      <c r="X59" s="140"/>
      <c r="Y59" s="209"/>
      <c r="Z59" s="142"/>
      <c r="AA59" s="66"/>
      <c r="AB59" s="14"/>
      <c r="AE59" s="78"/>
      <c r="AF59" s="79"/>
    </row>
    <row r="60" spans="1:32" ht="6.75" customHeight="1" thickBo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2"/>
      <c r="AC60" s="11"/>
      <c r="AE60" s="143"/>
      <c r="AF60" s="144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55" customFormat="1" ht="34.5" customHeight="1" x14ac:dyDescent="0.2">
      <c r="A62" s="145" t="s">
        <v>4</v>
      </c>
      <c r="B62" s="146" t="s">
        <v>22</v>
      </c>
      <c r="C62" s="147"/>
      <c r="D62" s="147"/>
      <c r="E62" s="148"/>
      <c r="F62" s="149"/>
      <c r="G62" s="149"/>
      <c r="H62" s="149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1"/>
      <c r="T62" s="151"/>
      <c r="U62" s="152"/>
      <c r="V62" s="152"/>
      <c r="W62" s="152"/>
      <c r="X62" s="152"/>
      <c r="Y62" s="152"/>
      <c r="Z62" s="152"/>
      <c r="AA62" s="152"/>
      <c r="AB62" s="153"/>
      <c r="AC62" s="154"/>
    </row>
    <row r="63" spans="1:32" s="155" customFormat="1" ht="27" customHeight="1" x14ac:dyDescent="0.2">
      <c r="A63" s="156" t="s">
        <v>45</v>
      </c>
      <c r="B63" s="157"/>
      <c r="C63" s="157"/>
      <c r="D63" s="157"/>
      <c r="E63" s="157"/>
      <c r="F63" s="157"/>
      <c r="G63" s="157"/>
      <c r="H63" s="157"/>
      <c r="I63" s="157"/>
      <c r="J63" s="157"/>
      <c r="K63" s="158"/>
      <c r="L63" s="159"/>
      <c r="M63" s="159"/>
      <c r="N63" s="159"/>
      <c r="O63" s="159"/>
      <c r="P63" s="159"/>
      <c r="Q63" s="160"/>
      <c r="R63" s="161" t="s">
        <v>46</v>
      </c>
      <c r="S63" s="162"/>
      <c r="T63" s="163"/>
      <c r="U63" s="164"/>
      <c r="V63" s="164"/>
      <c r="W63" s="164"/>
      <c r="X63" s="164"/>
      <c r="Y63" s="164"/>
      <c r="Z63" s="164"/>
      <c r="AA63" s="164"/>
      <c r="AB63" s="164"/>
      <c r="AC63" s="154"/>
    </row>
    <row r="64" spans="1:32" s="155" customFormat="1" ht="15.75" customHeight="1" x14ac:dyDescent="0.2">
      <c r="A64" s="165"/>
      <c r="B64" s="166"/>
      <c r="C64" s="167" t="s">
        <v>23</v>
      </c>
      <c r="D64" s="168"/>
      <c r="E64" s="166"/>
      <c r="H64" s="169" t="s">
        <v>24</v>
      </c>
      <c r="I64" s="169"/>
      <c r="J64" s="169"/>
      <c r="K64" s="170"/>
      <c r="L64" s="168"/>
      <c r="M64" s="169" t="s">
        <v>25</v>
      </c>
      <c r="N64" s="169"/>
      <c r="O64" s="169"/>
      <c r="P64" s="169"/>
      <c r="Q64" s="171"/>
      <c r="R64" s="172" t="s">
        <v>32</v>
      </c>
      <c r="S64" s="173"/>
      <c r="T64" s="174"/>
      <c r="U64" s="164"/>
      <c r="V64" s="164"/>
      <c r="W64" s="164"/>
      <c r="X64" s="164"/>
      <c r="Y64" s="164"/>
      <c r="Z64" s="164"/>
      <c r="AA64" s="164"/>
      <c r="AB64" s="164"/>
      <c r="AC64" s="154"/>
    </row>
    <row r="65" spans="1:29" s="155" customFormat="1" ht="9" customHeight="1" x14ac:dyDescent="0.2">
      <c r="A65" s="165"/>
      <c r="B65" s="47"/>
      <c r="C65" s="168"/>
      <c r="D65" s="168"/>
      <c r="E65" s="47"/>
      <c r="F65" s="168"/>
      <c r="G65" s="168"/>
      <c r="I65" s="47"/>
      <c r="J65" s="168"/>
      <c r="K65" s="175"/>
      <c r="L65" s="168"/>
      <c r="M65" s="168"/>
      <c r="N65" s="168"/>
      <c r="O65" s="168"/>
      <c r="P65" s="168"/>
      <c r="Q65" s="176"/>
      <c r="R65" s="172"/>
      <c r="S65" s="173"/>
      <c r="T65" s="174"/>
      <c r="U65" s="164"/>
      <c r="V65" s="164"/>
      <c r="W65" s="164"/>
      <c r="X65" s="164"/>
      <c r="Y65" s="164"/>
      <c r="Z65" s="164"/>
      <c r="AA65" s="164"/>
      <c r="AB65" s="164"/>
      <c r="AC65" s="154"/>
    </row>
    <row r="66" spans="1:29" s="155" customFormat="1" ht="15.95" customHeight="1" x14ac:dyDescent="0.2">
      <c r="A66" s="177"/>
      <c r="B66" s="178"/>
      <c r="C66" s="179"/>
      <c r="D66" s="179"/>
      <c r="E66" s="180"/>
      <c r="F66" s="179"/>
      <c r="G66" s="179"/>
      <c r="H66" s="179"/>
      <c r="I66" s="180"/>
      <c r="J66" s="179"/>
      <c r="K66" s="181"/>
      <c r="L66" s="179"/>
      <c r="M66" s="179"/>
      <c r="N66" s="179"/>
      <c r="O66" s="179"/>
      <c r="P66" s="179"/>
      <c r="Q66" s="182"/>
      <c r="R66" s="172"/>
      <c r="S66" s="173"/>
      <c r="T66" s="174"/>
      <c r="U66" s="164"/>
      <c r="V66" s="164"/>
      <c r="W66" s="164"/>
      <c r="X66" s="164"/>
      <c r="Y66" s="164"/>
      <c r="Z66" s="164"/>
      <c r="AA66" s="164"/>
      <c r="AB66" s="164"/>
      <c r="AC66" s="154"/>
    </row>
    <row r="67" spans="1:29" s="155" customFormat="1" ht="15.95" customHeight="1" x14ac:dyDescent="0.2">
      <c r="A67" s="183" t="s">
        <v>3</v>
      </c>
      <c r="B67" s="184" t="s">
        <v>5</v>
      </c>
      <c r="C67" s="168"/>
      <c r="D67" s="168"/>
      <c r="E67" s="185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7"/>
      <c r="R67" s="172"/>
      <c r="S67" s="173"/>
      <c r="T67" s="174"/>
      <c r="U67" s="164"/>
      <c r="V67" s="164"/>
      <c r="W67" s="164"/>
      <c r="X67" s="164"/>
      <c r="Y67" s="164"/>
      <c r="Z67" s="164"/>
      <c r="AA67" s="164"/>
      <c r="AB67" s="164"/>
      <c r="AC67" s="154"/>
    </row>
    <row r="68" spans="1:29" s="155" customFormat="1" ht="15.75" customHeight="1" x14ac:dyDescent="0.2">
      <c r="A68" s="188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7"/>
      <c r="R68" s="161" t="s">
        <v>33</v>
      </c>
      <c r="S68" s="162"/>
      <c r="T68" s="163"/>
      <c r="U68" s="189"/>
      <c r="V68" s="189"/>
      <c r="W68" s="189"/>
      <c r="X68" s="189"/>
      <c r="Y68" s="189"/>
      <c r="Z68" s="189"/>
      <c r="AA68" s="189"/>
      <c r="AB68" s="189"/>
      <c r="AC68" s="154"/>
    </row>
    <row r="69" spans="1:29" s="155" customFormat="1" ht="15.95" customHeight="1" x14ac:dyDescent="0.2">
      <c r="A69" s="188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7"/>
      <c r="R69" s="161"/>
      <c r="S69" s="162"/>
      <c r="T69" s="163"/>
      <c r="U69" s="189"/>
      <c r="V69" s="189"/>
      <c r="W69" s="189"/>
      <c r="X69" s="189"/>
      <c r="Y69" s="189"/>
      <c r="Z69" s="189"/>
      <c r="AA69" s="189"/>
      <c r="AB69" s="189"/>
      <c r="AC69" s="154"/>
    </row>
    <row r="70" spans="1:29" s="155" customFormat="1" ht="15.95" customHeight="1" x14ac:dyDescent="0.2">
      <c r="A70" s="188"/>
      <c r="B70" s="186"/>
      <c r="C70" s="186"/>
      <c r="D70" s="186"/>
      <c r="E70" s="186"/>
      <c r="F70" s="186"/>
      <c r="G70" s="186"/>
      <c r="H70" s="186"/>
      <c r="I70" s="190"/>
      <c r="J70" s="186"/>
      <c r="K70" s="186"/>
      <c r="L70" s="186"/>
      <c r="M70" s="186"/>
      <c r="N70" s="186"/>
      <c r="O70" s="186"/>
      <c r="P70" s="186"/>
      <c r="Q70" s="187"/>
      <c r="R70" s="161"/>
      <c r="S70" s="162"/>
      <c r="T70" s="163"/>
      <c r="U70" s="189"/>
      <c r="V70" s="189"/>
      <c r="W70" s="189"/>
      <c r="X70" s="189"/>
      <c r="Y70" s="189"/>
      <c r="Z70" s="189"/>
      <c r="AA70" s="189"/>
      <c r="AB70" s="189"/>
      <c r="AC70" s="154"/>
    </row>
    <row r="71" spans="1:29" s="155" customFormat="1" ht="15.75" customHeight="1" x14ac:dyDescent="0.2">
      <c r="A71" s="191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3"/>
      <c r="R71" s="194"/>
      <c r="S71" s="195"/>
      <c r="T71" s="196"/>
      <c r="U71" s="189"/>
      <c r="V71" s="189"/>
      <c r="W71" s="189"/>
      <c r="X71" s="189"/>
      <c r="Y71" s="189"/>
      <c r="Z71" s="189"/>
      <c r="AA71" s="189"/>
      <c r="AB71" s="189"/>
      <c r="AC71" s="154"/>
    </row>
  </sheetData>
  <mergeCells count="29">
    <mergeCell ref="U9:X9"/>
    <mergeCell ref="B56:D56"/>
    <mergeCell ref="B57:D57"/>
    <mergeCell ref="B59:D59"/>
    <mergeCell ref="G9:H9"/>
    <mergeCell ref="H10:K10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C52:D52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1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EME 0-14 CL2 BEROUD</vt:lpstr>
      <vt:lpstr>EME 0-14 CL2 GAUDIN</vt:lpstr>
      <vt:lpstr>BBME 0-10 CL3 GAUDIN</vt:lpstr>
      <vt:lpstr>GB 0-14 CL 3 SILLANS</vt:lpstr>
      <vt:lpstr>GB 0-14 CL 3 GAUDIN</vt:lpstr>
      <vt:lpstr>BBSG 0-10 CL3 GAUDIN</vt:lpstr>
      <vt:lpstr>BBSG 0-10 CL2</vt:lpstr>
      <vt:lpstr>'BBME 0-10 CL3 GAUDIN'!Zone_d_impression</vt:lpstr>
      <vt:lpstr>'BBSG 0-10 CL2'!Zone_d_impression</vt:lpstr>
      <vt:lpstr>'BBSG 0-10 CL3 GAUDIN'!Zone_d_impression</vt:lpstr>
      <vt:lpstr>'EME 0-14 CL2 BEROUD'!Zone_d_impression</vt:lpstr>
      <vt:lpstr>'EME 0-14 CL2 GAUDIN'!Zone_d_impression</vt:lpstr>
      <vt:lpstr>'GB 0-14 CL 3 GAUDIN'!Zone_d_impression</vt:lpstr>
      <vt:lpstr>'GB 0-14 CL 3 SILLANS'!Zone_d_impression</vt:lpstr>
    </vt:vector>
  </TitlesOfParts>
  <Company>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2006-07-17T09:14:58Z</cp:lastPrinted>
  <dcterms:created xsi:type="dcterms:W3CDTF">2004-11-13T18:13:05Z</dcterms:created>
  <dcterms:modified xsi:type="dcterms:W3CDTF">2016-11-24T13:11:57Z</dcterms:modified>
</cp:coreProperties>
</file>