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/>
  <workbookPr codeName="ThisWorkbook"/>
  <mc:AlternateContent xmlns:mc="http://schemas.openxmlformats.org/markup-compatibility/2006">
    <mc:Choice Requires="x15">
      <x15ac:absPath xmlns:x15ac="http://schemas.microsoft.com/office/spreadsheetml/2010/11/ac" url="S:\Labo\St Priest\Documents types\Comptes Rendus d'Essais\Terrassements\"/>
    </mc:Choice>
  </mc:AlternateContent>
  <xr:revisionPtr revIDLastSave="0" documentId="13_ncr:1_{FBED5DA8-AC6A-40AF-8A30-C8BB37D3B597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RE" sheetId="6" r:id="rId1"/>
    <sheet name="CRE INF SA" sheetId="5" r:id="rId2"/>
    <sheet name="CRE INF DA" sheetId="1" r:id="rId3"/>
  </sheets>
  <definedNames>
    <definedName name="_xlnm.Print_Area" localSheetId="0">CRE!$A$1:$Z$84</definedName>
    <definedName name="_xlnm.Print_Area" localSheetId="2">'CRE INF DA'!$A$1:$Z$78</definedName>
    <definedName name="_xlnm.Print_Area" localSheetId="1">'CRE INF SA'!$A$1:$Z$78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77" i="1" l="1"/>
  <c r="N29" i="1"/>
  <c r="R29" i="1" s="1"/>
  <c r="N30" i="1"/>
  <c r="R30" i="1" s="1"/>
  <c r="N31" i="1"/>
  <c r="R31" i="1" s="1"/>
  <c r="N32" i="1"/>
  <c r="R32" i="1" s="1"/>
  <c r="N33" i="1"/>
  <c r="N34" i="1"/>
  <c r="N35" i="1"/>
  <c r="R35" i="1" s="1"/>
  <c r="N36" i="1"/>
  <c r="R36" i="1" s="1"/>
  <c r="N37" i="1"/>
  <c r="N38" i="1"/>
  <c r="R38" i="1" s="1"/>
  <c r="N39" i="1"/>
  <c r="S65" i="1" s="1"/>
  <c r="N28" i="1"/>
  <c r="R28" i="1" s="1"/>
  <c r="B28" i="5"/>
  <c r="B29" i="5" s="1"/>
  <c r="B30" i="5" s="1"/>
  <c r="N28" i="5"/>
  <c r="B28" i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O77" i="5"/>
  <c r="AB39" i="5"/>
  <c r="AC39" i="5" s="1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R62" i="6" s="1"/>
  <c r="K63" i="6"/>
  <c r="K64" i="6"/>
  <c r="K65" i="6"/>
  <c r="R65" i="6" s="1"/>
  <c r="K66" i="6"/>
  <c r="R66" i="6" s="1"/>
  <c r="K67" i="6"/>
  <c r="R67" i="6" s="1"/>
  <c r="K68" i="6"/>
  <c r="R68" i="6" s="1"/>
  <c r="H72" i="6" s="1"/>
  <c r="H73" i="6" s="1"/>
  <c r="H74" i="6" s="1"/>
  <c r="K49" i="6"/>
  <c r="K48" i="6"/>
  <c r="K47" i="6"/>
  <c r="K46" i="6"/>
  <c r="K45" i="6"/>
  <c r="K44" i="6"/>
  <c r="K43" i="6"/>
  <c r="K42" i="6"/>
  <c r="K41" i="6"/>
  <c r="K40" i="6"/>
  <c r="K39" i="6"/>
  <c r="K38" i="6"/>
  <c r="K37" i="6"/>
  <c r="K36" i="6"/>
  <c r="K35" i="6"/>
  <c r="K34" i="6"/>
  <c r="K33" i="6"/>
  <c r="K32" i="6"/>
  <c r="K31" i="6"/>
  <c r="K30" i="6"/>
  <c r="K29" i="6"/>
  <c r="K28" i="6"/>
  <c r="R63" i="6"/>
  <c r="R64" i="6"/>
  <c r="T73" i="6"/>
  <c r="T74" i="6" s="1"/>
  <c r="Q73" i="6"/>
  <c r="Q74" i="6" s="1"/>
  <c r="N73" i="6"/>
  <c r="N74" i="6" s="1"/>
  <c r="K73" i="6"/>
  <c r="K74" i="6" s="1"/>
  <c r="X26" i="6"/>
  <c r="H71" i="6" s="1"/>
  <c r="X38" i="6"/>
  <c r="AB65" i="6" s="1"/>
  <c r="AB61" i="6"/>
  <c r="AB60" i="6"/>
  <c r="AB59" i="6"/>
  <c r="AB58" i="6"/>
  <c r="AD58" i="6" s="1"/>
  <c r="AB57" i="6"/>
  <c r="AD57" i="6" s="1"/>
  <c r="AB56" i="6"/>
  <c r="AC56" i="6" s="1"/>
  <c r="AB55" i="6"/>
  <c r="AD55" i="6" s="1"/>
  <c r="AB54" i="6"/>
  <c r="AD54" i="6" s="1"/>
  <c r="AB53" i="6"/>
  <c r="AD53" i="6" s="1"/>
  <c r="AB52" i="6"/>
  <c r="AC52" i="6" s="1"/>
  <c r="AB51" i="6"/>
  <c r="AB50" i="6"/>
  <c r="AC50" i="6" s="1"/>
  <c r="AB49" i="6"/>
  <c r="AD49" i="6" s="1"/>
  <c r="AB48" i="6"/>
  <c r="AB47" i="6"/>
  <c r="AB46" i="6"/>
  <c r="AC46" i="6" s="1"/>
  <c r="AB45" i="6"/>
  <c r="AD45" i="6" s="1"/>
  <c r="AB44" i="6"/>
  <c r="AB43" i="6"/>
  <c r="AB42" i="6"/>
  <c r="AC42" i="6" s="1"/>
  <c r="AB41" i="6"/>
  <c r="AD41" i="6" s="1"/>
  <c r="AB40" i="6"/>
  <c r="AB39" i="6"/>
  <c r="AB38" i="6"/>
  <c r="AD38" i="6" s="1"/>
  <c r="AB37" i="6"/>
  <c r="AD37" i="6" s="1"/>
  <c r="AB36" i="6"/>
  <c r="AB35" i="6"/>
  <c r="AB34" i="6"/>
  <c r="AC34" i="6" s="1"/>
  <c r="AB33" i="6"/>
  <c r="AD33" i="6" s="1"/>
  <c r="AB32" i="6"/>
  <c r="AC32" i="6" s="1"/>
  <c r="AB31" i="6"/>
  <c r="AB30" i="6"/>
  <c r="AC30" i="6" s="1"/>
  <c r="AB29" i="6"/>
  <c r="AC29" i="6" s="1"/>
  <c r="AB28" i="6"/>
  <c r="AB39" i="1"/>
  <c r="AC39" i="1" s="1"/>
  <c r="AB38" i="1"/>
  <c r="AD38" i="1" s="1"/>
  <c r="AB37" i="1"/>
  <c r="AC37" i="1" s="1"/>
  <c r="AB36" i="1"/>
  <c r="AC36" i="1" s="1"/>
  <c r="AB35" i="1"/>
  <c r="AD35" i="1" s="1"/>
  <c r="AB34" i="1"/>
  <c r="AB33" i="1"/>
  <c r="AC33" i="1" s="1"/>
  <c r="AB32" i="1"/>
  <c r="AC32" i="1" s="1"/>
  <c r="AB31" i="1"/>
  <c r="AC31" i="1" s="1"/>
  <c r="AB30" i="1"/>
  <c r="AC30" i="1" s="1"/>
  <c r="AB29" i="1"/>
  <c r="AC29" i="1" s="1"/>
  <c r="AB28" i="1"/>
  <c r="AC28" i="1" s="1"/>
  <c r="AB38" i="5"/>
  <c r="AC38" i="5" s="1"/>
  <c r="AB37" i="5"/>
  <c r="AD37" i="5" s="1"/>
  <c r="AB36" i="5"/>
  <c r="AC36" i="5" s="1"/>
  <c r="AB35" i="5"/>
  <c r="AC35" i="5" s="1"/>
  <c r="AB34" i="5"/>
  <c r="AC34" i="5" s="1"/>
  <c r="AB33" i="5"/>
  <c r="AC33" i="5" s="1"/>
  <c r="AB32" i="5"/>
  <c r="AC32" i="5" s="1"/>
  <c r="AB31" i="5"/>
  <c r="AC31" i="5" s="1"/>
  <c r="AB30" i="5"/>
  <c r="AC30" i="5" s="1"/>
  <c r="AB29" i="5"/>
  <c r="AD29" i="5" s="1"/>
  <c r="AB28" i="5"/>
  <c r="AC28" i="5" s="1"/>
  <c r="Z15" i="5"/>
  <c r="R33" i="1"/>
  <c r="R34" i="1"/>
  <c r="R37" i="1"/>
  <c r="Z15" i="1"/>
  <c r="AD31" i="1"/>
  <c r="AD32" i="1"/>
  <c r="AD33" i="1"/>
  <c r="AC38" i="6" l="1"/>
  <c r="AE38" i="6" s="1"/>
  <c r="R38" i="6" s="1"/>
  <c r="AC58" i="6"/>
  <c r="AE58" i="6" s="1"/>
  <c r="R58" i="6" s="1"/>
  <c r="AD50" i="6"/>
  <c r="AE50" i="6" s="1"/>
  <c r="R50" i="6" s="1"/>
  <c r="AC55" i="6"/>
  <c r="AD29" i="6"/>
  <c r="AE29" i="6" s="1"/>
  <c r="R29" i="6" s="1"/>
  <c r="AD42" i="6"/>
  <c r="AC57" i="6"/>
  <c r="AE57" i="6" s="1"/>
  <c r="R57" i="6" s="1"/>
  <c r="AC49" i="6"/>
  <c r="AC54" i="6"/>
  <c r="AE54" i="6" s="1"/>
  <c r="R54" i="6" s="1"/>
  <c r="E26" i="6"/>
  <c r="AD35" i="5"/>
  <c r="AE35" i="5" s="1"/>
  <c r="AD29" i="1"/>
  <c r="AD28" i="1"/>
  <c r="AE31" i="1"/>
  <c r="AD37" i="1"/>
  <c r="AE29" i="1"/>
  <c r="AC35" i="1"/>
  <c r="AE35" i="1" s="1"/>
  <c r="AD39" i="1"/>
  <c r="AE39" i="1" s="1"/>
  <c r="AE37" i="1"/>
  <c r="AD36" i="1"/>
  <c r="AE36" i="1" s="1"/>
  <c r="AE28" i="1"/>
  <c r="AC45" i="6"/>
  <c r="AE55" i="6"/>
  <c r="R55" i="6" s="1"/>
  <c r="AC60" i="6"/>
  <c r="AE33" i="1"/>
  <c r="AD52" i="6"/>
  <c r="AE52" i="6" s="1"/>
  <c r="R52" i="6" s="1"/>
  <c r="AD60" i="6"/>
  <c r="AD46" i="6"/>
  <c r="AC53" i="6"/>
  <c r="AE53" i="6" s="1"/>
  <c r="R53" i="6" s="1"/>
  <c r="AC61" i="6"/>
  <c r="AD61" i="6"/>
  <c r="AC51" i="6"/>
  <c r="AE51" i="6" s="1"/>
  <c r="R51" i="6" s="1"/>
  <c r="AD56" i="6"/>
  <c r="AE56" i="6" s="1"/>
  <c r="R56" i="6" s="1"/>
  <c r="AC59" i="6"/>
  <c r="AE59" i="6" s="1"/>
  <c r="R59" i="6" s="1"/>
  <c r="AE32" i="1"/>
  <c r="AD51" i="6"/>
  <c r="AD59" i="6"/>
  <c r="B31" i="5"/>
  <c r="N30" i="5"/>
  <c r="N29" i="5"/>
  <c r="AC37" i="5"/>
  <c r="AD33" i="5"/>
  <c r="AE33" i="5" s="1"/>
  <c r="AD39" i="5"/>
  <c r="AE39" i="5" s="1"/>
  <c r="AC29" i="5"/>
  <c r="AE29" i="5" s="1"/>
  <c r="AD32" i="5"/>
  <c r="AE32" i="5" s="1"/>
  <c r="AD36" i="5"/>
  <c r="AE36" i="5" s="1"/>
  <c r="AD28" i="5"/>
  <c r="AE28" i="5" s="1"/>
  <c r="R28" i="5" s="1"/>
  <c r="AE37" i="5"/>
  <c r="AD31" i="5"/>
  <c r="AE31" i="5" s="1"/>
  <c r="AD34" i="6"/>
  <c r="AE34" i="6" s="1"/>
  <c r="R34" i="6" s="1"/>
  <c r="AC37" i="6"/>
  <c r="AC41" i="6"/>
  <c r="AE41" i="6" s="1"/>
  <c r="R41" i="6" s="1"/>
  <c r="AD30" i="6"/>
  <c r="AC33" i="6"/>
  <c r="AE33" i="6" s="1"/>
  <c r="R33" i="6" s="1"/>
  <c r="AC36" i="6"/>
  <c r="AC44" i="6"/>
  <c r="AC48" i="6"/>
  <c r="AD31" i="6"/>
  <c r="AD35" i="6"/>
  <c r="AE37" i="6"/>
  <c r="R37" i="6" s="1"/>
  <c r="AD39" i="6"/>
  <c r="AD43" i="6"/>
  <c r="AE45" i="6"/>
  <c r="R45" i="6" s="1"/>
  <c r="AD47" i="6"/>
  <c r="AE49" i="6"/>
  <c r="R49" i="6" s="1"/>
  <c r="AC28" i="6"/>
  <c r="AC40" i="6"/>
  <c r="AD28" i="6"/>
  <c r="AE28" i="6" s="1"/>
  <c r="R28" i="6" s="1"/>
  <c r="AE30" i="6"/>
  <c r="R30" i="6" s="1"/>
  <c r="AC31" i="6"/>
  <c r="AE31" i="6" s="1"/>
  <c r="R31" i="6" s="1"/>
  <c r="AD32" i="6"/>
  <c r="AE32" i="6" s="1"/>
  <c r="R32" i="6" s="1"/>
  <c r="AC35" i="6"/>
  <c r="AD36" i="6"/>
  <c r="AC39" i="6"/>
  <c r="AD40" i="6"/>
  <c r="AE42" i="6"/>
  <c r="R42" i="6" s="1"/>
  <c r="AC43" i="6"/>
  <c r="AE43" i="6" s="1"/>
  <c r="R43" i="6" s="1"/>
  <c r="AD44" i="6"/>
  <c r="AE46" i="6"/>
  <c r="R46" i="6" s="1"/>
  <c r="AC47" i="6"/>
  <c r="AD48" i="6"/>
  <c r="AD34" i="1"/>
  <c r="AD30" i="1"/>
  <c r="AE30" i="1" s="1"/>
  <c r="AD38" i="5"/>
  <c r="AE38" i="5" s="1"/>
  <c r="AD34" i="5"/>
  <c r="AE34" i="5" s="1"/>
  <c r="AD30" i="5"/>
  <c r="AE30" i="5" s="1"/>
  <c r="R30" i="5" s="1"/>
  <c r="R39" i="1"/>
  <c r="S67" i="1" s="1"/>
  <c r="L76" i="1" s="1"/>
  <c r="AC34" i="1"/>
  <c r="AC38" i="1"/>
  <c r="AE38" i="1" s="1"/>
  <c r="AE61" i="6" l="1"/>
  <c r="R61" i="6" s="1"/>
  <c r="AE60" i="6"/>
  <c r="R60" i="6" s="1"/>
  <c r="AE47" i="6"/>
  <c r="R47" i="6" s="1"/>
  <c r="AE44" i="6"/>
  <c r="R44" i="6" s="1"/>
  <c r="AE36" i="6"/>
  <c r="R36" i="6" s="1"/>
  <c r="AE39" i="6"/>
  <c r="R39" i="6" s="1"/>
  <c r="R29" i="5"/>
  <c r="AE34" i="1"/>
  <c r="AE40" i="6"/>
  <c r="R40" i="6" s="1"/>
  <c r="B32" i="5"/>
  <c r="N31" i="5"/>
  <c r="R31" i="5" s="1"/>
  <c r="AE48" i="6"/>
  <c r="R48" i="6" s="1"/>
  <c r="AE35" i="6"/>
  <c r="R35" i="6" s="1"/>
  <c r="B33" i="5" l="1"/>
  <c r="N32" i="5"/>
  <c r="R32" i="5" s="1"/>
  <c r="B34" i="5" l="1"/>
  <c r="N33" i="5"/>
  <c r="R33" i="5" s="1"/>
  <c r="B35" i="5" l="1"/>
  <c r="N34" i="5"/>
  <c r="R34" i="5" s="1"/>
  <c r="B36" i="5" l="1"/>
  <c r="N35" i="5"/>
  <c r="R35" i="5" s="1"/>
  <c r="B37" i="5" l="1"/>
  <c r="N36" i="5"/>
  <c r="R36" i="5" s="1"/>
  <c r="B38" i="5" l="1"/>
  <c r="N37" i="5"/>
  <c r="R37" i="5" s="1"/>
  <c r="B39" i="5" l="1"/>
  <c r="N39" i="5" s="1"/>
  <c r="N38" i="5"/>
  <c r="R38" i="5" s="1"/>
  <c r="S65" i="5" l="1"/>
  <c r="R39" i="5"/>
  <c r="S67" i="5" s="1"/>
  <c r="L76" i="5" s="1"/>
</calcChain>
</file>

<file path=xl/sharedStrings.xml><?xml version="1.0" encoding="utf-8"?>
<sst xmlns="http://schemas.openxmlformats.org/spreadsheetml/2006/main" count="175" uniqueCount="89">
  <si>
    <t>RENSEIGNEMENTS GENERAUX</t>
  </si>
  <si>
    <t>1/</t>
  </si>
  <si>
    <t>2/</t>
  </si>
  <si>
    <t>3/</t>
  </si>
  <si>
    <t>5/</t>
  </si>
  <si>
    <t>4/</t>
  </si>
  <si>
    <t>COMMENTAIRES</t>
  </si>
  <si>
    <t>Date de(s) essai(s) :</t>
  </si>
  <si>
    <t>Opérateur :</t>
  </si>
  <si>
    <t>Laboratoire :</t>
  </si>
  <si>
    <t>Nom</t>
  </si>
  <si>
    <t>Visa</t>
  </si>
  <si>
    <t>CRITERES DE CONFORMITE</t>
  </si>
  <si>
    <t>Source des critères :</t>
  </si>
  <si>
    <t>Définition des critères / objectifs :</t>
  </si>
  <si>
    <t>6/</t>
  </si>
  <si>
    <t>CONCLUSIONS</t>
  </si>
  <si>
    <t>Région Rhône Alpes - 29-31 rue des Tâches - ZI Mi-Plaine - 69800 SAINT PRIEST</t>
  </si>
  <si>
    <t>Mode de mise en place des anneaux  :</t>
  </si>
  <si>
    <t>Collage</t>
  </si>
  <si>
    <t>Vérinage</t>
  </si>
  <si>
    <t>Battage</t>
  </si>
  <si>
    <t xml:space="preserve">Nature du sol : </t>
  </si>
  <si>
    <t xml:space="preserve">Condition météorologiques : </t>
  </si>
  <si>
    <t>MESURES</t>
  </si>
  <si>
    <t>K direct (m/s)</t>
  </si>
  <si>
    <t>K corrigé (m/s)</t>
  </si>
  <si>
    <t>Mesures</t>
  </si>
  <si>
    <t>lecture (mm)</t>
  </si>
  <si>
    <t>Température (°C)</t>
  </si>
  <si>
    <t xml:space="preserve">Section d'infiltration du dispositif : </t>
  </si>
  <si>
    <t xml:space="preserve">Section d'essai du dispositif : </t>
  </si>
  <si>
    <t>cm²</t>
  </si>
  <si>
    <t xml:space="preserve">RESULTATS </t>
  </si>
  <si>
    <t>Valeur du coefficient de perméabilité K direct :</t>
  </si>
  <si>
    <t>Valeur du coefficient de perméabilité K corrigé à 20°C :</t>
  </si>
  <si>
    <t>Ouvrage contrôlé :</t>
  </si>
  <si>
    <t>m/s</t>
  </si>
  <si>
    <t>Le coefficient de perméabilité mesuré est de :</t>
  </si>
  <si>
    <t>COMPTE RENDU D'ESSAIS</t>
  </si>
  <si>
    <t>INF</t>
  </si>
  <si>
    <t>n°</t>
  </si>
  <si>
    <t>Chrono</t>
  </si>
  <si>
    <t>N° d'affaire</t>
  </si>
  <si>
    <t>Date de rédaction</t>
  </si>
  <si>
    <t>Temps (s)</t>
  </si>
  <si>
    <t>Gradient Hydraulique :</t>
  </si>
  <si>
    <t>Hauteur de charge :</t>
  </si>
  <si>
    <t>Epaisseur d'infiltration :</t>
  </si>
  <si>
    <t>Correction de température :</t>
  </si>
  <si>
    <t>Coefficient de perméabilité mesuré : Kcorrigé20°C / Gradient hydraulique</t>
  </si>
  <si>
    <t>Température extérieur :</t>
  </si>
  <si>
    <t>°C</t>
  </si>
  <si>
    <t>Temps de saturation du sol :</t>
  </si>
  <si>
    <t>Teneur en eau du sol :</t>
  </si>
  <si>
    <t>Valeur de la vitesse d'infiltration K direct :</t>
  </si>
  <si>
    <t>Références Proctor :</t>
  </si>
  <si>
    <t>Densité :</t>
  </si>
  <si>
    <t>Teneur en eau :</t>
  </si>
  <si>
    <t>Mode de forage :</t>
  </si>
  <si>
    <t>Diamètre de forage :</t>
  </si>
  <si>
    <t>mm</t>
  </si>
  <si>
    <t>Epaisseur :</t>
  </si>
  <si>
    <t>Temps
(s)</t>
  </si>
  <si>
    <t>Lecture
(mm)</t>
  </si>
  <si>
    <t>Charge
(m)</t>
  </si>
  <si>
    <t>Température
(°C)</t>
  </si>
  <si>
    <t>Charge H =
(cm)</t>
  </si>
  <si>
    <t>Ht =
(cm)</t>
  </si>
  <si>
    <t>Htot =
(cm)</t>
  </si>
  <si>
    <t>Hb =
(cm)</t>
  </si>
  <si>
    <t>Hc =
(cm)</t>
  </si>
  <si>
    <t>Charge :</t>
  </si>
  <si>
    <t>Coefficient de perméabilité k (m/s) :</t>
  </si>
  <si>
    <t>PERMEABILITE A CHARGE CONSTANTE EN FORAGE
 à charge constante (NF X 30-424 de juin 2013)</t>
  </si>
  <si>
    <t>Charge H (m)</t>
  </si>
  <si>
    <t>Ht</t>
  </si>
  <si>
    <t>Hb</t>
  </si>
  <si>
    <t>Hc</t>
  </si>
  <si>
    <t>Htot</t>
  </si>
  <si>
    <t>INFILTROMETRE A SIMPLE ANNEAU FERME à charge constante - NF X 30-420 de septembre 2012</t>
  </si>
  <si>
    <t>INFILTROMETRE A DOUBLE ANNEAU OUVERT 
NF X 30-418 de septembre 2012</t>
  </si>
  <si>
    <r>
      <t>Débit Q
(m</t>
    </r>
    <r>
      <rPr>
        <b/>
        <vertAlign val="superscript"/>
        <sz val="10"/>
        <rFont val="Century Gothic"/>
        <family val="2"/>
      </rPr>
      <t>3</t>
    </r>
    <r>
      <rPr>
        <b/>
        <sz val="10"/>
        <rFont val="Century Gothic"/>
        <family val="2"/>
      </rPr>
      <t>/s)</t>
    </r>
  </si>
  <si>
    <r>
      <t>Débit corrigé Q</t>
    </r>
    <r>
      <rPr>
        <b/>
        <vertAlign val="subscript"/>
        <sz val="10"/>
        <rFont val="Century Gothic"/>
        <family val="2"/>
      </rPr>
      <t>20</t>
    </r>
    <r>
      <rPr>
        <b/>
        <sz val="10"/>
        <rFont val="Century Gothic"/>
        <family val="2"/>
      </rPr>
      <t xml:space="preserve">
(m</t>
    </r>
    <r>
      <rPr>
        <b/>
        <vertAlign val="superscript"/>
        <sz val="10"/>
        <rFont val="Century Gothic"/>
        <family val="2"/>
      </rPr>
      <t>3</t>
    </r>
    <r>
      <rPr>
        <b/>
        <sz val="10"/>
        <rFont val="Century Gothic"/>
        <family val="2"/>
      </rPr>
      <t>/s)</t>
    </r>
  </si>
  <si>
    <r>
      <t>Débit final Q</t>
    </r>
    <r>
      <rPr>
        <vertAlign val="subscript"/>
        <sz val="10"/>
        <rFont val="Century Gothic"/>
        <family val="2"/>
      </rPr>
      <t>20 :</t>
    </r>
  </si>
  <si>
    <t>Kdirect x (ƞT/ƞ20)</t>
  </si>
  <si>
    <t>Contrôle :</t>
  </si>
  <si>
    <r>
      <t>Valeur de la vitesse d'infiltration K</t>
    </r>
    <r>
      <rPr>
        <vertAlign val="subscript"/>
        <sz val="11"/>
        <rFont val="Century Gothic"/>
        <family val="2"/>
      </rPr>
      <t>C20</t>
    </r>
    <r>
      <rPr>
        <sz val="11"/>
        <rFont val="Century Gothic"/>
        <family val="2"/>
      </rPr>
      <t xml:space="preserve"> corrigé à 20°C :</t>
    </r>
  </si>
  <si>
    <r>
      <t>Coefficient de perméabilité mesuré : K</t>
    </r>
    <r>
      <rPr>
        <vertAlign val="subscript"/>
        <sz val="11"/>
        <rFont val="Century Gothic"/>
        <family val="2"/>
      </rPr>
      <t>C20</t>
    </r>
    <r>
      <rPr>
        <sz val="11"/>
        <rFont val="Century Gothic"/>
        <family val="2"/>
      </rPr>
      <t xml:space="preserve"> / Gradient hydraulique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</si>
</sst>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E+00"/>
    <numFmt numFmtId="167" formatCode="00"/>
    <numFmt numFmtId="168" formatCode="0E+00"/>
  </numFmts>
  <fonts count="2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color rgb="FF000000"/>
      <name val="Tahoma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  <font>
      <u/>
      <sz val="10"/>
      <name val="Century Gothic"/>
      <family val="2"/>
    </font>
    <font>
      <b/>
      <vertAlign val="superscript"/>
      <sz val="10"/>
      <name val="Century Gothic"/>
      <family val="2"/>
    </font>
    <font>
      <b/>
      <vertAlign val="subscript"/>
      <sz val="10"/>
      <name val="Century Gothic"/>
      <family val="2"/>
    </font>
    <font>
      <i/>
      <sz val="10"/>
      <name val="Century Gothic"/>
      <family val="2"/>
    </font>
    <font>
      <vertAlign val="subscript"/>
      <sz val="10"/>
      <name val="Century Gothic"/>
      <family val="2"/>
    </font>
    <font>
      <sz val="11"/>
      <name val="Century Gothic"/>
      <family val="2"/>
    </font>
    <font>
      <sz val="14"/>
      <name val="Century Gothic"/>
      <family val="2"/>
    </font>
    <font>
      <sz val="11"/>
      <color indexed="9"/>
      <name val="Century Gothic"/>
      <family val="2"/>
    </font>
    <font>
      <vertAlign val="subscript"/>
      <sz val="11"/>
      <name val="Century Gothic"/>
      <family val="2"/>
    </font>
  </fonts>
  <fills count="2">
    <fill>
      <patternFill patternType="none"/>
    </fill>
    <fill>
      <patternFill patternType="gray125"/>
    </fill>
  </fills>
  <borders count="4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454">
    <xf numFmtId="0" fontId="0" fillId="0" borderId="0" xfId="0"/>
    <xf numFmtId="0" fontId="4" fillId="0" borderId="0" xfId="1" applyFont="1" applyFill="1" applyAlignment="1" applyProtection="1">
      <alignment vertical="center"/>
      <protection hidden="1"/>
    </xf>
    <xf numFmtId="0" fontId="4" fillId="0" borderId="0" xfId="1" applyFont="1" applyFill="1" applyBorder="1" applyAlignment="1" applyProtection="1">
      <alignment horizontal="right" vertical="center"/>
      <protection hidden="1"/>
    </xf>
    <xf numFmtId="0" fontId="4" fillId="0" borderId="6" xfId="1" applyFont="1" applyFill="1" applyBorder="1" applyAlignment="1" applyProtection="1">
      <alignment vertical="center"/>
      <protection hidden="1"/>
    </xf>
    <xf numFmtId="0" fontId="4" fillId="0" borderId="7" xfId="1" applyFont="1" applyFill="1" applyBorder="1" applyAlignment="1" applyProtection="1">
      <alignment vertical="center"/>
      <protection hidden="1"/>
    </xf>
    <xf numFmtId="0" fontId="7" fillId="0" borderId="1" xfId="1" applyFont="1" applyFill="1" applyBorder="1" applyAlignment="1" applyProtection="1">
      <alignment horizontal="center" vertical="center"/>
      <protection hidden="1"/>
    </xf>
    <xf numFmtId="0" fontId="10" fillId="0" borderId="2" xfId="1" applyFont="1" applyFill="1" applyBorder="1" applyAlignment="1" applyProtection="1">
      <alignment vertical="center"/>
      <protection hidden="1"/>
    </xf>
    <xf numFmtId="0" fontId="4" fillId="0" borderId="2" xfId="1" applyFont="1" applyFill="1" applyBorder="1" applyAlignment="1" applyProtection="1">
      <alignment vertical="center"/>
      <protection hidden="1"/>
    </xf>
    <xf numFmtId="0" fontId="4" fillId="0" borderId="2" xfId="1" applyFont="1" applyFill="1" applyBorder="1" applyAlignment="1" applyProtection="1">
      <alignment horizontal="center" vertical="center"/>
      <protection hidden="1"/>
    </xf>
    <xf numFmtId="0" fontId="4" fillId="0" borderId="10" xfId="1" applyFont="1" applyFill="1" applyBorder="1" applyAlignment="1" applyProtection="1">
      <alignment vertical="center"/>
      <protection hidden="1"/>
    </xf>
    <xf numFmtId="0" fontId="4" fillId="0" borderId="5" xfId="1" applyFont="1" applyFill="1" applyBorder="1" applyAlignment="1" applyProtection="1">
      <alignment horizontal="center" vertical="center"/>
      <protection hidden="1"/>
    </xf>
    <xf numFmtId="0" fontId="4" fillId="0" borderId="0" xfId="1" applyFont="1" applyFill="1" applyBorder="1" applyAlignment="1" applyProtection="1">
      <alignment vertical="center"/>
      <protection hidden="1"/>
    </xf>
    <xf numFmtId="0" fontId="4" fillId="0" borderId="0" xfId="1" applyFont="1" applyFill="1" applyBorder="1" applyAlignment="1" applyProtection="1">
      <alignment horizontal="center" vertical="center"/>
      <protection hidden="1"/>
    </xf>
    <xf numFmtId="0" fontId="4" fillId="0" borderId="8" xfId="1" applyFont="1" applyFill="1" applyBorder="1" applyAlignment="1" applyProtection="1">
      <alignment vertical="center"/>
      <protection hidden="1"/>
    </xf>
    <xf numFmtId="0" fontId="9" fillId="0" borderId="8" xfId="1" applyFont="1" applyFill="1" applyBorder="1" applyAlignment="1" applyProtection="1">
      <alignment vertical="center"/>
      <protection hidden="1"/>
    </xf>
    <xf numFmtId="0" fontId="9" fillId="0" borderId="8" xfId="1" applyFont="1" applyFill="1" applyBorder="1" applyAlignment="1" applyProtection="1">
      <alignment horizontal="left" vertical="center"/>
      <protection hidden="1"/>
    </xf>
    <xf numFmtId="0" fontId="4" fillId="0" borderId="6" xfId="1" applyFont="1" applyFill="1" applyBorder="1" applyAlignment="1" applyProtection="1">
      <alignment horizontal="center" vertical="center"/>
      <protection hidden="1"/>
    </xf>
    <xf numFmtId="0" fontId="4" fillId="0" borderId="9" xfId="1" applyFont="1" applyFill="1" applyBorder="1" applyAlignment="1" applyProtection="1">
      <alignment vertical="center"/>
      <protection hidden="1"/>
    </xf>
    <xf numFmtId="0" fontId="4" fillId="0" borderId="0" xfId="1" applyFont="1" applyFill="1" applyProtection="1">
      <protection hidden="1"/>
    </xf>
    <xf numFmtId="0" fontId="11" fillId="0" borderId="0" xfId="1" applyFont="1" applyFill="1" applyAlignment="1" applyProtection="1">
      <alignment horizontal="right"/>
      <protection hidden="1"/>
    </xf>
    <xf numFmtId="0" fontId="10" fillId="0" borderId="0" xfId="1" applyFont="1" applyFill="1" applyAlignment="1" applyProtection="1">
      <alignment horizontal="right"/>
      <protection hidden="1"/>
    </xf>
    <xf numFmtId="14" fontId="12" fillId="0" borderId="0" xfId="1" applyNumberFormat="1" applyFont="1" applyFill="1" applyAlignment="1" applyProtection="1">
      <alignment horizontal="center"/>
      <protection hidden="1"/>
    </xf>
    <xf numFmtId="0" fontId="10" fillId="0" borderId="2" xfId="1" applyFont="1" applyFill="1" applyBorder="1" applyAlignment="1" applyProtection="1">
      <protection hidden="1"/>
    </xf>
    <xf numFmtId="0" fontId="4" fillId="0" borderId="2" xfId="1" applyFont="1" applyFill="1" applyBorder="1" applyProtection="1">
      <protection hidden="1"/>
    </xf>
    <xf numFmtId="0" fontId="4" fillId="0" borderId="10" xfId="1" applyFont="1" applyFill="1" applyBorder="1" applyProtection="1">
      <protection hidden="1"/>
    </xf>
    <xf numFmtId="0" fontId="4" fillId="0" borderId="5" xfId="1" applyFont="1" applyFill="1" applyBorder="1" applyProtection="1">
      <protection hidden="1"/>
    </xf>
    <xf numFmtId="0" fontId="7" fillId="0" borderId="0" xfId="1" applyFont="1" applyFill="1" applyBorder="1" applyAlignment="1" applyProtection="1">
      <protection hidden="1"/>
    </xf>
    <xf numFmtId="0" fontId="4" fillId="0" borderId="0" xfId="1" applyFont="1" applyFill="1" applyBorder="1" applyProtection="1">
      <protection hidden="1"/>
    </xf>
    <xf numFmtId="0" fontId="4" fillId="0" borderId="8" xfId="1" applyFont="1" applyFill="1" applyBorder="1" applyProtection="1">
      <protection hidden="1"/>
    </xf>
    <xf numFmtId="0" fontId="9" fillId="0" borderId="8" xfId="1" applyFont="1" applyFill="1" applyBorder="1" applyAlignment="1" applyProtection="1">
      <protection hidden="1"/>
    </xf>
    <xf numFmtId="0" fontId="4" fillId="0" borderId="6" xfId="1" applyFont="1" applyFill="1" applyBorder="1" applyProtection="1">
      <protection hidden="1"/>
    </xf>
    <xf numFmtId="0" fontId="9" fillId="0" borderId="9" xfId="1" applyFont="1" applyFill="1" applyBorder="1" applyAlignment="1" applyProtection="1">
      <alignment horizontal="left"/>
      <protection hidden="1"/>
    </xf>
    <xf numFmtId="0" fontId="4" fillId="0" borderId="0" xfId="1" applyFont="1" applyFill="1" applyBorder="1" applyAlignment="1" applyProtection="1">
      <alignment horizontal="left" vertical="center"/>
      <protection hidden="1"/>
    </xf>
    <xf numFmtId="0" fontId="13" fillId="0" borderId="2" xfId="1" applyFont="1" applyFill="1" applyBorder="1" applyAlignment="1" applyProtection="1">
      <alignment vertical="center"/>
      <protection hidden="1"/>
    </xf>
    <xf numFmtId="0" fontId="13" fillId="0" borderId="2" xfId="1" applyFont="1" applyFill="1" applyBorder="1" applyAlignment="1" applyProtection="1">
      <alignment horizontal="center" vertical="center"/>
      <protection hidden="1"/>
    </xf>
    <xf numFmtId="0" fontId="5" fillId="0" borderId="0" xfId="1" applyFont="1" applyFill="1" applyBorder="1" applyAlignment="1" applyProtection="1">
      <alignment vertical="center"/>
      <protection hidden="1"/>
    </xf>
    <xf numFmtId="0" fontId="4" fillId="0" borderId="38" xfId="1" applyFont="1" applyFill="1" applyBorder="1" applyAlignment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4" fontId="4" fillId="0" borderId="0" xfId="0" applyNumberFormat="1" applyFont="1" applyFill="1" applyBorder="1" applyAlignment="1" applyProtection="1">
      <alignment horizontal="center" vertical="center"/>
      <protection hidden="1"/>
    </xf>
    <xf numFmtId="0" fontId="7" fillId="0" borderId="8" xfId="1" applyFont="1" applyFill="1" applyBorder="1" applyAlignment="1" applyProtection="1">
      <alignment horizontal="center" vertical="center"/>
      <protection hidden="1"/>
    </xf>
    <xf numFmtId="0" fontId="4" fillId="0" borderId="8" xfId="1" applyFont="1" applyBorder="1" applyProtection="1">
      <protection hidden="1"/>
    </xf>
    <xf numFmtId="0" fontId="7" fillId="0" borderId="5" xfId="1" applyFont="1" applyFill="1" applyBorder="1" applyAlignment="1" applyProtection="1">
      <alignment vertical="center" textRotation="90" wrapText="1"/>
      <protection hidden="1"/>
    </xf>
    <xf numFmtId="0" fontId="4" fillId="0" borderId="5" xfId="1" applyFont="1" applyBorder="1" applyAlignment="1" applyProtection="1">
      <alignment vertical="center" textRotation="90" wrapText="1"/>
      <protection hidden="1"/>
    </xf>
    <xf numFmtId="0" fontId="7" fillId="0" borderId="5" xfId="1" applyFont="1" applyFill="1" applyBorder="1" applyAlignment="1" applyProtection="1">
      <alignment horizontal="center" vertical="center"/>
      <protection hidden="1"/>
    </xf>
    <xf numFmtId="0" fontId="7" fillId="0" borderId="0" xfId="1" applyFont="1" applyFill="1" applyBorder="1" applyAlignment="1" applyProtection="1">
      <alignment horizontal="center" vertical="center"/>
      <protection hidden="1"/>
    </xf>
    <xf numFmtId="0" fontId="16" fillId="0" borderId="5" xfId="1" applyFont="1" applyFill="1" applyBorder="1" applyAlignment="1" applyProtection="1">
      <alignment horizontal="center" vertical="center"/>
      <protection hidden="1"/>
    </xf>
    <xf numFmtId="0" fontId="13" fillId="0" borderId="8" xfId="1" applyFont="1" applyFill="1" applyBorder="1" applyAlignment="1" applyProtection="1">
      <alignment vertical="center"/>
      <protection hidden="1"/>
    </xf>
    <xf numFmtId="0" fontId="16" fillId="0" borderId="5" xfId="1" quotePrefix="1" applyFont="1" applyFill="1" applyBorder="1" applyAlignment="1" applyProtection="1">
      <alignment horizontal="center" vertical="center"/>
      <protection hidden="1"/>
    </xf>
    <xf numFmtId="0" fontId="4" fillId="0" borderId="23" xfId="1" applyFont="1" applyFill="1" applyBorder="1" applyAlignment="1" applyProtection="1">
      <alignment vertical="center"/>
      <protection locked="0"/>
    </xf>
    <xf numFmtId="0" fontId="4" fillId="0" borderId="24" xfId="1" applyFont="1" applyFill="1" applyBorder="1" applyAlignment="1" applyProtection="1">
      <alignment vertical="center"/>
      <protection locked="0"/>
    </xf>
    <xf numFmtId="0" fontId="4" fillId="0" borderId="25" xfId="1" applyFont="1" applyFill="1" applyBorder="1" applyAlignment="1" applyProtection="1">
      <alignment vertical="center"/>
      <protection locked="0"/>
    </xf>
    <xf numFmtId="0" fontId="4" fillId="0" borderId="28" xfId="1" applyFont="1" applyFill="1" applyBorder="1" applyAlignment="1" applyProtection="1">
      <alignment vertical="center"/>
      <protection locked="0"/>
    </xf>
    <xf numFmtId="0" fontId="4" fillId="0" borderId="28" xfId="1" applyFont="1" applyFill="1" applyBorder="1" applyAlignment="1" applyProtection="1">
      <alignment vertical="center"/>
      <protection hidden="1"/>
    </xf>
    <xf numFmtId="0" fontId="4" fillId="0" borderId="24" xfId="1" applyFont="1" applyFill="1" applyBorder="1" applyAlignment="1" applyProtection="1">
      <alignment vertical="center"/>
      <protection hidden="1"/>
    </xf>
    <xf numFmtId="0" fontId="4" fillId="0" borderId="25" xfId="1" applyFont="1" applyFill="1" applyBorder="1" applyAlignment="1" applyProtection="1">
      <alignment vertical="center"/>
      <protection hidden="1"/>
    </xf>
    <xf numFmtId="0" fontId="4" fillId="0" borderId="29" xfId="1" applyFont="1" applyFill="1" applyBorder="1" applyAlignment="1" applyProtection="1">
      <alignment vertical="center"/>
      <protection hidden="1"/>
    </xf>
    <xf numFmtId="0" fontId="4" fillId="0" borderId="0" xfId="1" applyFont="1" applyFill="1" applyBorder="1" applyAlignment="1" applyProtection="1">
      <alignment vertical="center"/>
      <protection locked="0"/>
    </xf>
    <xf numFmtId="0" fontId="9" fillId="0" borderId="0" xfId="1" applyNumberFormat="1" applyFont="1" applyBorder="1" applyAlignment="1" applyProtection="1">
      <alignment vertical="top" wrapText="1"/>
      <protection locked="0"/>
    </xf>
    <xf numFmtId="0" fontId="4" fillId="0" borderId="41" xfId="1" applyFont="1" applyFill="1" applyBorder="1" applyAlignment="1" applyProtection="1">
      <alignment vertical="center"/>
      <protection locked="0"/>
    </xf>
    <xf numFmtId="0" fontId="5" fillId="0" borderId="41" xfId="1" applyFont="1" applyFill="1" applyBorder="1" applyAlignment="1" applyProtection="1">
      <alignment vertical="center"/>
      <protection locked="0"/>
    </xf>
    <xf numFmtId="0" fontId="5" fillId="0" borderId="0" xfId="1" applyFont="1" applyFill="1" applyBorder="1" applyAlignment="1" applyProtection="1">
      <alignment vertical="center"/>
      <protection locked="0"/>
    </xf>
    <xf numFmtId="0" fontId="5" fillId="0" borderId="6" xfId="1" applyFont="1" applyFill="1" applyBorder="1" applyAlignment="1" applyProtection="1">
      <alignment horizontal="center" vertical="center"/>
      <protection hidden="1"/>
    </xf>
    <xf numFmtId="0" fontId="5" fillId="0" borderId="7" xfId="1" applyFont="1" applyFill="1" applyBorder="1" applyAlignment="1" applyProtection="1">
      <alignment vertical="center"/>
      <protection hidden="1"/>
    </xf>
    <xf numFmtId="0" fontId="5" fillId="0" borderId="0" xfId="1" applyFont="1" applyFill="1" applyBorder="1" applyAlignment="1" applyProtection="1">
      <alignment horizontal="center" vertical="center"/>
      <protection hidden="1"/>
    </xf>
    <xf numFmtId="0" fontId="7" fillId="0" borderId="3" xfId="1" applyFont="1" applyFill="1" applyBorder="1" applyAlignment="1" applyProtection="1">
      <alignment horizontal="center" vertical="center"/>
      <protection hidden="1"/>
    </xf>
    <xf numFmtId="0" fontId="10" fillId="0" borderId="4" xfId="1" applyFont="1" applyFill="1" applyBorder="1" applyAlignment="1" applyProtection="1">
      <alignment vertical="center"/>
      <protection hidden="1"/>
    </xf>
    <xf numFmtId="0" fontId="13" fillId="0" borderId="4" xfId="1" applyFont="1" applyFill="1" applyBorder="1" applyAlignment="1" applyProtection="1">
      <alignment vertical="center"/>
      <protection hidden="1"/>
    </xf>
    <xf numFmtId="0" fontId="4" fillId="0" borderId="4" xfId="1" applyFont="1" applyFill="1" applyBorder="1" applyAlignment="1" applyProtection="1">
      <alignment vertical="center"/>
      <protection hidden="1"/>
    </xf>
    <xf numFmtId="0" fontId="10" fillId="0" borderId="0" xfId="1" applyFont="1" applyFill="1" applyBorder="1" applyAlignment="1" applyProtection="1">
      <alignment vertical="center"/>
      <protection hidden="1"/>
    </xf>
    <xf numFmtId="0" fontId="9" fillId="0" borderId="0" xfId="1" applyFont="1" applyFill="1" applyBorder="1" applyAlignment="1" applyProtection="1">
      <alignment vertical="center"/>
      <protection hidden="1"/>
    </xf>
    <xf numFmtId="0" fontId="4" fillId="0" borderId="0" xfId="1" applyFont="1" applyFill="1" applyAlignment="1" applyProtection="1">
      <alignment horizontal="center" vertical="center"/>
      <protection hidden="1"/>
    </xf>
    <xf numFmtId="0" fontId="18" fillId="0" borderId="7" xfId="1" applyFont="1" applyFill="1" applyBorder="1" applyAlignment="1" applyProtection="1">
      <alignment vertical="center"/>
      <protection locked="0"/>
    </xf>
    <xf numFmtId="0" fontId="18" fillId="0" borderId="7" xfId="1" applyFont="1" applyFill="1" applyBorder="1" applyAlignment="1" applyProtection="1">
      <alignment vertical="center"/>
      <protection locked="0" hidden="1"/>
    </xf>
    <xf numFmtId="0" fontId="4" fillId="0" borderId="0" xfId="0" applyFont="1" applyFill="1" applyAlignment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right" vertical="center"/>
      <protection hidden="1"/>
    </xf>
    <xf numFmtId="0" fontId="4" fillId="0" borderId="6" xfId="0" applyFont="1" applyFill="1" applyBorder="1" applyAlignment="1" applyProtection="1">
      <alignment vertical="center"/>
      <protection hidden="1"/>
    </xf>
    <xf numFmtId="0" fontId="4" fillId="0" borderId="7" xfId="0" applyFont="1" applyFill="1" applyBorder="1" applyAlignment="1" applyProtection="1">
      <alignment vertical="center"/>
      <protection hidden="1"/>
    </xf>
    <xf numFmtId="0" fontId="7" fillId="0" borderId="1" xfId="0" applyFont="1" applyFill="1" applyBorder="1" applyAlignment="1" applyProtection="1">
      <alignment horizontal="center" vertical="center"/>
      <protection hidden="1"/>
    </xf>
    <xf numFmtId="0" fontId="4" fillId="0" borderId="5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4" fillId="0" borderId="8" xfId="0" applyFont="1" applyFill="1" applyBorder="1" applyAlignment="1" applyProtection="1">
      <alignment vertical="center"/>
      <protection hidden="1"/>
    </xf>
    <xf numFmtId="0" fontId="9" fillId="0" borderId="8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4" fillId="0" borderId="6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Protection="1">
      <protection hidden="1"/>
    </xf>
    <xf numFmtId="0" fontId="11" fillId="0" borderId="0" xfId="0" applyFont="1" applyFill="1" applyAlignment="1" applyProtection="1">
      <alignment horizontal="right"/>
      <protection hidden="1"/>
    </xf>
    <xf numFmtId="0" fontId="10" fillId="0" borderId="0" xfId="0" applyFont="1" applyFill="1" applyAlignment="1" applyProtection="1">
      <alignment horizontal="right"/>
      <protection hidden="1"/>
    </xf>
    <xf numFmtId="14" fontId="12" fillId="0" borderId="0" xfId="0" applyNumberFormat="1" applyFont="1" applyFill="1" applyAlignment="1" applyProtection="1">
      <alignment horizontal="center"/>
      <protection hidden="1"/>
    </xf>
    <xf numFmtId="0" fontId="10" fillId="0" borderId="2" xfId="0" applyFont="1" applyFill="1" applyBorder="1" applyAlignment="1" applyProtection="1">
      <protection hidden="1"/>
    </xf>
    <xf numFmtId="0" fontId="4" fillId="0" borderId="2" xfId="0" applyFont="1" applyFill="1" applyBorder="1" applyProtection="1">
      <protection hidden="1"/>
    </xf>
    <xf numFmtId="0" fontId="4" fillId="0" borderId="10" xfId="0" applyFont="1" applyFill="1" applyBorder="1" applyProtection="1">
      <protection hidden="1"/>
    </xf>
    <xf numFmtId="0" fontId="4" fillId="0" borderId="5" xfId="0" applyFont="1" applyFill="1" applyBorder="1" applyProtection="1">
      <protection hidden="1"/>
    </xf>
    <xf numFmtId="0" fontId="7" fillId="0" borderId="0" xfId="0" applyFont="1" applyFill="1" applyBorder="1" applyAlignment="1" applyProtection="1">
      <protection hidden="1"/>
    </xf>
    <xf numFmtId="0" fontId="4" fillId="0" borderId="0" xfId="0" applyFont="1" applyFill="1" applyBorder="1" applyProtection="1">
      <protection hidden="1"/>
    </xf>
    <xf numFmtId="0" fontId="4" fillId="0" borderId="8" xfId="0" applyFont="1" applyFill="1" applyBorder="1" applyProtection="1">
      <protection hidden="1"/>
    </xf>
    <xf numFmtId="0" fontId="9" fillId="0" borderId="8" xfId="0" applyFont="1" applyFill="1" applyBorder="1" applyAlignment="1" applyProtection="1">
      <protection hidden="1"/>
    </xf>
    <xf numFmtId="0" fontId="4" fillId="0" borderId="6" xfId="0" applyFont="1" applyFill="1" applyBorder="1" applyProtection="1">
      <protection hidden="1"/>
    </xf>
    <xf numFmtId="0" fontId="9" fillId="0" borderId="9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horizontal="left" vertical="center"/>
      <protection hidden="1"/>
    </xf>
    <xf numFmtId="0" fontId="10" fillId="0" borderId="2" xfId="0" applyFont="1" applyFill="1" applyBorder="1" applyAlignment="1" applyProtection="1">
      <alignment vertical="center"/>
      <protection hidden="1"/>
    </xf>
    <xf numFmtId="0" fontId="13" fillId="0" borderId="2" xfId="0" applyFont="1" applyFill="1" applyBorder="1" applyAlignment="1" applyProtection="1">
      <alignment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0" fontId="4" fillId="0" borderId="2" xfId="0" applyFont="1" applyFill="1" applyBorder="1" applyAlignment="1" applyProtection="1">
      <alignment vertical="center"/>
      <protection hidden="1"/>
    </xf>
    <xf numFmtId="0" fontId="4" fillId="0" borderId="10" xfId="0" applyFont="1" applyFill="1" applyBorder="1" applyAlignment="1" applyProtection="1">
      <alignment vertical="center"/>
      <protection hidden="1"/>
    </xf>
    <xf numFmtId="0" fontId="4" fillId="0" borderId="11" xfId="0" applyFont="1" applyFill="1" applyBorder="1" applyAlignment="1" applyProtection="1">
      <alignment horizontal="center" vertical="center"/>
      <protection hidden="1"/>
    </xf>
    <xf numFmtId="0" fontId="7" fillId="0" borderId="5" xfId="0" applyFont="1" applyFill="1" applyBorder="1" applyAlignment="1" applyProtection="1">
      <alignment vertical="center"/>
      <protection hidden="1"/>
    </xf>
    <xf numFmtId="0" fontId="7" fillId="0" borderId="0" xfId="0" applyFont="1" applyFill="1" applyBorder="1" applyAlignment="1" applyProtection="1">
      <alignment vertical="center"/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166" fontId="19" fillId="0" borderId="0" xfId="0" applyNumberFormat="1" applyFont="1" applyBorder="1" applyAlignment="1" applyProtection="1">
      <alignment horizontal="center"/>
      <protection hidden="1"/>
    </xf>
    <xf numFmtId="0" fontId="4" fillId="0" borderId="0" xfId="0" applyFont="1" applyFill="1" applyAlignment="1" applyProtection="1">
      <alignment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2" xfId="0" applyFont="1" applyFill="1" applyBorder="1" applyAlignment="1" applyProtection="1">
      <alignment horizontal="center" vertical="center"/>
      <protection hidden="1"/>
    </xf>
    <xf numFmtId="0" fontId="7" fillId="0" borderId="2" xfId="0" applyFont="1" applyFill="1" applyBorder="1" applyAlignment="1" applyProtection="1">
      <alignment vertical="center"/>
      <protection hidden="1"/>
    </xf>
    <xf numFmtId="0" fontId="5" fillId="0" borderId="6" xfId="0" applyFont="1" applyFill="1" applyBorder="1" applyAlignment="1" applyProtection="1">
      <alignment horizontal="center" vertical="center"/>
      <protection hidden="1"/>
    </xf>
    <xf numFmtId="0" fontId="5" fillId="0" borderId="7" xfId="0" applyFont="1" applyFill="1" applyBorder="1" applyAlignment="1" applyProtection="1">
      <alignment vertical="center"/>
      <protection hidden="1"/>
    </xf>
    <xf numFmtId="0" fontId="4" fillId="0" borderId="9" xfId="0" applyFont="1" applyFill="1" applyBorder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7" fillId="0" borderId="3" xfId="0" applyFont="1" applyFill="1" applyBorder="1" applyAlignment="1" applyProtection="1">
      <alignment horizontal="center" vertical="center"/>
      <protection hidden="1"/>
    </xf>
    <xf numFmtId="0" fontId="10" fillId="0" borderId="4" xfId="0" applyFont="1" applyFill="1" applyBorder="1" applyAlignment="1" applyProtection="1">
      <alignment vertical="center"/>
      <protection hidden="1"/>
    </xf>
    <xf numFmtId="0" fontId="13" fillId="0" borderId="4" xfId="0" applyFont="1" applyFill="1" applyBorder="1" applyAlignment="1" applyProtection="1">
      <alignment vertical="center"/>
      <protection hidden="1"/>
    </xf>
    <xf numFmtId="0" fontId="4" fillId="0" borderId="4" xfId="0" applyFont="1" applyFill="1" applyBorder="1" applyAlignment="1" applyProtection="1">
      <alignment vertical="center"/>
      <protection hidden="1"/>
    </xf>
    <xf numFmtId="0" fontId="9" fillId="0" borderId="2" xfId="0" applyFont="1" applyFill="1" applyBorder="1" applyAlignment="1" applyProtection="1">
      <alignment vertical="center"/>
      <protection hidden="1"/>
    </xf>
    <xf numFmtId="0" fontId="9" fillId="0" borderId="10" xfId="0" applyFont="1" applyFill="1" applyBorder="1" applyAlignment="1" applyProtection="1">
      <alignment vertical="center"/>
      <protection hidden="1"/>
    </xf>
    <xf numFmtId="0" fontId="9" fillId="0" borderId="5" xfId="0" applyFont="1" applyFill="1" applyBorder="1" applyAlignment="1" applyProtection="1">
      <alignment horizontal="center" vertical="center"/>
      <protection hidden="1"/>
    </xf>
    <xf numFmtId="0" fontId="9" fillId="0" borderId="6" xfId="0" applyFont="1" applyFill="1" applyBorder="1" applyAlignment="1" applyProtection="1">
      <alignment vertical="center"/>
      <protection locked="0"/>
    </xf>
    <xf numFmtId="0" fontId="4" fillId="0" borderId="9" xfId="0" applyFont="1" applyFill="1" applyBorder="1" applyProtection="1">
      <protection hidden="1"/>
    </xf>
    <xf numFmtId="0" fontId="4" fillId="0" borderId="0" xfId="0" applyFont="1" applyFill="1" applyAlignment="1" applyProtection="1">
      <alignment horizontal="center" vertical="center"/>
      <protection hidden="1"/>
    </xf>
    <xf numFmtId="11" fontId="4" fillId="0" borderId="0" xfId="0" applyNumberFormat="1" applyFont="1" applyFill="1" applyAlignment="1" applyProtection="1">
      <alignment vertical="center"/>
      <protection hidden="1"/>
    </xf>
    <xf numFmtId="0" fontId="18" fillId="0" borderId="0" xfId="0" applyFont="1" applyFill="1" applyBorder="1" applyAlignment="1" applyProtection="1">
      <alignment horizontal="left" vertical="center"/>
      <protection hidden="1"/>
    </xf>
    <xf numFmtId="0" fontId="18" fillId="0" borderId="8" xfId="0" applyFont="1" applyFill="1" applyBorder="1" applyAlignment="1" applyProtection="1">
      <alignment vertical="center"/>
      <protection hidden="1"/>
    </xf>
    <xf numFmtId="0" fontId="18" fillId="0" borderId="0" xfId="0" applyFont="1" applyFill="1" applyBorder="1" applyAlignment="1" applyProtection="1">
      <alignment vertical="center"/>
      <protection hidden="1"/>
    </xf>
    <xf numFmtId="0" fontId="18" fillId="0" borderId="8" xfId="0" applyFont="1" applyFill="1" applyBorder="1" applyAlignment="1" applyProtection="1">
      <alignment horizontal="left" vertical="center"/>
      <protection hidden="1"/>
    </xf>
    <xf numFmtId="0" fontId="18" fillId="0" borderId="0" xfId="0" applyFont="1" applyFill="1" applyBorder="1" applyAlignment="1" applyProtection="1">
      <alignment horizontal="center" vertical="center"/>
      <protection hidden="1"/>
    </xf>
    <xf numFmtId="0" fontId="18" fillId="0" borderId="7" xfId="0" applyFont="1" applyFill="1" applyBorder="1" applyAlignment="1" applyProtection="1">
      <alignment vertical="center"/>
      <protection hidden="1"/>
    </xf>
    <xf numFmtId="0" fontId="18" fillId="0" borderId="7" xfId="0" applyFont="1" applyFill="1" applyBorder="1" applyAlignment="1" applyProtection="1">
      <alignment horizontal="left" vertical="center"/>
      <protection hidden="1"/>
    </xf>
    <xf numFmtId="2" fontId="20" fillId="0" borderId="9" xfId="0" applyNumberFormat="1" applyFont="1" applyFill="1" applyBorder="1" applyAlignment="1" applyProtection="1">
      <alignment vertical="center"/>
      <protection hidden="1"/>
    </xf>
    <xf numFmtId="0" fontId="4" fillId="0" borderId="0" xfId="0" applyFont="1" applyBorder="1" applyProtection="1">
      <protection hidden="1"/>
    </xf>
    <xf numFmtId="0" fontId="7" fillId="0" borderId="5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Border="1" applyAlignment="1" applyProtection="1">
      <alignment vertical="center"/>
      <protection hidden="1"/>
    </xf>
    <xf numFmtId="0" fontId="20" fillId="0" borderId="9" xfId="0" applyNumberFormat="1" applyFont="1" applyFill="1" applyBorder="1" applyAlignment="1" applyProtection="1">
      <alignment vertical="center"/>
      <protection hidden="1"/>
    </xf>
    <xf numFmtId="2" fontId="4" fillId="0" borderId="20" xfId="0" applyNumberFormat="1" applyFont="1" applyFill="1" applyBorder="1" applyAlignment="1" applyProtection="1">
      <alignment horizontal="center" vertical="center"/>
      <protection hidden="1"/>
    </xf>
    <xf numFmtId="2" fontId="4" fillId="0" borderId="21" xfId="0" applyNumberFormat="1" applyFont="1" applyFill="1" applyBorder="1" applyAlignment="1" applyProtection="1">
      <alignment horizontal="center" vertical="center"/>
      <protection hidden="1"/>
    </xf>
    <xf numFmtId="2" fontId="4" fillId="0" borderId="27" xfId="0" applyNumberFormat="1" applyFont="1" applyFill="1" applyBorder="1" applyAlignment="1" applyProtection="1">
      <alignment horizontal="center" vertical="center"/>
      <protection hidden="1"/>
    </xf>
    <xf numFmtId="168" fontId="4" fillId="0" borderId="41" xfId="0" applyNumberFormat="1" applyFont="1" applyFill="1" applyBorder="1" applyAlignment="1" applyProtection="1">
      <alignment horizontal="center" vertical="center"/>
      <protection hidden="1"/>
    </xf>
    <xf numFmtId="168" fontId="4" fillId="0" borderId="0" xfId="0" applyNumberFormat="1" applyFont="1" applyFill="1" applyBorder="1" applyAlignment="1" applyProtection="1">
      <alignment horizontal="center" vertical="center"/>
      <protection hidden="1"/>
    </xf>
    <xf numFmtId="168" fontId="4" fillId="0" borderId="38" xfId="0" applyNumberFormat="1" applyFont="1" applyFill="1" applyBorder="1" applyAlignment="1" applyProtection="1">
      <alignment horizontal="center" vertical="center"/>
      <protection hidden="1"/>
    </xf>
    <xf numFmtId="168" fontId="4" fillId="0" borderId="23" xfId="0" applyNumberFormat="1" applyFont="1" applyFill="1" applyBorder="1" applyAlignment="1" applyProtection="1">
      <alignment horizontal="center" vertical="center"/>
      <protection hidden="1"/>
    </xf>
    <xf numFmtId="168" fontId="4" fillId="0" borderId="24" xfId="0" applyNumberFormat="1" applyFont="1" applyFill="1" applyBorder="1" applyAlignment="1" applyProtection="1">
      <alignment horizontal="center" vertical="center"/>
      <protection hidden="1"/>
    </xf>
    <xf numFmtId="168" fontId="4" fillId="0" borderId="29" xfId="0" applyNumberFormat="1" applyFont="1" applyFill="1" applyBorder="1" applyAlignment="1" applyProtection="1">
      <alignment horizontal="center" vertical="center"/>
      <protection hidden="1"/>
    </xf>
    <xf numFmtId="168" fontId="7" fillId="0" borderId="26" xfId="0" applyNumberFormat="1" applyFont="1" applyFill="1" applyBorder="1" applyAlignment="1" applyProtection="1">
      <alignment horizontal="center" vertical="center"/>
      <protection locked="0"/>
    </xf>
    <xf numFmtId="168" fontId="7" fillId="0" borderId="21" xfId="0" applyNumberFormat="1" applyFont="1" applyFill="1" applyBorder="1" applyAlignment="1" applyProtection="1">
      <alignment horizontal="center" vertical="center"/>
      <protection locked="0"/>
    </xf>
    <xf numFmtId="168" fontId="7" fillId="0" borderId="27" xfId="0" applyNumberFormat="1" applyFont="1" applyFill="1" applyBorder="1" applyAlignment="1" applyProtection="1">
      <alignment horizontal="center" vertical="center"/>
      <protection locked="0"/>
    </xf>
    <xf numFmtId="168" fontId="7" fillId="0" borderId="28" xfId="0" applyNumberFormat="1" applyFont="1" applyFill="1" applyBorder="1" applyAlignment="1" applyProtection="1">
      <alignment horizontal="center" vertical="center"/>
      <protection locked="0"/>
    </xf>
    <xf numFmtId="168" fontId="7" fillId="0" borderId="24" xfId="0" applyNumberFormat="1" applyFont="1" applyFill="1" applyBorder="1" applyAlignment="1" applyProtection="1">
      <alignment horizontal="center" vertical="center"/>
      <protection locked="0"/>
    </xf>
    <xf numFmtId="168" fontId="7" fillId="0" borderId="29" xfId="0" applyNumberFormat="1" applyFont="1" applyFill="1" applyBorder="1" applyAlignment="1" applyProtection="1">
      <alignment horizontal="center" vertical="center"/>
      <protection locked="0"/>
    </xf>
    <xf numFmtId="0" fontId="4" fillId="0" borderId="43" xfId="1" applyFont="1" applyFill="1" applyBorder="1" applyAlignment="1" applyProtection="1">
      <alignment horizontal="center" vertical="center"/>
      <protection locked="0"/>
    </xf>
    <xf numFmtId="0" fontId="4" fillId="0" borderId="37" xfId="1" applyFont="1" applyFill="1" applyBorder="1" applyAlignment="1" applyProtection="1">
      <alignment horizontal="center" vertical="center"/>
      <protection locked="0"/>
    </xf>
    <xf numFmtId="0" fontId="4" fillId="0" borderId="44" xfId="1" applyFont="1" applyFill="1" applyBorder="1" applyAlignment="1" applyProtection="1">
      <alignment horizontal="center" vertical="center"/>
      <protection locked="0"/>
    </xf>
    <xf numFmtId="164" fontId="4" fillId="0" borderId="42" xfId="1" applyNumberFormat="1" applyFont="1" applyFill="1" applyBorder="1" applyAlignment="1" applyProtection="1">
      <alignment horizontal="center" vertical="center"/>
      <protection locked="0"/>
    </xf>
    <xf numFmtId="164" fontId="4" fillId="0" borderId="39" xfId="1" applyNumberFormat="1" applyFont="1" applyFill="1" applyBorder="1" applyAlignment="1" applyProtection="1">
      <alignment horizontal="center" vertical="center"/>
      <protection locked="0"/>
    </xf>
    <xf numFmtId="164" fontId="4" fillId="0" borderId="40" xfId="1" applyNumberFormat="1" applyFont="1" applyFill="1" applyBorder="1" applyAlignment="1" applyProtection="1">
      <alignment horizontal="center" vertical="center"/>
      <protection locked="0"/>
    </xf>
    <xf numFmtId="11" fontId="4" fillId="0" borderId="5" xfId="0" applyNumberFormat="1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4" fillId="0" borderId="38" xfId="0" applyFont="1" applyFill="1" applyBorder="1" applyAlignment="1" applyProtection="1">
      <alignment horizontal="center" vertical="center"/>
      <protection hidden="1"/>
    </xf>
    <xf numFmtId="0" fontId="4" fillId="0" borderId="5" xfId="1" applyFont="1" applyFill="1" applyBorder="1" applyAlignment="1" applyProtection="1">
      <alignment horizontal="center" vertical="center"/>
      <protection locked="0"/>
    </xf>
    <xf numFmtId="0" fontId="4" fillId="0" borderId="0" xfId="1" applyFont="1" applyFill="1" applyBorder="1" applyAlignment="1" applyProtection="1">
      <alignment horizontal="center" vertical="center"/>
      <protection locked="0"/>
    </xf>
    <xf numFmtId="0" fontId="4" fillId="0" borderId="8" xfId="1" applyFont="1" applyFill="1" applyBorder="1" applyAlignment="1" applyProtection="1">
      <alignment horizontal="center" vertical="center"/>
      <protection locked="0"/>
    </xf>
    <xf numFmtId="11" fontId="4" fillId="0" borderId="0" xfId="0" applyNumberFormat="1" applyFont="1" applyFill="1" applyBorder="1" applyAlignment="1" applyProtection="1">
      <alignment horizontal="center" vertical="center"/>
      <protection hidden="1"/>
    </xf>
    <xf numFmtId="11" fontId="4" fillId="0" borderId="8" xfId="0" applyNumberFormat="1" applyFont="1" applyFill="1" applyBorder="1" applyAlignment="1" applyProtection="1">
      <alignment horizontal="center" vertical="center"/>
      <protection hidden="1"/>
    </xf>
    <xf numFmtId="0" fontId="4" fillId="0" borderId="41" xfId="1" applyFont="1" applyFill="1" applyBorder="1" applyAlignment="1" applyProtection="1">
      <alignment horizontal="center" vertical="center"/>
      <protection locked="0"/>
    </xf>
    <xf numFmtId="0" fontId="4" fillId="0" borderId="41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4" fillId="0" borderId="8" xfId="0" applyFont="1" applyFill="1" applyBorder="1" applyAlignment="1" applyProtection="1">
      <alignment horizontal="center" vertical="center"/>
      <protection locked="0"/>
    </xf>
    <xf numFmtId="0" fontId="4" fillId="0" borderId="5" xfId="0" applyFont="1" applyFill="1" applyBorder="1" applyAlignment="1" applyProtection="1">
      <alignment horizontal="center" vertical="center"/>
      <protection locked="0"/>
    </xf>
    <xf numFmtId="2" fontId="4" fillId="0" borderId="5" xfId="0" applyNumberFormat="1" applyFont="1" applyFill="1" applyBorder="1" applyAlignment="1" applyProtection="1">
      <alignment horizontal="center" vertical="center"/>
      <protection locked="0"/>
    </xf>
    <xf numFmtId="2" fontId="4" fillId="0" borderId="0" xfId="0" applyNumberFormat="1" applyFont="1" applyFill="1" applyBorder="1" applyAlignment="1" applyProtection="1">
      <alignment horizontal="center" vertical="center"/>
      <protection locked="0"/>
    </xf>
    <xf numFmtId="2" fontId="4" fillId="0" borderId="8" xfId="0" applyNumberFormat="1" applyFont="1" applyFill="1" applyBorder="1" applyAlignment="1" applyProtection="1">
      <alignment horizontal="center" vertical="center"/>
      <protection locked="0"/>
    </xf>
    <xf numFmtId="0" fontId="4" fillId="0" borderId="1" xfId="1" applyFont="1" applyFill="1" applyBorder="1" applyAlignment="1" applyProtection="1">
      <alignment horizontal="center" vertical="center" wrapText="1"/>
      <protection hidden="1"/>
    </xf>
    <xf numFmtId="0" fontId="4" fillId="0" borderId="2" xfId="1" applyFont="1" applyFill="1" applyBorder="1" applyAlignment="1" applyProtection="1">
      <alignment horizontal="center" vertical="center" wrapText="1"/>
      <protection hidden="1"/>
    </xf>
    <xf numFmtId="0" fontId="4" fillId="0" borderId="10" xfId="1" applyFont="1" applyFill="1" applyBorder="1" applyAlignment="1" applyProtection="1">
      <alignment horizontal="center" vertical="center" wrapText="1"/>
      <protection hidden="1"/>
    </xf>
    <xf numFmtId="0" fontId="4" fillId="0" borderId="5" xfId="1" applyFont="1" applyFill="1" applyBorder="1" applyAlignment="1" applyProtection="1">
      <alignment horizontal="center" vertical="center" wrapText="1"/>
      <protection hidden="1"/>
    </xf>
    <xf numFmtId="0" fontId="4" fillId="0" borderId="0" xfId="1" applyFont="1" applyFill="1" applyBorder="1" applyAlignment="1" applyProtection="1">
      <alignment horizontal="center" vertical="center" wrapText="1"/>
      <protection hidden="1"/>
    </xf>
    <xf numFmtId="0" fontId="4" fillId="0" borderId="8" xfId="1" applyFont="1" applyFill="1" applyBorder="1" applyAlignment="1" applyProtection="1">
      <alignment horizontal="center" vertical="center" wrapText="1"/>
      <protection hidden="1"/>
    </xf>
    <xf numFmtId="0" fontId="4" fillId="0" borderId="6" xfId="1" applyFont="1" applyFill="1" applyBorder="1" applyAlignment="1" applyProtection="1">
      <alignment horizontal="center" vertical="center" wrapText="1"/>
      <protection hidden="1"/>
    </xf>
    <xf numFmtId="0" fontId="4" fillId="0" borderId="7" xfId="1" applyFont="1" applyFill="1" applyBorder="1" applyAlignment="1" applyProtection="1">
      <alignment horizontal="center" vertical="center" wrapText="1"/>
      <protection hidden="1"/>
    </xf>
    <xf numFmtId="0" fontId="4" fillId="0" borderId="9" xfId="1" applyFont="1" applyFill="1" applyBorder="1" applyAlignment="1" applyProtection="1">
      <alignment horizontal="center" vertical="center" wrapText="1"/>
      <protection hidden="1"/>
    </xf>
    <xf numFmtId="0" fontId="5" fillId="0" borderId="1" xfId="1" applyFont="1" applyFill="1" applyBorder="1" applyAlignment="1" applyProtection="1">
      <alignment horizontal="center" vertical="center"/>
      <protection hidden="1"/>
    </xf>
    <xf numFmtId="0" fontId="5" fillId="0" borderId="2" xfId="1" applyFont="1" applyFill="1" applyBorder="1" applyAlignment="1" applyProtection="1">
      <alignment horizontal="center" vertical="center"/>
      <protection hidden="1"/>
    </xf>
    <xf numFmtId="0" fontId="5" fillId="0" borderId="10" xfId="1" applyFont="1" applyFill="1" applyBorder="1" applyAlignment="1" applyProtection="1">
      <alignment horizontal="center" vertical="center"/>
      <protection hidden="1"/>
    </xf>
    <xf numFmtId="0" fontId="8" fillId="0" borderId="7" xfId="1" applyFont="1" applyFill="1" applyBorder="1" applyAlignment="1" applyProtection="1">
      <alignment horizontal="center" vertical="center"/>
      <protection hidden="1"/>
    </xf>
    <xf numFmtId="0" fontId="8" fillId="0" borderId="9" xfId="1" applyFont="1" applyFill="1" applyBorder="1" applyAlignment="1" applyProtection="1">
      <alignment horizontal="center" vertical="center"/>
      <protection hidden="1"/>
    </xf>
    <xf numFmtId="0" fontId="18" fillId="0" borderId="0" xfId="1" applyFont="1" applyFill="1" applyBorder="1" applyAlignment="1" applyProtection="1">
      <alignment horizontal="left" vertical="center"/>
      <protection locked="0"/>
    </xf>
    <xf numFmtId="0" fontId="5" fillId="0" borderId="18" xfId="1" applyFont="1" applyFill="1" applyBorder="1" applyAlignment="1" applyProtection="1">
      <alignment horizontal="center" vertical="center" wrapText="1"/>
      <protection hidden="1"/>
    </xf>
    <xf numFmtId="0" fontId="5" fillId="0" borderId="18" xfId="1" applyFont="1" applyFill="1" applyBorder="1" applyAlignment="1" applyProtection="1">
      <alignment horizontal="center" vertical="center"/>
      <protection hidden="1"/>
    </xf>
    <xf numFmtId="0" fontId="5" fillId="0" borderId="19" xfId="1" applyFont="1" applyFill="1" applyBorder="1" applyAlignment="1" applyProtection="1">
      <alignment horizontal="center" vertical="center"/>
      <protection hidden="1"/>
    </xf>
    <xf numFmtId="0" fontId="6" fillId="0" borderId="1" xfId="1" applyFont="1" applyFill="1" applyBorder="1" applyAlignment="1" applyProtection="1">
      <alignment horizontal="center" vertical="center" wrapText="1"/>
      <protection locked="0"/>
    </xf>
    <xf numFmtId="0" fontId="6" fillId="0" borderId="2" xfId="1" applyFont="1" applyFill="1" applyBorder="1" applyAlignment="1" applyProtection="1">
      <alignment horizontal="center" vertical="center" wrapText="1"/>
      <protection locked="0"/>
    </xf>
    <xf numFmtId="0" fontId="6" fillId="0" borderId="10" xfId="1" applyFont="1" applyFill="1" applyBorder="1" applyAlignment="1" applyProtection="1">
      <alignment horizontal="center" vertical="center" wrapText="1"/>
      <protection locked="0"/>
    </xf>
    <xf numFmtId="0" fontId="6" fillId="0" borderId="5" xfId="1" applyFont="1" applyFill="1" applyBorder="1" applyAlignment="1" applyProtection="1">
      <alignment horizontal="center" vertical="center" wrapText="1"/>
      <protection locked="0"/>
    </xf>
    <xf numFmtId="0" fontId="6" fillId="0" borderId="0" xfId="1" applyFont="1" applyFill="1" applyBorder="1" applyAlignment="1" applyProtection="1">
      <alignment horizontal="center" vertical="center" wrapText="1"/>
      <protection locked="0"/>
    </xf>
    <xf numFmtId="0" fontId="6" fillId="0" borderId="8" xfId="1" applyFont="1" applyFill="1" applyBorder="1" applyAlignment="1" applyProtection="1">
      <alignment horizontal="center" vertical="center" wrapText="1"/>
      <protection locked="0"/>
    </xf>
    <xf numFmtId="0" fontId="6" fillId="0" borderId="6" xfId="1" applyFont="1" applyFill="1" applyBorder="1" applyAlignment="1" applyProtection="1">
      <alignment horizontal="center" vertical="center" wrapText="1"/>
      <protection locked="0"/>
    </xf>
    <xf numFmtId="0" fontId="6" fillId="0" borderId="7" xfId="1" applyFont="1" applyFill="1" applyBorder="1" applyAlignment="1" applyProtection="1">
      <alignment horizontal="center" vertical="center" wrapText="1"/>
      <protection locked="0"/>
    </xf>
    <xf numFmtId="0" fontId="6" fillId="0" borderId="9" xfId="1" applyFont="1" applyFill="1" applyBorder="1" applyAlignment="1" applyProtection="1">
      <alignment horizontal="center" vertical="center" wrapText="1"/>
      <protection locked="0"/>
    </xf>
    <xf numFmtId="0" fontId="18" fillId="0" borderId="0" xfId="1" applyFont="1" applyFill="1" applyBorder="1" applyAlignment="1" applyProtection="1">
      <alignment horizontal="left" vertical="center"/>
      <protection locked="0" hidden="1"/>
    </xf>
    <xf numFmtId="0" fontId="7" fillId="0" borderId="17" xfId="1" applyFont="1" applyFill="1" applyBorder="1" applyAlignment="1" applyProtection="1">
      <alignment horizontal="center" vertical="center"/>
      <protection hidden="1"/>
    </xf>
    <xf numFmtId="0" fontId="9" fillId="0" borderId="17" xfId="1" applyFont="1" applyFill="1" applyBorder="1" applyAlignment="1" applyProtection="1">
      <alignment horizontal="center" vertical="center"/>
      <protection hidden="1"/>
    </xf>
    <xf numFmtId="0" fontId="18" fillId="0" borderId="0" xfId="1" applyFont="1" applyFill="1" applyBorder="1" applyAlignment="1" applyProtection="1">
      <alignment horizontal="center" vertical="center"/>
      <protection locked="0" hidden="1"/>
    </xf>
    <xf numFmtId="0" fontId="6" fillId="0" borderId="5" xfId="1" applyFont="1" applyFill="1" applyBorder="1" applyAlignment="1" applyProtection="1">
      <alignment horizontal="center" vertical="center" wrapText="1"/>
      <protection hidden="1"/>
    </xf>
    <xf numFmtId="0" fontId="6" fillId="0" borderId="0" xfId="1" applyFont="1" applyFill="1" applyBorder="1" applyAlignment="1" applyProtection="1">
      <alignment horizontal="center" vertical="center" wrapText="1"/>
      <protection hidden="1"/>
    </xf>
    <xf numFmtId="0" fontId="6" fillId="0" borderId="8" xfId="1" applyFont="1" applyFill="1" applyBorder="1" applyAlignment="1" applyProtection="1">
      <alignment horizontal="center" vertical="center" wrapText="1"/>
      <protection hidden="1"/>
    </xf>
    <xf numFmtId="0" fontId="7" fillId="0" borderId="5" xfId="1" applyFont="1" applyFill="1" applyBorder="1" applyAlignment="1" applyProtection="1">
      <alignment horizontal="center" vertical="center" wrapText="1"/>
      <protection hidden="1"/>
    </xf>
    <xf numFmtId="0" fontId="7" fillId="0" borderId="0" xfId="1" applyFont="1" applyFill="1" applyBorder="1" applyAlignment="1" applyProtection="1">
      <alignment horizontal="center" vertical="center" wrapText="1"/>
      <protection hidden="1"/>
    </xf>
    <xf numFmtId="0" fontId="18" fillId="0" borderId="7" xfId="1" applyFont="1" applyFill="1" applyBorder="1" applyAlignment="1" applyProtection="1">
      <alignment horizontal="left" vertical="center"/>
      <protection locked="0" hidden="1"/>
    </xf>
    <xf numFmtId="0" fontId="18" fillId="0" borderId="7" xfId="1" applyFont="1" applyFill="1" applyBorder="1" applyAlignment="1" applyProtection="1">
      <alignment horizontal="right" vertical="center"/>
      <protection locked="0"/>
    </xf>
    <xf numFmtId="0" fontId="4" fillId="0" borderId="21" xfId="1" applyFont="1" applyFill="1" applyBorder="1" applyAlignment="1" applyProtection="1">
      <alignment horizontal="center" vertical="center" wrapText="1"/>
      <protection hidden="1"/>
    </xf>
    <xf numFmtId="0" fontId="4" fillId="0" borderId="21" xfId="1" applyFont="1" applyFill="1" applyBorder="1" applyAlignment="1" applyProtection="1">
      <alignment horizontal="center" vertical="center"/>
      <protection hidden="1"/>
    </xf>
    <xf numFmtId="0" fontId="4" fillId="0" borderId="0" xfId="1" applyFont="1" applyFill="1" applyBorder="1" applyAlignment="1" applyProtection="1">
      <alignment horizontal="center" vertical="center"/>
      <protection hidden="1"/>
    </xf>
    <xf numFmtId="164" fontId="5" fillId="0" borderId="21" xfId="0" applyNumberFormat="1" applyFont="1" applyFill="1" applyBorder="1" applyAlignment="1" applyProtection="1">
      <alignment horizontal="center" vertical="center"/>
      <protection hidden="1"/>
    </xf>
    <xf numFmtId="164" fontId="5" fillId="0" borderId="27" xfId="0" applyNumberFormat="1" applyFont="1" applyFill="1" applyBorder="1" applyAlignment="1" applyProtection="1">
      <alignment horizontal="center" vertical="center"/>
      <protection hidden="1"/>
    </xf>
    <xf numFmtId="164" fontId="5" fillId="0" borderId="0" xfId="0" applyNumberFormat="1" applyFont="1" applyFill="1" applyBorder="1" applyAlignment="1" applyProtection="1">
      <alignment horizontal="center" vertical="center"/>
      <protection hidden="1"/>
    </xf>
    <xf numFmtId="164" fontId="5" fillId="0" borderId="38" xfId="0" applyNumberFormat="1" applyFont="1" applyFill="1" applyBorder="1" applyAlignment="1" applyProtection="1">
      <alignment horizontal="center" vertical="center"/>
      <protection hidden="1"/>
    </xf>
    <xf numFmtId="0" fontId="4" fillId="0" borderId="45" xfId="0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10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hidden="1"/>
    </xf>
    <xf numFmtId="0" fontId="4" fillId="0" borderId="2" xfId="0" applyFont="1" applyFill="1" applyBorder="1" applyAlignment="1" applyProtection="1">
      <alignment horizontal="center" vertical="center"/>
      <protection hidden="1"/>
    </xf>
    <xf numFmtId="0" fontId="4" fillId="0" borderId="46" xfId="0" applyFont="1" applyFill="1" applyBorder="1" applyAlignment="1" applyProtection="1">
      <alignment horizontal="center" vertical="center"/>
      <protection hidden="1"/>
    </xf>
    <xf numFmtId="0" fontId="4" fillId="0" borderId="20" xfId="1" applyFont="1" applyFill="1" applyBorder="1" applyAlignment="1" applyProtection="1">
      <alignment horizontal="center" vertical="center"/>
      <protection hidden="1"/>
    </xf>
    <xf numFmtId="2" fontId="5" fillId="0" borderId="39" xfId="0" applyNumberFormat="1" applyFont="1" applyFill="1" applyBorder="1" applyAlignment="1" applyProtection="1">
      <alignment horizontal="center" vertical="center"/>
      <protection hidden="1"/>
    </xf>
    <xf numFmtId="2" fontId="5" fillId="0" borderId="40" xfId="0" applyNumberFormat="1" applyFont="1" applyFill="1" applyBorder="1" applyAlignment="1" applyProtection="1">
      <alignment horizontal="center" vertical="center"/>
      <protection hidden="1"/>
    </xf>
    <xf numFmtId="0" fontId="18" fillId="0" borderId="0" xfId="1" applyFont="1" applyFill="1" applyBorder="1" applyAlignment="1" applyProtection="1">
      <alignment horizontal="left"/>
      <protection hidden="1"/>
    </xf>
    <xf numFmtId="0" fontId="18" fillId="0" borderId="0" xfId="1" applyFont="1" applyFill="1" applyBorder="1" applyAlignment="1" applyProtection="1">
      <alignment horizontal="left"/>
      <protection locked="0"/>
    </xf>
    <xf numFmtId="0" fontId="4" fillId="0" borderId="24" xfId="1" applyFont="1" applyFill="1" applyBorder="1" applyAlignment="1" applyProtection="1">
      <alignment horizontal="center" vertical="center"/>
      <protection hidden="1"/>
    </xf>
    <xf numFmtId="0" fontId="4" fillId="0" borderId="38" xfId="1" applyFont="1" applyFill="1" applyBorder="1" applyAlignment="1" applyProtection="1">
      <alignment horizontal="center" vertical="center"/>
      <protection hidden="1"/>
    </xf>
    <xf numFmtId="0" fontId="4" fillId="0" borderId="29" xfId="1" applyFont="1" applyFill="1" applyBorder="1" applyAlignment="1" applyProtection="1">
      <alignment horizontal="center" vertical="center"/>
      <protection hidden="1"/>
    </xf>
    <xf numFmtId="0" fontId="4" fillId="0" borderId="2" xfId="1" applyFont="1" applyFill="1" applyBorder="1" applyAlignment="1" applyProtection="1">
      <alignment horizontal="center" vertical="center"/>
      <protection hidden="1"/>
    </xf>
    <xf numFmtId="0" fontId="4" fillId="0" borderId="7" xfId="1" applyFont="1" applyFill="1" applyBorder="1" applyAlignment="1" applyProtection="1">
      <alignment horizontal="center" vertical="center"/>
      <protection hidden="1"/>
    </xf>
    <xf numFmtId="0" fontId="4" fillId="0" borderId="10" xfId="1" applyFont="1" applyFill="1" applyBorder="1" applyAlignment="1" applyProtection="1">
      <alignment horizontal="center" vertical="center"/>
      <protection hidden="1"/>
    </xf>
    <xf numFmtId="0" fontId="4" fillId="0" borderId="9" xfId="1" applyFont="1" applyFill="1" applyBorder="1" applyAlignment="1" applyProtection="1">
      <alignment horizontal="center" vertical="center"/>
      <protection hidden="1"/>
    </xf>
    <xf numFmtId="164" fontId="4" fillId="0" borderId="21" xfId="0" applyNumberFormat="1" applyFont="1" applyFill="1" applyBorder="1" applyAlignment="1" applyProtection="1">
      <alignment horizontal="center" vertical="center"/>
      <protection hidden="1"/>
    </xf>
    <xf numFmtId="164" fontId="4" fillId="0" borderId="27" xfId="0" applyNumberFormat="1" applyFont="1" applyFill="1" applyBorder="1" applyAlignment="1" applyProtection="1">
      <alignment horizontal="center" vertical="center"/>
      <protection hidden="1"/>
    </xf>
    <xf numFmtId="164" fontId="4" fillId="0" borderId="24" xfId="0" applyNumberFormat="1" applyFont="1" applyFill="1" applyBorder="1" applyAlignment="1" applyProtection="1">
      <alignment horizontal="center" vertical="center"/>
      <protection hidden="1"/>
    </xf>
    <xf numFmtId="164" fontId="4" fillId="0" borderId="29" xfId="0" applyNumberFormat="1" applyFont="1" applyFill="1" applyBorder="1" applyAlignment="1" applyProtection="1">
      <alignment horizontal="center" vertical="center"/>
      <protection hidden="1"/>
    </xf>
    <xf numFmtId="0" fontId="11" fillId="0" borderId="5" xfId="1" applyFont="1" applyFill="1" applyBorder="1" applyAlignment="1" applyProtection="1">
      <alignment horizontal="center" vertical="center"/>
      <protection hidden="1"/>
    </xf>
    <xf numFmtId="0" fontId="11" fillId="0" borderId="0" xfId="1" applyFont="1" applyFill="1" applyBorder="1" applyAlignment="1" applyProtection="1">
      <alignment horizontal="center" vertical="center"/>
      <protection hidden="1"/>
    </xf>
    <xf numFmtId="0" fontId="11" fillId="0" borderId="8" xfId="1" applyFont="1" applyFill="1" applyBorder="1" applyAlignment="1" applyProtection="1">
      <alignment horizontal="center" vertical="center"/>
      <protection hidden="1"/>
    </xf>
    <xf numFmtId="0" fontId="18" fillId="0" borderId="5" xfId="1" applyFont="1" applyFill="1" applyBorder="1" applyAlignment="1" applyProtection="1">
      <alignment horizontal="center" vertical="center" wrapText="1"/>
      <protection locked="0"/>
    </xf>
    <xf numFmtId="0" fontId="18" fillId="0" borderId="0" xfId="1" applyFont="1" applyFill="1" applyBorder="1" applyAlignment="1" applyProtection="1">
      <alignment horizontal="center" vertical="center" wrapText="1"/>
      <protection locked="0"/>
    </xf>
    <xf numFmtId="0" fontId="4" fillId="0" borderId="0" xfId="1" applyFont="1" applyAlignment="1" applyProtection="1">
      <alignment horizontal="center" vertical="center" wrapText="1"/>
      <protection locked="0"/>
    </xf>
    <xf numFmtId="0" fontId="4" fillId="0" borderId="8" xfId="1" applyFont="1" applyBorder="1" applyAlignment="1" applyProtection="1">
      <alignment horizontal="center" vertical="center" wrapText="1"/>
      <protection locked="0"/>
    </xf>
    <xf numFmtId="0" fontId="18" fillId="0" borderId="6" xfId="1" applyFont="1" applyFill="1" applyBorder="1" applyAlignment="1" applyProtection="1">
      <alignment horizontal="center" vertical="center" wrapText="1"/>
      <protection locked="0"/>
    </xf>
    <xf numFmtId="0" fontId="18" fillId="0" borderId="7" xfId="1" applyFont="1" applyFill="1" applyBorder="1" applyAlignment="1" applyProtection="1">
      <alignment horizontal="center" vertical="center" wrapText="1"/>
      <protection locked="0"/>
    </xf>
    <xf numFmtId="0" fontId="4" fillId="0" borderId="7" xfId="1" applyFont="1" applyBorder="1" applyAlignment="1" applyProtection="1">
      <alignment horizontal="center" vertical="center" wrapText="1"/>
      <protection locked="0"/>
    </xf>
    <xf numFmtId="0" fontId="4" fillId="0" borderId="9" xfId="1" applyFont="1" applyBorder="1" applyAlignment="1" applyProtection="1">
      <alignment horizontal="center" vertical="center" wrapText="1"/>
      <protection locked="0"/>
    </xf>
    <xf numFmtId="0" fontId="11" fillId="0" borderId="6" xfId="1" applyFont="1" applyFill="1" applyBorder="1" applyAlignment="1" applyProtection="1">
      <alignment horizontal="center" vertical="center"/>
      <protection hidden="1"/>
    </xf>
    <xf numFmtId="0" fontId="11" fillId="0" borderId="7" xfId="1" applyFont="1" applyFill="1" applyBorder="1" applyAlignment="1" applyProtection="1">
      <alignment horizontal="center" vertical="center"/>
      <protection hidden="1"/>
    </xf>
    <xf numFmtId="0" fontId="11" fillId="0" borderId="9" xfId="1" applyFont="1" applyFill="1" applyBorder="1" applyAlignment="1" applyProtection="1">
      <alignment horizontal="center" vertical="center"/>
      <protection hidden="1"/>
    </xf>
    <xf numFmtId="0" fontId="4" fillId="0" borderId="0" xfId="1" applyFont="1" applyFill="1" applyBorder="1" applyAlignment="1" applyProtection="1">
      <alignment horizontal="center" vertical="center" wrapText="1"/>
      <protection locked="0"/>
    </xf>
    <xf numFmtId="0" fontId="4" fillId="0" borderId="18" xfId="1" applyFont="1" applyFill="1" applyBorder="1" applyAlignment="1" applyProtection="1">
      <alignment horizontal="center" vertical="center"/>
      <protection locked="0"/>
    </xf>
    <xf numFmtId="0" fontId="4" fillId="0" borderId="32" xfId="1" applyFont="1" applyFill="1" applyBorder="1" applyAlignment="1" applyProtection="1">
      <alignment horizontal="center" vertical="center"/>
      <protection locked="0"/>
    </xf>
    <xf numFmtId="0" fontId="4" fillId="0" borderId="19" xfId="1" applyFont="1" applyFill="1" applyBorder="1" applyAlignment="1" applyProtection="1">
      <alignment horizontal="center" vertical="center"/>
      <protection locked="0"/>
    </xf>
    <xf numFmtId="0" fontId="4" fillId="0" borderId="1" xfId="1" applyFont="1" applyFill="1" applyBorder="1" applyAlignment="1" applyProtection="1">
      <alignment horizontal="center" vertical="center"/>
      <protection locked="0"/>
    </xf>
    <xf numFmtId="0" fontId="5" fillId="0" borderId="20" xfId="1" applyFont="1" applyFill="1" applyBorder="1" applyAlignment="1" applyProtection="1">
      <alignment horizontal="center" vertical="center" wrapText="1"/>
      <protection locked="0"/>
    </xf>
    <xf numFmtId="0" fontId="5" fillId="0" borderId="21" xfId="1" applyFont="1" applyFill="1" applyBorder="1" applyAlignment="1" applyProtection="1">
      <alignment horizontal="center" vertical="center" wrapText="1"/>
      <protection locked="0"/>
    </xf>
    <xf numFmtId="0" fontId="5" fillId="0" borderId="22" xfId="1" applyFont="1" applyFill="1" applyBorder="1" applyAlignment="1" applyProtection="1">
      <alignment horizontal="center" vertical="center" wrapText="1"/>
      <protection locked="0"/>
    </xf>
    <xf numFmtId="0" fontId="5" fillId="0" borderId="23" xfId="1" applyFont="1" applyFill="1" applyBorder="1" applyAlignment="1" applyProtection="1">
      <alignment horizontal="center" vertical="center" wrapText="1"/>
      <protection locked="0"/>
    </xf>
    <xf numFmtId="0" fontId="5" fillId="0" borderId="24" xfId="1" applyFont="1" applyFill="1" applyBorder="1" applyAlignment="1" applyProtection="1">
      <alignment horizontal="center" vertical="center" wrapText="1"/>
      <protection locked="0"/>
    </xf>
    <xf numFmtId="0" fontId="5" fillId="0" borderId="25" xfId="1" applyFont="1" applyFill="1" applyBorder="1" applyAlignment="1" applyProtection="1">
      <alignment horizontal="center" vertical="center" wrapText="1"/>
      <protection locked="0"/>
    </xf>
    <xf numFmtId="0" fontId="11" fillId="0" borderId="17" xfId="1" applyFont="1" applyFill="1" applyBorder="1" applyAlignment="1" applyProtection="1">
      <alignment horizontal="center" vertical="center" wrapText="1"/>
      <protection hidden="1"/>
    </xf>
    <xf numFmtId="0" fontId="4" fillId="0" borderId="17" xfId="1" applyFont="1" applyBorder="1" applyAlignment="1" applyProtection="1">
      <alignment horizontal="center" vertical="center" wrapText="1"/>
      <protection hidden="1"/>
    </xf>
    <xf numFmtId="0" fontId="4" fillId="0" borderId="30" xfId="1" applyFont="1" applyBorder="1" applyAlignment="1" applyProtection="1">
      <alignment horizontal="center" vertical="center" wrapText="1"/>
      <protection hidden="1"/>
    </xf>
    <xf numFmtId="0" fontId="7" fillId="0" borderId="31" xfId="1" applyFont="1" applyFill="1" applyBorder="1" applyAlignment="1" applyProtection="1">
      <alignment horizontal="center" vertical="center"/>
      <protection hidden="1"/>
    </xf>
    <xf numFmtId="0" fontId="7" fillId="0" borderId="12" xfId="1" applyFont="1" applyFill="1" applyBorder="1" applyAlignment="1" applyProtection="1">
      <alignment horizontal="center" vertical="center"/>
      <protection hidden="1"/>
    </xf>
    <xf numFmtId="0" fontId="18" fillId="0" borderId="32" xfId="1" applyFont="1" applyFill="1" applyBorder="1" applyAlignment="1" applyProtection="1">
      <alignment horizontal="center" vertical="center" wrapText="1"/>
      <protection locked="0"/>
    </xf>
    <xf numFmtId="0" fontId="18" fillId="0" borderId="17" xfId="1" applyFont="1" applyFill="1" applyBorder="1" applyAlignment="1" applyProtection="1">
      <alignment horizontal="center" vertical="center" wrapText="1"/>
      <protection locked="0"/>
    </xf>
    <xf numFmtId="0" fontId="4" fillId="0" borderId="17" xfId="1" applyFont="1" applyBorder="1" applyAlignment="1" applyProtection="1">
      <alignment horizontal="center" vertical="center" wrapText="1"/>
      <protection locked="0"/>
    </xf>
    <xf numFmtId="0" fontId="4" fillId="0" borderId="30" xfId="1" applyFont="1" applyBorder="1" applyAlignment="1" applyProtection="1">
      <alignment horizontal="center" vertical="center" wrapText="1"/>
      <protection locked="0"/>
    </xf>
    <xf numFmtId="11" fontId="4" fillId="0" borderId="32" xfId="0" applyNumberFormat="1" applyFont="1" applyFill="1" applyBorder="1" applyAlignment="1" applyProtection="1">
      <alignment horizontal="center" vertical="center"/>
      <protection hidden="1"/>
    </xf>
    <xf numFmtId="11" fontId="4" fillId="0" borderId="17" xfId="0" applyNumberFormat="1" applyFont="1" applyFill="1" applyBorder="1" applyAlignment="1" applyProtection="1">
      <alignment horizontal="center" vertical="center"/>
      <protection hidden="1"/>
    </xf>
    <xf numFmtId="11" fontId="4" fillId="0" borderId="30" xfId="0" applyNumberFormat="1" applyFont="1" applyFill="1" applyBorder="1" applyAlignment="1" applyProtection="1">
      <alignment horizontal="center" vertical="center"/>
      <protection hidden="1"/>
    </xf>
    <xf numFmtId="0" fontId="4" fillId="0" borderId="32" xfId="0" applyNumberFormat="1" applyFont="1" applyFill="1" applyBorder="1" applyAlignment="1" applyProtection="1">
      <alignment horizontal="center" vertical="center"/>
      <protection locked="0"/>
    </xf>
    <xf numFmtId="0" fontId="4" fillId="0" borderId="17" xfId="0" applyNumberFormat="1" applyFont="1" applyFill="1" applyBorder="1" applyAlignment="1" applyProtection="1">
      <alignment horizontal="center" vertical="center"/>
      <protection locked="0"/>
    </xf>
    <xf numFmtId="0" fontId="4" fillId="0" borderId="30" xfId="0" applyNumberFormat="1" applyFont="1" applyFill="1" applyBorder="1" applyAlignment="1" applyProtection="1">
      <alignment horizontal="center" vertical="center"/>
      <protection locked="0"/>
    </xf>
    <xf numFmtId="165" fontId="4" fillId="0" borderId="32" xfId="0" applyNumberFormat="1" applyFont="1" applyFill="1" applyBorder="1" applyAlignment="1" applyProtection="1">
      <alignment horizontal="center" vertical="center"/>
      <protection locked="0"/>
    </xf>
    <xf numFmtId="165" fontId="4" fillId="0" borderId="17" xfId="0" applyNumberFormat="1" applyFont="1" applyFill="1" applyBorder="1" applyAlignment="1" applyProtection="1">
      <alignment horizontal="center" vertical="center"/>
      <protection locked="0"/>
    </xf>
    <xf numFmtId="165" fontId="4" fillId="0" borderId="30" xfId="0" applyNumberFormat="1" applyFont="1" applyFill="1" applyBorder="1" applyAlignment="1" applyProtection="1">
      <alignment horizontal="center" vertical="center"/>
      <protection locked="0"/>
    </xf>
    <xf numFmtId="0" fontId="4" fillId="0" borderId="32" xfId="0" applyFont="1" applyFill="1" applyBorder="1" applyAlignment="1" applyProtection="1">
      <alignment horizontal="center" vertical="center"/>
      <protection hidden="1"/>
    </xf>
    <xf numFmtId="0" fontId="4" fillId="0" borderId="17" xfId="0" applyFont="1" applyFill="1" applyBorder="1" applyAlignment="1" applyProtection="1">
      <alignment horizontal="center" vertical="center"/>
      <protection hidden="1"/>
    </xf>
    <xf numFmtId="0" fontId="4" fillId="0" borderId="30" xfId="0" applyFont="1" applyFill="1" applyBorder="1" applyAlignment="1" applyProtection="1">
      <alignment horizontal="center" vertical="center"/>
      <protection hidden="1"/>
    </xf>
    <xf numFmtId="0" fontId="18" fillId="0" borderId="7" xfId="0" applyFont="1" applyFill="1" applyBorder="1" applyAlignment="1" applyProtection="1">
      <alignment horizontal="left" vertical="center"/>
      <protection hidden="1"/>
    </xf>
    <xf numFmtId="0" fontId="18" fillId="0" borderId="7" xfId="0" applyFont="1" applyFill="1" applyBorder="1" applyAlignment="1" applyProtection="1">
      <alignment horizontal="center" vertical="center"/>
      <protection locked="0"/>
    </xf>
    <xf numFmtId="0" fontId="18" fillId="0" borderId="0" xfId="0" applyFont="1" applyFill="1" applyBorder="1" applyAlignment="1" applyProtection="1">
      <alignment horizontal="left" vertical="center"/>
      <protection hidden="1"/>
    </xf>
    <xf numFmtId="0" fontId="18" fillId="0" borderId="0" xfId="0" applyFont="1" applyFill="1" applyBorder="1" applyAlignment="1" applyProtection="1">
      <alignment horizontal="left" vertical="center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hidden="1"/>
    </xf>
    <xf numFmtId="0" fontId="5" fillId="0" borderId="2" xfId="0" applyFont="1" applyFill="1" applyBorder="1" applyAlignment="1" applyProtection="1">
      <alignment horizontal="center" vertical="center" wrapText="1"/>
      <protection hidden="1"/>
    </xf>
    <xf numFmtId="0" fontId="5" fillId="0" borderId="10" xfId="0" applyFont="1" applyFill="1" applyBorder="1" applyAlignment="1" applyProtection="1">
      <alignment horizontal="center" vertical="center" wrapText="1"/>
      <protection hidden="1"/>
    </xf>
    <xf numFmtId="0" fontId="5" fillId="0" borderId="5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5" fillId="0" borderId="8" xfId="0" applyFont="1" applyFill="1" applyBorder="1" applyAlignment="1" applyProtection="1">
      <alignment horizontal="center" vertical="center" wrapText="1"/>
      <protection hidden="1"/>
    </xf>
    <xf numFmtId="0" fontId="18" fillId="0" borderId="0" xfId="0" applyFont="1" applyFill="1" applyBorder="1" applyAlignment="1" applyProtection="1">
      <alignment horizontal="right" vertical="center"/>
      <protection locked="0"/>
    </xf>
    <xf numFmtId="0" fontId="5" fillId="0" borderId="32" xfId="0" applyFont="1" applyFill="1" applyBorder="1" applyAlignment="1" applyProtection="1">
      <alignment horizontal="center" vertical="center"/>
      <protection hidden="1"/>
    </xf>
    <xf numFmtId="0" fontId="5" fillId="0" borderId="17" xfId="0" applyFont="1" applyFill="1" applyBorder="1" applyAlignment="1" applyProtection="1">
      <alignment horizontal="center" vertical="center"/>
      <protection hidden="1"/>
    </xf>
    <xf numFmtId="0" fontId="5" fillId="0" borderId="30" xfId="0" applyFont="1" applyFill="1" applyBorder="1" applyAlignment="1" applyProtection="1">
      <alignment horizontal="center" vertical="center"/>
      <protection hidden="1"/>
    </xf>
    <xf numFmtId="0" fontId="18" fillId="0" borderId="7" xfId="0" applyNumberFormat="1" applyFont="1" applyBorder="1" applyAlignment="1" applyProtection="1">
      <alignment horizontal="center" vertical="center"/>
      <protection locked="0"/>
    </xf>
    <xf numFmtId="0" fontId="9" fillId="0" borderId="5" xfId="0" applyFont="1" applyFill="1" applyBorder="1" applyAlignment="1" applyProtection="1">
      <alignment horizontal="center" vertical="center" wrapText="1"/>
      <protection hidden="1"/>
    </xf>
    <xf numFmtId="0" fontId="9" fillId="0" borderId="0" xfId="0" applyFont="1" applyFill="1" applyBorder="1" applyAlignment="1" applyProtection="1">
      <alignment horizontal="center" vertical="center" wrapText="1"/>
      <protection hidden="1"/>
    </xf>
    <xf numFmtId="0" fontId="9" fillId="0" borderId="8" xfId="0" applyFont="1" applyFill="1" applyBorder="1" applyAlignment="1" applyProtection="1">
      <alignment horizontal="center" vertical="center" wrapText="1"/>
      <protection hidden="1"/>
    </xf>
    <xf numFmtId="0" fontId="9" fillId="0" borderId="6" xfId="0" applyFont="1" applyFill="1" applyBorder="1" applyAlignment="1" applyProtection="1">
      <alignment horizontal="center" vertical="center" wrapText="1"/>
      <protection hidden="1"/>
    </xf>
    <xf numFmtId="0" fontId="9" fillId="0" borderId="7" xfId="0" applyFont="1" applyFill="1" applyBorder="1" applyAlignment="1" applyProtection="1">
      <alignment horizontal="center" vertical="center" wrapText="1"/>
      <protection hidden="1"/>
    </xf>
    <xf numFmtId="0" fontId="9" fillId="0" borderId="9" xfId="0" applyFont="1" applyFill="1" applyBorder="1" applyAlignment="1" applyProtection="1">
      <alignment horizontal="center" vertical="center" wrapText="1"/>
      <protection hidden="1"/>
    </xf>
    <xf numFmtId="1" fontId="4" fillId="0" borderId="32" xfId="0" applyNumberFormat="1" applyFont="1" applyBorder="1" applyAlignment="1" applyProtection="1">
      <alignment horizontal="center" vertical="center"/>
      <protection hidden="1"/>
    </xf>
    <xf numFmtId="1" fontId="4" fillId="0" borderId="17" xfId="0" applyNumberFormat="1" applyFont="1" applyBorder="1" applyAlignment="1" applyProtection="1">
      <alignment horizontal="center" vertical="center"/>
      <protection hidden="1"/>
    </xf>
    <xf numFmtId="1" fontId="4" fillId="0" borderId="30" xfId="0" applyNumberFormat="1" applyFont="1" applyBorder="1" applyAlignment="1" applyProtection="1">
      <alignment horizontal="center" vertical="center"/>
      <protection hidden="1"/>
    </xf>
    <xf numFmtId="0" fontId="4" fillId="0" borderId="34" xfId="0" applyNumberFormat="1" applyFont="1" applyFill="1" applyBorder="1" applyAlignment="1" applyProtection="1">
      <alignment horizontal="center" vertical="center"/>
      <protection hidden="1"/>
    </xf>
    <xf numFmtId="0" fontId="4" fillId="0" borderId="35" xfId="0" applyNumberFormat="1" applyFont="1" applyFill="1" applyBorder="1" applyAlignment="1" applyProtection="1">
      <alignment horizontal="center" vertical="center"/>
      <protection hidden="1"/>
    </xf>
    <xf numFmtId="0" fontId="4" fillId="0" borderId="36" xfId="0" applyNumberFormat="1" applyFont="1" applyFill="1" applyBorder="1" applyAlignment="1" applyProtection="1">
      <alignment horizontal="center" vertical="center"/>
      <protection hidden="1"/>
    </xf>
    <xf numFmtId="0" fontId="18" fillId="0" borderId="0" xfId="0" applyFont="1" applyFill="1" applyBorder="1" applyAlignment="1" applyProtection="1">
      <alignment horizontal="left"/>
      <protection hidden="1"/>
    </xf>
    <xf numFmtId="0" fontId="18" fillId="0" borderId="0" xfId="0" applyFont="1" applyFill="1" applyBorder="1" applyAlignment="1" applyProtection="1">
      <alignment horizontal="left"/>
      <protection locked="0"/>
    </xf>
    <xf numFmtId="0" fontId="7" fillId="0" borderId="32" xfId="0" applyFont="1" applyFill="1" applyBorder="1" applyAlignment="1" applyProtection="1">
      <alignment horizontal="center" vertical="center"/>
      <protection hidden="1"/>
    </xf>
    <xf numFmtId="0" fontId="7" fillId="0" borderId="17" xfId="0" applyFont="1" applyFill="1" applyBorder="1" applyAlignment="1" applyProtection="1">
      <alignment horizontal="center" vertical="center"/>
      <protection hidden="1"/>
    </xf>
    <xf numFmtId="1" fontId="4" fillId="0" borderId="18" xfId="0" applyNumberFormat="1" applyFont="1" applyBorder="1" applyAlignment="1" applyProtection="1">
      <alignment horizontal="center" vertical="center"/>
      <protection hidden="1"/>
    </xf>
    <xf numFmtId="0" fontId="18" fillId="0" borderId="0" xfId="0" applyFont="1" applyFill="1" applyBorder="1" applyAlignment="1" applyProtection="1">
      <alignment horizontal="center" vertical="center"/>
      <protection locked="0"/>
    </xf>
    <xf numFmtId="0" fontId="8" fillId="0" borderId="7" xfId="0" applyFont="1" applyFill="1" applyBorder="1" applyAlignment="1" applyProtection="1">
      <alignment horizontal="center" vertical="center"/>
      <protection hidden="1"/>
    </xf>
    <xf numFmtId="0" fontId="8" fillId="0" borderId="9" xfId="0" applyFont="1" applyFill="1" applyBorder="1" applyAlignment="1" applyProtection="1">
      <alignment horizontal="center" vertical="center"/>
      <protection hidden="1"/>
    </xf>
    <xf numFmtId="0" fontId="4" fillId="0" borderId="5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8" xfId="0" applyFont="1" applyFill="1" applyBorder="1" applyAlignment="1" applyProtection="1">
      <alignment horizontal="center" vertical="center" wrapText="1"/>
      <protection hidden="1"/>
    </xf>
    <xf numFmtId="0" fontId="4" fillId="0" borderId="6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Fill="1" applyBorder="1" applyAlignment="1" applyProtection="1">
      <alignment horizontal="center" vertical="center" wrapText="1"/>
      <protection hidden="1"/>
    </xf>
    <xf numFmtId="0" fontId="4" fillId="0" borderId="9" xfId="0" applyFont="1" applyFill="1" applyBorder="1" applyAlignment="1" applyProtection="1">
      <alignment horizontal="center" vertical="center" wrapText="1"/>
      <protection hidden="1"/>
    </xf>
    <xf numFmtId="0" fontId="18" fillId="0" borderId="0" xfId="0" applyFont="1" applyFill="1" applyBorder="1" applyAlignment="1" applyProtection="1">
      <alignment horizontal="center" vertical="center"/>
      <protection hidden="1"/>
    </xf>
    <xf numFmtId="0" fontId="4" fillId="0" borderId="33" xfId="0" applyNumberFormat="1" applyFont="1" applyFill="1" applyBorder="1" applyAlignment="1" applyProtection="1">
      <alignment horizontal="center" vertical="center"/>
      <protection hidden="1"/>
    </xf>
    <xf numFmtId="0" fontId="6" fillId="0" borderId="1" xfId="0" applyFont="1" applyFill="1" applyBorder="1" applyAlignment="1" applyProtection="1">
      <alignment horizontal="center" vertical="center" wrapText="1"/>
      <protection locked="0"/>
    </xf>
    <xf numFmtId="0" fontId="6" fillId="0" borderId="2" xfId="0" applyFont="1" applyFill="1" applyBorder="1" applyAlignment="1" applyProtection="1">
      <alignment horizontal="center" vertical="center" wrapText="1"/>
      <protection locked="0"/>
    </xf>
    <xf numFmtId="0" fontId="6" fillId="0" borderId="10" xfId="0" applyFont="1" applyFill="1" applyBorder="1" applyAlignment="1" applyProtection="1">
      <alignment horizontal="center" vertical="center" wrapText="1"/>
      <protection locked="0"/>
    </xf>
    <xf numFmtId="0" fontId="6" fillId="0" borderId="5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6" fillId="0" borderId="8" xfId="0" applyFont="1" applyFill="1" applyBorder="1" applyAlignment="1" applyProtection="1">
      <alignment horizontal="center" vertical="center" wrapText="1"/>
      <protection locked="0"/>
    </xf>
    <xf numFmtId="0" fontId="6" fillId="0" borderId="6" xfId="0" applyFont="1" applyFill="1" applyBorder="1" applyAlignment="1" applyProtection="1">
      <alignment horizontal="center" vertical="center" wrapText="1"/>
      <protection locked="0"/>
    </xf>
    <xf numFmtId="0" fontId="6" fillId="0" borderId="7" xfId="0" applyFont="1" applyFill="1" applyBorder="1" applyAlignment="1" applyProtection="1">
      <alignment horizontal="center" vertical="center" wrapText="1"/>
      <protection locked="0"/>
    </xf>
    <xf numFmtId="0" fontId="6" fillId="0" borderId="9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/>
      <protection hidden="1"/>
    </xf>
    <xf numFmtId="0" fontId="5" fillId="0" borderId="2" xfId="0" applyFont="1" applyFill="1" applyBorder="1" applyAlignment="1" applyProtection="1">
      <alignment horizontal="center" vertical="center"/>
      <protection hidden="1"/>
    </xf>
    <xf numFmtId="0" fontId="5" fillId="0" borderId="10" xfId="0" applyFont="1" applyFill="1" applyBorder="1" applyAlignment="1" applyProtection="1">
      <alignment horizontal="center" vertical="center"/>
      <protection hidden="1"/>
    </xf>
    <xf numFmtId="0" fontId="9" fillId="0" borderId="17" xfId="0" applyFont="1" applyFill="1" applyBorder="1" applyAlignment="1" applyProtection="1">
      <alignment horizontal="center" vertical="center"/>
      <protection hidden="1"/>
    </xf>
    <xf numFmtId="0" fontId="10" fillId="0" borderId="2" xfId="0" applyFont="1" applyFill="1" applyBorder="1" applyAlignment="1" applyProtection="1">
      <alignment horizontal="left" vertical="center"/>
      <protection hidden="1"/>
    </xf>
    <xf numFmtId="0" fontId="10" fillId="0" borderId="10" xfId="0" applyFont="1" applyFill="1" applyBorder="1" applyAlignment="1" applyProtection="1">
      <alignment horizontal="left" vertical="center"/>
      <protection hidden="1"/>
    </xf>
    <xf numFmtId="0" fontId="4" fillId="0" borderId="1" xfId="0" applyFont="1" applyFill="1" applyBorder="1" applyAlignment="1" applyProtection="1">
      <alignment horizontal="center" vertical="center" wrapText="1"/>
      <protection hidden="1"/>
    </xf>
    <xf numFmtId="0" fontId="4" fillId="0" borderId="2" xfId="0" applyFont="1" applyFill="1" applyBorder="1" applyAlignment="1" applyProtection="1">
      <alignment horizontal="center" vertical="center" wrapText="1"/>
      <protection hidden="1"/>
    </xf>
    <xf numFmtId="0" fontId="4" fillId="0" borderId="10" xfId="0" applyFont="1" applyFill="1" applyBorder="1" applyAlignment="1" applyProtection="1">
      <alignment horizontal="center" vertical="center" wrapText="1"/>
      <protection hidden="1"/>
    </xf>
    <xf numFmtId="0" fontId="6" fillId="0" borderId="5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Fill="1" applyBorder="1" applyAlignment="1" applyProtection="1">
      <alignment horizontal="center" vertical="center" wrapText="1"/>
      <protection hidden="1"/>
    </xf>
    <xf numFmtId="0" fontId="6" fillId="0" borderId="8" xfId="0" applyFont="1" applyFill="1" applyBorder="1" applyAlignment="1" applyProtection="1">
      <alignment horizontal="center" vertical="center" wrapText="1"/>
      <protection hidden="1"/>
    </xf>
    <xf numFmtId="0" fontId="7" fillId="0" borderId="5" xfId="0" applyFont="1" applyFill="1" applyBorder="1" applyAlignment="1" applyProtection="1">
      <alignment horizontal="center" vertical="center" wrapText="1"/>
      <protection hidden="1"/>
    </xf>
    <xf numFmtId="0" fontId="7" fillId="0" borderId="0" xfId="0" applyFont="1" applyFill="1" applyBorder="1" applyAlignment="1" applyProtection="1">
      <alignment horizontal="center" vertical="center" wrapText="1"/>
      <protection hidden="1"/>
    </xf>
    <xf numFmtId="0" fontId="11" fillId="0" borderId="5" xfId="0" applyFont="1" applyFill="1" applyBorder="1" applyAlignment="1" applyProtection="1">
      <alignment horizontal="center" vertical="center"/>
      <protection hidden="1"/>
    </xf>
    <xf numFmtId="0" fontId="11" fillId="0" borderId="0" xfId="0" applyFont="1" applyFill="1" applyBorder="1" applyAlignment="1" applyProtection="1">
      <alignment horizontal="center" vertical="center"/>
      <protection hidden="1"/>
    </xf>
    <xf numFmtId="0" fontId="11" fillId="0" borderId="8" xfId="0" applyFont="1" applyFill="1" applyBorder="1" applyAlignment="1" applyProtection="1">
      <alignment horizontal="center" vertical="center"/>
      <protection hidden="1"/>
    </xf>
    <xf numFmtId="0" fontId="11" fillId="0" borderId="6" xfId="0" applyFont="1" applyFill="1" applyBorder="1" applyAlignment="1" applyProtection="1">
      <alignment horizontal="center" vertical="center"/>
      <protection hidden="1"/>
    </xf>
    <xf numFmtId="0" fontId="11" fillId="0" borderId="7" xfId="0" applyFont="1" applyFill="1" applyBorder="1" applyAlignment="1" applyProtection="1">
      <alignment horizontal="center" vertical="center"/>
      <protection hidden="1"/>
    </xf>
    <xf numFmtId="0" fontId="11" fillId="0" borderId="9" xfId="0" applyFont="1" applyFill="1" applyBorder="1" applyAlignment="1" applyProtection="1">
      <alignment horizontal="center" vertical="center"/>
      <protection hidden="1"/>
    </xf>
    <xf numFmtId="0" fontId="18" fillId="0" borderId="5" xfId="0" applyFont="1" applyFill="1" applyBorder="1" applyAlignment="1" applyProtection="1">
      <alignment horizontal="center" vertical="center" wrapText="1"/>
      <protection locked="0"/>
    </xf>
    <xf numFmtId="0" fontId="18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 wrapText="1"/>
      <protection locked="0"/>
    </xf>
    <xf numFmtId="0" fontId="18" fillId="0" borderId="6" xfId="0" applyFont="1" applyFill="1" applyBorder="1" applyAlignment="1" applyProtection="1">
      <alignment horizontal="center" vertical="center" wrapText="1"/>
      <protection locked="0"/>
    </xf>
    <xf numFmtId="0" fontId="18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11" fillId="0" borderId="17" xfId="0" applyFont="1" applyFill="1" applyBorder="1" applyAlignment="1" applyProtection="1">
      <alignment horizontal="center" vertical="center" wrapText="1"/>
      <protection hidden="1"/>
    </xf>
    <xf numFmtId="0" fontId="4" fillId="0" borderId="17" xfId="0" applyFont="1" applyBorder="1" applyAlignment="1" applyProtection="1">
      <alignment horizontal="center" vertical="center" wrapText="1"/>
      <protection hidden="1"/>
    </xf>
    <xf numFmtId="0" fontId="4" fillId="0" borderId="30" xfId="0" applyFont="1" applyBorder="1" applyAlignment="1" applyProtection="1">
      <alignment horizontal="center" vertical="center" wrapText="1"/>
      <protection hidden="1"/>
    </xf>
    <xf numFmtId="0" fontId="18" fillId="0" borderId="32" xfId="0" applyFont="1" applyFill="1" applyBorder="1" applyAlignment="1" applyProtection="1">
      <alignment horizontal="center" vertical="center" wrapText="1"/>
      <protection locked="0"/>
    </xf>
    <xf numFmtId="0" fontId="18" fillId="0" borderId="17" xfId="0" applyFont="1" applyFill="1" applyBorder="1" applyAlignment="1" applyProtection="1">
      <alignment horizontal="center" vertical="center" wrapText="1"/>
      <protection locked="0"/>
    </xf>
    <xf numFmtId="0" fontId="4" fillId="0" borderId="17" xfId="0" applyFont="1" applyBorder="1" applyAlignment="1" applyProtection="1">
      <alignment horizontal="center" vertical="center" wrapText="1"/>
      <protection locked="0"/>
    </xf>
    <xf numFmtId="0" fontId="4" fillId="0" borderId="30" xfId="0" applyFont="1" applyBorder="1" applyAlignment="1" applyProtection="1">
      <alignment horizontal="center" vertical="center" wrapText="1"/>
      <protection locked="0"/>
    </xf>
    <xf numFmtId="0" fontId="7" fillId="0" borderId="31" xfId="0" applyFont="1" applyFill="1" applyBorder="1" applyAlignment="1" applyProtection="1">
      <alignment horizontal="center" vertical="center"/>
      <protection hidden="1"/>
    </xf>
    <xf numFmtId="0" fontId="7" fillId="0" borderId="12" xfId="0" applyFont="1" applyFill="1" applyBorder="1" applyAlignment="1" applyProtection="1">
      <alignment horizontal="center" vertical="center"/>
      <protection hidden="1"/>
    </xf>
    <xf numFmtId="0" fontId="7" fillId="0" borderId="11" xfId="0" applyFont="1" applyFill="1" applyBorder="1" applyAlignment="1" applyProtection="1">
      <alignment horizontal="center" vertical="center" textRotation="90" wrapText="1"/>
      <protection hidden="1"/>
    </xf>
    <xf numFmtId="0" fontId="4" fillId="0" borderId="18" xfId="0" applyNumberFormat="1" applyFont="1" applyFill="1" applyBorder="1" applyAlignment="1" applyProtection="1">
      <alignment horizontal="center" vertical="center"/>
      <protection locked="0"/>
    </xf>
    <xf numFmtId="1" fontId="4" fillId="0" borderId="32" xfId="0" applyNumberFormat="1" applyFont="1" applyBorder="1" applyAlignment="1" applyProtection="1">
      <alignment horizontal="center" vertical="center"/>
      <protection locked="0"/>
    </xf>
    <xf numFmtId="1" fontId="4" fillId="0" borderId="17" xfId="0" applyNumberFormat="1" applyFont="1" applyBorder="1" applyAlignment="1" applyProtection="1">
      <alignment horizontal="center" vertical="center"/>
      <protection locked="0"/>
    </xf>
    <xf numFmtId="1" fontId="4" fillId="0" borderId="30" xfId="0" applyNumberFormat="1" applyFont="1" applyBorder="1" applyAlignment="1" applyProtection="1">
      <alignment horizontal="center" vertical="center"/>
      <protection locked="0"/>
    </xf>
    <xf numFmtId="1" fontId="4" fillId="0" borderId="18" xfId="0" applyNumberFormat="1" applyFont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8" xfId="0" applyFont="1" applyFill="1" applyBorder="1" applyAlignment="1" applyProtection="1">
      <alignment horizontal="center" vertical="center"/>
      <protection locked="0"/>
    </xf>
    <xf numFmtId="0" fontId="12" fillId="0" borderId="5" xfId="0" applyFont="1" applyFill="1" applyBorder="1" applyAlignment="1" applyProtection="1">
      <alignment horizontal="center" vertical="center"/>
      <protection locked="0"/>
    </xf>
    <xf numFmtId="14" fontId="12" fillId="0" borderId="5" xfId="0" applyNumberFormat="1" applyFont="1" applyFill="1" applyBorder="1" applyAlignment="1" applyProtection="1">
      <alignment horizontal="center" vertical="center"/>
      <protection locked="0"/>
    </xf>
    <xf numFmtId="14" fontId="12" fillId="0" borderId="0" xfId="0" applyNumberFormat="1" applyFont="1" applyFill="1" applyBorder="1" applyAlignment="1" applyProtection="1">
      <alignment horizontal="center" vertical="center"/>
      <protection locked="0"/>
    </xf>
    <xf numFmtId="14" fontId="12" fillId="0" borderId="8" xfId="0" applyNumberFormat="1" applyFont="1" applyFill="1" applyBorder="1" applyAlignment="1" applyProtection="1">
      <alignment horizontal="center" vertical="center"/>
      <protection locked="0"/>
    </xf>
    <xf numFmtId="0" fontId="18" fillId="0" borderId="7" xfId="0" applyFont="1" applyFill="1" applyBorder="1" applyAlignment="1" applyProtection="1">
      <protection hidden="1"/>
    </xf>
    <xf numFmtId="0" fontId="18" fillId="0" borderId="7" xfId="0" applyFont="1" applyFill="1" applyBorder="1" applyAlignment="1" applyProtection="1">
      <protection locked="0"/>
    </xf>
    <xf numFmtId="0" fontId="7" fillId="0" borderId="13" xfId="0" applyFont="1" applyFill="1" applyBorder="1" applyAlignment="1" applyProtection="1">
      <alignment horizontal="center" vertical="center"/>
      <protection hidden="1"/>
    </xf>
    <xf numFmtId="0" fontId="7" fillId="0" borderId="6" xfId="0" applyFont="1" applyFill="1" applyBorder="1" applyAlignment="1" applyProtection="1">
      <alignment horizontal="center" vertical="center"/>
      <protection hidden="1"/>
    </xf>
    <xf numFmtId="0" fontId="7" fillId="0" borderId="7" xfId="0" applyFont="1" applyFill="1" applyBorder="1" applyAlignment="1" applyProtection="1">
      <alignment horizontal="center" vertical="center"/>
      <protection hidden="1"/>
    </xf>
    <xf numFmtId="0" fontId="7" fillId="0" borderId="9" xfId="0" applyFont="1" applyFill="1" applyBorder="1" applyAlignment="1" applyProtection="1">
      <alignment horizontal="center" vertical="center"/>
      <protection hidden="1"/>
    </xf>
    <xf numFmtId="0" fontId="18" fillId="0" borderId="14" xfId="0" applyFont="1" applyFill="1" applyBorder="1" applyAlignment="1" applyProtection="1">
      <alignment vertical="center"/>
      <protection hidden="1"/>
    </xf>
    <xf numFmtId="0" fontId="18" fillId="0" borderId="15" xfId="0" applyFont="1" applyFill="1" applyBorder="1" applyAlignment="1" applyProtection="1">
      <alignment vertical="center"/>
      <protection hidden="1"/>
    </xf>
    <xf numFmtId="11" fontId="18" fillId="0" borderId="15" xfId="0" applyNumberFormat="1" applyFont="1" applyFill="1" applyBorder="1" applyAlignment="1" applyProtection="1">
      <alignment horizontal="center" vertical="center"/>
      <protection hidden="1"/>
    </xf>
    <xf numFmtId="0" fontId="18" fillId="0" borderId="16" xfId="0" applyFont="1" applyFill="1" applyBorder="1" applyAlignment="1" applyProtection="1">
      <alignment horizontal="center" vertical="center"/>
      <protection hidden="1"/>
    </xf>
    <xf numFmtId="0" fontId="18" fillId="0" borderId="0" xfId="0" applyFont="1" applyFill="1" applyBorder="1" applyProtection="1">
      <protection hidden="1"/>
    </xf>
    <xf numFmtId="1" fontId="18" fillId="0" borderId="0" xfId="0" applyNumberFormat="1" applyFont="1" applyFill="1" applyBorder="1" applyAlignment="1" applyProtection="1">
      <alignment horizontal="center" vertical="center"/>
      <protection hidden="1"/>
    </xf>
    <xf numFmtId="1" fontId="18" fillId="0" borderId="7" xfId="0" applyNumberFormat="1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vertical="center" wrapText="1"/>
      <protection locked="0"/>
    </xf>
    <xf numFmtId="0" fontId="4" fillId="0" borderId="2" xfId="0" applyFont="1" applyFill="1" applyBorder="1" applyAlignment="1" applyProtection="1">
      <alignment vertical="center" wrapText="1"/>
      <protection locked="0"/>
    </xf>
    <xf numFmtId="0" fontId="4" fillId="0" borderId="2" xfId="0" applyFont="1" applyBorder="1" applyAlignment="1" applyProtection="1">
      <alignment vertical="center" wrapText="1"/>
      <protection locked="0"/>
    </xf>
    <xf numFmtId="0" fontId="4" fillId="0" borderId="10" xfId="0" applyFont="1" applyBorder="1" applyAlignment="1" applyProtection="1">
      <alignment vertical="center" wrapText="1"/>
      <protection locked="0"/>
    </xf>
    <xf numFmtId="0" fontId="4" fillId="0" borderId="5" xfId="0" applyFont="1" applyFill="1" applyBorder="1" applyAlignment="1" applyProtection="1">
      <alignment vertical="center" wrapText="1"/>
      <protection locked="0"/>
    </xf>
    <xf numFmtId="0" fontId="4" fillId="0" borderId="8" xfId="0" applyFont="1" applyBorder="1" applyAlignment="1" applyProtection="1">
      <alignment vertical="center" wrapText="1"/>
      <protection locked="0"/>
    </xf>
    <xf numFmtId="0" fontId="4" fillId="0" borderId="6" xfId="0" applyFont="1" applyFill="1" applyBorder="1" applyAlignment="1" applyProtection="1">
      <alignment vertical="center" wrapText="1"/>
      <protection locked="0"/>
    </xf>
    <xf numFmtId="0" fontId="4" fillId="0" borderId="7" xfId="0" applyFont="1" applyFill="1" applyBorder="1" applyAlignment="1" applyProtection="1">
      <alignment vertical="center" wrapText="1"/>
      <protection locked="0"/>
    </xf>
    <xf numFmtId="0" fontId="4" fillId="0" borderId="7" xfId="0" applyFont="1" applyBorder="1" applyAlignment="1" applyProtection="1">
      <alignment vertical="center" wrapText="1"/>
      <protection locked="0"/>
    </xf>
    <xf numFmtId="0" fontId="4" fillId="0" borderId="9" xfId="0" applyFont="1" applyBorder="1" applyAlignment="1" applyProtection="1">
      <alignment vertical="center" wrapText="1"/>
      <protection locked="0"/>
    </xf>
    <xf numFmtId="0" fontId="18" fillId="0" borderId="0" xfId="0" applyFont="1" applyFill="1" applyAlignment="1" applyProtection="1">
      <alignment vertical="center"/>
      <protection hidden="1"/>
    </xf>
    <xf numFmtId="11" fontId="12" fillId="0" borderId="14" xfId="0" applyNumberFormat="1" applyFont="1" applyFill="1" applyBorder="1" applyAlignment="1" applyProtection="1">
      <alignment horizontal="center" vertical="center"/>
      <protection hidden="1"/>
    </xf>
    <xf numFmtId="0" fontId="12" fillId="0" borderId="15" xfId="0" applyFont="1" applyFill="1" applyBorder="1" applyAlignment="1" applyProtection="1">
      <alignment horizontal="center" vertical="center"/>
      <protection hidden="1"/>
    </xf>
    <xf numFmtId="0" fontId="12" fillId="0" borderId="16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vertical="center"/>
      <protection hidden="1"/>
    </xf>
    <xf numFmtId="11" fontId="12" fillId="0" borderId="15" xfId="0" applyNumberFormat="1" applyFont="1" applyFill="1" applyBorder="1" applyAlignment="1" applyProtection="1">
      <alignment horizontal="center" vertical="center"/>
    </xf>
    <xf numFmtId="167" fontId="12" fillId="0" borderId="0" xfId="1" applyNumberFormat="1" applyFont="1" applyFill="1" applyBorder="1" applyAlignment="1" applyProtection="1">
      <alignment horizontal="center" vertical="center"/>
      <protection locked="0"/>
    </xf>
    <xf numFmtId="167" fontId="12" fillId="0" borderId="8" xfId="1" applyNumberFormat="1" applyFont="1" applyFill="1" applyBorder="1" applyAlignment="1" applyProtection="1">
      <alignment horizontal="center" vertical="center"/>
      <protection locked="0"/>
    </xf>
    <xf numFmtId="0" fontId="12" fillId="0" borderId="5" xfId="1" applyFont="1" applyFill="1" applyBorder="1" applyAlignment="1" applyProtection="1">
      <alignment horizontal="center" vertical="center"/>
      <protection locked="0"/>
    </xf>
    <xf numFmtId="0" fontId="12" fillId="0" borderId="0" xfId="1" applyFont="1" applyFill="1" applyBorder="1" applyAlignment="1" applyProtection="1">
      <alignment horizontal="center" vertical="center"/>
      <protection locked="0"/>
    </xf>
    <xf numFmtId="0" fontId="12" fillId="0" borderId="8" xfId="1" applyFont="1" applyFill="1" applyBorder="1" applyAlignment="1" applyProtection="1">
      <alignment horizontal="center" vertical="center"/>
      <protection locked="0"/>
    </xf>
    <xf numFmtId="14" fontId="12" fillId="0" borderId="5" xfId="1" applyNumberFormat="1" applyFont="1" applyFill="1" applyBorder="1" applyAlignment="1" applyProtection="1">
      <alignment horizontal="center" vertical="center"/>
      <protection locked="0"/>
    </xf>
    <xf numFmtId="14" fontId="12" fillId="0" borderId="0" xfId="1" applyNumberFormat="1" applyFont="1" applyFill="1" applyBorder="1" applyAlignment="1" applyProtection="1">
      <alignment horizontal="center" vertical="center"/>
      <protection locked="0"/>
    </xf>
    <xf numFmtId="14" fontId="12" fillId="0" borderId="8" xfId="1" applyNumberFormat="1" applyFont="1" applyFill="1" applyBorder="1" applyAlignment="1" applyProtection="1">
      <alignment horizontal="center" vertical="center"/>
      <protection locked="0"/>
    </xf>
    <xf numFmtId="0" fontId="18" fillId="0" borderId="7" xfId="1" applyFont="1" applyFill="1" applyBorder="1" applyAlignment="1" applyProtection="1">
      <protection hidden="1"/>
    </xf>
    <xf numFmtId="0" fontId="18" fillId="0" borderId="7" xfId="1" applyFont="1" applyFill="1" applyBorder="1" applyAlignment="1" applyProtection="1">
      <protection locked="0"/>
    </xf>
    <xf numFmtId="0" fontId="7" fillId="0" borderId="13" xfId="1" applyFont="1" applyFill="1" applyBorder="1" applyAlignment="1" applyProtection="1">
      <alignment horizontal="center" vertical="center"/>
      <protection hidden="1"/>
    </xf>
    <xf numFmtId="0" fontId="4" fillId="0" borderId="1" xfId="1" applyFont="1" applyFill="1" applyBorder="1" applyAlignment="1" applyProtection="1">
      <alignment vertical="center" wrapText="1"/>
      <protection locked="0"/>
    </xf>
    <xf numFmtId="0" fontId="4" fillId="0" borderId="2" xfId="1" applyFont="1" applyFill="1" applyBorder="1" applyAlignment="1" applyProtection="1">
      <alignment vertical="center" wrapText="1"/>
      <protection locked="0"/>
    </xf>
    <xf numFmtId="0" fontId="4" fillId="0" borderId="2" xfId="1" applyFont="1" applyBorder="1" applyAlignment="1" applyProtection="1">
      <alignment vertical="center" wrapText="1"/>
      <protection locked="0"/>
    </xf>
    <xf numFmtId="0" fontId="4" fillId="0" borderId="10" xfId="1" applyFont="1" applyBorder="1" applyAlignment="1" applyProtection="1">
      <alignment vertical="center" wrapText="1"/>
      <protection locked="0"/>
    </xf>
    <xf numFmtId="0" fontId="4" fillId="0" borderId="5" xfId="1" applyFont="1" applyFill="1" applyBorder="1" applyAlignment="1" applyProtection="1">
      <alignment vertical="center" wrapText="1"/>
      <protection locked="0"/>
    </xf>
    <xf numFmtId="0" fontId="4" fillId="0" borderId="8" xfId="1" applyFont="1" applyBorder="1" applyAlignment="1" applyProtection="1">
      <alignment vertical="center" wrapText="1"/>
      <protection locked="0"/>
    </xf>
    <xf numFmtId="0" fontId="4" fillId="0" borderId="6" xfId="1" applyFont="1" applyFill="1" applyBorder="1" applyAlignment="1" applyProtection="1">
      <alignment vertical="center" wrapText="1"/>
      <protection locked="0"/>
    </xf>
    <xf numFmtId="0" fontId="4" fillId="0" borderId="7" xfId="1" applyFont="1" applyFill="1" applyBorder="1" applyAlignment="1" applyProtection="1">
      <alignment vertical="center" wrapText="1"/>
      <protection locked="0"/>
    </xf>
    <xf numFmtId="0" fontId="4" fillId="0" borderId="7" xfId="1" applyFont="1" applyBorder="1" applyAlignment="1" applyProtection="1">
      <alignment vertical="center" wrapText="1"/>
      <protection locked="0"/>
    </xf>
    <xf numFmtId="0" fontId="4" fillId="0" borderId="9" xfId="1" applyFont="1" applyBorder="1" applyAlignment="1" applyProtection="1">
      <alignment vertical="center" wrapText="1"/>
      <protection locked="0"/>
    </xf>
    <xf numFmtId="0" fontId="18" fillId="0" borderId="5" xfId="1" applyFont="1" applyFill="1" applyBorder="1" applyAlignment="1" applyProtection="1">
      <alignment horizontal="left" vertical="center" wrapText="1"/>
      <protection locked="0"/>
    </xf>
    <xf numFmtId="0" fontId="18" fillId="0" borderId="0" xfId="1" applyFont="1" applyFill="1" applyBorder="1" applyAlignment="1" applyProtection="1">
      <alignment horizontal="left" vertical="center" wrapText="1"/>
      <protection locked="0"/>
    </xf>
    <xf numFmtId="0" fontId="18" fillId="0" borderId="8" xfId="1" applyFont="1" applyFill="1" applyBorder="1" applyAlignment="1" applyProtection="1">
      <alignment horizontal="left" vertical="center" wrapText="1"/>
      <protection locked="0"/>
    </xf>
    <xf numFmtId="0" fontId="18" fillId="0" borderId="6" xfId="1" applyFont="1" applyFill="1" applyBorder="1" applyAlignment="1" applyProtection="1">
      <alignment horizontal="left" vertical="center" wrapText="1"/>
      <protection locked="0"/>
    </xf>
    <xf numFmtId="0" fontId="18" fillId="0" borderId="7" xfId="1" applyFont="1" applyFill="1" applyBorder="1" applyAlignment="1" applyProtection="1">
      <alignment horizontal="left" vertical="center" wrapText="1"/>
      <protection locked="0"/>
    </xf>
    <xf numFmtId="0" fontId="18" fillId="0" borderId="9" xfId="1" applyFont="1" applyFill="1" applyBorder="1" applyAlignment="1" applyProtection="1">
      <alignment horizontal="left" vertical="center" wrapText="1"/>
      <protection locked="0"/>
    </xf>
    <xf numFmtId="0" fontId="7" fillId="0" borderId="6" xfId="1" applyFont="1" applyFill="1" applyBorder="1" applyAlignment="1" applyProtection="1">
      <alignment horizontal="center" vertical="center"/>
      <protection hidden="1"/>
    </xf>
    <xf numFmtId="0" fontId="7" fillId="0" borderId="7" xfId="1" applyFont="1" applyFill="1" applyBorder="1" applyAlignment="1" applyProtection="1">
      <alignment horizontal="center" vertical="center"/>
      <protection hidden="1"/>
    </xf>
    <xf numFmtId="0" fontId="7" fillId="0" borderId="9" xfId="1" applyFont="1" applyFill="1" applyBorder="1" applyAlignment="1" applyProtection="1">
      <alignment horizontal="center" vertical="center"/>
      <protection hidden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192005751258087"/>
          <c:y val="8.4985835694050993E-2"/>
          <c:w val="0.81154392523364483"/>
          <c:h val="0.7478753541076487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'CRE INF SA'!$B$27:$B$39</c:f>
              <c:numCache>
                <c:formatCode>0</c:formatCode>
                <c:ptCount val="13"/>
                <c:pt idx="0">
                  <c:v>0</c:v>
                </c:pt>
                <c:pt idx="1">
                  <c:v>1200</c:v>
                </c:pt>
                <c:pt idx="2">
                  <c:v>2400</c:v>
                </c:pt>
                <c:pt idx="3">
                  <c:v>3600</c:v>
                </c:pt>
                <c:pt idx="4">
                  <c:v>4800</c:v>
                </c:pt>
                <c:pt idx="5">
                  <c:v>6000</c:v>
                </c:pt>
                <c:pt idx="6">
                  <c:v>7200</c:v>
                </c:pt>
                <c:pt idx="7">
                  <c:v>8400</c:v>
                </c:pt>
                <c:pt idx="8">
                  <c:v>9600</c:v>
                </c:pt>
                <c:pt idx="9">
                  <c:v>10800</c:v>
                </c:pt>
                <c:pt idx="10">
                  <c:v>12000</c:v>
                </c:pt>
                <c:pt idx="11">
                  <c:v>13200</c:v>
                </c:pt>
                <c:pt idx="12">
                  <c:v>14400</c:v>
                </c:pt>
              </c:numCache>
            </c:numRef>
          </c:xVal>
          <c:yVal>
            <c:numRef>
              <c:f>'CRE INF SA'!$C$27:$C$39</c:f>
              <c:numCache>
                <c:formatCode>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BF-4573-8E4B-461F2162017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'CRE INF SA'!$B$27:$B$39</c:f>
              <c:numCache>
                <c:formatCode>0</c:formatCode>
                <c:ptCount val="13"/>
                <c:pt idx="0">
                  <c:v>0</c:v>
                </c:pt>
                <c:pt idx="1">
                  <c:v>1200</c:v>
                </c:pt>
                <c:pt idx="2">
                  <c:v>2400</c:v>
                </c:pt>
                <c:pt idx="3">
                  <c:v>3600</c:v>
                </c:pt>
                <c:pt idx="4">
                  <c:v>4800</c:v>
                </c:pt>
                <c:pt idx="5">
                  <c:v>6000</c:v>
                </c:pt>
                <c:pt idx="6">
                  <c:v>7200</c:v>
                </c:pt>
                <c:pt idx="7">
                  <c:v>8400</c:v>
                </c:pt>
                <c:pt idx="8">
                  <c:v>9600</c:v>
                </c:pt>
                <c:pt idx="9">
                  <c:v>10800</c:v>
                </c:pt>
                <c:pt idx="10">
                  <c:v>12000</c:v>
                </c:pt>
                <c:pt idx="11">
                  <c:v>13200</c:v>
                </c:pt>
                <c:pt idx="12">
                  <c:v>14400</c:v>
                </c:pt>
              </c:numCache>
            </c:numRef>
          </c:xVal>
          <c:yVal>
            <c:numRef>
              <c:f>'CRE INF SA'!$D$27:$D$39</c:f>
              <c:numCache>
                <c:formatCode>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BF-4573-8E4B-461F2162017F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'CRE INF SA'!$B$27:$B$39</c:f>
              <c:numCache>
                <c:formatCode>0</c:formatCode>
                <c:ptCount val="13"/>
                <c:pt idx="0">
                  <c:v>0</c:v>
                </c:pt>
                <c:pt idx="1">
                  <c:v>1200</c:v>
                </c:pt>
                <c:pt idx="2">
                  <c:v>2400</c:v>
                </c:pt>
                <c:pt idx="3">
                  <c:v>3600</c:v>
                </c:pt>
                <c:pt idx="4">
                  <c:v>4800</c:v>
                </c:pt>
                <c:pt idx="5">
                  <c:v>6000</c:v>
                </c:pt>
                <c:pt idx="6">
                  <c:v>7200</c:v>
                </c:pt>
                <c:pt idx="7">
                  <c:v>8400</c:v>
                </c:pt>
                <c:pt idx="8">
                  <c:v>9600</c:v>
                </c:pt>
                <c:pt idx="9">
                  <c:v>10800</c:v>
                </c:pt>
                <c:pt idx="10">
                  <c:v>12000</c:v>
                </c:pt>
                <c:pt idx="11">
                  <c:v>13200</c:v>
                </c:pt>
                <c:pt idx="12">
                  <c:v>14400</c:v>
                </c:pt>
              </c:numCache>
            </c:numRef>
          </c:xVal>
          <c:yVal>
            <c:numRef>
              <c:f>'CRE INF SA'!$E$27:$E$39</c:f>
              <c:numCache>
                <c:formatCode>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BF-4573-8E4B-461F2162017F}"/>
            </c:ext>
          </c:extLst>
        </c:ser>
        <c:ser>
          <c:idx val="3"/>
          <c:order val="3"/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'CRE INF SA'!$B$27:$B$39</c:f>
              <c:numCache>
                <c:formatCode>0</c:formatCode>
                <c:ptCount val="13"/>
                <c:pt idx="0">
                  <c:v>0</c:v>
                </c:pt>
                <c:pt idx="1">
                  <c:v>1200</c:v>
                </c:pt>
                <c:pt idx="2">
                  <c:v>2400</c:v>
                </c:pt>
                <c:pt idx="3">
                  <c:v>3600</c:v>
                </c:pt>
                <c:pt idx="4">
                  <c:v>4800</c:v>
                </c:pt>
                <c:pt idx="5">
                  <c:v>6000</c:v>
                </c:pt>
                <c:pt idx="6">
                  <c:v>7200</c:v>
                </c:pt>
                <c:pt idx="7">
                  <c:v>8400</c:v>
                </c:pt>
                <c:pt idx="8">
                  <c:v>9600</c:v>
                </c:pt>
                <c:pt idx="9">
                  <c:v>10800</c:v>
                </c:pt>
                <c:pt idx="10">
                  <c:v>12000</c:v>
                </c:pt>
                <c:pt idx="11">
                  <c:v>13200</c:v>
                </c:pt>
                <c:pt idx="12">
                  <c:v>14400</c:v>
                </c:pt>
              </c:numCache>
            </c:numRef>
          </c:xVal>
          <c:yVal>
            <c:numRef>
              <c:f>'CRE INF SA'!$R$27:$R$39</c:f>
              <c:numCache>
                <c:formatCode>0.00E+00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BF-4573-8E4B-461F2162017F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'CRE INF SA'!$B$27:$B$39</c:f>
              <c:numCache>
                <c:formatCode>0</c:formatCode>
                <c:ptCount val="13"/>
                <c:pt idx="0">
                  <c:v>0</c:v>
                </c:pt>
                <c:pt idx="1">
                  <c:v>1200</c:v>
                </c:pt>
                <c:pt idx="2">
                  <c:v>2400</c:v>
                </c:pt>
                <c:pt idx="3">
                  <c:v>3600</c:v>
                </c:pt>
                <c:pt idx="4">
                  <c:v>4800</c:v>
                </c:pt>
                <c:pt idx="5">
                  <c:v>6000</c:v>
                </c:pt>
                <c:pt idx="6">
                  <c:v>7200</c:v>
                </c:pt>
                <c:pt idx="7">
                  <c:v>8400</c:v>
                </c:pt>
                <c:pt idx="8">
                  <c:v>9600</c:v>
                </c:pt>
                <c:pt idx="9">
                  <c:v>10800</c:v>
                </c:pt>
                <c:pt idx="10">
                  <c:v>12000</c:v>
                </c:pt>
                <c:pt idx="11">
                  <c:v>13200</c:v>
                </c:pt>
                <c:pt idx="12">
                  <c:v>14400</c:v>
                </c:pt>
              </c:numCache>
            </c:numRef>
          </c:xVal>
          <c:yVal>
            <c:numRef>
              <c:f>'CRE INF SA'!$S$27:$S$39</c:f>
              <c:numCache>
                <c:formatCode>0.00E+00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3BF-4573-8E4B-461F2162017F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'CRE INF SA'!$B$27:$B$39</c:f>
              <c:numCache>
                <c:formatCode>0</c:formatCode>
                <c:ptCount val="13"/>
                <c:pt idx="0">
                  <c:v>0</c:v>
                </c:pt>
                <c:pt idx="1">
                  <c:v>1200</c:v>
                </c:pt>
                <c:pt idx="2">
                  <c:v>2400</c:v>
                </c:pt>
                <c:pt idx="3">
                  <c:v>3600</c:v>
                </c:pt>
                <c:pt idx="4">
                  <c:v>4800</c:v>
                </c:pt>
                <c:pt idx="5">
                  <c:v>6000</c:v>
                </c:pt>
                <c:pt idx="6">
                  <c:v>7200</c:v>
                </c:pt>
                <c:pt idx="7">
                  <c:v>8400</c:v>
                </c:pt>
                <c:pt idx="8">
                  <c:v>9600</c:v>
                </c:pt>
                <c:pt idx="9">
                  <c:v>10800</c:v>
                </c:pt>
                <c:pt idx="10">
                  <c:v>12000</c:v>
                </c:pt>
                <c:pt idx="11">
                  <c:v>13200</c:v>
                </c:pt>
                <c:pt idx="12">
                  <c:v>14400</c:v>
                </c:pt>
              </c:numCache>
            </c:numRef>
          </c:xVal>
          <c:yVal>
            <c:numRef>
              <c:f>'CRE INF SA'!$T$27:$T$39</c:f>
              <c:numCache>
                <c:formatCode>0.00E+00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3BF-4573-8E4B-461F2162017F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'CRE INF SA'!$B$27:$B$39</c:f>
              <c:numCache>
                <c:formatCode>0</c:formatCode>
                <c:ptCount val="13"/>
                <c:pt idx="0">
                  <c:v>0</c:v>
                </c:pt>
                <c:pt idx="1">
                  <c:v>1200</c:v>
                </c:pt>
                <c:pt idx="2">
                  <c:v>2400</c:v>
                </c:pt>
                <c:pt idx="3">
                  <c:v>3600</c:v>
                </c:pt>
                <c:pt idx="4">
                  <c:v>4800</c:v>
                </c:pt>
                <c:pt idx="5">
                  <c:v>6000</c:v>
                </c:pt>
                <c:pt idx="6">
                  <c:v>7200</c:v>
                </c:pt>
                <c:pt idx="7">
                  <c:v>8400</c:v>
                </c:pt>
                <c:pt idx="8">
                  <c:v>9600</c:v>
                </c:pt>
                <c:pt idx="9">
                  <c:v>10800</c:v>
                </c:pt>
                <c:pt idx="10">
                  <c:v>12000</c:v>
                </c:pt>
                <c:pt idx="11">
                  <c:v>13200</c:v>
                </c:pt>
                <c:pt idx="12">
                  <c:v>14400</c:v>
                </c:pt>
              </c:numCache>
            </c:numRef>
          </c:xVal>
          <c:yVal>
            <c:numRef>
              <c:f>'CRE INF SA'!$U$27:$U$39</c:f>
              <c:numCache>
                <c:formatCode>0.00E+00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3BF-4573-8E4B-461F21620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28112"/>
        <c:axId val="190928504"/>
      </c:scatterChart>
      <c:valAx>
        <c:axId val="190928112"/>
        <c:scaling>
          <c:orientation val="minMax"/>
          <c:max val="15000"/>
          <c:min val="0"/>
        </c:scaling>
        <c:delete val="0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Temps (secondes)</a:t>
                </a:r>
              </a:p>
            </c:rich>
          </c:tx>
          <c:layout>
            <c:manualLayout>
              <c:xMode val="edge"/>
              <c:yMode val="edge"/>
              <c:x val="0.45936445223499006"/>
              <c:y val="0.917847025495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90928504"/>
        <c:crossesAt val="1E-10"/>
        <c:crossBetween val="midCat"/>
      </c:valAx>
      <c:valAx>
        <c:axId val="190928504"/>
        <c:scaling>
          <c:logBase val="10"/>
          <c:orientation val="minMax"/>
          <c:max val="1E-4"/>
          <c:min val="1E-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Vitesse d'infiltration (m/s)
</a:t>
                </a:r>
              </a:p>
            </c:rich>
          </c:tx>
          <c:layout>
            <c:manualLayout>
              <c:xMode val="edge"/>
              <c:yMode val="edge"/>
              <c:x val="5.8892815076560662E-3"/>
              <c:y val="0.22379603399433429"/>
            </c:manualLayout>
          </c:layout>
          <c:overlay val="0"/>
          <c:spPr>
            <a:noFill/>
            <a:ln w="25400">
              <a:noFill/>
            </a:ln>
          </c:spPr>
        </c:title>
        <c:numFmt formatCode="0.00E+0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90928112"/>
        <c:crossesAt val="1E-10"/>
        <c:crossBetween val="midCat"/>
        <c:majorUnit val="10"/>
        <c:minorUnit val="1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192005751258087"/>
          <c:y val="8.4985835694050993E-2"/>
          <c:w val="0.81154392523364483"/>
          <c:h val="0.7478753541076487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'CRE INF DA'!$B$27:$B$39</c:f>
              <c:numCache>
                <c:formatCode>0</c:formatCode>
                <c:ptCount val="13"/>
                <c:pt idx="0">
                  <c:v>0</c:v>
                </c:pt>
                <c:pt idx="1">
                  <c:v>120</c:v>
                </c:pt>
                <c:pt idx="2">
                  <c:v>240</c:v>
                </c:pt>
                <c:pt idx="3">
                  <c:v>360</c:v>
                </c:pt>
                <c:pt idx="4">
                  <c:v>480</c:v>
                </c:pt>
                <c:pt idx="5">
                  <c:v>600</c:v>
                </c:pt>
                <c:pt idx="6">
                  <c:v>720</c:v>
                </c:pt>
                <c:pt idx="7">
                  <c:v>840</c:v>
                </c:pt>
                <c:pt idx="8">
                  <c:v>960</c:v>
                </c:pt>
                <c:pt idx="9">
                  <c:v>1080</c:v>
                </c:pt>
                <c:pt idx="10">
                  <c:v>1200</c:v>
                </c:pt>
                <c:pt idx="11">
                  <c:v>1320</c:v>
                </c:pt>
                <c:pt idx="12">
                  <c:v>1440</c:v>
                </c:pt>
              </c:numCache>
            </c:numRef>
          </c:xVal>
          <c:yVal>
            <c:numRef>
              <c:f>'CRE INF DA'!$C$27:$C$39</c:f>
              <c:numCache>
                <c:formatCode>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0-4EDE-B121-D416ABB89CC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'CRE INF DA'!$B$27:$B$39</c:f>
              <c:numCache>
                <c:formatCode>0</c:formatCode>
                <c:ptCount val="13"/>
                <c:pt idx="0">
                  <c:v>0</c:v>
                </c:pt>
                <c:pt idx="1">
                  <c:v>120</c:v>
                </c:pt>
                <c:pt idx="2">
                  <c:v>240</c:v>
                </c:pt>
                <c:pt idx="3">
                  <c:v>360</c:v>
                </c:pt>
                <c:pt idx="4">
                  <c:v>480</c:v>
                </c:pt>
                <c:pt idx="5">
                  <c:v>600</c:v>
                </c:pt>
                <c:pt idx="6">
                  <c:v>720</c:v>
                </c:pt>
                <c:pt idx="7">
                  <c:v>840</c:v>
                </c:pt>
                <c:pt idx="8">
                  <c:v>960</c:v>
                </c:pt>
                <c:pt idx="9">
                  <c:v>1080</c:v>
                </c:pt>
                <c:pt idx="10">
                  <c:v>1200</c:v>
                </c:pt>
                <c:pt idx="11">
                  <c:v>1320</c:v>
                </c:pt>
                <c:pt idx="12">
                  <c:v>1440</c:v>
                </c:pt>
              </c:numCache>
            </c:numRef>
          </c:xVal>
          <c:yVal>
            <c:numRef>
              <c:f>'CRE INF DA'!$D$27:$D$39</c:f>
              <c:numCache>
                <c:formatCode>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60-4EDE-B121-D416ABB89CC2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'CRE INF DA'!$B$27:$B$39</c:f>
              <c:numCache>
                <c:formatCode>0</c:formatCode>
                <c:ptCount val="13"/>
                <c:pt idx="0">
                  <c:v>0</c:v>
                </c:pt>
                <c:pt idx="1">
                  <c:v>120</c:v>
                </c:pt>
                <c:pt idx="2">
                  <c:v>240</c:v>
                </c:pt>
                <c:pt idx="3">
                  <c:v>360</c:v>
                </c:pt>
                <c:pt idx="4">
                  <c:v>480</c:v>
                </c:pt>
                <c:pt idx="5">
                  <c:v>600</c:v>
                </c:pt>
                <c:pt idx="6">
                  <c:v>720</c:v>
                </c:pt>
                <c:pt idx="7">
                  <c:v>840</c:v>
                </c:pt>
                <c:pt idx="8">
                  <c:v>960</c:v>
                </c:pt>
                <c:pt idx="9">
                  <c:v>1080</c:v>
                </c:pt>
                <c:pt idx="10">
                  <c:v>1200</c:v>
                </c:pt>
                <c:pt idx="11">
                  <c:v>1320</c:v>
                </c:pt>
                <c:pt idx="12">
                  <c:v>1440</c:v>
                </c:pt>
              </c:numCache>
            </c:numRef>
          </c:xVal>
          <c:yVal>
            <c:numRef>
              <c:f>'CRE INF DA'!$E$27:$E$39</c:f>
              <c:numCache>
                <c:formatCode>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60-4EDE-B121-D416ABB89CC2}"/>
            </c:ext>
          </c:extLst>
        </c:ser>
        <c:ser>
          <c:idx val="3"/>
          <c:order val="3"/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'CRE INF DA'!$B$27:$B$39</c:f>
              <c:numCache>
                <c:formatCode>0</c:formatCode>
                <c:ptCount val="13"/>
                <c:pt idx="0">
                  <c:v>0</c:v>
                </c:pt>
                <c:pt idx="1">
                  <c:v>120</c:v>
                </c:pt>
                <c:pt idx="2">
                  <c:v>240</c:v>
                </c:pt>
                <c:pt idx="3">
                  <c:v>360</c:v>
                </c:pt>
                <c:pt idx="4">
                  <c:v>480</c:v>
                </c:pt>
                <c:pt idx="5">
                  <c:v>600</c:v>
                </c:pt>
                <c:pt idx="6">
                  <c:v>720</c:v>
                </c:pt>
                <c:pt idx="7">
                  <c:v>840</c:v>
                </c:pt>
                <c:pt idx="8">
                  <c:v>960</c:v>
                </c:pt>
                <c:pt idx="9">
                  <c:v>1080</c:v>
                </c:pt>
                <c:pt idx="10">
                  <c:v>1200</c:v>
                </c:pt>
                <c:pt idx="11">
                  <c:v>1320</c:v>
                </c:pt>
                <c:pt idx="12">
                  <c:v>1440</c:v>
                </c:pt>
              </c:numCache>
            </c:numRef>
          </c:xVal>
          <c:yVal>
            <c:numRef>
              <c:f>'CRE INF DA'!$R$27:$R$39</c:f>
              <c:numCache>
                <c:formatCode>0.00E+00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60-4EDE-B121-D416ABB89CC2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'CRE INF DA'!$B$27:$B$39</c:f>
              <c:numCache>
                <c:formatCode>0</c:formatCode>
                <c:ptCount val="13"/>
                <c:pt idx="0">
                  <c:v>0</c:v>
                </c:pt>
                <c:pt idx="1">
                  <c:v>120</c:v>
                </c:pt>
                <c:pt idx="2">
                  <c:v>240</c:v>
                </c:pt>
                <c:pt idx="3">
                  <c:v>360</c:v>
                </c:pt>
                <c:pt idx="4">
                  <c:v>480</c:v>
                </c:pt>
                <c:pt idx="5">
                  <c:v>600</c:v>
                </c:pt>
                <c:pt idx="6">
                  <c:v>720</c:v>
                </c:pt>
                <c:pt idx="7">
                  <c:v>840</c:v>
                </c:pt>
                <c:pt idx="8">
                  <c:v>960</c:v>
                </c:pt>
                <c:pt idx="9">
                  <c:v>1080</c:v>
                </c:pt>
                <c:pt idx="10">
                  <c:v>1200</c:v>
                </c:pt>
                <c:pt idx="11">
                  <c:v>1320</c:v>
                </c:pt>
                <c:pt idx="12">
                  <c:v>1440</c:v>
                </c:pt>
              </c:numCache>
            </c:numRef>
          </c:xVal>
          <c:yVal>
            <c:numRef>
              <c:f>'CRE INF DA'!$S$27:$S$39</c:f>
              <c:numCache>
                <c:formatCode>0.00E+00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60-4EDE-B121-D416ABB89CC2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'CRE INF DA'!$B$27:$B$39</c:f>
              <c:numCache>
                <c:formatCode>0</c:formatCode>
                <c:ptCount val="13"/>
                <c:pt idx="0">
                  <c:v>0</c:v>
                </c:pt>
                <c:pt idx="1">
                  <c:v>120</c:v>
                </c:pt>
                <c:pt idx="2">
                  <c:v>240</c:v>
                </c:pt>
                <c:pt idx="3">
                  <c:v>360</c:v>
                </c:pt>
                <c:pt idx="4">
                  <c:v>480</c:v>
                </c:pt>
                <c:pt idx="5">
                  <c:v>600</c:v>
                </c:pt>
                <c:pt idx="6">
                  <c:v>720</c:v>
                </c:pt>
                <c:pt idx="7">
                  <c:v>840</c:v>
                </c:pt>
                <c:pt idx="8">
                  <c:v>960</c:v>
                </c:pt>
                <c:pt idx="9">
                  <c:v>1080</c:v>
                </c:pt>
                <c:pt idx="10">
                  <c:v>1200</c:v>
                </c:pt>
                <c:pt idx="11">
                  <c:v>1320</c:v>
                </c:pt>
                <c:pt idx="12">
                  <c:v>1440</c:v>
                </c:pt>
              </c:numCache>
            </c:numRef>
          </c:xVal>
          <c:yVal>
            <c:numRef>
              <c:f>'CRE INF DA'!$T$27:$T$39</c:f>
              <c:numCache>
                <c:formatCode>0.00E+00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360-4EDE-B121-D416ABB89CC2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'CRE INF DA'!$B$27:$B$39</c:f>
              <c:numCache>
                <c:formatCode>0</c:formatCode>
                <c:ptCount val="13"/>
                <c:pt idx="0">
                  <c:v>0</c:v>
                </c:pt>
                <c:pt idx="1">
                  <c:v>120</c:v>
                </c:pt>
                <c:pt idx="2">
                  <c:v>240</c:v>
                </c:pt>
                <c:pt idx="3">
                  <c:v>360</c:v>
                </c:pt>
                <c:pt idx="4">
                  <c:v>480</c:v>
                </c:pt>
                <c:pt idx="5">
                  <c:v>600</c:v>
                </c:pt>
                <c:pt idx="6">
                  <c:v>720</c:v>
                </c:pt>
                <c:pt idx="7">
                  <c:v>840</c:v>
                </c:pt>
                <c:pt idx="8">
                  <c:v>960</c:v>
                </c:pt>
                <c:pt idx="9">
                  <c:v>1080</c:v>
                </c:pt>
                <c:pt idx="10">
                  <c:v>1200</c:v>
                </c:pt>
                <c:pt idx="11">
                  <c:v>1320</c:v>
                </c:pt>
                <c:pt idx="12">
                  <c:v>1440</c:v>
                </c:pt>
              </c:numCache>
            </c:numRef>
          </c:xVal>
          <c:yVal>
            <c:numRef>
              <c:f>'CRE INF DA'!$U$27:$U$39</c:f>
              <c:numCache>
                <c:formatCode>0.00E+00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360-4EDE-B121-D416ABB89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29680"/>
        <c:axId val="190930072"/>
      </c:scatterChart>
      <c:valAx>
        <c:axId val="190929680"/>
        <c:scaling>
          <c:orientation val="minMax"/>
          <c:max val="15000"/>
          <c:min val="0"/>
        </c:scaling>
        <c:delete val="0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Temps (secondes)</a:t>
                </a:r>
              </a:p>
            </c:rich>
          </c:tx>
          <c:layout>
            <c:manualLayout>
              <c:xMode val="edge"/>
              <c:yMode val="edge"/>
              <c:x val="0.45936445223499006"/>
              <c:y val="0.917847025495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90930072"/>
        <c:crossesAt val="1E-10"/>
        <c:crossBetween val="midCat"/>
      </c:valAx>
      <c:valAx>
        <c:axId val="190930072"/>
        <c:scaling>
          <c:logBase val="10"/>
          <c:orientation val="minMax"/>
          <c:max val="1E-4"/>
          <c:min val="1E-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Vitesse d'infiltration (m/s)
</a:t>
                </a:r>
              </a:p>
            </c:rich>
          </c:tx>
          <c:layout>
            <c:manualLayout>
              <c:xMode val="edge"/>
              <c:yMode val="edge"/>
              <c:x val="5.8892815076560662E-3"/>
              <c:y val="0.22379603399433429"/>
            </c:manualLayout>
          </c:layout>
          <c:overlay val="0"/>
          <c:spPr>
            <a:noFill/>
            <a:ln w="25400">
              <a:noFill/>
            </a:ln>
          </c:spPr>
        </c:title>
        <c:numFmt formatCode="0.00E+0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90929680"/>
        <c:crossesAt val="1E-10"/>
        <c:crossBetween val="midCat"/>
        <c:majorUnit val="10"/>
        <c:minorUnit val="1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61</xdr:row>
      <xdr:rowOff>95250</xdr:rowOff>
    </xdr:from>
    <xdr:to>
      <xdr:col>23</xdr:col>
      <xdr:colOff>152400</xdr:colOff>
      <xdr:row>61</xdr:row>
      <xdr:rowOff>95250</xdr:rowOff>
    </xdr:to>
    <xdr:cxnSp macro="">
      <xdr:nvCxnSpPr>
        <xdr:cNvPr id="35" name="Connecteur droit 17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>
          <a:cxnSpLocks noChangeShapeType="1"/>
        </xdr:cNvCxnSpPr>
      </xdr:nvCxnSpPr>
      <xdr:spPr bwMode="auto">
        <a:xfrm>
          <a:off x="7562850" y="10344150"/>
          <a:ext cx="4762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23</xdr:col>
      <xdr:colOff>247650</xdr:colOff>
      <xdr:row>61</xdr:row>
      <xdr:rowOff>95250</xdr:rowOff>
    </xdr:from>
    <xdr:to>
      <xdr:col>25</xdr:col>
      <xdr:colOff>19050</xdr:colOff>
      <xdr:row>61</xdr:row>
      <xdr:rowOff>95250</xdr:rowOff>
    </xdr:to>
    <xdr:cxnSp macro="">
      <xdr:nvCxnSpPr>
        <xdr:cNvPr id="36" name="Connecteur droit 19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>
          <a:cxnSpLocks noChangeShapeType="1"/>
        </xdr:cNvCxnSpPr>
      </xdr:nvCxnSpPr>
      <xdr:spPr bwMode="auto">
        <a:xfrm flipH="1">
          <a:off x="8134350" y="10344150"/>
          <a:ext cx="4572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23</xdr:col>
      <xdr:colOff>247650</xdr:colOff>
      <xdr:row>59</xdr:row>
      <xdr:rowOff>95250</xdr:rowOff>
    </xdr:from>
    <xdr:to>
      <xdr:col>23</xdr:col>
      <xdr:colOff>247650</xdr:colOff>
      <xdr:row>64</xdr:row>
      <xdr:rowOff>95250</xdr:rowOff>
    </xdr:to>
    <xdr:cxnSp macro="">
      <xdr:nvCxnSpPr>
        <xdr:cNvPr id="37" name="Connecteur droit 2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>
          <a:cxnSpLocks noChangeShapeType="1"/>
        </xdr:cNvCxnSpPr>
      </xdr:nvCxnSpPr>
      <xdr:spPr bwMode="auto">
        <a:xfrm flipV="1">
          <a:off x="8134350" y="10020300"/>
          <a:ext cx="0" cy="8096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23</xdr:col>
      <xdr:colOff>152400</xdr:colOff>
      <xdr:row>59</xdr:row>
      <xdr:rowOff>95250</xdr:rowOff>
    </xdr:from>
    <xdr:to>
      <xdr:col>23</xdr:col>
      <xdr:colOff>152400</xdr:colOff>
      <xdr:row>64</xdr:row>
      <xdr:rowOff>95250</xdr:rowOff>
    </xdr:to>
    <xdr:cxnSp macro="">
      <xdr:nvCxnSpPr>
        <xdr:cNvPr id="38" name="Connecteur droit 23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>
          <a:cxnSpLocks noChangeShapeType="1"/>
        </xdr:cNvCxnSpPr>
      </xdr:nvCxnSpPr>
      <xdr:spPr bwMode="auto">
        <a:xfrm flipV="1">
          <a:off x="8039100" y="10020300"/>
          <a:ext cx="0" cy="8096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23</xdr:col>
      <xdr:colOff>19050</xdr:colOff>
      <xdr:row>61</xdr:row>
      <xdr:rowOff>95250</xdr:rowOff>
    </xdr:from>
    <xdr:to>
      <xdr:col>23</xdr:col>
      <xdr:colOff>19050</xdr:colOff>
      <xdr:row>69</xdr:row>
      <xdr:rowOff>0</xdr:rowOff>
    </xdr:to>
    <xdr:cxnSp macro="">
      <xdr:nvCxnSpPr>
        <xdr:cNvPr id="39" name="Connecteur droit 25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>
          <a:cxnSpLocks noChangeShapeType="1"/>
        </xdr:cNvCxnSpPr>
      </xdr:nvCxnSpPr>
      <xdr:spPr bwMode="auto">
        <a:xfrm>
          <a:off x="7905750" y="10344150"/>
          <a:ext cx="0" cy="12001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24</xdr:col>
      <xdr:colOff>19050</xdr:colOff>
      <xdr:row>61</xdr:row>
      <xdr:rowOff>104775</xdr:rowOff>
    </xdr:from>
    <xdr:to>
      <xdr:col>24</xdr:col>
      <xdr:colOff>19050</xdr:colOff>
      <xdr:row>69</xdr:row>
      <xdr:rowOff>9525</xdr:rowOff>
    </xdr:to>
    <xdr:cxnSp macro="">
      <xdr:nvCxnSpPr>
        <xdr:cNvPr id="40" name="Connecteur droit 26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>
          <a:cxnSpLocks noChangeShapeType="1"/>
        </xdr:cNvCxnSpPr>
      </xdr:nvCxnSpPr>
      <xdr:spPr bwMode="auto">
        <a:xfrm>
          <a:off x="8248650" y="10353675"/>
          <a:ext cx="0" cy="12001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23</xdr:col>
      <xdr:colOff>19050</xdr:colOff>
      <xdr:row>69</xdr:row>
      <xdr:rowOff>0</xdr:rowOff>
    </xdr:from>
    <xdr:to>
      <xdr:col>24</xdr:col>
      <xdr:colOff>19050</xdr:colOff>
      <xdr:row>69</xdr:row>
      <xdr:rowOff>0</xdr:rowOff>
    </xdr:to>
    <xdr:cxnSp macro="">
      <xdr:nvCxnSpPr>
        <xdr:cNvPr id="41" name="Connecteur droit 28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>
          <a:cxnSpLocks noChangeShapeType="1"/>
        </xdr:cNvCxnSpPr>
      </xdr:nvCxnSpPr>
      <xdr:spPr bwMode="auto">
        <a:xfrm>
          <a:off x="7905750" y="11544300"/>
          <a:ext cx="3429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23</xdr:col>
      <xdr:colOff>19050</xdr:colOff>
      <xdr:row>64</xdr:row>
      <xdr:rowOff>95250</xdr:rowOff>
    </xdr:from>
    <xdr:to>
      <xdr:col>23</xdr:col>
      <xdr:colOff>152400</xdr:colOff>
      <xdr:row>64</xdr:row>
      <xdr:rowOff>95250</xdr:rowOff>
    </xdr:to>
    <xdr:cxnSp macro="">
      <xdr:nvCxnSpPr>
        <xdr:cNvPr id="42" name="Connecteur droit 32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>
          <a:cxnSpLocks noChangeShapeType="1"/>
        </xdr:cNvCxnSpPr>
      </xdr:nvCxnSpPr>
      <xdr:spPr bwMode="auto">
        <a:xfrm flipH="1">
          <a:off x="7905750" y="10829925"/>
          <a:ext cx="1333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23</xdr:col>
      <xdr:colOff>247650</xdr:colOff>
      <xdr:row>64</xdr:row>
      <xdr:rowOff>95250</xdr:rowOff>
    </xdr:from>
    <xdr:to>
      <xdr:col>24</xdr:col>
      <xdr:colOff>19050</xdr:colOff>
      <xdr:row>64</xdr:row>
      <xdr:rowOff>95250</xdr:rowOff>
    </xdr:to>
    <xdr:cxnSp macro="">
      <xdr:nvCxnSpPr>
        <xdr:cNvPr id="43" name="Connecteur droit 34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>
          <a:cxnSpLocks noChangeShapeType="1"/>
        </xdr:cNvCxnSpPr>
      </xdr:nvCxnSpPr>
      <xdr:spPr bwMode="auto">
        <a:xfrm>
          <a:off x="8134350" y="10829925"/>
          <a:ext cx="1143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24</xdr:col>
      <xdr:colOff>85725</xdr:colOff>
      <xdr:row>59</xdr:row>
      <xdr:rowOff>95250</xdr:rowOff>
    </xdr:from>
    <xdr:to>
      <xdr:col>24</xdr:col>
      <xdr:colOff>85725</xdr:colOff>
      <xdr:row>61</xdr:row>
      <xdr:rowOff>95250</xdr:rowOff>
    </xdr:to>
    <xdr:cxnSp macro="">
      <xdr:nvCxnSpPr>
        <xdr:cNvPr id="44" name="Connecteur droit avec flèche 40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>
          <a:cxnSpLocks noChangeShapeType="1"/>
        </xdr:cNvCxnSpPr>
      </xdr:nvCxnSpPr>
      <xdr:spPr bwMode="auto">
        <a:xfrm>
          <a:off x="8315325" y="10020300"/>
          <a:ext cx="0" cy="323850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24</xdr:col>
      <xdr:colOff>85725</xdr:colOff>
      <xdr:row>61</xdr:row>
      <xdr:rowOff>95250</xdr:rowOff>
    </xdr:from>
    <xdr:to>
      <xdr:col>24</xdr:col>
      <xdr:colOff>85725</xdr:colOff>
      <xdr:row>64</xdr:row>
      <xdr:rowOff>95250</xdr:rowOff>
    </xdr:to>
    <xdr:cxnSp macro="">
      <xdr:nvCxnSpPr>
        <xdr:cNvPr id="45" name="Connecteur droit avec flèche 42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CxnSpPr>
          <a:cxnSpLocks noChangeShapeType="1"/>
        </xdr:cNvCxnSpPr>
      </xdr:nvCxnSpPr>
      <xdr:spPr bwMode="auto">
        <a:xfrm>
          <a:off x="8315325" y="10344150"/>
          <a:ext cx="0" cy="485775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24</xdr:col>
      <xdr:colOff>85725</xdr:colOff>
      <xdr:row>64</xdr:row>
      <xdr:rowOff>95250</xdr:rowOff>
    </xdr:from>
    <xdr:to>
      <xdr:col>24</xdr:col>
      <xdr:colOff>85725</xdr:colOff>
      <xdr:row>69</xdr:row>
      <xdr:rowOff>0</xdr:rowOff>
    </xdr:to>
    <xdr:cxnSp macro="">
      <xdr:nvCxnSpPr>
        <xdr:cNvPr id="46" name="Connecteur droit avec flèche 44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>
          <a:cxnSpLocks noChangeShapeType="1"/>
        </xdr:cNvCxnSpPr>
      </xdr:nvCxnSpPr>
      <xdr:spPr bwMode="auto">
        <a:xfrm>
          <a:off x="8315325" y="10829925"/>
          <a:ext cx="0" cy="714375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22</xdr:col>
      <xdr:colOff>266700</xdr:colOff>
      <xdr:row>61</xdr:row>
      <xdr:rowOff>95250</xdr:rowOff>
    </xdr:from>
    <xdr:to>
      <xdr:col>22</xdr:col>
      <xdr:colOff>266700</xdr:colOff>
      <xdr:row>69</xdr:row>
      <xdr:rowOff>0</xdr:rowOff>
    </xdr:to>
    <xdr:cxnSp macro="">
      <xdr:nvCxnSpPr>
        <xdr:cNvPr id="47" name="Connecteur droit avec flèch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CxnSpPr>
          <a:cxnSpLocks noChangeShapeType="1"/>
        </xdr:cNvCxnSpPr>
      </xdr:nvCxnSpPr>
      <xdr:spPr bwMode="auto">
        <a:xfrm>
          <a:off x="7810500" y="10344150"/>
          <a:ext cx="0" cy="1200150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23</xdr:col>
      <xdr:colOff>247650</xdr:colOff>
      <xdr:row>61</xdr:row>
      <xdr:rowOff>95250</xdr:rowOff>
    </xdr:from>
    <xdr:to>
      <xdr:col>24</xdr:col>
      <xdr:colOff>19050</xdr:colOff>
      <xdr:row>64</xdr:row>
      <xdr:rowOff>95250</xdr:rowOff>
    </xdr:to>
    <xdr:sp macro="" textlink="">
      <xdr:nvSpPr>
        <xdr:cNvPr id="48" name="Rectangle 29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rrowheads="1"/>
        </xdr:cNvSpPr>
      </xdr:nvSpPr>
      <xdr:spPr bwMode="auto">
        <a:xfrm>
          <a:off x="8134350" y="10344150"/>
          <a:ext cx="114300" cy="485775"/>
        </a:xfrm>
        <a:prstGeom prst="rect">
          <a:avLst/>
        </a:prstGeom>
        <a:solidFill>
          <a:srgbClr val="7F7F7F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19050</xdr:colOff>
      <xdr:row>61</xdr:row>
      <xdr:rowOff>95250</xdr:rowOff>
    </xdr:from>
    <xdr:to>
      <xdr:col>23</xdr:col>
      <xdr:colOff>152400</xdr:colOff>
      <xdr:row>64</xdr:row>
      <xdr:rowOff>95250</xdr:rowOff>
    </xdr:to>
    <xdr:sp macro="" textlink="">
      <xdr:nvSpPr>
        <xdr:cNvPr id="49" name="Rectangle 30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rrowheads="1"/>
        </xdr:cNvSpPr>
      </xdr:nvSpPr>
      <xdr:spPr bwMode="auto">
        <a:xfrm>
          <a:off x="7905750" y="10344150"/>
          <a:ext cx="133350" cy="485775"/>
        </a:xfrm>
        <a:prstGeom prst="rect">
          <a:avLst/>
        </a:prstGeom>
        <a:solidFill>
          <a:srgbClr val="7F7F7F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0</xdr:colOff>
      <xdr:row>23</xdr:row>
      <xdr:rowOff>19050</xdr:rowOff>
    </xdr:from>
    <xdr:to>
      <xdr:col>26</xdr:col>
      <xdr:colOff>0</xdr:colOff>
      <xdr:row>30</xdr:row>
      <xdr:rowOff>28575</xdr:rowOff>
    </xdr:to>
    <xdr:cxnSp macro="">
      <xdr:nvCxnSpPr>
        <xdr:cNvPr id="68" name="Connecteur droit 26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CxnSpPr>
          <a:cxnSpLocks noChangeShapeType="1"/>
        </xdr:cNvCxnSpPr>
      </xdr:nvCxnSpPr>
      <xdr:spPr bwMode="auto">
        <a:xfrm>
          <a:off x="8915400" y="4229100"/>
          <a:ext cx="0" cy="12001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25</xdr:col>
      <xdr:colOff>0</xdr:colOff>
      <xdr:row>30</xdr:row>
      <xdr:rowOff>19050</xdr:rowOff>
    </xdr:from>
    <xdr:to>
      <xdr:col>26</xdr:col>
      <xdr:colOff>0</xdr:colOff>
      <xdr:row>30</xdr:row>
      <xdr:rowOff>19050</xdr:rowOff>
    </xdr:to>
    <xdr:cxnSp macro="">
      <xdr:nvCxnSpPr>
        <xdr:cNvPr id="69" name="Connecteur droit 2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CxnSpPr>
          <a:cxnSpLocks noChangeShapeType="1"/>
        </xdr:cNvCxnSpPr>
      </xdr:nvCxnSpPr>
      <xdr:spPr bwMode="auto">
        <a:xfrm>
          <a:off x="8572500" y="5419725"/>
          <a:ext cx="3429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 editAs="oneCell">
    <xdr:from>
      <xdr:col>1</xdr:col>
      <xdr:colOff>47625</xdr:colOff>
      <xdr:row>1</xdr:row>
      <xdr:rowOff>152400</xdr:rowOff>
    </xdr:from>
    <xdr:to>
      <xdr:col>4</xdr:col>
      <xdr:colOff>320040</xdr:colOff>
      <xdr:row>3</xdr:row>
      <xdr:rowOff>152400</xdr:rowOff>
    </xdr:to>
    <xdr:pic>
      <xdr:nvPicPr>
        <xdr:cNvPr id="23" name="Image 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314325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41</xdr:row>
      <xdr:rowOff>9525</xdr:rowOff>
    </xdr:from>
    <xdr:to>
      <xdr:col>25</xdr:col>
      <xdr:colOff>76200</xdr:colOff>
      <xdr:row>61</xdr:row>
      <xdr:rowOff>133350</xdr:rowOff>
    </xdr:to>
    <xdr:graphicFrame macro="">
      <xdr:nvGraphicFramePr>
        <xdr:cNvPr id="5152" name="Chart 1">
          <a:extLst>
            <a:ext uri="{FF2B5EF4-FFF2-40B4-BE49-F238E27FC236}">
              <a16:creationId xmlns:a16="http://schemas.microsoft.com/office/drawing/2014/main" id="{00000000-0008-0000-0100-000020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10</xdr:row>
          <xdr:rowOff>182880</xdr:rowOff>
        </xdr:from>
        <xdr:to>
          <xdr:col>21</xdr:col>
          <xdr:colOff>320040</xdr:colOff>
          <xdr:row>12</xdr:row>
          <xdr:rowOff>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182880</xdr:rowOff>
        </xdr:from>
        <xdr:to>
          <xdr:col>17</xdr:col>
          <xdr:colOff>320040</xdr:colOff>
          <xdr:row>12</xdr:row>
          <xdr:rowOff>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182880</xdr:rowOff>
        </xdr:from>
        <xdr:to>
          <xdr:col>13</xdr:col>
          <xdr:colOff>304800</xdr:colOff>
          <xdr:row>12</xdr:row>
          <xdr:rowOff>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75</xdr:row>
          <xdr:rowOff>0</xdr:rowOff>
        </xdr:from>
        <xdr:to>
          <xdr:col>33</xdr:col>
          <xdr:colOff>723900</xdr:colOff>
          <xdr:row>77</xdr:row>
          <xdr:rowOff>17145</xdr:rowOff>
        </xdr:to>
        <xdr:sp macro="" textlink="">
          <xdr:nvSpPr>
            <xdr:cNvPr id="5129" name="CommandButton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38100</xdr:colOff>
      <xdr:row>1</xdr:row>
      <xdr:rowOff>123825</xdr:rowOff>
    </xdr:from>
    <xdr:to>
      <xdr:col>4</xdr:col>
      <xdr:colOff>304800</xdr:colOff>
      <xdr:row>3</xdr:row>
      <xdr:rowOff>133350</xdr:rowOff>
    </xdr:to>
    <xdr:pic>
      <xdr:nvPicPr>
        <xdr:cNvPr id="12" name="Image 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285750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41</xdr:row>
      <xdr:rowOff>9525</xdr:rowOff>
    </xdr:from>
    <xdr:to>
      <xdr:col>25</xdr:col>
      <xdr:colOff>76200</xdr:colOff>
      <xdr:row>61</xdr:row>
      <xdr:rowOff>133350</xdr:rowOff>
    </xdr:to>
    <xdr:graphicFrame macro="">
      <xdr:nvGraphicFramePr>
        <xdr:cNvPr id="1103" name="Chart 2">
          <a:extLst>
            <a:ext uri="{FF2B5EF4-FFF2-40B4-BE49-F238E27FC236}">
              <a16:creationId xmlns:a16="http://schemas.microsoft.com/office/drawing/2014/main" id="{00000000-0008-0000-02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10</xdr:row>
          <xdr:rowOff>182880</xdr:rowOff>
        </xdr:from>
        <xdr:to>
          <xdr:col>21</xdr:col>
          <xdr:colOff>323850</xdr:colOff>
          <xdr:row>12</xdr:row>
          <xdr:rowOff>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2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182880</xdr:rowOff>
        </xdr:from>
        <xdr:to>
          <xdr:col>17</xdr:col>
          <xdr:colOff>323850</xdr:colOff>
          <xdr:row>12</xdr:row>
          <xdr:rowOff>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2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182880</xdr:rowOff>
        </xdr:from>
        <xdr:to>
          <xdr:col>13</xdr:col>
          <xdr:colOff>304800</xdr:colOff>
          <xdr:row>12</xdr:row>
          <xdr:rowOff>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2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75</xdr:row>
          <xdr:rowOff>0</xdr:rowOff>
        </xdr:from>
        <xdr:to>
          <xdr:col>32</xdr:col>
          <xdr:colOff>723900</xdr:colOff>
          <xdr:row>77</xdr:row>
          <xdr:rowOff>17145</xdr:rowOff>
        </xdr:to>
        <xdr:sp macro="" textlink="">
          <xdr:nvSpPr>
            <xdr:cNvPr id="1079" name="CommandButton1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57150</xdr:colOff>
      <xdr:row>2</xdr:row>
      <xdr:rowOff>0</xdr:rowOff>
    </xdr:from>
    <xdr:to>
      <xdr:col>4</xdr:col>
      <xdr:colOff>323850</xdr:colOff>
      <xdr:row>4</xdr:row>
      <xdr:rowOff>0</xdr:rowOff>
    </xdr:to>
    <xdr:pic>
      <xdr:nvPicPr>
        <xdr:cNvPr id="11" name="Image 1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323850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E91"/>
  <sheetViews>
    <sheetView tabSelected="1" workbookViewId="0">
      <selection activeCell="A81" sqref="A81:Q84"/>
    </sheetView>
  </sheetViews>
  <sheetFormatPr baseColWidth="10" defaultColWidth="11.44140625" defaultRowHeight="12.75" customHeight="1" x14ac:dyDescent="0.25"/>
  <cols>
    <col min="1" max="1" width="5.109375" style="70" customWidth="1"/>
    <col min="2" max="26" width="5.109375" style="1" customWidth="1"/>
    <col min="27" max="16384" width="11.44140625" style="1"/>
  </cols>
  <sheetData>
    <row r="1" spans="1:26" ht="12.75" customHeight="1" x14ac:dyDescent="0.25">
      <c r="A1" s="178"/>
      <c r="B1" s="179"/>
      <c r="C1" s="179"/>
      <c r="D1" s="179"/>
      <c r="E1" s="179"/>
      <c r="F1" s="180"/>
      <c r="G1" s="187" t="s">
        <v>39</v>
      </c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9"/>
      <c r="U1" s="196"/>
      <c r="V1" s="197"/>
      <c r="W1" s="197"/>
      <c r="X1" s="197"/>
      <c r="Y1" s="197"/>
      <c r="Z1" s="198"/>
    </row>
    <row r="2" spans="1:26" ht="12.75" customHeight="1" x14ac:dyDescent="0.25">
      <c r="A2" s="181"/>
      <c r="B2" s="182"/>
      <c r="C2" s="182"/>
      <c r="D2" s="182"/>
      <c r="E2" s="182"/>
      <c r="F2" s="183"/>
      <c r="G2" s="209" t="s">
        <v>74</v>
      </c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1"/>
      <c r="U2" s="199"/>
      <c r="V2" s="200"/>
      <c r="W2" s="200"/>
      <c r="X2" s="200"/>
      <c r="Y2" s="200"/>
      <c r="Z2" s="201"/>
    </row>
    <row r="3" spans="1:26" ht="12.75" customHeight="1" x14ac:dyDescent="0.25">
      <c r="A3" s="181"/>
      <c r="B3" s="182"/>
      <c r="C3" s="182"/>
      <c r="D3" s="182"/>
      <c r="E3" s="182"/>
      <c r="F3" s="183"/>
      <c r="G3" s="209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1"/>
      <c r="U3" s="199"/>
      <c r="V3" s="200"/>
      <c r="W3" s="200"/>
      <c r="X3" s="200"/>
      <c r="Y3" s="200"/>
      <c r="Z3" s="201"/>
    </row>
    <row r="4" spans="1:26" ht="12.75" customHeight="1" x14ac:dyDescent="0.25">
      <c r="A4" s="181"/>
      <c r="B4" s="182"/>
      <c r="C4" s="182"/>
      <c r="D4" s="182"/>
      <c r="E4" s="182"/>
      <c r="F4" s="183"/>
      <c r="G4" s="209"/>
      <c r="H4" s="210"/>
      <c r="I4" s="210"/>
      <c r="J4" s="210"/>
      <c r="K4" s="210"/>
      <c r="L4" s="210"/>
      <c r="M4" s="210"/>
      <c r="N4" s="210"/>
      <c r="O4" s="210"/>
      <c r="P4" s="210"/>
      <c r="Q4" s="210"/>
      <c r="R4" s="210"/>
      <c r="S4" s="210"/>
      <c r="T4" s="211"/>
      <c r="U4" s="199"/>
      <c r="V4" s="200"/>
      <c r="W4" s="200"/>
      <c r="X4" s="200"/>
      <c r="Y4" s="200"/>
      <c r="Z4" s="201"/>
    </row>
    <row r="5" spans="1:26" ht="12.75" customHeight="1" x14ac:dyDescent="0.25">
      <c r="A5" s="181"/>
      <c r="B5" s="182"/>
      <c r="C5" s="182"/>
      <c r="D5" s="182"/>
      <c r="E5" s="182"/>
      <c r="F5" s="183"/>
      <c r="G5" s="212"/>
      <c r="H5" s="213"/>
      <c r="I5" s="2" t="s">
        <v>41</v>
      </c>
      <c r="J5" s="424"/>
      <c r="K5" s="425"/>
      <c r="L5" s="426"/>
      <c r="M5" s="427"/>
      <c r="N5" s="427"/>
      <c r="O5" s="428"/>
      <c r="P5" s="429"/>
      <c r="Q5" s="430"/>
      <c r="R5" s="430"/>
      <c r="S5" s="430"/>
      <c r="T5" s="431"/>
      <c r="U5" s="199"/>
      <c r="V5" s="200"/>
      <c r="W5" s="200"/>
      <c r="X5" s="200"/>
      <c r="Y5" s="200"/>
      <c r="Z5" s="201"/>
    </row>
    <row r="6" spans="1:26" ht="12.75" customHeight="1" x14ac:dyDescent="0.25">
      <c r="A6" s="184"/>
      <c r="B6" s="185"/>
      <c r="C6" s="185"/>
      <c r="D6" s="185"/>
      <c r="E6" s="185"/>
      <c r="F6" s="186"/>
      <c r="G6" s="3"/>
      <c r="H6" s="4"/>
      <c r="I6" s="4"/>
      <c r="J6" s="190" t="s">
        <v>42</v>
      </c>
      <c r="K6" s="190"/>
      <c r="L6" s="190" t="s">
        <v>43</v>
      </c>
      <c r="M6" s="190"/>
      <c r="N6" s="190"/>
      <c r="O6" s="190"/>
      <c r="P6" s="190" t="s">
        <v>44</v>
      </c>
      <c r="Q6" s="190"/>
      <c r="R6" s="190"/>
      <c r="S6" s="190"/>
      <c r="T6" s="191"/>
      <c r="U6" s="202"/>
      <c r="V6" s="203"/>
      <c r="W6" s="203"/>
      <c r="X6" s="203"/>
      <c r="Y6" s="203"/>
      <c r="Z6" s="204"/>
    </row>
    <row r="7" spans="1:26" ht="36.6" customHeight="1" x14ac:dyDescent="0.25">
      <c r="A7" s="206" t="s">
        <v>9</v>
      </c>
      <c r="B7" s="206"/>
      <c r="C7" s="206"/>
      <c r="D7" s="206"/>
      <c r="E7" s="206"/>
      <c r="F7" s="206"/>
      <c r="G7" s="207" t="s">
        <v>17</v>
      </c>
      <c r="H7" s="207"/>
      <c r="I7" s="207"/>
      <c r="J7" s="207"/>
      <c r="K7" s="207"/>
      <c r="L7" s="207"/>
      <c r="M7" s="207"/>
      <c r="N7" s="207"/>
      <c r="O7" s="207"/>
      <c r="P7" s="207"/>
      <c r="Q7" s="207"/>
      <c r="R7" s="207"/>
      <c r="S7" s="207"/>
      <c r="T7" s="207"/>
      <c r="U7" s="207"/>
      <c r="V7" s="207"/>
      <c r="W7" s="207"/>
      <c r="X7" s="207"/>
      <c r="Y7" s="207"/>
      <c r="Z7" s="207"/>
    </row>
    <row r="8" spans="1:26" ht="15.6" customHeight="1" x14ac:dyDescent="0.25">
      <c r="A8" s="5" t="s">
        <v>1</v>
      </c>
      <c r="B8" s="6" t="s">
        <v>0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6" ht="8.25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26" ht="15.9" customHeight="1" x14ac:dyDescent="0.25">
      <c r="A10" s="10"/>
      <c r="B10" s="205" t="s">
        <v>8</v>
      </c>
      <c r="C10" s="205"/>
      <c r="D10" s="205"/>
      <c r="E10" s="205"/>
      <c r="F10" s="205"/>
      <c r="G10" s="192"/>
      <c r="H10" s="192"/>
      <c r="I10" s="192"/>
      <c r="J10" s="192"/>
      <c r="K10" s="192"/>
      <c r="L10" s="192"/>
      <c r="M10" s="192"/>
      <c r="N10" s="205" t="s">
        <v>23</v>
      </c>
      <c r="O10" s="205"/>
      <c r="P10" s="205"/>
      <c r="Q10" s="205"/>
      <c r="R10" s="205"/>
      <c r="S10" s="205"/>
      <c r="T10" s="205"/>
      <c r="U10" s="205"/>
      <c r="V10" s="205"/>
      <c r="W10" s="205"/>
      <c r="X10" s="205"/>
      <c r="Y10" s="205"/>
      <c r="Z10" s="14"/>
    </row>
    <row r="11" spans="1:26" ht="15.9" customHeight="1" x14ac:dyDescent="0.25">
      <c r="A11" s="10"/>
      <c r="B11" s="205" t="s">
        <v>7</v>
      </c>
      <c r="C11" s="205"/>
      <c r="D11" s="205"/>
      <c r="E11" s="205"/>
      <c r="F11" s="205"/>
      <c r="G11" s="192"/>
      <c r="H11" s="192"/>
      <c r="I11" s="192"/>
      <c r="J11" s="192"/>
      <c r="K11" s="192"/>
      <c r="L11" s="192"/>
      <c r="M11" s="192"/>
      <c r="N11" s="205" t="s">
        <v>59</v>
      </c>
      <c r="O11" s="205"/>
      <c r="P11" s="205"/>
      <c r="Q11" s="205"/>
      <c r="R11" s="205"/>
      <c r="S11" s="205"/>
      <c r="T11" s="205"/>
      <c r="U11" s="205"/>
      <c r="V11" s="205"/>
      <c r="W11" s="205"/>
      <c r="X11" s="205"/>
      <c r="Y11" s="205"/>
      <c r="Z11" s="13"/>
    </row>
    <row r="12" spans="1:26" ht="15.9" customHeight="1" x14ac:dyDescent="0.25">
      <c r="A12" s="10"/>
      <c r="B12" s="205" t="s">
        <v>22</v>
      </c>
      <c r="C12" s="205"/>
      <c r="D12" s="205"/>
      <c r="E12" s="205"/>
      <c r="F12" s="205"/>
      <c r="G12" s="192"/>
      <c r="H12" s="192"/>
      <c r="I12" s="192"/>
      <c r="J12" s="192"/>
      <c r="K12" s="192"/>
      <c r="L12" s="192"/>
      <c r="M12" s="192"/>
      <c r="N12" s="205" t="s">
        <v>60</v>
      </c>
      <c r="O12" s="205"/>
      <c r="P12" s="205"/>
      <c r="Q12" s="205"/>
      <c r="R12" s="205"/>
      <c r="S12" s="205"/>
      <c r="T12" s="208"/>
      <c r="U12" s="208"/>
      <c r="V12" s="208"/>
      <c r="W12" s="208"/>
      <c r="X12" s="208" t="s">
        <v>61</v>
      </c>
      <c r="Y12" s="208"/>
      <c r="Z12" s="15"/>
    </row>
    <row r="13" spans="1:26" ht="15.9" customHeight="1" x14ac:dyDescent="0.25">
      <c r="A13" s="10"/>
      <c r="B13" s="205" t="s">
        <v>36</v>
      </c>
      <c r="C13" s="205"/>
      <c r="D13" s="205"/>
      <c r="E13" s="205"/>
      <c r="F13" s="205"/>
      <c r="G13" s="192"/>
      <c r="H13" s="192"/>
      <c r="I13" s="192"/>
      <c r="J13" s="192"/>
      <c r="K13" s="192"/>
      <c r="L13" s="192"/>
      <c r="M13" s="192"/>
      <c r="N13" s="205"/>
      <c r="O13" s="205"/>
      <c r="P13" s="205"/>
      <c r="Q13" s="205"/>
      <c r="R13" s="205"/>
      <c r="S13" s="205"/>
      <c r="T13" s="205"/>
      <c r="U13" s="205"/>
      <c r="V13" s="205"/>
      <c r="W13" s="205"/>
      <c r="X13" s="205"/>
      <c r="Y13" s="205"/>
      <c r="Z13" s="15"/>
    </row>
    <row r="14" spans="1:26" ht="15.9" customHeight="1" x14ac:dyDescent="0.25">
      <c r="A14" s="16"/>
      <c r="B14" s="214" t="s">
        <v>62</v>
      </c>
      <c r="C14" s="214"/>
      <c r="D14" s="214"/>
      <c r="E14" s="214"/>
      <c r="F14" s="214"/>
      <c r="G14" s="215"/>
      <c r="H14" s="215"/>
      <c r="I14" s="215"/>
      <c r="J14" s="215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2"/>
      <c r="X14" s="72"/>
      <c r="Y14" s="72"/>
      <c r="Z14" s="17"/>
    </row>
    <row r="15" spans="1:26" s="18" customFormat="1" ht="15" x14ac:dyDescent="0.25">
      <c r="B15" s="19"/>
      <c r="C15" s="19"/>
      <c r="K15" s="20"/>
      <c r="L15" s="19"/>
      <c r="M15" s="21"/>
    </row>
    <row r="16" spans="1:26" s="18" customFormat="1" ht="15.6" customHeight="1" x14ac:dyDescent="0.25">
      <c r="A16" s="5" t="s">
        <v>2</v>
      </c>
      <c r="B16" s="22" t="s">
        <v>12</v>
      </c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4"/>
    </row>
    <row r="17" spans="1:31" s="18" customFormat="1" ht="9" customHeight="1" x14ac:dyDescent="0.25">
      <c r="A17" s="25"/>
      <c r="B17" s="26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8"/>
    </row>
    <row r="18" spans="1:31" s="18" customFormat="1" ht="15" x14ac:dyDescent="0.25">
      <c r="A18" s="25"/>
      <c r="B18" s="233" t="s">
        <v>13</v>
      </c>
      <c r="C18" s="233"/>
      <c r="D18" s="233"/>
      <c r="E18" s="233"/>
      <c r="F18" s="233"/>
      <c r="G18" s="233"/>
      <c r="H18" s="233"/>
      <c r="I18" s="234"/>
      <c r="J18" s="234"/>
      <c r="K18" s="234"/>
      <c r="L18" s="234"/>
      <c r="M18" s="234"/>
      <c r="N18" s="234"/>
      <c r="O18" s="234"/>
      <c r="P18" s="234"/>
      <c r="Q18" s="234"/>
      <c r="R18" s="234"/>
      <c r="S18" s="234"/>
      <c r="T18" s="234"/>
      <c r="U18" s="234"/>
      <c r="V18" s="234"/>
      <c r="W18" s="234"/>
      <c r="X18" s="234"/>
      <c r="Y18" s="234"/>
      <c r="Z18" s="29"/>
    </row>
    <row r="19" spans="1:31" s="18" customFormat="1" ht="15" x14ac:dyDescent="0.25">
      <c r="A19" s="25"/>
      <c r="B19" s="233" t="s">
        <v>14</v>
      </c>
      <c r="C19" s="233"/>
      <c r="D19" s="233"/>
      <c r="E19" s="233"/>
      <c r="F19" s="233"/>
      <c r="G19" s="233"/>
      <c r="H19" s="233"/>
      <c r="I19" s="234"/>
      <c r="J19" s="234"/>
      <c r="K19" s="234"/>
      <c r="L19" s="234"/>
      <c r="M19" s="234"/>
      <c r="N19" s="234"/>
      <c r="O19" s="234"/>
      <c r="P19" s="234"/>
      <c r="Q19" s="234"/>
      <c r="R19" s="234"/>
      <c r="S19" s="234"/>
      <c r="T19" s="234"/>
      <c r="U19" s="234"/>
      <c r="V19" s="234"/>
      <c r="W19" s="234"/>
      <c r="X19" s="234"/>
      <c r="Y19" s="234"/>
      <c r="Z19" s="29"/>
    </row>
    <row r="20" spans="1:31" s="18" customFormat="1" ht="9" customHeight="1" x14ac:dyDescent="0.25">
      <c r="A20" s="30"/>
      <c r="B20" s="432"/>
      <c r="C20" s="432"/>
      <c r="D20" s="432"/>
      <c r="E20" s="432"/>
      <c r="F20" s="432"/>
      <c r="G20" s="432"/>
      <c r="H20" s="432"/>
      <c r="I20" s="433"/>
      <c r="J20" s="433"/>
      <c r="K20" s="433"/>
      <c r="L20" s="433"/>
      <c r="M20" s="433"/>
      <c r="N20" s="433"/>
      <c r="O20" s="433"/>
      <c r="P20" s="433"/>
      <c r="Q20" s="433"/>
      <c r="R20" s="433"/>
      <c r="S20" s="433"/>
      <c r="T20" s="433"/>
      <c r="U20" s="433"/>
      <c r="V20" s="433"/>
      <c r="W20" s="433"/>
      <c r="X20" s="433"/>
      <c r="Y20" s="433"/>
      <c r="Z20" s="31"/>
    </row>
    <row r="21" spans="1:31" ht="12.75" customHeight="1" x14ac:dyDescent="0.25">
      <c r="A21" s="12"/>
      <c r="B21" s="11"/>
      <c r="C21" s="11"/>
      <c r="D21" s="12"/>
      <c r="E21" s="12"/>
      <c r="F21" s="12"/>
      <c r="G21" s="12"/>
      <c r="H21" s="11"/>
      <c r="I21" s="11"/>
      <c r="J21" s="11"/>
      <c r="K21" s="11"/>
      <c r="L21" s="11"/>
      <c r="M21" s="11"/>
      <c r="N21" s="32"/>
      <c r="O21" s="11"/>
      <c r="P21" s="11"/>
      <c r="Q21" s="11"/>
      <c r="R21" s="11"/>
      <c r="S21" s="11"/>
      <c r="T21" s="11"/>
      <c r="U21" s="11"/>
      <c r="V21" s="11"/>
      <c r="W21" s="11"/>
      <c r="X21" s="11"/>
    </row>
    <row r="22" spans="1:31" ht="15.6" customHeight="1" x14ac:dyDescent="0.25">
      <c r="A22" s="5" t="s">
        <v>3</v>
      </c>
      <c r="B22" s="6" t="s">
        <v>24</v>
      </c>
      <c r="C22" s="33"/>
      <c r="D22" s="34"/>
      <c r="E22" s="34"/>
      <c r="F22" s="34"/>
      <c r="G22" s="34"/>
      <c r="H22" s="33"/>
      <c r="I22" s="33"/>
      <c r="J22" s="33"/>
      <c r="K22" s="33"/>
      <c r="L22" s="33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9"/>
    </row>
    <row r="23" spans="1:31" ht="9" customHeight="1" x14ac:dyDescent="0.25">
      <c r="A23" s="10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3"/>
    </row>
    <row r="24" spans="1:31" ht="15" customHeight="1" x14ac:dyDescent="0.25">
      <c r="A24" s="10"/>
      <c r="B24" s="193" t="s">
        <v>63</v>
      </c>
      <c r="C24" s="194"/>
      <c r="D24" s="194"/>
      <c r="E24" s="193" t="s">
        <v>64</v>
      </c>
      <c r="F24" s="194"/>
      <c r="G24" s="194"/>
      <c r="H24" s="193" t="s">
        <v>65</v>
      </c>
      <c r="I24" s="194"/>
      <c r="J24" s="194"/>
      <c r="K24" s="193" t="s">
        <v>82</v>
      </c>
      <c r="L24" s="194"/>
      <c r="M24" s="194"/>
      <c r="N24" s="193" t="s">
        <v>66</v>
      </c>
      <c r="O24" s="194"/>
      <c r="P24" s="194"/>
      <c r="Q24" s="194"/>
      <c r="R24" s="193" t="s">
        <v>83</v>
      </c>
      <c r="S24" s="194"/>
      <c r="T24" s="194"/>
      <c r="U24" s="194"/>
      <c r="V24" s="35"/>
      <c r="W24" s="35"/>
      <c r="X24" s="35"/>
      <c r="Y24" s="35"/>
      <c r="Z24" s="13"/>
    </row>
    <row r="25" spans="1:31" ht="15" customHeight="1" thickBot="1" x14ac:dyDescent="0.3">
      <c r="A25" s="10"/>
      <c r="B25" s="195"/>
      <c r="C25" s="195"/>
      <c r="D25" s="195"/>
      <c r="E25" s="195"/>
      <c r="F25" s="195"/>
      <c r="G25" s="195"/>
      <c r="H25" s="195"/>
      <c r="I25" s="195"/>
      <c r="J25" s="195"/>
      <c r="K25" s="195"/>
      <c r="L25" s="195"/>
      <c r="M25" s="195"/>
      <c r="N25" s="195"/>
      <c r="O25" s="195"/>
      <c r="P25" s="195"/>
      <c r="Q25" s="195"/>
      <c r="R25" s="195"/>
      <c r="S25" s="195"/>
      <c r="T25" s="195"/>
      <c r="U25" s="195"/>
      <c r="V25" s="35"/>
      <c r="W25" s="35"/>
      <c r="X25" s="11"/>
      <c r="Y25" s="11"/>
      <c r="Z25" s="13"/>
    </row>
    <row r="26" spans="1:31" ht="12.75" customHeight="1" x14ac:dyDescent="0.25">
      <c r="A26" s="10"/>
      <c r="B26" s="230" t="s">
        <v>75</v>
      </c>
      <c r="C26" s="217"/>
      <c r="D26" s="217"/>
      <c r="E26" s="231" t="str">
        <f>IF(X26&lt;&gt;"",X26/100,"")</f>
        <v/>
      </c>
      <c r="F26" s="231"/>
      <c r="G26" s="231"/>
      <c r="H26" s="231"/>
      <c r="I26" s="231"/>
      <c r="J26" s="231"/>
      <c r="K26" s="231"/>
      <c r="L26" s="231"/>
      <c r="M26" s="231"/>
      <c r="N26" s="231"/>
      <c r="O26" s="231"/>
      <c r="P26" s="231"/>
      <c r="Q26" s="231"/>
      <c r="R26" s="231"/>
      <c r="S26" s="231"/>
      <c r="T26" s="231"/>
      <c r="U26" s="232"/>
      <c r="V26" s="216" t="s">
        <v>67</v>
      </c>
      <c r="W26" s="217"/>
      <c r="X26" s="219" t="str">
        <f>IF(X29&lt;&gt;"",IF(X32&lt;&gt;"",IF(X35&lt;&gt;"",X29+X35+(X38/2),""),""),"")</f>
        <v/>
      </c>
      <c r="Y26" s="220"/>
      <c r="Z26" s="13"/>
    </row>
    <row r="27" spans="1:31" ht="12.75" customHeight="1" x14ac:dyDescent="0.25">
      <c r="A27" s="10"/>
      <c r="B27" s="223"/>
      <c r="C27" s="224"/>
      <c r="D27" s="225"/>
      <c r="E27" s="226"/>
      <c r="F27" s="224"/>
      <c r="G27" s="225"/>
      <c r="H27" s="175"/>
      <c r="I27" s="176"/>
      <c r="J27" s="177"/>
      <c r="K27" s="162"/>
      <c r="L27" s="168"/>
      <c r="M27" s="169"/>
      <c r="N27" s="226"/>
      <c r="O27" s="224"/>
      <c r="P27" s="224"/>
      <c r="Q27" s="225"/>
      <c r="R27" s="227"/>
      <c r="S27" s="228"/>
      <c r="T27" s="228"/>
      <c r="U27" s="229"/>
      <c r="V27" s="218"/>
      <c r="W27" s="218"/>
      <c r="X27" s="221"/>
      <c r="Y27" s="222"/>
      <c r="Z27" s="13"/>
    </row>
    <row r="28" spans="1:31" ht="12.75" customHeight="1" x14ac:dyDescent="0.25">
      <c r="A28" s="10"/>
      <c r="B28" s="171"/>
      <c r="C28" s="172"/>
      <c r="D28" s="173"/>
      <c r="E28" s="174"/>
      <c r="F28" s="172"/>
      <c r="G28" s="173"/>
      <c r="H28" s="175"/>
      <c r="I28" s="176"/>
      <c r="J28" s="177"/>
      <c r="K28" s="162" t="e">
        <f>(E28-E27)/(B28*1000000)</f>
        <v>#DIV/0!</v>
      </c>
      <c r="L28" s="168"/>
      <c r="M28" s="169"/>
      <c r="N28" s="174"/>
      <c r="O28" s="172"/>
      <c r="P28" s="172"/>
      <c r="Q28" s="173"/>
      <c r="R28" s="162" t="e">
        <f t="shared" ref="R28:R49" si="0">K28*AE28</f>
        <v>#DIV/0!</v>
      </c>
      <c r="S28" s="163"/>
      <c r="T28" s="163"/>
      <c r="U28" s="164"/>
      <c r="V28" s="11"/>
      <c r="W28" s="11"/>
      <c r="X28" s="11"/>
      <c r="Y28" s="36"/>
      <c r="Z28" s="13"/>
      <c r="AB28" s="37">
        <f>20-N28</f>
        <v>20</v>
      </c>
      <c r="AC28" s="37">
        <f t="shared" ref="AC28:AC51" si="1">AB28*AB28</f>
        <v>400</v>
      </c>
      <c r="AD28" s="37">
        <f t="shared" ref="AD28:AD51" si="2">AB28*AB28*AB28</f>
        <v>8000</v>
      </c>
      <c r="AE28" s="38">
        <f>EXP(((0.0244)*(AB28))+((0.00018)*((AC28)))+((0.0000025)*((AD28))))</f>
        <v>1.7860384307500734</v>
      </c>
    </row>
    <row r="29" spans="1:31" ht="12.75" customHeight="1" x14ac:dyDescent="0.25">
      <c r="A29" s="10"/>
      <c r="B29" s="171"/>
      <c r="C29" s="172"/>
      <c r="D29" s="173"/>
      <c r="E29" s="174"/>
      <c r="F29" s="172"/>
      <c r="G29" s="173"/>
      <c r="H29" s="175"/>
      <c r="I29" s="176"/>
      <c r="J29" s="177"/>
      <c r="K29" s="162" t="e">
        <f t="shared" ref="K29:K48" si="3">(E29-E28)/((B29-B28)*1000000)</f>
        <v>#DIV/0!</v>
      </c>
      <c r="L29" s="168"/>
      <c r="M29" s="169"/>
      <c r="N29" s="174"/>
      <c r="O29" s="172"/>
      <c r="P29" s="172"/>
      <c r="Q29" s="173"/>
      <c r="R29" s="162" t="e">
        <f t="shared" si="0"/>
        <v>#DIV/0!</v>
      </c>
      <c r="S29" s="163"/>
      <c r="T29" s="163"/>
      <c r="U29" s="164"/>
      <c r="V29" s="182" t="s">
        <v>68</v>
      </c>
      <c r="W29" s="218"/>
      <c r="X29" s="218"/>
      <c r="Y29" s="236"/>
      <c r="Z29" s="13"/>
      <c r="AB29" s="37">
        <f t="shared" ref="AB29:AB61" si="4">20-N29</f>
        <v>20</v>
      </c>
      <c r="AC29" s="37">
        <f t="shared" si="1"/>
        <v>400</v>
      </c>
      <c r="AD29" s="37">
        <f t="shared" si="2"/>
        <v>8000</v>
      </c>
      <c r="AE29" s="38">
        <f t="shared" ref="AE29:AE61" si="5">EXP(((0.0244)*(AB29))+((0.00018)*((AC29)))+((0.0000025)*((AD29))))</f>
        <v>1.7860384307500734</v>
      </c>
    </row>
    <row r="30" spans="1:31" ht="12.75" customHeight="1" thickBot="1" x14ac:dyDescent="0.3">
      <c r="A30" s="10"/>
      <c r="B30" s="171"/>
      <c r="C30" s="172"/>
      <c r="D30" s="173"/>
      <c r="E30" s="174"/>
      <c r="F30" s="172"/>
      <c r="G30" s="173"/>
      <c r="H30" s="175"/>
      <c r="I30" s="176"/>
      <c r="J30" s="177"/>
      <c r="K30" s="162" t="e">
        <f t="shared" si="3"/>
        <v>#DIV/0!</v>
      </c>
      <c r="L30" s="168"/>
      <c r="M30" s="169"/>
      <c r="N30" s="174"/>
      <c r="O30" s="172"/>
      <c r="P30" s="172"/>
      <c r="Q30" s="173"/>
      <c r="R30" s="162" t="e">
        <f t="shared" si="0"/>
        <v>#DIV/0!</v>
      </c>
      <c r="S30" s="163"/>
      <c r="T30" s="163"/>
      <c r="U30" s="164"/>
      <c r="V30" s="235"/>
      <c r="W30" s="235"/>
      <c r="X30" s="235"/>
      <c r="Y30" s="237"/>
      <c r="Z30" s="13"/>
      <c r="AB30" s="37">
        <f t="shared" si="4"/>
        <v>20</v>
      </c>
      <c r="AC30" s="37">
        <f t="shared" si="1"/>
        <v>400</v>
      </c>
      <c r="AD30" s="37">
        <f t="shared" si="2"/>
        <v>8000</v>
      </c>
      <c r="AE30" s="38">
        <f t="shared" si="5"/>
        <v>1.7860384307500734</v>
      </c>
    </row>
    <row r="31" spans="1:31" ht="12.75" customHeight="1" x14ac:dyDescent="0.25">
      <c r="A31" s="10"/>
      <c r="B31" s="171"/>
      <c r="C31" s="172"/>
      <c r="D31" s="173"/>
      <c r="E31" s="174"/>
      <c r="F31" s="172"/>
      <c r="G31" s="173"/>
      <c r="H31" s="175"/>
      <c r="I31" s="176"/>
      <c r="J31" s="177"/>
      <c r="K31" s="162" t="e">
        <f t="shared" si="3"/>
        <v>#DIV/0!</v>
      </c>
      <c r="L31" s="168"/>
      <c r="M31" s="169"/>
      <c r="N31" s="174"/>
      <c r="O31" s="172"/>
      <c r="P31" s="172"/>
      <c r="Q31" s="173"/>
      <c r="R31" s="162" t="e">
        <f t="shared" si="0"/>
        <v>#DIV/0!</v>
      </c>
      <c r="S31" s="163"/>
      <c r="T31" s="163"/>
      <c r="U31" s="164"/>
      <c r="V31" s="11"/>
      <c r="W31" s="11"/>
      <c r="X31" s="11"/>
      <c r="Y31" s="11"/>
      <c r="Z31" s="13"/>
      <c r="AB31" s="37">
        <f t="shared" si="4"/>
        <v>20</v>
      </c>
      <c r="AC31" s="37">
        <f t="shared" si="1"/>
        <v>400</v>
      </c>
      <c r="AD31" s="37">
        <f t="shared" si="2"/>
        <v>8000</v>
      </c>
      <c r="AE31" s="38">
        <f t="shared" si="5"/>
        <v>1.7860384307500734</v>
      </c>
    </row>
    <row r="32" spans="1:31" ht="12.75" customHeight="1" x14ac:dyDescent="0.25">
      <c r="A32" s="10"/>
      <c r="B32" s="171"/>
      <c r="C32" s="172"/>
      <c r="D32" s="173"/>
      <c r="E32" s="174"/>
      <c r="F32" s="172"/>
      <c r="G32" s="173"/>
      <c r="H32" s="175"/>
      <c r="I32" s="176"/>
      <c r="J32" s="177"/>
      <c r="K32" s="162" t="e">
        <f t="shared" si="3"/>
        <v>#DIV/0!</v>
      </c>
      <c r="L32" s="168"/>
      <c r="M32" s="169"/>
      <c r="N32" s="174"/>
      <c r="O32" s="172"/>
      <c r="P32" s="172"/>
      <c r="Q32" s="173"/>
      <c r="R32" s="162" t="e">
        <f t="shared" si="0"/>
        <v>#DIV/0!</v>
      </c>
      <c r="S32" s="163"/>
      <c r="T32" s="163"/>
      <c r="U32" s="164"/>
      <c r="V32" s="179" t="s">
        <v>69</v>
      </c>
      <c r="W32" s="238"/>
      <c r="X32" s="238"/>
      <c r="Y32" s="240"/>
      <c r="Z32" s="13"/>
      <c r="AB32" s="37">
        <f t="shared" si="4"/>
        <v>20</v>
      </c>
      <c r="AC32" s="37">
        <f t="shared" si="1"/>
        <v>400</v>
      </c>
      <c r="AD32" s="37">
        <f t="shared" si="2"/>
        <v>8000</v>
      </c>
      <c r="AE32" s="38">
        <f t="shared" si="5"/>
        <v>1.7860384307500734</v>
      </c>
    </row>
    <row r="33" spans="1:31" ht="12.75" customHeight="1" x14ac:dyDescent="0.25">
      <c r="A33" s="10"/>
      <c r="B33" s="171"/>
      <c r="C33" s="172"/>
      <c r="D33" s="173"/>
      <c r="E33" s="174"/>
      <c r="F33" s="172"/>
      <c r="G33" s="173"/>
      <c r="H33" s="175"/>
      <c r="I33" s="176"/>
      <c r="J33" s="177"/>
      <c r="K33" s="162" t="e">
        <f t="shared" si="3"/>
        <v>#DIV/0!</v>
      </c>
      <c r="L33" s="168"/>
      <c r="M33" s="169"/>
      <c r="N33" s="174"/>
      <c r="O33" s="172"/>
      <c r="P33" s="172"/>
      <c r="Q33" s="173"/>
      <c r="R33" s="162" t="e">
        <f t="shared" si="0"/>
        <v>#DIV/0!</v>
      </c>
      <c r="S33" s="163"/>
      <c r="T33" s="163"/>
      <c r="U33" s="164"/>
      <c r="V33" s="239"/>
      <c r="W33" s="239"/>
      <c r="X33" s="239"/>
      <c r="Y33" s="241"/>
      <c r="Z33" s="13"/>
      <c r="AB33" s="37">
        <f t="shared" si="4"/>
        <v>20</v>
      </c>
      <c r="AC33" s="37">
        <f t="shared" si="1"/>
        <v>400</v>
      </c>
      <c r="AD33" s="37">
        <f t="shared" si="2"/>
        <v>8000</v>
      </c>
      <c r="AE33" s="38">
        <f t="shared" si="5"/>
        <v>1.7860384307500734</v>
      </c>
    </row>
    <row r="34" spans="1:31" ht="12.75" customHeight="1" x14ac:dyDescent="0.25">
      <c r="A34" s="10"/>
      <c r="B34" s="171"/>
      <c r="C34" s="172"/>
      <c r="D34" s="173"/>
      <c r="E34" s="174"/>
      <c r="F34" s="172"/>
      <c r="G34" s="173"/>
      <c r="H34" s="175"/>
      <c r="I34" s="176"/>
      <c r="J34" s="177"/>
      <c r="K34" s="162" t="e">
        <f t="shared" si="3"/>
        <v>#DIV/0!</v>
      </c>
      <c r="L34" s="168"/>
      <c r="M34" s="169"/>
      <c r="N34" s="174"/>
      <c r="O34" s="172"/>
      <c r="P34" s="172"/>
      <c r="Q34" s="173"/>
      <c r="R34" s="162" t="e">
        <f t="shared" si="0"/>
        <v>#DIV/0!</v>
      </c>
      <c r="S34" s="163"/>
      <c r="T34" s="163"/>
      <c r="U34" s="164"/>
      <c r="V34" s="11"/>
      <c r="W34" s="11"/>
      <c r="X34" s="11"/>
      <c r="Y34" s="11"/>
      <c r="Z34" s="13"/>
      <c r="AB34" s="37">
        <f t="shared" si="4"/>
        <v>20</v>
      </c>
      <c r="AC34" s="37">
        <f t="shared" si="1"/>
        <v>400</v>
      </c>
      <c r="AD34" s="37">
        <f t="shared" si="2"/>
        <v>8000</v>
      </c>
      <c r="AE34" s="38">
        <f t="shared" si="5"/>
        <v>1.7860384307500734</v>
      </c>
    </row>
    <row r="35" spans="1:31" ht="12.75" customHeight="1" x14ac:dyDescent="0.25">
      <c r="A35" s="10"/>
      <c r="B35" s="171"/>
      <c r="C35" s="172"/>
      <c r="D35" s="173"/>
      <c r="E35" s="174"/>
      <c r="F35" s="172"/>
      <c r="G35" s="173"/>
      <c r="H35" s="175"/>
      <c r="I35" s="176"/>
      <c r="J35" s="177"/>
      <c r="K35" s="162" t="e">
        <f t="shared" si="3"/>
        <v>#DIV/0!</v>
      </c>
      <c r="L35" s="168"/>
      <c r="M35" s="169"/>
      <c r="N35" s="174"/>
      <c r="O35" s="172"/>
      <c r="P35" s="172"/>
      <c r="Q35" s="173"/>
      <c r="R35" s="162" t="e">
        <f t="shared" si="0"/>
        <v>#DIV/0!</v>
      </c>
      <c r="S35" s="163"/>
      <c r="T35" s="163"/>
      <c r="U35" s="164"/>
      <c r="V35" s="179" t="s">
        <v>70</v>
      </c>
      <c r="W35" s="238"/>
      <c r="X35" s="238"/>
      <c r="Y35" s="240"/>
      <c r="Z35" s="13"/>
      <c r="AB35" s="37">
        <f t="shared" si="4"/>
        <v>20</v>
      </c>
      <c r="AC35" s="37">
        <f t="shared" si="1"/>
        <v>400</v>
      </c>
      <c r="AD35" s="37">
        <f t="shared" si="2"/>
        <v>8000</v>
      </c>
      <c r="AE35" s="38">
        <f t="shared" si="5"/>
        <v>1.7860384307500734</v>
      </c>
    </row>
    <row r="36" spans="1:31" ht="12.75" customHeight="1" x14ac:dyDescent="0.25">
      <c r="A36" s="10"/>
      <c r="B36" s="171"/>
      <c r="C36" s="172"/>
      <c r="D36" s="173"/>
      <c r="E36" s="174"/>
      <c r="F36" s="172"/>
      <c r="G36" s="173"/>
      <c r="H36" s="175"/>
      <c r="I36" s="176"/>
      <c r="J36" s="177"/>
      <c r="K36" s="162" t="e">
        <f t="shared" si="3"/>
        <v>#DIV/0!</v>
      </c>
      <c r="L36" s="168"/>
      <c r="M36" s="169"/>
      <c r="N36" s="174"/>
      <c r="O36" s="172"/>
      <c r="P36" s="172"/>
      <c r="Q36" s="173"/>
      <c r="R36" s="162" t="e">
        <f t="shared" si="0"/>
        <v>#DIV/0!</v>
      </c>
      <c r="S36" s="163"/>
      <c r="T36" s="163"/>
      <c r="U36" s="164"/>
      <c r="V36" s="239"/>
      <c r="W36" s="239"/>
      <c r="X36" s="239"/>
      <c r="Y36" s="241"/>
      <c r="Z36" s="13"/>
      <c r="AB36" s="37">
        <f t="shared" si="4"/>
        <v>20</v>
      </c>
      <c r="AC36" s="37">
        <f t="shared" si="1"/>
        <v>400</v>
      </c>
      <c r="AD36" s="37">
        <f t="shared" si="2"/>
        <v>8000</v>
      </c>
      <c r="AE36" s="38">
        <f t="shared" si="5"/>
        <v>1.7860384307500734</v>
      </c>
    </row>
    <row r="37" spans="1:31" ht="12.75" customHeight="1" thickBot="1" x14ac:dyDescent="0.3">
      <c r="A37" s="10"/>
      <c r="B37" s="171"/>
      <c r="C37" s="172"/>
      <c r="D37" s="173"/>
      <c r="E37" s="174"/>
      <c r="F37" s="172"/>
      <c r="G37" s="173"/>
      <c r="H37" s="175"/>
      <c r="I37" s="176"/>
      <c r="J37" s="177"/>
      <c r="K37" s="162" t="e">
        <f t="shared" si="3"/>
        <v>#DIV/0!</v>
      </c>
      <c r="L37" s="168"/>
      <c r="M37" s="169"/>
      <c r="N37" s="174"/>
      <c r="O37" s="172"/>
      <c r="P37" s="172"/>
      <c r="Q37" s="173"/>
      <c r="R37" s="162" t="e">
        <f t="shared" si="0"/>
        <v>#DIV/0!</v>
      </c>
      <c r="S37" s="163"/>
      <c r="T37" s="163"/>
      <c r="U37" s="164"/>
      <c r="V37" s="11"/>
      <c r="W37" s="11"/>
      <c r="X37" s="11"/>
      <c r="Y37" s="11"/>
      <c r="Z37" s="13"/>
      <c r="AB37" s="37">
        <f t="shared" si="4"/>
        <v>20</v>
      </c>
      <c r="AC37" s="37">
        <f t="shared" si="1"/>
        <v>400</v>
      </c>
      <c r="AD37" s="37">
        <f t="shared" si="2"/>
        <v>8000</v>
      </c>
      <c r="AE37" s="38">
        <f t="shared" si="5"/>
        <v>1.7860384307500734</v>
      </c>
    </row>
    <row r="38" spans="1:31" ht="12.75" customHeight="1" x14ac:dyDescent="0.25">
      <c r="A38" s="10"/>
      <c r="B38" s="171"/>
      <c r="C38" s="172"/>
      <c r="D38" s="173"/>
      <c r="E38" s="174"/>
      <c r="F38" s="172"/>
      <c r="G38" s="173"/>
      <c r="H38" s="175"/>
      <c r="I38" s="176"/>
      <c r="J38" s="177"/>
      <c r="K38" s="162" t="e">
        <f t="shared" si="3"/>
        <v>#DIV/0!</v>
      </c>
      <c r="L38" s="168"/>
      <c r="M38" s="169"/>
      <c r="N38" s="174"/>
      <c r="O38" s="172"/>
      <c r="P38" s="172"/>
      <c r="Q38" s="173"/>
      <c r="R38" s="162" t="e">
        <f t="shared" si="0"/>
        <v>#DIV/0!</v>
      </c>
      <c r="S38" s="163"/>
      <c r="T38" s="163"/>
      <c r="U38" s="164"/>
      <c r="V38" s="216" t="s">
        <v>71</v>
      </c>
      <c r="W38" s="217"/>
      <c r="X38" s="242" t="str">
        <f>IF(X32&lt;&gt;"",IF(X35&lt;&gt;"",X32-X35,""),"")</f>
        <v/>
      </c>
      <c r="Y38" s="243"/>
      <c r="Z38" s="13"/>
      <c r="AB38" s="37">
        <f t="shared" si="4"/>
        <v>20</v>
      </c>
      <c r="AC38" s="37">
        <f t="shared" si="1"/>
        <v>400</v>
      </c>
      <c r="AD38" s="37">
        <f t="shared" si="2"/>
        <v>8000</v>
      </c>
      <c r="AE38" s="38">
        <f t="shared" si="5"/>
        <v>1.7860384307500734</v>
      </c>
    </row>
    <row r="39" spans="1:31" ht="12.75" customHeight="1" thickBot="1" x14ac:dyDescent="0.3">
      <c r="A39" s="10"/>
      <c r="B39" s="171"/>
      <c r="C39" s="172"/>
      <c r="D39" s="173"/>
      <c r="E39" s="174"/>
      <c r="F39" s="172"/>
      <c r="G39" s="173"/>
      <c r="H39" s="175"/>
      <c r="I39" s="176"/>
      <c r="J39" s="177"/>
      <c r="K39" s="162" t="e">
        <f t="shared" si="3"/>
        <v>#DIV/0!</v>
      </c>
      <c r="L39" s="168"/>
      <c r="M39" s="169"/>
      <c r="N39" s="174"/>
      <c r="O39" s="172"/>
      <c r="P39" s="172"/>
      <c r="Q39" s="173"/>
      <c r="R39" s="162" t="e">
        <f t="shared" si="0"/>
        <v>#DIV/0!</v>
      </c>
      <c r="S39" s="163"/>
      <c r="T39" s="163"/>
      <c r="U39" s="164"/>
      <c r="V39" s="235"/>
      <c r="W39" s="235"/>
      <c r="X39" s="244"/>
      <c r="Y39" s="245"/>
      <c r="Z39" s="13"/>
      <c r="AB39" s="37">
        <f t="shared" si="4"/>
        <v>20</v>
      </c>
      <c r="AC39" s="37">
        <f t="shared" si="1"/>
        <v>400</v>
      </c>
      <c r="AD39" s="37">
        <f t="shared" si="2"/>
        <v>8000</v>
      </c>
      <c r="AE39" s="38">
        <f t="shared" si="5"/>
        <v>1.7860384307500734</v>
      </c>
    </row>
    <row r="40" spans="1:31" ht="12.75" customHeight="1" x14ac:dyDescent="0.25">
      <c r="A40" s="10"/>
      <c r="B40" s="171"/>
      <c r="C40" s="172"/>
      <c r="D40" s="173"/>
      <c r="E40" s="174"/>
      <c r="F40" s="172"/>
      <c r="G40" s="173"/>
      <c r="H40" s="175"/>
      <c r="I40" s="176"/>
      <c r="J40" s="177"/>
      <c r="K40" s="162" t="e">
        <f t="shared" si="3"/>
        <v>#DIV/0!</v>
      </c>
      <c r="L40" s="168"/>
      <c r="M40" s="169"/>
      <c r="N40" s="174"/>
      <c r="O40" s="172"/>
      <c r="P40" s="172"/>
      <c r="Q40" s="173"/>
      <c r="R40" s="162" t="e">
        <f t="shared" si="0"/>
        <v>#DIV/0!</v>
      </c>
      <c r="S40" s="163"/>
      <c r="T40" s="163"/>
      <c r="U40" s="164"/>
      <c r="V40" s="11"/>
      <c r="W40" s="11"/>
      <c r="X40" s="11"/>
      <c r="Y40" s="11"/>
      <c r="Z40" s="13"/>
      <c r="AB40" s="37">
        <f t="shared" si="4"/>
        <v>20</v>
      </c>
      <c r="AC40" s="37">
        <f t="shared" si="1"/>
        <v>400</v>
      </c>
      <c r="AD40" s="37">
        <f t="shared" si="2"/>
        <v>8000</v>
      </c>
      <c r="AE40" s="38">
        <f t="shared" si="5"/>
        <v>1.7860384307500734</v>
      </c>
    </row>
    <row r="41" spans="1:31" ht="12.75" customHeight="1" x14ac:dyDescent="0.25">
      <c r="A41" s="10"/>
      <c r="B41" s="171"/>
      <c r="C41" s="172"/>
      <c r="D41" s="173"/>
      <c r="E41" s="174"/>
      <c r="F41" s="172"/>
      <c r="G41" s="173"/>
      <c r="H41" s="175"/>
      <c r="I41" s="176"/>
      <c r="J41" s="177"/>
      <c r="K41" s="162" t="e">
        <f t="shared" si="3"/>
        <v>#DIV/0!</v>
      </c>
      <c r="L41" s="168"/>
      <c r="M41" s="169"/>
      <c r="N41" s="174"/>
      <c r="O41" s="172"/>
      <c r="P41" s="172"/>
      <c r="Q41" s="173"/>
      <c r="R41" s="162" t="e">
        <f t="shared" si="0"/>
        <v>#DIV/0!</v>
      </c>
      <c r="S41" s="163"/>
      <c r="T41" s="163"/>
      <c r="U41" s="164"/>
      <c r="V41" s="182"/>
      <c r="W41" s="218"/>
      <c r="X41" s="218"/>
      <c r="Y41" s="218"/>
      <c r="Z41" s="13"/>
      <c r="AB41" s="37">
        <f t="shared" si="4"/>
        <v>20</v>
      </c>
      <c r="AC41" s="37">
        <f t="shared" si="1"/>
        <v>400</v>
      </c>
      <c r="AD41" s="37">
        <f t="shared" si="2"/>
        <v>8000</v>
      </c>
      <c r="AE41" s="38">
        <f t="shared" si="5"/>
        <v>1.7860384307500734</v>
      </c>
    </row>
    <row r="42" spans="1:31" ht="12.75" customHeight="1" x14ac:dyDescent="0.25">
      <c r="A42" s="10"/>
      <c r="B42" s="171"/>
      <c r="C42" s="172"/>
      <c r="D42" s="173"/>
      <c r="E42" s="174"/>
      <c r="F42" s="172"/>
      <c r="G42" s="173"/>
      <c r="H42" s="175"/>
      <c r="I42" s="176"/>
      <c r="J42" s="177"/>
      <c r="K42" s="162" t="e">
        <f t="shared" si="3"/>
        <v>#DIV/0!</v>
      </c>
      <c r="L42" s="168"/>
      <c r="M42" s="169"/>
      <c r="N42" s="174"/>
      <c r="O42" s="172"/>
      <c r="P42" s="172"/>
      <c r="Q42" s="173"/>
      <c r="R42" s="162" t="e">
        <f t="shared" si="0"/>
        <v>#DIV/0!</v>
      </c>
      <c r="S42" s="163"/>
      <c r="T42" s="163"/>
      <c r="U42" s="164"/>
      <c r="V42" s="218"/>
      <c r="W42" s="218"/>
      <c r="X42" s="218"/>
      <c r="Y42" s="218"/>
      <c r="Z42" s="13"/>
      <c r="AB42" s="37">
        <f t="shared" si="4"/>
        <v>20</v>
      </c>
      <c r="AC42" s="37">
        <f t="shared" si="1"/>
        <v>400</v>
      </c>
      <c r="AD42" s="37">
        <f t="shared" si="2"/>
        <v>8000</v>
      </c>
      <c r="AE42" s="38">
        <f t="shared" si="5"/>
        <v>1.7860384307500734</v>
      </c>
    </row>
    <row r="43" spans="1:31" ht="12.75" customHeight="1" x14ac:dyDescent="0.25">
      <c r="A43" s="10"/>
      <c r="B43" s="171"/>
      <c r="C43" s="172"/>
      <c r="D43" s="173"/>
      <c r="E43" s="174"/>
      <c r="F43" s="172"/>
      <c r="G43" s="173"/>
      <c r="H43" s="175"/>
      <c r="I43" s="176"/>
      <c r="J43" s="177"/>
      <c r="K43" s="162" t="e">
        <f t="shared" si="3"/>
        <v>#DIV/0!</v>
      </c>
      <c r="L43" s="168"/>
      <c r="M43" s="169"/>
      <c r="N43" s="174"/>
      <c r="O43" s="172"/>
      <c r="P43" s="172"/>
      <c r="Q43" s="173"/>
      <c r="R43" s="162" t="e">
        <f t="shared" si="0"/>
        <v>#DIV/0!</v>
      </c>
      <c r="S43" s="163"/>
      <c r="T43" s="163"/>
      <c r="U43" s="164"/>
      <c r="V43" s="11"/>
      <c r="W43" s="11"/>
      <c r="X43" s="11"/>
      <c r="Y43" s="11"/>
      <c r="Z43" s="13"/>
      <c r="AB43" s="37">
        <f t="shared" si="4"/>
        <v>20</v>
      </c>
      <c r="AC43" s="37">
        <f t="shared" si="1"/>
        <v>400</v>
      </c>
      <c r="AD43" s="37">
        <f t="shared" si="2"/>
        <v>8000</v>
      </c>
      <c r="AE43" s="38">
        <f t="shared" si="5"/>
        <v>1.7860384307500734</v>
      </c>
    </row>
    <row r="44" spans="1:31" ht="12.75" customHeight="1" x14ac:dyDescent="0.25">
      <c r="A44" s="10"/>
      <c r="B44" s="171"/>
      <c r="C44" s="172"/>
      <c r="D44" s="173"/>
      <c r="E44" s="174"/>
      <c r="F44" s="172"/>
      <c r="G44" s="173"/>
      <c r="H44" s="175"/>
      <c r="I44" s="176"/>
      <c r="J44" s="177"/>
      <c r="K44" s="162" t="e">
        <f t="shared" si="3"/>
        <v>#DIV/0!</v>
      </c>
      <c r="L44" s="168"/>
      <c r="M44" s="169"/>
      <c r="N44" s="174"/>
      <c r="O44" s="172"/>
      <c r="P44" s="172"/>
      <c r="Q44" s="173"/>
      <c r="R44" s="162" t="e">
        <f t="shared" si="0"/>
        <v>#DIV/0!</v>
      </c>
      <c r="S44" s="163"/>
      <c r="T44" s="163"/>
      <c r="U44" s="164"/>
      <c r="V44" s="182"/>
      <c r="W44" s="218"/>
      <c r="X44" s="218"/>
      <c r="Y44" s="218"/>
      <c r="Z44" s="13"/>
      <c r="AB44" s="37">
        <f t="shared" si="4"/>
        <v>20</v>
      </c>
      <c r="AC44" s="37">
        <f t="shared" si="1"/>
        <v>400</v>
      </c>
      <c r="AD44" s="37">
        <f t="shared" si="2"/>
        <v>8000</v>
      </c>
      <c r="AE44" s="38">
        <f t="shared" si="5"/>
        <v>1.7860384307500734</v>
      </c>
    </row>
    <row r="45" spans="1:31" ht="12.75" customHeight="1" x14ac:dyDescent="0.25">
      <c r="A45" s="10"/>
      <c r="B45" s="171"/>
      <c r="C45" s="172"/>
      <c r="D45" s="173"/>
      <c r="E45" s="174"/>
      <c r="F45" s="172"/>
      <c r="G45" s="173"/>
      <c r="H45" s="175"/>
      <c r="I45" s="176"/>
      <c r="J45" s="177"/>
      <c r="K45" s="162" t="e">
        <f t="shared" si="3"/>
        <v>#DIV/0!</v>
      </c>
      <c r="L45" s="168"/>
      <c r="M45" s="169"/>
      <c r="N45" s="174"/>
      <c r="O45" s="172"/>
      <c r="P45" s="172"/>
      <c r="Q45" s="173"/>
      <c r="R45" s="162" t="e">
        <f t="shared" si="0"/>
        <v>#DIV/0!</v>
      </c>
      <c r="S45" s="163"/>
      <c r="T45" s="163"/>
      <c r="U45" s="164"/>
      <c r="V45" s="218"/>
      <c r="W45" s="218"/>
      <c r="X45" s="218"/>
      <c r="Y45" s="218"/>
      <c r="Z45" s="13"/>
      <c r="AB45" s="37">
        <f t="shared" si="4"/>
        <v>20</v>
      </c>
      <c r="AC45" s="37">
        <f t="shared" si="1"/>
        <v>400</v>
      </c>
      <c r="AD45" s="37">
        <f t="shared" si="2"/>
        <v>8000</v>
      </c>
      <c r="AE45" s="38">
        <f t="shared" si="5"/>
        <v>1.7860384307500734</v>
      </c>
    </row>
    <row r="46" spans="1:31" ht="12.75" customHeight="1" x14ac:dyDescent="0.25">
      <c r="A46" s="10"/>
      <c r="B46" s="171"/>
      <c r="C46" s="172"/>
      <c r="D46" s="173"/>
      <c r="E46" s="174"/>
      <c r="F46" s="172"/>
      <c r="G46" s="173"/>
      <c r="H46" s="175"/>
      <c r="I46" s="176"/>
      <c r="J46" s="177"/>
      <c r="K46" s="162" t="e">
        <f t="shared" si="3"/>
        <v>#DIV/0!</v>
      </c>
      <c r="L46" s="168"/>
      <c r="M46" s="169"/>
      <c r="N46" s="174"/>
      <c r="O46" s="172"/>
      <c r="P46" s="172"/>
      <c r="Q46" s="173"/>
      <c r="R46" s="162" t="e">
        <f t="shared" si="0"/>
        <v>#DIV/0!</v>
      </c>
      <c r="S46" s="163"/>
      <c r="T46" s="163"/>
      <c r="U46" s="164"/>
      <c r="V46" s="11"/>
      <c r="W46" s="11"/>
      <c r="X46" s="11"/>
      <c r="Y46" s="11"/>
      <c r="Z46" s="39"/>
      <c r="AB46" s="37">
        <f t="shared" si="4"/>
        <v>20</v>
      </c>
      <c r="AC46" s="37">
        <f t="shared" si="1"/>
        <v>400</v>
      </c>
      <c r="AD46" s="37">
        <f t="shared" si="2"/>
        <v>8000</v>
      </c>
      <c r="AE46" s="38">
        <f t="shared" si="5"/>
        <v>1.7860384307500734</v>
      </c>
    </row>
    <row r="47" spans="1:31" ht="12.75" customHeight="1" x14ac:dyDescent="0.25">
      <c r="A47" s="10"/>
      <c r="B47" s="171"/>
      <c r="C47" s="172"/>
      <c r="D47" s="173"/>
      <c r="E47" s="174"/>
      <c r="F47" s="172"/>
      <c r="G47" s="173"/>
      <c r="H47" s="175"/>
      <c r="I47" s="176"/>
      <c r="J47" s="177"/>
      <c r="K47" s="162" t="e">
        <f t="shared" si="3"/>
        <v>#DIV/0!</v>
      </c>
      <c r="L47" s="168"/>
      <c r="M47" s="169"/>
      <c r="N47" s="174"/>
      <c r="O47" s="172"/>
      <c r="P47" s="172"/>
      <c r="Q47" s="173"/>
      <c r="R47" s="162" t="e">
        <f t="shared" si="0"/>
        <v>#DIV/0!</v>
      </c>
      <c r="S47" s="163"/>
      <c r="T47" s="163"/>
      <c r="U47" s="164"/>
      <c r="V47" s="182"/>
      <c r="W47" s="218"/>
      <c r="X47" s="218"/>
      <c r="Y47" s="218"/>
      <c r="Z47" s="40"/>
      <c r="AB47" s="37">
        <f t="shared" si="4"/>
        <v>20</v>
      </c>
      <c r="AC47" s="37">
        <f t="shared" si="1"/>
        <v>400</v>
      </c>
      <c r="AD47" s="37">
        <f t="shared" si="2"/>
        <v>8000</v>
      </c>
      <c r="AE47" s="38">
        <f t="shared" si="5"/>
        <v>1.7860384307500734</v>
      </c>
    </row>
    <row r="48" spans="1:31" ht="12.75" customHeight="1" x14ac:dyDescent="0.25">
      <c r="A48" s="41"/>
      <c r="B48" s="171"/>
      <c r="C48" s="172"/>
      <c r="D48" s="173"/>
      <c r="E48" s="174"/>
      <c r="F48" s="172"/>
      <c r="G48" s="173"/>
      <c r="H48" s="175"/>
      <c r="I48" s="176"/>
      <c r="J48" s="177"/>
      <c r="K48" s="162" t="e">
        <f t="shared" si="3"/>
        <v>#DIV/0!</v>
      </c>
      <c r="L48" s="168"/>
      <c r="M48" s="169"/>
      <c r="N48" s="174"/>
      <c r="O48" s="172"/>
      <c r="P48" s="172"/>
      <c r="Q48" s="173"/>
      <c r="R48" s="162" t="e">
        <f t="shared" si="0"/>
        <v>#DIV/0!</v>
      </c>
      <c r="S48" s="163"/>
      <c r="T48" s="163"/>
      <c r="U48" s="164"/>
      <c r="V48" s="218"/>
      <c r="W48" s="218"/>
      <c r="X48" s="218"/>
      <c r="Y48" s="218"/>
      <c r="Z48" s="40"/>
      <c r="AB48" s="37">
        <f t="shared" si="4"/>
        <v>20</v>
      </c>
      <c r="AC48" s="37">
        <f t="shared" si="1"/>
        <v>400</v>
      </c>
      <c r="AD48" s="37">
        <f t="shared" si="2"/>
        <v>8000</v>
      </c>
      <c r="AE48" s="38">
        <f t="shared" si="5"/>
        <v>1.7860384307500734</v>
      </c>
    </row>
    <row r="49" spans="1:31" ht="12.75" customHeight="1" x14ac:dyDescent="0.25">
      <c r="A49" s="42"/>
      <c r="B49" s="171"/>
      <c r="C49" s="172"/>
      <c r="D49" s="173"/>
      <c r="E49" s="174"/>
      <c r="F49" s="172"/>
      <c r="G49" s="173"/>
      <c r="H49" s="175"/>
      <c r="I49" s="176"/>
      <c r="J49" s="177"/>
      <c r="K49" s="162" t="e">
        <f>(E49-E48)/((B49-B48)*1000000)</f>
        <v>#DIV/0!</v>
      </c>
      <c r="L49" s="168"/>
      <c r="M49" s="169"/>
      <c r="N49" s="174"/>
      <c r="O49" s="172"/>
      <c r="P49" s="172"/>
      <c r="Q49" s="173"/>
      <c r="R49" s="162" t="e">
        <f t="shared" si="0"/>
        <v>#DIV/0!</v>
      </c>
      <c r="S49" s="163"/>
      <c r="T49" s="163"/>
      <c r="U49" s="164"/>
      <c r="V49" s="11"/>
      <c r="W49" s="11"/>
      <c r="X49" s="11"/>
      <c r="Y49" s="11"/>
      <c r="Z49" s="40"/>
      <c r="AB49" s="37">
        <f t="shared" si="4"/>
        <v>20</v>
      </c>
      <c r="AC49" s="37">
        <f t="shared" si="1"/>
        <v>400</v>
      </c>
      <c r="AD49" s="37">
        <f t="shared" si="2"/>
        <v>8000</v>
      </c>
      <c r="AE49" s="38">
        <f t="shared" si="5"/>
        <v>1.7860384307500734</v>
      </c>
    </row>
    <row r="50" spans="1:31" ht="12.75" customHeight="1" x14ac:dyDescent="0.25">
      <c r="A50" s="42"/>
      <c r="B50" s="170"/>
      <c r="C50" s="166"/>
      <c r="D50" s="167"/>
      <c r="E50" s="165"/>
      <c r="F50" s="166"/>
      <c r="G50" s="167"/>
      <c r="H50" s="165"/>
      <c r="I50" s="166"/>
      <c r="J50" s="167"/>
      <c r="K50" s="162" t="e">
        <f t="shared" ref="K50:K68" si="6">(E50-E49)/((B50-B49)*1000000)</f>
        <v>#DIV/0!</v>
      </c>
      <c r="L50" s="168"/>
      <c r="M50" s="169"/>
      <c r="N50" s="165"/>
      <c r="O50" s="166"/>
      <c r="P50" s="166"/>
      <c r="Q50" s="167"/>
      <c r="R50" s="162" t="e">
        <f>K50*AE50</f>
        <v>#DIV/0!</v>
      </c>
      <c r="S50" s="163"/>
      <c r="T50" s="163"/>
      <c r="U50" s="164"/>
      <c r="V50" s="182"/>
      <c r="W50" s="218"/>
      <c r="X50" s="218"/>
      <c r="Y50" s="218"/>
      <c r="Z50" s="40"/>
      <c r="AB50" s="37">
        <f t="shared" si="4"/>
        <v>20</v>
      </c>
      <c r="AC50" s="37">
        <f t="shared" si="1"/>
        <v>400</v>
      </c>
      <c r="AD50" s="37">
        <f t="shared" si="2"/>
        <v>8000</v>
      </c>
      <c r="AE50" s="38">
        <f t="shared" si="5"/>
        <v>1.7860384307500734</v>
      </c>
    </row>
    <row r="51" spans="1:31" ht="12.75" customHeight="1" x14ac:dyDescent="0.25">
      <c r="A51" s="42"/>
      <c r="B51" s="170"/>
      <c r="C51" s="166"/>
      <c r="D51" s="167"/>
      <c r="E51" s="165"/>
      <c r="F51" s="166"/>
      <c r="G51" s="167"/>
      <c r="H51" s="165"/>
      <c r="I51" s="166"/>
      <c r="J51" s="167"/>
      <c r="K51" s="162" t="e">
        <f t="shared" si="6"/>
        <v>#DIV/0!</v>
      </c>
      <c r="L51" s="168"/>
      <c r="M51" s="169"/>
      <c r="N51" s="165"/>
      <c r="O51" s="166"/>
      <c r="P51" s="166"/>
      <c r="Q51" s="167"/>
      <c r="R51" s="162" t="e">
        <f t="shared" ref="R51:R68" si="7">K51*AE51</f>
        <v>#DIV/0!</v>
      </c>
      <c r="S51" s="163"/>
      <c r="T51" s="163"/>
      <c r="U51" s="164"/>
      <c r="V51" s="218"/>
      <c r="W51" s="218"/>
      <c r="X51" s="218"/>
      <c r="Y51" s="218"/>
      <c r="Z51" s="40"/>
      <c r="AB51" s="37">
        <f t="shared" si="4"/>
        <v>20</v>
      </c>
      <c r="AC51" s="37">
        <f t="shared" si="1"/>
        <v>400</v>
      </c>
      <c r="AD51" s="37">
        <f t="shared" si="2"/>
        <v>8000</v>
      </c>
      <c r="AE51" s="38">
        <f t="shared" si="5"/>
        <v>1.7860384307500734</v>
      </c>
    </row>
    <row r="52" spans="1:31" ht="12.75" customHeight="1" x14ac:dyDescent="0.25">
      <c r="A52" s="10"/>
      <c r="B52" s="170"/>
      <c r="C52" s="166"/>
      <c r="D52" s="167"/>
      <c r="E52" s="165"/>
      <c r="F52" s="166"/>
      <c r="G52" s="167"/>
      <c r="H52" s="165"/>
      <c r="I52" s="166"/>
      <c r="J52" s="167"/>
      <c r="K52" s="162" t="e">
        <f t="shared" si="6"/>
        <v>#DIV/0!</v>
      </c>
      <c r="L52" s="168"/>
      <c r="M52" s="169"/>
      <c r="N52" s="165"/>
      <c r="O52" s="166"/>
      <c r="P52" s="166"/>
      <c r="Q52" s="167"/>
      <c r="R52" s="162" t="e">
        <f t="shared" si="7"/>
        <v>#DIV/0!</v>
      </c>
      <c r="S52" s="163"/>
      <c r="T52" s="163"/>
      <c r="U52" s="164"/>
      <c r="V52" s="11"/>
      <c r="W52" s="11"/>
      <c r="X52" s="11"/>
      <c r="Y52" s="11"/>
      <c r="Z52" s="13"/>
      <c r="AB52" s="37">
        <f t="shared" si="4"/>
        <v>20</v>
      </c>
      <c r="AC52" s="37">
        <f>AB52*AB52</f>
        <v>400</v>
      </c>
      <c r="AD52" s="37">
        <f>AB52*AB52*AB52</f>
        <v>8000</v>
      </c>
      <c r="AE52" s="38">
        <f t="shared" si="5"/>
        <v>1.7860384307500734</v>
      </c>
    </row>
    <row r="53" spans="1:31" ht="12.75" customHeight="1" x14ac:dyDescent="0.25">
      <c r="A53" s="10"/>
      <c r="B53" s="170"/>
      <c r="C53" s="166"/>
      <c r="D53" s="167"/>
      <c r="E53" s="165"/>
      <c r="F53" s="166"/>
      <c r="G53" s="167"/>
      <c r="H53" s="165"/>
      <c r="I53" s="166"/>
      <c r="J53" s="167"/>
      <c r="K53" s="162" t="e">
        <f t="shared" si="6"/>
        <v>#DIV/0!</v>
      </c>
      <c r="L53" s="168"/>
      <c r="M53" s="169"/>
      <c r="N53" s="165"/>
      <c r="O53" s="166"/>
      <c r="P53" s="166"/>
      <c r="Q53" s="167"/>
      <c r="R53" s="162" t="e">
        <f t="shared" si="7"/>
        <v>#DIV/0!</v>
      </c>
      <c r="S53" s="163"/>
      <c r="T53" s="163"/>
      <c r="U53" s="164"/>
      <c r="V53" s="182"/>
      <c r="W53" s="218"/>
      <c r="X53" s="218"/>
      <c r="Y53" s="218"/>
      <c r="Z53" s="13"/>
      <c r="AB53" s="37">
        <f t="shared" si="4"/>
        <v>20</v>
      </c>
      <c r="AC53" s="37">
        <f t="shared" ref="AC53:AC61" si="8">AB53*AB53</f>
        <v>400</v>
      </c>
      <c r="AD53" s="37">
        <f t="shared" ref="AD53:AD61" si="9">AB53*AB53*AB53</f>
        <v>8000</v>
      </c>
      <c r="AE53" s="38">
        <f t="shared" si="5"/>
        <v>1.7860384307500734</v>
      </c>
    </row>
    <row r="54" spans="1:31" ht="12.75" customHeight="1" x14ac:dyDescent="0.25">
      <c r="A54" s="43"/>
      <c r="B54" s="170"/>
      <c r="C54" s="166"/>
      <c r="D54" s="167"/>
      <c r="E54" s="165"/>
      <c r="F54" s="166"/>
      <c r="G54" s="167"/>
      <c r="H54" s="165"/>
      <c r="I54" s="166"/>
      <c r="J54" s="167"/>
      <c r="K54" s="162" t="e">
        <f t="shared" si="6"/>
        <v>#DIV/0!</v>
      </c>
      <c r="L54" s="168"/>
      <c r="M54" s="169"/>
      <c r="N54" s="165"/>
      <c r="O54" s="166"/>
      <c r="P54" s="166"/>
      <c r="Q54" s="167"/>
      <c r="R54" s="162" t="e">
        <f>K54*AE54</f>
        <v>#DIV/0!</v>
      </c>
      <c r="S54" s="163"/>
      <c r="T54" s="163"/>
      <c r="U54" s="164"/>
      <c r="V54" s="218"/>
      <c r="W54" s="218"/>
      <c r="X54" s="218"/>
      <c r="Y54" s="218"/>
      <c r="Z54" s="13"/>
      <c r="AB54" s="37">
        <f t="shared" si="4"/>
        <v>20</v>
      </c>
      <c r="AC54" s="37">
        <f t="shared" si="8"/>
        <v>400</v>
      </c>
      <c r="AD54" s="37">
        <f t="shared" si="9"/>
        <v>8000</v>
      </c>
      <c r="AE54" s="38">
        <f t="shared" si="5"/>
        <v>1.7860384307500734</v>
      </c>
    </row>
    <row r="55" spans="1:31" ht="12.75" customHeight="1" x14ac:dyDescent="0.25">
      <c r="A55" s="10"/>
      <c r="B55" s="170"/>
      <c r="C55" s="166"/>
      <c r="D55" s="167"/>
      <c r="E55" s="165"/>
      <c r="F55" s="166"/>
      <c r="G55" s="167"/>
      <c r="H55" s="165"/>
      <c r="I55" s="166"/>
      <c r="J55" s="167"/>
      <c r="K55" s="162" t="e">
        <f t="shared" si="6"/>
        <v>#DIV/0!</v>
      </c>
      <c r="L55" s="168"/>
      <c r="M55" s="169"/>
      <c r="N55" s="165"/>
      <c r="O55" s="166"/>
      <c r="P55" s="166"/>
      <c r="Q55" s="167"/>
      <c r="R55" s="162" t="e">
        <f t="shared" si="7"/>
        <v>#DIV/0!</v>
      </c>
      <c r="S55" s="163"/>
      <c r="T55" s="163"/>
      <c r="U55" s="164"/>
      <c r="V55" s="44"/>
      <c r="W55" s="11"/>
      <c r="X55" s="11"/>
      <c r="Y55" s="11"/>
      <c r="Z55" s="13"/>
      <c r="AB55" s="37">
        <f t="shared" si="4"/>
        <v>20</v>
      </c>
      <c r="AC55" s="37">
        <f t="shared" si="8"/>
        <v>400</v>
      </c>
      <c r="AD55" s="37">
        <f t="shared" si="9"/>
        <v>8000</v>
      </c>
      <c r="AE55" s="38">
        <f t="shared" si="5"/>
        <v>1.7860384307500734</v>
      </c>
    </row>
    <row r="56" spans="1:31" ht="12.75" customHeight="1" x14ac:dyDescent="0.25">
      <c r="A56" s="10"/>
      <c r="B56" s="170"/>
      <c r="C56" s="166"/>
      <c r="D56" s="167"/>
      <c r="E56" s="165"/>
      <c r="F56" s="166"/>
      <c r="G56" s="167"/>
      <c r="H56" s="165"/>
      <c r="I56" s="166"/>
      <c r="J56" s="167"/>
      <c r="K56" s="162" t="e">
        <f t="shared" si="6"/>
        <v>#DIV/0!</v>
      </c>
      <c r="L56" s="168"/>
      <c r="M56" s="169"/>
      <c r="N56" s="165"/>
      <c r="O56" s="166"/>
      <c r="P56" s="166"/>
      <c r="Q56" s="167"/>
      <c r="R56" s="162" t="e">
        <f t="shared" si="7"/>
        <v>#DIV/0!</v>
      </c>
      <c r="S56" s="163"/>
      <c r="T56" s="163"/>
      <c r="U56" s="164"/>
      <c r="V56" s="182"/>
      <c r="W56" s="218"/>
      <c r="X56" s="218"/>
      <c r="Y56" s="218"/>
      <c r="Z56" s="13"/>
      <c r="AB56" s="37">
        <f t="shared" si="4"/>
        <v>20</v>
      </c>
      <c r="AC56" s="37">
        <f t="shared" si="8"/>
        <v>400</v>
      </c>
      <c r="AD56" s="37">
        <f t="shared" si="9"/>
        <v>8000</v>
      </c>
      <c r="AE56" s="38">
        <f t="shared" si="5"/>
        <v>1.7860384307500734</v>
      </c>
    </row>
    <row r="57" spans="1:31" ht="12.75" customHeight="1" x14ac:dyDescent="0.25">
      <c r="A57" s="10"/>
      <c r="B57" s="170"/>
      <c r="C57" s="166"/>
      <c r="D57" s="167"/>
      <c r="E57" s="165"/>
      <c r="F57" s="166"/>
      <c r="G57" s="167"/>
      <c r="H57" s="165"/>
      <c r="I57" s="166"/>
      <c r="J57" s="167"/>
      <c r="K57" s="162" t="e">
        <f t="shared" si="6"/>
        <v>#DIV/0!</v>
      </c>
      <c r="L57" s="168"/>
      <c r="M57" s="169"/>
      <c r="N57" s="165"/>
      <c r="O57" s="166"/>
      <c r="P57" s="166"/>
      <c r="Q57" s="167"/>
      <c r="R57" s="162" t="e">
        <f t="shared" si="7"/>
        <v>#DIV/0!</v>
      </c>
      <c r="S57" s="163"/>
      <c r="T57" s="163"/>
      <c r="U57" s="164"/>
      <c r="V57" s="218"/>
      <c r="W57" s="218"/>
      <c r="X57" s="218"/>
      <c r="Y57" s="218"/>
      <c r="Z57" s="13"/>
      <c r="AB57" s="37">
        <f t="shared" si="4"/>
        <v>20</v>
      </c>
      <c r="AC57" s="37">
        <f t="shared" si="8"/>
        <v>400</v>
      </c>
      <c r="AD57" s="37">
        <f t="shared" si="9"/>
        <v>8000</v>
      </c>
      <c r="AE57" s="38">
        <f t="shared" si="5"/>
        <v>1.7860384307500734</v>
      </c>
    </row>
    <row r="58" spans="1:31" ht="12.75" customHeight="1" x14ac:dyDescent="0.25">
      <c r="A58" s="10"/>
      <c r="B58" s="170"/>
      <c r="C58" s="166"/>
      <c r="D58" s="167"/>
      <c r="E58" s="165"/>
      <c r="F58" s="166"/>
      <c r="G58" s="167"/>
      <c r="H58" s="165"/>
      <c r="I58" s="166"/>
      <c r="J58" s="167"/>
      <c r="K58" s="162" t="e">
        <f t="shared" si="6"/>
        <v>#DIV/0!</v>
      </c>
      <c r="L58" s="168"/>
      <c r="M58" s="169"/>
      <c r="N58" s="165"/>
      <c r="O58" s="166"/>
      <c r="P58" s="166"/>
      <c r="Q58" s="167"/>
      <c r="R58" s="162" t="e">
        <f t="shared" si="7"/>
        <v>#DIV/0!</v>
      </c>
      <c r="S58" s="163"/>
      <c r="T58" s="163"/>
      <c r="U58" s="164"/>
      <c r="V58" s="11"/>
      <c r="W58" s="11"/>
      <c r="X58" s="11"/>
      <c r="Y58" s="11"/>
      <c r="Z58" s="13"/>
      <c r="AB58" s="37">
        <f t="shared" si="4"/>
        <v>20</v>
      </c>
      <c r="AC58" s="37">
        <f t="shared" si="8"/>
        <v>400</v>
      </c>
      <c r="AD58" s="37">
        <f t="shared" si="9"/>
        <v>8000</v>
      </c>
      <c r="AE58" s="38">
        <f t="shared" si="5"/>
        <v>1.7860384307500734</v>
      </c>
    </row>
    <row r="59" spans="1:31" ht="12.75" customHeight="1" x14ac:dyDescent="0.25">
      <c r="A59" s="10"/>
      <c r="B59" s="170"/>
      <c r="C59" s="166"/>
      <c r="D59" s="167"/>
      <c r="E59" s="165"/>
      <c r="F59" s="166"/>
      <c r="G59" s="167"/>
      <c r="H59" s="165"/>
      <c r="I59" s="166"/>
      <c r="J59" s="167"/>
      <c r="K59" s="162" t="e">
        <f t="shared" si="6"/>
        <v>#DIV/0!</v>
      </c>
      <c r="L59" s="168"/>
      <c r="M59" s="169"/>
      <c r="N59" s="165"/>
      <c r="O59" s="166"/>
      <c r="P59" s="166"/>
      <c r="Q59" s="167"/>
      <c r="R59" s="162" t="e">
        <f t="shared" si="7"/>
        <v>#DIV/0!</v>
      </c>
      <c r="S59" s="163"/>
      <c r="T59" s="163"/>
      <c r="U59" s="164"/>
      <c r="V59" s="182"/>
      <c r="W59" s="218"/>
      <c r="X59" s="218"/>
      <c r="Y59" s="218"/>
      <c r="Z59" s="13"/>
      <c r="AB59" s="37">
        <f t="shared" si="4"/>
        <v>20</v>
      </c>
      <c r="AC59" s="37">
        <f t="shared" si="8"/>
        <v>400</v>
      </c>
      <c r="AD59" s="37">
        <f t="shared" si="9"/>
        <v>8000</v>
      </c>
      <c r="AE59" s="38">
        <f t="shared" si="5"/>
        <v>1.7860384307500734</v>
      </c>
    </row>
    <row r="60" spans="1:31" ht="12.75" customHeight="1" x14ac:dyDescent="0.25">
      <c r="A60" s="10"/>
      <c r="B60" s="170"/>
      <c r="C60" s="166"/>
      <c r="D60" s="167"/>
      <c r="E60" s="165"/>
      <c r="F60" s="166"/>
      <c r="G60" s="167"/>
      <c r="H60" s="165"/>
      <c r="I60" s="166"/>
      <c r="J60" s="167"/>
      <c r="K60" s="162" t="e">
        <f t="shared" si="6"/>
        <v>#DIV/0!</v>
      </c>
      <c r="L60" s="168"/>
      <c r="M60" s="169"/>
      <c r="N60" s="165"/>
      <c r="O60" s="166"/>
      <c r="P60" s="166"/>
      <c r="Q60" s="167"/>
      <c r="R60" s="162" t="e">
        <f t="shared" si="7"/>
        <v>#DIV/0!</v>
      </c>
      <c r="S60" s="163"/>
      <c r="T60" s="163"/>
      <c r="U60" s="164"/>
      <c r="V60" s="218"/>
      <c r="W60" s="218"/>
      <c r="X60" s="218"/>
      <c r="Y60" s="218"/>
      <c r="Z60" s="13"/>
      <c r="AB60" s="37">
        <f t="shared" si="4"/>
        <v>20</v>
      </c>
      <c r="AC60" s="37">
        <f t="shared" si="8"/>
        <v>400</v>
      </c>
      <c r="AD60" s="37">
        <f t="shared" si="9"/>
        <v>8000</v>
      </c>
      <c r="AE60" s="38">
        <f t="shared" si="5"/>
        <v>1.7860384307500734</v>
      </c>
    </row>
    <row r="61" spans="1:31" ht="12.75" customHeight="1" x14ac:dyDescent="0.25">
      <c r="A61" s="10"/>
      <c r="B61" s="170"/>
      <c r="C61" s="166"/>
      <c r="D61" s="167"/>
      <c r="E61" s="165"/>
      <c r="F61" s="166"/>
      <c r="G61" s="167"/>
      <c r="H61" s="165"/>
      <c r="I61" s="166"/>
      <c r="J61" s="167"/>
      <c r="K61" s="162" t="e">
        <f t="shared" si="6"/>
        <v>#DIV/0!</v>
      </c>
      <c r="L61" s="168"/>
      <c r="M61" s="169"/>
      <c r="N61" s="165"/>
      <c r="O61" s="166"/>
      <c r="P61" s="166"/>
      <c r="Q61" s="167"/>
      <c r="R61" s="162" t="e">
        <f t="shared" si="7"/>
        <v>#DIV/0!</v>
      </c>
      <c r="S61" s="163"/>
      <c r="T61" s="163"/>
      <c r="U61" s="164"/>
      <c r="V61" s="11"/>
      <c r="W61" s="11"/>
      <c r="X61" s="11"/>
      <c r="Y61" s="2" t="s">
        <v>76</v>
      </c>
      <c r="Z61" s="13"/>
      <c r="AB61" s="37">
        <f t="shared" si="4"/>
        <v>20</v>
      </c>
      <c r="AC61" s="37">
        <f t="shared" si="8"/>
        <v>400</v>
      </c>
      <c r="AD61" s="37">
        <f t="shared" si="9"/>
        <v>8000</v>
      </c>
      <c r="AE61" s="38">
        <f t="shared" si="5"/>
        <v>1.7860384307500734</v>
      </c>
    </row>
    <row r="62" spans="1:31" ht="12.75" customHeight="1" x14ac:dyDescent="0.25">
      <c r="A62" s="10"/>
      <c r="B62" s="170"/>
      <c r="C62" s="166"/>
      <c r="D62" s="167"/>
      <c r="E62" s="165"/>
      <c r="F62" s="166"/>
      <c r="G62" s="167"/>
      <c r="H62" s="165"/>
      <c r="I62" s="166"/>
      <c r="J62" s="167"/>
      <c r="K62" s="162" t="e">
        <f t="shared" si="6"/>
        <v>#DIV/0!</v>
      </c>
      <c r="L62" s="168"/>
      <c r="M62" s="169"/>
      <c r="N62" s="165"/>
      <c r="O62" s="166"/>
      <c r="P62" s="166"/>
      <c r="Q62" s="167"/>
      <c r="R62" s="162" t="e">
        <f t="shared" si="7"/>
        <v>#DIV/0!</v>
      </c>
      <c r="S62" s="163"/>
      <c r="T62" s="163"/>
      <c r="U62" s="164"/>
      <c r="V62" s="182"/>
      <c r="W62" s="218"/>
      <c r="X62" s="218"/>
      <c r="Y62" s="218"/>
      <c r="Z62" s="13"/>
    </row>
    <row r="63" spans="1:31" ht="12.75" customHeight="1" x14ac:dyDescent="0.25">
      <c r="A63" s="45"/>
      <c r="B63" s="170"/>
      <c r="C63" s="166"/>
      <c r="D63" s="167"/>
      <c r="E63" s="165"/>
      <c r="F63" s="166"/>
      <c r="G63" s="167"/>
      <c r="H63" s="165"/>
      <c r="I63" s="166"/>
      <c r="J63" s="167"/>
      <c r="K63" s="162" t="e">
        <f t="shared" si="6"/>
        <v>#DIV/0!</v>
      </c>
      <c r="L63" s="168"/>
      <c r="M63" s="169"/>
      <c r="N63" s="165"/>
      <c r="O63" s="166"/>
      <c r="P63" s="166"/>
      <c r="Q63" s="167"/>
      <c r="R63" s="162" t="e">
        <f t="shared" si="7"/>
        <v>#DIV/0!</v>
      </c>
      <c r="S63" s="163"/>
      <c r="T63" s="163"/>
      <c r="U63" s="164"/>
      <c r="V63" s="218"/>
      <c r="W63" s="218"/>
      <c r="X63" s="218"/>
      <c r="Y63" s="218"/>
      <c r="Z63" s="46"/>
    </row>
    <row r="64" spans="1:31" ht="12.75" customHeight="1" thickBot="1" x14ac:dyDescent="0.3">
      <c r="A64" s="45"/>
      <c r="B64" s="170"/>
      <c r="C64" s="166"/>
      <c r="D64" s="167"/>
      <c r="E64" s="165"/>
      <c r="F64" s="166"/>
      <c r="G64" s="167"/>
      <c r="H64" s="165"/>
      <c r="I64" s="166"/>
      <c r="J64" s="167"/>
      <c r="K64" s="162" t="e">
        <f t="shared" si="6"/>
        <v>#DIV/0!</v>
      </c>
      <c r="L64" s="168"/>
      <c r="M64" s="169"/>
      <c r="N64" s="165"/>
      <c r="O64" s="166"/>
      <c r="P64" s="166"/>
      <c r="Q64" s="167"/>
      <c r="R64" s="162" t="e">
        <f t="shared" si="7"/>
        <v>#DIV/0!</v>
      </c>
      <c r="S64" s="163"/>
      <c r="T64" s="163"/>
      <c r="U64" s="164"/>
      <c r="V64" s="11"/>
      <c r="W64" s="11"/>
      <c r="X64" s="11"/>
      <c r="Y64" s="2" t="s">
        <v>77</v>
      </c>
      <c r="Z64" s="13"/>
    </row>
    <row r="65" spans="1:30" ht="12.75" customHeight="1" x14ac:dyDescent="0.25">
      <c r="A65" s="45"/>
      <c r="B65" s="170"/>
      <c r="C65" s="166"/>
      <c r="D65" s="167"/>
      <c r="E65" s="165"/>
      <c r="F65" s="166"/>
      <c r="G65" s="167"/>
      <c r="H65" s="165"/>
      <c r="I65" s="166"/>
      <c r="J65" s="167"/>
      <c r="K65" s="162" t="e">
        <f t="shared" si="6"/>
        <v>#DIV/0!</v>
      </c>
      <c r="L65" s="168"/>
      <c r="M65" s="169"/>
      <c r="N65" s="165"/>
      <c r="O65" s="166"/>
      <c r="P65" s="166"/>
      <c r="Q65" s="167"/>
      <c r="R65" s="162" t="e">
        <f t="shared" si="7"/>
        <v>#DIV/0!</v>
      </c>
      <c r="S65" s="163"/>
      <c r="T65" s="163"/>
      <c r="U65" s="164"/>
      <c r="V65" s="182" t="s">
        <v>79</v>
      </c>
      <c r="W65" s="218"/>
      <c r="X65" s="218"/>
      <c r="Y65" s="218"/>
      <c r="Z65" s="14"/>
      <c r="AB65" s="141" t="e">
        <f>(2*PI()*((X38/100)/(T12/1000)))/(LN(2*((X38/100)/(T12/1000))))</f>
        <v>#VALUE!</v>
      </c>
      <c r="AC65" s="142"/>
      <c r="AD65" s="143"/>
    </row>
    <row r="66" spans="1:30" ht="12.75" customHeight="1" x14ac:dyDescent="0.25">
      <c r="A66" s="45"/>
      <c r="B66" s="170"/>
      <c r="C66" s="166"/>
      <c r="D66" s="167"/>
      <c r="E66" s="165"/>
      <c r="F66" s="166"/>
      <c r="G66" s="167"/>
      <c r="H66" s="165"/>
      <c r="I66" s="166"/>
      <c r="J66" s="167"/>
      <c r="K66" s="162" t="e">
        <f t="shared" si="6"/>
        <v>#DIV/0!</v>
      </c>
      <c r="L66" s="168"/>
      <c r="M66" s="169"/>
      <c r="N66" s="165"/>
      <c r="O66" s="166"/>
      <c r="P66" s="166"/>
      <c r="Q66" s="167"/>
      <c r="R66" s="162" t="e">
        <f t="shared" si="7"/>
        <v>#DIV/0!</v>
      </c>
      <c r="S66" s="163"/>
      <c r="T66" s="163"/>
      <c r="U66" s="164"/>
      <c r="V66" s="218"/>
      <c r="W66" s="218"/>
      <c r="X66" s="218"/>
      <c r="Y66" s="218"/>
      <c r="Z66" s="13"/>
      <c r="AB66" s="144"/>
      <c r="AC66" s="145"/>
      <c r="AD66" s="146"/>
    </row>
    <row r="67" spans="1:30" ht="12.75" customHeight="1" thickBot="1" x14ac:dyDescent="0.3">
      <c r="A67" s="47"/>
      <c r="B67" s="170"/>
      <c r="C67" s="166"/>
      <c r="D67" s="167"/>
      <c r="E67" s="165"/>
      <c r="F67" s="166"/>
      <c r="G67" s="167"/>
      <c r="H67" s="165"/>
      <c r="I67" s="166"/>
      <c r="J67" s="167"/>
      <c r="K67" s="162" t="e">
        <f t="shared" si="6"/>
        <v>#DIV/0!</v>
      </c>
      <c r="L67" s="168"/>
      <c r="M67" s="169"/>
      <c r="N67" s="165"/>
      <c r="O67" s="166"/>
      <c r="P67" s="166"/>
      <c r="Q67" s="167"/>
      <c r="R67" s="162" t="e">
        <f t="shared" si="7"/>
        <v>#DIV/0!</v>
      </c>
      <c r="S67" s="163"/>
      <c r="T67" s="163"/>
      <c r="U67" s="164"/>
      <c r="V67" s="11"/>
      <c r="W67" s="11"/>
      <c r="X67" s="11"/>
      <c r="Y67" s="2" t="s">
        <v>78</v>
      </c>
      <c r="Z67" s="14"/>
      <c r="AB67" s="147"/>
      <c r="AC67" s="148"/>
      <c r="AD67" s="149"/>
    </row>
    <row r="68" spans="1:30" ht="12.75" customHeight="1" x14ac:dyDescent="0.25">
      <c r="A68" s="10"/>
      <c r="B68" s="170"/>
      <c r="C68" s="166"/>
      <c r="D68" s="167"/>
      <c r="E68" s="165"/>
      <c r="F68" s="166"/>
      <c r="G68" s="167"/>
      <c r="H68" s="165"/>
      <c r="I68" s="166"/>
      <c r="J68" s="167"/>
      <c r="K68" s="162" t="e">
        <f t="shared" si="6"/>
        <v>#DIV/0!</v>
      </c>
      <c r="L68" s="168"/>
      <c r="M68" s="169"/>
      <c r="N68" s="165"/>
      <c r="O68" s="166"/>
      <c r="P68" s="166"/>
      <c r="Q68" s="167"/>
      <c r="R68" s="162" t="e">
        <f t="shared" si="7"/>
        <v>#DIV/0!</v>
      </c>
      <c r="S68" s="163"/>
      <c r="T68" s="163"/>
      <c r="U68" s="164"/>
      <c r="V68" s="182"/>
      <c r="W68" s="218"/>
      <c r="X68" s="218"/>
      <c r="Y68" s="218"/>
      <c r="Z68" s="13"/>
    </row>
    <row r="69" spans="1:30" ht="12.75" customHeight="1" thickBot="1" x14ac:dyDescent="0.3">
      <c r="A69" s="10"/>
      <c r="B69" s="48"/>
      <c r="C69" s="49"/>
      <c r="D69" s="50"/>
      <c r="E69" s="51"/>
      <c r="F69" s="49"/>
      <c r="G69" s="50"/>
      <c r="H69" s="51"/>
      <c r="I69" s="49"/>
      <c r="J69" s="50"/>
      <c r="K69" s="52"/>
      <c r="L69" s="53"/>
      <c r="M69" s="54"/>
      <c r="N69" s="51"/>
      <c r="O69" s="49"/>
      <c r="P69" s="49"/>
      <c r="Q69" s="50"/>
      <c r="R69" s="52"/>
      <c r="S69" s="53"/>
      <c r="T69" s="53"/>
      <c r="U69" s="55"/>
      <c r="V69" s="218"/>
      <c r="W69" s="218"/>
      <c r="X69" s="218"/>
      <c r="Y69" s="218"/>
      <c r="Z69" s="14"/>
    </row>
    <row r="70" spans="1:30" ht="9" customHeight="1" thickBot="1" x14ac:dyDescent="0.3">
      <c r="A70" s="45"/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11"/>
      <c r="S70" s="11"/>
      <c r="T70" s="11"/>
      <c r="U70" s="57"/>
      <c r="V70" s="57"/>
      <c r="W70" s="57"/>
      <c r="X70" s="57"/>
      <c r="Y70" s="57"/>
      <c r="Z70" s="14"/>
    </row>
    <row r="71" spans="1:30" ht="15.9" customHeight="1" x14ac:dyDescent="0.25">
      <c r="A71" s="45"/>
      <c r="B71" s="261" t="s">
        <v>72</v>
      </c>
      <c r="C71" s="261"/>
      <c r="D71" s="261"/>
      <c r="E71" s="261"/>
      <c r="F71" s="261"/>
      <c r="G71" s="262"/>
      <c r="H71" s="159" t="str">
        <f>X26</f>
        <v/>
      </c>
      <c r="I71" s="160"/>
      <c r="J71" s="160"/>
      <c r="K71" s="160"/>
      <c r="L71" s="160"/>
      <c r="M71" s="160"/>
      <c r="N71" s="160"/>
      <c r="O71" s="160"/>
      <c r="P71" s="160"/>
      <c r="Q71" s="160"/>
      <c r="R71" s="160"/>
      <c r="S71" s="160"/>
      <c r="T71" s="160"/>
      <c r="U71" s="160"/>
      <c r="V71" s="161"/>
      <c r="W71" s="58"/>
      <c r="X71" s="56"/>
      <c r="Y71" s="56"/>
      <c r="Z71" s="14"/>
    </row>
    <row r="72" spans="1:30" ht="15.9" customHeight="1" thickBot="1" x14ac:dyDescent="0.3">
      <c r="A72" s="45"/>
      <c r="B72" s="263" t="s">
        <v>84</v>
      </c>
      <c r="C72" s="263"/>
      <c r="D72" s="263"/>
      <c r="E72" s="263"/>
      <c r="F72" s="263"/>
      <c r="G72" s="264"/>
      <c r="H72" s="156" t="e">
        <f>R68</f>
        <v>#DIV/0!</v>
      </c>
      <c r="I72" s="157"/>
      <c r="J72" s="157"/>
      <c r="K72" s="157"/>
      <c r="L72" s="157"/>
      <c r="M72" s="157"/>
      <c r="N72" s="157"/>
      <c r="O72" s="157"/>
      <c r="P72" s="157"/>
      <c r="Q72" s="157"/>
      <c r="R72" s="157"/>
      <c r="S72" s="157"/>
      <c r="T72" s="157"/>
      <c r="U72" s="157"/>
      <c r="V72" s="158"/>
      <c r="W72" s="58"/>
      <c r="X72" s="56"/>
      <c r="Y72" s="56"/>
      <c r="Z72" s="14"/>
    </row>
    <row r="73" spans="1:30" ht="15.9" customHeight="1" x14ac:dyDescent="0.25">
      <c r="A73" s="45"/>
      <c r="B73" s="265" t="s">
        <v>73</v>
      </c>
      <c r="C73" s="266"/>
      <c r="D73" s="266"/>
      <c r="E73" s="266"/>
      <c r="F73" s="266"/>
      <c r="G73" s="267"/>
      <c r="H73" s="150" t="e">
        <f>H72/(AB73*(T21/1000)*E34)</f>
        <v>#DIV/0!</v>
      </c>
      <c r="I73" s="151"/>
      <c r="J73" s="151"/>
      <c r="K73" s="151" t="e">
        <f>#REF!/(K72*(C20/1000)*#REF!)</f>
        <v>#REF!</v>
      </c>
      <c r="L73" s="151"/>
      <c r="M73" s="151"/>
      <c r="N73" s="151" t="e">
        <f>#REF!/(N72*(F20/1000)*#REF!)</f>
        <v>#REF!</v>
      </c>
      <c r="O73" s="151"/>
      <c r="P73" s="151"/>
      <c r="Q73" s="151" t="e">
        <f>#REF!/(Q72*(I20/1000)*#REF!)</f>
        <v>#REF!</v>
      </c>
      <c r="R73" s="151"/>
      <c r="S73" s="151"/>
      <c r="T73" s="151" t="e">
        <f>#REF!/(T72*(L20/1000)*#REF!)</f>
        <v>#REF!</v>
      </c>
      <c r="U73" s="151"/>
      <c r="V73" s="152"/>
      <c r="W73" s="59"/>
      <c r="X73" s="60"/>
      <c r="Y73" s="60"/>
      <c r="Z73" s="13"/>
    </row>
    <row r="74" spans="1:30" ht="15.9" customHeight="1" thickBot="1" x14ac:dyDescent="0.3">
      <c r="A74" s="45"/>
      <c r="B74" s="268"/>
      <c r="C74" s="269"/>
      <c r="D74" s="269"/>
      <c r="E74" s="269"/>
      <c r="F74" s="269"/>
      <c r="G74" s="270"/>
      <c r="H74" s="153" t="e">
        <f>#REF!/(H73*(#REF!/1000)*#REF!)</f>
        <v>#REF!</v>
      </c>
      <c r="I74" s="154"/>
      <c r="J74" s="154"/>
      <c r="K74" s="154" t="e">
        <f>#REF!/(K73*(C21/1000)*#REF!)</f>
        <v>#REF!</v>
      </c>
      <c r="L74" s="154"/>
      <c r="M74" s="154"/>
      <c r="N74" s="154" t="e">
        <f>#REF!/(N73*(F21/1000)*#REF!)</f>
        <v>#REF!</v>
      </c>
      <c r="O74" s="154"/>
      <c r="P74" s="154"/>
      <c r="Q74" s="154" t="e">
        <f>#REF!/(Q73*(I21/1000)*#REF!)</f>
        <v>#REF!</v>
      </c>
      <c r="R74" s="154"/>
      <c r="S74" s="154"/>
      <c r="T74" s="154" t="e">
        <f>#REF!/(T73*(L21/1000)*#REF!)</f>
        <v>#REF!</v>
      </c>
      <c r="U74" s="154"/>
      <c r="V74" s="155"/>
      <c r="W74" s="59"/>
      <c r="X74" s="60"/>
      <c r="Y74" s="60"/>
      <c r="Z74" s="13"/>
    </row>
    <row r="75" spans="1:30" ht="15.9" customHeight="1" x14ac:dyDescent="0.25">
      <c r="A75" s="61"/>
      <c r="B75" s="62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17"/>
    </row>
    <row r="76" spans="1:30" ht="12.75" customHeight="1" x14ac:dyDescent="0.25">
      <c r="A76" s="63"/>
      <c r="B76" s="35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</row>
    <row r="77" spans="1:30" s="18" customFormat="1" ht="15.6" customHeight="1" x14ac:dyDescent="0.25">
      <c r="A77" s="64" t="s">
        <v>5</v>
      </c>
      <c r="B77" s="65" t="s">
        <v>16</v>
      </c>
      <c r="C77" s="66"/>
      <c r="D77" s="66"/>
      <c r="E77" s="66"/>
      <c r="F77" s="67"/>
      <c r="G77" s="67"/>
      <c r="H77" s="67"/>
      <c r="I77" s="7"/>
      <c r="J77" s="7"/>
      <c r="K77" s="7"/>
      <c r="L77" s="7"/>
      <c r="M77" s="7"/>
      <c r="N77" s="7"/>
      <c r="O77" s="7"/>
      <c r="P77" s="7"/>
      <c r="Q77" s="67"/>
      <c r="R77" s="7"/>
      <c r="S77" s="7"/>
      <c r="T77" s="7"/>
      <c r="U77" s="271"/>
      <c r="V77" s="271"/>
      <c r="W77" s="271"/>
      <c r="X77" s="272"/>
      <c r="Y77" s="272"/>
      <c r="Z77" s="273"/>
    </row>
    <row r="78" spans="1:30" s="18" customFormat="1" ht="26.4" customHeight="1" x14ac:dyDescent="0.25">
      <c r="A78" s="274" t="s">
        <v>86</v>
      </c>
      <c r="B78" s="275"/>
      <c r="C78" s="275"/>
      <c r="D78" s="275"/>
      <c r="E78" s="275"/>
      <c r="F78" s="275"/>
      <c r="G78" s="275"/>
      <c r="H78" s="275"/>
      <c r="I78" s="275"/>
      <c r="J78" s="275"/>
      <c r="K78" s="275"/>
      <c r="L78" s="275"/>
      <c r="M78" s="275"/>
      <c r="N78" s="275"/>
      <c r="O78" s="275"/>
      <c r="P78" s="275"/>
      <c r="Q78" s="434"/>
      <c r="R78" s="246" t="s">
        <v>10</v>
      </c>
      <c r="S78" s="247"/>
      <c r="T78" s="248"/>
      <c r="U78" s="276"/>
      <c r="V78" s="277"/>
      <c r="W78" s="277"/>
      <c r="X78" s="278"/>
      <c r="Y78" s="278"/>
      <c r="Z78" s="279"/>
    </row>
    <row r="79" spans="1:30" s="18" customFormat="1" ht="26.4" customHeight="1" x14ac:dyDescent="0.25">
      <c r="A79" s="451"/>
      <c r="B79" s="452"/>
      <c r="C79" s="452"/>
      <c r="D79" s="452"/>
      <c r="E79" s="452"/>
      <c r="F79" s="452"/>
      <c r="G79" s="452"/>
      <c r="H79" s="452"/>
      <c r="I79" s="452"/>
      <c r="J79" s="452"/>
      <c r="K79" s="452"/>
      <c r="L79" s="452"/>
      <c r="M79" s="452"/>
      <c r="N79" s="452"/>
      <c r="O79" s="452"/>
      <c r="P79" s="452"/>
      <c r="Q79" s="453"/>
      <c r="R79" s="246"/>
      <c r="S79" s="247"/>
      <c r="T79" s="248"/>
      <c r="U79" s="249"/>
      <c r="V79" s="250"/>
      <c r="W79" s="250"/>
      <c r="X79" s="251"/>
      <c r="Y79" s="251"/>
      <c r="Z79" s="252"/>
    </row>
    <row r="80" spans="1:30" s="18" customFormat="1" ht="15.6" customHeight="1" x14ac:dyDescent="0.25">
      <c r="A80" s="43" t="s">
        <v>4</v>
      </c>
      <c r="B80" s="68" t="s">
        <v>6</v>
      </c>
      <c r="C80" s="11"/>
      <c r="D80" s="11"/>
      <c r="E80" s="69"/>
      <c r="F80" s="69"/>
      <c r="G80" s="69"/>
      <c r="H80" s="69"/>
      <c r="I80" s="69"/>
      <c r="J80" s="69"/>
      <c r="K80" s="69"/>
      <c r="L80" s="69"/>
      <c r="M80" s="69"/>
      <c r="N80" s="69"/>
      <c r="O80" s="69"/>
      <c r="P80" s="69"/>
      <c r="Q80" s="14"/>
      <c r="R80" s="246"/>
      <c r="S80" s="247"/>
      <c r="T80" s="248"/>
      <c r="U80" s="253"/>
      <c r="V80" s="254"/>
      <c r="W80" s="254"/>
      <c r="X80" s="255"/>
      <c r="Y80" s="255"/>
      <c r="Z80" s="256"/>
    </row>
    <row r="81" spans="1:26" s="18" customFormat="1" ht="15.6" customHeight="1" x14ac:dyDescent="0.25">
      <c r="A81" s="445"/>
      <c r="B81" s="446"/>
      <c r="C81" s="446"/>
      <c r="D81" s="446"/>
      <c r="E81" s="446"/>
      <c r="F81" s="446"/>
      <c r="G81" s="446"/>
      <c r="H81" s="446"/>
      <c r="I81" s="446"/>
      <c r="J81" s="446"/>
      <c r="K81" s="446"/>
      <c r="L81" s="446"/>
      <c r="M81" s="446"/>
      <c r="N81" s="446"/>
      <c r="O81" s="446"/>
      <c r="P81" s="446"/>
      <c r="Q81" s="447"/>
      <c r="R81" s="246" t="s">
        <v>11</v>
      </c>
      <c r="S81" s="247"/>
      <c r="T81" s="248"/>
      <c r="U81" s="435"/>
      <c r="V81" s="436"/>
      <c r="W81" s="436"/>
      <c r="X81" s="437"/>
      <c r="Y81" s="437"/>
      <c r="Z81" s="438"/>
    </row>
    <row r="82" spans="1:26" s="18" customFormat="1" ht="15.6" customHeight="1" x14ac:dyDescent="0.25">
      <c r="A82" s="445"/>
      <c r="B82" s="446"/>
      <c r="C82" s="446"/>
      <c r="D82" s="446"/>
      <c r="E82" s="446"/>
      <c r="F82" s="446"/>
      <c r="G82" s="446"/>
      <c r="H82" s="446"/>
      <c r="I82" s="446"/>
      <c r="J82" s="446"/>
      <c r="K82" s="446"/>
      <c r="L82" s="446"/>
      <c r="M82" s="446"/>
      <c r="N82" s="446"/>
      <c r="O82" s="446"/>
      <c r="P82" s="446"/>
      <c r="Q82" s="447"/>
      <c r="R82" s="246"/>
      <c r="S82" s="247"/>
      <c r="T82" s="248"/>
      <c r="U82" s="439"/>
      <c r="V82" s="260"/>
      <c r="W82" s="260"/>
      <c r="X82" s="260"/>
      <c r="Y82" s="260"/>
      <c r="Z82" s="440"/>
    </row>
    <row r="83" spans="1:26" s="18" customFormat="1" ht="15.6" customHeight="1" x14ac:dyDescent="0.25">
      <c r="A83" s="445"/>
      <c r="B83" s="446"/>
      <c r="C83" s="446"/>
      <c r="D83" s="446"/>
      <c r="E83" s="446"/>
      <c r="F83" s="446"/>
      <c r="G83" s="446"/>
      <c r="H83" s="446"/>
      <c r="I83" s="446"/>
      <c r="J83" s="446"/>
      <c r="K83" s="446"/>
      <c r="L83" s="446"/>
      <c r="M83" s="446"/>
      <c r="N83" s="446"/>
      <c r="O83" s="446"/>
      <c r="P83" s="446"/>
      <c r="Q83" s="447"/>
      <c r="R83" s="246"/>
      <c r="S83" s="247"/>
      <c r="T83" s="248"/>
      <c r="U83" s="439"/>
      <c r="V83" s="260"/>
      <c r="W83" s="260"/>
      <c r="X83" s="260"/>
      <c r="Y83" s="260"/>
      <c r="Z83" s="440"/>
    </row>
    <row r="84" spans="1:26" s="18" customFormat="1" ht="15.6" customHeight="1" x14ac:dyDescent="0.25">
      <c r="A84" s="448"/>
      <c r="B84" s="449"/>
      <c r="C84" s="449"/>
      <c r="D84" s="449"/>
      <c r="E84" s="449"/>
      <c r="F84" s="449"/>
      <c r="G84" s="449"/>
      <c r="H84" s="449"/>
      <c r="I84" s="449"/>
      <c r="J84" s="449"/>
      <c r="K84" s="449"/>
      <c r="L84" s="449"/>
      <c r="M84" s="449"/>
      <c r="N84" s="449"/>
      <c r="O84" s="449"/>
      <c r="P84" s="449"/>
      <c r="Q84" s="450"/>
      <c r="R84" s="257"/>
      <c r="S84" s="258"/>
      <c r="T84" s="259"/>
      <c r="U84" s="441"/>
      <c r="V84" s="442"/>
      <c r="W84" s="442"/>
      <c r="X84" s="443"/>
      <c r="Y84" s="443"/>
      <c r="Z84" s="444"/>
    </row>
    <row r="86" spans="1:26" ht="12.75" customHeight="1" x14ac:dyDescent="0.25">
      <c r="P86" s="11"/>
      <c r="Q86" s="11"/>
      <c r="R86" s="11"/>
      <c r="S86" s="11"/>
      <c r="T86" s="11"/>
      <c r="U86" s="11"/>
      <c r="V86" s="11"/>
      <c r="W86" s="11"/>
    </row>
    <row r="87" spans="1:26" ht="12.75" customHeight="1" x14ac:dyDescent="0.25">
      <c r="P87" s="11"/>
      <c r="Q87" s="11"/>
      <c r="R87" s="11"/>
      <c r="S87" s="11"/>
      <c r="T87" s="11"/>
      <c r="U87" s="11"/>
      <c r="V87" s="11"/>
      <c r="W87" s="11"/>
    </row>
    <row r="88" spans="1:26" ht="12.75" customHeight="1" x14ac:dyDescent="0.25">
      <c r="P88" s="11"/>
      <c r="Q88" s="11"/>
      <c r="R88" s="11"/>
      <c r="S88" s="11"/>
      <c r="T88" s="11"/>
      <c r="U88" s="11"/>
      <c r="V88" s="11"/>
      <c r="W88" s="11"/>
    </row>
    <row r="89" spans="1:26" ht="12.75" customHeight="1" x14ac:dyDescent="0.25">
      <c r="P89" s="11"/>
      <c r="Q89" s="11"/>
      <c r="R89" s="11"/>
      <c r="S89" s="11"/>
      <c r="T89" s="11"/>
      <c r="U89" s="11"/>
      <c r="V89" s="11"/>
      <c r="W89" s="11"/>
    </row>
    <row r="90" spans="1:26" ht="12.75" customHeight="1" x14ac:dyDescent="0.25">
      <c r="P90" s="11"/>
      <c r="Q90" s="11"/>
      <c r="R90" s="11"/>
      <c r="S90" s="11"/>
      <c r="T90" s="11"/>
      <c r="U90" s="11"/>
      <c r="V90" s="11"/>
      <c r="W90" s="11"/>
    </row>
    <row r="91" spans="1:26" ht="12.75" customHeight="1" x14ac:dyDescent="0.25">
      <c r="P91" s="11"/>
      <c r="Q91" s="11"/>
      <c r="R91" s="11"/>
      <c r="S91" s="11"/>
      <c r="T91" s="11"/>
      <c r="U91" s="11"/>
      <c r="V91" s="11"/>
      <c r="W91" s="11"/>
    </row>
  </sheetData>
  <sheetProtection selectLockedCells="1"/>
  <mergeCells count="345">
    <mergeCell ref="A79:Q79"/>
    <mergeCell ref="R79:T80"/>
    <mergeCell ref="U79:Z80"/>
    <mergeCell ref="A81:Q84"/>
    <mergeCell ref="R81:T84"/>
    <mergeCell ref="V68:W69"/>
    <mergeCell ref="X68:Y69"/>
    <mergeCell ref="B68:D68"/>
    <mergeCell ref="E68:G68"/>
    <mergeCell ref="B71:G71"/>
    <mergeCell ref="B72:G72"/>
    <mergeCell ref="B73:G74"/>
    <mergeCell ref="U77:Z77"/>
    <mergeCell ref="R78:T78"/>
    <mergeCell ref="U78:Z78"/>
    <mergeCell ref="H68:J68"/>
    <mergeCell ref="K68:M68"/>
    <mergeCell ref="N68:Q68"/>
    <mergeCell ref="R68:U68"/>
    <mergeCell ref="A78:Q78"/>
    <mergeCell ref="V82:Y83"/>
    <mergeCell ref="B67:D67"/>
    <mergeCell ref="E67:G67"/>
    <mergeCell ref="H67:J67"/>
    <mergeCell ref="K67:M67"/>
    <mergeCell ref="N67:Q67"/>
    <mergeCell ref="R67:U67"/>
    <mergeCell ref="B64:D64"/>
    <mergeCell ref="E64:G64"/>
    <mergeCell ref="H64:J64"/>
    <mergeCell ref="K64:M64"/>
    <mergeCell ref="N64:Q64"/>
    <mergeCell ref="R64:U64"/>
    <mergeCell ref="V65:W66"/>
    <mergeCell ref="X65:Y66"/>
    <mergeCell ref="B66:D66"/>
    <mergeCell ref="E66:G66"/>
    <mergeCell ref="H66:J66"/>
    <mergeCell ref="K66:M66"/>
    <mergeCell ref="N66:Q66"/>
    <mergeCell ref="R66:U66"/>
    <mergeCell ref="B65:D65"/>
    <mergeCell ref="E65:G65"/>
    <mergeCell ref="B61:D61"/>
    <mergeCell ref="E61:G61"/>
    <mergeCell ref="H61:J61"/>
    <mergeCell ref="K61:M61"/>
    <mergeCell ref="N61:Q61"/>
    <mergeCell ref="R61:U61"/>
    <mergeCell ref="V62:W63"/>
    <mergeCell ref="X62:Y63"/>
    <mergeCell ref="B63:D63"/>
    <mergeCell ref="E63:G63"/>
    <mergeCell ref="H63:J63"/>
    <mergeCell ref="K63:M63"/>
    <mergeCell ref="N63:Q63"/>
    <mergeCell ref="R63:U63"/>
    <mergeCell ref="B62:D62"/>
    <mergeCell ref="E62:G62"/>
    <mergeCell ref="B58:D58"/>
    <mergeCell ref="E58:G58"/>
    <mergeCell ref="H58:J58"/>
    <mergeCell ref="K58:M58"/>
    <mergeCell ref="N58:Q58"/>
    <mergeCell ref="R58:U58"/>
    <mergeCell ref="V59:W60"/>
    <mergeCell ref="X59:Y60"/>
    <mergeCell ref="B60:D60"/>
    <mergeCell ref="E60:G60"/>
    <mergeCell ref="H60:J60"/>
    <mergeCell ref="K60:M60"/>
    <mergeCell ref="N60:Q60"/>
    <mergeCell ref="R60:U60"/>
    <mergeCell ref="B59:D59"/>
    <mergeCell ref="E59:G59"/>
    <mergeCell ref="B56:D56"/>
    <mergeCell ref="V56:W57"/>
    <mergeCell ref="X56:Y57"/>
    <mergeCell ref="B57:D57"/>
    <mergeCell ref="E57:G57"/>
    <mergeCell ref="H57:J57"/>
    <mergeCell ref="K57:M57"/>
    <mergeCell ref="N57:Q57"/>
    <mergeCell ref="R57:U57"/>
    <mergeCell ref="V53:W54"/>
    <mergeCell ref="X53:Y54"/>
    <mergeCell ref="B54:D54"/>
    <mergeCell ref="E54:G54"/>
    <mergeCell ref="H54:J54"/>
    <mergeCell ref="K54:M54"/>
    <mergeCell ref="N54:Q54"/>
    <mergeCell ref="R54:U54"/>
    <mergeCell ref="B53:D53"/>
    <mergeCell ref="E53:G53"/>
    <mergeCell ref="H53:J53"/>
    <mergeCell ref="K53:M53"/>
    <mergeCell ref="N53:Q53"/>
    <mergeCell ref="R53:U53"/>
    <mergeCell ref="B52:D52"/>
    <mergeCell ref="E52:G52"/>
    <mergeCell ref="H52:J52"/>
    <mergeCell ref="K52:M52"/>
    <mergeCell ref="N52:Q52"/>
    <mergeCell ref="R52:U52"/>
    <mergeCell ref="V50:W51"/>
    <mergeCell ref="X50:Y51"/>
    <mergeCell ref="B51:D51"/>
    <mergeCell ref="E51:G51"/>
    <mergeCell ref="H51:J51"/>
    <mergeCell ref="K51:M51"/>
    <mergeCell ref="N51:Q51"/>
    <mergeCell ref="R51:U51"/>
    <mergeCell ref="B50:D50"/>
    <mergeCell ref="E50:G50"/>
    <mergeCell ref="H50:J50"/>
    <mergeCell ref="K50:M50"/>
    <mergeCell ref="N50:Q50"/>
    <mergeCell ref="R50:U50"/>
    <mergeCell ref="R49:U49"/>
    <mergeCell ref="R46:U46"/>
    <mergeCell ref="V47:W48"/>
    <mergeCell ref="X47:Y48"/>
    <mergeCell ref="B48:D48"/>
    <mergeCell ref="E48:G48"/>
    <mergeCell ref="H48:J48"/>
    <mergeCell ref="K48:M48"/>
    <mergeCell ref="N48:Q48"/>
    <mergeCell ref="R48:U48"/>
    <mergeCell ref="B47:D47"/>
    <mergeCell ref="E47:G47"/>
    <mergeCell ref="V41:W42"/>
    <mergeCell ref="X41:Y42"/>
    <mergeCell ref="B42:D42"/>
    <mergeCell ref="E42:G42"/>
    <mergeCell ref="H42:J42"/>
    <mergeCell ref="K42:M42"/>
    <mergeCell ref="N42:Q42"/>
    <mergeCell ref="R42:U42"/>
    <mergeCell ref="H44:J44"/>
    <mergeCell ref="K44:M44"/>
    <mergeCell ref="N44:Q44"/>
    <mergeCell ref="R44:U44"/>
    <mergeCell ref="B43:D43"/>
    <mergeCell ref="E43:G43"/>
    <mergeCell ref="H43:J43"/>
    <mergeCell ref="K43:M43"/>
    <mergeCell ref="N43:Q43"/>
    <mergeCell ref="R43:U43"/>
    <mergeCell ref="V44:W45"/>
    <mergeCell ref="X44:Y45"/>
    <mergeCell ref="B45:D45"/>
    <mergeCell ref="E45:G45"/>
    <mergeCell ref="H45:J45"/>
    <mergeCell ref="K45:M45"/>
    <mergeCell ref="V38:W39"/>
    <mergeCell ref="X38:Y39"/>
    <mergeCell ref="B39:D39"/>
    <mergeCell ref="E39:G39"/>
    <mergeCell ref="H39:J39"/>
    <mergeCell ref="K39:M39"/>
    <mergeCell ref="N39:Q39"/>
    <mergeCell ref="R39:U39"/>
    <mergeCell ref="B38:D38"/>
    <mergeCell ref="E38:G38"/>
    <mergeCell ref="H38:J38"/>
    <mergeCell ref="K38:M38"/>
    <mergeCell ref="N38:Q38"/>
    <mergeCell ref="R38:U38"/>
    <mergeCell ref="B37:D37"/>
    <mergeCell ref="E37:G37"/>
    <mergeCell ref="H37:J37"/>
    <mergeCell ref="K37:M37"/>
    <mergeCell ref="N37:Q37"/>
    <mergeCell ref="R37:U37"/>
    <mergeCell ref="V35:W36"/>
    <mergeCell ref="X35:Y36"/>
    <mergeCell ref="B36:D36"/>
    <mergeCell ref="E36:G36"/>
    <mergeCell ref="H36:J36"/>
    <mergeCell ref="K36:M36"/>
    <mergeCell ref="N36:Q36"/>
    <mergeCell ref="R36:U36"/>
    <mergeCell ref="B35:D35"/>
    <mergeCell ref="E35:G35"/>
    <mergeCell ref="H35:J35"/>
    <mergeCell ref="K35:M35"/>
    <mergeCell ref="N35:Q35"/>
    <mergeCell ref="R35:U35"/>
    <mergeCell ref="V32:W33"/>
    <mergeCell ref="X32:Y33"/>
    <mergeCell ref="B33:D33"/>
    <mergeCell ref="E33:G33"/>
    <mergeCell ref="H33:J33"/>
    <mergeCell ref="K33:M33"/>
    <mergeCell ref="N33:Q33"/>
    <mergeCell ref="R33:U33"/>
    <mergeCell ref="B32:D32"/>
    <mergeCell ref="E32:G32"/>
    <mergeCell ref="H32:J32"/>
    <mergeCell ref="K32:M32"/>
    <mergeCell ref="N32:Q32"/>
    <mergeCell ref="R32:U32"/>
    <mergeCell ref="V29:W30"/>
    <mergeCell ref="X29:Y30"/>
    <mergeCell ref="B30:D30"/>
    <mergeCell ref="E30:G30"/>
    <mergeCell ref="H30:J30"/>
    <mergeCell ref="K30:M30"/>
    <mergeCell ref="N30:Q30"/>
    <mergeCell ref="R30:U30"/>
    <mergeCell ref="B29:D29"/>
    <mergeCell ref="E29:G29"/>
    <mergeCell ref="H29:J29"/>
    <mergeCell ref="K29:M29"/>
    <mergeCell ref="N29:Q29"/>
    <mergeCell ref="R29:U29"/>
    <mergeCell ref="B40:D40"/>
    <mergeCell ref="E40:G40"/>
    <mergeCell ref="H40:J40"/>
    <mergeCell ref="K40:M40"/>
    <mergeCell ref="N40:Q40"/>
    <mergeCell ref="R40:U40"/>
    <mergeCell ref="B28:D28"/>
    <mergeCell ref="E28:G28"/>
    <mergeCell ref="H28:J28"/>
    <mergeCell ref="K28:M28"/>
    <mergeCell ref="N28:Q28"/>
    <mergeCell ref="R28:U28"/>
    <mergeCell ref="B31:D31"/>
    <mergeCell ref="E31:G31"/>
    <mergeCell ref="H31:J31"/>
    <mergeCell ref="K31:M31"/>
    <mergeCell ref="N31:Q31"/>
    <mergeCell ref="R31:U31"/>
    <mergeCell ref="B34:D34"/>
    <mergeCell ref="E34:G34"/>
    <mergeCell ref="H34:J34"/>
    <mergeCell ref="K34:M34"/>
    <mergeCell ref="N34:Q34"/>
    <mergeCell ref="R34:U34"/>
    <mergeCell ref="B13:F13"/>
    <mergeCell ref="G13:M13"/>
    <mergeCell ref="N13:S13"/>
    <mergeCell ref="T13:Y13"/>
    <mergeCell ref="B14:F14"/>
    <mergeCell ref="G14:J14"/>
    <mergeCell ref="V26:W27"/>
    <mergeCell ref="X26:Y27"/>
    <mergeCell ref="B27:D27"/>
    <mergeCell ref="E27:G27"/>
    <mergeCell ref="H27:J27"/>
    <mergeCell ref="K27:M27"/>
    <mergeCell ref="N27:Q27"/>
    <mergeCell ref="R27:U27"/>
    <mergeCell ref="R24:U25"/>
    <mergeCell ref="B26:D26"/>
    <mergeCell ref="E26:U26"/>
    <mergeCell ref="B18:H18"/>
    <mergeCell ref="I18:Y18"/>
    <mergeCell ref="B24:D25"/>
    <mergeCell ref="B19:H19"/>
    <mergeCell ref="I19:Y19"/>
    <mergeCell ref="T12:W12"/>
    <mergeCell ref="X12:Y12"/>
    <mergeCell ref="G2:T4"/>
    <mergeCell ref="G5:H5"/>
    <mergeCell ref="J5:K5"/>
    <mergeCell ref="L5:O5"/>
    <mergeCell ref="P5:T5"/>
    <mergeCell ref="J6:K6"/>
    <mergeCell ref="L6:O6"/>
    <mergeCell ref="N10:S10"/>
    <mergeCell ref="T10:Y10"/>
    <mergeCell ref="A1:F6"/>
    <mergeCell ref="G1:T1"/>
    <mergeCell ref="P6:T6"/>
    <mergeCell ref="G10:M10"/>
    <mergeCell ref="E41:G41"/>
    <mergeCell ref="H41:J41"/>
    <mergeCell ref="K41:M41"/>
    <mergeCell ref="N41:Q41"/>
    <mergeCell ref="R41:U41"/>
    <mergeCell ref="E24:G25"/>
    <mergeCell ref="H24:J25"/>
    <mergeCell ref="K24:M25"/>
    <mergeCell ref="N24:Q25"/>
    <mergeCell ref="U1:Z6"/>
    <mergeCell ref="B11:F11"/>
    <mergeCell ref="G11:M11"/>
    <mergeCell ref="N11:S11"/>
    <mergeCell ref="T11:Y11"/>
    <mergeCell ref="A7:F7"/>
    <mergeCell ref="G7:Z7"/>
    <mergeCell ref="B10:F10"/>
    <mergeCell ref="B12:F12"/>
    <mergeCell ref="G12:M12"/>
    <mergeCell ref="N12:S12"/>
    <mergeCell ref="B55:D55"/>
    <mergeCell ref="E55:G55"/>
    <mergeCell ref="H55:J55"/>
    <mergeCell ref="K55:M55"/>
    <mergeCell ref="N55:Q55"/>
    <mergeCell ref="B41:D41"/>
    <mergeCell ref="N45:Q45"/>
    <mergeCell ref="R45:U45"/>
    <mergeCell ref="B44:D44"/>
    <mergeCell ref="E44:G44"/>
    <mergeCell ref="H47:J47"/>
    <mergeCell ref="K47:M47"/>
    <mergeCell ref="N47:Q47"/>
    <mergeCell ref="R47:U47"/>
    <mergeCell ref="B46:D46"/>
    <mergeCell ref="E46:G46"/>
    <mergeCell ref="H46:J46"/>
    <mergeCell ref="K46:M46"/>
    <mergeCell ref="N46:Q46"/>
    <mergeCell ref="B49:D49"/>
    <mergeCell ref="E49:G49"/>
    <mergeCell ref="H49:J49"/>
    <mergeCell ref="K49:M49"/>
    <mergeCell ref="N49:Q49"/>
    <mergeCell ref="AB65:AD65"/>
    <mergeCell ref="AB66:AD66"/>
    <mergeCell ref="AB67:AD67"/>
    <mergeCell ref="H73:V74"/>
    <mergeCell ref="H72:V72"/>
    <mergeCell ref="H71:V71"/>
    <mergeCell ref="R55:U55"/>
    <mergeCell ref="E56:G56"/>
    <mergeCell ref="H56:J56"/>
    <mergeCell ref="K56:M56"/>
    <mergeCell ref="N56:Q56"/>
    <mergeCell ref="R56:U56"/>
    <mergeCell ref="H59:J59"/>
    <mergeCell ref="K59:M59"/>
    <mergeCell ref="N59:Q59"/>
    <mergeCell ref="R59:U59"/>
    <mergeCell ref="H62:J62"/>
    <mergeCell ref="K62:M62"/>
    <mergeCell ref="N62:Q62"/>
    <mergeCell ref="R62:U62"/>
    <mergeCell ref="H65:J65"/>
    <mergeCell ref="K65:M65"/>
    <mergeCell ref="N65:Q65"/>
    <mergeCell ref="R65:U65"/>
  </mergeCells>
  <printOptions horizontalCentered="1" verticalCentered="1"/>
  <pageMargins left="0.27559055118110237" right="0.35433070866141736" top="3.937007874015748E-2" bottom="0.39370078740157483" header="0.35433070866141736" footer="0.19685039370078741"/>
  <pageSetup paperSize="9" scale="70" orientation="portrait" r:id="rId1"/>
  <headerFooter alignWithMargins="0">
    <oddFooter>&amp;RDG-Q / CRE INF du 12/04/11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AF85"/>
  <sheetViews>
    <sheetView topLeftCell="A55" workbookViewId="0">
      <selection activeCell="A74" sqref="A74"/>
    </sheetView>
  </sheetViews>
  <sheetFormatPr baseColWidth="10" defaultColWidth="11.44140625" defaultRowHeight="12.75" customHeight="1" x14ac:dyDescent="0.25"/>
  <cols>
    <col min="1" max="1" width="5.109375" style="127" customWidth="1"/>
    <col min="2" max="26" width="5.109375" style="73" customWidth="1"/>
    <col min="27" max="27" width="11.44140625" style="73"/>
    <col min="28" max="32" width="11.44140625" style="73" hidden="1" customWidth="1"/>
    <col min="33" max="16384" width="11.44140625" style="73"/>
  </cols>
  <sheetData>
    <row r="1" spans="1:26" ht="12.75" customHeight="1" x14ac:dyDescent="0.25">
      <c r="A1" s="350"/>
      <c r="B1" s="351"/>
      <c r="C1" s="351"/>
      <c r="D1" s="351"/>
      <c r="E1" s="351"/>
      <c r="F1" s="352"/>
      <c r="G1" s="344" t="s">
        <v>39</v>
      </c>
      <c r="H1" s="345"/>
      <c r="I1" s="345"/>
      <c r="J1" s="345"/>
      <c r="K1" s="345"/>
      <c r="L1" s="345"/>
      <c r="M1" s="345"/>
      <c r="N1" s="345"/>
      <c r="O1" s="345"/>
      <c r="P1" s="345"/>
      <c r="Q1" s="345"/>
      <c r="R1" s="345"/>
      <c r="S1" s="345"/>
      <c r="T1" s="346"/>
      <c r="U1" s="335"/>
      <c r="V1" s="336"/>
      <c r="W1" s="336"/>
      <c r="X1" s="336"/>
      <c r="Y1" s="336"/>
      <c r="Z1" s="337"/>
    </row>
    <row r="2" spans="1:26" ht="12.75" customHeight="1" x14ac:dyDescent="0.25">
      <c r="A2" s="327"/>
      <c r="B2" s="328"/>
      <c r="C2" s="328"/>
      <c r="D2" s="328"/>
      <c r="E2" s="328"/>
      <c r="F2" s="329"/>
      <c r="G2" s="353" t="s">
        <v>80</v>
      </c>
      <c r="H2" s="354"/>
      <c r="I2" s="354"/>
      <c r="J2" s="354"/>
      <c r="K2" s="354"/>
      <c r="L2" s="354"/>
      <c r="M2" s="354"/>
      <c r="N2" s="354"/>
      <c r="O2" s="354"/>
      <c r="P2" s="354"/>
      <c r="Q2" s="354"/>
      <c r="R2" s="354"/>
      <c r="S2" s="354"/>
      <c r="T2" s="355"/>
      <c r="U2" s="338"/>
      <c r="V2" s="339"/>
      <c r="W2" s="339"/>
      <c r="X2" s="339"/>
      <c r="Y2" s="339"/>
      <c r="Z2" s="340"/>
    </row>
    <row r="3" spans="1:26" ht="12.75" customHeight="1" x14ac:dyDescent="0.25">
      <c r="A3" s="327"/>
      <c r="B3" s="328"/>
      <c r="C3" s="328"/>
      <c r="D3" s="328"/>
      <c r="E3" s="328"/>
      <c r="F3" s="329"/>
      <c r="G3" s="353"/>
      <c r="H3" s="354"/>
      <c r="I3" s="354"/>
      <c r="J3" s="354"/>
      <c r="K3" s="354"/>
      <c r="L3" s="354"/>
      <c r="M3" s="354"/>
      <c r="N3" s="354"/>
      <c r="O3" s="354"/>
      <c r="P3" s="354"/>
      <c r="Q3" s="354"/>
      <c r="R3" s="354"/>
      <c r="S3" s="354"/>
      <c r="T3" s="355"/>
      <c r="U3" s="338"/>
      <c r="V3" s="339"/>
      <c r="W3" s="339"/>
      <c r="X3" s="339"/>
      <c r="Y3" s="339"/>
      <c r="Z3" s="340"/>
    </row>
    <row r="4" spans="1:26" ht="12.75" customHeight="1" x14ac:dyDescent="0.25">
      <c r="A4" s="327"/>
      <c r="B4" s="328"/>
      <c r="C4" s="328"/>
      <c r="D4" s="328"/>
      <c r="E4" s="328"/>
      <c r="F4" s="329"/>
      <c r="G4" s="353"/>
      <c r="H4" s="354"/>
      <c r="I4" s="354"/>
      <c r="J4" s="354"/>
      <c r="K4" s="354"/>
      <c r="L4" s="354"/>
      <c r="M4" s="354"/>
      <c r="N4" s="354"/>
      <c r="O4" s="354"/>
      <c r="P4" s="354"/>
      <c r="Q4" s="354"/>
      <c r="R4" s="354"/>
      <c r="S4" s="354"/>
      <c r="T4" s="355"/>
      <c r="U4" s="338"/>
      <c r="V4" s="339"/>
      <c r="W4" s="339"/>
      <c r="X4" s="339"/>
      <c r="Y4" s="339"/>
      <c r="Z4" s="340"/>
    </row>
    <row r="5" spans="1:26" ht="12.75" customHeight="1" x14ac:dyDescent="0.25">
      <c r="A5" s="327"/>
      <c r="B5" s="328"/>
      <c r="C5" s="328"/>
      <c r="D5" s="328"/>
      <c r="E5" s="328"/>
      <c r="F5" s="329"/>
      <c r="G5" s="356" t="s">
        <v>40</v>
      </c>
      <c r="H5" s="357"/>
      <c r="I5" s="74" t="s">
        <v>41</v>
      </c>
      <c r="J5" s="388"/>
      <c r="K5" s="389"/>
      <c r="L5" s="390"/>
      <c r="M5" s="388"/>
      <c r="N5" s="388"/>
      <c r="O5" s="389"/>
      <c r="P5" s="391"/>
      <c r="Q5" s="392"/>
      <c r="R5" s="392"/>
      <c r="S5" s="392"/>
      <c r="T5" s="393"/>
      <c r="U5" s="338"/>
      <c r="V5" s="339"/>
      <c r="W5" s="339"/>
      <c r="X5" s="339"/>
      <c r="Y5" s="339"/>
      <c r="Z5" s="340"/>
    </row>
    <row r="6" spans="1:26" ht="12.75" customHeight="1" x14ac:dyDescent="0.25">
      <c r="A6" s="330"/>
      <c r="B6" s="331"/>
      <c r="C6" s="331"/>
      <c r="D6" s="331"/>
      <c r="E6" s="331"/>
      <c r="F6" s="332"/>
      <c r="G6" s="75"/>
      <c r="H6" s="76"/>
      <c r="I6" s="76"/>
      <c r="J6" s="325" t="s">
        <v>42</v>
      </c>
      <c r="K6" s="325"/>
      <c r="L6" s="325" t="s">
        <v>43</v>
      </c>
      <c r="M6" s="325"/>
      <c r="N6" s="325"/>
      <c r="O6" s="325"/>
      <c r="P6" s="325" t="s">
        <v>44</v>
      </c>
      <c r="Q6" s="325"/>
      <c r="R6" s="325"/>
      <c r="S6" s="325"/>
      <c r="T6" s="326"/>
      <c r="U6" s="341"/>
      <c r="V6" s="342"/>
      <c r="W6" s="342"/>
      <c r="X6" s="342"/>
      <c r="Y6" s="342"/>
      <c r="Z6" s="343"/>
    </row>
    <row r="7" spans="1:26" ht="36.75" customHeight="1" x14ac:dyDescent="0.25">
      <c r="A7" s="322" t="s">
        <v>9</v>
      </c>
      <c r="B7" s="322"/>
      <c r="C7" s="322"/>
      <c r="D7" s="322"/>
      <c r="E7" s="322"/>
      <c r="F7" s="322"/>
      <c r="G7" s="347" t="s">
        <v>17</v>
      </c>
      <c r="H7" s="347"/>
      <c r="I7" s="347"/>
      <c r="J7" s="347"/>
      <c r="K7" s="347"/>
      <c r="L7" s="347"/>
      <c r="M7" s="347"/>
      <c r="N7" s="347"/>
      <c r="O7" s="347"/>
      <c r="P7" s="347"/>
      <c r="Q7" s="347"/>
      <c r="R7" s="347"/>
      <c r="S7" s="347"/>
      <c r="T7" s="347"/>
      <c r="U7" s="347"/>
      <c r="V7" s="347"/>
      <c r="W7" s="347"/>
      <c r="X7" s="347"/>
      <c r="Y7" s="347"/>
      <c r="Z7" s="347"/>
    </row>
    <row r="8" spans="1:26" ht="15.6" customHeight="1" x14ac:dyDescent="0.25">
      <c r="A8" s="77" t="s">
        <v>1</v>
      </c>
      <c r="B8" s="348" t="s">
        <v>0</v>
      </c>
      <c r="C8" s="348"/>
      <c r="D8" s="348"/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9"/>
    </row>
    <row r="9" spans="1:26" ht="8.25" customHeight="1" x14ac:dyDescent="0.25">
      <c r="A9" s="78"/>
      <c r="B9" s="79"/>
      <c r="C9" s="79"/>
      <c r="D9" s="37"/>
      <c r="E9" s="37"/>
      <c r="F9" s="37"/>
      <c r="G9" s="37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80"/>
    </row>
    <row r="10" spans="1:26" ht="15.9" customHeight="1" x14ac:dyDescent="0.25">
      <c r="A10" s="78"/>
      <c r="B10" s="294" t="s">
        <v>8</v>
      </c>
      <c r="C10" s="294"/>
      <c r="D10" s="294"/>
      <c r="E10" s="294"/>
      <c r="F10" s="294"/>
      <c r="G10" s="295"/>
      <c r="H10" s="295"/>
      <c r="I10" s="295"/>
      <c r="J10" s="295"/>
      <c r="K10" s="295"/>
      <c r="L10" s="295"/>
      <c r="M10" s="295"/>
      <c r="N10" s="294" t="s">
        <v>23</v>
      </c>
      <c r="O10" s="294"/>
      <c r="P10" s="294"/>
      <c r="Q10" s="294"/>
      <c r="R10" s="294"/>
      <c r="S10" s="294"/>
      <c r="T10" s="294"/>
      <c r="U10" s="294"/>
      <c r="V10" s="295"/>
      <c r="W10" s="295"/>
      <c r="X10" s="295"/>
      <c r="Y10" s="295"/>
      <c r="Z10" s="130"/>
    </row>
    <row r="11" spans="1:26" ht="15.9" customHeight="1" x14ac:dyDescent="0.25">
      <c r="A11" s="78"/>
      <c r="B11" s="294" t="s">
        <v>7</v>
      </c>
      <c r="C11" s="294"/>
      <c r="D11" s="294"/>
      <c r="E11" s="294"/>
      <c r="F11" s="294"/>
      <c r="G11" s="295"/>
      <c r="H11" s="295"/>
      <c r="I11" s="295"/>
      <c r="J11" s="295"/>
      <c r="K11" s="295"/>
      <c r="L11" s="295"/>
      <c r="M11" s="295"/>
      <c r="N11" s="294" t="s">
        <v>18</v>
      </c>
      <c r="O11" s="294"/>
      <c r="P11" s="294"/>
      <c r="Q11" s="294"/>
      <c r="R11" s="294"/>
      <c r="S11" s="294"/>
      <c r="T11" s="294"/>
      <c r="U11" s="294"/>
      <c r="V11" s="295"/>
      <c r="W11" s="295"/>
      <c r="X11" s="295"/>
      <c r="Y11" s="295"/>
      <c r="Z11" s="130"/>
    </row>
    <row r="12" spans="1:26" ht="15.9" customHeight="1" x14ac:dyDescent="0.25">
      <c r="A12" s="78"/>
      <c r="B12" s="294" t="s">
        <v>22</v>
      </c>
      <c r="C12" s="294"/>
      <c r="D12" s="294"/>
      <c r="E12" s="294"/>
      <c r="F12" s="294"/>
      <c r="G12" s="295"/>
      <c r="H12" s="295"/>
      <c r="I12" s="295"/>
      <c r="J12" s="295"/>
      <c r="K12" s="295"/>
      <c r="L12" s="295"/>
      <c r="M12" s="295"/>
      <c r="N12" s="131"/>
      <c r="O12" s="294" t="s">
        <v>19</v>
      </c>
      <c r="P12" s="294"/>
      <c r="Q12" s="294"/>
      <c r="R12" s="131"/>
      <c r="S12" s="294" t="s">
        <v>20</v>
      </c>
      <c r="T12" s="294"/>
      <c r="U12" s="294"/>
      <c r="V12" s="131"/>
      <c r="W12" s="294" t="s">
        <v>21</v>
      </c>
      <c r="X12" s="294"/>
      <c r="Y12" s="294"/>
      <c r="Z12" s="132"/>
    </row>
    <row r="13" spans="1:26" ht="15.9" customHeight="1" x14ac:dyDescent="0.25">
      <c r="A13" s="78"/>
      <c r="B13" s="294" t="s">
        <v>36</v>
      </c>
      <c r="C13" s="294"/>
      <c r="D13" s="294"/>
      <c r="E13" s="294"/>
      <c r="F13" s="294"/>
      <c r="G13" s="295"/>
      <c r="H13" s="295"/>
      <c r="I13" s="295"/>
      <c r="J13" s="295"/>
      <c r="K13" s="295"/>
      <c r="L13" s="295"/>
      <c r="M13" s="295"/>
      <c r="N13" s="294" t="s">
        <v>51</v>
      </c>
      <c r="O13" s="294"/>
      <c r="P13" s="294"/>
      <c r="Q13" s="294"/>
      <c r="R13" s="294"/>
      <c r="S13" s="294"/>
      <c r="T13" s="294"/>
      <c r="U13" s="294"/>
      <c r="V13" s="333"/>
      <c r="W13" s="333"/>
      <c r="X13" s="333"/>
      <c r="Y13" s="131" t="s">
        <v>52</v>
      </c>
      <c r="Z13" s="132"/>
    </row>
    <row r="14" spans="1:26" ht="15.9" customHeight="1" x14ac:dyDescent="0.25">
      <c r="A14" s="78"/>
      <c r="B14" s="294" t="s">
        <v>56</v>
      </c>
      <c r="C14" s="294"/>
      <c r="D14" s="294"/>
      <c r="E14" s="294"/>
      <c r="F14" s="294"/>
      <c r="G14" s="302" t="s">
        <v>57</v>
      </c>
      <c r="H14" s="302"/>
      <c r="I14" s="302"/>
      <c r="J14" s="302"/>
      <c r="K14" s="324"/>
      <c r="L14" s="324"/>
      <c r="M14" s="324"/>
      <c r="N14" s="324"/>
      <c r="O14" s="302" t="s">
        <v>58</v>
      </c>
      <c r="P14" s="302"/>
      <c r="Q14" s="302"/>
      <c r="R14" s="302"/>
      <c r="S14" s="324"/>
      <c r="T14" s="324"/>
      <c r="U14" s="324"/>
      <c r="V14" s="324"/>
      <c r="W14" s="131"/>
      <c r="X14" s="131"/>
      <c r="Y14" s="131"/>
      <c r="Z14" s="130"/>
    </row>
    <row r="15" spans="1:26" ht="15.9" customHeight="1" x14ac:dyDescent="0.25">
      <c r="A15" s="83"/>
      <c r="B15" s="292" t="s">
        <v>30</v>
      </c>
      <c r="C15" s="292"/>
      <c r="D15" s="292"/>
      <c r="E15" s="292"/>
      <c r="F15" s="292"/>
      <c r="G15" s="292"/>
      <c r="H15" s="292"/>
      <c r="I15" s="306">
        <v>330</v>
      </c>
      <c r="J15" s="306"/>
      <c r="K15" s="306"/>
      <c r="L15" s="134" t="s">
        <v>32</v>
      </c>
      <c r="M15" s="135"/>
      <c r="N15" s="292" t="s">
        <v>31</v>
      </c>
      <c r="O15" s="292"/>
      <c r="P15" s="292"/>
      <c r="Q15" s="292"/>
      <c r="R15" s="292"/>
      <c r="S15" s="292"/>
      <c r="T15" s="292"/>
      <c r="U15" s="292"/>
      <c r="V15" s="293">
        <v>10</v>
      </c>
      <c r="W15" s="293"/>
      <c r="X15" s="293"/>
      <c r="Y15" s="134" t="s">
        <v>32</v>
      </c>
      <c r="Z15" s="136">
        <f>V15/I15</f>
        <v>3.0303030303030304E-2</v>
      </c>
    </row>
    <row r="16" spans="1:26" s="84" customFormat="1" ht="15" x14ac:dyDescent="0.25">
      <c r="B16" s="85"/>
      <c r="C16" s="85"/>
      <c r="K16" s="86"/>
      <c r="L16" s="85"/>
      <c r="M16" s="87"/>
    </row>
    <row r="17" spans="1:32" s="84" customFormat="1" ht="15.6" customHeight="1" x14ac:dyDescent="0.25">
      <c r="A17" s="77" t="s">
        <v>2</v>
      </c>
      <c r="B17" s="88" t="s">
        <v>12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90"/>
    </row>
    <row r="18" spans="1:32" s="84" customFormat="1" ht="9" customHeight="1" x14ac:dyDescent="0.25">
      <c r="A18" s="91"/>
      <c r="B18" s="92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4"/>
    </row>
    <row r="19" spans="1:32" s="84" customFormat="1" ht="15" x14ac:dyDescent="0.25">
      <c r="A19" s="91"/>
      <c r="B19" s="319" t="s">
        <v>13</v>
      </c>
      <c r="C19" s="319"/>
      <c r="D19" s="319"/>
      <c r="E19" s="319"/>
      <c r="F19" s="319"/>
      <c r="G19" s="319"/>
      <c r="H19" s="319"/>
      <c r="I19" s="320"/>
      <c r="J19" s="320"/>
      <c r="K19" s="320"/>
      <c r="L19" s="320"/>
      <c r="M19" s="320"/>
      <c r="N19" s="320"/>
      <c r="O19" s="320"/>
      <c r="P19" s="320"/>
      <c r="Q19" s="320"/>
      <c r="R19" s="320"/>
      <c r="S19" s="320"/>
      <c r="T19" s="320"/>
      <c r="U19" s="320"/>
      <c r="V19" s="320"/>
      <c r="W19" s="320"/>
      <c r="X19" s="320"/>
      <c r="Y19" s="320"/>
      <c r="Z19" s="95"/>
    </row>
    <row r="20" spans="1:32" s="84" customFormat="1" ht="15" x14ac:dyDescent="0.25">
      <c r="A20" s="91"/>
      <c r="B20" s="319" t="s">
        <v>14</v>
      </c>
      <c r="C20" s="319"/>
      <c r="D20" s="319"/>
      <c r="E20" s="319"/>
      <c r="F20" s="319"/>
      <c r="G20" s="319"/>
      <c r="H20" s="319"/>
      <c r="I20" s="320"/>
      <c r="J20" s="320"/>
      <c r="K20" s="320"/>
      <c r="L20" s="320"/>
      <c r="M20" s="320"/>
      <c r="N20" s="320"/>
      <c r="O20" s="320"/>
      <c r="P20" s="320"/>
      <c r="Q20" s="320"/>
      <c r="R20" s="320"/>
      <c r="S20" s="320"/>
      <c r="T20" s="320"/>
      <c r="U20" s="320"/>
      <c r="V20" s="320"/>
      <c r="W20" s="320"/>
      <c r="X20" s="320"/>
      <c r="Y20" s="320"/>
      <c r="Z20" s="95"/>
    </row>
    <row r="21" spans="1:32" s="84" customFormat="1" ht="9" customHeight="1" x14ac:dyDescent="0.25">
      <c r="A21" s="96"/>
      <c r="B21" s="394"/>
      <c r="C21" s="394"/>
      <c r="D21" s="394"/>
      <c r="E21" s="394"/>
      <c r="F21" s="394"/>
      <c r="G21" s="394"/>
      <c r="H21" s="394"/>
      <c r="I21" s="395"/>
      <c r="J21" s="395"/>
      <c r="K21" s="395"/>
      <c r="L21" s="395"/>
      <c r="M21" s="395"/>
      <c r="N21" s="395"/>
      <c r="O21" s="395"/>
      <c r="P21" s="395"/>
      <c r="Q21" s="395"/>
      <c r="R21" s="395"/>
      <c r="S21" s="395"/>
      <c r="T21" s="395"/>
      <c r="U21" s="395"/>
      <c r="V21" s="395"/>
      <c r="W21" s="395"/>
      <c r="X21" s="395"/>
      <c r="Y21" s="395"/>
      <c r="Z21" s="97"/>
    </row>
    <row r="22" spans="1:32" ht="12.75" customHeight="1" x14ac:dyDescent="0.25">
      <c r="A22" s="37"/>
      <c r="B22" s="79"/>
      <c r="C22" s="79"/>
      <c r="D22" s="37"/>
      <c r="E22" s="37"/>
      <c r="F22" s="37"/>
      <c r="G22" s="37"/>
      <c r="H22" s="79"/>
      <c r="I22" s="79"/>
      <c r="J22" s="79"/>
      <c r="K22" s="79"/>
      <c r="L22" s="79"/>
      <c r="M22" s="79"/>
      <c r="N22" s="98"/>
      <c r="O22" s="79"/>
      <c r="P22" s="79"/>
      <c r="Q22" s="79"/>
      <c r="R22" s="79"/>
      <c r="S22" s="79"/>
      <c r="T22" s="79"/>
      <c r="U22" s="79"/>
      <c r="V22" s="79"/>
      <c r="W22" s="79"/>
      <c r="X22" s="79"/>
    </row>
    <row r="23" spans="1:32" ht="15.6" customHeight="1" x14ac:dyDescent="0.25">
      <c r="A23" s="77" t="s">
        <v>3</v>
      </c>
      <c r="B23" s="99" t="s">
        <v>24</v>
      </c>
      <c r="C23" s="100"/>
      <c r="D23" s="101"/>
      <c r="E23" s="101"/>
      <c r="F23" s="101"/>
      <c r="G23" s="101"/>
      <c r="H23" s="100"/>
      <c r="I23" s="100"/>
      <c r="J23" s="100"/>
      <c r="K23" s="100"/>
      <c r="L23" s="100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3"/>
    </row>
    <row r="24" spans="1:32" ht="12.75" customHeight="1" x14ac:dyDescent="0.25">
      <c r="A24" s="78"/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80"/>
    </row>
    <row r="25" spans="1:32" ht="12.75" customHeight="1" x14ac:dyDescent="0.25">
      <c r="A25" s="104"/>
      <c r="B25" s="321" t="s">
        <v>27</v>
      </c>
      <c r="C25" s="322"/>
      <c r="D25" s="322"/>
      <c r="E25" s="322"/>
      <c r="F25" s="322"/>
      <c r="G25" s="322"/>
      <c r="H25" s="322"/>
      <c r="I25" s="322"/>
      <c r="J25" s="322"/>
      <c r="K25" s="322"/>
      <c r="L25" s="322"/>
      <c r="M25" s="322"/>
      <c r="N25" s="322"/>
      <c r="O25" s="322"/>
      <c r="P25" s="322"/>
      <c r="Q25" s="322"/>
      <c r="R25" s="322"/>
      <c r="S25" s="322"/>
      <c r="T25" s="322"/>
      <c r="U25" s="322"/>
      <c r="V25" s="105"/>
      <c r="W25" s="106"/>
      <c r="X25" s="106"/>
      <c r="Y25" s="106"/>
      <c r="AA25" s="107"/>
    </row>
    <row r="26" spans="1:32" ht="12.75" customHeight="1" x14ac:dyDescent="0.25">
      <c r="A26" s="104"/>
      <c r="B26" s="303" t="s">
        <v>45</v>
      </c>
      <c r="C26" s="304"/>
      <c r="D26" s="304"/>
      <c r="E26" s="305"/>
      <c r="F26" s="303" t="s">
        <v>29</v>
      </c>
      <c r="G26" s="304"/>
      <c r="H26" s="304"/>
      <c r="I26" s="305"/>
      <c r="J26" s="303" t="s">
        <v>28</v>
      </c>
      <c r="K26" s="304"/>
      <c r="L26" s="304"/>
      <c r="M26" s="305"/>
      <c r="N26" s="303" t="s">
        <v>25</v>
      </c>
      <c r="O26" s="304"/>
      <c r="P26" s="304"/>
      <c r="Q26" s="305"/>
      <c r="R26" s="303" t="s">
        <v>26</v>
      </c>
      <c r="S26" s="304"/>
      <c r="T26" s="304"/>
      <c r="U26" s="305"/>
      <c r="W26" s="296" t="s">
        <v>53</v>
      </c>
      <c r="X26" s="297"/>
      <c r="Y26" s="298"/>
      <c r="AA26" s="107"/>
    </row>
    <row r="27" spans="1:32" ht="12.75" customHeight="1" x14ac:dyDescent="0.25">
      <c r="A27" s="382"/>
      <c r="B27" s="323">
        <v>0</v>
      </c>
      <c r="C27" s="323"/>
      <c r="D27" s="323"/>
      <c r="E27" s="323"/>
      <c r="F27" s="383"/>
      <c r="G27" s="383"/>
      <c r="H27" s="383"/>
      <c r="I27" s="383"/>
      <c r="J27" s="286"/>
      <c r="K27" s="287"/>
      <c r="L27" s="287"/>
      <c r="M27" s="288"/>
      <c r="N27" s="316"/>
      <c r="O27" s="317"/>
      <c r="P27" s="317"/>
      <c r="Q27" s="318"/>
      <c r="R27" s="334"/>
      <c r="S27" s="334"/>
      <c r="T27" s="334"/>
      <c r="U27" s="334"/>
      <c r="W27" s="299"/>
      <c r="X27" s="300"/>
      <c r="Y27" s="301"/>
      <c r="AA27" s="107"/>
      <c r="AB27" s="79"/>
      <c r="AC27" s="79"/>
      <c r="AD27" s="79"/>
      <c r="AE27" s="79"/>
      <c r="AF27" s="79"/>
    </row>
    <row r="28" spans="1:32" ht="12.75" customHeight="1" x14ac:dyDescent="0.25">
      <c r="A28" s="382"/>
      <c r="B28" s="313">
        <f>B27+1200</f>
        <v>1200</v>
      </c>
      <c r="C28" s="314"/>
      <c r="D28" s="314"/>
      <c r="E28" s="315"/>
      <c r="F28" s="283"/>
      <c r="G28" s="284"/>
      <c r="H28" s="284"/>
      <c r="I28" s="285"/>
      <c r="J28" s="286"/>
      <c r="K28" s="287"/>
      <c r="L28" s="287"/>
      <c r="M28" s="288"/>
      <c r="N28" s="280" t="str">
        <f>IF(J28&lt;&gt;"",((J28-J27)/((B28-B27)*1000)*($V$15/$I$15)),"")</f>
        <v/>
      </c>
      <c r="O28" s="281"/>
      <c r="P28" s="281"/>
      <c r="Q28" s="282"/>
      <c r="R28" s="280" t="str">
        <f>IF(N28&lt;&gt;"",N28*AE28,"")</f>
        <v/>
      </c>
      <c r="S28" s="281"/>
      <c r="T28" s="281"/>
      <c r="U28" s="282"/>
      <c r="W28" s="299"/>
      <c r="X28" s="300"/>
      <c r="Y28" s="301"/>
      <c r="AA28" s="107"/>
      <c r="AB28" s="37">
        <f t="shared" ref="AB28:AB39" si="0">20-F28</f>
        <v>20</v>
      </c>
      <c r="AC28" s="37">
        <f t="shared" ref="AC28:AC38" si="1">AB28*AB28</f>
        <v>400</v>
      </c>
      <c r="AD28" s="37">
        <f t="shared" ref="AD28:AD38" si="2">AB28*AB28*AB28</f>
        <v>8000</v>
      </c>
      <c r="AE28" s="38">
        <f t="shared" ref="AE28:AE38" si="3">EXP(((0.0244)*(AB28))+((0.00018)*((AC28)))+((0.0000025)*((AD28))))</f>
        <v>1.7860384307500734</v>
      </c>
      <c r="AF28" s="79"/>
    </row>
    <row r="29" spans="1:32" ht="12.75" customHeight="1" x14ac:dyDescent="0.25">
      <c r="A29" s="382"/>
      <c r="B29" s="313">
        <f t="shared" ref="B29:B39" si="4">B28+1200</f>
        <v>2400</v>
      </c>
      <c r="C29" s="314"/>
      <c r="D29" s="314"/>
      <c r="E29" s="315"/>
      <c r="F29" s="283"/>
      <c r="G29" s="284"/>
      <c r="H29" s="284"/>
      <c r="I29" s="285"/>
      <c r="J29" s="286"/>
      <c r="K29" s="287"/>
      <c r="L29" s="287"/>
      <c r="M29" s="288"/>
      <c r="N29" s="280" t="str">
        <f t="shared" ref="N29:N38" si="5">IF(J29&lt;&gt;"",((J29-J28)/((B29-B28)*1000)*($V$15/$I$15)),"")</f>
        <v/>
      </c>
      <c r="O29" s="281"/>
      <c r="P29" s="281"/>
      <c r="Q29" s="282"/>
      <c r="R29" s="280" t="str">
        <f t="shared" ref="R29:R38" si="6">IF(N29&lt;&gt;"",N29*AE29,"")</f>
        <v/>
      </c>
      <c r="S29" s="281"/>
      <c r="T29" s="281"/>
      <c r="U29" s="282"/>
      <c r="W29" s="307"/>
      <c r="X29" s="308"/>
      <c r="Y29" s="309"/>
      <c r="AA29" s="107"/>
      <c r="AB29" s="37">
        <f t="shared" si="0"/>
        <v>20</v>
      </c>
      <c r="AC29" s="37">
        <f t="shared" si="1"/>
        <v>400</v>
      </c>
      <c r="AD29" s="37">
        <f t="shared" si="2"/>
        <v>8000</v>
      </c>
      <c r="AE29" s="38">
        <f t="shared" si="3"/>
        <v>1.7860384307500734</v>
      </c>
      <c r="AF29" s="79"/>
    </row>
    <row r="30" spans="1:32" ht="12.75" customHeight="1" x14ac:dyDescent="0.25">
      <c r="A30" s="382"/>
      <c r="B30" s="313">
        <f t="shared" si="4"/>
        <v>3600</v>
      </c>
      <c r="C30" s="314"/>
      <c r="D30" s="314"/>
      <c r="E30" s="315"/>
      <c r="F30" s="283"/>
      <c r="G30" s="284"/>
      <c r="H30" s="284"/>
      <c r="I30" s="285"/>
      <c r="J30" s="286"/>
      <c r="K30" s="287"/>
      <c r="L30" s="287"/>
      <c r="M30" s="288"/>
      <c r="N30" s="280" t="str">
        <f t="shared" si="5"/>
        <v/>
      </c>
      <c r="O30" s="281"/>
      <c r="P30" s="281"/>
      <c r="Q30" s="282"/>
      <c r="R30" s="280" t="str">
        <f t="shared" si="6"/>
        <v/>
      </c>
      <c r="S30" s="281"/>
      <c r="T30" s="281"/>
      <c r="U30" s="282"/>
      <c r="W30" s="307"/>
      <c r="X30" s="308"/>
      <c r="Y30" s="309"/>
      <c r="AA30" s="107"/>
      <c r="AB30" s="37">
        <f t="shared" si="0"/>
        <v>20</v>
      </c>
      <c r="AC30" s="37">
        <f t="shared" si="1"/>
        <v>400</v>
      </c>
      <c r="AD30" s="37">
        <f t="shared" si="2"/>
        <v>8000</v>
      </c>
      <c r="AE30" s="38">
        <f t="shared" si="3"/>
        <v>1.7860384307500734</v>
      </c>
      <c r="AF30" s="108"/>
    </row>
    <row r="31" spans="1:32" ht="12.75" customHeight="1" x14ac:dyDescent="0.25">
      <c r="A31" s="382"/>
      <c r="B31" s="313">
        <f t="shared" si="4"/>
        <v>4800</v>
      </c>
      <c r="C31" s="314"/>
      <c r="D31" s="314"/>
      <c r="E31" s="315"/>
      <c r="F31" s="283"/>
      <c r="G31" s="284"/>
      <c r="H31" s="284"/>
      <c r="I31" s="285"/>
      <c r="J31" s="286"/>
      <c r="K31" s="287"/>
      <c r="L31" s="287"/>
      <c r="M31" s="288"/>
      <c r="N31" s="280" t="str">
        <f t="shared" si="5"/>
        <v/>
      </c>
      <c r="O31" s="281"/>
      <c r="P31" s="281"/>
      <c r="Q31" s="282"/>
      <c r="R31" s="280" t="str">
        <f t="shared" si="6"/>
        <v/>
      </c>
      <c r="S31" s="281"/>
      <c r="T31" s="281"/>
      <c r="U31" s="282"/>
      <c r="W31" s="310"/>
      <c r="X31" s="311"/>
      <c r="Y31" s="312"/>
      <c r="AA31" s="107"/>
      <c r="AB31" s="37">
        <f t="shared" si="0"/>
        <v>20</v>
      </c>
      <c r="AC31" s="37">
        <f t="shared" si="1"/>
        <v>400</v>
      </c>
      <c r="AD31" s="37">
        <f t="shared" si="2"/>
        <v>8000</v>
      </c>
      <c r="AE31" s="38">
        <f t="shared" si="3"/>
        <v>1.7860384307500734</v>
      </c>
      <c r="AF31" s="79"/>
    </row>
    <row r="32" spans="1:32" ht="12.75" customHeight="1" x14ac:dyDescent="0.25">
      <c r="A32" s="382"/>
      <c r="B32" s="313">
        <f t="shared" si="4"/>
        <v>6000</v>
      </c>
      <c r="C32" s="314"/>
      <c r="D32" s="314"/>
      <c r="E32" s="315"/>
      <c r="F32" s="283"/>
      <c r="G32" s="284"/>
      <c r="H32" s="284"/>
      <c r="I32" s="285"/>
      <c r="J32" s="286"/>
      <c r="K32" s="287"/>
      <c r="L32" s="287"/>
      <c r="M32" s="288"/>
      <c r="N32" s="280" t="str">
        <f t="shared" si="5"/>
        <v/>
      </c>
      <c r="O32" s="281"/>
      <c r="P32" s="281"/>
      <c r="Q32" s="282"/>
      <c r="R32" s="280" t="str">
        <f t="shared" si="6"/>
        <v/>
      </c>
      <c r="S32" s="281"/>
      <c r="T32" s="281"/>
      <c r="U32" s="282"/>
      <c r="W32" s="109"/>
      <c r="X32" s="109"/>
      <c r="Y32" s="109"/>
      <c r="AA32" s="107"/>
      <c r="AB32" s="37">
        <f t="shared" si="0"/>
        <v>20</v>
      </c>
      <c r="AC32" s="37">
        <f t="shared" si="1"/>
        <v>400</v>
      </c>
      <c r="AD32" s="37">
        <f t="shared" si="2"/>
        <v>8000</v>
      </c>
      <c r="AE32" s="38">
        <f t="shared" si="3"/>
        <v>1.7860384307500734</v>
      </c>
      <c r="AF32" s="79"/>
    </row>
    <row r="33" spans="1:32" ht="12.75" customHeight="1" x14ac:dyDescent="0.25">
      <c r="A33" s="382"/>
      <c r="B33" s="313">
        <f t="shared" si="4"/>
        <v>7200</v>
      </c>
      <c r="C33" s="314"/>
      <c r="D33" s="314"/>
      <c r="E33" s="315"/>
      <c r="F33" s="283"/>
      <c r="G33" s="284"/>
      <c r="H33" s="284"/>
      <c r="I33" s="285"/>
      <c r="J33" s="286"/>
      <c r="K33" s="287"/>
      <c r="L33" s="287"/>
      <c r="M33" s="288"/>
      <c r="N33" s="280" t="str">
        <f t="shared" si="5"/>
        <v/>
      </c>
      <c r="O33" s="281"/>
      <c r="P33" s="281"/>
      <c r="Q33" s="282"/>
      <c r="R33" s="280" t="str">
        <f t="shared" si="6"/>
        <v/>
      </c>
      <c r="S33" s="281"/>
      <c r="T33" s="281"/>
      <c r="U33" s="282"/>
      <c r="W33" s="296" t="s">
        <v>54</v>
      </c>
      <c r="X33" s="297"/>
      <c r="Y33" s="298"/>
      <c r="AA33" s="107"/>
      <c r="AB33" s="37">
        <f t="shared" si="0"/>
        <v>20</v>
      </c>
      <c r="AC33" s="37">
        <f t="shared" si="1"/>
        <v>400</v>
      </c>
      <c r="AD33" s="37">
        <f t="shared" si="2"/>
        <v>8000</v>
      </c>
      <c r="AE33" s="38">
        <f t="shared" si="3"/>
        <v>1.7860384307500734</v>
      </c>
      <c r="AF33" s="79"/>
    </row>
    <row r="34" spans="1:32" ht="12.75" customHeight="1" x14ac:dyDescent="0.25">
      <c r="A34" s="382"/>
      <c r="B34" s="313">
        <f t="shared" si="4"/>
        <v>8400</v>
      </c>
      <c r="C34" s="314"/>
      <c r="D34" s="314"/>
      <c r="E34" s="315"/>
      <c r="F34" s="283"/>
      <c r="G34" s="284"/>
      <c r="H34" s="284"/>
      <c r="I34" s="285"/>
      <c r="J34" s="286"/>
      <c r="K34" s="287"/>
      <c r="L34" s="287"/>
      <c r="M34" s="288"/>
      <c r="N34" s="280" t="str">
        <f t="shared" si="5"/>
        <v/>
      </c>
      <c r="O34" s="281"/>
      <c r="P34" s="281"/>
      <c r="Q34" s="282"/>
      <c r="R34" s="280" t="str">
        <f t="shared" si="6"/>
        <v/>
      </c>
      <c r="S34" s="281"/>
      <c r="T34" s="281"/>
      <c r="U34" s="282"/>
      <c r="W34" s="299"/>
      <c r="X34" s="300"/>
      <c r="Y34" s="301"/>
      <c r="AA34" s="107"/>
      <c r="AB34" s="37">
        <f t="shared" si="0"/>
        <v>20</v>
      </c>
      <c r="AC34" s="37">
        <f t="shared" si="1"/>
        <v>400</v>
      </c>
      <c r="AD34" s="37">
        <f t="shared" si="2"/>
        <v>8000</v>
      </c>
      <c r="AE34" s="38">
        <f t="shared" si="3"/>
        <v>1.7860384307500734</v>
      </c>
      <c r="AF34" s="79"/>
    </row>
    <row r="35" spans="1:32" ht="12.75" customHeight="1" x14ac:dyDescent="0.25">
      <c r="A35" s="382"/>
      <c r="B35" s="313">
        <f t="shared" si="4"/>
        <v>9600</v>
      </c>
      <c r="C35" s="314"/>
      <c r="D35" s="314"/>
      <c r="E35" s="315"/>
      <c r="F35" s="283"/>
      <c r="G35" s="284"/>
      <c r="H35" s="284"/>
      <c r="I35" s="285"/>
      <c r="J35" s="286"/>
      <c r="K35" s="287"/>
      <c r="L35" s="287"/>
      <c r="M35" s="288"/>
      <c r="N35" s="280" t="str">
        <f t="shared" si="5"/>
        <v/>
      </c>
      <c r="O35" s="281"/>
      <c r="P35" s="281"/>
      <c r="Q35" s="282"/>
      <c r="R35" s="280" t="str">
        <f t="shared" si="6"/>
        <v/>
      </c>
      <c r="S35" s="281"/>
      <c r="T35" s="281"/>
      <c r="U35" s="282"/>
      <c r="W35" s="299"/>
      <c r="X35" s="300"/>
      <c r="Y35" s="301"/>
      <c r="AA35" s="107"/>
      <c r="AB35" s="37">
        <f t="shared" si="0"/>
        <v>20</v>
      </c>
      <c r="AC35" s="37">
        <f t="shared" si="1"/>
        <v>400</v>
      </c>
      <c r="AD35" s="37">
        <f t="shared" si="2"/>
        <v>8000</v>
      </c>
      <c r="AE35" s="38">
        <f t="shared" si="3"/>
        <v>1.7860384307500734</v>
      </c>
    </row>
    <row r="36" spans="1:32" ht="12.75" customHeight="1" x14ac:dyDescent="0.25">
      <c r="A36" s="382"/>
      <c r="B36" s="313">
        <f t="shared" si="4"/>
        <v>10800</v>
      </c>
      <c r="C36" s="314"/>
      <c r="D36" s="314"/>
      <c r="E36" s="315"/>
      <c r="F36" s="283"/>
      <c r="G36" s="284"/>
      <c r="H36" s="284"/>
      <c r="I36" s="285"/>
      <c r="J36" s="286"/>
      <c r="K36" s="287"/>
      <c r="L36" s="287"/>
      <c r="M36" s="288"/>
      <c r="N36" s="280" t="str">
        <f t="shared" si="5"/>
        <v/>
      </c>
      <c r="O36" s="281"/>
      <c r="P36" s="281"/>
      <c r="Q36" s="282"/>
      <c r="R36" s="280" t="str">
        <f t="shared" si="6"/>
        <v/>
      </c>
      <c r="S36" s="281"/>
      <c r="T36" s="281"/>
      <c r="U36" s="282"/>
      <c r="W36" s="327"/>
      <c r="X36" s="328"/>
      <c r="Y36" s="329"/>
      <c r="AA36" s="107"/>
      <c r="AB36" s="37">
        <f t="shared" si="0"/>
        <v>20</v>
      </c>
      <c r="AC36" s="37">
        <f t="shared" si="1"/>
        <v>400</v>
      </c>
      <c r="AD36" s="37">
        <f t="shared" si="2"/>
        <v>8000</v>
      </c>
      <c r="AE36" s="38">
        <f t="shared" si="3"/>
        <v>1.7860384307500734</v>
      </c>
    </row>
    <row r="37" spans="1:32" ht="12.75" customHeight="1" x14ac:dyDescent="0.25">
      <c r="A37" s="382"/>
      <c r="B37" s="313">
        <f t="shared" si="4"/>
        <v>12000</v>
      </c>
      <c r="C37" s="314"/>
      <c r="D37" s="314"/>
      <c r="E37" s="315"/>
      <c r="F37" s="283"/>
      <c r="G37" s="284"/>
      <c r="H37" s="284"/>
      <c r="I37" s="285"/>
      <c r="J37" s="286"/>
      <c r="K37" s="287"/>
      <c r="L37" s="287"/>
      <c r="M37" s="288"/>
      <c r="N37" s="280" t="str">
        <f t="shared" si="5"/>
        <v/>
      </c>
      <c r="O37" s="281"/>
      <c r="P37" s="281"/>
      <c r="Q37" s="282"/>
      <c r="R37" s="280" t="str">
        <f t="shared" si="6"/>
        <v/>
      </c>
      <c r="S37" s="281"/>
      <c r="T37" s="281"/>
      <c r="U37" s="282"/>
      <c r="W37" s="327"/>
      <c r="X37" s="328"/>
      <c r="Y37" s="329"/>
      <c r="AA37" s="107"/>
      <c r="AB37" s="37">
        <f t="shared" si="0"/>
        <v>20</v>
      </c>
      <c r="AC37" s="37">
        <f t="shared" si="1"/>
        <v>400</v>
      </c>
      <c r="AD37" s="37">
        <f t="shared" si="2"/>
        <v>8000</v>
      </c>
      <c r="AE37" s="38">
        <f t="shared" si="3"/>
        <v>1.7860384307500734</v>
      </c>
    </row>
    <row r="38" spans="1:32" ht="12.75" customHeight="1" x14ac:dyDescent="0.25">
      <c r="A38" s="382"/>
      <c r="B38" s="313">
        <f t="shared" si="4"/>
        <v>13200</v>
      </c>
      <c r="C38" s="314"/>
      <c r="D38" s="314"/>
      <c r="E38" s="315"/>
      <c r="F38" s="283"/>
      <c r="G38" s="284"/>
      <c r="H38" s="284"/>
      <c r="I38" s="285"/>
      <c r="J38" s="286"/>
      <c r="K38" s="287"/>
      <c r="L38" s="287"/>
      <c r="M38" s="288"/>
      <c r="N38" s="280" t="str">
        <f t="shared" si="5"/>
        <v/>
      </c>
      <c r="O38" s="281"/>
      <c r="P38" s="281"/>
      <c r="Q38" s="282"/>
      <c r="R38" s="280" t="str">
        <f t="shared" si="6"/>
        <v/>
      </c>
      <c r="S38" s="281"/>
      <c r="T38" s="281"/>
      <c r="U38" s="282"/>
      <c r="W38" s="330"/>
      <c r="X38" s="331"/>
      <c r="Y38" s="332"/>
      <c r="AA38" s="107"/>
      <c r="AB38" s="37">
        <f t="shared" si="0"/>
        <v>20</v>
      </c>
      <c r="AC38" s="37">
        <f t="shared" si="1"/>
        <v>400</v>
      </c>
      <c r="AD38" s="37">
        <f t="shared" si="2"/>
        <v>8000</v>
      </c>
      <c r="AE38" s="38">
        <f t="shared" si="3"/>
        <v>1.7860384307500734</v>
      </c>
    </row>
    <row r="39" spans="1:32" ht="12.75" customHeight="1" x14ac:dyDescent="0.25">
      <c r="A39" s="382"/>
      <c r="B39" s="313">
        <f t="shared" si="4"/>
        <v>14400</v>
      </c>
      <c r="C39" s="314"/>
      <c r="D39" s="314"/>
      <c r="E39" s="315"/>
      <c r="F39" s="283"/>
      <c r="G39" s="284"/>
      <c r="H39" s="284"/>
      <c r="I39" s="285"/>
      <c r="J39" s="286"/>
      <c r="K39" s="287"/>
      <c r="L39" s="287"/>
      <c r="M39" s="288"/>
      <c r="N39" s="280" t="str">
        <f>IF(J39&lt;&gt;"",((J39-J38)/((B39-B38)*1000)*($V$15/$I$15)),"")</f>
        <v/>
      </c>
      <c r="O39" s="281"/>
      <c r="P39" s="281"/>
      <c r="Q39" s="282"/>
      <c r="R39" s="280" t="str">
        <f>IF(N39&lt;&gt;"",N39*AE39,"")</f>
        <v/>
      </c>
      <c r="S39" s="281"/>
      <c r="T39" s="281"/>
      <c r="U39" s="282"/>
      <c r="W39" s="110"/>
      <c r="X39" s="110"/>
      <c r="Y39" s="110"/>
      <c r="AA39" s="107"/>
      <c r="AB39" s="37">
        <f t="shared" si="0"/>
        <v>20</v>
      </c>
      <c r="AC39" s="37">
        <f t="shared" ref="AC39" si="7">AB39*AB39</f>
        <v>400</v>
      </c>
      <c r="AD39" s="37">
        <f t="shared" ref="AD39" si="8">AB39*AB39*AB39</f>
        <v>8000</v>
      </c>
      <c r="AE39" s="38">
        <f t="shared" ref="AE39" si="9">EXP(((0.0244)*(AB39))+((0.00018)*((AC39)))+((0.0000025)*((AD39))))</f>
        <v>1.7860384307500734</v>
      </c>
    </row>
    <row r="40" spans="1:32" ht="12.75" customHeight="1" x14ac:dyDescent="0.25">
      <c r="A40" s="78"/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102"/>
      <c r="S40" s="102"/>
      <c r="T40" s="102"/>
      <c r="U40" s="102"/>
      <c r="V40" s="79"/>
      <c r="W40" s="79"/>
      <c r="X40" s="79"/>
      <c r="Y40" s="79"/>
      <c r="Z40" s="80"/>
    </row>
    <row r="41" spans="1:32" ht="12.75" customHeight="1" x14ac:dyDescent="0.25">
      <c r="A41" s="78"/>
      <c r="E41" s="289" t="s">
        <v>49</v>
      </c>
      <c r="F41" s="290"/>
      <c r="G41" s="290"/>
      <c r="H41" s="290"/>
      <c r="I41" s="290"/>
      <c r="J41" s="290"/>
      <c r="K41" s="290" t="s">
        <v>85</v>
      </c>
      <c r="L41" s="290"/>
      <c r="M41" s="290"/>
      <c r="N41" s="290"/>
      <c r="O41" s="290"/>
      <c r="P41" s="290"/>
      <c r="Q41" s="290"/>
      <c r="R41" s="291"/>
      <c r="S41" s="79"/>
      <c r="T41" s="79"/>
      <c r="U41" s="79"/>
      <c r="V41" s="79"/>
      <c r="W41" s="79"/>
      <c r="X41" s="79"/>
      <c r="Y41" s="79"/>
      <c r="Z41" s="80"/>
    </row>
    <row r="42" spans="1:32" ht="12.75" customHeight="1" x14ac:dyDescent="0.25">
      <c r="A42" s="78"/>
      <c r="B42" s="7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80"/>
    </row>
    <row r="43" spans="1:32" ht="12.75" customHeight="1" x14ac:dyDescent="0.25">
      <c r="A43" s="78"/>
      <c r="B43" s="7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80"/>
    </row>
    <row r="44" spans="1:32" ht="12.75" customHeight="1" x14ac:dyDescent="0.25">
      <c r="A44" s="78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80"/>
    </row>
    <row r="45" spans="1:32" ht="12.75" customHeight="1" x14ac:dyDescent="0.25">
      <c r="A45" s="78"/>
      <c r="B45" s="79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80"/>
    </row>
    <row r="46" spans="1:32" ht="12.75" customHeight="1" x14ac:dyDescent="0.25">
      <c r="A46" s="78"/>
      <c r="B46" s="79"/>
      <c r="C46" s="79"/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80"/>
    </row>
    <row r="47" spans="1:32" ht="12.75" customHeight="1" x14ac:dyDescent="0.25">
      <c r="A47" s="78"/>
      <c r="B47" s="79"/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80"/>
    </row>
    <row r="48" spans="1:32" ht="12.75" customHeight="1" x14ac:dyDescent="0.25">
      <c r="A48" s="78"/>
      <c r="B48" s="79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79"/>
      <c r="Y48" s="79"/>
      <c r="Z48" s="80"/>
    </row>
    <row r="49" spans="1:26" ht="12.75" customHeight="1" x14ac:dyDescent="0.25">
      <c r="A49" s="78"/>
      <c r="B49" s="79"/>
      <c r="C49" s="79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80"/>
    </row>
    <row r="50" spans="1:26" ht="12.75" customHeight="1" x14ac:dyDescent="0.25">
      <c r="A50" s="78"/>
      <c r="B50" s="79"/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80"/>
    </row>
    <row r="51" spans="1:26" ht="12.75" customHeight="1" x14ac:dyDescent="0.25">
      <c r="A51" s="78"/>
      <c r="B51" s="79"/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80"/>
    </row>
    <row r="52" spans="1:26" ht="12.75" customHeight="1" x14ac:dyDescent="0.25">
      <c r="A52" s="78"/>
      <c r="B52" s="79"/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80"/>
    </row>
    <row r="53" spans="1:26" ht="12.75" customHeight="1" x14ac:dyDescent="0.25">
      <c r="A53" s="78"/>
      <c r="B53" s="79"/>
      <c r="C53" s="79"/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80"/>
    </row>
    <row r="54" spans="1:26" ht="12.75" customHeight="1" x14ac:dyDescent="0.25">
      <c r="A54" s="78"/>
      <c r="B54" s="79"/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80"/>
    </row>
    <row r="55" spans="1:26" ht="12.75" customHeight="1" x14ac:dyDescent="0.25">
      <c r="A55" s="78"/>
      <c r="B55" s="79"/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80"/>
    </row>
    <row r="56" spans="1:26" ht="12.75" customHeight="1" x14ac:dyDescent="0.25">
      <c r="A56" s="78"/>
      <c r="B56" s="79"/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80"/>
    </row>
    <row r="57" spans="1:26" ht="12.75" customHeight="1" x14ac:dyDescent="0.25">
      <c r="A57" s="78"/>
      <c r="B57" s="79"/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80"/>
    </row>
    <row r="58" spans="1:26" ht="12.75" customHeight="1" x14ac:dyDescent="0.25">
      <c r="A58" s="78"/>
      <c r="B58" s="79"/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80"/>
    </row>
    <row r="59" spans="1:26" ht="12.75" customHeight="1" x14ac:dyDescent="0.25">
      <c r="A59" s="78"/>
      <c r="B59" s="79"/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80"/>
    </row>
    <row r="60" spans="1:26" ht="12.75" customHeight="1" x14ac:dyDescent="0.25">
      <c r="A60" s="78"/>
      <c r="B60" s="79"/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80"/>
    </row>
    <row r="61" spans="1:26" ht="12.75" customHeight="1" x14ac:dyDescent="0.25">
      <c r="A61" s="78"/>
      <c r="B61" s="79"/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80"/>
    </row>
    <row r="62" spans="1:26" ht="12.75" customHeight="1" x14ac:dyDescent="0.25">
      <c r="A62" s="78"/>
      <c r="B62" s="79"/>
      <c r="C62" s="79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80"/>
    </row>
    <row r="63" spans="1:26" ht="12.75" customHeight="1" x14ac:dyDescent="0.25">
      <c r="A63" s="111"/>
      <c r="B63" s="102"/>
      <c r="C63" s="102"/>
      <c r="D63" s="102"/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15.6" customHeight="1" thickBot="1" x14ac:dyDescent="0.3">
      <c r="A64" s="77" t="s">
        <v>5</v>
      </c>
      <c r="B64" s="99" t="s">
        <v>33</v>
      </c>
      <c r="C64" s="112"/>
      <c r="D64" s="112"/>
      <c r="E64" s="102"/>
      <c r="F64" s="102"/>
      <c r="G64" s="102"/>
      <c r="H64" s="102"/>
      <c r="I64" s="102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3"/>
    </row>
    <row r="65" spans="1:26" ht="15.9" customHeight="1" thickBot="1" x14ac:dyDescent="0.3">
      <c r="A65" s="78"/>
      <c r="B65" s="37"/>
      <c r="C65" s="37"/>
      <c r="D65" s="37"/>
      <c r="E65" s="37"/>
      <c r="F65" s="37"/>
      <c r="G65" s="129" t="s">
        <v>55</v>
      </c>
      <c r="H65" s="133"/>
      <c r="I65" s="133"/>
      <c r="J65" s="133"/>
      <c r="K65" s="133"/>
      <c r="L65" s="133"/>
      <c r="M65" s="133"/>
      <c r="N65" s="133"/>
      <c r="O65" s="133"/>
      <c r="P65" s="133"/>
      <c r="Q65" s="417"/>
      <c r="R65" s="417"/>
      <c r="S65" s="418" t="str">
        <f>N39</f>
        <v/>
      </c>
      <c r="T65" s="419"/>
      <c r="U65" s="420"/>
      <c r="Y65" s="79"/>
      <c r="Z65" s="80"/>
    </row>
    <row r="66" spans="1:26" ht="15.9" customHeight="1" thickBot="1" x14ac:dyDescent="0.3">
      <c r="A66" s="37"/>
      <c r="B66" s="37"/>
      <c r="C66" s="37"/>
      <c r="D66" s="37"/>
      <c r="E66" s="37"/>
      <c r="F66" s="37"/>
      <c r="G66" s="129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421"/>
      <c r="T66" s="422"/>
      <c r="U66" s="422"/>
      <c r="V66" s="79"/>
      <c r="W66" s="79"/>
      <c r="X66" s="79"/>
      <c r="Y66" s="79"/>
      <c r="Z66" s="80"/>
    </row>
    <row r="67" spans="1:26" ht="15.9" customHeight="1" thickBot="1" x14ac:dyDescent="0.3">
      <c r="A67" s="73"/>
      <c r="G67" s="129" t="s">
        <v>87</v>
      </c>
      <c r="H67" s="417"/>
      <c r="I67" s="417"/>
      <c r="J67" s="417"/>
      <c r="K67" s="417"/>
      <c r="L67" s="417"/>
      <c r="M67" s="417"/>
      <c r="N67" s="417"/>
      <c r="O67" s="417"/>
      <c r="P67" s="417"/>
      <c r="Q67" s="417"/>
      <c r="R67" s="417"/>
      <c r="S67" s="418" t="str">
        <f>R39</f>
        <v/>
      </c>
      <c r="T67" s="419"/>
      <c r="U67" s="420"/>
      <c r="Z67" s="80"/>
    </row>
    <row r="68" spans="1:26" ht="15.75" customHeight="1" x14ac:dyDescent="0.25">
      <c r="A68" s="37"/>
      <c r="B68" s="79"/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Z68" s="80"/>
    </row>
    <row r="69" spans="1:26" ht="15.9" customHeight="1" x14ac:dyDescent="0.25">
      <c r="A69" s="113"/>
      <c r="B69" s="114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115"/>
    </row>
    <row r="70" spans="1:26" ht="12.75" customHeight="1" x14ac:dyDescent="0.25">
      <c r="A70" s="116"/>
      <c r="B70" s="117"/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</row>
    <row r="71" spans="1:26" s="84" customFormat="1" ht="15.6" customHeight="1" x14ac:dyDescent="0.25">
      <c r="A71" s="118" t="s">
        <v>4</v>
      </c>
      <c r="B71" s="119" t="s">
        <v>16</v>
      </c>
      <c r="C71" s="120"/>
      <c r="D71" s="120"/>
      <c r="E71" s="120"/>
      <c r="F71" s="121"/>
      <c r="G71" s="121"/>
      <c r="H71" s="121"/>
      <c r="I71" s="102"/>
      <c r="J71" s="102"/>
      <c r="K71" s="102"/>
      <c r="L71" s="102"/>
      <c r="M71" s="102"/>
      <c r="N71" s="102"/>
      <c r="O71" s="102"/>
      <c r="P71" s="102"/>
      <c r="Q71" s="121"/>
      <c r="R71" s="102"/>
      <c r="S71" s="102"/>
      <c r="T71" s="102"/>
      <c r="U71" s="373"/>
      <c r="V71" s="373"/>
      <c r="W71" s="373"/>
      <c r="X71" s="374"/>
      <c r="Y71" s="374"/>
      <c r="Z71" s="375"/>
    </row>
    <row r="72" spans="1:26" s="84" customFormat="1" ht="26.4" customHeight="1" x14ac:dyDescent="0.25">
      <c r="A72" s="380" t="s">
        <v>86</v>
      </c>
      <c r="B72" s="381"/>
      <c r="C72" s="381"/>
      <c r="D72" s="381"/>
      <c r="E72" s="381"/>
      <c r="F72" s="381"/>
      <c r="G72" s="381"/>
      <c r="H72" s="381"/>
      <c r="I72" s="381"/>
      <c r="J72" s="381"/>
      <c r="K72" s="381"/>
      <c r="L72" s="381"/>
      <c r="M72" s="381"/>
      <c r="N72" s="381"/>
      <c r="O72" s="381"/>
      <c r="P72" s="381"/>
      <c r="Q72" s="396"/>
      <c r="R72" s="358" t="s">
        <v>10</v>
      </c>
      <c r="S72" s="359"/>
      <c r="T72" s="360"/>
      <c r="U72" s="376"/>
      <c r="V72" s="377"/>
      <c r="W72" s="377"/>
      <c r="X72" s="378"/>
      <c r="Y72" s="378"/>
      <c r="Z72" s="379"/>
    </row>
    <row r="73" spans="1:26" s="84" customFormat="1" ht="26.4" customHeight="1" x14ac:dyDescent="0.25">
      <c r="A73" s="397"/>
      <c r="B73" s="398"/>
      <c r="C73" s="398"/>
      <c r="D73" s="398"/>
      <c r="E73" s="398"/>
      <c r="F73" s="398"/>
      <c r="G73" s="398"/>
      <c r="H73" s="398"/>
      <c r="I73" s="398"/>
      <c r="J73" s="398"/>
      <c r="K73" s="398"/>
      <c r="L73" s="398"/>
      <c r="M73" s="398"/>
      <c r="N73" s="398"/>
      <c r="O73" s="398"/>
      <c r="P73" s="398"/>
      <c r="Q73" s="399"/>
      <c r="R73" s="358"/>
      <c r="S73" s="359"/>
      <c r="T73" s="360"/>
      <c r="U73" s="364"/>
      <c r="V73" s="365"/>
      <c r="W73" s="365"/>
      <c r="X73" s="366"/>
      <c r="Y73" s="366"/>
      <c r="Z73" s="367"/>
    </row>
    <row r="74" spans="1:26" s="84" customFormat="1" ht="15.6" customHeight="1" x14ac:dyDescent="0.25">
      <c r="A74" s="77" t="s">
        <v>15</v>
      </c>
      <c r="B74" s="99" t="s">
        <v>6</v>
      </c>
      <c r="C74" s="102"/>
      <c r="D74" s="10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3"/>
      <c r="R74" s="358"/>
      <c r="S74" s="359"/>
      <c r="T74" s="360"/>
      <c r="U74" s="368"/>
      <c r="V74" s="369"/>
      <c r="W74" s="369"/>
      <c r="X74" s="370"/>
      <c r="Y74" s="370"/>
      <c r="Z74" s="371"/>
    </row>
    <row r="75" spans="1:26" s="84" customFormat="1" ht="15.6" customHeight="1" thickBot="1" x14ac:dyDescent="0.3">
      <c r="A75" s="124"/>
      <c r="B75" s="333" t="s">
        <v>88</v>
      </c>
      <c r="C75" s="333"/>
      <c r="D75" s="333"/>
      <c r="E75" s="333"/>
      <c r="F75" s="333"/>
      <c r="G75" s="333"/>
      <c r="H75" s="333"/>
      <c r="I75" s="333"/>
      <c r="J75" s="333"/>
      <c r="K75" s="333"/>
      <c r="L75" s="333"/>
      <c r="M75" s="333"/>
      <c r="N75" s="333"/>
      <c r="O75" s="333"/>
      <c r="P75" s="333"/>
      <c r="Q75" s="81"/>
      <c r="R75" s="358" t="s">
        <v>11</v>
      </c>
      <c r="S75" s="359"/>
      <c r="T75" s="360"/>
      <c r="U75" s="407"/>
      <c r="V75" s="408"/>
      <c r="W75" s="408"/>
      <c r="X75" s="409"/>
      <c r="Y75" s="409"/>
      <c r="Z75" s="410"/>
    </row>
    <row r="76" spans="1:26" s="84" customFormat="1" ht="15.6" customHeight="1" thickBot="1" x14ac:dyDescent="0.3">
      <c r="A76" s="91"/>
      <c r="B76" s="131"/>
      <c r="C76" s="400" t="s">
        <v>38</v>
      </c>
      <c r="D76" s="401"/>
      <c r="E76" s="401"/>
      <c r="F76" s="401"/>
      <c r="G76" s="401"/>
      <c r="H76" s="401"/>
      <c r="I76" s="401"/>
      <c r="J76" s="401"/>
      <c r="K76" s="401"/>
      <c r="L76" s="423" t="str">
        <f>IF(S67&lt;&gt;"",IF(O77&lt;&gt;"",S67/O77,""),"")</f>
        <v/>
      </c>
      <c r="M76" s="423"/>
      <c r="N76" s="423"/>
      <c r="O76" s="403" t="s">
        <v>37</v>
      </c>
      <c r="P76" s="404"/>
      <c r="Q76" s="94"/>
      <c r="R76" s="358"/>
      <c r="S76" s="359"/>
      <c r="T76" s="360"/>
      <c r="U76" s="411"/>
      <c r="V76" s="372"/>
      <c r="W76" s="372"/>
      <c r="X76" s="372"/>
      <c r="Y76" s="372"/>
      <c r="Z76" s="412"/>
    </row>
    <row r="77" spans="1:26" s="84" customFormat="1" ht="15.6" customHeight="1" x14ac:dyDescent="0.25">
      <c r="A77" s="91"/>
      <c r="B77" s="324" t="s">
        <v>46</v>
      </c>
      <c r="C77" s="324"/>
      <c r="D77" s="324"/>
      <c r="E77" s="324"/>
      <c r="F77" s="324"/>
      <c r="G77" s="324"/>
      <c r="H77" s="324" t="s">
        <v>47</v>
      </c>
      <c r="I77" s="324"/>
      <c r="J77" s="324"/>
      <c r="K77" s="324"/>
      <c r="L77" s="324"/>
      <c r="M77" s="324"/>
      <c r="N77" s="324"/>
      <c r="O77" s="405" t="str">
        <f>IF(M77&lt;&gt;"",IF(M78&lt;&gt;"",((M77+M78)/M78),""),"")</f>
        <v/>
      </c>
      <c r="P77" s="405"/>
      <c r="Q77" s="94"/>
      <c r="R77" s="358"/>
      <c r="S77" s="359"/>
      <c r="T77" s="360"/>
      <c r="U77" s="411"/>
      <c r="V77" s="372"/>
      <c r="W77" s="372"/>
      <c r="X77" s="372"/>
      <c r="Y77" s="372"/>
      <c r="Z77" s="412"/>
    </row>
    <row r="78" spans="1:26" s="84" customFormat="1" ht="15.6" customHeight="1" x14ac:dyDescent="0.25">
      <c r="A78" s="125"/>
      <c r="B78" s="293"/>
      <c r="C78" s="293"/>
      <c r="D78" s="293"/>
      <c r="E78" s="293"/>
      <c r="F78" s="293"/>
      <c r="G78" s="293"/>
      <c r="H78" s="293" t="s">
        <v>48</v>
      </c>
      <c r="I78" s="293"/>
      <c r="J78" s="293"/>
      <c r="K78" s="293"/>
      <c r="L78" s="293"/>
      <c r="M78" s="293"/>
      <c r="N78" s="293"/>
      <c r="O78" s="406"/>
      <c r="P78" s="406"/>
      <c r="Q78" s="126"/>
      <c r="R78" s="361"/>
      <c r="S78" s="362"/>
      <c r="T78" s="363"/>
      <c r="U78" s="413"/>
      <c r="V78" s="414"/>
      <c r="W78" s="414"/>
      <c r="X78" s="415"/>
      <c r="Y78" s="415"/>
      <c r="Z78" s="416"/>
    </row>
    <row r="80" spans="1:26" ht="12.75" customHeight="1" x14ac:dyDescent="0.25">
      <c r="P80" s="79"/>
      <c r="Q80" s="79"/>
      <c r="R80" s="79"/>
      <c r="S80" s="79"/>
      <c r="T80" s="79"/>
      <c r="U80" s="79"/>
      <c r="V80" s="79"/>
      <c r="W80" s="79"/>
    </row>
    <row r="81" spans="5:23" ht="12.75" customHeight="1" x14ac:dyDescent="0.25">
      <c r="P81" s="79"/>
      <c r="Q81" s="79"/>
      <c r="R81" s="79"/>
      <c r="S81" s="79"/>
      <c r="T81" s="79"/>
      <c r="U81" s="79"/>
      <c r="V81" s="79"/>
      <c r="W81" s="79"/>
    </row>
    <row r="82" spans="5:23" ht="12.75" customHeight="1" x14ac:dyDescent="0.25">
      <c r="P82" s="79"/>
      <c r="Q82" s="79"/>
      <c r="R82" s="79"/>
      <c r="S82" s="79"/>
      <c r="T82" s="79"/>
      <c r="U82" s="79"/>
      <c r="V82" s="79"/>
      <c r="W82" s="79"/>
    </row>
    <row r="83" spans="5:23" ht="12.75" customHeight="1" x14ac:dyDescent="0.25">
      <c r="E83" s="128"/>
      <c r="P83" s="79"/>
      <c r="Q83" s="79"/>
      <c r="R83" s="79"/>
      <c r="S83" s="79"/>
      <c r="T83" s="79"/>
      <c r="U83" s="79"/>
      <c r="V83" s="79"/>
      <c r="W83" s="79"/>
    </row>
    <row r="84" spans="5:23" ht="12.75" customHeight="1" x14ac:dyDescent="0.25">
      <c r="P84" s="79"/>
      <c r="Q84" s="79"/>
      <c r="R84" s="79"/>
      <c r="S84" s="79"/>
      <c r="T84" s="79"/>
      <c r="U84" s="79"/>
      <c r="V84" s="79"/>
      <c r="W84" s="79"/>
    </row>
    <row r="85" spans="5:23" ht="12.75" customHeight="1" x14ac:dyDescent="0.25">
      <c r="P85" s="79"/>
      <c r="Q85" s="79"/>
      <c r="R85" s="79"/>
      <c r="S85" s="79"/>
      <c r="T85" s="79"/>
      <c r="U85" s="79"/>
      <c r="V85" s="79"/>
      <c r="W85" s="79"/>
    </row>
  </sheetData>
  <sheetProtection selectLockedCells="1"/>
  <mergeCells count="141">
    <mergeCell ref="A27:A39"/>
    <mergeCell ref="J34:M34"/>
    <mergeCell ref="J35:M35"/>
    <mergeCell ref="B37:E37"/>
    <mergeCell ref="F31:I31"/>
    <mergeCell ref="B31:E31"/>
    <mergeCell ref="B32:E32"/>
    <mergeCell ref="B33:E33"/>
    <mergeCell ref="B34:E34"/>
    <mergeCell ref="B29:E29"/>
    <mergeCell ref="F27:I27"/>
    <mergeCell ref="J38:M38"/>
    <mergeCell ref="J36:M36"/>
    <mergeCell ref="F36:I36"/>
    <mergeCell ref="B39:E39"/>
    <mergeCell ref="B75:P75"/>
    <mergeCell ref="S65:U65"/>
    <mergeCell ref="S67:U67"/>
    <mergeCell ref="R73:T74"/>
    <mergeCell ref="R75:T78"/>
    <mergeCell ref="U73:Z74"/>
    <mergeCell ref="R72:T72"/>
    <mergeCell ref="U71:Z71"/>
    <mergeCell ref="U72:Z72"/>
    <mergeCell ref="B77:G78"/>
    <mergeCell ref="H77:L77"/>
    <mergeCell ref="H78:L78"/>
    <mergeCell ref="M77:N77"/>
    <mergeCell ref="M78:N78"/>
    <mergeCell ref="O77:P78"/>
    <mergeCell ref="L76:N76"/>
    <mergeCell ref="A72:Q72"/>
    <mergeCell ref="A73:Q73"/>
    <mergeCell ref="V76:Y77"/>
    <mergeCell ref="V10:Y10"/>
    <mergeCell ref="V11:Y11"/>
    <mergeCell ref="B10:F10"/>
    <mergeCell ref="U1:Z6"/>
    <mergeCell ref="G1:T1"/>
    <mergeCell ref="B12:F12"/>
    <mergeCell ref="G12:M12"/>
    <mergeCell ref="W12:Y12"/>
    <mergeCell ref="P5:T5"/>
    <mergeCell ref="A7:F7"/>
    <mergeCell ref="G7:Z7"/>
    <mergeCell ref="B8:Z8"/>
    <mergeCell ref="A1:F6"/>
    <mergeCell ref="G2:T4"/>
    <mergeCell ref="G5:H5"/>
    <mergeCell ref="J5:K5"/>
    <mergeCell ref="J6:K6"/>
    <mergeCell ref="L6:O6"/>
    <mergeCell ref="O12:Q12"/>
    <mergeCell ref="S12:U12"/>
    <mergeCell ref="G10:M10"/>
    <mergeCell ref="K14:N14"/>
    <mergeCell ref="O14:R14"/>
    <mergeCell ref="L5:O5"/>
    <mergeCell ref="P6:T6"/>
    <mergeCell ref="B11:F11"/>
    <mergeCell ref="N10:U10"/>
    <mergeCell ref="N11:U11"/>
    <mergeCell ref="G11:M11"/>
    <mergeCell ref="W36:Y38"/>
    <mergeCell ref="N29:Q29"/>
    <mergeCell ref="N30:Q30"/>
    <mergeCell ref="B38:E38"/>
    <mergeCell ref="B35:E35"/>
    <mergeCell ref="F35:I35"/>
    <mergeCell ref="B36:E36"/>
    <mergeCell ref="S14:V14"/>
    <mergeCell ref="N13:U13"/>
    <mergeCell ref="V13:X13"/>
    <mergeCell ref="F28:I28"/>
    <mergeCell ref="F29:I29"/>
    <mergeCell ref="F26:I26"/>
    <mergeCell ref="J26:M26"/>
    <mergeCell ref="F30:I30"/>
    <mergeCell ref="R27:U27"/>
    <mergeCell ref="N26:Q26"/>
    <mergeCell ref="N27:Q27"/>
    <mergeCell ref="N28:Q28"/>
    <mergeCell ref="B19:H19"/>
    <mergeCell ref="I19:Y19"/>
    <mergeCell ref="B25:U25"/>
    <mergeCell ref="J33:M33"/>
    <mergeCell ref="N34:Q34"/>
    <mergeCell ref="J28:M28"/>
    <mergeCell ref="J29:M29"/>
    <mergeCell ref="J30:M30"/>
    <mergeCell ref="B27:E27"/>
    <mergeCell ref="B28:E28"/>
    <mergeCell ref="B26:E26"/>
    <mergeCell ref="B20:H20"/>
    <mergeCell ref="I20:Y20"/>
    <mergeCell ref="N15:U15"/>
    <mergeCell ref="V15:X15"/>
    <mergeCell ref="B13:F13"/>
    <mergeCell ref="G13:M13"/>
    <mergeCell ref="W26:Y28"/>
    <mergeCell ref="B14:F14"/>
    <mergeCell ref="G14:J14"/>
    <mergeCell ref="F34:I34"/>
    <mergeCell ref="J31:M31"/>
    <mergeCell ref="R26:U26"/>
    <mergeCell ref="R29:U29"/>
    <mergeCell ref="B15:H15"/>
    <mergeCell ref="I15:K15"/>
    <mergeCell ref="W29:Y31"/>
    <mergeCell ref="W33:Y35"/>
    <mergeCell ref="N32:Q32"/>
    <mergeCell ref="N33:Q33"/>
    <mergeCell ref="R28:U28"/>
    <mergeCell ref="R30:U30"/>
    <mergeCell ref="R31:U31"/>
    <mergeCell ref="N31:Q31"/>
    <mergeCell ref="B30:E30"/>
    <mergeCell ref="J27:M27"/>
    <mergeCell ref="N39:Q39"/>
    <mergeCell ref="F39:I39"/>
    <mergeCell ref="J39:M39"/>
    <mergeCell ref="E41:J41"/>
    <mergeCell ref="K41:R41"/>
    <mergeCell ref="R36:U36"/>
    <mergeCell ref="N35:Q35"/>
    <mergeCell ref="J32:M32"/>
    <mergeCell ref="J37:M37"/>
    <mergeCell ref="F37:I37"/>
    <mergeCell ref="F38:I38"/>
    <mergeCell ref="F33:I33"/>
    <mergeCell ref="F32:I32"/>
    <mergeCell ref="R38:U38"/>
    <mergeCell ref="N36:Q36"/>
    <mergeCell ref="N37:Q37"/>
    <mergeCell ref="N38:Q38"/>
    <mergeCell ref="R39:U39"/>
    <mergeCell ref="R32:U32"/>
    <mergeCell ref="R33:U33"/>
    <mergeCell ref="R34:U34"/>
    <mergeCell ref="R37:U37"/>
    <mergeCell ref="R35:U35"/>
  </mergeCells>
  <phoneticPr fontId="2" type="noConversion"/>
  <dataValidations count="1">
    <dataValidation type="decimal" operator="greaterThanOrEqual" showInputMessage="1" showErrorMessage="1" sqref="N27:U39" xr:uid="{00000000-0002-0000-0100-000000000000}">
      <formula1>0</formula1>
    </dataValidation>
  </dataValidations>
  <printOptions horizontalCentered="1"/>
  <pageMargins left="0.39370078740157483" right="0.39370078740157483" top="0.39370078740157483" bottom="0.39370078740157483" header="0" footer="0.19685039370078741"/>
  <pageSetup paperSize="9" scale="71" orientation="portrait" r:id="rId1"/>
  <headerFooter alignWithMargins="0">
    <oddFooter>&amp;RDG-Q / CRE INF du 06/04/2011</oddFooter>
  </headerFooter>
  <drawing r:id="rId2"/>
  <legacyDrawing r:id="rId3"/>
  <controls>
    <mc:AlternateContent xmlns:mc="http://schemas.openxmlformats.org/markup-compatibility/2006">
      <mc:Choice Requires="x14">
        <control shapeId="5129" r:id="rId4" name="CommandButton1">
          <controlPr autoLine="0" r:id="rId5">
            <anchor moveWithCells="1">
              <from>
                <xdr:col>32</xdr:col>
                <xdr:colOff>0</xdr:colOff>
                <xdr:row>75</xdr:row>
                <xdr:rowOff>0</xdr:rowOff>
              </from>
              <to>
                <xdr:col>33</xdr:col>
                <xdr:colOff>708660</xdr:colOff>
                <xdr:row>77</xdr:row>
                <xdr:rowOff>30480</xdr:rowOff>
              </to>
            </anchor>
          </controlPr>
        </control>
      </mc:Choice>
      <mc:Fallback>
        <control shapeId="5129" r:id="rId4" name="CommandButton1"/>
      </mc:Fallback>
    </mc:AlternateContent>
    <mc:AlternateContent xmlns:mc="http://schemas.openxmlformats.org/markup-compatibility/2006">
      <mc:Choice Requires="x14">
        <control shapeId="5123" r:id="rId6" name="Check Box 3">
          <controlPr locked="0" defaultSize="0" autoFill="0" autoLine="0" autoPict="0">
            <anchor moveWithCells="1">
              <from>
                <xdr:col>21</xdr:col>
                <xdr:colOff>0</xdr:colOff>
                <xdr:row>10</xdr:row>
                <xdr:rowOff>182880</xdr:rowOff>
              </from>
              <to>
                <xdr:col>21</xdr:col>
                <xdr:colOff>312420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7" name="Check Box 4">
          <controlPr locked="0" defaultSize="0" autoFill="0" autoLine="0" autoPict="0">
            <anchor moveWithCells="1">
              <from>
                <xdr:col>17</xdr:col>
                <xdr:colOff>0</xdr:colOff>
                <xdr:row>10</xdr:row>
                <xdr:rowOff>182880</xdr:rowOff>
              </from>
              <to>
                <xdr:col>17</xdr:col>
                <xdr:colOff>312420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8" name="Check Box 5">
          <controlPr locked="0" defaultSize="0" autoFill="0" autoLine="0" autoPict="0">
            <anchor moveWithCells="1">
              <from>
                <xdr:col>13</xdr:col>
                <xdr:colOff>0</xdr:colOff>
                <xdr:row>10</xdr:row>
                <xdr:rowOff>182880</xdr:rowOff>
              </from>
              <to>
                <xdr:col>13</xdr:col>
                <xdr:colOff>304800</xdr:colOff>
                <xdr:row>12</xdr:row>
                <xdr:rowOff>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>
    <pageSetUpPr fitToPage="1"/>
  </sheetPr>
  <dimension ref="A1:AF85"/>
  <sheetViews>
    <sheetView topLeftCell="A49" workbookViewId="0">
      <selection activeCell="Y67" sqref="Y67"/>
    </sheetView>
  </sheetViews>
  <sheetFormatPr baseColWidth="10" defaultColWidth="11.44140625" defaultRowHeight="12.75" customHeight="1" x14ac:dyDescent="0.25"/>
  <cols>
    <col min="1" max="1" width="5.109375" style="127" customWidth="1"/>
    <col min="2" max="26" width="5.109375" style="73" customWidth="1"/>
    <col min="27" max="27" width="11.44140625" style="73"/>
    <col min="28" max="31" width="0" style="73" hidden="1" customWidth="1"/>
    <col min="32" max="16384" width="11.44140625" style="73"/>
  </cols>
  <sheetData>
    <row r="1" spans="1:26" ht="12.75" customHeight="1" x14ac:dyDescent="0.25">
      <c r="A1" s="350"/>
      <c r="B1" s="351"/>
      <c r="C1" s="351"/>
      <c r="D1" s="351"/>
      <c r="E1" s="351"/>
      <c r="F1" s="352"/>
      <c r="G1" s="344" t="s">
        <v>39</v>
      </c>
      <c r="H1" s="345"/>
      <c r="I1" s="345"/>
      <c r="J1" s="345"/>
      <c r="K1" s="345"/>
      <c r="L1" s="345"/>
      <c r="M1" s="345"/>
      <c r="N1" s="345"/>
      <c r="O1" s="345"/>
      <c r="P1" s="345"/>
      <c r="Q1" s="345"/>
      <c r="R1" s="345"/>
      <c r="S1" s="345"/>
      <c r="T1" s="346"/>
      <c r="U1" s="335"/>
      <c r="V1" s="336"/>
      <c r="W1" s="336"/>
      <c r="X1" s="336"/>
      <c r="Y1" s="336"/>
      <c r="Z1" s="337"/>
    </row>
    <row r="2" spans="1:26" ht="12.75" customHeight="1" x14ac:dyDescent="0.25">
      <c r="A2" s="327"/>
      <c r="B2" s="328"/>
      <c r="C2" s="328"/>
      <c r="D2" s="328"/>
      <c r="E2" s="328"/>
      <c r="F2" s="329"/>
      <c r="G2" s="353" t="s">
        <v>81</v>
      </c>
      <c r="H2" s="354"/>
      <c r="I2" s="354"/>
      <c r="J2" s="354"/>
      <c r="K2" s="354"/>
      <c r="L2" s="354"/>
      <c r="M2" s="354"/>
      <c r="N2" s="354"/>
      <c r="O2" s="354"/>
      <c r="P2" s="354"/>
      <c r="Q2" s="354"/>
      <c r="R2" s="354"/>
      <c r="S2" s="354"/>
      <c r="T2" s="355"/>
      <c r="U2" s="338"/>
      <c r="V2" s="339"/>
      <c r="W2" s="339"/>
      <c r="X2" s="339"/>
      <c r="Y2" s="339"/>
      <c r="Z2" s="340"/>
    </row>
    <row r="3" spans="1:26" ht="12.75" customHeight="1" x14ac:dyDescent="0.25">
      <c r="A3" s="327"/>
      <c r="B3" s="328"/>
      <c r="C3" s="328"/>
      <c r="D3" s="328"/>
      <c r="E3" s="328"/>
      <c r="F3" s="329"/>
      <c r="G3" s="353"/>
      <c r="H3" s="354"/>
      <c r="I3" s="354"/>
      <c r="J3" s="354"/>
      <c r="K3" s="354"/>
      <c r="L3" s="354"/>
      <c r="M3" s="354"/>
      <c r="N3" s="354"/>
      <c r="O3" s="354"/>
      <c r="P3" s="354"/>
      <c r="Q3" s="354"/>
      <c r="R3" s="354"/>
      <c r="S3" s="354"/>
      <c r="T3" s="355"/>
      <c r="U3" s="338"/>
      <c r="V3" s="339"/>
      <c r="W3" s="339"/>
      <c r="X3" s="339"/>
      <c r="Y3" s="339"/>
      <c r="Z3" s="340"/>
    </row>
    <row r="4" spans="1:26" ht="12.75" customHeight="1" x14ac:dyDescent="0.25">
      <c r="A4" s="327"/>
      <c r="B4" s="328"/>
      <c r="C4" s="328"/>
      <c r="D4" s="328"/>
      <c r="E4" s="328"/>
      <c r="F4" s="329"/>
      <c r="G4" s="353"/>
      <c r="H4" s="354"/>
      <c r="I4" s="354"/>
      <c r="J4" s="354"/>
      <c r="K4" s="354"/>
      <c r="L4" s="354"/>
      <c r="M4" s="354"/>
      <c r="N4" s="354"/>
      <c r="O4" s="354"/>
      <c r="P4" s="354"/>
      <c r="Q4" s="354"/>
      <c r="R4" s="354"/>
      <c r="S4" s="354"/>
      <c r="T4" s="355"/>
      <c r="U4" s="338"/>
      <c r="V4" s="339"/>
      <c r="W4" s="339"/>
      <c r="X4" s="339"/>
      <c r="Y4" s="339"/>
      <c r="Z4" s="340"/>
    </row>
    <row r="5" spans="1:26" ht="12.75" customHeight="1" x14ac:dyDescent="0.25">
      <c r="A5" s="327"/>
      <c r="B5" s="328"/>
      <c r="C5" s="328"/>
      <c r="D5" s="328"/>
      <c r="E5" s="328"/>
      <c r="F5" s="329"/>
      <c r="G5" s="356" t="s">
        <v>40</v>
      </c>
      <c r="H5" s="357"/>
      <c r="I5" s="74" t="s">
        <v>41</v>
      </c>
      <c r="J5" s="388"/>
      <c r="K5" s="389"/>
      <c r="L5" s="390"/>
      <c r="M5" s="388"/>
      <c r="N5" s="388"/>
      <c r="O5" s="389"/>
      <c r="P5" s="391"/>
      <c r="Q5" s="392"/>
      <c r="R5" s="392"/>
      <c r="S5" s="392"/>
      <c r="T5" s="393"/>
      <c r="U5" s="338"/>
      <c r="V5" s="339"/>
      <c r="W5" s="339"/>
      <c r="X5" s="339"/>
      <c r="Y5" s="339"/>
      <c r="Z5" s="340"/>
    </row>
    <row r="6" spans="1:26" ht="12.75" customHeight="1" x14ac:dyDescent="0.25">
      <c r="A6" s="330"/>
      <c r="B6" s="331"/>
      <c r="C6" s="331"/>
      <c r="D6" s="331"/>
      <c r="E6" s="331"/>
      <c r="F6" s="332"/>
      <c r="G6" s="75"/>
      <c r="H6" s="76"/>
      <c r="I6" s="76"/>
      <c r="J6" s="325" t="s">
        <v>42</v>
      </c>
      <c r="K6" s="325"/>
      <c r="L6" s="325" t="s">
        <v>43</v>
      </c>
      <c r="M6" s="325"/>
      <c r="N6" s="325"/>
      <c r="O6" s="325"/>
      <c r="P6" s="325" t="s">
        <v>44</v>
      </c>
      <c r="Q6" s="325"/>
      <c r="R6" s="325"/>
      <c r="S6" s="325"/>
      <c r="T6" s="326"/>
      <c r="U6" s="341"/>
      <c r="V6" s="342"/>
      <c r="W6" s="342"/>
      <c r="X6" s="342"/>
      <c r="Y6" s="342"/>
      <c r="Z6" s="343"/>
    </row>
    <row r="7" spans="1:26" ht="36.75" customHeight="1" x14ac:dyDescent="0.25">
      <c r="A7" s="322" t="s">
        <v>9</v>
      </c>
      <c r="B7" s="322"/>
      <c r="C7" s="322"/>
      <c r="D7" s="322"/>
      <c r="E7" s="322"/>
      <c r="F7" s="322"/>
      <c r="G7" s="347" t="s">
        <v>17</v>
      </c>
      <c r="H7" s="347"/>
      <c r="I7" s="347"/>
      <c r="J7" s="347"/>
      <c r="K7" s="347"/>
      <c r="L7" s="347"/>
      <c r="M7" s="347"/>
      <c r="N7" s="347"/>
      <c r="O7" s="347"/>
      <c r="P7" s="347"/>
      <c r="Q7" s="347"/>
      <c r="R7" s="347"/>
      <c r="S7" s="347"/>
      <c r="T7" s="347"/>
      <c r="U7" s="347"/>
      <c r="V7" s="347"/>
      <c r="W7" s="347"/>
      <c r="X7" s="347"/>
      <c r="Y7" s="347"/>
      <c r="Z7" s="347"/>
    </row>
    <row r="8" spans="1:26" ht="15.6" customHeight="1" x14ac:dyDescent="0.25">
      <c r="A8" s="77" t="s">
        <v>1</v>
      </c>
      <c r="B8" s="348" t="s">
        <v>0</v>
      </c>
      <c r="C8" s="348"/>
      <c r="D8" s="348"/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9"/>
    </row>
    <row r="9" spans="1:26" ht="8.25" customHeight="1" x14ac:dyDescent="0.25">
      <c r="A9" s="78"/>
      <c r="B9" s="79"/>
      <c r="C9" s="79"/>
      <c r="D9" s="37"/>
      <c r="E9" s="37"/>
      <c r="F9" s="37"/>
      <c r="G9" s="37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80"/>
    </row>
    <row r="10" spans="1:26" ht="15.9" customHeight="1" x14ac:dyDescent="0.25">
      <c r="A10" s="78"/>
      <c r="B10" s="294" t="s">
        <v>8</v>
      </c>
      <c r="C10" s="294"/>
      <c r="D10" s="294"/>
      <c r="E10" s="294"/>
      <c r="F10" s="294"/>
      <c r="G10" s="295"/>
      <c r="H10" s="295"/>
      <c r="I10" s="295"/>
      <c r="J10" s="295"/>
      <c r="K10" s="295"/>
      <c r="L10" s="295"/>
      <c r="M10" s="295"/>
      <c r="N10" s="294" t="s">
        <v>23</v>
      </c>
      <c r="O10" s="294"/>
      <c r="P10" s="294"/>
      <c r="Q10" s="294"/>
      <c r="R10" s="294"/>
      <c r="S10" s="294"/>
      <c r="T10" s="294"/>
      <c r="U10" s="294"/>
      <c r="V10" s="295"/>
      <c r="W10" s="295"/>
      <c r="X10" s="295"/>
      <c r="Y10" s="295"/>
      <c r="Z10" s="130"/>
    </row>
    <row r="11" spans="1:26" ht="15.9" customHeight="1" x14ac:dyDescent="0.25">
      <c r="A11" s="78"/>
      <c r="B11" s="294" t="s">
        <v>7</v>
      </c>
      <c r="C11" s="294"/>
      <c r="D11" s="294"/>
      <c r="E11" s="294"/>
      <c r="F11" s="294"/>
      <c r="G11" s="295"/>
      <c r="H11" s="295"/>
      <c r="I11" s="295"/>
      <c r="J11" s="295"/>
      <c r="K11" s="295"/>
      <c r="L11" s="295"/>
      <c r="M11" s="295"/>
      <c r="N11" s="294" t="s">
        <v>18</v>
      </c>
      <c r="O11" s="294"/>
      <c r="P11" s="294"/>
      <c r="Q11" s="294"/>
      <c r="R11" s="294"/>
      <c r="S11" s="294"/>
      <c r="T11" s="294"/>
      <c r="U11" s="294"/>
      <c r="V11" s="295"/>
      <c r="W11" s="295"/>
      <c r="X11" s="295"/>
      <c r="Y11" s="295"/>
      <c r="Z11" s="130"/>
    </row>
    <row r="12" spans="1:26" ht="15.9" customHeight="1" x14ac:dyDescent="0.25">
      <c r="A12" s="78"/>
      <c r="B12" s="294" t="s">
        <v>22</v>
      </c>
      <c r="C12" s="294"/>
      <c r="D12" s="294"/>
      <c r="E12" s="294"/>
      <c r="F12" s="294"/>
      <c r="G12" s="295"/>
      <c r="H12" s="295"/>
      <c r="I12" s="295"/>
      <c r="J12" s="295"/>
      <c r="K12" s="295"/>
      <c r="L12" s="295"/>
      <c r="M12" s="295"/>
      <c r="N12" s="131"/>
      <c r="O12" s="294" t="s">
        <v>19</v>
      </c>
      <c r="P12" s="294"/>
      <c r="Q12" s="294"/>
      <c r="R12" s="131"/>
      <c r="S12" s="294" t="s">
        <v>20</v>
      </c>
      <c r="T12" s="294"/>
      <c r="U12" s="294"/>
      <c r="V12" s="131"/>
      <c r="W12" s="294" t="s">
        <v>21</v>
      </c>
      <c r="X12" s="294"/>
      <c r="Y12" s="294"/>
      <c r="Z12" s="132"/>
    </row>
    <row r="13" spans="1:26" ht="15.9" customHeight="1" x14ac:dyDescent="0.25">
      <c r="A13" s="78"/>
      <c r="B13" s="294" t="s">
        <v>36</v>
      </c>
      <c r="C13" s="294"/>
      <c r="D13" s="294"/>
      <c r="E13" s="294"/>
      <c r="F13" s="294"/>
      <c r="G13" s="295"/>
      <c r="H13" s="295"/>
      <c r="I13" s="295"/>
      <c r="J13" s="295"/>
      <c r="K13" s="295"/>
      <c r="L13" s="295"/>
      <c r="M13" s="295"/>
      <c r="N13" s="294" t="s">
        <v>51</v>
      </c>
      <c r="O13" s="294"/>
      <c r="P13" s="294"/>
      <c r="Q13" s="294"/>
      <c r="R13" s="294"/>
      <c r="S13" s="294"/>
      <c r="T13" s="294"/>
      <c r="U13" s="294"/>
      <c r="V13" s="333"/>
      <c r="W13" s="333"/>
      <c r="X13" s="333"/>
      <c r="Y13" s="131" t="s">
        <v>52</v>
      </c>
      <c r="Z13" s="132"/>
    </row>
    <row r="14" spans="1:26" ht="15.9" customHeight="1" x14ac:dyDescent="0.25">
      <c r="A14" s="78"/>
      <c r="B14" s="294" t="s">
        <v>56</v>
      </c>
      <c r="C14" s="294"/>
      <c r="D14" s="294"/>
      <c r="E14" s="294"/>
      <c r="F14" s="294"/>
      <c r="G14" s="302" t="s">
        <v>57</v>
      </c>
      <c r="H14" s="302"/>
      <c r="I14" s="302"/>
      <c r="J14" s="302"/>
      <c r="K14" s="324"/>
      <c r="L14" s="324"/>
      <c r="M14" s="324"/>
      <c r="N14" s="324"/>
      <c r="O14" s="302" t="s">
        <v>58</v>
      </c>
      <c r="P14" s="302"/>
      <c r="Q14" s="302"/>
      <c r="R14" s="302"/>
      <c r="S14" s="324"/>
      <c r="T14" s="324"/>
      <c r="U14" s="324"/>
      <c r="V14" s="324"/>
      <c r="W14" s="131"/>
      <c r="X14" s="131"/>
      <c r="Y14" s="131"/>
      <c r="Z14" s="130"/>
    </row>
    <row r="15" spans="1:26" ht="15.9" customHeight="1" x14ac:dyDescent="0.25">
      <c r="A15" s="83"/>
      <c r="B15" s="292" t="s">
        <v>30</v>
      </c>
      <c r="C15" s="292"/>
      <c r="D15" s="292"/>
      <c r="E15" s="292"/>
      <c r="F15" s="292"/>
      <c r="G15" s="292"/>
      <c r="H15" s="292"/>
      <c r="I15" s="306">
        <v>330</v>
      </c>
      <c r="J15" s="306"/>
      <c r="K15" s="306"/>
      <c r="L15" s="134" t="s">
        <v>32</v>
      </c>
      <c r="M15" s="135"/>
      <c r="N15" s="292" t="s">
        <v>31</v>
      </c>
      <c r="O15" s="292"/>
      <c r="P15" s="292"/>
      <c r="Q15" s="292"/>
      <c r="R15" s="292"/>
      <c r="S15" s="292"/>
      <c r="T15" s="292"/>
      <c r="U15" s="292"/>
      <c r="V15" s="293">
        <v>30</v>
      </c>
      <c r="W15" s="293"/>
      <c r="X15" s="293"/>
      <c r="Y15" s="134" t="s">
        <v>32</v>
      </c>
      <c r="Z15" s="140">
        <f>V15/I15</f>
        <v>9.0909090909090912E-2</v>
      </c>
    </row>
    <row r="16" spans="1:26" s="84" customFormat="1" ht="15" x14ac:dyDescent="0.25">
      <c r="B16" s="85"/>
      <c r="C16" s="85"/>
      <c r="K16" s="86"/>
      <c r="L16" s="85"/>
      <c r="M16" s="87"/>
    </row>
    <row r="17" spans="1:32" s="84" customFormat="1" ht="15.6" customHeight="1" x14ac:dyDescent="0.25">
      <c r="A17" s="77" t="s">
        <v>2</v>
      </c>
      <c r="B17" s="88" t="s">
        <v>12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90"/>
    </row>
    <row r="18" spans="1:32" s="84" customFormat="1" ht="9" customHeight="1" x14ac:dyDescent="0.25">
      <c r="A18" s="91"/>
      <c r="B18" s="92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4"/>
    </row>
    <row r="19" spans="1:32" s="84" customFormat="1" ht="15" x14ac:dyDescent="0.25">
      <c r="A19" s="91"/>
      <c r="B19" s="319" t="s">
        <v>13</v>
      </c>
      <c r="C19" s="319"/>
      <c r="D19" s="319"/>
      <c r="E19" s="319"/>
      <c r="F19" s="319"/>
      <c r="G19" s="319"/>
      <c r="H19" s="319"/>
      <c r="I19" s="320"/>
      <c r="J19" s="320"/>
      <c r="K19" s="320"/>
      <c r="L19" s="320"/>
      <c r="M19" s="320"/>
      <c r="N19" s="320"/>
      <c r="O19" s="320"/>
      <c r="P19" s="320"/>
      <c r="Q19" s="320"/>
      <c r="R19" s="320"/>
      <c r="S19" s="320"/>
      <c r="T19" s="320"/>
      <c r="U19" s="320"/>
      <c r="V19" s="320"/>
      <c r="W19" s="320"/>
      <c r="X19" s="320"/>
      <c r="Y19" s="320"/>
      <c r="Z19" s="95"/>
    </row>
    <row r="20" spans="1:32" s="84" customFormat="1" ht="15" x14ac:dyDescent="0.25">
      <c r="A20" s="91"/>
      <c r="B20" s="319" t="s">
        <v>14</v>
      </c>
      <c r="C20" s="319"/>
      <c r="D20" s="319"/>
      <c r="E20" s="319"/>
      <c r="F20" s="319"/>
      <c r="G20" s="319"/>
      <c r="H20" s="319"/>
      <c r="I20" s="320"/>
      <c r="J20" s="320"/>
      <c r="K20" s="320"/>
      <c r="L20" s="320"/>
      <c r="M20" s="320"/>
      <c r="N20" s="320"/>
      <c r="O20" s="320"/>
      <c r="P20" s="320"/>
      <c r="Q20" s="320"/>
      <c r="R20" s="320"/>
      <c r="S20" s="320"/>
      <c r="T20" s="320"/>
      <c r="U20" s="320"/>
      <c r="V20" s="320"/>
      <c r="W20" s="320"/>
      <c r="X20" s="320"/>
      <c r="Y20" s="320"/>
      <c r="Z20" s="95"/>
    </row>
    <row r="21" spans="1:32" s="84" customFormat="1" ht="9" customHeight="1" x14ac:dyDescent="0.25">
      <c r="A21" s="96"/>
      <c r="B21" s="394"/>
      <c r="C21" s="394"/>
      <c r="D21" s="394"/>
      <c r="E21" s="394"/>
      <c r="F21" s="394"/>
      <c r="G21" s="394"/>
      <c r="H21" s="394"/>
      <c r="I21" s="395"/>
      <c r="J21" s="395"/>
      <c r="K21" s="395"/>
      <c r="L21" s="395"/>
      <c r="M21" s="395"/>
      <c r="N21" s="395"/>
      <c r="O21" s="395"/>
      <c r="P21" s="395"/>
      <c r="Q21" s="395"/>
      <c r="R21" s="395"/>
      <c r="S21" s="395"/>
      <c r="T21" s="395"/>
      <c r="U21" s="395"/>
      <c r="V21" s="395"/>
      <c r="W21" s="395"/>
      <c r="X21" s="395"/>
      <c r="Y21" s="395"/>
      <c r="Z21" s="97"/>
    </row>
    <row r="22" spans="1:32" ht="12.75" customHeight="1" x14ac:dyDescent="0.25">
      <c r="A22" s="37"/>
      <c r="B22" s="79"/>
      <c r="C22" s="79"/>
      <c r="D22" s="37"/>
      <c r="E22" s="37"/>
      <c r="F22" s="37"/>
      <c r="G22" s="37"/>
      <c r="H22" s="79"/>
      <c r="I22" s="79"/>
      <c r="J22" s="79"/>
      <c r="K22" s="79"/>
      <c r="L22" s="79"/>
      <c r="M22" s="79"/>
      <c r="N22" s="98"/>
      <c r="O22" s="79"/>
      <c r="P22" s="79"/>
      <c r="Q22" s="79"/>
      <c r="R22" s="79"/>
      <c r="S22" s="79"/>
      <c r="T22" s="79"/>
      <c r="U22" s="79"/>
      <c r="V22" s="79"/>
      <c r="W22" s="79"/>
      <c r="X22" s="79"/>
    </row>
    <row r="23" spans="1:32" ht="15.6" customHeight="1" x14ac:dyDescent="0.25">
      <c r="A23" s="77" t="s">
        <v>3</v>
      </c>
      <c r="B23" s="99" t="s">
        <v>24</v>
      </c>
      <c r="C23" s="100"/>
      <c r="D23" s="101"/>
      <c r="E23" s="101"/>
      <c r="F23" s="101"/>
      <c r="G23" s="101"/>
      <c r="H23" s="100"/>
      <c r="I23" s="100"/>
      <c r="J23" s="100"/>
      <c r="K23" s="100"/>
      <c r="L23" s="100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3"/>
    </row>
    <row r="24" spans="1:32" ht="12.75" customHeight="1" x14ac:dyDescent="0.25">
      <c r="A24" s="78"/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80"/>
    </row>
    <row r="25" spans="1:32" ht="12.75" customHeight="1" x14ac:dyDescent="0.25">
      <c r="A25" s="104"/>
      <c r="B25" s="321" t="s">
        <v>27</v>
      </c>
      <c r="C25" s="322"/>
      <c r="D25" s="322"/>
      <c r="E25" s="322"/>
      <c r="F25" s="322"/>
      <c r="G25" s="322"/>
      <c r="H25" s="322"/>
      <c r="I25" s="322"/>
      <c r="J25" s="322"/>
      <c r="K25" s="322"/>
      <c r="L25" s="322"/>
      <c r="M25" s="322"/>
      <c r="N25" s="322"/>
      <c r="O25" s="322"/>
      <c r="P25" s="322"/>
      <c r="Q25" s="322"/>
      <c r="R25" s="322"/>
      <c r="S25" s="322"/>
      <c r="T25" s="322"/>
      <c r="U25" s="322"/>
      <c r="V25" s="105"/>
      <c r="W25" s="106"/>
      <c r="X25" s="106"/>
      <c r="Y25" s="106"/>
      <c r="AA25" s="107"/>
    </row>
    <row r="26" spans="1:32" ht="12.75" customHeight="1" x14ac:dyDescent="0.25">
      <c r="A26" s="104"/>
      <c r="B26" s="303" t="s">
        <v>45</v>
      </c>
      <c r="C26" s="304"/>
      <c r="D26" s="304"/>
      <c r="E26" s="305"/>
      <c r="F26" s="303" t="s">
        <v>29</v>
      </c>
      <c r="G26" s="304"/>
      <c r="H26" s="304"/>
      <c r="I26" s="305"/>
      <c r="J26" s="303" t="s">
        <v>28</v>
      </c>
      <c r="K26" s="304"/>
      <c r="L26" s="304"/>
      <c r="M26" s="305"/>
      <c r="N26" s="303" t="s">
        <v>25</v>
      </c>
      <c r="O26" s="304"/>
      <c r="P26" s="304"/>
      <c r="Q26" s="305"/>
      <c r="R26" s="303" t="s">
        <v>26</v>
      </c>
      <c r="S26" s="304"/>
      <c r="T26" s="304"/>
      <c r="U26" s="305"/>
      <c r="W26" s="296" t="s">
        <v>53</v>
      </c>
      <c r="X26" s="297"/>
      <c r="Y26" s="298"/>
      <c r="AA26" s="107"/>
    </row>
    <row r="27" spans="1:32" ht="12.75" customHeight="1" x14ac:dyDescent="0.25">
      <c r="A27" s="382"/>
      <c r="B27" s="387">
        <v>0</v>
      </c>
      <c r="C27" s="387"/>
      <c r="D27" s="387"/>
      <c r="E27" s="387"/>
      <c r="F27" s="383"/>
      <c r="G27" s="383"/>
      <c r="H27" s="383"/>
      <c r="I27" s="383"/>
      <c r="J27" s="286"/>
      <c r="K27" s="287"/>
      <c r="L27" s="287"/>
      <c r="M27" s="288"/>
      <c r="N27" s="316"/>
      <c r="O27" s="317"/>
      <c r="P27" s="317"/>
      <c r="Q27" s="318"/>
      <c r="R27" s="334"/>
      <c r="S27" s="334"/>
      <c r="T27" s="334"/>
      <c r="U27" s="334"/>
      <c r="W27" s="299"/>
      <c r="X27" s="300"/>
      <c r="Y27" s="301"/>
      <c r="AA27" s="107"/>
      <c r="AB27" s="79"/>
      <c r="AC27" s="79"/>
      <c r="AD27" s="79"/>
      <c r="AE27" s="79"/>
      <c r="AF27" s="79"/>
    </row>
    <row r="28" spans="1:32" ht="12.75" customHeight="1" x14ac:dyDescent="0.25">
      <c r="A28" s="382"/>
      <c r="B28" s="384">
        <f>B27+120</f>
        <v>120</v>
      </c>
      <c r="C28" s="385"/>
      <c r="D28" s="385"/>
      <c r="E28" s="386"/>
      <c r="F28" s="283"/>
      <c r="G28" s="284"/>
      <c r="H28" s="284"/>
      <c r="I28" s="285"/>
      <c r="J28" s="286"/>
      <c r="K28" s="287"/>
      <c r="L28" s="287"/>
      <c r="M28" s="288"/>
      <c r="N28" s="280" t="str">
        <f>IF(J28&lt;&gt;"",((J28-J27)/((B28-B27)*1000)*($V$15/$I$15)),"")</f>
        <v/>
      </c>
      <c r="O28" s="281"/>
      <c r="P28" s="281"/>
      <c r="Q28" s="282"/>
      <c r="R28" s="280" t="str">
        <f>IF(N28&lt;&gt;"",N28*AE28,"")</f>
        <v/>
      </c>
      <c r="S28" s="281"/>
      <c r="T28" s="281"/>
      <c r="U28" s="282"/>
      <c r="W28" s="299"/>
      <c r="X28" s="300"/>
      <c r="Y28" s="301"/>
      <c r="AA28" s="107"/>
      <c r="AB28" s="37">
        <f t="shared" ref="AB28:AB39" si="0">20-F28</f>
        <v>20</v>
      </c>
      <c r="AC28" s="37">
        <f t="shared" ref="AC28:AC39" si="1">AB28*AB28</f>
        <v>400</v>
      </c>
      <c r="AD28" s="37">
        <f t="shared" ref="AD28:AD39" si="2">AB28*AB28*AB28</f>
        <v>8000</v>
      </c>
      <c r="AE28" s="38">
        <f t="shared" ref="AE28:AE39" si="3">EXP(((0.0244)*(AB28))+((0.00018)*((AC28)))+((0.0000025)*((AD28))))</f>
        <v>1.7860384307500734</v>
      </c>
      <c r="AF28" s="79"/>
    </row>
    <row r="29" spans="1:32" ht="12.75" customHeight="1" x14ac:dyDescent="0.25">
      <c r="A29" s="382"/>
      <c r="B29" s="384">
        <f t="shared" ref="B29:B39" si="4">B28+120</f>
        <v>240</v>
      </c>
      <c r="C29" s="385"/>
      <c r="D29" s="385"/>
      <c r="E29" s="386"/>
      <c r="F29" s="283"/>
      <c r="G29" s="284"/>
      <c r="H29" s="284"/>
      <c r="I29" s="285"/>
      <c r="J29" s="286"/>
      <c r="K29" s="287"/>
      <c r="L29" s="287"/>
      <c r="M29" s="288"/>
      <c r="N29" s="280" t="str">
        <f t="shared" ref="N29:N39" si="5">IF(J29&lt;&gt;"",((J29-J28)/((B29-B28)*1000)*($V$15/$I$15)),"")</f>
        <v/>
      </c>
      <c r="O29" s="281"/>
      <c r="P29" s="281"/>
      <c r="Q29" s="282"/>
      <c r="R29" s="280" t="str">
        <f t="shared" ref="R29:R39" si="6">IF(N29&lt;&gt;"",N29*AE29,"")</f>
        <v/>
      </c>
      <c r="S29" s="281"/>
      <c r="T29" s="281"/>
      <c r="U29" s="282"/>
      <c r="W29" s="327"/>
      <c r="X29" s="328"/>
      <c r="Y29" s="329"/>
      <c r="AA29" s="107"/>
      <c r="AB29" s="37">
        <f t="shared" si="0"/>
        <v>20</v>
      </c>
      <c r="AC29" s="37">
        <f t="shared" si="1"/>
        <v>400</v>
      </c>
      <c r="AD29" s="37">
        <f t="shared" si="2"/>
        <v>8000</v>
      </c>
      <c r="AE29" s="38">
        <f t="shared" si="3"/>
        <v>1.7860384307500734</v>
      </c>
      <c r="AF29" s="79"/>
    </row>
    <row r="30" spans="1:32" ht="12.75" customHeight="1" x14ac:dyDescent="0.25">
      <c r="A30" s="382"/>
      <c r="B30" s="384">
        <f t="shared" si="4"/>
        <v>360</v>
      </c>
      <c r="C30" s="385"/>
      <c r="D30" s="385"/>
      <c r="E30" s="386"/>
      <c r="F30" s="283"/>
      <c r="G30" s="284"/>
      <c r="H30" s="284"/>
      <c r="I30" s="285"/>
      <c r="J30" s="286"/>
      <c r="K30" s="287"/>
      <c r="L30" s="287"/>
      <c r="M30" s="288"/>
      <c r="N30" s="280" t="str">
        <f t="shared" si="5"/>
        <v/>
      </c>
      <c r="O30" s="281"/>
      <c r="P30" s="281"/>
      <c r="Q30" s="282"/>
      <c r="R30" s="280" t="str">
        <f t="shared" si="6"/>
        <v/>
      </c>
      <c r="S30" s="281"/>
      <c r="T30" s="281"/>
      <c r="U30" s="282"/>
      <c r="W30" s="327"/>
      <c r="X30" s="328"/>
      <c r="Y30" s="329"/>
      <c r="AA30" s="107"/>
      <c r="AB30" s="37">
        <f t="shared" si="0"/>
        <v>20</v>
      </c>
      <c r="AC30" s="37">
        <f t="shared" si="1"/>
        <v>400</v>
      </c>
      <c r="AD30" s="37">
        <f t="shared" si="2"/>
        <v>8000</v>
      </c>
      <c r="AE30" s="38">
        <f t="shared" si="3"/>
        <v>1.7860384307500734</v>
      </c>
      <c r="AF30" s="108"/>
    </row>
    <row r="31" spans="1:32" ht="12.75" customHeight="1" x14ac:dyDescent="0.25">
      <c r="A31" s="382"/>
      <c r="B31" s="384">
        <f t="shared" si="4"/>
        <v>480</v>
      </c>
      <c r="C31" s="385"/>
      <c r="D31" s="385"/>
      <c r="E31" s="386"/>
      <c r="F31" s="283"/>
      <c r="G31" s="284"/>
      <c r="H31" s="284"/>
      <c r="I31" s="285"/>
      <c r="J31" s="286"/>
      <c r="K31" s="287"/>
      <c r="L31" s="287"/>
      <c r="M31" s="288"/>
      <c r="N31" s="280" t="str">
        <f t="shared" si="5"/>
        <v/>
      </c>
      <c r="O31" s="281"/>
      <c r="P31" s="281"/>
      <c r="Q31" s="282"/>
      <c r="R31" s="280" t="str">
        <f t="shared" si="6"/>
        <v/>
      </c>
      <c r="S31" s="281"/>
      <c r="T31" s="281"/>
      <c r="U31" s="282"/>
      <c r="W31" s="330"/>
      <c r="X31" s="331"/>
      <c r="Y31" s="332"/>
      <c r="AA31" s="107"/>
      <c r="AB31" s="37">
        <f t="shared" si="0"/>
        <v>20</v>
      </c>
      <c r="AC31" s="37">
        <f t="shared" si="1"/>
        <v>400</v>
      </c>
      <c r="AD31" s="37">
        <f t="shared" si="2"/>
        <v>8000</v>
      </c>
      <c r="AE31" s="38">
        <f t="shared" si="3"/>
        <v>1.7860384307500734</v>
      </c>
      <c r="AF31" s="79"/>
    </row>
    <row r="32" spans="1:32" ht="12.75" customHeight="1" x14ac:dyDescent="0.25">
      <c r="A32" s="382"/>
      <c r="B32" s="384">
        <f t="shared" si="4"/>
        <v>600</v>
      </c>
      <c r="C32" s="385"/>
      <c r="D32" s="385"/>
      <c r="E32" s="386"/>
      <c r="F32" s="283"/>
      <c r="G32" s="284"/>
      <c r="H32" s="284"/>
      <c r="I32" s="285"/>
      <c r="J32" s="286"/>
      <c r="K32" s="287"/>
      <c r="L32" s="287"/>
      <c r="M32" s="288"/>
      <c r="N32" s="280" t="str">
        <f t="shared" si="5"/>
        <v/>
      </c>
      <c r="O32" s="281"/>
      <c r="P32" s="281"/>
      <c r="Q32" s="282"/>
      <c r="R32" s="280" t="str">
        <f t="shared" si="6"/>
        <v/>
      </c>
      <c r="S32" s="281"/>
      <c r="T32" s="281"/>
      <c r="U32" s="282"/>
      <c r="W32" s="109"/>
      <c r="X32" s="109"/>
      <c r="Y32" s="109"/>
      <c r="AA32" s="107"/>
      <c r="AB32" s="37">
        <f t="shared" si="0"/>
        <v>20</v>
      </c>
      <c r="AC32" s="37">
        <f t="shared" si="1"/>
        <v>400</v>
      </c>
      <c r="AD32" s="37">
        <f t="shared" si="2"/>
        <v>8000</v>
      </c>
      <c r="AE32" s="38">
        <f t="shared" si="3"/>
        <v>1.7860384307500734</v>
      </c>
      <c r="AF32" s="79"/>
    </row>
    <row r="33" spans="1:32" ht="12.75" customHeight="1" x14ac:dyDescent="0.25">
      <c r="A33" s="382"/>
      <c r="B33" s="384">
        <f t="shared" si="4"/>
        <v>720</v>
      </c>
      <c r="C33" s="385"/>
      <c r="D33" s="385"/>
      <c r="E33" s="386"/>
      <c r="F33" s="283"/>
      <c r="G33" s="284"/>
      <c r="H33" s="284"/>
      <c r="I33" s="285"/>
      <c r="J33" s="286"/>
      <c r="K33" s="287"/>
      <c r="L33" s="287"/>
      <c r="M33" s="288"/>
      <c r="N33" s="280" t="str">
        <f t="shared" si="5"/>
        <v/>
      </c>
      <c r="O33" s="281"/>
      <c r="P33" s="281"/>
      <c r="Q33" s="282"/>
      <c r="R33" s="280" t="str">
        <f t="shared" si="6"/>
        <v/>
      </c>
      <c r="S33" s="281"/>
      <c r="T33" s="281"/>
      <c r="U33" s="282"/>
      <c r="W33" s="296" t="s">
        <v>54</v>
      </c>
      <c r="X33" s="297"/>
      <c r="Y33" s="298"/>
      <c r="AA33" s="107"/>
      <c r="AB33" s="37">
        <f t="shared" si="0"/>
        <v>20</v>
      </c>
      <c r="AC33" s="37">
        <f t="shared" si="1"/>
        <v>400</v>
      </c>
      <c r="AD33" s="37">
        <f t="shared" si="2"/>
        <v>8000</v>
      </c>
      <c r="AE33" s="38">
        <f t="shared" si="3"/>
        <v>1.7860384307500734</v>
      </c>
      <c r="AF33" s="79"/>
    </row>
    <row r="34" spans="1:32" ht="12.75" customHeight="1" x14ac:dyDescent="0.25">
      <c r="A34" s="382"/>
      <c r="B34" s="384">
        <f t="shared" si="4"/>
        <v>840</v>
      </c>
      <c r="C34" s="385"/>
      <c r="D34" s="385"/>
      <c r="E34" s="386"/>
      <c r="F34" s="283"/>
      <c r="G34" s="284"/>
      <c r="H34" s="284"/>
      <c r="I34" s="285"/>
      <c r="J34" s="286"/>
      <c r="K34" s="287"/>
      <c r="L34" s="287"/>
      <c r="M34" s="288"/>
      <c r="N34" s="280" t="str">
        <f t="shared" si="5"/>
        <v/>
      </c>
      <c r="O34" s="281"/>
      <c r="P34" s="281"/>
      <c r="Q34" s="282"/>
      <c r="R34" s="280" t="str">
        <f t="shared" si="6"/>
        <v/>
      </c>
      <c r="S34" s="281"/>
      <c r="T34" s="281"/>
      <c r="U34" s="282"/>
      <c r="W34" s="299"/>
      <c r="X34" s="300"/>
      <c r="Y34" s="301"/>
      <c r="AA34" s="107"/>
      <c r="AB34" s="37">
        <f t="shared" si="0"/>
        <v>20</v>
      </c>
      <c r="AC34" s="37">
        <f t="shared" si="1"/>
        <v>400</v>
      </c>
      <c r="AD34" s="37">
        <f t="shared" si="2"/>
        <v>8000</v>
      </c>
      <c r="AE34" s="38">
        <f t="shared" si="3"/>
        <v>1.7860384307500734</v>
      </c>
      <c r="AF34" s="79"/>
    </row>
    <row r="35" spans="1:32" ht="12.75" customHeight="1" x14ac:dyDescent="0.25">
      <c r="A35" s="382"/>
      <c r="B35" s="384">
        <f t="shared" si="4"/>
        <v>960</v>
      </c>
      <c r="C35" s="385"/>
      <c r="D35" s="385"/>
      <c r="E35" s="386"/>
      <c r="F35" s="283"/>
      <c r="G35" s="284"/>
      <c r="H35" s="284"/>
      <c r="I35" s="285"/>
      <c r="J35" s="286"/>
      <c r="K35" s="287"/>
      <c r="L35" s="287"/>
      <c r="M35" s="288"/>
      <c r="N35" s="280" t="str">
        <f t="shared" si="5"/>
        <v/>
      </c>
      <c r="O35" s="281"/>
      <c r="P35" s="281"/>
      <c r="Q35" s="282"/>
      <c r="R35" s="280" t="str">
        <f t="shared" si="6"/>
        <v/>
      </c>
      <c r="S35" s="281"/>
      <c r="T35" s="281"/>
      <c r="U35" s="282"/>
      <c r="W35" s="299"/>
      <c r="X35" s="300"/>
      <c r="Y35" s="301"/>
      <c r="AA35" s="107"/>
      <c r="AB35" s="37">
        <f t="shared" si="0"/>
        <v>20</v>
      </c>
      <c r="AC35" s="37">
        <f t="shared" si="1"/>
        <v>400</v>
      </c>
      <c r="AD35" s="37">
        <f t="shared" si="2"/>
        <v>8000</v>
      </c>
      <c r="AE35" s="38">
        <f t="shared" si="3"/>
        <v>1.7860384307500734</v>
      </c>
    </row>
    <row r="36" spans="1:32" ht="12.75" customHeight="1" x14ac:dyDescent="0.25">
      <c r="A36" s="382"/>
      <c r="B36" s="384">
        <f t="shared" si="4"/>
        <v>1080</v>
      </c>
      <c r="C36" s="385"/>
      <c r="D36" s="385"/>
      <c r="E36" s="386"/>
      <c r="F36" s="283"/>
      <c r="G36" s="284"/>
      <c r="H36" s="284"/>
      <c r="I36" s="285"/>
      <c r="J36" s="286"/>
      <c r="K36" s="287"/>
      <c r="L36" s="287"/>
      <c r="M36" s="288"/>
      <c r="N36" s="280" t="str">
        <f t="shared" si="5"/>
        <v/>
      </c>
      <c r="O36" s="281"/>
      <c r="P36" s="281"/>
      <c r="Q36" s="282"/>
      <c r="R36" s="280" t="str">
        <f t="shared" si="6"/>
        <v/>
      </c>
      <c r="S36" s="281"/>
      <c r="T36" s="281"/>
      <c r="U36" s="282"/>
      <c r="W36" s="327"/>
      <c r="X36" s="328"/>
      <c r="Y36" s="329"/>
      <c r="AA36" s="107"/>
      <c r="AB36" s="37">
        <f t="shared" si="0"/>
        <v>20</v>
      </c>
      <c r="AC36" s="37">
        <f t="shared" si="1"/>
        <v>400</v>
      </c>
      <c r="AD36" s="37">
        <f t="shared" si="2"/>
        <v>8000</v>
      </c>
      <c r="AE36" s="38">
        <f t="shared" si="3"/>
        <v>1.7860384307500734</v>
      </c>
    </row>
    <row r="37" spans="1:32" ht="12.75" customHeight="1" x14ac:dyDescent="0.25">
      <c r="A37" s="382"/>
      <c r="B37" s="384">
        <f t="shared" si="4"/>
        <v>1200</v>
      </c>
      <c r="C37" s="385"/>
      <c r="D37" s="385"/>
      <c r="E37" s="386"/>
      <c r="F37" s="283"/>
      <c r="G37" s="284"/>
      <c r="H37" s="284"/>
      <c r="I37" s="285"/>
      <c r="J37" s="286"/>
      <c r="K37" s="287"/>
      <c r="L37" s="287"/>
      <c r="M37" s="288"/>
      <c r="N37" s="280" t="str">
        <f t="shared" si="5"/>
        <v/>
      </c>
      <c r="O37" s="281"/>
      <c r="P37" s="281"/>
      <c r="Q37" s="282"/>
      <c r="R37" s="280" t="str">
        <f t="shared" si="6"/>
        <v/>
      </c>
      <c r="S37" s="281"/>
      <c r="T37" s="281"/>
      <c r="U37" s="282"/>
      <c r="W37" s="327"/>
      <c r="X37" s="328"/>
      <c r="Y37" s="329"/>
      <c r="AA37" s="107"/>
      <c r="AB37" s="37">
        <f t="shared" si="0"/>
        <v>20</v>
      </c>
      <c r="AC37" s="37">
        <f t="shared" si="1"/>
        <v>400</v>
      </c>
      <c r="AD37" s="37">
        <f t="shared" si="2"/>
        <v>8000</v>
      </c>
      <c r="AE37" s="38">
        <f t="shared" si="3"/>
        <v>1.7860384307500734</v>
      </c>
    </row>
    <row r="38" spans="1:32" ht="12.75" customHeight="1" x14ac:dyDescent="0.25">
      <c r="A38" s="382"/>
      <c r="B38" s="384">
        <f t="shared" si="4"/>
        <v>1320</v>
      </c>
      <c r="C38" s="385"/>
      <c r="D38" s="385"/>
      <c r="E38" s="386"/>
      <c r="F38" s="283"/>
      <c r="G38" s="284"/>
      <c r="H38" s="284"/>
      <c r="I38" s="285"/>
      <c r="J38" s="286"/>
      <c r="K38" s="287"/>
      <c r="L38" s="287"/>
      <c r="M38" s="288"/>
      <c r="N38" s="280" t="str">
        <f t="shared" si="5"/>
        <v/>
      </c>
      <c r="O38" s="281"/>
      <c r="P38" s="281"/>
      <c r="Q38" s="282"/>
      <c r="R38" s="280" t="str">
        <f t="shared" si="6"/>
        <v/>
      </c>
      <c r="S38" s="281"/>
      <c r="T38" s="281"/>
      <c r="U38" s="282"/>
      <c r="W38" s="330"/>
      <c r="X38" s="331"/>
      <c r="Y38" s="332"/>
      <c r="AA38" s="107"/>
      <c r="AB38" s="37">
        <f t="shared" si="0"/>
        <v>20</v>
      </c>
      <c r="AC38" s="37">
        <f t="shared" si="1"/>
        <v>400</v>
      </c>
      <c r="AD38" s="37">
        <f t="shared" si="2"/>
        <v>8000</v>
      </c>
      <c r="AE38" s="38">
        <f t="shared" si="3"/>
        <v>1.7860384307500734</v>
      </c>
    </row>
    <row r="39" spans="1:32" ht="12.75" customHeight="1" x14ac:dyDescent="0.25">
      <c r="A39" s="382"/>
      <c r="B39" s="384">
        <f t="shared" si="4"/>
        <v>1440</v>
      </c>
      <c r="C39" s="385"/>
      <c r="D39" s="385"/>
      <c r="E39" s="386"/>
      <c r="F39" s="283"/>
      <c r="G39" s="284"/>
      <c r="H39" s="284"/>
      <c r="I39" s="285"/>
      <c r="J39" s="286"/>
      <c r="K39" s="287"/>
      <c r="L39" s="287"/>
      <c r="M39" s="288"/>
      <c r="N39" s="280" t="str">
        <f t="shared" si="5"/>
        <v/>
      </c>
      <c r="O39" s="281"/>
      <c r="P39" s="281"/>
      <c r="Q39" s="282"/>
      <c r="R39" s="280" t="str">
        <f t="shared" si="6"/>
        <v/>
      </c>
      <c r="S39" s="281"/>
      <c r="T39" s="281"/>
      <c r="U39" s="282"/>
      <c r="Z39" s="137"/>
      <c r="AA39" s="107"/>
      <c r="AB39" s="37">
        <f t="shared" si="0"/>
        <v>20</v>
      </c>
      <c r="AC39" s="37">
        <f t="shared" si="1"/>
        <v>400</v>
      </c>
      <c r="AD39" s="37">
        <f t="shared" si="2"/>
        <v>8000</v>
      </c>
      <c r="AE39" s="38">
        <f t="shared" si="3"/>
        <v>1.7860384307500734</v>
      </c>
    </row>
    <row r="40" spans="1:32" ht="12.75" customHeight="1" x14ac:dyDescent="0.25">
      <c r="A40" s="78"/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80"/>
    </row>
    <row r="41" spans="1:32" ht="12.75" customHeight="1" x14ac:dyDescent="0.25">
      <c r="A41" s="78"/>
      <c r="B41" s="79"/>
      <c r="C41" s="79"/>
      <c r="D41" s="79"/>
      <c r="E41" s="289" t="s">
        <v>49</v>
      </c>
      <c r="F41" s="290"/>
      <c r="G41" s="290"/>
      <c r="H41" s="290"/>
      <c r="I41" s="290"/>
      <c r="J41" s="290"/>
      <c r="K41" s="290" t="s">
        <v>85</v>
      </c>
      <c r="L41" s="290"/>
      <c r="M41" s="290"/>
      <c r="N41" s="290"/>
      <c r="O41" s="290"/>
      <c r="P41" s="290"/>
      <c r="Q41" s="290"/>
      <c r="R41" s="291"/>
      <c r="S41" s="79"/>
      <c r="T41" s="79"/>
      <c r="U41" s="79"/>
      <c r="V41" s="79"/>
      <c r="W41" s="79"/>
      <c r="X41" s="79"/>
      <c r="Y41" s="79"/>
      <c r="Z41" s="80"/>
    </row>
    <row r="42" spans="1:32" ht="12.75" customHeight="1" x14ac:dyDescent="0.25">
      <c r="A42" s="78"/>
      <c r="B42" s="7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80"/>
    </row>
    <row r="43" spans="1:32" ht="12.75" customHeight="1" x14ac:dyDescent="0.25">
      <c r="A43" s="78"/>
      <c r="B43" s="7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80"/>
    </row>
    <row r="44" spans="1:32" ht="12.75" customHeight="1" x14ac:dyDescent="0.25">
      <c r="A44" s="78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80"/>
    </row>
    <row r="45" spans="1:32" ht="12.75" customHeight="1" x14ac:dyDescent="0.25">
      <c r="A45" s="78"/>
      <c r="B45" s="79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80"/>
    </row>
    <row r="46" spans="1:32" ht="12.75" customHeight="1" x14ac:dyDescent="0.25">
      <c r="A46" s="78"/>
      <c r="B46" s="79"/>
      <c r="C46" s="79"/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80"/>
    </row>
    <row r="47" spans="1:32" ht="12.75" customHeight="1" x14ac:dyDescent="0.25">
      <c r="A47" s="78"/>
      <c r="B47" s="79"/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80"/>
    </row>
    <row r="48" spans="1:32" ht="12.75" customHeight="1" x14ac:dyDescent="0.25">
      <c r="A48" s="78"/>
      <c r="B48" s="79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79"/>
      <c r="Y48" s="79"/>
      <c r="Z48" s="80"/>
    </row>
    <row r="49" spans="1:26" ht="12.75" customHeight="1" x14ac:dyDescent="0.25">
      <c r="A49" s="78"/>
      <c r="B49" s="79"/>
      <c r="C49" s="79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80"/>
    </row>
    <row r="50" spans="1:26" ht="12.75" customHeight="1" x14ac:dyDescent="0.25">
      <c r="A50" s="78"/>
      <c r="B50" s="79"/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80"/>
    </row>
    <row r="51" spans="1:26" ht="12.75" customHeight="1" x14ac:dyDescent="0.25">
      <c r="A51" s="78"/>
      <c r="B51" s="79"/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80"/>
    </row>
    <row r="52" spans="1:26" ht="12.75" customHeight="1" x14ac:dyDescent="0.25">
      <c r="A52" s="78"/>
      <c r="B52" s="79"/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80"/>
    </row>
    <row r="53" spans="1:26" ht="12.75" customHeight="1" x14ac:dyDescent="0.25">
      <c r="A53" s="78"/>
      <c r="B53" s="79"/>
      <c r="C53" s="79"/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80"/>
    </row>
    <row r="54" spans="1:26" ht="12.75" customHeight="1" x14ac:dyDescent="0.25">
      <c r="A54" s="78"/>
      <c r="B54" s="79"/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80"/>
    </row>
    <row r="55" spans="1:26" ht="12.75" customHeight="1" x14ac:dyDescent="0.25">
      <c r="A55" s="78"/>
      <c r="B55" s="79"/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80"/>
    </row>
    <row r="56" spans="1:26" ht="12.75" customHeight="1" x14ac:dyDescent="0.25">
      <c r="A56" s="78"/>
      <c r="B56" s="79"/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80"/>
    </row>
    <row r="57" spans="1:26" ht="12.75" customHeight="1" x14ac:dyDescent="0.25">
      <c r="A57" s="78"/>
      <c r="B57" s="79"/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80"/>
    </row>
    <row r="58" spans="1:26" ht="12.75" customHeight="1" x14ac:dyDescent="0.25">
      <c r="A58" s="78"/>
      <c r="B58" s="79"/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80"/>
    </row>
    <row r="59" spans="1:26" ht="12.75" customHeight="1" x14ac:dyDescent="0.25">
      <c r="A59" s="78"/>
      <c r="B59" s="79"/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80"/>
    </row>
    <row r="60" spans="1:26" ht="12.75" customHeight="1" x14ac:dyDescent="0.25">
      <c r="A60" s="78"/>
      <c r="B60" s="79"/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80"/>
    </row>
    <row r="61" spans="1:26" ht="12.75" customHeight="1" x14ac:dyDescent="0.25">
      <c r="A61" s="78"/>
      <c r="B61" s="79"/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80"/>
    </row>
    <row r="62" spans="1:26" ht="12.75" customHeight="1" x14ac:dyDescent="0.25">
      <c r="A62" s="78"/>
      <c r="B62" s="79"/>
      <c r="C62" s="79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80"/>
    </row>
    <row r="63" spans="1:26" ht="12.75" customHeight="1" x14ac:dyDescent="0.25">
      <c r="A63" s="111"/>
      <c r="B63" s="102"/>
      <c r="C63" s="102"/>
      <c r="D63" s="102"/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</row>
    <row r="64" spans="1:26" ht="15.6" customHeight="1" thickBot="1" x14ac:dyDescent="0.3">
      <c r="A64" s="77" t="s">
        <v>5</v>
      </c>
      <c r="B64" s="99" t="s">
        <v>33</v>
      </c>
      <c r="C64" s="112"/>
      <c r="D64" s="112"/>
      <c r="E64" s="102"/>
      <c r="F64" s="102"/>
      <c r="G64" s="102"/>
      <c r="H64" s="102"/>
      <c r="I64" s="102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3"/>
    </row>
    <row r="65" spans="1:26" ht="15.9" customHeight="1" thickBot="1" x14ac:dyDescent="0.3">
      <c r="A65" s="78"/>
      <c r="B65" s="37"/>
      <c r="C65" s="37"/>
      <c r="D65" s="37"/>
      <c r="E65" s="37"/>
      <c r="F65" s="37"/>
      <c r="G65" s="129" t="s">
        <v>34</v>
      </c>
      <c r="H65" s="133"/>
      <c r="I65" s="133"/>
      <c r="J65" s="133"/>
      <c r="K65" s="133"/>
      <c r="L65" s="133"/>
      <c r="M65" s="133"/>
      <c r="N65" s="133"/>
      <c r="O65" s="133"/>
      <c r="P65" s="133"/>
      <c r="Q65" s="417"/>
      <c r="R65" s="417"/>
      <c r="S65" s="418" t="str">
        <f>N39</f>
        <v/>
      </c>
      <c r="T65" s="419"/>
      <c r="U65" s="420"/>
      <c r="Y65" s="79"/>
      <c r="Z65" s="80"/>
    </row>
    <row r="66" spans="1:26" ht="15.9" customHeight="1" thickBot="1" x14ac:dyDescent="0.3">
      <c r="A66" s="37"/>
      <c r="B66" s="37"/>
      <c r="C66" s="37"/>
      <c r="D66" s="37"/>
      <c r="E66" s="37"/>
      <c r="F66" s="37"/>
      <c r="G66" s="129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421"/>
      <c r="T66" s="422"/>
      <c r="U66" s="422"/>
      <c r="V66" s="79"/>
      <c r="W66" s="79"/>
      <c r="X66" s="79"/>
      <c r="Y66" s="79"/>
      <c r="Z66" s="80"/>
    </row>
    <row r="67" spans="1:26" ht="15.9" customHeight="1" thickBot="1" x14ac:dyDescent="0.3">
      <c r="A67" s="73"/>
      <c r="G67" s="129" t="s">
        <v>35</v>
      </c>
      <c r="H67" s="417"/>
      <c r="I67" s="417"/>
      <c r="J67" s="417"/>
      <c r="K67" s="417"/>
      <c r="L67" s="417"/>
      <c r="M67" s="417"/>
      <c r="N67" s="417"/>
      <c r="O67" s="417"/>
      <c r="P67" s="417"/>
      <c r="Q67" s="417"/>
      <c r="R67" s="417"/>
      <c r="S67" s="418" t="str">
        <f>R39</f>
        <v/>
      </c>
      <c r="T67" s="419"/>
      <c r="U67" s="420"/>
      <c r="Z67" s="80"/>
    </row>
    <row r="68" spans="1:26" ht="12.75" customHeight="1" x14ac:dyDescent="0.25">
      <c r="A68" s="37"/>
      <c r="B68" s="79"/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Z68" s="80"/>
    </row>
    <row r="69" spans="1:26" ht="15.9" customHeight="1" x14ac:dyDescent="0.25">
      <c r="A69" s="113"/>
      <c r="B69" s="114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115"/>
    </row>
    <row r="70" spans="1:26" ht="12.75" customHeight="1" x14ac:dyDescent="0.25">
      <c r="A70" s="116"/>
      <c r="B70" s="117"/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</row>
    <row r="71" spans="1:26" s="84" customFormat="1" ht="15.6" customHeight="1" x14ac:dyDescent="0.25">
      <c r="A71" s="118" t="s">
        <v>4</v>
      </c>
      <c r="B71" s="119" t="s">
        <v>16</v>
      </c>
      <c r="C71" s="120"/>
      <c r="D71" s="120"/>
      <c r="E71" s="120"/>
      <c r="F71" s="121"/>
      <c r="G71" s="121"/>
      <c r="H71" s="121"/>
      <c r="I71" s="102"/>
      <c r="J71" s="102"/>
      <c r="K71" s="102"/>
      <c r="L71" s="102"/>
      <c r="M71" s="102"/>
      <c r="N71" s="102"/>
      <c r="O71" s="102"/>
      <c r="P71" s="102"/>
      <c r="Q71" s="121"/>
      <c r="R71" s="102"/>
      <c r="S71" s="102"/>
      <c r="T71" s="102"/>
      <c r="U71" s="373"/>
      <c r="V71" s="373"/>
      <c r="W71" s="373"/>
      <c r="X71" s="374"/>
      <c r="Y71" s="374"/>
      <c r="Z71" s="375"/>
    </row>
    <row r="72" spans="1:26" s="84" customFormat="1" ht="26.4" customHeight="1" x14ac:dyDescent="0.25">
      <c r="A72" s="380" t="s">
        <v>86</v>
      </c>
      <c r="B72" s="381"/>
      <c r="C72" s="381"/>
      <c r="D72" s="381"/>
      <c r="E72" s="381"/>
      <c r="F72" s="381"/>
      <c r="G72" s="381"/>
      <c r="H72" s="381"/>
      <c r="I72" s="381"/>
      <c r="J72" s="381"/>
      <c r="K72" s="381"/>
      <c r="L72" s="381"/>
      <c r="M72" s="381"/>
      <c r="N72" s="381"/>
      <c r="O72" s="381"/>
      <c r="P72" s="381"/>
      <c r="Q72" s="396"/>
      <c r="R72" s="358" t="s">
        <v>10</v>
      </c>
      <c r="S72" s="359"/>
      <c r="T72" s="360"/>
      <c r="U72" s="376"/>
      <c r="V72" s="377"/>
      <c r="W72" s="377"/>
      <c r="X72" s="378"/>
      <c r="Y72" s="378"/>
      <c r="Z72" s="379"/>
    </row>
    <row r="73" spans="1:26" s="84" customFormat="1" ht="26.4" customHeight="1" x14ac:dyDescent="0.25">
      <c r="A73" s="397"/>
      <c r="B73" s="398"/>
      <c r="C73" s="398"/>
      <c r="D73" s="398"/>
      <c r="E73" s="398"/>
      <c r="F73" s="398"/>
      <c r="G73" s="398"/>
      <c r="H73" s="398"/>
      <c r="I73" s="398"/>
      <c r="J73" s="398"/>
      <c r="K73" s="398"/>
      <c r="L73" s="398"/>
      <c r="M73" s="398"/>
      <c r="N73" s="398"/>
      <c r="O73" s="398"/>
      <c r="P73" s="398"/>
      <c r="Q73" s="399"/>
      <c r="R73" s="358"/>
      <c r="S73" s="359"/>
      <c r="T73" s="360"/>
      <c r="U73" s="364"/>
      <c r="V73" s="365"/>
      <c r="W73" s="365"/>
      <c r="X73" s="366"/>
      <c r="Y73" s="366"/>
      <c r="Z73" s="367"/>
    </row>
    <row r="74" spans="1:26" s="84" customFormat="1" ht="15.6" customHeight="1" x14ac:dyDescent="0.25">
      <c r="A74" s="138" t="s">
        <v>15</v>
      </c>
      <c r="B74" s="139" t="s">
        <v>6</v>
      </c>
      <c r="C74" s="79"/>
      <c r="D74" s="79"/>
      <c r="E74" s="82"/>
      <c r="F74" s="82"/>
      <c r="G74" s="82"/>
      <c r="H74" s="82"/>
      <c r="I74" s="82"/>
      <c r="J74" s="82"/>
      <c r="K74" s="82"/>
      <c r="L74" s="82"/>
      <c r="M74" s="82"/>
      <c r="N74" s="82"/>
      <c r="O74" s="82"/>
      <c r="P74" s="82"/>
      <c r="Q74" s="81"/>
      <c r="R74" s="358"/>
      <c r="S74" s="359"/>
      <c r="T74" s="360"/>
      <c r="U74" s="368"/>
      <c r="V74" s="369"/>
      <c r="W74" s="369"/>
      <c r="X74" s="370"/>
      <c r="Y74" s="370"/>
      <c r="Z74" s="371"/>
    </row>
    <row r="75" spans="1:26" s="84" customFormat="1" ht="15.6" customHeight="1" thickBot="1" x14ac:dyDescent="0.3">
      <c r="A75" s="124"/>
      <c r="B75" s="333" t="s">
        <v>50</v>
      </c>
      <c r="C75" s="333"/>
      <c r="D75" s="333"/>
      <c r="E75" s="333"/>
      <c r="F75" s="333"/>
      <c r="G75" s="333"/>
      <c r="H75" s="333"/>
      <c r="I75" s="333"/>
      <c r="J75" s="333"/>
      <c r="K75" s="333"/>
      <c r="L75" s="333"/>
      <c r="M75" s="333"/>
      <c r="N75" s="333"/>
      <c r="O75" s="333"/>
      <c r="P75" s="333"/>
      <c r="Q75" s="81"/>
      <c r="R75" s="358" t="s">
        <v>11</v>
      </c>
      <c r="S75" s="359"/>
      <c r="T75" s="360"/>
      <c r="U75" s="407"/>
      <c r="V75" s="408"/>
      <c r="W75" s="408"/>
      <c r="X75" s="409"/>
      <c r="Y75" s="409"/>
      <c r="Z75" s="410"/>
    </row>
    <row r="76" spans="1:26" s="84" customFormat="1" ht="15.6" customHeight="1" thickBot="1" x14ac:dyDescent="0.3">
      <c r="A76" s="91"/>
      <c r="B76" s="131"/>
      <c r="C76" s="400" t="s">
        <v>38</v>
      </c>
      <c r="D76" s="401"/>
      <c r="E76" s="401"/>
      <c r="F76" s="401"/>
      <c r="G76" s="401"/>
      <c r="H76" s="401"/>
      <c r="I76" s="401"/>
      <c r="J76" s="401"/>
      <c r="K76" s="401"/>
      <c r="L76" s="402" t="str">
        <f>IF(S67&lt;&gt;"",IF(O77&lt;&gt;"",S67/O77,""),"")</f>
        <v/>
      </c>
      <c r="M76" s="402"/>
      <c r="N76" s="402"/>
      <c r="O76" s="403" t="s">
        <v>37</v>
      </c>
      <c r="P76" s="404"/>
      <c r="Q76" s="94"/>
      <c r="R76" s="358"/>
      <c r="S76" s="359"/>
      <c r="T76" s="360"/>
      <c r="U76" s="411"/>
      <c r="V76" s="372"/>
      <c r="W76" s="372"/>
      <c r="X76" s="372"/>
      <c r="Y76" s="372"/>
      <c r="Z76" s="412"/>
    </row>
    <row r="77" spans="1:26" s="84" customFormat="1" ht="15.6" customHeight="1" x14ac:dyDescent="0.25">
      <c r="A77" s="91"/>
      <c r="B77" s="324" t="s">
        <v>46</v>
      </c>
      <c r="C77" s="324"/>
      <c r="D77" s="324"/>
      <c r="E77" s="324"/>
      <c r="F77" s="324"/>
      <c r="G77" s="324"/>
      <c r="H77" s="324" t="s">
        <v>47</v>
      </c>
      <c r="I77" s="324"/>
      <c r="J77" s="324"/>
      <c r="K77" s="324"/>
      <c r="L77" s="324"/>
      <c r="M77" s="324"/>
      <c r="N77" s="324"/>
      <c r="O77" s="405" t="str">
        <f>IF(M77&lt;&gt;"",IF(M78&lt;&gt;"",((M77+M78)/M78),""),"")</f>
        <v/>
      </c>
      <c r="P77" s="405"/>
      <c r="Q77" s="94"/>
      <c r="R77" s="358"/>
      <c r="S77" s="359"/>
      <c r="T77" s="360"/>
      <c r="U77" s="411"/>
      <c r="V77" s="372"/>
      <c r="W77" s="372"/>
      <c r="X77" s="372"/>
      <c r="Y77" s="372"/>
      <c r="Z77" s="412"/>
    </row>
    <row r="78" spans="1:26" s="84" customFormat="1" ht="15.6" customHeight="1" x14ac:dyDescent="0.25">
      <c r="A78" s="125"/>
      <c r="B78" s="293"/>
      <c r="C78" s="293"/>
      <c r="D78" s="293"/>
      <c r="E78" s="293"/>
      <c r="F78" s="293"/>
      <c r="G78" s="293"/>
      <c r="H78" s="293" t="s">
        <v>48</v>
      </c>
      <c r="I78" s="293"/>
      <c r="J78" s="293"/>
      <c r="K78" s="293"/>
      <c r="L78" s="293"/>
      <c r="M78" s="293"/>
      <c r="N78" s="293"/>
      <c r="O78" s="406"/>
      <c r="P78" s="406"/>
      <c r="Q78" s="126"/>
      <c r="R78" s="361"/>
      <c r="S78" s="362"/>
      <c r="T78" s="363"/>
      <c r="U78" s="413"/>
      <c r="V78" s="414"/>
      <c r="W78" s="414"/>
      <c r="X78" s="415"/>
      <c r="Y78" s="415"/>
      <c r="Z78" s="416"/>
    </row>
    <row r="80" spans="1:26" ht="12.75" customHeight="1" x14ac:dyDescent="0.25">
      <c r="P80" s="79"/>
      <c r="Q80" s="79"/>
      <c r="R80" s="79"/>
      <c r="S80" s="79"/>
      <c r="T80" s="79"/>
      <c r="U80" s="79"/>
      <c r="V80" s="79"/>
      <c r="W80" s="79"/>
    </row>
    <row r="81" spans="5:23" ht="12.75" customHeight="1" x14ac:dyDescent="0.25">
      <c r="P81" s="79"/>
      <c r="Q81" s="79"/>
      <c r="R81" s="79"/>
      <c r="S81" s="79"/>
      <c r="T81" s="79"/>
      <c r="U81" s="79"/>
      <c r="V81" s="79"/>
      <c r="W81" s="79"/>
    </row>
    <row r="82" spans="5:23" ht="12.75" customHeight="1" x14ac:dyDescent="0.25">
      <c r="P82" s="79"/>
      <c r="Q82" s="79"/>
      <c r="R82" s="79"/>
      <c r="S82" s="79"/>
      <c r="T82" s="79"/>
      <c r="U82" s="79"/>
      <c r="V82" s="79"/>
      <c r="W82" s="79"/>
    </row>
    <row r="83" spans="5:23" ht="12.75" customHeight="1" x14ac:dyDescent="0.25">
      <c r="E83" s="128"/>
      <c r="P83" s="79"/>
      <c r="Q83" s="79"/>
      <c r="R83" s="79"/>
      <c r="S83" s="79"/>
      <c r="T83" s="79"/>
      <c r="U83" s="79"/>
      <c r="V83" s="79"/>
      <c r="W83" s="79"/>
    </row>
    <row r="84" spans="5:23" ht="12.75" customHeight="1" x14ac:dyDescent="0.25">
      <c r="P84" s="79"/>
      <c r="Q84" s="79"/>
      <c r="R84" s="79"/>
      <c r="S84" s="79"/>
      <c r="T84" s="79"/>
      <c r="U84" s="79"/>
      <c r="V84" s="79"/>
      <c r="W84" s="79"/>
    </row>
    <row r="85" spans="5:23" ht="12.75" customHeight="1" x14ac:dyDescent="0.25">
      <c r="P85" s="79"/>
      <c r="Q85" s="79"/>
      <c r="R85" s="79"/>
      <c r="S85" s="79"/>
      <c r="T85" s="79"/>
      <c r="U85" s="79"/>
      <c r="V85" s="79"/>
      <c r="W85" s="79"/>
    </row>
  </sheetData>
  <sheetProtection selectLockedCells="1"/>
  <mergeCells count="141">
    <mergeCell ref="R39:U39"/>
    <mergeCell ref="B13:F13"/>
    <mergeCell ref="V13:X13"/>
    <mergeCell ref="N11:U11"/>
    <mergeCell ref="G12:M12"/>
    <mergeCell ref="P6:T6"/>
    <mergeCell ref="W12:Y12"/>
    <mergeCell ref="V10:Y10"/>
    <mergeCell ref="V11:Y11"/>
    <mergeCell ref="O12:Q12"/>
    <mergeCell ref="S12:U12"/>
    <mergeCell ref="N13:U13"/>
    <mergeCell ref="B10:F10"/>
    <mergeCell ref="G10:M10"/>
    <mergeCell ref="B11:F11"/>
    <mergeCell ref="N10:U10"/>
    <mergeCell ref="J6:K6"/>
    <mergeCell ref="N26:Q26"/>
    <mergeCell ref="L6:O6"/>
    <mergeCell ref="B8:Z8"/>
    <mergeCell ref="G11:M11"/>
    <mergeCell ref="B12:F12"/>
    <mergeCell ref="A7:F7"/>
    <mergeCell ref="A1:F6"/>
    <mergeCell ref="L5:O5"/>
    <mergeCell ref="J32:M32"/>
    <mergeCell ref="N27:Q27"/>
    <mergeCell ref="N28:Q28"/>
    <mergeCell ref="N29:Q29"/>
    <mergeCell ref="N30:Q30"/>
    <mergeCell ref="J27:M27"/>
    <mergeCell ref="J28:M28"/>
    <mergeCell ref="P5:T5"/>
    <mergeCell ref="G13:M13"/>
    <mergeCell ref="G7:Z7"/>
    <mergeCell ref="U1:Z6"/>
    <mergeCell ref="G1:T1"/>
    <mergeCell ref="G2:T4"/>
    <mergeCell ref="G5:H5"/>
    <mergeCell ref="J5:K5"/>
    <mergeCell ref="B19:H19"/>
    <mergeCell ref="I19:Y19"/>
    <mergeCell ref="B25:U25"/>
    <mergeCell ref="B14:F14"/>
    <mergeCell ref="G14:J14"/>
    <mergeCell ref="K14:N14"/>
    <mergeCell ref="O14:R14"/>
    <mergeCell ref="F39:I39"/>
    <mergeCell ref="J39:M39"/>
    <mergeCell ref="B39:E39"/>
    <mergeCell ref="J36:M36"/>
    <mergeCell ref="J37:M37"/>
    <mergeCell ref="J38:M38"/>
    <mergeCell ref="N36:Q36"/>
    <mergeCell ref="N37:Q37"/>
    <mergeCell ref="N38:Q38"/>
    <mergeCell ref="B75:P75"/>
    <mergeCell ref="S65:U65"/>
    <mergeCell ref="S67:U67"/>
    <mergeCell ref="R73:T74"/>
    <mergeCell ref="R75:T78"/>
    <mergeCell ref="U73:Z74"/>
    <mergeCell ref="R72:T72"/>
    <mergeCell ref="U71:Z71"/>
    <mergeCell ref="U72:Z72"/>
    <mergeCell ref="B77:G78"/>
    <mergeCell ref="H77:L77"/>
    <mergeCell ref="M77:N77"/>
    <mergeCell ref="O77:P78"/>
    <mergeCell ref="H78:L78"/>
    <mergeCell ref="M78:N78"/>
    <mergeCell ref="L76:N76"/>
    <mergeCell ref="A72:Q72"/>
    <mergeCell ref="A73:Q73"/>
    <mergeCell ref="V76:Y77"/>
    <mergeCell ref="A27:A39"/>
    <mergeCell ref="J34:M34"/>
    <mergeCell ref="J35:M35"/>
    <mergeCell ref="B37:E37"/>
    <mergeCell ref="B31:E31"/>
    <mergeCell ref="B32:E32"/>
    <mergeCell ref="B33:E33"/>
    <mergeCell ref="B34:E34"/>
    <mergeCell ref="B36:E36"/>
    <mergeCell ref="F32:I32"/>
    <mergeCell ref="F33:I33"/>
    <mergeCell ref="F34:I34"/>
    <mergeCell ref="F36:I36"/>
    <mergeCell ref="B35:E35"/>
    <mergeCell ref="B29:E29"/>
    <mergeCell ref="F27:I27"/>
    <mergeCell ref="F28:I28"/>
    <mergeCell ref="F29:I29"/>
    <mergeCell ref="F30:I30"/>
    <mergeCell ref="J31:M31"/>
    <mergeCell ref="F31:I31"/>
    <mergeCell ref="F35:I35"/>
    <mergeCell ref="J29:M29"/>
    <mergeCell ref="J30:M30"/>
    <mergeCell ref="E41:J41"/>
    <mergeCell ref="K41:R41"/>
    <mergeCell ref="W26:Y28"/>
    <mergeCell ref="B26:E26"/>
    <mergeCell ref="W29:Y31"/>
    <mergeCell ref="R27:U27"/>
    <mergeCell ref="F26:I26"/>
    <mergeCell ref="J26:M26"/>
    <mergeCell ref="R26:U26"/>
    <mergeCell ref="R29:U29"/>
    <mergeCell ref="R28:U28"/>
    <mergeCell ref="R30:U30"/>
    <mergeCell ref="R31:U31"/>
    <mergeCell ref="R33:U33"/>
    <mergeCell ref="R34:U34"/>
    <mergeCell ref="R35:U35"/>
    <mergeCell ref="R32:U32"/>
    <mergeCell ref="N31:Q31"/>
    <mergeCell ref="N34:Q34"/>
    <mergeCell ref="W33:Y35"/>
    <mergeCell ref="W36:Y38"/>
    <mergeCell ref="N39:Q39"/>
    <mergeCell ref="F37:I37"/>
    <mergeCell ref="F38:I38"/>
    <mergeCell ref="S14:V14"/>
    <mergeCell ref="J33:M33"/>
    <mergeCell ref="N32:Q32"/>
    <mergeCell ref="B30:E30"/>
    <mergeCell ref="R37:U37"/>
    <mergeCell ref="R38:U38"/>
    <mergeCell ref="R36:U36"/>
    <mergeCell ref="N15:U15"/>
    <mergeCell ref="V15:X15"/>
    <mergeCell ref="B15:H15"/>
    <mergeCell ref="I15:K15"/>
    <mergeCell ref="N33:Q33"/>
    <mergeCell ref="B27:E27"/>
    <mergeCell ref="B38:E38"/>
    <mergeCell ref="N35:Q35"/>
    <mergeCell ref="B28:E28"/>
    <mergeCell ref="B20:H20"/>
    <mergeCell ref="I20:Y20"/>
  </mergeCells>
  <phoneticPr fontId="2" type="noConversion"/>
  <dataValidations count="1">
    <dataValidation type="decimal" operator="greaterThanOrEqual" showInputMessage="1" showErrorMessage="1" sqref="N27:U39" xr:uid="{00000000-0002-0000-0200-000000000000}">
      <formula1>0</formula1>
    </dataValidation>
  </dataValidations>
  <printOptions horizontalCentered="1"/>
  <pageMargins left="0.39370078740157483" right="0.39370078740157483" top="0.39370078740157483" bottom="0.39370078740157483" header="0" footer="0.19685039370078741"/>
  <pageSetup paperSize="9" scale="71" orientation="portrait" r:id="rId1"/>
  <headerFooter alignWithMargins="0">
    <oddFooter>&amp;RDG-Q / CRE INF du 06/04/2011</oddFooter>
  </headerFooter>
  <drawing r:id="rId2"/>
  <legacyDrawing r:id="rId3"/>
  <controls>
    <mc:AlternateContent xmlns:mc="http://schemas.openxmlformats.org/markup-compatibility/2006">
      <mc:Choice Requires="x14">
        <control shapeId="1079" r:id="rId4" name="CommandButton1">
          <controlPr autoLine="0" r:id="rId5">
            <anchor moveWithCells="1">
              <from>
                <xdr:col>31</xdr:col>
                <xdr:colOff>0</xdr:colOff>
                <xdr:row>75</xdr:row>
                <xdr:rowOff>0</xdr:rowOff>
              </from>
              <to>
                <xdr:col>32</xdr:col>
                <xdr:colOff>708660</xdr:colOff>
                <xdr:row>77</xdr:row>
                <xdr:rowOff>30480</xdr:rowOff>
              </to>
            </anchor>
          </controlPr>
        </control>
      </mc:Choice>
      <mc:Fallback>
        <control shapeId="1079" r:id="rId4" name="CommandButton1"/>
      </mc:Fallback>
    </mc:AlternateContent>
    <mc:AlternateContent xmlns:mc="http://schemas.openxmlformats.org/markup-compatibility/2006">
      <mc:Choice Requires="x14">
        <control shapeId="1070" r:id="rId6" name="Check Box 46">
          <controlPr locked="0" defaultSize="0" autoFill="0" autoLine="0" autoPict="0">
            <anchor moveWithCells="1">
              <from>
                <xdr:col>21</xdr:col>
                <xdr:colOff>0</xdr:colOff>
                <xdr:row>10</xdr:row>
                <xdr:rowOff>182880</xdr:rowOff>
              </from>
              <to>
                <xdr:col>21</xdr:col>
                <xdr:colOff>312420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7" name="Check Box 47">
          <controlPr locked="0" defaultSize="0" autoFill="0" autoLine="0" autoPict="0">
            <anchor moveWithCells="1">
              <from>
                <xdr:col>17</xdr:col>
                <xdr:colOff>0</xdr:colOff>
                <xdr:row>10</xdr:row>
                <xdr:rowOff>182880</xdr:rowOff>
              </from>
              <to>
                <xdr:col>17</xdr:col>
                <xdr:colOff>312420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8" name="Check Box 48">
          <controlPr locked="0" defaultSize="0" autoFill="0" autoLine="0" autoPict="0">
            <anchor moveWithCells="1">
              <from>
                <xdr:col>13</xdr:col>
                <xdr:colOff>0</xdr:colOff>
                <xdr:row>10</xdr:row>
                <xdr:rowOff>182880</xdr:rowOff>
              </from>
              <to>
                <xdr:col>13</xdr:col>
                <xdr:colOff>304800</xdr:colOff>
                <xdr:row>12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CRE</vt:lpstr>
      <vt:lpstr>CRE INF SA</vt:lpstr>
      <vt:lpstr>CRE INF DA</vt:lpstr>
      <vt:lpstr>CRE!Zone_d_impression</vt:lpstr>
      <vt:lpstr>'CRE INF DA'!Zone_d_impression</vt:lpstr>
      <vt:lpstr>'CRE INF SA'!Zone_d_impression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Essais de Perméabiltés</dc:title>
  <dc:subject>Feuille et Rapports d'essais</dc:subject>
  <dc:creator>GOEDDE</dc:creator>
  <cp:lastModifiedBy>MONTET Frederic</cp:lastModifiedBy>
  <cp:lastPrinted>2011-04-06T09:34:48Z</cp:lastPrinted>
  <dcterms:created xsi:type="dcterms:W3CDTF">2004-11-13T18:13:05Z</dcterms:created>
  <dcterms:modified xsi:type="dcterms:W3CDTF">2023-03-09T13:11:46Z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2001353798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François CHARTIER</vt:lpwstr>
  </property>
  <property fmtid="{D5CDD505-2E9C-101B-9397-08002B2CF9AE}" pid="6" name="_ReviewingToolsShownOnce">
    <vt:lpwstr/>
  </property>
</Properties>
</file>