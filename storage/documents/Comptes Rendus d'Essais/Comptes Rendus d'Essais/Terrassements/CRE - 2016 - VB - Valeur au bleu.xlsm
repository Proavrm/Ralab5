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 codeName="ThisWorkbook"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41F8D2D5-0FE5-494D-90B8-FDEB1FC54783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 VB" sheetId="1" r:id="rId1"/>
  </sheets>
  <definedNames>
    <definedName name="_xlnm.Print_Area" localSheetId="0">'CRE VB'!$A$1:$Z$70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1" i="1" l="1"/>
  <c r="T41" i="1" s="1"/>
  <c r="Q35" i="1"/>
  <c r="I46" i="1"/>
  <c r="D60" i="1" s="1"/>
  <c r="Q60" i="1" s="1"/>
  <c r="U46" i="1"/>
  <c r="J60" i="1" s="1"/>
  <c r="W60" i="1" s="1"/>
  <c r="U52" i="1"/>
  <c r="Q41" i="1"/>
  <c r="I52" i="1"/>
</calcChain>
</file>

<file path=xl/sharedStrings.xml><?xml version="1.0" encoding="utf-8"?>
<sst xmlns="http://schemas.openxmlformats.org/spreadsheetml/2006/main" count="82" uniqueCount="71">
  <si>
    <t>RENSEIGNEMENTS GENERAUX</t>
  </si>
  <si>
    <t>1/</t>
  </si>
  <si>
    <t>Date du prélèvement :</t>
  </si>
  <si>
    <t>Nature du matériau :</t>
  </si>
  <si>
    <t>Provenance :</t>
  </si>
  <si>
    <t>Destination :</t>
  </si>
  <si>
    <t>IDENTIFICATION DU MATERIAU</t>
  </si>
  <si>
    <t>Dmax &gt; 50 mm</t>
  </si>
  <si>
    <t>%</t>
  </si>
  <si>
    <t>TENEUR EN EAU DE L'ECHANTILLON SOUMIS A L'ESSAI (0/5 mm)</t>
  </si>
  <si>
    <t>g</t>
  </si>
  <si>
    <t>MASSE DE BLEU INTRODUITE (solution à 10 g/l)</t>
  </si>
  <si>
    <t>(mb = volume de bleu introduit (cm3) x 0.01)</t>
  </si>
  <si>
    <t>RESULTATS DES ESSAIS</t>
  </si>
  <si>
    <t>Dmax &lt; 5 mm</t>
  </si>
  <si>
    <t>Proportion pondérale de la fraction 0/5 mm contenue dans la fraction 0/50 mm :</t>
  </si>
  <si>
    <t xml:space="preserve">3/ </t>
  </si>
  <si>
    <t>Définition des critères / objectifs :</t>
  </si>
  <si>
    <t>2/</t>
  </si>
  <si>
    <t>CRITERES DE CONFORMITE</t>
  </si>
  <si>
    <t>N° Tare</t>
  </si>
  <si>
    <t>Teneur en eau (%)</t>
  </si>
  <si>
    <t>Poids total humide (g)</t>
  </si>
  <si>
    <t>Poids total sec (g)</t>
  </si>
  <si>
    <t>Poids net sec (g)</t>
  </si>
  <si>
    <t>Poids d'eau (g)</t>
  </si>
  <si>
    <t>(facultative)</t>
  </si>
  <si>
    <t>V1 =</t>
  </si>
  <si>
    <t>mb1 =</t>
  </si>
  <si>
    <t>V2 =</t>
  </si>
  <si>
    <t>mb2 =</t>
  </si>
  <si>
    <t>cm3</t>
  </si>
  <si>
    <t>4/</t>
  </si>
  <si>
    <t>5/</t>
  </si>
  <si>
    <t>COMMENTAIRES</t>
  </si>
  <si>
    <t>CONCLUSIONS</t>
  </si>
  <si>
    <t>Date de(s) essai(s) :</t>
  </si>
  <si>
    <t>Source des critères :</t>
  </si>
  <si>
    <t>5 mm &lt; Dmax &lt; 50 mm</t>
  </si>
  <si>
    <t>Opérateur :</t>
  </si>
  <si>
    <t>Laboratoire :</t>
  </si>
  <si>
    <t>Nom</t>
  </si>
  <si>
    <t>Fonction</t>
  </si>
  <si>
    <t>Visa</t>
  </si>
  <si>
    <t>Proportion pondérale de la fraction 0/50 mm contenue dans le matériau :</t>
  </si>
  <si>
    <t>Proportion pondérale de la fraction 0/5 mm contenue dans le matériau :</t>
  </si>
  <si>
    <t>VBS = (mb / m0) x 100</t>
  </si>
  <si>
    <t>VALEUR DE BLEU DU SOL OU DU MATERIAU ROCHEUX</t>
  </si>
  <si>
    <t>VALEUR DE BLEU SUR LA FRACTION 0 / 5mm</t>
  </si>
  <si>
    <t>MASSE HUMIDE DE LA PRISE D'ESSAI</t>
  </si>
  <si>
    <t>1ère prise d'essai humide</t>
  </si>
  <si>
    <t>2ème prise d'essai humide</t>
  </si>
  <si>
    <t>1ère prise d'essai sèche</t>
  </si>
  <si>
    <t>2ème prise d'essai sèche</t>
  </si>
  <si>
    <t>VBS = (mb / m0) (x C) / 100</t>
  </si>
  <si>
    <t>Poids Tare (g)</t>
  </si>
  <si>
    <t>Région Rhône Alpes - 29-31 rue des Tâches - ZI Mi-Plaine - 69800 SAINT PRIEST</t>
  </si>
  <si>
    <t>n°</t>
  </si>
  <si>
    <t>Chrono</t>
  </si>
  <si>
    <t>N° d'affaire</t>
  </si>
  <si>
    <t>Date de rédaction</t>
  </si>
  <si>
    <t>VB</t>
  </si>
  <si>
    <t>COMPTE RENDU D'ESSAIS</t>
  </si>
  <si>
    <t>MESURE DE LA VALEUR AU BLEU DE METHYLENE D'UN SOL (NF P 94-068 d'octobre 1998)</t>
  </si>
  <si>
    <r>
      <t>mh0</t>
    </r>
    <r>
      <rPr>
        <vertAlign val="subscript"/>
        <sz val="11"/>
        <rFont val="Century Gothic"/>
        <family val="2"/>
      </rPr>
      <t>1</t>
    </r>
    <r>
      <rPr>
        <sz val="11"/>
        <rFont val="Century Gothic"/>
        <family val="2"/>
      </rPr>
      <t xml:space="preserve"> =</t>
    </r>
  </si>
  <si>
    <r>
      <t>mh0</t>
    </r>
    <r>
      <rPr>
        <vertAlign val="subscript"/>
        <sz val="11"/>
        <rFont val="Century Gothic"/>
        <family val="2"/>
      </rPr>
      <t>2</t>
    </r>
    <r>
      <rPr>
        <sz val="11"/>
        <rFont val="Century Gothic"/>
        <family val="2"/>
      </rPr>
      <t xml:space="preserve"> =</t>
    </r>
  </si>
  <si>
    <r>
      <t>ms0</t>
    </r>
    <r>
      <rPr>
        <vertAlign val="subscript"/>
        <sz val="11"/>
        <rFont val="Century Gothic"/>
        <family val="2"/>
      </rPr>
      <t>1</t>
    </r>
    <r>
      <rPr>
        <sz val="11"/>
        <rFont val="Century Gothic"/>
        <family val="2"/>
      </rPr>
      <t xml:space="preserve"> =</t>
    </r>
  </si>
  <si>
    <r>
      <t>ms0</t>
    </r>
    <r>
      <rPr>
        <vertAlign val="subscript"/>
        <sz val="11"/>
        <rFont val="Century Gothic"/>
        <family val="2"/>
      </rPr>
      <t>2</t>
    </r>
    <r>
      <rPr>
        <sz val="11"/>
        <rFont val="Century Gothic"/>
        <family val="2"/>
      </rPr>
      <t xml:space="preserve"> =</t>
    </r>
  </si>
  <si>
    <t xml:space="preserve">VBS1 = </t>
  </si>
  <si>
    <t xml:space="preserve">VBS2 = 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</si>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</sst>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0"/>
      <name val="Arial"/>
    </font>
    <font>
      <sz val="10"/>
      <name val="Century Gothic"/>
      <family val="2"/>
    </font>
    <font>
      <b/>
      <sz val="10"/>
      <name val="Century Gothic"/>
      <family val="2"/>
    </font>
    <font>
      <sz val="14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u/>
      <sz val="10"/>
      <name val="Century Gothic"/>
      <family val="2"/>
    </font>
    <font>
      <i/>
      <sz val="10"/>
      <name val="Century Gothic"/>
      <family val="2"/>
    </font>
    <font>
      <b/>
      <u/>
      <sz val="11"/>
      <name val="Century Gothic"/>
      <family val="2"/>
    </font>
    <font>
      <sz val="11"/>
      <name val="Century Gothic"/>
      <family val="2"/>
    </font>
    <font>
      <b/>
      <sz val="11"/>
      <name val="Century Gothic"/>
      <family val="2"/>
    </font>
    <font>
      <b/>
      <i/>
      <u/>
      <sz val="11"/>
      <name val="Century Gothic"/>
      <family val="2"/>
    </font>
    <font>
      <u/>
      <sz val="11"/>
      <name val="Century Gothic"/>
      <family val="2"/>
    </font>
    <font>
      <vertAlign val="subscript"/>
      <sz val="11"/>
      <name val="Century Gothic"/>
      <family val="2"/>
    </font>
    <font>
      <i/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</borders>
  <cellStyleXfs count="1">
    <xf numFmtId="0" fontId="0" fillId="0" borderId="0"/>
  </cellStyleXfs>
  <cellXfs count="156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horizontal="right" vertical="center"/>
      <protection hidden="1"/>
    </xf>
    <xf numFmtId="0" fontId="1" fillId="0" borderId="1" xfId="0" applyFont="1" applyFill="1" applyBorder="1" applyAlignment="1" applyProtection="1">
      <alignment vertical="center"/>
      <protection hidden="1"/>
    </xf>
    <xf numFmtId="0" fontId="1" fillId="0" borderId="2" xfId="0" applyFont="1" applyFill="1" applyBorder="1" applyAlignment="1" applyProtection="1">
      <alignment vertical="center"/>
      <protection hidden="1"/>
    </xf>
    <xf numFmtId="0" fontId="5" fillId="0" borderId="3" xfId="0" applyFont="1" applyFill="1" applyBorder="1" applyAlignment="1" applyProtection="1">
      <alignment horizontal="center" vertical="center"/>
      <protection hidden="1"/>
    </xf>
    <xf numFmtId="0" fontId="8" fillId="0" borderId="4" xfId="0" applyFont="1" applyFill="1" applyBorder="1" applyAlignment="1" applyProtection="1">
      <alignment vertical="center"/>
      <protection hidden="1"/>
    </xf>
    <xf numFmtId="0" fontId="1" fillId="0" borderId="4" xfId="0" applyFont="1" applyFill="1" applyBorder="1" applyAlignment="1" applyProtection="1">
      <alignment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5" xfId="0" applyFont="1" applyFill="1" applyBorder="1" applyAlignment="1" applyProtection="1">
      <alignment vertical="center"/>
      <protection hidden="1"/>
    </xf>
    <xf numFmtId="0" fontId="1" fillId="0" borderId="6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1" fillId="0" borderId="7" xfId="0" applyFont="1" applyFill="1" applyBorder="1" applyAlignment="1" applyProtection="1">
      <alignment vertical="center"/>
      <protection hidden="1"/>
    </xf>
    <xf numFmtId="0" fontId="7" fillId="0" borderId="7" xfId="0" applyFont="1" applyFill="1" applyBorder="1" applyAlignment="1" applyProtection="1">
      <alignment horizontal="left" vertical="center"/>
      <protection hidden="1"/>
    </xf>
    <xf numFmtId="0" fontId="1" fillId="0" borderId="2" xfId="0" applyFont="1" applyFill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 applyProtection="1">
      <alignment horizontal="left" vertical="center"/>
      <protection hidden="1"/>
    </xf>
    <xf numFmtId="0" fontId="1" fillId="0" borderId="8" xfId="0" applyFont="1" applyFill="1" applyBorder="1" applyAlignment="1" applyProtection="1">
      <alignment vertical="center"/>
      <protection hidden="1"/>
    </xf>
    <xf numFmtId="0" fontId="1" fillId="0" borderId="9" xfId="0" applyFont="1" applyFill="1" applyBorder="1" applyAlignment="1" applyProtection="1">
      <alignment vertical="center"/>
      <protection hidden="1"/>
    </xf>
    <xf numFmtId="0" fontId="1" fillId="0" borderId="9" xfId="0" applyFont="1" applyFill="1" applyBorder="1" applyAlignment="1" applyProtection="1">
      <alignment horizontal="center" vertical="center"/>
      <protection hidden="1"/>
    </xf>
    <xf numFmtId="0" fontId="1" fillId="0" borderId="9" xfId="0" applyFont="1" applyFill="1" applyBorder="1" applyAlignment="1" applyProtection="1">
      <alignment horizontal="left" vertical="center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14" fontId="1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7" fillId="0" borderId="6" xfId="0" applyFont="1" applyFill="1" applyBorder="1" applyAlignment="1" applyProtection="1">
      <alignment horizontal="center" vertical="center"/>
      <protection hidden="1"/>
    </xf>
    <xf numFmtId="0" fontId="1" fillId="0" borderId="7" xfId="0" applyFont="1" applyFill="1" applyBorder="1" applyAlignment="1" applyProtection="1">
      <alignment horizontal="center" vertical="center"/>
      <protection hidden="1"/>
    </xf>
    <xf numFmtId="0" fontId="10" fillId="0" borderId="9" xfId="0" applyFont="1" applyFill="1" applyBorder="1" applyAlignment="1" applyProtection="1">
      <alignment vertical="center"/>
      <protection hidden="1"/>
    </xf>
    <xf numFmtId="0" fontId="10" fillId="0" borderId="2" xfId="0" applyFont="1" applyFill="1" applyBorder="1" applyAlignment="1" applyProtection="1">
      <alignment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5" fillId="0" borderId="11" xfId="0" applyFont="1" applyFill="1" applyBorder="1" applyAlignment="1" applyProtection="1">
      <alignment horizontal="center" vertical="center"/>
      <protection hidden="1"/>
    </xf>
    <xf numFmtId="0" fontId="8" fillId="0" borderId="12" xfId="0" applyFont="1" applyFill="1" applyBorder="1" applyAlignment="1" applyProtection="1">
      <alignment vertical="center"/>
      <protection hidden="1"/>
    </xf>
    <xf numFmtId="0" fontId="9" fillId="0" borderId="12" xfId="0" applyFont="1" applyFill="1" applyBorder="1" applyAlignment="1" applyProtection="1">
      <alignment vertical="center"/>
      <protection hidden="1"/>
    </xf>
    <xf numFmtId="0" fontId="1" fillId="0" borderId="12" xfId="0" applyFont="1" applyFill="1" applyBorder="1" applyAlignment="1" applyProtection="1">
      <alignment vertical="center"/>
      <protection hidden="1"/>
    </xf>
    <xf numFmtId="0" fontId="7" fillId="0" borderId="0" xfId="0" applyFont="1" applyFill="1" applyAlignment="1" applyProtection="1">
      <alignment vertical="center"/>
      <protection hidden="1"/>
    </xf>
    <xf numFmtId="0" fontId="5" fillId="0" borderId="6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7" fillId="0" borderId="7" xfId="0" applyFont="1" applyFill="1" applyBorder="1" applyAlignment="1" applyProtection="1">
      <alignment vertical="center"/>
      <protection hidden="1"/>
    </xf>
    <xf numFmtId="0" fontId="10" fillId="0" borderId="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 wrapText="1"/>
      <protection hidden="1"/>
    </xf>
    <xf numFmtId="0" fontId="1" fillId="0" borderId="4" xfId="0" applyFont="1" applyFill="1" applyBorder="1" applyAlignment="1" applyProtection="1">
      <alignment horizontal="center" vertical="center" wrapText="1"/>
      <protection hidden="1"/>
    </xf>
    <xf numFmtId="0" fontId="1" fillId="0" borderId="5" xfId="0" applyFont="1" applyFill="1" applyBorder="1" applyAlignment="1" applyProtection="1">
      <alignment horizontal="center" vertical="center" wrapText="1"/>
      <protection hidden="1"/>
    </xf>
    <xf numFmtId="0" fontId="1" fillId="0" borderId="1" xfId="0" applyFont="1" applyFill="1" applyBorder="1" applyAlignment="1" applyProtection="1">
      <alignment horizontal="center" vertical="center" wrapText="1"/>
      <protection hidden="1"/>
    </xf>
    <xf numFmtId="0" fontId="1" fillId="0" borderId="2" xfId="0" applyFont="1" applyFill="1" applyBorder="1" applyAlignment="1" applyProtection="1">
      <alignment horizontal="center" vertical="center" wrapText="1"/>
      <protection hidden="1"/>
    </xf>
    <xf numFmtId="0" fontId="1" fillId="0" borderId="8" xfId="0" applyFont="1" applyFill="1" applyBorder="1" applyAlignment="1" applyProtection="1">
      <alignment horizontal="center" vertical="center" wrapText="1"/>
      <protection hidden="1"/>
    </xf>
    <xf numFmtId="0" fontId="11" fillId="0" borderId="6" xfId="0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0" borderId="7" xfId="0" applyFont="1" applyFill="1" applyBorder="1" applyAlignment="1" applyProtection="1">
      <alignment horizontal="center" vertical="center"/>
      <protection hidden="1"/>
    </xf>
    <xf numFmtId="0" fontId="11" fillId="0" borderId="1" xfId="0" applyFont="1" applyFill="1" applyBorder="1" applyAlignment="1" applyProtection="1">
      <alignment horizontal="center" vertical="center"/>
      <protection hidden="1"/>
    </xf>
    <xf numFmtId="0" fontId="11" fillId="0" borderId="2" xfId="0" applyFont="1" applyFill="1" applyBorder="1" applyAlignment="1" applyProtection="1">
      <alignment horizontal="center" vertical="center"/>
      <protection hidden="1"/>
    </xf>
    <xf numFmtId="0" fontId="11" fillId="0" borderId="8" xfId="0" applyFont="1" applyFill="1" applyBorder="1" applyAlignment="1" applyProtection="1">
      <alignment horizontal="center" vertical="center"/>
      <protection hidden="1"/>
    </xf>
    <xf numFmtId="0" fontId="5" fillId="0" borderId="9" xfId="0" applyFont="1" applyFill="1" applyBorder="1" applyAlignment="1" applyProtection="1">
      <alignment horizontal="center" vertical="center"/>
      <protection hidden="1"/>
    </xf>
    <xf numFmtId="0" fontId="7" fillId="0" borderId="9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Fill="1" applyBorder="1" applyAlignment="1" applyProtection="1">
      <alignment horizontal="center" vertical="center" wrapText="1"/>
      <protection hidden="1"/>
    </xf>
    <xf numFmtId="0" fontId="1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horizontal="center" vertical="center" wrapText="1"/>
      <protection locked="0"/>
    </xf>
    <xf numFmtId="0" fontId="3" fillId="0" borderId="4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6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7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center" vertical="center" wrapText="1"/>
      <protection hidden="1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6" fillId="0" borderId="2" xfId="0" applyFont="1" applyFill="1" applyBorder="1" applyAlignment="1" applyProtection="1">
      <alignment horizontal="center" vertical="center"/>
      <protection hidden="1"/>
    </xf>
    <xf numFmtId="0" fontId="6" fillId="0" borderId="8" xfId="0" applyFont="1" applyFill="1" applyBorder="1" applyAlignment="1" applyProtection="1">
      <alignment horizontal="center" vertical="center"/>
      <protection hidden="1"/>
    </xf>
    <xf numFmtId="0" fontId="12" fillId="0" borderId="6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7" xfId="0" applyFont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" xfId="0" applyFont="1" applyFill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1" fillId="0" borderId="8" xfId="0" applyFont="1" applyBorder="1" applyAlignment="1" applyProtection="1">
      <alignment horizontal="center" vertical="center" wrapText="1"/>
      <protection locked="0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11" fillId="0" borderId="9" xfId="0" applyFont="1" applyFill="1" applyBorder="1" applyAlignment="1" applyProtection="1">
      <alignment horizontal="center" vertical="center" wrapText="1"/>
      <protection hidden="1"/>
    </xf>
    <xf numFmtId="0" fontId="1" fillId="0" borderId="9" xfId="0" applyFont="1" applyBorder="1" applyAlignment="1" applyProtection="1">
      <alignment horizontal="center" vertical="center" wrapText="1"/>
      <protection hidden="1"/>
    </xf>
    <xf numFmtId="0" fontId="1" fillId="0" borderId="10" xfId="0" applyFont="1" applyBorder="1" applyAlignment="1" applyProtection="1">
      <alignment horizontal="center" vertical="center" wrapText="1"/>
      <protection hidden="1"/>
    </xf>
    <xf numFmtId="0" fontId="12" fillId="0" borderId="15" xfId="0" applyFont="1" applyFill="1" applyBorder="1" applyAlignment="1" applyProtection="1">
      <alignment horizontal="center" vertical="center" wrapText="1"/>
      <protection locked="0"/>
    </xf>
    <xf numFmtId="0" fontId="12" fillId="0" borderId="9" xfId="0" applyFont="1" applyFill="1" applyBorder="1" applyAlignment="1" applyProtection="1">
      <alignment horizontal="center" vertical="center" wrapText="1"/>
      <protection locked="0"/>
    </xf>
    <xf numFmtId="0" fontId="1" fillId="0" borderId="9" xfId="0" applyFont="1" applyBorder="1" applyAlignment="1" applyProtection="1">
      <alignment horizontal="center" vertical="center" wrapText="1"/>
      <protection locked="0"/>
    </xf>
    <xf numFmtId="0" fontId="1" fillId="0" borderId="10" xfId="0" applyFont="1" applyBorder="1" applyAlignment="1" applyProtection="1">
      <alignment horizontal="center" vertical="center" wrapText="1"/>
      <protection locked="0"/>
    </xf>
    <xf numFmtId="0" fontId="5" fillId="0" borderId="16" xfId="0" applyFont="1" applyFill="1" applyBorder="1" applyAlignment="1" applyProtection="1">
      <alignment horizontal="center" vertical="center"/>
      <protection hidden="1"/>
    </xf>
    <xf numFmtId="0" fontId="5" fillId="0" borderId="13" xfId="0" applyFont="1" applyFill="1" applyBorder="1" applyAlignment="1" applyProtection="1">
      <alignment horizontal="center" vertical="center"/>
      <protection hidden="1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13" fillId="0" borderId="7" xfId="0" applyFont="1" applyFill="1" applyBorder="1" applyAlignment="1" applyProtection="1">
      <alignment horizontal="center" vertical="center"/>
      <protection locked="0"/>
    </xf>
    <xf numFmtId="0" fontId="13" fillId="0" borderId="6" xfId="0" applyFont="1" applyFill="1" applyBorder="1" applyAlignment="1" applyProtection="1">
      <alignment horizontal="center" vertical="center"/>
      <protection locked="0"/>
    </xf>
    <xf numFmtId="14" fontId="13" fillId="0" borderId="6" xfId="0" applyNumberFormat="1" applyFont="1" applyFill="1" applyBorder="1" applyAlignment="1" applyProtection="1">
      <alignment horizontal="center" vertical="center"/>
      <protection locked="0"/>
    </xf>
    <xf numFmtId="14" fontId="13" fillId="0" borderId="0" xfId="0" applyNumberFormat="1" applyFont="1" applyFill="1" applyBorder="1" applyAlignment="1" applyProtection="1">
      <alignment horizontal="center" vertical="center"/>
      <protection locked="0"/>
    </xf>
    <xf numFmtId="14" fontId="13" fillId="0" borderId="7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left" vertical="center"/>
      <protection hidden="1"/>
    </xf>
    <xf numFmtId="0" fontId="12" fillId="0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Fill="1" applyBorder="1" applyAlignment="1" applyProtection="1">
      <alignment horizontal="left" vertical="center"/>
      <protection hidden="1"/>
    </xf>
    <xf numFmtId="14" fontId="12" fillId="0" borderId="0" xfId="0" applyNumberFormat="1" applyFont="1" applyFill="1" applyBorder="1" applyAlignment="1" applyProtection="1">
      <alignment horizontal="left" vertical="center"/>
      <protection locked="0"/>
    </xf>
    <xf numFmtId="0" fontId="14" fillId="0" borderId="0" xfId="0" applyFont="1" applyFill="1" applyBorder="1" applyAlignment="1" applyProtection="1">
      <alignment vertical="center"/>
      <protection hidden="1"/>
    </xf>
    <xf numFmtId="0" fontId="15" fillId="0" borderId="0" xfId="0" applyFont="1" applyFill="1" applyBorder="1" applyAlignment="1" applyProtection="1">
      <alignment vertical="center"/>
      <protection hidden="1"/>
    </xf>
    <xf numFmtId="0" fontId="12" fillId="0" borderId="0" xfId="0" applyFont="1" applyFill="1" applyBorder="1" applyAlignment="1" applyProtection="1">
      <alignment vertical="center"/>
      <protection hidden="1"/>
    </xf>
    <xf numFmtId="2" fontId="12" fillId="0" borderId="0" xfId="0" applyNumberFormat="1" applyFont="1" applyFill="1" applyBorder="1" applyAlignment="1" applyProtection="1">
      <alignment horizontal="left" vertical="center"/>
      <protection hidden="1"/>
    </xf>
    <xf numFmtId="164" fontId="12" fillId="0" borderId="15" xfId="0" applyNumberFormat="1" applyFont="1" applyFill="1" applyBorder="1" applyAlignment="1" applyProtection="1">
      <alignment horizontal="center" vertical="center"/>
      <protection locked="0"/>
    </xf>
    <xf numFmtId="164" fontId="12" fillId="0" borderId="9" xfId="0" applyNumberFormat="1" applyFont="1" applyFill="1" applyBorder="1" applyAlignment="1" applyProtection="1">
      <alignment horizontal="center" vertical="center"/>
      <protection locked="0"/>
    </xf>
    <xf numFmtId="0" fontId="12" fillId="0" borderId="10" xfId="0" applyFont="1" applyFill="1" applyBorder="1" applyAlignment="1" applyProtection="1">
      <alignment horizontal="center" vertical="center"/>
      <protection hidden="1"/>
    </xf>
    <xf numFmtId="164" fontId="12" fillId="0" borderId="0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164" fontId="12" fillId="0" borderId="15" xfId="0" applyNumberFormat="1" applyFont="1" applyFill="1" applyBorder="1" applyAlignment="1" applyProtection="1">
      <alignment horizontal="center" vertical="center"/>
      <protection hidden="1"/>
    </xf>
    <xf numFmtId="164" fontId="12" fillId="0" borderId="9" xfId="0" applyNumberFormat="1" applyFont="1" applyFill="1" applyBorder="1" applyAlignment="1" applyProtection="1">
      <alignment horizontal="center" vertical="center"/>
      <protection hidden="1"/>
    </xf>
    <xf numFmtId="0" fontId="12" fillId="0" borderId="3" xfId="0" applyFont="1" applyFill="1" applyBorder="1" applyAlignment="1" applyProtection="1">
      <alignment horizontal="center" vertical="center" wrapText="1"/>
      <protection hidden="1"/>
    </xf>
    <xf numFmtId="0" fontId="12" fillId="0" borderId="4" xfId="0" applyFont="1" applyFill="1" applyBorder="1" applyAlignment="1" applyProtection="1">
      <alignment horizontal="center" vertical="center" wrapText="1"/>
      <protection hidden="1"/>
    </xf>
    <xf numFmtId="0" fontId="12" fillId="0" borderId="5" xfId="0" applyFont="1" applyFill="1" applyBorder="1" applyAlignment="1" applyProtection="1">
      <alignment horizontal="center" vertical="center" wrapText="1"/>
      <protection hidden="1"/>
    </xf>
    <xf numFmtId="0" fontId="12" fillId="0" borderId="1" xfId="0" applyFont="1" applyFill="1" applyBorder="1" applyAlignment="1" applyProtection="1">
      <alignment horizontal="center" vertical="center" wrapText="1"/>
      <protection hidden="1"/>
    </xf>
    <xf numFmtId="0" fontId="12" fillId="0" borderId="2" xfId="0" applyFont="1" applyFill="1" applyBorder="1" applyAlignment="1" applyProtection="1">
      <alignment horizontal="center" vertical="center" wrapText="1"/>
      <protection hidden="1"/>
    </xf>
    <xf numFmtId="0" fontId="12" fillId="0" borderId="8" xfId="0" applyFont="1" applyFill="1" applyBorder="1" applyAlignment="1" applyProtection="1">
      <alignment horizontal="center" vertical="center" wrapText="1"/>
      <protection hidden="1"/>
    </xf>
    <xf numFmtId="0" fontId="12" fillId="0" borderId="15" xfId="0" applyFont="1" applyFill="1" applyBorder="1" applyAlignment="1" applyProtection="1">
      <alignment horizontal="center" vertical="center"/>
      <protection locked="0"/>
    </xf>
    <xf numFmtId="0" fontId="12" fillId="0" borderId="9" xfId="0" applyFont="1" applyFill="1" applyBorder="1" applyAlignment="1" applyProtection="1">
      <alignment horizontal="center" vertical="center"/>
      <protection locked="0"/>
    </xf>
    <xf numFmtId="0" fontId="12" fillId="0" borderId="10" xfId="0" applyFont="1" applyFill="1" applyBorder="1" applyAlignment="1" applyProtection="1">
      <alignment horizontal="center" vertical="center"/>
      <protection locked="0"/>
    </xf>
    <xf numFmtId="0" fontId="12" fillId="0" borderId="15" xfId="0" applyFont="1" applyFill="1" applyBorder="1" applyAlignment="1" applyProtection="1">
      <alignment horizontal="center" vertical="center"/>
      <protection hidden="1"/>
    </xf>
    <xf numFmtId="0" fontId="12" fillId="0" borderId="9" xfId="0" applyFont="1" applyFill="1" applyBorder="1" applyAlignment="1" applyProtection="1">
      <alignment horizontal="center" vertical="center"/>
      <protection hidden="1"/>
    </xf>
    <xf numFmtId="0" fontId="12" fillId="0" borderId="10" xfId="0" applyFont="1" applyFill="1" applyBorder="1" applyAlignment="1" applyProtection="1">
      <alignment horizontal="center" vertical="center"/>
      <protection hidden="1"/>
    </xf>
    <xf numFmtId="164" fontId="12" fillId="0" borderId="10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Alignment="1" applyProtection="1">
      <alignment vertical="center"/>
      <protection hidden="1"/>
    </xf>
    <xf numFmtId="0" fontId="17" fillId="0" borderId="0" xfId="0" applyFont="1" applyFill="1" applyBorder="1" applyAlignment="1" applyProtection="1">
      <alignment vertical="center"/>
      <protection hidden="1"/>
    </xf>
    <xf numFmtId="0" fontId="13" fillId="0" borderId="0" xfId="0" applyFont="1" applyFill="1" applyBorder="1" applyAlignment="1" applyProtection="1">
      <alignment vertical="center"/>
      <protection hidden="1"/>
    </xf>
    <xf numFmtId="2" fontId="12" fillId="0" borderId="9" xfId="0" applyNumberFormat="1" applyFont="1" applyFill="1" applyBorder="1" applyAlignment="1" applyProtection="1">
      <alignment horizontal="center" vertical="center"/>
      <protection hidden="1"/>
    </xf>
    <xf numFmtId="2" fontId="12" fillId="0" borderId="10" xfId="0" applyNumberFormat="1" applyFont="1" applyFill="1" applyBorder="1" applyAlignment="1" applyProtection="1">
      <alignment horizontal="center" vertical="center"/>
      <protection hidden="1"/>
    </xf>
    <xf numFmtId="0" fontId="12" fillId="0" borderId="6" xfId="0" applyFont="1" applyFill="1" applyBorder="1" applyAlignment="1" applyProtection="1">
      <alignment horizontal="center" vertical="center"/>
      <protection hidden="1"/>
    </xf>
    <xf numFmtId="2" fontId="12" fillId="0" borderId="10" xfId="0" applyNumberFormat="1" applyFont="1" applyBorder="1" applyAlignment="1" applyProtection="1">
      <alignment horizontal="center"/>
      <protection hidden="1"/>
    </xf>
    <xf numFmtId="0" fontId="5" fillId="0" borderId="14" xfId="0" applyFont="1" applyFill="1" applyBorder="1" applyAlignment="1" applyProtection="1">
      <alignment horizontal="center" vertical="center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5" fillId="0" borderId="2" xfId="0" applyFont="1" applyFill="1" applyBorder="1" applyAlignment="1" applyProtection="1">
      <alignment horizontal="center" vertical="center"/>
      <protection hidden="1"/>
    </xf>
    <xf numFmtId="0" fontId="5" fillId="0" borderId="8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vertical="center" wrapText="1"/>
      <protection locked="0"/>
    </xf>
    <xf numFmtId="0" fontId="1" fillId="0" borderId="4" xfId="0" applyFont="1" applyFill="1" applyBorder="1" applyAlignment="1" applyProtection="1">
      <alignment vertical="center" wrapText="1"/>
      <protection locked="0"/>
    </xf>
    <xf numFmtId="0" fontId="1" fillId="0" borderId="4" xfId="0" applyFont="1" applyBorder="1" applyAlignment="1" applyProtection="1">
      <alignment vertical="center" wrapText="1"/>
      <protection locked="0"/>
    </xf>
    <xf numFmtId="0" fontId="1" fillId="0" borderId="5" xfId="0" applyFont="1" applyBorder="1" applyAlignment="1" applyProtection="1">
      <alignment vertical="center" wrapText="1"/>
      <protection locked="0"/>
    </xf>
    <xf numFmtId="0" fontId="1" fillId="0" borderId="6" xfId="0" applyFont="1" applyFill="1" applyBorder="1" applyAlignment="1" applyProtection="1">
      <alignment vertical="center" wrapText="1"/>
      <protection locked="0"/>
    </xf>
    <xf numFmtId="0" fontId="1" fillId="0" borderId="7" xfId="0" applyFont="1" applyBorder="1" applyAlignment="1" applyProtection="1">
      <alignment vertical="center" wrapText="1"/>
      <protection locked="0"/>
    </xf>
    <xf numFmtId="0" fontId="1" fillId="0" borderId="1" xfId="0" applyFont="1" applyFill="1" applyBorder="1" applyAlignment="1" applyProtection="1">
      <alignment vertical="center" wrapText="1"/>
      <protection locked="0"/>
    </xf>
    <xf numFmtId="0" fontId="1" fillId="0" borderId="2" xfId="0" applyFont="1" applyFill="1" applyBorder="1" applyAlignment="1" applyProtection="1">
      <alignment vertical="center" wrapText="1"/>
      <protection locked="0"/>
    </xf>
    <xf numFmtId="0" fontId="1" fillId="0" borderId="2" xfId="0" applyFont="1" applyBorder="1" applyAlignment="1" applyProtection="1">
      <alignment vertical="center" wrapText="1"/>
      <protection locked="0"/>
    </xf>
    <xf numFmtId="0" fontId="1" fillId="0" borderId="8" xfId="0" applyFont="1" applyBorder="1" applyAlignment="1" applyProtection="1">
      <alignment vertical="center" wrapText="1"/>
      <protection locked="0"/>
    </xf>
    <xf numFmtId="0" fontId="12" fillId="0" borderId="6" xfId="0" applyFont="1" applyFill="1" applyBorder="1" applyAlignment="1" applyProtection="1">
      <alignment horizontal="left" vertical="center" wrapText="1"/>
      <protection locked="0"/>
    </xf>
    <xf numFmtId="0" fontId="12" fillId="0" borderId="0" xfId="0" applyFont="1" applyFill="1" applyBorder="1" applyAlignment="1" applyProtection="1">
      <alignment horizontal="left" vertical="center" wrapText="1"/>
      <protection locked="0"/>
    </xf>
    <xf numFmtId="0" fontId="12" fillId="0" borderId="7" xfId="0" applyFont="1" applyFill="1" applyBorder="1" applyAlignment="1" applyProtection="1">
      <alignment horizontal="left" vertical="center" wrapText="1"/>
      <protection locked="0"/>
    </xf>
    <xf numFmtId="0" fontId="12" fillId="0" borderId="1" xfId="0" applyFont="1" applyFill="1" applyBorder="1" applyAlignment="1" applyProtection="1">
      <alignment horizontal="left" vertical="center" wrapText="1"/>
      <protection locked="0"/>
    </xf>
    <xf numFmtId="0" fontId="12" fillId="0" borderId="2" xfId="0" applyFont="1" applyFill="1" applyBorder="1" applyAlignment="1" applyProtection="1">
      <alignment horizontal="left" vertical="center" wrapText="1"/>
      <protection locked="0"/>
    </xf>
    <xf numFmtId="0" fontId="12" fillId="0" borderId="8" xfId="0" applyFont="1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0</xdr:row>
      <xdr:rowOff>0</xdr:rowOff>
    </xdr:from>
    <xdr:to>
      <xdr:col>5</xdr:col>
      <xdr:colOff>104775</xdr:colOff>
      <xdr:row>0</xdr:row>
      <xdr:rowOff>0</xdr:rowOff>
    </xdr:to>
    <xdr:pic>
      <xdr:nvPicPr>
        <xdr:cNvPr id="1185" name="Picture 14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43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9525</xdr:colOff>
      <xdr:row>0</xdr:row>
      <xdr:rowOff>0</xdr:rowOff>
    </xdr:from>
    <xdr:to>
      <xdr:col>20</xdr:col>
      <xdr:colOff>0</xdr:colOff>
      <xdr:row>0</xdr:row>
      <xdr:rowOff>0</xdr:rowOff>
    </xdr:to>
    <xdr:sp macro="" textlink="" fLocksText="0">
      <xdr:nvSpPr>
        <xdr:cNvPr id="1039" name="Text Box 15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 txBox="1">
          <a:spLocks noChangeArrowheads="1"/>
        </xdr:cNvSpPr>
      </xdr:nvSpPr>
      <xdr:spPr bwMode="auto">
        <a:xfrm>
          <a:off x="5153025" y="0"/>
          <a:ext cx="1704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REFERENCE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du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CHANTIER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87" name="Rectangle 16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85800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400050</xdr:colOff>
      <xdr:row>0</xdr:row>
      <xdr:rowOff>0</xdr:rowOff>
    </xdr:from>
    <xdr:to>
      <xdr:col>15</xdr:col>
      <xdr:colOff>9525</xdr:colOff>
      <xdr:row>0</xdr:row>
      <xdr:rowOff>0</xdr:rowOff>
    </xdr:to>
    <xdr:sp macro="" textlink="">
      <xdr:nvSpPr>
        <xdr:cNvPr id="1041" name="Text Box 17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 txBox="1">
          <a:spLocks noChangeArrowheads="1"/>
        </xdr:cNvSpPr>
      </xdr:nvSpPr>
      <xdr:spPr bwMode="auto">
        <a:xfrm>
          <a:off x="1714500" y="0"/>
          <a:ext cx="34385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EQUIVALENT DE SABLE</a:t>
          </a:r>
        </a:p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(NF P 18-598)</a:t>
          </a:r>
        </a:p>
      </xdr:txBody>
    </xdr:sp>
    <xdr:clientData/>
  </xdr:twoCellAnchor>
  <xdr:twoCellAnchor>
    <xdr:from>
      <xdr:col>4</xdr:col>
      <xdr:colOff>400050</xdr:colOff>
      <xdr:row>0</xdr:row>
      <xdr:rowOff>0</xdr:rowOff>
    </xdr:from>
    <xdr:to>
      <xdr:col>9</xdr:col>
      <xdr:colOff>47625</xdr:colOff>
      <xdr:row>0</xdr:row>
      <xdr:rowOff>0</xdr:rowOff>
    </xdr:to>
    <xdr:sp macro="" textlink="">
      <xdr:nvSpPr>
        <xdr:cNvPr id="1042" name="Text Box 18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 txBox="1">
          <a:spLocks noChangeArrowheads="1"/>
        </xdr:cNvSpPr>
      </xdr:nvSpPr>
      <xdr:spPr bwMode="auto">
        <a:xfrm>
          <a:off x="1714500" y="0"/>
          <a:ext cx="14192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PV D'ESSAIS</a:t>
          </a: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ES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9</xdr:col>
      <xdr:colOff>38100</xdr:colOff>
      <xdr:row>0</xdr:row>
      <xdr:rowOff>0</xdr:rowOff>
    </xdr:from>
    <xdr:to>
      <xdr:col>10</xdr:col>
      <xdr:colOff>38100</xdr:colOff>
      <xdr:row>0</xdr:row>
      <xdr:rowOff>0</xdr:rowOff>
    </xdr:to>
    <xdr:sp macro="" textlink="" fLocksText="0">
      <xdr:nvSpPr>
        <xdr:cNvPr id="1043" name="Text Box 19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 txBox="1">
          <a:spLocks noChangeArrowheads="1"/>
        </xdr:cNvSpPr>
      </xdr:nvSpPr>
      <xdr:spPr bwMode="auto">
        <a:xfrm>
          <a:off x="3124200" y="0"/>
          <a:ext cx="3429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4</a:t>
          </a:r>
        </a:p>
      </xdr:txBody>
    </xdr:sp>
    <xdr:clientData/>
  </xdr:twoCellAnchor>
  <xdr:twoCellAnchor>
    <xdr:from>
      <xdr:col>10</xdr:col>
      <xdr:colOff>57150</xdr:colOff>
      <xdr:row>0</xdr:row>
      <xdr:rowOff>0</xdr:rowOff>
    </xdr:from>
    <xdr:to>
      <xdr:col>12</xdr:col>
      <xdr:colOff>104775</xdr:colOff>
      <xdr:row>0</xdr:row>
      <xdr:rowOff>0</xdr:rowOff>
    </xdr:to>
    <xdr:sp macro="" textlink="" fLocksText="0">
      <xdr:nvSpPr>
        <xdr:cNvPr id="1044" name="Text Box 20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 txBox="1">
          <a:spLocks noChangeArrowheads="1"/>
        </xdr:cNvSpPr>
      </xdr:nvSpPr>
      <xdr:spPr bwMode="auto">
        <a:xfrm>
          <a:off x="3486150" y="0"/>
          <a:ext cx="7334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SO 6123</a:t>
          </a:r>
        </a:p>
      </xdr:txBody>
    </xdr:sp>
    <xdr:clientData/>
  </xdr:twoCellAnchor>
  <xdr:twoCellAnchor>
    <xdr:from>
      <xdr:col>12</xdr:col>
      <xdr:colOff>123825</xdr:colOff>
      <xdr:row>0</xdr:row>
      <xdr:rowOff>0</xdr:rowOff>
    </xdr:from>
    <xdr:to>
      <xdr:col>15</xdr:col>
      <xdr:colOff>9525</xdr:colOff>
      <xdr:row>0</xdr:row>
      <xdr:rowOff>0</xdr:rowOff>
    </xdr:to>
    <xdr:sp macro="" textlink="" fLocksText="0">
      <xdr:nvSpPr>
        <xdr:cNvPr id="1045" name="Text Box 2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 txBox="1">
          <a:spLocks noChangeArrowheads="1"/>
        </xdr:cNvSpPr>
      </xdr:nvSpPr>
      <xdr:spPr bwMode="auto">
        <a:xfrm>
          <a:off x="4238625" y="0"/>
          <a:ext cx="9144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20/10/2004</a:t>
          </a:r>
        </a:p>
      </xdr:txBody>
    </xdr:sp>
    <xdr:clientData/>
  </xdr:twoCellAnchor>
  <xdr:twoCellAnchor>
    <xdr:from>
      <xdr:col>5</xdr:col>
      <xdr:colOff>171450</xdr:colOff>
      <xdr:row>0</xdr:row>
      <xdr:rowOff>0</xdr:rowOff>
    </xdr:from>
    <xdr:to>
      <xdr:col>15</xdr:col>
      <xdr:colOff>9525</xdr:colOff>
      <xdr:row>0</xdr:row>
      <xdr:rowOff>0</xdr:rowOff>
    </xdr:to>
    <xdr:sp macro="" textlink="">
      <xdr:nvSpPr>
        <xdr:cNvPr id="1193" name="Rectangle 22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>
          <a:spLocks noChangeArrowheads="1"/>
        </xdr:cNvSpPr>
      </xdr:nvSpPr>
      <xdr:spPr bwMode="auto">
        <a:xfrm>
          <a:off x="1885950" y="0"/>
          <a:ext cx="326707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114300</xdr:colOff>
      <xdr:row>0</xdr:row>
      <xdr:rowOff>0</xdr:rowOff>
    </xdr:from>
    <xdr:to>
      <xdr:col>5</xdr:col>
      <xdr:colOff>85725</xdr:colOff>
      <xdr:row>0</xdr:row>
      <xdr:rowOff>0</xdr:rowOff>
    </xdr:to>
    <xdr:sp macro="" textlink="" fLocksText="0">
      <xdr:nvSpPr>
        <xdr:cNvPr id="1047" name="Text Box 23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 txBox="1">
          <a:spLocks noChangeArrowheads="1"/>
        </xdr:cNvSpPr>
      </xdr:nvSpPr>
      <xdr:spPr bwMode="auto">
        <a:xfrm flipV="1">
          <a:off x="114300" y="0"/>
          <a:ext cx="16859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LABORATOIRE ILE DE FRANCE</a:t>
          </a:r>
        </a:p>
      </xdr:txBody>
    </xdr:sp>
    <xdr:clientData/>
  </xdr:twoCellAnchor>
  <xdr:twoCellAnchor>
    <xdr:from>
      <xdr:col>9</xdr:col>
      <xdr:colOff>371475</xdr:colOff>
      <xdr:row>0</xdr:row>
      <xdr:rowOff>0</xdr:rowOff>
    </xdr:from>
    <xdr:to>
      <xdr:col>10</xdr:col>
      <xdr:colOff>114300</xdr:colOff>
      <xdr:row>0</xdr:row>
      <xdr:rowOff>0</xdr:rowOff>
    </xdr:to>
    <xdr:sp macro="" textlink="">
      <xdr:nvSpPr>
        <xdr:cNvPr id="1048" name="Text Box 24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 txBox="1">
          <a:spLocks noChangeArrowheads="1"/>
        </xdr:cNvSpPr>
      </xdr:nvSpPr>
      <xdr:spPr bwMode="auto">
        <a:xfrm>
          <a:off x="3429000" y="0"/>
          <a:ext cx="1143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12</xdr:col>
      <xdr:colOff>47625</xdr:colOff>
      <xdr:row>0</xdr:row>
      <xdr:rowOff>0</xdr:rowOff>
    </xdr:from>
    <xdr:to>
      <xdr:col>12</xdr:col>
      <xdr:colOff>219075</xdr:colOff>
      <xdr:row>0</xdr:row>
      <xdr:rowOff>0</xdr:rowOff>
    </xdr:to>
    <xdr:sp macro="" textlink="">
      <xdr:nvSpPr>
        <xdr:cNvPr id="1049" name="Text Box 25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 txBox="1">
          <a:spLocks noChangeArrowheads="1"/>
        </xdr:cNvSpPr>
      </xdr:nvSpPr>
      <xdr:spPr bwMode="auto">
        <a:xfrm>
          <a:off x="4162425" y="0"/>
          <a:ext cx="1714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10</xdr:col>
      <xdr:colOff>76200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1050" name="Text Box 26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 txBox="1">
          <a:spLocks noChangeArrowheads="1"/>
        </xdr:cNvSpPr>
      </xdr:nvSpPr>
      <xdr:spPr bwMode="auto">
        <a:xfrm>
          <a:off x="3505200" y="0"/>
          <a:ext cx="7334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0</xdr:col>
      <xdr:colOff>95250</xdr:colOff>
      <xdr:row>0</xdr:row>
      <xdr:rowOff>0</xdr:rowOff>
    </xdr:from>
    <xdr:to>
      <xdr:col>5</xdr:col>
      <xdr:colOff>114300</xdr:colOff>
      <xdr:row>0</xdr:row>
      <xdr:rowOff>0</xdr:rowOff>
    </xdr:to>
    <xdr:pic>
      <xdr:nvPicPr>
        <xdr:cNvPr id="1198" name="Picture 27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0"/>
          <a:ext cx="1733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19050</xdr:colOff>
      <xdr:row>0</xdr:row>
      <xdr:rowOff>0</xdr:rowOff>
    </xdr:from>
    <xdr:to>
      <xdr:col>10</xdr:col>
      <xdr:colOff>38100</xdr:colOff>
      <xdr:row>0</xdr:row>
      <xdr:rowOff>0</xdr:rowOff>
    </xdr:to>
    <xdr:sp macro="" textlink="">
      <xdr:nvSpPr>
        <xdr:cNvPr id="1052" name="Text Box 28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 txBox="1">
          <a:spLocks noChangeArrowheads="1"/>
        </xdr:cNvSpPr>
      </xdr:nvSpPr>
      <xdr:spPr bwMode="auto">
        <a:xfrm>
          <a:off x="3105150" y="0"/>
          <a:ext cx="3619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11</xdr:col>
      <xdr:colOff>371475</xdr:colOff>
      <xdr:row>0</xdr:row>
      <xdr:rowOff>0</xdr:rowOff>
    </xdr:from>
    <xdr:to>
      <xdr:col>15</xdr:col>
      <xdr:colOff>123825</xdr:colOff>
      <xdr:row>0</xdr:row>
      <xdr:rowOff>0</xdr:rowOff>
    </xdr:to>
    <xdr:sp macro="" textlink="">
      <xdr:nvSpPr>
        <xdr:cNvPr id="1053" name="Text Box 29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SpPr txBox="1">
          <a:spLocks noChangeArrowheads="1"/>
        </xdr:cNvSpPr>
      </xdr:nvSpPr>
      <xdr:spPr bwMode="auto">
        <a:xfrm>
          <a:off x="4114800" y="0"/>
          <a:ext cx="11525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PV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373380</xdr:colOff>
          <xdr:row>24</xdr:row>
          <xdr:rowOff>0</xdr:rowOff>
        </xdr:from>
        <xdr:to>
          <xdr:col>2</xdr:col>
          <xdr:colOff>15240</xdr:colOff>
          <xdr:row>25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373380</xdr:colOff>
          <xdr:row>26</xdr:row>
          <xdr:rowOff>0</xdr:rowOff>
        </xdr:from>
        <xdr:to>
          <xdr:col>2</xdr:col>
          <xdr:colOff>15240</xdr:colOff>
          <xdr:row>27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373380</xdr:colOff>
          <xdr:row>28</xdr:row>
          <xdr:rowOff>0</xdr:rowOff>
        </xdr:from>
        <xdr:to>
          <xdr:col>2</xdr:col>
          <xdr:colOff>0</xdr:colOff>
          <xdr:row>29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457200</xdr:colOff>
          <xdr:row>66</xdr:row>
          <xdr:rowOff>175260</xdr:rowOff>
        </xdr:from>
        <xdr:to>
          <xdr:col>28</xdr:col>
          <xdr:colOff>476250</xdr:colOff>
          <xdr:row>69</xdr:row>
          <xdr:rowOff>19050</xdr:rowOff>
        </xdr:to>
        <xdr:sp macro="" textlink="">
          <xdr:nvSpPr>
            <xdr:cNvPr id="1097" name="CommandButton1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38100</xdr:colOff>
      <xdr:row>1</xdr:row>
      <xdr:rowOff>152400</xdr:rowOff>
    </xdr:from>
    <xdr:to>
      <xdr:col>4</xdr:col>
      <xdr:colOff>304800</xdr:colOff>
      <xdr:row>3</xdr:row>
      <xdr:rowOff>152400</xdr:rowOff>
    </xdr:to>
    <xdr:pic>
      <xdr:nvPicPr>
        <xdr:cNvPr id="26" name="Image 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1432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C91"/>
  <sheetViews>
    <sheetView showZeros="0" tabSelected="1" workbookViewId="0">
      <selection activeCell="A64" sqref="A64:Q64"/>
    </sheetView>
  </sheetViews>
  <sheetFormatPr baseColWidth="10" defaultColWidth="11.44140625" defaultRowHeight="12.75" customHeight="1" x14ac:dyDescent="0.25"/>
  <cols>
    <col min="1" max="26" width="5.109375" style="1" customWidth="1"/>
    <col min="27" max="16384" width="11.44140625" style="1"/>
  </cols>
  <sheetData>
    <row r="1" spans="1:26" ht="12.75" customHeight="1" x14ac:dyDescent="0.25">
      <c r="A1" s="41"/>
      <c r="B1" s="42"/>
      <c r="C1" s="42"/>
      <c r="D1" s="42"/>
      <c r="E1" s="42"/>
      <c r="F1" s="43"/>
      <c r="G1" s="58" t="s">
        <v>62</v>
      </c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60"/>
      <c r="U1" s="61"/>
      <c r="V1" s="62"/>
      <c r="W1" s="62"/>
      <c r="X1" s="62"/>
      <c r="Y1" s="62"/>
      <c r="Z1" s="63"/>
    </row>
    <row r="2" spans="1:26" ht="12.75" customHeight="1" x14ac:dyDescent="0.25">
      <c r="A2" s="55"/>
      <c r="B2" s="56"/>
      <c r="C2" s="56"/>
      <c r="D2" s="56"/>
      <c r="E2" s="56"/>
      <c r="F2" s="57"/>
      <c r="G2" s="70" t="s">
        <v>63</v>
      </c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2"/>
      <c r="U2" s="64"/>
      <c r="V2" s="65"/>
      <c r="W2" s="65"/>
      <c r="X2" s="65"/>
      <c r="Y2" s="65"/>
      <c r="Z2" s="66"/>
    </row>
    <row r="3" spans="1:26" ht="12.75" customHeight="1" x14ac:dyDescent="0.25">
      <c r="A3" s="55"/>
      <c r="B3" s="56"/>
      <c r="C3" s="56"/>
      <c r="D3" s="56"/>
      <c r="E3" s="56"/>
      <c r="F3" s="57"/>
      <c r="G3" s="70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2"/>
      <c r="U3" s="64"/>
      <c r="V3" s="65"/>
      <c r="W3" s="65"/>
      <c r="X3" s="65"/>
      <c r="Y3" s="65"/>
      <c r="Z3" s="66"/>
    </row>
    <row r="4" spans="1:26" ht="12.75" customHeight="1" x14ac:dyDescent="0.25">
      <c r="A4" s="55"/>
      <c r="B4" s="56"/>
      <c r="C4" s="56"/>
      <c r="D4" s="56"/>
      <c r="E4" s="56"/>
      <c r="F4" s="57"/>
      <c r="G4" s="70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2"/>
      <c r="U4" s="64"/>
      <c r="V4" s="65"/>
      <c r="W4" s="65"/>
      <c r="X4" s="65"/>
      <c r="Y4" s="65"/>
      <c r="Z4" s="66"/>
    </row>
    <row r="5" spans="1:26" ht="12.75" customHeight="1" x14ac:dyDescent="0.25">
      <c r="A5" s="55"/>
      <c r="B5" s="56"/>
      <c r="C5" s="56"/>
      <c r="D5" s="56"/>
      <c r="E5" s="56"/>
      <c r="F5" s="57"/>
      <c r="G5" s="73" t="s">
        <v>61</v>
      </c>
      <c r="H5" s="74"/>
      <c r="I5" s="2" t="s">
        <v>57</v>
      </c>
      <c r="J5" s="95"/>
      <c r="K5" s="96"/>
      <c r="L5" s="97"/>
      <c r="M5" s="95"/>
      <c r="N5" s="95"/>
      <c r="O5" s="96"/>
      <c r="P5" s="98"/>
      <c r="Q5" s="99"/>
      <c r="R5" s="99"/>
      <c r="S5" s="99"/>
      <c r="T5" s="100"/>
      <c r="U5" s="64"/>
      <c r="V5" s="65"/>
      <c r="W5" s="65"/>
      <c r="X5" s="65"/>
      <c r="Y5" s="65"/>
      <c r="Z5" s="66"/>
    </row>
    <row r="6" spans="1:26" ht="12.75" customHeight="1" x14ac:dyDescent="0.25">
      <c r="A6" s="44"/>
      <c r="B6" s="45"/>
      <c r="C6" s="45"/>
      <c r="D6" s="45"/>
      <c r="E6" s="45"/>
      <c r="F6" s="46"/>
      <c r="G6" s="3"/>
      <c r="H6" s="4"/>
      <c r="I6" s="4"/>
      <c r="J6" s="75" t="s">
        <v>58</v>
      </c>
      <c r="K6" s="75"/>
      <c r="L6" s="75" t="s">
        <v>59</v>
      </c>
      <c r="M6" s="75"/>
      <c r="N6" s="75"/>
      <c r="O6" s="75"/>
      <c r="P6" s="75" t="s">
        <v>60</v>
      </c>
      <c r="Q6" s="75"/>
      <c r="R6" s="75"/>
      <c r="S6" s="75"/>
      <c r="T6" s="76"/>
      <c r="U6" s="67"/>
      <c r="V6" s="68"/>
      <c r="W6" s="68"/>
      <c r="X6" s="68"/>
      <c r="Y6" s="68"/>
      <c r="Z6" s="69"/>
    </row>
    <row r="7" spans="1:26" ht="36.75" customHeight="1" x14ac:dyDescent="0.25">
      <c r="A7" s="53" t="s">
        <v>40</v>
      </c>
      <c r="B7" s="53"/>
      <c r="C7" s="53"/>
      <c r="D7" s="53"/>
      <c r="E7" s="53"/>
      <c r="F7" s="53"/>
      <c r="G7" s="54" t="s">
        <v>56</v>
      </c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15.6" customHeight="1" x14ac:dyDescent="0.25">
      <c r="A8" s="5" t="s">
        <v>1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9.6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.9" customHeight="1" x14ac:dyDescent="0.25">
      <c r="A10" s="10"/>
      <c r="B10" s="101" t="s">
        <v>39</v>
      </c>
      <c r="C10" s="101"/>
      <c r="D10" s="101"/>
      <c r="E10" s="101"/>
      <c r="F10" s="101"/>
      <c r="G10" s="102"/>
      <c r="H10" s="102"/>
      <c r="I10" s="102"/>
      <c r="J10" s="102"/>
      <c r="K10" s="102"/>
      <c r="L10" s="102"/>
      <c r="M10" s="103"/>
      <c r="N10" s="101" t="s">
        <v>3</v>
      </c>
      <c r="O10" s="101"/>
      <c r="P10" s="101"/>
      <c r="Q10" s="101"/>
      <c r="R10" s="101"/>
      <c r="S10" s="102"/>
      <c r="T10" s="102"/>
      <c r="U10" s="102"/>
      <c r="V10" s="102"/>
      <c r="W10" s="102"/>
      <c r="X10" s="102"/>
      <c r="Y10" s="102"/>
      <c r="Z10" s="14"/>
    </row>
    <row r="11" spans="1:26" ht="15.9" customHeight="1" x14ac:dyDescent="0.25">
      <c r="A11" s="10"/>
      <c r="B11" s="101" t="s">
        <v>2</v>
      </c>
      <c r="C11" s="101"/>
      <c r="D11" s="101"/>
      <c r="E11" s="101"/>
      <c r="F11" s="101"/>
      <c r="G11" s="104"/>
      <c r="H11" s="104"/>
      <c r="I11" s="104"/>
      <c r="J11" s="104"/>
      <c r="K11" s="104"/>
      <c r="L11" s="104"/>
      <c r="M11" s="103"/>
      <c r="N11" s="101" t="s">
        <v>4</v>
      </c>
      <c r="O11" s="101"/>
      <c r="P11" s="101"/>
      <c r="Q11" s="101"/>
      <c r="R11" s="101"/>
      <c r="S11" s="102"/>
      <c r="T11" s="102"/>
      <c r="U11" s="102"/>
      <c r="V11" s="102"/>
      <c r="W11" s="102"/>
      <c r="X11" s="102"/>
      <c r="Y11" s="102"/>
      <c r="Z11" s="14"/>
    </row>
    <row r="12" spans="1:26" ht="15.9" customHeight="1" x14ac:dyDescent="0.25">
      <c r="A12" s="10"/>
      <c r="B12" s="101" t="s">
        <v>36</v>
      </c>
      <c r="C12" s="101"/>
      <c r="D12" s="101"/>
      <c r="E12" s="101"/>
      <c r="F12" s="101"/>
      <c r="G12" s="104"/>
      <c r="H12" s="104"/>
      <c r="I12" s="104"/>
      <c r="J12" s="104"/>
      <c r="K12" s="104"/>
      <c r="L12" s="104"/>
      <c r="M12" s="103"/>
      <c r="N12" s="101" t="s">
        <v>5</v>
      </c>
      <c r="O12" s="101"/>
      <c r="P12" s="101"/>
      <c r="Q12" s="101"/>
      <c r="R12" s="101"/>
      <c r="S12" s="102"/>
      <c r="T12" s="102"/>
      <c r="U12" s="102"/>
      <c r="V12" s="102"/>
      <c r="W12" s="102"/>
      <c r="X12" s="102"/>
      <c r="Y12" s="102"/>
      <c r="Z12" s="14"/>
    </row>
    <row r="13" spans="1:26" ht="9" customHeight="1" x14ac:dyDescent="0.25">
      <c r="A13" s="3"/>
      <c r="B13" s="4"/>
      <c r="C13" s="4"/>
      <c r="D13" s="15"/>
      <c r="E13" s="15"/>
      <c r="F13" s="15"/>
      <c r="G13" s="15"/>
      <c r="H13" s="4"/>
      <c r="I13" s="4"/>
      <c r="J13" s="4"/>
      <c r="K13" s="4"/>
      <c r="L13" s="4"/>
      <c r="M13" s="4"/>
      <c r="N13" s="16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7"/>
    </row>
    <row r="14" spans="1:26" ht="12.75" customHeight="1" x14ac:dyDescent="0.25">
      <c r="A14" s="18"/>
      <c r="B14" s="18"/>
      <c r="C14" s="18"/>
      <c r="D14" s="19"/>
      <c r="E14" s="19"/>
      <c r="F14" s="19"/>
      <c r="G14" s="19"/>
      <c r="H14" s="18"/>
      <c r="I14" s="18"/>
      <c r="J14" s="18"/>
      <c r="K14" s="18"/>
      <c r="L14" s="18"/>
      <c r="M14" s="18"/>
      <c r="N14" s="20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spans="1:26" ht="15.6" customHeight="1" x14ac:dyDescent="0.25">
      <c r="A15" s="5" t="s">
        <v>18</v>
      </c>
      <c r="B15" s="6" t="s">
        <v>19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9"/>
    </row>
    <row r="16" spans="1:26" ht="7.5" customHeight="1" x14ac:dyDescent="0.25">
      <c r="A16" s="10"/>
      <c r="B16" s="2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3"/>
    </row>
    <row r="17" spans="1:26" ht="15" customHeight="1" x14ac:dyDescent="0.25">
      <c r="A17" s="10"/>
      <c r="B17" s="101" t="s">
        <v>37</v>
      </c>
      <c r="C17" s="101"/>
      <c r="D17" s="101"/>
      <c r="E17" s="101"/>
      <c r="F17" s="101"/>
      <c r="G17" s="101"/>
      <c r="H17" s="101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  <c r="Z17" s="14"/>
    </row>
    <row r="18" spans="1:26" ht="15" customHeight="1" x14ac:dyDescent="0.25">
      <c r="A18" s="10"/>
      <c r="B18" s="101" t="s">
        <v>17</v>
      </c>
      <c r="C18" s="101"/>
      <c r="D18" s="101"/>
      <c r="E18" s="101"/>
      <c r="F18" s="101"/>
      <c r="G18" s="101"/>
      <c r="H18" s="101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X18" s="102"/>
      <c r="Y18" s="102"/>
      <c r="Z18" s="14"/>
    </row>
    <row r="19" spans="1:26" ht="15" customHeight="1" x14ac:dyDescent="0.25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17"/>
    </row>
    <row r="20" spans="1:26" ht="15" customHeigh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spans="1:26" ht="15.6" customHeight="1" x14ac:dyDescent="0.25">
      <c r="A21" s="5" t="s">
        <v>16</v>
      </c>
      <c r="B21" s="6" t="s">
        <v>13</v>
      </c>
      <c r="C21" s="7"/>
      <c r="D21" s="8"/>
      <c r="E21" s="8"/>
      <c r="F21" s="8"/>
      <c r="G21" s="8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9"/>
    </row>
    <row r="22" spans="1:26" ht="9" customHeight="1" x14ac:dyDescent="0.25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22"/>
      <c r="T22" s="11"/>
      <c r="U22" s="11"/>
      <c r="V22" s="11"/>
      <c r="W22" s="11"/>
      <c r="X22" s="11"/>
      <c r="Y22" s="11"/>
      <c r="Z22" s="13"/>
    </row>
    <row r="23" spans="1:26" ht="15.75" customHeight="1" x14ac:dyDescent="0.25">
      <c r="A23" s="10"/>
      <c r="B23" s="105" t="s">
        <v>6</v>
      </c>
      <c r="C23" s="106"/>
      <c r="D23" s="106"/>
      <c r="E23" s="106"/>
      <c r="F23" s="106"/>
      <c r="G23" s="106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1"/>
      <c r="Z23" s="13"/>
    </row>
    <row r="24" spans="1:26" ht="7.5" customHeight="1" x14ac:dyDescent="0.25">
      <c r="A24" s="10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1"/>
      <c r="Z24" s="13"/>
    </row>
    <row r="25" spans="1:26" ht="15.75" customHeight="1" x14ac:dyDescent="0.25">
      <c r="A25" s="10"/>
      <c r="B25" s="107"/>
      <c r="C25" s="107" t="s">
        <v>7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1"/>
      <c r="Z25" s="13"/>
    </row>
    <row r="26" spans="1:26" ht="7.5" customHeight="1" x14ac:dyDescent="0.25">
      <c r="A26" s="10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1"/>
      <c r="Z26" s="13"/>
    </row>
    <row r="27" spans="1:26" ht="15.75" customHeight="1" x14ac:dyDescent="0.25">
      <c r="A27" s="10"/>
      <c r="B27" s="107"/>
      <c r="C27" s="107" t="s">
        <v>38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1"/>
      <c r="Z27" s="13"/>
    </row>
    <row r="28" spans="1:26" ht="7.5" customHeight="1" x14ac:dyDescent="0.25">
      <c r="A28" s="10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1"/>
      <c r="Z28" s="13"/>
    </row>
    <row r="29" spans="1:26" ht="15.75" customHeight="1" x14ac:dyDescent="0.25">
      <c r="A29" s="10"/>
      <c r="B29" s="107"/>
      <c r="C29" s="107" t="s">
        <v>14</v>
      </c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1"/>
      <c r="Z29" s="13"/>
    </row>
    <row r="30" spans="1:26" ht="12" customHeight="1" x14ac:dyDescent="0.25">
      <c r="A30" s="10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1"/>
      <c r="Z30" s="13"/>
    </row>
    <row r="31" spans="1:26" ht="15.75" customHeight="1" x14ac:dyDescent="0.25">
      <c r="A31" s="10"/>
      <c r="B31" s="108" t="s">
        <v>44</v>
      </c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9"/>
      <c r="R31" s="110"/>
      <c r="S31" s="111" t="s">
        <v>8</v>
      </c>
      <c r="T31" s="107"/>
      <c r="U31" s="107"/>
      <c r="V31" s="107"/>
      <c r="W31" s="107"/>
      <c r="X31" s="107"/>
      <c r="Y31" s="11"/>
      <c r="Z31" s="13"/>
    </row>
    <row r="32" spans="1:26" ht="7.5" customHeight="1" x14ac:dyDescent="0.25">
      <c r="A32" s="10"/>
      <c r="B32" s="108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12"/>
      <c r="R32" s="112"/>
      <c r="S32" s="113"/>
      <c r="T32" s="107"/>
      <c r="U32" s="107"/>
      <c r="V32" s="107"/>
      <c r="W32" s="107"/>
      <c r="X32" s="107"/>
      <c r="Y32" s="11"/>
      <c r="Z32" s="13"/>
    </row>
    <row r="33" spans="1:26" ht="15.75" customHeight="1" x14ac:dyDescent="0.25">
      <c r="A33" s="10"/>
      <c r="B33" s="108" t="s">
        <v>45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9"/>
      <c r="R33" s="110"/>
      <c r="S33" s="111" t="s">
        <v>8</v>
      </c>
      <c r="T33" s="107"/>
      <c r="U33" s="107"/>
      <c r="V33" s="107"/>
      <c r="W33" s="107"/>
      <c r="X33" s="107"/>
      <c r="Y33" s="11"/>
      <c r="Z33" s="13"/>
    </row>
    <row r="34" spans="1:26" ht="7.5" customHeight="1" x14ac:dyDescent="0.25">
      <c r="A34" s="10"/>
      <c r="B34" s="107"/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12"/>
      <c r="R34" s="112"/>
      <c r="S34" s="107"/>
      <c r="T34" s="107"/>
      <c r="U34" s="107"/>
      <c r="V34" s="107"/>
      <c r="W34" s="107"/>
      <c r="X34" s="107"/>
      <c r="Y34" s="11"/>
      <c r="Z34" s="13"/>
    </row>
    <row r="35" spans="1:26" ht="15.75" customHeight="1" x14ac:dyDescent="0.25">
      <c r="A35" s="10"/>
      <c r="B35" s="108" t="s">
        <v>15</v>
      </c>
      <c r="C35" s="107"/>
      <c r="D35" s="107"/>
      <c r="E35" s="107"/>
      <c r="F35" s="107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14" t="str">
        <f>IF(Q31&lt;&gt;"",Q33*100/Q31,"")</f>
        <v/>
      </c>
      <c r="R35" s="115"/>
      <c r="S35" s="111" t="s">
        <v>8</v>
      </c>
      <c r="T35" s="107"/>
      <c r="U35" s="107"/>
      <c r="V35" s="107"/>
      <c r="W35" s="107"/>
      <c r="X35" s="107"/>
      <c r="Y35" s="11"/>
      <c r="Z35" s="13"/>
    </row>
    <row r="36" spans="1:26" ht="10.5" customHeight="1" x14ac:dyDescent="0.25">
      <c r="A36" s="10"/>
      <c r="B36" s="108"/>
      <c r="C36" s="107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1"/>
      <c r="Z36" s="13"/>
    </row>
    <row r="37" spans="1:26" ht="15.75" customHeight="1" x14ac:dyDescent="0.25">
      <c r="A37" s="10"/>
      <c r="B37" s="105" t="s">
        <v>9</v>
      </c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1"/>
      <c r="Z37" s="13"/>
    </row>
    <row r="38" spans="1:26" ht="7.5" customHeight="1" x14ac:dyDescent="0.25">
      <c r="A38" s="10"/>
      <c r="B38" s="107"/>
      <c r="C38" s="107"/>
      <c r="D38" s="107"/>
      <c r="E38" s="107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1"/>
      <c r="Z38" s="13"/>
    </row>
    <row r="39" spans="1:26" ht="15.75" customHeight="1" x14ac:dyDescent="0.25">
      <c r="A39" s="10"/>
      <c r="B39" s="116" t="s">
        <v>20</v>
      </c>
      <c r="C39" s="117"/>
      <c r="D39" s="118"/>
      <c r="E39" s="116" t="s">
        <v>55</v>
      </c>
      <c r="F39" s="117"/>
      <c r="G39" s="118"/>
      <c r="H39" s="116" t="s">
        <v>22</v>
      </c>
      <c r="I39" s="117"/>
      <c r="J39" s="118"/>
      <c r="K39" s="116" t="s">
        <v>23</v>
      </c>
      <c r="L39" s="117"/>
      <c r="M39" s="118"/>
      <c r="N39" s="116" t="s">
        <v>24</v>
      </c>
      <c r="O39" s="117"/>
      <c r="P39" s="118"/>
      <c r="Q39" s="116" t="s">
        <v>25</v>
      </c>
      <c r="R39" s="117"/>
      <c r="S39" s="118"/>
      <c r="T39" s="116" t="s">
        <v>21</v>
      </c>
      <c r="U39" s="117"/>
      <c r="V39" s="118"/>
      <c r="W39" s="107"/>
      <c r="X39" s="107"/>
      <c r="Y39" s="11"/>
      <c r="Z39" s="13"/>
    </row>
    <row r="40" spans="1:26" ht="15.75" customHeight="1" x14ac:dyDescent="0.25">
      <c r="A40" s="10"/>
      <c r="B40" s="119"/>
      <c r="C40" s="120"/>
      <c r="D40" s="121"/>
      <c r="E40" s="119"/>
      <c r="F40" s="120"/>
      <c r="G40" s="121"/>
      <c r="H40" s="119"/>
      <c r="I40" s="120"/>
      <c r="J40" s="121"/>
      <c r="K40" s="119"/>
      <c r="L40" s="120"/>
      <c r="M40" s="121"/>
      <c r="N40" s="119"/>
      <c r="O40" s="120"/>
      <c r="P40" s="121"/>
      <c r="Q40" s="119"/>
      <c r="R40" s="120"/>
      <c r="S40" s="121"/>
      <c r="T40" s="119"/>
      <c r="U40" s="120"/>
      <c r="V40" s="121"/>
      <c r="W40" s="107"/>
      <c r="X40" s="107"/>
      <c r="Y40" s="11"/>
      <c r="Z40" s="13"/>
    </row>
    <row r="41" spans="1:26" ht="28.5" customHeight="1" x14ac:dyDescent="0.25">
      <c r="A41" s="10"/>
      <c r="B41" s="122"/>
      <c r="C41" s="123"/>
      <c r="D41" s="124"/>
      <c r="E41" s="122"/>
      <c r="F41" s="123"/>
      <c r="G41" s="124"/>
      <c r="H41" s="122"/>
      <c r="I41" s="123"/>
      <c r="J41" s="124"/>
      <c r="K41" s="122"/>
      <c r="L41" s="123"/>
      <c r="M41" s="124"/>
      <c r="N41" s="125" t="str">
        <f>IF(K41&lt;&gt;"",K41-E41,"")</f>
        <v/>
      </c>
      <c r="O41" s="126"/>
      <c r="P41" s="127"/>
      <c r="Q41" s="125">
        <f>H41-K41</f>
        <v>0</v>
      </c>
      <c r="R41" s="126"/>
      <c r="S41" s="127"/>
      <c r="T41" s="114" t="str">
        <f>IF(N41&lt;&gt;"",Q41/N41*100,"")</f>
        <v/>
      </c>
      <c r="U41" s="115"/>
      <c r="V41" s="128"/>
      <c r="W41" s="107"/>
      <c r="X41" s="107"/>
      <c r="Y41" s="11"/>
      <c r="Z41" s="13"/>
    </row>
    <row r="42" spans="1:26" ht="10.5" customHeight="1" x14ac:dyDescent="0.25">
      <c r="A42" s="10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1"/>
      <c r="Z42" s="13"/>
    </row>
    <row r="43" spans="1:26" ht="15.75" customHeight="1" x14ac:dyDescent="0.25">
      <c r="A43" s="10"/>
      <c r="B43" s="105" t="s">
        <v>49</v>
      </c>
      <c r="C43" s="106"/>
      <c r="D43" s="106"/>
      <c r="E43" s="106"/>
      <c r="F43" s="106"/>
      <c r="G43" s="106"/>
      <c r="H43" s="106"/>
      <c r="I43" s="106"/>
      <c r="J43" s="107"/>
      <c r="K43" s="107"/>
      <c r="L43" s="107"/>
      <c r="M43" s="107"/>
      <c r="N43" s="129"/>
      <c r="O43" s="106"/>
      <c r="P43" s="106"/>
      <c r="Q43" s="106"/>
      <c r="R43" s="106"/>
      <c r="S43" s="106"/>
      <c r="T43" s="106"/>
      <c r="U43" s="106"/>
      <c r="V43" s="106"/>
      <c r="W43" s="107"/>
      <c r="X43" s="107"/>
      <c r="Y43" s="11"/>
      <c r="Z43" s="13"/>
    </row>
    <row r="44" spans="1:26" ht="7.5" customHeight="1" x14ac:dyDescent="0.25">
      <c r="A44" s="10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1"/>
      <c r="Z44" s="13"/>
    </row>
    <row r="45" spans="1:26" ht="28.5" customHeight="1" x14ac:dyDescent="0.25">
      <c r="A45" s="10"/>
      <c r="B45" s="107" t="s">
        <v>50</v>
      </c>
      <c r="C45" s="107"/>
      <c r="D45" s="107"/>
      <c r="E45" s="107"/>
      <c r="F45" s="129"/>
      <c r="G45" s="125" t="s">
        <v>64</v>
      </c>
      <c r="H45" s="126"/>
      <c r="I45" s="110"/>
      <c r="J45" s="110"/>
      <c r="K45" s="111" t="s">
        <v>10</v>
      </c>
      <c r="L45" s="107"/>
      <c r="M45" s="107"/>
      <c r="N45" s="107" t="s">
        <v>51</v>
      </c>
      <c r="O45" s="107"/>
      <c r="P45" s="107"/>
      <c r="Q45" s="107"/>
      <c r="R45" s="129"/>
      <c r="S45" s="125" t="s">
        <v>65</v>
      </c>
      <c r="T45" s="126"/>
      <c r="U45" s="110"/>
      <c r="V45" s="110"/>
      <c r="W45" s="111" t="s">
        <v>10</v>
      </c>
      <c r="X45" s="129"/>
      <c r="Z45" s="13"/>
    </row>
    <row r="46" spans="1:26" ht="28.5" customHeight="1" x14ac:dyDescent="0.25">
      <c r="A46" s="10"/>
      <c r="B46" s="107" t="s">
        <v>52</v>
      </c>
      <c r="C46" s="107"/>
      <c r="D46" s="107"/>
      <c r="E46" s="107"/>
      <c r="F46" s="129"/>
      <c r="G46" s="125" t="s">
        <v>66</v>
      </c>
      <c r="H46" s="126"/>
      <c r="I46" s="115" t="str">
        <f>IF(I45&lt;&gt;"",I45/(1+T41/100),"")</f>
        <v/>
      </c>
      <c r="J46" s="115"/>
      <c r="K46" s="111" t="s">
        <v>10</v>
      </c>
      <c r="L46" s="107"/>
      <c r="M46" s="107"/>
      <c r="N46" s="107" t="s">
        <v>53</v>
      </c>
      <c r="O46" s="107"/>
      <c r="P46" s="107"/>
      <c r="Q46" s="107"/>
      <c r="R46" s="129"/>
      <c r="S46" s="125" t="s">
        <v>67</v>
      </c>
      <c r="T46" s="126"/>
      <c r="U46" s="115" t="str">
        <f>IF(U45&lt;&gt;"",U45/(1+T41/100),"")</f>
        <v/>
      </c>
      <c r="V46" s="115"/>
      <c r="W46" s="111" t="s">
        <v>10</v>
      </c>
      <c r="X46" s="129"/>
      <c r="Z46" s="13"/>
    </row>
    <row r="47" spans="1:26" ht="7.5" customHeight="1" x14ac:dyDescent="0.25">
      <c r="A47" s="10"/>
      <c r="B47" s="107"/>
      <c r="C47" s="107"/>
      <c r="D47" s="107"/>
      <c r="E47" s="107"/>
      <c r="F47" s="107"/>
      <c r="G47" s="107"/>
      <c r="H47" s="107"/>
      <c r="I47" s="107"/>
      <c r="J47" s="113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1"/>
      <c r="Z47" s="13"/>
    </row>
    <row r="48" spans="1:26" ht="10.5" customHeight="1" x14ac:dyDescent="0.25">
      <c r="A48" s="10"/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1"/>
      <c r="Z48" s="13"/>
    </row>
    <row r="49" spans="1:29" ht="15.75" customHeight="1" x14ac:dyDescent="0.25">
      <c r="A49" s="10"/>
      <c r="B49" s="105" t="s">
        <v>11</v>
      </c>
      <c r="C49" s="129"/>
      <c r="D49" s="129"/>
      <c r="E49" s="129"/>
      <c r="F49" s="129"/>
      <c r="G49" s="129"/>
      <c r="H49" s="129"/>
      <c r="I49" s="129"/>
      <c r="J49" s="129"/>
      <c r="K49" s="107"/>
      <c r="L49" s="129"/>
      <c r="M49" s="130" t="s">
        <v>12</v>
      </c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  <c r="Y49" s="11"/>
      <c r="Z49" s="13"/>
    </row>
    <row r="50" spans="1:29" ht="7.5" customHeight="1" x14ac:dyDescent="0.25">
      <c r="A50" s="10"/>
      <c r="B50" s="131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1"/>
      <c r="Z50" s="13"/>
    </row>
    <row r="51" spans="1:29" ht="28.5" customHeight="1" x14ac:dyDescent="0.25">
      <c r="A51" s="10"/>
      <c r="B51" s="129"/>
      <c r="C51" s="129"/>
      <c r="D51" s="129"/>
      <c r="E51" s="129"/>
      <c r="F51" s="129"/>
      <c r="G51" s="125" t="s">
        <v>27</v>
      </c>
      <c r="H51" s="126"/>
      <c r="I51" s="123"/>
      <c r="J51" s="123"/>
      <c r="K51" s="111" t="s">
        <v>31</v>
      </c>
      <c r="L51" s="129"/>
      <c r="M51" s="129"/>
      <c r="N51" s="129"/>
      <c r="O51" s="129"/>
      <c r="P51" s="129"/>
      <c r="Q51" s="129"/>
      <c r="R51" s="129"/>
      <c r="S51" s="125" t="s">
        <v>29</v>
      </c>
      <c r="T51" s="126"/>
      <c r="U51" s="123"/>
      <c r="V51" s="123"/>
      <c r="W51" s="111" t="s">
        <v>31</v>
      </c>
      <c r="X51" s="129"/>
      <c r="Z51" s="13"/>
    </row>
    <row r="52" spans="1:29" ht="28.5" customHeight="1" x14ac:dyDescent="0.25">
      <c r="A52" s="10"/>
      <c r="B52" s="129"/>
      <c r="C52" s="129"/>
      <c r="D52" s="129"/>
      <c r="E52" s="129"/>
      <c r="F52" s="129"/>
      <c r="G52" s="125" t="s">
        <v>28</v>
      </c>
      <c r="H52" s="126"/>
      <c r="I52" s="132">
        <f>I51/100</f>
        <v>0</v>
      </c>
      <c r="J52" s="132"/>
      <c r="K52" s="111" t="s">
        <v>10</v>
      </c>
      <c r="L52" s="129"/>
      <c r="M52" s="129"/>
      <c r="N52" s="129"/>
      <c r="O52" s="129"/>
      <c r="P52" s="129"/>
      <c r="Q52" s="129"/>
      <c r="R52" s="129"/>
      <c r="S52" s="125" t="s">
        <v>30</v>
      </c>
      <c r="T52" s="126"/>
      <c r="U52" s="132">
        <f>U51/100</f>
        <v>0</v>
      </c>
      <c r="V52" s="132"/>
      <c r="W52" s="111" t="s">
        <v>10</v>
      </c>
      <c r="X52" s="129"/>
      <c r="Z52" s="13"/>
    </row>
    <row r="53" spans="1:29" ht="4.5" customHeight="1" x14ac:dyDescent="0.25">
      <c r="A53" s="10"/>
      <c r="B53" s="129"/>
      <c r="C53" s="129"/>
      <c r="D53" s="129"/>
      <c r="E53" s="129"/>
      <c r="F53" s="107"/>
      <c r="G53" s="107"/>
      <c r="H53" s="107"/>
      <c r="I53" s="113"/>
      <c r="J53" s="107"/>
      <c r="K53" s="129"/>
      <c r="L53" s="129"/>
      <c r="M53" s="129"/>
      <c r="N53" s="129"/>
      <c r="O53" s="107"/>
      <c r="P53" s="107"/>
      <c r="Q53" s="129"/>
      <c r="R53" s="107"/>
      <c r="S53" s="107"/>
      <c r="T53" s="107"/>
      <c r="U53" s="113"/>
      <c r="V53" s="107"/>
      <c r="W53" s="107"/>
      <c r="X53" s="107"/>
      <c r="Y53" s="11"/>
      <c r="Z53" s="13"/>
    </row>
    <row r="54" spans="1:29" ht="14.25" customHeight="1" x14ac:dyDescent="0.25">
      <c r="A54" s="10"/>
      <c r="B54" s="129"/>
      <c r="C54" s="107"/>
      <c r="D54" s="107"/>
      <c r="E54" s="107"/>
      <c r="F54" s="107"/>
      <c r="G54" s="107"/>
      <c r="H54" s="129"/>
      <c r="I54" s="107"/>
      <c r="J54" s="107"/>
      <c r="K54" s="10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1"/>
      <c r="Z54" s="13"/>
    </row>
    <row r="55" spans="1:29" ht="10.5" customHeight="1" x14ac:dyDescent="0.25">
      <c r="A55" s="10"/>
      <c r="B55" s="107"/>
      <c r="C55" s="107"/>
      <c r="D55" s="107"/>
      <c r="E55" s="107"/>
      <c r="F55" s="107"/>
      <c r="G55" s="107"/>
      <c r="H55" s="107"/>
      <c r="I55" s="107"/>
      <c r="J55" s="107"/>
      <c r="K55" s="107"/>
      <c r="L55" s="107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  <c r="Y55" s="11"/>
      <c r="Z55" s="13"/>
    </row>
    <row r="56" spans="1:29" ht="15.75" customHeight="1" x14ac:dyDescent="0.25">
      <c r="A56" s="24"/>
      <c r="B56" s="105" t="s">
        <v>48</v>
      </c>
      <c r="C56" s="107"/>
      <c r="D56" s="107"/>
      <c r="E56" s="107"/>
      <c r="F56" s="107"/>
      <c r="G56" s="107"/>
      <c r="H56" s="107"/>
      <c r="I56" s="107"/>
      <c r="J56" s="107"/>
      <c r="K56" s="107"/>
      <c r="L56" s="107"/>
      <c r="M56" s="107"/>
      <c r="N56" s="107"/>
      <c r="O56" s="105" t="s">
        <v>47</v>
      </c>
      <c r="P56" s="107"/>
      <c r="Q56" s="107"/>
      <c r="R56" s="107"/>
      <c r="S56" s="107"/>
      <c r="T56" s="107"/>
      <c r="U56" s="107"/>
      <c r="V56" s="107"/>
      <c r="W56" s="107"/>
      <c r="X56" s="107"/>
      <c r="Y56" s="11"/>
      <c r="Z56" s="13"/>
    </row>
    <row r="57" spans="1:29" ht="7.5" customHeight="1" x14ac:dyDescent="0.25">
      <c r="A57" s="24"/>
      <c r="B57" s="107"/>
      <c r="C57" s="107"/>
      <c r="D57" s="107"/>
      <c r="E57" s="107"/>
      <c r="F57" s="107"/>
      <c r="G57" s="107"/>
      <c r="H57" s="107"/>
      <c r="I57" s="107"/>
      <c r="J57" s="107"/>
      <c r="K57" s="107"/>
      <c r="L57" s="107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  <c r="Y57" s="11"/>
      <c r="Z57" s="13"/>
    </row>
    <row r="58" spans="1:29" ht="15.75" customHeight="1" x14ac:dyDescent="0.25">
      <c r="A58" s="24"/>
      <c r="B58" s="107" t="s">
        <v>46</v>
      </c>
      <c r="C58" s="107"/>
      <c r="D58" s="107"/>
      <c r="E58" s="107"/>
      <c r="F58" s="107"/>
      <c r="G58" s="107"/>
      <c r="H58" s="107"/>
      <c r="I58" s="107"/>
      <c r="J58" s="107"/>
      <c r="K58" s="107"/>
      <c r="L58" s="107"/>
      <c r="M58" s="107"/>
      <c r="N58" s="107"/>
      <c r="O58" s="107" t="s">
        <v>54</v>
      </c>
      <c r="P58" s="107"/>
      <c r="Q58" s="107"/>
      <c r="R58" s="107"/>
      <c r="S58" s="107"/>
      <c r="T58" s="107"/>
      <c r="U58" s="107"/>
      <c r="V58" s="107"/>
      <c r="W58" s="107"/>
      <c r="X58" s="107"/>
      <c r="Y58" s="11"/>
      <c r="Z58" s="13"/>
    </row>
    <row r="59" spans="1:29" ht="7.5" customHeight="1" x14ac:dyDescent="0.25">
      <c r="A59" s="24"/>
      <c r="B59" s="107"/>
      <c r="C59" s="107"/>
      <c r="D59" s="107"/>
      <c r="E59" s="107"/>
      <c r="F59" s="107"/>
      <c r="G59" s="107"/>
      <c r="H59" s="107"/>
      <c r="I59" s="107"/>
      <c r="J59" s="107"/>
      <c r="K59" s="107"/>
      <c r="L59" s="107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  <c r="Y59" s="11"/>
      <c r="Z59" s="13"/>
    </row>
    <row r="60" spans="1:29" ht="28.5" customHeight="1" x14ac:dyDescent="0.25">
      <c r="A60" s="24"/>
      <c r="B60" s="125" t="s">
        <v>68</v>
      </c>
      <c r="C60" s="126"/>
      <c r="D60" s="132" t="str">
        <f>IF(I46&lt;&gt;"",I52/I46*100,"")</f>
        <v/>
      </c>
      <c r="E60" s="133"/>
      <c r="F60" s="134"/>
      <c r="G60" s="107"/>
      <c r="H60" s="125" t="s">
        <v>69</v>
      </c>
      <c r="I60" s="126"/>
      <c r="J60" s="132" t="str">
        <f>IF(U46&lt;&gt;"",U52/U46*100,"")</f>
        <v/>
      </c>
      <c r="K60" s="135"/>
      <c r="L60" s="129"/>
      <c r="M60" s="113"/>
      <c r="N60" s="107"/>
      <c r="O60" s="125" t="s">
        <v>68</v>
      </c>
      <c r="P60" s="126"/>
      <c r="Q60" s="132" t="str">
        <f>IF(D60&lt;&gt;"",D60*Q35/100,"")</f>
        <v/>
      </c>
      <c r="R60" s="135"/>
      <c r="S60" s="113"/>
      <c r="T60" s="107"/>
      <c r="U60" s="125" t="s">
        <v>69</v>
      </c>
      <c r="V60" s="126"/>
      <c r="W60" s="132" t="str">
        <f>IF(J60&lt;&gt;"",J60*Q35/100,"")</f>
        <v/>
      </c>
      <c r="X60" s="135"/>
      <c r="Z60" s="25"/>
      <c r="AA60" s="10"/>
    </row>
    <row r="61" spans="1:29" ht="15.75" customHeight="1" x14ac:dyDescent="0.25">
      <c r="A61" s="3"/>
      <c r="B61" s="4"/>
      <c r="C61" s="4"/>
      <c r="D61" s="4"/>
      <c r="E61" s="4"/>
      <c r="F61" s="4"/>
      <c r="G61" s="4"/>
      <c r="H61" s="26" t="s">
        <v>26</v>
      </c>
      <c r="I61" s="4"/>
      <c r="J61" s="4"/>
      <c r="K61" s="27"/>
      <c r="L61" s="4"/>
      <c r="M61" s="4"/>
      <c r="N61" s="4"/>
      <c r="O61" s="4"/>
      <c r="P61" s="4"/>
      <c r="Q61" s="4"/>
      <c r="R61" s="4"/>
      <c r="S61" s="4"/>
      <c r="T61" s="4"/>
      <c r="U61" s="27" t="s">
        <v>26</v>
      </c>
      <c r="V61" s="4"/>
      <c r="W61" s="4"/>
      <c r="X61" s="27"/>
      <c r="Y61" s="4"/>
      <c r="Z61" s="17"/>
    </row>
    <row r="62" spans="1:29" ht="15.75" customHeight="1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28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9" ht="15.6" customHeight="1" x14ac:dyDescent="0.25">
      <c r="A63" s="29" t="s">
        <v>32</v>
      </c>
      <c r="B63" s="30" t="s">
        <v>35</v>
      </c>
      <c r="C63" s="31"/>
      <c r="D63" s="31"/>
      <c r="E63" s="31"/>
      <c r="F63" s="32"/>
      <c r="G63" s="32"/>
      <c r="H63" s="32"/>
      <c r="I63" s="7"/>
      <c r="J63" s="7"/>
      <c r="K63" s="7"/>
      <c r="L63" s="7"/>
      <c r="M63" s="7"/>
      <c r="N63" s="7"/>
      <c r="O63" s="7"/>
      <c r="P63" s="7"/>
      <c r="Q63" s="32"/>
      <c r="R63" s="7"/>
      <c r="S63" s="7"/>
      <c r="T63" s="7"/>
      <c r="U63" s="86"/>
      <c r="V63" s="86"/>
      <c r="W63" s="86"/>
      <c r="X63" s="87"/>
      <c r="Y63" s="87"/>
      <c r="Z63" s="88"/>
      <c r="AA63" s="33"/>
      <c r="AB63" s="33"/>
      <c r="AC63" s="33"/>
    </row>
    <row r="64" spans="1:29" ht="26.4" customHeight="1" x14ac:dyDescent="0.25">
      <c r="A64" s="93" t="s">
        <v>70</v>
      </c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136"/>
      <c r="R64" s="47" t="s">
        <v>41</v>
      </c>
      <c r="S64" s="48"/>
      <c r="T64" s="49"/>
      <c r="U64" s="89"/>
      <c r="V64" s="90"/>
      <c r="W64" s="90"/>
      <c r="X64" s="91"/>
      <c r="Y64" s="91"/>
      <c r="Z64" s="92"/>
      <c r="AA64" s="33"/>
      <c r="AB64" s="33"/>
      <c r="AC64" s="33"/>
    </row>
    <row r="65" spans="1:29" ht="26.4" customHeight="1" x14ac:dyDescent="0.25">
      <c r="A65" s="137"/>
      <c r="B65" s="138"/>
      <c r="C65" s="138"/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9"/>
      <c r="R65" s="47" t="s">
        <v>42</v>
      </c>
      <c r="S65" s="48"/>
      <c r="T65" s="49"/>
      <c r="U65" s="77"/>
      <c r="V65" s="78"/>
      <c r="W65" s="78"/>
      <c r="X65" s="79"/>
      <c r="Y65" s="79"/>
      <c r="Z65" s="80"/>
      <c r="AA65" s="33"/>
      <c r="AB65" s="33"/>
      <c r="AC65" s="33"/>
    </row>
    <row r="66" spans="1:29" ht="15.6" customHeight="1" x14ac:dyDescent="0.25">
      <c r="A66" s="34" t="s">
        <v>33</v>
      </c>
      <c r="B66" s="35" t="s">
        <v>34</v>
      </c>
      <c r="C66" s="11"/>
      <c r="D66" s="11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7"/>
      <c r="R66" s="47"/>
      <c r="S66" s="48"/>
      <c r="T66" s="49"/>
      <c r="U66" s="81"/>
      <c r="V66" s="82"/>
      <c r="W66" s="82"/>
      <c r="X66" s="83"/>
      <c r="Y66" s="83"/>
      <c r="Z66" s="84"/>
      <c r="AA66" s="33"/>
      <c r="AB66" s="33"/>
      <c r="AC66" s="33"/>
    </row>
    <row r="67" spans="1:29" ht="15.6" customHeight="1" x14ac:dyDescent="0.25">
      <c r="A67" s="150"/>
      <c r="B67" s="151"/>
      <c r="C67" s="151"/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2"/>
      <c r="R67" s="47" t="s">
        <v>43</v>
      </c>
      <c r="S67" s="48"/>
      <c r="T67" s="49"/>
      <c r="U67" s="140"/>
      <c r="V67" s="141"/>
      <c r="W67" s="141"/>
      <c r="X67" s="142"/>
      <c r="Y67" s="142"/>
      <c r="Z67" s="143"/>
      <c r="AA67" s="33"/>
      <c r="AB67" s="33"/>
      <c r="AC67" s="33"/>
    </row>
    <row r="68" spans="1:29" ht="15.6" customHeight="1" x14ac:dyDescent="0.25">
      <c r="A68" s="150"/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47"/>
      <c r="S68" s="48"/>
      <c r="T68" s="49"/>
      <c r="U68" s="144"/>
      <c r="V68" s="85"/>
      <c r="W68" s="85"/>
      <c r="X68" s="85"/>
      <c r="Y68" s="85"/>
      <c r="Z68" s="145"/>
      <c r="AA68" s="33"/>
      <c r="AB68" s="33"/>
      <c r="AC68" s="33"/>
    </row>
    <row r="69" spans="1:29" ht="15.6" customHeight="1" x14ac:dyDescent="0.25">
      <c r="A69" s="150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2"/>
      <c r="R69" s="47"/>
      <c r="S69" s="48"/>
      <c r="T69" s="49"/>
      <c r="U69" s="144"/>
      <c r="V69" s="85"/>
      <c r="W69" s="85"/>
      <c r="X69" s="85"/>
      <c r="Y69" s="85"/>
      <c r="Z69" s="145"/>
      <c r="AA69" s="33"/>
      <c r="AB69" s="33"/>
      <c r="AC69" s="33"/>
    </row>
    <row r="70" spans="1:29" ht="15.6" customHeight="1" x14ac:dyDescent="0.25">
      <c r="A70" s="153"/>
      <c r="B70" s="154"/>
      <c r="C70" s="154"/>
      <c r="D70" s="154"/>
      <c r="E70" s="154"/>
      <c r="F70" s="154"/>
      <c r="G70" s="154"/>
      <c r="H70" s="154"/>
      <c r="I70" s="154"/>
      <c r="J70" s="154"/>
      <c r="K70" s="154"/>
      <c r="L70" s="154"/>
      <c r="M70" s="154"/>
      <c r="N70" s="154"/>
      <c r="O70" s="154"/>
      <c r="P70" s="154"/>
      <c r="Q70" s="155"/>
      <c r="R70" s="50"/>
      <c r="S70" s="51"/>
      <c r="T70" s="52"/>
      <c r="U70" s="146"/>
      <c r="V70" s="147"/>
      <c r="W70" s="147"/>
      <c r="X70" s="148"/>
      <c r="Y70" s="148"/>
      <c r="Z70" s="149"/>
      <c r="AA70" s="33"/>
      <c r="AB70" s="33"/>
      <c r="AC70" s="33"/>
    </row>
    <row r="71" spans="1:29" ht="15.75" customHeight="1" x14ac:dyDescent="0.25">
      <c r="A71" s="38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6"/>
      <c r="V71" s="11"/>
      <c r="W71" s="11"/>
      <c r="X71" s="11"/>
      <c r="Y71" s="11"/>
      <c r="Z71" s="11"/>
    </row>
    <row r="72" spans="1:29" ht="15.75" customHeight="1" x14ac:dyDescent="0.25">
      <c r="A72" s="38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9" ht="15.75" customHeight="1" x14ac:dyDescent="0.25">
      <c r="A73" s="39"/>
      <c r="B73" s="23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9" ht="12.75" customHeight="1" x14ac:dyDescent="0.25">
      <c r="A74" s="39"/>
      <c r="B74" s="23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9" ht="15.9" customHeight="1" x14ac:dyDescent="0.25">
      <c r="A75" s="40"/>
      <c r="B75" s="2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21"/>
      <c r="T75" s="11"/>
      <c r="U75" s="11"/>
      <c r="V75" s="11"/>
      <c r="W75" s="11"/>
      <c r="X75" s="11"/>
      <c r="Y75" s="11"/>
      <c r="Z75" s="11"/>
    </row>
    <row r="76" spans="1:29" ht="15.9" customHeight="1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21"/>
      <c r="T76" s="11"/>
      <c r="U76" s="11"/>
      <c r="V76" s="11"/>
      <c r="W76" s="11"/>
      <c r="X76" s="11"/>
      <c r="Y76" s="11"/>
      <c r="Z76" s="11"/>
    </row>
    <row r="77" spans="1:29" ht="15.9" customHeight="1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21"/>
      <c r="T77" s="11"/>
      <c r="U77" s="11"/>
      <c r="V77" s="11"/>
      <c r="W77" s="11"/>
      <c r="X77" s="11"/>
      <c r="Y77" s="11"/>
      <c r="Z77" s="11"/>
    </row>
    <row r="78" spans="1:29" ht="15.9" customHeight="1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9" ht="15.9" customHeight="1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9" ht="15.9" customHeight="1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21"/>
      <c r="T80" s="11"/>
      <c r="U80" s="11"/>
      <c r="V80" s="11"/>
      <c r="W80" s="11"/>
      <c r="X80" s="11"/>
      <c r="Y80" s="11"/>
      <c r="Z80" s="11"/>
    </row>
    <row r="81" spans="1:26" ht="15.9" customHeight="1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21"/>
      <c r="T81" s="11"/>
      <c r="U81" s="11"/>
      <c r="V81" s="11"/>
      <c r="W81" s="11"/>
      <c r="X81" s="11"/>
      <c r="Y81" s="11"/>
      <c r="Z81" s="11"/>
    </row>
    <row r="82" spans="1:26" ht="15.9" customHeight="1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21"/>
      <c r="T82" s="11"/>
      <c r="U82" s="11"/>
      <c r="V82" s="11"/>
      <c r="W82" s="11"/>
      <c r="X82" s="11"/>
      <c r="Y82" s="11"/>
      <c r="Z82" s="11"/>
    </row>
    <row r="83" spans="1:26" ht="15.9" customHeight="1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2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5.75" customHeight="1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6" spans="1:26" ht="12.75" customHeight="1" x14ac:dyDescent="0.25">
      <c r="P86" s="11"/>
      <c r="Q86" s="11"/>
      <c r="R86" s="11"/>
      <c r="S86" s="11"/>
      <c r="T86" s="11"/>
      <c r="U86" s="11"/>
      <c r="V86" s="11"/>
      <c r="W86" s="11"/>
    </row>
    <row r="87" spans="1:26" ht="12.75" customHeight="1" x14ac:dyDescent="0.25">
      <c r="P87" s="11"/>
      <c r="Q87" s="11"/>
      <c r="R87" s="11"/>
      <c r="S87" s="11"/>
      <c r="T87" s="11"/>
      <c r="U87" s="11"/>
      <c r="V87" s="11"/>
      <c r="W87" s="11"/>
    </row>
    <row r="88" spans="1:26" ht="12.75" customHeight="1" x14ac:dyDescent="0.25">
      <c r="P88" s="11"/>
      <c r="Q88" s="11"/>
      <c r="R88" s="11"/>
      <c r="S88" s="11"/>
      <c r="T88" s="11"/>
      <c r="U88" s="11"/>
      <c r="V88" s="11"/>
      <c r="W88" s="11"/>
    </row>
    <row r="89" spans="1:26" ht="12.75" customHeight="1" x14ac:dyDescent="0.25">
      <c r="P89" s="11"/>
      <c r="Q89" s="11"/>
      <c r="R89" s="11"/>
      <c r="S89" s="11"/>
      <c r="T89" s="11"/>
      <c r="U89" s="11"/>
      <c r="V89" s="11"/>
      <c r="W89" s="11"/>
    </row>
    <row r="90" spans="1:26" ht="12.75" customHeight="1" x14ac:dyDescent="0.25">
      <c r="P90" s="11"/>
      <c r="Q90" s="11"/>
      <c r="R90" s="11"/>
      <c r="S90" s="11"/>
      <c r="T90" s="11"/>
      <c r="U90" s="11"/>
      <c r="V90" s="11"/>
      <c r="W90" s="11"/>
    </row>
    <row r="91" spans="1:26" ht="12.75" customHeight="1" x14ac:dyDescent="0.25">
      <c r="P91" s="11"/>
      <c r="Q91" s="11"/>
      <c r="R91" s="11"/>
      <c r="S91" s="11"/>
      <c r="T91" s="11"/>
      <c r="U91" s="11"/>
      <c r="V91" s="11"/>
      <c r="W91" s="11"/>
    </row>
  </sheetData>
  <sheetProtection selectLockedCells="1"/>
  <mergeCells count="80">
    <mergeCell ref="B39:D40"/>
    <mergeCell ref="E39:G40"/>
    <mergeCell ref="H39:J40"/>
    <mergeCell ref="K39:M40"/>
    <mergeCell ref="I46:J46"/>
    <mergeCell ref="B41:D41"/>
    <mergeCell ref="E41:G41"/>
    <mergeCell ref="N41:P41"/>
    <mergeCell ref="S46:T46"/>
    <mergeCell ref="G45:H45"/>
    <mergeCell ref="I45:J45"/>
    <mergeCell ref="T41:V41"/>
    <mergeCell ref="I51:J51"/>
    <mergeCell ref="I52:J52"/>
    <mergeCell ref="B60:C60"/>
    <mergeCell ref="H60:I60"/>
    <mergeCell ref="O60:P60"/>
    <mergeCell ref="G52:H52"/>
    <mergeCell ref="G51:H51"/>
    <mergeCell ref="J60:K60"/>
    <mergeCell ref="D60:E60"/>
    <mergeCell ref="Q60:R60"/>
    <mergeCell ref="A64:Q64"/>
    <mergeCell ref="A65:Q65"/>
    <mergeCell ref="U65:Z66"/>
    <mergeCell ref="U63:Z63"/>
    <mergeCell ref="U64:Z64"/>
    <mergeCell ref="R65:T66"/>
    <mergeCell ref="R64:T64"/>
    <mergeCell ref="V68:Y69"/>
    <mergeCell ref="S10:Y10"/>
    <mergeCell ref="S11:Y11"/>
    <mergeCell ref="I17:Y17"/>
    <mergeCell ref="S12:Y12"/>
    <mergeCell ref="W60:X60"/>
    <mergeCell ref="U52:V52"/>
    <mergeCell ref="U51:V51"/>
    <mergeCell ref="S45:T45"/>
    <mergeCell ref="U45:V45"/>
    <mergeCell ref="S52:T52"/>
    <mergeCell ref="S51:T51"/>
    <mergeCell ref="U60:V60"/>
    <mergeCell ref="U46:V46"/>
    <mergeCell ref="N39:P40"/>
    <mergeCell ref="H41:J41"/>
    <mergeCell ref="K41:M41"/>
    <mergeCell ref="A7:F7"/>
    <mergeCell ref="G7:Z7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  <mergeCell ref="P6:T6"/>
    <mergeCell ref="A67:Q70"/>
    <mergeCell ref="B10:F10"/>
    <mergeCell ref="B11:F11"/>
    <mergeCell ref="B12:F12"/>
    <mergeCell ref="N10:R10"/>
    <mergeCell ref="N11:R11"/>
    <mergeCell ref="N12:R12"/>
    <mergeCell ref="B17:H17"/>
    <mergeCell ref="B18:H18"/>
    <mergeCell ref="G10:L10"/>
    <mergeCell ref="G11:L11"/>
    <mergeCell ref="G12:L12"/>
    <mergeCell ref="R67:T70"/>
    <mergeCell ref="G46:H46"/>
    <mergeCell ref="Q39:S40"/>
    <mergeCell ref="Q41:S41"/>
    <mergeCell ref="T39:V40"/>
    <mergeCell ref="Q31:R31"/>
    <mergeCell ref="Q33:R33"/>
    <mergeCell ref="Q35:R35"/>
    <mergeCell ref="I18:Y18"/>
  </mergeCells>
  <phoneticPr fontId="0" type="noConversion"/>
  <printOptions horizontalCentered="1"/>
  <pageMargins left="0.39370078740157483" right="0.39370078740157483" top="0.39370078740157483" bottom="0.39370078740157483" header="0" footer="0.19685039370078741"/>
  <pageSetup paperSize="9" scale="72" orientation="portrait" r:id="rId1"/>
  <headerFooter alignWithMargins="0">
    <oddFooter>&amp;RDG-Q / CRE VB du 06/04/2011</oddFooter>
  </headerFooter>
  <drawing r:id="rId2"/>
  <legacyDrawing r:id="rId3"/>
  <controls>
    <mc:AlternateContent xmlns:mc="http://schemas.openxmlformats.org/markup-compatibility/2006">
      <mc:Choice Requires="x14">
        <control shapeId="1097" r:id="rId4" name="CommandButton1">
          <controlPr defaultSize="0" autoLine="0" r:id="rId5">
            <anchor moveWithCells="1">
              <from>
                <xdr:col>26</xdr:col>
                <xdr:colOff>457200</xdr:colOff>
                <xdr:row>66</xdr:row>
                <xdr:rowOff>175260</xdr:rowOff>
              </from>
              <to>
                <xdr:col>28</xdr:col>
                <xdr:colOff>441960</xdr:colOff>
                <xdr:row>69</xdr:row>
                <xdr:rowOff>22860</xdr:rowOff>
              </to>
            </anchor>
          </controlPr>
        </control>
      </mc:Choice>
      <mc:Fallback>
        <control shapeId="1097" r:id="rId4" name="CommandButton1"/>
      </mc:Fallback>
    </mc:AlternateContent>
    <mc:AlternateContent xmlns:mc="http://schemas.openxmlformats.org/markup-compatibility/2006">
      <mc:Choice Requires="x14">
        <control shapeId="1035" r:id="rId6" name="Check Box 11">
          <controlPr locked="0" defaultSize="0" autoFill="0" autoLine="0" autoPict="0">
            <anchor moveWithCells="1">
              <from>
                <xdr:col>0</xdr:col>
                <xdr:colOff>373380</xdr:colOff>
                <xdr:row>24</xdr:row>
                <xdr:rowOff>0</xdr:rowOff>
              </from>
              <to>
                <xdr:col>2</xdr:col>
                <xdr:colOff>7620</xdr:colOff>
                <xdr:row>25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" name="Check Box 12">
          <controlPr locked="0" defaultSize="0" autoFill="0" autoLine="0" autoPict="0">
            <anchor moveWithCells="1">
              <from>
                <xdr:col>0</xdr:col>
                <xdr:colOff>373380</xdr:colOff>
                <xdr:row>26</xdr:row>
                <xdr:rowOff>0</xdr:rowOff>
              </from>
              <to>
                <xdr:col>2</xdr:col>
                <xdr:colOff>7620</xdr:colOff>
                <xdr:row>27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8" name="Check Box 13">
          <controlPr locked="0" defaultSize="0" autoFill="0" autoLine="0" autoPict="0">
            <anchor moveWithCells="1">
              <from>
                <xdr:col>0</xdr:col>
                <xdr:colOff>373380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22860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CRE VB</vt:lpstr>
      <vt:lpstr>'CRE VB'!Zone_d_impression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GOEDDE</dc:creator>
  <cp:lastModifiedBy>MONTET Frederic</cp:lastModifiedBy>
  <cp:lastPrinted>2011-04-06T08:56:11Z</cp:lastPrinted>
  <dcterms:created xsi:type="dcterms:W3CDTF">2004-11-13T18:13:05Z</dcterms:created>
  <dcterms:modified xsi:type="dcterms:W3CDTF">2023-03-10T08:19:02Z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607245854</vt:i4>
  </property>
  <property fmtid="{D5CDD505-2E9C-101B-9397-08002B2CF9AE}" pid="3" name="_EmailSubject">
    <vt:lpwstr>PV d'essais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