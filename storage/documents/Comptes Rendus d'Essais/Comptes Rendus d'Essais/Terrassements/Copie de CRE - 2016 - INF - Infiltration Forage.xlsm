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633D31E2-93C2-486A-B6D4-5329B873681B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6" r:id="rId1"/>
    <sheet name="CRE INF SA" sheetId="5" r:id="rId2"/>
    <sheet name="CRE INF DA" sheetId="1" r:id="rId3"/>
  </sheets>
  <definedNames>
    <definedName name="_xlnm.Print_Area" localSheetId="0">CRE!$A$1:$Z$85</definedName>
    <definedName name="_xlnm.Print_Area" localSheetId="2">'CRE INF DA'!$A$1:$Z$78</definedName>
    <definedName name="_xlnm.Print_Area" localSheetId="1">'CRE INF SA'!$A$1:$Z$79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7" i="1" l="1"/>
  <c r="N29" i="1"/>
  <c r="R29" i="1" s="1"/>
  <c r="N30" i="1"/>
  <c r="N31" i="1"/>
  <c r="R31" i="1" s="1"/>
  <c r="N32" i="1"/>
  <c r="R32" i="1" s="1"/>
  <c r="N33" i="1"/>
  <c r="R33" i="1" s="1"/>
  <c r="N34" i="1"/>
  <c r="R34" i="1" s="1"/>
  <c r="N35" i="1"/>
  <c r="R35" i="1" s="1"/>
  <c r="N36" i="1"/>
  <c r="R36" i="1" s="1"/>
  <c r="N37" i="1"/>
  <c r="R37" i="1" s="1"/>
  <c r="N38" i="1"/>
  <c r="N39" i="1"/>
  <c r="S65" i="1" s="1"/>
  <c r="N28" i="1"/>
  <c r="R28" i="1" s="1"/>
  <c r="B29" i="5"/>
  <c r="B30" i="5" s="1"/>
  <c r="B31" i="5" s="1"/>
  <c r="N29" i="5"/>
  <c r="B28" i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O78" i="5"/>
  <c r="AB40" i="5"/>
  <c r="AC40" i="5" s="1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R63" i="6" s="1"/>
  <c r="K64" i="6"/>
  <c r="R64" i="6" s="1"/>
  <c r="K65" i="6"/>
  <c r="R65" i="6" s="1"/>
  <c r="K66" i="6"/>
  <c r="R66" i="6" s="1"/>
  <c r="K67" i="6"/>
  <c r="K68" i="6"/>
  <c r="K69" i="6"/>
  <c r="R69" i="6" s="1"/>
  <c r="H73" i="6" s="1"/>
  <c r="H74" i="6" s="1"/>
  <c r="H75" i="6" s="1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R67" i="6"/>
  <c r="R68" i="6"/>
  <c r="T74" i="6"/>
  <c r="T75" i="6" s="1"/>
  <c r="Q74" i="6"/>
  <c r="Q75" i="6" s="1"/>
  <c r="N74" i="6"/>
  <c r="N75" i="6" s="1"/>
  <c r="K74" i="6"/>
  <c r="K75" i="6" s="1"/>
  <c r="X27" i="6"/>
  <c r="H72" i="6" s="1"/>
  <c r="X39" i="6"/>
  <c r="AB66" i="6" s="1"/>
  <c r="AB62" i="6"/>
  <c r="AD62" i="6" s="1"/>
  <c r="AB61" i="6"/>
  <c r="AD61" i="6" s="1"/>
  <c r="AB60" i="6"/>
  <c r="AB59" i="6"/>
  <c r="AD59" i="6" s="1"/>
  <c r="AC58" i="6"/>
  <c r="AB58" i="6"/>
  <c r="AD58" i="6" s="1"/>
  <c r="AB57" i="6"/>
  <c r="AC57" i="6" s="1"/>
  <c r="AD56" i="6"/>
  <c r="AB56" i="6"/>
  <c r="AC56" i="6" s="1"/>
  <c r="AB55" i="6"/>
  <c r="AD55" i="6" s="1"/>
  <c r="AB54" i="6"/>
  <c r="AD54" i="6" s="1"/>
  <c r="AB53" i="6"/>
  <c r="AB52" i="6"/>
  <c r="AB51" i="6"/>
  <c r="AC51" i="6" s="1"/>
  <c r="AB50" i="6"/>
  <c r="AD50" i="6" s="1"/>
  <c r="AB49" i="6"/>
  <c r="AB48" i="6"/>
  <c r="AB47" i="6"/>
  <c r="AC47" i="6" s="1"/>
  <c r="AB46" i="6"/>
  <c r="AD46" i="6" s="1"/>
  <c r="AB45" i="6"/>
  <c r="AB44" i="6"/>
  <c r="AB43" i="6"/>
  <c r="AC43" i="6" s="1"/>
  <c r="AB42" i="6"/>
  <c r="AD42" i="6" s="1"/>
  <c r="AB41" i="6"/>
  <c r="AB40" i="6"/>
  <c r="AB39" i="6"/>
  <c r="AC39" i="6" s="1"/>
  <c r="AB38" i="6"/>
  <c r="AD38" i="6" s="1"/>
  <c r="AB37" i="6"/>
  <c r="AB36" i="6"/>
  <c r="AB35" i="6"/>
  <c r="AC35" i="6" s="1"/>
  <c r="AB34" i="6"/>
  <c r="AD34" i="6" s="1"/>
  <c r="AB33" i="6"/>
  <c r="AC33" i="6" s="1"/>
  <c r="AB32" i="6"/>
  <c r="AB31" i="6"/>
  <c r="AC31" i="6" s="1"/>
  <c r="AB30" i="6"/>
  <c r="AC30" i="6" s="1"/>
  <c r="AB29" i="6"/>
  <c r="AB39" i="1"/>
  <c r="AC39" i="1" s="1"/>
  <c r="AB38" i="1"/>
  <c r="AD38" i="1" s="1"/>
  <c r="AB37" i="1"/>
  <c r="AC37" i="1" s="1"/>
  <c r="AB36" i="1"/>
  <c r="AC36" i="1" s="1"/>
  <c r="AB35" i="1"/>
  <c r="AC35" i="1" s="1"/>
  <c r="AB34" i="1"/>
  <c r="AB33" i="1"/>
  <c r="AD33" i="1" s="1"/>
  <c r="AC33" i="1"/>
  <c r="AB32" i="1"/>
  <c r="AC32" i="1" s="1"/>
  <c r="AB31" i="1"/>
  <c r="AC31" i="1"/>
  <c r="AB30" i="1"/>
  <c r="AC30" i="1" s="1"/>
  <c r="AB29" i="1"/>
  <c r="AC29" i="1" s="1"/>
  <c r="AB28" i="1"/>
  <c r="AC28" i="1" s="1"/>
  <c r="AB39" i="5"/>
  <c r="AC39" i="5" s="1"/>
  <c r="AB38" i="5"/>
  <c r="AD38" i="5" s="1"/>
  <c r="AB37" i="5"/>
  <c r="AC37" i="5" s="1"/>
  <c r="AB36" i="5"/>
  <c r="AC36" i="5" s="1"/>
  <c r="AB35" i="5"/>
  <c r="AC35" i="5" s="1"/>
  <c r="AB34" i="5"/>
  <c r="AC34" i="5" s="1"/>
  <c r="AB33" i="5"/>
  <c r="AC33" i="5" s="1"/>
  <c r="AB32" i="5"/>
  <c r="AC32" i="5" s="1"/>
  <c r="AB31" i="5"/>
  <c r="AC31" i="5" s="1"/>
  <c r="AB30" i="5"/>
  <c r="AD30" i="5" s="1"/>
  <c r="AB29" i="5"/>
  <c r="AC29" i="5" s="1"/>
  <c r="Z16" i="5"/>
  <c r="R30" i="1"/>
  <c r="R38" i="1"/>
  <c r="Z15" i="1"/>
  <c r="AD36" i="5"/>
  <c r="AD28" i="1"/>
  <c r="AD31" i="1"/>
  <c r="AD37" i="1"/>
  <c r="AC55" i="6" l="1"/>
  <c r="AD30" i="6"/>
  <c r="AD43" i="6"/>
  <c r="AC50" i="6"/>
  <c r="AD39" i="6"/>
  <c r="AD51" i="6"/>
  <c r="AE51" i="6" s="1"/>
  <c r="R51" i="6" s="1"/>
  <c r="AC59" i="6"/>
  <c r="AE59" i="6" s="1"/>
  <c r="R59" i="6" s="1"/>
  <c r="E27" i="6"/>
  <c r="AD39" i="1"/>
  <c r="AE39" i="1" s="1"/>
  <c r="AD35" i="1"/>
  <c r="AE35" i="1" s="1"/>
  <c r="AE37" i="1"/>
  <c r="AD29" i="1"/>
  <c r="AE29" i="1" s="1"/>
  <c r="AE31" i="1"/>
  <c r="AD32" i="1"/>
  <c r="AE32" i="1" s="1"/>
  <c r="AE28" i="1"/>
  <c r="AC46" i="6"/>
  <c r="AE46" i="6" s="1"/>
  <c r="R46" i="6" s="1"/>
  <c r="AC53" i="6"/>
  <c r="AE56" i="6"/>
  <c r="R56" i="6" s="1"/>
  <c r="AC61" i="6"/>
  <c r="AD53" i="6"/>
  <c r="AE61" i="6"/>
  <c r="R61" i="6" s="1"/>
  <c r="AE33" i="1"/>
  <c r="AD47" i="6"/>
  <c r="AE47" i="6" s="1"/>
  <c r="R47" i="6" s="1"/>
  <c r="AC54" i="6"/>
  <c r="AE54" i="6" s="1"/>
  <c r="R54" i="6" s="1"/>
  <c r="AC62" i="6"/>
  <c r="AE62" i="6" s="1"/>
  <c r="R62" i="6" s="1"/>
  <c r="AD36" i="1"/>
  <c r="AE36" i="1" s="1"/>
  <c r="AC52" i="6"/>
  <c r="AE55" i="6"/>
  <c r="R55" i="6" s="1"/>
  <c r="AD57" i="6"/>
  <c r="AE57" i="6" s="1"/>
  <c r="R57" i="6" s="1"/>
  <c r="AC60" i="6"/>
  <c r="AE60" i="6" s="1"/>
  <c r="R60" i="6" s="1"/>
  <c r="AD52" i="6"/>
  <c r="AE58" i="6"/>
  <c r="R58" i="6" s="1"/>
  <c r="AD60" i="6"/>
  <c r="B32" i="5"/>
  <c r="N31" i="5"/>
  <c r="N30" i="5"/>
  <c r="AC38" i="5"/>
  <c r="AE38" i="5" s="1"/>
  <c r="AD34" i="5"/>
  <c r="AE34" i="5" s="1"/>
  <c r="AE36" i="5"/>
  <c r="AD40" i="5"/>
  <c r="AE40" i="5" s="1"/>
  <c r="AC30" i="5"/>
  <c r="AE30" i="5" s="1"/>
  <c r="AD33" i="5"/>
  <c r="AE33" i="5" s="1"/>
  <c r="AD37" i="5"/>
  <c r="AE37" i="5" s="1"/>
  <c r="AD29" i="5"/>
  <c r="AE29" i="5" s="1"/>
  <c r="R29" i="5" s="1"/>
  <c r="AD32" i="5"/>
  <c r="AE32" i="5" s="1"/>
  <c r="AD35" i="6"/>
  <c r="AE35" i="6" s="1"/>
  <c r="R35" i="6" s="1"/>
  <c r="AC38" i="6"/>
  <c r="AE38" i="6" s="1"/>
  <c r="R38" i="6" s="1"/>
  <c r="AC42" i="6"/>
  <c r="AE42" i="6" s="1"/>
  <c r="R42" i="6" s="1"/>
  <c r="AD31" i="6"/>
  <c r="AC34" i="6"/>
  <c r="AE34" i="6" s="1"/>
  <c r="R34" i="6" s="1"/>
  <c r="AC37" i="6"/>
  <c r="AC45" i="6"/>
  <c r="AC49" i="6"/>
  <c r="AE30" i="6"/>
  <c r="R30" i="6" s="1"/>
  <c r="AD32" i="6"/>
  <c r="AD36" i="6"/>
  <c r="AD40" i="6"/>
  <c r="AD44" i="6"/>
  <c r="AD48" i="6"/>
  <c r="AE50" i="6"/>
  <c r="R50" i="6" s="1"/>
  <c r="AC29" i="6"/>
  <c r="AC41" i="6"/>
  <c r="AD29" i="6"/>
  <c r="AE31" i="6"/>
  <c r="R31" i="6" s="1"/>
  <c r="AC32" i="6"/>
  <c r="AD33" i="6"/>
  <c r="AE33" i="6" s="1"/>
  <c r="R33" i="6" s="1"/>
  <c r="AC36" i="6"/>
  <c r="AD37" i="6"/>
  <c r="AE39" i="6"/>
  <c r="R39" i="6" s="1"/>
  <c r="AC40" i="6"/>
  <c r="AD41" i="6"/>
  <c r="AE43" i="6"/>
  <c r="R43" i="6" s="1"/>
  <c r="AC44" i="6"/>
  <c r="AD45" i="6"/>
  <c r="AC48" i="6"/>
  <c r="AE48" i="6" s="1"/>
  <c r="R48" i="6" s="1"/>
  <c r="AD49" i="6"/>
  <c r="AD34" i="1"/>
  <c r="AD30" i="1"/>
  <c r="AE30" i="1" s="1"/>
  <c r="AD39" i="5"/>
  <c r="AE39" i="5" s="1"/>
  <c r="AD35" i="5"/>
  <c r="AE35" i="5" s="1"/>
  <c r="AD31" i="5"/>
  <c r="AE31" i="5" s="1"/>
  <c r="R39" i="1"/>
  <c r="S67" i="1" s="1"/>
  <c r="L76" i="1" s="1"/>
  <c r="AC34" i="1"/>
  <c r="AC38" i="1"/>
  <c r="AE38" i="1" s="1"/>
  <c r="AE44" i="6" l="1"/>
  <c r="R44" i="6" s="1"/>
  <c r="AE53" i="6"/>
  <c r="R53" i="6" s="1"/>
  <c r="AE52" i="6"/>
  <c r="R52" i="6" s="1"/>
  <c r="AE29" i="6"/>
  <c r="R29" i="6" s="1"/>
  <c r="R31" i="5"/>
  <c r="AE40" i="6"/>
  <c r="R40" i="6" s="1"/>
  <c r="AE41" i="6"/>
  <c r="R41" i="6" s="1"/>
  <c r="R30" i="5"/>
  <c r="AE34" i="1"/>
  <c r="AE45" i="6"/>
  <c r="R45" i="6" s="1"/>
  <c r="AE32" i="6"/>
  <c r="R32" i="6" s="1"/>
  <c r="AE37" i="6"/>
  <c r="R37" i="6" s="1"/>
  <c r="B33" i="5"/>
  <c r="N32" i="5"/>
  <c r="R32" i="5" s="1"/>
  <c r="AE49" i="6"/>
  <c r="R49" i="6" s="1"/>
  <c r="AE36" i="6"/>
  <c r="R36" i="6" s="1"/>
  <c r="B34" i="5" l="1"/>
  <c r="N33" i="5"/>
  <c r="R33" i="5" s="1"/>
  <c r="B35" i="5" l="1"/>
  <c r="N34" i="5"/>
  <c r="R34" i="5" s="1"/>
  <c r="B36" i="5" l="1"/>
  <c r="N35" i="5"/>
  <c r="R35" i="5" s="1"/>
  <c r="B37" i="5" l="1"/>
  <c r="N36" i="5"/>
  <c r="R36" i="5" s="1"/>
  <c r="B38" i="5" l="1"/>
  <c r="N37" i="5"/>
  <c r="R37" i="5" s="1"/>
  <c r="B39" i="5" l="1"/>
  <c r="N38" i="5"/>
  <c r="R38" i="5" s="1"/>
  <c r="B40" i="5" l="1"/>
  <c r="N40" i="5" s="1"/>
  <c r="N39" i="5"/>
  <c r="R39" i="5" s="1"/>
  <c r="S66" i="5" l="1"/>
  <c r="R40" i="5"/>
  <c r="S68" i="5" s="1"/>
  <c r="L77" i="5" s="1"/>
</calcChain>
</file>

<file path=xl/sharedStrings.xml><?xml version="1.0" encoding="utf-8"?>
<sst xmlns="http://schemas.openxmlformats.org/spreadsheetml/2006/main" count="175" uniqueCount="89">
  <si>
    <t>RENSEIGNEMENTS GENERAUX</t>
  </si>
  <si>
    <t>1/</t>
  </si>
  <si>
    <t>2/</t>
  </si>
  <si>
    <t>3/</t>
  </si>
  <si>
    <t>5/</t>
  </si>
  <si>
    <t>4/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</si>
  <si>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</si>
  <si>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</si>
  <si>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</si>
  <si>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</si>
  <si>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</si>
  <si>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</si>
  <si>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</si>
  <si>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</si>
  <si>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</si>
  <si>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</si>
  <si>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</si>
  <si>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Région Rhône Alpes - 29-31 rue des Tâches - ZI Mi-Plaine - 69800 SAINT PRIEST</t>
  </si>
  <si>
    <t>Mode de mise en place des anneaux  :</t>
  </si>
  <si>
    <t>Collage</t>
  </si>
  <si>
    <t>Vérinage</t>
  </si>
  <si>
    <t>Battage</t>
  </si>
  <si>
    <t xml:space="preserve">Nature du sol : </t>
  </si>
  <si>
    <t xml:space="preserve">Condition météorologiques : </t>
  </si>
  <si>
    <t>MESURES</t>
  </si>
  <si>
    <t>K direct (m/s)</t>
  </si>
  <si>
    <t>K corrigé (m/s)</t>
  </si>
  <si>
    <t>Mesures</t>
  </si>
  <si>
    <t>lecture (mm)</t>
  </si>
  <si>
    <t>Température (°C)</t>
  </si>
  <si>
    <t xml:space="preserve">Section d'infiltration du dispositif : </t>
  </si>
  <si>
    <t xml:space="preserve">Section d'essai du dispositif : </t>
  </si>
  <si>
    <t>cm²</t>
  </si>
  <si>
    <t xml:space="preserve">RESULTATS </t>
  </si>
  <si>
    <t>Valeur du coefficient de perméabilité K direct :</t>
  </si>
  <si>
    <t>Valeur du coefficient de perméabilité K corrigé à 20°C :</t>
  </si>
  <si>
    <t>Ouvrage contrôlé :</t>
  </si>
  <si>
    <t>m/s</t>
  </si>
  <si>
    <t>Le coefficient de perméabilité mesuré est de :</t>
  </si>
  <si>
    <t>COMPTE RENDU D'ESSAIS</t>
  </si>
  <si>
    <t>INF</t>
  </si>
  <si>
    <t>n°</t>
  </si>
  <si>
    <t>Chrono</t>
  </si>
  <si>
    <t>N° d'affaire</t>
  </si>
  <si>
    <t>Date de rédaction</t>
  </si>
  <si>
    <t>Temps (s)</t>
  </si>
  <si>
    <t>Gradient Hydraulique :</t>
  </si>
  <si>
    <t>Hauteur de charge :</t>
  </si>
  <si>
    <t>Epaisseur d'infiltration :</t>
  </si>
  <si>
    <t>Correction de température :</t>
  </si>
  <si>
    <t>Coefficient de perméabilité mesuré : Kcorrigé20°C / Gradient hydraulique</t>
  </si>
  <si>
    <t>Température extérieur :</t>
  </si>
  <si>
    <t>°C</t>
  </si>
  <si>
    <t>Temps de saturation du sol :</t>
  </si>
  <si>
    <t>Teneur en eau du sol :</t>
  </si>
  <si>
    <t>Valeur de la vitesse d'infiltration K direct :</t>
  </si>
  <si>
    <t>Références Proctor :</t>
  </si>
  <si>
    <t>Densité :</t>
  </si>
  <si>
    <t>Teneur en eau :</t>
  </si>
  <si>
    <t>Mode de forage :</t>
  </si>
  <si>
    <t>Diamètre de forage :</t>
  </si>
  <si>
    <t>mm</t>
  </si>
  <si>
    <t>Epaisseur :</t>
  </si>
  <si>
    <t>Temps
(s)</t>
  </si>
  <si>
    <t>Lecture
(mm)</t>
  </si>
  <si>
    <t>Charge
(m)</t>
  </si>
  <si>
    <t>Température
(°C)</t>
  </si>
  <si>
    <t>Charge H =
(cm)</t>
  </si>
  <si>
    <t>Ht =
(cm)</t>
  </si>
  <si>
    <t>Htot =
(cm)</t>
  </si>
  <si>
    <t>Hb =
(cm)</t>
  </si>
  <si>
    <t>Hc =
(cm)</t>
  </si>
  <si>
    <t>Charge :</t>
  </si>
  <si>
    <t>Coefficient de perméabilité k (m/s) :</t>
  </si>
  <si>
    <t>PERMEABILITE A CHARGE CONSTANTE EN FORAGE
 à charge constante (NF X 30-424 de juin 2013)</t>
  </si>
  <si>
    <t>Charge H (m)</t>
  </si>
  <si>
    <t>Ht</t>
  </si>
  <si>
    <t>Hb</t>
  </si>
  <si>
    <t>Hc</t>
  </si>
  <si>
    <t>Htot</t>
  </si>
  <si>
    <t>INFILTROMETRE A SIMPLE ANNEAU FERME à charge constante - NF X 30-420 de septembre 2012</t>
  </si>
  <si>
    <t>INFILTROMETRE A DOUBLE ANNEAU OUVERT 
NF X 30-418 de septembre 2012</t>
  </si>
  <si>
    <r>
      <t>Débit Q
(m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/s)</t>
    </r>
  </si>
  <si>
    <r>
      <t>Débit corrigé Q</t>
    </r>
    <r>
      <rPr>
        <b/>
        <vertAlign val="subscript"/>
        <sz val="10"/>
        <rFont val="Century Gothic"/>
        <family val="2"/>
      </rPr>
      <t>20</t>
    </r>
    <r>
      <rPr>
        <b/>
        <sz val="10"/>
        <rFont val="Century Gothic"/>
        <family val="2"/>
      </rPr>
      <t xml:space="preserve">
(m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/s)</t>
    </r>
  </si>
  <si>
    <r>
      <t>Débit final Q</t>
    </r>
    <r>
      <rPr>
        <vertAlign val="subscript"/>
        <sz val="10"/>
        <rFont val="Century Gothic"/>
        <family val="2"/>
      </rPr>
      <t>20 :</t>
    </r>
  </si>
  <si>
    <t>Kdirect x (ƞT/ƞ20)</t>
  </si>
  <si>
    <r>
      <t>Coefficient de perméabilité mesuré : K</t>
    </r>
    <r>
      <rPr>
        <vertAlign val="subscript"/>
        <sz val="10"/>
        <rFont val="Century Gothic"/>
        <family val="2"/>
      </rPr>
      <t>C20</t>
    </r>
    <r>
      <rPr>
        <sz val="10"/>
        <rFont val="Century Gothic"/>
        <family val="2"/>
      </rPr>
      <t xml:space="preserve"> / Gradient hydraulique</t>
    </r>
  </si>
  <si>
    <t>Contrôle :</t>
  </si>
  <si>
    <r>
      <t>Valeur de la vitesse d'infiltration K</t>
    </r>
    <r>
      <rPr>
        <vertAlign val="subscript"/>
        <sz val="11"/>
        <rFont val="Century Gothic"/>
        <family val="2"/>
      </rPr>
      <t>C20</t>
    </r>
    <r>
      <rPr>
        <sz val="11"/>
        <rFont val="Century Gothic"/>
        <family val="2"/>
      </rPr>
      <t xml:space="preserve"> corrigé à 20°C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</si>
</sst>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E+00"/>
    <numFmt numFmtId="167" formatCode="00"/>
    <numFmt numFmtId="168" formatCode="0E+0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0"/>
      <name val="Century Gothic"/>
      <family val="2"/>
    </font>
    <font>
      <b/>
      <vertAlign val="subscript"/>
      <sz val="10"/>
      <name val="Century Gothic"/>
      <family val="2"/>
    </font>
    <font>
      <i/>
      <sz val="10"/>
      <name val="Century Gothic"/>
      <family val="2"/>
    </font>
    <font>
      <vertAlign val="subscript"/>
      <sz val="10"/>
      <name val="Century Gothic"/>
      <family val="2"/>
    </font>
    <font>
      <sz val="11"/>
      <name val="Century Gothic"/>
      <family val="2"/>
    </font>
    <font>
      <sz val="10"/>
      <color indexed="9"/>
      <name val="Century Gothic"/>
      <family val="2"/>
    </font>
    <font>
      <sz val="14"/>
      <name val="Century Gothic"/>
      <family val="2"/>
    </font>
    <font>
      <sz val="12"/>
      <color indexed="9"/>
      <name val="Century Gothic"/>
      <family val="2"/>
    </font>
    <font>
      <vertAlign val="subscript"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71">
    <xf numFmtId="0" fontId="0" fillId="0" borderId="0" xfId="0"/>
    <xf numFmtId="0" fontId="4" fillId="0" borderId="0" xfId="1" applyFont="1" applyFill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right" vertical="center"/>
      <protection hidden="1"/>
    </xf>
    <xf numFmtId="0" fontId="4" fillId="0" borderId="6" xfId="1" applyFont="1" applyFill="1" applyBorder="1" applyAlignment="1" applyProtection="1">
      <alignment vertical="center"/>
      <protection hidden="1"/>
    </xf>
    <xf numFmtId="0" fontId="4" fillId="0" borderId="7" xfId="1" applyFont="1" applyFill="1" applyBorder="1" applyAlignment="1" applyProtection="1">
      <alignment vertical="center"/>
      <protection hidden="1"/>
    </xf>
    <xf numFmtId="0" fontId="7" fillId="0" borderId="1" xfId="1" applyFont="1" applyFill="1" applyBorder="1" applyAlignment="1" applyProtection="1">
      <alignment horizontal="center" vertical="center"/>
      <protection hidden="1"/>
    </xf>
    <xf numFmtId="0" fontId="10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10" xfId="1" applyFont="1" applyFill="1" applyBorder="1" applyAlignment="1" applyProtection="1">
      <alignment vertical="center"/>
      <protection hidden="1"/>
    </xf>
    <xf numFmtId="0" fontId="4" fillId="0" borderId="5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0" fontId="4" fillId="0" borderId="8" xfId="1" applyFont="1" applyFill="1" applyBorder="1" applyAlignment="1" applyProtection="1">
      <alignment vertical="center"/>
      <protection hidden="1"/>
    </xf>
    <xf numFmtId="0" fontId="9" fillId="0" borderId="8" xfId="1" applyFont="1" applyFill="1" applyBorder="1" applyAlignment="1" applyProtection="1">
      <alignment vertical="center"/>
      <protection hidden="1"/>
    </xf>
    <xf numFmtId="0" fontId="9" fillId="0" borderId="8" xfId="1" applyFont="1" applyFill="1" applyBorder="1" applyAlignment="1" applyProtection="1">
      <alignment horizontal="left" vertical="center"/>
      <protection hidden="1"/>
    </xf>
    <xf numFmtId="0" fontId="4" fillId="0" borderId="6" xfId="1" applyFont="1" applyFill="1" applyBorder="1" applyAlignment="1" applyProtection="1">
      <alignment horizontal="center" vertical="center"/>
      <protection hidden="1"/>
    </xf>
    <xf numFmtId="0" fontId="4" fillId="0" borderId="9" xfId="1" applyFont="1" applyFill="1" applyBorder="1" applyAlignment="1" applyProtection="1">
      <alignment vertical="center"/>
      <protection hidden="1"/>
    </xf>
    <xf numFmtId="0" fontId="4" fillId="0" borderId="0" xfId="1" applyFont="1" applyFill="1" applyProtection="1">
      <protection hidden="1"/>
    </xf>
    <xf numFmtId="0" fontId="11" fillId="0" borderId="0" xfId="1" applyFont="1" applyFill="1" applyAlignment="1" applyProtection="1">
      <alignment horizontal="right"/>
      <protection hidden="1"/>
    </xf>
    <xf numFmtId="0" fontId="10" fillId="0" borderId="0" xfId="1" applyFont="1" applyFill="1" applyAlignment="1" applyProtection="1">
      <alignment horizontal="right"/>
      <protection hidden="1"/>
    </xf>
    <xf numFmtId="14" fontId="12" fillId="0" borderId="0" xfId="1" applyNumberFormat="1" applyFont="1" applyFill="1" applyAlignment="1" applyProtection="1">
      <alignment horizontal="center"/>
      <protection hidden="1"/>
    </xf>
    <xf numFmtId="0" fontId="10" fillId="0" borderId="2" xfId="1" applyFont="1" applyFill="1" applyBorder="1" applyAlignment="1" applyProtection="1">
      <protection hidden="1"/>
    </xf>
    <xf numFmtId="0" fontId="4" fillId="0" borderId="2" xfId="1" applyFont="1" applyFill="1" applyBorder="1" applyProtection="1">
      <protection hidden="1"/>
    </xf>
    <xf numFmtId="0" fontId="4" fillId="0" borderId="10" xfId="1" applyFont="1" applyFill="1" applyBorder="1" applyProtection="1">
      <protection hidden="1"/>
    </xf>
    <xf numFmtId="0" fontId="4" fillId="0" borderId="5" xfId="1" applyFont="1" applyFill="1" applyBorder="1" applyProtection="1">
      <protection hidden="1"/>
    </xf>
    <xf numFmtId="0" fontId="7" fillId="0" borderId="0" xfId="1" applyFont="1" applyFill="1" applyBorder="1" applyAlignment="1" applyProtection="1">
      <protection hidden="1"/>
    </xf>
    <xf numFmtId="0" fontId="4" fillId="0" borderId="0" xfId="1" applyFont="1" applyFill="1" applyBorder="1" applyProtection="1">
      <protection hidden="1"/>
    </xf>
    <xf numFmtId="0" fontId="4" fillId="0" borderId="8" xfId="1" applyFont="1" applyFill="1" applyBorder="1" applyProtection="1">
      <protection hidden="1"/>
    </xf>
    <xf numFmtId="0" fontId="9" fillId="0" borderId="8" xfId="1" applyFont="1" applyFill="1" applyBorder="1" applyAlignment="1" applyProtection="1">
      <protection hidden="1"/>
    </xf>
    <xf numFmtId="0" fontId="4" fillId="0" borderId="6" xfId="1" applyFont="1" applyFill="1" applyBorder="1" applyProtection="1">
      <protection hidden="1"/>
    </xf>
    <xf numFmtId="0" fontId="9" fillId="0" borderId="9" xfId="1" applyFont="1" applyFill="1" applyBorder="1" applyAlignment="1" applyProtection="1">
      <alignment horizontal="left"/>
      <protection hidden="1"/>
    </xf>
    <xf numFmtId="0" fontId="4" fillId="0" borderId="0" xfId="1" applyFont="1" applyFill="1" applyBorder="1" applyAlignment="1" applyProtection="1">
      <alignment horizontal="left" vertical="center"/>
      <protection hidden="1"/>
    </xf>
    <xf numFmtId="0" fontId="13" fillId="0" borderId="2" xfId="1" applyFont="1" applyFill="1" applyBorder="1" applyAlignment="1" applyProtection="1">
      <alignment vertical="center"/>
      <protection hidden="1"/>
    </xf>
    <xf numFmtId="0" fontId="13" fillId="0" borderId="2" xfId="1" applyFont="1" applyFill="1" applyBorder="1" applyAlignment="1" applyProtection="1">
      <alignment horizontal="center" vertical="center"/>
      <protection hidden="1"/>
    </xf>
    <xf numFmtId="0" fontId="5" fillId="0" borderId="0" xfId="1" applyFont="1" applyFill="1" applyBorder="1" applyAlignment="1" applyProtection="1">
      <alignment vertical="center"/>
      <protection hidden="1"/>
    </xf>
    <xf numFmtId="0" fontId="4" fillId="0" borderId="38" xfId="1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4" fontId="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8" xfId="1" applyFont="1" applyFill="1" applyBorder="1" applyAlignment="1" applyProtection="1">
      <alignment horizontal="center" vertical="center"/>
      <protection hidden="1"/>
    </xf>
    <xf numFmtId="0" fontId="4" fillId="0" borderId="8" xfId="1" applyFont="1" applyBorder="1" applyProtection="1">
      <protection hidden="1"/>
    </xf>
    <xf numFmtId="0" fontId="7" fillId="0" borderId="5" xfId="1" applyFont="1" applyFill="1" applyBorder="1" applyAlignment="1" applyProtection="1">
      <alignment vertical="center" textRotation="90" wrapText="1"/>
      <protection hidden="1"/>
    </xf>
    <xf numFmtId="0" fontId="4" fillId="0" borderId="5" xfId="1" applyFont="1" applyBorder="1" applyAlignment="1" applyProtection="1">
      <alignment vertical="center" textRotation="90" wrapText="1"/>
      <protection hidden="1"/>
    </xf>
    <xf numFmtId="0" fontId="7" fillId="0" borderId="5" xfId="1" applyFont="1" applyFill="1" applyBorder="1" applyAlignment="1" applyProtection="1">
      <alignment horizontal="center" vertical="center"/>
      <protection hidden="1"/>
    </xf>
    <xf numFmtId="0" fontId="7" fillId="0" borderId="0" xfId="1" applyFont="1" applyFill="1" applyBorder="1" applyAlignment="1" applyProtection="1">
      <alignment horizontal="center" vertical="center"/>
      <protection hidden="1"/>
    </xf>
    <xf numFmtId="0" fontId="16" fillId="0" borderId="5" xfId="1" applyFont="1" applyFill="1" applyBorder="1" applyAlignment="1" applyProtection="1">
      <alignment horizontal="center" vertical="center"/>
      <protection hidden="1"/>
    </xf>
    <xf numFmtId="0" fontId="13" fillId="0" borderId="8" xfId="1" applyFont="1" applyFill="1" applyBorder="1" applyAlignment="1" applyProtection="1">
      <alignment vertical="center"/>
      <protection hidden="1"/>
    </xf>
    <xf numFmtId="0" fontId="16" fillId="0" borderId="5" xfId="1" quotePrefix="1" applyFont="1" applyFill="1" applyBorder="1" applyAlignment="1" applyProtection="1">
      <alignment horizontal="center" vertical="center"/>
      <protection hidden="1"/>
    </xf>
    <xf numFmtId="0" fontId="4" fillId="0" borderId="23" xfId="1" applyFont="1" applyFill="1" applyBorder="1" applyAlignment="1" applyProtection="1">
      <alignment vertical="center"/>
      <protection locked="0"/>
    </xf>
    <xf numFmtId="0" fontId="4" fillId="0" borderId="24" xfId="1" applyFont="1" applyFill="1" applyBorder="1" applyAlignment="1" applyProtection="1">
      <alignment vertical="center"/>
      <protection locked="0"/>
    </xf>
    <xf numFmtId="0" fontId="4" fillId="0" borderId="25" xfId="1" applyFont="1" applyFill="1" applyBorder="1" applyAlignment="1" applyProtection="1">
      <alignment vertical="center"/>
      <protection locked="0"/>
    </xf>
    <xf numFmtId="0" fontId="4" fillId="0" borderId="28" xfId="1" applyFont="1" applyFill="1" applyBorder="1" applyAlignment="1" applyProtection="1">
      <alignment vertical="center"/>
      <protection locked="0"/>
    </xf>
    <xf numFmtId="0" fontId="4" fillId="0" borderId="28" xfId="1" applyFont="1" applyFill="1" applyBorder="1" applyAlignment="1" applyProtection="1">
      <alignment vertical="center"/>
      <protection hidden="1"/>
    </xf>
    <xf numFmtId="0" fontId="4" fillId="0" borderId="24" xfId="1" applyFont="1" applyFill="1" applyBorder="1" applyAlignment="1" applyProtection="1">
      <alignment vertical="center"/>
      <protection hidden="1"/>
    </xf>
    <xf numFmtId="0" fontId="4" fillId="0" borderId="25" xfId="1" applyFont="1" applyFill="1" applyBorder="1" applyAlignment="1" applyProtection="1">
      <alignment vertical="center"/>
      <protection hidden="1"/>
    </xf>
    <xf numFmtId="0" fontId="4" fillId="0" borderId="29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vertical="center"/>
      <protection locked="0"/>
    </xf>
    <xf numFmtId="0" fontId="9" fillId="0" borderId="0" xfId="1" applyNumberFormat="1" applyFont="1" applyBorder="1" applyAlignment="1" applyProtection="1">
      <alignment vertical="top" wrapText="1"/>
      <protection locked="0"/>
    </xf>
    <xf numFmtId="0" fontId="4" fillId="0" borderId="41" xfId="1" applyFont="1" applyFill="1" applyBorder="1" applyAlignment="1" applyProtection="1">
      <alignment vertical="center"/>
      <protection locked="0"/>
    </xf>
    <xf numFmtId="0" fontId="5" fillId="0" borderId="41" xfId="1" applyFont="1" applyFill="1" applyBorder="1" applyAlignment="1" applyProtection="1">
      <alignment vertical="center"/>
      <protection locked="0"/>
    </xf>
    <xf numFmtId="0" fontId="5" fillId="0" borderId="0" xfId="1" applyFont="1" applyFill="1" applyBorder="1" applyAlignment="1" applyProtection="1">
      <alignment vertical="center"/>
      <protection locked="0"/>
    </xf>
    <xf numFmtId="0" fontId="5" fillId="0" borderId="6" xfId="1" applyFont="1" applyFill="1" applyBorder="1" applyAlignment="1" applyProtection="1">
      <alignment horizontal="center" vertical="center"/>
      <protection hidden="1"/>
    </xf>
    <xf numFmtId="0" fontId="5" fillId="0" borderId="7" xfId="1" applyFont="1" applyFill="1" applyBorder="1" applyAlignment="1" applyProtection="1">
      <alignment vertical="center"/>
      <protection hidden="1"/>
    </xf>
    <xf numFmtId="0" fontId="5" fillId="0" borderId="0" xfId="1" applyFont="1" applyFill="1" applyBorder="1" applyAlignment="1" applyProtection="1">
      <alignment horizontal="center" vertical="center"/>
      <protection hidden="1"/>
    </xf>
    <xf numFmtId="0" fontId="7" fillId="0" borderId="3" xfId="1" applyFont="1" applyFill="1" applyBorder="1" applyAlignment="1" applyProtection="1">
      <alignment horizontal="center" vertical="center"/>
      <protection hidden="1"/>
    </xf>
    <xf numFmtId="0" fontId="10" fillId="0" borderId="4" xfId="1" applyFont="1" applyFill="1" applyBorder="1" applyAlignment="1" applyProtection="1">
      <alignment vertical="center"/>
      <protection hidden="1"/>
    </xf>
    <xf numFmtId="0" fontId="13" fillId="0" borderId="4" xfId="1" applyFont="1" applyFill="1" applyBorder="1" applyAlignment="1" applyProtection="1">
      <alignment vertical="center"/>
      <protection hidden="1"/>
    </xf>
    <xf numFmtId="0" fontId="4" fillId="0" borderId="4" xfId="1" applyFont="1" applyFill="1" applyBorder="1" applyAlignment="1" applyProtection="1">
      <alignment vertical="center"/>
      <protection hidden="1"/>
    </xf>
    <xf numFmtId="0" fontId="10" fillId="0" borderId="0" xfId="1" applyFont="1" applyFill="1" applyBorder="1" applyAlignment="1" applyProtection="1">
      <alignment vertical="center"/>
      <protection hidden="1"/>
    </xf>
    <xf numFmtId="0" fontId="9" fillId="0" borderId="0" xfId="1" applyFont="1" applyFill="1" applyBorder="1" applyAlignment="1" applyProtection="1">
      <alignment vertical="center"/>
      <protection hidden="1"/>
    </xf>
    <xf numFmtId="0" fontId="4" fillId="0" borderId="0" xfId="1" applyFont="1" applyFill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left" vertical="center"/>
      <protection locked="0" hidden="1"/>
    </xf>
    <xf numFmtId="0" fontId="18" fillId="0" borderId="0" xfId="1" applyFont="1" applyFill="1" applyBorder="1" applyAlignment="1" applyProtection="1">
      <alignment horizontal="left" vertical="center"/>
      <protection locked="0"/>
    </xf>
    <xf numFmtId="0" fontId="18" fillId="0" borderId="7" xfId="1" applyFont="1" applyFill="1" applyBorder="1" applyAlignment="1" applyProtection="1">
      <alignment vertical="center"/>
      <protection locked="0"/>
    </xf>
    <xf numFmtId="0" fontId="18" fillId="0" borderId="7" xfId="1" applyFont="1" applyFill="1" applyBorder="1" applyAlignment="1" applyProtection="1">
      <alignment vertical="center"/>
      <protection locked="0" hidden="1"/>
    </xf>
    <xf numFmtId="0" fontId="4" fillId="0" borderId="0" xfId="0" applyFont="1" applyFill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6" xfId="0" applyFont="1" applyFill="1" applyBorder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8" xfId="0" applyFont="1" applyFill="1" applyBorder="1" applyAlignment="1" applyProtection="1">
      <alignment vertical="center"/>
      <protection hidden="1"/>
    </xf>
    <xf numFmtId="0" fontId="9" fillId="0" borderId="8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8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2" fontId="19" fillId="0" borderId="9" xfId="0" applyNumberFormat="1" applyFont="1" applyFill="1" applyBorder="1" applyAlignment="1" applyProtection="1">
      <alignment vertical="center"/>
      <protection hidden="1"/>
    </xf>
    <xf numFmtId="0" fontId="4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10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10" fillId="0" borderId="2" xfId="0" applyFont="1" applyFill="1" applyBorder="1" applyAlignment="1" applyProtection="1">
      <protection hidden="1"/>
    </xf>
    <xf numFmtId="0" fontId="4" fillId="0" borderId="2" xfId="0" applyFont="1" applyFill="1" applyBorder="1" applyProtection="1">
      <protection hidden="1"/>
    </xf>
    <xf numFmtId="0" fontId="4" fillId="0" borderId="10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7" fillId="0" borderId="0" xfId="0" applyFont="1" applyFill="1" applyBorder="1" applyAlignment="1" applyProtection="1">
      <protection hidden="1"/>
    </xf>
    <xf numFmtId="0" fontId="4" fillId="0" borderId="0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9" fillId="0" borderId="8" xfId="0" applyFont="1" applyFill="1" applyBorder="1" applyAlignment="1" applyProtection="1">
      <protection hidden="1"/>
    </xf>
    <xf numFmtId="0" fontId="4" fillId="0" borderId="6" xfId="0" applyFont="1" applyFill="1" applyBorder="1" applyProtection="1">
      <protection hidden="1"/>
    </xf>
    <xf numFmtId="0" fontId="9" fillId="0" borderId="9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0" fontId="10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vertical="center"/>
      <protection hidden="1"/>
    </xf>
    <xf numFmtId="0" fontId="4" fillId="0" borderId="10" xfId="0" applyFont="1" applyFill="1" applyBorder="1" applyAlignment="1" applyProtection="1">
      <alignment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166" fontId="20" fillId="0" borderId="0" xfId="0" applyNumberFormat="1" applyFont="1" applyBorder="1" applyAlignment="1" applyProtection="1">
      <alignment horizontal="center"/>
      <protection hidden="1"/>
    </xf>
    <xf numFmtId="0" fontId="4" fillId="0" borderId="0" xfId="0" applyFont="1" applyFill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9" fillId="0" borderId="10" xfId="0" applyFont="1" applyFill="1" applyBorder="1" applyAlignment="1" applyProtection="1">
      <alignment vertical="center"/>
      <protection hidden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14" xfId="0" applyFont="1" applyFill="1" applyBorder="1" applyAlignment="1" applyProtection="1">
      <alignment vertical="center"/>
      <protection hidden="1"/>
    </xf>
    <xf numFmtId="0" fontId="9" fillId="0" borderId="15" xfId="0" applyFont="1" applyFill="1" applyBorder="1" applyAlignment="1" applyProtection="1">
      <alignment vertical="center"/>
      <protection hidden="1"/>
    </xf>
    <xf numFmtId="0" fontId="9" fillId="0" borderId="16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vertical="center"/>
      <protection locked="0"/>
    </xf>
    <xf numFmtId="0" fontId="4" fillId="0" borderId="9" xfId="0" applyFont="1" applyFill="1" applyBorder="1" applyProtection="1"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11" fontId="4" fillId="0" borderId="0" xfId="0" applyNumberFormat="1" applyFont="1" applyFill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horizontal="left" vertical="center"/>
      <protection hidden="1"/>
    </xf>
    <xf numFmtId="0" fontId="18" fillId="0" borderId="0" xfId="0" applyFont="1" applyFill="1" applyBorder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18" fillId="0" borderId="7" xfId="0" applyFont="1" applyFill="1" applyBorder="1" applyAlignment="1" applyProtection="1">
      <alignment vertical="center"/>
      <protection hidden="1"/>
    </xf>
    <xf numFmtId="0" fontId="18" fillId="0" borderId="7" xfId="0" applyFont="1" applyFill="1" applyBorder="1" applyAlignment="1" applyProtection="1">
      <alignment horizontal="left" vertical="center"/>
      <protection hidden="1"/>
    </xf>
    <xf numFmtId="0" fontId="18" fillId="0" borderId="7" xfId="0" applyFont="1" applyFill="1" applyBorder="1" applyAlignment="1" applyProtection="1">
      <alignment horizontal="left"/>
      <protection hidden="1"/>
    </xf>
    <xf numFmtId="0" fontId="18" fillId="0" borderId="7" xfId="0" applyFont="1" applyFill="1" applyBorder="1" applyAlignment="1" applyProtection="1">
      <alignment horizontal="left"/>
      <protection locked="0"/>
    </xf>
    <xf numFmtId="0" fontId="21" fillId="0" borderId="9" xfId="0" applyNumberFormat="1" applyFont="1" applyFill="1" applyBorder="1" applyAlignment="1" applyProtection="1">
      <alignment vertical="center"/>
      <protection hidden="1"/>
    </xf>
    <xf numFmtId="0" fontId="4" fillId="0" borderId="0" xfId="0" applyFont="1" applyBorder="1" applyProtection="1"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8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Protection="1">
      <protection hidden="1"/>
    </xf>
    <xf numFmtId="0" fontId="18" fillId="0" borderId="0" xfId="0" applyFont="1" applyFill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0" fontId="18" fillId="0" borderId="14" xfId="0" applyFont="1" applyFill="1" applyBorder="1" applyAlignment="1" applyProtection="1">
      <alignment vertical="center"/>
      <protection hidden="1"/>
    </xf>
    <xf numFmtId="0" fontId="18" fillId="0" borderId="15" xfId="0" applyFont="1" applyFill="1" applyBorder="1" applyAlignment="1" applyProtection="1">
      <alignment vertical="center"/>
      <protection hidden="1"/>
    </xf>
    <xf numFmtId="0" fontId="18" fillId="0" borderId="16" xfId="0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2" xfId="0" applyFont="1" applyFill="1" applyBorder="1" applyAlignment="1" applyProtection="1">
      <alignment vertical="center" wrapText="1"/>
      <protection locked="0"/>
    </xf>
    <xf numFmtId="0" fontId="4" fillId="0" borderId="2" xfId="0" applyFont="1" applyBorder="1" applyAlignment="1" applyProtection="1">
      <alignment vertical="center" wrapText="1"/>
      <protection locked="0"/>
    </xf>
    <xf numFmtId="0" fontId="4" fillId="0" borderId="10" xfId="0" applyFont="1" applyBorder="1" applyAlignment="1" applyProtection="1">
      <alignment vertical="center" wrapText="1"/>
      <protection locked="0"/>
    </xf>
    <xf numFmtId="0" fontId="4" fillId="0" borderId="5" xfId="0" applyFont="1" applyFill="1" applyBorder="1" applyAlignment="1" applyProtection="1">
      <alignment vertical="center" wrapText="1"/>
      <protection locked="0"/>
    </xf>
    <xf numFmtId="0" fontId="4" fillId="0" borderId="8" xfId="0" applyFont="1" applyBorder="1" applyAlignment="1" applyProtection="1">
      <alignment vertical="center" wrapText="1"/>
      <protection locked="0"/>
    </xf>
    <xf numFmtId="0" fontId="4" fillId="0" borderId="6" xfId="0" applyFont="1" applyFill="1" applyBorder="1" applyAlignment="1" applyProtection="1">
      <alignment vertical="center" wrapText="1"/>
      <protection locked="0"/>
    </xf>
    <xf numFmtId="0" fontId="4" fillId="0" borderId="7" xfId="0" applyFont="1" applyFill="1" applyBorder="1" applyAlignment="1" applyProtection="1">
      <alignment vertical="center" wrapText="1"/>
      <protection locked="0"/>
    </xf>
    <xf numFmtId="0" fontId="4" fillId="0" borderId="7" xfId="0" applyFont="1" applyBorder="1" applyAlignment="1" applyProtection="1">
      <alignment vertical="center" wrapText="1"/>
      <protection locked="0"/>
    </xf>
    <xf numFmtId="0" fontId="4" fillId="0" borderId="9" xfId="0" applyFont="1" applyBorder="1" applyAlignment="1" applyProtection="1">
      <alignment vertical="center" wrapText="1"/>
      <protection locked="0"/>
    </xf>
    <xf numFmtId="0" fontId="18" fillId="0" borderId="7" xfId="0" applyFont="1" applyFill="1" applyBorder="1" applyAlignment="1" applyProtection="1">
      <protection locked="0"/>
    </xf>
    <xf numFmtId="0" fontId="18" fillId="0" borderId="7" xfId="0" applyFont="1" applyFill="1" applyBorder="1" applyAlignment="1" applyProtection="1">
      <protection hidden="1"/>
    </xf>
    <xf numFmtId="0" fontId="4" fillId="0" borderId="1" xfId="1" applyFont="1" applyFill="1" applyBorder="1" applyAlignment="1" applyProtection="1">
      <alignment vertical="center" wrapText="1"/>
      <protection locked="0"/>
    </xf>
    <xf numFmtId="0" fontId="4" fillId="0" borderId="2" xfId="1" applyFont="1" applyFill="1" applyBorder="1" applyAlignment="1" applyProtection="1">
      <alignment vertical="center" wrapText="1"/>
      <protection locked="0"/>
    </xf>
    <xf numFmtId="0" fontId="4" fillId="0" borderId="2" xfId="1" applyFont="1" applyBorder="1" applyAlignment="1" applyProtection="1">
      <alignment vertical="center" wrapText="1"/>
      <protection locked="0"/>
    </xf>
    <xf numFmtId="0" fontId="4" fillId="0" borderId="10" xfId="1" applyFont="1" applyBorder="1" applyAlignment="1" applyProtection="1">
      <alignment vertical="center" wrapText="1"/>
      <protection locked="0"/>
    </xf>
    <xf numFmtId="0" fontId="4" fillId="0" borderId="5" xfId="1" applyFont="1" applyFill="1" applyBorder="1" applyAlignment="1" applyProtection="1">
      <alignment vertical="center" wrapText="1"/>
      <protection locked="0"/>
    </xf>
    <xf numFmtId="0" fontId="4" fillId="0" borderId="8" xfId="1" applyFont="1" applyBorder="1" applyAlignment="1" applyProtection="1">
      <alignment vertical="center" wrapText="1"/>
      <protection locked="0"/>
    </xf>
    <xf numFmtId="0" fontId="4" fillId="0" borderId="6" xfId="1" applyFont="1" applyFill="1" applyBorder="1" applyAlignment="1" applyProtection="1">
      <alignment vertical="center" wrapText="1"/>
      <protection locked="0"/>
    </xf>
    <xf numFmtId="0" fontId="4" fillId="0" borderId="7" xfId="1" applyFont="1" applyFill="1" applyBorder="1" applyAlignment="1" applyProtection="1">
      <alignment vertical="center" wrapText="1"/>
      <protection locked="0"/>
    </xf>
    <xf numFmtId="0" fontId="4" fillId="0" borderId="7" xfId="1" applyFont="1" applyBorder="1" applyAlignment="1" applyProtection="1">
      <alignment vertical="center" wrapText="1"/>
      <protection locked="0"/>
    </xf>
    <xf numFmtId="0" fontId="4" fillId="0" borderId="9" xfId="1" applyFont="1" applyBorder="1" applyAlignment="1" applyProtection="1">
      <alignment vertical="center" wrapText="1"/>
      <protection locked="0"/>
    </xf>
    <xf numFmtId="0" fontId="18" fillId="0" borderId="0" xfId="1" applyFont="1" applyFill="1" applyBorder="1" applyAlignment="1" applyProtection="1">
      <alignment horizontal="left"/>
      <protection hidden="1"/>
    </xf>
    <xf numFmtId="0" fontId="18" fillId="0" borderId="0" xfId="1" applyFont="1" applyFill="1" applyBorder="1" applyAlignment="1" applyProtection="1">
      <alignment horizontal="left"/>
      <protection locked="0"/>
    </xf>
    <xf numFmtId="0" fontId="18" fillId="0" borderId="6" xfId="1" applyFont="1" applyFill="1" applyBorder="1" applyAlignment="1" applyProtection="1">
      <alignment horizontal="center" vertical="center"/>
      <protection hidden="1"/>
    </xf>
    <xf numFmtId="0" fontId="18" fillId="0" borderId="7" xfId="1" applyFont="1" applyFill="1" applyBorder="1" applyAlignment="1" applyProtection="1">
      <alignment horizontal="center" vertical="center"/>
      <protection hidden="1"/>
    </xf>
    <xf numFmtId="0" fontId="18" fillId="0" borderId="9" xfId="1" applyFont="1" applyFill="1" applyBorder="1" applyAlignment="1" applyProtection="1">
      <alignment horizontal="center" vertical="center"/>
      <protection hidden="1"/>
    </xf>
    <xf numFmtId="0" fontId="7" fillId="0" borderId="31" xfId="1" applyFont="1" applyFill="1" applyBorder="1" applyAlignment="1" applyProtection="1">
      <alignment horizontal="center" vertical="center"/>
      <protection hidden="1"/>
    </xf>
    <xf numFmtId="0" fontId="7" fillId="0" borderId="12" xfId="1" applyFont="1" applyFill="1" applyBorder="1" applyAlignment="1" applyProtection="1">
      <alignment horizontal="center" vertical="center"/>
      <protection hidden="1"/>
    </xf>
    <xf numFmtId="0" fontId="7" fillId="0" borderId="13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locked="0"/>
    </xf>
    <xf numFmtId="2" fontId="4" fillId="0" borderId="20" xfId="0" applyNumberFormat="1" applyFont="1" applyFill="1" applyBorder="1" applyAlignment="1" applyProtection="1">
      <alignment horizontal="center" vertical="center"/>
      <protection hidden="1"/>
    </xf>
    <xf numFmtId="2" fontId="4" fillId="0" borderId="21" xfId="0" applyNumberFormat="1" applyFont="1" applyFill="1" applyBorder="1" applyAlignment="1" applyProtection="1">
      <alignment horizontal="center" vertical="center"/>
      <protection hidden="1"/>
    </xf>
    <xf numFmtId="2" fontId="4" fillId="0" borderId="27" xfId="0" applyNumberFormat="1" applyFont="1" applyFill="1" applyBorder="1" applyAlignment="1" applyProtection="1">
      <alignment horizontal="center" vertical="center"/>
      <protection hidden="1"/>
    </xf>
    <xf numFmtId="168" fontId="4" fillId="0" borderId="41" xfId="0" applyNumberFormat="1" applyFont="1" applyFill="1" applyBorder="1" applyAlignment="1" applyProtection="1">
      <alignment horizontal="center" vertical="center"/>
      <protection hidden="1"/>
    </xf>
    <xf numFmtId="168" fontId="4" fillId="0" borderId="0" xfId="0" applyNumberFormat="1" applyFont="1" applyFill="1" applyBorder="1" applyAlignment="1" applyProtection="1">
      <alignment horizontal="center" vertical="center"/>
      <protection hidden="1"/>
    </xf>
    <xf numFmtId="168" fontId="4" fillId="0" borderId="38" xfId="0" applyNumberFormat="1" applyFont="1" applyFill="1" applyBorder="1" applyAlignment="1" applyProtection="1">
      <alignment horizontal="center" vertical="center"/>
      <protection hidden="1"/>
    </xf>
    <xf numFmtId="168" fontId="4" fillId="0" borderId="23" xfId="0" applyNumberFormat="1" applyFont="1" applyFill="1" applyBorder="1" applyAlignment="1" applyProtection="1">
      <alignment horizontal="center" vertical="center"/>
      <protection hidden="1"/>
    </xf>
    <xf numFmtId="168" fontId="4" fillId="0" borderId="24" xfId="0" applyNumberFormat="1" applyFont="1" applyFill="1" applyBorder="1" applyAlignment="1" applyProtection="1">
      <alignment horizontal="center" vertical="center"/>
      <protection hidden="1"/>
    </xf>
    <xf numFmtId="168" fontId="4" fillId="0" borderId="29" xfId="0" applyNumberFormat="1" applyFont="1" applyFill="1" applyBorder="1" applyAlignment="1" applyProtection="1">
      <alignment horizontal="center" vertical="center"/>
      <protection hidden="1"/>
    </xf>
    <xf numFmtId="168" fontId="7" fillId="0" borderId="26" xfId="0" applyNumberFormat="1" applyFont="1" applyFill="1" applyBorder="1" applyAlignment="1" applyProtection="1">
      <alignment horizontal="center" vertical="center"/>
      <protection locked="0"/>
    </xf>
    <xf numFmtId="168" fontId="7" fillId="0" borderId="21" xfId="0" applyNumberFormat="1" applyFont="1" applyFill="1" applyBorder="1" applyAlignment="1" applyProtection="1">
      <alignment horizontal="center" vertical="center"/>
      <protection locked="0"/>
    </xf>
    <xf numFmtId="168" fontId="7" fillId="0" borderId="27" xfId="0" applyNumberFormat="1" applyFont="1" applyFill="1" applyBorder="1" applyAlignment="1" applyProtection="1">
      <alignment horizontal="center" vertical="center"/>
      <protection locked="0"/>
    </xf>
    <xf numFmtId="168" fontId="7" fillId="0" borderId="28" xfId="0" applyNumberFormat="1" applyFont="1" applyFill="1" applyBorder="1" applyAlignment="1" applyProtection="1">
      <alignment horizontal="center" vertical="center"/>
      <protection locked="0"/>
    </xf>
    <xf numFmtId="168" fontId="7" fillId="0" borderId="24" xfId="0" applyNumberFormat="1" applyFont="1" applyFill="1" applyBorder="1" applyAlignment="1" applyProtection="1">
      <alignment horizontal="center" vertical="center"/>
      <protection locked="0"/>
    </xf>
    <xf numFmtId="168" fontId="7" fillId="0" borderId="29" xfId="0" applyNumberFormat="1" applyFont="1" applyFill="1" applyBorder="1" applyAlignment="1" applyProtection="1">
      <alignment horizontal="center" vertical="center"/>
      <protection locked="0"/>
    </xf>
    <xf numFmtId="0" fontId="4" fillId="0" borderId="43" xfId="1" applyFont="1" applyFill="1" applyBorder="1" applyAlignment="1" applyProtection="1">
      <alignment horizontal="center" vertical="center"/>
      <protection locked="0"/>
    </xf>
    <xf numFmtId="0" fontId="4" fillId="0" borderId="37" xfId="1" applyFont="1" applyFill="1" applyBorder="1" applyAlignment="1" applyProtection="1">
      <alignment horizontal="center" vertical="center"/>
      <protection locked="0"/>
    </xf>
    <xf numFmtId="0" fontId="4" fillId="0" borderId="44" xfId="1" applyFont="1" applyFill="1" applyBorder="1" applyAlignment="1" applyProtection="1">
      <alignment horizontal="center" vertical="center"/>
      <protection locked="0"/>
    </xf>
    <xf numFmtId="164" fontId="4" fillId="0" borderId="42" xfId="1" applyNumberFormat="1" applyFont="1" applyFill="1" applyBorder="1" applyAlignment="1" applyProtection="1">
      <alignment horizontal="center" vertical="center"/>
      <protection locked="0"/>
    </xf>
    <xf numFmtId="164" fontId="4" fillId="0" borderId="39" xfId="1" applyNumberFormat="1" applyFont="1" applyFill="1" applyBorder="1" applyAlignment="1" applyProtection="1">
      <alignment horizontal="center" vertical="center"/>
      <protection locked="0"/>
    </xf>
    <xf numFmtId="164" fontId="4" fillId="0" borderId="40" xfId="1" applyNumberFormat="1" applyFont="1" applyFill="1" applyBorder="1" applyAlignment="1" applyProtection="1">
      <alignment horizontal="center" vertical="center"/>
      <protection locked="0"/>
    </xf>
    <xf numFmtId="11" fontId="4" fillId="0" borderId="5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38" xfId="0" applyFont="1" applyFill="1" applyBorder="1" applyAlignment="1" applyProtection="1">
      <alignment horizontal="center" vertical="center"/>
      <protection hidden="1"/>
    </xf>
    <xf numFmtId="0" fontId="4" fillId="0" borderId="5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8" xfId="1" applyFont="1" applyFill="1" applyBorder="1" applyAlignment="1" applyProtection="1">
      <alignment horizontal="center" vertical="center"/>
      <protection locked="0"/>
    </xf>
    <xf numFmtId="11" fontId="4" fillId="0" borderId="0" xfId="0" applyNumberFormat="1" applyFont="1" applyFill="1" applyBorder="1" applyAlignment="1" applyProtection="1">
      <alignment horizontal="center" vertical="center"/>
      <protection hidden="1"/>
    </xf>
    <xf numFmtId="11" fontId="4" fillId="0" borderId="8" xfId="0" applyNumberFormat="1" applyFont="1" applyFill="1" applyBorder="1" applyAlignment="1" applyProtection="1">
      <alignment horizontal="center" vertical="center"/>
      <protection hidden="1"/>
    </xf>
    <xf numFmtId="0" fontId="4" fillId="0" borderId="41" xfId="1" applyFont="1" applyFill="1" applyBorder="1" applyAlignment="1" applyProtection="1">
      <alignment horizontal="center" vertical="center"/>
      <protection locked="0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2" fontId="4" fillId="0" borderId="5" xfId="0" applyNumberFormat="1" applyFont="1" applyFill="1" applyBorder="1" applyAlignment="1" applyProtection="1">
      <alignment horizontal="center" vertical="center"/>
      <protection locked="0"/>
    </xf>
    <xf numFmtId="2" fontId="4" fillId="0" borderId="0" xfId="0" applyNumberFormat="1" applyFont="1" applyFill="1" applyBorder="1" applyAlignment="1" applyProtection="1">
      <alignment horizontal="center" vertical="center"/>
      <protection locked="0"/>
    </xf>
    <xf numFmtId="2" fontId="4" fillId="0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 vertical="center" wrapText="1"/>
      <protection hidden="1"/>
    </xf>
    <xf numFmtId="0" fontId="4" fillId="0" borderId="2" xfId="1" applyFont="1" applyFill="1" applyBorder="1" applyAlignment="1" applyProtection="1">
      <alignment horizontal="center" vertical="center" wrapText="1"/>
      <protection hidden="1"/>
    </xf>
    <xf numFmtId="0" fontId="4" fillId="0" borderId="10" xfId="1" applyFont="1" applyFill="1" applyBorder="1" applyAlignment="1" applyProtection="1">
      <alignment horizontal="center" vertical="center" wrapText="1"/>
      <protection hidden="1"/>
    </xf>
    <xf numFmtId="0" fontId="4" fillId="0" borderId="5" xfId="1" applyFont="1" applyFill="1" applyBorder="1" applyAlignment="1" applyProtection="1">
      <alignment horizontal="center" vertical="center" wrapText="1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hidden="1"/>
    </xf>
    <xf numFmtId="0" fontId="4" fillId="0" borderId="8" xfId="1" applyFont="1" applyFill="1" applyBorder="1" applyAlignment="1" applyProtection="1">
      <alignment horizontal="center" vertical="center" wrapText="1"/>
      <protection hidden="1"/>
    </xf>
    <xf numFmtId="0" fontId="4" fillId="0" borderId="6" xfId="1" applyFont="1" applyFill="1" applyBorder="1" applyAlignment="1" applyProtection="1">
      <alignment horizontal="center" vertical="center" wrapText="1"/>
      <protection hidden="1"/>
    </xf>
    <xf numFmtId="0" fontId="4" fillId="0" borderId="7" xfId="1" applyFont="1" applyFill="1" applyBorder="1" applyAlignment="1" applyProtection="1">
      <alignment horizontal="center" vertical="center" wrapText="1"/>
      <protection hidden="1"/>
    </xf>
    <xf numFmtId="0" fontId="4" fillId="0" borderId="9" xfId="1" applyFont="1" applyFill="1" applyBorder="1" applyAlignment="1" applyProtection="1">
      <alignment horizontal="center" vertical="center" wrapText="1"/>
      <protection hidden="1"/>
    </xf>
    <xf numFmtId="0" fontId="5" fillId="0" borderId="1" xfId="1" applyFont="1" applyFill="1" applyBorder="1" applyAlignment="1" applyProtection="1">
      <alignment horizontal="center" vertical="center"/>
      <protection hidden="1"/>
    </xf>
    <xf numFmtId="0" fontId="5" fillId="0" borderId="2" xfId="1" applyFont="1" applyFill="1" applyBorder="1" applyAlignment="1" applyProtection="1">
      <alignment horizontal="center" vertical="center"/>
      <protection hidden="1"/>
    </xf>
    <xf numFmtId="0" fontId="5" fillId="0" borderId="10" xfId="1" applyFont="1" applyFill="1" applyBorder="1" applyAlignment="1" applyProtection="1">
      <alignment horizontal="center" vertical="center"/>
      <protection hidden="1"/>
    </xf>
    <xf numFmtId="0" fontId="8" fillId="0" borderId="7" xfId="1" applyFont="1" applyFill="1" applyBorder="1" applyAlignment="1" applyProtection="1">
      <alignment horizontal="center" vertical="center"/>
      <protection hidden="1"/>
    </xf>
    <xf numFmtId="0" fontId="8" fillId="0" borderId="9" xfId="1" applyFont="1" applyFill="1" applyBorder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left" vertical="center"/>
      <protection locked="0"/>
    </xf>
    <xf numFmtId="0" fontId="5" fillId="0" borderId="18" xfId="1" applyFont="1" applyFill="1" applyBorder="1" applyAlignment="1" applyProtection="1">
      <alignment horizontal="center" vertical="center" wrapText="1"/>
      <protection hidden="1"/>
    </xf>
    <xf numFmtId="0" fontId="5" fillId="0" borderId="18" xfId="1" applyFont="1" applyFill="1" applyBorder="1" applyAlignment="1" applyProtection="1">
      <alignment horizontal="center" vertical="center"/>
      <protection hidden="1"/>
    </xf>
    <xf numFmtId="0" fontId="5" fillId="0" borderId="19" xfId="1" applyFont="1" applyFill="1" applyBorder="1" applyAlignment="1" applyProtection="1">
      <alignment horizontal="center" vertical="center"/>
      <protection hidden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0" fontId="6" fillId="0" borderId="10" xfId="1" applyFont="1" applyFill="1" applyBorder="1" applyAlignment="1" applyProtection="1">
      <alignment horizontal="center" vertical="center" wrapText="1"/>
      <protection locked="0"/>
    </xf>
    <xf numFmtId="0" fontId="6" fillId="0" borderId="5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0" fontId="6" fillId="0" borderId="8" xfId="1" applyFont="1" applyFill="1" applyBorder="1" applyAlignment="1" applyProtection="1">
      <alignment horizontal="center" vertical="center" wrapText="1"/>
      <protection locked="0"/>
    </xf>
    <xf numFmtId="0" fontId="6" fillId="0" borderId="6" xfId="1" applyFont="1" applyFill="1" applyBorder="1" applyAlignment="1" applyProtection="1">
      <alignment horizontal="center" vertical="center" wrapText="1"/>
      <protection locked="0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0" fontId="6" fillId="0" borderId="9" xfId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left" vertical="center"/>
      <protection locked="0" hidden="1"/>
    </xf>
    <xf numFmtId="0" fontId="7" fillId="0" borderId="17" xfId="1" applyFont="1" applyFill="1" applyBorder="1" applyAlignment="1" applyProtection="1">
      <alignment horizontal="center" vertical="center"/>
      <protection hidden="1"/>
    </xf>
    <xf numFmtId="0" fontId="9" fillId="0" borderId="17" xfId="1" applyFont="1" applyFill="1" applyBorder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center" vertical="center"/>
      <protection locked="0" hidden="1"/>
    </xf>
    <xf numFmtId="0" fontId="6" fillId="0" borderId="5" xfId="1" applyFont="1" applyFill="1" applyBorder="1" applyAlignment="1" applyProtection="1">
      <alignment horizontal="center" vertical="center" wrapText="1"/>
      <protection hidden="1"/>
    </xf>
    <xf numFmtId="0" fontId="6" fillId="0" borderId="0" xfId="1" applyFont="1" applyFill="1" applyBorder="1" applyAlignment="1" applyProtection="1">
      <alignment horizontal="center" vertical="center" wrapText="1"/>
      <protection hidden="1"/>
    </xf>
    <xf numFmtId="0" fontId="6" fillId="0" borderId="8" xfId="1" applyFont="1" applyFill="1" applyBorder="1" applyAlignment="1" applyProtection="1">
      <alignment horizontal="center" vertical="center" wrapText="1"/>
      <protection hidden="1"/>
    </xf>
    <xf numFmtId="0" fontId="7" fillId="0" borderId="5" xfId="1" applyFont="1" applyFill="1" applyBorder="1" applyAlignment="1" applyProtection="1">
      <alignment horizontal="center" vertical="center" wrapText="1"/>
      <protection hidden="1"/>
    </xf>
    <xf numFmtId="0" fontId="7" fillId="0" borderId="0" xfId="1" applyFont="1" applyFill="1" applyBorder="1" applyAlignment="1" applyProtection="1">
      <alignment horizontal="center" vertical="center" wrapText="1"/>
      <protection hidden="1"/>
    </xf>
    <xf numFmtId="167" fontId="12" fillId="0" borderId="0" xfId="1" applyNumberFormat="1" applyFont="1" applyFill="1" applyBorder="1" applyAlignment="1" applyProtection="1">
      <alignment horizontal="center" vertical="center"/>
      <protection locked="0"/>
    </xf>
    <xf numFmtId="167" fontId="12" fillId="0" borderId="8" xfId="1" applyNumberFormat="1" applyFont="1" applyFill="1" applyBorder="1" applyAlignment="1" applyProtection="1">
      <alignment horizontal="center" vertical="center"/>
      <protection locked="0"/>
    </xf>
    <xf numFmtId="0" fontId="12" fillId="0" borderId="5" xfId="1" applyFont="1" applyFill="1" applyBorder="1" applyAlignment="1" applyProtection="1">
      <alignment horizontal="center" vertical="center"/>
      <protection locked="0"/>
    </xf>
    <xf numFmtId="0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8" xfId="1" applyFont="1" applyFill="1" applyBorder="1" applyAlignment="1" applyProtection="1">
      <alignment horizontal="center" vertical="center"/>
      <protection locked="0"/>
    </xf>
    <xf numFmtId="14" fontId="12" fillId="0" borderId="5" xfId="1" applyNumberFormat="1" applyFont="1" applyFill="1" applyBorder="1" applyAlignment="1" applyProtection="1">
      <alignment horizontal="center" vertical="center"/>
      <protection locked="0"/>
    </xf>
    <xf numFmtId="14" fontId="12" fillId="0" borderId="0" xfId="1" applyNumberFormat="1" applyFont="1" applyFill="1" applyBorder="1" applyAlignment="1" applyProtection="1">
      <alignment horizontal="center" vertical="center"/>
      <protection locked="0"/>
    </xf>
    <xf numFmtId="14" fontId="12" fillId="0" borderId="8" xfId="1" applyNumberFormat="1" applyFont="1" applyFill="1" applyBorder="1" applyAlignment="1" applyProtection="1">
      <alignment horizontal="center" vertical="center"/>
      <protection locked="0"/>
    </xf>
    <xf numFmtId="0" fontId="18" fillId="0" borderId="7" xfId="1" applyFont="1" applyFill="1" applyBorder="1" applyAlignment="1" applyProtection="1">
      <alignment horizontal="left" vertical="center"/>
      <protection locked="0" hidden="1"/>
    </xf>
    <xf numFmtId="0" fontId="18" fillId="0" borderId="7" xfId="1" applyFont="1" applyFill="1" applyBorder="1" applyAlignment="1" applyProtection="1">
      <alignment horizontal="right" vertical="center"/>
      <protection locked="0"/>
    </xf>
    <xf numFmtId="0" fontId="4" fillId="0" borderId="21" xfId="1" applyFont="1" applyFill="1" applyBorder="1" applyAlignment="1" applyProtection="1">
      <alignment horizontal="center" vertical="center" wrapText="1"/>
      <protection hidden="1"/>
    </xf>
    <xf numFmtId="0" fontId="4" fillId="0" borderId="21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164" fontId="5" fillId="0" borderId="21" xfId="0" applyNumberFormat="1" applyFont="1" applyFill="1" applyBorder="1" applyAlignment="1" applyProtection="1">
      <alignment horizontal="center" vertical="center"/>
      <protection hidden="1"/>
    </xf>
    <xf numFmtId="164" fontId="5" fillId="0" borderId="27" xfId="0" applyNumberFormat="1" applyFont="1" applyFill="1" applyBorder="1" applyAlignment="1" applyProtection="1">
      <alignment horizontal="center" vertical="center"/>
      <protection hidden="1"/>
    </xf>
    <xf numFmtId="164" fontId="5" fillId="0" borderId="0" xfId="0" applyNumberFormat="1" applyFont="1" applyFill="1" applyBorder="1" applyAlignment="1" applyProtection="1">
      <alignment horizontal="center" vertical="center"/>
      <protection hidden="1"/>
    </xf>
    <xf numFmtId="164" fontId="5" fillId="0" borderId="38" xfId="0" applyNumberFormat="1" applyFont="1" applyFill="1" applyBorder="1" applyAlignment="1" applyProtection="1">
      <alignment horizontal="center" vertical="center"/>
      <protection hidden="1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horizontal="center" vertical="center"/>
      <protection hidden="1"/>
    </xf>
    <xf numFmtId="0" fontId="4" fillId="0" borderId="20" xfId="1" applyFont="1" applyFill="1" applyBorder="1" applyAlignment="1" applyProtection="1">
      <alignment horizontal="center" vertical="center"/>
      <protection hidden="1"/>
    </xf>
    <xf numFmtId="2" fontId="5" fillId="0" borderId="39" xfId="0" applyNumberFormat="1" applyFont="1" applyFill="1" applyBorder="1" applyAlignment="1" applyProtection="1">
      <alignment horizontal="center" vertical="center"/>
      <protection hidden="1"/>
    </xf>
    <xf numFmtId="2" fontId="5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7" xfId="1" applyFont="1" applyFill="1" applyBorder="1" applyAlignment="1" applyProtection="1">
      <alignment horizontal="left"/>
      <protection hidden="1"/>
    </xf>
    <xf numFmtId="0" fontId="18" fillId="0" borderId="7" xfId="1" applyFont="1" applyFill="1" applyBorder="1" applyAlignment="1" applyProtection="1">
      <alignment horizontal="left"/>
      <protection locked="0"/>
    </xf>
    <xf numFmtId="0" fontId="18" fillId="0" borderId="0" xfId="1" applyFont="1" applyFill="1" applyBorder="1" applyAlignment="1" applyProtection="1">
      <alignment horizontal="right" vertical="center"/>
      <protection locked="0"/>
    </xf>
    <xf numFmtId="0" fontId="4" fillId="0" borderId="24" xfId="1" applyFont="1" applyFill="1" applyBorder="1" applyAlignment="1" applyProtection="1">
      <alignment horizontal="center" vertical="center"/>
      <protection hidden="1"/>
    </xf>
    <xf numFmtId="0" fontId="4" fillId="0" borderId="38" xfId="1" applyFont="1" applyFill="1" applyBorder="1" applyAlignment="1" applyProtection="1">
      <alignment horizontal="center" vertical="center"/>
      <protection hidden="1"/>
    </xf>
    <xf numFmtId="0" fontId="4" fillId="0" borderId="29" xfId="1" applyFont="1" applyFill="1" applyBorder="1" applyAlignment="1" applyProtection="1">
      <alignment horizontal="center"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7" xfId="1" applyFont="1" applyFill="1" applyBorder="1" applyAlignment="1" applyProtection="1">
      <alignment horizontal="center" vertical="center"/>
      <protection hidden="1"/>
    </xf>
    <xf numFmtId="0" fontId="4" fillId="0" borderId="10" xfId="1" applyFont="1" applyFill="1" applyBorder="1" applyAlignment="1" applyProtection="1">
      <alignment horizontal="center" vertical="center"/>
      <protection hidden="1"/>
    </xf>
    <xf numFmtId="0" fontId="4" fillId="0" borderId="9" xfId="1" applyFont="1" applyFill="1" applyBorder="1" applyAlignment="1" applyProtection="1">
      <alignment horizontal="center" vertical="center"/>
      <protection hidden="1"/>
    </xf>
    <xf numFmtId="164" fontId="4" fillId="0" borderId="21" xfId="0" applyNumberFormat="1" applyFont="1" applyFill="1" applyBorder="1" applyAlignment="1" applyProtection="1">
      <alignment horizontal="center" vertical="center"/>
      <protection hidden="1"/>
    </xf>
    <xf numFmtId="164" fontId="4" fillId="0" borderId="27" xfId="0" applyNumberFormat="1" applyFont="1" applyFill="1" applyBorder="1" applyAlignment="1" applyProtection="1">
      <alignment horizontal="center" vertical="center"/>
      <protection hidden="1"/>
    </xf>
    <xf numFmtId="164" fontId="4" fillId="0" borderId="24" xfId="0" applyNumberFormat="1" applyFont="1" applyFill="1" applyBorder="1" applyAlignment="1" applyProtection="1">
      <alignment horizontal="center" vertical="center"/>
      <protection hidden="1"/>
    </xf>
    <xf numFmtId="164" fontId="4" fillId="0" borderId="29" xfId="0" applyNumberFormat="1" applyFont="1" applyFill="1" applyBorder="1" applyAlignment="1" applyProtection="1">
      <alignment horizontal="center" vertical="center"/>
      <protection hidden="1"/>
    </xf>
    <xf numFmtId="0" fontId="11" fillId="0" borderId="5" xfId="1" applyFont="1" applyFill="1" applyBorder="1" applyAlignment="1" applyProtection="1">
      <alignment horizontal="center" vertical="center"/>
      <protection hidden="1"/>
    </xf>
    <xf numFmtId="0" fontId="11" fillId="0" borderId="0" xfId="1" applyFont="1" applyFill="1" applyBorder="1" applyAlignment="1" applyProtection="1">
      <alignment horizontal="center" vertical="center"/>
      <protection hidden="1"/>
    </xf>
    <xf numFmtId="0" fontId="11" fillId="0" borderId="8" xfId="1" applyFont="1" applyFill="1" applyBorder="1" applyAlignment="1" applyProtection="1">
      <alignment horizontal="center" vertical="center"/>
      <protection hidden="1"/>
    </xf>
    <xf numFmtId="0" fontId="18" fillId="0" borderId="5" xfId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8" xfId="1" applyFont="1" applyBorder="1" applyAlignment="1" applyProtection="1">
      <alignment horizontal="center" vertical="center" wrapText="1"/>
      <protection locked="0"/>
    </xf>
    <xf numFmtId="0" fontId="18" fillId="0" borderId="6" xfId="1" applyFont="1" applyFill="1" applyBorder="1" applyAlignment="1" applyProtection="1">
      <alignment horizontal="center" vertical="center" wrapText="1"/>
      <protection locked="0"/>
    </xf>
    <xf numFmtId="0" fontId="18" fillId="0" borderId="7" xfId="1" applyFont="1" applyFill="1" applyBorder="1" applyAlignment="1" applyProtection="1">
      <alignment horizontal="center" vertical="center" wrapText="1"/>
      <protection locked="0"/>
    </xf>
    <xf numFmtId="0" fontId="4" fillId="0" borderId="7" xfId="1" applyFont="1" applyBorder="1" applyAlignment="1" applyProtection="1">
      <alignment horizontal="center" vertical="center" wrapText="1"/>
      <protection locked="0"/>
    </xf>
    <xf numFmtId="0" fontId="4" fillId="0" borderId="9" xfId="1" applyFont="1" applyBorder="1" applyAlignment="1" applyProtection="1">
      <alignment horizontal="center" vertical="center" wrapText="1"/>
      <protection locked="0"/>
    </xf>
    <xf numFmtId="0" fontId="18" fillId="0" borderId="5" xfId="1" applyFont="1" applyFill="1" applyBorder="1" applyAlignment="1" applyProtection="1">
      <alignment horizontal="left" vertical="center" wrapText="1"/>
      <protection locked="0"/>
    </xf>
    <xf numFmtId="0" fontId="18" fillId="0" borderId="0" xfId="1" applyFont="1" applyFill="1" applyBorder="1" applyAlignment="1" applyProtection="1">
      <alignment horizontal="left" vertical="center" wrapText="1"/>
      <protection locked="0"/>
    </xf>
    <xf numFmtId="0" fontId="18" fillId="0" borderId="8" xfId="1" applyFont="1" applyFill="1" applyBorder="1" applyAlignment="1" applyProtection="1">
      <alignment horizontal="left" vertical="center" wrapText="1"/>
      <protection locked="0"/>
    </xf>
    <xf numFmtId="0" fontId="18" fillId="0" borderId="6" xfId="1" applyFont="1" applyFill="1" applyBorder="1" applyAlignment="1" applyProtection="1">
      <alignment horizontal="left" vertical="center" wrapText="1"/>
      <protection locked="0"/>
    </xf>
    <xf numFmtId="0" fontId="18" fillId="0" borderId="7" xfId="1" applyFont="1" applyFill="1" applyBorder="1" applyAlignment="1" applyProtection="1">
      <alignment horizontal="left" vertical="center" wrapText="1"/>
      <protection locked="0"/>
    </xf>
    <xf numFmtId="0" fontId="18" fillId="0" borderId="9" xfId="1" applyFont="1" applyFill="1" applyBorder="1" applyAlignment="1" applyProtection="1">
      <alignment horizontal="left" vertical="center" wrapText="1"/>
      <protection locked="0"/>
    </xf>
    <xf numFmtId="0" fontId="11" fillId="0" borderId="6" xfId="1" applyFont="1" applyFill="1" applyBorder="1" applyAlignment="1" applyProtection="1">
      <alignment horizontal="center" vertical="center"/>
      <protection hidden="1"/>
    </xf>
    <xf numFmtId="0" fontId="11" fillId="0" borderId="7" xfId="1" applyFont="1" applyFill="1" applyBorder="1" applyAlignment="1" applyProtection="1">
      <alignment horizontal="center" vertical="center"/>
      <protection hidden="1"/>
    </xf>
    <xf numFmtId="0" fontId="11" fillId="0" borderId="9" xfId="1" applyFont="1" applyFill="1" applyBorder="1" applyAlignment="1" applyProtection="1">
      <alignment horizontal="center" vertical="center"/>
      <protection hidden="1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4" fillId="0" borderId="32" xfId="1" applyFont="1" applyFill="1" applyBorder="1" applyAlignment="1" applyProtection="1">
      <alignment horizontal="center" vertical="center"/>
      <protection locked="0"/>
    </xf>
    <xf numFmtId="0" fontId="4" fillId="0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 vertical="center"/>
      <protection locked="0"/>
    </xf>
    <xf numFmtId="0" fontId="5" fillId="0" borderId="20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Fill="1" applyBorder="1" applyAlignment="1" applyProtection="1">
      <alignment horizontal="center" vertical="center" wrapText="1"/>
      <protection locked="0"/>
    </xf>
    <xf numFmtId="0" fontId="5" fillId="0" borderId="23" xfId="1" applyFont="1" applyFill="1" applyBorder="1" applyAlignment="1" applyProtection="1">
      <alignment horizontal="center" vertical="center" wrapText="1"/>
      <protection locked="0"/>
    </xf>
    <xf numFmtId="0" fontId="5" fillId="0" borderId="24" xfId="1" applyFont="1" applyFill="1" applyBorder="1" applyAlignment="1" applyProtection="1">
      <alignment horizontal="center" vertical="center" wrapText="1"/>
      <protection locked="0"/>
    </xf>
    <xf numFmtId="0" fontId="5" fillId="0" borderId="25" xfId="1" applyFont="1" applyFill="1" applyBorder="1" applyAlignment="1" applyProtection="1">
      <alignment horizontal="center" vertical="center" wrapText="1"/>
      <protection locked="0"/>
    </xf>
    <xf numFmtId="0" fontId="11" fillId="0" borderId="17" xfId="1" applyFont="1" applyFill="1" applyBorder="1" applyAlignment="1" applyProtection="1">
      <alignment horizontal="center" vertical="center" wrapText="1"/>
      <protection hidden="1"/>
    </xf>
    <xf numFmtId="0" fontId="4" fillId="0" borderId="17" xfId="1" applyFont="1" applyBorder="1" applyAlignment="1" applyProtection="1">
      <alignment horizontal="center" vertical="center" wrapText="1"/>
      <protection hidden="1"/>
    </xf>
    <xf numFmtId="0" fontId="4" fillId="0" borderId="30" xfId="1" applyFont="1" applyBorder="1" applyAlignment="1" applyProtection="1">
      <alignment horizontal="center" vertical="center" wrapText="1"/>
      <protection hidden="1"/>
    </xf>
    <xf numFmtId="0" fontId="18" fillId="0" borderId="32" xfId="1" applyFont="1" applyFill="1" applyBorder="1" applyAlignment="1" applyProtection="1">
      <alignment horizontal="center" vertical="center" wrapText="1"/>
      <protection locked="0"/>
    </xf>
    <xf numFmtId="0" fontId="18" fillId="0" borderId="17" xfId="1" applyFont="1" applyFill="1" applyBorder="1" applyAlignment="1" applyProtection="1">
      <alignment horizontal="center" vertical="center" wrapText="1"/>
      <protection locked="0"/>
    </xf>
    <xf numFmtId="0" fontId="4" fillId="0" borderId="17" xfId="1" applyFont="1" applyBorder="1" applyAlignment="1" applyProtection="1">
      <alignment horizontal="center" vertical="center" wrapText="1"/>
      <protection locked="0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left" vertical="center"/>
      <protection hidden="1"/>
    </xf>
    <xf numFmtId="0" fontId="18" fillId="0" borderId="0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7" fillId="0" borderId="31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hidden="1"/>
    </xf>
    <xf numFmtId="0" fontId="7" fillId="0" borderId="13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11" fontId="4" fillId="0" borderId="32" xfId="0" applyNumberFormat="1" applyFont="1" applyFill="1" applyBorder="1" applyAlignment="1" applyProtection="1">
      <alignment horizontal="center" vertical="center"/>
      <protection hidden="1"/>
    </xf>
    <xf numFmtId="11" fontId="4" fillId="0" borderId="17" xfId="0" applyNumberFormat="1" applyFont="1" applyFill="1" applyBorder="1" applyAlignment="1" applyProtection="1">
      <alignment horizontal="center" vertical="center"/>
      <protection hidden="1"/>
    </xf>
    <xf numFmtId="11" fontId="4" fillId="0" borderId="30" xfId="0" applyNumberFormat="1" applyFont="1" applyFill="1" applyBorder="1" applyAlignment="1" applyProtection="1">
      <alignment horizontal="center" vertical="center"/>
      <protection hidden="1"/>
    </xf>
    <xf numFmtId="0" fontId="4" fillId="0" borderId="32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NumberFormat="1" applyFont="1" applyFill="1" applyBorder="1" applyAlignment="1" applyProtection="1">
      <alignment horizontal="center" vertical="center"/>
      <protection locked="0"/>
    </xf>
    <xf numFmtId="0" fontId="4" fillId="0" borderId="30" xfId="0" applyNumberFormat="1" applyFont="1" applyFill="1" applyBorder="1" applyAlignment="1" applyProtection="1">
      <alignment horizontal="center" vertical="center"/>
      <protection locked="0"/>
    </xf>
    <xf numFmtId="165" fontId="4" fillId="0" borderId="32" xfId="0" applyNumberFormat="1" applyFont="1" applyFill="1" applyBorder="1" applyAlignment="1" applyProtection="1">
      <alignment horizontal="center" vertical="center"/>
      <protection locked="0"/>
    </xf>
    <xf numFmtId="165" fontId="4" fillId="0" borderId="17" xfId="0" applyNumberFormat="1" applyFont="1" applyFill="1" applyBorder="1" applyAlignment="1" applyProtection="1">
      <alignment horizontal="center" vertical="center"/>
      <protection locked="0"/>
    </xf>
    <xf numFmtId="165" fontId="4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hidden="1"/>
    </xf>
    <xf numFmtId="0" fontId="4" fillId="0" borderId="17" xfId="0" applyFont="1" applyFill="1" applyBorder="1" applyAlignment="1" applyProtection="1">
      <alignment horizontal="center" vertical="center"/>
      <protection hidden="1"/>
    </xf>
    <xf numFmtId="0" fontId="4" fillId="0" borderId="30" xfId="0" applyFont="1" applyFill="1" applyBorder="1" applyAlignment="1" applyProtection="1">
      <alignment horizontal="center" vertical="center"/>
      <protection hidden="1"/>
    </xf>
    <xf numFmtId="0" fontId="18" fillId="0" borderId="7" xfId="0" applyFont="1" applyFill="1" applyBorder="1" applyAlignment="1" applyProtection="1">
      <alignment horizontal="left" vertical="center"/>
      <protection hidden="1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center" vertical="center" wrapText="1"/>
      <protection hidden="1"/>
    </xf>
    <xf numFmtId="0" fontId="5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right" vertical="center"/>
      <protection locked="0"/>
    </xf>
    <xf numFmtId="0" fontId="5" fillId="0" borderId="32" xfId="0" applyFont="1" applyFill="1" applyBorder="1" applyAlignment="1" applyProtection="1">
      <alignment horizontal="center" vertical="center"/>
      <protection hidden="1"/>
    </xf>
    <xf numFmtId="0" fontId="5" fillId="0" borderId="17" xfId="0" applyFont="1" applyFill="1" applyBorder="1" applyAlignment="1" applyProtection="1">
      <alignment horizontal="center" vertical="center"/>
      <protection hidden="1"/>
    </xf>
    <xf numFmtId="0" fontId="5" fillId="0" borderId="30" xfId="0" applyFont="1" applyFill="1" applyBorder="1" applyAlignment="1" applyProtection="1">
      <alignment horizontal="center" vertical="center"/>
      <protection hidden="1"/>
    </xf>
    <xf numFmtId="0" fontId="18" fillId="0" borderId="7" xfId="0" applyNumberFormat="1" applyFont="1" applyBorder="1" applyAlignment="1" applyProtection="1">
      <alignment horizontal="center" vertical="center"/>
      <protection locked="0"/>
    </xf>
    <xf numFmtId="0" fontId="9" fillId="0" borderId="5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9" fillId="0" borderId="8" xfId="0" applyFont="1" applyFill="1" applyBorder="1" applyAlignment="1" applyProtection="1">
      <alignment horizontal="center" vertical="center" wrapText="1"/>
      <protection hidden="1"/>
    </xf>
    <xf numFmtId="0" fontId="9" fillId="0" borderId="6" xfId="0" applyFont="1" applyFill="1" applyBorder="1" applyAlignment="1" applyProtection="1">
      <alignment horizontal="center" vertical="center" wrapText="1"/>
      <protection hidden="1"/>
    </xf>
    <xf numFmtId="0" fontId="9" fillId="0" borderId="7" xfId="0" applyFont="1" applyFill="1" applyBorder="1" applyAlignment="1" applyProtection="1">
      <alignment horizontal="center" vertical="center" wrapText="1"/>
      <protection hidden="1"/>
    </xf>
    <xf numFmtId="0" fontId="9" fillId="0" borderId="9" xfId="0" applyFont="1" applyFill="1" applyBorder="1" applyAlignment="1" applyProtection="1">
      <alignment horizontal="center" vertical="center" wrapText="1"/>
      <protection hidden="1"/>
    </xf>
    <xf numFmtId="1" fontId="4" fillId="0" borderId="32" xfId="0" applyNumberFormat="1" applyFont="1" applyBorder="1" applyAlignment="1" applyProtection="1">
      <alignment horizontal="center" vertical="center"/>
      <protection hidden="1"/>
    </xf>
    <xf numFmtId="1" fontId="4" fillId="0" borderId="17" xfId="0" applyNumberFormat="1" applyFont="1" applyBorder="1" applyAlignment="1" applyProtection="1">
      <alignment horizontal="center" vertical="center"/>
      <protection hidden="1"/>
    </xf>
    <xf numFmtId="1" fontId="4" fillId="0" borderId="30" xfId="0" applyNumberFormat="1" applyFont="1" applyBorder="1" applyAlignment="1" applyProtection="1">
      <alignment horizontal="center" vertical="center"/>
      <protection hidden="1"/>
    </xf>
    <xf numFmtId="0" fontId="4" fillId="0" borderId="34" xfId="0" applyNumberFormat="1" applyFont="1" applyFill="1" applyBorder="1" applyAlignment="1" applyProtection="1">
      <alignment horizontal="center" vertical="center"/>
      <protection hidden="1"/>
    </xf>
    <xf numFmtId="0" fontId="4" fillId="0" borderId="35" xfId="0" applyNumberFormat="1" applyFont="1" applyFill="1" applyBorder="1" applyAlignment="1" applyProtection="1">
      <alignment horizontal="center" vertical="center"/>
      <protection hidden="1"/>
    </xf>
    <xf numFmtId="0" fontId="4" fillId="0" borderId="36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left"/>
      <protection hidden="1"/>
    </xf>
    <xf numFmtId="0" fontId="18" fillId="0" borderId="0" xfId="0" applyFont="1" applyFill="1" applyBorder="1" applyAlignment="1" applyProtection="1">
      <alignment horizontal="left"/>
      <protection locked="0"/>
    </xf>
    <xf numFmtId="0" fontId="7" fillId="0" borderId="32" xfId="0" applyFont="1" applyFill="1" applyBorder="1" applyAlignment="1" applyProtection="1">
      <alignment horizontal="center" vertical="center"/>
      <protection hidden="1"/>
    </xf>
    <xf numFmtId="0" fontId="7" fillId="0" borderId="17" xfId="0" applyFont="1" applyFill="1" applyBorder="1" applyAlignment="1" applyProtection="1">
      <alignment horizontal="center" vertical="center"/>
      <protection hidden="1"/>
    </xf>
    <xf numFmtId="1" fontId="4" fillId="0" borderId="18" xfId="0" applyNumberFormat="1" applyFont="1" applyBorder="1" applyAlignment="1" applyProtection="1">
      <alignment horizontal="center" vertical="center"/>
      <protection hidden="1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4" fillId="0" borderId="33" xfId="0" applyNumberFormat="1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  <xf numFmtId="0" fontId="6" fillId="0" borderId="5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6" fillId="0" borderId="6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Fill="1" applyBorder="1" applyAlignment="1" applyProtection="1">
      <alignment horizontal="center" vertical="center" wrapText="1"/>
      <protection locked="0"/>
    </xf>
    <xf numFmtId="0" fontId="6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14" fontId="12" fillId="0" borderId="5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8" xfId="0" applyNumberFormat="1" applyFont="1" applyFill="1" applyBorder="1" applyAlignment="1" applyProtection="1">
      <alignment horizontal="center" vertical="center"/>
      <protection locked="0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left" vertical="center"/>
      <protection hidden="1"/>
    </xf>
    <xf numFmtId="0" fontId="10" fillId="0" borderId="10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 wrapText="1"/>
      <protection hidden="1"/>
    </xf>
    <xf numFmtId="0" fontId="4" fillId="0" borderId="10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8" xfId="0" applyFont="1" applyFill="1" applyBorder="1" applyAlignment="1" applyProtection="1">
      <alignment horizontal="center" vertical="center" wrapText="1"/>
      <protection hidden="1"/>
    </xf>
    <xf numFmtId="0" fontId="7" fillId="0" borderId="5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11" fontId="12" fillId="0" borderId="14" xfId="0" applyNumberFormat="1" applyFont="1" applyFill="1" applyBorder="1" applyAlignment="1" applyProtection="1">
      <alignment horizontal="center" vertical="center"/>
      <protection hidden="1"/>
    </xf>
    <xf numFmtId="0" fontId="12" fillId="0" borderId="15" xfId="0" applyFont="1" applyFill="1" applyBorder="1" applyAlignment="1" applyProtection="1">
      <alignment horizontal="center" vertical="center"/>
      <protection hidden="1"/>
    </xf>
    <xf numFmtId="0" fontId="12" fillId="0" borderId="16" xfId="0" applyFont="1" applyFill="1" applyBorder="1" applyAlignment="1" applyProtection="1">
      <alignment horizontal="center" vertical="center"/>
      <protection hidden="1"/>
    </xf>
    <xf numFmtId="0" fontId="11" fillId="0" borderId="5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18" fillId="0" borderId="6" xfId="0" applyFont="1" applyFill="1" applyBorder="1" applyAlignment="1" applyProtection="1">
      <alignment horizontal="center" vertical="center" wrapText="1"/>
      <protection locked="0"/>
    </xf>
    <xf numFmtId="0" fontId="18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11" fillId="0" borderId="17" xfId="0" applyFont="1" applyFill="1" applyBorder="1" applyAlignment="1" applyProtection="1">
      <alignment horizontal="center" vertical="center" wrapText="1"/>
      <protection hidden="1"/>
    </xf>
    <xf numFmtId="0" fontId="4" fillId="0" borderId="17" xfId="0" applyFont="1" applyBorder="1" applyAlignment="1" applyProtection="1">
      <alignment horizontal="center" vertical="center" wrapText="1"/>
      <protection hidden="1"/>
    </xf>
    <xf numFmtId="0" fontId="4" fillId="0" borderId="30" xfId="0" applyFont="1" applyBorder="1" applyAlignment="1" applyProtection="1">
      <alignment horizontal="center" vertical="center" wrapText="1"/>
      <protection hidden="1"/>
    </xf>
    <xf numFmtId="0" fontId="18" fillId="0" borderId="32" xfId="0" applyFont="1" applyFill="1" applyBorder="1" applyAlignment="1" applyProtection="1">
      <alignment horizontal="center" vertical="center" wrapText="1"/>
      <protection locked="0"/>
    </xf>
    <xf numFmtId="0" fontId="18" fillId="0" borderId="17" xfId="0" applyFont="1" applyFill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9" fillId="0" borderId="7" xfId="0" applyFont="1" applyFill="1" applyBorder="1" applyAlignment="1" applyProtection="1">
      <alignment horizontal="center" vertical="center"/>
      <protection locked="0"/>
    </xf>
    <xf numFmtId="1" fontId="9" fillId="0" borderId="0" xfId="0" applyNumberFormat="1" applyFont="1" applyFill="1" applyBorder="1" applyAlignment="1" applyProtection="1">
      <alignment horizontal="center" vertical="center"/>
      <protection hidden="1"/>
    </xf>
    <xf numFmtId="1" fontId="9" fillId="0" borderId="7" xfId="0" applyNumberFormat="1" applyFont="1" applyFill="1" applyBorder="1" applyAlignment="1" applyProtection="1">
      <alignment horizontal="center" vertical="center"/>
      <protection hidden="1"/>
    </xf>
    <xf numFmtId="11" fontId="7" fillId="0" borderId="15" xfId="0" applyNumberFormat="1" applyFont="1" applyFill="1" applyBorder="1" applyAlignment="1" applyProtection="1">
      <alignment horizontal="center" vertical="center"/>
    </xf>
    <xf numFmtId="0" fontId="7" fillId="0" borderId="11" xfId="0" applyFont="1" applyFill="1" applyBorder="1" applyAlignment="1" applyProtection="1">
      <alignment horizontal="center" vertical="center" textRotation="90" wrapText="1"/>
      <protection hidden="1"/>
    </xf>
    <xf numFmtId="0" fontId="4" fillId="0" borderId="18" xfId="0" applyNumberFormat="1" applyFont="1" applyFill="1" applyBorder="1" applyAlignment="1" applyProtection="1">
      <alignment horizontal="center" vertical="center"/>
      <protection locked="0"/>
    </xf>
    <xf numFmtId="1" fontId="4" fillId="0" borderId="32" xfId="0" applyNumberFormat="1" applyFont="1" applyBorder="1" applyAlignment="1" applyProtection="1">
      <alignment horizontal="center" vertical="center"/>
      <protection locked="0"/>
    </xf>
    <xf numFmtId="1" fontId="4" fillId="0" borderId="17" xfId="0" applyNumberFormat="1" applyFont="1" applyBorder="1" applyAlignment="1" applyProtection="1">
      <alignment horizontal="center" vertical="center"/>
      <protection locked="0"/>
    </xf>
    <xf numFmtId="1" fontId="4" fillId="0" borderId="30" xfId="0" applyNumberFormat="1" applyFont="1" applyBorder="1" applyAlignment="1" applyProtection="1">
      <alignment horizontal="center" vertical="center"/>
      <protection locked="0"/>
    </xf>
    <xf numFmtId="1" fontId="4" fillId="0" borderId="18" xfId="0" applyNumberFormat="1" applyFont="1" applyBorder="1" applyAlignment="1" applyProtection="1">
      <alignment horizontal="center" vertical="center"/>
      <protection locked="0"/>
    </xf>
    <xf numFmtId="0" fontId="18" fillId="0" borderId="32" xfId="0" applyFont="1" applyFill="1" applyBorder="1" applyAlignment="1" applyProtection="1">
      <alignment horizontal="center" vertical="center"/>
      <protection hidden="1"/>
    </xf>
    <xf numFmtId="0" fontId="18" fillId="0" borderId="17" xfId="0" applyFont="1" applyFill="1" applyBorder="1" applyAlignment="1" applyProtection="1">
      <alignment horizontal="center" vertical="center"/>
      <protection hidden="1"/>
    </xf>
    <xf numFmtId="0" fontId="18" fillId="0" borderId="30" xfId="0" applyFont="1" applyFill="1" applyBorder="1" applyAlignment="1" applyProtection="1">
      <alignment horizontal="center" vertical="center"/>
      <protection hidden="1"/>
    </xf>
    <xf numFmtId="1" fontId="18" fillId="0" borderId="0" xfId="0" applyNumberFormat="1" applyFont="1" applyFill="1" applyBorder="1" applyAlignment="1" applyProtection="1">
      <alignment horizontal="center" vertical="center"/>
      <protection hidden="1"/>
    </xf>
    <xf numFmtId="1" fontId="18" fillId="0" borderId="7" xfId="0" applyNumberFormat="1" applyFont="1" applyFill="1" applyBorder="1" applyAlignment="1" applyProtection="1">
      <alignment horizontal="center" vertical="center"/>
      <protection hidden="1"/>
    </xf>
    <xf numFmtId="11" fontId="18" fillId="0" borderId="15" xfId="0" applyNumberFormat="1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92005751258087"/>
          <c:y val="8.4985835694050993E-2"/>
          <c:w val="0.81154392523364483"/>
          <c:h val="0.7478753541076487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SA'!$C$28:$C$40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9-4E9A-A5A9-6850E283074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SA'!$D$28:$D$40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9-4E9A-A5A9-6850E283074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SA'!$E$28:$E$40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39-4E9A-A5A9-6850E2830740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SA'!$R$28:$R$40</c:f>
              <c:numCache>
                <c:formatCode>0.00E+00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39-4E9A-A5A9-6850E283074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SA'!$S$28:$S$40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39-4E9A-A5A9-6850E283074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SA'!$T$28:$T$40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39-4E9A-A5A9-6850E283074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'CRE INF SA'!$B$28:$B$40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SA'!$U$28:$U$40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B39-4E9A-A5A9-6850E2830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11112"/>
        <c:axId val="165011504"/>
      </c:scatterChart>
      <c:valAx>
        <c:axId val="165011112"/>
        <c:scaling>
          <c:orientation val="minMax"/>
          <c:max val="15000"/>
          <c:min val="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(secondes)</a:t>
                </a:r>
              </a:p>
            </c:rich>
          </c:tx>
          <c:layout>
            <c:manualLayout>
              <c:xMode val="edge"/>
              <c:yMode val="edge"/>
              <c:x val="0.45936445223499006"/>
              <c:y val="0.917847025495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011504"/>
        <c:crossesAt val="1E-10"/>
        <c:crossBetween val="midCat"/>
      </c:valAx>
      <c:valAx>
        <c:axId val="165011504"/>
        <c:scaling>
          <c:logBase val="10"/>
          <c:orientation val="minMax"/>
          <c:max val="1E-4"/>
          <c:min val="1E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Vitesse d'infiltration (m/s)
</a:t>
                </a:r>
              </a:p>
            </c:rich>
          </c:tx>
          <c:layout>
            <c:manualLayout>
              <c:xMode val="edge"/>
              <c:yMode val="edge"/>
              <c:x val="5.8892815076560662E-3"/>
              <c:y val="0.223796033994334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011112"/>
        <c:crossesAt val="1E-10"/>
        <c:crossBetween val="midCat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92005751258087"/>
          <c:y val="8.4985835694050993E-2"/>
          <c:w val="0.81154392523364483"/>
          <c:h val="0.7478753541076487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DA'!$C$27:$C$39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69-4FA0-8CA2-E6EBB3FA42C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DA'!$D$27:$D$39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69-4FA0-8CA2-E6EBB3FA42C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DA'!$E$27:$E$39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69-4FA0-8CA2-E6EBB3FA42C7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DA'!$R$27:$R$39</c:f>
              <c:numCache>
                <c:formatCode>0.00E+00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69-4FA0-8CA2-E6EBB3FA42C7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DA'!$S$27:$S$39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69-4FA0-8CA2-E6EBB3FA42C7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DA'!$T$27:$T$39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69-4FA0-8CA2-E6EBB3FA42C7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DA'!$U$27:$U$39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69-4FA0-8CA2-E6EBB3FA4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12680"/>
        <c:axId val="165013464"/>
      </c:scatterChart>
      <c:valAx>
        <c:axId val="165012680"/>
        <c:scaling>
          <c:orientation val="minMax"/>
          <c:max val="15000"/>
          <c:min val="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(secondes)</a:t>
                </a:r>
              </a:p>
            </c:rich>
          </c:tx>
          <c:layout>
            <c:manualLayout>
              <c:xMode val="edge"/>
              <c:yMode val="edge"/>
              <c:x val="0.45936445223499006"/>
              <c:y val="0.917847025495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013464"/>
        <c:crossesAt val="1E-10"/>
        <c:crossBetween val="midCat"/>
      </c:valAx>
      <c:valAx>
        <c:axId val="165013464"/>
        <c:scaling>
          <c:logBase val="10"/>
          <c:orientation val="minMax"/>
          <c:max val="1E-4"/>
          <c:min val="1E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Vitesse d'infiltration (m/s)
</a:t>
                </a:r>
              </a:p>
            </c:rich>
          </c:tx>
          <c:layout>
            <c:manualLayout>
              <c:xMode val="edge"/>
              <c:yMode val="edge"/>
              <c:x val="5.8892815076560662E-3"/>
              <c:y val="0.223796033994334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012680"/>
        <c:crossesAt val="1E-10"/>
        <c:crossBetween val="midCat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62</xdr:row>
      <xdr:rowOff>95250</xdr:rowOff>
    </xdr:from>
    <xdr:to>
      <xdr:col>23</xdr:col>
      <xdr:colOff>152400</xdr:colOff>
      <xdr:row>62</xdr:row>
      <xdr:rowOff>95250</xdr:rowOff>
    </xdr:to>
    <xdr:cxnSp macro="">
      <xdr:nvCxnSpPr>
        <xdr:cNvPr id="35" name="Connecteur droit 17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cxnSpLocks noChangeShapeType="1"/>
        </xdr:cNvCxnSpPr>
      </xdr:nvCxnSpPr>
      <xdr:spPr bwMode="auto">
        <a:xfrm>
          <a:off x="7562850" y="10344150"/>
          <a:ext cx="4762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62</xdr:row>
      <xdr:rowOff>95250</xdr:rowOff>
    </xdr:from>
    <xdr:to>
      <xdr:col>25</xdr:col>
      <xdr:colOff>19050</xdr:colOff>
      <xdr:row>62</xdr:row>
      <xdr:rowOff>95250</xdr:rowOff>
    </xdr:to>
    <xdr:cxnSp macro="">
      <xdr:nvCxnSpPr>
        <xdr:cNvPr id="36" name="Connecteur droit 19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cxnSpLocks noChangeShapeType="1"/>
        </xdr:cNvCxnSpPr>
      </xdr:nvCxnSpPr>
      <xdr:spPr bwMode="auto">
        <a:xfrm flipH="1">
          <a:off x="8134350" y="10344150"/>
          <a:ext cx="4572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60</xdr:row>
      <xdr:rowOff>95250</xdr:rowOff>
    </xdr:from>
    <xdr:to>
      <xdr:col>23</xdr:col>
      <xdr:colOff>247650</xdr:colOff>
      <xdr:row>65</xdr:row>
      <xdr:rowOff>95250</xdr:rowOff>
    </xdr:to>
    <xdr:cxnSp macro="">
      <xdr:nvCxnSpPr>
        <xdr:cNvPr id="37" name="Connecteur droit 2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>
          <a:cxnSpLocks noChangeShapeType="1"/>
        </xdr:cNvCxnSpPr>
      </xdr:nvCxnSpPr>
      <xdr:spPr bwMode="auto">
        <a:xfrm flipV="1">
          <a:off x="8134350" y="10020300"/>
          <a:ext cx="0" cy="809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152400</xdr:colOff>
      <xdr:row>60</xdr:row>
      <xdr:rowOff>95250</xdr:rowOff>
    </xdr:from>
    <xdr:to>
      <xdr:col>23</xdr:col>
      <xdr:colOff>152400</xdr:colOff>
      <xdr:row>65</xdr:row>
      <xdr:rowOff>95250</xdr:rowOff>
    </xdr:to>
    <xdr:cxnSp macro="">
      <xdr:nvCxnSpPr>
        <xdr:cNvPr id="38" name="Connecteur droit 23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cxnSpLocks noChangeShapeType="1"/>
        </xdr:cNvCxnSpPr>
      </xdr:nvCxnSpPr>
      <xdr:spPr bwMode="auto">
        <a:xfrm flipV="1">
          <a:off x="8039100" y="10020300"/>
          <a:ext cx="0" cy="809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62</xdr:row>
      <xdr:rowOff>95250</xdr:rowOff>
    </xdr:from>
    <xdr:to>
      <xdr:col>23</xdr:col>
      <xdr:colOff>19050</xdr:colOff>
      <xdr:row>70</xdr:row>
      <xdr:rowOff>0</xdr:rowOff>
    </xdr:to>
    <xdr:cxnSp macro="">
      <xdr:nvCxnSpPr>
        <xdr:cNvPr id="39" name="Connecteur droit 25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cxnSpLocks noChangeShapeType="1"/>
        </xdr:cNvCxnSpPr>
      </xdr:nvCxnSpPr>
      <xdr:spPr bwMode="auto">
        <a:xfrm>
          <a:off x="7905750" y="10344150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19050</xdr:colOff>
      <xdr:row>62</xdr:row>
      <xdr:rowOff>104775</xdr:rowOff>
    </xdr:from>
    <xdr:to>
      <xdr:col>24</xdr:col>
      <xdr:colOff>19050</xdr:colOff>
      <xdr:row>70</xdr:row>
      <xdr:rowOff>9525</xdr:rowOff>
    </xdr:to>
    <xdr:cxnSp macro="">
      <xdr:nvCxnSpPr>
        <xdr:cNvPr id="40" name="Connecteur droit 26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cxnSpLocks noChangeShapeType="1"/>
        </xdr:cNvCxnSpPr>
      </xdr:nvCxnSpPr>
      <xdr:spPr bwMode="auto">
        <a:xfrm>
          <a:off x="8248650" y="10353675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70</xdr:row>
      <xdr:rowOff>0</xdr:rowOff>
    </xdr:from>
    <xdr:to>
      <xdr:col>24</xdr:col>
      <xdr:colOff>19050</xdr:colOff>
      <xdr:row>70</xdr:row>
      <xdr:rowOff>0</xdr:rowOff>
    </xdr:to>
    <xdr:cxnSp macro="">
      <xdr:nvCxnSpPr>
        <xdr:cNvPr id="41" name="Connecteur droit 2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cxnSpLocks noChangeShapeType="1"/>
        </xdr:cNvCxnSpPr>
      </xdr:nvCxnSpPr>
      <xdr:spPr bwMode="auto">
        <a:xfrm>
          <a:off x="7905750" y="11544300"/>
          <a:ext cx="3429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65</xdr:row>
      <xdr:rowOff>95250</xdr:rowOff>
    </xdr:from>
    <xdr:to>
      <xdr:col>23</xdr:col>
      <xdr:colOff>152400</xdr:colOff>
      <xdr:row>65</xdr:row>
      <xdr:rowOff>95250</xdr:rowOff>
    </xdr:to>
    <xdr:cxnSp macro="">
      <xdr:nvCxnSpPr>
        <xdr:cNvPr id="42" name="Connecteur droit 3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>
          <a:cxnSpLocks noChangeShapeType="1"/>
        </xdr:cNvCxnSpPr>
      </xdr:nvCxnSpPr>
      <xdr:spPr bwMode="auto">
        <a:xfrm flipH="1">
          <a:off x="7905750" y="10829925"/>
          <a:ext cx="1333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65</xdr:row>
      <xdr:rowOff>95250</xdr:rowOff>
    </xdr:from>
    <xdr:to>
      <xdr:col>24</xdr:col>
      <xdr:colOff>19050</xdr:colOff>
      <xdr:row>65</xdr:row>
      <xdr:rowOff>95250</xdr:rowOff>
    </xdr:to>
    <xdr:cxnSp macro="">
      <xdr:nvCxnSpPr>
        <xdr:cNvPr id="43" name="Connecteur droit 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cxnSpLocks noChangeShapeType="1"/>
        </xdr:cNvCxnSpPr>
      </xdr:nvCxnSpPr>
      <xdr:spPr bwMode="auto">
        <a:xfrm>
          <a:off x="8134350" y="10829925"/>
          <a:ext cx="1143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60</xdr:row>
      <xdr:rowOff>95250</xdr:rowOff>
    </xdr:from>
    <xdr:to>
      <xdr:col>24</xdr:col>
      <xdr:colOff>85725</xdr:colOff>
      <xdr:row>62</xdr:row>
      <xdr:rowOff>95250</xdr:rowOff>
    </xdr:to>
    <xdr:cxnSp macro="">
      <xdr:nvCxnSpPr>
        <xdr:cNvPr id="44" name="Connecteur droit avec flèche 40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cxnSpLocks noChangeShapeType="1"/>
        </xdr:cNvCxnSpPr>
      </xdr:nvCxnSpPr>
      <xdr:spPr bwMode="auto">
        <a:xfrm>
          <a:off x="8315325" y="10020300"/>
          <a:ext cx="0" cy="3238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62</xdr:row>
      <xdr:rowOff>95250</xdr:rowOff>
    </xdr:from>
    <xdr:to>
      <xdr:col>24</xdr:col>
      <xdr:colOff>85725</xdr:colOff>
      <xdr:row>65</xdr:row>
      <xdr:rowOff>95250</xdr:rowOff>
    </xdr:to>
    <xdr:cxnSp macro="">
      <xdr:nvCxnSpPr>
        <xdr:cNvPr id="45" name="Connecteur droit avec flèche 4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cxnSpLocks noChangeShapeType="1"/>
        </xdr:cNvCxnSpPr>
      </xdr:nvCxnSpPr>
      <xdr:spPr bwMode="auto">
        <a:xfrm>
          <a:off x="8315325" y="10344150"/>
          <a:ext cx="0" cy="4857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65</xdr:row>
      <xdr:rowOff>95250</xdr:rowOff>
    </xdr:from>
    <xdr:to>
      <xdr:col>24</xdr:col>
      <xdr:colOff>85725</xdr:colOff>
      <xdr:row>70</xdr:row>
      <xdr:rowOff>0</xdr:rowOff>
    </xdr:to>
    <xdr:cxnSp macro="">
      <xdr:nvCxnSpPr>
        <xdr:cNvPr id="46" name="Connecteur droit avec flèche 44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>
          <a:cxnSpLocks noChangeShapeType="1"/>
        </xdr:cNvCxnSpPr>
      </xdr:nvCxnSpPr>
      <xdr:spPr bwMode="auto">
        <a:xfrm>
          <a:off x="8315325" y="10829925"/>
          <a:ext cx="0" cy="7143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266700</xdr:colOff>
      <xdr:row>62</xdr:row>
      <xdr:rowOff>95250</xdr:rowOff>
    </xdr:from>
    <xdr:to>
      <xdr:col>22</xdr:col>
      <xdr:colOff>266700</xdr:colOff>
      <xdr:row>70</xdr:row>
      <xdr:rowOff>0</xdr:rowOff>
    </xdr:to>
    <xdr:cxnSp macro="">
      <xdr:nvCxnSpPr>
        <xdr:cNvPr id="47" name="Connecteur droit avec flèch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>
          <a:cxnSpLocks noChangeShapeType="1"/>
        </xdr:cNvCxnSpPr>
      </xdr:nvCxnSpPr>
      <xdr:spPr bwMode="auto">
        <a:xfrm>
          <a:off x="7810500" y="10344150"/>
          <a:ext cx="0" cy="12001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62</xdr:row>
      <xdr:rowOff>95250</xdr:rowOff>
    </xdr:from>
    <xdr:to>
      <xdr:col>24</xdr:col>
      <xdr:colOff>19050</xdr:colOff>
      <xdr:row>65</xdr:row>
      <xdr:rowOff>95250</xdr:rowOff>
    </xdr:to>
    <xdr:sp macro="" textlink="">
      <xdr:nvSpPr>
        <xdr:cNvPr id="48" name="Rectangle 29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8134350" y="10344150"/>
          <a:ext cx="114300" cy="485775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19050</xdr:colOff>
      <xdr:row>62</xdr:row>
      <xdr:rowOff>95250</xdr:rowOff>
    </xdr:from>
    <xdr:to>
      <xdr:col>23</xdr:col>
      <xdr:colOff>152400</xdr:colOff>
      <xdr:row>65</xdr:row>
      <xdr:rowOff>95250</xdr:rowOff>
    </xdr:to>
    <xdr:sp macro="" textlink="">
      <xdr:nvSpPr>
        <xdr:cNvPr id="49" name="Rectangle 30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7905750" y="10344150"/>
          <a:ext cx="133350" cy="485775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24</xdr:row>
      <xdr:rowOff>19050</xdr:rowOff>
    </xdr:from>
    <xdr:to>
      <xdr:col>26</xdr:col>
      <xdr:colOff>0</xdr:colOff>
      <xdr:row>31</xdr:row>
      <xdr:rowOff>28575</xdr:rowOff>
    </xdr:to>
    <xdr:cxnSp macro="">
      <xdr:nvCxnSpPr>
        <xdr:cNvPr id="68" name="Connecteur droit 26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>
          <a:cxnSpLocks noChangeShapeType="1"/>
        </xdr:cNvCxnSpPr>
      </xdr:nvCxnSpPr>
      <xdr:spPr bwMode="auto">
        <a:xfrm>
          <a:off x="8915400" y="4229100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0</xdr:colOff>
      <xdr:row>31</xdr:row>
      <xdr:rowOff>19050</xdr:rowOff>
    </xdr:from>
    <xdr:to>
      <xdr:col>26</xdr:col>
      <xdr:colOff>0</xdr:colOff>
      <xdr:row>31</xdr:row>
      <xdr:rowOff>19050</xdr:rowOff>
    </xdr:to>
    <xdr:cxnSp macro="">
      <xdr:nvCxnSpPr>
        <xdr:cNvPr id="69" name="Connecteur droit 2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cxnSpLocks noChangeShapeType="1"/>
        </xdr:cNvCxnSpPr>
      </xdr:nvCxnSpPr>
      <xdr:spPr bwMode="auto">
        <a:xfrm>
          <a:off x="8572500" y="5419725"/>
          <a:ext cx="3429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</xdr:col>
      <xdr:colOff>38100</xdr:colOff>
      <xdr:row>2</xdr:row>
      <xdr:rowOff>0</xdr:rowOff>
    </xdr:from>
    <xdr:to>
      <xdr:col>4</xdr:col>
      <xdr:colOff>304800</xdr:colOff>
      <xdr:row>4</xdr:row>
      <xdr:rowOff>0</xdr:rowOff>
    </xdr:to>
    <xdr:pic>
      <xdr:nvPicPr>
        <xdr:cNvPr id="23" name="Imag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42</xdr:row>
      <xdr:rowOff>9525</xdr:rowOff>
    </xdr:from>
    <xdr:to>
      <xdr:col>25</xdr:col>
      <xdr:colOff>76200</xdr:colOff>
      <xdr:row>62</xdr:row>
      <xdr:rowOff>133350</xdr:rowOff>
    </xdr:to>
    <xdr:graphicFrame macro="">
      <xdr:nvGraphicFramePr>
        <xdr:cNvPr id="5152" name="Chart 1">
          <a:extLst>
            <a:ext uri="{FF2B5EF4-FFF2-40B4-BE49-F238E27FC236}">
              <a16:creationId xmlns:a16="http://schemas.microsoft.com/office/drawing/2014/main" id="{00000000-0008-0000-0100-00002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182880</xdr:rowOff>
        </xdr:from>
        <xdr:to>
          <xdr:col>21</xdr:col>
          <xdr:colOff>312420</xdr:colOff>
          <xdr:row>12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182880</xdr:rowOff>
        </xdr:from>
        <xdr:to>
          <xdr:col>17</xdr:col>
          <xdr:colOff>312420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182880</xdr:rowOff>
        </xdr:from>
        <xdr:to>
          <xdr:col>13</xdr:col>
          <xdr:colOff>304800</xdr:colOff>
          <xdr:row>12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76</xdr:row>
          <xdr:rowOff>0</xdr:rowOff>
        </xdr:from>
        <xdr:to>
          <xdr:col>33</xdr:col>
          <xdr:colOff>708660</xdr:colOff>
          <xdr:row>78</xdr:row>
          <xdr:rowOff>30480</xdr:rowOff>
        </xdr:to>
        <xdr:sp macro="" textlink="">
          <xdr:nvSpPr>
            <xdr:cNvPr id="5129" name="CommandButton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1</xdr:row>
      <xdr:rowOff>152400</xdr:rowOff>
    </xdr:from>
    <xdr:to>
      <xdr:col>4</xdr:col>
      <xdr:colOff>320040</xdr:colOff>
      <xdr:row>3</xdr:row>
      <xdr:rowOff>152400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41</xdr:row>
      <xdr:rowOff>9525</xdr:rowOff>
    </xdr:from>
    <xdr:to>
      <xdr:col>25</xdr:col>
      <xdr:colOff>76200</xdr:colOff>
      <xdr:row>61</xdr:row>
      <xdr:rowOff>133350</xdr:rowOff>
    </xdr:to>
    <xdr:graphicFrame macro="">
      <xdr:nvGraphicFramePr>
        <xdr:cNvPr id="1103" name="Chart 2">
          <a:extLst>
            <a:ext uri="{FF2B5EF4-FFF2-40B4-BE49-F238E27FC236}">
              <a16:creationId xmlns:a16="http://schemas.microsoft.com/office/drawing/2014/main" id="{00000000-0008-0000-02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182880</xdr:rowOff>
        </xdr:from>
        <xdr:to>
          <xdr:col>21</xdr:col>
          <xdr:colOff>312420</xdr:colOff>
          <xdr:row>12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182880</xdr:rowOff>
        </xdr:from>
        <xdr:to>
          <xdr:col>17</xdr:col>
          <xdr:colOff>312420</xdr:colOff>
          <xdr:row>12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182880</xdr:rowOff>
        </xdr:from>
        <xdr:to>
          <xdr:col>13</xdr:col>
          <xdr:colOff>304800</xdr:colOff>
          <xdr:row>12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75</xdr:row>
          <xdr:rowOff>0</xdr:rowOff>
        </xdr:from>
        <xdr:to>
          <xdr:col>32</xdr:col>
          <xdr:colOff>708660</xdr:colOff>
          <xdr:row>77</xdr:row>
          <xdr:rowOff>30480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2</xdr:row>
      <xdr:rowOff>0</xdr:rowOff>
    </xdr:from>
    <xdr:to>
      <xdr:col>4</xdr:col>
      <xdr:colOff>320040</xdr:colOff>
      <xdr:row>4</xdr:row>
      <xdr:rowOff>0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E92"/>
  <sheetViews>
    <sheetView tabSelected="1" topLeftCell="A58" workbookViewId="0">
      <selection activeCell="A82" sqref="A82:Q85"/>
    </sheetView>
  </sheetViews>
  <sheetFormatPr baseColWidth="10" defaultColWidth="11.44140625" defaultRowHeight="12.75" customHeight="1" x14ac:dyDescent="0.25"/>
  <cols>
    <col min="1" max="1" width="5.109375" style="70" customWidth="1"/>
    <col min="2" max="26" width="5.109375" style="1" customWidth="1"/>
    <col min="27" max="16384" width="11.44140625" style="1"/>
  </cols>
  <sheetData>
    <row r="1" spans="1:26" ht="12.75" customHeight="1" x14ac:dyDescent="0.25">
      <c r="A1" s="224"/>
      <c r="B1" s="225"/>
      <c r="C1" s="225"/>
      <c r="D1" s="225"/>
      <c r="E1" s="225"/>
      <c r="F1" s="226"/>
      <c r="G1" s="233" t="s">
        <v>39</v>
      </c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5"/>
      <c r="U1" s="242"/>
      <c r="V1" s="243"/>
      <c r="W1" s="243"/>
      <c r="X1" s="243"/>
      <c r="Y1" s="243"/>
      <c r="Z1" s="244"/>
    </row>
    <row r="2" spans="1:26" ht="12.75" customHeight="1" x14ac:dyDescent="0.25">
      <c r="A2" s="227"/>
      <c r="B2" s="228"/>
      <c r="C2" s="228"/>
      <c r="D2" s="228"/>
      <c r="E2" s="228"/>
      <c r="F2" s="229"/>
      <c r="G2" s="255" t="s">
        <v>74</v>
      </c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7"/>
      <c r="U2" s="245"/>
      <c r="V2" s="246"/>
      <c r="W2" s="246"/>
      <c r="X2" s="246"/>
      <c r="Y2" s="246"/>
      <c r="Z2" s="247"/>
    </row>
    <row r="3" spans="1:26" ht="12.75" customHeight="1" x14ac:dyDescent="0.25">
      <c r="A3" s="227"/>
      <c r="B3" s="228"/>
      <c r="C3" s="228"/>
      <c r="D3" s="228"/>
      <c r="E3" s="228"/>
      <c r="F3" s="229"/>
      <c r="G3" s="255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7"/>
      <c r="U3" s="245"/>
      <c r="V3" s="246"/>
      <c r="W3" s="246"/>
      <c r="X3" s="246"/>
      <c r="Y3" s="246"/>
      <c r="Z3" s="247"/>
    </row>
    <row r="4" spans="1:26" ht="12.75" customHeight="1" x14ac:dyDescent="0.25">
      <c r="A4" s="227"/>
      <c r="B4" s="228"/>
      <c r="C4" s="228"/>
      <c r="D4" s="228"/>
      <c r="E4" s="228"/>
      <c r="F4" s="229"/>
      <c r="G4" s="255"/>
      <c r="H4" s="256"/>
      <c r="I4" s="256"/>
      <c r="J4" s="256"/>
      <c r="K4" s="256"/>
      <c r="L4" s="256"/>
      <c r="M4" s="256"/>
      <c r="N4" s="256"/>
      <c r="O4" s="256"/>
      <c r="P4" s="256"/>
      <c r="Q4" s="256"/>
      <c r="R4" s="256"/>
      <c r="S4" s="256"/>
      <c r="T4" s="257"/>
      <c r="U4" s="245"/>
      <c r="V4" s="246"/>
      <c r="W4" s="246"/>
      <c r="X4" s="246"/>
      <c r="Y4" s="246"/>
      <c r="Z4" s="247"/>
    </row>
    <row r="5" spans="1:26" ht="12.75" customHeight="1" x14ac:dyDescent="0.25">
      <c r="A5" s="227"/>
      <c r="B5" s="228"/>
      <c r="C5" s="228"/>
      <c r="D5" s="228"/>
      <c r="E5" s="228"/>
      <c r="F5" s="229"/>
      <c r="G5" s="258"/>
      <c r="H5" s="259"/>
      <c r="I5" s="2" t="s">
        <v>41</v>
      </c>
      <c r="J5" s="260"/>
      <c r="K5" s="261"/>
      <c r="L5" s="262"/>
      <c r="M5" s="263"/>
      <c r="N5" s="263"/>
      <c r="O5" s="264"/>
      <c r="P5" s="265"/>
      <c r="Q5" s="266"/>
      <c r="R5" s="266"/>
      <c r="S5" s="266"/>
      <c r="T5" s="267"/>
      <c r="U5" s="245"/>
      <c r="V5" s="246"/>
      <c r="W5" s="246"/>
      <c r="X5" s="246"/>
      <c r="Y5" s="246"/>
      <c r="Z5" s="247"/>
    </row>
    <row r="6" spans="1:26" ht="12.75" customHeight="1" x14ac:dyDescent="0.25">
      <c r="A6" s="230"/>
      <c r="B6" s="231"/>
      <c r="C6" s="231"/>
      <c r="D6" s="231"/>
      <c r="E6" s="231"/>
      <c r="F6" s="232"/>
      <c r="G6" s="3"/>
      <c r="H6" s="4"/>
      <c r="I6" s="4"/>
      <c r="J6" s="236" t="s">
        <v>42</v>
      </c>
      <c r="K6" s="236"/>
      <c r="L6" s="236" t="s">
        <v>43</v>
      </c>
      <c r="M6" s="236"/>
      <c r="N6" s="236"/>
      <c r="O6" s="236"/>
      <c r="P6" s="236" t="s">
        <v>44</v>
      </c>
      <c r="Q6" s="236"/>
      <c r="R6" s="236"/>
      <c r="S6" s="236"/>
      <c r="T6" s="237"/>
      <c r="U6" s="248"/>
      <c r="V6" s="249"/>
      <c r="W6" s="249"/>
      <c r="X6" s="249"/>
      <c r="Y6" s="249"/>
      <c r="Z6" s="250"/>
    </row>
    <row r="7" spans="1:26" ht="36.6" customHeight="1" x14ac:dyDescent="0.25">
      <c r="A7" s="252" t="s">
        <v>9</v>
      </c>
      <c r="B7" s="252"/>
      <c r="C7" s="252"/>
      <c r="D7" s="252"/>
      <c r="E7" s="252"/>
      <c r="F7" s="252"/>
      <c r="G7" s="253" t="s">
        <v>17</v>
      </c>
      <c r="H7" s="253"/>
      <c r="I7" s="253"/>
      <c r="J7" s="253"/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251" t="s">
        <v>8</v>
      </c>
      <c r="C10" s="251"/>
      <c r="D10" s="251"/>
      <c r="E10" s="251"/>
      <c r="F10" s="251"/>
      <c r="G10" s="238"/>
      <c r="H10" s="238"/>
      <c r="I10" s="238"/>
      <c r="J10" s="238"/>
      <c r="K10" s="238"/>
      <c r="L10" s="238"/>
      <c r="M10" s="238"/>
      <c r="N10" s="251" t="s">
        <v>23</v>
      </c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14"/>
    </row>
    <row r="11" spans="1:26" ht="15.9" customHeight="1" x14ac:dyDescent="0.25">
      <c r="A11" s="10"/>
      <c r="B11" s="251" t="s">
        <v>7</v>
      </c>
      <c r="C11" s="251"/>
      <c r="D11" s="251"/>
      <c r="E11" s="251"/>
      <c r="F11" s="251"/>
      <c r="G11" s="238"/>
      <c r="H11" s="238"/>
      <c r="I11" s="238"/>
      <c r="J11" s="238"/>
      <c r="K11" s="238"/>
      <c r="L11" s="238"/>
      <c r="M11" s="238"/>
      <c r="N11" s="251" t="s">
        <v>59</v>
      </c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13"/>
    </row>
    <row r="12" spans="1:26" ht="15.9" customHeight="1" x14ac:dyDescent="0.25">
      <c r="A12" s="10"/>
      <c r="B12" s="251" t="s">
        <v>22</v>
      </c>
      <c r="C12" s="251"/>
      <c r="D12" s="251"/>
      <c r="E12" s="251"/>
      <c r="F12" s="251"/>
      <c r="G12" s="238"/>
      <c r="H12" s="238"/>
      <c r="I12" s="238"/>
      <c r="J12" s="238"/>
      <c r="K12" s="238"/>
      <c r="L12" s="238"/>
      <c r="M12" s="238"/>
      <c r="N12" s="251" t="s">
        <v>60</v>
      </c>
      <c r="O12" s="251"/>
      <c r="P12" s="251"/>
      <c r="Q12" s="251"/>
      <c r="R12" s="251"/>
      <c r="S12" s="251"/>
      <c r="T12" s="254"/>
      <c r="U12" s="254"/>
      <c r="V12" s="254"/>
      <c r="W12" s="254"/>
      <c r="X12" s="254" t="s">
        <v>61</v>
      </c>
      <c r="Y12" s="254"/>
      <c r="Z12" s="15"/>
    </row>
    <row r="13" spans="1:26" ht="15.9" customHeight="1" x14ac:dyDescent="0.25">
      <c r="A13" s="10"/>
      <c r="B13" s="251" t="s">
        <v>36</v>
      </c>
      <c r="C13" s="251"/>
      <c r="D13" s="251"/>
      <c r="E13" s="251"/>
      <c r="F13" s="251"/>
      <c r="G13" s="238"/>
      <c r="H13" s="238"/>
      <c r="I13" s="238"/>
      <c r="J13" s="238"/>
      <c r="K13" s="238"/>
      <c r="L13" s="238"/>
      <c r="M13" s="238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15"/>
    </row>
    <row r="14" spans="1:26" ht="15.9" customHeight="1" x14ac:dyDescent="0.25">
      <c r="A14" s="10"/>
      <c r="B14" s="251" t="s">
        <v>62</v>
      </c>
      <c r="C14" s="251"/>
      <c r="D14" s="251"/>
      <c r="E14" s="251"/>
      <c r="F14" s="251"/>
      <c r="G14" s="289"/>
      <c r="H14" s="289"/>
      <c r="I14" s="289"/>
      <c r="J14" s="289"/>
      <c r="K14" s="72"/>
      <c r="L14" s="72"/>
      <c r="M14" s="72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15"/>
    </row>
    <row r="15" spans="1:26" ht="6.6" customHeight="1" x14ac:dyDescent="0.25">
      <c r="A15" s="16"/>
      <c r="B15" s="268"/>
      <c r="C15" s="268"/>
      <c r="D15" s="268"/>
      <c r="E15" s="268"/>
      <c r="F15" s="268"/>
      <c r="G15" s="269"/>
      <c r="H15" s="269"/>
      <c r="I15" s="269"/>
      <c r="J15" s="269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4"/>
      <c r="X15" s="74"/>
      <c r="Y15" s="74"/>
      <c r="Z15" s="17"/>
    </row>
    <row r="16" spans="1:26" s="18" customFormat="1" ht="15" x14ac:dyDescent="0.25">
      <c r="B16" s="19"/>
      <c r="C16" s="19"/>
      <c r="K16" s="20"/>
      <c r="L16" s="19"/>
      <c r="M16" s="21"/>
    </row>
    <row r="17" spans="1:31" s="18" customFormat="1" ht="15.6" customHeight="1" x14ac:dyDescent="0.25">
      <c r="A17" s="5" t="s">
        <v>2</v>
      </c>
      <c r="B17" s="22" t="s">
        <v>12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4"/>
    </row>
    <row r="18" spans="1:31" s="18" customFormat="1" ht="15" x14ac:dyDescent="0.25">
      <c r="A18" s="25"/>
      <c r="B18" s="26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8"/>
    </row>
    <row r="19" spans="1:31" s="18" customFormat="1" ht="15" x14ac:dyDescent="0.25">
      <c r="A19" s="25"/>
      <c r="B19" s="178" t="s">
        <v>13</v>
      </c>
      <c r="C19" s="178"/>
      <c r="D19" s="178"/>
      <c r="E19" s="178"/>
      <c r="F19" s="178"/>
      <c r="G19" s="178"/>
      <c r="H19" s="178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29"/>
    </row>
    <row r="20" spans="1:31" s="18" customFormat="1" ht="15" x14ac:dyDescent="0.25">
      <c r="A20" s="25"/>
      <c r="B20" s="178" t="s">
        <v>14</v>
      </c>
      <c r="C20" s="178"/>
      <c r="D20" s="178"/>
      <c r="E20" s="178"/>
      <c r="F20" s="178"/>
      <c r="G20" s="178"/>
      <c r="H20" s="178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29"/>
    </row>
    <row r="21" spans="1:31" s="18" customFormat="1" ht="6.6" customHeight="1" x14ac:dyDescent="0.25">
      <c r="A21" s="30"/>
      <c r="B21" s="287"/>
      <c r="C21" s="287"/>
      <c r="D21" s="287"/>
      <c r="E21" s="287"/>
      <c r="F21" s="287"/>
      <c r="G21" s="287"/>
      <c r="H21" s="287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31"/>
    </row>
    <row r="22" spans="1:31" ht="12.75" customHeight="1" x14ac:dyDescent="0.25">
      <c r="A22" s="12"/>
      <c r="B22" s="11"/>
      <c r="C22" s="11"/>
      <c r="D22" s="12"/>
      <c r="E22" s="12"/>
      <c r="F22" s="12"/>
      <c r="G22" s="12"/>
      <c r="H22" s="11"/>
      <c r="I22" s="11"/>
      <c r="J22" s="11"/>
      <c r="K22" s="11"/>
      <c r="L22" s="11"/>
      <c r="M22" s="11"/>
      <c r="N22" s="32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31" ht="15.6" customHeight="1" x14ac:dyDescent="0.25">
      <c r="A23" s="5" t="s">
        <v>3</v>
      </c>
      <c r="B23" s="6" t="s">
        <v>24</v>
      </c>
      <c r="C23" s="33"/>
      <c r="D23" s="34"/>
      <c r="E23" s="34"/>
      <c r="F23" s="34"/>
      <c r="G23" s="34"/>
      <c r="H23" s="33"/>
      <c r="I23" s="33"/>
      <c r="J23" s="33"/>
      <c r="K23" s="33"/>
      <c r="L23" s="33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9"/>
    </row>
    <row r="24" spans="1:31" ht="9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31" ht="15" customHeight="1" x14ac:dyDescent="0.25">
      <c r="A25" s="10"/>
      <c r="B25" s="239" t="s">
        <v>63</v>
      </c>
      <c r="C25" s="240"/>
      <c r="D25" s="240"/>
      <c r="E25" s="239" t="s">
        <v>64</v>
      </c>
      <c r="F25" s="240"/>
      <c r="G25" s="240"/>
      <c r="H25" s="239" t="s">
        <v>65</v>
      </c>
      <c r="I25" s="240"/>
      <c r="J25" s="240"/>
      <c r="K25" s="239" t="s">
        <v>82</v>
      </c>
      <c r="L25" s="240"/>
      <c r="M25" s="240"/>
      <c r="N25" s="239" t="s">
        <v>66</v>
      </c>
      <c r="O25" s="240"/>
      <c r="P25" s="240"/>
      <c r="Q25" s="240"/>
      <c r="R25" s="239" t="s">
        <v>83</v>
      </c>
      <c r="S25" s="240"/>
      <c r="T25" s="240"/>
      <c r="U25" s="240"/>
      <c r="V25" s="35"/>
      <c r="W25" s="35"/>
      <c r="X25" s="35"/>
      <c r="Y25" s="35"/>
      <c r="Z25" s="13"/>
    </row>
    <row r="26" spans="1:31" ht="15" customHeight="1" thickBot="1" x14ac:dyDescent="0.3">
      <c r="A26" s="10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  <c r="S26" s="241"/>
      <c r="T26" s="241"/>
      <c r="U26" s="241"/>
      <c r="V26" s="35"/>
      <c r="W26" s="35"/>
      <c r="X26" s="11"/>
      <c r="Y26" s="11"/>
      <c r="Z26" s="13"/>
    </row>
    <row r="27" spans="1:31" ht="12.75" customHeight="1" x14ac:dyDescent="0.25">
      <c r="A27" s="10"/>
      <c r="B27" s="284" t="s">
        <v>75</v>
      </c>
      <c r="C27" s="271"/>
      <c r="D27" s="271"/>
      <c r="E27" s="285" t="str">
        <f>IF(X27&lt;&gt;"",X27/100,"")</f>
        <v/>
      </c>
      <c r="F27" s="285"/>
      <c r="G27" s="285"/>
      <c r="H27" s="285"/>
      <c r="I27" s="285"/>
      <c r="J27" s="285"/>
      <c r="K27" s="285"/>
      <c r="L27" s="285"/>
      <c r="M27" s="285"/>
      <c r="N27" s="285"/>
      <c r="O27" s="285"/>
      <c r="P27" s="285"/>
      <c r="Q27" s="285"/>
      <c r="R27" s="285"/>
      <c r="S27" s="285"/>
      <c r="T27" s="285"/>
      <c r="U27" s="286"/>
      <c r="V27" s="270" t="s">
        <v>67</v>
      </c>
      <c r="W27" s="271"/>
      <c r="X27" s="273" t="str">
        <f>IF(X30&lt;&gt;"",IF(X33&lt;&gt;"",IF(X36&lt;&gt;"",X30+X36+(X39/2),""),""),"")</f>
        <v/>
      </c>
      <c r="Y27" s="274"/>
      <c r="Z27" s="13"/>
    </row>
    <row r="28" spans="1:31" ht="12.75" customHeight="1" x14ac:dyDescent="0.25">
      <c r="A28" s="10"/>
      <c r="B28" s="277"/>
      <c r="C28" s="278"/>
      <c r="D28" s="279"/>
      <c r="E28" s="280"/>
      <c r="F28" s="278"/>
      <c r="G28" s="279"/>
      <c r="H28" s="221"/>
      <c r="I28" s="222"/>
      <c r="J28" s="223"/>
      <c r="K28" s="208"/>
      <c r="L28" s="214"/>
      <c r="M28" s="215"/>
      <c r="N28" s="280"/>
      <c r="O28" s="278"/>
      <c r="P28" s="278"/>
      <c r="Q28" s="279"/>
      <c r="R28" s="281"/>
      <c r="S28" s="282"/>
      <c r="T28" s="282"/>
      <c r="U28" s="283"/>
      <c r="V28" s="272"/>
      <c r="W28" s="272"/>
      <c r="X28" s="275"/>
      <c r="Y28" s="276"/>
      <c r="Z28" s="13"/>
    </row>
    <row r="29" spans="1:31" ht="12.75" customHeight="1" x14ac:dyDescent="0.25">
      <c r="A29" s="10"/>
      <c r="B29" s="217"/>
      <c r="C29" s="218"/>
      <c r="D29" s="219"/>
      <c r="E29" s="220"/>
      <c r="F29" s="218"/>
      <c r="G29" s="219"/>
      <c r="H29" s="221"/>
      <c r="I29" s="222"/>
      <c r="J29" s="223"/>
      <c r="K29" s="208" t="e">
        <f>(E29-E28)/(B29*1000000)</f>
        <v>#DIV/0!</v>
      </c>
      <c r="L29" s="214"/>
      <c r="M29" s="215"/>
      <c r="N29" s="220"/>
      <c r="O29" s="218"/>
      <c r="P29" s="218"/>
      <c r="Q29" s="219"/>
      <c r="R29" s="208" t="e">
        <f t="shared" ref="R29:R50" si="0">K29*AE29</f>
        <v>#DIV/0!</v>
      </c>
      <c r="S29" s="209"/>
      <c r="T29" s="209"/>
      <c r="U29" s="210"/>
      <c r="V29" s="11"/>
      <c r="W29" s="11"/>
      <c r="X29" s="11"/>
      <c r="Y29" s="36"/>
      <c r="Z29" s="13"/>
      <c r="AB29" s="37">
        <f>20-N29</f>
        <v>20</v>
      </c>
      <c r="AC29" s="37">
        <f t="shared" ref="AC29:AC52" si="1">AB29*AB29</f>
        <v>400</v>
      </c>
      <c r="AD29" s="37">
        <f t="shared" ref="AD29:AD52" si="2">AB29*AB29*AB29</f>
        <v>8000</v>
      </c>
      <c r="AE29" s="38">
        <f>EXP(((0.0244)*(AB29))+((0.00018)*((AC29)))+((0.0000025)*((AD29))))</f>
        <v>1.7860384307500734</v>
      </c>
    </row>
    <row r="30" spans="1:31" ht="12.75" customHeight="1" x14ac:dyDescent="0.25">
      <c r="A30" s="10"/>
      <c r="B30" s="217"/>
      <c r="C30" s="218"/>
      <c r="D30" s="219"/>
      <c r="E30" s="220"/>
      <c r="F30" s="218"/>
      <c r="G30" s="219"/>
      <c r="H30" s="221"/>
      <c r="I30" s="222"/>
      <c r="J30" s="223"/>
      <c r="K30" s="208" t="e">
        <f t="shared" ref="K30:K49" si="3">(E30-E29)/((B30-B29)*1000000)</f>
        <v>#DIV/0!</v>
      </c>
      <c r="L30" s="214"/>
      <c r="M30" s="215"/>
      <c r="N30" s="220"/>
      <c r="O30" s="218"/>
      <c r="P30" s="218"/>
      <c r="Q30" s="219"/>
      <c r="R30" s="208" t="e">
        <f t="shared" si="0"/>
        <v>#DIV/0!</v>
      </c>
      <c r="S30" s="209"/>
      <c r="T30" s="209"/>
      <c r="U30" s="210"/>
      <c r="V30" s="228" t="s">
        <v>68</v>
      </c>
      <c r="W30" s="272"/>
      <c r="X30" s="272"/>
      <c r="Y30" s="291"/>
      <c r="Z30" s="13"/>
      <c r="AB30" s="37">
        <f t="shared" ref="AB30:AB62" si="4">20-N30</f>
        <v>20</v>
      </c>
      <c r="AC30" s="37">
        <f t="shared" si="1"/>
        <v>400</v>
      </c>
      <c r="AD30" s="37">
        <f t="shared" si="2"/>
        <v>8000</v>
      </c>
      <c r="AE30" s="38">
        <f t="shared" ref="AE30:AE62" si="5">EXP(((0.0244)*(AB30))+((0.00018)*((AC30)))+((0.0000025)*((AD30))))</f>
        <v>1.7860384307500734</v>
      </c>
    </row>
    <row r="31" spans="1:31" ht="12.75" customHeight="1" thickBot="1" x14ac:dyDescent="0.3">
      <c r="A31" s="10"/>
      <c r="B31" s="217"/>
      <c r="C31" s="218"/>
      <c r="D31" s="219"/>
      <c r="E31" s="220"/>
      <c r="F31" s="218"/>
      <c r="G31" s="219"/>
      <c r="H31" s="221"/>
      <c r="I31" s="222"/>
      <c r="J31" s="223"/>
      <c r="K31" s="208" t="e">
        <f t="shared" si="3"/>
        <v>#DIV/0!</v>
      </c>
      <c r="L31" s="214"/>
      <c r="M31" s="215"/>
      <c r="N31" s="220"/>
      <c r="O31" s="218"/>
      <c r="P31" s="218"/>
      <c r="Q31" s="219"/>
      <c r="R31" s="208" t="e">
        <f t="shared" si="0"/>
        <v>#DIV/0!</v>
      </c>
      <c r="S31" s="209"/>
      <c r="T31" s="209"/>
      <c r="U31" s="210"/>
      <c r="V31" s="290"/>
      <c r="W31" s="290"/>
      <c r="X31" s="290"/>
      <c r="Y31" s="292"/>
      <c r="Z31" s="13"/>
      <c r="AB31" s="37">
        <f t="shared" si="4"/>
        <v>20</v>
      </c>
      <c r="AC31" s="37">
        <f t="shared" si="1"/>
        <v>400</v>
      </c>
      <c r="AD31" s="37">
        <f t="shared" si="2"/>
        <v>8000</v>
      </c>
      <c r="AE31" s="38">
        <f t="shared" si="5"/>
        <v>1.7860384307500734</v>
      </c>
    </row>
    <row r="32" spans="1:31" ht="12.75" customHeight="1" x14ac:dyDescent="0.25">
      <c r="A32" s="10"/>
      <c r="B32" s="217"/>
      <c r="C32" s="218"/>
      <c r="D32" s="219"/>
      <c r="E32" s="220"/>
      <c r="F32" s="218"/>
      <c r="G32" s="219"/>
      <c r="H32" s="221"/>
      <c r="I32" s="222"/>
      <c r="J32" s="223"/>
      <c r="K32" s="208" t="e">
        <f t="shared" si="3"/>
        <v>#DIV/0!</v>
      </c>
      <c r="L32" s="214"/>
      <c r="M32" s="215"/>
      <c r="N32" s="220"/>
      <c r="O32" s="218"/>
      <c r="P32" s="218"/>
      <c r="Q32" s="219"/>
      <c r="R32" s="208" t="e">
        <f t="shared" si="0"/>
        <v>#DIV/0!</v>
      </c>
      <c r="S32" s="209"/>
      <c r="T32" s="209"/>
      <c r="U32" s="210"/>
      <c r="V32" s="11"/>
      <c r="W32" s="11"/>
      <c r="X32" s="11"/>
      <c r="Y32" s="11"/>
      <c r="Z32" s="13"/>
      <c r="AB32" s="37">
        <f t="shared" si="4"/>
        <v>20</v>
      </c>
      <c r="AC32" s="37">
        <f t="shared" si="1"/>
        <v>400</v>
      </c>
      <c r="AD32" s="37">
        <f t="shared" si="2"/>
        <v>8000</v>
      </c>
      <c r="AE32" s="38">
        <f t="shared" si="5"/>
        <v>1.7860384307500734</v>
      </c>
    </row>
    <row r="33" spans="1:31" ht="12.75" customHeight="1" x14ac:dyDescent="0.25">
      <c r="A33" s="10"/>
      <c r="B33" s="217"/>
      <c r="C33" s="218"/>
      <c r="D33" s="219"/>
      <c r="E33" s="220"/>
      <c r="F33" s="218"/>
      <c r="G33" s="219"/>
      <c r="H33" s="221"/>
      <c r="I33" s="222"/>
      <c r="J33" s="223"/>
      <c r="K33" s="208" t="e">
        <f t="shared" si="3"/>
        <v>#DIV/0!</v>
      </c>
      <c r="L33" s="214"/>
      <c r="M33" s="215"/>
      <c r="N33" s="220"/>
      <c r="O33" s="218"/>
      <c r="P33" s="218"/>
      <c r="Q33" s="219"/>
      <c r="R33" s="208" t="e">
        <f t="shared" si="0"/>
        <v>#DIV/0!</v>
      </c>
      <c r="S33" s="209"/>
      <c r="T33" s="209"/>
      <c r="U33" s="210"/>
      <c r="V33" s="225" t="s">
        <v>69</v>
      </c>
      <c r="W33" s="293"/>
      <c r="X33" s="293"/>
      <c r="Y33" s="295"/>
      <c r="Z33" s="13"/>
      <c r="AB33" s="37">
        <f t="shared" si="4"/>
        <v>20</v>
      </c>
      <c r="AC33" s="37">
        <f t="shared" si="1"/>
        <v>400</v>
      </c>
      <c r="AD33" s="37">
        <f t="shared" si="2"/>
        <v>8000</v>
      </c>
      <c r="AE33" s="38">
        <f t="shared" si="5"/>
        <v>1.7860384307500734</v>
      </c>
    </row>
    <row r="34" spans="1:31" ht="12.75" customHeight="1" x14ac:dyDescent="0.25">
      <c r="A34" s="10"/>
      <c r="B34" s="217"/>
      <c r="C34" s="218"/>
      <c r="D34" s="219"/>
      <c r="E34" s="220"/>
      <c r="F34" s="218"/>
      <c r="G34" s="219"/>
      <c r="H34" s="221"/>
      <c r="I34" s="222"/>
      <c r="J34" s="223"/>
      <c r="K34" s="208" t="e">
        <f t="shared" si="3"/>
        <v>#DIV/0!</v>
      </c>
      <c r="L34" s="214"/>
      <c r="M34" s="215"/>
      <c r="N34" s="220"/>
      <c r="O34" s="218"/>
      <c r="P34" s="218"/>
      <c r="Q34" s="219"/>
      <c r="R34" s="208" t="e">
        <f t="shared" si="0"/>
        <v>#DIV/0!</v>
      </c>
      <c r="S34" s="209"/>
      <c r="T34" s="209"/>
      <c r="U34" s="210"/>
      <c r="V34" s="294"/>
      <c r="W34" s="294"/>
      <c r="X34" s="294"/>
      <c r="Y34" s="296"/>
      <c r="Z34" s="13"/>
      <c r="AB34" s="37">
        <f t="shared" si="4"/>
        <v>20</v>
      </c>
      <c r="AC34" s="37">
        <f t="shared" si="1"/>
        <v>400</v>
      </c>
      <c r="AD34" s="37">
        <f t="shared" si="2"/>
        <v>8000</v>
      </c>
      <c r="AE34" s="38">
        <f t="shared" si="5"/>
        <v>1.7860384307500734</v>
      </c>
    </row>
    <row r="35" spans="1:31" ht="12.75" customHeight="1" x14ac:dyDescent="0.25">
      <c r="A35" s="10"/>
      <c r="B35" s="217"/>
      <c r="C35" s="218"/>
      <c r="D35" s="219"/>
      <c r="E35" s="220"/>
      <c r="F35" s="218"/>
      <c r="G35" s="219"/>
      <c r="H35" s="221"/>
      <c r="I35" s="222"/>
      <c r="J35" s="223"/>
      <c r="K35" s="208" t="e">
        <f t="shared" si="3"/>
        <v>#DIV/0!</v>
      </c>
      <c r="L35" s="214"/>
      <c r="M35" s="215"/>
      <c r="N35" s="220"/>
      <c r="O35" s="218"/>
      <c r="P35" s="218"/>
      <c r="Q35" s="219"/>
      <c r="R35" s="208" t="e">
        <f t="shared" si="0"/>
        <v>#DIV/0!</v>
      </c>
      <c r="S35" s="209"/>
      <c r="T35" s="209"/>
      <c r="U35" s="210"/>
      <c r="V35" s="11"/>
      <c r="W35" s="11"/>
      <c r="X35" s="11"/>
      <c r="Y35" s="11"/>
      <c r="Z35" s="13"/>
      <c r="AB35" s="37">
        <f t="shared" si="4"/>
        <v>20</v>
      </c>
      <c r="AC35" s="37">
        <f t="shared" si="1"/>
        <v>400</v>
      </c>
      <c r="AD35" s="37">
        <f t="shared" si="2"/>
        <v>8000</v>
      </c>
      <c r="AE35" s="38">
        <f t="shared" si="5"/>
        <v>1.7860384307500734</v>
      </c>
    </row>
    <row r="36" spans="1:31" ht="12.75" customHeight="1" x14ac:dyDescent="0.25">
      <c r="A36" s="10"/>
      <c r="B36" s="217"/>
      <c r="C36" s="218"/>
      <c r="D36" s="219"/>
      <c r="E36" s="220"/>
      <c r="F36" s="218"/>
      <c r="G36" s="219"/>
      <c r="H36" s="221"/>
      <c r="I36" s="222"/>
      <c r="J36" s="223"/>
      <c r="K36" s="208" t="e">
        <f t="shared" si="3"/>
        <v>#DIV/0!</v>
      </c>
      <c r="L36" s="214"/>
      <c r="M36" s="215"/>
      <c r="N36" s="220"/>
      <c r="O36" s="218"/>
      <c r="P36" s="218"/>
      <c r="Q36" s="219"/>
      <c r="R36" s="208" t="e">
        <f t="shared" si="0"/>
        <v>#DIV/0!</v>
      </c>
      <c r="S36" s="209"/>
      <c r="T36" s="209"/>
      <c r="U36" s="210"/>
      <c r="V36" s="225" t="s">
        <v>70</v>
      </c>
      <c r="W36" s="293"/>
      <c r="X36" s="293"/>
      <c r="Y36" s="295"/>
      <c r="Z36" s="13"/>
      <c r="AB36" s="37">
        <f t="shared" si="4"/>
        <v>20</v>
      </c>
      <c r="AC36" s="37">
        <f t="shared" si="1"/>
        <v>400</v>
      </c>
      <c r="AD36" s="37">
        <f t="shared" si="2"/>
        <v>8000</v>
      </c>
      <c r="AE36" s="38">
        <f t="shared" si="5"/>
        <v>1.7860384307500734</v>
      </c>
    </row>
    <row r="37" spans="1:31" ht="12.75" customHeight="1" x14ac:dyDescent="0.25">
      <c r="A37" s="10"/>
      <c r="B37" s="217"/>
      <c r="C37" s="218"/>
      <c r="D37" s="219"/>
      <c r="E37" s="220"/>
      <c r="F37" s="218"/>
      <c r="G37" s="219"/>
      <c r="H37" s="221"/>
      <c r="I37" s="222"/>
      <c r="J37" s="223"/>
      <c r="K37" s="208" t="e">
        <f t="shared" si="3"/>
        <v>#DIV/0!</v>
      </c>
      <c r="L37" s="214"/>
      <c r="M37" s="215"/>
      <c r="N37" s="220"/>
      <c r="O37" s="218"/>
      <c r="P37" s="218"/>
      <c r="Q37" s="219"/>
      <c r="R37" s="208" t="e">
        <f t="shared" si="0"/>
        <v>#DIV/0!</v>
      </c>
      <c r="S37" s="209"/>
      <c r="T37" s="209"/>
      <c r="U37" s="210"/>
      <c r="V37" s="294"/>
      <c r="W37" s="294"/>
      <c r="X37" s="294"/>
      <c r="Y37" s="296"/>
      <c r="Z37" s="13"/>
      <c r="AB37" s="37">
        <f t="shared" si="4"/>
        <v>20</v>
      </c>
      <c r="AC37" s="37">
        <f t="shared" si="1"/>
        <v>400</v>
      </c>
      <c r="AD37" s="37">
        <f t="shared" si="2"/>
        <v>8000</v>
      </c>
      <c r="AE37" s="38">
        <f t="shared" si="5"/>
        <v>1.7860384307500734</v>
      </c>
    </row>
    <row r="38" spans="1:31" ht="12.75" customHeight="1" thickBot="1" x14ac:dyDescent="0.3">
      <c r="A38" s="10"/>
      <c r="B38" s="217"/>
      <c r="C38" s="218"/>
      <c r="D38" s="219"/>
      <c r="E38" s="220"/>
      <c r="F38" s="218"/>
      <c r="G38" s="219"/>
      <c r="H38" s="221"/>
      <c r="I38" s="222"/>
      <c r="J38" s="223"/>
      <c r="K38" s="208" t="e">
        <f t="shared" si="3"/>
        <v>#DIV/0!</v>
      </c>
      <c r="L38" s="214"/>
      <c r="M38" s="215"/>
      <c r="N38" s="220"/>
      <c r="O38" s="218"/>
      <c r="P38" s="218"/>
      <c r="Q38" s="219"/>
      <c r="R38" s="208" t="e">
        <f t="shared" si="0"/>
        <v>#DIV/0!</v>
      </c>
      <c r="S38" s="209"/>
      <c r="T38" s="209"/>
      <c r="U38" s="210"/>
      <c r="V38" s="11"/>
      <c r="W38" s="11"/>
      <c r="X38" s="11"/>
      <c r="Y38" s="11"/>
      <c r="Z38" s="13"/>
      <c r="AB38" s="37">
        <f t="shared" si="4"/>
        <v>20</v>
      </c>
      <c r="AC38" s="37">
        <f t="shared" si="1"/>
        <v>400</v>
      </c>
      <c r="AD38" s="37">
        <f t="shared" si="2"/>
        <v>8000</v>
      </c>
      <c r="AE38" s="38">
        <f t="shared" si="5"/>
        <v>1.7860384307500734</v>
      </c>
    </row>
    <row r="39" spans="1:31" ht="12.75" customHeight="1" x14ac:dyDescent="0.25">
      <c r="A39" s="10"/>
      <c r="B39" s="217"/>
      <c r="C39" s="218"/>
      <c r="D39" s="219"/>
      <c r="E39" s="220"/>
      <c r="F39" s="218"/>
      <c r="G39" s="219"/>
      <c r="H39" s="221"/>
      <c r="I39" s="222"/>
      <c r="J39" s="223"/>
      <c r="K39" s="208" t="e">
        <f t="shared" si="3"/>
        <v>#DIV/0!</v>
      </c>
      <c r="L39" s="214"/>
      <c r="M39" s="215"/>
      <c r="N39" s="220"/>
      <c r="O39" s="218"/>
      <c r="P39" s="218"/>
      <c r="Q39" s="219"/>
      <c r="R39" s="208" t="e">
        <f t="shared" si="0"/>
        <v>#DIV/0!</v>
      </c>
      <c r="S39" s="209"/>
      <c r="T39" s="209"/>
      <c r="U39" s="210"/>
      <c r="V39" s="270" t="s">
        <v>71</v>
      </c>
      <c r="W39" s="271"/>
      <c r="X39" s="297" t="str">
        <f>IF(X33&lt;&gt;"",IF(X36&lt;&gt;"",X33-X36,""),"")</f>
        <v/>
      </c>
      <c r="Y39" s="298"/>
      <c r="Z39" s="13"/>
      <c r="AB39" s="37">
        <f t="shared" si="4"/>
        <v>20</v>
      </c>
      <c r="AC39" s="37">
        <f t="shared" si="1"/>
        <v>400</v>
      </c>
      <c r="AD39" s="37">
        <f t="shared" si="2"/>
        <v>8000</v>
      </c>
      <c r="AE39" s="38">
        <f t="shared" si="5"/>
        <v>1.7860384307500734</v>
      </c>
    </row>
    <row r="40" spans="1:31" ht="12.75" customHeight="1" thickBot="1" x14ac:dyDescent="0.3">
      <c r="A40" s="10"/>
      <c r="B40" s="217"/>
      <c r="C40" s="218"/>
      <c r="D40" s="219"/>
      <c r="E40" s="220"/>
      <c r="F40" s="218"/>
      <c r="G40" s="219"/>
      <c r="H40" s="221"/>
      <c r="I40" s="222"/>
      <c r="J40" s="223"/>
      <c r="K40" s="208" t="e">
        <f t="shared" si="3"/>
        <v>#DIV/0!</v>
      </c>
      <c r="L40" s="214"/>
      <c r="M40" s="215"/>
      <c r="N40" s="220"/>
      <c r="O40" s="218"/>
      <c r="P40" s="218"/>
      <c r="Q40" s="219"/>
      <c r="R40" s="208" t="e">
        <f t="shared" si="0"/>
        <v>#DIV/0!</v>
      </c>
      <c r="S40" s="209"/>
      <c r="T40" s="209"/>
      <c r="U40" s="210"/>
      <c r="V40" s="290"/>
      <c r="W40" s="290"/>
      <c r="X40" s="299"/>
      <c r="Y40" s="300"/>
      <c r="Z40" s="13"/>
      <c r="AB40" s="37">
        <f t="shared" si="4"/>
        <v>20</v>
      </c>
      <c r="AC40" s="37">
        <f t="shared" si="1"/>
        <v>400</v>
      </c>
      <c r="AD40" s="37">
        <f t="shared" si="2"/>
        <v>8000</v>
      </c>
      <c r="AE40" s="38">
        <f t="shared" si="5"/>
        <v>1.7860384307500734</v>
      </c>
    </row>
    <row r="41" spans="1:31" ht="12.75" customHeight="1" x14ac:dyDescent="0.25">
      <c r="A41" s="10"/>
      <c r="B41" s="217"/>
      <c r="C41" s="218"/>
      <c r="D41" s="219"/>
      <c r="E41" s="220"/>
      <c r="F41" s="218"/>
      <c r="G41" s="219"/>
      <c r="H41" s="221"/>
      <c r="I41" s="222"/>
      <c r="J41" s="223"/>
      <c r="K41" s="208" t="e">
        <f t="shared" si="3"/>
        <v>#DIV/0!</v>
      </c>
      <c r="L41" s="214"/>
      <c r="M41" s="215"/>
      <c r="N41" s="220"/>
      <c r="O41" s="218"/>
      <c r="P41" s="218"/>
      <c r="Q41" s="219"/>
      <c r="R41" s="208" t="e">
        <f t="shared" si="0"/>
        <v>#DIV/0!</v>
      </c>
      <c r="S41" s="209"/>
      <c r="T41" s="209"/>
      <c r="U41" s="210"/>
      <c r="V41" s="11"/>
      <c r="W41" s="11"/>
      <c r="X41" s="11"/>
      <c r="Y41" s="11"/>
      <c r="Z41" s="13"/>
      <c r="AB41" s="37">
        <f t="shared" si="4"/>
        <v>20</v>
      </c>
      <c r="AC41" s="37">
        <f t="shared" si="1"/>
        <v>400</v>
      </c>
      <c r="AD41" s="37">
        <f t="shared" si="2"/>
        <v>8000</v>
      </c>
      <c r="AE41" s="38">
        <f t="shared" si="5"/>
        <v>1.7860384307500734</v>
      </c>
    </row>
    <row r="42" spans="1:31" ht="12.75" customHeight="1" x14ac:dyDescent="0.25">
      <c r="A42" s="10"/>
      <c r="B42" s="217"/>
      <c r="C42" s="218"/>
      <c r="D42" s="219"/>
      <c r="E42" s="220"/>
      <c r="F42" s="218"/>
      <c r="G42" s="219"/>
      <c r="H42" s="221"/>
      <c r="I42" s="222"/>
      <c r="J42" s="223"/>
      <c r="K42" s="208" t="e">
        <f t="shared" si="3"/>
        <v>#DIV/0!</v>
      </c>
      <c r="L42" s="214"/>
      <c r="M42" s="215"/>
      <c r="N42" s="220"/>
      <c r="O42" s="218"/>
      <c r="P42" s="218"/>
      <c r="Q42" s="219"/>
      <c r="R42" s="208" t="e">
        <f t="shared" si="0"/>
        <v>#DIV/0!</v>
      </c>
      <c r="S42" s="209"/>
      <c r="T42" s="209"/>
      <c r="U42" s="210"/>
      <c r="V42" s="228"/>
      <c r="W42" s="272"/>
      <c r="X42" s="272"/>
      <c r="Y42" s="272"/>
      <c r="Z42" s="13"/>
      <c r="AB42" s="37">
        <f t="shared" si="4"/>
        <v>20</v>
      </c>
      <c r="AC42" s="37">
        <f t="shared" si="1"/>
        <v>400</v>
      </c>
      <c r="AD42" s="37">
        <f t="shared" si="2"/>
        <v>8000</v>
      </c>
      <c r="AE42" s="38">
        <f t="shared" si="5"/>
        <v>1.7860384307500734</v>
      </c>
    </row>
    <row r="43" spans="1:31" ht="12.75" customHeight="1" x14ac:dyDescent="0.25">
      <c r="A43" s="10"/>
      <c r="B43" s="217"/>
      <c r="C43" s="218"/>
      <c r="D43" s="219"/>
      <c r="E43" s="220"/>
      <c r="F43" s="218"/>
      <c r="G43" s="219"/>
      <c r="H43" s="221"/>
      <c r="I43" s="222"/>
      <c r="J43" s="223"/>
      <c r="K43" s="208" t="e">
        <f t="shared" si="3"/>
        <v>#DIV/0!</v>
      </c>
      <c r="L43" s="214"/>
      <c r="M43" s="215"/>
      <c r="N43" s="220"/>
      <c r="O43" s="218"/>
      <c r="P43" s="218"/>
      <c r="Q43" s="219"/>
      <c r="R43" s="208" t="e">
        <f t="shared" si="0"/>
        <v>#DIV/0!</v>
      </c>
      <c r="S43" s="209"/>
      <c r="T43" s="209"/>
      <c r="U43" s="210"/>
      <c r="V43" s="272"/>
      <c r="W43" s="272"/>
      <c r="X43" s="272"/>
      <c r="Y43" s="272"/>
      <c r="Z43" s="13"/>
      <c r="AB43" s="37">
        <f t="shared" si="4"/>
        <v>20</v>
      </c>
      <c r="AC43" s="37">
        <f t="shared" si="1"/>
        <v>400</v>
      </c>
      <c r="AD43" s="37">
        <f t="shared" si="2"/>
        <v>8000</v>
      </c>
      <c r="AE43" s="38">
        <f t="shared" si="5"/>
        <v>1.7860384307500734</v>
      </c>
    </row>
    <row r="44" spans="1:31" ht="12.75" customHeight="1" x14ac:dyDescent="0.25">
      <c r="A44" s="10"/>
      <c r="B44" s="217"/>
      <c r="C44" s="218"/>
      <c r="D44" s="219"/>
      <c r="E44" s="220"/>
      <c r="F44" s="218"/>
      <c r="G44" s="219"/>
      <c r="H44" s="221"/>
      <c r="I44" s="222"/>
      <c r="J44" s="223"/>
      <c r="K44" s="208" t="e">
        <f t="shared" si="3"/>
        <v>#DIV/0!</v>
      </c>
      <c r="L44" s="214"/>
      <c r="M44" s="215"/>
      <c r="N44" s="220"/>
      <c r="O44" s="218"/>
      <c r="P44" s="218"/>
      <c r="Q44" s="219"/>
      <c r="R44" s="208" t="e">
        <f t="shared" si="0"/>
        <v>#DIV/0!</v>
      </c>
      <c r="S44" s="209"/>
      <c r="T44" s="209"/>
      <c r="U44" s="210"/>
      <c r="V44" s="11"/>
      <c r="W44" s="11"/>
      <c r="X44" s="11"/>
      <c r="Y44" s="11"/>
      <c r="Z44" s="13"/>
      <c r="AB44" s="37">
        <f t="shared" si="4"/>
        <v>20</v>
      </c>
      <c r="AC44" s="37">
        <f t="shared" si="1"/>
        <v>400</v>
      </c>
      <c r="AD44" s="37">
        <f t="shared" si="2"/>
        <v>8000</v>
      </c>
      <c r="AE44" s="38">
        <f t="shared" si="5"/>
        <v>1.7860384307500734</v>
      </c>
    </row>
    <row r="45" spans="1:31" ht="12.75" customHeight="1" x14ac:dyDescent="0.25">
      <c r="A45" s="10"/>
      <c r="B45" s="217"/>
      <c r="C45" s="218"/>
      <c r="D45" s="219"/>
      <c r="E45" s="220"/>
      <c r="F45" s="218"/>
      <c r="G45" s="219"/>
      <c r="H45" s="221"/>
      <c r="I45" s="222"/>
      <c r="J45" s="223"/>
      <c r="K45" s="208" t="e">
        <f t="shared" si="3"/>
        <v>#DIV/0!</v>
      </c>
      <c r="L45" s="214"/>
      <c r="M45" s="215"/>
      <c r="N45" s="220"/>
      <c r="O45" s="218"/>
      <c r="P45" s="218"/>
      <c r="Q45" s="219"/>
      <c r="R45" s="208" t="e">
        <f t="shared" si="0"/>
        <v>#DIV/0!</v>
      </c>
      <c r="S45" s="209"/>
      <c r="T45" s="209"/>
      <c r="U45" s="210"/>
      <c r="V45" s="228"/>
      <c r="W45" s="272"/>
      <c r="X45" s="272"/>
      <c r="Y45" s="272"/>
      <c r="Z45" s="13"/>
      <c r="AB45" s="37">
        <f t="shared" si="4"/>
        <v>20</v>
      </c>
      <c r="AC45" s="37">
        <f t="shared" si="1"/>
        <v>400</v>
      </c>
      <c r="AD45" s="37">
        <f t="shared" si="2"/>
        <v>8000</v>
      </c>
      <c r="AE45" s="38">
        <f t="shared" si="5"/>
        <v>1.7860384307500734</v>
      </c>
    </row>
    <row r="46" spans="1:31" ht="12.75" customHeight="1" x14ac:dyDescent="0.25">
      <c r="A46" s="10"/>
      <c r="B46" s="217"/>
      <c r="C46" s="218"/>
      <c r="D46" s="219"/>
      <c r="E46" s="220"/>
      <c r="F46" s="218"/>
      <c r="G46" s="219"/>
      <c r="H46" s="221"/>
      <c r="I46" s="222"/>
      <c r="J46" s="223"/>
      <c r="K46" s="208" t="e">
        <f t="shared" si="3"/>
        <v>#DIV/0!</v>
      </c>
      <c r="L46" s="214"/>
      <c r="M46" s="215"/>
      <c r="N46" s="220"/>
      <c r="O46" s="218"/>
      <c r="P46" s="218"/>
      <c r="Q46" s="219"/>
      <c r="R46" s="208" t="e">
        <f t="shared" si="0"/>
        <v>#DIV/0!</v>
      </c>
      <c r="S46" s="209"/>
      <c r="T46" s="209"/>
      <c r="U46" s="210"/>
      <c r="V46" s="272"/>
      <c r="W46" s="272"/>
      <c r="X46" s="272"/>
      <c r="Y46" s="272"/>
      <c r="Z46" s="13"/>
      <c r="AB46" s="37">
        <f t="shared" si="4"/>
        <v>20</v>
      </c>
      <c r="AC46" s="37">
        <f t="shared" si="1"/>
        <v>400</v>
      </c>
      <c r="AD46" s="37">
        <f t="shared" si="2"/>
        <v>8000</v>
      </c>
      <c r="AE46" s="38">
        <f t="shared" si="5"/>
        <v>1.7860384307500734</v>
      </c>
    </row>
    <row r="47" spans="1:31" ht="12.75" customHeight="1" x14ac:dyDescent="0.25">
      <c r="A47" s="10"/>
      <c r="B47" s="217"/>
      <c r="C47" s="218"/>
      <c r="D47" s="219"/>
      <c r="E47" s="220"/>
      <c r="F47" s="218"/>
      <c r="G47" s="219"/>
      <c r="H47" s="221"/>
      <c r="I47" s="222"/>
      <c r="J47" s="223"/>
      <c r="K47" s="208" t="e">
        <f t="shared" si="3"/>
        <v>#DIV/0!</v>
      </c>
      <c r="L47" s="214"/>
      <c r="M47" s="215"/>
      <c r="N47" s="220"/>
      <c r="O47" s="218"/>
      <c r="P47" s="218"/>
      <c r="Q47" s="219"/>
      <c r="R47" s="208" t="e">
        <f t="shared" si="0"/>
        <v>#DIV/0!</v>
      </c>
      <c r="S47" s="209"/>
      <c r="T47" s="209"/>
      <c r="U47" s="210"/>
      <c r="V47" s="11"/>
      <c r="W47" s="11"/>
      <c r="X47" s="11"/>
      <c r="Y47" s="11"/>
      <c r="Z47" s="39"/>
      <c r="AB47" s="37">
        <f t="shared" si="4"/>
        <v>20</v>
      </c>
      <c r="AC47" s="37">
        <f t="shared" si="1"/>
        <v>400</v>
      </c>
      <c r="AD47" s="37">
        <f t="shared" si="2"/>
        <v>8000</v>
      </c>
      <c r="AE47" s="38">
        <f t="shared" si="5"/>
        <v>1.7860384307500734</v>
      </c>
    </row>
    <row r="48" spans="1:31" ht="12.75" customHeight="1" x14ac:dyDescent="0.25">
      <c r="A48" s="10"/>
      <c r="B48" s="217"/>
      <c r="C48" s="218"/>
      <c r="D48" s="219"/>
      <c r="E48" s="220"/>
      <c r="F48" s="218"/>
      <c r="G48" s="219"/>
      <c r="H48" s="221"/>
      <c r="I48" s="222"/>
      <c r="J48" s="223"/>
      <c r="K48" s="208" t="e">
        <f t="shared" si="3"/>
        <v>#DIV/0!</v>
      </c>
      <c r="L48" s="214"/>
      <c r="M48" s="215"/>
      <c r="N48" s="220"/>
      <c r="O48" s="218"/>
      <c r="P48" s="218"/>
      <c r="Q48" s="219"/>
      <c r="R48" s="208" t="e">
        <f t="shared" si="0"/>
        <v>#DIV/0!</v>
      </c>
      <c r="S48" s="209"/>
      <c r="T48" s="209"/>
      <c r="U48" s="210"/>
      <c r="V48" s="228"/>
      <c r="W48" s="272"/>
      <c r="X48" s="272"/>
      <c r="Y48" s="272"/>
      <c r="Z48" s="40"/>
      <c r="AB48" s="37">
        <f t="shared" si="4"/>
        <v>20</v>
      </c>
      <c r="AC48" s="37">
        <f t="shared" si="1"/>
        <v>400</v>
      </c>
      <c r="AD48" s="37">
        <f t="shared" si="2"/>
        <v>8000</v>
      </c>
      <c r="AE48" s="38">
        <f t="shared" si="5"/>
        <v>1.7860384307500734</v>
      </c>
    </row>
    <row r="49" spans="1:31" ht="12.75" customHeight="1" x14ac:dyDescent="0.25">
      <c r="A49" s="41"/>
      <c r="B49" s="217"/>
      <c r="C49" s="218"/>
      <c r="D49" s="219"/>
      <c r="E49" s="220"/>
      <c r="F49" s="218"/>
      <c r="G49" s="219"/>
      <c r="H49" s="221"/>
      <c r="I49" s="222"/>
      <c r="J49" s="223"/>
      <c r="K49" s="208" t="e">
        <f t="shared" si="3"/>
        <v>#DIV/0!</v>
      </c>
      <c r="L49" s="214"/>
      <c r="M49" s="215"/>
      <c r="N49" s="220"/>
      <c r="O49" s="218"/>
      <c r="P49" s="218"/>
      <c r="Q49" s="219"/>
      <c r="R49" s="208" t="e">
        <f t="shared" si="0"/>
        <v>#DIV/0!</v>
      </c>
      <c r="S49" s="209"/>
      <c r="T49" s="209"/>
      <c r="U49" s="210"/>
      <c r="V49" s="272"/>
      <c r="W49" s="272"/>
      <c r="X49" s="272"/>
      <c r="Y49" s="272"/>
      <c r="Z49" s="40"/>
      <c r="AB49" s="37">
        <f t="shared" si="4"/>
        <v>20</v>
      </c>
      <c r="AC49" s="37">
        <f t="shared" si="1"/>
        <v>400</v>
      </c>
      <c r="AD49" s="37">
        <f t="shared" si="2"/>
        <v>8000</v>
      </c>
      <c r="AE49" s="38">
        <f t="shared" si="5"/>
        <v>1.7860384307500734</v>
      </c>
    </row>
    <row r="50" spans="1:31" ht="12.75" customHeight="1" x14ac:dyDescent="0.25">
      <c r="A50" s="42"/>
      <c r="B50" s="217"/>
      <c r="C50" s="218"/>
      <c r="D50" s="219"/>
      <c r="E50" s="220"/>
      <c r="F50" s="218"/>
      <c r="G50" s="219"/>
      <c r="H50" s="221"/>
      <c r="I50" s="222"/>
      <c r="J50" s="223"/>
      <c r="K50" s="208" t="e">
        <f>(E50-E49)/((B50-B49)*1000000)</f>
        <v>#DIV/0!</v>
      </c>
      <c r="L50" s="214"/>
      <c r="M50" s="215"/>
      <c r="N50" s="220"/>
      <c r="O50" s="218"/>
      <c r="P50" s="218"/>
      <c r="Q50" s="219"/>
      <c r="R50" s="208" t="e">
        <f t="shared" si="0"/>
        <v>#DIV/0!</v>
      </c>
      <c r="S50" s="209"/>
      <c r="T50" s="209"/>
      <c r="U50" s="210"/>
      <c r="V50" s="11"/>
      <c r="W50" s="11"/>
      <c r="X50" s="11"/>
      <c r="Y50" s="11"/>
      <c r="Z50" s="40"/>
      <c r="AB50" s="37">
        <f t="shared" si="4"/>
        <v>20</v>
      </c>
      <c r="AC50" s="37">
        <f t="shared" si="1"/>
        <v>400</v>
      </c>
      <c r="AD50" s="37">
        <f t="shared" si="2"/>
        <v>8000</v>
      </c>
      <c r="AE50" s="38">
        <f t="shared" si="5"/>
        <v>1.7860384307500734</v>
      </c>
    </row>
    <row r="51" spans="1:31" ht="12.75" customHeight="1" x14ac:dyDescent="0.25">
      <c r="A51" s="42"/>
      <c r="B51" s="216"/>
      <c r="C51" s="212"/>
      <c r="D51" s="213"/>
      <c r="E51" s="211"/>
      <c r="F51" s="212"/>
      <c r="G51" s="213"/>
      <c r="H51" s="211"/>
      <c r="I51" s="212"/>
      <c r="J51" s="213"/>
      <c r="K51" s="208" t="e">
        <f t="shared" ref="K51:K69" si="6">(E51-E50)/((B51-B50)*1000000)</f>
        <v>#DIV/0!</v>
      </c>
      <c r="L51" s="214"/>
      <c r="M51" s="215"/>
      <c r="N51" s="211"/>
      <c r="O51" s="212"/>
      <c r="P51" s="212"/>
      <c r="Q51" s="213"/>
      <c r="R51" s="208" t="e">
        <f>K51*AE51</f>
        <v>#DIV/0!</v>
      </c>
      <c r="S51" s="209"/>
      <c r="T51" s="209"/>
      <c r="U51" s="210"/>
      <c r="V51" s="228"/>
      <c r="W51" s="272"/>
      <c r="X51" s="272"/>
      <c r="Y51" s="272"/>
      <c r="Z51" s="40"/>
      <c r="AB51" s="37">
        <f t="shared" si="4"/>
        <v>20</v>
      </c>
      <c r="AC51" s="37">
        <f t="shared" si="1"/>
        <v>400</v>
      </c>
      <c r="AD51" s="37">
        <f t="shared" si="2"/>
        <v>8000</v>
      </c>
      <c r="AE51" s="38">
        <f t="shared" si="5"/>
        <v>1.7860384307500734</v>
      </c>
    </row>
    <row r="52" spans="1:31" ht="12.75" customHeight="1" x14ac:dyDescent="0.25">
      <c r="A52" s="42"/>
      <c r="B52" s="216"/>
      <c r="C52" s="212"/>
      <c r="D52" s="213"/>
      <c r="E52" s="211"/>
      <c r="F52" s="212"/>
      <c r="G52" s="213"/>
      <c r="H52" s="211"/>
      <c r="I52" s="212"/>
      <c r="J52" s="213"/>
      <c r="K52" s="208" t="e">
        <f t="shared" si="6"/>
        <v>#DIV/0!</v>
      </c>
      <c r="L52" s="214"/>
      <c r="M52" s="215"/>
      <c r="N52" s="211"/>
      <c r="O52" s="212"/>
      <c r="P52" s="212"/>
      <c r="Q52" s="213"/>
      <c r="R52" s="208" t="e">
        <f t="shared" ref="R52:R69" si="7">K52*AE52</f>
        <v>#DIV/0!</v>
      </c>
      <c r="S52" s="209"/>
      <c r="T52" s="209"/>
      <c r="U52" s="210"/>
      <c r="V52" s="272"/>
      <c r="W52" s="272"/>
      <c r="X52" s="272"/>
      <c r="Y52" s="272"/>
      <c r="Z52" s="40"/>
      <c r="AB52" s="37">
        <f t="shared" si="4"/>
        <v>20</v>
      </c>
      <c r="AC52" s="37">
        <f t="shared" si="1"/>
        <v>400</v>
      </c>
      <c r="AD52" s="37">
        <f t="shared" si="2"/>
        <v>8000</v>
      </c>
      <c r="AE52" s="38">
        <f t="shared" si="5"/>
        <v>1.7860384307500734</v>
      </c>
    </row>
    <row r="53" spans="1:31" ht="12.75" customHeight="1" x14ac:dyDescent="0.25">
      <c r="A53" s="10"/>
      <c r="B53" s="216"/>
      <c r="C53" s="212"/>
      <c r="D53" s="213"/>
      <c r="E53" s="211"/>
      <c r="F53" s="212"/>
      <c r="G53" s="213"/>
      <c r="H53" s="211"/>
      <c r="I53" s="212"/>
      <c r="J53" s="213"/>
      <c r="K53" s="208" t="e">
        <f t="shared" si="6"/>
        <v>#DIV/0!</v>
      </c>
      <c r="L53" s="214"/>
      <c r="M53" s="215"/>
      <c r="N53" s="211"/>
      <c r="O53" s="212"/>
      <c r="P53" s="212"/>
      <c r="Q53" s="213"/>
      <c r="R53" s="208" t="e">
        <f t="shared" si="7"/>
        <v>#DIV/0!</v>
      </c>
      <c r="S53" s="209"/>
      <c r="T53" s="209"/>
      <c r="U53" s="210"/>
      <c r="V53" s="11"/>
      <c r="W53" s="11"/>
      <c r="X53" s="11"/>
      <c r="Y53" s="11"/>
      <c r="Z53" s="13"/>
      <c r="AB53" s="37">
        <f t="shared" si="4"/>
        <v>20</v>
      </c>
      <c r="AC53" s="37">
        <f>AB53*AB53</f>
        <v>400</v>
      </c>
      <c r="AD53" s="37">
        <f>AB53*AB53*AB53</f>
        <v>8000</v>
      </c>
      <c r="AE53" s="38">
        <f t="shared" si="5"/>
        <v>1.7860384307500734</v>
      </c>
    </row>
    <row r="54" spans="1:31" ht="12.75" customHeight="1" x14ac:dyDescent="0.25">
      <c r="A54" s="10"/>
      <c r="B54" s="216"/>
      <c r="C54" s="212"/>
      <c r="D54" s="213"/>
      <c r="E54" s="211"/>
      <c r="F54" s="212"/>
      <c r="G54" s="213"/>
      <c r="H54" s="211"/>
      <c r="I54" s="212"/>
      <c r="J54" s="213"/>
      <c r="K54" s="208" t="e">
        <f t="shared" si="6"/>
        <v>#DIV/0!</v>
      </c>
      <c r="L54" s="214"/>
      <c r="M54" s="215"/>
      <c r="N54" s="211"/>
      <c r="O54" s="212"/>
      <c r="P54" s="212"/>
      <c r="Q54" s="213"/>
      <c r="R54" s="208" t="e">
        <f t="shared" si="7"/>
        <v>#DIV/0!</v>
      </c>
      <c r="S54" s="209"/>
      <c r="T54" s="209"/>
      <c r="U54" s="210"/>
      <c r="V54" s="228"/>
      <c r="W54" s="272"/>
      <c r="X54" s="272"/>
      <c r="Y54" s="272"/>
      <c r="Z54" s="13"/>
      <c r="AB54" s="37">
        <f t="shared" si="4"/>
        <v>20</v>
      </c>
      <c r="AC54" s="37">
        <f t="shared" ref="AC54:AC62" si="8">AB54*AB54</f>
        <v>400</v>
      </c>
      <c r="AD54" s="37">
        <f t="shared" ref="AD54:AD62" si="9">AB54*AB54*AB54</f>
        <v>8000</v>
      </c>
      <c r="AE54" s="38">
        <f t="shared" si="5"/>
        <v>1.7860384307500734</v>
      </c>
    </row>
    <row r="55" spans="1:31" ht="12.75" customHeight="1" x14ac:dyDescent="0.25">
      <c r="A55" s="43"/>
      <c r="B55" s="216"/>
      <c r="C55" s="212"/>
      <c r="D55" s="213"/>
      <c r="E55" s="211"/>
      <c r="F55" s="212"/>
      <c r="G55" s="213"/>
      <c r="H55" s="211"/>
      <c r="I55" s="212"/>
      <c r="J55" s="213"/>
      <c r="K55" s="208" t="e">
        <f t="shared" si="6"/>
        <v>#DIV/0!</v>
      </c>
      <c r="L55" s="214"/>
      <c r="M55" s="215"/>
      <c r="N55" s="211"/>
      <c r="O55" s="212"/>
      <c r="P55" s="212"/>
      <c r="Q55" s="213"/>
      <c r="R55" s="208" t="e">
        <f>K55*AE55</f>
        <v>#DIV/0!</v>
      </c>
      <c r="S55" s="209"/>
      <c r="T55" s="209"/>
      <c r="U55" s="210"/>
      <c r="V55" s="272"/>
      <c r="W55" s="272"/>
      <c r="X55" s="272"/>
      <c r="Y55" s="272"/>
      <c r="Z55" s="13"/>
      <c r="AB55" s="37">
        <f t="shared" si="4"/>
        <v>20</v>
      </c>
      <c r="AC55" s="37">
        <f t="shared" si="8"/>
        <v>400</v>
      </c>
      <c r="AD55" s="37">
        <f t="shared" si="9"/>
        <v>8000</v>
      </c>
      <c r="AE55" s="38">
        <f t="shared" si="5"/>
        <v>1.7860384307500734</v>
      </c>
    </row>
    <row r="56" spans="1:31" ht="12.75" customHeight="1" x14ac:dyDescent="0.25">
      <c r="A56" s="10"/>
      <c r="B56" s="216"/>
      <c r="C56" s="212"/>
      <c r="D56" s="213"/>
      <c r="E56" s="211"/>
      <c r="F56" s="212"/>
      <c r="G56" s="213"/>
      <c r="H56" s="211"/>
      <c r="I56" s="212"/>
      <c r="J56" s="213"/>
      <c r="K56" s="208" t="e">
        <f t="shared" si="6"/>
        <v>#DIV/0!</v>
      </c>
      <c r="L56" s="214"/>
      <c r="M56" s="215"/>
      <c r="N56" s="211"/>
      <c r="O56" s="212"/>
      <c r="P56" s="212"/>
      <c r="Q56" s="213"/>
      <c r="R56" s="208" t="e">
        <f t="shared" si="7"/>
        <v>#DIV/0!</v>
      </c>
      <c r="S56" s="209"/>
      <c r="T56" s="209"/>
      <c r="U56" s="210"/>
      <c r="V56" s="44"/>
      <c r="W56" s="11"/>
      <c r="X56" s="11"/>
      <c r="Y56" s="11"/>
      <c r="Z56" s="13"/>
      <c r="AB56" s="37">
        <f t="shared" si="4"/>
        <v>20</v>
      </c>
      <c r="AC56" s="37">
        <f t="shared" si="8"/>
        <v>400</v>
      </c>
      <c r="AD56" s="37">
        <f t="shared" si="9"/>
        <v>8000</v>
      </c>
      <c r="AE56" s="38">
        <f t="shared" si="5"/>
        <v>1.7860384307500734</v>
      </c>
    </row>
    <row r="57" spans="1:31" ht="12.75" customHeight="1" x14ac:dyDescent="0.25">
      <c r="A57" s="10"/>
      <c r="B57" s="216"/>
      <c r="C57" s="212"/>
      <c r="D57" s="213"/>
      <c r="E57" s="211"/>
      <c r="F57" s="212"/>
      <c r="G57" s="213"/>
      <c r="H57" s="211"/>
      <c r="I57" s="212"/>
      <c r="J57" s="213"/>
      <c r="K57" s="208" t="e">
        <f t="shared" si="6"/>
        <v>#DIV/0!</v>
      </c>
      <c r="L57" s="214"/>
      <c r="M57" s="215"/>
      <c r="N57" s="211"/>
      <c r="O57" s="212"/>
      <c r="P57" s="212"/>
      <c r="Q57" s="213"/>
      <c r="R57" s="208" t="e">
        <f t="shared" si="7"/>
        <v>#DIV/0!</v>
      </c>
      <c r="S57" s="209"/>
      <c r="T57" s="209"/>
      <c r="U57" s="210"/>
      <c r="V57" s="228"/>
      <c r="W57" s="272"/>
      <c r="X57" s="272"/>
      <c r="Y57" s="272"/>
      <c r="Z57" s="13"/>
      <c r="AB57" s="37">
        <f t="shared" si="4"/>
        <v>20</v>
      </c>
      <c r="AC57" s="37">
        <f t="shared" si="8"/>
        <v>400</v>
      </c>
      <c r="AD57" s="37">
        <f t="shared" si="9"/>
        <v>8000</v>
      </c>
      <c r="AE57" s="38">
        <f t="shared" si="5"/>
        <v>1.7860384307500734</v>
      </c>
    </row>
    <row r="58" spans="1:31" ht="12.75" customHeight="1" x14ac:dyDescent="0.25">
      <c r="A58" s="10"/>
      <c r="B58" s="216"/>
      <c r="C58" s="212"/>
      <c r="D58" s="213"/>
      <c r="E58" s="211"/>
      <c r="F58" s="212"/>
      <c r="G58" s="213"/>
      <c r="H58" s="211"/>
      <c r="I58" s="212"/>
      <c r="J58" s="213"/>
      <c r="K58" s="208" t="e">
        <f t="shared" si="6"/>
        <v>#DIV/0!</v>
      </c>
      <c r="L58" s="214"/>
      <c r="M58" s="215"/>
      <c r="N58" s="211"/>
      <c r="O58" s="212"/>
      <c r="P58" s="212"/>
      <c r="Q58" s="213"/>
      <c r="R58" s="208" t="e">
        <f t="shared" si="7"/>
        <v>#DIV/0!</v>
      </c>
      <c r="S58" s="209"/>
      <c r="T58" s="209"/>
      <c r="U58" s="210"/>
      <c r="V58" s="272"/>
      <c r="W58" s="272"/>
      <c r="X58" s="272"/>
      <c r="Y58" s="272"/>
      <c r="Z58" s="13"/>
      <c r="AB58" s="37">
        <f t="shared" si="4"/>
        <v>20</v>
      </c>
      <c r="AC58" s="37">
        <f t="shared" si="8"/>
        <v>400</v>
      </c>
      <c r="AD58" s="37">
        <f t="shared" si="9"/>
        <v>8000</v>
      </c>
      <c r="AE58" s="38">
        <f t="shared" si="5"/>
        <v>1.7860384307500734</v>
      </c>
    </row>
    <row r="59" spans="1:31" ht="12.75" customHeight="1" x14ac:dyDescent="0.25">
      <c r="A59" s="10"/>
      <c r="B59" s="216"/>
      <c r="C59" s="212"/>
      <c r="D59" s="213"/>
      <c r="E59" s="211"/>
      <c r="F59" s="212"/>
      <c r="G59" s="213"/>
      <c r="H59" s="211"/>
      <c r="I59" s="212"/>
      <c r="J59" s="213"/>
      <c r="K59" s="208" t="e">
        <f t="shared" si="6"/>
        <v>#DIV/0!</v>
      </c>
      <c r="L59" s="214"/>
      <c r="M59" s="215"/>
      <c r="N59" s="211"/>
      <c r="O59" s="212"/>
      <c r="P59" s="212"/>
      <c r="Q59" s="213"/>
      <c r="R59" s="208" t="e">
        <f t="shared" si="7"/>
        <v>#DIV/0!</v>
      </c>
      <c r="S59" s="209"/>
      <c r="T59" s="209"/>
      <c r="U59" s="210"/>
      <c r="V59" s="11"/>
      <c r="W59" s="11"/>
      <c r="X59" s="11"/>
      <c r="Y59" s="11"/>
      <c r="Z59" s="13"/>
      <c r="AB59" s="37">
        <f t="shared" si="4"/>
        <v>20</v>
      </c>
      <c r="AC59" s="37">
        <f t="shared" si="8"/>
        <v>400</v>
      </c>
      <c r="AD59" s="37">
        <f t="shared" si="9"/>
        <v>8000</v>
      </c>
      <c r="AE59" s="38">
        <f t="shared" si="5"/>
        <v>1.7860384307500734</v>
      </c>
    </row>
    <row r="60" spans="1:31" ht="12.75" customHeight="1" x14ac:dyDescent="0.25">
      <c r="A60" s="10"/>
      <c r="B60" s="216"/>
      <c r="C60" s="212"/>
      <c r="D60" s="213"/>
      <c r="E60" s="211"/>
      <c r="F60" s="212"/>
      <c r="G60" s="213"/>
      <c r="H60" s="211"/>
      <c r="I60" s="212"/>
      <c r="J60" s="213"/>
      <c r="K60" s="208" t="e">
        <f t="shared" si="6"/>
        <v>#DIV/0!</v>
      </c>
      <c r="L60" s="214"/>
      <c r="M60" s="215"/>
      <c r="N60" s="211"/>
      <c r="O60" s="212"/>
      <c r="P60" s="212"/>
      <c r="Q60" s="213"/>
      <c r="R60" s="208" t="e">
        <f t="shared" si="7"/>
        <v>#DIV/0!</v>
      </c>
      <c r="S60" s="209"/>
      <c r="T60" s="209"/>
      <c r="U60" s="210"/>
      <c r="V60" s="228"/>
      <c r="W60" s="272"/>
      <c r="X60" s="272"/>
      <c r="Y60" s="272"/>
      <c r="Z60" s="13"/>
      <c r="AB60" s="37">
        <f t="shared" si="4"/>
        <v>20</v>
      </c>
      <c r="AC60" s="37">
        <f t="shared" si="8"/>
        <v>400</v>
      </c>
      <c r="AD60" s="37">
        <f t="shared" si="9"/>
        <v>8000</v>
      </c>
      <c r="AE60" s="38">
        <f t="shared" si="5"/>
        <v>1.7860384307500734</v>
      </c>
    </row>
    <row r="61" spans="1:31" ht="12.75" customHeight="1" x14ac:dyDescent="0.25">
      <c r="A61" s="10"/>
      <c r="B61" s="216"/>
      <c r="C61" s="212"/>
      <c r="D61" s="213"/>
      <c r="E61" s="211"/>
      <c r="F61" s="212"/>
      <c r="G61" s="213"/>
      <c r="H61" s="211"/>
      <c r="I61" s="212"/>
      <c r="J61" s="213"/>
      <c r="K61" s="208" t="e">
        <f t="shared" si="6"/>
        <v>#DIV/0!</v>
      </c>
      <c r="L61" s="214"/>
      <c r="M61" s="215"/>
      <c r="N61" s="211"/>
      <c r="O61" s="212"/>
      <c r="P61" s="212"/>
      <c r="Q61" s="213"/>
      <c r="R61" s="208" t="e">
        <f t="shared" si="7"/>
        <v>#DIV/0!</v>
      </c>
      <c r="S61" s="209"/>
      <c r="T61" s="209"/>
      <c r="U61" s="210"/>
      <c r="V61" s="272"/>
      <c r="W61" s="272"/>
      <c r="X61" s="272"/>
      <c r="Y61" s="272"/>
      <c r="Z61" s="13"/>
      <c r="AB61" s="37">
        <f t="shared" si="4"/>
        <v>20</v>
      </c>
      <c r="AC61" s="37">
        <f t="shared" si="8"/>
        <v>400</v>
      </c>
      <c r="AD61" s="37">
        <f t="shared" si="9"/>
        <v>8000</v>
      </c>
      <c r="AE61" s="38">
        <f t="shared" si="5"/>
        <v>1.7860384307500734</v>
      </c>
    </row>
    <row r="62" spans="1:31" ht="12.75" customHeight="1" x14ac:dyDescent="0.25">
      <c r="A62" s="10"/>
      <c r="B62" s="216"/>
      <c r="C62" s="212"/>
      <c r="D62" s="213"/>
      <c r="E62" s="211"/>
      <c r="F62" s="212"/>
      <c r="G62" s="213"/>
      <c r="H62" s="211"/>
      <c r="I62" s="212"/>
      <c r="J62" s="213"/>
      <c r="K62" s="208" t="e">
        <f t="shared" si="6"/>
        <v>#DIV/0!</v>
      </c>
      <c r="L62" s="214"/>
      <c r="M62" s="215"/>
      <c r="N62" s="211"/>
      <c r="O62" s="212"/>
      <c r="P62" s="212"/>
      <c r="Q62" s="213"/>
      <c r="R62" s="208" t="e">
        <f t="shared" si="7"/>
        <v>#DIV/0!</v>
      </c>
      <c r="S62" s="209"/>
      <c r="T62" s="209"/>
      <c r="U62" s="210"/>
      <c r="V62" s="11"/>
      <c r="W62" s="11"/>
      <c r="X62" s="11"/>
      <c r="Y62" s="2" t="s">
        <v>76</v>
      </c>
      <c r="Z62" s="13"/>
      <c r="AB62" s="37">
        <f t="shared" si="4"/>
        <v>20</v>
      </c>
      <c r="AC62" s="37">
        <f t="shared" si="8"/>
        <v>400</v>
      </c>
      <c r="AD62" s="37">
        <f t="shared" si="9"/>
        <v>8000</v>
      </c>
      <c r="AE62" s="38">
        <f t="shared" si="5"/>
        <v>1.7860384307500734</v>
      </c>
    </row>
    <row r="63" spans="1:31" ht="12.75" customHeight="1" x14ac:dyDescent="0.25">
      <c r="A63" s="10"/>
      <c r="B63" s="216"/>
      <c r="C63" s="212"/>
      <c r="D63" s="213"/>
      <c r="E63" s="211"/>
      <c r="F63" s="212"/>
      <c r="G63" s="213"/>
      <c r="H63" s="211"/>
      <c r="I63" s="212"/>
      <c r="J63" s="213"/>
      <c r="K63" s="208" t="e">
        <f t="shared" si="6"/>
        <v>#DIV/0!</v>
      </c>
      <c r="L63" s="214"/>
      <c r="M63" s="215"/>
      <c r="N63" s="211"/>
      <c r="O63" s="212"/>
      <c r="P63" s="212"/>
      <c r="Q63" s="213"/>
      <c r="R63" s="208" t="e">
        <f t="shared" si="7"/>
        <v>#DIV/0!</v>
      </c>
      <c r="S63" s="209"/>
      <c r="T63" s="209"/>
      <c r="U63" s="210"/>
      <c r="V63" s="228"/>
      <c r="W63" s="272"/>
      <c r="X63" s="272"/>
      <c r="Y63" s="272"/>
      <c r="Z63" s="13"/>
    </row>
    <row r="64" spans="1:31" ht="12.75" customHeight="1" x14ac:dyDescent="0.25">
      <c r="A64" s="45"/>
      <c r="B64" s="216"/>
      <c r="C64" s="212"/>
      <c r="D64" s="213"/>
      <c r="E64" s="211"/>
      <c r="F64" s="212"/>
      <c r="G64" s="213"/>
      <c r="H64" s="211"/>
      <c r="I64" s="212"/>
      <c r="J64" s="213"/>
      <c r="K64" s="208" t="e">
        <f t="shared" si="6"/>
        <v>#DIV/0!</v>
      </c>
      <c r="L64" s="214"/>
      <c r="M64" s="215"/>
      <c r="N64" s="211"/>
      <c r="O64" s="212"/>
      <c r="P64" s="212"/>
      <c r="Q64" s="213"/>
      <c r="R64" s="208" t="e">
        <f t="shared" si="7"/>
        <v>#DIV/0!</v>
      </c>
      <c r="S64" s="209"/>
      <c r="T64" s="209"/>
      <c r="U64" s="210"/>
      <c r="V64" s="272"/>
      <c r="W64" s="272"/>
      <c r="X64" s="272"/>
      <c r="Y64" s="272"/>
      <c r="Z64" s="46"/>
    </row>
    <row r="65" spans="1:30" ht="12.75" customHeight="1" thickBot="1" x14ac:dyDescent="0.3">
      <c r="A65" s="45"/>
      <c r="B65" s="216"/>
      <c r="C65" s="212"/>
      <c r="D65" s="213"/>
      <c r="E65" s="211"/>
      <c r="F65" s="212"/>
      <c r="G65" s="213"/>
      <c r="H65" s="211"/>
      <c r="I65" s="212"/>
      <c r="J65" s="213"/>
      <c r="K65" s="208" t="e">
        <f t="shared" si="6"/>
        <v>#DIV/0!</v>
      </c>
      <c r="L65" s="214"/>
      <c r="M65" s="215"/>
      <c r="N65" s="211"/>
      <c r="O65" s="212"/>
      <c r="P65" s="212"/>
      <c r="Q65" s="213"/>
      <c r="R65" s="208" t="e">
        <f t="shared" si="7"/>
        <v>#DIV/0!</v>
      </c>
      <c r="S65" s="209"/>
      <c r="T65" s="209"/>
      <c r="U65" s="210"/>
      <c r="V65" s="11"/>
      <c r="W65" s="11"/>
      <c r="X65" s="11"/>
      <c r="Y65" s="2" t="s">
        <v>77</v>
      </c>
      <c r="Z65" s="13"/>
    </row>
    <row r="66" spans="1:30" ht="12.75" customHeight="1" x14ac:dyDescent="0.25">
      <c r="A66" s="45"/>
      <c r="B66" s="216"/>
      <c r="C66" s="212"/>
      <c r="D66" s="213"/>
      <c r="E66" s="211"/>
      <c r="F66" s="212"/>
      <c r="G66" s="213"/>
      <c r="H66" s="211"/>
      <c r="I66" s="212"/>
      <c r="J66" s="213"/>
      <c r="K66" s="208" t="e">
        <f t="shared" si="6"/>
        <v>#DIV/0!</v>
      </c>
      <c r="L66" s="214"/>
      <c r="M66" s="215"/>
      <c r="N66" s="211"/>
      <c r="O66" s="212"/>
      <c r="P66" s="212"/>
      <c r="Q66" s="213"/>
      <c r="R66" s="208" t="e">
        <f t="shared" si="7"/>
        <v>#DIV/0!</v>
      </c>
      <c r="S66" s="209"/>
      <c r="T66" s="209"/>
      <c r="U66" s="210"/>
      <c r="V66" s="228" t="s">
        <v>79</v>
      </c>
      <c r="W66" s="272"/>
      <c r="X66" s="272"/>
      <c r="Y66" s="272"/>
      <c r="Z66" s="14"/>
      <c r="AB66" s="187" t="e">
        <f>(2*PI()*((X39/100)/(T12/1000)))/(LN(2*((X39/100)/(T12/1000))))</f>
        <v>#VALUE!</v>
      </c>
      <c r="AC66" s="188"/>
      <c r="AD66" s="189"/>
    </row>
    <row r="67" spans="1:30" ht="12.75" customHeight="1" x14ac:dyDescent="0.25">
      <c r="A67" s="45"/>
      <c r="B67" s="216"/>
      <c r="C67" s="212"/>
      <c r="D67" s="213"/>
      <c r="E67" s="211"/>
      <c r="F67" s="212"/>
      <c r="G67" s="213"/>
      <c r="H67" s="211"/>
      <c r="I67" s="212"/>
      <c r="J67" s="213"/>
      <c r="K67" s="208" t="e">
        <f t="shared" si="6"/>
        <v>#DIV/0!</v>
      </c>
      <c r="L67" s="214"/>
      <c r="M67" s="215"/>
      <c r="N67" s="211"/>
      <c r="O67" s="212"/>
      <c r="P67" s="212"/>
      <c r="Q67" s="213"/>
      <c r="R67" s="208" t="e">
        <f t="shared" si="7"/>
        <v>#DIV/0!</v>
      </c>
      <c r="S67" s="209"/>
      <c r="T67" s="209"/>
      <c r="U67" s="210"/>
      <c r="V67" s="272"/>
      <c r="W67" s="272"/>
      <c r="X67" s="272"/>
      <c r="Y67" s="272"/>
      <c r="Z67" s="13"/>
      <c r="AB67" s="190"/>
      <c r="AC67" s="191"/>
      <c r="AD67" s="192"/>
    </row>
    <row r="68" spans="1:30" ht="12.75" customHeight="1" thickBot="1" x14ac:dyDescent="0.3">
      <c r="A68" s="47"/>
      <c r="B68" s="216"/>
      <c r="C68" s="212"/>
      <c r="D68" s="213"/>
      <c r="E68" s="211"/>
      <c r="F68" s="212"/>
      <c r="G68" s="213"/>
      <c r="H68" s="211"/>
      <c r="I68" s="212"/>
      <c r="J68" s="213"/>
      <c r="K68" s="208" t="e">
        <f t="shared" si="6"/>
        <v>#DIV/0!</v>
      </c>
      <c r="L68" s="214"/>
      <c r="M68" s="215"/>
      <c r="N68" s="211"/>
      <c r="O68" s="212"/>
      <c r="P68" s="212"/>
      <c r="Q68" s="213"/>
      <c r="R68" s="208" t="e">
        <f t="shared" si="7"/>
        <v>#DIV/0!</v>
      </c>
      <c r="S68" s="209"/>
      <c r="T68" s="209"/>
      <c r="U68" s="210"/>
      <c r="V68" s="11"/>
      <c r="W68" s="11"/>
      <c r="X68" s="11"/>
      <c r="Y68" s="2" t="s">
        <v>78</v>
      </c>
      <c r="Z68" s="14"/>
      <c r="AB68" s="193"/>
      <c r="AC68" s="194"/>
      <c r="AD68" s="195"/>
    </row>
    <row r="69" spans="1:30" ht="12.75" customHeight="1" x14ac:dyDescent="0.25">
      <c r="A69" s="10"/>
      <c r="B69" s="216"/>
      <c r="C69" s="212"/>
      <c r="D69" s="213"/>
      <c r="E69" s="211"/>
      <c r="F69" s="212"/>
      <c r="G69" s="213"/>
      <c r="H69" s="211"/>
      <c r="I69" s="212"/>
      <c r="J69" s="213"/>
      <c r="K69" s="208" t="e">
        <f t="shared" si="6"/>
        <v>#DIV/0!</v>
      </c>
      <c r="L69" s="214"/>
      <c r="M69" s="215"/>
      <c r="N69" s="211"/>
      <c r="O69" s="212"/>
      <c r="P69" s="212"/>
      <c r="Q69" s="213"/>
      <c r="R69" s="208" t="e">
        <f t="shared" si="7"/>
        <v>#DIV/0!</v>
      </c>
      <c r="S69" s="209"/>
      <c r="T69" s="209"/>
      <c r="U69" s="210"/>
      <c r="V69" s="228"/>
      <c r="W69" s="272"/>
      <c r="X69" s="272"/>
      <c r="Y69" s="272"/>
      <c r="Z69" s="13"/>
    </row>
    <row r="70" spans="1:30" ht="12.75" customHeight="1" thickBot="1" x14ac:dyDescent="0.3">
      <c r="A70" s="10"/>
      <c r="B70" s="48"/>
      <c r="C70" s="49"/>
      <c r="D70" s="50"/>
      <c r="E70" s="51"/>
      <c r="F70" s="49"/>
      <c r="G70" s="50"/>
      <c r="H70" s="51"/>
      <c r="I70" s="49"/>
      <c r="J70" s="50"/>
      <c r="K70" s="52"/>
      <c r="L70" s="53"/>
      <c r="M70" s="54"/>
      <c r="N70" s="51"/>
      <c r="O70" s="49"/>
      <c r="P70" s="49"/>
      <c r="Q70" s="50"/>
      <c r="R70" s="52"/>
      <c r="S70" s="53"/>
      <c r="T70" s="53"/>
      <c r="U70" s="55"/>
      <c r="V70" s="272"/>
      <c r="W70" s="272"/>
      <c r="X70" s="272"/>
      <c r="Y70" s="272"/>
      <c r="Z70" s="14"/>
    </row>
    <row r="71" spans="1:30" ht="9" customHeight="1" thickBot="1" x14ac:dyDescent="0.3">
      <c r="A71" s="45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11"/>
      <c r="S71" s="11"/>
      <c r="T71" s="11"/>
      <c r="U71" s="57"/>
      <c r="V71" s="57"/>
      <c r="W71" s="57"/>
      <c r="X71" s="57"/>
      <c r="Y71" s="57"/>
      <c r="Z71" s="14"/>
    </row>
    <row r="72" spans="1:30" ht="15.9" customHeight="1" x14ac:dyDescent="0.25">
      <c r="A72" s="45"/>
      <c r="B72" s="321" t="s">
        <v>72</v>
      </c>
      <c r="C72" s="321"/>
      <c r="D72" s="321"/>
      <c r="E72" s="321"/>
      <c r="F72" s="321"/>
      <c r="G72" s="322"/>
      <c r="H72" s="205" t="str">
        <f>X27</f>
        <v/>
      </c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7"/>
      <c r="W72" s="58"/>
      <c r="X72" s="56"/>
      <c r="Y72" s="56"/>
      <c r="Z72" s="14"/>
    </row>
    <row r="73" spans="1:30" ht="15.9" customHeight="1" thickBot="1" x14ac:dyDescent="0.3">
      <c r="A73" s="45"/>
      <c r="B73" s="323" t="s">
        <v>84</v>
      </c>
      <c r="C73" s="323"/>
      <c r="D73" s="323"/>
      <c r="E73" s="323"/>
      <c r="F73" s="323"/>
      <c r="G73" s="324"/>
      <c r="H73" s="202" t="e">
        <f>R69</f>
        <v>#DIV/0!</v>
      </c>
      <c r="I73" s="203"/>
      <c r="J73" s="203"/>
      <c r="K73" s="203"/>
      <c r="L73" s="203"/>
      <c r="M73" s="203"/>
      <c r="N73" s="203"/>
      <c r="O73" s="203"/>
      <c r="P73" s="203"/>
      <c r="Q73" s="203"/>
      <c r="R73" s="203"/>
      <c r="S73" s="203"/>
      <c r="T73" s="203"/>
      <c r="U73" s="203"/>
      <c r="V73" s="204"/>
      <c r="W73" s="58"/>
      <c r="X73" s="56"/>
      <c r="Y73" s="56"/>
      <c r="Z73" s="14"/>
    </row>
    <row r="74" spans="1:30" ht="15.9" customHeight="1" x14ac:dyDescent="0.25">
      <c r="A74" s="45"/>
      <c r="B74" s="325" t="s">
        <v>73</v>
      </c>
      <c r="C74" s="326"/>
      <c r="D74" s="326"/>
      <c r="E74" s="326"/>
      <c r="F74" s="326"/>
      <c r="G74" s="327"/>
      <c r="H74" s="196" t="e">
        <f>H73/(AB74*(T22/1000)*E35)</f>
        <v>#DIV/0!</v>
      </c>
      <c r="I74" s="197"/>
      <c r="J74" s="197"/>
      <c r="K74" s="197" t="e">
        <f>#REF!/(K73*(C21/1000)*#REF!)</f>
        <v>#REF!</v>
      </c>
      <c r="L74" s="197"/>
      <c r="M74" s="197"/>
      <c r="N74" s="197" t="e">
        <f>#REF!/(N73*(F21/1000)*#REF!)</f>
        <v>#REF!</v>
      </c>
      <c r="O74" s="197"/>
      <c r="P74" s="197"/>
      <c r="Q74" s="197" t="e">
        <f>#REF!/(Q73*(I21/1000)*#REF!)</f>
        <v>#REF!</v>
      </c>
      <c r="R74" s="197"/>
      <c r="S74" s="197"/>
      <c r="T74" s="197" t="e">
        <f>#REF!/(T73*(L21/1000)*#REF!)</f>
        <v>#REF!</v>
      </c>
      <c r="U74" s="197"/>
      <c r="V74" s="198"/>
      <c r="W74" s="59"/>
      <c r="X74" s="60"/>
      <c r="Y74" s="60"/>
      <c r="Z74" s="13"/>
    </row>
    <row r="75" spans="1:30" ht="15.9" customHeight="1" thickBot="1" x14ac:dyDescent="0.3">
      <c r="A75" s="45"/>
      <c r="B75" s="328"/>
      <c r="C75" s="329"/>
      <c r="D75" s="329"/>
      <c r="E75" s="329"/>
      <c r="F75" s="329"/>
      <c r="G75" s="330"/>
      <c r="H75" s="199" t="e">
        <f>#REF!/(H74*(#REF!/1000)*#REF!)</f>
        <v>#REF!</v>
      </c>
      <c r="I75" s="200"/>
      <c r="J75" s="200"/>
      <c r="K75" s="200" t="e">
        <f>#REF!/(K74*(C22/1000)*#REF!)</f>
        <v>#REF!</v>
      </c>
      <c r="L75" s="200"/>
      <c r="M75" s="200"/>
      <c r="N75" s="200" t="e">
        <f>#REF!/(N74*(F22/1000)*#REF!)</f>
        <v>#REF!</v>
      </c>
      <c r="O75" s="200"/>
      <c r="P75" s="200"/>
      <c r="Q75" s="200" t="e">
        <f>#REF!/(Q74*(I22/1000)*#REF!)</f>
        <v>#REF!</v>
      </c>
      <c r="R75" s="200"/>
      <c r="S75" s="200"/>
      <c r="T75" s="200" t="e">
        <f>#REF!/(T74*(L22/1000)*#REF!)</f>
        <v>#REF!</v>
      </c>
      <c r="U75" s="200"/>
      <c r="V75" s="201"/>
      <c r="W75" s="59"/>
      <c r="X75" s="60"/>
      <c r="Y75" s="60"/>
      <c r="Z75" s="13"/>
    </row>
    <row r="76" spans="1:30" ht="15.9" customHeight="1" x14ac:dyDescent="0.25">
      <c r="A76" s="61"/>
      <c r="B76" s="62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17"/>
    </row>
    <row r="77" spans="1:30" ht="12.75" customHeight="1" x14ac:dyDescent="0.25">
      <c r="A77" s="63"/>
      <c r="B77" s="35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1:30" s="18" customFormat="1" ht="15.6" customHeight="1" x14ac:dyDescent="0.25">
      <c r="A78" s="64" t="s">
        <v>5</v>
      </c>
      <c r="B78" s="65" t="s">
        <v>16</v>
      </c>
      <c r="C78" s="66"/>
      <c r="D78" s="66"/>
      <c r="E78" s="66"/>
      <c r="F78" s="67"/>
      <c r="G78" s="67"/>
      <c r="H78" s="67"/>
      <c r="I78" s="7"/>
      <c r="J78" s="7"/>
      <c r="K78" s="7"/>
      <c r="L78" s="7"/>
      <c r="M78" s="7"/>
      <c r="N78" s="7"/>
      <c r="O78" s="7"/>
      <c r="P78" s="7"/>
      <c r="Q78" s="67"/>
      <c r="R78" s="7"/>
      <c r="S78" s="7"/>
      <c r="T78" s="7"/>
      <c r="U78" s="331"/>
      <c r="V78" s="331"/>
      <c r="W78" s="331"/>
      <c r="X78" s="332"/>
      <c r="Y78" s="332"/>
      <c r="Z78" s="333"/>
    </row>
    <row r="79" spans="1:30" s="18" customFormat="1" ht="24.6" customHeight="1" x14ac:dyDescent="0.25">
      <c r="A79" s="183" t="s">
        <v>87</v>
      </c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5"/>
      <c r="R79" s="301" t="s">
        <v>10</v>
      </c>
      <c r="S79" s="302"/>
      <c r="T79" s="303"/>
      <c r="U79" s="334"/>
      <c r="V79" s="335"/>
      <c r="W79" s="335"/>
      <c r="X79" s="336"/>
      <c r="Y79" s="336"/>
      <c r="Z79" s="337"/>
    </row>
    <row r="80" spans="1:30" s="18" customFormat="1" ht="24.6" customHeight="1" x14ac:dyDescent="0.25">
      <c r="A80" s="180"/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2"/>
      <c r="R80" s="301"/>
      <c r="S80" s="302"/>
      <c r="T80" s="303"/>
      <c r="U80" s="304"/>
      <c r="V80" s="305"/>
      <c r="W80" s="305"/>
      <c r="X80" s="306"/>
      <c r="Y80" s="306"/>
      <c r="Z80" s="307"/>
    </row>
    <row r="81" spans="1:26" s="18" customFormat="1" ht="15.6" customHeight="1" x14ac:dyDescent="0.25">
      <c r="A81" s="43" t="s">
        <v>4</v>
      </c>
      <c r="B81" s="68" t="s">
        <v>6</v>
      </c>
      <c r="C81" s="11"/>
      <c r="D81" s="11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14"/>
      <c r="R81" s="301"/>
      <c r="S81" s="302"/>
      <c r="T81" s="303"/>
      <c r="U81" s="308"/>
      <c r="V81" s="309"/>
      <c r="W81" s="309"/>
      <c r="X81" s="310"/>
      <c r="Y81" s="310"/>
      <c r="Z81" s="311"/>
    </row>
    <row r="82" spans="1:26" s="18" customFormat="1" ht="15.6" customHeight="1" x14ac:dyDescent="0.25">
      <c r="A82" s="312"/>
      <c r="B82" s="313"/>
      <c r="C82" s="313"/>
      <c r="D82" s="313"/>
      <c r="E82" s="313"/>
      <c r="F82" s="313"/>
      <c r="G82" s="313"/>
      <c r="H82" s="313"/>
      <c r="I82" s="313"/>
      <c r="J82" s="313"/>
      <c r="K82" s="313"/>
      <c r="L82" s="313"/>
      <c r="M82" s="313"/>
      <c r="N82" s="313"/>
      <c r="O82" s="313"/>
      <c r="P82" s="313"/>
      <c r="Q82" s="314"/>
      <c r="R82" s="301" t="s">
        <v>11</v>
      </c>
      <c r="S82" s="302"/>
      <c r="T82" s="303"/>
      <c r="U82" s="168"/>
      <c r="V82" s="169"/>
      <c r="W82" s="169"/>
      <c r="X82" s="170"/>
      <c r="Y82" s="170"/>
      <c r="Z82" s="171"/>
    </row>
    <row r="83" spans="1:26" s="18" customFormat="1" ht="15.6" customHeight="1" x14ac:dyDescent="0.25">
      <c r="A83" s="312"/>
      <c r="B83" s="313"/>
      <c r="C83" s="313"/>
      <c r="D83" s="313"/>
      <c r="E83" s="313"/>
      <c r="F83" s="313"/>
      <c r="G83" s="313"/>
      <c r="H83" s="313"/>
      <c r="I83" s="313"/>
      <c r="J83" s="313"/>
      <c r="K83" s="313"/>
      <c r="L83" s="313"/>
      <c r="M83" s="313"/>
      <c r="N83" s="313"/>
      <c r="O83" s="313"/>
      <c r="P83" s="313"/>
      <c r="Q83" s="314"/>
      <c r="R83" s="301"/>
      <c r="S83" s="302"/>
      <c r="T83" s="303"/>
      <c r="U83" s="172"/>
      <c r="V83" s="186"/>
      <c r="W83" s="186"/>
      <c r="X83" s="186"/>
      <c r="Y83" s="186"/>
      <c r="Z83" s="173"/>
    </row>
    <row r="84" spans="1:26" s="18" customFormat="1" ht="15.6" customHeight="1" x14ac:dyDescent="0.25">
      <c r="A84" s="312"/>
      <c r="B84" s="313"/>
      <c r="C84" s="313"/>
      <c r="D84" s="313"/>
      <c r="E84" s="313"/>
      <c r="F84" s="313"/>
      <c r="G84" s="313"/>
      <c r="H84" s="313"/>
      <c r="I84" s="313"/>
      <c r="J84" s="313"/>
      <c r="K84" s="313"/>
      <c r="L84" s="313"/>
      <c r="M84" s="313"/>
      <c r="N84" s="313"/>
      <c r="O84" s="313"/>
      <c r="P84" s="313"/>
      <c r="Q84" s="314"/>
      <c r="R84" s="301"/>
      <c r="S84" s="302"/>
      <c r="T84" s="303"/>
      <c r="U84" s="172"/>
      <c r="V84" s="186"/>
      <c r="W84" s="186"/>
      <c r="X84" s="186"/>
      <c r="Y84" s="186"/>
      <c r="Z84" s="173"/>
    </row>
    <row r="85" spans="1:26" s="18" customFormat="1" ht="15.6" customHeight="1" x14ac:dyDescent="0.25">
      <c r="A85" s="315"/>
      <c r="B85" s="316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6"/>
      <c r="N85" s="316"/>
      <c r="O85" s="316"/>
      <c r="P85" s="316"/>
      <c r="Q85" s="317"/>
      <c r="R85" s="318"/>
      <c r="S85" s="319"/>
      <c r="T85" s="320"/>
      <c r="U85" s="174"/>
      <c r="V85" s="175"/>
      <c r="W85" s="175"/>
      <c r="X85" s="176"/>
      <c r="Y85" s="176"/>
      <c r="Z85" s="177"/>
    </row>
    <row r="87" spans="1:26" ht="12.75" customHeight="1" x14ac:dyDescent="0.25">
      <c r="P87" s="11"/>
      <c r="Q87" s="11"/>
      <c r="R87" s="11"/>
      <c r="S87" s="11"/>
      <c r="T87" s="11"/>
      <c r="U87" s="11"/>
      <c r="V87" s="11"/>
      <c r="W87" s="11"/>
    </row>
    <row r="88" spans="1:26" ht="12.75" customHeight="1" x14ac:dyDescent="0.25">
      <c r="P88" s="11"/>
      <c r="Q88" s="11"/>
      <c r="R88" s="11"/>
      <c r="S88" s="11"/>
      <c r="T88" s="11"/>
      <c r="U88" s="11"/>
      <c r="V88" s="11"/>
      <c r="W88" s="11"/>
    </row>
    <row r="89" spans="1:26" ht="12.75" customHeight="1" x14ac:dyDescent="0.25">
      <c r="P89" s="11"/>
      <c r="Q89" s="11"/>
      <c r="R89" s="11"/>
      <c r="S89" s="11"/>
      <c r="T89" s="11"/>
      <c r="U89" s="11"/>
      <c r="V89" s="11"/>
      <c r="W89" s="11"/>
    </row>
    <row r="90" spans="1:26" ht="12.75" customHeight="1" x14ac:dyDescent="0.25">
      <c r="P90" s="11"/>
      <c r="Q90" s="11"/>
      <c r="R90" s="11"/>
      <c r="S90" s="11"/>
      <c r="T90" s="11"/>
      <c r="U90" s="11"/>
      <c r="V90" s="11"/>
      <c r="W90" s="11"/>
    </row>
    <row r="91" spans="1:26" ht="12.75" customHeight="1" x14ac:dyDescent="0.25">
      <c r="P91" s="11"/>
      <c r="Q91" s="11"/>
      <c r="R91" s="11"/>
      <c r="S91" s="11"/>
      <c r="T91" s="11"/>
      <c r="U91" s="11"/>
      <c r="V91" s="11"/>
      <c r="W91" s="11"/>
    </row>
    <row r="92" spans="1:26" ht="12.75" customHeight="1" x14ac:dyDescent="0.25">
      <c r="P92" s="11"/>
      <c r="Q92" s="11"/>
      <c r="R92" s="11"/>
      <c r="S92" s="11"/>
      <c r="T92" s="11"/>
      <c r="U92" s="11"/>
      <c r="V92" s="11"/>
      <c r="W92" s="11"/>
    </row>
  </sheetData>
  <sheetProtection selectLockedCells="1"/>
  <mergeCells count="349">
    <mergeCell ref="R80:T81"/>
    <mergeCell ref="U80:Z81"/>
    <mergeCell ref="A82:Q85"/>
    <mergeCell ref="R82:T85"/>
    <mergeCell ref="V69:W70"/>
    <mergeCell ref="X69:Y70"/>
    <mergeCell ref="B69:D69"/>
    <mergeCell ref="E69:G69"/>
    <mergeCell ref="B72:G72"/>
    <mergeCell ref="B73:G73"/>
    <mergeCell ref="B74:G75"/>
    <mergeCell ref="U78:Z78"/>
    <mergeCell ref="R79:T79"/>
    <mergeCell ref="U79:Z79"/>
    <mergeCell ref="H69:J69"/>
    <mergeCell ref="K69:M69"/>
    <mergeCell ref="N69:Q69"/>
    <mergeCell ref="R69:U69"/>
    <mergeCell ref="B68:D68"/>
    <mergeCell ref="E68:G68"/>
    <mergeCell ref="H68:J68"/>
    <mergeCell ref="K68:M68"/>
    <mergeCell ref="N68:Q68"/>
    <mergeCell ref="R68:U68"/>
    <mergeCell ref="B65:D65"/>
    <mergeCell ref="E65:G65"/>
    <mergeCell ref="H65:J65"/>
    <mergeCell ref="K65:M65"/>
    <mergeCell ref="N65:Q65"/>
    <mergeCell ref="R65:U65"/>
    <mergeCell ref="V66:W67"/>
    <mergeCell ref="X66:Y67"/>
    <mergeCell ref="B67:D67"/>
    <mergeCell ref="E67:G67"/>
    <mergeCell ref="H67:J67"/>
    <mergeCell ref="K67:M67"/>
    <mergeCell ref="N67:Q67"/>
    <mergeCell ref="R67:U67"/>
    <mergeCell ref="B66:D66"/>
    <mergeCell ref="E66:G66"/>
    <mergeCell ref="V63:W64"/>
    <mergeCell ref="X63:Y64"/>
    <mergeCell ref="B64:D64"/>
    <mergeCell ref="E64:G64"/>
    <mergeCell ref="H64:J64"/>
    <mergeCell ref="K64:M64"/>
    <mergeCell ref="N64:Q64"/>
    <mergeCell ref="R64:U64"/>
    <mergeCell ref="B63:D63"/>
    <mergeCell ref="E63:G63"/>
    <mergeCell ref="V60:W61"/>
    <mergeCell ref="X60:Y61"/>
    <mergeCell ref="B61:D61"/>
    <mergeCell ref="E61:G61"/>
    <mergeCell ref="H61:J61"/>
    <mergeCell ref="K61:M61"/>
    <mergeCell ref="N61:Q61"/>
    <mergeCell ref="R61:U61"/>
    <mergeCell ref="B60:D60"/>
    <mergeCell ref="E60:G60"/>
    <mergeCell ref="V57:W58"/>
    <mergeCell ref="X57:Y58"/>
    <mergeCell ref="B58:D58"/>
    <mergeCell ref="E58:G58"/>
    <mergeCell ref="H58:J58"/>
    <mergeCell ref="K58:M58"/>
    <mergeCell ref="N58:Q58"/>
    <mergeCell ref="R58:U58"/>
    <mergeCell ref="B59:D59"/>
    <mergeCell ref="E59:G59"/>
    <mergeCell ref="H59:J59"/>
    <mergeCell ref="K59:M59"/>
    <mergeCell ref="N59:Q59"/>
    <mergeCell ref="R59:U59"/>
    <mergeCell ref="V54:W55"/>
    <mergeCell ref="X54:Y55"/>
    <mergeCell ref="B55:D55"/>
    <mergeCell ref="E55:G55"/>
    <mergeCell ref="H55:J55"/>
    <mergeCell ref="K55:M55"/>
    <mergeCell ref="N55:Q55"/>
    <mergeCell ref="R55:U55"/>
    <mergeCell ref="B54:D54"/>
    <mergeCell ref="E54:G54"/>
    <mergeCell ref="H54:J54"/>
    <mergeCell ref="K54:M54"/>
    <mergeCell ref="N54:Q54"/>
    <mergeCell ref="R54:U54"/>
    <mergeCell ref="B53:D53"/>
    <mergeCell ref="E53:G53"/>
    <mergeCell ref="H53:J53"/>
    <mergeCell ref="K53:M53"/>
    <mergeCell ref="N53:Q53"/>
    <mergeCell ref="R53:U53"/>
    <mergeCell ref="V51:W52"/>
    <mergeCell ref="X51:Y52"/>
    <mergeCell ref="B52:D52"/>
    <mergeCell ref="E52:G52"/>
    <mergeCell ref="H52:J52"/>
    <mergeCell ref="K52:M52"/>
    <mergeCell ref="N52:Q52"/>
    <mergeCell ref="R52:U52"/>
    <mergeCell ref="B51:D51"/>
    <mergeCell ref="E51:G51"/>
    <mergeCell ref="H51:J51"/>
    <mergeCell ref="K51:M51"/>
    <mergeCell ref="N51:Q51"/>
    <mergeCell ref="R51:U51"/>
    <mergeCell ref="R50:U50"/>
    <mergeCell ref="R47:U47"/>
    <mergeCell ref="V48:W49"/>
    <mergeCell ref="X48:Y49"/>
    <mergeCell ref="B49:D49"/>
    <mergeCell ref="E49:G49"/>
    <mergeCell ref="H49:J49"/>
    <mergeCell ref="K49:M49"/>
    <mergeCell ref="N49:Q49"/>
    <mergeCell ref="R49:U49"/>
    <mergeCell ref="B48:D48"/>
    <mergeCell ref="E48:G48"/>
    <mergeCell ref="V42:W43"/>
    <mergeCell ref="X42:Y43"/>
    <mergeCell ref="B43:D43"/>
    <mergeCell ref="E43:G43"/>
    <mergeCell ref="H43:J43"/>
    <mergeCell ref="K43:M43"/>
    <mergeCell ref="N43:Q43"/>
    <mergeCell ref="R43:U43"/>
    <mergeCell ref="H45:J45"/>
    <mergeCell ref="K45:M45"/>
    <mergeCell ref="N45:Q45"/>
    <mergeCell ref="R45:U45"/>
    <mergeCell ref="B44:D44"/>
    <mergeCell ref="E44:G44"/>
    <mergeCell ref="H44:J44"/>
    <mergeCell ref="K44:M44"/>
    <mergeCell ref="N44:Q44"/>
    <mergeCell ref="R44:U44"/>
    <mergeCell ref="V45:W46"/>
    <mergeCell ref="X45:Y46"/>
    <mergeCell ref="B46:D46"/>
    <mergeCell ref="E46:G46"/>
    <mergeCell ref="H46:J46"/>
    <mergeCell ref="K46:M46"/>
    <mergeCell ref="V39:W40"/>
    <mergeCell ref="X39:Y40"/>
    <mergeCell ref="B40:D40"/>
    <mergeCell ref="E40:G40"/>
    <mergeCell ref="H40:J40"/>
    <mergeCell ref="K40:M40"/>
    <mergeCell ref="N40:Q40"/>
    <mergeCell ref="R40:U40"/>
    <mergeCell ref="B39:D39"/>
    <mergeCell ref="E39:G39"/>
    <mergeCell ref="H39:J39"/>
    <mergeCell ref="K39:M39"/>
    <mergeCell ref="N39:Q39"/>
    <mergeCell ref="R39:U39"/>
    <mergeCell ref="B38:D38"/>
    <mergeCell ref="E38:G38"/>
    <mergeCell ref="H38:J38"/>
    <mergeCell ref="K38:M38"/>
    <mergeCell ref="N38:Q38"/>
    <mergeCell ref="R38:U38"/>
    <mergeCell ref="V36:W37"/>
    <mergeCell ref="X36:Y37"/>
    <mergeCell ref="B37:D37"/>
    <mergeCell ref="E37:G37"/>
    <mergeCell ref="H37:J37"/>
    <mergeCell ref="K37:M37"/>
    <mergeCell ref="N37:Q37"/>
    <mergeCell ref="R37:U37"/>
    <mergeCell ref="B36:D36"/>
    <mergeCell ref="E36:G36"/>
    <mergeCell ref="H36:J36"/>
    <mergeCell ref="K36:M36"/>
    <mergeCell ref="N36:Q36"/>
    <mergeCell ref="R36:U36"/>
    <mergeCell ref="V33:W34"/>
    <mergeCell ref="X33:Y34"/>
    <mergeCell ref="B34:D34"/>
    <mergeCell ref="E34:G34"/>
    <mergeCell ref="H34:J34"/>
    <mergeCell ref="K34:M34"/>
    <mergeCell ref="N34:Q34"/>
    <mergeCell ref="R34:U34"/>
    <mergeCell ref="B33:D33"/>
    <mergeCell ref="E33:G33"/>
    <mergeCell ref="H33:J33"/>
    <mergeCell ref="K33:M33"/>
    <mergeCell ref="N33:Q33"/>
    <mergeCell ref="R33:U33"/>
    <mergeCell ref="V30:W31"/>
    <mergeCell ref="X30:Y31"/>
    <mergeCell ref="B31:D31"/>
    <mergeCell ref="E31:G31"/>
    <mergeCell ref="H31:J31"/>
    <mergeCell ref="K31:M31"/>
    <mergeCell ref="N31:Q31"/>
    <mergeCell ref="R31:U31"/>
    <mergeCell ref="B30:D30"/>
    <mergeCell ref="E30:G30"/>
    <mergeCell ref="H30:J30"/>
    <mergeCell ref="K30:M30"/>
    <mergeCell ref="N30:Q30"/>
    <mergeCell ref="R30:U30"/>
    <mergeCell ref="B41:D41"/>
    <mergeCell ref="E41:G41"/>
    <mergeCell ref="H41:J41"/>
    <mergeCell ref="K41:M41"/>
    <mergeCell ref="N41:Q41"/>
    <mergeCell ref="R41:U41"/>
    <mergeCell ref="B29:D29"/>
    <mergeCell ref="E29:G29"/>
    <mergeCell ref="H29:J29"/>
    <mergeCell ref="K29:M29"/>
    <mergeCell ref="N29:Q29"/>
    <mergeCell ref="R29:U29"/>
    <mergeCell ref="B32:D32"/>
    <mergeCell ref="E32:G32"/>
    <mergeCell ref="H32:J32"/>
    <mergeCell ref="K32:M32"/>
    <mergeCell ref="N32:Q32"/>
    <mergeCell ref="R32:U32"/>
    <mergeCell ref="B35:D35"/>
    <mergeCell ref="E35:G35"/>
    <mergeCell ref="H35:J35"/>
    <mergeCell ref="K35:M35"/>
    <mergeCell ref="N35:Q35"/>
    <mergeCell ref="R35:U35"/>
    <mergeCell ref="B13:F13"/>
    <mergeCell ref="G13:M13"/>
    <mergeCell ref="N13:S13"/>
    <mergeCell ref="T13:Y13"/>
    <mergeCell ref="B15:F15"/>
    <mergeCell ref="G15:J15"/>
    <mergeCell ref="V27:W28"/>
    <mergeCell ref="X27:Y28"/>
    <mergeCell ref="B28:D28"/>
    <mergeCell ref="E28:G28"/>
    <mergeCell ref="H28:J28"/>
    <mergeCell ref="K28:M28"/>
    <mergeCell ref="N28:Q28"/>
    <mergeCell ref="R28:U28"/>
    <mergeCell ref="R25:U26"/>
    <mergeCell ref="B27:D27"/>
    <mergeCell ref="E27:U27"/>
    <mergeCell ref="B19:H19"/>
    <mergeCell ref="I19:Y19"/>
    <mergeCell ref="B21:H21"/>
    <mergeCell ref="I21:Y21"/>
    <mergeCell ref="B25:D26"/>
    <mergeCell ref="B14:F14"/>
    <mergeCell ref="G14:J14"/>
    <mergeCell ref="G7:Z7"/>
    <mergeCell ref="B10:F10"/>
    <mergeCell ref="B12:F12"/>
    <mergeCell ref="G12:M12"/>
    <mergeCell ref="N12:S12"/>
    <mergeCell ref="T12:W12"/>
    <mergeCell ref="X12:Y12"/>
    <mergeCell ref="G2:T4"/>
    <mergeCell ref="G5:H5"/>
    <mergeCell ref="J5:K5"/>
    <mergeCell ref="L5:O5"/>
    <mergeCell ref="P5:T5"/>
    <mergeCell ref="J6:K6"/>
    <mergeCell ref="L6:O6"/>
    <mergeCell ref="N10:S10"/>
    <mergeCell ref="T10:Y10"/>
    <mergeCell ref="B50:D50"/>
    <mergeCell ref="E50:G50"/>
    <mergeCell ref="H50:J50"/>
    <mergeCell ref="K50:M50"/>
    <mergeCell ref="N50:Q50"/>
    <mergeCell ref="A1:F6"/>
    <mergeCell ref="G1:T1"/>
    <mergeCell ref="P6:T6"/>
    <mergeCell ref="G10:M10"/>
    <mergeCell ref="E42:G42"/>
    <mergeCell ref="H42:J42"/>
    <mergeCell ref="K42:M42"/>
    <mergeCell ref="N42:Q42"/>
    <mergeCell ref="R42:U42"/>
    <mergeCell ref="E25:G26"/>
    <mergeCell ref="H25:J26"/>
    <mergeCell ref="K25:M26"/>
    <mergeCell ref="N25:Q26"/>
    <mergeCell ref="U1:Z6"/>
    <mergeCell ref="B11:F11"/>
    <mergeCell ref="G11:M11"/>
    <mergeCell ref="N11:S11"/>
    <mergeCell ref="T11:Y11"/>
    <mergeCell ref="A7:F7"/>
    <mergeCell ref="B42:D42"/>
    <mergeCell ref="N46:Q46"/>
    <mergeCell ref="R46:U46"/>
    <mergeCell ref="B45:D45"/>
    <mergeCell ref="E45:G45"/>
    <mergeCell ref="H48:J48"/>
    <mergeCell ref="K48:M48"/>
    <mergeCell ref="N48:Q48"/>
    <mergeCell ref="R48:U48"/>
    <mergeCell ref="B47:D47"/>
    <mergeCell ref="E47:G47"/>
    <mergeCell ref="H47:J47"/>
    <mergeCell ref="K47:M47"/>
    <mergeCell ref="N47:Q47"/>
    <mergeCell ref="R63:U63"/>
    <mergeCell ref="H66:J66"/>
    <mergeCell ref="K66:M66"/>
    <mergeCell ref="N66:Q66"/>
    <mergeCell ref="R66:U66"/>
    <mergeCell ref="B56:D56"/>
    <mergeCell ref="E56:G56"/>
    <mergeCell ref="H56:J56"/>
    <mergeCell ref="K56:M56"/>
    <mergeCell ref="N56:Q56"/>
    <mergeCell ref="B57:D57"/>
    <mergeCell ref="B62:D62"/>
    <mergeCell ref="E62:G62"/>
    <mergeCell ref="H62:J62"/>
    <mergeCell ref="K62:M62"/>
    <mergeCell ref="N62:Q62"/>
    <mergeCell ref="R62:U62"/>
    <mergeCell ref="B20:H20"/>
    <mergeCell ref="I20:Y20"/>
    <mergeCell ref="A80:Q80"/>
    <mergeCell ref="A79:Q79"/>
    <mergeCell ref="V83:Y84"/>
    <mergeCell ref="AB66:AD66"/>
    <mergeCell ref="AB67:AD67"/>
    <mergeCell ref="AB68:AD68"/>
    <mergeCell ref="H74:V75"/>
    <mergeCell ref="H73:V73"/>
    <mergeCell ref="H72:V72"/>
    <mergeCell ref="R56:U56"/>
    <mergeCell ref="E57:G57"/>
    <mergeCell ref="H57:J57"/>
    <mergeCell ref="K57:M57"/>
    <mergeCell ref="N57:Q57"/>
    <mergeCell ref="R57:U57"/>
    <mergeCell ref="H60:J60"/>
    <mergeCell ref="K60:M60"/>
    <mergeCell ref="N60:Q60"/>
    <mergeCell ref="R60:U60"/>
    <mergeCell ref="H63:J63"/>
    <mergeCell ref="K63:M63"/>
    <mergeCell ref="N63:Q63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0" orientation="portrait" r:id="rId1"/>
  <headerFooter alignWithMargins="0">
    <oddFooter>&amp;RDG-Q / CRE INF du 12/04/11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F86"/>
  <sheetViews>
    <sheetView workbookViewId="0">
      <selection activeCell="Y67" sqref="Y67"/>
    </sheetView>
  </sheetViews>
  <sheetFormatPr baseColWidth="10" defaultColWidth="11.44140625" defaultRowHeight="12.75" customHeight="1" x14ac:dyDescent="0.25"/>
  <cols>
    <col min="1" max="1" width="5.109375" style="134" customWidth="1"/>
    <col min="2" max="26" width="5.109375" style="75" customWidth="1"/>
    <col min="27" max="27" width="11.44140625" style="75"/>
    <col min="28" max="32" width="11.44140625" style="75" hidden="1" customWidth="1"/>
    <col min="33" max="16384" width="11.44140625" style="75"/>
  </cols>
  <sheetData>
    <row r="1" spans="1:26" ht="12.75" customHeight="1" x14ac:dyDescent="0.25">
      <c r="A1" s="422"/>
      <c r="B1" s="423"/>
      <c r="C1" s="423"/>
      <c r="D1" s="423"/>
      <c r="E1" s="423"/>
      <c r="F1" s="424"/>
      <c r="G1" s="413" t="s">
        <v>39</v>
      </c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5"/>
      <c r="U1" s="404"/>
      <c r="V1" s="405"/>
      <c r="W1" s="405"/>
      <c r="X1" s="405"/>
      <c r="Y1" s="405"/>
      <c r="Z1" s="406"/>
    </row>
    <row r="2" spans="1:26" ht="12.75" customHeight="1" x14ac:dyDescent="0.25">
      <c r="A2" s="396"/>
      <c r="B2" s="397"/>
      <c r="C2" s="397"/>
      <c r="D2" s="397"/>
      <c r="E2" s="397"/>
      <c r="F2" s="398"/>
      <c r="G2" s="425" t="s">
        <v>80</v>
      </c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7"/>
      <c r="U2" s="407"/>
      <c r="V2" s="408"/>
      <c r="W2" s="408"/>
      <c r="X2" s="408"/>
      <c r="Y2" s="408"/>
      <c r="Z2" s="409"/>
    </row>
    <row r="3" spans="1:26" ht="12.75" customHeight="1" x14ac:dyDescent="0.25">
      <c r="A3" s="396"/>
      <c r="B3" s="397"/>
      <c r="C3" s="397"/>
      <c r="D3" s="397"/>
      <c r="E3" s="397"/>
      <c r="F3" s="398"/>
      <c r="G3" s="425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7"/>
      <c r="U3" s="407"/>
      <c r="V3" s="408"/>
      <c r="W3" s="408"/>
      <c r="X3" s="408"/>
      <c r="Y3" s="408"/>
      <c r="Z3" s="409"/>
    </row>
    <row r="4" spans="1:26" ht="12.75" customHeight="1" x14ac:dyDescent="0.25">
      <c r="A4" s="396"/>
      <c r="B4" s="397"/>
      <c r="C4" s="397"/>
      <c r="D4" s="397"/>
      <c r="E4" s="397"/>
      <c r="F4" s="398"/>
      <c r="G4" s="425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7"/>
      <c r="U4" s="407"/>
      <c r="V4" s="408"/>
      <c r="W4" s="408"/>
      <c r="X4" s="408"/>
      <c r="Y4" s="408"/>
      <c r="Z4" s="409"/>
    </row>
    <row r="5" spans="1:26" ht="12.75" customHeight="1" x14ac:dyDescent="0.25">
      <c r="A5" s="396"/>
      <c r="B5" s="397"/>
      <c r="C5" s="397"/>
      <c r="D5" s="397"/>
      <c r="E5" s="397"/>
      <c r="F5" s="398"/>
      <c r="G5" s="428" t="s">
        <v>40</v>
      </c>
      <c r="H5" s="429"/>
      <c r="I5" s="76" t="s">
        <v>41</v>
      </c>
      <c r="J5" s="392"/>
      <c r="K5" s="393"/>
      <c r="L5" s="391"/>
      <c r="M5" s="392"/>
      <c r="N5" s="392"/>
      <c r="O5" s="393"/>
      <c r="P5" s="416"/>
      <c r="Q5" s="417"/>
      <c r="R5" s="417"/>
      <c r="S5" s="417"/>
      <c r="T5" s="418"/>
      <c r="U5" s="407"/>
      <c r="V5" s="408"/>
      <c r="W5" s="408"/>
      <c r="X5" s="408"/>
      <c r="Y5" s="408"/>
      <c r="Z5" s="409"/>
    </row>
    <row r="6" spans="1:26" ht="12.75" customHeight="1" x14ac:dyDescent="0.25">
      <c r="A6" s="399"/>
      <c r="B6" s="400"/>
      <c r="C6" s="400"/>
      <c r="D6" s="400"/>
      <c r="E6" s="400"/>
      <c r="F6" s="401"/>
      <c r="G6" s="77"/>
      <c r="H6" s="78"/>
      <c r="I6" s="78"/>
      <c r="J6" s="394" t="s">
        <v>42</v>
      </c>
      <c r="K6" s="394"/>
      <c r="L6" s="394" t="s">
        <v>43</v>
      </c>
      <c r="M6" s="394"/>
      <c r="N6" s="394"/>
      <c r="O6" s="394"/>
      <c r="P6" s="394" t="s">
        <v>44</v>
      </c>
      <c r="Q6" s="394"/>
      <c r="R6" s="394"/>
      <c r="S6" s="394"/>
      <c r="T6" s="395"/>
      <c r="U6" s="410"/>
      <c r="V6" s="411"/>
      <c r="W6" s="411"/>
      <c r="X6" s="411"/>
      <c r="Y6" s="411"/>
      <c r="Z6" s="412"/>
    </row>
    <row r="7" spans="1:26" ht="36.75" customHeight="1" x14ac:dyDescent="0.25">
      <c r="A7" s="389" t="s">
        <v>9</v>
      </c>
      <c r="B7" s="389"/>
      <c r="C7" s="389"/>
      <c r="D7" s="389"/>
      <c r="E7" s="389"/>
      <c r="F7" s="389"/>
      <c r="G7" s="419" t="s">
        <v>17</v>
      </c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</row>
    <row r="8" spans="1:26" ht="15.6" customHeight="1" x14ac:dyDescent="0.25">
      <c r="A8" s="79" t="s">
        <v>1</v>
      </c>
      <c r="B8" s="420" t="s">
        <v>0</v>
      </c>
      <c r="C8" s="420"/>
      <c r="D8" s="420"/>
      <c r="E8" s="420"/>
      <c r="F8" s="420"/>
      <c r="G8" s="420"/>
      <c r="H8" s="420"/>
      <c r="I8" s="420"/>
      <c r="J8" s="420"/>
      <c r="K8" s="420"/>
      <c r="L8" s="420"/>
      <c r="M8" s="420"/>
      <c r="N8" s="420"/>
      <c r="O8" s="420"/>
      <c r="P8" s="420"/>
      <c r="Q8" s="420"/>
      <c r="R8" s="420"/>
      <c r="S8" s="420"/>
      <c r="T8" s="420"/>
      <c r="U8" s="420"/>
      <c r="V8" s="420"/>
      <c r="W8" s="420"/>
      <c r="X8" s="420"/>
      <c r="Y8" s="420"/>
      <c r="Z8" s="421"/>
    </row>
    <row r="9" spans="1:26" ht="8.25" customHeight="1" x14ac:dyDescent="0.25">
      <c r="A9" s="80"/>
      <c r="B9" s="81"/>
      <c r="C9" s="81"/>
      <c r="D9" s="37"/>
      <c r="E9" s="37"/>
      <c r="F9" s="37"/>
      <c r="G9" s="3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2"/>
    </row>
    <row r="10" spans="1:26" ht="15.9" customHeight="1" x14ac:dyDescent="0.25">
      <c r="A10" s="80"/>
      <c r="B10" s="338" t="s">
        <v>8</v>
      </c>
      <c r="C10" s="338"/>
      <c r="D10" s="338"/>
      <c r="E10" s="338"/>
      <c r="F10" s="338"/>
      <c r="G10" s="362"/>
      <c r="H10" s="362"/>
      <c r="I10" s="362"/>
      <c r="J10" s="362"/>
      <c r="K10" s="362"/>
      <c r="L10" s="362"/>
      <c r="M10" s="362"/>
      <c r="N10" s="338" t="s">
        <v>23</v>
      </c>
      <c r="O10" s="338"/>
      <c r="P10" s="338"/>
      <c r="Q10" s="338"/>
      <c r="R10" s="338"/>
      <c r="S10" s="338"/>
      <c r="T10" s="338"/>
      <c r="U10" s="338"/>
      <c r="V10" s="362"/>
      <c r="W10" s="362"/>
      <c r="X10" s="362"/>
      <c r="Y10" s="362"/>
      <c r="Z10" s="83"/>
    </row>
    <row r="11" spans="1:26" ht="15.9" customHeight="1" x14ac:dyDescent="0.25">
      <c r="A11" s="80"/>
      <c r="B11" s="338" t="s">
        <v>7</v>
      </c>
      <c r="C11" s="338"/>
      <c r="D11" s="338"/>
      <c r="E11" s="338"/>
      <c r="F11" s="338"/>
      <c r="G11" s="362"/>
      <c r="H11" s="362"/>
      <c r="I11" s="362"/>
      <c r="J11" s="362"/>
      <c r="K11" s="362"/>
      <c r="L11" s="362"/>
      <c r="M11" s="362"/>
      <c r="N11" s="338" t="s">
        <v>18</v>
      </c>
      <c r="O11" s="338"/>
      <c r="P11" s="338"/>
      <c r="Q11" s="338"/>
      <c r="R11" s="338"/>
      <c r="S11" s="338"/>
      <c r="T11" s="338"/>
      <c r="U11" s="338"/>
      <c r="V11" s="362"/>
      <c r="W11" s="362"/>
      <c r="X11" s="362"/>
      <c r="Y11" s="362"/>
      <c r="Z11" s="82"/>
    </row>
    <row r="12" spans="1:26" ht="15.9" customHeight="1" x14ac:dyDescent="0.25">
      <c r="A12" s="80"/>
      <c r="B12" s="338" t="s">
        <v>22</v>
      </c>
      <c r="C12" s="338"/>
      <c r="D12" s="338"/>
      <c r="E12" s="338"/>
      <c r="F12" s="338"/>
      <c r="G12" s="362"/>
      <c r="H12" s="362"/>
      <c r="I12" s="362"/>
      <c r="J12" s="362"/>
      <c r="K12" s="362"/>
      <c r="L12" s="362"/>
      <c r="M12" s="362"/>
      <c r="N12" s="137"/>
      <c r="O12" s="338" t="s">
        <v>19</v>
      </c>
      <c r="P12" s="338"/>
      <c r="Q12" s="338"/>
      <c r="R12" s="137"/>
      <c r="S12" s="338" t="s">
        <v>20</v>
      </c>
      <c r="T12" s="338"/>
      <c r="U12" s="338"/>
      <c r="V12" s="137"/>
      <c r="W12" s="338" t="s">
        <v>21</v>
      </c>
      <c r="X12" s="338"/>
      <c r="Y12" s="338"/>
      <c r="Z12" s="85"/>
    </row>
    <row r="13" spans="1:26" ht="15.9" customHeight="1" x14ac:dyDescent="0.25">
      <c r="A13" s="80"/>
      <c r="B13" s="338" t="s">
        <v>36</v>
      </c>
      <c r="C13" s="338"/>
      <c r="D13" s="338"/>
      <c r="E13" s="338"/>
      <c r="F13" s="338"/>
      <c r="G13" s="362"/>
      <c r="H13" s="362"/>
      <c r="I13" s="362"/>
      <c r="J13" s="362"/>
      <c r="K13" s="362"/>
      <c r="L13" s="362"/>
      <c r="M13" s="362"/>
      <c r="N13" s="338" t="s">
        <v>51</v>
      </c>
      <c r="O13" s="338"/>
      <c r="P13" s="338"/>
      <c r="Q13" s="338"/>
      <c r="R13" s="338"/>
      <c r="S13" s="338"/>
      <c r="T13" s="338"/>
      <c r="U13" s="338"/>
      <c r="V13" s="402"/>
      <c r="W13" s="402"/>
      <c r="X13" s="402"/>
      <c r="Y13" s="137" t="s">
        <v>52</v>
      </c>
      <c r="Z13" s="85"/>
    </row>
    <row r="14" spans="1:26" ht="15.9" customHeight="1" x14ac:dyDescent="0.25">
      <c r="A14" s="80"/>
      <c r="B14" s="338" t="s">
        <v>56</v>
      </c>
      <c r="C14" s="338"/>
      <c r="D14" s="338"/>
      <c r="E14" s="338"/>
      <c r="F14" s="338"/>
      <c r="G14" s="369" t="s">
        <v>57</v>
      </c>
      <c r="H14" s="369"/>
      <c r="I14" s="369"/>
      <c r="J14" s="369"/>
      <c r="K14" s="340"/>
      <c r="L14" s="340"/>
      <c r="M14" s="340"/>
      <c r="N14" s="340"/>
      <c r="O14" s="369" t="s">
        <v>58</v>
      </c>
      <c r="P14" s="369"/>
      <c r="Q14" s="369"/>
      <c r="R14" s="369"/>
      <c r="S14" s="340"/>
      <c r="T14" s="340"/>
      <c r="U14" s="340"/>
      <c r="V14" s="340"/>
      <c r="W14" s="137"/>
      <c r="X14" s="137"/>
      <c r="Y14" s="137"/>
      <c r="Z14" s="82"/>
    </row>
    <row r="15" spans="1:26" ht="15.9" customHeight="1" x14ac:dyDescent="0.25">
      <c r="A15" s="80"/>
      <c r="B15" s="338" t="s">
        <v>30</v>
      </c>
      <c r="C15" s="338"/>
      <c r="D15" s="338"/>
      <c r="E15" s="338"/>
      <c r="F15" s="338"/>
      <c r="G15" s="338"/>
      <c r="H15" s="338"/>
      <c r="I15" s="339">
        <v>330</v>
      </c>
      <c r="J15" s="339"/>
      <c r="K15" s="339"/>
      <c r="L15" s="137" t="s">
        <v>32</v>
      </c>
      <c r="M15" s="136"/>
      <c r="N15" s="338" t="s">
        <v>31</v>
      </c>
      <c r="O15" s="338"/>
      <c r="P15" s="338"/>
      <c r="Q15" s="338"/>
      <c r="R15" s="338"/>
      <c r="S15" s="338"/>
      <c r="T15" s="338"/>
      <c r="U15" s="338"/>
      <c r="V15" s="340">
        <v>10</v>
      </c>
      <c r="W15" s="340"/>
      <c r="X15" s="340"/>
      <c r="Y15" s="137" t="s">
        <v>32</v>
      </c>
      <c r="Z15" s="82"/>
    </row>
    <row r="16" spans="1:26" ht="6.6" customHeight="1" x14ac:dyDescent="0.25">
      <c r="A16" s="86"/>
      <c r="B16" s="360"/>
      <c r="C16" s="360"/>
      <c r="D16" s="360"/>
      <c r="E16" s="360"/>
      <c r="F16" s="360"/>
      <c r="G16" s="360"/>
      <c r="H16" s="360"/>
      <c r="I16" s="373"/>
      <c r="J16" s="373"/>
      <c r="K16" s="373"/>
      <c r="L16" s="139"/>
      <c r="M16" s="140"/>
      <c r="N16" s="360"/>
      <c r="O16" s="360"/>
      <c r="P16" s="360"/>
      <c r="Q16" s="360"/>
      <c r="R16" s="360"/>
      <c r="S16" s="360"/>
      <c r="T16" s="360"/>
      <c r="U16" s="360"/>
      <c r="V16" s="361"/>
      <c r="W16" s="361"/>
      <c r="X16" s="361"/>
      <c r="Y16" s="139"/>
      <c r="Z16" s="87" t="e">
        <f>V16/I16</f>
        <v>#DIV/0!</v>
      </c>
    </row>
    <row r="17" spans="1:32" s="88" customFormat="1" ht="15" x14ac:dyDescent="0.25">
      <c r="B17" s="89"/>
      <c r="C17" s="89"/>
      <c r="K17" s="90"/>
      <c r="L17" s="89"/>
      <c r="M17" s="91"/>
    </row>
    <row r="18" spans="1:32" s="88" customFormat="1" ht="15.6" customHeight="1" x14ac:dyDescent="0.25">
      <c r="A18" s="79" t="s">
        <v>2</v>
      </c>
      <c r="B18" s="92" t="s">
        <v>12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4"/>
    </row>
    <row r="19" spans="1:32" s="88" customFormat="1" ht="15" x14ac:dyDescent="0.25">
      <c r="A19" s="95"/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8"/>
    </row>
    <row r="20" spans="1:32" s="88" customFormat="1" ht="15" x14ac:dyDescent="0.25">
      <c r="A20" s="95"/>
      <c r="B20" s="386" t="s">
        <v>13</v>
      </c>
      <c r="C20" s="386"/>
      <c r="D20" s="386"/>
      <c r="E20" s="386"/>
      <c r="F20" s="386"/>
      <c r="G20" s="386"/>
      <c r="H20" s="386"/>
      <c r="I20" s="387"/>
      <c r="J20" s="387"/>
      <c r="K20" s="387"/>
      <c r="L20" s="387"/>
      <c r="M20" s="387"/>
      <c r="N20" s="387"/>
      <c r="O20" s="387"/>
      <c r="P20" s="387"/>
      <c r="Q20" s="387"/>
      <c r="R20" s="387"/>
      <c r="S20" s="387"/>
      <c r="T20" s="387"/>
      <c r="U20" s="387"/>
      <c r="V20" s="387"/>
      <c r="W20" s="387"/>
      <c r="X20" s="387"/>
      <c r="Y20" s="387"/>
      <c r="Z20" s="99"/>
    </row>
    <row r="21" spans="1:32" s="88" customFormat="1" ht="15" x14ac:dyDescent="0.25">
      <c r="A21" s="95"/>
      <c r="B21" s="386" t="s">
        <v>14</v>
      </c>
      <c r="C21" s="386"/>
      <c r="D21" s="386"/>
      <c r="E21" s="386"/>
      <c r="F21" s="386"/>
      <c r="G21" s="386"/>
      <c r="H21" s="386"/>
      <c r="I21" s="387"/>
      <c r="J21" s="387"/>
      <c r="K21" s="387"/>
      <c r="L21" s="387"/>
      <c r="M21" s="387"/>
      <c r="N21" s="387"/>
      <c r="O21" s="387"/>
      <c r="P21" s="387"/>
      <c r="Q21" s="387"/>
      <c r="R21" s="387"/>
      <c r="S21" s="387"/>
      <c r="T21" s="387"/>
      <c r="U21" s="387"/>
      <c r="V21" s="387"/>
      <c r="W21" s="387"/>
      <c r="X21" s="387"/>
      <c r="Y21" s="387"/>
      <c r="Z21" s="99"/>
    </row>
    <row r="22" spans="1:32" s="88" customFormat="1" ht="8.4" customHeight="1" x14ac:dyDescent="0.25">
      <c r="A22" s="100"/>
      <c r="B22" s="167"/>
      <c r="C22" s="167"/>
      <c r="D22" s="167"/>
      <c r="E22" s="167"/>
      <c r="F22" s="167"/>
      <c r="G22" s="167"/>
      <c r="H22" s="167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01"/>
    </row>
    <row r="23" spans="1:32" ht="12.75" customHeight="1" x14ac:dyDescent="0.25">
      <c r="A23" s="37"/>
      <c r="B23" s="81"/>
      <c r="C23" s="81"/>
      <c r="D23" s="37"/>
      <c r="E23" s="37"/>
      <c r="F23" s="37"/>
      <c r="G23" s="37"/>
      <c r="H23" s="81"/>
      <c r="I23" s="81"/>
      <c r="J23" s="81"/>
      <c r="K23" s="81"/>
      <c r="L23" s="81"/>
      <c r="M23" s="81"/>
      <c r="N23" s="102"/>
      <c r="O23" s="81"/>
      <c r="P23" s="81"/>
      <c r="Q23" s="81"/>
      <c r="R23" s="81"/>
      <c r="S23" s="81"/>
      <c r="T23" s="81"/>
      <c r="U23" s="81"/>
      <c r="V23" s="81"/>
      <c r="W23" s="81"/>
      <c r="X23" s="81"/>
    </row>
    <row r="24" spans="1:32" ht="15.6" customHeight="1" x14ac:dyDescent="0.25">
      <c r="A24" s="79" t="s">
        <v>3</v>
      </c>
      <c r="B24" s="103" t="s">
        <v>24</v>
      </c>
      <c r="C24" s="104"/>
      <c r="D24" s="105"/>
      <c r="E24" s="105"/>
      <c r="F24" s="105"/>
      <c r="G24" s="105"/>
      <c r="H24" s="104"/>
      <c r="I24" s="104"/>
      <c r="J24" s="104"/>
      <c r="K24" s="104"/>
      <c r="L24" s="104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7"/>
    </row>
    <row r="25" spans="1:32" ht="12.75" customHeight="1" x14ac:dyDescent="0.25">
      <c r="A25" s="80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2"/>
    </row>
    <row r="26" spans="1:32" ht="12.75" customHeight="1" x14ac:dyDescent="0.25">
      <c r="A26" s="108"/>
      <c r="B26" s="388" t="s">
        <v>27</v>
      </c>
      <c r="C26" s="389"/>
      <c r="D26" s="389"/>
      <c r="E26" s="389"/>
      <c r="F26" s="389"/>
      <c r="G26" s="389"/>
      <c r="H26" s="389"/>
      <c r="I26" s="389"/>
      <c r="J26" s="389"/>
      <c r="K26" s="389"/>
      <c r="L26" s="389"/>
      <c r="M26" s="389"/>
      <c r="N26" s="389"/>
      <c r="O26" s="389"/>
      <c r="P26" s="389"/>
      <c r="Q26" s="389"/>
      <c r="R26" s="389"/>
      <c r="S26" s="389"/>
      <c r="T26" s="389"/>
      <c r="U26" s="389"/>
      <c r="V26" s="109"/>
      <c r="W26" s="110"/>
      <c r="X26" s="110"/>
      <c r="Y26" s="110"/>
      <c r="AA26" s="111"/>
    </row>
    <row r="27" spans="1:32" ht="12.75" customHeight="1" x14ac:dyDescent="0.25">
      <c r="A27" s="108"/>
      <c r="B27" s="370" t="s">
        <v>45</v>
      </c>
      <c r="C27" s="371"/>
      <c r="D27" s="371"/>
      <c r="E27" s="372"/>
      <c r="F27" s="370" t="s">
        <v>29</v>
      </c>
      <c r="G27" s="371"/>
      <c r="H27" s="371"/>
      <c r="I27" s="372"/>
      <c r="J27" s="370" t="s">
        <v>28</v>
      </c>
      <c r="K27" s="371"/>
      <c r="L27" s="371"/>
      <c r="M27" s="372"/>
      <c r="N27" s="370" t="s">
        <v>25</v>
      </c>
      <c r="O27" s="371"/>
      <c r="P27" s="371"/>
      <c r="Q27" s="372"/>
      <c r="R27" s="370" t="s">
        <v>26</v>
      </c>
      <c r="S27" s="371"/>
      <c r="T27" s="371"/>
      <c r="U27" s="372"/>
      <c r="W27" s="363" t="s">
        <v>53</v>
      </c>
      <c r="X27" s="364"/>
      <c r="Y27" s="365"/>
      <c r="AA27" s="111"/>
    </row>
    <row r="28" spans="1:32" ht="12.75" customHeight="1" x14ac:dyDescent="0.25">
      <c r="A28" s="459"/>
      <c r="B28" s="390">
        <v>0</v>
      </c>
      <c r="C28" s="390"/>
      <c r="D28" s="390"/>
      <c r="E28" s="390"/>
      <c r="F28" s="460"/>
      <c r="G28" s="460"/>
      <c r="H28" s="460"/>
      <c r="I28" s="460"/>
      <c r="J28" s="354"/>
      <c r="K28" s="355"/>
      <c r="L28" s="355"/>
      <c r="M28" s="356"/>
      <c r="N28" s="383"/>
      <c r="O28" s="384"/>
      <c r="P28" s="384"/>
      <c r="Q28" s="385"/>
      <c r="R28" s="403"/>
      <c r="S28" s="403"/>
      <c r="T28" s="403"/>
      <c r="U28" s="403"/>
      <c r="W28" s="366"/>
      <c r="X28" s="367"/>
      <c r="Y28" s="368"/>
      <c r="AA28" s="111"/>
      <c r="AB28" s="81"/>
      <c r="AC28" s="81"/>
      <c r="AD28" s="81"/>
      <c r="AE28" s="81"/>
      <c r="AF28" s="81"/>
    </row>
    <row r="29" spans="1:32" ht="12.75" customHeight="1" x14ac:dyDescent="0.25">
      <c r="A29" s="459"/>
      <c r="B29" s="380">
        <f>B28+1200</f>
        <v>1200</v>
      </c>
      <c r="C29" s="381"/>
      <c r="D29" s="381"/>
      <c r="E29" s="382"/>
      <c r="F29" s="351"/>
      <c r="G29" s="352"/>
      <c r="H29" s="352"/>
      <c r="I29" s="353"/>
      <c r="J29" s="354"/>
      <c r="K29" s="355"/>
      <c r="L29" s="355"/>
      <c r="M29" s="356"/>
      <c r="N29" s="348" t="str">
        <f>IF(J29&lt;&gt;"",((J29-J28)/((B29-B28)*1000)*($V$16/$I$16)),"")</f>
        <v/>
      </c>
      <c r="O29" s="349"/>
      <c r="P29" s="349"/>
      <c r="Q29" s="350"/>
      <c r="R29" s="348" t="str">
        <f>IF(N29&lt;&gt;"",N29*AE29,"")</f>
        <v/>
      </c>
      <c r="S29" s="349"/>
      <c r="T29" s="349"/>
      <c r="U29" s="350"/>
      <c r="W29" s="366"/>
      <c r="X29" s="367"/>
      <c r="Y29" s="368"/>
      <c r="AA29" s="111"/>
      <c r="AB29" s="37">
        <f t="shared" ref="AB29:AB40" si="0">20-F29</f>
        <v>20</v>
      </c>
      <c r="AC29" s="37">
        <f t="shared" ref="AC29:AC39" si="1">AB29*AB29</f>
        <v>400</v>
      </c>
      <c r="AD29" s="37">
        <f t="shared" ref="AD29:AD39" si="2">AB29*AB29*AB29</f>
        <v>8000</v>
      </c>
      <c r="AE29" s="38">
        <f t="shared" ref="AE29:AE39" si="3">EXP(((0.0244)*(AB29))+((0.00018)*((AC29)))+((0.0000025)*((AD29))))</f>
        <v>1.7860384307500734</v>
      </c>
      <c r="AF29" s="81"/>
    </row>
    <row r="30" spans="1:32" ht="12.75" customHeight="1" x14ac:dyDescent="0.25">
      <c r="A30" s="459"/>
      <c r="B30" s="380">
        <f t="shared" ref="B30:B40" si="4">B29+1200</f>
        <v>2400</v>
      </c>
      <c r="C30" s="381"/>
      <c r="D30" s="381"/>
      <c r="E30" s="382"/>
      <c r="F30" s="351"/>
      <c r="G30" s="352"/>
      <c r="H30" s="352"/>
      <c r="I30" s="353"/>
      <c r="J30" s="354"/>
      <c r="K30" s="355"/>
      <c r="L30" s="355"/>
      <c r="M30" s="356"/>
      <c r="N30" s="348" t="str">
        <f t="shared" ref="N30:N39" si="5">IF(J30&lt;&gt;"",((J30-J29)/((B30-B29)*1000)*($V$16/$I$16)),"")</f>
        <v/>
      </c>
      <c r="O30" s="349"/>
      <c r="P30" s="349"/>
      <c r="Q30" s="350"/>
      <c r="R30" s="348" t="str">
        <f t="shared" ref="R30:R39" si="6">IF(N30&lt;&gt;"",N30*AE30,"")</f>
        <v/>
      </c>
      <c r="S30" s="349"/>
      <c r="T30" s="349"/>
      <c r="U30" s="350"/>
      <c r="W30" s="374"/>
      <c r="X30" s="375"/>
      <c r="Y30" s="376"/>
      <c r="AA30" s="111"/>
      <c r="AB30" s="37">
        <f t="shared" si="0"/>
        <v>20</v>
      </c>
      <c r="AC30" s="37">
        <f t="shared" si="1"/>
        <v>400</v>
      </c>
      <c r="AD30" s="37">
        <f t="shared" si="2"/>
        <v>8000</v>
      </c>
      <c r="AE30" s="38">
        <f t="shared" si="3"/>
        <v>1.7860384307500734</v>
      </c>
      <c r="AF30" s="81"/>
    </row>
    <row r="31" spans="1:32" ht="12.75" customHeight="1" x14ac:dyDescent="0.25">
      <c r="A31" s="459"/>
      <c r="B31" s="380">
        <f t="shared" si="4"/>
        <v>3600</v>
      </c>
      <c r="C31" s="381"/>
      <c r="D31" s="381"/>
      <c r="E31" s="382"/>
      <c r="F31" s="351"/>
      <c r="G31" s="352"/>
      <c r="H31" s="352"/>
      <c r="I31" s="353"/>
      <c r="J31" s="354"/>
      <c r="K31" s="355"/>
      <c r="L31" s="355"/>
      <c r="M31" s="356"/>
      <c r="N31" s="348" t="str">
        <f t="shared" si="5"/>
        <v/>
      </c>
      <c r="O31" s="349"/>
      <c r="P31" s="349"/>
      <c r="Q31" s="350"/>
      <c r="R31" s="348" t="str">
        <f t="shared" si="6"/>
        <v/>
      </c>
      <c r="S31" s="349"/>
      <c r="T31" s="349"/>
      <c r="U31" s="350"/>
      <c r="W31" s="374"/>
      <c r="X31" s="375"/>
      <c r="Y31" s="376"/>
      <c r="AA31" s="111"/>
      <c r="AB31" s="37">
        <f t="shared" si="0"/>
        <v>20</v>
      </c>
      <c r="AC31" s="37">
        <f t="shared" si="1"/>
        <v>400</v>
      </c>
      <c r="AD31" s="37">
        <f t="shared" si="2"/>
        <v>8000</v>
      </c>
      <c r="AE31" s="38">
        <f t="shared" si="3"/>
        <v>1.7860384307500734</v>
      </c>
      <c r="AF31" s="112"/>
    </row>
    <row r="32" spans="1:32" ht="12.75" customHeight="1" x14ac:dyDescent="0.25">
      <c r="A32" s="459"/>
      <c r="B32" s="380">
        <f t="shared" si="4"/>
        <v>4800</v>
      </c>
      <c r="C32" s="381"/>
      <c r="D32" s="381"/>
      <c r="E32" s="382"/>
      <c r="F32" s="351"/>
      <c r="G32" s="352"/>
      <c r="H32" s="352"/>
      <c r="I32" s="353"/>
      <c r="J32" s="354"/>
      <c r="K32" s="355"/>
      <c r="L32" s="355"/>
      <c r="M32" s="356"/>
      <c r="N32" s="348" t="str">
        <f t="shared" si="5"/>
        <v/>
      </c>
      <c r="O32" s="349"/>
      <c r="P32" s="349"/>
      <c r="Q32" s="350"/>
      <c r="R32" s="348" t="str">
        <f t="shared" si="6"/>
        <v/>
      </c>
      <c r="S32" s="349"/>
      <c r="T32" s="349"/>
      <c r="U32" s="350"/>
      <c r="W32" s="377"/>
      <c r="X32" s="378"/>
      <c r="Y32" s="379"/>
      <c r="AA32" s="111"/>
      <c r="AB32" s="37">
        <f t="shared" si="0"/>
        <v>20</v>
      </c>
      <c r="AC32" s="37">
        <f t="shared" si="1"/>
        <v>400</v>
      </c>
      <c r="AD32" s="37">
        <f t="shared" si="2"/>
        <v>8000</v>
      </c>
      <c r="AE32" s="38">
        <f t="shared" si="3"/>
        <v>1.7860384307500734</v>
      </c>
      <c r="AF32" s="81"/>
    </row>
    <row r="33" spans="1:32" ht="12.75" customHeight="1" x14ac:dyDescent="0.25">
      <c r="A33" s="459"/>
      <c r="B33" s="380">
        <f t="shared" si="4"/>
        <v>6000</v>
      </c>
      <c r="C33" s="381"/>
      <c r="D33" s="381"/>
      <c r="E33" s="382"/>
      <c r="F33" s="351"/>
      <c r="G33" s="352"/>
      <c r="H33" s="352"/>
      <c r="I33" s="353"/>
      <c r="J33" s="354"/>
      <c r="K33" s="355"/>
      <c r="L33" s="355"/>
      <c r="M33" s="356"/>
      <c r="N33" s="348" t="str">
        <f t="shared" si="5"/>
        <v/>
      </c>
      <c r="O33" s="349"/>
      <c r="P33" s="349"/>
      <c r="Q33" s="350"/>
      <c r="R33" s="348" t="str">
        <f t="shared" si="6"/>
        <v/>
      </c>
      <c r="S33" s="349"/>
      <c r="T33" s="349"/>
      <c r="U33" s="350"/>
      <c r="W33" s="113"/>
      <c r="X33" s="113"/>
      <c r="Y33" s="113"/>
      <c r="AA33" s="111"/>
      <c r="AB33" s="37">
        <f t="shared" si="0"/>
        <v>20</v>
      </c>
      <c r="AC33" s="37">
        <f t="shared" si="1"/>
        <v>400</v>
      </c>
      <c r="AD33" s="37">
        <f t="shared" si="2"/>
        <v>8000</v>
      </c>
      <c r="AE33" s="38">
        <f t="shared" si="3"/>
        <v>1.7860384307500734</v>
      </c>
      <c r="AF33" s="81"/>
    </row>
    <row r="34" spans="1:32" ht="12.75" customHeight="1" x14ac:dyDescent="0.25">
      <c r="A34" s="459"/>
      <c r="B34" s="380">
        <f t="shared" si="4"/>
        <v>7200</v>
      </c>
      <c r="C34" s="381"/>
      <c r="D34" s="381"/>
      <c r="E34" s="382"/>
      <c r="F34" s="351"/>
      <c r="G34" s="352"/>
      <c r="H34" s="352"/>
      <c r="I34" s="353"/>
      <c r="J34" s="354"/>
      <c r="K34" s="355"/>
      <c r="L34" s="355"/>
      <c r="M34" s="356"/>
      <c r="N34" s="348" t="str">
        <f t="shared" si="5"/>
        <v/>
      </c>
      <c r="O34" s="349"/>
      <c r="P34" s="349"/>
      <c r="Q34" s="350"/>
      <c r="R34" s="348" t="str">
        <f t="shared" si="6"/>
        <v/>
      </c>
      <c r="S34" s="349"/>
      <c r="T34" s="349"/>
      <c r="U34" s="350"/>
      <c r="W34" s="363" t="s">
        <v>54</v>
      </c>
      <c r="X34" s="364"/>
      <c r="Y34" s="365"/>
      <c r="AA34" s="111"/>
      <c r="AB34" s="37">
        <f t="shared" si="0"/>
        <v>20</v>
      </c>
      <c r="AC34" s="37">
        <f t="shared" si="1"/>
        <v>400</v>
      </c>
      <c r="AD34" s="37">
        <f t="shared" si="2"/>
        <v>8000</v>
      </c>
      <c r="AE34" s="38">
        <f t="shared" si="3"/>
        <v>1.7860384307500734</v>
      </c>
      <c r="AF34" s="81"/>
    </row>
    <row r="35" spans="1:32" ht="12.75" customHeight="1" x14ac:dyDescent="0.25">
      <c r="A35" s="459"/>
      <c r="B35" s="380">
        <f t="shared" si="4"/>
        <v>8400</v>
      </c>
      <c r="C35" s="381"/>
      <c r="D35" s="381"/>
      <c r="E35" s="382"/>
      <c r="F35" s="351"/>
      <c r="G35" s="352"/>
      <c r="H35" s="352"/>
      <c r="I35" s="353"/>
      <c r="J35" s="354"/>
      <c r="K35" s="355"/>
      <c r="L35" s="355"/>
      <c r="M35" s="356"/>
      <c r="N35" s="348" t="str">
        <f t="shared" si="5"/>
        <v/>
      </c>
      <c r="O35" s="349"/>
      <c r="P35" s="349"/>
      <c r="Q35" s="350"/>
      <c r="R35" s="348" t="str">
        <f t="shared" si="6"/>
        <v/>
      </c>
      <c r="S35" s="349"/>
      <c r="T35" s="349"/>
      <c r="U35" s="350"/>
      <c r="W35" s="366"/>
      <c r="X35" s="367"/>
      <c r="Y35" s="368"/>
      <c r="AA35" s="111"/>
      <c r="AB35" s="37">
        <f t="shared" si="0"/>
        <v>20</v>
      </c>
      <c r="AC35" s="37">
        <f t="shared" si="1"/>
        <v>400</v>
      </c>
      <c r="AD35" s="37">
        <f t="shared" si="2"/>
        <v>8000</v>
      </c>
      <c r="AE35" s="38">
        <f t="shared" si="3"/>
        <v>1.7860384307500734</v>
      </c>
      <c r="AF35" s="81"/>
    </row>
    <row r="36" spans="1:32" ht="12.75" customHeight="1" x14ac:dyDescent="0.25">
      <c r="A36" s="459"/>
      <c r="B36" s="380">
        <f t="shared" si="4"/>
        <v>9600</v>
      </c>
      <c r="C36" s="381"/>
      <c r="D36" s="381"/>
      <c r="E36" s="382"/>
      <c r="F36" s="351"/>
      <c r="G36" s="352"/>
      <c r="H36" s="352"/>
      <c r="I36" s="353"/>
      <c r="J36" s="354"/>
      <c r="K36" s="355"/>
      <c r="L36" s="355"/>
      <c r="M36" s="356"/>
      <c r="N36" s="348" t="str">
        <f t="shared" si="5"/>
        <v/>
      </c>
      <c r="O36" s="349"/>
      <c r="P36" s="349"/>
      <c r="Q36" s="350"/>
      <c r="R36" s="348" t="str">
        <f t="shared" si="6"/>
        <v/>
      </c>
      <c r="S36" s="349"/>
      <c r="T36" s="349"/>
      <c r="U36" s="350"/>
      <c r="W36" s="366"/>
      <c r="X36" s="367"/>
      <c r="Y36" s="368"/>
      <c r="AA36" s="111"/>
      <c r="AB36" s="37">
        <f t="shared" si="0"/>
        <v>20</v>
      </c>
      <c r="AC36" s="37">
        <f t="shared" si="1"/>
        <v>400</v>
      </c>
      <c r="AD36" s="37">
        <f t="shared" si="2"/>
        <v>8000</v>
      </c>
      <c r="AE36" s="38">
        <f t="shared" si="3"/>
        <v>1.7860384307500734</v>
      </c>
    </row>
    <row r="37" spans="1:32" ht="12.75" customHeight="1" x14ac:dyDescent="0.25">
      <c r="A37" s="459"/>
      <c r="B37" s="380">
        <f t="shared" si="4"/>
        <v>10800</v>
      </c>
      <c r="C37" s="381"/>
      <c r="D37" s="381"/>
      <c r="E37" s="382"/>
      <c r="F37" s="351"/>
      <c r="G37" s="352"/>
      <c r="H37" s="352"/>
      <c r="I37" s="353"/>
      <c r="J37" s="354"/>
      <c r="K37" s="355"/>
      <c r="L37" s="355"/>
      <c r="M37" s="356"/>
      <c r="N37" s="348" t="str">
        <f t="shared" si="5"/>
        <v/>
      </c>
      <c r="O37" s="349"/>
      <c r="P37" s="349"/>
      <c r="Q37" s="350"/>
      <c r="R37" s="348" t="str">
        <f t="shared" si="6"/>
        <v/>
      </c>
      <c r="S37" s="349"/>
      <c r="T37" s="349"/>
      <c r="U37" s="350"/>
      <c r="W37" s="396"/>
      <c r="X37" s="397"/>
      <c r="Y37" s="398"/>
      <c r="AA37" s="111"/>
      <c r="AB37" s="37">
        <f t="shared" si="0"/>
        <v>20</v>
      </c>
      <c r="AC37" s="37">
        <f t="shared" si="1"/>
        <v>400</v>
      </c>
      <c r="AD37" s="37">
        <f t="shared" si="2"/>
        <v>8000</v>
      </c>
      <c r="AE37" s="38">
        <f t="shared" si="3"/>
        <v>1.7860384307500734</v>
      </c>
    </row>
    <row r="38" spans="1:32" ht="12.75" customHeight="1" x14ac:dyDescent="0.25">
      <c r="A38" s="459"/>
      <c r="B38" s="380">
        <f t="shared" si="4"/>
        <v>12000</v>
      </c>
      <c r="C38" s="381"/>
      <c r="D38" s="381"/>
      <c r="E38" s="382"/>
      <c r="F38" s="351"/>
      <c r="G38" s="352"/>
      <c r="H38" s="352"/>
      <c r="I38" s="353"/>
      <c r="J38" s="354"/>
      <c r="K38" s="355"/>
      <c r="L38" s="355"/>
      <c r="M38" s="356"/>
      <c r="N38" s="348" t="str">
        <f t="shared" si="5"/>
        <v/>
      </c>
      <c r="O38" s="349"/>
      <c r="P38" s="349"/>
      <c r="Q38" s="350"/>
      <c r="R38" s="348" t="str">
        <f t="shared" si="6"/>
        <v/>
      </c>
      <c r="S38" s="349"/>
      <c r="T38" s="349"/>
      <c r="U38" s="350"/>
      <c r="W38" s="396"/>
      <c r="X38" s="397"/>
      <c r="Y38" s="398"/>
      <c r="AA38" s="111"/>
      <c r="AB38" s="37">
        <f t="shared" si="0"/>
        <v>20</v>
      </c>
      <c r="AC38" s="37">
        <f t="shared" si="1"/>
        <v>400</v>
      </c>
      <c r="AD38" s="37">
        <f t="shared" si="2"/>
        <v>8000</v>
      </c>
      <c r="AE38" s="38">
        <f t="shared" si="3"/>
        <v>1.7860384307500734</v>
      </c>
    </row>
    <row r="39" spans="1:32" ht="12.75" customHeight="1" x14ac:dyDescent="0.25">
      <c r="A39" s="459"/>
      <c r="B39" s="380">
        <f t="shared" si="4"/>
        <v>13200</v>
      </c>
      <c r="C39" s="381"/>
      <c r="D39" s="381"/>
      <c r="E39" s="382"/>
      <c r="F39" s="351"/>
      <c r="G39" s="352"/>
      <c r="H39" s="352"/>
      <c r="I39" s="353"/>
      <c r="J39" s="354"/>
      <c r="K39" s="355"/>
      <c r="L39" s="355"/>
      <c r="M39" s="356"/>
      <c r="N39" s="348" t="str">
        <f t="shared" si="5"/>
        <v/>
      </c>
      <c r="O39" s="349"/>
      <c r="P39" s="349"/>
      <c r="Q39" s="350"/>
      <c r="R39" s="348" t="str">
        <f t="shared" si="6"/>
        <v/>
      </c>
      <c r="S39" s="349"/>
      <c r="T39" s="349"/>
      <c r="U39" s="350"/>
      <c r="W39" s="399"/>
      <c r="X39" s="400"/>
      <c r="Y39" s="401"/>
      <c r="AA39" s="111"/>
      <c r="AB39" s="37">
        <f t="shared" si="0"/>
        <v>20</v>
      </c>
      <c r="AC39" s="37">
        <f t="shared" si="1"/>
        <v>400</v>
      </c>
      <c r="AD39" s="37">
        <f t="shared" si="2"/>
        <v>8000</v>
      </c>
      <c r="AE39" s="38">
        <f t="shared" si="3"/>
        <v>1.7860384307500734</v>
      </c>
    </row>
    <row r="40" spans="1:32" ht="12.75" customHeight="1" x14ac:dyDescent="0.25">
      <c r="A40" s="459"/>
      <c r="B40" s="380">
        <f t="shared" si="4"/>
        <v>14400</v>
      </c>
      <c r="C40" s="381"/>
      <c r="D40" s="381"/>
      <c r="E40" s="382"/>
      <c r="F40" s="351"/>
      <c r="G40" s="352"/>
      <c r="H40" s="352"/>
      <c r="I40" s="353"/>
      <c r="J40" s="354"/>
      <c r="K40" s="355"/>
      <c r="L40" s="355"/>
      <c r="M40" s="356"/>
      <c r="N40" s="348" t="str">
        <f>IF(J40&lt;&gt;"",((J40-J39)/((B40-B39)*1000)*($V$16/$I$16)),"")</f>
        <v/>
      </c>
      <c r="O40" s="349"/>
      <c r="P40" s="349"/>
      <c r="Q40" s="350"/>
      <c r="R40" s="348" t="str">
        <f>IF(N40&lt;&gt;"",N40*AE40,"")</f>
        <v/>
      </c>
      <c r="S40" s="349"/>
      <c r="T40" s="349"/>
      <c r="U40" s="350"/>
      <c r="W40" s="114"/>
      <c r="X40" s="114"/>
      <c r="Y40" s="114"/>
      <c r="AA40" s="111"/>
      <c r="AB40" s="37">
        <f t="shared" si="0"/>
        <v>20</v>
      </c>
      <c r="AC40" s="37">
        <f t="shared" ref="AC40" si="7">AB40*AB40</f>
        <v>400</v>
      </c>
      <c r="AD40" s="37">
        <f t="shared" ref="AD40" si="8">AB40*AB40*AB40</f>
        <v>8000</v>
      </c>
      <c r="AE40" s="38">
        <f t="shared" ref="AE40" si="9">EXP(((0.0244)*(AB40))+((0.00018)*((AC40)))+((0.0000025)*((AD40))))</f>
        <v>1.7860384307500734</v>
      </c>
    </row>
    <row r="41" spans="1:32" ht="12.75" customHeight="1" x14ac:dyDescent="0.25">
      <c r="A41" s="80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106"/>
      <c r="S41" s="106"/>
      <c r="T41" s="106"/>
      <c r="U41" s="106"/>
      <c r="V41" s="81"/>
      <c r="W41" s="81"/>
      <c r="X41" s="81"/>
      <c r="Y41" s="81"/>
      <c r="Z41" s="82"/>
    </row>
    <row r="42" spans="1:32" ht="12.75" customHeight="1" x14ac:dyDescent="0.25">
      <c r="A42" s="80"/>
      <c r="E42" s="357" t="s">
        <v>49</v>
      </c>
      <c r="F42" s="358"/>
      <c r="G42" s="358"/>
      <c r="H42" s="358"/>
      <c r="I42" s="358"/>
      <c r="J42" s="358"/>
      <c r="K42" s="358" t="s">
        <v>85</v>
      </c>
      <c r="L42" s="358"/>
      <c r="M42" s="358"/>
      <c r="N42" s="358"/>
      <c r="O42" s="358"/>
      <c r="P42" s="358"/>
      <c r="Q42" s="358"/>
      <c r="R42" s="359"/>
      <c r="S42" s="81"/>
      <c r="T42" s="81"/>
      <c r="U42" s="81"/>
      <c r="V42" s="81"/>
      <c r="W42" s="81"/>
      <c r="X42" s="81"/>
      <c r="Y42" s="81"/>
      <c r="Z42" s="82"/>
    </row>
    <row r="43" spans="1:32" ht="12.75" customHeight="1" x14ac:dyDescent="0.25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2"/>
    </row>
    <row r="44" spans="1:32" ht="12.75" customHeight="1" x14ac:dyDescent="0.25">
      <c r="A44" s="80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2"/>
    </row>
    <row r="45" spans="1:32" ht="12.75" customHeight="1" x14ac:dyDescent="0.25">
      <c r="A45" s="80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2"/>
    </row>
    <row r="46" spans="1:32" ht="12.75" customHeight="1" x14ac:dyDescent="0.25">
      <c r="A46" s="80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2"/>
    </row>
    <row r="47" spans="1:32" ht="12.75" customHeight="1" x14ac:dyDescent="0.25">
      <c r="A47" s="80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2"/>
    </row>
    <row r="48" spans="1:32" ht="12.75" customHeight="1" x14ac:dyDescent="0.25">
      <c r="A48" s="80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2"/>
    </row>
    <row r="49" spans="1:26" ht="12.75" customHeight="1" x14ac:dyDescent="0.25">
      <c r="A49" s="80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2"/>
    </row>
    <row r="50" spans="1:26" ht="12.75" customHeight="1" x14ac:dyDescent="0.25">
      <c r="A50" s="80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2"/>
    </row>
    <row r="51" spans="1:26" ht="12.75" customHeight="1" x14ac:dyDescent="0.25">
      <c r="A51" s="80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2"/>
    </row>
    <row r="52" spans="1:26" ht="12.75" customHeight="1" x14ac:dyDescent="0.25">
      <c r="A52" s="80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2"/>
    </row>
    <row r="53" spans="1:26" ht="12.75" customHeight="1" x14ac:dyDescent="0.25">
      <c r="A53" s="80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2"/>
    </row>
    <row r="54" spans="1:26" ht="12.75" customHeight="1" x14ac:dyDescent="0.25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2"/>
    </row>
    <row r="55" spans="1:26" ht="12.75" customHeight="1" x14ac:dyDescent="0.25">
      <c r="A55" s="80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2"/>
    </row>
    <row r="56" spans="1:26" ht="12.75" customHeight="1" x14ac:dyDescent="0.25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2"/>
    </row>
    <row r="57" spans="1:26" ht="12.75" customHeight="1" x14ac:dyDescent="0.25">
      <c r="A57" s="80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2"/>
    </row>
    <row r="58" spans="1:26" ht="12.75" customHeight="1" x14ac:dyDescent="0.25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2"/>
    </row>
    <row r="59" spans="1:26" ht="12.75" customHeight="1" x14ac:dyDescent="0.25">
      <c r="A59" s="80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2"/>
    </row>
    <row r="60" spans="1:26" ht="12.75" customHeight="1" x14ac:dyDescent="0.25">
      <c r="A60" s="80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</row>
    <row r="61" spans="1:26" ht="12.75" customHeight="1" x14ac:dyDescent="0.25">
      <c r="A61" s="80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2"/>
    </row>
    <row r="62" spans="1:26" ht="12.75" customHeight="1" x14ac:dyDescent="0.25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2"/>
    </row>
    <row r="63" spans="1:26" ht="12.75" customHeight="1" x14ac:dyDescent="0.25">
      <c r="A63" s="80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2"/>
    </row>
    <row r="64" spans="1:26" ht="12.75" customHeight="1" x14ac:dyDescent="0.25">
      <c r="A64" s="115"/>
      <c r="B64" s="106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</row>
    <row r="65" spans="1:26" ht="15.6" customHeight="1" thickBot="1" x14ac:dyDescent="0.3">
      <c r="A65" s="79" t="s">
        <v>5</v>
      </c>
      <c r="B65" s="103" t="s">
        <v>33</v>
      </c>
      <c r="C65" s="116"/>
      <c r="D65" s="11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/>
    </row>
    <row r="66" spans="1:26" ht="15.9" customHeight="1" thickBot="1" x14ac:dyDescent="0.3">
      <c r="A66" s="80"/>
      <c r="B66" s="37"/>
      <c r="C66" s="37"/>
      <c r="D66" s="37"/>
      <c r="E66" s="37"/>
      <c r="F66" s="37"/>
      <c r="G66" s="136" t="s">
        <v>55</v>
      </c>
      <c r="H66" s="138"/>
      <c r="I66" s="138"/>
      <c r="J66" s="138"/>
      <c r="K66" s="138"/>
      <c r="L66" s="138"/>
      <c r="M66" s="138"/>
      <c r="N66" s="138"/>
      <c r="O66" s="138"/>
      <c r="P66" s="138"/>
      <c r="Q66" s="149"/>
      <c r="R66" s="149"/>
      <c r="S66" s="430" t="str">
        <f>N40</f>
        <v/>
      </c>
      <c r="T66" s="431"/>
      <c r="U66" s="432"/>
      <c r="Y66" s="81"/>
      <c r="Z66" s="82"/>
    </row>
    <row r="67" spans="1:26" ht="15.9" customHeight="1" thickBot="1" x14ac:dyDescent="0.3">
      <c r="A67" s="37"/>
      <c r="B67" s="37"/>
      <c r="C67" s="37"/>
      <c r="D67" s="37"/>
      <c r="E67" s="37"/>
      <c r="F67" s="37"/>
      <c r="G67" s="136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50"/>
      <c r="T67" s="151"/>
      <c r="U67" s="151"/>
      <c r="V67" s="81"/>
      <c r="W67" s="81"/>
      <c r="X67" s="81"/>
      <c r="Y67" s="81"/>
      <c r="Z67" s="82"/>
    </row>
    <row r="68" spans="1:26" ht="15.9" customHeight="1" thickBot="1" x14ac:dyDescent="0.3">
      <c r="A68" s="75"/>
      <c r="G68" s="136" t="s">
        <v>88</v>
      </c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430" t="str">
        <f>R40</f>
        <v/>
      </c>
      <c r="T68" s="431"/>
      <c r="U68" s="432"/>
      <c r="Z68" s="82"/>
    </row>
    <row r="69" spans="1:26" ht="15.75" customHeight="1" x14ac:dyDescent="0.25">
      <c r="A69" s="37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Z69" s="82"/>
    </row>
    <row r="70" spans="1:26" ht="15.9" customHeight="1" x14ac:dyDescent="0.25">
      <c r="A70" s="117"/>
      <c r="B70" s="11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119"/>
    </row>
    <row r="71" spans="1:26" ht="12.75" customHeight="1" x14ac:dyDescent="0.25">
      <c r="A71" s="120"/>
      <c r="B71" s="12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</row>
    <row r="72" spans="1:26" s="88" customFormat="1" ht="15.6" customHeight="1" x14ac:dyDescent="0.25">
      <c r="A72" s="122" t="s">
        <v>4</v>
      </c>
      <c r="B72" s="123" t="s">
        <v>16</v>
      </c>
      <c r="C72" s="124"/>
      <c r="D72" s="124"/>
      <c r="E72" s="124"/>
      <c r="F72" s="125"/>
      <c r="G72" s="125"/>
      <c r="H72" s="125"/>
      <c r="I72" s="106"/>
      <c r="J72" s="106"/>
      <c r="K72" s="106"/>
      <c r="L72" s="106"/>
      <c r="M72" s="106"/>
      <c r="N72" s="106"/>
      <c r="O72" s="106"/>
      <c r="P72" s="106"/>
      <c r="Q72" s="125"/>
      <c r="R72" s="106"/>
      <c r="S72" s="106"/>
      <c r="T72" s="106"/>
      <c r="U72" s="447"/>
      <c r="V72" s="447"/>
      <c r="W72" s="447"/>
      <c r="X72" s="448"/>
      <c r="Y72" s="448"/>
      <c r="Z72" s="449"/>
    </row>
    <row r="73" spans="1:26" s="88" customFormat="1" ht="26.4" customHeight="1" x14ac:dyDescent="0.25">
      <c r="A73" s="341" t="s">
        <v>87</v>
      </c>
      <c r="B73" s="342"/>
      <c r="C73" s="342"/>
      <c r="D73" s="342"/>
      <c r="E73" s="342"/>
      <c r="F73" s="342"/>
      <c r="G73" s="342"/>
      <c r="H73" s="342"/>
      <c r="I73" s="342"/>
      <c r="J73" s="342"/>
      <c r="K73" s="342"/>
      <c r="L73" s="342"/>
      <c r="M73" s="342"/>
      <c r="N73" s="342"/>
      <c r="O73" s="342"/>
      <c r="P73" s="342"/>
      <c r="Q73" s="343"/>
      <c r="R73" s="433" t="s">
        <v>10</v>
      </c>
      <c r="S73" s="434"/>
      <c r="T73" s="435"/>
      <c r="U73" s="450"/>
      <c r="V73" s="451"/>
      <c r="W73" s="451"/>
      <c r="X73" s="452"/>
      <c r="Y73" s="452"/>
      <c r="Z73" s="453"/>
    </row>
    <row r="74" spans="1:26" s="88" customFormat="1" ht="26.4" customHeight="1" x14ac:dyDescent="0.25">
      <c r="A74" s="344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6"/>
      <c r="R74" s="433"/>
      <c r="S74" s="434"/>
      <c r="T74" s="435"/>
      <c r="U74" s="439"/>
      <c r="V74" s="440"/>
      <c r="W74" s="440"/>
      <c r="X74" s="441"/>
      <c r="Y74" s="441"/>
      <c r="Z74" s="442"/>
    </row>
    <row r="75" spans="1:26" s="88" customFormat="1" ht="15.6" customHeight="1" x14ac:dyDescent="0.25">
      <c r="A75" s="79" t="s">
        <v>15</v>
      </c>
      <c r="B75" s="103" t="s">
        <v>6</v>
      </c>
      <c r="C75" s="106"/>
      <c r="D75" s="10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7"/>
      <c r="R75" s="433"/>
      <c r="S75" s="434"/>
      <c r="T75" s="435"/>
      <c r="U75" s="443"/>
      <c r="V75" s="444"/>
      <c r="W75" s="444"/>
      <c r="X75" s="445"/>
      <c r="Y75" s="445"/>
      <c r="Z75" s="446"/>
    </row>
    <row r="76" spans="1:26" s="88" customFormat="1" ht="15.6" customHeight="1" thickBot="1" x14ac:dyDescent="0.3">
      <c r="A76" s="128"/>
      <c r="B76" s="209" t="s">
        <v>86</v>
      </c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83"/>
      <c r="R76" s="433" t="s">
        <v>11</v>
      </c>
      <c r="S76" s="434"/>
      <c r="T76" s="435"/>
      <c r="U76" s="156"/>
      <c r="V76" s="157"/>
      <c r="W76" s="157"/>
      <c r="X76" s="158"/>
      <c r="Y76" s="158"/>
      <c r="Z76" s="159"/>
    </row>
    <row r="77" spans="1:26" s="88" customFormat="1" ht="15.6" customHeight="1" thickBot="1" x14ac:dyDescent="0.3">
      <c r="A77" s="95"/>
      <c r="B77" s="84"/>
      <c r="C77" s="129" t="s">
        <v>38</v>
      </c>
      <c r="D77" s="130"/>
      <c r="E77" s="130"/>
      <c r="F77" s="130"/>
      <c r="G77" s="130"/>
      <c r="H77" s="130"/>
      <c r="I77" s="130"/>
      <c r="J77" s="130"/>
      <c r="K77" s="130"/>
      <c r="L77" s="458" t="str">
        <f>IF(S68&lt;&gt;"",IF(O78&lt;&gt;"",S68/O78,""),"")</f>
        <v/>
      </c>
      <c r="M77" s="458"/>
      <c r="N77" s="458"/>
      <c r="O77" s="131" t="s">
        <v>37</v>
      </c>
      <c r="P77" s="97"/>
      <c r="Q77" s="98"/>
      <c r="R77" s="433"/>
      <c r="S77" s="434"/>
      <c r="T77" s="435"/>
      <c r="U77" s="160"/>
      <c r="V77" s="347"/>
      <c r="W77" s="347"/>
      <c r="X77" s="347"/>
      <c r="Y77" s="347"/>
      <c r="Z77" s="161"/>
    </row>
    <row r="78" spans="1:26" s="88" customFormat="1" ht="15.6" customHeight="1" x14ac:dyDescent="0.25">
      <c r="A78" s="95"/>
      <c r="B78" s="454" t="s">
        <v>46</v>
      </c>
      <c r="C78" s="454"/>
      <c r="D78" s="454"/>
      <c r="E78" s="454"/>
      <c r="F78" s="454"/>
      <c r="G78" s="454"/>
      <c r="H78" s="454" t="s">
        <v>47</v>
      </c>
      <c r="I78" s="454"/>
      <c r="J78" s="454"/>
      <c r="K78" s="454"/>
      <c r="L78" s="454"/>
      <c r="M78" s="454"/>
      <c r="N78" s="454"/>
      <c r="O78" s="456" t="str">
        <f>IF(M78&lt;&gt;"",IF(M79&lt;&gt;"",((M78+M79)/M79),""),"")</f>
        <v/>
      </c>
      <c r="P78" s="456"/>
      <c r="Q78" s="98"/>
      <c r="R78" s="433"/>
      <c r="S78" s="434"/>
      <c r="T78" s="435"/>
      <c r="U78" s="160"/>
      <c r="V78" s="347"/>
      <c r="W78" s="347"/>
      <c r="X78" s="347"/>
      <c r="Y78" s="347"/>
      <c r="Z78" s="161"/>
    </row>
    <row r="79" spans="1:26" s="88" customFormat="1" ht="15.6" customHeight="1" x14ac:dyDescent="0.25">
      <c r="A79" s="132"/>
      <c r="B79" s="455"/>
      <c r="C79" s="455"/>
      <c r="D79" s="455"/>
      <c r="E79" s="455"/>
      <c r="F79" s="455"/>
      <c r="G79" s="455"/>
      <c r="H79" s="455" t="s">
        <v>48</v>
      </c>
      <c r="I79" s="455"/>
      <c r="J79" s="455"/>
      <c r="K79" s="455"/>
      <c r="L79" s="455"/>
      <c r="M79" s="455"/>
      <c r="N79" s="455"/>
      <c r="O79" s="457"/>
      <c r="P79" s="457"/>
      <c r="Q79" s="133"/>
      <c r="R79" s="436"/>
      <c r="S79" s="437"/>
      <c r="T79" s="438"/>
      <c r="U79" s="162"/>
      <c r="V79" s="163"/>
      <c r="W79" s="163"/>
      <c r="X79" s="164"/>
      <c r="Y79" s="164"/>
      <c r="Z79" s="165"/>
    </row>
    <row r="81" spans="5:23" ht="12.75" customHeight="1" x14ac:dyDescent="0.25">
      <c r="P81" s="81"/>
      <c r="Q81" s="81"/>
      <c r="R81" s="81"/>
      <c r="S81" s="81"/>
      <c r="T81" s="81"/>
      <c r="U81" s="81"/>
      <c r="V81" s="81"/>
      <c r="W81" s="81"/>
    </row>
    <row r="82" spans="5:23" ht="12.75" customHeight="1" x14ac:dyDescent="0.25">
      <c r="P82" s="81"/>
      <c r="Q82" s="81"/>
      <c r="R82" s="81"/>
      <c r="S82" s="81"/>
      <c r="T82" s="81"/>
      <c r="U82" s="81"/>
      <c r="V82" s="81"/>
      <c r="W82" s="81"/>
    </row>
    <row r="83" spans="5:23" ht="12.75" customHeight="1" x14ac:dyDescent="0.25">
      <c r="P83" s="81"/>
      <c r="Q83" s="81"/>
      <c r="R83" s="81"/>
      <c r="S83" s="81"/>
      <c r="T83" s="81"/>
      <c r="U83" s="81"/>
      <c r="V83" s="81"/>
      <c r="W83" s="81"/>
    </row>
    <row r="84" spans="5:23" ht="12.75" customHeight="1" x14ac:dyDescent="0.25">
      <c r="E84" s="135"/>
      <c r="P84" s="81"/>
      <c r="Q84" s="81"/>
      <c r="R84" s="81"/>
      <c r="S84" s="81"/>
      <c r="T84" s="81"/>
      <c r="U84" s="81"/>
      <c r="V84" s="81"/>
      <c r="W84" s="81"/>
    </row>
    <row r="85" spans="5:23" ht="12.75" customHeight="1" x14ac:dyDescent="0.25">
      <c r="P85" s="81"/>
      <c r="Q85" s="81"/>
      <c r="R85" s="81"/>
      <c r="S85" s="81"/>
      <c r="T85" s="81"/>
      <c r="U85" s="81"/>
      <c r="V85" s="81"/>
      <c r="W85" s="81"/>
    </row>
    <row r="86" spans="5:23" ht="12.75" customHeight="1" x14ac:dyDescent="0.25">
      <c r="P86" s="81"/>
      <c r="Q86" s="81"/>
      <c r="R86" s="81"/>
      <c r="S86" s="81"/>
      <c r="T86" s="81"/>
      <c r="U86" s="81"/>
      <c r="V86" s="81"/>
      <c r="W86" s="81"/>
    </row>
  </sheetData>
  <sheetProtection selectLockedCells="1"/>
  <mergeCells count="145">
    <mergeCell ref="A28:A40"/>
    <mergeCell ref="J35:M35"/>
    <mergeCell ref="J36:M36"/>
    <mergeCell ref="B38:E38"/>
    <mergeCell ref="F32:I32"/>
    <mergeCell ref="B32:E32"/>
    <mergeCell ref="B33:E33"/>
    <mergeCell ref="B34:E34"/>
    <mergeCell ref="B35:E35"/>
    <mergeCell ref="B30:E30"/>
    <mergeCell ref="F28:I28"/>
    <mergeCell ref="J39:M39"/>
    <mergeCell ref="J37:M37"/>
    <mergeCell ref="F37:I37"/>
    <mergeCell ref="B40:E40"/>
    <mergeCell ref="B76:P76"/>
    <mergeCell ref="S66:U66"/>
    <mergeCell ref="S68:U68"/>
    <mergeCell ref="R74:T75"/>
    <mergeCell ref="R76:T79"/>
    <mergeCell ref="U74:Z75"/>
    <mergeCell ref="R73:T73"/>
    <mergeCell ref="U72:Z72"/>
    <mergeCell ref="U73:Z73"/>
    <mergeCell ref="B78:G79"/>
    <mergeCell ref="H78:L78"/>
    <mergeCell ref="H79:L79"/>
    <mergeCell ref="M78:N78"/>
    <mergeCell ref="M79:N79"/>
    <mergeCell ref="O78:P79"/>
    <mergeCell ref="L77:N77"/>
    <mergeCell ref="V10:Y10"/>
    <mergeCell ref="V11:Y11"/>
    <mergeCell ref="B10:F10"/>
    <mergeCell ref="U1:Z6"/>
    <mergeCell ref="G1:T1"/>
    <mergeCell ref="B12:F12"/>
    <mergeCell ref="G12:M12"/>
    <mergeCell ref="W12:Y12"/>
    <mergeCell ref="P5:T5"/>
    <mergeCell ref="A7:F7"/>
    <mergeCell ref="G7:Z7"/>
    <mergeCell ref="B8:Z8"/>
    <mergeCell ref="A1:F6"/>
    <mergeCell ref="G2:T4"/>
    <mergeCell ref="G5:H5"/>
    <mergeCell ref="J5:K5"/>
    <mergeCell ref="J6:K6"/>
    <mergeCell ref="L6:O6"/>
    <mergeCell ref="O12:Q12"/>
    <mergeCell ref="S12:U12"/>
    <mergeCell ref="G10:M10"/>
    <mergeCell ref="K14:N14"/>
    <mergeCell ref="O14:R14"/>
    <mergeCell ref="L5:O5"/>
    <mergeCell ref="P6:T6"/>
    <mergeCell ref="B11:F11"/>
    <mergeCell ref="N10:U10"/>
    <mergeCell ref="N11:U11"/>
    <mergeCell ref="G11:M11"/>
    <mergeCell ref="W37:Y39"/>
    <mergeCell ref="N30:Q30"/>
    <mergeCell ref="N31:Q31"/>
    <mergeCell ref="B39:E39"/>
    <mergeCell ref="B36:E36"/>
    <mergeCell ref="F36:I36"/>
    <mergeCell ref="B37:E37"/>
    <mergeCell ref="S14:V14"/>
    <mergeCell ref="N13:U13"/>
    <mergeCell ref="V13:X13"/>
    <mergeCell ref="F29:I29"/>
    <mergeCell ref="F30:I30"/>
    <mergeCell ref="F27:I27"/>
    <mergeCell ref="J27:M27"/>
    <mergeCell ref="F31:I31"/>
    <mergeCell ref="R28:U28"/>
    <mergeCell ref="J34:M34"/>
    <mergeCell ref="N35:Q35"/>
    <mergeCell ref="J29:M29"/>
    <mergeCell ref="J30:M30"/>
    <mergeCell ref="J31:M31"/>
    <mergeCell ref="B28:E28"/>
    <mergeCell ref="B29:E29"/>
    <mergeCell ref="B27:E27"/>
    <mergeCell ref="B21:H21"/>
    <mergeCell ref="I21:Y21"/>
    <mergeCell ref="R31:U31"/>
    <mergeCell ref="R32:U32"/>
    <mergeCell ref="N32:Q32"/>
    <mergeCell ref="B31:E31"/>
    <mergeCell ref="J28:M28"/>
    <mergeCell ref="N27:Q27"/>
    <mergeCell ref="N28:Q28"/>
    <mergeCell ref="N29:Q29"/>
    <mergeCell ref="B20:H20"/>
    <mergeCell ref="I20:Y20"/>
    <mergeCell ref="B26:U26"/>
    <mergeCell ref="R40:U40"/>
    <mergeCell ref="R33:U33"/>
    <mergeCell ref="R34:U34"/>
    <mergeCell ref="R35:U35"/>
    <mergeCell ref="R38:U38"/>
    <mergeCell ref="R36:U36"/>
    <mergeCell ref="N16:U16"/>
    <mergeCell ref="V16:X16"/>
    <mergeCell ref="B13:F13"/>
    <mergeCell ref="G13:M13"/>
    <mergeCell ref="W27:Y29"/>
    <mergeCell ref="B14:F14"/>
    <mergeCell ref="G14:J14"/>
    <mergeCell ref="F35:I35"/>
    <mergeCell ref="J32:M32"/>
    <mergeCell ref="R27:U27"/>
    <mergeCell ref="R30:U30"/>
    <mergeCell ref="B16:H16"/>
    <mergeCell ref="I16:K16"/>
    <mergeCell ref="W30:Y32"/>
    <mergeCell ref="W34:Y36"/>
    <mergeCell ref="N33:Q33"/>
    <mergeCell ref="N34:Q34"/>
    <mergeCell ref="R29:U29"/>
    <mergeCell ref="B15:H15"/>
    <mergeCell ref="I15:K15"/>
    <mergeCell ref="N15:U15"/>
    <mergeCell ref="V15:X15"/>
    <mergeCell ref="A73:Q73"/>
    <mergeCell ref="A74:Q74"/>
    <mergeCell ref="V77:Y78"/>
    <mergeCell ref="N40:Q40"/>
    <mergeCell ref="F40:I40"/>
    <mergeCell ref="J40:M40"/>
    <mergeCell ref="E42:J42"/>
    <mergeCell ref="K42:R42"/>
    <mergeCell ref="R37:U37"/>
    <mergeCell ref="N36:Q36"/>
    <mergeCell ref="J33:M33"/>
    <mergeCell ref="J38:M38"/>
    <mergeCell ref="F38:I38"/>
    <mergeCell ref="F39:I39"/>
    <mergeCell ref="F34:I34"/>
    <mergeCell ref="F33:I33"/>
    <mergeCell ref="R39:U39"/>
    <mergeCell ref="N37:Q37"/>
    <mergeCell ref="N38:Q38"/>
    <mergeCell ref="N39:Q39"/>
  </mergeCells>
  <phoneticPr fontId="2" type="noConversion"/>
  <dataValidations count="1">
    <dataValidation type="decimal" operator="greaterThanOrEqual" showInputMessage="1" showErrorMessage="1" sqref="N28:U40" xr:uid="{00000000-0002-0000-0100-000000000000}">
      <formula1>0</formula1>
    </dataValidation>
  </dataValidations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INF du 06/04/2011</oddFooter>
  </headerFooter>
  <drawing r:id="rId2"/>
  <legacyDrawing r:id="rId3"/>
  <controls>
    <mc:AlternateContent xmlns:mc="http://schemas.openxmlformats.org/markup-compatibility/2006">
      <mc:Choice Requires="x14">
        <control shapeId="5129" r:id="rId4" name="CommandButton1">
          <controlPr autoLine="0" r:id="rId5">
            <anchor moveWithCells="1">
              <from>
                <xdr:col>32</xdr:col>
                <xdr:colOff>0</xdr:colOff>
                <xdr:row>76</xdr:row>
                <xdr:rowOff>0</xdr:rowOff>
              </from>
              <to>
                <xdr:col>33</xdr:col>
                <xdr:colOff>708660</xdr:colOff>
                <xdr:row>78</xdr:row>
                <xdr:rowOff>30480</xdr:rowOff>
              </to>
            </anchor>
          </controlPr>
        </control>
      </mc:Choice>
      <mc:Fallback>
        <control shapeId="5129" r:id="rId4" name="CommandButton1"/>
      </mc:Fallback>
    </mc:AlternateContent>
    <mc:AlternateContent xmlns:mc="http://schemas.openxmlformats.org/markup-compatibility/2006">
      <mc:Choice Requires="x14">
        <control shapeId="5123" r:id="rId6" name="Check Box 3">
          <controlPr locked="0" defaultSize="0" autoFill="0" autoLine="0" autoPict="0">
            <anchor moveWithCells="1">
              <from>
                <xdr:col>21</xdr:col>
                <xdr:colOff>0</xdr:colOff>
                <xdr:row>10</xdr:row>
                <xdr:rowOff>182880</xdr:rowOff>
              </from>
              <to>
                <xdr:col>21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7" name="Check Box 4">
          <controlPr locked="0" defaultSize="0" autoFill="0" autoLine="0" autoPict="0">
            <anchor moveWithCells="1">
              <from>
                <xdr:col>17</xdr:col>
                <xdr:colOff>0</xdr:colOff>
                <xdr:row>10</xdr:row>
                <xdr:rowOff>182880</xdr:rowOff>
              </from>
              <to>
                <xdr:col>17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8" name="Check Box 5">
          <controlPr locked="0" defaultSize="0" autoFill="0" autoLine="0" autoPict="0">
            <anchor moveWithCells="1">
              <from>
                <xdr:col>13</xdr:col>
                <xdr:colOff>0</xdr:colOff>
                <xdr:row>10</xdr:row>
                <xdr:rowOff>182880</xdr:rowOff>
              </from>
              <to>
                <xdr:col>13</xdr:col>
                <xdr:colOff>304800</xdr:colOff>
                <xdr:row>12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pageSetUpPr fitToPage="1"/>
  </sheetPr>
  <dimension ref="A1:AF85"/>
  <sheetViews>
    <sheetView topLeftCell="A49" workbookViewId="0">
      <selection activeCell="W79" sqref="W79"/>
    </sheetView>
  </sheetViews>
  <sheetFormatPr baseColWidth="10" defaultColWidth="11.44140625" defaultRowHeight="12.75" customHeight="1" x14ac:dyDescent="0.25"/>
  <cols>
    <col min="1" max="1" width="5.109375" style="134" customWidth="1"/>
    <col min="2" max="26" width="5.109375" style="75" customWidth="1"/>
    <col min="27" max="27" width="11.44140625" style="75"/>
    <col min="28" max="31" width="0" style="75" hidden="1" customWidth="1"/>
    <col min="32" max="16384" width="11.44140625" style="75"/>
  </cols>
  <sheetData>
    <row r="1" spans="1:26" ht="12.75" customHeight="1" x14ac:dyDescent="0.25">
      <c r="A1" s="422"/>
      <c r="B1" s="423"/>
      <c r="C1" s="423"/>
      <c r="D1" s="423"/>
      <c r="E1" s="423"/>
      <c r="F1" s="424"/>
      <c r="G1" s="413" t="s">
        <v>39</v>
      </c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5"/>
      <c r="U1" s="404"/>
      <c r="V1" s="405"/>
      <c r="W1" s="405"/>
      <c r="X1" s="405"/>
      <c r="Y1" s="405"/>
      <c r="Z1" s="406"/>
    </row>
    <row r="2" spans="1:26" ht="12.75" customHeight="1" x14ac:dyDescent="0.25">
      <c r="A2" s="396"/>
      <c r="B2" s="397"/>
      <c r="C2" s="397"/>
      <c r="D2" s="397"/>
      <c r="E2" s="397"/>
      <c r="F2" s="398"/>
      <c r="G2" s="425" t="s">
        <v>81</v>
      </c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7"/>
      <c r="U2" s="407"/>
      <c r="V2" s="408"/>
      <c r="W2" s="408"/>
      <c r="X2" s="408"/>
      <c r="Y2" s="408"/>
      <c r="Z2" s="409"/>
    </row>
    <row r="3" spans="1:26" ht="12.75" customHeight="1" x14ac:dyDescent="0.25">
      <c r="A3" s="396"/>
      <c r="B3" s="397"/>
      <c r="C3" s="397"/>
      <c r="D3" s="397"/>
      <c r="E3" s="397"/>
      <c r="F3" s="398"/>
      <c r="G3" s="425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7"/>
      <c r="U3" s="407"/>
      <c r="V3" s="408"/>
      <c r="W3" s="408"/>
      <c r="X3" s="408"/>
      <c r="Y3" s="408"/>
      <c r="Z3" s="409"/>
    </row>
    <row r="4" spans="1:26" ht="12.75" customHeight="1" x14ac:dyDescent="0.25">
      <c r="A4" s="396"/>
      <c r="B4" s="397"/>
      <c r="C4" s="397"/>
      <c r="D4" s="397"/>
      <c r="E4" s="397"/>
      <c r="F4" s="398"/>
      <c r="G4" s="425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7"/>
      <c r="U4" s="407"/>
      <c r="V4" s="408"/>
      <c r="W4" s="408"/>
      <c r="X4" s="408"/>
      <c r="Y4" s="408"/>
      <c r="Z4" s="409"/>
    </row>
    <row r="5" spans="1:26" ht="12.75" customHeight="1" x14ac:dyDescent="0.25">
      <c r="A5" s="396"/>
      <c r="B5" s="397"/>
      <c r="C5" s="397"/>
      <c r="D5" s="397"/>
      <c r="E5" s="397"/>
      <c r="F5" s="398"/>
      <c r="G5" s="428" t="s">
        <v>40</v>
      </c>
      <c r="H5" s="429"/>
      <c r="I5" s="76" t="s">
        <v>41</v>
      </c>
      <c r="J5" s="392"/>
      <c r="K5" s="393"/>
      <c r="L5" s="391"/>
      <c r="M5" s="392"/>
      <c r="N5" s="392"/>
      <c r="O5" s="393"/>
      <c r="P5" s="416"/>
      <c r="Q5" s="417"/>
      <c r="R5" s="417"/>
      <c r="S5" s="417"/>
      <c r="T5" s="418"/>
      <c r="U5" s="407"/>
      <c r="V5" s="408"/>
      <c r="W5" s="408"/>
      <c r="X5" s="408"/>
      <c r="Y5" s="408"/>
      <c r="Z5" s="409"/>
    </row>
    <row r="6" spans="1:26" ht="12.75" customHeight="1" x14ac:dyDescent="0.25">
      <c r="A6" s="399"/>
      <c r="B6" s="400"/>
      <c r="C6" s="400"/>
      <c r="D6" s="400"/>
      <c r="E6" s="400"/>
      <c r="F6" s="401"/>
      <c r="G6" s="77"/>
      <c r="H6" s="78"/>
      <c r="I6" s="78"/>
      <c r="J6" s="394" t="s">
        <v>42</v>
      </c>
      <c r="K6" s="394"/>
      <c r="L6" s="394" t="s">
        <v>43</v>
      </c>
      <c r="M6" s="394"/>
      <c r="N6" s="394"/>
      <c r="O6" s="394"/>
      <c r="P6" s="394" t="s">
        <v>44</v>
      </c>
      <c r="Q6" s="394"/>
      <c r="R6" s="394"/>
      <c r="S6" s="394"/>
      <c r="T6" s="395"/>
      <c r="U6" s="410"/>
      <c r="V6" s="411"/>
      <c r="W6" s="411"/>
      <c r="X6" s="411"/>
      <c r="Y6" s="411"/>
      <c r="Z6" s="412"/>
    </row>
    <row r="7" spans="1:26" ht="36.75" customHeight="1" x14ac:dyDescent="0.25">
      <c r="A7" s="389" t="s">
        <v>9</v>
      </c>
      <c r="B7" s="389"/>
      <c r="C7" s="389"/>
      <c r="D7" s="389"/>
      <c r="E7" s="389"/>
      <c r="F7" s="389"/>
      <c r="G7" s="419" t="s">
        <v>17</v>
      </c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</row>
    <row r="8" spans="1:26" ht="15.6" customHeight="1" x14ac:dyDescent="0.25">
      <c r="A8" s="79" t="s">
        <v>1</v>
      </c>
      <c r="B8" s="420" t="s">
        <v>0</v>
      </c>
      <c r="C8" s="420"/>
      <c r="D8" s="420"/>
      <c r="E8" s="420"/>
      <c r="F8" s="420"/>
      <c r="G8" s="420"/>
      <c r="H8" s="420"/>
      <c r="I8" s="420"/>
      <c r="J8" s="420"/>
      <c r="K8" s="420"/>
      <c r="L8" s="420"/>
      <c r="M8" s="420"/>
      <c r="N8" s="420"/>
      <c r="O8" s="420"/>
      <c r="P8" s="420"/>
      <c r="Q8" s="420"/>
      <c r="R8" s="420"/>
      <c r="S8" s="420"/>
      <c r="T8" s="420"/>
      <c r="U8" s="420"/>
      <c r="V8" s="420"/>
      <c r="W8" s="420"/>
      <c r="X8" s="420"/>
      <c r="Y8" s="420"/>
      <c r="Z8" s="421"/>
    </row>
    <row r="9" spans="1:26" ht="8.25" customHeight="1" x14ac:dyDescent="0.25">
      <c r="A9" s="80"/>
      <c r="B9" s="81"/>
      <c r="C9" s="81"/>
      <c r="D9" s="37"/>
      <c r="E9" s="37"/>
      <c r="F9" s="37"/>
      <c r="G9" s="3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2"/>
    </row>
    <row r="10" spans="1:26" ht="15.9" customHeight="1" x14ac:dyDescent="0.25">
      <c r="A10" s="80"/>
      <c r="B10" s="338" t="s">
        <v>8</v>
      </c>
      <c r="C10" s="338"/>
      <c r="D10" s="338"/>
      <c r="E10" s="338"/>
      <c r="F10" s="338"/>
      <c r="G10" s="362"/>
      <c r="H10" s="362"/>
      <c r="I10" s="362"/>
      <c r="J10" s="362"/>
      <c r="K10" s="362"/>
      <c r="L10" s="362"/>
      <c r="M10" s="362"/>
      <c r="N10" s="338" t="s">
        <v>23</v>
      </c>
      <c r="O10" s="338"/>
      <c r="P10" s="338"/>
      <c r="Q10" s="338"/>
      <c r="R10" s="338"/>
      <c r="S10" s="338"/>
      <c r="T10" s="338"/>
      <c r="U10" s="338"/>
      <c r="V10" s="362"/>
      <c r="W10" s="362"/>
      <c r="X10" s="362"/>
      <c r="Y10" s="362"/>
      <c r="Z10" s="83"/>
    </row>
    <row r="11" spans="1:26" ht="15.9" customHeight="1" x14ac:dyDescent="0.25">
      <c r="A11" s="80"/>
      <c r="B11" s="338" t="s">
        <v>7</v>
      </c>
      <c r="C11" s="338"/>
      <c r="D11" s="338"/>
      <c r="E11" s="338"/>
      <c r="F11" s="338"/>
      <c r="G11" s="362"/>
      <c r="H11" s="362"/>
      <c r="I11" s="362"/>
      <c r="J11" s="362"/>
      <c r="K11" s="362"/>
      <c r="L11" s="362"/>
      <c r="M11" s="362"/>
      <c r="N11" s="338" t="s">
        <v>18</v>
      </c>
      <c r="O11" s="338"/>
      <c r="P11" s="338"/>
      <c r="Q11" s="338"/>
      <c r="R11" s="338"/>
      <c r="S11" s="338"/>
      <c r="T11" s="338"/>
      <c r="U11" s="338"/>
      <c r="V11" s="362"/>
      <c r="W11" s="362"/>
      <c r="X11" s="362"/>
      <c r="Y11" s="362"/>
      <c r="Z11" s="82"/>
    </row>
    <row r="12" spans="1:26" ht="15.9" customHeight="1" x14ac:dyDescent="0.25">
      <c r="A12" s="80"/>
      <c r="B12" s="338" t="s">
        <v>22</v>
      </c>
      <c r="C12" s="338"/>
      <c r="D12" s="338"/>
      <c r="E12" s="338"/>
      <c r="F12" s="338"/>
      <c r="G12" s="362"/>
      <c r="H12" s="362"/>
      <c r="I12" s="362"/>
      <c r="J12" s="362"/>
      <c r="K12" s="362"/>
      <c r="L12" s="362"/>
      <c r="M12" s="362"/>
      <c r="N12" s="137"/>
      <c r="O12" s="338" t="s">
        <v>19</v>
      </c>
      <c r="P12" s="338"/>
      <c r="Q12" s="338"/>
      <c r="R12" s="137"/>
      <c r="S12" s="338" t="s">
        <v>20</v>
      </c>
      <c r="T12" s="338"/>
      <c r="U12" s="338"/>
      <c r="V12" s="137"/>
      <c r="W12" s="338" t="s">
        <v>21</v>
      </c>
      <c r="X12" s="338"/>
      <c r="Y12" s="338"/>
      <c r="Z12" s="85"/>
    </row>
    <row r="13" spans="1:26" ht="15.9" customHeight="1" x14ac:dyDescent="0.25">
      <c r="A13" s="80"/>
      <c r="B13" s="338" t="s">
        <v>36</v>
      </c>
      <c r="C13" s="338"/>
      <c r="D13" s="338"/>
      <c r="E13" s="338"/>
      <c r="F13" s="338"/>
      <c r="G13" s="362"/>
      <c r="H13" s="362"/>
      <c r="I13" s="362"/>
      <c r="J13" s="362"/>
      <c r="K13" s="362"/>
      <c r="L13" s="362"/>
      <c r="M13" s="362"/>
      <c r="N13" s="338" t="s">
        <v>51</v>
      </c>
      <c r="O13" s="338"/>
      <c r="P13" s="338"/>
      <c r="Q13" s="338"/>
      <c r="R13" s="338"/>
      <c r="S13" s="338"/>
      <c r="T13" s="338"/>
      <c r="U13" s="338"/>
      <c r="V13" s="402"/>
      <c r="W13" s="402"/>
      <c r="X13" s="402"/>
      <c r="Y13" s="137" t="s">
        <v>52</v>
      </c>
      <c r="Z13" s="85"/>
    </row>
    <row r="14" spans="1:26" ht="15.9" customHeight="1" x14ac:dyDescent="0.25">
      <c r="A14" s="80"/>
      <c r="B14" s="338" t="s">
        <v>56</v>
      </c>
      <c r="C14" s="338"/>
      <c r="D14" s="338"/>
      <c r="E14" s="338"/>
      <c r="F14" s="338"/>
      <c r="G14" s="369" t="s">
        <v>57</v>
      </c>
      <c r="H14" s="369"/>
      <c r="I14" s="369"/>
      <c r="J14" s="369"/>
      <c r="K14" s="340"/>
      <c r="L14" s="340"/>
      <c r="M14" s="340"/>
      <c r="N14" s="340"/>
      <c r="O14" s="369" t="s">
        <v>58</v>
      </c>
      <c r="P14" s="369"/>
      <c r="Q14" s="369"/>
      <c r="R14" s="369"/>
      <c r="S14" s="340"/>
      <c r="T14" s="340"/>
      <c r="U14" s="340"/>
      <c r="V14" s="340"/>
      <c r="W14" s="137"/>
      <c r="X14" s="137"/>
      <c r="Y14" s="137"/>
      <c r="Z14" s="82"/>
    </row>
    <row r="15" spans="1:26" ht="15.9" customHeight="1" x14ac:dyDescent="0.25">
      <c r="A15" s="86"/>
      <c r="B15" s="360" t="s">
        <v>30</v>
      </c>
      <c r="C15" s="360"/>
      <c r="D15" s="360"/>
      <c r="E15" s="360"/>
      <c r="F15" s="360"/>
      <c r="G15" s="360"/>
      <c r="H15" s="360"/>
      <c r="I15" s="373">
        <v>330</v>
      </c>
      <c r="J15" s="373"/>
      <c r="K15" s="373"/>
      <c r="L15" s="139" t="s">
        <v>32</v>
      </c>
      <c r="M15" s="140"/>
      <c r="N15" s="360" t="s">
        <v>31</v>
      </c>
      <c r="O15" s="360"/>
      <c r="P15" s="360"/>
      <c r="Q15" s="360"/>
      <c r="R15" s="360"/>
      <c r="S15" s="360"/>
      <c r="T15" s="360"/>
      <c r="U15" s="360"/>
      <c r="V15" s="361">
        <v>30</v>
      </c>
      <c r="W15" s="361"/>
      <c r="X15" s="361"/>
      <c r="Y15" s="139" t="s">
        <v>32</v>
      </c>
      <c r="Z15" s="143">
        <f>V15/I15</f>
        <v>9.0909090909090912E-2</v>
      </c>
    </row>
    <row r="16" spans="1:26" s="88" customFormat="1" ht="15" x14ac:dyDescent="0.25">
      <c r="B16" s="89"/>
      <c r="C16" s="89"/>
      <c r="K16" s="90"/>
      <c r="L16" s="89"/>
      <c r="M16" s="91"/>
    </row>
    <row r="17" spans="1:32" s="88" customFormat="1" ht="15.6" customHeight="1" x14ac:dyDescent="0.25">
      <c r="A17" s="79" t="s">
        <v>2</v>
      </c>
      <c r="B17" s="92" t="s">
        <v>12</v>
      </c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4"/>
    </row>
    <row r="18" spans="1:32" s="88" customFormat="1" ht="15" x14ac:dyDescent="0.25">
      <c r="A18" s="95"/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8"/>
    </row>
    <row r="19" spans="1:32" s="88" customFormat="1" ht="15" x14ac:dyDescent="0.25">
      <c r="A19" s="95"/>
      <c r="B19" s="386" t="s">
        <v>13</v>
      </c>
      <c r="C19" s="386"/>
      <c r="D19" s="386"/>
      <c r="E19" s="386"/>
      <c r="F19" s="386"/>
      <c r="G19" s="386"/>
      <c r="H19" s="386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7"/>
      <c r="V19" s="387"/>
      <c r="W19" s="387"/>
      <c r="X19" s="387"/>
      <c r="Y19" s="387"/>
      <c r="Z19" s="99"/>
    </row>
    <row r="20" spans="1:32" s="88" customFormat="1" ht="15" x14ac:dyDescent="0.25">
      <c r="A20" s="95"/>
      <c r="B20" s="386" t="s">
        <v>14</v>
      </c>
      <c r="C20" s="386"/>
      <c r="D20" s="386"/>
      <c r="E20" s="386"/>
      <c r="F20" s="386"/>
      <c r="G20" s="386"/>
      <c r="H20" s="386"/>
      <c r="I20" s="387"/>
      <c r="J20" s="387"/>
      <c r="K20" s="387"/>
      <c r="L20" s="387"/>
      <c r="M20" s="387"/>
      <c r="N20" s="387"/>
      <c r="O20" s="387"/>
      <c r="P20" s="387"/>
      <c r="Q20" s="387"/>
      <c r="R20" s="387"/>
      <c r="S20" s="387"/>
      <c r="T20" s="387"/>
      <c r="U20" s="387"/>
      <c r="V20" s="387"/>
      <c r="W20" s="387"/>
      <c r="X20" s="387"/>
      <c r="Y20" s="387"/>
      <c r="Z20" s="147"/>
    </row>
    <row r="21" spans="1:32" s="88" customFormat="1" ht="15" x14ac:dyDescent="0.25">
      <c r="A21" s="148"/>
      <c r="B21" s="141"/>
      <c r="C21" s="141"/>
      <c r="D21" s="141"/>
      <c r="E21" s="141"/>
      <c r="F21" s="141"/>
      <c r="G21" s="141"/>
      <c r="H21" s="141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01"/>
    </row>
    <row r="22" spans="1:32" ht="12.75" customHeight="1" x14ac:dyDescent="0.25">
      <c r="A22" s="37"/>
      <c r="B22" s="81"/>
      <c r="C22" s="81"/>
      <c r="D22" s="37"/>
      <c r="E22" s="37"/>
      <c r="F22" s="37"/>
      <c r="G22" s="37"/>
      <c r="H22" s="81"/>
      <c r="I22" s="81"/>
      <c r="J22" s="81"/>
      <c r="K22" s="81"/>
      <c r="L22" s="81"/>
      <c r="M22" s="81"/>
      <c r="N22" s="102"/>
      <c r="O22" s="81"/>
      <c r="P22" s="81"/>
      <c r="Q22" s="81"/>
      <c r="R22" s="81"/>
      <c r="S22" s="81"/>
      <c r="T22" s="81"/>
      <c r="U22" s="81"/>
      <c r="V22" s="81"/>
      <c r="W22" s="81"/>
      <c r="X22" s="81"/>
    </row>
    <row r="23" spans="1:32" ht="15.6" customHeight="1" x14ac:dyDescent="0.25">
      <c r="A23" s="79" t="s">
        <v>3</v>
      </c>
      <c r="B23" s="103" t="s">
        <v>24</v>
      </c>
      <c r="C23" s="104"/>
      <c r="D23" s="105"/>
      <c r="E23" s="105"/>
      <c r="F23" s="105"/>
      <c r="G23" s="105"/>
      <c r="H23" s="104"/>
      <c r="I23" s="104"/>
      <c r="J23" s="104"/>
      <c r="K23" s="104"/>
      <c r="L23" s="104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7"/>
    </row>
    <row r="24" spans="1:32" ht="12.75" customHeight="1" x14ac:dyDescent="0.25">
      <c r="A24" s="80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2"/>
    </row>
    <row r="25" spans="1:32" ht="12.75" customHeight="1" x14ac:dyDescent="0.25">
      <c r="A25" s="108"/>
      <c r="B25" s="388" t="s">
        <v>27</v>
      </c>
      <c r="C25" s="389"/>
      <c r="D25" s="389"/>
      <c r="E25" s="389"/>
      <c r="F25" s="389"/>
      <c r="G25" s="389"/>
      <c r="H25" s="389"/>
      <c r="I25" s="389"/>
      <c r="J25" s="389"/>
      <c r="K25" s="389"/>
      <c r="L25" s="389"/>
      <c r="M25" s="389"/>
      <c r="N25" s="389"/>
      <c r="O25" s="389"/>
      <c r="P25" s="389"/>
      <c r="Q25" s="389"/>
      <c r="R25" s="389"/>
      <c r="S25" s="389"/>
      <c r="T25" s="389"/>
      <c r="U25" s="389"/>
      <c r="V25" s="109"/>
      <c r="W25" s="110"/>
      <c r="X25" s="110"/>
      <c r="Y25" s="110"/>
      <c r="AA25" s="111"/>
    </row>
    <row r="26" spans="1:32" ht="12.75" customHeight="1" x14ac:dyDescent="0.25">
      <c r="A26" s="108"/>
      <c r="B26" s="370" t="s">
        <v>45</v>
      </c>
      <c r="C26" s="371"/>
      <c r="D26" s="371"/>
      <c r="E26" s="372"/>
      <c r="F26" s="370" t="s">
        <v>29</v>
      </c>
      <c r="G26" s="371"/>
      <c r="H26" s="371"/>
      <c r="I26" s="372"/>
      <c r="J26" s="370" t="s">
        <v>28</v>
      </c>
      <c r="K26" s="371"/>
      <c r="L26" s="371"/>
      <c r="M26" s="372"/>
      <c r="N26" s="370" t="s">
        <v>25</v>
      </c>
      <c r="O26" s="371"/>
      <c r="P26" s="371"/>
      <c r="Q26" s="372"/>
      <c r="R26" s="370" t="s">
        <v>26</v>
      </c>
      <c r="S26" s="371"/>
      <c r="T26" s="371"/>
      <c r="U26" s="372"/>
      <c r="W26" s="363" t="s">
        <v>53</v>
      </c>
      <c r="X26" s="364"/>
      <c r="Y26" s="365"/>
      <c r="AA26" s="111"/>
    </row>
    <row r="27" spans="1:32" ht="12.75" customHeight="1" x14ac:dyDescent="0.25">
      <c r="A27" s="459"/>
      <c r="B27" s="464">
        <v>0</v>
      </c>
      <c r="C27" s="464"/>
      <c r="D27" s="464"/>
      <c r="E27" s="464"/>
      <c r="F27" s="460"/>
      <c r="G27" s="460"/>
      <c r="H27" s="460"/>
      <c r="I27" s="460"/>
      <c r="J27" s="354"/>
      <c r="K27" s="355"/>
      <c r="L27" s="355"/>
      <c r="M27" s="356"/>
      <c r="N27" s="383"/>
      <c r="O27" s="384"/>
      <c r="P27" s="384"/>
      <c r="Q27" s="385"/>
      <c r="R27" s="403"/>
      <c r="S27" s="403"/>
      <c r="T27" s="403"/>
      <c r="U27" s="403"/>
      <c r="W27" s="366"/>
      <c r="X27" s="367"/>
      <c r="Y27" s="368"/>
      <c r="AA27" s="111"/>
      <c r="AB27" s="81"/>
      <c r="AC27" s="81"/>
      <c r="AD27" s="81"/>
      <c r="AE27" s="81"/>
      <c r="AF27" s="81"/>
    </row>
    <row r="28" spans="1:32" ht="12.75" customHeight="1" x14ac:dyDescent="0.25">
      <c r="A28" s="459"/>
      <c r="B28" s="461">
        <f>B27+120</f>
        <v>120</v>
      </c>
      <c r="C28" s="462"/>
      <c r="D28" s="462"/>
      <c r="E28" s="463"/>
      <c r="F28" s="351"/>
      <c r="G28" s="352"/>
      <c r="H28" s="352"/>
      <c r="I28" s="353"/>
      <c r="J28" s="354"/>
      <c r="K28" s="355"/>
      <c r="L28" s="355"/>
      <c r="M28" s="356"/>
      <c r="N28" s="348" t="str">
        <f>IF(J28&lt;&gt;"",((J28-J27)/((B28-B27)*1000)*($V$15/$I$15)),"")</f>
        <v/>
      </c>
      <c r="O28" s="349"/>
      <c r="P28" s="349"/>
      <c r="Q28" s="350"/>
      <c r="R28" s="348" t="str">
        <f>IF(N28&lt;&gt;"",N28*AE28,"")</f>
        <v/>
      </c>
      <c r="S28" s="349"/>
      <c r="T28" s="349"/>
      <c r="U28" s="350"/>
      <c r="W28" s="366"/>
      <c r="X28" s="367"/>
      <c r="Y28" s="368"/>
      <c r="AA28" s="111"/>
      <c r="AB28" s="37">
        <f t="shared" ref="AB28:AB39" si="0">20-F28</f>
        <v>20</v>
      </c>
      <c r="AC28" s="37">
        <f t="shared" ref="AC28:AC39" si="1">AB28*AB28</f>
        <v>400</v>
      </c>
      <c r="AD28" s="37">
        <f t="shared" ref="AD28:AD39" si="2">AB28*AB28*AB28</f>
        <v>8000</v>
      </c>
      <c r="AE28" s="38">
        <f t="shared" ref="AE28:AE39" si="3">EXP(((0.0244)*(AB28))+((0.00018)*((AC28)))+((0.0000025)*((AD28))))</f>
        <v>1.7860384307500734</v>
      </c>
      <c r="AF28" s="81"/>
    </row>
    <row r="29" spans="1:32" ht="12.75" customHeight="1" x14ac:dyDescent="0.25">
      <c r="A29" s="459"/>
      <c r="B29" s="461">
        <f t="shared" ref="B29:B39" si="4">B28+120</f>
        <v>240</v>
      </c>
      <c r="C29" s="462"/>
      <c r="D29" s="462"/>
      <c r="E29" s="463"/>
      <c r="F29" s="351"/>
      <c r="G29" s="352"/>
      <c r="H29" s="352"/>
      <c r="I29" s="353"/>
      <c r="J29" s="354"/>
      <c r="K29" s="355"/>
      <c r="L29" s="355"/>
      <c r="M29" s="356"/>
      <c r="N29" s="348" t="str">
        <f t="shared" ref="N29:N39" si="5">IF(J29&lt;&gt;"",((J29-J28)/((B29-B28)*1000)*($V$15/$I$15)),"")</f>
        <v/>
      </c>
      <c r="O29" s="349"/>
      <c r="P29" s="349"/>
      <c r="Q29" s="350"/>
      <c r="R29" s="348" t="str">
        <f t="shared" ref="R29:R39" si="6">IF(N29&lt;&gt;"",N29*AE29,"")</f>
        <v/>
      </c>
      <c r="S29" s="349"/>
      <c r="T29" s="349"/>
      <c r="U29" s="350"/>
      <c r="W29" s="396"/>
      <c r="X29" s="397"/>
      <c r="Y29" s="398"/>
      <c r="AA29" s="111"/>
      <c r="AB29" s="37">
        <f t="shared" si="0"/>
        <v>20</v>
      </c>
      <c r="AC29" s="37">
        <f t="shared" si="1"/>
        <v>400</v>
      </c>
      <c r="AD29" s="37">
        <f t="shared" si="2"/>
        <v>8000</v>
      </c>
      <c r="AE29" s="38">
        <f t="shared" si="3"/>
        <v>1.7860384307500734</v>
      </c>
      <c r="AF29" s="81"/>
    </row>
    <row r="30" spans="1:32" ht="12.75" customHeight="1" x14ac:dyDescent="0.25">
      <c r="A30" s="459"/>
      <c r="B30" s="461">
        <f t="shared" si="4"/>
        <v>360</v>
      </c>
      <c r="C30" s="462"/>
      <c r="D30" s="462"/>
      <c r="E30" s="463"/>
      <c r="F30" s="351"/>
      <c r="G30" s="352"/>
      <c r="H30" s="352"/>
      <c r="I30" s="353"/>
      <c r="J30" s="354"/>
      <c r="K30" s="355"/>
      <c r="L30" s="355"/>
      <c r="M30" s="356"/>
      <c r="N30" s="348" t="str">
        <f t="shared" si="5"/>
        <v/>
      </c>
      <c r="O30" s="349"/>
      <c r="P30" s="349"/>
      <c r="Q30" s="350"/>
      <c r="R30" s="348" t="str">
        <f t="shared" si="6"/>
        <v/>
      </c>
      <c r="S30" s="349"/>
      <c r="T30" s="349"/>
      <c r="U30" s="350"/>
      <c r="W30" s="396"/>
      <c r="X30" s="397"/>
      <c r="Y30" s="398"/>
      <c r="AA30" s="111"/>
      <c r="AB30" s="37">
        <f t="shared" si="0"/>
        <v>20</v>
      </c>
      <c r="AC30" s="37">
        <f t="shared" si="1"/>
        <v>400</v>
      </c>
      <c r="AD30" s="37">
        <f t="shared" si="2"/>
        <v>8000</v>
      </c>
      <c r="AE30" s="38">
        <f t="shared" si="3"/>
        <v>1.7860384307500734</v>
      </c>
      <c r="AF30" s="112"/>
    </row>
    <row r="31" spans="1:32" ht="12.75" customHeight="1" x14ac:dyDescent="0.25">
      <c r="A31" s="459"/>
      <c r="B31" s="461">
        <f t="shared" si="4"/>
        <v>480</v>
      </c>
      <c r="C31" s="462"/>
      <c r="D31" s="462"/>
      <c r="E31" s="463"/>
      <c r="F31" s="351"/>
      <c r="G31" s="352"/>
      <c r="H31" s="352"/>
      <c r="I31" s="353"/>
      <c r="J31" s="354"/>
      <c r="K31" s="355"/>
      <c r="L31" s="355"/>
      <c r="M31" s="356"/>
      <c r="N31" s="348" t="str">
        <f t="shared" si="5"/>
        <v/>
      </c>
      <c r="O31" s="349"/>
      <c r="P31" s="349"/>
      <c r="Q31" s="350"/>
      <c r="R31" s="348" t="str">
        <f t="shared" si="6"/>
        <v/>
      </c>
      <c r="S31" s="349"/>
      <c r="T31" s="349"/>
      <c r="U31" s="350"/>
      <c r="W31" s="399"/>
      <c r="X31" s="400"/>
      <c r="Y31" s="401"/>
      <c r="AA31" s="111"/>
      <c r="AB31" s="37">
        <f t="shared" si="0"/>
        <v>20</v>
      </c>
      <c r="AC31" s="37">
        <f t="shared" si="1"/>
        <v>400</v>
      </c>
      <c r="AD31" s="37">
        <f t="shared" si="2"/>
        <v>8000</v>
      </c>
      <c r="AE31" s="38">
        <f t="shared" si="3"/>
        <v>1.7860384307500734</v>
      </c>
      <c r="AF31" s="81"/>
    </row>
    <row r="32" spans="1:32" ht="12.75" customHeight="1" x14ac:dyDescent="0.25">
      <c r="A32" s="459"/>
      <c r="B32" s="461">
        <f t="shared" si="4"/>
        <v>600</v>
      </c>
      <c r="C32" s="462"/>
      <c r="D32" s="462"/>
      <c r="E32" s="463"/>
      <c r="F32" s="351"/>
      <c r="G32" s="352"/>
      <c r="H32" s="352"/>
      <c r="I32" s="353"/>
      <c r="J32" s="354"/>
      <c r="K32" s="355"/>
      <c r="L32" s="355"/>
      <c r="M32" s="356"/>
      <c r="N32" s="348" t="str">
        <f t="shared" si="5"/>
        <v/>
      </c>
      <c r="O32" s="349"/>
      <c r="P32" s="349"/>
      <c r="Q32" s="350"/>
      <c r="R32" s="348" t="str">
        <f t="shared" si="6"/>
        <v/>
      </c>
      <c r="S32" s="349"/>
      <c r="T32" s="349"/>
      <c r="U32" s="350"/>
      <c r="W32" s="113"/>
      <c r="X32" s="113"/>
      <c r="Y32" s="113"/>
      <c r="AA32" s="111"/>
      <c r="AB32" s="37">
        <f t="shared" si="0"/>
        <v>20</v>
      </c>
      <c r="AC32" s="37">
        <f t="shared" si="1"/>
        <v>400</v>
      </c>
      <c r="AD32" s="37">
        <f t="shared" si="2"/>
        <v>8000</v>
      </c>
      <c r="AE32" s="38">
        <f t="shared" si="3"/>
        <v>1.7860384307500734</v>
      </c>
      <c r="AF32" s="81"/>
    </row>
    <row r="33" spans="1:32" ht="12.75" customHeight="1" x14ac:dyDescent="0.25">
      <c r="A33" s="459"/>
      <c r="B33" s="461">
        <f t="shared" si="4"/>
        <v>720</v>
      </c>
      <c r="C33" s="462"/>
      <c r="D33" s="462"/>
      <c r="E33" s="463"/>
      <c r="F33" s="351"/>
      <c r="G33" s="352"/>
      <c r="H33" s="352"/>
      <c r="I33" s="353"/>
      <c r="J33" s="354"/>
      <c r="K33" s="355"/>
      <c r="L33" s="355"/>
      <c r="M33" s="356"/>
      <c r="N33" s="348" t="str">
        <f t="shared" si="5"/>
        <v/>
      </c>
      <c r="O33" s="349"/>
      <c r="P33" s="349"/>
      <c r="Q33" s="350"/>
      <c r="R33" s="348" t="str">
        <f t="shared" si="6"/>
        <v/>
      </c>
      <c r="S33" s="349"/>
      <c r="T33" s="349"/>
      <c r="U33" s="350"/>
      <c r="W33" s="363" t="s">
        <v>54</v>
      </c>
      <c r="X33" s="364"/>
      <c r="Y33" s="365"/>
      <c r="AA33" s="111"/>
      <c r="AB33" s="37">
        <f t="shared" si="0"/>
        <v>20</v>
      </c>
      <c r="AC33" s="37">
        <f t="shared" si="1"/>
        <v>400</v>
      </c>
      <c r="AD33" s="37">
        <f t="shared" si="2"/>
        <v>8000</v>
      </c>
      <c r="AE33" s="38">
        <f t="shared" si="3"/>
        <v>1.7860384307500734</v>
      </c>
      <c r="AF33" s="81"/>
    </row>
    <row r="34" spans="1:32" ht="12.75" customHeight="1" x14ac:dyDescent="0.25">
      <c r="A34" s="459"/>
      <c r="B34" s="461">
        <f t="shared" si="4"/>
        <v>840</v>
      </c>
      <c r="C34" s="462"/>
      <c r="D34" s="462"/>
      <c r="E34" s="463"/>
      <c r="F34" s="351"/>
      <c r="G34" s="352"/>
      <c r="H34" s="352"/>
      <c r="I34" s="353"/>
      <c r="J34" s="354"/>
      <c r="K34" s="355"/>
      <c r="L34" s="355"/>
      <c r="M34" s="356"/>
      <c r="N34" s="348" t="str">
        <f t="shared" si="5"/>
        <v/>
      </c>
      <c r="O34" s="349"/>
      <c r="P34" s="349"/>
      <c r="Q34" s="350"/>
      <c r="R34" s="348" t="str">
        <f t="shared" si="6"/>
        <v/>
      </c>
      <c r="S34" s="349"/>
      <c r="T34" s="349"/>
      <c r="U34" s="350"/>
      <c r="W34" s="366"/>
      <c r="X34" s="367"/>
      <c r="Y34" s="368"/>
      <c r="AA34" s="111"/>
      <c r="AB34" s="37">
        <f t="shared" si="0"/>
        <v>20</v>
      </c>
      <c r="AC34" s="37">
        <f t="shared" si="1"/>
        <v>400</v>
      </c>
      <c r="AD34" s="37">
        <f t="shared" si="2"/>
        <v>8000</v>
      </c>
      <c r="AE34" s="38">
        <f t="shared" si="3"/>
        <v>1.7860384307500734</v>
      </c>
      <c r="AF34" s="81"/>
    </row>
    <row r="35" spans="1:32" ht="12.75" customHeight="1" x14ac:dyDescent="0.25">
      <c r="A35" s="459"/>
      <c r="B35" s="461">
        <f t="shared" si="4"/>
        <v>960</v>
      </c>
      <c r="C35" s="462"/>
      <c r="D35" s="462"/>
      <c r="E35" s="463"/>
      <c r="F35" s="351"/>
      <c r="G35" s="352"/>
      <c r="H35" s="352"/>
      <c r="I35" s="353"/>
      <c r="J35" s="354"/>
      <c r="K35" s="355"/>
      <c r="L35" s="355"/>
      <c r="M35" s="356"/>
      <c r="N35" s="348" t="str">
        <f t="shared" si="5"/>
        <v/>
      </c>
      <c r="O35" s="349"/>
      <c r="P35" s="349"/>
      <c r="Q35" s="350"/>
      <c r="R35" s="348" t="str">
        <f t="shared" si="6"/>
        <v/>
      </c>
      <c r="S35" s="349"/>
      <c r="T35" s="349"/>
      <c r="U35" s="350"/>
      <c r="W35" s="366"/>
      <c r="X35" s="367"/>
      <c r="Y35" s="368"/>
      <c r="AA35" s="111"/>
      <c r="AB35" s="37">
        <f t="shared" si="0"/>
        <v>20</v>
      </c>
      <c r="AC35" s="37">
        <f t="shared" si="1"/>
        <v>400</v>
      </c>
      <c r="AD35" s="37">
        <f t="shared" si="2"/>
        <v>8000</v>
      </c>
      <c r="AE35" s="38">
        <f t="shared" si="3"/>
        <v>1.7860384307500734</v>
      </c>
    </row>
    <row r="36" spans="1:32" ht="12.75" customHeight="1" x14ac:dyDescent="0.25">
      <c r="A36" s="459"/>
      <c r="B36" s="461">
        <f t="shared" si="4"/>
        <v>1080</v>
      </c>
      <c r="C36" s="462"/>
      <c r="D36" s="462"/>
      <c r="E36" s="463"/>
      <c r="F36" s="351"/>
      <c r="G36" s="352"/>
      <c r="H36" s="352"/>
      <c r="I36" s="353"/>
      <c r="J36" s="354"/>
      <c r="K36" s="355"/>
      <c r="L36" s="355"/>
      <c r="M36" s="356"/>
      <c r="N36" s="348" t="str">
        <f t="shared" si="5"/>
        <v/>
      </c>
      <c r="O36" s="349"/>
      <c r="P36" s="349"/>
      <c r="Q36" s="350"/>
      <c r="R36" s="348" t="str">
        <f t="shared" si="6"/>
        <v/>
      </c>
      <c r="S36" s="349"/>
      <c r="T36" s="349"/>
      <c r="U36" s="350"/>
      <c r="W36" s="396"/>
      <c r="X36" s="397"/>
      <c r="Y36" s="398"/>
      <c r="AA36" s="111"/>
      <c r="AB36" s="37">
        <f t="shared" si="0"/>
        <v>20</v>
      </c>
      <c r="AC36" s="37">
        <f t="shared" si="1"/>
        <v>400</v>
      </c>
      <c r="AD36" s="37">
        <f t="shared" si="2"/>
        <v>8000</v>
      </c>
      <c r="AE36" s="38">
        <f t="shared" si="3"/>
        <v>1.7860384307500734</v>
      </c>
    </row>
    <row r="37" spans="1:32" ht="12.75" customHeight="1" x14ac:dyDescent="0.25">
      <c r="A37" s="459"/>
      <c r="B37" s="461">
        <f t="shared" si="4"/>
        <v>1200</v>
      </c>
      <c r="C37" s="462"/>
      <c r="D37" s="462"/>
      <c r="E37" s="463"/>
      <c r="F37" s="351"/>
      <c r="G37" s="352"/>
      <c r="H37" s="352"/>
      <c r="I37" s="353"/>
      <c r="J37" s="354"/>
      <c r="K37" s="355"/>
      <c r="L37" s="355"/>
      <c r="M37" s="356"/>
      <c r="N37" s="348" t="str">
        <f t="shared" si="5"/>
        <v/>
      </c>
      <c r="O37" s="349"/>
      <c r="P37" s="349"/>
      <c r="Q37" s="350"/>
      <c r="R37" s="348" t="str">
        <f t="shared" si="6"/>
        <v/>
      </c>
      <c r="S37" s="349"/>
      <c r="T37" s="349"/>
      <c r="U37" s="350"/>
      <c r="W37" s="396"/>
      <c r="X37" s="397"/>
      <c r="Y37" s="398"/>
      <c r="AA37" s="111"/>
      <c r="AB37" s="37">
        <f t="shared" si="0"/>
        <v>20</v>
      </c>
      <c r="AC37" s="37">
        <f t="shared" si="1"/>
        <v>400</v>
      </c>
      <c r="AD37" s="37">
        <f t="shared" si="2"/>
        <v>8000</v>
      </c>
      <c r="AE37" s="38">
        <f t="shared" si="3"/>
        <v>1.7860384307500734</v>
      </c>
    </row>
    <row r="38" spans="1:32" ht="12.75" customHeight="1" x14ac:dyDescent="0.25">
      <c r="A38" s="459"/>
      <c r="B38" s="461">
        <f t="shared" si="4"/>
        <v>1320</v>
      </c>
      <c r="C38" s="462"/>
      <c r="D38" s="462"/>
      <c r="E38" s="463"/>
      <c r="F38" s="351"/>
      <c r="G38" s="352"/>
      <c r="H38" s="352"/>
      <c r="I38" s="353"/>
      <c r="J38" s="354"/>
      <c r="K38" s="355"/>
      <c r="L38" s="355"/>
      <c r="M38" s="356"/>
      <c r="N38" s="348" t="str">
        <f t="shared" si="5"/>
        <v/>
      </c>
      <c r="O38" s="349"/>
      <c r="P38" s="349"/>
      <c r="Q38" s="350"/>
      <c r="R38" s="348" t="str">
        <f t="shared" si="6"/>
        <v/>
      </c>
      <c r="S38" s="349"/>
      <c r="T38" s="349"/>
      <c r="U38" s="350"/>
      <c r="W38" s="399"/>
      <c r="X38" s="400"/>
      <c r="Y38" s="401"/>
      <c r="AA38" s="111"/>
      <c r="AB38" s="37">
        <f t="shared" si="0"/>
        <v>20</v>
      </c>
      <c r="AC38" s="37">
        <f t="shared" si="1"/>
        <v>400</v>
      </c>
      <c r="AD38" s="37">
        <f t="shared" si="2"/>
        <v>8000</v>
      </c>
      <c r="AE38" s="38">
        <f t="shared" si="3"/>
        <v>1.7860384307500734</v>
      </c>
    </row>
    <row r="39" spans="1:32" ht="12.75" customHeight="1" x14ac:dyDescent="0.25">
      <c r="A39" s="459"/>
      <c r="B39" s="461">
        <f t="shared" si="4"/>
        <v>1440</v>
      </c>
      <c r="C39" s="462"/>
      <c r="D39" s="462"/>
      <c r="E39" s="463"/>
      <c r="F39" s="351"/>
      <c r="G39" s="352"/>
      <c r="H39" s="352"/>
      <c r="I39" s="353"/>
      <c r="J39" s="354"/>
      <c r="K39" s="355"/>
      <c r="L39" s="355"/>
      <c r="M39" s="356"/>
      <c r="N39" s="348" t="str">
        <f t="shared" si="5"/>
        <v/>
      </c>
      <c r="O39" s="349"/>
      <c r="P39" s="349"/>
      <c r="Q39" s="350"/>
      <c r="R39" s="348" t="str">
        <f t="shared" si="6"/>
        <v/>
      </c>
      <c r="S39" s="349"/>
      <c r="T39" s="349"/>
      <c r="U39" s="350"/>
      <c r="Z39" s="144"/>
      <c r="AA39" s="111"/>
      <c r="AB39" s="37">
        <f t="shared" si="0"/>
        <v>20</v>
      </c>
      <c r="AC39" s="37">
        <f t="shared" si="1"/>
        <v>400</v>
      </c>
      <c r="AD39" s="37">
        <f t="shared" si="2"/>
        <v>8000</v>
      </c>
      <c r="AE39" s="38">
        <f t="shared" si="3"/>
        <v>1.7860384307500734</v>
      </c>
    </row>
    <row r="40" spans="1:32" ht="12.75" customHeight="1" x14ac:dyDescent="0.25">
      <c r="A40" s="80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2"/>
    </row>
    <row r="41" spans="1:32" ht="12.75" customHeight="1" x14ac:dyDescent="0.25">
      <c r="A41" s="80"/>
      <c r="B41" s="81"/>
      <c r="C41" s="81"/>
      <c r="D41" s="81"/>
      <c r="E41" s="465" t="s">
        <v>49</v>
      </c>
      <c r="F41" s="466"/>
      <c r="G41" s="466"/>
      <c r="H41" s="466"/>
      <c r="I41" s="466"/>
      <c r="J41" s="466"/>
      <c r="K41" s="466" t="s">
        <v>85</v>
      </c>
      <c r="L41" s="466"/>
      <c r="M41" s="466"/>
      <c r="N41" s="466"/>
      <c r="O41" s="466"/>
      <c r="P41" s="466"/>
      <c r="Q41" s="466"/>
      <c r="R41" s="467"/>
      <c r="S41" s="81"/>
      <c r="T41" s="81"/>
      <c r="U41" s="81"/>
      <c r="V41" s="81"/>
      <c r="W41" s="81"/>
      <c r="X41" s="81"/>
      <c r="Y41" s="81"/>
      <c r="Z41" s="82"/>
    </row>
    <row r="42" spans="1:32" ht="12.75" customHeight="1" x14ac:dyDescent="0.25">
      <c r="A42" s="80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2"/>
    </row>
    <row r="43" spans="1:32" ht="12.75" customHeight="1" x14ac:dyDescent="0.25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2"/>
    </row>
    <row r="44" spans="1:32" ht="12.75" customHeight="1" x14ac:dyDescent="0.25">
      <c r="A44" s="80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2"/>
    </row>
    <row r="45" spans="1:32" ht="12.75" customHeight="1" x14ac:dyDescent="0.25">
      <c r="A45" s="80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2"/>
    </row>
    <row r="46" spans="1:32" ht="12.75" customHeight="1" x14ac:dyDescent="0.25">
      <c r="A46" s="80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2"/>
    </row>
    <row r="47" spans="1:32" ht="12.75" customHeight="1" x14ac:dyDescent="0.25">
      <c r="A47" s="80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2"/>
    </row>
    <row r="48" spans="1:32" ht="12.75" customHeight="1" x14ac:dyDescent="0.25">
      <c r="A48" s="80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2"/>
    </row>
    <row r="49" spans="1:26" ht="12.75" customHeight="1" x14ac:dyDescent="0.25">
      <c r="A49" s="80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2"/>
    </row>
    <row r="50" spans="1:26" ht="12.75" customHeight="1" x14ac:dyDescent="0.25">
      <c r="A50" s="80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2"/>
    </row>
    <row r="51" spans="1:26" ht="12.75" customHeight="1" x14ac:dyDescent="0.25">
      <c r="A51" s="80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2"/>
    </row>
    <row r="52" spans="1:26" ht="12.75" customHeight="1" x14ac:dyDescent="0.25">
      <c r="A52" s="80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2"/>
    </row>
    <row r="53" spans="1:26" ht="12.75" customHeight="1" x14ac:dyDescent="0.25">
      <c r="A53" s="80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2"/>
    </row>
    <row r="54" spans="1:26" ht="12.75" customHeight="1" x14ac:dyDescent="0.25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2"/>
    </row>
    <row r="55" spans="1:26" ht="12.75" customHeight="1" x14ac:dyDescent="0.25">
      <c r="A55" s="80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2"/>
    </row>
    <row r="56" spans="1:26" ht="12.75" customHeight="1" x14ac:dyDescent="0.25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2"/>
    </row>
    <row r="57" spans="1:26" ht="12.75" customHeight="1" x14ac:dyDescent="0.25">
      <c r="A57" s="80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2"/>
    </row>
    <row r="58" spans="1:26" ht="12.75" customHeight="1" x14ac:dyDescent="0.25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2"/>
    </row>
    <row r="59" spans="1:26" ht="12.75" customHeight="1" x14ac:dyDescent="0.25">
      <c r="A59" s="80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2"/>
    </row>
    <row r="60" spans="1:26" ht="12.75" customHeight="1" x14ac:dyDescent="0.25">
      <c r="A60" s="80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2"/>
    </row>
    <row r="61" spans="1:26" ht="12.75" customHeight="1" x14ac:dyDescent="0.25">
      <c r="A61" s="80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2"/>
    </row>
    <row r="62" spans="1:26" ht="12.75" customHeight="1" x14ac:dyDescent="0.25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2"/>
    </row>
    <row r="63" spans="1:26" ht="12.75" customHeight="1" x14ac:dyDescent="0.25">
      <c r="A63" s="115"/>
      <c r="B63" s="106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</row>
    <row r="64" spans="1:26" ht="15.6" customHeight="1" thickBot="1" x14ac:dyDescent="0.3">
      <c r="A64" s="79" t="s">
        <v>5</v>
      </c>
      <c r="B64" s="103" t="s">
        <v>33</v>
      </c>
      <c r="C64" s="116"/>
      <c r="D64" s="11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</row>
    <row r="65" spans="1:26" ht="15.9" customHeight="1" thickBot="1" x14ac:dyDescent="0.3">
      <c r="A65" s="80"/>
      <c r="B65" s="37"/>
      <c r="C65" s="37"/>
      <c r="D65" s="37"/>
      <c r="E65" s="37"/>
      <c r="F65" s="37"/>
      <c r="G65" s="136" t="s">
        <v>34</v>
      </c>
      <c r="H65" s="138"/>
      <c r="I65" s="138"/>
      <c r="J65" s="138"/>
      <c r="K65" s="138"/>
      <c r="L65" s="138"/>
      <c r="M65" s="138"/>
      <c r="N65" s="138"/>
      <c r="O65" s="138"/>
      <c r="P65" s="138"/>
      <c r="Q65" s="149"/>
      <c r="R65" s="149"/>
      <c r="S65" s="430" t="str">
        <f>N39</f>
        <v/>
      </c>
      <c r="T65" s="431"/>
      <c r="U65" s="432"/>
      <c r="Y65" s="81"/>
      <c r="Z65" s="82"/>
    </row>
    <row r="66" spans="1:26" ht="15.9" customHeight="1" thickBot="1" x14ac:dyDescent="0.3">
      <c r="A66" s="37"/>
      <c r="B66" s="37"/>
      <c r="C66" s="37"/>
      <c r="D66" s="37"/>
      <c r="E66" s="37"/>
      <c r="F66" s="37"/>
      <c r="G66" s="136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50"/>
      <c r="T66" s="151"/>
      <c r="U66" s="151"/>
      <c r="V66" s="81"/>
      <c r="W66" s="81"/>
      <c r="X66" s="81"/>
      <c r="Y66" s="81"/>
      <c r="Z66" s="82"/>
    </row>
    <row r="67" spans="1:26" ht="15.9" customHeight="1" thickBot="1" x14ac:dyDescent="0.3">
      <c r="A67" s="75"/>
      <c r="G67" s="136" t="s">
        <v>35</v>
      </c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430" t="str">
        <f>R39</f>
        <v/>
      </c>
      <c r="T67" s="431"/>
      <c r="U67" s="432"/>
      <c r="Z67" s="82"/>
    </row>
    <row r="68" spans="1:26" ht="12.75" customHeight="1" x14ac:dyDescent="0.25">
      <c r="A68" s="37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Z68" s="82"/>
    </row>
    <row r="69" spans="1:26" ht="15.9" customHeight="1" x14ac:dyDescent="0.25">
      <c r="A69" s="117"/>
      <c r="B69" s="11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119"/>
    </row>
    <row r="70" spans="1:26" ht="12.75" customHeight="1" x14ac:dyDescent="0.25">
      <c r="A70" s="120"/>
      <c r="B70" s="12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</row>
    <row r="71" spans="1:26" s="88" customFormat="1" ht="15.6" customHeight="1" x14ac:dyDescent="0.25">
      <c r="A71" s="122" t="s">
        <v>4</v>
      </c>
      <c r="B71" s="123" t="s">
        <v>16</v>
      </c>
      <c r="C71" s="124"/>
      <c r="D71" s="124"/>
      <c r="E71" s="124"/>
      <c r="F71" s="125"/>
      <c r="G71" s="125"/>
      <c r="H71" s="125"/>
      <c r="I71" s="106"/>
      <c r="J71" s="106"/>
      <c r="K71" s="106"/>
      <c r="L71" s="106"/>
      <c r="M71" s="106"/>
      <c r="N71" s="106"/>
      <c r="O71" s="106"/>
      <c r="P71" s="106"/>
      <c r="Q71" s="125"/>
      <c r="R71" s="106"/>
      <c r="S71" s="106"/>
      <c r="T71" s="106"/>
      <c r="U71" s="447"/>
      <c r="V71" s="447"/>
      <c r="W71" s="447"/>
      <c r="X71" s="448"/>
      <c r="Y71" s="448"/>
      <c r="Z71" s="449"/>
    </row>
    <row r="72" spans="1:26" s="88" customFormat="1" ht="26.4" customHeight="1" x14ac:dyDescent="0.25">
      <c r="A72" s="341" t="s">
        <v>87</v>
      </c>
      <c r="B72" s="342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  <c r="Q72" s="343"/>
      <c r="R72" s="433" t="s">
        <v>10</v>
      </c>
      <c r="S72" s="434"/>
      <c r="T72" s="435"/>
      <c r="U72" s="450"/>
      <c r="V72" s="451"/>
      <c r="W72" s="451"/>
      <c r="X72" s="452"/>
      <c r="Y72" s="452"/>
      <c r="Z72" s="453"/>
    </row>
    <row r="73" spans="1:26" s="88" customFormat="1" ht="26.4" customHeight="1" x14ac:dyDescent="0.25">
      <c r="A73" s="344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6"/>
      <c r="R73" s="433"/>
      <c r="S73" s="434"/>
      <c r="T73" s="435"/>
      <c r="U73" s="439"/>
      <c r="V73" s="440"/>
      <c r="W73" s="440"/>
      <c r="X73" s="441"/>
      <c r="Y73" s="441"/>
      <c r="Z73" s="442"/>
    </row>
    <row r="74" spans="1:26" s="88" customFormat="1" ht="15.6" customHeight="1" x14ac:dyDescent="0.25">
      <c r="A74" s="145" t="s">
        <v>15</v>
      </c>
      <c r="B74" s="146" t="s">
        <v>6</v>
      </c>
      <c r="C74" s="81"/>
      <c r="D74" s="81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3"/>
      <c r="R74" s="433"/>
      <c r="S74" s="434"/>
      <c r="T74" s="435"/>
      <c r="U74" s="443"/>
      <c r="V74" s="444"/>
      <c r="W74" s="444"/>
      <c r="X74" s="445"/>
      <c r="Y74" s="445"/>
      <c r="Z74" s="446"/>
    </row>
    <row r="75" spans="1:26" s="88" customFormat="1" ht="15.6" customHeight="1" thickBot="1" x14ac:dyDescent="0.3">
      <c r="A75" s="128"/>
      <c r="B75" s="402" t="s">
        <v>50</v>
      </c>
      <c r="C75" s="402"/>
      <c r="D75" s="402"/>
      <c r="E75" s="402"/>
      <c r="F75" s="402"/>
      <c r="G75" s="402"/>
      <c r="H75" s="402"/>
      <c r="I75" s="402"/>
      <c r="J75" s="402"/>
      <c r="K75" s="402"/>
      <c r="L75" s="402"/>
      <c r="M75" s="402"/>
      <c r="N75" s="402"/>
      <c r="O75" s="402"/>
      <c r="P75" s="402"/>
      <c r="Q75" s="83"/>
      <c r="R75" s="433" t="s">
        <v>11</v>
      </c>
      <c r="S75" s="434"/>
      <c r="T75" s="435"/>
      <c r="U75" s="156"/>
      <c r="V75" s="157"/>
      <c r="W75" s="157"/>
      <c r="X75" s="158"/>
      <c r="Y75" s="158"/>
      <c r="Z75" s="159"/>
    </row>
    <row r="76" spans="1:26" s="88" customFormat="1" ht="15.6" customHeight="1" thickBot="1" x14ac:dyDescent="0.3">
      <c r="A76" s="95"/>
      <c r="B76" s="137"/>
      <c r="C76" s="152" t="s">
        <v>38</v>
      </c>
      <c r="D76" s="153"/>
      <c r="E76" s="153"/>
      <c r="F76" s="153"/>
      <c r="G76" s="153"/>
      <c r="H76" s="153"/>
      <c r="I76" s="153"/>
      <c r="J76" s="153"/>
      <c r="K76" s="153"/>
      <c r="L76" s="470" t="str">
        <f>IF(S67&lt;&gt;"",IF(O77&lt;&gt;"",S67/O77,""),"")</f>
        <v/>
      </c>
      <c r="M76" s="470"/>
      <c r="N76" s="470"/>
      <c r="O76" s="154" t="s">
        <v>37</v>
      </c>
      <c r="P76" s="155"/>
      <c r="Q76" s="98"/>
      <c r="R76" s="433"/>
      <c r="S76" s="434"/>
      <c r="T76" s="435"/>
      <c r="U76" s="160"/>
      <c r="V76" s="347"/>
      <c r="W76" s="347"/>
      <c r="X76" s="347"/>
      <c r="Y76" s="347"/>
      <c r="Z76" s="161"/>
    </row>
    <row r="77" spans="1:26" s="88" customFormat="1" ht="15.6" customHeight="1" x14ac:dyDescent="0.25">
      <c r="A77" s="95"/>
      <c r="B77" s="340" t="s">
        <v>46</v>
      </c>
      <c r="C77" s="340"/>
      <c r="D77" s="340"/>
      <c r="E77" s="340"/>
      <c r="F77" s="340"/>
      <c r="G77" s="340"/>
      <c r="H77" s="340" t="s">
        <v>47</v>
      </c>
      <c r="I77" s="340"/>
      <c r="J77" s="340"/>
      <c r="K77" s="340"/>
      <c r="L77" s="340"/>
      <c r="M77" s="340"/>
      <c r="N77" s="340"/>
      <c r="O77" s="468" t="str">
        <f>IF(M77&lt;&gt;"",IF(M78&lt;&gt;"",((M77+M78)/M78),""),"")</f>
        <v/>
      </c>
      <c r="P77" s="468"/>
      <c r="Q77" s="98"/>
      <c r="R77" s="433"/>
      <c r="S77" s="434"/>
      <c r="T77" s="435"/>
      <c r="U77" s="160"/>
      <c r="V77" s="347"/>
      <c r="W77" s="347"/>
      <c r="X77" s="347"/>
      <c r="Y77" s="347"/>
      <c r="Z77" s="161"/>
    </row>
    <row r="78" spans="1:26" s="88" customFormat="1" ht="15.6" customHeight="1" x14ac:dyDescent="0.25">
      <c r="A78" s="132"/>
      <c r="B78" s="361"/>
      <c r="C78" s="361"/>
      <c r="D78" s="361"/>
      <c r="E78" s="361"/>
      <c r="F78" s="361"/>
      <c r="G78" s="361"/>
      <c r="H78" s="361" t="s">
        <v>48</v>
      </c>
      <c r="I78" s="361"/>
      <c r="J78" s="361"/>
      <c r="K78" s="361"/>
      <c r="L78" s="361"/>
      <c r="M78" s="361"/>
      <c r="N78" s="361"/>
      <c r="O78" s="469"/>
      <c r="P78" s="469"/>
      <c r="Q78" s="133"/>
      <c r="R78" s="436"/>
      <c r="S78" s="437"/>
      <c r="T78" s="438"/>
      <c r="U78" s="162"/>
      <c r="V78" s="163"/>
      <c r="W78" s="163"/>
      <c r="X78" s="164"/>
      <c r="Y78" s="164"/>
      <c r="Z78" s="165"/>
    </row>
    <row r="80" spans="1:26" ht="12.75" customHeight="1" x14ac:dyDescent="0.25">
      <c r="P80" s="81"/>
      <c r="Q80" s="81"/>
      <c r="R80" s="81"/>
      <c r="S80" s="81"/>
      <c r="T80" s="81"/>
      <c r="U80" s="81"/>
      <c r="V80" s="81"/>
      <c r="W80" s="81"/>
    </row>
    <row r="81" spans="5:23" ht="12.75" customHeight="1" x14ac:dyDescent="0.25">
      <c r="P81" s="81"/>
      <c r="Q81" s="81"/>
      <c r="R81" s="81"/>
      <c r="S81" s="81"/>
      <c r="T81" s="81"/>
      <c r="U81" s="81"/>
      <c r="V81" s="81"/>
      <c r="W81" s="81"/>
    </row>
    <row r="82" spans="5:23" ht="12.75" customHeight="1" x14ac:dyDescent="0.25">
      <c r="P82" s="81"/>
      <c r="Q82" s="81"/>
      <c r="R82" s="81"/>
      <c r="S82" s="81"/>
      <c r="T82" s="81"/>
      <c r="U82" s="81"/>
      <c r="V82" s="81"/>
      <c r="W82" s="81"/>
    </row>
    <row r="83" spans="5:23" ht="12.75" customHeight="1" x14ac:dyDescent="0.25">
      <c r="E83" s="135"/>
      <c r="P83" s="81"/>
      <c r="Q83" s="81"/>
      <c r="R83" s="81"/>
      <c r="S83" s="81"/>
      <c r="T83" s="81"/>
      <c r="U83" s="81"/>
      <c r="V83" s="81"/>
      <c r="W83" s="81"/>
    </row>
    <row r="84" spans="5:23" ht="12.75" customHeight="1" x14ac:dyDescent="0.25">
      <c r="P84" s="81"/>
      <c r="Q84" s="81"/>
      <c r="R84" s="81"/>
      <c r="S84" s="81"/>
      <c r="T84" s="81"/>
      <c r="U84" s="81"/>
      <c r="V84" s="81"/>
      <c r="W84" s="81"/>
    </row>
    <row r="85" spans="5:23" ht="12.75" customHeight="1" x14ac:dyDescent="0.25">
      <c r="P85" s="81"/>
      <c r="Q85" s="81"/>
      <c r="R85" s="81"/>
      <c r="S85" s="81"/>
      <c r="T85" s="81"/>
      <c r="U85" s="81"/>
      <c r="V85" s="81"/>
      <c r="W85" s="81"/>
    </row>
  </sheetData>
  <sheetProtection selectLockedCells="1"/>
  <mergeCells count="141">
    <mergeCell ref="R39:U39"/>
    <mergeCell ref="B13:F13"/>
    <mergeCell ref="V13:X13"/>
    <mergeCell ref="N11:U11"/>
    <mergeCell ref="G12:M12"/>
    <mergeCell ref="P6:T6"/>
    <mergeCell ref="W12:Y12"/>
    <mergeCell ref="V10:Y10"/>
    <mergeCell ref="V11:Y11"/>
    <mergeCell ref="O12:Q12"/>
    <mergeCell ref="S12:U12"/>
    <mergeCell ref="N13:U13"/>
    <mergeCell ref="B10:F10"/>
    <mergeCell ref="G10:M10"/>
    <mergeCell ref="B11:F11"/>
    <mergeCell ref="N10:U10"/>
    <mergeCell ref="J6:K6"/>
    <mergeCell ref="N26:Q26"/>
    <mergeCell ref="L6:O6"/>
    <mergeCell ref="B8:Z8"/>
    <mergeCell ref="G11:M11"/>
    <mergeCell ref="B12:F12"/>
    <mergeCell ref="A7:F7"/>
    <mergeCell ref="A1:F6"/>
    <mergeCell ref="L5:O5"/>
    <mergeCell ref="J32:M32"/>
    <mergeCell ref="N27:Q27"/>
    <mergeCell ref="N28:Q28"/>
    <mergeCell ref="N29:Q29"/>
    <mergeCell ref="N30:Q30"/>
    <mergeCell ref="J27:M27"/>
    <mergeCell ref="J28:M28"/>
    <mergeCell ref="P5:T5"/>
    <mergeCell ref="G13:M13"/>
    <mergeCell ref="G7:Z7"/>
    <mergeCell ref="U1:Z6"/>
    <mergeCell ref="G1:T1"/>
    <mergeCell ref="G2:T4"/>
    <mergeCell ref="G5:H5"/>
    <mergeCell ref="J5:K5"/>
    <mergeCell ref="B19:H19"/>
    <mergeCell ref="B20:H20"/>
    <mergeCell ref="I19:Y19"/>
    <mergeCell ref="B25:U25"/>
    <mergeCell ref="B14:F14"/>
    <mergeCell ref="G14:J14"/>
    <mergeCell ref="K14:N14"/>
    <mergeCell ref="O14:R14"/>
    <mergeCell ref="F39:I39"/>
    <mergeCell ref="J39:M39"/>
    <mergeCell ref="B39:E39"/>
    <mergeCell ref="J36:M36"/>
    <mergeCell ref="J37:M37"/>
    <mergeCell ref="J38:M38"/>
    <mergeCell ref="N36:Q36"/>
    <mergeCell ref="N37:Q37"/>
    <mergeCell ref="N38:Q38"/>
    <mergeCell ref="B75:P75"/>
    <mergeCell ref="S65:U65"/>
    <mergeCell ref="S67:U67"/>
    <mergeCell ref="R73:T74"/>
    <mergeCell ref="R75:T78"/>
    <mergeCell ref="U73:Z74"/>
    <mergeCell ref="R72:T72"/>
    <mergeCell ref="U71:Z71"/>
    <mergeCell ref="U72:Z72"/>
    <mergeCell ref="B77:G78"/>
    <mergeCell ref="H77:L77"/>
    <mergeCell ref="M77:N77"/>
    <mergeCell ref="O77:P78"/>
    <mergeCell ref="H78:L78"/>
    <mergeCell ref="M78:N78"/>
    <mergeCell ref="L76:N76"/>
    <mergeCell ref="A72:Q72"/>
    <mergeCell ref="A73:Q73"/>
    <mergeCell ref="V76:Y77"/>
    <mergeCell ref="A27:A39"/>
    <mergeCell ref="J34:M34"/>
    <mergeCell ref="J35:M35"/>
    <mergeCell ref="B37:E37"/>
    <mergeCell ref="B31:E31"/>
    <mergeCell ref="B32:E32"/>
    <mergeCell ref="B33:E33"/>
    <mergeCell ref="B34:E34"/>
    <mergeCell ref="B36:E36"/>
    <mergeCell ref="F32:I32"/>
    <mergeCell ref="F33:I33"/>
    <mergeCell ref="F34:I34"/>
    <mergeCell ref="F36:I36"/>
    <mergeCell ref="B35:E35"/>
    <mergeCell ref="B29:E29"/>
    <mergeCell ref="F27:I27"/>
    <mergeCell ref="F28:I28"/>
    <mergeCell ref="F29:I29"/>
    <mergeCell ref="F30:I30"/>
    <mergeCell ref="J31:M31"/>
    <mergeCell ref="F31:I31"/>
    <mergeCell ref="F35:I35"/>
    <mergeCell ref="J29:M29"/>
    <mergeCell ref="J30:M30"/>
    <mergeCell ref="E41:J41"/>
    <mergeCell ref="K41:R41"/>
    <mergeCell ref="W26:Y28"/>
    <mergeCell ref="B26:E26"/>
    <mergeCell ref="W29:Y31"/>
    <mergeCell ref="R27:U27"/>
    <mergeCell ref="F26:I26"/>
    <mergeCell ref="J26:M26"/>
    <mergeCell ref="R26:U26"/>
    <mergeCell ref="R29:U29"/>
    <mergeCell ref="R28:U28"/>
    <mergeCell ref="R30:U30"/>
    <mergeCell ref="R31:U31"/>
    <mergeCell ref="R33:U33"/>
    <mergeCell ref="R34:U34"/>
    <mergeCell ref="R35:U35"/>
    <mergeCell ref="R32:U32"/>
    <mergeCell ref="N31:Q31"/>
    <mergeCell ref="N34:Q34"/>
    <mergeCell ref="W33:Y35"/>
    <mergeCell ref="W36:Y38"/>
    <mergeCell ref="N39:Q39"/>
    <mergeCell ref="F37:I37"/>
    <mergeCell ref="F38:I38"/>
    <mergeCell ref="S14:V14"/>
    <mergeCell ref="J33:M33"/>
    <mergeCell ref="N32:Q32"/>
    <mergeCell ref="B30:E30"/>
    <mergeCell ref="R37:U37"/>
    <mergeCell ref="R38:U38"/>
    <mergeCell ref="R36:U36"/>
    <mergeCell ref="N15:U15"/>
    <mergeCell ref="V15:X15"/>
    <mergeCell ref="I20:Y20"/>
    <mergeCell ref="B15:H15"/>
    <mergeCell ref="I15:K15"/>
    <mergeCell ref="N33:Q33"/>
    <mergeCell ref="B27:E27"/>
    <mergeCell ref="B38:E38"/>
    <mergeCell ref="N35:Q35"/>
    <mergeCell ref="B28:E28"/>
  </mergeCells>
  <phoneticPr fontId="2" type="noConversion"/>
  <dataValidations count="1">
    <dataValidation type="decimal" operator="greaterThanOrEqual" showInputMessage="1" showErrorMessage="1" sqref="N27:U39" xr:uid="{00000000-0002-0000-0200-000000000000}">
      <formula1>0</formula1>
    </dataValidation>
  </dataValidations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INF du 06/04/2011</oddFooter>
  </headerFooter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autoLine="0" r:id="rId5">
            <anchor moveWithCells="1">
              <from>
                <xdr:col>31</xdr:col>
                <xdr:colOff>0</xdr:colOff>
                <xdr:row>75</xdr:row>
                <xdr:rowOff>0</xdr:rowOff>
              </from>
              <to>
                <xdr:col>32</xdr:col>
                <xdr:colOff>708660</xdr:colOff>
                <xdr:row>77</xdr:row>
                <xdr:rowOff>30480</xdr:rowOff>
              </to>
            </anchor>
          </controlPr>
        </control>
      </mc:Choice>
      <mc:Fallback>
        <control shapeId="1079" r:id="rId4" name="CommandButton1"/>
      </mc:Fallback>
    </mc:AlternateContent>
    <mc:AlternateContent xmlns:mc="http://schemas.openxmlformats.org/markup-compatibility/2006">
      <mc:Choice Requires="x14">
        <control shapeId="1070" r:id="rId6" name="Check Box 46">
          <controlPr locked="0" defaultSize="0" autoFill="0" autoLine="0" autoPict="0">
            <anchor moveWithCells="1">
              <from>
                <xdr:col>21</xdr:col>
                <xdr:colOff>0</xdr:colOff>
                <xdr:row>10</xdr:row>
                <xdr:rowOff>182880</xdr:rowOff>
              </from>
              <to>
                <xdr:col>21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7" name="Check Box 47">
          <controlPr locked="0" defaultSize="0" autoFill="0" autoLine="0" autoPict="0">
            <anchor moveWithCells="1">
              <from>
                <xdr:col>17</xdr:col>
                <xdr:colOff>0</xdr:colOff>
                <xdr:row>10</xdr:row>
                <xdr:rowOff>182880</xdr:rowOff>
              </from>
              <to>
                <xdr:col>17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8" name="Check Box 48">
          <controlPr locked="0" defaultSize="0" autoFill="0" autoLine="0" autoPict="0">
            <anchor moveWithCells="1">
              <from>
                <xdr:col>13</xdr:col>
                <xdr:colOff>0</xdr:colOff>
                <xdr:row>10</xdr:row>
                <xdr:rowOff>182880</xdr:rowOff>
              </from>
              <to>
                <xdr:col>13</xdr:col>
                <xdr:colOff>304800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CRE</vt:lpstr>
      <vt:lpstr>CRE INF SA</vt:lpstr>
      <vt:lpstr>CRE INF DA</vt:lpstr>
      <vt:lpstr>CRE!Zone_d_impression</vt:lpstr>
      <vt:lpstr>'CRE INF DA'!Zone_d_impression</vt:lpstr>
      <vt:lpstr>'CRE INF SA'!Zone_d_impression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Essais de Perméabiltés</dc:title>
  <dc:subject>Feuille et Rapports d'essais</dc:subject>
  <dc:creator>GOEDDE</dc:creator>
  <cp:lastModifiedBy>MONTET Frederic</cp:lastModifiedBy>
  <cp:lastPrinted>2016-11-22T10:35:30Z</cp:lastPrinted>
  <dcterms:created xsi:type="dcterms:W3CDTF">2004-11-13T18:13:05Z</dcterms:created>
  <dcterms:modified xsi:type="dcterms:W3CDTF">2023-03-09T13:01:30Z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