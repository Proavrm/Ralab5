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S:\Labo\St Priest\Documents types\Comptes Rendus d'Essais\Terrassements\"/>
    </mc:Choice>
  </mc:AlternateContent>
  <xr:revisionPtr revIDLastSave="0" documentId="13_ncr:1_{35F75CD3-9B21-46FA-A972-FC03DDB370EF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CRE EV2" sheetId="1" r:id="rId1"/>
    <sheet name="CRE W_EV2" sheetId="5" r:id="rId2"/>
    <sheet name="CRE EV1_EV2" sheetId="3" r:id="rId3"/>
    <sheet name="CRE W_EV1_EV2" sheetId="2" r:id="rId4"/>
    <sheet name="CRE EVd_EV2 Miniplaque" sheetId="6" r:id="rId5"/>
  </sheets>
  <definedNames>
    <definedName name="_xlnm.Print_Area" localSheetId="2">'CRE EV1_EV2'!$A$1:$Z$62</definedName>
    <definedName name="_xlnm.Print_Area" localSheetId="0">'CRE EV2'!$A$1:$Z$62</definedName>
    <definedName name="_xlnm.Print_Area" localSheetId="4">'CRE EVd_EV2 Miniplaque'!$A$1:$Z$62</definedName>
    <definedName name="_xlnm.Print_Area" localSheetId="3">'CRE W_EV1_EV2'!$A$1:$Z$62</definedName>
    <definedName name="_xlnm.Print_Area" localSheetId="1">'CRE W_EV2'!$A$1:$Z$62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6" i="6" l="1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25" i="6"/>
  <c r="K51" i="6"/>
  <c r="AK49" i="6"/>
  <c r="AJ49" i="6"/>
  <c r="AI49" i="6"/>
  <c r="AG49" i="6"/>
  <c r="AF49" i="6"/>
  <c r="AD49" i="6"/>
  <c r="AC49" i="6"/>
  <c r="AK48" i="6"/>
  <c r="AJ48" i="6"/>
  <c r="AI48" i="6"/>
  <c r="AG48" i="6"/>
  <c r="AF48" i="6"/>
  <c r="AD48" i="6"/>
  <c r="AC48" i="6"/>
  <c r="AK47" i="6"/>
  <c r="AJ47" i="6"/>
  <c r="AI47" i="6"/>
  <c r="AG47" i="6"/>
  <c r="AF47" i="6"/>
  <c r="AD47" i="6"/>
  <c r="AC47" i="6"/>
  <c r="AK46" i="6"/>
  <c r="AJ46" i="6"/>
  <c r="AI46" i="6"/>
  <c r="AG46" i="6"/>
  <c r="AF46" i="6"/>
  <c r="AD46" i="6"/>
  <c r="AC46" i="6"/>
  <c r="AK45" i="6"/>
  <c r="AJ45" i="6"/>
  <c r="AI45" i="6"/>
  <c r="AG45" i="6"/>
  <c r="AF45" i="6"/>
  <c r="AD45" i="6"/>
  <c r="AC45" i="6"/>
  <c r="AK44" i="6"/>
  <c r="AJ44" i="6"/>
  <c r="AI44" i="6"/>
  <c r="AG44" i="6"/>
  <c r="AF44" i="6"/>
  <c r="AD44" i="6"/>
  <c r="AC44" i="6"/>
  <c r="AK43" i="6"/>
  <c r="AJ43" i="6"/>
  <c r="AI43" i="6"/>
  <c r="AG43" i="6"/>
  <c r="AF43" i="6"/>
  <c r="AD43" i="6"/>
  <c r="AC43" i="6"/>
  <c r="AK42" i="6"/>
  <c r="AJ42" i="6"/>
  <c r="AI42" i="6"/>
  <c r="AG42" i="6"/>
  <c r="AF42" i="6"/>
  <c r="AD42" i="6"/>
  <c r="AC42" i="6"/>
  <c r="AK41" i="6"/>
  <c r="AJ41" i="6"/>
  <c r="AI41" i="6"/>
  <c r="AG41" i="6"/>
  <c r="AF41" i="6"/>
  <c r="AD41" i="6"/>
  <c r="AC41" i="6"/>
  <c r="AK40" i="6"/>
  <c r="AJ40" i="6"/>
  <c r="AI40" i="6"/>
  <c r="AG40" i="6"/>
  <c r="AF40" i="6"/>
  <c r="AD40" i="6"/>
  <c r="AC40" i="6"/>
  <c r="AK39" i="6"/>
  <c r="AJ39" i="6"/>
  <c r="AI39" i="6"/>
  <c r="AG39" i="6"/>
  <c r="AF39" i="6"/>
  <c r="AD39" i="6"/>
  <c r="AC39" i="6"/>
  <c r="AK38" i="6"/>
  <c r="AJ38" i="6"/>
  <c r="AI38" i="6"/>
  <c r="AG38" i="6"/>
  <c r="AF38" i="6"/>
  <c r="AD38" i="6"/>
  <c r="AC38" i="6"/>
  <c r="AK37" i="6"/>
  <c r="AJ37" i="6"/>
  <c r="AI37" i="6"/>
  <c r="AG37" i="6"/>
  <c r="AF37" i="6"/>
  <c r="AD37" i="6"/>
  <c r="AC37" i="6"/>
  <c r="AK36" i="6"/>
  <c r="AJ36" i="6"/>
  <c r="AI36" i="6"/>
  <c r="AG36" i="6"/>
  <c r="AF36" i="6"/>
  <c r="AD36" i="6"/>
  <c r="AC36" i="6"/>
  <c r="AK35" i="6"/>
  <c r="AJ35" i="6"/>
  <c r="AI35" i="6"/>
  <c r="AG35" i="6"/>
  <c r="AF35" i="6"/>
  <c r="AD35" i="6"/>
  <c r="AC35" i="6"/>
  <c r="AK34" i="6"/>
  <c r="AJ34" i="6"/>
  <c r="AI34" i="6"/>
  <c r="AG34" i="6"/>
  <c r="AF34" i="6"/>
  <c r="AD34" i="6"/>
  <c r="AC34" i="6"/>
  <c r="AK33" i="6"/>
  <c r="AJ33" i="6"/>
  <c r="AI33" i="6"/>
  <c r="AG33" i="6"/>
  <c r="AF33" i="6"/>
  <c r="AD33" i="6"/>
  <c r="AC33" i="6"/>
  <c r="AK32" i="6"/>
  <c r="AJ32" i="6"/>
  <c r="AI32" i="6"/>
  <c r="AG32" i="6"/>
  <c r="AF32" i="6"/>
  <c r="AD32" i="6"/>
  <c r="AC32" i="6"/>
  <c r="AK31" i="6"/>
  <c r="AJ31" i="6"/>
  <c r="AI31" i="6"/>
  <c r="AG31" i="6"/>
  <c r="AF31" i="6"/>
  <c r="AD31" i="6"/>
  <c r="AC31" i="6"/>
  <c r="AK30" i="6"/>
  <c r="AJ30" i="6"/>
  <c r="AI30" i="6"/>
  <c r="AG30" i="6"/>
  <c r="AF30" i="6"/>
  <c r="AD30" i="6"/>
  <c r="AC30" i="6"/>
  <c r="AK29" i="6"/>
  <c r="AJ29" i="6"/>
  <c r="AI29" i="6"/>
  <c r="AG29" i="6"/>
  <c r="AF29" i="6"/>
  <c r="AD29" i="6"/>
  <c r="AC29" i="6"/>
  <c r="AK28" i="6"/>
  <c r="AJ28" i="6"/>
  <c r="AI28" i="6"/>
  <c r="AG28" i="6"/>
  <c r="AF28" i="6"/>
  <c r="AD28" i="6"/>
  <c r="AC28" i="6"/>
  <c r="AK27" i="6"/>
  <c r="AJ27" i="6"/>
  <c r="AI27" i="6"/>
  <c r="AG27" i="6"/>
  <c r="AF27" i="6"/>
  <c r="AD27" i="6"/>
  <c r="AC27" i="6"/>
  <c r="AK26" i="6"/>
  <c r="AJ26" i="6"/>
  <c r="AI26" i="6"/>
  <c r="AG26" i="6"/>
  <c r="AF26" i="6"/>
  <c r="AD26" i="6"/>
  <c r="AC26" i="6"/>
  <c r="AK25" i="6"/>
  <c r="AJ25" i="6"/>
  <c r="AI25" i="6"/>
  <c r="AG25" i="6"/>
  <c r="AF25" i="6"/>
  <c r="AD25" i="6"/>
  <c r="AC25" i="6"/>
  <c r="K52" i="6"/>
  <c r="N51" i="6" l="1"/>
  <c r="N52" i="6"/>
  <c r="K50" i="6"/>
  <c r="N50" i="6"/>
  <c r="AC26" i="2"/>
  <c r="AD26" i="2"/>
  <c r="AF26" i="2"/>
  <c r="AG26" i="2"/>
  <c r="AI26" i="2"/>
  <c r="AJ26" i="2"/>
  <c r="AK26" i="2"/>
  <c r="AC27" i="2"/>
  <c r="AD27" i="2"/>
  <c r="AF27" i="2"/>
  <c r="AG27" i="2"/>
  <c r="AI27" i="2"/>
  <c r="AJ27" i="2"/>
  <c r="AK27" i="2"/>
  <c r="AC28" i="2"/>
  <c r="AD28" i="2"/>
  <c r="AF28" i="2"/>
  <c r="AG28" i="2"/>
  <c r="AI28" i="2"/>
  <c r="AJ28" i="2"/>
  <c r="AK28" i="2"/>
  <c r="AC29" i="2"/>
  <c r="AD29" i="2"/>
  <c r="AF29" i="2"/>
  <c r="AG29" i="2"/>
  <c r="AI29" i="2"/>
  <c r="AJ29" i="2"/>
  <c r="AK29" i="2"/>
  <c r="AC30" i="2"/>
  <c r="AD30" i="2"/>
  <c r="AF30" i="2"/>
  <c r="AG30" i="2"/>
  <c r="AI30" i="2"/>
  <c r="AJ30" i="2"/>
  <c r="AK30" i="2"/>
  <c r="AC31" i="2"/>
  <c r="AD31" i="2"/>
  <c r="AF31" i="2"/>
  <c r="AG31" i="2"/>
  <c r="AI31" i="2"/>
  <c r="AJ31" i="2"/>
  <c r="AK31" i="2"/>
  <c r="AC32" i="2"/>
  <c r="AD32" i="2"/>
  <c r="AF32" i="2"/>
  <c r="AG32" i="2"/>
  <c r="AI32" i="2"/>
  <c r="AJ32" i="2"/>
  <c r="AK32" i="2"/>
  <c r="AC33" i="2"/>
  <c r="AD33" i="2"/>
  <c r="AF33" i="2"/>
  <c r="AG33" i="2"/>
  <c r="AI33" i="2"/>
  <c r="AJ33" i="2"/>
  <c r="AK33" i="2"/>
  <c r="AC34" i="2"/>
  <c r="AD34" i="2"/>
  <c r="AF34" i="2"/>
  <c r="AG34" i="2"/>
  <c r="AI34" i="2"/>
  <c r="AJ34" i="2"/>
  <c r="AK34" i="2"/>
  <c r="AC35" i="2"/>
  <c r="AD35" i="2"/>
  <c r="AF35" i="2"/>
  <c r="AG35" i="2"/>
  <c r="AI35" i="2"/>
  <c r="AJ35" i="2"/>
  <c r="AK35" i="2"/>
  <c r="AC36" i="2"/>
  <c r="AD36" i="2"/>
  <c r="AF36" i="2"/>
  <c r="AG36" i="2"/>
  <c r="AI36" i="2"/>
  <c r="AJ36" i="2"/>
  <c r="AK36" i="2"/>
  <c r="AC37" i="2"/>
  <c r="AD37" i="2"/>
  <c r="AF37" i="2"/>
  <c r="AG37" i="2"/>
  <c r="AI37" i="2"/>
  <c r="AJ37" i="2"/>
  <c r="AK37" i="2"/>
  <c r="AC38" i="2"/>
  <c r="AD38" i="2"/>
  <c r="AF38" i="2"/>
  <c r="AG38" i="2"/>
  <c r="AI38" i="2"/>
  <c r="AJ38" i="2"/>
  <c r="AK38" i="2"/>
  <c r="AC39" i="2"/>
  <c r="AD39" i="2"/>
  <c r="AF39" i="2"/>
  <c r="AG39" i="2"/>
  <c r="AI39" i="2"/>
  <c r="AJ39" i="2"/>
  <c r="AK39" i="2"/>
  <c r="AC40" i="2"/>
  <c r="AD40" i="2"/>
  <c r="AF40" i="2"/>
  <c r="AG40" i="2"/>
  <c r="AI40" i="2"/>
  <c r="AJ40" i="2"/>
  <c r="AK40" i="2"/>
  <c r="AC41" i="2"/>
  <c r="AD41" i="2"/>
  <c r="AF41" i="2"/>
  <c r="AG41" i="2"/>
  <c r="AI41" i="2"/>
  <c r="AJ41" i="2"/>
  <c r="AK41" i="2"/>
  <c r="AC42" i="2"/>
  <c r="AD42" i="2"/>
  <c r="AF42" i="2"/>
  <c r="AG42" i="2"/>
  <c r="AI42" i="2"/>
  <c r="AJ42" i="2"/>
  <c r="AK42" i="2"/>
  <c r="AC43" i="2"/>
  <c r="AD43" i="2"/>
  <c r="AF43" i="2"/>
  <c r="AG43" i="2"/>
  <c r="AI43" i="2"/>
  <c r="AJ43" i="2"/>
  <c r="AK43" i="2"/>
  <c r="AC44" i="2"/>
  <c r="AD44" i="2"/>
  <c r="AF44" i="2"/>
  <c r="AG44" i="2"/>
  <c r="AI44" i="2"/>
  <c r="AJ44" i="2"/>
  <c r="AK44" i="2"/>
  <c r="AC45" i="2"/>
  <c r="AD45" i="2"/>
  <c r="AF45" i="2"/>
  <c r="AG45" i="2"/>
  <c r="AI45" i="2"/>
  <c r="AJ45" i="2"/>
  <c r="AK45" i="2"/>
  <c r="AC46" i="2"/>
  <c r="AD46" i="2"/>
  <c r="AF46" i="2"/>
  <c r="AG46" i="2"/>
  <c r="AI46" i="2"/>
  <c r="AJ46" i="2"/>
  <c r="AK46" i="2"/>
  <c r="AC47" i="2"/>
  <c r="AD47" i="2"/>
  <c r="AF47" i="2"/>
  <c r="AG47" i="2"/>
  <c r="AI47" i="2"/>
  <c r="AJ47" i="2"/>
  <c r="AK47" i="2"/>
  <c r="AC48" i="2"/>
  <c r="AD48" i="2"/>
  <c r="AF48" i="2"/>
  <c r="AG48" i="2"/>
  <c r="AI48" i="2"/>
  <c r="AJ48" i="2"/>
  <c r="AK48" i="2"/>
  <c r="AC49" i="2"/>
  <c r="AD49" i="2"/>
  <c r="AF49" i="2"/>
  <c r="AG49" i="2"/>
  <c r="AI49" i="2"/>
  <c r="AJ49" i="2"/>
  <c r="AK49" i="2"/>
  <c r="AC26" i="3"/>
  <c r="AD26" i="3"/>
  <c r="AF26" i="3"/>
  <c r="AG26" i="3"/>
  <c r="AH26" i="3"/>
  <c r="AC27" i="3"/>
  <c r="AD27" i="3"/>
  <c r="AF27" i="3"/>
  <c r="AG27" i="3"/>
  <c r="AH27" i="3"/>
  <c r="AC28" i="3"/>
  <c r="AD28" i="3"/>
  <c r="AF28" i="3"/>
  <c r="AG28" i="3"/>
  <c r="AH28" i="3"/>
  <c r="AC29" i="3"/>
  <c r="AD29" i="3"/>
  <c r="AF29" i="3"/>
  <c r="AG29" i="3"/>
  <c r="AH29" i="3"/>
  <c r="AC30" i="3"/>
  <c r="AD30" i="3"/>
  <c r="AF30" i="3"/>
  <c r="AG30" i="3"/>
  <c r="AH30" i="3"/>
  <c r="AC31" i="3"/>
  <c r="AD31" i="3"/>
  <c r="AF31" i="3"/>
  <c r="AG31" i="3"/>
  <c r="AH31" i="3"/>
  <c r="AC32" i="3"/>
  <c r="AD32" i="3"/>
  <c r="AF32" i="3"/>
  <c r="AG32" i="3"/>
  <c r="AH32" i="3"/>
  <c r="AC33" i="3"/>
  <c r="AD33" i="3"/>
  <c r="AF33" i="3"/>
  <c r="AG33" i="3"/>
  <c r="AH33" i="3"/>
  <c r="AC34" i="3"/>
  <c r="AD34" i="3"/>
  <c r="AF34" i="3"/>
  <c r="AG34" i="3"/>
  <c r="AH34" i="3"/>
  <c r="AC35" i="3"/>
  <c r="AD35" i="3"/>
  <c r="AF35" i="3"/>
  <c r="AG35" i="3"/>
  <c r="AH35" i="3"/>
  <c r="AC36" i="3"/>
  <c r="AD36" i="3"/>
  <c r="AF36" i="3"/>
  <c r="AG36" i="3"/>
  <c r="AH36" i="3"/>
  <c r="AC37" i="3"/>
  <c r="AD37" i="3"/>
  <c r="AF37" i="3"/>
  <c r="AG37" i="3"/>
  <c r="AH37" i="3"/>
  <c r="AC38" i="3"/>
  <c r="AD38" i="3"/>
  <c r="AF38" i="3"/>
  <c r="AG38" i="3"/>
  <c r="AH38" i="3"/>
  <c r="AC39" i="3"/>
  <c r="AD39" i="3"/>
  <c r="AF39" i="3"/>
  <c r="AG39" i="3"/>
  <c r="AH39" i="3"/>
  <c r="AC40" i="3"/>
  <c r="AD40" i="3"/>
  <c r="AF40" i="3"/>
  <c r="AG40" i="3"/>
  <c r="AH40" i="3"/>
  <c r="AC41" i="3"/>
  <c r="AD41" i="3"/>
  <c r="AF41" i="3"/>
  <c r="AG41" i="3"/>
  <c r="AH41" i="3"/>
  <c r="AC42" i="3"/>
  <c r="AD42" i="3"/>
  <c r="AF42" i="3"/>
  <c r="AG42" i="3"/>
  <c r="AH42" i="3"/>
  <c r="AC43" i="3"/>
  <c r="AD43" i="3"/>
  <c r="AF43" i="3"/>
  <c r="AG43" i="3"/>
  <c r="AH43" i="3"/>
  <c r="AC44" i="3"/>
  <c r="AD44" i="3"/>
  <c r="AF44" i="3"/>
  <c r="AG44" i="3"/>
  <c r="AH44" i="3"/>
  <c r="AC45" i="3"/>
  <c r="AD45" i="3"/>
  <c r="AF45" i="3"/>
  <c r="AG45" i="3"/>
  <c r="AH45" i="3"/>
  <c r="AC46" i="3"/>
  <c r="AD46" i="3"/>
  <c r="AF46" i="3"/>
  <c r="AG46" i="3"/>
  <c r="AH46" i="3"/>
  <c r="AC47" i="3"/>
  <c r="AD47" i="3"/>
  <c r="AF47" i="3"/>
  <c r="AG47" i="3"/>
  <c r="AH47" i="3"/>
  <c r="AC48" i="3"/>
  <c r="AD48" i="3"/>
  <c r="AF48" i="3"/>
  <c r="AG48" i="3"/>
  <c r="AH48" i="3"/>
  <c r="AC49" i="3"/>
  <c r="AD49" i="3"/>
  <c r="AF49" i="3"/>
  <c r="AG49" i="3"/>
  <c r="AH49" i="3"/>
  <c r="AC26" i="5"/>
  <c r="AD26" i="5"/>
  <c r="AF26" i="5"/>
  <c r="AG26" i="5"/>
  <c r="AI26" i="5"/>
  <c r="AJ26" i="5"/>
  <c r="AK26" i="5"/>
  <c r="AC27" i="5"/>
  <c r="AD27" i="5"/>
  <c r="AF27" i="5"/>
  <c r="AG27" i="5"/>
  <c r="AI27" i="5"/>
  <c r="AJ27" i="5"/>
  <c r="AK27" i="5"/>
  <c r="AC28" i="5"/>
  <c r="AD28" i="5"/>
  <c r="AF28" i="5"/>
  <c r="AG28" i="5"/>
  <c r="AI28" i="5"/>
  <c r="AJ28" i="5"/>
  <c r="AK28" i="5"/>
  <c r="AC29" i="5"/>
  <c r="AD29" i="5"/>
  <c r="AF29" i="5"/>
  <c r="AG29" i="5"/>
  <c r="AI29" i="5"/>
  <c r="AJ29" i="5"/>
  <c r="AK29" i="5"/>
  <c r="AC30" i="5"/>
  <c r="AD30" i="5"/>
  <c r="AF30" i="5"/>
  <c r="AG30" i="5"/>
  <c r="AI30" i="5"/>
  <c r="AJ30" i="5"/>
  <c r="AK30" i="5"/>
  <c r="AC31" i="5"/>
  <c r="AD31" i="5"/>
  <c r="AF31" i="5"/>
  <c r="AG31" i="5"/>
  <c r="AI31" i="5"/>
  <c r="AJ31" i="5"/>
  <c r="AK31" i="5"/>
  <c r="AC32" i="5"/>
  <c r="AD32" i="5"/>
  <c r="AF32" i="5"/>
  <c r="AG32" i="5"/>
  <c r="AI32" i="5"/>
  <c r="AJ32" i="5"/>
  <c r="AK32" i="5"/>
  <c r="AC33" i="5"/>
  <c r="AD33" i="5"/>
  <c r="AF33" i="5"/>
  <c r="AG33" i="5"/>
  <c r="AI33" i="5"/>
  <c r="AJ33" i="5"/>
  <c r="AK33" i="5"/>
  <c r="AC34" i="5"/>
  <c r="AD34" i="5"/>
  <c r="AF34" i="5"/>
  <c r="AG34" i="5"/>
  <c r="AI34" i="5"/>
  <c r="AJ34" i="5"/>
  <c r="AK34" i="5"/>
  <c r="AC35" i="5"/>
  <c r="AD35" i="5"/>
  <c r="AF35" i="5"/>
  <c r="AG35" i="5"/>
  <c r="AI35" i="5"/>
  <c r="AJ35" i="5"/>
  <c r="AK35" i="5"/>
  <c r="AC36" i="5"/>
  <c r="AD36" i="5"/>
  <c r="AF36" i="5"/>
  <c r="AG36" i="5"/>
  <c r="AI36" i="5"/>
  <c r="AJ36" i="5"/>
  <c r="AK36" i="5"/>
  <c r="AC37" i="5"/>
  <c r="AD37" i="5"/>
  <c r="AF37" i="5"/>
  <c r="AG37" i="5"/>
  <c r="AI37" i="5"/>
  <c r="AJ37" i="5"/>
  <c r="AK37" i="5"/>
  <c r="AC38" i="5"/>
  <c r="AD38" i="5"/>
  <c r="AF38" i="5"/>
  <c r="AG38" i="5"/>
  <c r="AI38" i="5"/>
  <c r="AJ38" i="5"/>
  <c r="AK38" i="5"/>
  <c r="AC39" i="5"/>
  <c r="AD39" i="5"/>
  <c r="AF39" i="5"/>
  <c r="AG39" i="5"/>
  <c r="AI39" i="5"/>
  <c r="AJ39" i="5"/>
  <c r="AK39" i="5"/>
  <c r="AC40" i="5"/>
  <c r="AD40" i="5"/>
  <c r="AF40" i="5"/>
  <c r="AG40" i="5"/>
  <c r="AI40" i="5"/>
  <c r="AJ40" i="5"/>
  <c r="AK40" i="5"/>
  <c r="AC41" i="5"/>
  <c r="AD41" i="5"/>
  <c r="AF41" i="5"/>
  <c r="AG41" i="5"/>
  <c r="AI41" i="5"/>
  <c r="AJ41" i="5"/>
  <c r="AK41" i="5"/>
  <c r="AC42" i="5"/>
  <c r="AD42" i="5"/>
  <c r="AF42" i="5"/>
  <c r="AG42" i="5"/>
  <c r="AI42" i="5"/>
  <c r="AJ42" i="5"/>
  <c r="AK42" i="5"/>
  <c r="AC43" i="5"/>
  <c r="AD43" i="5"/>
  <c r="AF43" i="5"/>
  <c r="AG43" i="5"/>
  <c r="AI43" i="5"/>
  <c r="AJ43" i="5"/>
  <c r="AK43" i="5"/>
  <c r="AC44" i="5"/>
  <c r="AD44" i="5"/>
  <c r="AF44" i="5"/>
  <c r="AG44" i="5"/>
  <c r="AI44" i="5"/>
  <c r="AJ44" i="5"/>
  <c r="AK44" i="5"/>
  <c r="AC45" i="5"/>
  <c r="AD45" i="5"/>
  <c r="AF45" i="5"/>
  <c r="AG45" i="5"/>
  <c r="AI45" i="5"/>
  <c r="AJ45" i="5"/>
  <c r="AK45" i="5"/>
  <c r="AC46" i="5"/>
  <c r="AD46" i="5"/>
  <c r="AF46" i="5"/>
  <c r="AG46" i="5"/>
  <c r="AI46" i="5"/>
  <c r="AJ46" i="5"/>
  <c r="AK46" i="5"/>
  <c r="AC47" i="5"/>
  <c r="AD47" i="5"/>
  <c r="AF47" i="5"/>
  <c r="AG47" i="5"/>
  <c r="AI47" i="5"/>
  <c r="AJ47" i="5"/>
  <c r="AK47" i="5"/>
  <c r="AC48" i="5"/>
  <c r="AD48" i="5"/>
  <c r="AF48" i="5"/>
  <c r="AG48" i="5"/>
  <c r="AI48" i="5"/>
  <c r="AJ48" i="5"/>
  <c r="AK48" i="5"/>
  <c r="AC49" i="5"/>
  <c r="AD49" i="5"/>
  <c r="AF49" i="5"/>
  <c r="AG49" i="5"/>
  <c r="AI49" i="5"/>
  <c r="AJ49" i="5"/>
  <c r="AK49" i="5"/>
  <c r="AC26" i="1"/>
  <c r="AD26" i="1"/>
  <c r="AF26" i="1"/>
  <c r="AG26" i="1"/>
  <c r="K26" i="1" s="1"/>
  <c r="AC27" i="1"/>
  <c r="AD27" i="1" s="1"/>
  <c r="AF27" i="1"/>
  <c r="AG27" i="1"/>
  <c r="K27" i="1" s="1"/>
  <c r="AC28" i="1"/>
  <c r="AD28" i="1" s="1"/>
  <c r="AH28" i="1" s="1"/>
  <c r="AF28" i="1"/>
  <c r="AG28" i="1"/>
  <c r="AC29" i="1"/>
  <c r="AD29" i="1"/>
  <c r="AH29" i="1" s="1"/>
  <c r="AF29" i="1"/>
  <c r="AG29" i="1"/>
  <c r="AC30" i="1"/>
  <c r="AD30" i="1"/>
  <c r="AH30" i="1" s="1"/>
  <c r="AF30" i="1"/>
  <c r="AG30" i="1"/>
  <c r="AC31" i="1"/>
  <c r="AD31" i="1"/>
  <c r="AF31" i="1"/>
  <c r="AG31" i="1" s="1"/>
  <c r="K31" i="1" s="1"/>
  <c r="AC32" i="1"/>
  <c r="AD32" i="1"/>
  <c r="AF32" i="1"/>
  <c r="AG32" i="1" s="1"/>
  <c r="K32" i="1" s="1"/>
  <c r="AC33" i="1"/>
  <c r="AD33" i="1"/>
  <c r="AF33" i="1"/>
  <c r="AG33" i="1"/>
  <c r="K33" i="1" s="1"/>
  <c r="AC34" i="1"/>
  <c r="AD34" i="1"/>
  <c r="AF34" i="1"/>
  <c r="AG34" i="1"/>
  <c r="K34" i="1" s="1"/>
  <c r="AC35" i="1"/>
  <c r="AD35" i="1"/>
  <c r="AF35" i="1"/>
  <c r="AG35" i="1"/>
  <c r="K35" i="1" s="1"/>
  <c r="AC36" i="1"/>
  <c r="AD36" i="1"/>
  <c r="AF36" i="1"/>
  <c r="AG36" i="1"/>
  <c r="AH36" i="1"/>
  <c r="AC37" i="1"/>
  <c r="AD37" i="1"/>
  <c r="AF37" i="1"/>
  <c r="AG37" i="1"/>
  <c r="AH37" i="1"/>
  <c r="AC38" i="1"/>
  <c r="AD38" i="1"/>
  <c r="AF38" i="1"/>
  <c r="AG38" i="1"/>
  <c r="AH38" i="1"/>
  <c r="AC39" i="1"/>
  <c r="AD39" i="1"/>
  <c r="AF39" i="1"/>
  <c r="AG39" i="1"/>
  <c r="AH39" i="1"/>
  <c r="AC40" i="1"/>
  <c r="AD40" i="1"/>
  <c r="AF40" i="1"/>
  <c r="AG40" i="1"/>
  <c r="AH40" i="1"/>
  <c r="AC41" i="1"/>
  <c r="AD41" i="1"/>
  <c r="AF41" i="1"/>
  <c r="AG41" i="1"/>
  <c r="AH41" i="1"/>
  <c r="AC42" i="1"/>
  <c r="AD42" i="1"/>
  <c r="AF42" i="1"/>
  <c r="AG42" i="1"/>
  <c r="AH42" i="1"/>
  <c r="AC43" i="1"/>
  <c r="AD43" i="1"/>
  <c r="AF43" i="1"/>
  <c r="AG43" i="1"/>
  <c r="AH43" i="1"/>
  <c r="AC44" i="1"/>
  <c r="AD44" i="1"/>
  <c r="AF44" i="1"/>
  <c r="AG44" i="1"/>
  <c r="AH44" i="1"/>
  <c r="AC45" i="1"/>
  <c r="AD45" i="1"/>
  <c r="AF45" i="1"/>
  <c r="AG45" i="1"/>
  <c r="AH45" i="1"/>
  <c r="AC46" i="1"/>
  <c r="AD46" i="1"/>
  <c r="AF46" i="1"/>
  <c r="AG46" i="1"/>
  <c r="AH46" i="1"/>
  <c r="AC47" i="1"/>
  <c r="AD47" i="1"/>
  <c r="AF47" i="1"/>
  <c r="AG47" i="1"/>
  <c r="AH47" i="1"/>
  <c r="AC48" i="1"/>
  <c r="AD48" i="1"/>
  <c r="AF48" i="1"/>
  <c r="AG48" i="1"/>
  <c r="AH48" i="1"/>
  <c r="AC49" i="1"/>
  <c r="AD49" i="1"/>
  <c r="AF49" i="1"/>
  <c r="AG49" i="1"/>
  <c r="AH49" i="1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AK25" i="5"/>
  <c r="AJ25" i="5"/>
  <c r="AI25" i="5"/>
  <c r="AG25" i="5"/>
  <c r="AF25" i="5"/>
  <c r="AD25" i="5"/>
  <c r="AC25" i="5"/>
  <c r="N25" i="5"/>
  <c r="N50" i="5" s="1"/>
  <c r="K25" i="5"/>
  <c r="K52" i="5" s="1"/>
  <c r="H49" i="2"/>
  <c r="K49" i="2"/>
  <c r="N49" i="2"/>
  <c r="Q49" i="2"/>
  <c r="H26" i="2"/>
  <c r="K26" i="2"/>
  <c r="N26" i="2"/>
  <c r="Q26" i="2"/>
  <c r="H27" i="2"/>
  <c r="K27" i="2"/>
  <c r="N27" i="2"/>
  <c r="Q27" i="2"/>
  <c r="H28" i="2"/>
  <c r="K28" i="2"/>
  <c r="N28" i="2"/>
  <c r="Q28" i="2"/>
  <c r="H29" i="2"/>
  <c r="K29" i="2"/>
  <c r="N29" i="2"/>
  <c r="Q29" i="2"/>
  <c r="H30" i="2"/>
  <c r="K30" i="2"/>
  <c r="N30" i="2"/>
  <c r="Q30" i="2"/>
  <c r="H31" i="2"/>
  <c r="K31" i="2"/>
  <c r="N31" i="2"/>
  <c r="Q31" i="2"/>
  <c r="H32" i="2"/>
  <c r="K32" i="2"/>
  <c r="N32" i="2"/>
  <c r="Q32" i="2"/>
  <c r="H33" i="2"/>
  <c r="K33" i="2"/>
  <c r="N33" i="2"/>
  <c r="Q33" i="2"/>
  <c r="H34" i="2"/>
  <c r="K34" i="2"/>
  <c r="N34" i="2"/>
  <c r="Q34" i="2"/>
  <c r="H35" i="2"/>
  <c r="K35" i="2"/>
  <c r="N35" i="2"/>
  <c r="Q35" i="2"/>
  <c r="H36" i="2"/>
  <c r="K36" i="2"/>
  <c r="N36" i="2"/>
  <c r="Q36" i="2"/>
  <c r="H37" i="2"/>
  <c r="K37" i="2"/>
  <c r="N37" i="2"/>
  <c r="Q37" i="2"/>
  <c r="H38" i="2"/>
  <c r="K38" i="2"/>
  <c r="N38" i="2"/>
  <c r="Q38" i="2"/>
  <c r="H39" i="2"/>
  <c r="K39" i="2"/>
  <c r="N39" i="2"/>
  <c r="Q39" i="2"/>
  <c r="H40" i="2"/>
  <c r="K40" i="2"/>
  <c r="N40" i="2"/>
  <c r="Q40" i="2"/>
  <c r="H41" i="2"/>
  <c r="K41" i="2"/>
  <c r="N41" i="2"/>
  <c r="Q41" i="2"/>
  <c r="H42" i="2"/>
  <c r="K42" i="2"/>
  <c r="N42" i="2"/>
  <c r="Q42" i="2"/>
  <c r="H43" i="2"/>
  <c r="K43" i="2"/>
  <c r="N43" i="2"/>
  <c r="Q43" i="2"/>
  <c r="H44" i="2"/>
  <c r="K44" i="2"/>
  <c r="N44" i="2"/>
  <c r="Q44" i="2"/>
  <c r="H45" i="2"/>
  <c r="K45" i="2"/>
  <c r="N45" i="2"/>
  <c r="Q45" i="2"/>
  <c r="H46" i="2"/>
  <c r="K46" i="2"/>
  <c r="N46" i="2"/>
  <c r="Q46" i="2"/>
  <c r="H47" i="2"/>
  <c r="K47" i="2"/>
  <c r="N47" i="2"/>
  <c r="Q47" i="2"/>
  <c r="H48" i="2"/>
  <c r="K48" i="2"/>
  <c r="N48" i="2"/>
  <c r="Q48" i="2"/>
  <c r="K25" i="2"/>
  <c r="K51" i="2" s="1"/>
  <c r="H25" i="3"/>
  <c r="H50" i="3" s="1"/>
  <c r="K25" i="3"/>
  <c r="K52" i="3" s="1"/>
  <c r="N25" i="3"/>
  <c r="N51" i="3" s="1"/>
  <c r="AC25" i="3"/>
  <c r="AD25" i="3"/>
  <c r="AF25" i="3"/>
  <c r="AG25" i="3"/>
  <c r="AH25" i="3"/>
  <c r="H26" i="3"/>
  <c r="K26" i="3"/>
  <c r="N26" i="3"/>
  <c r="H27" i="3"/>
  <c r="K27" i="3"/>
  <c r="N27" i="3"/>
  <c r="H28" i="3"/>
  <c r="K28" i="3"/>
  <c r="N28" i="3"/>
  <c r="H29" i="3"/>
  <c r="K29" i="3"/>
  <c r="N29" i="3"/>
  <c r="H30" i="3"/>
  <c r="K30" i="3"/>
  <c r="N30" i="3"/>
  <c r="H31" i="3"/>
  <c r="K31" i="3"/>
  <c r="N31" i="3"/>
  <c r="H32" i="3"/>
  <c r="K32" i="3"/>
  <c r="N32" i="3"/>
  <c r="H33" i="3"/>
  <c r="K33" i="3"/>
  <c r="N33" i="3"/>
  <c r="H34" i="3"/>
  <c r="K34" i="3"/>
  <c r="N34" i="3"/>
  <c r="H35" i="3"/>
  <c r="K35" i="3"/>
  <c r="N35" i="3"/>
  <c r="H36" i="3"/>
  <c r="K36" i="3"/>
  <c r="N36" i="3"/>
  <c r="H37" i="3"/>
  <c r="K37" i="3"/>
  <c r="N37" i="3"/>
  <c r="H38" i="3"/>
  <c r="K38" i="3"/>
  <c r="N38" i="3"/>
  <c r="H39" i="3"/>
  <c r="K39" i="3"/>
  <c r="N39" i="3"/>
  <c r="H40" i="3"/>
  <c r="K40" i="3"/>
  <c r="N40" i="3"/>
  <c r="H41" i="3"/>
  <c r="K41" i="3"/>
  <c r="N41" i="3"/>
  <c r="H42" i="3"/>
  <c r="K42" i="3"/>
  <c r="N42" i="3"/>
  <c r="H43" i="3"/>
  <c r="K43" i="3"/>
  <c r="N43" i="3"/>
  <c r="H44" i="3"/>
  <c r="K44" i="3"/>
  <c r="N44" i="3"/>
  <c r="H45" i="3"/>
  <c r="K45" i="3"/>
  <c r="N45" i="3"/>
  <c r="H46" i="3"/>
  <c r="K46" i="3"/>
  <c r="N46" i="3"/>
  <c r="H47" i="3"/>
  <c r="K47" i="3"/>
  <c r="N47" i="3"/>
  <c r="H48" i="3"/>
  <c r="K48" i="3"/>
  <c r="N48" i="3"/>
  <c r="H49" i="3"/>
  <c r="K49" i="3"/>
  <c r="N49" i="3"/>
  <c r="H51" i="3"/>
  <c r="H25" i="2"/>
  <c r="H50" i="2" s="1"/>
  <c r="N25" i="2"/>
  <c r="N51" i="2" s="1"/>
  <c r="Q25" i="2"/>
  <c r="Q51" i="2" s="1"/>
  <c r="AC25" i="2"/>
  <c r="AD25" i="2"/>
  <c r="AF25" i="2"/>
  <c r="AG25" i="2"/>
  <c r="AI25" i="2"/>
  <c r="AJ25" i="2"/>
  <c r="AK25" i="2"/>
  <c r="K44" i="1"/>
  <c r="K45" i="1"/>
  <c r="K46" i="1"/>
  <c r="K47" i="1"/>
  <c r="K48" i="1"/>
  <c r="AF25" i="1"/>
  <c r="AG25" i="1"/>
  <c r="AH25" i="1" s="1"/>
  <c r="K25" i="1"/>
  <c r="AC25" i="1"/>
  <c r="AD25" i="1"/>
  <c r="K36" i="1"/>
  <c r="K37" i="1"/>
  <c r="K38" i="1"/>
  <c r="K39" i="1"/>
  <c r="AH52" i="1"/>
  <c r="AG52" i="1"/>
  <c r="AF52" i="1"/>
  <c r="AD52" i="1"/>
  <c r="AC52" i="1"/>
  <c r="K28" i="1"/>
  <c r="K29" i="1"/>
  <c r="K30" i="1"/>
  <c r="K40" i="1"/>
  <c r="K41" i="1"/>
  <c r="K42" i="1"/>
  <c r="K43" i="1"/>
  <c r="K49" i="1"/>
  <c r="K50" i="2" l="1"/>
  <c r="Q50" i="2"/>
  <c r="H52" i="3"/>
  <c r="K52" i="2"/>
  <c r="Q52" i="2"/>
  <c r="N52" i="2"/>
  <c r="N51" i="5"/>
  <c r="N52" i="5"/>
  <c r="N52" i="3"/>
  <c r="N50" i="3"/>
  <c r="K50" i="5"/>
  <c r="N50" i="2"/>
  <c r="H51" i="2"/>
  <c r="H52" i="2"/>
  <c r="K51" i="5"/>
  <c r="K51" i="3"/>
  <c r="AH35" i="1"/>
  <c r="AH34" i="1"/>
  <c r="AH33" i="1"/>
  <c r="AH32" i="1"/>
  <c r="AH31" i="1"/>
  <c r="AH27" i="1"/>
  <c r="AH26" i="1"/>
  <c r="K52" i="1"/>
  <c r="K51" i="1"/>
  <c r="K50" i="1"/>
  <c r="K50" i="3"/>
</calcChain>
</file>

<file path=xl/sharedStrings.xml><?xml version="1.0" encoding="utf-8"?>
<sst xmlns="http://schemas.openxmlformats.org/spreadsheetml/2006/main" count="383" uniqueCount="83">
  <si>
    <t>RENSEIGNEMENTS GENERAUX</t>
  </si>
  <si>
    <t>Nature du matériau :</t>
  </si>
  <si>
    <t>1/</t>
  </si>
  <si>
    <t>2/</t>
  </si>
  <si>
    <t>3/</t>
  </si>
  <si>
    <t>COMMENTAIRES</t>
  </si>
  <si>
    <t>Date de(s) essai(s) :</t>
  </si>
  <si>
    <t>Opérateur :</t>
  </si>
  <si>
    <t>Laboratoire :</t>
  </si>
  <si>
    <t>Nom</t>
  </si>
  <si>
    <t>Visa</t>
  </si>
  <si>
    <t>CRITERES DE CONFORMITE</t>
  </si>
  <si>
    <t>Source des critères :</t>
  </si>
  <si>
    <t>Définition des critères / objectifs :</t>
  </si>
  <si>
    <t>CONCLUSIONS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</si>
  <si>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</si>
  <si>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</si>
  <si>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</si>
  <si>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</si>
  <si>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</si>
  <si>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</si>
  <si>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PORTANCES DES PLATES-FORMES  
( NF P 94-117-1)</t>
  </si>
  <si>
    <t>PL2</t>
  </si>
  <si>
    <t>Partie d'ouvrage :</t>
  </si>
  <si>
    <t>Plan de situation :</t>
  </si>
  <si>
    <t>Oui</t>
  </si>
  <si>
    <t>Non</t>
  </si>
  <si>
    <t>Localisation de l'essai</t>
  </si>
  <si>
    <t>Module EV2</t>
  </si>
  <si>
    <t>Observations</t>
  </si>
  <si>
    <t>MPa</t>
  </si>
  <si>
    <t>N°1</t>
  </si>
  <si>
    <t>N°2</t>
  </si>
  <si>
    <t>N°3</t>
  </si>
  <si>
    <t>N°4</t>
  </si>
  <si>
    <t>N°5</t>
  </si>
  <si>
    <t>N°6</t>
  </si>
  <si>
    <t>N°7</t>
  </si>
  <si>
    <t>N°8</t>
  </si>
  <si>
    <t>N°9</t>
  </si>
  <si>
    <t>N°10</t>
  </si>
  <si>
    <t>Moyenne</t>
  </si>
  <si>
    <t>Valeur mini</t>
  </si>
  <si>
    <t>Valeur maxi</t>
  </si>
  <si>
    <t>RESULTATS DES ESSAIS</t>
  </si>
  <si>
    <t>Module EV1</t>
  </si>
  <si>
    <t>Lect</t>
  </si>
  <si>
    <t>Lect x 2</t>
  </si>
  <si>
    <t>EV1</t>
  </si>
  <si>
    <t>EV2</t>
  </si>
  <si>
    <t>EV2/EV1</t>
  </si>
  <si>
    <t>N°11</t>
  </si>
  <si>
    <t>N°12</t>
  </si>
  <si>
    <t>N°13</t>
  </si>
  <si>
    <t>N°14</t>
  </si>
  <si>
    <t>N°15</t>
  </si>
  <si>
    <t>N°16</t>
  </si>
  <si>
    <t>N°17</t>
  </si>
  <si>
    <t>N°18</t>
  </si>
  <si>
    <t>N°19</t>
  </si>
  <si>
    <t>N°20</t>
  </si>
  <si>
    <t>% de valeurs ≥ au seuil requis</t>
  </si>
  <si>
    <t>N°21</t>
  </si>
  <si>
    <t>N°22</t>
  </si>
  <si>
    <t>N°23</t>
  </si>
  <si>
    <t>N°24</t>
  </si>
  <si>
    <t>N°25</t>
  </si>
  <si>
    <t>W</t>
  </si>
  <si>
    <t>MPa/m</t>
  </si>
  <si>
    <t>Westergaard Kw</t>
  </si>
  <si>
    <t>EV2 / EV1</t>
  </si>
  <si>
    <t>Diametre de la plaque pour Kw:</t>
  </si>
  <si>
    <t>Partie de l'ouvrage :</t>
  </si>
  <si>
    <t>Météo :</t>
  </si>
  <si>
    <t>PL12</t>
  </si>
  <si>
    <t>PORTANCES DES PLATES-FORMES  
( NF P 94-117-1 et NF P 94-117-3 )</t>
  </si>
  <si>
    <t>PLW12</t>
  </si>
  <si>
    <t>PLW2</t>
  </si>
  <si>
    <r>
      <t>E</t>
    </r>
    <r>
      <rPr>
        <b/>
        <vertAlign val="subscript"/>
        <sz val="10"/>
        <rFont val="Century Gothic"/>
        <family val="2"/>
      </rPr>
      <t>vd</t>
    </r>
  </si>
  <si>
    <r>
      <t xml:space="preserve">PORTANCES DES PLATES-FORMES  
</t>
    </r>
    <r>
      <rPr>
        <b/>
        <sz val="10"/>
        <rFont val="Century Gothic"/>
        <family val="2"/>
      </rPr>
      <t>( NF P 94-117-1)</t>
    </r>
  </si>
  <si>
    <t>4/</t>
  </si>
  <si>
    <t>5/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</si>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</sst>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0"/>
  </numFmts>
  <fonts count="15" x14ac:knownFonts="1">
    <font>
      <sz val="10"/>
      <name val="Arial"/>
    </font>
    <font>
      <sz val="8"/>
      <name val="Arial"/>
      <family val="2"/>
    </font>
    <font>
      <sz val="8"/>
      <color rgb="FF000000"/>
      <name val="Tahoma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sz val="11"/>
      <name val="Century Gothic"/>
      <family val="2"/>
    </font>
    <font>
      <b/>
      <u/>
      <sz val="11"/>
      <name val="Century Gothic"/>
      <family val="2"/>
    </font>
    <font>
      <b/>
      <sz val="11"/>
      <name val="Century Gothic"/>
      <family val="2"/>
    </font>
    <font>
      <u/>
      <sz val="10"/>
      <name val="Century Gothic"/>
      <family val="2"/>
    </font>
    <font>
      <b/>
      <vertAlign val="subscript"/>
      <sz val="10"/>
      <name val="Century Gothic"/>
      <family val="2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297">
    <xf numFmtId="0" fontId="0" fillId="0" borderId="0" xfId="0"/>
    <xf numFmtId="0" fontId="3" fillId="0" borderId="0" xfId="0" applyFont="1" applyFill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3" fillId="0" borderId="7" xfId="0" applyFont="1" applyFill="1" applyBorder="1" applyAlignment="1" applyProtection="1">
      <alignment vertical="center"/>
      <protection hidden="1"/>
    </xf>
    <xf numFmtId="0" fontId="3" fillId="0" borderId="3" xfId="0" applyFont="1" applyFill="1" applyBorder="1" applyAlignment="1" applyProtection="1">
      <alignment vertical="center"/>
      <protection hidden="1"/>
    </xf>
    <xf numFmtId="0" fontId="6" fillId="0" borderId="1" xfId="0" applyFont="1" applyFill="1" applyBorder="1" applyAlignment="1" applyProtection="1">
      <alignment horizontal="center" vertical="center"/>
      <protection hidden="1"/>
    </xf>
    <xf numFmtId="0" fontId="9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vertical="center"/>
      <protection hidden="1"/>
    </xf>
    <xf numFmtId="0" fontId="3" fillId="0" borderId="2" xfId="0" applyFont="1" applyFill="1" applyBorder="1" applyAlignment="1" applyProtection="1">
      <alignment horizontal="center" vertical="center"/>
      <protection hidden="1"/>
    </xf>
    <xf numFmtId="0" fontId="3" fillId="0" borderId="8" xfId="0" applyFont="1" applyFill="1" applyBorder="1" applyAlignment="1" applyProtection="1">
      <alignment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3" fillId="0" borderId="0" xfId="0" applyFont="1" applyFill="1" applyBorder="1" applyAlignment="1" applyProtection="1">
      <alignment vertical="center"/>
      <protection hidden="1"/>
    </xf>
    <xf numFmtId="0" fontId="3" fillId="0" borderId="0" xfId="0" applyFont="1" applyFill="1" applyBorder="1" applyAlignment="1" applyProtection="1">
      <alignment horizontal="center" vertical="center"/>
      <protection hidden="1"/>
    </xf>
    <xf numFmtId="0" fontId="3" fillId="0" borderId="9" xfId="0" applyFont="1" applyFill="1" applyBorder="1" applyAlignment="1" applyProtection="1">
      <alignment vertical="center"/>
      <protection hidden="1"/>
    </xf>
    <xf numFmtId="0" fontId="8" fillId="0" borderId="9" xfId="0" applyFont="1" applyFill="1" applyBorder="1" applyAlignment="1" applyProtection="1">
      <alignment horizontal="left" vertical="center"/>
      <protection hidden="1"/>
    </xf>
    <xf numFmtId="0" fontId="10" fillId="0" borderId="0" xfId="0" applyFont="1" applyAlignment="1" applyProtection="1">
      <alignment vertical="center"/>
      <protection locked="0"/>
    </xf>
    <xf numFmtId="0" fontId="3" fillId="0" borderId="7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center" vertical="center"/>
      <protection hidden="1"/>
    </xf>
    <xf numFmtId="0" fontId="3" fillId="0" borderId="3" xfId="0" applyFont="1" applyFill="1" applyBorder="1" applyAlignment="1" applyProtection="1">
      <alignment horizontal="left" vertical="center"/>
      <protection hidden="1"/>
    </xf>
    <xf numFmtId="0" fontId="3" fillId="0" borderId="10" xfId="0" applyFont="1" applyFill="1" applyBorder="1" applyAlignment="1" applyProtection="1">
      <alignment vertical="center"/>
      <protection hidden="1"/>
    </xf>
    <xf numFmtId="0" fontId="3" fillId="0" borderId="0" xfId="0" applyFont="1" applyFill="1" applyProtection="1">
      <protection hidden="1"/>
    </xf>
    <xf numFmtId="0" fontId="11" fillId="0" borderId="0" xfId="0" applyFont="1" applyFill="1" applyAlignment="1" applyProtection="1">
      <alignment horizontal="right"/>
      <protection hidden="1"/>
    </xf>
    <xf numFmtId="0" fontId="9" fillId="0" borderId="0" xfId="0" applyFont="1" applyFill="1" applyAlignment="1" applyProtection="1">
      <alignment horizontal="right"/>
      <protection hidden="1"/>
    </xf>
    <xf numFmtId="14" fontId="12" fillId="0" borderId="0" xfId="0" applyNumberFormat="1" applyFont="1" applyFill="1" applyAlignment="1" applyProtection="1">
      <alignment horizontal="center"/>
      <protection hidden="1"/>
    </xf>
    <xf numFmtId="0" fontId="9" fillId="0" borderId="2" xfId="0" applyFont="1" applyFill="1" applyBorder="1" applyAlignment="1" applyProtection="1">
      <protection hidden="1"/>
    </xf>
    <xf numFmtId="0" fontId="3" fillId="0" borderId="2" xfId="0" applyFont="1" applyFill="1" applyBorder="1" applyProtection="1">
      <protection hidden="1"/>
    </xf>
    <xf numFmtId="0" fontId="3" fillId="0" borderId="8" xfId="0" applyFont="1" applyFill="1" applyBorder="1" applyProtection="1">
      <protection hidden="1"/>
    </xf>
    <xf numFmtId="0" fontId="3" fillId="0" borderId="0" xfId="0" applyFont="1" applyFill="1"/>
    <xf numFmtId="0" fontId="3" fillId="0" borderId="6" xfId="0" applyFont="1" applyFill="1" applyBorder="1" applyProtection="1">
      <protection hidden="1"/>
    </xf>
    <xf numFmtId="0" fontId="6" fillId="0" borderId="0" xfId="0" applyFont="1" applyFill="1" applyBorder="1" applyAlignment="1" applyProtection="1">
      <protection hidden="1"/>
    </xf>
    <xf numFmtId="0" fontId="3" fillId="0" borderId="0" xfId="0" applyFont="1" applyFill="1" applyBorder="1" applyProtection="1">
      <protection hidden="1"/>
    </xf>
    <xf numFmtId="0" fontId="3" fillId="0" borderId="9" xfId="0" applyFont="1" applyFill="1" applyBorder="1" applyProtection="1">
      <protection hidden="1"/>
    </xf>
    <xf numFmtId="0" fontId="8" fillId="0" borderId="9" xfId="0" applyFont="1" applyFill="1" applyBorder="1" applyAlignment="1" applyProtection="1">
      <alignment horizontal="left"/>
      <protection hidden="1"/>
    </xf>
    <xf numFmtId="0" fontId="3" fillId="0" borderId="7" xfId="0" applyFont="1" applyFill="1" applyBorder="1" applyProtection="1">
      <protection hidden="1"/>
    </xf>
    <xf numFmtId="0" fontId="3" fillId="0" borderId="3" xfId="0" applyFont="1" applyFill="1" applyBorder="1" applyProtection="1">
      <protection hidden="1"/>
    </xf>
    <xf numFmtId="0" fontId="3" fillId="0" borderId="10" xfId="0" applyFont="1" applyFill="1" applyBorder="1" applyProtection="1">
      <protection hidden="1"/>
    </xf>
    <xf numFmtId="0" fontId="3" fillId="0" borderId="0" xfId="0" applyFont="1" applyFill="1" applyBorder="1" applyAlignment="1" applyProtection="1">
      <alignment horizontal="left" vertical="center"/>
      <protection hidden="1"/>
    </xf>
    <xf numFmtId="0" fontId="13" fillId="0" borderId="2" xfId="0" applyFont="1" applyFill="1" applyBorder="1" applyAlignment="1" applyProtection="1">
      <alignment vertical="center"/>
      <protection hidden="1"/>
    </xf>
    <xf numFmtId="0" fontId="13" fillId="0" borderId="2" xfId="0" applyFont="1" applyFill="1" applyBorder="1" applyAlignment="1" applyProtection="1">
      <alignment horizontal="center" vertical="center"/>
      <protection hidden="1"/>
    </xf>
    <xf numFmtId="0" fontId="3" fillId="0" borderId="13" xfId="0" applyFont="1" applyFill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1" fontId="3" fillId="0" borderId="18" xfId="0" applyNumberFormat="1" applyFont="1" applyFill="1" applyBorder="1" applyAlignment="1" applyProtection="1">
      <alignment horizontal="center"/>
      <protection locked="0"/>
    </xf>
    <xf numFmtId="1" fontId="3" fillId="0" borderId="18" xfId="0" applyNumberFormat="1" applyFont="1" applyFill="1" applyBorder="1" applyAlignment="1" applyProtection="1">
      <alignment horizontal="center"/>
    </xf>
    <xf numFmtId="164" fontId="3" fillId="0" borderId="18" xfId="0" applyNumberFormat="1" applyFont="1" applyFill="1" applyBorder="1" applyAlignment="1">
      <alignment horizontal="center"/>
    </xf>
    <xf numFmtId="164" fontId="4" fillId="0" borderId="18" xfId="0" applyNumberFormat="1" applyFont="1" applyFill="1" applyBorder="1" applyAlignment="1">
      <alignment horizontal="center"/>
    </xf>
    <xf numFmtId="1" fontId="3" fillId="0" borderId="18" xfId="0" applyNumberFormat="1" applyFont="1" applyFill="1" applyBorder="1" applyAlignment="1">
      <alignment horizontal="center"/>
    </xf>
    <xf numFmtId="164" fontId="4" fillId="0" borderId="13" xfId="0" applyNumberFormat="1" applyFont="1" applyFill="1" applyBorder="1" applyAlignment="1">
      <alignment horizontal="center"/>
    </xf>
    <xf numFmtId="2" fontId="4" fillId="0" borderId="13" xfId="0" applyNumberFormat="1" applyFont="1" applyFill="1" applyBorder="1" applyAlignment="1">
      <alignment horizontal="center"/>
    </xf>
    <xf numFmtId="1" fontId="3" fillId="0" borderId="0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center"/>
    </xf>
    <xf numFmtId="0" fontId="4" fillId="0" borderId="7" xfId="0" applyFont="1" applyFill="1" applyBorder="1" applyAlignment="1" applyProtection="1">
      <alignment horizontal="center" vertical="center"/>
      <protection hidden="1"/>
    </xf>
    <xf numFmtId="0" fontId="4" fillId="0" borderId="3" xfId="0" applyFont="1" applyFill="1" applyBorder="1" applyAlignment="1" applyProtection="1">
      <alignment vertical="center"/>
      <protection hidden="1"/>
    </xf>
    <xf numFmtId="0" fontId="4" fillId="0" borderId="0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0" fontId="6" fillId="0" borderId="4" xfId="0" applyFont="1" applyFill="1" applyBorder="1" applyAlignment="1" applyProtection="1">
      <alignment horizontal="center" vertical="center"/>
      <protection hidden="1"/>
    </xf>
    <xf numFmtId="0" fontId="9" fillId="0" borderId="5" xfId="0" applyFont="1" applyFill="1" applyBorder="1" applyAlignment="1" applyProtection="1">
      <alignment vertical="center"/>
      <protection hidden="1"/>
    </xf>
    <xf numFmtId="0" fontId="13" fillId="0" borderId="5" xfId="0" applyFont="1" applyFill="1" applyBorder="1" applyAlignment="1" applyProtection="1">
      <alignment vertical="center"/>
      <protection hidden="1"/>
    </xf>
    <xf numFmtId="0" fontId="3" fillId="0" borderId="5" xfId="0" applyFont="1" applyFill="1" applyBorder="1" applyAlignment="1" applyProtection="1">
      <alignment vertical="center"/>
      <protection hidden="1"/>
    </xf>
    <xf numFmtId="0" fontId="6" fillId="0" borderId="6" xfId="0" applyFont="1" applyFill="1" applyBorder="1" applyAlignment="1" applyProtection="1">
      <alignment horizontal="center" vertical="center"/>
      <protection hidden="1"/>
    </xf>
    <xf numFmtId="0" fontId="9" fillId="0" borderId="0" xfId="0" applyFont="1" applyFill="1" applyBorder="1" applyAlignment="1" applyProtection="1">
      <alignment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8" fillId="0" borderId="9" xfId="0" applyFont="1" applyFill="1" applyBorder="1" applyAlignment="1" applyProtection="1">
      <alignment vertical="center"/>
      <protection hidden="1"/>
    </xf>
    <xf numFmtId="0" fontId="3" fillId="0" borderId="0" xfId="0" applyFont="1" applyFill="1" applyAlignment="1" applyProtection="1">
      <alignment horizontal="center" vertical="center"/>
      <protection hidden="1"/>
    </xf>
    <xf numFmtId="0" fontId="3" fillId="0" borderId="22" xfId="0" applyFont="1" applyFill="1" applyBorder="1"/>
    <xf numFmtId="0" fontId="4" fillId="0" borderId="21" xfId="0" applyFont="1" applyFill="1" applyBorder="1" applyAlignment="1">
      <alignment horizontal="center"/>
    </xf>
    <xf numFmtId="0" fontId="3" fillId="0" borderId="20" xfId="0" applyFont="1" applyFill="1" applyBorder="1" applyAlignment="1" applyProtection="1">
      <alignment vertical="center"/>
      <protection hidden="1"/>
    </xf>
    <xf numFmtId="0" fontId="8" fillId="0" borderId="20" xfId="0" applyFont="1" applyFill="1" applyBorder="1" applyAlignment="1" applyProtection="1">
      <alignment horizontal="left"/>
      <protection locked="0"/>
    </xf>
    <xf numFmtId="0" fontId="8" fillId="0" borderId="25" xfId="0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8" fillId="0" borderId="24" xfId="0" applyFont="1" applyFill="1" applyBorder="1" applyAlignment="1" applyProtection="1">
      <alignment horizontal="left"/>
      <protection locked="0"/>
    </xf>
    <xf numFmtId="0" fontId="8" fillId="0" borderId="19" xfId="0" applyFont="1" applyFill="1" applyBorder="1" applyAlignment="1" applyProtection="1">
      <alignment horizontal="left"/>
      <protection locked="0"/>
    </xf>
    <xf numFmtId="0" fontId="8" fillId="0" borderId="23" xfId="0" applyFont="1" applyFill="1" applyBorder="1" applyAlignment="1" applyProtection="1">
      <alignment horizontal="left"/>
      <protection locked="0"/>
    </xf>
    <xf numFmtId="0" fontId="10" fillId="0" borderId="0" xfId="0" applyFont="1" applyFill="1" applyBorder="1" applyAlignment="1" applyProtection="1">
      <alignment vertical="center"/>
      <protection hidden="1"/>
    </xf>
    <xf numFmtId="0" fontId="9" fillId="0" borderId="2" xfId="0" applyFont="1" applyFill="1" applyBorder="1" applyAlignment="1">
      <alignment vertical="center"/>
    </xf>
    <xf numFmtId="0" fontId="8" fillId="0" borderId="14" xfId="0" applyFont="1" applyFill="1" applyBorder="1" applyAlignment="1" applyProtection="1">
      <alignment horizontal="left"/>
      <protection locked="0"/>
    </xf>
    <xf numFmtId="0" fontId="8" fillId="0" borderId="15" xfId="0" applyFont="1" applyFill="1" applyBorder="1" applyAlignment="1" applyProtection="1">
      <alignment horizontal="left"/>
      <protection locked="0"/>
    </xf>
    <xf numFmtId="0" fontId="8" fillId="0" borderId="16" xfId="0" applyFont="1" applyFill="1" applyBorder="1" applyAlignment="1" applyProtection="1">
      <alignment horizontal="left"/>
      <protection locked="0"/>
    </xf>
    <xf numFmtId="0" fontId="8" fillId="0" borderId="17" xfId="0" applyFont="1" applyFill="1" applyBorder="1" applyAlignment="1" applyProtection="1">
      <alignment horizontal="left"/>
      <protection locked="0"/>
    </xf>
    <xf numFmtId="0" fontId="10" fillId="0" borderId="18" xfId="0" applyFont="1" applyFill="1" applyBorder="1" applyAlignment="1" applyProtection="1">
      <alignment horizontal="center"/>
      <protection locked="0"/>
    </xf>
    <xf numFmtId="0" fontId="10" fillId="0" borderId="14" xfId="0" applyFont="1" applyFill="1" applyBorder="1" applyAlignment="1" applyProtection="1">
      <alignment horizontal="center"/>
      <protection locked="0"/>
    </xf>
    <xf numFmtId="0" fontId="10" fillId="0" borderId="26" xfId="0" applyFont="1" applyFill="1" applyBorder="1" applyAlignment="1" applyProtection="1">
      <alignment horizontal="center"/>
      <protection locked="0"/>
    </xf>
    <xf numFmtId="0" fontId="11" fillId="0" borderId="6" xfId="0" applyFont="1" applyFill="1" applyBorder="1" applyAlignment="1" applyProtection="1">
      <alignment horizontal="center" vertical="center"/>
      <protection hidden="1"/>
    </xf>
    <xf numFmtId="0" fontId="11" fillId="0" borderId="0" xfId="0" applyFont="1" applyFill="1" applyBorder="1" applyAlignment="1" applyProtection="1">
      <alignment horizontal="center" vertical="center"/>
      <protection hidden="1"/>
    </xf>
    <xf numFmtId="0" fontId="11" fillId="0" borderId="9" xfId="0" applyFont="1" applyFill="1" applyBorder="1" applyAlignment="1" applyProtection="1">
      <alignment horizontal="center" vertical="center"/>
      <protection hidden="1"/>
    </xf>
    <xf numFmtId="0" fontId="11" fillId="0" borderId="7" xfId="0" applyFont="1" applyFill="1" applyBorder="1" applyAlignment="1" applyProtection="1">
      <alignment horizontal="center" vertical="center"/>
      <protection hidden="1"/>
    </xf>
    <xf numFmtId="0" fontId="11" fillId="0" borderId="3" xfId="0" applyFont="1" applyFill="1" applyBorder="1" applyAlignment="1" applyProtection="1">
      <alignment horizontal="center" vertical="center"/>
      <protection hidden="1"/>
    </xf>
    <xf numFmtId="0" fontId="11" fillId="0" borderId="10" xfId="0" applyFont="1" applyFill="1" applyBorder="1" applyAlignment="1" applyProtection="1">
      <alignment horizontal="center" vertical="center"/>
      <protection hidden="1"/>
    </xf>
    <xf numFmtId="0" fontId="3" fillId="0" borderId="1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Fill="1" applyBorder="1" applyAlignment="1" applyProtection="1">
      <alignment horizontal="center" vertical="center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0" fontId="3" fillId="0" borderId="8" xfId="0" applyFont="1" applyBorder="1" applyAlignment="1" applyProtection="1">
      <alignment horizontal="center" vertical="center" wrapText="1"/>
      <protection locked="0"/>
    </xf>
    <xf numFmtId="0" fontId="3" fillId="0" borderId="6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Fill="1" applyBorder="1" applyAlignment="1" applyProtection="1">
      <alignment horizontal="center" vertical="center" wrapText="1"/>
      <protection locked="0"/>
    </xf>
    <xf numFmtId="0" fontId="3" fillId="0" borderId="9" xfId="0" applyFont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3" fillId="0" borderId="7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3" xfId="0" applyFont="1" applyBorder="1" applyAlignment="1" applyProtection="1">
      <alignment horizontal="center" vertical="center" wrapText="1"/>
      <protection locked="0"/>
    </xf>
    <xf numFmtId="0" fontId="3" fillId="0" borderId="10" xfId="0" applyFont="1" applyBorder="1" applyAlignment="1" applyProtection="1">
      <alignment horizontal="center" vertical="center" wrapText="1"/>
      <protection locked="0"/>
    </xf>
    <xf numFmtId="0" fontId="11" fillId="0" borderId="14" xfId="0" applyFont="1" applyFill="1" applyBorder="1" applyAlignment="1" applyProtection="1">
      <alignment horizontal="center" vertical="center" wrapText="1"/>
      <protection hidden="1"/>
    </xf>
    <xf numFmtId="0" fontId="3" fillId="0" borderId="14" xfId="0" applyFont="1" applyBorder="1" applyAlignment="1" applyProtection="1">
      <alignment horizontal="center" vertical="center" wrapText="1"/>
      <protection hidden="1"/>
    </xf>
    <xf numFmtId="0" fontId="3" fillId="0" borderId="26" xfId="0" applyFont="1" applyBorder="1" applyAlignment="1" applyProtection="1">
      <alignment horizontal="center" vertical="center" wrapText="1"/>
      <protection hidden="1"/>
    </xf>
    <xf numFmtId="0" fontId="10" fillId="0" borderId="18" xfId="0" applyFont="1" applyFill="1" applyBorder="1" applyAlignment="1" applyProtection="1">
      <alignment horizontal="center" vertical="center" wrapText="1"/>
      <protection locked="0"/>
    </xf>
    <xf numFmtId="0" fontId="10" fillId="0" borderId="14" xfId="0" applyFont="1" applyFill="1" applyBorder="1" applyAlignment="1" applyProtection="1">
      <alignment horizontal="center" vertical="center" wrapText="1"/>
      <protection locked="0"/>
    </xf>
    <xf numFmtId="0" fontId="3" fillId="0" borderId="14" xfId="0" applyFont="1" applyBorder="1" applyAlignment="1" applyProtection="1">
      <alignment horizontal="center" vertical="center" wrapText="1"/>
      <protection locked="0"/>
    </xf>
    <xf numFmtId="0" fontId="3" fillId="0" borderId="26" xfId="0" applyFont="1" applyBorder="1" applyAlignment="1" applyProtection="1">
      <alignment horizontal="center" vertical="center" wrapText="1"/>
      <protection locked="0"/>
    </xf>
    <xf numFmtId="0" fontId="7" fillId="0" borderId="3" xfId="0" applyFont="1" applyFill="1" applyBorder="1" applyAlignment="1" applyProtection="1">
      <alignment horizontal="center" vertical="center"/>
      <protection hidden="1"/>
    </xf>
    <xf numFmtId="0" fontId="6" fillId="0" borderId="27" xfId="0" applyFont="1" applyFill="1" applyBorder="1" applyAlignment="1" applyProtection="1">
      <alignment horizontal="center" vertical="center"/>
      <protection hidden="1"/>
    </xf>
    <xf numFmtId="0" fontId="6" fillId="0" borderId="11" xfId="0" applyFont="1" applyFill="1" applyBorder="1" applyAlignment="1" applyProtection="1">
      <alignment horizontal="center" vertical="center"/>
      <protection hidden="1"/>
    </xf>
    <xf numFmtId="0" fontId="6" fillId="0" borderId="6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Fill="1" applyBorder="1" applyAlignment="1" applyProtection="1">
      <alignment horizontal="center" vertical="center" wrapText="1"/>
      <protection hidden="1"/>
    </xf>
    <xf numFmtId="0" fontId="6" fillId="0" borderId="14" xfId="0" applyFont="1" applyFill="1" applyBorder="1" applyAlignment="1" applyProtection="1">
      <alignment horizontal="center" vertical="center"/>
      <protection hidden="1"/>
    </xf>
    <xf numFmtId="0" fontId="8" fillId="0" borderId="14" xfId="0" applyFont="1" applyFill="1" applyBorder="1" applyAlignment="1" applyProtection="1">
      <alignment horizontal="center" vertical="center"/>
      <protection hidden="1"/>
    </xf>
    <xf numFmtId="14" fontId="10" fillId="0" borderId="0" xfId="0" applyNumberFormat="1" applyFont="1" applyFill="1" applyBorder="1" applyAlignment="1" applyProtection="1">
      <alignment horizontal="left" vertical="center"/>
      <protection locked="0"/>
    </xf>
    <xf numFmtId="14" fontId="10" fillId="0" borderId="0" xfId="0" applyNumberFormat="1" applyFont="1" applyAlignment="1" applyProtection="1">
      <alignment horizontal="left" vertical="center"/>
      <protection locked="0"/>
    </xf>
    <xf numFmtId="0" fontId="10" fillId="0" borderId="6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7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3" fillId="0" borderId="1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6" xfId="0" applyFont="1" applyFill="1" applyBorder="1" applyAlignment="1" applyProtection="1">
      <alignment horizontal="center" vertical="center" wrapText="1"/>
      <protection hidden="1"/>
    </xf>
    <xf numFmtId="0" fontId="3" fillId="0" borderId="0" xfId="0" applyFont="1" applyFill="1" applyBorder="1" applyAlignment="1" applyProtection="1">
      <alignment horizontal="center" vertical="center" wrapText="1"/>
      <protection hidden="1"/>
    </xf>
    <xf numFmtId="0" fontId="3" fillId="0" borderId="9" xfId="0" applyFont="1" applyFill="1" applyBorder="1" applyAlignment="1" applyProtection="1">
      <alignment horizontal="center" vertical="center" wrapText="1"/>
      <protection hidden="1"/>
    </xf>
    <xf numFmtId="0" fontId="3" fillId="0" borderId="7" xfId="0" applyFont="1" applyFill="1" applyBorder="1" applyAlignment="1" applyProtection="1">
      <alignment horizontal="center" vertical="center" wrapText="1"/>
      <protection hidden="1"/>
    </xf>
    <xf numFmtId="0" fontId="3" fillId="0" borderId="3" xfId="0" applyFont="1" applyFill="1" applyBorder="1" applyAlignment="1" applyProtection="1">
      <alignment horizontal="center" vertical="center" wrapText="1"/>
      <protection hidden="1"/>
    </xf>
    <xf numFmtId="0" fontId="3" fillId="0" borderId="10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 applyProtection="1">
      <alignment horizontal="center" vertical="center"/>
      <protection hidden="1"/>
    </xf>
    <xf numFmtId="0" fontId="4" fillId="0" borderId="2" xfId="0" applyFont="1" applyFill="1" applyBorder="1" applyAlignment="1" applyProtection="1">
      <alignment horizontal="center" vertical="center"/>
      <protection hidden="1"/>
    </xf>
    <xf numFmtId="0" fontId="4" fillId="0" borderId="8" xfId="0" applyFont="1" applyFill="1" applyBorder="1" applyAlignment="1" applyProtection="1">
      <alignment horizontal="center" vertical="center"/>
      <protection hidden="1"/>
    </xf>
    <xf numFmtId="0" fontId="10" fillId="0" borderId="0" xfId="0" applyFont="1" applyFill="1" applyBorder="1" applyAlignment="1" applyProtection="1">
      <alignment horizontal="left" vertical="center"/>
      <protection hidden="1"/>
    </xf>
    <xf numFmtId="0" fontId="10" fillId="0" borderId="0" xfId="0" applyFont="1" applyAlignment="1" applyProtection="1">
      <alignment horizontal="left" vertical="center"/>
      <protection locked="0"/>
    </xf>
    <xf numFmtId="0" fontId="7" fillId="0" borderId="10" xfId="0" applyFont="1" applyFill="1" applyBorder="1" applyAlignment="1" applyProtection="1">
      <alignment horizontal="center" vertical="center"/>
      <protection hidden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0" borderId="2" xfId="0" applyFont="1" applyFill="1" applyBorder="1" applyAlignment="1" applyProtection="1">
      <alignment horizontal="center" vertical="center" wrapText="1"/>
      <protection locked="0"/>
    </xf>
    <xf numFmtId="0" fontId="5" fillId="0" borderId="8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9" xfId="0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Fill="1" applyBorder="1" applyAlignment="1" applyProtection="1">
      <alignment horizontal="center" vertical="center" wrapText="1"/>
      <protection locked="0"/>
    </xf>
    <xf numFmtId="0" fontId="5" fillId="0" borderId="3" xfId="0" applyFont="1" applyFill="1" applyBorder="1" applyAlignment="1" applyProtection="1">
      <alignment horizontal="center" vertical="center" wrapText="1"/>
      <protection locked="0"/>
    </xf>
    <xf numFmtId="0" fontId="5" fillId="0" borderId="10" xfId="0" applyFont="1" applyFill="1" applyBorder="1" applyAlignment="1" applyProtection="1">
      <alignment horizontal="center" vertical="center" wrapText="1"/>
      <protection locked="0"/>
    </xf>
    <xf numFmtId="0" fontId="5" fillId="0" borderId="6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5" fillId="0" borderId="9" xfId="0" applyFont="1" applyFill="1" applyBorder="1" applyAlignment="1" applyProtection="1">
      <alignment horizontal="center" vertical="center" wrapText="1"/>
      <protection hidden="1"/>
    </xf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0" borderId="2" xfId="0" applyFont="1" applyBorder="1"/>
    <xf numFmtId="0" fontId="3" fillId="0" borderId="8" xfId="0" applyFont="1" applyBorder="1"/>
    <xf numFmtId="0" fontId="3" fillId="0" borderId="3" xfId="0" applyFont="1" applyBorder="1"/>
    <xf numFmtId="0" fontId="3" fillId="0" borderId="10" xfId="0" applyFont="1" applyBorder="1"/>
    <xf numFmtId="0" fontId="10" fillId="0" borderId="0" xfId="0" applyFont="1" applyFill="1" applyBorder="1" applyAlignment="1" applyProtection="1">
      <alignment horizontal="left"/>
      <protection hidden="1"/>
    </xf>
    <xf numFmtId="0" fontId="10" fillId="0" borderId="0" xfId="0" applyFont="1" applyFill="1" applyBorder="1" applyAlignment="1" applyProtection="1">
      <alignment horizontal="left"/>
      <protection locked="0"/>
    </xf>
    <xf numFmtId="164" fontId="10" fillId="0" borderId="18" xfId="0" applyNumberFormat="1" applyFont="1" applyFill="1" applyBorder="1" applyAlignment="1">
      <alignment horizontal="center"/>
    </xf>
    <xf numFmtId="164" fontId="10" fillId="0" borderId="14" xfId="0" applyNumberFormat="1" applyFont="1" applyFill="1" applyBorder="1" applyAlignment="1">
      <alignment horizontal="center"/>
    </xf>
    <xf numFmtId="164" fontId="10" fillId="0" borderId="26" xfId="0" applyNumberFormat="1" applyFont="1" applyFill="1" applyBorder="1" applyAlignment="1">
      <alignment horizontal="center"/>
    </xf>
    <xf numFmtId="164" fontId="4" fillId="0" borderId="18" xfId="0" applyNumberFormat="1" applyFont="1" applyFill="1" applyBorder="1" applyAlignment="1">
      <alignment horizontal="center" vertical="center"/>
    </xf>
    <xf numFmtId="164" fontId="4" fillId="0" borderId="14" xfId="0" applyNumberFormat="1" applyFont="1" applyFill="1" applyBorder="1" applyAlignment="1">
      <alignment horizontal="center" vertical="center"/>
    </xf>
    <xf numFmtId="164" fontId="4" fillId="0" borderId="26" xfId="0" applyNumberFormat="1" applyFont="1" applyFill="1" applyBorder="1" applyAlignment="1">
      <alignment horizontal="center" vertical="center"/>
    </xf>
    <xf numFmtId="2" fontId="4" fillId="0" borderId="18" xfId="0" applyNumberFormat="1" applyFont="1" applyFill="1" applyBorder="1" applyAlignment="1">
      <alignment horizontal="center" vertical="center"/>
    </xf>
    <xf numFmtId="2" fontId="4" fillId="0" borderId="14" xfId="0" applyNumberFormat="1" applyFont="1" applyFill="1" applyBorder="1" applyAlignment="1">
      <alignment horizontal="center" vertical="center"/>
    </xf>
    <xf numFmtId="164" fontId="10" fillId="0" borderId="1" xfId="0" applyNumberFormat="1" applyFont="1" applyFill="1" applyBorder="1" applyAlignment="1">
      <alignment horizontal="center"/>
    </xf>
    <xf numFmtId="164" fontId="10" fillId="0" borderId="2" xfId="0" applyNumberFormat="1" applyFont="1" applyFill="1" applyBorder="1" applyAlignment="1">
      <alignment horizontal="center"/>
    </xf>
    <xf numFmtId="164" fontId="10" fillId="0" borderId="8" xfId="0" applyNumberFormat="1" applyFont="1" applyFill="1" applyBorder="1" applyAlignment="1">
      <alignment horizontal="center"/>
    </xf>
    <xf numFmtId="164" fontId="4" fillId="0" borderId="28" xfId="0" applyNumberFormat="1" applyFont="1" applyFill="1" applyBorder="1" applyAlignment="1">
      <alignment horizontal="center" vertical="center"/>
    </xf>
    <xf numFmtId="164" fontId="4" fillId="0" borderId="29" xfId="0" applyNumberFormat="1" applyFont="1" applyFill="1" applyBorder="1" applyAlignment="1">
      <alignment horizontal="center" vertical="center"/>
    </xf>
    <xf numFmtId="164" fontId="4" fillId="0" borderId="30" xfId="0" applyNumberFormat="1" applyFont="1" applyFill="1" applyBorder="1" applyAlignment="1">
      <alignment horizontal="center" vertical="center"/>
    </xf>
    <xf numFmtId="2" fontId="10" fillId="0" borderId="18" xfId="0" applyNumberFormat="1" applyFont="1" applyFill="1" applyBorder="1" applyAlignment="1">
      <alignment horizontal="left"/>
    </xf>
    <xf numFmtId="2" fontId="10" fillId="0" borderId="14" xfId="0" applyNumberFormat="1" applyFont="1" applyFill="1" applyBorder="1" applyAlignment="1">
      <alignment horizontal="left"/>
    </xf>
    <xf numFmtId="2" fontId="10" fillId="0" borderId="26" xfId="0" applyNumberFormat="1" applyFont="1" applyFill="1" applyBorder="1" applyAlignment="1">
      <alignment horizontal="left"/>
    </xf>
    <xf numFmtId="0" fontId="8" fillId="0" borderId="29" xfId="0" applyFont="1" applyFill="1" applyBorder="1" applyAlignment="1" applyProtection="1">
      <alignment horizontal="left"/>
      <protection locked="0"/>
    </xf>
    <xf numFmtId="0" fontId="8" fillId="0" borderId="36" xfId="0" applyFont="1" applyFill="1" applyBorder="1" applyAlignment="1" applyProtection="1">
      <alignment horizontal="left"/>
      <protection locked="0"/>
    </xf>
    <xf numFmtId="164" fontId="4" fillId="0" borderId="31" xfId="0" applyNumberFormat="1" applyFont="1" applyFill="1" applyBorder="1" applyAlignment="1">
      <alignment horizontal="center" vertical="center"/>
    </xf>
    <xf numFmtId="164" fontId="4" fillId="0" borderId="16" xfId="0" applyNumberFormat="1" applyFont="1" applyFill="1" applyBorder="1" applyAlignment="1">
      <alignment horizontal="center" vertical="center"/>
    </xf>
    <xf numFmtId="164" fontId="4" fillId="0" borderId="32" xfId="0" applyNumberFormat="1" applyFont="1" applyFill="1" applyBorder="1" applyAlignment="1">
      <alignment horizontal="center" vertical="center"/>
    </xf>
    <xf numFmtId="2" fontId="4" fillId="0" borderId="31" xfId="0" applyNumberFormat="1" applyFont="1" applyFill="1" applyBorder="1" applyAlignment="1">
      <alignment horizontal="center" vertical="center"/>
    </xf>
    <xf numFmtId="2" fontId="4" fillId="0" borderId="16" xfId="0" applyNumberFormat="1" applyFont="1" applyFill="1" applyBorder="1" applyAlignment="1">
      <alignment horizontal="center" vertical="center"/>
    </xf>
    <xf numFmtId="0" fontId="4" fillId="0" borderId="18" xfId="0" applyFont="1" applyFill="1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26" xfId="0" applyFont="1" applyFill="1" applyBorder="1" applyAlignment="1">
      <alignment horizontal="center"/>
    </xf>
    <xf numFmtId="2" fontId="4" fillId="0" borderId="28" xfId="0" applyNumberFormat="1" applyFont="1" applyFill="1" applyBorder="1" applyAlignment="1">
      <alignment horizontal="center" vertical="center"/>
    </xf>
    <xf numFmtId="2" fontId="4" fillId="0" borderId="29" xfId="0" applyNumberFormat="1" applyFont="1" applyFill="1" applyBorder="1" applyAlignment="1">
      <alignment horizontal="center" vertical="center"/>
    </xf>
    <xf numFmtId="0" fontId="4" fillId="0" borderId="33" xfId="0" applyFont="1" applyFill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0" fontId="4" fillId="0" borderId="32" xfId="0" applyFont="1" applyFill="1" applyBorder="1" applyAlignment="1">
      <alignment horizontal="center" vertical="center"/>
    </xf>
    <xf numFmtId="0" fontId="4" fillId="0" borderId="34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26" xfId="0" applyFont="1" applyFill="1" applyBorder="1" applyAlignment="1">
      <alignment horizontal="center" vertical="center"/>
    </xf>
    <xf numFmtId="0" fontId="4" fillId="0" borderId="35" xfId="0" applyFont="1" applyFill="1" applyBorder="1" applyAlignment="1">
      <alignment horizontal="center" vertical="center"/>
    </xf>
    <xf numFmtId="0" fontId="4" fillId="0" borderId="29" xfId="0" applyFont="1" applyFill="1" applyBorder="1" applyAlignment="1">
      <alignment horizontal="center" vertical="center"/>
    </xf>
    <xf numFmtId="0" fontId="4" fillId="0" borderId="30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 wrapText="1"/>
    </xf>
    <xf numFmtId="0" fontId="4" fillId="0" borderId="21" xfId="0" applyFont="1" applyFill="1" applyBorder="1" applyAlignment="1">
      <alignment horizontal="center" vertical="center" wrapText="1"/>
    </xf>
    <xf numFmtId="0" fontId="10" fillId="0" borderId="0" xfId="0" applyFont="1" applyAlignment="1" applyProtection="1">
      <alignment horizontal="center" vertical="center"/>
      <protection locked="0"/>
    </xf>
    <xf numFmtId="0" fontId="4" fillId="0" borderId="22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7" xfId="0" applyFont="1" applyFill="1" applyBorder="1" applyAlignment="1" applyProtection="1">
      <alignment horizontal="center" vertical="center"/>
      <protection hidden="1"/>
    </xf>
    <xf numFmtId="0" fontId="4" fillId="0" borderId="10" xfId="0" applyFont="1" applyFill="1" applyBorder="1" applyAlignment="1" applyProtection="1">
      <alignment horizontal="center" vertical="center"/>
      <protection hidden="1"/>
    </xf>
    <xf numFmtId="164" fontId="10" fillId="0" borderId="18" xfId="0" applyNumberFormat="1" applyFont="1" applyFill="1" applyBorder="1" applyAlignment="1" applyProtection="1">
      <alignment horizontal="center"/>
    </xf>
    <xf numFmtId="0" fontId="10" fillId="0" borderId="14" xfId="0" applyFont="1" applyBorder="1"/>
    <xf numFmtId="164" fontId="10" fillId="0" borderId="26" xfId="0" applyNumberFormat="1" applyFont="1" applyFill="1" applyBorder="1" applyAlignment="1" applyProtection="1">
      <alignment horizontal="center"/>
    </xf>
    <xf numFmtId="0" fontId="10" fillId="0" borderId="26" xfId="0" applyFont="1" applyBorder="1"/>
    <xf numFmtId="0" fontId="4" fillId="0" borderId="18" xfId="0" applyFont="1" applyFill="1" applyBorder="1" applyAlignment="1" applyProtection="1">
      <alignment horizontal="center" vertical="center"/>
      <protection hidden="1"/>
    </xf>
    <xf numFmtId="0" fontId="4" fillId="0" borderId="14" xfId="0" applyFont="1" applyFill="1" applyBorder="1" applyAlignment="1" applyProtection="1">
      <alignment horizontal="center" vertical="center"/>
      <protection hidden="1"/>
    </xf>
    <xf numFmtId="0" fontId="4" fillId="0" borderId="26" xfId="0" applyFont="1" applyFill="1" applyBorder="1" applyAlignment="1" applyProtection="1">
      <alignment horizontal="center" vertical="center"/>
      <protection hidden="1"/>
    </xf>
    <xf numFmtId="2" fontId="10" fillId="0" borderId="18" xfId="0" applyNumberFormat="1" applyFont="1" applyFill="1" applyBorder="1" applyAlignment="1">
      <alignment horizontal="center"/>
    </xf>
    <xf numFmtId="2" fontId="10" fillId="0" borderId="14" xfId="0" applyNumberFormat="1" applyFont="1" applyFill="1" applyBorder="1" applyAlignment="1">
      <alignment horizontal="center"/>
    </xf>
    <xf numFmtId="2" fontId="10" fillId="0" borderId="26" xfId="0" applyNumberFormat="1" applyFont="1" applyFill="1" applyBorder="1" applyAlignment="1">
      <alignment horizontal="center"/>
    </xf>
    <xf numFmtId="164" fontId="10" fillId="0" borderId="31" xfId="0" applyNumberFormat="1" applyFont="1" applyFill="1" applyBorder="1" applyAlignment="1" applyProtection="1">
      <alignment horizontal="center"/>
    </xf>
    <xf numFmtId="0" fontId="10" fillId="0" borderId="16" xfId="0" applyFont="1" applyBorder="1"/>
    <xf numFmtId="164" fontId="10" fillId="0" borderId="32" xfId="0" applyNumberFormat="1" applyFont="1" applyFill="1" applyBorder="1" applyAlignment="1" applyProtection="1">
      <alignment horizontal="center"/>
    </xf>
    <xf numFmtId="164" fontId="10" fillId="0" borderId="31" xfId="0" applyNumberFormat="1" applyFont="1" applyFill="1" applyBorder="1" applyAlignment="1">
      <alignment horizontal="center"/>
    </xf>
    <xf numFmtId="0" fontId="10" fillId="0" borderId="32" xfId="0" applyFont="1" applyBorder="1"/>
    <xf numFmtId="2" fontId="10" fillId="0" borderId="31" xfId="0" applyNumberFormat="1" applyFont="1" applyFill="1" applyBorder="1" applyAlignment="1">
      <alignment horizontal="center"/>
    </xf>
    <xf numFmtId="2" fontId="10" fillId="0" borderId="16" xfId="0" applyNumberFormat="1" applyFont="1" applyFill="1" applyBorder="1" applyAlignment="1">
      <alignment horizontal="center"/>
    </xf>
    <xf numFmtId="2" fontId="10" fillId="0" borderId="32" xfId="0" applyNumberFormat="1" applyFont="1" applyFill="1" applyBorder="1" applyAlignment="1">
      <alignment horizontal="center"/>
    </xf>
    <xf numFmtId="0" fontId="10" fillId="0" borderId="31" xfId="0" applyFont="1" applyFill="1" applyBorder="1" applyAlignment="1" applyProtection="1">
      <alignment horizontal="center"/>
      <protection locked="0"/>
    </xf>
    <xf numFmtId="0" fontId="10" fillId="0" borderId="16" xfId="0" applyFont="1" applyFill="1" applyBorder="1" applyAlignment="1" applyProtection="1">
      <alignment horizontal="center"/>
      <protection locked="0"/>
    </xf>
    <xf numFmtId="0" fontId="10" fillId="0" borderId="32" xfId="0" applyFont="1" applyFill="1" applyBorder="1" applyAlignment="1" applyProtection="1">
      <alignment horizontal="center"/>
      <protection locked="0"/>
    </xf>
    <xf numFmtId="0" fontId="3" fillId="0" borderId="14" xfId="0" applyFont="1" applyBorder="1"/>
    <xf numFmtId="0" fontId="3" fillId="0" borderId="26" xfId="0" applyFont="1" applyBorder="1"/>
    <xf numFmtId="0" fontId="8" fillId="0" borderId="6" xfId="0" applyFont="1" applyFill="1" applyBorder="1" applyAlignment="1" applyProtection="1">
      <alignment horizontal="center"/>
      <protection locked="0"/>
    </xf>
    <xf numFmtId="0" fontId="8" fillId="0" borderId="0" xfId="0" applyFont="1" applyFill="1" applyBorder="1" applyAlignment="1" applyProtection="1">
      <alignment horizontal="center"/>
      <protection locked="0"/>
    </xf>
    <xf numFmtId="0" fontId="8" fillId="0" borderId="37" xfId="0" applyFont="1" applyFill="1" applyBorder="1" applyAlignment="1" applyProtection="1">
      <alignment horizontal="center"/>
      <protection locked="0"/>
    </xf>
    <xf numFmtId="0" fontId="8" fillId="0" borderId="19" xfId="0" applyFont="1" applyFill="1" applyBorder="1" applyAlignment="1" applyProtection="1">
      <alignment horizontal="center"/>
      <protection locked="0"/>
    </xf>
    <xf numFmtId="0" fontId="8" fillId="0" borderId="20" xfId="0" applyFont="1" applyFill="1" applyBorder="1" applyAlignment="1" applyProtection="1">
      <alignment horizontal="center" vertical="center" wrapText="1"/>
      <protection locked="0"/>
    </xf>
    <xf numFmtId="0" fontId="8" fillId="0" borderId="25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 applyBorder="1" applyAlignment="1" applyProtection="1">
      <alignment horizontal="center" vertical="center" wrapText="1"/>
      <protection locked="0"/>
    </xf>
    <xf numFmtId="0" fontId="8" fillId="0" borderId="24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center" vertical="center" wrapText="1"/>
      <protection locked="0"/>
    </xf>
    <xf numFmtId="0" fontId="8" fillId="0" borderId="23" xfId="0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/>
    <xf numFmtId="0" fontId="3" fillId="0" borderId="32" xfId="0" applyFont="1" applyBorder="1"/>
    <xf numFmtId="164" fontId="4" fillId="0" borderId="7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2" xfId="0" applyFont="1" applyFill="1" applyBorder="1"/>
    <xf numFmtId="0" fontId="3" fillId="0" borderId="8" xfId="0" applyFont="1" applyFill="1" applyBorder="1"/>
    <xf numFmtId="0" fontId="3" fillId="0" borderId="7" xfId="0" applyFont="1" applyFill="1" applyBorder="1"/>
    <xf numFmtId="0" fontId="3" fillId="0" borderId="3" xfId="0" applyFont="1" applyFill="1" applyBorder="1"/>
    <xf numFmtId="0" fontId="3" fillId="0" borderId="10" xfId="0" applyFont="1" applyFill="1" applyBorder="1"/>
    <xf numFmtId="164" fontId="10" fillId="0" borderId="14" xfId="0" applyNumberFormat="1" applyFont="1" applyFill="1" applyBorder="1" applyAlignment="1" applyProtection="1">
      <alignment horizontal="center"/>
    </xf>
    <xf numFmtId="2" fontId="4" fillId="0" borderId="30" xfId="0" applyNumberFormat="1" applyFont="1" applyFill="1" applyBorder="1" applyAlignment="1">
      <alignment horizontal="center" vertical="center"/>
    </xf>
    <xf numFmtId="2" fontId="4" fillId="0" borderId="32" xfId="0" applyNumberFormat="1" applyFont="1" applyFill="1" applyBorder="1" applyAlignment="1">
      <alignment horizontal="center" vertical="center"/>
    </xf>
    <xf numFmtId="0" fontId="8" fillId="0" borderId="38" xfId="0" applyFont="1" applyFill="1" applyBorder="1" applyAlignment="1" applyProtection="1">
      <alignment horizontal="left"/>
      <protection locked="0"/>
    </xf>
    <xf numFmtId="0" fontId="8" fillId="0" borderId="20" xfId="0" applyFont="1" applyFill="1" applyBorder="1" applyAlignment="1" applyProtection="1">
      <alignment horizontal="left"/>
      <protection locked="0"/>
    </xf>
    <xf numFmtId="2" fontId="4" fillId="0" borderId="26" xfId="0" applyNumberFormat="1" applyFont="1" applyFill="1" applyBorder="1" applyAlignment="1">
      <alignment horizontal="center" vertical="center"/>
    </xf>
    <xf numFmtId="0" fontId="8" fillId="0" borderId="6" xfId="0" applyFont="1" applyFill="1" applyBorder="1" applyAlignment="1" applyProtection="1">
      <alignment horizontal="left"/>
      <protection locked="0"/>
    </xf>
    <xf numFmtId="0" fontId="8" fillId="0" borderId="0" xfId="0" applyFont="1" applyFill="1" applyBorder="1" applyAlignment="1" applyProtection="1">
      <alignment horizontal="left"/>
      <protection locked="0"/>
    </xf>
    <xf numFmtId="0" fontId="8" fillId="0" borderId="37" xfId="0" applyFont="1" applyFill="1" applyBorder="1" applyAlignment="1" applyProtection="1">
      <alignment horizontal="left"/>
      <protection locked="0"/>
    </xf>
    <xf numFmtId="0" fontId="8" fillId="0" borderId="19" xfId="0" applyFont="1" applyFill="1" applyBorder="1" applyAlignment="1" applyProtection="1">
      <alignment horizontal="left"/>
      <protection locked="0"/>
    </xf>
    <xf numFmtId="0" fontId="10" fillId="0" borderId="18" xfId="0" applyFont="1" applyFill="1" applyBorder="1" applyAlignment="1" applyProtection="1">
      <alignment horizontal="left"/>
      <protection locked="0"/>
    </xf>
    <xf numFmtId="0" fontId="10" fillId="0" borderId="14" xfId="0" applyFont="1" applyFill="1" applyBorder="1" applyAlignment="1" applyProtection="1">
      <alignment horizontal="left"/>
      <protection locked="0"/>
    </xf>
    <xf numFmtId="0" fontId="10" fillId="0" borderId="26" xfId="0" applyFont="1" applyFill="1" applyBorder="1" applyAlignment="1" applyProtection="1">
      <alignment horizontal="left"/>
      <protection locked="0"/>
    </xf>
    <xf numFmtId="0" fontId="10" fillId="0" borderId="31" xfId="0" applyFont="1" applyFill="1" applyBorder="1" applyAlignment="1" applyProtection="1">
      <alignment horizontal="left"/>
      <protection locked="0"/>
    </xf>
    <xf numFmtId="0" fontId="10" fillId="0" borderId="16" xfId="0" applyFont="1" applyFill="1" applyBorder="1" applyAlignment="1" applyProtection="1">
      <alignment horizontal="left"/>
      <protection locked="0"/>
    </xf>
    <xf numFmtId="0" fontId="10" fillId="0" borderId="32" xfId="0" applyFont="1" applyFill="1" applyBorder="1" applyAlignment="1" applyProtection="1">
      <alignment horizontal="left"/>
      <protection locked="0"/>
    </xf>
    <xf numFmtId="0" fontId="3" fillId="0" borderId="3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7" xfId="0" applyFont="1" applyBorder="1"/>
    <xf numFmtId="164" fontId="10" fillId="0" borderId="16" xfId="0" applyNumberFormat="1" applyFont="1" applyFill="1" applyBorder="1" applyAlignment="1" applyProtection="1">
      <alignment horizontal="center"/>
    </xf>
    <xf numFmtId="0" fontId="8" fillId="0" borderId="38" xfId="0" applyFont="1" applyFill="1" applyBorder="1" applyAlignment="1" applyProtection="1">
      <alignment horizontal="center"/>
      <protection locked="0"/>
    </xf>
    <xf numFmtId="0" fontId="8" fillId="0" borderId="20" xfId="0" applyFont="1" applyFill="1" applyBorder="1" applyAlignment="1" applyProtection="1">
      <alignment horizontal="center"/>
      <protection locked="0"/>
    </xf>
    <xf numFmtId="165" fontId="12" fillId="0" borderId="0" xfId="0" applyNumberFormat="1" applyFont="1" applyFill="1" applyBorder="1" applyAlignment="1" applyProtection="1">
      <alignment horizontal="center" vertical="center"/>
      <protection locked="0"/>
    </xf>
    <xf numFmtId="165" fontId="12" fillId="0" borderId="9" xfId="0" applyNumberFormat="1" applyFont="1" applyFill="1" applyBorder="1" applyAlignment="1" applyProtection="1">
      <alignment horizontal="center" vertical="center"/>
      <protection locked="0"/>
    </xf>
    <xf numFmtId="0" fontId="12" fillId="0" borderId="6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9" xfId="0" applyFont="1" applyFill="1" applyBorder="1" applyAlignment="1" applyProtection="1">
      <alignment horizontal="center" vertical="center"/>
      <protection locked="0"/>
    </xf>
    <xf numFmtId="14" fontId="12" fillId="0" borderId="6" xfId="0" applyNumberFormat="1" applyFont="1" applyFill="1" applyBorder="1" applyAlignment="1" applyProtection="1">
      <alignment horizontal="center" vertical="center"/>
      <protection locked="0"/>
    </xf>
    <xf numFmtId="14" fontId="12" fillId="0" borderId="0" xfId="0" applyNumberFormat="1" applyFont="1" applyFill="1" applyBorder="1" applyAlignment="1" applyProtection="1">
      <alignment horizontal="center" vertical="center"/>
      <protection locked="0"/>
    </xf>
    <xf numFmtId="14" fontId="12" fillId="0" borderId="9" xfId="0" applyNumberFormat="1" applyFont="1" applyFill="1" applyBorder="1" applyAlignment="1" applyProtection="1">
      <alignment horizontal="center" vertical="center"/>
      <protection locked="0"/>
    </xf>
    <xf numFmtId="0" fontId="6" fillId="0" borderId="12" xfId="0" applyFont="1" applyFill="1" applyBorder="1" applyAlignment="1" applyProtection="1">
      <alignment horizontal="center" vertical="center"/>
      <protection hidden="1"/>
    </xf>
    <xf numFmtId="0" fontId="6" fillId="0" borderId="7" xfId="0" applyFont="1" applyFill="1" applyBorder="1" applyAlignment="1" applyProtection="1">
      <alignment horizontal="center" vertical="center"/>
      <protection hidden="1"/>
    </xf>
    <xf numFmtId="0" fontId="6" fillId="0" borderId="3" xfId="0" applyFont="1" applyFill="1" applyBorder="1" applyAlignment="1" applyProtection="1">
      <alignment horizontal="center" vertical="center"/>
      <protection hidden="1"/>
    </xf>
    <xf numFmtId="0" fontId="6" fillId="0" borderId="10" xfId="0" applyFont="1" applyFill="1" applyBorder="1" applyAlignment="1" applyProtection="1">
      <alignment horizontal="center" vertical="center"/>
      <protection hidden="1"/>
    </xf>
    <xf numFmtId="0" fontId="10" fillId="0" borderId="6" xfId="0" applyFont="1" applyFill="1" applyBorder="1" applyAlignment="1" applyProtection="1">
      <alignment horizontal="left" vertical="center" wrapText="1"/>
      <protection locked="0"/>
    </xf>
    <xf numFmtId="0" fontId="10" fillId="0" borderId="0" xfId="0" applyFont="1" applyFill="1" applyBorder="1" applyAlignment="1" applyProtection="1">
      <alignment horizontal="left" vertical="center" wrapText="1"/>
      <protection locked="0"/>
    </xf>
    <xf numFmtId="0" fontId="10" fillId="0" borderId="9" xfId="0" applyFont="1" applyFill="1" applyBorder="1" applyAlignment="1" applyProtection="1">
      <alignment horizontal="left" vertical="center" wrapText="1"/>
      <protection locked="0"/>
    </xf>
    <xf numFmtId="0" fontId="10" fillId="0" borderId="7" xfId="0" applyFont="1" applyFill="1" applyBorder="1" applyAlignment="1" applyProtection="1">
      <alignment horizontal="left" vertical="center" wrapText="1"/>
      <protection locked="0"/>
    </xf>
    <xf numFmtId="0" fontId="10" fillId="0" borderId="3" xfId="0" applyFont="1" applyFill="1" applyBorder="1" applyAlignment="1" applyProtection="1">
      <alignment horizontal="left" vertical="center" wrapText="1"/>
      <protection locked="0"/>
    </xf>
    <xf numFmtId="0" fontId="10" fillId="0" borderId="10" xfId="0" applyFont="1" applyFill="1" applyBorder="1" applyAlignment="1" applyProtection="1">
      <alignment horizontal="left" vertical="center" wrapText="1"/>
      <protection locked="0"/>
    </xf>
    <xf numFmtId="0" fontId="3" fillId="0" borderId="1" xfId="0" applyFont="1" applyFill="1" applyBorder="1" applyAlignment="1" applyProtection="1">
      <alignment vertical="center" wrapText="1"/>
      <protection locked="0"/>
    </xf>
    <xf numFmtId="0" fontId="3" fillId="0" borderId="2" xfId="0" applyFont="1" applyFill="1" applyBorder="1" applyAlignment="1" applyProtection="1">
      <alignment vertical="center" wrapText="1"/>
      <protection locked="0"/>
    </xf>
    <xf numFmtId="0" fontId="3" fillId="0" borderId="2" xfId="0" applyFont="1" applyBorder="1" applyAlignment="1" applyProtection="1">
      <alignment vertical="center" wrapText="1"/>
      <protection locked="0"/>
    </xf>
    <xf numFmtId="0" fontId="3" fillId="0" borderId="8" xfId="0" applyFont="1" applyBorder="1" applyAlignment="1" applyProtection="1">
      <alignment vertical="center" wrapText="1"/>
      <protection locked="0"/>
    </xf>
    <xf numFmtId="0" fontId="3" fillId="0" borderId="6" xfId="0" applyFont="1" applyFill="1" applyBorder="1" applyAlignment="1" applyProtection="1">
      <alignment vertical="center" wrapText="1"/>
      <protection locked="0"/>
    </xf>
    <xf numFmtId="0" fontId="3" fillId="0" borderId="9" xfId="0" applyFont="1" applyBorder="1" applyAlignment="1" applyProtection="1">
      <alignment vertical="center" wrapText="1"/>
      <protection locked="0"/>
    </xf>
    <xf numFmtId="0" fontId="3" fillId="0" borderId="7" xfId="0" applyFont="1" applyFill="1" applyBorder="1" applyAlignment="1" applyProtection="1">
      <alignment vertical="center" wrapText="1"/>
      <protection locked="0"/>
    </xf>
    <xf numFmtId="0" fontId="3" fillId="0" borderId="3" xfId="0" applyFont="1" applyFill="1" applyBorder="1" applyAlignment="1" applyProtection="1">
      <alignment vertical="center" wrapText="1"/>
      <protection locked="0"/>
    </xf>
    <xf numFmtId="0" fontId="3" fillId="0" borderId="3" xfId="0" applyFont="1" applyBorder="1" applyAlignment="1" applyProtection="1">
      <alignment vertical="center" wrapText="1"/>
      <protection locked="0"/>
    </xf>
    <xf numFmtId="0" fontId="3" fillId="0" borderId="10" xfId="0" applyFont="1" applyBorder="1" applyAlignment="1" applyProtection="1">
      <alignment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323850</xdr:colOff>
      <xdr:row>15</xdr:row>
      <xdr:rowOff>0</xdr:rowOff>
    </xdr:from>
    <xdr:to>
      <xdr:col>31</xdr:col>
      <xdr:colOff>142875</xdr:colOff>
      <xdr:row>17</xdr:row>
      <xdr:rowOff>142875</xdr:rowOff>
    </xdr:to>
    <xdr:sp macro="" textlink="">
      <xdr:nvSpPr>
        <xdr:cNvPr id="1076" name="Text Box 52">
          <a:extLst>
            <a:ext uri="{FF2B5EF4-FFF2-40B4-BE49-F238E27FC236}">
              <a16:creationId xmlns:a16="http://schemas.microsoft.com/office/drawing/2014/main" id="{00000000-0008-0000-0000-000034040000}"/>
            </a:ext>
          </a:extLst>
        </xdr:cNvPr>
        <xdr:cNvSpPr txBox="1">
          <a:spLocks noChangeArrowheads="1"/>
        </xdr:cNvSpPr>
      </xdr:nvSpPr>
      <xdr:spPr bwMode="auto">
        <a:xfrm>
          <a:off x="10191750" y="2857500"/>
          <a:ext cx="1247775" cy="533400"/>
        </a:xfrm>
        <a:prstGeom prst="rect">
          <a:avLst/>
        </a:prstGeom>
        <a:solidFill>
          <a:srgbClr val="FFFFFF"/>
        </a:solidFill>
        <a:ln w="9525">
          <a:solidFill>
            <a:srgbClr val="FF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fr-FR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Saisir la lecture comparateur dans ces colonnes</a:t>
          </a:r>
        </a:p>
      </xdr:txBody>
    </xdr:sp>
    <xdr:clientData fPrintsWithSheet="0"/>
  </xdr:twoCellAnchor>
  <xdr:twoCellAnchor>
    <xdr:from>
      <xdr:col>28</xdr:col>
      <xdr:colOff>276225</xdr:colOff>
      <xdr:row>17</xdr:row>
      <xdr:rowOff>142875</xdr:rowOff>
    </xdr:from>
    <xdr:to>
      <xdr:col>28</xdr:col>
      <xdr:colOff>333375</xdr:colOff>
      <xdr:row>21</xdr:row>
      <xdr:rowOff>123825</xdr:rowOff>
    </xdr:to>
    <xdr:sp macro="" textlink="">
      <xdr:nvSpPr>
        <xdr:cNvPr id="1350" name="Line 53">
          <a:extLst>
            <a:ext uri="{FF2B5EF4-FFF2-40B4-BE49-F238E27FC236}">
              <a16:creationId xmlns:a16="http://schemas.microsoft.com/office/drawing/2014/main" id="{00000000-0008-0000-0000-000046050000}"/>
            </a:ext>
          </a:extLst>
        </xdr:cNvPr>
        <xdr:cNvSpPr>
          <a:spLocks noChangeShapeType="1"/>
        </xdr:cNvSpPr>
      </xdr:nvSpPr>
      <xdr:spPr bwMode="auto">
        <a:xfrm flipV="1">
          <a:off x="10144125" y="3390900"/>
          <a:ext cx="57150" cy="695325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xdr:twoCellAnchor>
    <xdr:from>
      <xdr:col>31</xdr:col>
      <xdr:colOff>142875</xdr:colOff>
      <xdr:row>17</xdr:row>
      <xdr:rowOff>123825</xdr:rowOff>
    </xdr:from>
    <xdr:to>
      <xdr:col>31</xdr:col>
      <xdr:colOff>285750</xdr:colOff>
      <xdr:row>21</xdr:row>
      <xdr:rowOff>133350</xdr:rowOff>
    </xdr:to>
    <xdr:sp macro="" textlink="">
      <xdr:nvSpPr>
        <xdr:cNvPr id="1351" name="Line 54">
          <a:extLst>
            <a:ext uri="{FF2B5EF4-FFF2-40B4-BE49-F238E27FC236}">
              <a16:creationId xmlns:a16="http://schemas.microsoft.com/office/drawing/2014/main" id="{00000000-0008-0000-0000-000047050000}"/>
            </a:ext>
          </a:extLst>
        </xdr:cNvPr>
        <xdr:cNvSpPr>
          <a:spLocks noChangeShapeType="1"/>
        </xdr:cNvSpPr>
      </xdr:nvSpPr>
      <xdr:spPr bwMode="auto">
        <a:xfrm flipH="1" flipV="1">
          <a:off x="11439525" y="3371850"/>
          <a:ext cx="142875" cy="723900"/>
        </a:xfrm>
        <a:prstGeom prst="line">
          <a:avLst/>
        </a:prstGeom>
        <a:noFill/>
        <a:ln w="9525">
          <a:solidFill>
            <a:srgbClr val="FF0000"/>
          </a:solidFill>
          <a:round/>
          <a:headEnd type="triangle" w="med" len="med"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10</xdr:row>
          <xdr:rowOff>335280</xdr:rowOff>
        </xdr:from>
        <xdr:to>
          <xdr:col>19</xdr:col>
          <xdr:colOff>20955</xdr:colOff>
          <xdr:row>12</xdr:row>
          <xdr:rowOff>20955</xdr:rowOff>
        </xdr:to>
        <xdr:sp macro="" textlink="">
          <xdr:nvSpPr>
            <xdr:cNvPr id="1074" name="Check Box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</xdr:colOff>
          <xdr:row>10</xdr:row>
          <xdr:rowOff>335280</xdr:rowOff>
        </xdr:from>
        <xdr:to>
          <xdr:col>23</xdr:col>
          <xdr:colOff>20955</xdr:colOff>
          <xdr:row>12</xdr:row>
          <xdr:rowOff>20955</xdr:rowOff>
        </xdr:to>
        <xdr:sp macro="" textlink="">
          <xdr:nvSpPr>
            <xdr:cNvPr id="1075" name="Check Box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59</xdr:row>
          <xdr:rowOff>182880</xdr:rowOff>
        </xdr:from>
        <xdr:to>
          <xdr:col>30</xdr:col>
          <xdr:colOff>53340</xdr:colOff>
          <xdr:row>61</xdr:row>
          <xdr:rowOff>192405</xdr:rowOff>
        </xdr:to>
        <xdr:sp macro="" textlink="">
          <xdr:nvSpPr>
            <xdr:cNvPr id="1079" name="CommandButton1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9525</xdr:colOff>
      <xdr:row>1</xdr:row>
      <xdr:rowOff>152400</xdr:rowOff>
    </xdr:from>
    <xdr:to>
      <xdr:col>4</xdr:col>
      <xdr:colOff>281940</xdr:colOff>
      <xdr:row>3</xdr:row>
      <xdr:rowOff>152400</xdr:rowOff>
    </xdr:to>
    <xdr:pic>
      <xdr:nvPicPr>
        <xdr:cNvPr id="12" name="Image 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31432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10</xdr:row>
          <xdr:rowOff>335280</xdr:rowOff>
        </xdr:from>
        <xdr:to>
          <xdr:col>19</xdr:col>
          <xdr:colOff>17145</xdr:colOff>
          <xdr:row>12</xdr:row>
          <xdr:rowOff>17145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</xdr:colOff>
          <xdr:row>10</xdr:row>
          <xdr:rowOff>335280</xdr:rowOff>
        </xdr:from>
        <xdr:to>
          <xdr:col>23</xdr:col>
          <xdr:colOff>17145</xdr:colOff>
          <xdr:row>12</xdr:row>
          <xdr:rowOff>17145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38100</xdr:colOff>
      <xdr:row>2</xdr:row>
      <xdr:rowOff>0</xdr:rowOff>
    </xdr:from>
    <xdr:to>
      <xdr:col>4</xdr:col>
      <xdr:colOff>304800</xdr:colOff>
      <xdr:row>4</xdr:row>
      <xdr:rowOff>0</xdr:rowOff>
    </xdr:to>
    <xdr:pic>
      <xdr:nvPicPr>
        <xdr:cNvPr id="8" name="Image 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3238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10</xdr:row>
          <xdr:rowOff>335280</xdr:rowOff>
        </xdr:from>
        <xdr:to>
          <xdr:col>19</xdr:col>
          <xdr:colOff>17145</xdr:colOff>
          <xdr:row>12</xdr:row>
          <xdr:rowOff>17145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</xdr:colOff>
          <xdr:row>10</xdr:row>
          <xdr:rowOff>335280</xdr:rowOff>
        </xdr:from>
        <xdr:to>
          <xdr:col>23</xdr:col>
          <xdr:colOff>17145</xdr:colOff>
          <xdr:row>12</xdr:row>
          <xdr:rowOff>17145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66675</xdr:colOff>
      <xdr:row>1</xdr:row>
      <xdr:rowOff>152400</xdr:rowOff>
    </xdr:from>
    <xdr:to>
      <xdr:col>4</xdr:col>
      <xdr:colOff>325755</xdr:colOff>
      <xdr:row>3</xdr:row>
      <xdr:rowOff>152400</xdr:rowOff>
    </xdr:to>
    <xdr:pic>
      <xdr:nvPicPr>
        <xdr:cNvPr id="8" name="Image 1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314325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10</xdr:row>
          <xdr:rowOff>335280</xdr:rowOff>
        </xdr:from>
        <xdr:to>
          <xdr:col>19</xdr:col>
          <xdr:colOff>17145</xdr:colOff>
          <xdr:row>12</xdr:row>
          <xdr:rowOff>17145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</xdr:colOff>
          <xdr:row>10</xdr:row>
          <xdr:rowOff>335280</xdr:rowOff>
        </xdr:from>
        <xdr:to>
          <xdr:col>23</xdr:col>
          <xdr:colOff>17145</xdr:colOff>
          <xdr:row>12</xdr:row>
          <xdr:rowOff>17145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3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85725</xdr:colOff>
      <xdr:row>1</xdr:row>
      <xdr:rowOff>142875</xdr:rowOff>
    </xdr:from>
    <xdr:to>
      <xdr:col>5</xdr:col>
      <xdr:colOff>19050</xdr:colOff>
      <xdr:row>3</xdr:row>
      <xdr:rowOff>135255</xdr:rowOff>
    </xdr:to>
    <xdr:pic>
      <xdr:nvPicPr>
        <xdr:cNvPr id="8" name="Image 1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30480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10</xdr:row>
          <xdr:rowOff>335280</xdr:rowOff>
        </xdr:from>
        <xdr:to>
          <xdr:col>19</xdr:col>
          <xdr:colOff>20955</xdr:colOff>
          <xdr:row>12</xdr:row>
          <xdr:rowOff>20955</xdr:rowOff>
        </xdr:to>
        <xdr:sp macro="" textlink="">
          <xdr:nvSpPr>
            <xdr:cNvPr id="11268" name="Check Box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4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60960</xdr:colOff>
          <xdr:row>10</xdr:row>
          <xdr:rowOff>335280</xdr:rowOff>
        </xdr:from>
        <xdr:to>
          <xdr:col>23</xdr:col>
          <xdr:colOff>20955</xdr:colOff>
          <xdr:row>12</xdr:row>
          <xdr:rowOff>20955</xdr:rowOff>
        </xdr:to>
        <xdr:sp macro="" textlink="">
          <xdr:nvSpPr>
            <xdr:cNvPr id="11269" name="Check Box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1</xdr:col>
      <xdr:colOff>85725</xdr:colOff>
      <xdr:row>1</xdr:row>
      <xdr:rowOff>123825</xdr:rowOff>
    </xdr:from>
    <xdr:to>
      <xdr:col>5</xdr:col>
      <xdr:colOff>15240</xdr:colOff>
      <xdr:row>3</xdr:row>
      <xdr:rowOff>129540</xdr:rowOff>
    </xdr:to>
    <xdr:pic>
      <xdr:nvPicPr>
        <xdr:cNvPr id="8" name="Image 1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" y="285750"/>
          <a:ext cx="129540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H69"/>
  <sheetViews>
    <sheetView tabSelected="1" zoomScaleNormal="100" workbookViewId="0">
      <selection activeCell="A59" sqref="A59:Q62"/>
    </sheetView>
  </sheetViews>
  <sheetFormatPr baseColWidth="10" defaultColWidth="11.44140625" defaultRowHeight="12.75" customHeight="1" x14ac:dyDescent="0.25"/>
  <cols>
    <col min="1" max="1" width="5.109375" style="63" customWidth="1"/>
    <col min="2" max="26" width="5.109375" style="1" customWidth="1"/>
    <col min="27" max="33" width="7.109375" style="1" customWidth="1"/>
    <col min="34" max="34" width="8.44140625" style="1" customWidth="1"/>
    <col min="35" max="16384" width="11.44140625" style="1"/>
  </cols>
  <sheetData>
    <row r="1" spans="1:26" ht="12.75" customHeight="1" x14ac:dyDescent="0.25">
      <c r="A1" s="120"/>
      <c r="B1" s="121"/>
      <c r="C1" s="121"/>
      <c r="D1" s="121"/>
      <c r="E1" s="121"/>
      <c r="F1" s="122"/>
      <c r="G1" s="129" t="s">
        <v>16</v>
      </c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1"/>
      <c r="U1" s="135"/>
      <c r="V1" s="136"/>
      <c r="W1" s="136"/>
      <c r="X1" s="136"/>
      <c r="Y1" s="136"/>
      <c r="Z1" s="137"/>
    </row>
    <row r="2" spans="1:26" ht="12.75" customHeight="1" x14ac:dyDescent="0.25">
      <c r="A2" s="123"/>
      <c r="B2" s="124"/>
      <c r="C2" s="124"/>
      <c r="D2" s="124"/>
      <c r="E2" s="124"/>
      <c r="F2" s="125"/>
      <c r="G2" s="144" t="s">
        <v>79</v>
      </c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6"/>
      <c r="U2" s="138"/>
      <c r="V2" s="139"/>
      <c r="W2" s="139"/>
      <c r="X2" s="139"/>
      <c r="Y2" s="139"/>
      <c r="Z2" s="140"/>
    </row>
    <row r="3" spans="1:26" ht="12.75" customHeight="1" x14ac:dyDescent="0.25">
      <c r="A3" s="123"/>
      <c r="B3" s="124"/>
      <c r="C3" s="124"/>
      <c r="D3" s="124"/>
      <c r="E3" s="124"/>
      <c r="F3" s="125"/>
      <c r="G3" s="144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6"/>
      <c r="U3" s="138"/>
      <c r="V3" s="139"/>
      <c r="W3" s="139"/>
      <c r="X3" s="139"/>
      <c r="Y3" s="139"/>
      <c r="Z3" s="140"/>
    </row>
    <row r="4" spans="1:26" ht="12.75" customHeight="1" x14ac:dyDescent="0.25">
      <c r="A4" s="123"/>
      <c r="B4" s="124"/>
      <c r="C4" s="124"/>
      <c r="D4" s="124"/>
      <c r="E4" s="124"/>
      <c r="F4" s="125"/>
      <c r="G4" s="144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6"/>
      <c r="U4" s="138"/>
      <c r="V4" s="139"/>
      <c r="W4" s="139"/>
      <c r="X4" s="139"/>
      <c r="Y4" s="139"/>
      <c r="Z4" s="140"/>
    </row>
    <row r="5" spans="1:26" ht="12.75" customHeight="1" x14ac:dyDescent="0.25">
      <c r="A5" s="123"/>
      <c r="B5" s="124"/>
      <c r="C5" s="124"/>
      <c r="D5" s="124"/>
      <c r="E5" s="124"/>
      <c r="F5" s="125"/>
      <c r="G5" s="110" t="s">
        <v>22</v>
      </c>
      <c r="H5" s="111"/>
      <c r="I5" s="2" t="s">
        <v>17</v>
      </c>
      <c r="J5" s="269"/>
      <c r="K5" s="270"/>
      <c r="L5" s="271"/>
      <c r="M5" s="272"/>
      <c r="N5" s="272"/>
      <c r="O5" s="273"/>
      <c r="P5" s="274"/>
      <c r="Q5" s="275"/>
      <c r="R5" s="275"/>
      <c r="S5" s="275"/>
      <c r="T5" s="276"/>
      <c r="U5" s="138"/>
      <c r="V5" s="139"/>
      <c r="W5" s="139"/>
      <c r="X5" s="139"/>
      <c r="Y5" s="139"/>
      <c r="Z5" s="140"/>
    </row>
    <row r="6" spans="1:26" ht="12.75" customHeight="1" x14ac:dyDescent="0.25">
      <c r="A6" s="126"/>
      <c r="B6" s="127"/>
      <c r="C6" s="127"/>
      <c r="D6" s="127"/>
      <c r="E6" s="127"/>
      <c r="F6" s="128"/>
      <c r="G6" s="3"/>
      <c r="H6" s="4"/>
      <c r="I6" s="4"/>
      <c r="J6" s="107" t="s">
        <v>18</v>
      </c>
      <c r="K6" s="107"/>
      <c r="L6" s="107" t="s">
        <v>19</v>
      </c>
      <c r="M6" s="107"/>
      <c r="N6" s="107"/>
      <c r="O6" s="107"/>
      <c r="P6" s="107" t="s">
        <v>20</v>
      </c>
      <c r="Q6" s="107"/>
      <c r="R6" s="107"/>
      <c r="S6" s="107"/>
      <c r="T6" s="134"/>
      <c r="U6" s="141"/>
      <c r="V6" s="142"/>
      <c r="W6" s="142"/>
      <c r="X6" s="142"/>
      <c r="Y6" s="142"/>
      <c r="Z6" s="143"/>
    </row>
    <row r="7" spans="1:26" ht="36.6" customHeight="1" x14ac:dyDescent="0.25">
      <c r="A7" s="112" t="s">
        <v>8</v>
      </c>
      <c r="B7" s="112"/>
      <c r="C7" s="112"/>
      <c r="D7" s="112"/>
      <c r="E7" s="112"/>
      <c r="F7" s="112"/>
      <c r="G7" s="113" t="s">
        <v>15</v>
      </c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26" ht="16.2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32" t="s">
        <v>7</v>
      </c>
      <c r="C10" s="132"/>
      <c r="D10" s="132"/>
      <c r="E10" s="132"/>
      <c r="F10" s="132"/>
      <c r="G10" s="132"/>
      <c r="H10" s="114"/>
      <c r="I10" s="114"/>
      <c r="J10" s="114"/>
      <c r="K10" s="114"/>
      <c r="L10" s="114"/>
      <c r="M10" s="114"/>
      <c r="N10" s="132" t="s">
        <v>1</v>
      </c>
      <c r="O10" s="132"/>
      <c r="P10" s="132"/>
      <c r="Q10" s="132"/>
      <c r="R10" s="132"/>
      <c r="S10" s="133"/>
      <c r="T10" s="133"/>
      <c r="U10" s="133"/>
      <c r="V10" s="133"/>
      <c r="W10" s="133"/>
      <c r="X10" s="133"/>
      <c r="Y10" s="133"/>
      <c r="Z10" s="14"/>
    </row>
    <row r="11" spans="1:26" ht="15.9" customHeight="1" x14ac:dyDescent="0.25">
      <c r="A11" s="10"/>
      <c r="B11" s="132" t="s">
        <v>6</v>
      </c>
      <c r="C11" s="132"/>
      <c r="D11" s="132"/>
      <c r="E11" s="132"/>
      <c r="F11" s="132"/>
      <c r="G11" s="132"/>
      <c r="H11" s="115"/>
      <c r="I11" s="115"/>
      <c r="J11" s="115"/>
      <c r="K11" s="115"/>
      <c r="L11" s="115"/>
      <c r="M11" s="115"/>
      <c r="N11" s="132" t="s">
        <v>23</v>
      </c>
      <c r="O11" s="132"/>
      <c r="P11" s="132"/>
      <c r="Q11" s="132"/>
      <c r="R11" s="132"/>
      <c r="S11" s="133"/>
      <c r="T11" s="133"/>
      <c r="U11" s="133"/>
      <c r="V11" s="133"/>
      <c r="W11" s="133"/>
      <c r="X11" s="133"/>
      <c r="Y11" s="133"/>
      <c r="Z11" s="14"/>
    </row>
    <row r="12" spans="1:26" ht="15.9" customHeight="1" x14ac:dyDescent="0.25">
      <c r="A12" s="10"/>
      <c r="B12" s="132"/>
      <c r="C12" s="132"/>
      <c r="D12" s="132"/>
      <c r="E12" s="132"/>
      <c r="F12" s="132"/>
      <c r="G12" s="132"/>
      <c r="H12" s="115"/>
      <c r="I12" s="115"/>
      <c r="J12" s="115"/>
      <c r="K12" s="115"/>
      <c r="L12" s="115"/>
      <c r="M12" s="115"/>
      <c r="N12" s="132" t="s">
        <v>24</v>
      </c>
      <c r="O12" s="132"/>
      <c r="P12" s="132"/>
      <c r="Q12" s="132"/>
      <c r="R12" s="132"/>
      <c r="S12" s="73"/>
      <c r="T12" s="133" t="s">
        <v>25</v>
      </c>
      <c r="U12" s="133"/>
      <c r="V12" s="15"/>
      <c r="W12" s="73"/>
      <c r="X12" s="133" t="s">
        <v>26</v>
      </c>
      <c r="Y12" s="133"/>
      <c r="Z12" s="14"/>
    </row>
    <row r="13" spans="1:26" ht="8.25" customHeight="1" x14ac:dyDescent="0.25">
      <c r="A13" s="16"/>
      <c r="B13" s="4"/>
      <c r="C13" s="4"/>
      <c r="D13" s="17"/>
      <c r="E13" s="17"/>
      <c r="F13" s="17"/>
      <c r="G13" s="17"/>
      <c r="H13" s="4"/>
      <c r="I13" s="4"/>
      <c r="J13" s="4"/>
      <c r="K13" s="4"/>
      <c r="L13" s="4"/>
      <c r="M13" s="4"/>
      <c r="N13" s="18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9"/>
    </row>
    <row r="14" spans="1:26" s="20" customFormat="1" ht="15" x14ac:dyDescent="0.25">
      <c r="B14" s="21"/>
      <c r="C14" s="21"/>
      <c r="K14" s="22"/>
      <c r="L14" s="21"/>
      <c r="M14" s="23"/>
    </row>
    <row r="15" spans="1:26" s="20" customFormat="1" ht="16.2" customHeight="1" x14ac:dyDescent="0.25">
      <c r="A15" s="5" t="s">
        <v>3</v>
      </c>
      <c r="B15" s="24" t="s">
        <v>11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6"/>
    </row>
    <row r="16" spans="1:26" s="20" customFormat="1" ht="15" x14ac:dyDescent="0.25">
      <c r="A16" s="28"/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1"/>
    </row>
    <row r="17" spans="1:34" s="20" customFormat="1" ht="15" x14ac:dyDescent="0.25">
      <c r="A17" s="28"/>
      <c r="B17" s="157" t="s">
        <v>12</v>
      </c>
      <c r="C17" s="157"/>
      <c r="D17" s="157"/>
      <c r="E17" s="157"/>
      <c r="F17" s="157"/>
      <c r="G17" s="157"/>
      <c r="H17" s="157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32"/>
    </row>
    <row r="18" spans="1:34" s="20" customFormat="1" ht="15" x14ac:dyDescent="0.25">
      <c r="A18" s="28"/>
      <c r="B18" s="157" t="s">
        <v>13</v>
      </c>
      <c r="C18" s="157"/>
      <c r="D18" s="157"/>
      <c r="E18" s="157"/>
      <c r="F18" s="157"/>
      <c r="G18" s="157"/>
      <c r="H18" s="157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32"/>
    </row>
    <row r="19" spans="1:34" s="20" customFormat="1" ht="13.2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</row>
    <row r="20" spans="1:34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6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34" ht="16.2" customHeight="1" x14ac:dyDescent="0.25">
      <c r="A21" s="5" t="s">
        <v>4</v>
      </c>
      <c r="B21" s="74" t="s">
        <v>44</v>
      </c>
      <c r="C21" s="37"/>
      <c r="D21" s="38"/>
      <c r="E21" s="38"/>
      <c r="F21" s="38"/>
      <c r="G21" s="38"/>
      <c r="H21" s="37"/>
      <c r="I21" s="37"/>
      <c r="J21" s="37"/>
      <c r="K21" s="37"/>
      <c r="L21" s="3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34" ht="15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34" ht="15.75" customHeight="1" x14ac:dyDescent="0.25">
      <c r="A23" s="10"/>
      <c r="B23" s="147" t="s">
        <v>27</v>
      </c>
      <c r="C23" s="148"/>
      <c r="D23" s="148"/>
      <c r="E23" s="148"/>
      <c r="F23" s="148"/>
      <c r="G23" s="148"/>
      <c r="H23" s="148"/>
      <c r="I23" s="148"/>
      <c r="J23" s="149"/>
      <c r="K23" s="147" t="s">
        <v>28</v>
      </c>
      <c r="L23" s="153"/>
      <c r="M23" s="154"/>
      <c r="N23" s="147" t="s">
        <v>29</v>
      </c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9"/>
      <c r="Z23" s="13"/>
      <c r="AB23" s="183" t="s">
        <v>45</v>
      </c>
      <c r="AC23" s="184"/>
      <c r="AD23" s="185"/>
      <c r="AE23" s="183" t="s">
        <v>28</v>
      </c>
      <c r="AF23" s="184"/>
      <c r="AG23" s="185"/>
      <c r="AH23" s="197" t="s">
        <v>50</v>
      </c>
    </row>
    <row r="24" spans="1:34" ht="15.75" customHeight="1" x14ac:dyDescent="0.25">
      <c r="A24" s="10"/>
      <c r="B24" s="150"/>
      <c r="C24" s="151"/>
      <c r="D24" s="151"/>
      <c r="E24" s="151"/>
      <c r="F24" s="151"/>
      <c r="G24" s="151"/>
      <c r="H24" s="151"/>
      <c r="I24" s="151"/>
      <c r="J24" s="152"/>
      <c r="K24" s="150" t="s">
        <v>30</v>
      </c>
      <c r="L24" s="155"/>
      <c r="M24" s="156"/>
      <c r="N24" s="150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2"/>
      <c r="Z24" s="13"/>
      <c r="AB24" s="39" t="s">
        <v>46</v>
      </c>
      <c r="AC24" s="39" t="s">
        <v>47</v>
      </c>
      <c r="AD24" s="40" t="s">
        <v>48</v>
      </c>
      <c r="AE24" s="39" t="s">
        <v>46</v>
      </c>
      <c r="AF24" s="39" t="s">
        <v>47</v>
      </c>
      <c r="AG24" s="40" t="s">
        <v>49</v>
      </c>
      <c r="AH24" s="198"/>
    </row>
    <row r="25" spans="1:34" ht="19.5" customHeight="1" x14ac:dyDescent="0.25">
      <c r="A25" s="10"/>
      <c r="B25" s="40" t="s">
        <v>31</v>
      </c>
      <c r="C25" s="79"/>
      <c r="D25" s="80"/>
      <c r="E25" s="80"/>
      <c r="F25" s="80"/>
      <c r="G25" s="80"/>
      <c r="H25" s="80"/>
      <c r="I25" s="80"/>
      <c r="J25" s="81"/>
      <c r="K25" s="159" t="str">
        <f>IF(AB25&lt;&gt;0,AG25,"")</f>
        <v/>
      </c>
      <c r="L25" s="160"/>
      <c r="M25" s="161"/>
      <c r="N25" s="173"/>
      <c r="O25" s="174"/>
      <c r="P25" s="174"/>
      <c r="Q25" s="174"/>
      <c r="R25" s="174"/>
      <c r="S25" s="174"/>
      <c r="T25" s="174"/>
      <c r="U25" s="174"/>
      <c r="V25" s="174"/>
      <c r="W25" s="174"/>
      <c r="X25" s="174"/>
      <c r="Y25" s="175"/>
      <c r="Z25" s="13"/>
      <c r="AB25" s="41"/>
      <c r="AC25" s="42" t="str">
        <f>IF(AB25&lt;&gt;"",AB25*2,"")</f>
        <v/>
      </c>
      <c r="AD25" s="44" t="str">
        <f>IF(AB25&lt;&gt;"",(112.5/AC25)*100,"")</f>
        <v/>
      </c>
      <c r="AE25" s="45"/>
      <c r="AF25" s="42" t="str">
        <f>IF(AE25&lt;&gt;"",AE25*2,"")</f>
        <v/>
      </c>
      <c r="AG25" s="46" t="str">
        <f>IF(AE25&lt;&gt;"",(90/AF25)*100,"")</f>
        <v/>
      </c>
      <c r="AH25" s="47" t="str">
        <f>IF(AB25&lt;&gt;"",AG25/AD25,"")</f>
        <v/>
      </c>
    </row>
    <row r="26" spans="1:34" ht="19.5" customHeight="1" x14ac:dyDescent="0.25">
      <c r="A26" s="10"/>
      <c r="B26" s="40" t="s">
        <v>32</v>
      </c>
      <c r="C26" s="79"/>
      <c r="D26" s="80"/>
      <c r="E26" s="80"/>
      <c r="F26" s="80"/>
      <c r="G26" s="80"/>
      <c r="H26" s="80"/>
      <c r="I26" s="80"/>
      <c r="J26" s="81"/>
      <c r="K26" s="159" t="str">
        <f t="shared" ref="K26:K49" si="0">IF(AB26&lt;&gt;0,AG26,"")</f>
        <v/>
      </c>
      <c r="L26" s="160"/>
      <c r="M26" s="161"/>
      <c r="N26" s="173"/>
      <c r="O26" s="174"/>
      <c r="P26" s="174"/>
      <c r="Q26" s="174"/>
      <c r="R26" s="174"/>
      <c r="S26" s="174"/>
      <c r="T26" s="174"/>
      <c r="U26" s="174"/>
      <c r="V26" s="174"/>
      <c r="W26" s="174"/>
      <c r="X26" s="174"/>
      <c r="Y26" s="175"/>
      <c r="Z26" s="13"/>
      <c r="AB26" s="41"/>
      <c r="AC26" s="42" t="str">
        <f t="shared" ref="AC26:AC49" si="1">IF(AB26&lt;&gt;"",AB26*2,"")</f>
        <v/>
      </c>
      <c r="AD26" s="44" t="str">
        <f t="shared" ref="AD26:AD49" si="2">IF(AB26&lt;&gt;"",(112.5/AC26)*100,"")</f>
        <v/>
      </c>
      <c r="AE26" s="45"/>
      <c r="AF26" s="42" t="str">
        <f t="shared" ref="AF26:AF49" si="3">IF(AE26&lt;&gt;"",AE26*2,"")</f>
        <v/>
      </c>
      <c r="AG26" s="46" t="str">
        <f t="shared" ref="AG26:AG49" si="4">IF(AE26&lt;&gt;"",(90/AF26)*100,"")</f>
        <v/>
      </c>
      <c r="AH26" s="47" t="str">
        <f t="shared" ref="AH26:AH49" si="5">IF(AB26&lt;&gt;"",AG26/AD26,"")</f>
        <v/>
      </c>
    </row>
    <row r="27" spans="1:34" ht="19.5" customHeight="1" x14ac:dyDescent="0.25">
      <c r="A27" s="10"/>
      <c r="B27" s="40" t="s">
        <v>33</v>
      </c>
      <c r="C27" s="79"/>
      <c r="D27" s="80"/>
      <c r="E27" s="80"/>
      <c r="F27" s="80"/>
      <c r="G27" s="80"/>
      <c r="H27" s="80"/>
      <c r="I27" s="80"/>
      <c r="J27" s="81"/>
      <c r="K27" s="159" t="str">
        <f t="shared" si="0"/>
        <v/>
      </c>
      <c r="L27" s="160"/>
      <c r="M27" s="161"/>
      <c r="N27" s="173"/>
      <c r="O27" s="174"/>
      <c r="P27" s="174"/>
      <c r="Q27" s="174"/>
      <c r="R27" s="174"/>
      <c r="S27" s="174"/>
      <c r="T27" s="174"/>
      <c r="U27" s="174"/>
      <c r="V27" s="174"/>
      <c r="W27" s="174"/>
      <c r="X27" s="174"/>
      <c r="Y27" s="175"/>
      <c r="Z27" s="13"/>
      <c r="AB27" s="41"/>
      <c r="AC27" s="42" t="str">
        <f t="shared" si="1"/>
        <v/>
      </c>
      <c r="AD27" s="44" t="str">
        <f t="shared" si="2"/>
        <v/>
      </c>
      <c r="AE27" s="45"/>
      <c r="AF27" s="42" t="str">
        <f t="shared" si="3"/>
        <v/>
      </c>
      <c r="AG27" s="46" t="str">
        <f t="shared" si="4"/>
        <v/>
      </c>
      <c r="AH27" s="47" t="str">
        <f t="shared" si="5"/>
        <v/>
      </c>
    </row>
    <row r="28" spans="1:34" ht="19.5" customHeight="1" x14ac:dyDescent="0.25">
      <c r="A28" s="10"/>
      <c r="B28" s="40" t="s">
        <v>34</v>
      </c>
      <c r="C28" s="79"/>
      <c r="D28" s="80"/>
      <c r="E28" s="80"/>
      <c r="F28" s="80"/>
      <c r="G28" s="80"/>
      <c r="H28" s="80"/>
      <c r="I28" s="80"/>
      <c r="J28" s="81"/>
      <c r="K28" s="159" t="str">
        <f t="shared" si="0"/>
        <v/>
      </c>
      <c r="L28" s="160"/>
      <c r="M28" s="161"/>
      <c r="N28" s="173"/>
      <c r="O28" s="174"/>
      <c r="P28" s="174"/>
      <c r="Q28" s="174"/>
      <c r="R28" s="174"/>
      <c r="S28" s="174"/>
      <c r="T28" s="174"/>
      <c r="U28" s="174"/>
      <c r="V28" s="174"/>
      <c r="W28" s="174"/>
      <c r="X28" s="174"/>
      <c r="Y28" s="175"/>
      <c r="Z28" s="13"/>
      <c r="AB28" s="41"/>
      <c r="AC28" s="42" t="str">
        <f t="shared" si="1"/>
        <v/>
      </c>
      <c r="AD28" s="44" t="str">
        <f t="shared" si="2"/>
        <v/>
      </c>
      <c r="AE28" s="45"/>
      <c r="AF28" s="42" t="str">
        <f t="shared" si="3"/>
        <v/>
      </c>
      <c r="AG28" s="46" t="str">
        <f t="shared" si="4"/>
        <v/>
      </c>
      <c r="AH28" s="47" t="str">
        <f t="shared" si="5"/>
        <v/>
      </c>
    </row>
    <row r="29" spans="1:34" ht="19.5" customHeight="1" x14ac:dyDescent="0.25">
      <c r="A29" s="10"/>
      <c r="B29" s="40" t="s">
        <v>35</v>
      </c>
      <c r="C29" s="79"/>
      <c r="D29" s="80"/>
      <c r="E29" s="80"/>
      <c r="F29" s="80"/>
      <c r="G29" s="80"/>
      <c r="H29" s="80"/>
      <c r="I29" s="80"/>
      <c r="J29" s="81"/>
      <c r="K29" s="159" t="str">
        <f t="shared" si="0"/>
        <v/>
      </c>
      <c r="L29" s="160"/>
      <c r="M29" s="161"/>
      <c r="N29" s="173"/>
      <c r="O29" s="174"/>
      <c r="P29" s="174"/>
      <c r="Q29" s="174"/>
      <c r="R29" s="174"/>
      <c r="S29" s="174"/>
      <c r="T29" s="174"/>
      <c r="U29" s="174"/>
      <c r="V29" s="174"/>
      <c r="W29" s="174"/>
      <c r="X29" s="174"/>
      <c r="Y29" s="175"/>
      <c r="Z29" s="13"/>
      <c r="AB29" s="41"/>
      <c r="AC29" s="42" t="str">
        <f t="shared" si="1"/>
        <v/>
      </c>
      <c r="AD29" s="44" t="str">
        <f t="shared" si="2"/>
        <v/>
      </c>
      <c r="AE29" s="45"/>
      <c r="AF29" s="42" t="str">
        <f t="shared" si="3"/>
        <v/>
      </c>
      <c r="AG29" s="46" t="str">
        <f t="shared" si="4"/>
        <v/>
      </c>
      <c r="AH29" s="47" t="str">
        <f t="shared" si="5"/>
        <v/>
      </c>
    </row>
    <row r="30" spans="1:34" ht="19.5" customHeight="1" x14ac:dyDescent="0.25">
      <c r="A30" s="10"/>
      <c r="B30" s="40" t="s">
        <v>36</v>
      </c>
      <c r="C30" s="79"/>
      <c r="D30" s="80"/>
      <c r="E30" s="80"/>
      <c r="F30" s="80"/>
      <c r="G30" s="80"/>
      <c r="H30" s="80"/>
      <c r="I30" s="80"/>
      <c r="J30" s="81"/>
      <c r="K30" s="159" t="str">
        <f t="shared" si="0"/>
        <v/>
      </c>
      <c r="L30" s="160"/>
      <c r="M30" s="161"/>
      <c r="N30" s="173"/>
      <c r="O30" s="174"/>
      <c r="P30" s="174"/>
      <c r="Q30" s="174"/>
      <c r="R30" s="174"/>
      <c r="S30" s="174"/>
      <c r="T30" s="174"/>
      <c r="U30" s="174"/>
      <c r="V30" s="174"/>
      <c r="W30" s="174"/>
      <c r="X30" s="174"/>
      <c r="Y30" s="175"/>
      <c r="Z30" s="13"/>
      <c r="AB30" s="41"/>
      <c r="AC30" s="42" t="str">
        <f t="shared" si="1"/>
        <v/>
      </c>
      <c r="AD30" s="44" t="str">
        <f t="shared" si="2"/>
        <v/>
      </c>
      <c r="AE30" s="45"/>
      <c r="AF30" s="42" t="str">
        <f t="shared" si="3"/>
        <v/>
      </c>
      <c r="AG30" s="46" t="str">
        <f t="shared" si="4"/>
        <v/>
      </c>
      <c r="AH30" s="47" t="str">
        <f t="shared" si="5"/>
        <v/>
      </c>
    </row>
    <row r="31" spans="1:34" ht="19.5" customHeight="1" x14ac:dyDescent="0.25">
      <c r="A31" s="10"/>
      <c r="B31" s="40" t="s">
        <v>37</v>
      </c>
      <c r="C31" s="79"/>
      <c r="D31" s="80"/>
      <c r="E31" s="80"/>
      <c r="F31" s="80"/>
      <c r="G31" s="80"/>
      <c r="H31" s="80"/>
      <c r="I31" s="80"/>
      <c r="J31" s="81"/>
      <c r="K31" s="159" t="str">
        <f t="shared" si="0"/>
        <v/>
      </c>
      <c r="L31" s="160"/>
      <c r="M31" s="161"/>
      <c r="N31" s="173"/>
      <c r="O31" s="174"/>
      <c r="P31" s="174"/>
      <c r="Q31" s="174"/>
      <c r="R31" s="174"/>
      <c r="S31" s="174"/>
      <c r="T31" s="174"/>
      <c r="U31" s="174"/>
      <c r="V31" s="174"/>
      <c r="W31" s="174"/>
      <c r="X31" s="174"/>
      <c r="Y31" s="175"/>
      <c r="Z31" s="13"/>
      <c r="AB31" s="41"/>
      <c r="AC31" s="42" t="str">
        <f t="shared" si="1"/>
        <v/>
      </c>
      <c r="AD31" s="44" t="str">
        <f t="shared" si="2"/>
        <v/>
      </c>
      <c r="AE31" s="45"/>
      <c r="AF31" s="42" t="str">
        <f t="shared" si="3"/>
        <v/>
      </c>
      <c r="AG31" s="46" t="str">
        <f t="shared" si="4"/>
        <v/>
      </c>
      <c r="AH31" s="47" t="str">
        <f t="shared" si="5"/>
        <v/>
      </c>
    </row>
    <row r="32" spans="1:34" ht="19.5" customHeight="1" x14ac:dyDescent="0.25">
      <c r="A32" s="10"/>
      <c r="B32" s="40" t="s">
        <v>38</v>
      </c>
      <c r="C32" s="79"/>
      <c r="D32" s="80"/>
      <c r="E32" s="80"/>
      <c r="F32" s="80"/>
      <c r="G32" s="80"/>
      <c r="H32" s="80"/>
      <c r="I32" s="80"/>
      <c r="J32" s="81"/>
      <c r="K32" s="159" t="str">
        <f t="shared" si="0"/>
        <v/>
      </c>
      <c r="L32" s="160"/>
      <c r="M32" s="161"/>
      <c r="N32" s="173"/>
      <c r="O32" s="174"/>
      <c r="P32" s="174"/>
      <c r="Q32" s="174"/>
      <c r="R32" s="174"/>
      <c r="S32" s="174"/>
      <c r="T32" s="174"/>
      <c r="U32" s="174"/>
      <c r="V32" s="174"/>
      <c r="W32" s="174"/>
      <c r="X32" s="174"/>
      <c r="Y32" s="175"/>
      <c r="Z32" s="13"/>
      <c r="AB32" s="41"/>
      <c r="AC32" s="42" t="str">
        <f t="shared" si="1"/>
        <v/>
      </c>
      <c r="AD32" s="44" t="str">
        <f t="shared" si="2"/>
        <v/>
      </c>
      <c r="AE32" s="45"/>
      <c r="AF32" s="42" t="str">
        <f t="shared" si="3"/>
        <v/>
      </c>
      <c r="AG32" s="46" t="str">
        <f t="shared" si="4"/>
        <v/>
      </c>
      <c r="AH32" s="47" t="str">
        <f t="shared" si="5"/>
        <v/>
      </c>
    </row>
    <row r="33" spans="1:34" ht="19.5" customHeight="1" x14ac:dyDescent="0.25">
      <c r="A33" s="10"/>
      <c r="B33" s="40" t="s">
        <v>39</v>
      </c>
      <c r="C33" s="79"/>
      <c r="D33" s="80"/>
      <c r="E33" s="80"/>
      <c r="F33" s="80"/>
      <c r="G33" s="80"/>
      <c r="H33" s="80"/>
      <c r="I33" s="80"/>
      <c r="J33" s="81"/>
      <c r="K33" s="159" t="str">
        <f t="shared" si="0"/>
        <v/>
      </c>
      <c r="L33" s="160"/>
      <c r="M33" s="161"/>
      <c r="N33" s="173"/>
      <c r="O33" s="174"/>
      <c r="P33" s="174"/>
      <c r="Q33" s="174"/>
      <c r="R33" s="174"/>
      <c r="S33" s="174"/>
      <c r="T33" s="174"/>
      <c r="U33" s="174"/>
      <c r="V33" s="174"/>
      <c r="W33" s="174"/>
      <c r="X33" s="174"/>
      <c r="Y33" s="175"/>
      <c r="Z33" s="13"/>
      <c r="AB33" s="41"/>
      <c r="AC33" s="42" t="str">
        <f t="shared" si="1"/>
        <v/>
      </c>
      <c r="AD33" s="44" t="str">
        <f t="shared" si="2"/>
        <v/>
      </c>
      <c r="AE33" s="45"/>
      <c r="AF33" s="42" t="str">
        <f t="shared" si="3"/>
        <v/>
      </c>
      <c r="AG33" s="46" t="str">
        <f t="shared" si="4"/>
        <v/>
      </c>
      <c r="AH33" s="47" t="str">
        <f t="shared" si="5"/>
        <v/>
      </c>
    </row>
    <row r="34" spans="1:34" ht="19.5" customHeight="1" x14ac:dyDescent="0.25">
      <c r="A34" s="10"/>
      <c r="B34" s="40" t="s">
        <v>40</v>
      </c>
      <c r="C34" s="79"/>
      <c r="D34" s="80"/>
      <c r="E34" s="80"/>
      <c r="F34" s="80"/>
      <c r="G34" s="80"/>
      <c r="H34" s="80"/>
      <c r="I34" s="80"/>
      <c r="J34" s="81"/>
      <c r="K34" s="159" t="str">
        <f t="shared" si="0"/>
        <v/>
      </c>
      <c r="L34" s="160"/>
      <c r="M34" s="161"/>
      <c r="N34" s="173"/>
      <c r="O34" s="174"/>
      <c r="P34" s="174"/>
      <c r="Q34" s="174"/>
      <c r="R34" s="174"/>
      <c r="S34" s="174"/>
      <c r="T34" s="174"/>
      <c r="U34" s="174"/>
      <c r="V34" s="174"/>
      <c r="W34" s="174"/>
      <c r="X34" s="174"/>
      <c r="Y34" s="175"/>
      <c r="Z34" s="13"/>
      <c r="AB34" s="41"/>
      <c r="AC34" s="42" t="str">
        <f t="shared" si="1"/>
        <v/>
      </c>
      <c r="AD34" s="44" t="str">
        <f t="shared" si="2"/>
        <v/>
      </c>
      <c r="AE34" s="45"/>
      <c r="AF34" s="42" t="str">
        <f t="shared" si="3"/>
        <v/>
      </c>
      <c r="AG34" s="46" t="str">
        <f t="shared" si="4"/>
        <v/>
      </c>
      <c r="AH34" s="47" t="str">
        <f t="shared" si="5"/>
        <v/>
      </c>
    </row>
    <row r="35" spans="1:34" ht="19.5" customHeight="1" x14ac:dyDescent="0.25">
      <c r="A35" s="10"/>
      <c r="B35" s="40" t="s">
        <v>51</v>
      </c>
      <c r="C35" s="79"/>
      <c r="D35" s="80"/>
      <c r="E35" s="80"/>
      <c r="F35" s="80"/>
      <c r="G35" s="80"/>
      <c r="H35" s="80"/>
      <c r="I35" s="80"/>
      <c r="J35" s="81"/>
      <c r="K35" s="159" t="str">
        <f>IF(AB35&lt;&gt;0,AG35,"")</f>
        <v/>
      </c>
      <c r="L35" s="160"/>
      <c r="M35" s="161"/>
      <c r="N35" s="173"/>
      <c r="O35" s="174"/>
      <c r="P35" s="174"/>
      <c r="Q35" s="174"/>
      <c r="R35" s="174"/>
      <c r="S35" s="174"/>
      <c r="T35" s="174"/>
      <c r="U35" s="174"/>
      <c r="V35" s="174"/>
      <c r="W35" s="174"/>
      <c r="X35" s="174"/>
      <c r="Y35" s="175"/>
      <c r="Z35" s="13"/>
      <c r="AB35" s="41"/>
      <c r="AC35" s="42" t="str">
        <f t="shared" si="1"/>
        <v/>
      </c>
      <c r="AD35" s="44" t="str">
        <f t="shared" si="2"/>
        <v/>
      </c>
      <c r="AE35" s="45"/>
      <c r="AF35" s="42" t="str">
        <f t="shared" si="3"/>
        <v/>
      </c>
      <c r="AG35" s="46" t="str">
        <f t="shared" si="4"/>
        <v/>
      </c>
      <c r="AH35" s="47" t="str">
        <f t="shared" si="5"/>
        <v/>
      </c>
    </row>
    <row r="36" spans="1:34" ht="19.5" customHeight="1" x14ac:dyDescent="0.25">
      <c r="A36" s="10"/>
      <c r="B36" s="40" t="s">
        <v>52</v>
      </c>
      <c r="C36" s="79"/>
      <c r="D36" s="80"/>
      <c r="E36" s="80"/>
      <c r="F36" s="80"/>
      <c r="G36" s="80"/>
      <c r="H36" s="80"/>
      <c r="I36" s="80"/>
      <c r="J36" s="81"/>
      <c r="K36" s="159" t="str">
        <f>IF(AB36&lt;&gt;0,AG36,"")</f>
        <v/>
      </c>
      <c r="L36" s="160"/>
      <c r="M36" s="161"/>
      <c r="N36" s="173"/>
      <c r="O36" s="174"/>
      <c r="P36" s="174"/>
      <c r="Q36" s="174"/>
      <c r="R36" s="174"/>
      <c r="S36" s="174"/>
      <c r="T36" s="174"/>
      <c r="U36" s="174"/>
      <c r="V36" s="174"/>
      <c r="W36" s="174"/>
      <c r="X36" s="174"/>
      <c r="Y36" s="175"/>
      <c r="Z36" s="13"/>
      <c r="AB36" s="41"/>
      <c r="AC36" s="42" t="str">
        <f t="shared" si="1"/>
        <v/>
      </c>
      <c r="AD36" s="44" t="str">
        <f t="shared" si="2"/>
        <v/>
      </c>
      <c r="AE36" s="45"/>
      <c r="AF36" s="42" t="str">
        <f t="shared" si="3"/>
        <v/>
      </c>
      <c r="AG36" s="46" t="str">
        <f t="shared" si="4"/>
        <v/>
      </c>
      <c r="AH36" s="47" t="str">
        <f t="shared" si="5"/>
        <v/>
      </c>
    </row>
    <row r="37" spans="1:34" ht="19.5" customHeight="1" x14ac:dyDescent="0.25">
      <c r="A37" s="10"/>
      <c r="B37" s="40" t="s">
        <v>53</v>
      </c>
      <c r="C37" s="79"/>
      <c r="D37" s="80"/>
      <c r="E37" s="80"/>
      <c r="F37" s="80"/>
      <c r="G37" s="80"/>
      <c r="H37" s="80"/>
      <c r="I37" s="80"/>
      <c r="J37" s="81"/>
      <c r="K37" s="159" t="str">
        <f>IF(AB37&lt;&gt;0,AG37,"")</f>
        <v/>
      </c>
      <c r="L37" s="160"/>
      <c r="M37" s="161"/>
      <c r="N37" s="173"/>
      <c r="O37" s="174"/>
      <c r="P37" s="174"/>
      <c r="Q37" s="174"/>
      <c r="R37" s="174"/>
      <c r="S37" s="174"/>
      <c r="T37" s="174"/>
      <c r="U37" s="174"/>
      <c r="V37" s="174"/>
      <c r="W37" s="174"/>
      <c r="X37" s="174"/>
      <c r="Y37" s="175"/>
      <c r="Z37" s="13"/>
      <c r="AB37" s="41"/>
      <c r="AC37" s="42" t="str">
        <f t="shared" si="1"/>
        <v/>
      </c>
      <c r="AD37" s="44" t="str">
        <f t="shared" si="2"/>
        <v/>
      </c>
      <c r="AE37" s="45"/>
      <c r="AF37" s="42" t="str">
        <f t="shared" si="3"/>
        <v/>
      </c>
      <c r="AG37" s="46" t="str">
        <f t="shared" si="4"/>
        <v/>
      </c>
      <c r="AH37" s="47" t="str">
        <f t="shared" si="5"/>
        <v/>
      </c>
    </row>
    <row r="38" spans="1:34" ht="19.5" customHeight="1" x14ac:dyDescent="0.25">
      <c r="A38" s="10"/>
      <c r="B38" s="40" t="s">
        <v>54</v>
      </c>
      <c r="C38" s="79"/>
      <c r="D38" s="80"/>
      <c r="E38" s="80"/>
      <c r="F38" s="80"/>
      <c r="G38" s="80"/>
      <c r="H38" s="80"/>
      <c r="I38" s="80"/>
      <c r="J38" s="81"/>
      <c r="K38" s="159" t="str">
        <f>IF(AB38&lt;&gt;0,AG38,"")</f>
        <v/>
      </c>
      <c r="L38" s="160"/>
      <c r="M38" s="161"/>
      <c r="N38" s="173"/>
      <c r="O38" s="174"/>
      <c r="P38" s="174"/>
      <c r="Q38" s="174"/>
      <c r="R38" s="174"/>
      <c r="S38" s="174"/>
      <c r="T38" s="174"/>
      <c r="U38" s="174"/>
      <c r="V38" s="174"/>
      <c r="W38" s="174"/>
      <c r="X38" s="174"/>
      <c r="Y38" s="175"/>
      <c r="Z38" s="13"/>
      <c r="AB38" s="41"/>
      <c r="AC38" s="42" t="str">
        <f t="shared" si="1"/>
        <v/>
      </c>
      <c r="AD38" s="44" t="str">
        <f t="shared" si="2"/>
        <v/>
      </c>
      <c r="AE38" s="45"/>
      <c r="AF38" s="42" t="str">
        <f t="shared" si="3"/>
        <v/>
      </c>
      <c r="AG38" s="46" t="str">
        <f t="shared" si="4"/>
        <v/>
      </c>
      <c r="AH38" s="47" t="str">
        <f t="shared" si="5"/>
        <v/>
      </c>
    </row>
    <row r="39" spans="1:34" ht="19.5" customHeight="1" x14ac:dyDescent="0.25">
      <c r="A39" s="10"/>
      <c r="B39" s="40" t="s">
        <v>55</v>
      </c>
      <c r="C39" s="79"/>
      <c r="D39" s="80"/>
      <c r="E39" s="80"/>
      <c r="F39" s="80"/>
      <c r="G39" s="80"/>
      <c r="H39" s="80"/>
      <c r="I39" s="80"/>
      <c r="J39" s="81"/>
      <c r="K39" s="159" t="str">
        <f>IF(AB39&lt;&gt;0,AG39,"")</f>
        <v/>
      </c>
      <c r="L39" s="160"/>
      <c r="M39" s="161"/>
      <c r="N39" s="173"/>
      <c r="O39" s="174"/>
      <c r="P39" s="174"/>
      <c r="Q39" s="174"/>
      <c r="R39" s="174"/>
      <c r="S39" s="174"/>
      <c r="T39" s="174"/>
      <c r="U39" s="174"/>
      <c r="V39" s="174"/>
      <c r="W39" s="174"/>
      <c r="X39" s="174"/>
      <c r="Y39" s="175"/>
      <c r="Z39" s="13"/>
      <c r="AB39" s="41"/>
      <c r="AC39" s="42" t="str">
        <f t="shared" si="1"/>
        <v/>
      </c>
      <c r="AD39" s="44" t="str">
        <f t="shared" si="2"/>
        <v/>
      </c>
      <c r="AE39" s="45"/>
      <c r="AF39" s="42" t="str">
        <f t="shared" si="3"/>
        <v/>
      </c>
      <c r="AG39" s="46" t="str">
        <f t="shared" si="4"/>
        <v/>
      </c>
      <c r="AH39" s="47" t="str">
        <f t="shared" si="5"/>
        <v/>
      </c>
    </row>
    <row r="40" spans="1:34" ht="19.5" customHeight="1" x14ac:dyDescent="0.25">
      <c r="A40" s="10"/>
      <c r="B40" s="40" t="s">
        <v>56</v>
      </c>
      <c r="C40" s="79"/>
      <c r="D40" s="80"/>
      <c r="E40" s="80"/>
      <c r="F40" s="80"/>
      <c r="G40" s="80"/>
      <c r="H40" s="80"/>
      <c r="I40" s="80"/>
      <c r="J40" s="81"/>
      <c r="K40" s="159" t="str">
        <f t="shared" si="0"/>
        <v/>
      </c>
      <c r="L40" s="160"/>
      <c r="M40" s="161"/>
      <c r="N40" s="173"/>
      <c r="O40" s="174"/>
      <c r="P40" s="174"/>
      <c r="Q40" s="174"/>
      <c r="R40" s="174"/>
      <c r="S40" s="174"/>
      <c r="T40" s="174"/>
      <c r="U40" s="174"/>
      <c r="V40" s="174"/>
      <c r="W40" s="174"/>
      <c r="X40" s="174"/>
      <c r="Y40" s="175"/>
      <c r="Z40" s="13"/>
      <c r="AB40" s="41"/>
      <c r="AC40" s="42" t="str">
        <f t="shared" si="1"/>
        <v/>
      </c>
      <c r="AD40" s="44" t="str">
        <f t="shared" si="2"/>
        <v/>
      </c>
      <c r="AE40" s="45"/>
      <c r="AF40" s="42" t="str">
        <f t="shared" si="3"/>
        <v/>
      </c>
      <c r="AG40" s="46" t="str">
        <f t="shared" si="4"/>
        <v/>
      </c>
      <c r="AH40" s="47" t="str">
        <f t="shared" si="5"/>
        <v/>
      </c>
    </row>
    <row r="41" spans="1:34" ht="19.5" customHeight="1" x14ac:dyDescent="0.25">
      <c r="A41" s="10"/>
      <c r="B41" s="40" t="s">
        <v>57</v>
      </c>
      <c r="C41" s="79"/>
      <c r="D41" s="80"/>
      <c r="E41" s="80"/>
      <c r="F41" s="80"/>
      <c r="G41" s="80"/>
      <c r="H41" s="80"/>
      <c r="I41" s="80"/>
      <c r="J41" s="81"/>
      <c r="K41" s="159" t="str">
        <f t="shared" si="0"/>
        <v/>
      </c>
      <c r="L41" s="160"/>
      <c r="M41" s="161"/>
      <c r="N41" s="173"/>
      <c r="O41" s="174"/>
      <c r="P41" s="174"/>
      <c r="Q41" s="174"/>
      <c r="R41" s="174"/>
      <c r="S41" s="174"/>
      <c r="T41" s="174"/>
      <c r="U41" s="174"/>
      <c r="V41" s="174"/>
      <c r="W41" s="174"/>
      <c r="X41" s="174"/>
      <c r="Y41" s="175"/>
      <c r="Z41" s="13"/>
      <c r="AB41" s="41"/>
      <c r="AC41" s="42" t="str">
        <f t="shared" si="1"/>
        <v/>
      </c>
      <c r="AD41" s="44" t="str">
        <f t="shared" si="2"/>
        <v/>
      </c>
      <c r="AE41" s="45"/>
      <c r="AF41" s="42" t="str">
        <f t="shared" si="3"/>
        <v/>
      </c>
      <c r="AG41" s="46" t="str">
        <f t="shared" si="4"/>
        <v/>
      </c>
      <c r="AH41" s="47" t="str">
        <f t="shared" si="5"/>
        <v/>
      </c>
    </row>
    <row r="42" spans="1:34" ht="19.5" customHeight="1" x14ac:dyDescent="0.25">
      <c r="A42" s="10"/>
      <c r="B42" s="40" t="s">
        <v>58</v>
      </c>
      <c r="C42" s="79"/>
      <c r="D42" s="80"/>
      <c r="E42" s="80"/>
      <c r="F42" s="80"/>
      <c r="G42" s="80"/>
      <c r="H42" s="80"/>
      <c r="I42" s="80"/>
      <c r="J42" s="81"/>
      <c r="K42" s="159" t="str">
        <f t="shared" si="0"/>
        <v/>
      </c>
      <c r="L42" s="160"/>
      <c r="M42" s="161"/>
      <c r="N42" s="173"/>
      <c r="O42" s="174"/>
      <c r="P42" s="174"/>
      <c r="Q42" s="174"/>
      <c r="R42" s="174"/>
      <c r="S42" s="174"/>
      <c r="T42" s="174"/>
      <c r="U42" s="174"/>
      <c r="V42" s="174"/>
      <c r="W42" s="174"/>
      <c r="X42" s="174"/>
      <c r="Y42" s="175"/>
      <c r="Z42" s="13"/>
      <c r="AB42" s="41"/>
      <c r="AC42" s="42" t="str">
        <f t="shared" si="1"/>
        <v/>
      </c>
      <c r="AD42" s="44" t="str">
        <f t="shared" si="2"/>
        <v/>
      </c>
      <c r="AE42" s="45"/>
      <c r="AF42" s="42" t="str">
        <f t="shared" si="3"/>
        <v/>
      </c>
      <c r="AG42" s="46" t="str">
        <f t="shared" si="4"/>
        <v/>
      </c>
      <c r="AH42" s="47" t="str">
        <f t="shared" si="5"/>
        <v/>
      </c>
    </row>
    <row r="43" spans="1:34" ht="19.5" customHeight="1" x14ac:dyDescent="0.25">
      <c r="A43" s="10"/>
      <c r="B43" s="40" t="s">
        <v>59</v>
      </c>
      <c r="C43" s="79"/>
      <c r="D43" s="80"/>
      <c r="E43" s="80"/>
      <c r="F43" s="80"/>
      <c r="G43" s="80"/>
      <c r="H43" s="80"/>
      <c r="I43" s="80"/>
      <c r="J43" s="81"/>
      <c r="K43" s="159" t="str">
        <f t="shared" ref="K43:K48" si="6">IF(AB43&lt;&gt;0,AG43,"")</f>
        <v/>
      </c>
      <c r="L43" s="160"/>
      <c r="M43" s="161"/>
      <c r="N43" s="173"/>
      <c r="O43" s="174"/>
      <c r="P43" s="174"/>
      <c r="Q43" s="174"/>
      <c r="R43" s="174"/>
      <c r="S43" s="174"/>
      <c r="T43" s="174"/>
      <c r="U43" s="174"/>
      <c r="V43" s="174"/>
      <c r="W43" s="174"/>
      <c r="X43" s="174"/>
      <c r="Y43" s="175"/>
      <c r="Z43" s="13"/>
      <c r="AB43" s="41"/>
      <c r="AC43" s="42" t="str">
        <f t="shared" si="1"/>
        <v/>
      </c>
      <c r="AD43" s="44" t="str">
        <f t="shared" si="2"/>
        <v/>
      </c>
      <c r="AE43" s="45"/>
      <c r="AF43" s="42" t="str">
        <f t="shared" si="3"/>
        <v/>
      </c>
      <c r="AG43" s="46" t="str">
        <f t="shared" si="4"/>
        <v/>
      </c>
      <c r="AH43" s="47" t="str">
        <f t="shared" si="5"/>
        <v/>
      </c>
    </row>
    <row r="44" spans="1:34" ht="19.5" customHeight="1" x14ac:dyDescent="0.25">
      <c r="A44" s="10"/>
      <c r="B44" s="40" t="s">
        <v>60</v>
      </c>
      <c r="C44" s="79"/>
      <c r="D44" s="80"/>
      <c r="E44" s="80"/>
      <c r="F44" s="80"/>
      <c r="G44" s="80"/>
      <c r="H44" s="80"/>
      <c r="I44" s="80"/>
      <c r="J44" s="81"/>
      <c r="K44" s="159" t="str">
        <f t="shared" si="6"/>
        <v/>
      </c>
      <c r="L44" s="160"/>
      <c r="M44" s="161"/>
      <c r="N44" s="173"/>
      <c r="O44" s="174"/>
      <c r="P44" s="174"/>
      <c r="Q44" s="174"/>
      <c r="R44" s="174"/>
      <c r="S44" s="174"/>
      <c r="T44" s="174"/>
      <c r="U44" s="174"/>
      <c r="V44" s="174"/>
      <c r="W44" s="174"/>
      <c r="X44" s="174"/>
      <c r="Y44" s="175"/>
      <c r="Z44" s="13"/>
      <c r="AB44" s="41"/>
      <c r="AC44" s="42" t="str">
        <f t="shared" si="1"/>
        <v/>
      </c>
      <c r="AD44" s="44" t="str">
        <f t="shared" si="2"/>
        <v/>
      </c>
      <c r="AE44" s="45"/>
      <c r="AF44" s="42" t="str">
        <f t="shared" si="3"/>
        <v/>
      </c>
      <c r="AG44" s="46" t="str">
        <f t="shared" si="4"/>
        <v/>
      </c>
      <c r="AH44" s="47" t="str">
        <f t="shared" si="5"/>
        <v/>
      </c>
    </row>
    <row r="45" spans="1:34" ht="19.5" customHeight="1" x14ac:dyDescent="0.25">
      <c r="A45" s="10"/>
      <c r="B45" s="40" t="s">
        <v>62</v>
      </c>
      <c r="C45" s="79"/>
      <c r="D45" s="80"/>
      <c r="E45" s="80"/>
      <c r="F45" s="80"/>
      <c r="G45" s="80"/>
      <c r="H45" s="80"/>
      <c r="I45" s="80"/>
      <c r="J45" s="81"/>
      <c r="K45" s="159" t="str">
        <f t="shared" si="6"/>
        <v/>
      </c>
      <c r="L45" s="160"/>
      <c r="M45" s="161"/>
      <c r="N45" s="173"/>
      <c r="O45" s="174"/>
      <c r="P45" s="174"/>
      <c r="Q45" s="174"/>
      <c r="R45" s="174"/>
      <c r="S45" s="174"/>
      <c r="T45" s="174"/>
      <c r="U45" s="174"/>
      <c r="V45" s="174"/>
      <c r="W45" s="174"/>
      <c r="X45" s="174"/>
      <c r="Y45" s="175"/>
      <c r="Z45" s="13"/>
      <c r="AB45" s="41"/>
      <c r="AC45" s="42" t="str">
        <f t="shared" si="1"/>
        <v/>
      </c>
      <c r="AD45" s="44" t="str">
        <f t="shared" si="2"/>
        <v/>
      </c>
      <c r="AE45" s="45"/>
      <c r="AF45" s="42" t="str">
        <f t="shared" si="3"/>
        <v/>
      </c>
      <c r="AG45" s="46" t="str">
        <f t="shared" si="4"/>
        <v/>
      </c>
      <c r="AH45" s="47" t="str">
        <f t="shared" si="5"/>
        <v/>
      </c>
    </row>
    <row r="46" spans="1:34" ht="19.5" customHeight="1" x14ac:dyDescent="0.25">
      <c r="A46" s="10"/>
      <c r="B46" s="40" t="s">
        <v>63</v>
      </c>
      <c r="C46" s="79"/>
      <c r="D46" s="80"/>
      <c r="E46" s="80"/>
      <c r="F46" s="80"/>
      <c r="G46" s="80"/>
      <c r="H46" s="80"/>
      <c r="I46" s="80"/>
      <c r="J46" s="81"/>
      <c r="K46" s="159" t="str">
        <f t="shared" si="6"/>
        <v/>
      </c>
      <c r="L46" s="160"/>
      <c r="M46" s="161"/>
      <c r="N46" s="173"/>
      <c r="O46" s="174"/>
      <c r="P46" s="174"/>
      <c r="Q46" s="174"/>
      <c r="R46" s="174"/>
      <c r="S46" s="174"/>
      <c r="T46" s="174"/>
      <c r="U46" s="174"/>
      <c r="V46" s="174"/>
      <c r="W46" s="174"/>
      <c r="X46" s="174"/>
      <c r="Y46" s="175"/>
      <c r="Z46" s="13"/>
      <c r="AB46" s="41"/>
      <c r="AC46" s="42" t="str">
        <f t="shared" si="1"/>
        <v/>
      </c>
      <c r="AD46" s="44" t="str">
        <f t="shared" si="2"/>
        <v/>
      </c>
      <c r="AE46" s="45"/>
      <c r="AF46" s="42" t="str">
        <f t="shared" si="3"/>
        <v/>
      </c>
      <c r="AG46" s="46" t="str">
        <f t="shared" si="4"/>
        <v/>
      </c>
      <c r="AH46" s="47" t="str">
        <f t="shared" si="5"/>
        <v/>
      </c>
    </row>
    <row r="47" spans="1:34" ht="19.5" customHeight="1" x14ac:dyDescent="0.25">
      <c r="A47" s="10"/>
      <c r="B47" s="40" t="s">
        <v>64</v>
      </c>
      <c r="C47" s="79"/>
      <c r="D47" s="80"/>
      <c r="E47" s="80"/>
      <c r="F47" s="80"/>
      <c r="G47" s="80"/>
      <c r="H47" s="80"/>
      <c r="I47" s="80"/>
      <c r="J47" s="81"/>
      <c r="K47" s="159" t="str">
        <f t="shared" si="6"/>
        <v/>
      </c>
      <c r="L47" s="160"/>
      <c r="M47" s="161"/>
      <c r="N47" s="173"/>
      <c r="O47" s="174"/>
      <c r="P47" s="174"/>
      <c r="Q47" s="174"/>
      <c r="R47" s="174"/>
      <c r="S47" s="174"/>
      <c r="T47" s="174"/>
      <c r="U47" s="174"/>
      <c r="V47" s="174"/>
      <c r="W47" s="174"/>
      <c r="X47" s="174"/>
      <c r="Y47" s="175"/>
      <c r="Z47" s="13"/>
      <c r="AB47" s="41"/>
      <c r="AC47" s="42" t="str">
        <f t="shared" si="1"/>
        <v/>
      </c>
      <c r="AD47" s="44" t="str">
        <f t="shared" si="2"/>
        <v/>
      </c>
      <c r="AE47" s="45"/>
      <c r="AF47" s="42" t="str">
        <f t="shared" si="3"/>
        <v/>
      </c>
      <c r="AG47" s="46" t="str">
        <f t="shared" si="4"/>
        <v/>
      </c>
      <c r="AH47" s="47" t="str">
        <f t="shared" si="5"/>
        <v/>
      </c>
    </row>
    <row r="48" spans="1:34" ht="19.5" customHeight="1" x14ac:dyDescent="0.25">
      <c r="A48" s="10"/>
      <c r="B48" s="40" t="s">
        <v>65</v>
      </c>
      <c r="C48" s="79"/>
      <c r="D48" s="80"/>
      <c r="E48" s="80"/>
      <c r="F48" s="80"/>
      <c r="G48" s="80"/>
      <c r="H48" s="80"/>
      <c r="I48" s="80"/>
      <c r="J48" s="81"/>
      <c r="K48" s="159" t="str">
        <f t="shared" si="6"/>
        <v/>
      </c>
      <c r="L48" s="160"/>
      <c r="M48" s="161"/>
      <c r="N48" s="173"/>
      <c r="O48" s="174"/>
      <c r="P48" s="174"/>
      <c r="Q48" s="174"/>
      <c r="R48" s="174"/>
      <c r="S48" s="174"/>
      <c r="T48" s="174"/>
      <c r="U48" s="174"/>
      <c r="V48" s="174"/>
      <c r="W48" s="174"/>
      <c r="X48" s="174"/>
      <c r="Y48" s="175"/>
      <c r="Z48" s="13"/>
      <c r="AB48" s="41"/>
      <c r="AC48" s="42" t="str">
        <f t="shared" si="1"/>
        <v/>
      </c>
      <c r="AD48" s="44" t="str">
        <f t="shared" si="2"/>
        <v/>
      </c>
      <c r="AE48" s="45"/>
      <c r="AF48" s="42" t="str">
        <f t="shared" si="3"/>
        <v/>
      </c>
      <c r="AG48" s="46" t="str">
        <f t="shared" si="4"/>
        <v/>
      </c>
      <c r="AH48" s="47" t="str">
        <f t="shared" si="5"/>
        <v/>
      </c>
    </row>
    <row r="49" spans="1:34" ht="19.5" customHeight="1" thickBot="1" x14ac:dyDescent="0.3">
      <c r="A49" s="10"/>
      <c r="B49" s="40" t="s">
        <v>66</v>
      </c>
      <c r="C49" s="79"/>
      <c r="D49" s="80"/>
      <c r="E49" s="80"/>
      <c r="F49" s="80"/>
      <c r="G49" s="80"/>
      <c r="H49" s="80"/>
      <c r="I49" s="80"/>
      <c r="J49" s="81"/>
      <c r="K49" s="167" t="str">
        <f t="shared" si="0"/>
        <v/>
      </c>
      <c r="L49" s="168"/>
      <c r="M49" s="169"/>
      <c r="N49" s="173"/>
      <c r="O49" s="174"/>
      <c r="P49" s="174"/>
      <c r="Q49" s="174"/>
      <c r="R49" s="174"/>
      <c r="S49" s="174"/>
      <c r="T49" s="174"/>
      <c r="U49" s="174"/>
      <c r="V49" s="174"/>
      <c r="W49" s="174"/>
      <c r="X49" s="174"/>
      <c r="Y49" s="175"/>
      <c r="Z49" s="13"/>
      <c r="AB49" s="41"/>
      <c r="AC49" s="42" t="str">
        <f t="shared" si="1"/>
        <v/>
      </c>
      <c r="AD49" s="44" t="str">
        <f t="shared" si="2"/>
        <v/>
      </c>
      <c r="AE49" s="45"/>
      <c r="AF49" s="42" t="str">
        <f t="shared" si="3"/>
        <v/>
      </c>
      <c r="AG49" s="46" t="str">
        <f t="shared" si="4"/>
        <v/>
      </c>
      <c r="AH49" s="47" t="str">
        <f t="shared" si="5"/>
        <v/>
      </c>
    </row>
    <row r="50" spans="1:34" ht="15.75" customHeight="1" x14ac:dyDescent="0.25">
      <c r="A50" s="10"/>
      <c r="B50" s="194" t="s">
        <v>41</v>
      </c>
      <c r="C50" s="195"/>
      <c r="D50" s="195"/>
      <c r="E50" s="195"/>
      <c r="F50" s="195"/>
      <c r="G50" s="195"/>
      <c r="H50" s="195"/>
      <c r="I50" s="195"/>
      <c r="J50" s="196"/>
      <c r="K50" s="170" t="str">
        <f>IF(K25&lt;&gt;"",AVERAGE(K25:M49),"")</f>
        <v/>
      </c>
      <c r="L50" s="171"/>
      <c r="M50" s="172"/>
      <c r="N50" s="186"/>
      <c r="O50" s="187"/>
      <c r="P50" s="187"/>
      <c r="Q50" s="176" t="s">
        <v>61</v>
      </c>
      <c r="R50" s="176"/>
      <c r="S50" s="176"/>
      <c r="T50" s="176"/>
      <c r="U50" s="176"/>
      <c r="V50" s="176"/>
      <c r="W50" s="176"/>
      <c r="X50" s="176"/>
      <c r="Y50" s="177"/>
      <c r="Z50" s="13"/>
      <c r="AB50" s="48"/>
      <c r="AC50" s="48"/>
      <c r="AD50" s="49"/>
      <c r="AE50" s="48"/>
      <c r="AF50" s="48"/>
      <c r="AG50" s="49"/>
      <c r="AH50" s="50"/>
    </row>
    <row r="51" spans="1:34" ht="15.75" customHeight="1" x14ac:dyDescent="0.25">
      <c r="A51" s="10"/>
      <c r="B51" s="191" t="s">
        <v>42</v>
      </c>
      <c r="C51" s="192"/>
      <c r="D51" s="192"/>
      <c r="E51" s="192"/>
      <c r="F51" s="192"/>
      <c r="G51" s="192"/>
      <c r="H51" s="192"/>
      <c r="I51" s="192"/>
      <c r="J51" s="193"/>
      <c r="K51" s="162" t="str">
        <f>IF(K25&lt;&gt;"",MIN(K25:M49),"")</f>
        <v/>
      </c>
      <c r="L51" s="163"/>
      <c r="M51" s="164"/>
      <c r="N51" s="165"/>
      <c r="O51" s="166"/>
      <c r="P51" s="166"/>
      <c r="Q51" s="75"/>
      <c r="R51" s="75"/>
      <c r="S51" s="75"/>
      <c r="T51" s="75"/>
      <c r="U51" s="75"/>
      <c r="V51" s="75"/>
      <c r="W51" s="75"/>
      <c r="X51" s="75"/>
      <c r="Y51" s="76"/>
      <c r="Z51" s="13"/>
      <c r="AB51" s="48"/>
      <c r="AC51" s="48"/>
      <c r="AD51" s="49"/>
      <c r="AE51" s="48"/>
      <c r="AF51" s="48"/>
      <c r="AG51" s="49"/>
      <c r="AH51" s="50"/>
    </row>
    <row r="52" spans="1:34" ht="15.75" customHeight="1" thickBot="1" x14ac:dyDescent="0.3">
      <c r="A52" s="10"/>
      <c r="B52" s="188" t="s">
        <v>43</v>
      </c>
      <c r="C52" s="189"/>
      <c r="D52" s="189"/>
      <c r="E52" s="189"/>
      <c r="F52" s="189"/>
      <c r="G52" s="189"/>
      <c r="H52" s="189"/>
      <c r="I52" s="189"/>
      <c r="J52" s="190"/>
      <c r="K52" s="178" t="str">
        <f>IF(K25&lt;&gt;"",MAX(K25:M49),"")</f>
        <v/>
      </c>
      <c r="L52" s="179"/>
      <c r="M52" s="180"/>
      <c r="N52" s="181"/>
      <c r="O52" s="182"/>
      <c r="P52" s="182"/>
      <c r="Q52" s="77"/>
      <c r="R52" s="77"/>
      <c r="S52" s="77"/>
      <c r="T52" s="77"/>
      <c r="U52" s="77"/>
      <c r="V52" s="77"/>
      <c r="W52" s="77"/>
      <c r="X52" s="77"/>
      <c r="Y52" s="78"/>
      <c r="Z52" s="13"/>
      <c r="AB52" s="48"/>
      <c r="AC52" s="48" t="str">
        <f>IF(AB52&lt;&gt;0,AB52*2,"")</f>
        <v/>
      </c>
      <c r="AD52" s="49" t="str">
        <f>IF(AB52&lt;&gt;0,(112.5/AC52)*100,"")</f>
        <v/>
      </c>
      <c r="AE52" s="48"/>
      <c r="AF52" s="48" t="str">
        <f>IF(AE52&lt;&gt;0,AE52*2,"")</f>
        <v/>
      </c>
      <c r="AG52" s="49" t="str">
        <f>IF(AE52&lt;&gt;0,(90/AF52)*100,"")</f>
        <v/>
      </c>
      <c r="AH52" s="50" t="str">
        <f>IF(AB52&lt;&gt;0,AG52/AD52,"")</f>
        <v/>
      </c>
    </row>
    <row r="53" spans="1:34" ht="15.9" customHeight="1" x14ac:dyDescent="0.25">
      <c r="A53" s="51"/>
      <c r="B53" s="52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19"/>
    </row>
    <row r="54" spans="1:34" ht="12.75" customHeight="1" x14ac:dyDescent="0.25">
      <c r="A54" s="53"/>
      <c r="B54" s="54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34" s="20" customFormat="1" ht="16.2" customHeight="1" x14ac:dyDescent="0.25">
      <c r="A55" s="55" t="s">
        <v>80</v>
      </c>
      <c r="B55" s="56" t="s">
        <v>14</v>
      </c>
      <c r="C55" s="57"/>
      <c r="D55" s="57"/>
      <c r="E55" s="57"/>
      <c r="F55" s="58"/>
      <c r="G55" s="58"/>
      <c r="H55" s="58"/>
      <c r="I55" s="7"/>
      <c r="J55" s="7"/>
      <c r="K55" s="7"/>
      <c r="L55" s="7"/>
      <c r="M55" s="7"/>
      <c r="N55" s="7"/>
      <c r="O55" s="7"/>
      <c r="P55" s="7"/>
      <c r="Q55" s="58"/>
      <c r="R55" s="7"/>
      <c r="S55" s="7"/>
      <c r="T55" s="7"/>
      <c r="U55" s="100"/>
      <c r="V55" s="100"/>
      <c r="W55" s="100"/>
      <c r="X55" s="101"/>
      <c r="Y55" s="101"/>
      <c r="Z55" s="102"/>
    </row>
    <row r="56" spans="1:34" s="20" customFormat="1" ht="25.8" customHeight="1" x14ac:dyDescent="0.25">
      <c r="A56" s="108" t="s">
        <v>82</v>
      </c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277"/>
      <c r="R56" s="82" t="s">
        <v>9</v>
      </c>
      <c r="S56" s="83"/>
      <c r="T56" s="84"/>
      <c r="U56" s="103"/>
      <c r="V56" s="104"/>
      <c r="W56" s="104"/>
      <c r="X56" s="105"/>
      <c r="Y56" s="105"/>
      <c r="Z56" s="106"/>
    </row>
    <row r="57" spans="1:34" s="20" customFormat="1" ht="25.8" customHeight="1" x14ac:dyDescent="0.25">
      <c r="A57" s="278"/>
      <c r="B57" s="279"/>
      <c r="C57" s="279"/>
      <c r="D57" s="279"/>
      <c r="E57" s="279"/>
      <c r="F57" s="279"/>
      <c r="G57" s="279"/>
      <c r="H57" s="279"/>
      <c r="I57" s="279"/>
      <c r="J57" s="279"/>
      <c r="K57" s="279"/>
      <c r="L57" s="279"/>
      <c r="M57" s="279"/>
      <c r="N57" s="279"/>
      <c r="O57" s="279"/>
      <c r="P57" s="279"/>
      <c r="Q57" s="280"/>
      <c r="R57" s="82"/>
      <c r="S57" s="83"/>
      <c r="T57" s="84"/>
      <c r="U57" s="116"/>
      <c r="V57" s="117"/>
      <c r="W57" s="117"/>
      <c r="X57" s="95"/>
      <c r="Y57" s="95"/>
      <c r="Z57" s="94"/>
    </row>
    <row r="58" spans="1:34" s="20" customFormat="1" ht="16.2" customHeight="1" x14ac:dyDescent="0.25">
      <c r="A58" s="59" t="s">
        <v>81</v>
      </c>
      <c r="B58" s="60" t="s">
        <v>5</v>
      </c>
      <c r="C58" s="11"/>
      <c r="D58" s="1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2"/>
      <c r="R58" s="82"/>
      <c r="S58" s="83"/>
      <c r="T58" s="84"/>
      <c r="U58" s="118"/>
      <c r="V58" s="119"/>
      <c r="W58" s="119"/>
      <c r="X58" s="98"/>
      <c r="Y58" s="98"/>
      <c r="Z58" s="99"/>
    </row>
    <row r="59" spans="1:34" s="20" customFormat="1" ht="16.2" customHeight="1" x14ac:dyDescent="0.25">
      <c r="A59" s="281"/>
      <c r="B59" s="282"/>
      <c r="C59" s="282"/>
      <c r="D59" s="282"/>
      <c r="E59" s="282"/>
      <c r="F59" s="282"/>
      <c r="G59" s="282"/>
      <c r="H59" s="282"/>
      <c r="I59" s="282"/>
      <c r="J59" s="282"/>
      <c r="K59" s="282"/>
      <c r="L59" s="282"/>
      <c r="M59" s="282"/>
      <c r="N59" s="282"/>
      <c r="O59" s="282"/>
      <c r="P59" s="282"/>
      <c r="Q59" s="283"/>
      <c r="R59" s="82" t="s">
        <v>10</v>
      </c>
      <c r="S59" s="83"/>
      <c r="T59" s="84"/>
      <c r="U59" s="287"/>
      <c r="V59" s="288"/>
      <c r="W59" s="288"/>
      <c r="X59" s="289"/>
      <c r="Y59" s="289"/>
      <c r="Z59" s="290"/>
    </row>
    <row r="60" spans="1:34" s="20" customFormat="1" ht="16.2" customHeight="1" x14ac:dyDescent="0.25">
      <c r="A60" s="281"/>
      <c r="B60" s="282"/>
      <c r="C60" s="282"/>
      <c r="D60" s="282"/>
      <c r="E60" s="282"/>
      <c r="F60" s="282"/>
      <c r="G60" s="282"/>
      <c r="H60" s="282"/>
      <c r="I60" s="282"/>
      <c r="J60" s="282"/>
      <c r="K60" s="282"/>
      <c r="L60" s="282"/>
      <c r="M60" s="282"/>
      <c r="N60" s="282"/>
      <c r="O60" s="282"/>
      <c r="P60" s="282"/>
      <c r="Q60" s="283"/>
      <c r="R60" s="82"/>
      <c r="S60" s="83"/>
      <c r="T60" s="84"/>
      <c r="U60" s="291"/>
      <c r="V60" s="93"/>
      <c r="W60" s="93"/>
      <c r="X60" s="93"/>
      <c r="Y60" s="93"/>
      <c r="Z60" s="292"/>
    </row>
    <row r="61" spans="1:34" s="20" customFormat="1" ht="16.2" customHeight="1" x14ac:dyDescent="0.25">
      <c r="A61" s="281"/>
      <c r="B61" s="282"/>
      <c r="C61" s="282"/>
      <c r="D61" s="282"/>
      <c r="E61" s="282"/>
      <c r="F61" s="282"/>
      <c r="G61" s="282"/>
      <c r="H61" s="282"/>
      <c r="I61" s="282"/>
      <c r="J61" s="282"/>
      <c r="K61" s="282"/>
      <c r="L61" s="282"/>
      <c r="M61" s="282"/>
      <c r="N61" s="282"/>
      <c r="O61" s="282"/>
      <c r="P61" s="282"/>
      <c r="Q61" s="283"/>
      <c r="R61" s="82"/>
      <c r="S61" s="83"/>
      <c r="T61" s="84"/>
      <c r="U61" s="291"/>
      <c r="V61" s="93"/>
      <c r="W61" s="93"/>
      <c r="X61" s="93"/>
      <c r="Y61" s="93"/>
      <c r="Z61" s="292"/>
    </row>
    <row r="62" spans="1:34" s="20" customFormat="1" ht="16.2" customHeight="1" x14ac:dyDescent="0.25">
      <c r="A62" s="284"/>
      <c r="B62" s="285"/>
      <c r="C62" s="285"/>
      <c r="D62" s="285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6"/>
      <c r="R62" s="85"/>
      <c r="S62" s="86"/>
      <c r="T62" s="87"/>
      <c r="U62" s="293"/>
      <c r="V62" s="294"/>
      <c r="W62" s="294"/>
      <c r="X62" s="295"/>
      <c r="Y62" s="295"/>
      <c r="Z62" s="296"/>
    </row>
    <row r="64" spans="1:34" ht="12.75" customHeight="1" x14ac:dyDescent="0.25">
      <c r="P64" s="11"/>
      <c r="Q64" s="11"/>
      <c r="R64" s="11"/>
      <c r="S64" s="11"/>
      <c r="T64" s="11"/>
      <c r="U64" s="11"/>
      <c r="V64" s="11"/>
      <c r="W64" s="11"/>
    </row>
    <row r="65" spans="16:23" ht="12.75" customHeight="1" x14ac:dyDescent="0.25">
      <c r="P65" s="11"/>
      <c r="Q65" s="11"/>
      <c r="R65" s="11"/>
      <c r="S65" s="11"/>
      <c r="T65" s="11"/>
      <c r="U65" s="11"/>
      <c r="V65" s="11"/>
      <c r="W65" s="11"/>
    </row>
    <row r="66" spans="16:23" ht="12.75" customHeight="1" x14ac:dyDescent="0.25">
      <c r="P66" s="11"/>
      <c r="Q66" s="11"/>
      <c r="R66" s="11"/>
      <c r="S66" s="11"/>
      <c r="T66" s="11"/>
      <c r="U66" s="11"/>
      <c r="V66" s="11"/>
      <c r="W66" s="11"/>
    </row>
    <row r="67" spans="16:23" ht="12.75" customHeight="1" x14ac:dyDescent="0.25">
      <c r="P67" s="11"/>
      <c r="Q67" s="11"/>
      <c r="R67" s="11"/>
      <c r="S67" s="11"/>
      <c r="T67" s="11"/>
      <c r="U67" s="11"/>
      <c r="V67" s="11"/>
      <c r="W67" s="11"/>
    </row>
    <row r="68" spans="16:23" ht="12.75" customHeight="1" x14ac:dyDescent="0.25">
      <c r="P68" s="11"/>
      <c r="Q68" s="11"/>
      <c r="R68" s="11"/>
      <c r="S68" s="11"/>
      <c r="T68" s="11"/>
      <c r="U68" s="11"/>
      <c r="V68" s="11"/>
      <c r="W68" s="11"/>
    </row>
    <row r="69" spans="16:23" ht="12.75" customHeight="1" x14ac:dyDescent="0.25">
      <c r="P69" s="11"/>
      <c r="Q69" s="11"/>
      <c r="R69" s="11"/>
      <c r="S69" s="11"/>
      <c r="T69" s="11"/>
      <c r="U69" s="11"/>
      <c r="V69" s="11"/>
      <c r="W69" s="11"/>
    </row>
  </sheetData>
  <sheetProtection selectLockedCells="1"/>
  <mergeCells count="132">
    <mergeCell ref="V60:Y61"/>
    <mergeCell ref="A56:Q56"/>
    <mergeCell ref="A57:Q57"/>
    <mergeCell ref="C44:J44"/>
    <mergeCell ref="C45:J45"/>
    <mergeCell ref="C46:J46"/>
    <mergeCell ref="C47:J47"/>
    <mergeCell ref="C48:J48"/>
    <mergeCell ref="C39:J39"/>
    <mergeCell ref="C40:J40"/>
    <mergeCell ref="C41:J41"/>
    <mergeCell ref="N41:Y41"/>
    <mergeCell ref="K40:M40"/>
    <mergeCell ref="K41:M41"/>
    <mergeCell ref="AH23:AH24"/>
    <mergeCell ref="N25:Y25"/>
    <mergeCell ref="N26:Y26"/>
    <mergeCell ref="N27:Y27"/>
    <mergeCell ref="AE23:AG23"/>
    <mergeCell ref="N28:Y28"/>
    <mergeCell ref="N29:Y29"/>
    <mergeCell ref="N30:Y30"/>
    <mergeCell ref="N31:Y31"/>
    <mergeCell ref="K52:M52"/>
    <mergeCell ref="N52:P52"/>
    <mergeCell ref="AB23:AD23"/>
    <mergeCell ref="N50:P50"/>
    <mergeCell ref="B52:J52"/>
    <mergeCell ref="B51:J51"/>
    <mergeCell ref="B50:J50"/>
    <mergeCell ref="C42:J42"/>
    <mergeCell ref="C43:J43"/>
    <mergeCell ref="C49:J49"/>
    <mergeCell ref="C36:J36"/>
    <mergeCell ref="C37:J37"/>
    <mergeCell ref="C38:J38"/>
    <mergeCell ref="N32:Y32"/>
    <mergeCell ref="N33:Y33"/>
    <mergeCell ref="N34:Y34"/>
    <mergeCell ref="N35:Y35"/>
    <mergeCell ref="N36:Y36"/>
    <mergeCell ref="N37:Y37"/>
    <mergeCell ref="N38:Y38"/>
    <mergeCell ref="N39:Y39"/>
    <mergeCell ref="N40:Y40"/>
    <mergeCell ref="N46:Y46"/>
    <mergeCell ref="N47:Y47"/>
    <mergeCell ref="K35:M35"/>
    <mergeCell ref="K36:M36"/>
    <mergeCell ref="K37:M37"/>
    <mergeCell ref="K38:M38"/>
    <mergeCell ref="K39:M39"/>
    <mergeCell ref="K51:M51"/>
    <mergeCell ref="N51:P51"/>
    <mergeCell ref="K42:M42"/>
    <mergeCell ref="K43:M43"/>
    <mergeCell ref="K49:M49"/>
    <mergeCell ref="K50:M50"/>
    <mergeCell ref="K47:M47"/>
    <mergeCell ref="K48:M48"/>
    <mergeCell ref="N49:Y49"/>
    <mergeCell ref="K44:M44"/>
    <mergeCell ref="K45:M45"/>
    <mergeCell ref="K46:M46"/>
    <mergeCell ref="N48:Y48"/>
    <mergeCell ref="N42:Y42"/>
    <mergeCell ref="N43:Y43"/>
    <mergeCell ref="N44:Y44"/>
    <mergeCell ref="N45:Y45"/>
    <mergeCell ref="Q50:Y50"/>
    <mergeCell ref="K26:M26"/>
    <mergeCell ref="K27:M27"/>
    <mergeCell ref="K28:M28"/>
    <mergeCell ref="K29:M29"/>
    <mergeCell ref="K30:M30"/>
    <mergeCell ref="K31:M31"/>
    <mergeCell ref="K32:M32"/>
    <mergeCell ref="K33:M33"/>
    <mergeCell ref="K34:M34"/>
    <mergeCell ref="B23:J24"/>
    <mergeCell ref="K23:M23"/>
    <mergeCell ref="N23:Y24"/>
    <mergeCell ref="K24:M24"/>
    <mergeCell ref="B18:H18"/>
    <mergeCell ref="I17:Y17"/>
    <mergeCell ref="I18:Y18"/>
    <mergeCell ref="B17:H17"/>
    <mergeCell ref="K25:M25"/>
    <mergeCell ref="C25:J25"/>
    <mergeCell ref="S10:Y10"/>
    <mergeCell ref="N10:R10"/>
    <mergeCell ref="S11:Y11"/>
    <mergeCell ref="P6:T6"/>
    <mergeCell ref="N11:R11"/>
    <mergeCell ref="U1:Z6"/>
    <mergeCell ref="G2:T4"/>
    <mergeCell ref="B12:G12"/>
    <mergeCell ref="B11:G11"/>
    <mergeCell ref="T12:U12"/>
    <mergeCell ref="N12:R12"/>
    <mergeCell ref="X12:Y12"/>
    <mergeCell ref="H12:M12"/>
    <mergeCell ref="A59:Q62"/>
    <mergeCell ref="R57:T58"/>
    <mergeCell ref="R59:T62"/>
    <mergeCell ref="R56:T56"/>
    <mergeCell ref="U55:Z55"/>
    <mergeCell ref="U56:Z56"/>
    <mergeCell ref="J5:K5"/>
    <mergeCell ref="L5:O5"/>
    <mergeCell ref="P5:T5"/>
    <mergeCell ref="J6:K6"/>
    <mergeCell ref="L6:O6"/>
    <mergeCell ref="G5:H5"/>
    <mergeCell ref="A7:F7"/>
    <mergeCell ref="G7:Z7"/>
    <mergeCell ref="H10:M10"/>
    <mergeCell ref="H11:M11"/>
    <mergeCell ref="U57:Z58"/>
    <mergeCell ref="A1:F6"/>
    <mergeCell ref="G1:T1"/>
    <mergeCell ref="B10:G10"/>
    <mergeCell ref="C35:J35"/>
    <mergeCell ref="C26:J26"/>
    <mergeCell ref="C27:J27"/>
    <mergeCell ref="C28:J28"/>
    <mergeCell ref="C29:J29"/>
    <mergeCell ref="C30:J30"/>
    <mergeCell ref="C31:J31"/>
    <mergeCell ref="C32:J32"/>
    <mergeCell ref="C33:J33"/>
    <mergeCell ref="C34:J34"/>
  </mergeCells>
  <phoneticPr fontId="1" type="noConversion"/>
  <printOptions horizontalCentered="1"/>
  <pageMargins left="0.39370078740157483" right="0.39370078740157483" top="0.39370078740157483" bottom="0.39370078740157483" header="0" footer="0.19685039370078741"/>
  <pageSetup paperSize="9" scale="71" orientation="portrait" r:id="rId1"/>
  <headerFooter alignWithMargins="0">
    <oddFooter>&amp;RDG-Q / CRE PL2 du 06/04/2011</oddFooter>
  </headerFooter>
  <drawing r:id="rId2"/>
  <legacyDrawing r:id="rId3"/>
  <controls>
    <mc:AlternateContent xmlns:mc="http://schemas.openxmlformats.org/markup-compatibility/2006">
      <mc:Choice Requires="x14">
        <control shapeId="1079" r:id="rId4" name="CommandButton1">
          <controlPr autoLine="0" r:id="rId5">
            <anchor moveWithCells="1">
              <from>
                <xdr:col>27</xdr:col>
                <xdr:colOff>0</xdr:colOff>
                <xdr:row>59</xdr:row>
                <xdr:rowOff>182880</xdr:rowOff>
              </from>
              <to>
                <xdr:col>30</xdr:col>
                <xdr:colOff>30480</xdr:colOff>
                <xdr:row>61</xdr:row>
                <xdr:rowOff>190500</xdr:rowOff>
              </to>
            </anchor>
          </controlPr>
        </control>
      </mc:Choice>
      <mc:Fallback>
        <control shapeId="1079" r:id="rId4" name="CommandButton1"/>
      </mc:Fallback>
    </mc:AlternateContent>
    <mc:AlternateContent xmlns:mc="http://schemas.openxmlformats.org/markup-compatibility/2006">
      <mc:Choice Requires="x14">
        <control shapeId="1074" r:id="rId6" name="Check Box 50">
          <controlPr locked="0" defaultSize="0" autoFill="0" autoLine="0" autoPict="0">
            <anchor moveWithCells="1">
              <from>
                <xdr:col>18</xdr:col>
                <xdr:colOff>60960</xdr:colOff>
                <xdr:row>10</xdr:row>
                <xdr:rowOff>335280</xdr:rowOff>
              </from>
              <to>
                <xdr:col>19</xdr:col>
                <xdr:colOff>30480</xdr:colOff>
                <xdr:row>12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75" r:id="rId7" name="Check Box 51">
          <controlPr locked="0" defaultSize="0" autoFill="0" autoLine="0" autoPict="0">
            <anchor moveWithCells="1">
              <from>
                <xdr:col>22</xdr:col>
                <xdr:colOff>60960</xdr:colOff>
                <xdr:row>10</xdr:row>
                <xdr:rowOff>335280</xdr:rowOff>
              </from>
              <to>
                <xdr:col>23</xdr:col>
                <xdr:colOff>30480</xdr:colOff>
                <xdr:row>12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AK69"/>
  <sheetViews>
    <sheetView topLeftCell="A43" workbookViewId="0">
      <selection activeCell="K65" sqref="J65:K66"/>
    </sheetView>
  </sheetViews>
  <sheetFormatPr baseColWidth="10" defaultColWidth="11.44140625" defaultRowHeight="12.75" customHeight="1" x14ac:dyDescent="0.25"/>
  <cols>
    <col min="1" max="1" width="5.109375" style="63" customWidth="1"/>
    <col min="2" max="26" width="5.109375" style="1" customWidth="1"/>
    <col min="27" max="38" width="7.6640625" style="1" customWidth="1"/>
    <col min="39" max="16384" width="11.44140625" style="1"/>
  </cols>
  <sheetData>
    <row r="1" spans="1:32" ht="12.75" customHeight="1" x14ac:dyDescent="0.25">
      <c r="A1" s="120"/>
      <c r="B1" s="121"/>
      <c r="C1" s="121"/>
      <c r="D1" s="121"/>
      <c r="E1" s="121"/>
      <c r="F1" s="122"/>
      <c r="G1" s="129" t="s">
        <v>16</v>
      </c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1"/>
      <c r="U1" s="135"/>
      <c r="V1" s="136"/>
      <c r="W1" s="136"/>
      <c r="X1" s="136"/>
      <c r="Y1" s="136"/>
      <c r="Z1" s="137"/>
    </row>
    <row r="2" spans="1:32" ht="12.75" customHeight="1" x14ac:dyDescent="0.25">
      <c r="A2" s="123"/>
      <c r="B2" s="124"/>
      <c r="C2" s="124"/>
      <c r="D2" s="124"/>
      <c r="E2" s="124"/>
      <c r="F2" s="125"/>
      <c r="G2" s="144" t="s">
        <v>75</v>
      </c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6"/>
      <c r="U2" s="138"/>
      <c r="V2" s="139"/>
      <c r="W2" s="139"/>
      <c r="X2" s="139"/>
      <c r="Y2" s="139"/>
      <c r="Z2" s="140"/>
    </row>
    <row r="3" spans="1:32" ht="12.75" customHeight="1" x14ac:dyDescent="0.25">
      <c r="A3" s="123"/>
      <c r="B3" s="124"/>
      <c r="C3" s="124"/>
      <c r="D3" s="124"/>
      <c r="E3" s="124"/>
      <c r="F3" s="125"/>
      <c r="G3" s="144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6"/>
      <c r="U3" s="138"/>
      <c r="V3" s="139"/>
      <c r="W3" s="139"/>
      <c r="X3" s="139"/>
      <c r="Y3" s="139"/>
      <c r="Z3" s="140"/>
    </row>
    <row r="4" spans="1:32" ht="12.75" customHeight="1" x14ac:dyDescent="0.25">
      <c r="A4" s="123"/>
      <c r="B4" s="124"/>
      <c r="C4" s="124"/>
      <c r="D4" s="124"/>
      <c r="E4" s="124"/>
      <c r="F4" s="125"/>
      <c r="G4" s="144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6"/>
      <c r="U4" s="138"/>
      <c r="V4" s="139"/>
      <c r="W4" s="139"/>
      <c r="X4" s="139"/>
      <c r="Y4" s="139"/>
      <c r="Z4" s="140"/>
    </row>
    <row r="5" spans="1:32" ht="12.75" customHeight="1" x14ac:dyDescent="0.25">
      <c r="A5" s="123"/>
      <c r="B5" s="124"/>
      <c r="C5" s="124"/>
      <c r="D5" s="124"/>
      <c r="E5" s="124"/>
      <c r="F5" s="125"/>
      <c r="G5" s="110" t="s">
        <v>77</v>
      </c>
      <c r="H5" s="111"/>
      <c r="I5" s="2" t="s">
        <v>17</v>
      </c>
      <c r="J5" s="269"/>
      <c r="K5" s="270"/>
      <c r="L5" s="271"/>
      <c r="M5" s="272"/>
      <c r="N5" s="272"/>
      <c r="O5" s="273"/>
      <c r="P5" s="274"/>
      <c r="Q5" s="275"/>
      <c r="R5" s="275"/>
      <c r="S5" s="275"/>
      <c r="T5" s="276"/>
      <c r="U5" s="138"/>
      <c r="V5" s="139"/>
      <c r="W5" s="139"/>
      <c r="X5" s="139"/>
      <c r="Y5" s="139"/>
      <c r="Z5" s="140"/>
    </row>
    <row r="6" spans="1:32" ht="12.75" customHeight="1" x14ac:dyDescent="0.25">
      <c r="A6" s="126"/>
      <c r="B6" s="127"/>
      <c r="C6" s="127"/>
      <c r="D6" s="127"/>
      <c r="E6" s="127"/>
      <c r="F6" s="128"/>
      <c r="G6" s="3"/>
      <c r="H6" s="4"/>
      <c r="I6" s="4"/>
      <c r="J6" s="107" t="s">
        <v>18</v>
      </c>
      <c r="K6" s="107"/>
      <c r="L6" s="107" t="s">
        <v>19</v>
      </c>
      <c r="M6" s="107"/>
      <c r="N6" s="107"/>
      <c r="O6" s="107"/>
      <c r="P6" s="107" t="s">
        <v>20</v>
      </c>
      <c r="Q6" s="107"/>
      <c r="R6" s="107"/>
      <c r="S6" s="107"/>
      <c r="T6" s="134"/>
      <c r="U6" s="141"/>
      <c r="V6" s="142"/>
      <c r="W6" s="142"/>
      <c r="X6" s="142"/>
      <c r="Y6" s="142"/>
      <c r="Z6" s="143"/>
    </row>
    <row r="7" spans="1:32" ht="36.6" customHeight="1" x14ac:dyDescent="0.25">
      <c r="A7" s="112" t="s">
        <v>8</v>
      </c>
      <c r="B7" s="112"/>
      <c r="C7" s="112"/>
      <c r="D7" s="112"/>
      <c r="E7" s="112"/>
      <c r="F7" s="112"/>
      <c r="G7" s="113" t="s">
        <v>15</v>
      </c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32" ht="15.6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32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32" ht="15.9" customHeight="1" x14ac:dyDescent="0.25">
      <c r="A10" s="10"/>
      <c r="B10" s="132" t="s">
        <v>7</v>
      </c>
      <c r="C10" s="132"/>
      <c r="D10" s="132"/>
      <c r="E10" s="132"/>
      <c r="F10" s="132"/>
      <c r="G10" s="132"/>
      <c r="H10" s="114"/>
      <c r="I10" s="114"/>
      <c r="J10" s="114"/>
      <c r="K10" s="114"/>
      <c r="L10" s="114"/>
      <c r="M10" s="114"/>
      <c r="N10" s="132" t="s">
        <v>1</v>
      </c>
      <c r="O10" s="132"/>
      <c r="P10" s="132"/>
      <c r="Q10" s="132"/>
      <c r="R10" s="132"/>
      <c r="S10" s="133"/>
      <c r="T10" s="133"/>
      <c r="U10" s="133"/>
      <c r="V10" s="133"/>
      <c r="W10" s="133"/>
      <c r="X10" s="133"/>
      <c r="Y10" s="133"/>
      <c r="Z10" s="14"/>
    </row>
    <row r="11" spans="1:32" ht="15.9" customHeight="1" x14ac:dyDescent="0.25">
      <c r="A11" s="10"/>
      <c r="B11" s="132" t="s">
        <v>6</v>
      </c>
      <c r="C11" s="132"/>
      <c r="D11" s="132"/>
      <c r="E11" s="132"/>
      <c r="F11" s="132"/>
      <c r="G11" s="132"/>
      <c r="H11" s="115"/>
      <c r="I11" s="115"/>
      <c r="J11" s="115"/>
      <c r="K11" s="115"/>
      <c r="L11" s="115"/>
      <c r="M11" s="115"/>
      <c r="N11" s="132" t="s">
        <v>73</v>
      </c>
      <c r="O11" s="132"/>
      <c r="P11" s="132"/>
      <c r="Q11" s="132"/>
      <c r="R11" s="132"/>
      <c r="S11" s="133"/>
      <c r="T11" s="133"/>
      <c r="U11" s="133"/>
      <c r="V11" s="133"/>
      <c r="W11" s="133"/>
      <c r="X11" s="133"/>
      <c r="Y11" s="133"/>
      <c r="Z11" s="14"/>
    </row>
    <row r="12" spans="1:32" ht="15.9" customHeight="1" x14ac:dyDescent="0.25">
      <c r="A12" s="10"/>
      <c r="B12" s="132" t="s">
        <v>72</v>
      </c>
      <c r="C12" s="132"/>
      <c r="D12" s="132"/>
      <c r="E12" s="132"/>
      <c r="F12" s="132"/>
      <c r="G12" s="132"/>
      <c r="H12" s="115"/>
      <c r="I12" s="115"/>
      <c r="J12" s="115"/>
      <c r="K12" s="115"/>
      <c r="L12" s="115"/>
      <c r="M12" s="115"/>
      <c r="N12" s="132" t="s">
        <v>24</v>
      </c>
      <c r="O12" s="132"/>
      <c r="P12" s="132"/>
      <c r="Q12" s="132"/>
      <c r="R12" s="132"/>
      <c r="S12" s="15"/>
      <c r="T12" s="199" t="s">
        <v>25</v>
      </c>
      <c r="U12" s="199"/>
      <c r="V12" s="15"/>
      <c r="W12" s="15"/>
      <c r="X12" s="199" t="s">
        <v>26</v>
      </c>
      <c r="Y12" s="199"/>
      <c r="Z12" s="14"/>
    </row>
    <row r="13" spans="1:32" ht="8.25" customHeight="1" x14ac:dyDescent="0.25">
      <c r="A13" s="16"/>
      <c r="B13" s="4"/>
      <c r="C13" s="4"/>
      <c r="D13" s="17"/>
      <c r="E13" s="17"/>
      <c r="F13" s="17"/>
      <c r="G13" s="17"/>
      <c r="H13" s="4"/>
      <c r="I13" s="4"/>
      <c r="J13" s="4"/>
      <c r="K13" s="4"/>
      <c r="L13" s="4"/>
      <c r="M13" s="4"/>
      <c r="N13" s="18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9"/>
    </row>
    <row r="14" spans="1:32" s="20" customFormat="1" ht="15" x14ac:dyDescent="0.25">
      <c r="B14" s="21"/>
      <c r="C14" s="21"/>
      <c r="K14" s="22"/>
      <c r="L14" s="21"/>
      <c r="M14" s="23"/>
    </row>
    <row r="15" spans="1:32" s="20" customFormat="1" ht="15.6" customHeight="1" x14ac:dyDescent="0.25">
      <c r="A15" s="5" t="s">
        <v>3</v>
      </c>
      <c r="B15" s="24" t="s">
        <v>11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6"/>
      <c r="AB15" s="27" t="s">
        <v>71</v>
      </c>
      <c r="AC15" s="27"/>
      <c r="AD15" s="27"/>
      <c r="AE15" s="27"/>
      <c r="AF15" s="27">
        <v>600</v>
      </c>
    </row>
    <row r="16" spans="1:32" s="20" customFormat="1" ht="15" x14ac:dyDescent="0.25">
      <c r="A16" s="28"/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1"/>
    </row>
    <row r="17" spans="1:37" s="20" customFormat="1" ht="15" x14ac:dyDescent="0.25">
      <c r="A17" s="28"/>
      <c r="B17" s="157" t="s">
        <v>12</v>
      </c>
      <c r="C17" s="157"/>
      <c r="D17" s="157"/>
      <c r="E17" s="157"/>
      <c r="F17" s="157"/>
      <c r="G17" s="157"/>
      <c r="H17" s="157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32"/>
    </row>
    <row r="18" spans="1:37" s="20" customFormat="1" ht="15" x14ac:dyDescent="0.25">
      <c r="A18" s="28"/>
      <c r="B18" s="157" t="s">
        <v>13</v>
      </c>
      <c r="C18" s="157"/>
      <c r="D18" s="157"/>
      <c r="E18" s="157"/>
      <c r="F18" s="157"/>
      <c r="G18" s="157"/>
      <c r="H18" s="157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32"/>
    </row>
    <row r="19" spans="1:37" s="20" customFormat="1" ht="13.2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</row>
    <row r="20" spans="1:37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6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37" ht="15.6" customHeight="1" x14ac:dyDescent="0.25">
      <c r="A21" s="5" t="s">
        <v>4</v>
      </c>
      <c r="B21" s="6" t="s">
        <v>44</v>
      </c>
      <c r="C21" s="37"/>
      <c r="D21" s="38"/>
      <c r="E21" s="38"/>
      <c r="F21" s="38"/>
      <c r="G21" s="38"/>
      <c r="H21" s="37"/>
      <c r="I21" s="37"/>
      <c r="J21" s="37"/>
      <c r="K21" s="37"/>
      <c r="L21" s="3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37" ht="12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37" ht="15.75" customHeight="1" x14ac:dyDescent="0.25">
      <c r="A23" s="10"/>
      <c r="B23" s="147" t="s">
        <v>27</v>
      </c>
      <c r="C23" s="148"/>
      <c r="D23" s="148"/>
      <c r="E23" s="148"/>
      <c r="F23" s="148"/>
      <c r="G23" s="148"/>
      <c r="H23" s="148"/>
      <c r="I23" s="148"/>
      <c r="J23" s="149"/>
      <c r="K23" s="147" t="s">
        <v>69</v>
      </c>
      <c r="L23" s="153"/>
      <c r="M23" s="149"/>
      <c r="N23" s="147" t="s">
        <v>28</v>
      </c>
      <c r="O23" s="153"/>
      <c r="P23" s="154"/>
      <c r="Q23" s="147" t="s">
        <v>29</v>
      </c>
      <c r="R23" s="148"/>
      <c r="S23" s="148"/>
      <c r="T23" s="148"/>
      <c r="U23" s="148"/>
      <c r="V23" s="148"/>
      <c r="W23" s="148"/>
      <c r="X23" s="148"/>
      <c r="Y23" s="149"/>
      <c r="Z23" s="13"/>
      <c r="AB23" s="208" t="s">
        <v>69</v>
      </c>
      <c r="AC23" s="209"/>
      <c r="AD23" s="210"/>
      <c r="AE23" s="183" t="s">
        <v>45</v>
      </c>
      <c r="AF23" s="184"/>
      <c r="AG23" s="185"/>
      <c r="AH23" s="183" t="s">
        <v>28</v>
      </c>
      <c r="AI23" s="184"/>
      <c r="AJ23" s="185"/>
      <c r="AK23" s="200" t="s">
        <v>50</v>
      </c>
    </row>
    <row r="24" spans="1:37" ht="15.75" customHeight="1" x14ac:dyDescent="0.25">
      <c r="A24" s="10"/>
      <c r="B24" s="150"/>
      <c r="C24" s="151"/>
      <c r="D24" s="151"/>
      <c r="E24" s="151"/>
      <c r="F24" s="151"/>
      <c r="G24" s="151"/>
      <c r="H24" s="151"/>
      <c r="I24" s="151"/>
      <c r="J24" s="152"/>
      <c r="K24" s="202" t="s">
        <v>68</v>
      </c>
      <c r="L24" s="155"/>
      <c r="M24" s="203"/>
      <c r="N24" s="150" t="s">
        <v>30</v>
      </c>
      <c r="O24" s="155"/>
      <c r="P24" s="156"/>
      <c r="Q24" s="150"/>
      <c r="R24" s="151"/>
      <c r="S24" s="151"/>
      <c r="T24" s="151"/>
      <c r="U24" s="151"/>
      <c r="V24" s="151"/>
      <c r="W24" s="151"/>
      <c r="X24" s="151"/>
      <c r="Y24" s="152"/>
      <c r="Z24" s="13"/>
      <c r="AB24" s="39" t="s">
        <v>46</v>
      </c>
      <c r="AC24" s="39" t="s">
        <v>47</v>
      </c>
      <c r="AD24" s="40" t="s">
        <v>67</v>
      </c>
      <c r="AE24" s="39" t="s">
        <v>46</v>
      </c>
      <c r="AF24" s="39" t="s">
        <v>47</v>
      </c>
      <c r="AG24" s="40" t="s">
        <v>48</v>
      </c>
      <c r="AH24" s="39" t="s">
        <v>46</v>
      </c>
      <c r="AI24" s="39" t="s">
        <v>47</v>
      </c>
      <c r="AJ24" s="40" t="s">
        <v>49</v>
      </c>
      <c r="AK24" s="201"/>
    </row>
    <row r="25" spans="1:37" ht="19.5" customHeight="1" x14ac:dyDescent="0.25">
      <c r="A25" s="10"/>
      <c r="B25" s="40" t="s">
        <v>31</v>
      </c>
      <c r="C25" s="79"/>
      <c r="D25" s="80"/>
      <c r="E25" s="80"/>
      <c r="F25" s="80"/>
      <c r="G25" s="80"/>
      <c r="H25" s="80"/>
      <c r="I25" s="80"/>
      <c r="J25" s="81"/>
      <c r="K25" s="204" t="str">
        <f>IF(AB25&lt;&gt;0,AD25,"")</f>
        <v/>
      </c>
      <c r="L25" s="205"/>
      <c r="M25" s="206"/>
      <c r="N25" s="159" t="str">
        <f>IF(AE25&lt;&gt;0,AJ25,"")</f>
        <v/>
      </c>
      <c r="O25" s="205"/>
      <c r="P25" s="207"/>
      <c r="Q25" s="211"/>
      <c r="R25" s="212"/>
      <c r="S25" s="212"/>
      <c r="T25" s="212"/>
      <c r="U25" s="212"/>
      <c r="V25" s="212"/>
      <c r="W25" s="212"/>
      <c r="X25" s="212"/>
      <c r="Y25" s="213"/>
      <c r="Z25" s="13"/>
      <c r="AB25" s="41"/>
      <c r="AC25" s="42" t="str">
        <f>IF(AB25&lt;&gt;0,AB25*2,"")</f>
        <v/>
      </c>
      <c r="AD25" s="43" t="str">
        <f>IF(AB25&lt;&gt;0,((70/AC25)*($AF$15/762)*100),"")</f>
        <v/>
      </c>
      <c r="AE25" s="41"/>
      <c r="AF25" s="42" t="str">
        <f>IF(AE25&lt;&gt;0,AE25*2,"")</f>
        <v/>
      </c>
      <c r="AG25" s="44" t="str">
        <f>IF(AE25&lt;&gt;0,(112.5/AF25)*100,"")</f>
        <v/>
      </c>
      <c r="AH25" s="45"/>
      <c r="AI25" s="45" t="str">
        <f>IF(AH25&lt;&gt;0,AH25*2,"")</f>
        <v/>
      </c>
      <c r="AJ25" s="46" t="str">
        <f>IF(AH25&lt;&gt;0,(90/AI25)*100,"")</f>
        <v/>
      </c>
      <c r="AK25" s="47" t="str">
        <f>IF(AE25&lt;&gt;0,AJ25/AG25,"")</f>
        <v/>
      </c>
    </row>
    <row r="26" spans="1:37" ht="19.5" customHeight="1" x14ac:dyDescent="0.25">
      <c r="A26" s="10"/>
      <c r="B26" s="40" t="s">
        <v>32</v>
      </c>
      <c r="C26" s="79"/>
      <c r="D26" s="80"/>
      <c r="E26" s="80"/>
      <c r="F26" s="80"/>
      <c r="G26" s="80"/>
      <c r="H26" s="80"/>
      <c r="I26" s="80"/>
      <c r="J26" s="81"/>
      <c r="K26" s="204" t="str">
        <f t="shared" ref="K26:K49" si="0">IF(AB26&lt;&gt;0,AD26,"")</f>
        <v/>
      </c>
      <c r="L26" s="205"/>
      <c r="M26" s="206"/>
      <c r="N26" s="159" t="str">
        <f t="shared" ref="N26:N48" si="1">IF(AE26&lt;&gt;0,AJ26,"")</f>
        <v/>
      </c>
      <c r="O26" s="205"/>
      <c r="P26" s="207"/>
      <c r="Q26" s="211"/>
      <c r="R26" s="212"/>
      <c r="S26" s="212"/>
      <c r="T26" s="212"/>
      <c r="U26" s="212"/>
      <c r="V26" s="212"/>
      <c r="W26" s="212"/>
      <c r="X26" s="212"/>
      <c r="Y26" s="213"/>
      <c r="Z26" s="13"/>
      <c r="AB26" s="41"/>
      <c r="AC26" s="42" t="str">
        <f t="shared" ref="AC26:AC49" si="2">IF(AB26&lt;&gt;0,AB26*2,"")</f>
        <v/>
      </c>
      <c r="AD26" s="43" t="str">
        <f t="shared" ref="AD26:AD49" si="3">IF(AB26&lt;&gt;0,((70/AC26)*($AF$15/762)*100),"")</f>
        <v/>
      </c>
      <c r="AE26" s="41"/>
      <c r="AF26" s="42" t="str">
        <f t="shared" ref="AF26:AF49" si="4">IF(AE26&lt;&gt;0,AE26*2,"")</f>
        <v/>
      </c>
      <c r="AG26" s="44" t="str">
        <f t="shared" ref="AG26:AG49" si="5">IF(AE26&lt;&gt;0,(112.5/AF26)*100,"")</f>
        <v/>
      </c>
      <c r="AH26" s="45"/>
      <c r="AI26" s="45" t="str">
        <f t="shared" ref="AI26:AI49" si="6">IF(AH26&lt;&gt;0,AH26*2,"")</f>
        <v/>
      </c>
      <c r="AJ26" s="46" t="str">
        <f t="shared" ref="AJ26:AJ49" si="7">IF(AH26&lt;&gt;0,(90/AI26)*100,"")</f>
        <v/>
      </c>
      <c r="AK26" s="47" t="str">
        <f t="shared" ref="AK26:AK49" si="8">IF(AE26&lt;&gt;0,AJ26/AG26,"")</f>
        <v/>
      </c>
    </row>
    <row r="27" spans="1:37" ht="19.5" customHeight="1" x14ac:dyDescent="0.25">
      <c r="A27" s="10"/>
      <c r="B27" s="40" t="s">
        <v>33</v>
      </c>
      <c r="C27" s="79"/>
      <c r="D27" s="80"/>
      <c r="E27" s="80"/>
      <c r="F27" s="80"/>
      <c r="G27" s="80"/>
      <c r="H27" s="80"/>
      <c r="I27" s="80"/>
      <c r="J27" s="81"/>
      <c r="K27" s="204" t="str">
        <f t="shared" si="0"/>
        <v/>
      </c>
      <c r="L27" s="205"/>
      <c r="M27" s="206"/>
      <c r="N27" s="159" t="str">
        <f t="shared" si="1"/>
        <v/>
      </c>
      <c r="O27" s="205"/>
      <c r="P27" s="207"/>
      <c r="Q27" s="211"/>
      <c r="R27" s="212"/>
      <c r="S27" s="212"/>
      <c r="T27" s="212"/>
      <c r="U27" s="212"/>
      <c r="V27" s="212"/>
      <c r="W27" s="212"/>
      <c r="X27" s="212"/>
      <c r="Y27" s="213"/>
      <c r="Z27" s="13"/>
      <c r="AB27" s="41"/>
      <c r="AC27" s="42" t="str">
        <f t="shared" si="2"/>
        <v/>
      </c>
      <c r="AD27" s="43" t="str">
        <f t="shared" si="3"/>
        <v/>
      </c>
      <c r="AE27" s="41"/>
      <c r="AF27" s="42" t="str">
        <f t="shared" si="4"/>
        <v/>
      </c>
      <c r="AG27" s="44" t="str">
        <f t="shared" si="5"/>
        <v/>
      </c>
      <c r="AH27" s="45"/>
      <c r="AI27" s="45" t="str">
        <f t="shared" si="6"/>
        <v/>
      </c>
      <c r="AJ27" s="46" t="str">
        <f t="shared" si="7"/>
        <v/>
      </c>
      <c r="AK27" s="47" t="str">
        <f t="shared" si="8"/>
        <v/>
      </c>
    </row>
    <row r="28" spans="1:37" ht="19.5" customHeight="1" x14ac:dyDescent="0.25">
      <c r="A28" s="10"/>
      <c r="B28" s="40" t="s">
        <v>34</v>
      </c>
      <c r="C28" s="79"/>
      <c r="D28" s="80"/>
      <c r="E28" s="80"/>
      <c r="F28" s="80"/>
      <c r="G28" s="80"/>
      <c r="H28" s="80"/>
      <c r="I28" s="80"/>
      <c r="J28" s="81"/>
      <c r="K28" s="204" t="str">
        <f t="shared" si="0"/>
        <v/>
      </c>
      <c r="L28" s="205"/>
      <c r="M28" s="206"/>
      <c r="N28" s="159" t="str">
        <f t="shared" si="1"/>
        <v/>
      </c>
      <c r="O28" s="205"/>
      <c r="P28" s="207"/>
      <c r="Q28" s="211"/>
      <c r="R28" s="212"/>
      <c r="S28" s="212"/>
      <c r="T28" s="212"/>
      <c r="U28" s="212"/>
      <c r="V28" s="212"/>
      <c r="W28" s="212"/>
      <c r="X28" s="212"/>
      <c r="Y28" s="213"/>
      <c r="Z28" s="13"/>
      <c r="AB28" s="41"/>
      <c r="AC28" s="42" t="str">
        <f t="shared" si="2"/>
        <v/>
      </c>
      <c r="AD28" s="43" t="str">
        <f t="shared" si="3"/>
        <v/>
      </c>
      <c r="AE28" s="41"/>
      <c r="AF28" s="42" t="str">
        <f t="shared" si="4"/>
        <v/>
      </c>
      <c r="AG28" s="44" t="str">
        <f t="shared" si="5"/>
        <v/>
      </c>
      <c r="AH28" s="45"/>
      <c r="AI28" s="45" t="str">
        <f t="shared" si="6"/>
        <v/>
      </c>
      <c r="AJ28" s="46" t="str">
        <f t="shared" si="7"/>
        <v/>
      </c>
      <c r="AK28" s="47" t="str">
        <f t="shared" si="8"/>
        <v/>
      </c>
    </row>
    <row r="29" spans="1:37" ht="19.5" customHeight="1" x14ac:dyDescent="0.25">
      <c r="A29" s="10"/>
      <c r="B29" s="40" t="s">
        <v>35</v>
      </c>
      <c r="C29" s="79"/>
      <c r="D29" s="80"/>
      <c r="E29" s="80"/>
      <c r="F29" s="80"/>
      <c r="G29" s="80"/>
      <c r="H29" s="80"/>
      <c r="I29" s="80"/>
      <c r="J29" s="81"/>
      <c r="K29" s="204" t="str">
        <f t="shared" si="0"/>
        <v/>
      </c>
      <c r="L29" s="205"/>
      <c r="M29" s="206"/>
      <c r="N29" s="159" t="str">
        <f t="shared" si="1"/>
        <v/>
      </c>
      <c r="O29" s="205"/>
      <c r="P29" s="207"/>
      <c r="Q29" s="211"/>
      <c r="R29" s="212"/>
      <c r="S29" s="212"/>
      <c r="T29" s="212"/>
      <c r="U29" s="212"/>
      <c r="V29" s="212"/>
      <c r="W29" s="212"/>
      <c r="X29" s="212"/>
      <c r="Y29" s="213"/>
      <c r="Z29" s="13"/>
      <c r="AB29" s="41"/>
      <c r="AC29" s="42" t="str">
        <f t="shared" si="2"/>
        <v/>
      </c>
      <c r="AD29" s="43" t="str">
        <f t="shared" si="3"/>
        <v/>
      </c>
      <c r="AE29" s="41"/>
      <c r="AF29" s="42" t="str">
        <f t="shared" si="4"/>
        <v/>
      </c>
      <c r="AG29" s="44" t="str">
        <f t="shared" si="5"/>
        <v/>
      </c>
      <c r="AH29" s="45"/>
      <c r="AI29" s="45" t="str">
        <f t="shared" si="6"/>
        <v/>
      </c>
      <c r="AJ29" s="46" t="str">
        <f t="shared" si="7"/>
        <v/>
      </c>
      <c r="AK29" s="47" t="str">
        <f t="shared" si="8"/>
        <v/>
      </c>
    </row>
    <row r="30" spans="1:37" ht="19.5" customHeight="1" x14ac:dyDescent="0.25">
      <c r="A30" s="10"/>
      <c r="B30" s="40" t="s">
        <v>36</v>
      </c>
      <c r="C30" s="79"/>
      <c r="D30" s="80"/>
      <c r="E30" s="80"/>
      <c r="F30" s="80"/>
      <c r="G30" s="80"/>
      <c r="H30" s="80"/>
      <c r="I30" s="80"/>
      <c r="J30" s="81"/>
      <c r="K30" s="204" t="str">
        <f t="shared" si="0"/>
        <v/>
      </c>
      <c r="L30" s="205"/>
      <c r="M30" s="206"/>
      <c r="N30" s="159" t="str">
        <f t="shared" si="1"/>
        <v/>
      </c>
      <c r="O30" s="205"/>
      <c r="P30" s="207"/>
      <c r="Q30" s="211"/>
      <c r="R30" s="212"/>
      <c r="S30" s="212"/>
      <c r="T30" s="212"/>
      <c r="U30" s="212"/>
      <c r="V30" s="212"/>
      <c r="W30" s="212"/>
      <c r="X30" s="212"/>
      <c r="Y30" s="213"/>
      <c r="Z30" s="13"/>
      <c r="AB30" s="41"/>
      <c r="AC30" s="42" t="str">
        <f t="shared" si="2"/>
        <v/>
      </c>
      <c r="AD30" s="43" t="str">
        <f t="shared" si="3"/>
        <v/>
      </c>
      <c r="AE30" s="41"/>
      <c r="AF30" s="42" t="str">
        <f t="shared" si="4"/>
        <v/>
      </c>
      <c r="AG30" s="44" t="str">
        <f t="shared" si="5"/>
        <v/>
      </c>
      <c r="AH30" s="45"/>
      <c r="AI30" s="45" t="str">
        <f t="shared" si="6"/>
        <v/>
      </c>
      <c r="AJ30" s="46" t="str">
        <f t="shared" si="7"/>
        <v/>
      </c>
      <c r="AK30" s="47" t="str">
        <f t="shared" si="8"/>
        <v/>
      </c>
    </row>
    <row r="31" spans="1:37" ht="19.5" customHeight="1" x14ac:dyDescent="0.25">
      <c r="A31" s="10"/>
      <c r="B31" s="40" t="s">
        <v>37</v>
      </c>
      <c r="C31" s="79"/>
      <c r="D31" s="80"/>
      <c r="E31" s="80"/>
      <c r="F31" s="80"/>
      <c r="G31" s="80"/>
      <c r="H31" s="80"/>
      <c r="I31" s="80"/>
      <c r="J31" s="81"/>
      <c r="K31" s="204" t="str">
        <f t="shared" si="0"/>
        <v/>
      </c>
      <c r="L31" s="205"/>
      <c r="M31" s="206"/>
      <c r="N31" s="159" t="str">
        <f t="shared" si="1"/>
        <v/>
      </c>
      <c r="O31" s="205"/>
      <c r="P31" s="207"/>
      <c r="Q31" s="211"/>
      <c r="R31" s="212"/>
      <c r="S31" s="212"/>
      <c r="T31" s="212"/>
      <c r="U31" s="212"/>
      <c r="V31" s="212"/>
      <c r="W31" s="212"/>
      <c r="X31" s="212"/>
      <c r="Y31" s="213"/>
      <c r="Z31" s="13"/>
      <c r="AB31" s="41"/>
      <c r="AC31" s="42" t="str">
        <f t="shared" si="2"/>
        <v/>
      </c>
      <c r="AD31" s="43" t="str">
        <f t="shared" si="3"/>
        <v/>
      </c>
      <c r="AE31" s="41"/>
      <c r="AF31" s="42" t="str">
        <f t="shared" si="4"/>
        <v/>
      </c>
      <c r="AG31" s="44" t="str">
        <f t="shared" si="5"/>
        <v/>
      </c>
      <c r="AH31" s="45"/>
      <c r="AI31" s="45" t="str">
        <f t="shared" si="6"/>
        <v/>
      </c>
      <c r="AJ31" s="46" t="str">
        <f t="shared" si="7"/>
        <v/>
      </c>
      <c r="AK31" s="47" t="str">
        <f t="shared" si="8"/>
        <v/>
      </c>
    </row>
    <row r="32" spans="1:37" ht="19.5" customHeight="1" x14ac:dyDescent="0.25">
      <c r="A32" s="10"/>
      <c r="B32" s="40" t="s">
        <v>38</v>
      </c>
      <c r="C32" s="79"/>
      <c r="D32" s="80"/>
      <c r="E32" s="80"/>
      <c r="F32" s="80"/>
      <c r="G32" s="80"/>
      <c r="H32" s="80"/>
      <c r="I32" s="80"/>
      <c r="J32" s="81"/>
      <c r="K32" s="204" t="str">
        <f t="shared" si="0"/>
        <v/>
      </c>
      <c r="L32" s="205"/>
      <c r="M32" s="206"/>
      <c r="N32" s="159" t="str">
        <f t="shared" si="1"/>
        <v/>
      </c>
      <c r="O32" s="205"/>
      <c r="P32" s="207"/>
      <c r="Q32" s="211"/>
      <c r="R32" s="212"/>
      <c r="S32" s="212"/>
      <c r="T32" s="212"/>
      <c r="U32" s="212"/>
      <c r="V32" s="212"/>
      <c r="W32" s="212"/>
      <c r="X32" s="212"/>
      <c r="Y32" s="213"/>
      <c r="Z32" s="13"/>
      <c r="AB32" s="41"/>
      <c r="AC32" s="42" t="str">
        <f t="shared" si="2"/>
        <v/>
      </c>
      <c r="AD32" s="43" t="str">
        <f t="shared" si="3"/>
        <v/>
      </c>
      <c r="AE32" s="41"/>
      <c r="AF32" s="42" t="str">
        <f t="shared" si="4"/>
        <v/>
      </c>
      <c r="AG32" s="44" t="str">
        <f t="shared" si="5"/>
        <v/>
      </c>
      <c r="AH32" s="45"/>
      <c r="AI32" s="45" t="str">
        <f t="shared" si="6"/>
        <v/>
      </c>
      <c r="AJ32" s="46" t="str">
        <f t="shared" si="7"/>
        <v/>
      </c>
      <c r="AK32" s="47" t="str">
        <f t="shared" si="8"/>
        <v/>
      </c>
    </row>
    <row r="33" spans="1:37" ht="19.5" customHeight="1" x14ac:dyDescent="0.25">
      <c r="A33" s="10"/>
      <c r="B33" s="40" t="s">
        <v>39</v>
      </c>
      <c r="C33" s="79"/>
      <c r="D33" s="80"/>
      <c r="E33" s="80"/>
      <c r="F33" s="80"/>
      <c r="G33" s="80"/>
      <c r="H33" s="80"/>
      <c r="I33" s="80"/>
      <c r="J33" s="81"/>
      <c r="K33" s="204" t="str">
        <f t="shared" si="0"/>
        <v/>
      </c>
      <c r="L33" s="205"/>
      <c r="M33" s="206"/>
      <c r="N33" s="159" t="str">
        <f t="shared" si="1"/>
        <v/>
      </c>
      <c r="O33" s="205"/>
      <c r="P33" s="207"/>
      <c r="Q33" s="211"/>
      <c r="R33" s="212"/>
      <c r="S33" s="212"/>
      <c r="T33" s="212"/>
      <c r="U33" s="212"/>
      <c r="V33" s="212"/>
      <c r="W33" s="212"/>
      <c r="X33" s="212"/>
      <c r="Y33" s="213"/>
      <c r="Z33" s="13"/>
      <c r="AB33" s="41"/>
      <c r="AC33" s="42" t="str">
        <f t="shared" si="2"/>
        <v/>
      </c>
      <c r="AD33" s="43" t="str">
        <f t="shared" si="3"/>
        <v/>
      </c>
      <c r="AE33" s="41"/>
      <c r="AF33" s="42" t="str">
        <f t="shared" si="4"/>
        <v/>
      </c>
      <c r="AG33" s="44" t="str">
        <f t="shared" si="5"/>
        <v/>
      </c>
      <c r="AH33" s="45"/>
      <c r="AI33" s="45" t="str">
        <f t="shared" si="6"/>
        <v/>
      </c>
      <c r="AJ33" s="46" t="str">
        <f t="shared" si="7"/>
        <v/>
      </c>
      <c r="AK33" s="47" t="str">
        <f t="shared" si="8"/>
        <v/>
      </c>
    </row>
    <row r="34" spans="1:37" ht="19.5" customHeight="1" x14ac:dyDescent="0.25">
      <c r="A34" s="10"/>
      <c r="B34" s="40" t="s">
        <v>40</v>
      </c>
      <c r="C34" s="79"/>
      <c r="D34" s="80"/>
      <c r="E34" s="80"/>
      <c r="F34" s="80"/>
      <c r="G34" s="80"/>
      <c r="H34" s="80"/>
      <c r="I34" s="80"/>
      <c r="J34" s="81"/>
      <c r="K34" s="204" t="str">
        <f t="shared" si="0"/>
        <v/>
      </c>
      <c r="L34" s="205"/>
      <c r="M34" s="206"/>
      <c r="N34" s="159" t="str">
        <f t="shared" si="1"/>
        <v/>
      </c>
      <c r="O34" s="205"/>
      <c r="P34" s="207"/>
      <c r="Q34" s="211"/>
      <c r="R34" s="212"/>
      <c r="S34" s="212"/>
      <c r="T34" s="212"/>
      <c r="U34" s="212"/>
      <c r="V34" s="212"/>
      <c r="W34" s="212"/>
      <c r="X34" s="212"/>
      <c r="Y34" s="213"/>
      <c r="Z34" s="13"/>
      <c r="AB34" s="41"/>
      <c r="AC34" s="42" t="str">
        <f t="shared" si="2"/>
        <v/>
      </c>
      <c r="AD34" s="43" t="str">
        <f t="shared" si="3"/>
        <v/>
      </c>
      <c r="AE34" s="41"/>
      <c r="AF34" s="42" t="str">
        <f t="shared" si="4"/>
        <v/>
      </c>
      <c r="AG34" s="44" t="str">
        <f t="shared" si="5"/>
        <v/>
      </c>
      <c r="AH34" s="45"/>
      <c r="AI34" s="45" t="str">
        <f t="shared" si="6"/>
        <v/>
      </c>
      <c r="AJ34" s="46" t="str">
        <f t="shared" si="7"/>
        <v/>
      </c>
      <c r="AK34" s="47" t="str">
        <f t="shared" si="8"/>
        <v/>
      </c>
    </row>
    <row r="35" spans="1:37" ht="19.5" customHeight="1" x14ac:dyDescent="0.25">
      <c r="A35" s="10"/>
      <c r="B35" s="40" t="s">
        <v>51</v>
      </c>
      <c r="C35" s="79"/>
      <c r="D35" s="80"/>
      <c r="E35" s="80"/>
      <c r="F35" s="80"/>
      <c r="G35" s="80"/>
      <c r="H35" s="80"/>
      <c r="I35" s="80"/>
      <c r="J35" s="81"/>
      <c r="K35" s="204" t="str">
        <f t="shared" si="0"/>
        <v/>
      </c>
      <c r="L35" s="205"/>
      <c r="M35" s="206"/>
      <c r="N35" s="159" t="str">
        <f t="shared" si="1"/>
        <v/>
      </c>
      <c r="O35" s="205"/>
      <c r="P35" s="207"/>
      <c r="Q35" s="211"/>
      <c r="R35" s="212"/>
      <c r="S35" s="212"/>
      <c r="T35" s="212"/>
      <c r="U35" s="212"/>
      <c r="V35" s="212"/>
      <c r="W35" s="212"/>
      <c r="X35" s="212"/>
      <c r="Y35" s="213"/>
      <c r="Z35" s="13"/>
      <c r="AB35" s="41"/>
      <c r="AC35" s="42" t="str">
        <f t="shared" si="2"/>
        <v/>
      </c>
      <c r="AD35" s="43" t="str">
        <f t="shared" si="3"/>
        <v/>
      </c>
      <c r="AE35" s="41"/>
      <c r="AF35" s="42" t="str">
        <f t="shared" si="4"/>
        <v/>
      </c>
      <c r="AG35" s="44" t="str">
        <f t="shared" si="5"/>
        <v/>
      </c>
      <c r="AH35" s="45"/>
      <c r="AI35" s="45" t="str">
        <f t="shared" si="6"/>
        <v/>
      </c>
      <c r="AJ35" s="46" t="str">
        <f t="shared" si="7"/>
        <v/>
      </c>
      <c r="AK35" s="47" t="str">
        <f t="shared" si="8"/>
        <v/>
      </c>
    </row>
    <row r="36" spans="1:37" ht="19.5" customHeight="1" x14ac:dyDescent="0.25">
      <c r="A36" s="10"/>
      <c r="B36" s="40" t="s">
        <v>52</v>
      </c>
      <c r="C36" s="79"/>
      <c r="D36" s="80"/>
      <c r="E36" s="80"/>
      <c r="F36" s="80"/>
      <c r="G36" s="80"/>
      <c r="H36" s="80"/>
      <c r="I36" s="80"/>
      <c r="J36" s="81"/>
      <c r="K36" s="204" t="str">
        <f t="shared" si="0"/>
        <v/>
      </c>
      <c r="L36" s="205"/>
      <c r="M36" s="206"/>
      <c r="N36" s="159" t="str">
        <f t="shared" si="1"/>
        <v/>
      </c>
      <c r="O36" s="205"/>
      <c r="P36" s="207"/>
      <c r="Q36" s="211"/>
      <c r="R36" s="212"/>
      <c r="S36" s="212"/>
      <c r="T36" s="212"/>
      <c r="U36" s="212"/>
      <c r="V36" s="212"/>
      <c r="W36" s="212"/>
      <c r="X36" s="212"/>
      <c r="Y36" s="213"/>
      <c r="Z36" s="13"/>
      <c r="AB36" s="41"/>
      <c r="AC36" s="42" t="str">
        <f t="shared" si="2"/>
        <v/>
      </c>
      <c r="AD36" s="43" t="str">
        <f t="shared" si="3"/>
        <v/>
      </c>
      <c r="AE36" s="41"/>
      <c r="AF36" s="42" t="str">
        <f t="shared" si="4"/>
        <v/>
      </c>
      <c r="AG36" s="44" t="str">
        <f t="shared" si="5"/>
        <v/>
      </c>
      <c r="AH36" s="45"/>
      <c r="AI36" s="45" t="str">
        <f t="shared" si="6"/>
        <v/>
      </c>
      <c r="AJ36" s="46" t="str">
        <f t="shared" si="7"/>
        <v/>
      </c>
      <c r="AK36" s="47" t="str">
        <f t="shared" si="8"/>
        <v/>
      </c>
    </row>
    <row r="37" spans="1:37" ht="19.5" customHeight="1" x14ac:dyDescent="0.25">
      <c r="A37" s="10"/>
      <c r="B37" s="40" t="s">
        <v>53</v>
      </c>
      <c r="C37" s="79"/>
      <c r="D37" s="80"/>
      <c r="E37" s="80"/>
      <c r="F37" s="80"/>
      <c r="G37" s="80"/>
      <c r="H37" s="80"/>
      <c r="I37" s="80"/>
      <c r="J37" s="81"/>
      <c r="K37" s="204" t="str">
        <f t="shared" si="0"/>
        <v/>
      </c>
      <c r="L37" s="205"/>
      <c r="M37" s="206"/>
      <c r="N37" s="159" t="str">
        <f t="shared" si="1"/>
        <v/>
      </c>
      <c r="O37" s="205"/>
      <c r="P37" s="207"/>
      <c r="Q37" s="211"/>
      <c r="R37" s="212"/>
      <c r="S37" s="212"/>
      <c r="T37" s="212"/>
      <c r="U37" s="212"/>
      <c r="V37" s="212"/>
      <c r="W37" s="212"/>
      <c r="X37" s="212"/>
      <c r="Y37" s="213"/>
      <c r="Z37" s="13"/>
      <c r="AB37" s="41"/>
      <c r="AC37" s="42" t="str">
        <f t="shared" si="2"/>
        <v/>
      </c>
      <c r="AD37" s="43" t="str">
        <f t="shared" si="3"/>
        <v/>
      </c>
      <c r="AE37" s="41"/>
      <c r="AF37" s="42" t="str">
        <f t="shared" si="4"/>
        <v/>
      </c>
      <c r="AG37" s="44" t="str">
        <f t="shared" si="5"/>
        <v/>
      </c>
      <c r="AH37" s="45"/>
      <c r="AI37" s="45" t="str">
        <f t="shared" si="6"/>
        <v/>
      </c>
      <c r="AJ37" s="46" t="str">
        <f t="shared" si="7"/>
        <v/>
      </c>
      <c r="AK37" s="47" t="str">
        <f t="shared" si="8"/>
        <v/>
      </c>
    </row>
    <row r="38" spans="1:37" ht="19.5" customHeight="1" x14ac:dyDescent="0.25">
      <c r="A38" s="10"/>
      <c r="B38" s="40" t="s">
        <v>54</v>
      </c>
      <c r="C38" s="79"/>
      <c r="D38" s="80"/>
      <c r="E38" s="80"/>
      <c r="F38" s="80"/>
      <c r="G38" s="80"/>
      <c r="H38" s="80"/>
      <c r="I38" s="80"/>
      <c r="J38" s="81"/>
      <c r="K38" s="204" t="str">
        <f t="shared" si="0"/>
        <v/>
      </c>
      <c r="L38" s="205"/>
      <c r="M38" s="206"/>
      <c r="N38" s="159" t="str">
        <f t="shared" si="1"/>
        <v/>
      </c>
      <c r="O38" s="205"/>
      <c r="P38" s="207"/>
      <c r="Q38" s="211"/>
      <c r="R38" s="212"/>
      <c r="S38" s="212"/>
      <c r="T38" s="212"/>
      <c r="U38" s="212"/>
      <c r="V38" s="212"/>
      <c r="W38" s="212"/>
      <c r="X38" s="212"/>
      <c r="Y38" s="213"/>
      <c r="Z38" s="13"/>
      <c r="AB38" s="41"/>
      <c r="AC38" s="42" t="str">
        <f t="shared" si="2"/>
        <v/>
      </c>
      <c r="AD38" s="43" t="str">
        <f t="shared" si="3"/>
        <v/>
      </c>
      <c r="AE38" s="41"/>
      <c r="AF38" s="42" t="str">
        <f t="shared" si="4"/>
        <v/>
      </c>
      <c r="AG38" s="44" t="str">
        <f t="shared" si="5"/>
        <v/>
      </c>
      <c r="AH38" s="45"/>
      <c r="AI38" s="45" t="str">
        <f t="shared" si="6"/>
        <v/>
      </c>
      <c r="AJ38" s="46" t="str">
        <f t="shared" si="7"/>
        <v/>
      </c>
      <c r="AK38" s="47" t="str">
        <f t="shared" si="8"/>
        <v/>
      </c>
    </row>
    <row r="39" spans="1:37" ht="19.5" customHeight="1" x14ac:dyDescent="0.25">
      <c r="A39" s="10"/>
      <c r="B39" s="40" t="s">
        <v>55</v>
      </c>
      <c r="C39" s="79"/>
      <c r="D39" s="80"/>
      <c r="E39" s="80"/>
      <c r="F39" s="80"/>
      <c r="G39" s="80"/>
      <c r="H39" s="80"/>
      <c r="I39" s="80"/>
      <c r="J39" s="81"/>
      <c r="K39" s="204" t="str">
        <f t="shared" si="0"/>
        <v/>
      </c>
      <c r="L39" s="205"/>
      <c r="M39" s="206"/>
      <c r="N39" s="159" t="str">
        <f t="shared" si="1"/>
        <v/>
      </c>
      <c r="O39" s="205"/>
      <c r="P39" s="207"/>
      <c r="Q39" s="211"/>
      <c r="R39" s="212"/>
      <c r="S39" s="212"/>
      <c r="T39" s="212"/>
      <c r="U39" s="212"/>
      <c r="V39" s="212"/>
      <c r="W39" s="212"/>
      <c r="X39" s="212"/>
      <c r="Y39" s="213"/>
      <c r="Z39" s="13"/>
      <c r="AB39" s="41"/>
      <c r="AC39" s="42" t="str">
        <f t="shared" si="2"/>
        <v/>
      </c>
      <c r="AD39" s="43" t="str">
        <f t="shared" si="3"/>
        <v/>
      </c>
      <c r="AE39" s="41"/>
      <c r="AF39" s="42" t="str">
        <f t="shared" si="4"/>
        <v/>
      </c>
      <c r="AG39" s="44" t="str">
        <f t="shared" si="5"/>
        <v/>
      </c>
      <c r="AH39" s="45"/>
      <c r="AI39" s="45" t="str">
        <f t="shared" si="6"/>
        <v/>
      </c>
      <c r="AJ39" s="46" t="str">
        <f t="shared" si="7"/>
        <v/>
      </c>
      <c r="AK39" s="47" t="str">
        <f t="shared" si="8"/>
        <v/>
      </c>
    </row>
    <row r="40" spans="1:37" ht="19.5" customHeight="1" x14ac:dyDescent="0.25">
      <c r="A40" s="10"/>
      <c r="B40" s="40" t="s">
        <v>56</v>
      </c>
      <c r="C40" s="79"/>
      <c r="D40" s="80"/>
      <c r="E40" s="80"/>
      <c r="F40" s="80"/>
      <c r="G40" s="80"/>
      <c r="H40" s="80"/>
      <c r="I40" s="80"/>
      <c r="J40" s="81"/>
      <c r="K40" s="204" t="str">
        <f t="shared" si="0"/>
        <v/>
      </c>
      <c r="L40" s="205"/>
      <c r="M40" s="206"/>
      <c r="N40" s="159" t="str">
        <f t="shared" si="1"/>
        <v/>
      </c>
      <c r="O40" s="205"/>
      <c r="P40" s="207"/>
      <c r="Q40" s="211"/>
      <c r="R40" s="212"/>
      <c r="S40" s="212"/>
      <c r="T40" s="212"/>
      <c r="U40" s="212"/>
      <c r="V40" s="212"/>
      <c r="W40" s="212"/>
      <c r="X40" s="212"/>
      <c r="Y40" s="213"/>
      <c r="Z40" s="13"/>
      <c r="AB40" s="41"/>
      <c r="AC40" s="42" t="str">
        <f t="shared" si="2"/>
        <v/>
      </c>
      <c r="AD40" s="43" t="str">
        <f t="shared" si="3"/>
        <v/>
      </c>
      <c r="AE40" s="41"/>
      <c r="AF40" s="42" t="str">
        <f t="shared" si="4"/>
        <v/>
      </c>
      <c r="AG40" s="44" t="str">
        <f t="shared" si="5"/>
        <v/>
      </c>
      <c r="AH40" s="45"/>
      <c r="AI40" s="45" t="str">
        <f t="shared" si="6"/>
        <v/>
      </c>
      <c r="AJ40" s="46" t="str">
        <f t="shared" si="7"/>
        <v/>
      </c>
      <c r="AK40" s="47" t="str">
        <f t="shared" si="8"/>
        <v/>
      </c>
    </row>
    <row r="41" spans="1:37" ht="19.5" customHeight="1" x14ac:dyDescent="0.25">
      <c r="A41" s="10"/>
      <c r="B41" s="40" t="s">
        <v>57</v>
      </c>
      <c r="C41" s="79"/>
      <c r="D41" s="80"/>
      <c r="E41" s="80"/>
      <c r="F41" s="80"/>
      <c r="G41" s="80"/>
      <c r="H41" s="80"/>
      <c r="I41" s="80"/>
      <c r="J41" s="81"/>
      <c r="K41" s="204" t="str">
        <f t="shared" si="0"/>
        <v/>
      </c>
      <c r="L41" s="205"/>
      <c r="M41" s="206"/>
      <c r="N41" s="159" t="str">
        <f t="shared" si="1"/>
        <v/>
      </c>
      <c r="O41" s="205"/>
      <c r="P41" s="207"/>
      <c r="Q41" s="211"/>
      <c r="R41" s="212"/>
      <c r="S41" s="212"/>
      <c r="T41" s="212"/>
      <c r="U41" s="212"/>
      <c r="V41" s="212"/>
      <c r="W41" s="212"/>
      <c r="X41" s="212"/>
      <c r="Y41" s="213"/>
      <c r="Z41" s="13"/>
      <c r="AB41" s="41"/>
      <c r="AC41" s="42" t="str">
        <f t="shared" si="2"/>
        <v/>
      </c>
      <c r="AD41" s="43" t="str">
        <f t="shared" si="3"/>
        <v/>
      </c>
      <c r="AE41" s="41"/>
      <c r="AF41" s="42" t="str">
        <f t="shared" si="4"/>
        <v/>
      </c>
      <c r="AG41" s="44" t="str">
        <f t="shared" si="5"/>
        <v/>
      </c>
      <c r="AH41" s="45"/>
      <c r="AI41" s="45" t="str">
        <f t="shared" si="6"/>
        <v/>
      </c>
      <c r="AJ41" s="46" t="str">
        <f t="shared" si="7"/>
        <v/>
      </c>
      <c r="AK41" s="47" t="str">
        <f t="shared" si="8"/>
        <v/>
      </c>
    </row>
    <row r="42" spans="1:37" ht="19.5" customHeight="1" x14ac:dyDescent="0.25">
      <c r="A42" s="10"/>
      <c r="B42" s="40" t="s">
        <v>58</v>
      </c>
      <c r="C42" s="79"/>
      <c r="D42" s="80"/>
      <c r="E42" s="80"/>
      <c r="F42" s="80"/>
      <c r="G42" s="80"/>
      <c r="H42" s="80"/>
      <c r="I42" s="80"/>
      <c r="J42" s="81"/>
      <c r="K42" s="204" t="str">
        <f t="shared" si="0"/>
        <v/>
      </c>
      <c r="L42" s="205"/>
      <c r="M42" s="206"/>
      <c r="N42" s="159" t="str">
        <f t="shared" si="1"/>
        <v/>
      </c>
      <c r="O42" s="205"/>
      <c r="P42" s="207"/>
      <c r="Q42" s="211"/>
      <c r="R42" s="212"/>
      <c r="S42" s="212"/>
      <c r="T42" s="212"/>
      <c r="U42" s="212"/>
      <c r="V42" s="212"/>
      <c r="W42" s="212"/>
      <c r="X42" s="212"/>
      <c r="Y42" s="213"/>
      <c r="Z42" s="13"/>
      <c r="AB42" s="41"/>
      <c r="AC42" s="42" t="str">
        <f t="shared" si="2"/>
        <v/>
      </c>
      <c r="AD42" s="43" t="str">
        <f t="shared" si="3"/>
        <v/>
      </c>
      <c r="AE42" s="41"/>
      <c r="AF42" s="42" t="str">
        <f t="shared" si="4"/>
        <v/>
      </c>
      <c r="AG42" s="44" t="str">
        <f t="shared" si="5"/>
        <v/>
      </c>
      <c r="AH42" s="45"/>
      <c r="AI42" s="45" t="str">
        <f t="shared" si="6"/>
        <v/>
      </c>
      <c r="AJ42" s="46" t="str">
        <f t="shared" si="7"/>
        <v/>
      </c>
      <c r="AK42" s="47" t="str">
        <f t="shared" si="8"/>
        <v/>
      </c>
    </row>
    <row r="43" spans="1:37" ht="19.5" customHeight="1" x14ac:dyDescent="0.25">
      <c r="A43" s="10"/>
      <c r="B43" s="40" t="s">
        <v>59</v>
      </c>
      <c r="C43" s="79"/>
      <c r="D43" s="80"/>
      <c r="E43" s="80"/>
      <c r="F43" s="80"/>
      <c r="G43" s="80"/>
      <c r="H43" s="80"/>
      <c r="I43" s="80"/>
      <c r="J43" s="81"/>
      <c r="K43" s="204" t="str">
        <f t="shared" si="0"/>
        <v/>
      </c>
      <c r="L43" s="205"/>
      <c r="M43" s="206"/>
      <c r="N43" s="159" t="str">
        <f t="shared" si="1"/>
        <v/>
      </c>
      <c r="O43" s="205"/>
      <c r="P43" s="207"/>
      <c r="Q43" s="211"/>
      <c r="R43" s="212"/>
      <c r="S43" s="212"/>
      <c r="T43" s="212"/>
      <c r="U43" s="212"/>
      <c r="V43" s="212"/>
      <c r="W43" s="212"/>
      <c r="X43" s="212"/>
      <c r="Y43" s="213"/>
      <c r="Z43" s="13"/>
      <c r="AB43" s="41"/>
      <c r="AC43" s="42" t="str">
        <f t="shared" si="2"/>
        <v/>
      </c>
      <c r="AD43" s="43" t="str">
        <f t="shared" si="3"/>
        <v/>
      </c>
      <c r="AE43" s="41"/>
      <c r="AF43" s="42" t="str">
        <f t="shared" si="4"/>
        <v/>
      </c>
      <c r="AG43" s="44" t="str">
        <f t="shared" si="5"/>
        <v/>
      </c>
      <c r="AH43" s="45"/>
      <c r="AI43" s="45" t="str">
        <f t="shared" si="6"/>
        <v/>
      </c>
      <c r="AJ43" s="46" t="str">
        <f t="shared" si="7"/>
        <v/>
      </c>
      <c r="AK43" s="47" t="str">
        <f t="shared" si="8"/>
        <v/>
      </c>
    </row>
    <row r="44" spans="1:37" ht="19.5" customHeight="1" x14ac:dyDescent="0.25">
      <c r="A44" s="10"/>
      <c r="B44" s="40" t="s">
        <v>60</v>
      </c>
      <c r="C44" s="79"/>
      <c r="D44" s="80"/>
      <c r="E44" s="80"/>
      <c r="F44" s="80"/>
      <c r="G44" s="80"/>
      <c r="H44" s="80"/>
      <c r="I44" s="80"/>
      <c r="J44" s="81"/>
      <c r="K44" s="204" t="str">
        <f t="shared" si="0"/>
        <v/>
      </c>
      <c r="L44" s="205"/>
      <c r="M44" s="206"/>
      <c r="N44" s="159" t="str">
        <f t="shared" si="1"/>
        <v/>
      </c>
      <c r="O44" s="205"/>
      <c r="P44" s="207"/>
      <c r="Q44" s="211"/>
      <c r="R44" s="212"/>
      <c r="S44" s="212"/>
      <c r="T44" s="212"/>
      <c r="U44" s="212"/>
      <c r="V44" s="212"/>
      <c r="W44" s="212"/>
      <c r="X44" s="212"/>
      <c r="Y44" s="213"/>
      <c r="Z44" s="13"/>
      <c r="AB44" s="41"/>
      <c r="AC44" s="42" t="str">
        <f t="shared" si="2"/>
        <v/>
      </c>
      <c r="AD44" s="43" t="str">
        <f t="shared" si="3"/>
        <v/>
      </c>
      <c r="AE44" s="41"/>
      <c r="AF44" s="42" t="str">
        <f t="shared" si="4"/>
        <v/>
      </c>
      <c r="AG44" s="44" t="str">
        <f t="shared" si="5"/>
        <v/>
      </c>
      <c r="AH44" s="45"/>
      <c r="AI44" s="45" t="str">
        <f t="shared" si="6"/>
        <v/>
      </c>
      <c r="AJ44" s="46" t="str">
        <f t="shared" si="7"/>
        <v/>
      </c>
      <c r="AK44" s="47" t="str">
        <f t="shared" si="8"/>
        <v/>
      </c>
    </row>
    <row r="45" spans="1:37" ht="19.5" customHeight="1" x14ac:dyDescent="0.25">
      <c r="A45" s="10"/>
      <c r="B45" s="40" t="s">
        <v>62</v>
      </c>
      <c r="C45" s="79"/>
      <c r="D45" s="80"/>
      <c r="E45" s="80"/>
      <c r="F45" s="80"/>
      <c r="G45" s="80"/>
      <c r="H45" s="80"/>
      <c r="I45" s="80"/>
      <c r="J45" s="81"/>
      <c r="K45" s="204" t="str">
        <f t="shared" si="0"/>
        <v/>
      </c>
      <c r="L45" s="205"/>
      <c r="M45" s="206"/>
      <c r="N45" s="159" t="str">
        <f t="shared" si="1"/>
        <v/>
      </c>
      <c r="O45" s="205"/>
      <c r="P45" s="207"/>
      <c r="Q45" s="211"/>
      <c r="R45" s="212"/>
      <c r="S45" s="212"/>
      <c r="T45" s="212"/>
      <c r="U45" s="212"/>
      <c r="V45" s="212"/>
      <c r="W45" s="212"/>
      <c r="X45" s="212"/>
      <c r="Y45" s="213"/>
      <c r="Z45" s="13"/>
      <c r="AB45" s="41"/>
      <c r="AC45" s="42" t="str">
        <f t="shared" si="2"/>
        <v/>
      </c>
      <c r="AD45" s="43" t="str">
        <f t="shared" si="3"/>
        <v/>
      </c>
      <c r="AE45" s="41"/>
      <c r="AF45" s="42" t="str">
        <f t="shared" si="4"/>
        <v/>
      </c>
      <c r="AG45" s="44" t="str">
        <f t="shared" si="5"/>
        <v/>
      </c>
      <c r="AH45" s="45"/>
      <c r="AI45" s="45" t="str">
        <f t="shared" si="6"/>
        <v/>
      </c>
      <c r="AJ45" s="46" t="str">
        <f t="shared" si="7"/>
        <v/>
      </c>
      <c r="AK45" s="47" t="str">
        <f t="shared" si="8"/>
        <v/>
      </c>
    </row>
    <row r="46" spans="1:37" ht="19.5" customHeight="1" x14ac:dyDescent="0.25">
      <c r="A46" s="10"/>
      <c r="B46" s="40" t="s">
        <v>63</v>
      </c>
      <c r="C46" s="79"/>
      <c r="D46" s="80"/>
      <c r="E46" s="80"/>
      <c r="F46" s="80"/>
      <c r="G46" s="80"/>
      <c r="H46" s="80"/>
      <c r="I46" s="80"/>
      <c r="J46" s="81"/>
      <c r="K46" s="204" t="str">
        <f t="shared" si="0"/>
        <v/>
      </c>
      <c r="L46" s="205"/>
      <c r="M46" s="206"/>
      <c r="N46" s="159" t="str">
        <f t="shared" si="1"/>
        <v/>
      </c>
      <c r="O46" s="205"/>
      <c r="P46" s="207"/>
      <c r="Q46" s="211"/>
      <c r="R46" s="212"/>
      <c r="S46" s="212"/>
      <c r="T46" s="212"/>
      <c r="U46" s="212"/>
      <c r="V46" s="212"/>
      <c r="W46" s="212"/>
      <c r="X46" s="212"/>
      <c r="Y46" s="213"/>
      <c r="Z46" s="13"/>
      <c r="AB46" s="41"/>
      <c r="AC46" s="42" t="str">
        <f t="shared" si="2"/>
        <v/>
      </c>
      <c r="AD46" s="43" t="str">
        <f t="shared" si="3"/>
        <v/>
      </c>
      <c r="AE46" s="41"/>
      <c r="AF46" s="42" t="str">
        <f t="shared" si="4"/>
        <v/>
      </c>
      <c r="AG46" s="44" t="str">
        <f t="shared" si="5"/>
        <v/>
      </c>
      <c r="AH46" s="45"/>
      <c r="AI46" s="45" t="str">
        <f t="shared" si="6"/>
        <v/>
      </c>
      <c r="AJ46" s="46" t="str">
        <f t="shared" si="7"/>
        <v/>
      </c>
      <c r="AK46" s="47" t="str">
        <f t="shared" si="8"/>
        <v/>
      </c>
    </row>
    <row r="47" spans="1:37" ht="19.5" customHeight="1" x14ac:dyDescent="0.25">
      <c r="A47" s="10"/>
      <c r="B47" s="40" t="s">
        <v>64</v>
      </c>
      <c r="C47" s="79"/>
      <c r="D47" s="80"/>
      <c r="E47" s="80"/>
      <c r="F47" s="80"/>
      <c r="G47" s="80"/>
      <c r="H47" s="80"/>
      <c r="I47" s="80"/>
      <c r="J47" s="81"/>
      <c r="K47" s="204" t="str">
        <f t="shared" si="0"/>
        <v/>
      </c>
      <c r="L47" s="205"/>
      <c r="M47" s="206"/>
      <c r="N47" s="159" t="str">
        <f t="shared" si="1"/>
        <v/>
      </c>
      <c r="O47" s="205"/>
      <c r="P47" s="207"/>
      <c r="Q47" s="211"/>
      <c r="R47" s="212"/>
      <c r="S47" s="212"/>
      <c r="T47" s="212"/>
      <c r="U47" s="212"/>
      <c r="V47" s="212"/>
      <c r="W47" s="212"/>
      <c r="X47" s="212"/>
      <c r="Y47" s="213"/>
      <c r="Z47" s="13"/>
      <c r="AB47" s="41"/>
      <c r="AC47" s="42" t="str">
        <f t="shared" si="2"/>
        <v/>
      </c>
      <c r="AD47" s="43" t="str">
        <f t="shared" si="3"/>
        <v/>
      </c>
      <c r="AE47" s="41"/>
      <c r="AF47" s="42" t="str">
        <f t="shared" si="4"/>
        <v/>
      </c>
      <c r="AG47" s="44" t="str">
        <f t="shared" si="5"/>
        <v/>
      </c>
      <c r="AH47" s="45"/>
      <c r="AI47" s="45" t="str">
        <f t="shared" si="6"/>
        <v/>
      </c>
      <c r="AJ47" s="46" t="str">
        <f t="shared" si="7"/>
        <v/>
      </c>
      <c r="AK47" s="47" t="str">
        <f t="shared" si="8"/>
        <v/>
      </c>
    </row>
    <row r="48" spans="1:37" ht="19.5" customHeight="1" x14ac:dyDescent="0.25">
      <c r="A48" s="10"/>
      <c r="B48" s="40" t="s">
        <v>65</v>
      </c>
      <c r="C48" s="79"/>
      <c r="D48" s="80"/>
      <c r="E48" s="80"/>
      <c r="F48" s="80"/>
      <c r="G48" s="80"/>
      <c r="H48" s="80"/>
      <c r="I48" s="80"/>
      <c r="J48" s="81"/>
      <c r="K48" s="204" t="str">
        <f t="shared" si="0"/>
        <v/>
      </c>
      <c r="L48" s="205"/>
      <c r="M48" s="206"/>
      <c r="N48" s="159" t="str">
        <f t="shared" si="1"/>
        <v/>
      </c>
      <c r="O48" s="205"/>
      <c r="P48" s="207"/>
      <c r="Q48" s="211"/>
      <c r="R48" s="212"/>
      <c r="S48" s="212"/>
      <c r="T48" s="212"/>
      <c r="U48" s="212"/>
      <c r="V48" s="212"/>
      <c r="W48" s="212"/>
      <c r="X48" s="212"/>
      <c r="Y48" s="213"/>
      <c r="Z48" s="13"/>
      <c r="AB48" s="41"/>
      <c r="AC48" s="42" t="str">
        <f t="shared" si="2"/>
        <v/>
      </c>
      <c r="AD48" s="43" t="str">
        <f t="shared" si="3"/>
        <v/>
      </c>
      <c r="AE48" s="41"/>
      <c r="AF48" s="42" t="str">
        <f t="shared" si="4"/>
        <v/>
      </c>
      <c r="AG48" s="44" t="str">
        <f t="shared" si="5"/>
        <v/>
      </c>
      <c r="AH48" s="45"/>
      <c r="AI48" s="45" t="str">
        <f t="shared" si="6"/>
        <v/>
      </c>
      <c r="AJ48" s="46" t="str">
        <f t="shared" si="7"/>
        <v/>
      </c>
      <c r="AK48" s="47" t="str">
        <f t="shared" si="8"/>
        <v/>
      </c>
    </row>
    <row r="49" spans="1:37" ht="19.5" customHeight="1" thickBot="1" x14ac:dyDescent="0.3">
      <c r="A49" s="10"/>
      <c r="B49" s="40" t="s">
        <v>66</v>
      </c>
      <c r="C49" s="222"/>
      <c r="D49" s="223"/>
      <c r="E49" s="223"/>
      <c r="F49" s="223"/>
      <c r="G49" s="223"/>
      <c r="H49" s="223"/>
      <c r="I49" s="223"/>
      <c r="J49" s="224"/>
      <c r="K49" s="214" t="str">
        <f t="shared" si="0"/>
        <v/>
      </c>
      <c r="L49" s="215"/>
      <c r="M49" s="216"/>
      <c r="N49" s="217" t="str">
        <f>IF(AE49&lt;&gt;0,AJ49,"")</f>
        <v/>
      </c>
      <c r="O49" s="215"/>
      <c r="P49" s="218"/>
      <c r="Q49" s="219"/>
      <c r="R49" s="220"/>
      <c r="S49" s="220"/>
      <c r="T49" s="220"/>
      <c r="U49" s="220"/>
      <c r="V49" s="220"/>
      <c r="W49" s="220"/>
      <c r="X49" s="220"/>
      <c r="Y49" s="221"/>
      <c r="Z49" s="13"/>
      <c r="AB49" s="41"/>
      <c r="AC49" s="42" t="str">
        <f t="shared" si="2"/>
        <v/>
      </c>
      <c r="AD49" s="43" t="str">
        <f t="shared" si="3"/>
        <v/>
      </c>
      <c r="AE49" s="41"/>
      <c r="AF49" s="42" t="str">
        <f t="shared" si="4"/>
        <v/>
      </c>
      <c r="AG49" s="44" t="str">
        <f t="shared" si="5"/>
        <v/>
      </c>
      <c r="AH49" s="45"/>
      <c r="AI49" s="45" t="str">
        <f t="shared" si="6"/>
        <v/>
      </c>
      <c r="AJ49" s="46" t="str">
        <f t="shared" si="7"/>
        <v/>
      </c>
      <c r="AK49" s="47" t="str">
        <f t="shared" si="8"/>
        <v/>
      </c>
    </row>
    <row r="50" spans="1:37" ht="15.75" customHeight="1" x14ac:dyDescent="0.25">
      <c r="A50" s="10"/>
      <c r="B50" s="194" t="s">
        <v>41</v>
      </c>
      <c r="C50" s="195"/>
      <c r="D50" s="195"/>
      <c r="E50" s="195"/>
      <c r="F50" s="195"/>
      <c r="G50" s="195"/>
      <c r="H50" s="195"/>
      <c r="I50" s="195"/>
      <c r="J50" s="196"/>
      <c r="K50" s="239" t="str">
        <f>IF(K25&lt;&gt;"",AVERAGE(K25:M49),"")</f>
        <v/>
      </c>
      <c r="L50" s="155"/>
      <c r="M50" s="156"/>
      <c r="N50" s="239" t="str">
        <f>IF(N25&lt;&gt;"",AVERAGE(N25:P49),"")</f>
        <v/>
      </c>
      <c r="O50" s="155"/>
      <c r="P50" s="156"/>
      <c r="Q50" s="227"/>
      <c r="R50" s="228"/>
      <c r="S50" s="231" t="s">
        <v>61</v>
      </c>
      <c r="T50" s="231"/>
      <c r="U50" s="231"/>
      <c r="V50" s="231"/>
      <c r="W50" s="231"/>
      <c r="X50" s="231"/>
      <c r="Y50" s="232"/>
      <c r="Z50" s="13"/>
      <c r="AB50" s="48"/>
      <c r="AC50" s="48"/>
      <c r="AD50" s="49"/>
      <c r="AE50" s="48"/>
      <c r="AF50" s="48"/>
      <c r="AG50" s="49"/>
      <c r="AH50" s="50"/>
    </row>
    <row r="51" spans="1:37" ht="15.75" customHeight="1" x14ac:dyDescent="0.25">
      <c r="A51" s="10"/>
      <c r="B51" s="191" t="s">
        <v>42</v>
      </c>
      <c r="C51" s="192"/>
      <c r="D51" s="192"/>
      <c r="E51" s="192"/>
      <c r="F51" s="192"/>
      <c r="G51" s="192"/>
      <c r="H51" s="192"/>
      <c r="I51" s="192"/>
      <c r="J51" s="193"/>
      <c r="K51" s="162" t="str">
        <f>IF(K25&lt;&gt;"",MIN(K25:M49),"")</f>
        <v/>
      </c>
      <c r="L51" s="225"/>
      <c r="M51" s="226"/>
      <c r="N51" s="162" t="str">
        <f>IF(N25&lt;&gt;"",MIN(N25:P49),"")</f>
        <v/>
      </c>
      <c r="O51" s="225"/>
      <c r="P51" s="226"/>
      <c r="Q51" s="227"/>
      <c r="R51" s="228"/>
      <c r="S51" s="233"/>
      <c r="T51" s="233"/>
      <c r="U51" s="233"/>
      <c r="V51" s="233"/>
      <c r="W51" s="233"/>
      <c r="X51" s="233"/>
      <c r="Y51" s="234"/>
      <c r="Z51" s="13"/>
      <c r="AB51" s="48"/>
      <c r="AC51" s="48"/>
      <c r="AD51" s="49"/>
      <c r="AE51" s="48"/>
      <c r="AF51" s="48"/>
      <c r="AG51" s="49"/>
      <c r="AH51" s="50"/>
    </row>
    <row r="52" spans="1:37" ht="15.75" customHeight="1" thickBot="1" x14ac:dyDescent="0.3">
      <c r="A52" s="10"/>
      <c r="B52" s="188" t="s">
        <v>43</v>
      </c>
      <c r="C52" s="189"/>
      <c r="D52" s="189"/>
      <c r="E52" s="189"/>
      <c r="F52" s="189"/>
      <c r="G52" s="189"/>
      <c r="H52" s="189"/>
      <c r="I52" s="189"/>
      <c r="J52" s="190"/>
      <c r="K52" s="178" t="str">
        <f>IF(K25&lt;&gt;"",MAX(K25:M49),"")</f>
        <v/>
      </c>
      <c r="L52" s="237"/>
      <c r="M52" s="238"/>
      <c r="N52" s="178" t="str">
        <f>IF(N25&lt;&gt;"",MAX(N25:P49),"")</f>
        <v/>
      </c>
      <c r="O52" s="237"/>
      <c r="P52" s="238"/>
      <c r="Q52" s="229"/>
      <c r="R52" s="230"/>
      <c r="S52" s="235"/>
      <c r="T52" s="235"/>
      <c r="U52" s="235"/>
      <c r="V52" s="235"/>
      <c r="W52" s="235"/>
      <c r="X52" s="235"/>
      <c r="Y52" s="236"/>
      <c r="Z52" s="13"/>
      <c r="AB52" s="48"/>
      <c r="AC52" s="48"/>
      <c r="AD52" s="49"/>
      <c r="AE52" s="48"/>
      <c r="AF52" s="48"/>
      <c r="AG52" s="49"/>
      <c r="AH52" s="50"/>
    </row>
    <row r="53" spans="1:37" ht="15.9" customHeight="1" x14ac:dyDescent="0.25">
      <c r="A53" s="51"/>
      <c r="B53" s="52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19"/>
    </row>
    <row r="54" spans="1:37" ht="12.75" customHeight="1" x14ac:dyDescent="0.25">
      <c r="A54" s="53"/>
      <c r="B54" s="54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37" s="20" customFormat="1" ht="15.6" customHeight="1" x14ac:dyDescent="0.25">
      <c r="A55" s="55" t="s">
        <v>80</v>
      </c>
      <c r="B55" s="56" t="s">
        <v>14</v>
      </c>
      <c r="C55" s="57"/>
      <c r="D55" s="57"/>
      <c r="E55" s="57"/>
      <c r="F55" s="58"/>
      <c r="G55" s="58"/>
      <c r="H55" s="58"/>
      <c r="I55" s="7"/>
      <c r="J55" s="7"/>
      <c r="K55" s="7"/>
      <c r="L55" s="7"/>
      <c r="M55" s="7"/>
      <c r="N55" s="7"/>
      <c r="O55" s="7"/>
      <c r="P55" s="7"/>
      <c r="Q55" s="58"/>
      <c r="R55" s="7"/>
      <c r="S55" s="7"/>
      <c r="T55" s="7"/>
      <c r="U55" s="100"/>
      <c r="V55" s="100"/>
      <c r="W55" s="100"/>
      <c r="X55" s="101"/>
      <c r="Y55" s="101"/>
      <c r="Z55" s="102"/>
    </row>
    <row r="56" spans="1:37" s="20" customFormat="1" ht="25.8" customHeight="1" x14ac:dyDescent="0.25">
      <c r="A56" s="108" t="s">
        <v>82</v>
      </c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277"/>
      <c r="R56" s="82" t="s">
        <v>9</v>
      </c>
      <c r="S56" s="83"/>
      <c r="T56" s="84"/>
      <c r="U56" s="103"/>
      <c r="V56" s="104"/>
      <c r="W56" s="104"/>
      <c r="X56" s="105"/>
      <c r="Y56" s="105"/>
      <c r="Z56" s="106"/>
    </row>
    <row r="57" spans="1:37" s="20" customFormat="1" ht="25.8" customHeight="1" x14ac:dyDescent="0.25">
      <c r="A57" s="278"/>
      <c r="B57" s="279"/>
      <c r="C57" s="279"/>
      <c r="D57" s="279"/>
      <c r="E57" s="279"/>
      <c r="F57" s="279"/>
      <c r="G57" s="279"/>
      <c r="H57" s="279"/>
      <c r="I57" s="279"/>
      <c r="J57" s="279"/>
      <c r="K57" s="279"/>
      <c r="L57" s="279"/>
      <c r="M57" s="279"/>
      <c r="N57" s="279"/>
      <c r="O57" s="279"/>
      <c r="P57" s="279"/>
      <c r="Q57" s="280"/>
      <c r="R57" s="82"/>
      <c r="S57" s="83"/>
      <c r="T57" s="84"/>
      <c r="U57" s="116"/>
      <c r="V57" s="117"/>
      <c r="W57" s="117"/>
      <c r="X57" s="95"/>
      <c r="Y57" s="95"/>
      <c r="Z57" s="94"/>
    </row>
    <row r="58" spans="1:37" s="20" customFormat="1" ht="15.6" customHeight="1" x14ac:dyDescent="0.25">
      <c r="A58" s="59" t="s">
        <v>81</v>
      </c>
      <c r="B58" s="60" t="s">
        <v>5</v>
      </c>
      <c r="C58" s="11"/>
      <c r="D58" s="1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2"/>
      <c r="R58" s="82"/>
      <c r="S58" s="83"/>
      <c r="T58" s="84"/>
      <c r="U58" s="118"/>
      <c r="V58" s="119"/>
      <c r="W58" s="119"/>
      <c r="X58" s="98"/>
      <c r="Y58" s="98"/>
      <c r="Z58" s="99"/>
    </row>
    <row r="59" spans="1:37" s="20" customFormat="1" ht="15.6" customHeight="1" x14ac:dyDescent="0.25">
      <c r="A59" s="281"/>
      <c r="B59" s="282"/>
      <c r="C59" s="282"/>
      <c r="D59" s="282"/>
      <c r="E59" s="282"/>
      <c r="F59" s="282"/>
      <c r="G59" s="282"/>
      <c r="H59" s="282"/>
      <c r="I59" s="282"/>
      <c r="J59" s="282"/>
      <c r="K59" s="282"/>
      <c r="L59" s="282"/>
      <c r="M59" s="282"/>
      <c r="N59" s="282"/>
      <c r="O59" s="282"/>
      <c r="P59" s="282"/>
      <c r="Q59" s="283"/>
      <c r="R59" s="82" t="s">
        <v>10</v>
      </c>
      <c r="S59" s="83"/>
      <c r="T59" s="84"/>
      <c r="U59" s="287"/>
      <c r="V59" s="288"/>
      <c r="W59" s="288"/>
      <c r="X59" s="289"/>
      <c r="Y59" s="289"/>
      <c r="Z59" s="290"/>
    </row>
    <row r="60" spans="1:37" s="20" customFormat="1" ht="15.6" customHeight="1" x14ac:dyDescent="0.25">
      <c r="A60" s="281"/>
      <c r="B60" s="282"/>
      <c r="C60" s="282"/>
      <c r="D60" s="282"/>
      <c r="E60" s="282"/>
      <c r="F60" s="282"/>
      <c r="G60" s="282"/>
      <c r="H60" s="282"/>
      <c r="I60" s="282"/>
      <c r="J60" s="282"/>
      <c r="K60" s="282"/>
      <c r="L60" s="282"/>
      <c r="M60" s="282"/>
      <c r="N60" s="282"/>
      <c r="O60" s="282"/>
      <c r="P60" s="282"/>
      <c r="Q60" s="283"/>
      <c r="R60" s="82"/>
      <c r="S60" s="83"/>
      <c r="T60" s="84"/>
      <c r="U60" s="291"/>
      <c r="V60" s="93"/>
      <c r="W60" s="93"/>
      <c r="X60" s="93"/>
      <c r="Y60" s="93"/>
      <c r="Z60" s="292"/>
    </row>
    <row r="61" spans="1:37" s="20" customFormat="1" ht="15.6" customHeight="1" x14ac:dyDescent="0.25">
      <c r="A61" s="281"/>
      <c r="B61" s="282"/>
      <c r="C61" s="282"/>
      <c r="D61" s="282"/>
      <c r="E61" s="282"/>
      <c r="F61" s="282"/>
      <c r="G61" s="282"/>
      <c r="H61" s="282"/>
      <c r="I61" s="282"/>
      <c r="J61" s="282"/>
      <c r="K61" s="282"/>
      <c r="L61" s="282"/>
      <c r="M61" s="282"/>
      <c r="N61" s="282"/>
      <c r="O61" s="282"/>
      <c r="P61" s="282"/>
      <c r="Q61" s="283"/>
      <c r="R61" s="82"/>
      <c r="S61" s="83"/>
      <c r="T61" s="84"/>
      <c r="U61" s="291"/>
      <c r="V61" s="93"/>
      <c r="W61" s="93"/>
      <c r="X61" s="93"/>
      <c r="Y61" s="93"/>
      <c r="Z61" s="292"/>
    </row>
    <row r="62" spans="1:37" s="20" customFormat="1" ht="15.6" customHeight="1" x14ac:dyDescent="0.25">
      <c r="A62" s="284"/>
      <c r="B62" s="285"/>
      <c r="C62" s="285"/>
      <c r="D62" s="285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6"/>
      <c r="R62" s="85"/>
      <c r="S62" s="86"/>
      <c r="T62" s="87"/>
      <c r="U62" s="293"/>
      <c r="V62" s="294"/>
      <c r="W62" s="294"/>
      <c r="X62" s="295"/>
      <c r="Y62" s="295"/>
      <c r="Z62" s="296"/>
    </row>
    <row r="64" spans="1:37" ht="12.75" customHeight="1" x14ac:dyDescent="0.25">
      <c r="A64" s="1"/>
      <c r="P64" s="11"/>
      <c r="Q64" s="11"/>
      <c r="R64" s="11"/>
      <c r="S64" s="11"/>
      <c r="T64" s="11"/>
      <c r="U64" s="11"/>
      <c r="V64" s="11"/>
      <c r="W64" s="11"/>
    </row>
    <row r="65" spans="1:23" ht="12.75" customHeight="1" x14ac:dyDescent="0.25">
      <c r="A65" s="1"/>
      <c r="P65" s="11"/>
      <c r="Q65" s="11"/>
      <c r="R65" s="11"/>
      <c r="S65" s="11"/>
      <c r="T65" s="11"/>
      <c r="U65" s="11"/>
      <c r="V65" s="11"/>
      <c r="W65" s="11"/>
    </row>
    <row r="66" spans="1:23" ht="12.75" customHeight="1" x14ac:dyDescent="0.25">
      <c r="A66" s="1"/>
      <c r="P66" s="11"/>
      <c r="Q66" s="11"/>
      <c r="R66" s="11"/>
      <c r="S66" s="11"/>
      <c r="T66" s="11"/>
      <c r="U66" s="11"/>
      <c r="V66" s="11"/>
      <c r="W66" s="11"/>
    </row>
    <row r="67" spans="1:23" ht="12.75" customHeight="1" x14ac:dyDescent="0.25">
      <c r="A67" s="1"/>
      <c r="P67" s="11"/>
      <c r="Q67" s="11"/>
      <c r="R67" s="11"/>
      <c r="S67" s="11"/>
      <c r="T67" s="11"/>
      <c r="U67" s="11"/>
      <c r="V67" s="11"/>
      <c r="W67" s="11"/>
    </row>
    <row r="68" spans="1:23" ht="12.75" customHeight="1" x14ac:dyDescent="0.25">
      <c r="A68" s="1"/>
      <c r="P68" s="11"/>
      <c r="Q68" s="11"/>
      <c r="R68" s="11"/>
      <c r="S68" s="11"/>
      <c r="T68" s="11"/>
      <c r="U68" s="11"/>
      <c r="V68" s="11"/>
      <c r="W68" s="11"/>
    </row>
    <row r="69" spans="1:23" ht="12.75" customHeight="1" x14ac:dyDescent="0.25">
      <c r="A69" s="1"/>
      <c r="P69" s="11"/>
      <c r="Q69" s="11"/>
      <c r="R69" s="11"/>
      <c r="S69" s="11"/>
      <c r="T69" s="11"/>
      <c r="U69" s="11"/>
      <c r="V69" s="11"/>
      <c r="W69" s="11"/>
    </row>
  </sheetData>
  <sheetProtection selectLockedCells="1"/>
  <mergeCells count="161">
    <mergeCell ref="A56:Q56"/>
    <mergeCell ref="A57:Q57"/>
    <mergeCell ref="V60:Y61"/>
    <mergeCell ref="A59:Q62"/>
    <mergeCell ref="R59:T62"/>
    <mergeCell ref="Q23:Y24"/>
    <mergeCell ref="Q25:Y25"/>
    <mergeCell ref="Q26:Y26"/>
    <mergeCell ref="Q27:Y27"/>
    <mergeCell ref="Q28:Y28"/>
    <mergeCell ref="R56:T56"/>
    <mergeCell ref="U56:Z56"/>
    <mergeCell ref="R57:T58"/>
    <mergeCell ref="U57:Z58"/>
    <mergeCell ref="K51:M51"/>
    <mergeCell ref="Q50:R52"/>
    <mergeCell ref="S50:Y52"/>
    <mergeCell ref="K52:M52"/>
    <mergeCell ref="N52:P52"/>
    <mergeCell ref="K50:M50"/>
    <mergeCell ref="N50:P50"/>
    <mergeCell ref="B50:J50"/>
    <mergeCell ref="B51:J51"/>
    <mergeCell ref="B52:J52"/>
    <mergeCell ref="Q29:Y29"/>
    <mergeCell ref="U55:Z55"/>
    <mergeCell ref="K49:M49"/>
    <mergeCell ref="N49:P49"/>
    <mergeCell ref="Q49:Y49"/>
    <mergeCell ref="C49:J49"/>
    <mergeCell ref="K48:M48"/>
    <mergeCell ref="N48:P48"/>
    <mergeCell ref="Q48:Y48"/>
    <mergeCell ref="C48:J48"/>
    <mergeCell ref="N51:P51"/>
    <mergeCell ref="K45:M45"/>
    <mergeCell ref="N45:P45"/>
    <mergeCell ref="Q45:Y45"/>
    <mergeCell ref="C45:J45"/>
    <mergeCell ref="K44:M44"/>
    <mergeCell ref="N44:P44"/>
    <mergeCell ref="Q44:Y44"/>
    <mergeCell ref="C44:J44"/>
    <mergeCell ref="K47:M47"/>
    <mergeCell ref="N47:P47"/>
    <mergeCell ref="Q47:Y47"/>
    <mergeCell ref="C47:J47"/>
    <mergeCell ref="K46:M46"/>
    <mergeCell ref="N46:P46"/>
    <mergeCell ref="Q46:Y46"/>
    <mergeCell ref="C46:J46"/>
    <mergeCell ref="K41:M41"/>
    <mergeCell ref="N41:P41"/>
    <mergeCell ref="Q41:Y41"/>
    <mergeCell ref="C41:J41"/>
    <mergeCell ref="K40:M40"/>
    <mergeCell ref="N40:P40"/>
    <mergeCell ref="Q40:Y40"/>
    <mergeCell ref="C40:J40"/>
    <mergeCell ref="K43:M43"/>
    <mergeCell ref="N43:P43"/>
    <mergeCell ref="Q43:Y43"/>
    <mergeCell ref="C43:J43"/>
    <mergeCell ref="K42:M42"/>
    <mergeCell ref="N42:P42"/>
    <mergeCell ref="Q42:Y42"/>
    <mergeCell ref="C42:J42"/>
    <mergeCell ref="K37:M37"/>
    <mergeCell ref="N37:P37"/>
    <mergeCell ref="Q37:Y37"/>
    <mergeCell ref="C37:J37"/>
    <mergeCell ref="K36:M36"/>
    <mergeCell ref="N36:P36"/>
    <mergeCell ref="Q36:Y36"/>
    <mergeCell ref="C36:J36"/>
    <mergeCell ref="K39:M39"/>
    <mergeCell ref="N39:P39"/>
    <mergeCell ref="Q39:Y39"/>
    <mergeCell ref="C39:J39"/>
    <mergeCell ref="K38:M38"/>
    <mergeCell ref="N38:P38"/>
    <mergeCell ref="Q38:Y38"/>
    <mergeCell ref="C38:J38"/>
    <mergeCell ref="K33:M33"/>
    <mergeCell ref="N33:P33"/>
    <mergeCell ref="Q33:Y33"/>
    <mergeCell ref="C33:J33"/>
    <mergeCell ref="K32:M32"/>
    <mergeCell ref="N32:P32"/>
    <mergeCell ref="Q32:Y32"/>
    <mergeCell ref="C32:J32"/>
    <mergeCell ref="K35:M35"/>
    <mergeCell ref="N35:P35"/>
    <mergeCell ref="Q35:Y35"/>
    <mergeCell ref="C35:J35"/>
    <mergeCell ref="K34:M34"/>
    <mergeCell ref="N34:P34"/>
    <mergeCell ref="Q34:Y34"/>
    <mergeCell ref="C34:J34"/>
    <mergeCell ref="K29:M29"/>
    <mergeCell ref="N29:P29"/>
    <mergeCell ref="C29:J29"/>
    <mergeCell ref="K28:M28"/>
    <mergeCell ref="N28:P28"/>
    <mergeCell ref="C28:J28"/>
    <mergeCell ref="K31:M31"/>
    <mergeCell ref="N31:P31"/>
    <mergeCell ref="Q31:Y31"/>
    <mergeCell ref="C31:J31"/>
    <mergeCell ref="K30:M30"/>
    <mergeCell ref="N30:P30"/>
    <mergeCell ref="Q30:Y30"/>
    <mergeCell ref="C30:J30"/>
    <mergeCell ref="K25:M25"/>
    <mergeCell ref="N25:P25"/>
    <mergeCell ref="C25:J25"/>
    <mergeCell ref="AB23:AD23"/>
    <mergeCell ref="AE23:AG23"/>
    <mergeCell ref="AH23:AJ23"/>
    <mergeCell ref="K27:M27"/>
    <mergeCell ref="N27:P27"/>
    <mergeCell ref="C27:J27"/>
    <mergeCell ref="K26:M26"/>
    <mergeCell ref="N26:P26"/>
    <mergeCell ref="C26:J26"/>
    <mergeCell ref="B12:G12"/>
    <mergeCell ref="H12:M12"/>
    <mergeCell ref="N12:R12"/>
    <mergeCell ref="T12:U12"/>
    <mergeCell ref="X12:Y12"/>
    <mergeCell ref="AK23:AK24"/>
    <mergeCell ref="K24:M24"/>
    <mergeCell ref="N24:P24"/>
    <mergeCell ref="B23:J24"/>
    <mergeCell ref="B17:H17"/>
    <mergeCell ref="I17:Y17"/>
    <mergeCell ref="B18:H18"/>
    <mergeCell ref="I18:Y18"/>
    <mergeCell ref="K23:M23"/>
    <mergeCell ref="N23:P23"/>
    <mergeCell ref="A1:F6"/>
    <mergeCell ref="G1:T1"/>
    <mergeCell ref="U1:Z6"/>
    <mergeCell ref="B11:G11"/>
    <mergeCell ref="H11:M11"/>
    <mergeCell ref="N11:R11"/>
    <mergeCell ref="S11:Y11"/>
    <mergeCell ref="A7:F7"/>
    <mergeCell ref="G7:Z7"/>
    <mergeCell ref="B10:G10"/>
    <mergeCell ref="P6:T6"/>
    <mergeCell ref="H10:M10"/>
    <mergeCell ref="N10:R10"/>
    <mergeCell ref="S10:Y10"/>
    <mergeCell ref="G2:T4"/>
    <mergeCell ref="G5:H5"/>
    <mergeCell ref="J5:K5"/>
    <mergeCell ref="L5:O5"/>
    <mergeCell ref="P5:T5"/>
    <mergeCell ref="J6:K6"/>
    <mergeCell ref="L6:O6"/>
  </mergeCells>
  <printOptions horizontalCentered="1"/>
  <pageMargins left="0.39370078740157483" right="0.39370078740157483" top="0.39370078740157483" bottom="0.39370078740157483" header="0" footer="0.19685039370078741"/>
  <pageSetup paperSize="9" scale="72" orientation="portrait" r:id="rId1"/>
  <headerFooter alignWithMargins="0">
    <oddFooter>&amp;RDG-Q / CRE PLW2 du 06/04/2011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Check Box 4">
              <controlPr locked="0" defaultSize="0" autoFill="0" autoLine="0" autoPict="0">
                <anchor moveWithCells="1">
                  <from>
                    <xdr:col>18</xdr:col>
                    <xdr:colOff>60960</xdr:colOff>
                    <xdr:row>10</xdr:row>
                    <xdr:rowOff>335280</xdr:rowOff>
                  </from>
                  <to>
                    <xdr:col>19</xdr:col>
                    <xdr:colOff>30480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Check Box 5">
              <controlPr locked="0" defaultSize="0" autoFill="0" autoLine="0" autoPict="0">
                <anchor moveWithCells="1">
                  <from>
                    <xdr:col>22</xdr:col>
                    <xdr:colOff>60960</xdr:colOff>
                    <xdr:row>10</xdr:row>
                    <xdr:rowOff>335280</xdr:rowOff>
                  </from>
                  <to>
                    <xdr:col>23</xdr:col>
                    <xdr:colOff>30480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AH69"/>
  <sheetViews>
    <sheetView topLeftCell="A40" workbookViewId="0">
      <selection activeCell="A59" sqref="A59:Q62"/>
    </sheetView>
  </sheetViews>
  <sheetFormatPr baseColWidth="10" defaultColWidth="11.44140625" defaultRowHeight="12.75" customHeight="1" x14ac:dyDescent="0.25"/>
  <cols>
    <col min="1" max="1" width="5.109375" style="63" customWidth="1"/>
    <col min="2" max="26" width="5.109375" style="1" customWidth="1"/>
    <col min="27" max="34" width="7.6640625" style="1" customWidth="1"/>
    <col min="35" max="16384" width="11.44140625" style="1"/>
  </cols>
  <sheetData>
    <row r="1" spans="1:26" ht="12.75" customHeight="1" x14ac:dyDescent="0.25">
      <c r="A1" s="120"/>
      <c r="B1" s="121"/>
      <c r="C1" s="121"/>
      <c r="D1" s="121"/>
      <c r="E1" s="121"/>
      <c r="F1" s="122"/>
      <c r="G1" s="129" t="s">
        <v>16</v>
      </c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1"/>
      <c r="U1" s="135"/>
      <c r="V1" s="136"/>
      <c r="W1" s="136"/>
      <c r="X1" s="136"/>
      <c r="Y1" s="136"/>
      <c r="Z1" s="137"/>
    </row>
    <row r="2" spans="1:26" ht="12.75" customHeight="1" x14ac:dyDescent="0.25">
      <c r="A2" s="123"/>
      <c r="B2" s="124"/>
      <c r="C2" s="124"/>
      <c r="D2" s="124"/>
      <c r="E2" s="124"/>
      <c r="F2" s="125"/>
      <c r="G2" s="144" t="s">
        <v>21</v>
      </c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6"/>
      <c r="U2" s="138"/>
      <c r="V2" s="139"/>
      <c r="W2" s="139"/>
      <c r="X2" s="139"/>
      <c r="Y2" s="139"/>
      <c r="Z2" s="140"/>
    </row>
    <row r="3" spans="1:26" ht="12.75" customHeight="1" x14ac:dyDescent="0.25">
      <c r="A3" s="123"/>
      <c r="B3" s="124"/>
      <c r="C3" s="124"/>
      <c r="D3" s="124"/>
      <c r="E3" s="124"/>
      <c r="F3" s="125"/>
      <c r="G3" s="144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6"/>
      <c r="U3" s="138"/>
      <c r="V3" s="139"/>
      <c r="W3" s="139"/>
      <c r="X3" s="139"/>
      <c r="Y3" s="139"/>
      <c r="Z3" s="140"/>
    </row>
    <row r="4" spans="1:26" ht="12.75" customHeight="1" x14ac:dyDescent="0.25">
      <c r="A4" s="123"/>
      <c r="B4" s="124"/>
      <c r="C4" s="124"/>
      <c r="D4" s="124"/>
      <c r="E4" s="124"/>
      <c r="F4" s="125"/>
      <c r="G4" s="144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6"/>
      <c r="U4" s="138"/>
      <c r="V4" s="139"/>
      <c r="W4" s="139"/>
      <c r="X4" s="139"/>
      <c r="Y4" s="139"/>
      <c r="Z4" s="140"/>
    </row>
    <row r="5" spans="1:26" ht="12.75" customHeight="1" x14ac:dyDescent="0.25">
      <c r="A5" s="123"/>
      <c r="B5" s="124"/>
      <c r="C5" s="124"/>
      <c r="D5" s="124"/>
      <c r="E5" s="124"/>
      <c r="F5" s="125"/>
      <c r="G5" s="110" t="s">
        <v>74</v>
      </c>
      <c r="H5" s="111"/>
      <c r="I5" s="2" t="s">
        <v>17</v>
      </c>
      <c r="J5" s="269"/>
      <c r="K5" s="270"/>
      <c r="L5" s="271"/>
      <c r="M5" s="272"/>
      <c r="N5" s="272"/>
      <c r="O5" s="273"/>
      <c r="P5" s="274"/>
      <c r="Q5" s="275"/>
      <c r="R5" s="275"/>
      <c r="S5" s="275"/>
      <c r="T5" s="276"/>
      <c r="U5" s="138"/>
      <c r="V5" s="139"/>
      <c r="W5" s="139"/>
      <c r="X5" s="139"/>
      <c r="Y5" s="139"/>
      <c r="Z5" s="140"/>
    </row>
    <row r="6" spans="1:26" ht="12.75" customHeight="1" x14ac:dyDescent="0.25">
      <c r="A6" s="126"/>
      <c r="B6" s="127"/>
      <c r="C6" s="127"/>
      <c r="D6" s="127"/>
      <c r="E6" s="127"/>
      <c r="F6" s="128"/>
      <c r="G6" s="3"/>
      <c r="H6" s="4"/>
      <c r="I6" s="4"/>
      <c r="J6" s="107" t="s">
        <v>18</v>
      </c>
      <c r="K6" s="107"/>
      <c r="L6" s="107" t="s">
        <v>19</v>
      </c>
      <c r="M6" s="107"/>
      <c r="N6" s="107"/>
      <c r="O6" s="107"/>
      <c r="P6" s="107" t="s">
        <v>20</v>
      </c>
      <c r="Q6" s="107"/>
      <c r="R6" s="107"/>
      <c r="S6" s="107"/>
      <c r="T6" s="134"/>
      <c r="U6" s="141"/>
      <c r="V6" s="142"/>
      <c r="W6" s="142"/>
      <c r="X6" s="142"/>
      <c r="Y6" s="142"/>
      <c r="Z6" s="143"/>
    </row>
    <row r="7" spans="1:26" ht="36.6" customHeight="1" x14ac:dyDescent="0.25">
      <c r="A7" s="112" t="s">
        <v>8</v>
      </c>
      <c r="B7" s="112"/>
      <c r="C7" s="112"/>
      <c r="D7" s="112"/>
      <c r="E7" s="112"/>
      <c r="F7" s="112"/>
      <c r="G7" s="113" t="s">
        <v>15</v>
      </c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26" ht="15.6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26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26" ht="15.9" customHeight="1" x14ac:dyDescent="0.25">
      <c r="A10" s="10"/>
      <c r="B10" s="132" t="s">
        <v>7</v>
      </c>
      <c r="C10" s="132"/>
      <c r="D10" s="132"/>
      <c r="E10" s="132"/>
      <c r="F10" s="132"/>
      <c r="G10" s="132"/>
      <c r="H10" s="114"/>
      <c r="I10" s="114"/>
      <c r="J10" s="114"/>
      <c r="K10" s="114"/>
      <c r="L10" s="114"/>
      <c r="M10" s="114"/>
      <c r="N10" s="132" t="s">
        <v>1</v>
      </c>
      <c r="O10" s="132"/>
      <c r="P10" s="132"/>
      <c r="Q10" s="132"/>
      <c r="R10" s="132"/>
      <c r="S10" s="133"/>
      <c r="T10" s="133"/>
      <c r="U10" s="133"/>
      <c r="V10" s="133"/>
      <c r="W10" s="133"/>
      <c r="X10" s="133"/>
      <c r="Y10" s="133"/>
      <c r="Z10" s="14"/>
    </row>
    <row r="11" spans="1:26" ht="15.9" customHeight="1" x14ac:dyDescent="0.25">
      <c r="A11" s="10"/>
      <c r="B11" s="132" t="s">
        <v>6</v>
      </c>
      <c r="C11" s="132"/>
      <c r="D11" s="132"/>
      <c r="E11" s="132"/>
      <c r="F11" s="132"/>
      <c r="G11" s="132"/>
      <c r="H11" s="115"/>
      <c r="I11" s="115"/>
      <c r="J11" s="115"/>
      <c r="K11" s="115"/>
      <c r="L11" s="115"/>
      <c r="M11" s="115"/>
      <c r="N11" s="132" t="s">
        <v>73</v>
      </c>
      <c r="O11" s="132"/>
      <c r="P11" s="132"/>
      <c r="Q11" s="132"/>
      <c r="R11" s="132"/>
      <c r="S11" s="133"/>
      <c r="T11" s="133"/>
      <c r="U11" s="133"/>
      <c r="V11" s="133"/>
      <c r="W11" s="133"/>
      <c r="X11" s="133"/>
      <c r="Y11" s="133"/>
      <c r="Z11" s="14"/>
    </row>
    <row r="12" spans="1:26" ht="15.9" customHeight="1" x14ac:dyDescent="0.25">
      <c r="A12" s="10"/>
      <c r="B12" s="132" t="s">
        <v>72</v>
      </c>
      <c r="C12" s="132"/>
      <c r="D12" s="132"/>
      <c r="E12" s="132"/>
      <c r="F12" s="132"/>
      <c r="G12" s="132"/>
      <c r="H12" s="115"/>
      <c r="I12" s="115"/>
      <c r="J12" s="115"/>
      <c r="K12" s="115"/>
      <c r="L12" s="115"/>
      <c r="M12" s="115"/>
      <c r="N12" s="132" t="s">
        <v>24</v>
      </c>
      <c r="O12" s="132"/>
      <c r="P12" s="132"/>
      <c r="Q12" s="132"/>
      <c r="R12" s="132"/>
      <c r="S12" s="15"/>
      <c r="T12" s="199" t="s">
        <v>25</v>
      </c>
      <c r="U12" s="199"/>
      <c r="V12" s="15"/>
      <c r="W12" s="15"/>
      <c r="X12" s="199" t="s">
        <v>26</v>
      </c>
      <c r="Y12" s="199"/>
      <c r="Z12" s="14"/>
    </row>
    <row r="13" spans="1:26" ht="8.25" customHeight="1" x14ac:dyDescent="0.25">
      <c r="A13" s="16"/>
      <c r="B13" s="4"/>
      <c r="C13" s="4"/>
      <c r="D13" s="17"/>
      <c r="E13" s="17"/>
      <c r="F13" s="17"/>
      <c r="G13" s="17"/>
      <c r="H13" s="4"/>
      <c r="I13" s="4"/>
      <c r="J13" s="4"/>
      <c r="K13" s="4"/>
      <c r="L13" s="4"/>
      <c r="M13" s="4"/>
      <c r="N13" s="18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9"/>
    </row>
    <row r="14" spans="1:26" s="20" customFormat="1" ht="15" x14ac:dyDescent="0.25">
      <c r="B14" s="21"/>
      <c r="C14" s="21"/>
      <c r="K14" s="22"/>
      <c r="L14" s="21"/>
      <c r="M14" s="23"/>
    </row>
    <row r="15" spans="1:26" s="20" customFormat="1" ht="15.6" customHeight="1" x14ac:dyDescent="0.25">
      <c r="A15" s="5" t="s">
        <v>3</v>
      </c>
      <c r="B15" s="24" t="s">
        <v>11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6"/>
    </row>
    <row r="16" spans="1:26" s="20" customFormat="1" ht="15" x14ac:dyDescent="0.25">
      <c r="A16" s="28"/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1"/>
    </row>
    <row r="17" spans="1:34" s="20" customFormat="1" ht="15" x14ac:dyDescent="0.25">
      <c r="A17" s="28"/>
      <c r="B17" s="157" t="s">
        <v>12</v>
      </c>
      <c r="C17" s="157"/>
      <c r="D17" s="157"/>
      <c r="E17" s="157"/>
      <c r="F17" s="157"/>
      <c r="G17" s="157"/>
      <c r="H17" s="157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32"/>
    </row>
    <row r="18" spans="1:34" s="20" customFormat="1" ht="15" x14ac:dyDescent="0.25">
      <c r="A18" s="28"/>
      <c r="B18" s="157" t="s">
        <v>13</v>
      </c>
      <c r="C18" s="157"/>
      <c r="D18" s="157"/>
      <c r="E18" s="157"/>
      <c r="F18" s="157"/>
      <c r="G18" s="157"/>
      <c r="H18" s="157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32"/>
    </row>
    <row r="19" spans="1:34" s="20" customFormat="1" ht="13.2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</row>
    <row r="20" spans="1:34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6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34" ht="15.6" customHeight="1" x14ac:dyDescent="0.25">
      <c r="A21" s="5" t="s">
        <v>4</v>
      </c>
      <c r="B21" s="6" t="s">
        <v>44</v>
      </c>
      <c r="C21" s="37"/>
      <c r="D21" s="38"/>
      <c r="E21" s="38"/>
      <c r="F21" s="38"/>
      <c r="G21" s="38"/>
      <c r="H21" s="37"/>
      <c r="I21" s="37"/>
      <c r="J21" s="37"/>
      <c r="K21" s="37"/>
      <c r="L21" s="3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34" ht="12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34" ht="15.75" customHeight="1" x14ac:dyDescent="0.25">
      <c r="A23" s="10"/>
      <c r="B23" s="147" t="s">
        <v>27</v>
      </c>
      <c r="C23" s="148"/>
      <c r="D23" s="148"/>
      <c r="E23" s="148"/>
      <c r="F23" s="148"/>
      <c r="G23" s="148"/>
      <c r="H23" s="147" t="s">
        <v>45</v>
      </c>
      <c r="I23" s="148"/>
      <c r="J23" s="149"/>
      <c r="K23" s="147" t="s">
        <v>28</v>
      </c>
      <c r="L23" s="240"/>
      <c r="M23" s="241"/>
      <c r="N23" s="147" t="s">
        <v>70</v>
      </c>
      <c r="O23" s="242"/>
      <c r="P23" s="243"/>
      <c r="Q23" s="147" t="s">
        <v>29</v>
      </c>
      <c r="R23" s="242"/>
      <c r="S23" s="242"/>
      <c r="T23" s="242"/>
      <c r="U23" s="242"/>
      <c r="V23" s="242"/>
      <c r="W23" s="242"/>
      <c r="X23" s="242"/>
      <c r="Y23" s="243"/>
      <c r="Z23" s="13"/>
      <c r="AB23" s="183" t="s">
        <v>45</v>
      </c>
      <c r="AC23" s="184"/>
      <c r="AD23" s="185"/>
      <c r="AE23" s="183" t="s">
        <v>28</v>
      </c>
      <c r="AF23" s="184"/>
      <c r="AG23" s="185"/>
      <c r="AH23" s="64"/>
    </row>
    <row r="24" spans="1:34" ht="15.75" customHeight="1" x14ac:dyDescent="0.25">
      <c r="A24" s="10"/>
      <c r="B24" s="150"/>
      <c r="C24" s="151"/>
      <c r="D24" s="151"/>
      <c r="E24" s="151"/>
      <c r="F24" s="151"/>
      <c r="G24" s="151"/>
      <c r="H24" s="150" t="s">
        <v>30</v>
      </c>
      <c r="I24" s="151"/>
      <c r="J24" s="152"/>
      <c r="K24" s="150" t="s">
        <v>30</v>
      </c>
      <c r="L24" s="263"/>
      <c r="M24" s="264"/>
      <c r="N24" s="244"/>
      <c r="O24" s="245"/>
      <c r="P24" s="246"/>
      <c r="Q24" s="244"/>
      <c r="R24" s="245"/>
      <c r="S24" s="245"/>
      <c r="T24" s="245"/>
      <c r="U24" s="245"/>
      <c r="V24" s="245"/>
      <c r="W24" s="245"/>
      <c r="X24" s="245"/>
      <c r="Y24" s="246"/>
      <c r="Z24" s="13"/>
      <c r="AB24" s="39" t="s">
        <v>46</v>
      </c>
      <c r="AC24" s="39" t="s">
        <v>47</v>
      </c>
      <c r="AD24" s="40" t="s">
        <v>48</v>
      </c>
      <c r="AE24" s="39" t="s">
        <v>46</v>
      </c>
      <c r="AF24" s="39" t="s">
        <v>47</v>
      </c>
      <c r="AG24" s="40" t="s">
        <v>49</v>
      </c>
      <c r="AH24" s="65" t="s">
        <v>50</v>
      </c>
    </row>
    <row r="25" spans="1:34" ht="19.5" customHeight="1" x14ac:dyDescent="0.25">
      <c r="A25" s="10"/>
      <c r="B25" s="40" t="s">
        <v>31</v>
      </c>
      <c r="C25" s="79"/>
      <c r="D25" s="80"/>
      <c r="E25" s="80"/>
      <c r="F25" s="80"/>
      <c r="G25" s="81"/>
      <c r="H25" s="204" t="str">
        <f t="shared" ref="H25:H49" si="0">IF(AB25&lt;&gt;0,AD25,"")</f>
        <v/>
      </c>
      <c r="I25" s="247"/>
      <c r="J25" s="206"/>
      <c r="K25" s="159" t="str">
        <f t="shared" ref="K25:K49" si="1">IF(AB25&lt;&gt;0,AG25,"")</f>
        <v/>
      </c>
      <c r="L25" s="160"/>
      <c r="M25" s="161"/>
      <c r="N25" s="211" t="str">
        <f t="shared" ref="N25:N49" si="2">IF(AB25&lt;&gt;0,AH25,"")</f>
        <v/>
      </c>
      <c r="O25" s="212"/>
      <c r="P25" s="213"/>
      <c r="Q25" s="257"/>
      <c r="R25" s="258"/>
      <c r="S25" s="258"/>
      <c r="T25" s="258"/>
      <c r="U25" s="258"/>
      <c r="V25" s="258"/>
      <c r="W25" s="258"/>
      <c r="X25" s="258"/>
      <c r="Y25" s="259"/>
      <c r="Z25" s="13"/>
      <c r="AB25" s="41"/>
      <c r="AC25" s="42" t="str">
        <f>IF(AB25&lt;&gt;0,AB25*2,"")</f>
        <v/>
      </c>
      <c r="AD25" s="44" t="str">
        <f>IF(AB25&lt;&gt;0,(112.5/AC25)*100,"")</f>
        <v/>
      </c>
      <c r="AE25" s="45"/>
      <c r="AF25" s="45" t="str">
        <f>IF(AE25&lt;&gt;0,AE25*2,"")</f>
        <v/>
      </c>
      <c r="AG25" s="46" t="str">
        <f>IF(AE25&lt;&gt;0,(90/AF25)*100,"")</f>
        <v/>
      </c>
      <c r="AH25" s="47" t="str">
        <f>IF(AB25&lt;&gt;0,AG25/AD25,"")</f>
        <v/>
      </c>
    </row>
    <row r="26" spans="1:34" ht="19.5" customHeight="1" x14ac:dyDescent="0.25">
      <c r="A26" s="10"/>
      <c r="B26" s="40" t="s">
        <v>32</v>
      </c>
      <c r="C26" s="79"/>
      <c r="D26" s="80"/>
      <c r="E26" s="80"/>
      <c r="F26" s="80"/>
      <c r="G26" s="81"/>
      <c r="H26" s="204" t="str">
        <f t="shared" si="0"/>
        <v/>
      </c>
      <c r="I26" s="247"/>
      <c r="J26" s="206"/>
      <c r="K26" s="159" t="str">
        <f t="shared" si="1"/>
        <v/>
      </c>
      <c r="L26" s="160"/>
      <c r="M26" s="161"/>
      <c r="N26" s="211" t="str">
        <f t="shared" si="2"/>
        <v/>
      </c>
      <c r="O26" s="212"/>
      <c r="P26" s="213"/>
      <c r="Q26" s="257"/>
      <c r="R26" s="258"/>
      <c r="S26" s="258"/>
      <c r="T26" s="258"/>
      <c r="U26" s="258"/>
      <c r="V26" s="258"/>
      <c r="W26" s="258"/>
      <c r="X26" s="258"/>
      <c r="Y26" s="259"/>
      <c r="Z26" s="13"/>
      <c r="AB26" s="41"/>
      <c r="AC26" s="42" t="str">
        <f t="shared" ref="AC26:AC49" si="3">IF(AB26&lt;&gt;0,AB26*2,"")</f>
        <v/>
      </c>
      <c r="AD26" s="44" t="str">
        <f t="shared" ref="AD26:AD49" si="4">IF(AB26&lt;&gt;0,(112.5/AC26)*100,"")</f>
        <v/>
      </c>
      <c r="AE26" s="45"/>
      <c r="AF26" s="45" t="str">
        <f t="shared" ref="AF26:AF49" si="5">IF(AE26&lt;&gt;0,AE26*2,"")</f>
        <v/>
      </c>
      <c r="AG26" s="46" t="str">
        <f t="shared" ref="AG26:AG49" si="6">IF(AE26&lt;&gt;0,(90/AF26)*100,"")</f>
        <v/>
      </c>
      <c r="AH26" s="47" t="str">
        <f t="shared" ref="AH26:AH49" si="7">IF(AB26&lt;&gt;0,AG26/AD26,"")</f>
        <v/>
      </c>
    </row>
    <row r="27" spans="1:34" ht="19.5" customHeight="1" x14ac:dyDescent="0.25">
      <c r="A27" s="10"/>
      <c r="B27" s="40" t="s">
        <v>33</v>
      </c>
      <c r="C27" s="79"/>
      <c r="D27" s="80"/>
      <c r="E27" s="80"/>
      <c r="F27" s="80"/>
      <c r="G27" s="81"/>
      <c r="H27" s="204" t="str">
        <f t="shared" si="0"/>
        <v/>
      </c>
      <c r="I27" s="247"/>
      <c r="J27" s="206"/>
      <c r="K27" s="159" t="str">
        <f t="shared" si="1"/>
        <v/>
      </c>
      <c r="L27" s="160"/>
      <c r="M27" s="161"/>
      <c r="N27" s="211" t="str">
        <f t="shared" si="2"/>
        <v/>
      </c>
      <c r="O27" s="212"/>
      <c r="P27" s="213"/>
      <c r="Q27" s="257"/>
      <c r="R27" s="258"/>
      <c r="S27" s="258"/>
      <c r="T27" s="258"/>
      <c r="U27" s="258"/>
      <c r="V27" s="258"/>
      <c r="W27" s="258"/>
      <c r="X27" s="258"/>
      <c r="Y27" s="259"/>
      <c r="Z27" s="13"/>
      <c r="AB27" s="41"/>
      <c r="AC27" s="42" t="str">
        <f t="shared" si="3"/>
        <v/>
      </c>
      <c r="AD27" s="44" t="str">
        <f t="shared" si="4"/>
        <v/>
      </c>
      <c r="AE27" s="45"/>
      <c r="AF27" s="45" t="str">
        <f t="shared" si="5"/>
        <v/>
      </c>
      <c r="AG27" s="46" t="str">
        <f t="shared" si="6"/>
        <v/>
      </c>
      <c r="AH27" s="47" t="str">
        <f t="shared" si="7"/>
        <v/>
      </c>
    </row>
    <row r="28" spans="1:34" ht="19.5" customHeight="1" x14ac:dyDescent="0.25">
      <c r="A28" s="10"/>
      <c r="B28" s="40" t="s">
        <v>34</v>
      </c>
      <c r="C28" s="79"/>
      <c r="D28" s="80"/>
      <c r="E28" s="80"/>
      <c r="F28" s="80"/>
      <c r="G28" s="81"/>
      <c r="H28" s="204" t="str">
        <f t="shared" si="0"/>
        <v/>
      </c>
      <c r="I28" s="247"/>
      <c r="J28" s="206"/>
      <c r="K28" s="159" t="str">
        <f t="shared" si="1"/>
        <v/>
      </c>
      <c r="L28" s="160"/>
      <c r="M28" s="161"/>
      <c r="N28" s="211" t="str">
        <f t="shared" si="2"/>
        <v/>
      </c>
      <c r="O28" s="212"/>
      <c r="P28" s="213"/>
      <c r="Q28" s="257"/>
      <c r="R28" s="258"/>
      <c r="S28" s="258"/>
      <c r="T28" s="258"/>
      <c r="U28" s="258"/>
      <c r="V28" s="258"/>
      <c r="W28" s="258"/>
      <c r="X28" s="258"/>
      <c r="Y28" s="259"/>
      <c r="Z28" s="13"/>
      <c r="AB28" s="41"/>
      <c r="AC28" s="42" t="str">
        <f t="shared" si="3"/>
        <v/>
      </c>
      <c r="AD28" s="44" t="str">
        <f t="shared" si="4"/>
        <v/>
      </c>
      <c r="AE28" s="45"/>
      <c r="AF28" s="45" t="str">
        <f t="shared" si="5"/>
        <v/>
      </c>
      <c r="AG28" s="46" t="str">
        <f t="shared" si="6"/>
        <v/>
      </c>
      <c r="AH28" s="47" t="str">
        <f t="shared" si="7"/>
        <v/>
      </c>
    </row>
    <row r="29" spans="1:34" ht="19.5" customHeight="1" x14ac:dyDescent="0.25">
      <c r="A29" s="10"/>
      <c r="B29" s="40" t="s">
        <v>35</v>
      </c>
      <c r="C29" s="79"/>
      <c r="D29" s="80"/>
      <c r="E29" s="80"/>
      <c r="F29" s="80"/>
      <c r="G29" s="81"/>
      <c r="H29" s="204" t="str">
        <f t="shared" si="0"/>
        <v/>
      </c>
      <c r="I29" s="247"/>
      <c r="J29" s="206"/>
      <c r="K29" s="159" t="str">
        <f t="shared" si="1"/>
        <v/>
      </c>
      <c r="L29" s="160"/>
      <c r="M29" s="161"/>
      <c r="N29" s="211" t="str">
        <f t="shared" si="2"/>
        <v/>
      </c>
      <c r="O29" s="212"/>
      <c r="P29" s="213"/>
      <c r="Q29" s="257"/>
      <c r="R29" s="258"/>
      <c r="S29" s="258"/>
      <c r="T29" s="258"/>
      <c r="U29" s="258"/>
      <c r="V29" s="258"/>
      <c r="W29" s="258"/>
      <c r="X29" s="258"/>
      <c r="Y29" s="259"/>
      <c r="Z29" s="13"/>
      <c r="AB29" s="41"/>
      <c r="AC29" s="42" t="str">
        <f t="shared" si="3"/>
        <v/>
      </c>
      <c r="AD29" s="44" t="str">
        <f t="shared" si="4"/>
        <v/>
      </c>
      <c r="AE29" s="45"/>
      <c r="AF29" s="45" t="str">
        <f t="shared" si="5"/>
        <v/>
      </c>
      <c r="AG29" s="46" t="str">
        <f t="shared" si="6"/>
        <v/>
      </c>
      <c r="AH29" s="47" t="str">
        <f t="shared" si="7"/>
        <v/>
      </c>
    </row>
    <row r="30" spans="1:34" ht="19.5" customHeight="1" x14ac:dyDescent="0.25">
      <c r="A30" s="10"/>
      <c r="B30" s="40" t="s">
        <v>36</v>
      </c>
      <c r="C30" s="79"/>
      <c r="D30" s="80"/>
      <c r="E30" s="80"/>
      <c r="F30" s="80"/>
      <c r="G30" s="81"/>
      <c r="H30" s="204" t="str">
        <f t="shared" si="0"/>
        <v/>
      </c>
      <c r="I30" s="247"/>
      <c r="J30" s="206"/>
      <c r="K30" s="159" t="str">
        <f t="shared" si="1"/>
        <v/>
      </c>
      <c r="L30" s="160"/>
      <c r="M30" s="161"/>
      <c r="N30" s="211" t="str">
        <f t="shared" si="2"/>
        <v/>
      </c>
      <c r="O30" s="212"/>
      <c r="P30" s="213"/>
      <c r="Q30" s="257"/>
      <c r="R30" s="258"/>
      <c r="S30" s="258"/>
      <c r="T30" s="258"/>
      <c r="U30" s="258"/>
      <c r="V30" s="258"/>
      <c r="W30" s="258"/>
      <c r="X30" s="258"/>
      <c r="Y30" s="259"/>
      <c r="Z30" s="13"/>
      <c r="AB30" s="41"/>
      <c r="AC30" s="42" t="str">
        <f t="shared" si="3"/>
        <v/>
      </c>
      <c r="AD30" s="44" t="str">
        <f t="shared" si="4"/>
        <v/>
      </c>
      <c r="AE30" s="45"/>
      <c r="AF30" s="45" t="str">
        <f t="shared" si="5"/>
        <v/>
      </c>
      <c r="AG30" s="46" t="str">
        <f t="shared" si="6"/>
        <v/>
      </c>
      <c r="AH30" s="47" t="str">
        <f t="shared" si="7"/>
        <v/>
      </c>
    </row>
    <row r="31" spans="1:34" ht="19.5" customHeight="1" x14ac:dyDescent="0.25">
      <c r="A31" s="10"/>
      <c r="B31" s="40" t="s">
        <v>37</v>
      </c>
      <c r="C31" s="79"/>
      <c r="D31" s="80"/>
      <c r="E31" s="80"/>
      <c r="F31" s="80"/>
      <c r="G31" s="81"/>
      <c r="H31" s="204" t="str">
        <f t="shared" si="0"/>
        <v/>
      </c>
      <c r="I31" s="247"/>
      <c r="J31" s="206"/>
      <c r="K31" s="159" t="str">
        <f t="shared" si="1"/>
        <v/>
      </c>
      <c r="L31" s="160"/>
      <c r="M31" s="161"/>
      <c r="N31" s="211" t="str">
        <f t="shared" si="2"/>
        <v/>
      </c>
      <c r="O31" s="212"/>
      <c r="P31" s="213"/>
      <c r="Q31" s="257"/>
      <c r="R31" s="258"/>
      <c r="S31" s="258"/>
      <c r="T31" s="258"/>
      <c r="U31" s="258"/>
      <c r="V31" s="258"/>
      <c r="W31" s="258"/>
      <c r="X31" s="258"/>
      <c r="Y31" s="259"/>
      <c r="Z31" s="13"/>
      <c r="AB31" s="41"/>
      <c r="AC31" s="42" t="str">
        <f t="shared" si="3"/>
        <v/>
      </c>
      <c r="AD31" s="44" t="str">
        <f t="shared" si="4"/>
        <v/>
      </c>
      <c r="AE31" s="45"/>
      <c r="AF31" s="45" t="str">
        <f t="shared" si="5"/>
        <v/>
      </c>
      <c r="AG31" s="46" t="str">
        <f t="shared" si="6"/>
        <v/>
      </c>
      <c r="AH31" s="47" t="str">
        <f t="shared" si="7"/>
        <v/>
      </c>
    </row>
    <row r="32" spans="1:34" ht="19.5" customHeight="1" x14ac:dyDescent="0.25">
      <c r="A32" s="10"/>
      <c r="B32" s="40" t="s">
        <v>38</v>
      </c>
      <c r="C32" s="79"/>
      <c r="D32" s="80"/>
      <c r="E32" s="80"/>
      <c r="F32" s="80"/>
      <c r="G32" s="81"/>
      <c r="H32" s="204" t="str">
        <f t="shared" si="0"/>
        <v/>
      </c>
      <c r="I32" s="247"/>
      <c r="J32" s="206"/>
      <c r="K32" s="159" t="str">
        <f t="shared" si="1"/>
        <v/>
      </c>
      <c r="L32" s="160"/>
      <c r="M32" s="161"/>
      <c r="N32" s="211" t="str">
        <f t="shared" si="2"/>
        <v/>
      </c>
      <c r="O32" s="212"/>
      <c r="P32" s="213"/>
      <c r="Q32" s="257"/>
      <c r="R32" s="258"/>
      <c r="S32" s="258"/>
      <c r="T32" s="258"/>
      <c r="U32" s="258"/>
      <c r="V32" s="258"/>
      <c r="W32" s="258"/>
      <c r="X32" s="258"/>
      <c r="Y32" s="259"/>
      <c r="Z32" s="13"/>
      <c r="AB32" s="41"/>
      <c r="AC32" s="42" t="str">
        <f t="shared" si="3"/>
        <v/>
      </c>
      <c r="AD32" s="44" t="str">
        <f t="shared" si="4"/>
        <v/>
      </c>
      <c r="AE32" s="45"/>
      <c r="AF32" s="45" t="str">
        <f t="shared" si="5"/>
        <v/>
      </c>
      <c r="AG32" s="46" t="str">
        <f t="shared" si="6"/>
        <v/>
      </c>
      <c r="AH32" s="47" t="str">
        <f t="shared" si="7"/>
        <v/>
      </c>
    </row>
    <row r="33" spans="1:34" ht="19.5" customHeight="1" x14ac:dyDescent="0.25">
      <c r="A33" s="10"/>
      <c r="B33" s="40" t="s">
        <v>39</v>
      </c>
      <c r="C33" s="79"/>
      <c r="D33" s="80"/>
      <c r="E33" s="80"/>
      <c r="F33" s="80"/>
      <c r="G33" s="81"/>
      <c r="H33" s="204" t="str">
        <f t="shared" si="0"/>
        <v/>
      </c>
      <c r="I33" s="247"/>
      <c r="J33" s="206"/>
      <c r="K33" s="159" t="str">
        <f t="shared" si="1"/>
        <v/>
      </c>
      <c r="L33" s="160"/>
      <c r="M33" s="161"/>
      <c r="N33" s="211" t="str">
        <f t="shared" si="2"/>
        <v/>
      </c>
      <c r="O33" s="212"/>
      <c r="P33" s="213"/>
      <c r="Q33" s="257"/>
      <c r="R33" s="258"/>
      <c r="S33" s="258"/>
      <c r="T33" s="258"/>
      <c r="U33" s="258"/>
      <c r="V33" s="258"/>
      <c r="W33" s="258"/>
      <c r="X33" s="258"/>
      <c r="Y33" s="259"/>
      <c r="Z33" s="13"/>
      <c r="AB33" s="41"/>
      <c r="AC33" s="42" t="str">
        <f t="shared" si="3"/>
        <v/>
      </c>
      <c r="AD33" s="44" t="str">
        <f t="shared" si="4"/>
        <v/>
      </c>
      <c r="AE33" s="45"/>
      <c r="AF33" s="45" t="str">
        <f t="shared" si="5"/>
        <v/>
      </c>
      <c r="AG33" s="46" t="str">
        <f t="shared" si="6"/>
        <v/>
      </c>
      <c r="AH33" s="47" t="str">
        <f t="shared" si="7"/>
        <v/>
      </c>
    </row>
    <row r="34" spans="1:34" ht="19.5" customHeight="1" x14ac:dyDescent="0.25">
      <c r="A34" s="10"/>
      <c r="B34" s="40" t="s">
        <v>40</v>
      </c>
      <c r="C34" s="79"/>
      <c r="D34" s="80"/>
      <c r="E34" s="80"/>
      <c r="F34" s="80"/>
      <c r="G34" s="81"/>
      <c r="H34" s="204" t="str">
        <f t="shared" si="0"/>
        <v/>
      </c>
      <c r="I34" s="247"/>
      <c r="J34" s="206"/>
      <c r="K34" s="159" t="str">
        <f t="shared" si="1"/>
        <v/>
      </c>
      <c r="L34" s="160"/>
      <c r="M34" s="161"/>
      <c r="N34" s="211" t="str">
        <f t="shared" si="2"/>
        <v/>
      </c>
      <c r="O34" s="212"/>
      <c r="P34" s="213"/>
      <c r="Q34" s="257"/>
      <c r="R34" s="258"/>
      <c r="S34" s="258"/>
      <c r="T34" s="258"/>
      <c r="U34" s="258"/>
      <c r="V34" s="258"/>
      <c r="W34" s="258"/>
      <c r="X34" s="258"/>
      <c r="Y34" s="259"/>
      <c r="Z34" s="13"/>
      <c r="AB34" s="41"/>
      <c r="AC34" s="42" t="str">
        <f t="shared" si="3"/>
        <v/>
      </c>
      <c r="AD34" s="44" t="str">
        <f t="shared" si="4"/>
        <v/>
      </c>
      <c r="AE34" s="45"/>
      <c r="AF34" s="45" t="str">
        <f t="shared" si="5"/>
        <v/>
      </c>
      <c r="AG34" s="46" t="str">
        <f t="shared" si="6"/>
        <v/>
      </c>
      <c r="AH34" s="47" t="str">
        <f t="shared" si="7"/>
        <v/>
      </c>
    </row>
    <row r="35" spans="1:34" ht="19.5" customHeight="1" x14ac:dyDescent="0.25">
      <c r="A35" s="10"/>
      <c r="B35" s="40" t="s">
        <v>51</v>
      </c>
      <c r="C35" s="79"/>
      <c r="D35" s="80"/>
      <c r="E35" s="80"/>
      <c r="F35" s="80"/>
      <c r="G35" s="81"/>
      <c r="H35" s="204" t="str">
        <f t="shared" si="0"/>
        <v/>
      </c>
      <c r="I35" s="247"/>
      <c r="J35" s="206"/>
      <c r="K35" s="159" t="str">
        <f t="shared" si="1"/>
        <v/>
      </c>
      <c r="L35" s="160"/>
      <c r="M35" s="161"/>
      <c r="N35" s="211" t="str">
        <f t="shared" si="2"/>
        <v/>
      </c>
      <c r="O35" s="212"/>
      <c r="P35" s="213"/>
      <c r="Q35" s="257"/>
      <c r="R35" s="258"/>
      <c r="S35" s="258"/>
      <c r="T35" s="258"/>
      <c r="U35" s="258"/>
      <c r="V35" s="258"/>
      <c r="W35" s="258"/>
      <c r="X35" s="258"/>
      <c r="Y35" s="259"/>
      <c r="Z35" s="13"/>
      <c r="AB35" s="41"/>
      <c r="AC35" s="42" t="str">
        <f t="shared" si="3"/>
        <v/>
      </c>
      <c r="AD35" s="44" t="str">
        <f t="shared" si="4"/>
        <v/>
      </c>
      <c r="AE35" s="45"/>
      <c r="AF35" s="45" t="str">
        <f t="shared" si="5"/>
        <v/>
      </c>
      <c r="AG35" s="46" t="str">
        <f t="shared" si="6"/>
        <v/>
      </c>
      <c r="AH35" s="47" t="str">
        <f t="shared" si="7"/>
        <v/>
      </c>
    </row>
    <row r="36" spans="1:34" ht="19.5" customHeight="1" x14ac:dyDescent="0.25">
      <c r="A36" s="10"/>
      <c r="B36" s="40" t="s">
        <v>52</v>
      </c>
      <c r="C36" s="79"/>
      <c r="D36" s="80"/>
      <c r="E36" s="80"/>
      <c r="F36" s="80"/>
      <c r="G36" s="81"/>
      <c r="H36" s="204" t="str">
        <f t="shared" si="0"/>
        <v/>
      </c>
      <c r="I36" s="247"/>
      <c r="J36" s="206"/>
      <c r="K36" s="159" t="str">
        <f t="shared" si="1"/>
        <v/>
      </c>
      <c r="L36" s="160"/>
      <c r="M36" s="161"/>
      <c r="N36" s="211" t="str">
        <f t="shared" si="2"/>
        <v/>
      </c>
      <c r="O36" s="212"/>
      <c r="P36" s="213"/>
      <c r="Q36" s="257"/>
      <c r="R36" s="258"/>
      <c r="S36" s="258"/>
      <c r="T36" s="258"/>
      <c r="U36" s="258"/>
      <c r="V36" s="258"/>
      <c r="W36" s="258"/>
      <c r="X36" s="258"/>
      <c r="Y36" s="259"/>
      <c r="Z36" s="13"/>
      <c r="AB36" s="41"/>
      <c r="AC36" s="42" t="str">
        <f t="shared" si="3"/>
        <v/>
      </c>
      <c r="AD36" s="44" t="str">
        <f t="shared" si="4"/>
        <v/>
      </c>
      <c r="AE36" s="45"/>
      <c r="AF36" s="45" t="str">
        <f t="shared" si="5"/>
        <v/>
      </c>
      <c r="AG36" s="46" t="str">
        <f t="shared" si="6"/>
        <v/>
      </c>
      <c r="AH36" s="47" t="str">
        <f t="shared" si="7"/>
        <v/>
      </c>
    </row>
    <row r="37" spans="1:34" ht="19.5" customHeight="1" x14ac:dyDescent="0.25">
      <c r="A37" s="10"/>
      <c r="B37" s="40" t="s">
        <v>53</v>
      </c>
      <c r="C37" s="79"/>
      <c r="D37" s="80"/>
      <c r="E37" s="80"/>
      <c r="F37" s="80"/>
      <c r="G37" s="81"/>
      <c r="H37" s="204" t="str">
        <f t="shared" si="0"/>
        <v/>
      </c>
      <c r="I37" s="247"/>
      <c r="J37" s="206"/>
      <c r="K37" s="159" t="str">
        <f t="shared" si="1"/>
        <v/>
      </c>
      <c r="L37" s="160"/>
      <c r="M37" s="161"/>
      <c r="N37" s="211" t="str">
        <f t="shared" si="2"/>
        <v/>
      </c>
      <c r="O37" s="212"/>
      <c r="P37" s="213"/>
      <c r="Q37" s="257"/>
      <c r="R37" s="258"/>
      <c r="S37" s="258"/>
      <c r="T37" s="258"/>
      <c r="U37" s="258"/>
      <c r="V37" s="258"/>
      <c r="W37" s="258"/>
      <c r="X37" s="258"/>
      <c r="Y37" s="259"/>
      <c r="Z37" s="13"/>
      <c r="AB37" s="41"/>
      <c r="AC37" s="42" t="str">
        <f t="shared" si="3"/>
        <v/>
      </c>
      <c r="AD37" s="44" t="str">
        <f t="shared" si="4"/>
        <v/>
      </c>
      <c r="AE37" s="45"/>
      <c r="AF37" s="45" t="str">
        <f t="shared" si="5"/>
        <v/>
      </c>
      <c r="AG37" s="46" t="str">
        <f t="shared" si="6"/>
        <v/>
      </c>
      <c r="AH37" s="47" t="str">
        <f t="shared" si="7"/>
        <v/>
      </c>
    </row>
    <row r="38" spans="1:34" ht="19.5" customHeight="1" x14ac:dyDescent="0.25">
      <c r="A38" s="10"/>
      <c r="B38" s="40" t="s">
        <v>54</v>
      </c>
      <c r="C38" s="79"/>
      <c r="D38" s="80"/>
      <c r="E38" s="80"/>
      <c r="F38" s="80"/>
      <c r="G38" s="81"/>
      <c r="H38" s="204" t="str">
        <f t="shared" si="0"/>
        <v/>
      </c>
      <c r="I38" s="247"/>
      <c r="J38" s="206"/>
      <c r="K38" s="159" t="str">
        <f t="shared" si="1"/>
        <v/>
      </c>
      <c r="L38" s="160"/>
      <c r="M38" s="161"/>
      <c r="N38" s="211" t="str">
        <f t="shared" si="2"/>
        <v/>
      </c>
      <c r="O38" s="212"/>
      <c r="P38" s="213"/>
      <c r="Q38" s="257"/>
      <c r="R38" s="258"/>
      <c r="S38" s="258"/>
      <c r="T38" s="258"/>
      <c r="U38" s="258"/>
      <c r="V38" s="258"/>
      <c r="W38" s="258"/>
      <c r="X38" s="258"/>
      <c r="Y38" s="259"/>
      <c r="Z38" s="13"/>
      <c r="AB38" s="41"/>
      <c r="AC38" s="42" t="str">
        <f t="shared" si="3"/>
        <v/>
      </c>
      <c r="AD38" s="44" t="str">
        <f t="shared" si="4"/>
        <v/>
      </c>
      <c r="AE38" s="45"/>
      <c r="AF38" s="45" t="str">
        <f t="shared" si="5"/>
        <v/>
      </c>
      <c r="AG38" s="46" t="str">
        <f t="shared" si="6"/>
        <v/>
      </c>
      <c r="AH38" s="47" t="str">
        <f t="shared" si="7"/>
        <v/>
      </c>
    </row>
    <row r="39" spans="1:34" ht="19.5" customHeight="1" x14ac:dyDescent="0.25">
      <c r="A39" s="10"/>
      <c r="B39" s="40" t="s">
        <v>55</v>
      </c>
      <c r="C39" s="79"/>
      <c r="D39" s="80"/>
      <c r="E39" s="80"/>
      <c r="F39" s="80"/>
      <c r="G39" s="81"/>
      <c r="H39" s="204" t="str">
        <f t="shared" si="0"/>
        <v/>
      </c>
      <c r="I39" s="247"/>
      <c r="J39" s="206"/>
      <c r="K39" s="159" t="str">
        <f t="shared" si="1"/>
        <v/>
      </c>
      <c r="L39" s="160"/>
      <c r="M39" s="161"/>
      <c r="N39" s="211" t="str">
        <f t="shared" si="2"/>
        <v/>
      </c>
      <c r="O39" s="212"/>
      <c r="P39" s="213"/>
      <c r="Q39" s="257"/>
      <c r="R39" s="258"/>
      <c r="S39" s="258"/>
      <c r="T39" s="258"/>
      <c r="U39" s="258"/>
      <c r="V39" s="258"/>
      <c r="W39" s="258"/>
      <c r="X39" s="258"/>
      <c r="Y39" s="259"/>
      <c r="Z39" s="13"/>
      <c r="AB39" s="41"/>
      <c r="AC39" s="42" t="str">
        <f t="shared" si="3"/>
        <v/>
      </c>
      <c r="AD39" s="44" t="str">
        <f t="shared" si="4"/>
        <v/>
      </c>
      <c r="AE39" s="45"/>
      <c r="AF39" s="45" t="str">
        <f t="shared" si="5"/>
        <v/>
      </c>
      <c r="AG39" s="46" t="str">
        <f t="shared" si="6"/>
        <v/>
      </c>
      <c r="AH39" s="47" t="str">
        <f t="shared" si="7"/>
        <v/>
      </c>
    </row>
    <row r="40" spans="1:34" ht="19.5" customHeight="1" x14ac:dyDescent="0.25">
      <c r="A40" s="10"/>
      <c r="B40" s="40" t="s">
        <v>56</v>
      </c>
      <c r="C40" s="79"/>
      <c r="D40" s="80"/>
      <c r="E40" s="80"/>
      <c r="F40" s="80"/>
      <c r="G40" s="81"/>
      <c r="H40" s="204" t="str">
        <f t="shared" si="0"/>
        <v/>
      </c>
      <c r="I40" s="247"/>
      <c r="J40" s="206"/>
      <c r="K40" s="159" t="str">
        <f t="shared" si="1"/>
        <v/>
      </c>
      <c r="L40" s="160"/>
      <c r="M40" s="161"/>
      <c r="N40" s="211" t="str">
        <f t="shared" si="2"/>
        <v/>
      </c>
      <c r="O40" s="212"/>
      <c r="P40" s="213"/>
      <c r="Q40" s="257"/>
      <c r="R40" s="258"/>
      <c r="S40" s="258"/>
      <c r="T40" s="258"/>
      <c r="U40" s="258"/>
      <c r="V40" s="258"/>
      <c r="W40" s="258"/>
      <c r="X40" s="258"/>
      <c r="Y40" s="259"/>
      <c r="Z40" s="13"/>
      <c r="AB40" s="41"/>
      <c r="AC40" s="42" t="str">
        <f t="shared" si="3"/>
        <v/>
      </c>
      <c r="AD40" s="44" t="str">
        <f t="shared" si="4"/>
        <v/>
      </c>
      <c r="AE40" s="45"/>
      <c r="AF40" s="45" t="str">
        <f t="shared" si="5"/>
        <v/>
      </c>
      <c r="AG40" s="46" t="str">
        <f t="shared" si="6"/>
        <v/>
      </c>
      <c r="AH40" s="47" t="str">
        <f t="shared" si="7"/>
        <v/>
      </c>
    </row>
    <row r="41" spans="1:34" ht="19.5" customHeight="1" x14ac:dyDescent="0.25">
      <c r="A41" s="10"/>
      <c r="B41" s="40" t="s">
        <v>57</v>
      </c>
      <c r="C41" s="79"/>
      <c r="D41" s="80"/>
      <c r="E41" s="80"/>
      <c r="F41" s="80"/>
      <c r="G41" s="81"/>
      <c r="H41" s="204" t="str">
        <f t="shared" si="0"/>
        <v/>
      </c>
      <c r="I41" s="247"/>
      <c r="J41" s="206"/>
      <c r="K41" s="159" t="str">
        <f t="shared" si="1"/>
        <v/>
      </c>
      <c r="L41" s="160"/>
      <c r="M41" s="161"/>
      <c r="N41" s="211" t="str">
        <f t="shared" si="2"/>
        <v/>
      </c>
      <c r="O41" s="212"/>
      <c r="P41" s="213"/>
      <c r="Q41" s="257"/>
      <c r="R41" s="258"/>
      <c r="S41" s="258"/>
      <c r="T41" s="258"/>
      <c r="U41" s="258"/>
      <c r="V41" s="258"/>
      <c r="W41" s="258"/>
      <c r="X41" s="258"/>
      <c r="Y41" s="259"/>
      <c r="Z41" s="13"/>
      <c r="AB41" s="41"/>
      <c r="AC41" s="42" t="str">
        <f t="shared" si="3"/>
        <v/>
      </c>
      <c r="AD41" s="44" t="str">
        <f t="shared" si="4"/>
        <v/>
      </c>
      <c r="AE41" s="45"/>
      <c r="AF41" s="45" t="str">
        <f t="shared" si="5"/>
        <v/>
      </c>
      <c r="AG41" s="46" t="str">
        <f t="shared" si="6"/>
        <v/>
      </c>
      <c r="AH41" s="47" t="str">
        <f t="shared" si="7"/>
        <v/>
      </c>
    </row>
    <row r="42" spans="1:34" ht="19.5" customHeight="1" x14ac:dyDescent="0.25">
      <c r="A42" s="10"/>
      <c r="B42" s="40" t="s">
        <v>58</v>
      </c>
      <c r="C42" s="79"/>
      <c r="D42" s="80"/>
      <c r="E42" s="80"/>
      <c r="F42" s="80"/>
      <c r="G42" s="81"/>
      <c r="H42" s="204" t="str">
        <f t="shared" si="0"/>
        <v/>
      </c>
      <c r="I42" s="247"/>
      <c r="J42" s="206"/>
      <c r="K42" s="159" t="str">
        <f t="shared" si="1"/>
        <v/>
      </c>
      <c r="L42" s="160"/>
      <c r="M42" s="161"/>
      <c r="N42" s="211" t="str">
        <f t="shared" si="2"/>
        <v/>
      </c>
      <c r="O42" s="212"/>
      <c r="P42" s="213"/>
      <c r="Q42" s="257"/>
      <c r="R42" s="258"/>
      <c r="S42" s="258"/>
      <c r="T42" s="258"/>
      <c r="U42" s="258"/>
      <c r="V42" s="258"/>
      <c r="W42" s="258"/>
      <c r="X42" s="258"/>
      <c r="Y42" s="259"/>
      <c r="Z42" s="13"/>
      <c r="AB42" s="41"/>
      <c r="AC42" s="42" t="str">
        <f t="shared" si="3"/>
        <v/>
      </c>
      <c r="AD42" s="44" t="str">
        <f t="shared" si="4"/>
        <v/>
      </c>
      <c r="AE42" s="45"/>
      <c r="AF42" s="45" t="str">
        <f t="shared" si="5"/>
        <v/>
      </c>
      <c r="AG42" s="46" t="str">
        <f t="shared" si="6"/>
        <v/>
      </c>
      <c r="AH42" s="47" t="str">
        <f t="shared" si="7"/>
        <v/>
      </c>
    </row>
    <row r="43" spans="1:34" ht="19.5" customHeight="1" x14ac:dyDescent="0.25">
      <c r="A43" s="10"/>
      <c r="B43" s="40" t="s">
        <v>59</v>
      </c>
      <c r="C43" s="79"/>
      <c r="D43" s="80"/>
      <c r="E43" s="80"/>
      <c r="F43" s="80"/>
      <c r="G43" s="81"/>
      <c r="H43" s="204" t="str">
        <f t="shared" si="0"/>
        <v/>
      </c>
      <c r="I43" s="247"/>
      <c r="J43" s="206"/>
      <c r="K43" s="159" t="str">
        <f t="shared" si="1"/>
        <v/>
      </c>
      <c r="L43" s="160"/>
      <c r="M43" s="161"/>
      <c r="N43" s="211" t="str">
        <f t="shared" si="2"/>
        <v/>
      </c>
      <c r="O43" s="212"/>
      <c r="P43" s="213"/>
      <c r="Q43" s="257"/>
      <c r="R43" s="258"/>
      <c r="S43" s="258"/>
      <c r="T43" s="258"/>
      <c r="U43" s="258"/>
      <c r="V43" s="258"/>
      <c r="W43" s="258"/>
      <c r="X43" s="258"/>
      <c r="Y43" s="259"/>
      <c r="Z43" s="13"/>
      <c r="AB43" s="41"/>
      <c r="AC43" s="42" t="str">
        <f t="shared" si="3"/>
        <v/>
      </c>
      <c r="AD43" s="44" t="str">
        <f t="shared" si="4"/>
        <v/>
      </c>
      <c r="AE43" s="45"/>
      <c r="AF43" s="45" t="str">
        <f t="shared" si="5"/>
        <v/>
      </c>
      <c r="AG43" s="46" t="str">
        <f t="shared" si="6"/>
        <v/>
      </c>
      <c r="AH43" s="47" t="str">
        <f t="shared" si="7"/>
        <v/>
      </c>
    </row>
    <row r="44" spans="1:34" ht="19.5" customHeight="1" x14ac:dyDescent="0.25">
      <c r="A44" s="10"/>
      <c r="B44" s="40" t="s">
        <v>60</v>
      </c>
      <c r="C44" s="79"/>
      <c r="D44" s="80"/>
      <c r="E44" s="80"/>
      <c r="F44" s="80"/>
      <c r="G44" s="81"/>
      <c r="H44" s="204" t="str">
        <f t="shared" si="0"/>
        <v/>
      </c>
      <c r="I44" s="247"/>
      <c r="J44" s="206"/>
      <c r="K44" s="159" t="str">
        <f t="shared" si="1"/>
        <v/>
      </c>
      <c r="L44" s="160"/>
      <c r="M44" s="161"/>
      <c r="N44" s="211" t="str">
        <f t="shared" si="2"/>
        <v/>
      </c>
      <c r="O44" s="212"/>
      <c r="P44" s="213"/>
      <c r="Q44" s="257"/>
      <c r="R44" s="258"/>
      <c r="S44" s="258"/>
      <c r="T44" s="258"/>
      <c r="U44" s="258"/>
      <c r="V44" s="258"/>
      <c r="W44" s="258"/>
      <c r="X44" s="258"/>
      <c r="Y44" s="259"/>
      <c r="Z44" s="13"/>
      <c r="AB44" s="41"/>
      <c r="AC44" s="42" t="str">
        <f t="shared" si="3"/>
        <v/>
      </c>
      <c r="AD44" s="44" t="str">
        <f t="shared" si="4"/>
        <v/>
      </c>
      <c r="AE44" s="45"/>
      <c r="AF44" s="45" t="str">
        <f t="shared" si="5"/>
        <v/>
      </c>
      <c r="AG44" s="46" t="str">
        <f t="shared" si="6"/>
        <v/>
      </c>
      <c r="AH44" s="47" t="str">
        <f t="shared" si="7"/>
        <v/>
      </c>
    </row>
    <row r="45" spans="1:34" ht="19.5" customHeight="1" x14ac:dyDescent="0.25">
      <c r="A45" s="10"/>
      <c r="B45" s="40" t="s">
        <v>62</v>
      </c>
      <c r="C45" s="79"/>
      <c r="D45" s="80"/>
      <c r="E45" s="80"/>
      <c r="F45" s="80"/>
      <c r="G45" s="81"/>
      <c r="H45" s="204" t="str">
        <f t="shared" si="0"/>
        <v/>
      </c>
      <c r="I45" s="247"/>
      <c r="J45" s="206"/>
      <c r="K45" s="159" t="str">
        <f t="shared" si="1"/>
        <v/>
      </c>
      <c r="L45" s="160"/>
      <c r="M45" s="161"/>
      <c r="N45" s="211" t="str">
        <f t="shared" si="2"/>
        <v/>
      </c>
      <c r="O45" s="212"/>
      <c r="P45" s="213"/>
      <c r="Q45" s="257"/>
      <c r="R45" s="258"/>
      <c r="S45" s="258"/>
      <c r="T45" s="258"/>
      <c r="U45" s="258"/>
      <c r="V45" s="258"/>
      <c r="W45" s="258"/>
      <c r="X45" s="258"/>
      <c r="Y45" s="259"/>
      <c r="Z45" s="13"/>
      <c r="AB45" s="41"/>
      <c r="AC45" s="42" t="str">
        <f t="shared" si="3"/>
        <v/>
      </c>
      <c r="AD45" s="44" t="str">
        <f t="shared" si="4"/>
        <v/>
      </c>
      <c r="AE45" s="45"/>
      <c r="AF45" s="45" t="str">
        <f t="shared" si="5"/>
        <v/>
      </c>
      <c r="AG45" s="46" t="str">
        <f t="shared" si="6"/>
        <v/>
      </c>
      <c r="AH45" s="47" t="str">
        <f t="shared" si="7"/>
        <v/>
      </c>
    </row>
    <row r="46" spans="1:34" ht="19.5" customHeight="1" x14ac:dyDescent="0.25">
      <c r="A46" s="10"/>
      <c r="B46" s="40" t="s">
        <v>63</v>
      </c>
      <c r="C46" s="79"/>
      <c r="D46" s="80"/>
      <c r="E46" s="80"/>
      <c r="F46" s="80"/>
      <c r="G46" s="81"/>
      <c r="H46" s="204" t="str">
        <f t="shared" si="0"/>
        <v/>
      </c>
      <c r="I46" s="247"/>
      <c r="J46" s="206"/>
      <c r="K46" s="159" t="str">
        <f t="shared" si="1"/>
        <v/>
      </c>
      <c r="L46" s="160"/>
      <c r="M46" s="161"/>
      <c r="N46" s="211" t="str">
        <f t="shared" si="2"/>
        <v/>
      </c>
      <c r="O46" s="212"/>
      <c r="P46" s="213"/>
      <c r="Q46" s="257"/>
      <c r="R46" s="258"/>
      <c r="S46" s="258"/>
      <c r="T46" s="258"/>
      <c r="U46" s="258"/>
      <c r="V46" s="258"/>
      <c r="W46" s="258"/>
      <c r="X46" s="258"/>
      <c r="Y46" s="259"/>
      <c r="Z46" s="13"/>
      <c r="AB46" s="41"/>
      <c r="AC46" s="42" t="str">
        <f t="shared" si="3"/>
        <v/>
      </c>
      <c r="AD46" s="44" t="str">
        <f t="shared" si="4"/>
        <v/>
      </c>
      <c r="AE46" s="45"/>
      <c r="AF46" s="45" t="str">
        <f t="shared" si="5"/>
        <v/>
      </c>
      <c r="AG46" s="46" t="str">
        <f t="shared" si="6"/>
        <v/>
      </c>
      <c r="AH46" s="47" t="str">
        <f t="shared" si="7"/>
        <v/>
      </c>
    </row>
    <row r="47" spans="1:34" ht="19.5" customHeight="1" x14ac:dyDescent="0.25">
      <c r="A47" s="10"/>
      <c r="B47" s="40" t="s">
        <v>64</v>
      </c>
      <c r="C47" s="79"/>
      <c r="D47" s="80"/>
      <c r="E47" s="80"/>
      <c r="F47" s="80"/>
      <c r="G47" s="81"/>
      <c r="H47" s="204" t="str">
        <f t="shared" si="0"/>
        <v/>
      </c>
      <c r="I47" s="247"/>
      <c r="J47" s="206"/>
      <c r="K47" s="159" t="str">
        <f t="shared" si="1"/>
        <v/>
      </c>
      <c r="L47" s="160"/>
      <c r="M47" s="161"/>
      <c r="N47" s="211" t="str">
        <f t="shared" si="2"/>
        <v/>
      </c>
      <c r="O47" s="212"/>
      <c r="P47" s="213"/>
      <c r="Q47" s="257"/>
      <c r="R47" s="258"/>
      <c r="S47" s="258"/>
      <c r="T47" s="258"/>
      <c r="U47" s="258"/>
      <c r="V47" s="258"/>
      <c r="W47" s="258"/>
      <c r="X47" s="258"/>
      <c r="Y47" s="259"/>
      <c r="Z47" s="13"/>
      <c r="AB47" s="41"/>
      <c r="AC47" s="42" t="str">
        <f t="shared" si="3"/>
        <v/>
      </c>
      <c r="AD47" s="44" t="str">
        <f t="shared" si="4"/>
        <v/>
      </c>
      <c r="AE47" s="45"/>
      <c r="AF47" s="45" t="str">
        <f t="shared" si="5"/>
        <v/>
      </c>
      <c r="AG47" s="46" t="str">
        <f t="shared" si="6"/>
        <v/>
      </c>
      <c r="AH47" s="47" t="str">
        <f t="shared" si="7"/>
        <v/>
      </c>
    </row>
    <row r="48" spans="1:34" ht="19.5" customHeight="1" x14ac:dyDescent="0.25">
      <c r="A48" s="10"/>
      <c r="B48" s="40" t="s">
        <v>65</v>
      </c>
      <c r="C48" s="79"/>
      <c r="D48" s="80"/>
      <c r="E48" s="80"/>
      <c r="F48" s="80"/>
      <c r="G48" s="81"/>
      <c r="H48" s="204" t="str">
        <f t="shared" si="0"/>
        <v/>
      </c>
      <c r="I48" s="247"/>
      <c r="J48" s="206"/>
      <c r="K48" s="159" t="str">
        <f t="shared" si="1"/>
        <v/>
      </c>
      <c r="L48" s="160"/>
      <c r="M48" s="161"/>
      <c r="N48" s="211" t="str">
        <f t="shared" si="2"/>
        <v/>
      </c>
      <c r="O48" s="212"/>
      <c r="P48" s="213"/>
      <c r="Q48" s="257"/>
      <c r="R48" s="258"/>
      <c r="S48" s="258"/>
      <c r="T48" s="258"/>
      <c r="U48" s="258"/>
      <c r="V48" s="258"/>
      <c r="W48" s="258"/>
      <c r="X48" s="258"/>
      <c r="Y48" s="259"/>
      <c r="Z48" s="13"/>
      <c r="AB48" s="41"/>
      <c r="AC48" s="42" t="str">
        <f t="shared" si="3"/>
        <v/>
      </c>
      <c r="AD48" s="44" t="str">
        <f t="shared" si="4"/>
        <v/>
      </c>
      <c r="AE48" s="45"/>
      <c r="AF48" s="45" t="str">
        <f t="shared" si="5"/>
        <v/>
      </c>
      <c r="AG48" s="46" t="str">
        <f t="shared" si="6"/>
        <v/>
      </c>
      <c r="AH48" s="47" t="str">
        <f t="shared" si="7"/>
        <v/>
      </c>
    </row>
    <row r="49" spans="1:34" ht="19.5" customHeight="1" thickBot="1" x14ac:dyDescent="0.3">
      <c r="A49" s="10"/>
      <c r="B49" s="40" t="s">
        <v>66</v>
      </c>
      <c r="C49" s="79"/>
      <c r="D49" s="80"/>
      <c r="E49" s="80"/>
      <c r="F49" s="80"/>
      <c r="G49" s="81"/>
      <c r="H49" s="204" t="str">
        <f t="shared" si="0"/>
        <v/>
      </c>
      <c r="I49" s="247"/>
      <c r="J49" s="206"/>
      <c r="K49" s="159" t="str">
        <f t="shared" si="1"/>
        <v/>
      </c>
      <c r="L49" s="160"/>
      <c r="M49" s="161"/>
      <c r="N49" s="211" t="str">
        <f t="shared" si="2"/>
        <v/>
      </c>
      <c r="O49" s="212"/>
      <c r="P49" s="213"/>
      <c r="Q49" s="260"/>
      <c r="R49" s="261"/>
      <c r="S49" s="261"/>
      <c r="T49" s="261"/>
      <c r="U49" s="261"/>
      <c r="V49" s="261"/>
      <c r="W49" s="261"/>
      <c r="X49" s="261"/>
      <c r="Y49" s="262"/>
      <c r="Z49" s="13"/>
      <c r="AB49" s="41"/>
      <c r="AC49" s="42" t="str">
        <f t="shared" si="3"/>
        <v/>
      </c>
      <c r="AD49" s="44" t="str">
        <f t="shared" si="4"/>
        <v/>
      </c>
      <c r="AE49" s="45"/>
      <c r="AF49" s="45" t="str">
        <f t="shared" si="5"/>
        <v/>
      </c>
      <c r="AG49" s="46" t="str">
        <f t="shared" si="6"/>
        <v/>
      </c>
      <c r="AH49" s="47" t="str">
        <f t="shared" si="7"/>
        <v/>
      </c>
    </row>
    <row r="50" spans="1:34" ht="15.75" customHeight="1" x14ac:dyDescent="0.25">
      <c r="A50" s="10"/>
      <c r="B50" s="194" t="s">
        <v>41</v>
      </c>
      <c r="C50" s="195"/>
      <c r="D50" s="195"/>
      <c r="E50" s="195"/>
      <c r="F50" s="195"/>
      <c r="G50" s="196"/>
      <c r="H50" s="170" t="str">
        <f>IF(H25&lt;&gt;"",AVERAGE(H25:J49),"")</f>
        <v/>
      </c>
      <c r="I50" s="171"/>
      <c r="J50" s="172"/>
      <c r="K50" s="170" t="str">
        <f>IF(K25&lt;&gt;"",AVERAGE(K25:M49),"")</f>
        <v/>
      </c>
      <c r="L50" s="171"/>
      <c r="M50" s="172"/>
      <c r="N50" s="186" t="str">
        <f>IF(N25&lt;&gt;"",AVERAGE(N25:P49),"")</f>
        <v/>
      </c>
      <c r="O50" s="187"/>
      <c r="P50" s="248"/>
      <c r="Q50" s="250"/>
      <c r="R50" s="251"/>
      <c r="S50" s="66"/>
      <c r="T50" s="67"/>
      <c r="U50" s="67"/>
      <c r="V50" s="67"/>
      <c r="W50" s="67"/>
      <c r="X50" s="67"/>
      <c r="Y50" s="68"/>
      <c r="Z50" s="13"/>
      <c r="AB50" s="48"/>
      <c r="AC50" s="48"/>
      <c r="AD50" s="49"/>
      <c r="AE50" s="48"/>
      <c r="AF50" s="48"/>
      <c r="AG50" s="49"/>
      <c r="AH50" s="50"/>
    </row>
    <row r="51" spans="1:34" ht="15.75" customHeight="1" x14ac:dyDescent="0.25">
      <c r="A51" s="10"/>
      <c r="B51" s="191" t="s">
        <v>42</v>
      </c>
      <c r="C51" s="192"/>
      <c r="D51" s="192"/>
      <c r="E51" s="192"/>
      <c r="F51" s="192"/>
      <c r="G51" s="193"/>
      <c r="H51" s="162" t="str">
        <f>IF(H25&lt;&gt;"",MIN(H25:J49),"")</f>
        <v/>
      </c>
      <c r="I51" s="163"/>
      <c r="J51" s="164"/>
      <c r="K51" s="162" t="str">
        <f>IF(K25&lt;&gt;"",MIN(K25:M49),"")</f>
        <v/>
      </c>
      <c r="L51" s="163"/>
      <c r="M51" s="164"/>
      <c r="N51" s="165" t="str">
        <f>IF(N25&lt;&gt;"",MIN(N25:P49),"")</f>
        <v/>
      </c>
      <c r="O51" s="166"/>
      <c r="P51" s="252"/>
      <c r="Q51" s="253"/>
      <c r="R51" s="254"/>
      <c r="S51" s="69" t="s">
        <v>61</v>
      </c>
      <c r="T51" s="69"/>
      <c r="U51" s="69"/>
      <c r="V51" s="69"/>
      <c r="W51" s="69"/>
      <c r="X51" s="69"/>
      <c r="Y51" s="70"/>
      <c r="Z51" s="13"/>
      <c r="AB51" s="48"/>
      <c r="AC51" s="48"/>
      <c r="AD51" s="49"/>
      <c r="AE51" s="48"/>
      <c r="AF51" s="48"/>
      <c r="AG51" s="49"/>
      <c r="AH51" s="50"/>
    </row>
    <row r="52" spans="1:34" ht="15.75" customHeight="1" thickBot="1" x14ac:dyDescent="0.3">
      <c r="A52" s="10"/>
      <c r="B52" s="188" t="s">
        <v>43</v>
      </c>
      <c r="C52" s="189"/>
      <c r="D52" s="189"/>
      <c r="E52" s="189"/>
      <c r="F52" s="189"/>
      <c r="G52" s="190"/>
      <c r="H52" s="178" t="str">
        <f>IF(H25&lt;&gt;"",MAX(H25:J49),"")</f>
        <v/>
      </c>
      <c r="I52" s="179"/>
      <c r="J52" s="180"/>
      <c r="K52" s="178" t="str">
        <f>IF(K25&lt;&gt;"",MAX(K25:M49),"")</f>
        <v/>
      </c>
      <c r="L52" s="179"/>
      <c r="M52" s="180"/>
      <c r="N52" s="181" t="str">
        <f>IF(N25&lt;&gt;"",MAX(N25:P49),"")</f>
        <v/>
      </c>
      <c r="O52" s="182"/>
      <c r="P52" s="249"/>
      <c r="Q52" s="255"/>
      <c r="R52" s="256"/>
      <c r="S52" s="71"/>
      <c r="T52" s="71"/>
      <c r="U52" s="71"/>
      <c r="V52" s="71"/>
      <c r="W52" s="71"/>
      <c r="X52" s="71"/>
      <c r="Y52" s="72"/>
      <c r="Z52" s="13"/>
      <c r="AB52" s="48"/>
      <c r="AC52" s="48"/>
      <c r="AD52" s="49"/>
      <c r="AE52" s="48"/>
      <c r="AF52" s="48"/>
      <c r="AG52" s="49"/>
      <c r="AH52" s="50"/>
    </row>
    <row r="53" spans="1:34" ht="15.9" customHeight="1" x14ac:dyDescent="0.25">
      <c r="A53" s="51"/>
      <c r="B53" s="52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19"/>
    </row>
    <row r="54" spans="1:34" ht="12.75" customHeight="1" x14ac:dyDescent="0.25">
      <c r="A54" s="53"/>
      <c r="B54" s="54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34" s="20" customFormat="1" ht="15.6" customHeight="1" x14ac:dyDescent="0.25">
      <c r="A55" s="55" t="s">
        <v>80</v>
      </c>
      <c r="B55" s="56" t="s">
        <v>14</v>
      </c>
      <c r="C55" s="57"/>
      <c r="D55" s="57"/>
      <c r="E55" s="57"/>
      <c r="F55" s="58"/>
      <c r="G55" s="58"/>
      <c r="H55" s="58"/>
      <c r="I55" s="7"/>
      <c r="J55" s="7"/>
      <c r="K55" s="7"/>
      <c r="L55" s="7"/>
      <c r="M55" s="7"/>
      <c r="N55" s="7"/>
      <c r="O55" s="7"/>
      <c r="P55" s="7"/>
      <c r="Q55" s="58"/>
      <c r="R55" s="7"/>
      <c r="S55" s="7"/>
      <c r="T55" s="7"/>
      <c r="U55" s="100"/>
      <c r="V55" s="100"/>
      <c r="W55" s="100"/>
      <c r="X55" s="101"/>
      <c r="Y55" s="101"/>
      <c r="Z55" s="102"/>
    </row>
    <row r="56" spans="1:34" s="20" customFormat="1" ht="25.8" customHeight="1" x14ac:dyDescent="0.25">
      <c r="A56" s="108" t="s">
        <v>82</v>
      </c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277"/>
      <c r="R56" s="82" t="s">
        <v>9</v>
      </c>
      <c r="S56" s="83"/>
      <c r="T56" s="84"/>
      <c r="U56" s="103"/>
      <c r="V56" s="104"/>
      <c r="W56" s="104"/>
      <c r="X56" s="105"/>
      <c r="Y56" s="105"/>
      <c r="Z56" s="106"/>
    </row>
    <row r="57" spans="1:34" s="20" customFormat="1" ht="25.8" customHeight="1" x14ac:dyDescent="0.25">
      <c r="A57" s="278"/>
      <c r="B57" s="279"/>
      <c r="C57" s="279"/>
      <c r="D57" s="279"/>
      <c r="E57" s="279"/>
      <c r="F57" s="279"/>
      <c r="G57" s="279"/>
      <c r="H57" s="279"/>
      <c r="I57" s="279"/>
      <c r="J57" s="279"/>
      <c r="K57" s="279"/>
      <c r="L57" s="279"/>
      <c r="M57" s="279"/>
      <c r="N57" s="279"/>
      <c r="O57" s="279"/>
      <c r="P57" s="279"/>
      <c r="Q57" s="280"/>
      <c r="R57" s="82"/>
      <c r="S57" s="83"/>
      <c r="T57" s="84"/>
      <c r="U57" s="116"/>
      <c r="V57" s="117"/>
      <c r="W57" s="117"/>
      <c r="X57" s="95"/>
      <c r="Y57" s="95"/>
      <c r="Z57" s="94"/>
    </row>
    <row r="58" spans="1:34" s="20" customFormat="1" ht="15.6" customHeight="1" x14ac:dyDescent="0.25">
      <c r="A58" s="59" t="s">
        <v>81</v>
      </c>
      <c r="B58" s="60" t="s">
        <v>5</v>
      </c>
      <c r="C58" s="11"/>
      <c r="D58" s="1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2"/>
      <c r="R58" s="82"/>
      <c r="S58" s="83"/>
      <c r="T58" s="84"/>
      <c r="U58" s="118"/>
      <c r="V58" s="119"/>
      <c r="W58" s="119"/>
      <c r="X58" s="98"/>
      <c r="Y58" s="98"/>
      <c r="Z58" s="99"/>
    </row>
    <row r="59" spans="1:34" s="20" customFormat="1" ht="15.6" customHeight="1" x14ac:dyDescent="0.25">
      <c r="A59" s="281"/>
      <c r="B59" s="282"/>
      <c r="C59" s="282"/>
      <c r="D59" s="282"/>
      <c r="E59" s="282"/>
      <c r="F59" s="282"/>
      <c r="G59" s="282"/>
      <c r="H59" s="282"/>
      <c r="I59" s="282"/>
      <c r="J59" s="282"/>
      <c r="K59" s="282"/>
      <c r="L59" s="282"/>
      <c r="M59" s="282"/>
      <c r="N59" s="282"/>
      <c r="O59" s="282"/>
      <c r="P59" s="282"/>
      <c r="Q59" s="283"/>
      <c r="R59" s="82" t="s">
        <v>10</v>
      </c>
      <c r="S59" s="83"/>
      <c r="T59" s="84"/>
      <c r="U59" s="287"/>
      <c r="V59" s="288"/>
      <c r="W59" s="288"/>
      <c r="X59" s="289"/>
      <c r="Y59" s="289"/>
      <c r="Z59" s="290"/>
    </row>
    <row r="60" spans="1:34" s="20" customFormat="1" ht="15.6" customHeight="1" x14ac:dyDescent="0.25">
      <c r="A60" s="281"/>
      <c r="B60" s="282"/>
      <c r="C60" s="282"/>
      <c r="D60" s="282"/>
      <c r="E60" s="282"/>
      <c r="F60" s="282"/>
      <c r="G60" s="282"/>
      <c r="H60" s="282"/>
      <c r="I60" s="282"/>
      <c r="J60" s="282"/>
      <c r="K60" s="282"/>
      <c r="L60" s="282"/>
      <c r="M60" s="282"/>
      <c r="N60" s="282"/>
      <c r="O60" s="282"/>
      <c r="P60" s="282"/>
      <c r="Q60" s="283"/>
      <c r="R60" s="82"/>
      <c r="S60" s="83"/>
      <c r="T60" s="84"/>
      <c r="U60" s="291"/>
      <c r="V60" s="93"/>
      <c r="W60" s="93"/>
      <c r="X60" s="93"/>
      <c r="Y60" s="93"/>
      <c r="Z60" s="292"/>
    </row>
    <row r="61" spans="1:34" s="20" customFormat="1" ht="15.6" customHeight="1" x14ac:dyDescent="0.25">
      <c r="A61" s="281"/>
      <c r="B61" s="282"/>
      <c r="C61" s="282"/>
      <c r="D61" s="282"/>
      <c r="E61" s="282"/>
      <c r="F61" s="282"/>
      <c r="G61" s="282"/>
      <c r="H61" s="282"/>
      <c r="I61" s="282"/>
      <c r="J61" s="282"/>
      <c r="K61" s="282"/>
      <c r="L61" s="282"/>
      <c r="M61" s="282"/>
      <c r="N61" s="282"/>
      <c r="O61" s="282"/>
      <c r="P61" s="282"/>
      <c r="Q61" s="283"/>
      <c r="R61" s="82"/>
      <c r="S61" s="83"/>
      <c r="T61" s="84"/>
      <c r="U61" s="291"/>
      <c r="V61" s="93"/>
      <c r="W61" s="93"/>
      <c r="X61" s="93"/>
      <c r="Y61" s="93"/>
      <c r="Z61" s="292"/>
    </row>
    <row r="62" spans="1:34" s="20" customFormat="1" ht="15.6" customHeight="1" x14ac:dyDescent="0.25">
      <c r="A62" s="284"/>
      <c r="B62" s="285"/>
      <c r="C62" s="285"/>
      <c r="D62" s="285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6"/>
      <c r="R62" s="85"/>
      <c r="S62" s="86"/>
      <c r="T62" s="87"/>
      <c r="U62" s="293"/>
      <c r="V62" s="294"/>
      <c r="W62" s="294"/>
      <c r="X62" s="295"/>
      <c r="Y62" s="295"/>
      <c r="Z62" s="296"/>
    </row>
    <row r="64" spans="1:34" ht="12.75" customHeight="1" x14ac:dyDescent="0.25">
      <c r="A64" s="1"/>
      <c r="P64" s="11"/>
      <c r="Q64" s="11"/>
      <c r="R64" s="11"/>
      <c r="S64" s="11"/>
      <c r="T64" s="11"/>
      <c r="U64" s="11"/>
      <c r="V64" s="11"/>
      <c r="W64" s="11"/>
    </row>
    <row r="65" spans="1:23" ht="12.75" customHeight="1" x14ac:dyDescent="0.25">
      <c r="A65" s="1"/>
      <c r="P65" s="11"/>
      <c r="Q65" s="11"/>
      <c r="R65" s="11"/>
      <c r="S65" s="11"/>
      <c r="T65" s="11"/>
      <c r="U65" s="11"/>
      <c r="V65" s="11"/>
      <c r="W65" s="11"/>
    </row>
    <row r="66" spans="1:23" ht="12.75" customHeight="1" x14ac:dyDescent="0.25">
      <c r="A66" s="1"/>
      <c r="P66" s="11"/>
      <c r="Q66" s="11"/>
      <c r="R66" s="11"/>
      <c r="S66" s="11"/>
      <c r="T66" s="11"/>
      <c r="U66" s="11"/>
      <c r="V66" s="11"/>
      <c r="W66" s="11"/>
    </row>
    <row r="67" spans="1:23" ht="12.75" customHeight="1" x14ac:dyDescent="0.25">
      <c r="A67" s="1"/>
      <c r="P67" s="11"/>
      <c r="Q67" s="11"/>
      <c r="R67" s="11"/>
      <c r="S67" s="11"/>
      <c r="T67" s="11"/>
      <c r="U67" s="11"/>
      <c r="V67" s="11"/>
      <c r="W67" s="11"/>
    </row>
    <row r="68" spans="1:23" ht="12.75" customHeight="1" x14ac:dyDescent="0.25">
      <c r="A68" s="1"/>
      <c r="P68" s="11"/>
      <c r="Q68" s="11"/>
      <c r="R68" s="11"/>
      <c r="S68" s="11"/>
      <c r="T68" s="11"/>
      <c r="U68" s="11"/>
      <c r="V68" s="11"/>
      <c r="W68" s="11"/>
    </row>
    <row r="69" spans="1:23" ht="12.75" customHeight="1" x14ac:dyDescent="0.25">
      <c r="A69" s="1"/>
      <c r="P69" s="11"/>
      <c r="Q69" s="11"/>
      <c r="R69" s="11"/>
      <c r="S69" s="11"/>
      <c r="T69" s="11"/>
      <c r="U69" s="11"/>
      <c r="V69" s="11"/>
      <c r="W69" s="11"/>
    </row>
  </sheetData>
  <sheetProtection selectLockedCells="1"/>
  <mergeCells count="189">
    <mergeCell ref="T12:U12"/>
    <mergeCell ref="X12:Y12"/>
    <mergeCell ref="Q44:Y44"/>
    <mergeCell ref="Q45:Y45"/>
    <mergeCell ref="Q46:Y46"/>
    <mergeCell ref="Q47:Y47"/>
    <mergeCell ref="Q40:Y40"/>
    <mergeCell ref="N49:P49"/>
    <mergeCell ref="N47:P47"/>
    <mergeCell ref="N48:P48"/>
    <mergeCell ref="N46:P46"/>
    <mergeCell ref="Q25:Y25"/>
    <mergeCell ref="Q26:Y26"/>
    <mergeCell ref="Q27:Y27"/>
    <mergeCell ref="Q28:Y28"/>
    <mergeCell ref="Q29:Y29"/>
    <mergeCell ref="Q30:Y30"/>
    <mergeCell ref="N43:P43"/>
    <mergeCell ref="N44:P44"/>
    <mergeCell ref="Q32:Y32"/>
    <mergeCell ref="Q33:Y33"/>
    <mergeCell ref="Q34:Y34"/>
    <mergeCell ref="Q35:Y35"/>
    <mergeCell ref="N41:P41"/>
    <mergeCell ref="N42:P42"/>
    <mergeCell ref="N39:P39"/>
    <mergeCell ref="N40:P40"/>
    <mergeCell ref="Q42:Y42"/>
    <mergeCell ref="Q43:Y43"/>
    <mergeCell ref="Q36:Y36"/>
    <mergeCell ref="Q37:Y37"/>
    <mergeCell ref="Q38:Y38"/>
    <mergeCell ref="Q39:Y39"/>
    <mergeCell ref="Q41:Y41"/>
    <mergeCell ref="K39:M39"/>
    <mergeCell ref="K40:M40"/>
    <mergeCell ref="K41:M41"/>
    <mergeCell ref="K42:M42"/>
    <mergeCell ref="K43:M43"/>
    <mergeCell ref="K44:M44"/>
    <mergeCell ref="K45:M45"/>
    <mergeCell ref="K46:M46"/>
    <mergeCell ref="K47:M47"/>
    <mergeCell ref="C36:G36"/>
    <mergeCell ref="C37:G37"/>
    <mergeCell ref="C38:G38"/>
    <mergeCell ref="C39:G39"/>
    <mergeCell ref="C32:G32"/>
    <mergeCell ref="C33:G33"/>
    <mergeCell ref="C34:G34"/>
    <mergeCell ref="C35:G35"/>
    <mergeCell ref="C44:G44"/>
    <mergeCell ref="C40:G40"/>
    <mergeCell ref="C41:G41"/>
    <mergeCell ref="C42:G42"/>
    <mergeCell ref="C43:G43"/>
    <mergeCell ref="AB23:AD23"/>
    <mergeCell ref="AE23:AG23"/>
    <mergeCell ref="C25:G25"/>
    <mergeCell ref="C26:G26"/>
    <mergeCell ref="C27:G27"/>
    <mergeCell ref="C28:G28"/>
    <mergeCell ref="C29:G29"/>
    <mergeCell ref="C30:G30"/>
    <mergeCell ref="C31:G31"/>
    <mergeCell ref="H31:J31"/>
    <mergeCell ref="K31:M31"/>
    <mergeCell ref="N31:P31"/>
    <mergeCell ref="H24:J24"/>
    <mergeCell ref="K24:M24"/>
    <mergeCell ref="H25:J25"/>
    <mergeCell ref="K25:M25"/>
    <mergeCell ref="N25:P25"/>
    <mergeCell ref="H26:J26"/>
    <mergeCell ref="K26:M26"/>
    <mergeCell ref="N26:P26"/>
    <mergeCell ref="H27:J27"/>
    <mergeCell ref="K27:M27"/>
    <mergeCell ref="N27:P27"/>
    <mergeCell ref="Q31:Y31"/>
    <mergeCell ref="H45:J45"/>
    <mergeCell ref="H46:J46"/>
    <mergeCell ref="H47:J47"/>
    <mergeCell ref="B52:G52"/>
    <mergeCell ref="H52:J52"/>
    <mergeCell ref="K52:M52"/>
    <mergeCell ref="N52:P52"/>
    <mergeCell ref="Q50:R50"/>
    <mergeCell ref="B51:G51"/>
    <mergeCell ref="H51:J51"/>
    <mergeCell ref="K51:M51"/>
    <mergeCell ref="N51:P51"/>
    <mergeCell ref="Q51:R51"/>
    <mergeCell ref="Q52:R52"/>
    <mergeCell ref="H48:J48"/>
    <mergeCell ref="H49:J49"/>
    <mergeCell ref="K48:M48"/>
    <mergeCell ref="K49:M49"/>
    <mergeCell ref="N45:P45"/>
    <mergeCell ref="Q48:Y48"/>
    <mergeCell ref="Q49:Y49"/>
    <mergeCell ref="H36:J36"/>
    <mergeCell ref="K36:M36"/>
    <mergeCell ref="N36:P36"/>
    <mergeCell ref="H37:J37"/>
    <mergeCell ref="K37:M37"/>
    <mergeCell ref="N37:P37"/>
    <mergeCell ref="B50:G50"/>
    <mergeCell ref="H50:J50"/>
    <mergeCell ref="K50:M50"/>
    <mergeCell ref="N50:P50"/>
    <mergeCell ref="H38:J38"/>
    <mergeCell ref="K38:M38"/>
    <mergeCell ref="N38:P38"/>
    <mergeCell ref="C45:G45"/>
    <mergeCell ref="C46:G46"/>
    <mergeCell ref="C47:G47"/>
    <mergeCell ref="C48:G48"/>
    <mergeCell ref="C49:G49"/>
    <mergeCell ref="H39:J39"/>
    <mergeCell ref="H40:J40"/>
    <mergeCell ref="H41:J41"/>
    <mergeCell ref="H42:J42"/>
    <mergeCell ref="H43:J43"/>
    <mergeCell ref="H44:J44"/>
    <mergeCell ref="K29:M29"/>
    <mergeCell ref="N29:P29"/>
    <mergeCell ref="H30:J30"/>
    <mergeCell ref="K30:M30"/>
    <mergeCell ref="N30:P30"/>
    <mergeCell ref="H34:J34"/>
    <mergeCell ref="K34:M34"/>
    <mergeCell ref="N34:P34"/>
    <mergeCell ref="H35:J35"/>
    <mergeCell ref="K35:M35"/>
    <mergeCell ref="N35:P35"/>
    <mergeCell ref="J5:K5"/>
    <mergeCell ref="L5:O5"/>
    <mergeCell ref="P5:T5"/>
    <mergeCell ref="J6:K6"/>
    <mergeCell ref="L6:O6"/>
    <mergeCell ref="P6:T6"/>
    <mergeCell ref="N11:R11"/>
    <mergeCell ref="S10:Y10"/>
    <mergeCell ref="A1:F6"/>
    <mergeCell ref="G1:T1"/>
    <mergeCell ref="U1:Z6"/>
    <mergeCell ref="G2:T4"/>
    <mergeCell ref="G5:H5"/>
    <mergeCell ref="A7:F7"/>
    <mergeCell ref="G7:Z7"/>
    <mergeCell ref="B11:G11"/>
    <mergeCell ref="H10:M10"/>
    <mergeCell ref="H11:M11"/>
    <mergeCell ref="B10:G10"/>
    <mergeCell ref="N10:R10"/>
    <mergeCell ref="S11:Y11"/>
    <mergeCell ref="R57:T58"/>
    <mergeCell ref="R59:T62"/>
    <mergeCell ref="U57:Z58"/>
    <mergeCell ref="A59:Q62"/>
    <mergeCell ref="R56:T56"/>
    <mergeCell ref="A56:Q56"/>
    <mergeCell ref="A57:Q57"/>
    <mergeCell ref="V60:Y61"/>
    <mergeCell ref="U55:Z55"/>
    <mergeCell ref="U56:Z56"/>
    <mergeCell ref="B17:H17"/>
    <mergeCell ref="B12:G12"/>
    <mergeCell ref="N12:R12"/>
    <mergeCell ref="H12:M12"/>
    <mergeCell ref="B23:G24"/>
    <mergeCell ref="H23:J23"/>
    <mergeCell ref="K23:M23"/>
    <mergeCell ref="N23:P24"/>
    <mergeCell ref="B18:H18"/>
    <mergeCell ref="I17:Y17"/>
    <mergeCell ref="I18:Y18"/>
    <mergeCell ref="Q23:Y24"/>
    <mergeCell ref="H32:J32"/>
    <mergeCell ref="K32:M32"/>
    <mergeCell ref="N32:P32"/>
    <mergeCell ref="H33:J33"/>
    <mergeCell ref="K33:M33"/>
    <mergeCell ref="N33:P33"/>
    <mergeCell ref="H28:J28"/>
    <mergeCell ref="K28:M28"/>
    <mergeCell ref="N28:P28"/>
    <mergeCell ref="H29:J29"/>
  </mergeCells>
  <printOptions horizontalCentered="1"/>
  <pageMargins left="0.39370078740157483" right="0.39370078740157483" top="0.39370078740157483" bottom="0.39370078740157483" header="0" footer="0.19685039370078741"/>
  <pageSetup paperSize="9" scale="72" orientation="portrait" r:id="rId1"/>
  <headerFooter alignWithMargins="0">
    <oddFooter>&amp;RDG-Q / CRE PL12 du 06/04/2011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Check Box 4">
              <controlPr locked="0" defaultSize="0" autoFill="0" autoLine="0" autoPict="0">
                <anchor moveWithCells="1">
                  <from>
                    <xdr:col>18</xdr:col>
                    <xdr:colOff>60960</xdr:colOff>
                    <xdr:row>10</xdr:row>
                    <xdr:rowOff>335280</xdr:rowOff>
                  </from>
                  <to>
                    <xdr:col>19</xdr:col>
                    <xdr:colOff>30480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Check Box 5">
              <controlPr locked="0" defaultSize="0" autoFill="0" autoLine="0" autoPict="0">
                <anchor moveWithCells="1">
                  <from>
                    <xdr:col>22</xdr:col>
                    <xdr:colOff>60960</xdr:colOff>
                    <xdr:row>10</xdr:row>
                    <xdr:rowOff>335280</xdr:rowOff>
                  </from>
                  <to>
                    <xdr:col>23</xdr:col>
                    <xdr:colOff>30480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AK69"/>
  <sheetViews>
    <sheetView topLeftCell="A43" workbookViewId="0">
      <selection activeCell="A59" sqref="A59:Q62"/>
    </sheetView>
  </sheetViews>
  <sheetFormatPr baseColWidth="10" defaultColWidth="11.44140625" defaultRowHeight="12.75" customHeight="1" x14ac:dyDescent="0.25"/>
  <cols>
    <col min="1" max="1" width="5.109375" style="63" customWidth="1"/>
    <col min="2" max="26" width="5.109375" style="1" customWidth="1"/>
    <col min="27" max="38" width="7.6640625" style="1" customWidth="1"/>
    <col min="39" max="16384" width="11.44140625" style="1"/>
  </cols>
  <sheetData>
    <row r="1" spans="1:32" ht="12.6" customHeight="1" x14ac:dyDescent="0.25">
      <c r="A1" s="120"/>
      <c r="B1" s="121"/>
      <c r="C1" s="121"/>
      <c r="D1" s="121"/>
      <c r="E1" s="121"/>
      <c r="F1" s="122"/>
      <c r="G1" s="129" t="s">
        <v>16</v>
      </c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1"/>
      <c r="U1" s="135"/>
      <c r="V1" s="136"/>
      <c r="W1" s="136"/>
      <c r="X1" s="136"/>
      <c r="Y1" s="136"/>
      <c r="Z1" s="137"/>
    </row>
    <row r="2" spans="1:32" ht="12.6" customHeight="1" x14ac:dyDescent="0.25">
      <c r="A2" s="123"/>
      <c r="B2" s="124"/>
      <c r="C2" s="124"/>
      <c r="D2" s="124"/>
      <c r="E2" s="124"/>
      <c r="F2" s="125"/>
      <c r="G2" s="144" t="s">
        <v>75</v>
      </c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6"/>
      <c r="U2" s="138"/>
      <c r="V2" s="139"/>
      <c r="W2" s="139"/>
      <c r="X2" s="139"/>
      <c r="Y2" s="139"/>
      <c r="Z2" s="140"/>
    </row>
    <row r="3" spans="1:32" ht="12.6" customHeight="1" x14ac:dyDescent="0.25">
      <c r="A3" s="123"/>
      <c r="B3" s="124"/>
      <c r="C3" s="124"/>
      <c r="D3" s="124"/>
      <c r="E3" s="124"/>
      <c r="F3" s="125"/>
      <c r="G3" s="144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6"/>
      <c r="U3" s="138"/>
      <c r="V3" s="139"/>
      <c r="W3" s="139"/>
      <c r="X3" s="139"/>
      <c r="Y3" s="139"/>
      <c r="Z3" s="140"/>
    </row>
    <row r="4" spans="1:32" ht="12.6" customHeight="1" x14ac:dyDescent="0.25">
      <c r="A4" s="123"/>
      <c r="B4" s="124"/>
      <c r="C4" s="124"/>
      <c r="D4" s="124"/>
      <c r="E4" s="124"/>
      <c r="F4" s="125"/>
      <c r="G4" s="144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6"/>
      <c r="U4" s="138"/>
      <c r="V4" s="139"/>
      <c r="W4" s="139"/>
      <c r="X4" s="139"/>
      <c r="Y4" s="139"/>
      <c r="Z4" s="140"/>
    </row>
    <row r="5" spans="1:32" ht="12.6" customHeight="1" x14ac:dyDescent="0.25">
      <c r="A5" s="123"/>
      <c r="B5" s="124"/>
      <c r="C5" s="124"/>
      <c r="D5" s="124"/>
      <c r="E5" s="124"/>
      <c r="F5" s="125"/>
      <c r="G5" s="110" t="s">
        <v>76</v>
      </c>
      <c r="H5" s="111"/>
      <c r="I5" s="2" t="s">
        <v>17</v>
      </c>
      <c r="J5" s="269"/>
      <c r="K5" s="270"/>
      <c r="L5" s="271"/>
      <c r="M5" s="272"/>
      <c r="N5" s="272"/>
      <c r="O5" s="273"/>
      <c r="P5" s="274"/>
      <c r="Q5" s="275"/>
      <c r="R5" s="275"/>
      <c r="S5" s="275"/>
      <c r="T5" s="276"/>
      <c r="U5" s="138"/>
      <c r="V5" s="139"/>
      <c r="W5" s="139"/>
      <c r="X5" s="139"/>
      <c r="Y5" s="139"/>
      <c r="Z5" s="140"/>
    </row>
    <row r="6" spans="1:32" ht="12.6" customHeight="1" x14ac:dyDescent="0.25">
      <c r="A6" s="126"/>
      <c r="B6" s="127"/>
      <c r="C6" s="127"/>
      <c r="D6" s="127"/>
      <c r="E6" s="127"/>
      <c r="F6" s="128"/>
      <c r="G6" s="3"/>
      <c r="H6" s="4"/>
      <c r="I6" s="4"/>
      <c r="J6" s="107" t="s">
        <v>18</v>
      </c>
      <c r="K6" s="107"/>
      <c r="L6" s="107" t="s">
        <v>19</v>
      </c>
      <c r="M6" s="107"/>
      <c r="N6" s="107"/>
      <c r="O6" s="107"/>
      <c r="P6" s="107" t="s">
        <v>20</v>
      </c>
      <c r="Q6" s="107"/>
      <c r="R6" s="107"/>
      <c r="S6" s="107"/>
      <c r="T6" s="134"/>
      <c r="U6" s="141"/>
      <c r="V6" s="142"/>
      <c r="W6" s="142"/>
      <c r="X6" s="142"/>
      <c r="Y6" s="142"/>
      <c r="Z6" s="143"/>
    </row>
    <row r="7" spans="1:32" ht="37.200000000000003" customHeight="1" x14ac:dyDescent="0.25">
      <c r="A7" s="112" t="s">
        <v>8</v>
      </c>
      <c r="B7" s="112"/>
      <c r="C7" s="112"/>
      <c r="D7" s="112"/>
      <c r="E7" s="112"/>
      <c r="F7" s="112"/>
      <c r="G7" s="113" t="s">
        <v>15</v>
      </c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32" ht="15.6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32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32" ht="15.9" customHeight="1" x14ac:dyDescent="0.25">
      <c r="A10" s="10"/>
      <c r="B10" s="132" t="s">
        <v>7</v>
      </c>
      <c r="C10" s="132"/>
      <c r="D10" s="132"/>
      <c r="E10" s="132"/>
      <c r="F10" s="132"/>
      <c r="G10" s="132"/>
      <c r="H10" s="114"/>
      <c r="I10" s="114"/>
      <c r="J10" s="114"/>
      <c r="K10" s="114"/>
      <c r="L10" s="114"/>
      <c r="M10" s="114"/>
      <c r="N10" s="132" t="s">
        <v>1</v>
      </c>
      <c r="O10" s="132"/>
      <c r="P10" s="132"/>
      <c r="Q10" s="132"/>
      <c r="R10" s="132"/>
      <c r="S10" s="133"/>
      <c r="T10" s="133"/>
      <c r="U10" s="133"/>
      <c r="V10" s="133"/>
      <c r="W10" s="133"/>
      <c r="X10" s="133"/>
      <c r="Y10" s="133"/>
      <c r="Z10" s="14"/>
    </row>
    <row r="11" spans="1:32" ht="15.9" customHeight="1" x14ac:dyDescent="0.25">
      <c r="A11" s="10"/>
      <c r="B11" s="132" t="s">
        <v>6</v>
      </c>
      <c r="C11" s="132"/>
      <c r="D11" s="132"/>
      <c r="E11" s="132"/>
      <c r="F11" s="132"/>
      <c r="G11" s="132"/>
      <c r="H11" s="115"/>
      <c r="I11" s="115"/>
      <c r="J11" s="115"/>
      <c r="K11" s="115"/>
      <c r="L11" s="115"/>
      <c r="M11" s="115"/>
      <c r="N11" s="132" t="s">
        <v>73</v>
      </c>
      <c r="O11" s="132"/>
      <c r="P11" s="132"/>
      <c r="Q11" s="132"/>
      <c r="R11" s="132"/>
      <c r="S11" s="133"/>
      <c r="T11" s="133"/>
      <c r="U11" s="133"/>
      <c r="V11" s="133"/>
      <c r="W11" s="133"/>
      <c r="X11" s="133"/>
      <c r="Y11" s="133"/>
      <c r="Z11" s="14"/>
    </row>
    <row r="12" spans="1:32" ht="15.9" customHeight="1" x14ac:dyDescent="0.25">
      <c r="A12" s="10"/>
      <c r="B12" s="132" t="s">
        <v>72</v>
      </c>
      <c r="C12" s="132"/>
      <c r="D12" s="132"/>
      <c r="E12" s="132"/>
      <c r="F12" s="132"/>
      <c r="G12" s="132"/>
      <c r="H12" s="115"/>
      <c r="I12" s="115"/>
      <c r="J12" s="115"/>
      <c r="K12" s="115"/>
      <c r="L12" s="115"/>
      <c r="M12" s="115"/>
      <c r="N12" s="132" t="s">
        <v>24</v>
      </c>
      <c r="O12" s="132"/>
      <c r="P12" s="132"/>
      <c r="Q12" s="132"/>
      <c r="R12" s="132"/>
      <c r="S12" s="15"/>
      <c r="T12" s="199" t="s">
        <v>25</v>
      </c>
      <c r="U12" s="199"/>
      <c r="V12" s="15"/>
      <c r="W12" s="15"/>
      <c r="X12" s="199" t="s">
        <v>26</v>
      </c>
      <c r="Y12" s="199"/>
      <c r="Z12" s="14"/>
    </row>
    <row r="13" spans="1:32" ht="8.25" customHeight="1" x14ac:dyDescent="0.25">
      <c r="A13" s="16"/>
      <c r="B13" s="4"/>
      <c r="C13" s="4"/>
      <c r="D13" s="17"/>
      <c r="E13" s="17"/>
      <c r="F13" s="17"/>
      <c r="G13" s="17"/>
      <c r="H13" s="4"/>
      <c r="I13" s="4"/>
      <c r="J13" s="4"/>
      <c r="K13" s="4"/>
      <c r="L13" s="4"/>
      <c r="M13" s="4"/>
      <c r="N13" s="18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9"/>
    </row>
    <row r="14" spans="1:32" s="20" customFormat="1" ht="15" x14ac:dyDescent="0.25">
      <c r="B14" s="21"/>
      <c r="C14" s="21"/>
      <c r="K14" s="22"/>
      <c r="L14" s="21"/>
      <c r="M14" s="23"/>
    </row>
    <row r="15" spans="1:32" s="20" customFormat="1" ht="15.6" customHeight="1" x14ac:dyDescent="0.25">
      <c r="A15" s="5" t="s">
        <v>3</v>
      </c>
      <c r="B15" s="24" t="s">
        <v>11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6"/>
      <c r="AB15" s="27" t="s">
        <v>71</v>
      </c>
      <c r="AC15" s="27"/>
      <c r="AD15" s="27"/>
      <c r="AE15" s="27"/>
      <c r="AF15" s="27">
        <v>600</v>
      </c>
    </row>
    <row r="16" spans="1:32" s="20" customFormat="1" ht="15" x14ac:dyDescent="0.25">
      <c r="A16" s="28"/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1"/>
    </row>
    <row r="17" spans="1:37" s="20" customFormat="1" ht="15" x14ac:dyDescent="0.25">
      <c r="A17" s="28"/>
      <c r="B17" s="157" t="s">
        <v>12</v>
      </c>
      <c r="C17" s="157"/>
      <c r="D17" s="157"/>
      <c r="E17" s="157"/>
      <c r="F17" s="157"/>
      <c r="G17" s="157"/>
      <c r="H17" s="157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32"/>
    </row>
    <row r="18" spans="1:37" s="20" customFormat="1" ht="15" x14ac:dyDescent="0.25">
      <c r="A18" s="28"/>
      <c r="B18" s="157" t="s">
        <v>13</v>
      </c>
      <c r="C18" s="157"/>
      <c r="D18" s="157"/>
      <c r="E18" s="157"/>
      <c r="F18" s="157"/>
      <c r="G18" s="157"/>
      <c r="H18" s="157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32"/>
    </row>
    <row r="19" spans="1:37" s="20" customFormat="1" ht="13.2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</row>
    <row r="20" spans="1:37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6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37" ht="15.6" customHeight="1" x14ac:dyDescent="0.25">
      <c r="A21" s="5" t="s">
        <v>4</v>
      </c>
      <c r="B21" s="6" t="s">
        <v>44</v>
      </c>
      <c r="C21" s="37"/>
      <c r="D21" s="38"/>
      <c r="E21" s="38"/>
      <c r="F21" s="38"/>
      <c r="G21" s="38"/>
      <c r="H21" s="37"/>
      <c r="I21" s="37"/>
      <c r="J21" s="37"/>
      <c r="K21" s="37"/>
      <c r="L21" s="3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37" ht="12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37" ht="15.75" customHeight="1" x14ac:dyDescent="0.25">
      <c r="A23" s="10"/>
      <c r="B23" s="147" t="s">
        <v>27</v>
      </c>
      <c r="C23" s="148"/>
      <c r="D23" s="148"/>
      <c r="E23" s="148"/>
      <c r="F23" s="148"/>
      <c r="G23" s="148"/>
      <c r="H23" s="147" t="s">
        <v>69</v>
      </c>
      <c r="I23" s="153"/>
      <c r="J23" s="149"/>
      <c r="K23" s="147" t="s">
        <v>45</v>
      </c>
      <c r="L23" s="148"/>
      <c r="M23" s="149"/>
      <c r="N23" s="147" t="s">
        <v>28</v>
      </c>
      <c r="O23" s="153"/>
      <c r="P23" s="154"/>
      <c r="Q23" s="147" t="s">
        <v>70</v>
      </c>
      <c r="R23" s="153"/>
      <c r="S23" s="154"/>
      <c r="T23" s="148" t="s">
        <v>29</v>
      </c>
      <c r="U23" s="148"/>
      <c r="V23" s="148"/>
      <c r="W23" s="148"/>
      <c r="X23" s="148"/>
      <c r="Y23" s="149"/>
      <c r="Z23" s="13"/>
      <c r="AB23" s="208" t="s">
        <v>69</v>
      </c>
      <c r="AC23" s="209"/>
      <c r="AD23" s="210"/>
      <c r="AE23" s="183" t="s">
        <v>45</v>
      </c>
      <c r="AF23" s="184"/>
      <c r="AG23" s="185"/>
      <c r="AH23" s="183" t="s">
        <v>28</v>
      </c>
      <c r="AI23" s="184"/>
      <c r="AJ23" s="185"/>
      <c r="AK23" s="200" t="s">
        <v>50</v>
      </c>
    </row>
    <row r="24" spans="1:37" ht="15.75" customHeight="1" x14ac:dyDescent="0.25">
      <c r="A24" s="10"/>
      <c r="B24" s="150"/>
      <c r="C24" s="151"/>
      <c r="D24" s="151"/>
      <c r="E24" s="151"/>
      <c r="F24" s="151"/>
      <c r="G24" s="151"/>
      <c r="H24" s="202" t="s">
        <v>68</v>
      </c>
      <c r="I24" s="155"/>
      <c r="J24" s="203"/>
      <c r="K24" s="150" t="s">
        <v>30</v>
      </c>
      <c r="L24" s="151"/>
      <c r="M24" s="152"/>
      <c r="N24" s="150" t="s">
        <v>30</v>
      </c>
      <c r="O24" s="155"/>
      <c r="P24" s="156"/>
      <c r="Q24" s="265"/>
      <c r="R24" s="155"/>
      <c r="S24" s="156"/>
      <c r="T24" s="151"/>
      <c r="U24" s="151"/>
      <c r="V24" s="151"/>
      <c r="W24" s="151"/>
      <c r="X24" s="151"/>
      <c r="Y24" s="152"/>
      <c r="Z24" s="13"/>
      <c r="AB24" s="39" t="s">
        <v>46</v>
      </c>
      <c r="AC24" s="39" t="s">
        <v>47</v>
      </c>
      <c r="AD24" s="40" t="s">
        <v>67</v>
      </c>
      <c r="AE24" s="39" t="s">
        <v>46</v>
      </c>
      <c r="AF24" s="39" t="s">
        <v>47</v>
      </c>
      <c r="AG24" s="40" t="s">
        <v>48</v>
      </c>
      <c r="AH24" s="39" t="s">
        <v>46</v>
      </c>
      <c r="AI24" s="39" t="s">
        <v>47</v>
      </c>
      <c r="AJ24" s="40" t="s">
        <v>49</v>
      </c>
      <c r="AK24" s="201"/>
    </row>
    <row r="25" spans="1:37" ht="19.5" customHeight="1" x14ac:dyDescent="0.25">
      <c r="A25" s="10"/>
      <c r="B25" s="40" t="s">
        <v>31</v>
      </c>
      <c r="C25" s="79"/>
      <c r="D25" s="80"/>
      <c r="E25" s="80"/>
      <c r="F25" s="80"/>
      <c r="G25" s="81"/>
      <c r="H25" s="204" t="str">
        <f>IF(AB25&lt;&gt;0,AD25,"")</f>
        <v/>
      </c>
      <c r="I25" s="205"/>
      <c r="J25" s="206"/>
      <c r="K25" s="204" t="str">
        <f>IF(AE25&lt;&gt;0,AG25,"")</f>
        <v/>
      </c>
      <c r="L25" s="247"/>
      <c r="M25" s="206"/>
      <c r="N25" s="159" t="str">
        <f>IF(AE25&lt;&gt;0,AJ25,"")</f>
        <v/>
      </c>
      <c r="O25" s="205"/>
      <c r="P25" s="207"/>
      <c r="Q25" s="211" t="str">
        <f>IF(AE25&lt;&gt;0,AK25,"")</f>
        <v/>
      </c>
      <c r="R25" s="205"/>
      <c r="S25" s="207"/>
      <c r="T25" s="79"/>
      <c r="U25" s="80"/>
      <c r="V25" s="80"/>
      <c r="W25" s="80"/>
      <c r="X25" s="80"/>
      <c r="Y25" s="81"/>
      <c r="Z25" s="13"/>
      <c r="AB25" s="41"/>
      <c r="AC25" s="42" t="str">
        <f>IF(AB25&lt;&gt;0,AB25*2,"")</f>
        <v/>
      </c>
      <c r="AD25" s="43" t="str">
        <f>IF(AB25&lt;&gt;0,((70/AC25)*($AF$15/762)*100),"")</f>
        <v/>
      </c>
      <c r="AE25" s="41"/>
      <c r="AF25" s="42" t="str">
        <f>IF(AE25&lt;&gt;0,AE25*2,"")</f>
        <v/>
      </c>
      <c r="AG25" s="44" t="str">
        <f>IF(AE25&lt;&gt;0,(112.5/AF25)*100,"")</f>
        <v/>
      </c>
      <c r="AH25" s="45"/>
      <c r="AI25" s="45" t="str">
        <f>IF(AH25&lt;&gt;0,AH25*2,"")</f>
        <v/>
      </c>
      <c r="AJ25" s="46" t="str">
        <f>IF(AH25&lt;&gt;0,(90/AI25)*100,"")</f>
        <v/>
      </c>
      <c r="AK25" s="47" t="str">
        <f>IF(AE25&lt;&gt;0,AJ25/AG25,"")</f>
        <v/>
      </c>
    </row>
    <row r="26" spans="1:37" ht="19.5" customHeight="1" x14ac:dyDescent="0.25">
      <c r="A26" s="10"/>
      <c r="B26" s="40" t="s">
        <v>32</v>
      </c>
      <c r="C26" s="79"/>
      <c r="D26" s="80"/>
      <c r="E26" s="80"/>
      <c r="F26" s="80"/>
      <c r="G26" s="81"/>
      <c r="H26" s="204" t="str">
        <f t="shared" ref="H26:H48" si="0">IF(AB26&lt;&gt;0,AD26,"")</f>
        <v/>
      </c>
      <c r="I26" s="205"/>
      <c r="J26" s="206"/>
      <c r="K26" s="204" t="str">
        <f t="shared" ref="K26:K48" si="1">IF(AE26&lt;&gt;0,AG26,"")</f>
        <v/>
      </c>
      <c r="L26" s="247"/>
      <c r="M26" s="206"/>
      <c r="N26" s="159" t="str">
        <f t="shared" ref="N26:N48" si="2">IF(AE26&lt;&gt;0,AJ26,"")</f>
        <v/>
      </c>
      <c r="O26" s="205"/>
      <c r="P26" s="207"/>
      <c r="Q26" s="211" t="str">
        <f t="shared" ref="Q26:Q48" si="3">IF(AE26&lt;&gt;0,AK26,"")</f>
        <v/>
      </c>
      <c r="R26" s="205"/>
      <c r="S26" s="207"/>
      <c r="T26" s="79"/>
      <c r="U26" s="80"/>
      <c r="V26" s="80"/>
      <c r="W26" s="80"/>
      <c r="X26" s="80"/>
      <c r="Y26" s="81"/>
      <c r="Z26" s="13"/>
      <c r="AB26" s="41"/>
      <c r="AC26" s="42" t="str">
        <f t="shared" ref="AC26:AC49" si="4">IF(AB26&lt;&gt;0,AB26*2,"")</f>
        <v/>
      </c>
      <c r="AD26" s="43" t="str">
        <f t="shared" ref="AD26:AD49" si="5">IF(AB26&lt;&gt;0,((70/AC26)*($AF$15/762)*100),"")</f>
        <v/>
      </c>
      <c r="AE26" s="41"/>
      <c r="AF26" s="42" t="str">
        <f t="shared" ref="AF26:AF49" si="6">IF(AE26&lt;&gt;0,AE26*2,"")</f>
        <v/>
      </c>
      <c r="AG26" s="44" t="str">
        <f t="shared" ref="AG26:AG49" si="7">IF(AE26&lt;&gt;0,(112.5/AF26)*100,"")</f>
        <v/>
      </c>
      <c r="AH26" s="45"/>
      <c r="AI26" s="45" t="str">
        <f t="shared" ref="AI26:AI49" si="8">IF(AH26&lt;&gt;0,AH26*2,"")</f>
        <v/>
      </c>
      <c r="AJ26" s="46" t="str">
        <f t="shared" ref="AJ26:AJ49" si="9">IF(AH26&lt;&gt;0,(90/AI26)*100,"")</f>
        <v/>
      </c>
      <c r="AK26" s="47" t="str">
        <f t="shared" ref="AK26:AK49" si="10">IF(AE26&lt;&gt;0,AJ26/AG26,"")</f>
        <v/>
      </c>
    </row>
    <row r="27" spans="1:37" ht="19.5" customHeight="1" x14ac:dyDescent="0.25">
      <c r="A27" s="10"/>
      <c r="B27" s="40" t="s">
        <v>33</v>
      </c>
      <c r="C27" s="79"/>
      <c r="D27" s="80"/>
      <c r="E27" s="80"/>
      <c r="F27" s="80"/>
      <c r="G27" s="81"/>
      <c r="H27" s="204" t="str">
        <f t="shared" si="0"/>
        <v/>
      </c>
      <c r="I27" s="205"/>
      <c r="J27" s="206"/>
      <c r="K27" s="204" t="str">
        <f t="shared" si="1"/>
        <v/>
      </c>
      <c r="L27" s="247"/>
      <c r="M27" s="206"/>
      <c r="N27" s="159" t="str">
        <f t="shared" si="2"/>
        <v/>
      </c>
      <c r="O27" s="205"/>
      <c r="P27" s="207"/>
      <c r="Q27" s="211" t="str">
        <f t="shared" si="3"/>
        <v/>
      </c>
      <c r="R27" s="205"/>
      <c r="S27" s="207"/>
      <c r="T27" s="79"/>
      <c r="U27" s="80"/>
      <c r="V27" s="80"/>
      <c r="W27" s="80"/>
      <c r="X27" s="80"/>
      <c r="Y27" s="81"/>
      <c r="Z27" s="13"/>
      <c r="AB27" s="41"/>
      <c r="AC27" s="42" t="str">
        <f t="shared" si="4"/>
        <v/>
      </c>
      <c r="AD27" s="43" t="str">
        <f t="shared" si="5"/>
        <v/>
      </c>
      <c r="AE27" s="41"/>
      <c r="AF27" s="42" t="str">
        <f t="shared" si="6"/>
        <v/>
      </c>
      <c r="AG27" s="44" t="str">
        <f t="shared" si="7"/>
        <v/>
      </c>
      <c r="AH27" s="45"/>
      <c r="AI27" s="45" t="str">
        <f t="shared" si="8"/>
        <v/>
      </c>
      <c r="AJ27" s="46" t="str">
        <f t="shared" si="9"/>
        <v/>
      </c>
      <c r="AK27" s="47" t="str">
        <f t="shared" si="10"/>
        <v/>
      </c>
    </row>
    <row r="28" spans="1:37" ht="19.5" customHeight="1" x14ac:dyDescent="0.25">
      <c r="A28" s="10"/>
      <c r="B28" s="40" t="s">
        <v>34</v>
      </c>
      <c r="C28" s="79"/>
      <c r="D28" s="80"/>
      <c r="E28" s="80"/>
      <c r="F28" s="80"/>
      <c r="G28" s="81"/>
      <c r="H28" s="204" t="str">
        <f t="shared" si="0"/>
        <v/>
      </c>
      <c r="I28" s="205"/>
      <c r="J28" s="206"/>
      <c r="K28" s="204" t="str">
        <f t="shared" si="1"/>
        <v/>
      </c>
      <c r="L28" s="247"/>
      <c r="M28" s="206"/>
      <c r="N28" s="159" t="str">
        <f t="shared" si="2"/>
        <v/>
      </c>
      <c r="O28" s="205"/>
      <c r="P28" s="207"/>
      <c r="Q28" s="211" t="str">
        <f t="shared" si="3"/>
        <v/>
      </c>
      <c r="R28" s="205"/>
      <c r="S28" s="207"/>
      <c r="T28" s="79"/>
      <c r="U28" s="80"/>
      <c r="V28" s="80"/>
      <c r="W28" s="80"/>
      <c r="X28" s="80"/>
      <c r="Y28" s="81"/>
      <c r="Z28" s="13"/>
      <c r="AB28" s="41"/>
      <c r="AC28" s="42" t="str">
        <f t="shared" si="4"/>
        <v/>
      </c>
      <c r="AD28" s="43" t="str">
        <f t="shared" si="5"/>
        <v/>
      </c>
      <c r="AE28" s="41"/>
      <c r="AF28" s="42" t="str">
        <f t="shared" si="6"/>
        <v/>
      </c>
      <c r="AG28" s="44" t="str">
        <f t="shared" si="7"/>
        <v/>
      </c>
      <c r="AH28" s="45"/>
      <c r="AI28" s="45" t="str">
        <f t="shared" si="8"/>
        <v/>
      </c>
      <c r="AJ28" s="46" t="str">
        <f t="shared" si="9"/>
        <v/>
      </c>
      <c r="AK28" s="47" t="str">
        <f t="shared" si="10"/>
        <v/>
      </c>
    </row>
    <row r="29" spans="1:37" ht="19.5" customHeight="1" x14ac:dyDescent="0.25">
      <c r="A29" s="10"/>
      <c r="B29" s="40" t="s">
        <v>35</v>
      </c>
      <c r="C29" s="79"/>
      <c r="D29" s="80"/>
      <c r="E29" s="80"/>
      <c r="F29" s="80"/>
      <c r="G29" s="81"/>
      <c r="H29" s="204" t="str">
        <f t="shared" si="0"/>
        <v/>
      </c>
      <c r="I29" s="205"/>
      <c r="J29" s="206"/>
      <c r="K29" s="204" t="str">
        <f t="shared" si="1"/>
        <v/>
      </c>
      <c r="L29" s="247"/>
      <c r="M29" s="206"/>
      <c r="N29" s="159" t="str">
        <f t="shared" si="2"/>
        <v/>
      </c>
      <c r="O29" s="205"/>
      <c r="P29" s="207"/>
      <c r="Q29" s="211" t="str">
        <f t="shared" si="3"/>
        <v/>
      </c>
      <c r="R29" s="205"/>
      <c r="S29" s="207"/>
      <c r="T29" s="79"/>
      <c r="U29" s="80"/>
      <c r="V29" s="80"/>
      <c r="W29" s="80"/>
      <c r="X29" s="80"/>
      <c r="Y29" s="81"/>
      <c r="Z29" s="13"/>
      <c r="AB29" s="41"/>
      <c r="AC29" s="42" t="str">
        <f t="shared" si="4"/>
        <v/>
      </c>
      <c r="AD29" s="43" t="str">
        <f t="shared" si="5"/>
        <v/>
      </c>
      <c r="AE29" s="41"/>
      <c r="AF29" s="42" t="str">
        <f t="shared" si="6"/>
        <v/>
      </c>
      <c r="AG29" s="44" t="str">
        <f t="shared" si="7"/>
        <v/>
      </c>
      <c r="AH29" s="45"/>
      <c r="AI29" s="45" t="str">
        <f t="shared" si="8"/>
        <v/>
      </c>
      <c r="AJ29" s="46" t="str">
        <f t="shared" si="9"/>
        <v/>
      </c>
      <c r="AK29" s="47" t="str">
        <f t="shared" si="10"/>
        <v/>
      </c>
    </row>
    <row r="30" spans="1:37" ht="19.5" customHeight="1" x14ac:dyDescent="0.25">
      <c r="A30" s="10"/>
      <c r="B30" s="40" t="s">
        <v>36</v>
      </c>
      <c r="C30" s="79"/>
      <c r="D30" s="80"/>
      <c r="E30" s="80"/>
      <c r="F30" s="80"/>
      <c r="G30" s="81"/>
      <c r="H30" s="204" t="str">
        <f t="shared" si="0"/>
        <v/>
      </c>
      <c r="I30" s="205"/>
      <c r="J30" s="206"/>
      <c r="K30" s="204" t="str">
        <f t="shared" si="1"/>
        <v/>
      </c>
      <c r="L30" s="247"/>
      <c r="M30" s="206"/>
      <c r="N30" s="159" t="str">
        <f t="shared" si="2"/>
        <v/>
      </c>
      <c r="O30" s="205"/>
      <c r="P30" s="207"/>
      <c r="Q30" s="211" t="str">
        <f t="shared" si="3"/>
        <v/>
      </c>
      <c r="R30" s="205"/>
      <c r="S30" s="207"/>
      <c r="T30" s="79"/>
      <c r="U30" s="80"/>
      <c r="V30" s="80"/>
      <c r="W30" s="80"/>
      <c r="X30" s="80"/>
      <c r="Y30" s="81"/>
      <c r="Z30" s="13"/>
      <c r="AB30" s="41"/>
      <c r="AC30" s="42" t="str">
        <f t="shared" si="4"/>
        <v/>
      </c>
      <c r="AD30" s="43" t="str">
        <f t="shared" si="5"/>
        <v/>
      </c>
      <c r="AE30" s="41"/>
      <c r="AF30" s="42" t="str">
        <f t="shared" si="6"/>
        <v/>
      </c>
      <c r="AG30" s="44" t="str">
        <f t="shared" si="7"/>
        <v/>
      </c>
      <c r="AH30" s="45"/>
      <c r="AI30" s="45" t="str">
        <f t="shared" si="8"/>
        <v/>
      </c>
      <c r="AJ30" s="46" t="str">
        <f t="shared" si="9"/>
        <v/>
      </c>
      <c r="AK30" s="47" t="str">
        <f t="shared" si="10"/>
        <v/>
      </c>
    </row>
    <row r="31" spans="1:37" ht="19.5" customHeight="1" x14ac:dyDescent="0.25">
      <c r="A31" s="10"/>
      <c r="B31" s="40" t="s">
        <v>37</v>
      </c>
      <c r="C31" s="79"/>
      <c r="D31" s="80"/>
      <c r="E31" s="80"/>
      <c r="F31" s="80"/>
      <c r="G31" s="81"/>
      <c r="H31" s="204" t="str">
        <f t="shared" si="0"/>
        <v/>
      </c>
      <c r="I31" s="205"/>
      <c r="J31" s="206"/>
      <c r="K31" s="204" t="str">
        <f t="shared" si="1"/>
        <v/>
      </c>
      <c r="L31" s="247"/>
      <c r="M31" s="206"/>
      <c r="N31" s="159" t="str">
        <f t="shared" si="2"/>
        <v/>
      </c>
      <c r="O31" s="205"/>
      <c r="P31" s="207"/>
      <c r="Q31" s="211" t="str">
        <f t="shared" si="3"/>
        <v/>
      </c>
      <c r="R31" s="205"/>
      <c r="S31" s="207"/>
      <c r="T31" s="79"/>
      <c r="U31" s="80"/>
      <c r="V31" s="80"/>
      <c r="W31" s="80"/>
      <c r="X31" s="80"/>
      <c r="Y31" s="81"/>
      <c r="Z31" s="13"/>
      <c r="AB31" s="41"/>
      <c r="AC31" s="42" t="str">
        <f t="shared" si="4"/>
        <v/>
      </c>
      <c r="AD31" s="43" t="str">
        <f t="shared" si="5"/>
        <v/>
      </c>
      <c r="AE31" s="41"/>
      <c r="AF31" s="42" t="str">
        <f t="shared" si="6"/>
        <v/>
      </c>
      <c r="AG31" s="44" t="str">
        <f t="shared" si="7"/>
        <v/>
      </c>
      <c r="AH31" s="45"/>
      <c r="AI31" s="45" t="str">
        <f t="shared" si="8"/>
        <v/>
      </c>
      <c r="AJ31" s="46" t="str">
        <f t="shared" si="9"/>
        <v/>
      </c>
      <c r="AK31" s="47" t="str">
        <f t="shared" si="10"/>
        <v/>
      </c>
    </row>
    <row r="32" spans="1:37" ht="19.5" customHeight="1" x14ac:dyDescent="0.25">
      <c r="A32" s="10"/>
      <c r="B32" s="40" t="s">
        <v>38</v>
      </c>
      <c r="C32" s="79"/>
      <c r="D32" s="80"/>
      <c r="E32" s="80"/>
      <c r="F32" s="80"/>
      <c r="G32" s="81"/>
      <c r="H32" s="204" t="str">
        <f t="shared" si="0"/>
        <v/>
      </c>
      <c r="I32" s="205"/>
      <c r="J32" s="206"/>
      <c r="K32" s="204" t="str">
        <f t="shared" si="1"/>
        <v/>
      </c>
      <c r="L32" s="247"/>
      <c r="M32" s="206"/>
      <c r="N32" s="159" t="str">
        <f t="shared" si="2"/>
        <v/>
      </c>
      <c r="O32" s="205"/>
      <c r="P32" s="207"/>
      <c r="Q32" s="211" t="str">
        <f t="shared" si="3"/>
        <v/>
      </c>
      <c r="R32" s="205"/>
      <c r="S32" s="207"/>
      <c r="T32" s="79"/>
      <c r="U32" s="80"/>
      <c r="V32" s="80"/>
      <c r="W32" s="80"/>
      <c r="X32" s="80"/>
      <c r="Y32" s="81"/>
      <c r="Z32" s="13"/>
      <c r="AB32" s="41"/>
      <c r="AC32" s="42" t="str">
        <f t="shared" si="4"/>
        <v/>
      </c>
      <c r="AD32" s="43" t="str">
        <f t="shared" si="5"/>
        <v/>
      </c>
      <c r="AE32" s="41"/>
      <c r="AF32" s="42" t="str">
        <f t="shared" si="6"/>
        <v/>
      </c>
      <c r="AG32" s="44" t="str">
        <f t="shared" si="7"/>
        <v/>
      </c>
      <c r="AH32" s="45"/>
      <c r="AI32" s="45" t="str">
        <f t="shared" si="8"/>
        <v/>
      </c>
      <c r="AJ32" s="46" t="str">
        <f t="shared" si="9"/>
        <v/>
      </c>
      <c r="AK32" s="47" t="str">
        <f t="shared" si="10"/>
        <v/>
      </c>
    </row>
    <row r="33" spans="1:37" ht="19.5" customHeight="1" x14ac:dyDescent="0.25">
      <c r="A33" s="10"/>
      <c r="B33" s="40" t="s">
        <v>39</v>
      </c>
      <c r="C33" s="79"/>
      <c r="D33" s="80"/>
      <c r="E33" s="80"/>
      <c r="F33" s="80"/>
      <c r="G33" s="81"/>
      <c r="H33" s="204" t="str">
        <f t="shared" si="0"/>
        <v/>
      </c>
      <c r="I33" s="205"/>
      <c r="J33" s="206"/>
      <c r="K33" s="204" t="str">
        <f t="shared" si="1"/>
        <v/>
      </c>
      <c r="L33" s="247"/>
      <c r="M33" s="206"/>
      <c r="N33" s="159" t="str">
        <f t="shared" si="2"/>
        <v/>
      </c>
      <c r="O33" s="205"/>
      <c r="P33" s="207"/>
      <c r="Q33" s="211" t="str">
        <f t="shared" si="3"/>
        <v/>
      </c>
      <c r="R33" s="205"/>
      <c r="S33" s="207"/>
      <c r="T33" s="79"/>
      <c r="U33" s="80"/>
      <c r="V33" s="80"/>
      <c r="W33" s="80"/>
      <c r="X33" s="80"/>
      <c r="Y33" s="81"/>
      <c r="Z33" s="13"/>
      <c r="AB33" s="41"/>
      <c r="AC33" s="42" t="str">
        <f t="shared" si="4"/>
        <v/>
      </c>
      <c r="AD33" s="43" t="str">
        <f t="shared" si="5"/>
        <v/>
      </c>
      <c r="AE33" s="41"/>
      <c r="AF33" s="42" t="str">
        <f t="shared" si="6"/>
        <v/>
      </c>
      <c r="AG33" s="44" t="str">
        <f t="shared" si="7"/>
        <v/>
      </c>
      <c r="AH33" s="45"/>
      <c r="AI33" s="45" t="str">
        <f t="shared" si="8"/>
        <v/>
      </c>
      <c r="AJ33" s="46" t="str">
        <f t="shared" si="9"/>
        <v/>
      </c>
      <c r="AK33" s="47" t="str">
        <f t="shared" si="10"/>
        <v/>
      </c>
    </row>
    <row r="34" spans="1:37" ht="19.5" customHeight="1" x14ac:dyDescent="0.25">
      <c r="A34" s="10"/>
      <c r="B34" s="40" t="s">
        <v>40</v>
      </c>
      <c r="C34" s="79"/>
      <c r="D34" s="80"/>
      <c r="E34" s="80"/>
      <c r="F34" s="80"/>
      <c r="G34" s="81"/>
      <c r="H34" s="204" t="str">
        <f t="shared" si="0"/>
        <v/>
      </c>
      <c r="I34" s="205"/>
      <c r="J34" s="206"/>
      <c r="K34" s="204" t="str">
        <f t="shared" si="1"/>
        <v/>
      </c>
      <c r="L34" s="247"/>
      <c r="M34" s="206"/>
      <c r="N34" s="159" t="str">
        <f t="shared" si="2"/>
        <v/>
      </c>
      <c r="O34" s="205"/>
      <c r="P34" s="207"/>
      <c r="Q34" s="211" t="str">
        <f t="shared" si="3"/>
        <v/>
      </c>
      <c r="R34" s="205"/>
      <c r="S34" s="207"/>
      <c r="T34" s="79"/>
      <c r="U34" s="80"/>
      <c r="V34" s="80"/>
      <c r="W34" s="80"/>
      <c r="X34" s="80"/>
      <c r="Y34" s="81"/>
      <c r="Z34" s="13"/>
      <c r="AB34" s="41"/>
      <c r="AC34" s="42" t="str">
        <f t="shared" si="4"/>
        <v/>
      </c>
      <c r="AD34" s="43" t="str">
        <f t="shared" si="5"/>
        <v/>
      </c>
      <c r="AE34" s="41"/>
      <c r="AF34" s="42" t="str">
        <f t="shared" si="6"/>
        <v/>
      </c>
      <c r="AG34" s="44" t="str">
        <f t="shared" si="7"/>
        <v/>
      </c>
      <c r="AH34" s="45"/>
      <c r="AI34" s="45" t="str">
        <f t="shared" si="8"/>
        <v/>
      </c>
      <c r="AJ34" s="46" t="str">
        <f t="shared" si="9"/>
        <v/>
      </c>
      <c r="AK34" s="47" t="str">
        <f t="shared" si="10"/>
        <v/>
      </c>
    </row>
    <row r="35" spans="1:37" ht="19.5" customHeight="1" x14ac:dyDescent="0.25">
      <c r="A35" s="10"/>
      <c r="B35" s="40" t="s">
        <v>51</v>
      </c>
      <c r="C35" s="79"/>
      <c r="D35" s="80"/>
      <c r="E35" s="80"/>
      <c r="F35" s="80"/>
      <c r="G35" s="81"/>
      <c r="H35" s="204" t="str">
        <f t="shared" si="0"/>
        <v/>
      </c>
      <c r="I35" s="205"/>
      <c r="J35" s="206"/>
      <c r="K35" s="204" t="str">
        <f t="shared" si="1"/>
        <v/>
      </c>
      <c r="L35" s="247"/>
      <c r="M35" s="206"/>
      <c r="N35" s="159" t="str">
        <f t="shared" si="2"/>
        <v/>
      </c>
      <c r="O35" s="205"/>
      <c r="P35" s="207"/>
      <c r="Q35" s="211" t="str">
        <f t="shared" si="3"/>
        <v/>
      </c>
      <c r="R35" s="205"/>
      <c r="S35" s="207"/>
      <c r="T35" s="79"/>
      <c r="U35" s="80"/>
      <c r="V35" s="80"/>
      <c r="W35" s="80"/>
      <c r="X35" s="80"/>
      <c r="Y35" s="81"/>
      <c r="Z35" s="13"/>
      <c r="AB35" s="41"/>
      <c r="AC35" s="42" t="str">
        <f t="shared" si="4"/>
        <v/>
      </c>
      <c r="AD35" s="43" t="str">
        <f t="shared" si="5"/>
        <v/>
      </c>
      <c r="AE35" s="41"/>
      <c r="AF35" s="42" t="str">
        <f t="shared" si="6"/>
        <v/>
      </c>
      <c r="AG35" s="44" t="str">
        <f t="shared" si="7"/>
        <v/>
      </c>
      <c r="AH35" s="45"/>
      <c r="AI35" s="45" t="str">
        <f t="shared" si="8"/>
        <v/>
      </c>
      <c r="AJ35" s="46" t="str">
        <f t="shared" si="9"/>
        <v/>
      </c>
      <c r="AK35" s="47" t="str">
        <f t="shared" si="10"/>
        <v/>
      </c>
    </row>
    <row r="36" spans="1:37" ht="19.5" customHeight="1" x14ac:dyDescent="0.25">
      <c r="A36" s="10"/>
      <c r="B36" s="40" t="s">
        <v>52</v>
      </c>
      <c r="C36" s="79"/>
      <c r="D36" s="80"/>
      <c r="E36" s="80"/>
      <c r="F36" s="80"/>
      <c r="G36" s="81"/>
      <c r="H36" s="204" t="str">
        <f t="shared" si="0"/>
        <v/>
      </c>
      <c r="I36" s="205"/>
      <c r="J36" s="206"/>
      <c r="K36" s="204" t="str">
        <f t="shared" si="1"/>
        <v/>
      </c>
      <c r="L36" s="247"/>
      <c r="M36" s="206"/>
      <c r="N36" s="159" t="str">
        <f t="shared" si="2"/>
        <v/>
      </c>
      <c r="O36" s="205"/>
      <c r="P36" s="207"/>
      <c r="Q36" s="211" t="str">
        <f t="shared" si="3"/>
        <v/>
      </c>
      <c r="R36" s="205"/>
      <c r="S36" s="207"/>
      <c r="T36" s="79"/>
      <c r="U36" s="80"/>
      <c r="V36" s="80"/>
      <c r="W36" s="80"/>
      <c r="X36" s="80"/>
      <c r="Y36" s="81"/>
      <c r="Z36" s="13"/>
      <c r="AB36" s="41"/>
      <c r="AC36" s="42" t="str">
        <f t="shared" si="4"/>
        <v/>
      </c>
      <c r="AD36" s="43" t="str">
        <f t="shared" si="5"/>
        <v/>
      </c>
      <c r="AE36" s="41"/>
      <c r="AF36" s="42" t="str">
        <f t="shared" si="6"/>
        <v/>
      </c>
      <c r="AG36" s="44" t="str">
        <f t="shared" si="7"/>
        <v/>
      </c>
      <c r="AH36" s="45"/>
      <c r="AI36" s="45" t="str">
        <f t="shared" si="8"/>
        <v/>
      </c>
      <c r="AJ36" s="46" t="str">
        <f t="shared" si="9"/>
        <v/>
      </c>
      <c r="AK36" s="47" t="str">
        <f t="shared" si="10"/>
        <v/>
      </c>
    </row>
    <row r="37" spans="1:37" ht="19.5" customHeight="1" x14ac:dyDescent="0.25">
      <c r="A37" s="10"/>
      <c r="B37" s="40" t="s">
        <v>53</v>
      </c>
      <c r="C37" s="79"/>
      <c r="D37" s="80"/>
      <c r="E37" s="80"/>
      <c r="F37" s="80"/>
      <c r="G37" s="81"/>
      <c r="H37" s="204" t="str">
        <f t="shared" si="0"/>
        <v/>
      </c>
      <c r="I37" s="205"/>
      <c r="J37" s="206"/>
      <c r="K37" s="204" t="str">
        <f t="shared" si="1"/>
        <v/>
      </c>
      <c r="L37" s="247"/>
      <c r="M37" s="206"/>
      <c r="N37" s="159" t="str">
        <f t="shared" si="2"/>
        <v/>
      </c>
      <c r="O37" s="205"/>
      <c r="P37" s="207"/>
      <c r="Q37" s="211" t="str">
        <f t="shared" si="3"/>
        <v/>
      </c>
      <c r="R37" s="205"/>
      <c r="S37" s="207"/>
      <c r="T37" s="79"/>
      <c r="U37" s="80"/>
      <c r="V37" s="80"/>
      <c r="W37" s="80"/>
      <c r="X37" s="80"/>
      <c r="Y37" s="81"/>
      <c r="Z37" s="13"/>
      <c r="AB37" s="41"/>
      <c r="AC37" s="42" t="str">
        <f t="shared" si="4"/>
        <v/>
      </c>
      <c r="AD37" s="43" t="str">
        <f t="shared" si="5"/>
        <v/>
      </c>
      <c r="AE37" s="41"/>
      <c r="AF37" s="42" t="str">
        <f t="shared" si="6"/>
        <v/>
      </c>
      <c r="AG37" s="44" t="str">
        <f t="shared" si="7"/>
        <v/>
      </c>
      <c r="AH37" s="45"/>
      <c r="AI37" s="45" t="str">
        <f t="shared" si="8"/>
        <v/>
      </c>
      <c r="AJ37" s="46" t="str">
        <f t="shared" si="9"/>
        <v/>
      </c>
      <c r="AK37" s="47" t="str">
        <f t="shared" si="10"/>
        <v/>
      </c>
    </row>
    <row r="38" spans="1:37" ht="19.5" customHeight="1" x14ac:dyDescent="0.25">
      <c r="A38" s="10"/>
      <c r="B38" s="40" t="s">
        <v>54</v>
      </c>
      <c r="C38" s="79"/>
      <c r="D38" s="80"/>
      <c r="E38" s="80"/>
      <c r="F38" s="80"/>
      <c r="G38" s="81"/>
      <c r="H38" s="204" t="str">
        <f t="shared" si="0"/>
        <v/>
      </c>
      <c r="I38" s="205"/>
      <c r="J38" s="206"/>
      <c r="K38" s="204" t="str">
        <f t="shared" si="1"/>
        <v/>
      </c>
      <c r="L38" s="247"/>
      <c r="M38" s="206"/>
      <c r="N38" s="159" t="str">
        <f t="shared" si="2"/>
        <v/>
      </c>
      <c r="O38" s="205"/>
      <c r="P38" s="207"/>
      <c r="Q38" s="211" t="str">
        <f t="shared" si="3"/>
        <v/>
      </c>
      <c r="R38" s="205"/>
      <c r="S38" s="207"/>
      <c r="T38" s="79"/>
      <c r="U38" s="80"/>
      <c r="V38" s="80"/>
      <c r="W38" s="80"/>
      <c r="X38" s="80"/>
      <c r="Y38" s="81"/>
      <c r="Z38" s="13"/>
      <c r="AB38" s="41"/>
      <c r="AC38" s="42" t="str">
        <f t="shared" si="4"/>
        <v/>
      </c>
      <c r="AD38" s="43" t="str">
        <f t="shared" si="5"/>
        <v/>
      </c>
      <c r="AE38" s="41"/>
      <c r="AF38" s="42" t="str">
        <f t="shared" si="6"/>
        <v/>
      </c>
      <c r="AG38" s="44" t="str">
        <f t="shared" si="7"/>
        <v/>
      </c>
      <c r="AH38" s="45"/>
      <c r="AI38" s="45" t="str">
        <f t="shared" si="8"/>
        <v/>
      </c>
      <c r="AJ38" s="46" t="str">
        <f t="shared" si="9"/>
        <v/>
      </c>
      <c r="AK38" s="47" t="str">
        <f t="shared" si="10"/>
        <v/>
      </c>
    </row>
    <row r="39" spans="1:37" ht="19.5" customHeight="1" x14ac:dyDescent="0.25">
      <c r="A39" s="10"/>
      <c r="B39" s="40" t="s">
        <v>55</v>
      </c>
      <c r="C39" s="79"/>
      <c r="D39" s="80"/>
      <c r="E39" s="80"/>
      <c r="F39" s="80"/>
      <c r="G39" s="81"/>
      <c r="H39" s="204" t="str">
        <f t="shared" si="0"/>
        <v/>
      </c>
      <c r="I39" s="205"/>
      <c r="J39" s="206"/>
      <c r="K39" s="204" t="str">
        <f t="shared" si="1"/>
        <v/>
      </c>
      <c r="L39" s="247"/>
      <c r="M39" s="206"/>
      <c r="N39" s="159" t="str">
        <f t="shared" si="2"/>
        <v/>
      </c>
      <c r="O39" s="205"/>
      <c r="P39" s="207"/>
      <c r="Q39" s="211" t="str">
        <f t="shared" si="3"/>
        <v/>
      </c>
      <c r="R39" s="205"/>
      <c r="S39" s="207"/>
      <c r="T39" s="79"/>
      <c r="U39" s="80"/>
      <c r="V39" s="80"/>
      <c r="W39" s="80"/>
      <c r="X39" s="80"/>
      <c r="Y39" s="81"/>
      <c r="Z39" s="13"/>
      <c r="AB39" s="41"/>
      <c r="AC39" s="42" t="str">
        <f t="shared" si="4"/>
        <v/>
      </c>
      <c r="AD39" s="43" t="str">
        <f t="shared" si="5"/>
        <v/>
      </c>
      <c r="AE39" s="41"/>
      <c r="AF39" s="42" t="str">
        <f t="shared" si="6"/>
        <v/>
      </c>
      <c r="AG39" s="44" t="str">
        <f t="shared" si="7"/>
        <v/>
      </c>
      <c r="AH39" s="45"/>
      <c r="AI39" s="45" t="str">
        <f t="shared" si="8"/>
        <v/>
      </c>
      <c r="AJ39" s="46" t="str">
        <f t="shared" si="9"/>
        <v/>
      </c>
      <c r="AK39" s="47" t="str">
        <f t="shared" si="10"/>
        <v/>
      </c>
    </row>
    <row r="40" spans="1:37" ht="19.5" customHeight="1" x14ac:dyDescent="0.25">
      <c r="A40" s="10"/>
      <c r="B40" s="40" t="s">
        <v>56</v>
      </c>
      <c r="C40" s="79"/>
      <c r="D40" s="80"/>
      <c r="E40" s="80"/>
      <c r="F40" s="80"/>
      <c r="G40" s="81"/>
      <c r="H40" s="204" t="str">
        <f t="shared" si="0"/>
        <v/>
      </c>
      <c r="I40" s="205"/>
      <c r="J40" s="206"/>
      <c r="K40" s="204" t="str">
        <f t="shared" si="1"/>
        <v/>
      </c>
      <c r="L40" s="247"/>
      <c r="M40" s="206"/>
      <c r="N40" s="159" t="str">
        <f t="shared" si="2"/>
        <v/>
      </c>
      <c r="O40" s="205"/>
      <c r="P40" s="207"/>
      <c r="Q40" s="211" t="str">
        <f t="shared" si="3"/>
        <v/>
      </c>
      <c r="R40" s="205"/>
      <c r="S40" s="207"/>
      <c r="T40" s="79"/>
      <c r="U40" s="80"/>
      <c r="V40" s="80"/>
      <c r="W40" s="80"/>
      <c r="X40" s="80"/>
      <c r="Y40" s="81"/>
      <c r="Z40" s="13"/>
      <c r="AB40" s="41"/>
      <c r="AC40" s="42" t="str">
        <f t="shared" si="4"/>
        <v/>
      </c>
      <c r="AD40" s="43" t="str">
        <f t="shared" si="5"/>
        <v/>
      </c>
      <c r="AE40" s="41"/>
      <c r="AF40" s="42" t="str">
        <f t="shared" si="6"/>
        <v/>
      </c>
      <c r="AG40" s="44" t="str">
        <f t="shared" si="7"/>
        <v/>
      </c>
      <c r="AH40" s="45"/>
      <c r="AI40" s="45" t="str">
        <f t="shared" si="8"/>
        <v/>
      </c>
      <c r="AJ40" s="46" t="str">
        <f t="shared" si="9"/>
        <v/>
      </c>
      <c r="AK40" s="47" t="str">
        <f t="shared" si="10"/>
        <v/>
      </c>
    </row>
    <row r="41" spans="1:37" ht="19.5" customHeight="1" x14ac:dyDescent="0.25">
      <c r="A41" s="10"/>
      <c r="B41" s="40" t="s">
        <v>57</v>
      </c>
      <c r="C41" s="79"/>
      <c r="D41" s="80"/>
      <c r="E41" s="80"/>
      <c r="F41" s="80"/>
      <c r="G41" s="81"/>
      <c r="H41" s="204" t="str">
        <f t="shared" si="0"/>
        <v/>
      </c>
      <c r="I41" s="205"/>
      <c r="J41" s="206"/>
      <c r="K41" s="204" t="str">
        <f t="shared" si="1"/>
        <v/>
      </c>
      <c r="L41" s="247"/>
      <c r="M41" s="206"/>
      <c r="N41" s="159" t="str">
        <f t="shared" si="2"/>
        <v/>
      </c>
      <c r="O41" s="205"/>
      <c r="P41" s="207"/>
      <c r="Q41" s="211" t="str">
        <f t="shared" si="3"/>
        <v/>
      </c>
      <c r="R41" s="205"/>
      <c r="S41" s="207"/>
      <c r="T41" s="79"/>
      <c r="U41" s="80"/>
      <c r="V41" s="80"/>
      <c r="W41" s="80"/>
      <c r="X41" s="80"/>
      <c r="Y41" s="81"/>
      <c r="Z41" s="13"/>
      <c r="AB41" s="41"/>
      <c r="AC41" s="42" t="str">
        <f t="shared" si="4"/>
        <v/>
      </c>
      <c r="AD41" s="43" t="str">
        <f t="shared" si="5"/>
        <v/>
      </c>
      <c r="AE41" s="41"/>
      <c r="AF41" s="42" t="str">
        <f t="shared" si="6"/>
        <v/>
      </c>
      <c r="AG41" s="44" t="str">
        <f t="shared" si="7"/>
        <v/>
      </c>
      <c r="AH41" s="45"/>
      <c r="AI41" s="45" t="str">
        <f t="shared" si="8"/>
        <v/>
      </c>
      <c r="AJ41" s="46" t="str">
        <f t="shared" si="9"/>
        <v/>
      </c>
      <c r="AK41" s="47" t="str">
        <f t="shared" si="10"/>
        <v/>
      </c>
    </row>
    <row r="42" spans="1:37" ht="19.5" customHeight="1" x14ac:dyDescent="0.25">
      <c r="A42" s="10"/>
      <c r="B42" s="40" t="s">
        <v>58</v>
      </c>
      <c r="C42" s="79"/>
      <c r="D42" s="80"/>
      <c r="E42" s="80"/>
      <c r="F42" s="80"/>
      <c r="G42" s="81"/>
      <c r="H42" s="204" t="str">
        <f t="shared" si="0"/>
        <v/>
      </c>
      <c r="I42" s="205"/>
      <c r="J42" s="206"/>
      <c r="K42" s="204" t="str">
        <f t="shared" si="1"/>
        <v/>
      </c>
      <c r="L42" s="247"/>
      <c r="M42" s="206"/>
      <c r="N42" s="159" t="str">
        <f t="shared" si="2"/>
        <v/>
      </c>
      <c r="O42" s="205"/>
      <c r="P42" s="207"/>
      <c r="Q42" s="211" t="str">
        <f t="shared" si="3"/>
        <v/>
      </c>
      <c r="R42" s="205"/>
      <c r="S42" s="207"/>
      <c r="T42" s="79"/>
      <c r="U42" s="80"/>
      <c r="V42" s="80"/>
      <c r="W42" s="80"/>
      <c r="X42" s="80"/>
      <c r="Y42" s="81"/>
      <c r="Z42" s="13"/>
      <c r="AB42" s="41"/>
      <c r="AC42" s="42" t="str">
        <f t="shared" si="4"/>
        <v/>
      </c>
      <c r="AD42" s="43" t="str">
        <f t="shared" si="5"/>
        <v/>
      </c>
      <c r="AE42" s="41"/>
      <c r="AF42" s="42" t="str">
        <f t="shared" si="6"/>
        <v/>
      </c>
      <c r="AG42" s="44" t="str">
        <f t="shared" si="7"/>
        <v/>
      </c>
      <c r="AH42" s="45"/>
      <c r="AI42" s="45" t="str">
        <f t="shared" si="8"/>
        <v/>
      </c>
      <c r="AJ42" s="46" t="str">
        <f t="shared" si="9"/>
        <v/>
      </c>
      <c r="AK42" s="47" t="str">
        <f t="shared" si="10"/>
        <v/>
      </c>
    </row>
    <row r="43" spans="1:37" ht="19.5" customHeight="1" x14ac:dyDescent="0.25">
      <c r="A43" s="10"/>
      <c r="B43" s="40" t="s">
        <v>59</v>
      </c>
      <c r="C43" s="79"/>
      <c r="D43" s="80"/>
      <c r="E43" s="80"/>
      <c r="F43" s="80"/>
      <c r="G43" s="81"/>
      <c r="H43" s="204" t="str">
        <f t="shared" si="0"/>
        <v/>
      </c>
      <c r="I43" s="205"/>
      <c r="J43" s="206"/>
      <c r="K43" s="204" t="str">
        <f t="shared" si="1"/>
        <v/>
      </c>
      <c r="L43" s="247"/>
      <c r="M43" s="206"/>
      <c r="N43" s="159" t="str">
        <f t="shared" si="2"/>
        <v/>
      </c>
      <c r="O43" s="205"/>
      <c r="P43" s="207"/>
      <c r="Q43" s="211" t="str">
        <f t="shared" si="3"/>
        <v/>
      </c>
      <c r="R43" s="205"/>
      <c r="S43" s="207"/>
      <c r="T43" s="79"/>
      <c r="U43" s="80"/>
      <c r="V43" s="80"/>
      <c r="W43" s="80"/>
      <c r="X43" s="80"/>
      <c r="Y43" s="81"/>
      <c r="Z43" s="13"/>
      <c r="AB43" s="41"/>
      <c r="AC43" s="42" t="str">
        <f t="shared" si="4"/>
        <v/>
      </c>
      <c r="AD43" s="43" t="str">
        <f t="shared" si="5"/>
        <v/>
      </c>
      <c r="AE43" s="41"/>
      <c r="AF43" s="42" t="str">
        <f t="shared" si="6"/>
        <v/>
      </c>
      <c r="AG43" s="44" t="str">
        <f t="shared" si="7"/>
        <v/>
      </c>
      <c r="AH43" s="45"/>
      <c r="AI43" s="45" t="str">
        <f t="shared" si="8"/>
        <v/>
      </c>
      <c r="AJ43" s="46" t="str">
        <f t="shared" si="9"/>
        <v/>
      </c>
      <c r="AK43" s="47" t="str">
        <f t="shared" si="10"/>
        <v/>
      </c>
    </row>
    <row r="44" spans="1:37" ht="19.5" customHeight="1" x14ac:dyDescent="0.25">
      <c r="A44" s="10"/>
      <c r="B44" s="40" t="s">
        <v>60</v>
      </c>
      <c r="C44" s="79"/>
      <c r="D44" s="80"/>
      <c r="E44" s="80"/>
      <c r="F44" s="80"/>
      <c r="G44" s="81"/>
      <c r="H44" s="204" t="str">
        <f t="shared" si="0"/>
        <v/>
      </c>
      <c r="I44" s="205"/>
      <c r="J44" s="206"/>
      <c r="K44" s="204" t="str">
        <f t="shared" si="1"/>
        <v/>
      </c>
      <c r="L44" s="247"/>
      <c r="M44" s="206"/>
      <c r="N44" s="159" t="str">
        <f t="shared" si="2"/>
        <v/>
      </c>
      <c r="O44" s="205"/>
      <c r="P44" s="207"/>
      <c r="Q44" s="211" t="str">
        <f t="shared" si="3"/>
        <v/>
      </c>
      <c r="R44" s="205"/>
      <c r="S44" s="207"/>
      <c r="T44" s="79"/>
      <c r="U44" s="80"/>
      <c r="V44" s="80"/>
      <c r="W44" s="80"/>
      <c r="X44" s="80"/>
      <c r="Y44" s="81"/>
      <c r="Z44" s="13"/>
      <c r="AB44" s="41"/>
      <c r="AC44" s="42" t="str">
        <f t="shared" si="4"/>
        <v/>
      </c>
      <c r="AD44" s="43" t="str">
        <f t="shared" si="5"/>
        <v/>
      </c>
      <c r="AE44" s="41"/>
      <c r="AF44" s="42" t="str">
        <f t="shared" si="6"/>
        <v/>
      </c>
      <c r="AG44" s="44" t="str">
        <f t="shared" si="7"/>
        <v/>
      </c>
      <c r="AH44" s="45"/>
      <c r="AI44" s="45" t="str">
        <f t="shared" si="8"/>
        <v/>
      </c>
      <c r="AJ44" s="46" t="str">
        <f t="shared" si="9"/>
        <v/>
      </c>
      <c r="AK44" s="47" t="str">
        <f t="shared" si="10"/>
        <v/>
      </c>
    </row>
    <row r="45" spans="1:37" ht="19.5" customHeight="1" x14ac:dyDescent="0.25">
      <c r="A45" s="10"/>
      <c r="B45" s="40" t="s">
        <v>62</v>
      </c>
      <c r="C45" s="79"/>
      <c r="D45" s="80"/>
      <c r="E45" s="80"/>
      <c r="F45" s="80"/>
      <c r="G45" s="81"/>
      <c r="H45" s="204" t="str">
        <f t="shared" si="0"/>
        <v/>
      </c>
      <c r="I45" s="205"/>
      <c r="J45" s="206"/>
      <c r="K45" s="204" t="str">
        <f t="shared" si="1"/>
        <v/>
      </c>
      <c r="L45" s="247"/>
      <c r="M45" s="206"/>
      <c r="N45" s="159" t="str">
        <f t="shared" si="2"/>
        <v/>
      </c>
      <c r="O45" s="205"/>
      <c r="P45" s="207"/>
      <c r="Q45" s="211" t="str">
        <f t="shared" si="3"/>
        <v/>
      </c>
      <c r="R45" s="205"/>
      <c r="S45" s="207"/>
      <c r="T45" s="79"/>
      <c r="U45" s="80"/>
      <c r="V45" s="80"/>
      <c r="W45" s="80"/>
      <c r="X45" s="80"/>
      <c r="Y45" s="81"/>
      <c r="Z45" s="13"/>
      <c r="AB45" s="41"/>
      <c r="AC45" s="42" t="str">
        <f t="shared" si="4"/>
        <v/>
      </c>
      <c r="AD45" s="43" t="str">
        <f t="shared" si="5"/>
        <v/>
      </c>
      <c r="AE45" s="41"/>
      <c r="AF45" s="42" t="str">
        <f t="shared" si="6"/>
        <v/>
      </c>
      <c r="AG45" s="44" t="str">
        <f t="shared" si="7"/>
        <v/>
      </c>
      <c r="AH45" s="45"/>
      <c r="AI45" s="45" t="str">
        <f t="shared" si="8"/>
        <v/>
      </c>
      <c r="AJ45" s="46" t="str">
        <f t="shared" si="9"/>
        <v/>
      </c>
      <c r="AK45" s="47" t="str">
        <f t="shared" si="10"/>
        <v/>
      </c>
    </row>
    <row r="46" spans="1:37" ht="19.5" customHeight="1" x14ac:dyDescent="0.25">
      <c r="A46" s="10"/>
      <c r="B46" s="40" t="s">
        <v>63</v>
      </c>
      <c r="C46" s="79"/>
      <c r="D46" s="80"/>
      <c r="E46" s="80"/>
      <c r="F46" s="80"/>
      <c r="G46" s="81"/>
      <c r="H46" s="204" t="str">
        <f t="shared" si="0"/>
        <v/>
      </c>
      <c r="I46" s="205"/>
      <c r="J46" s="206"/>
      <c r="K46" s="204" t="str">
        <f t="shared" si="1"/>
        <v/>
      </c>
      <c r="L46" s="247"/>
      <c r="M46" s="206"/>
      <c r="N46" s="159" t="str">
        <f t="shared" si="2"/>
        <v/>
      </c>
      <c r="O46" s="205"/>
      <c r="P46" s="207"/>
      <c r="Q46" s="211" t="str">
        <f t="shared" si="3"/>
        <v/>
      </c>
      <c r="R46" s="205"/>
      <c r="S46" s="207"/>
      <c r="T46" s="79"/>
      <c r="U46" s="80"/>
      <c r="V46" s="80"/>
      <c r="W46" s="80"/>
      <c r="X46" s="80"/>
      <c r="Y46" s="81"/>
      <c r="Z46" s="13"/>
      <c r="AB46" s="41"/>
      <c r="AC46" s="42" t="str">
        <f t="shared" si="4"/>
        <v/>
      </c>
      <c r="AD46" s="43" t="str">
        <f t="shared" si="5"/>
        <v/>
      </c>
      <c r="AE46" s="41"/>
      <c r="AF46" s="42" t="str">
        <f t="shared" si="6"/>
        <v/>
      </c>
      <c r="AG46" s="44" t="str">
        <f t="shared" si="7"/>
        <v/>
      </c>
      <c r="AH46" s="45"/>
      <c r="AI46" s="45" t="str">
        <f t="shared" si="8"/>
        <v/>
      </c>
      <c r="AJ46" s="46" t="str">
        <f t="shared" si="9"/>
        <v/>
      </c>
      <c r="AK46" s="47" t="str">
        <f t="shared" si="10"/>
        <v/>
      </c>
    </row>
    <row r="47" spans="1:37" ht="19.5" customHeight="1" x14ac:dyDescent="0.25">
      <c r="A47" s="10"/>
      <c r="B47" s="40" t="s">
        <v>64</v>
      </c>
      <c r="C47" s="79"/>
      <c r="D47" s="80"/>
      <c r="E47" s="80"/>
      <c r="F47" s="80"/>
      <c r="G47" s="81"/>
      <c r="H47" s="204" t="str">
        <f t="shared" si="0"/>
        <v/>
      </c>
      <c r="I47" s="205"/>
      <c r="J47" s="206"/>
      <c r="K47" s="204" t="str">
        <f t="shared" si="1"/>
        <v/>
      </c>
      <c r="L47" s="247"/>
      <c r="M47" s="206"/>
      <c r="N47" s="159" t="str">
        <f t="shared" si="2"/>
        <v/>
      </c>
      <c r="O47" s="205"/>
      <c r="P47" s="207"/>
      <c r="Q47" s="211" t="str">
        <f t="shared" si="3"/>
        <v/>
      </c>
      <c r="R47" s="205"/>
      <c r="S47" s="207"/>
      <c r="T47" s="79"/>
      <c r="U47" s="80"/>
      <c r="V47" s="80"/>
      <c r="W47" s="80"/>
      <c r="X47" s="80"/>
      <c r="Y47" s="81"/>
      <c r="Z47" s="13"/>
      <c r="AB47" s="41"/>
      <c r="AC47" s="42" t="str">
        <f t="shared" si="4"/>
        <v/>
      </c>
      <c r="AD47" s="43" t="str">
        <f t="shared" si="5"/>
        <v/>
      </c>
      <c r="AE47" s="41"/>
      <c r="AF47" s="42" t="str">
        <f t="shared" si="6"/>
        <v/>
      </c>
      <c r="AG47" s="44" t="str">
        <f t="shared" si="7"/>
        <v/>
      </c>
      <c r="AH47" s="45"/>
      <c r="AI47" s="45" t="str">
        <f t="shared" si="8"/>
        <v/>
      </c>
      <c r="AJ47" s="46" t="str">
        <f t="shared" si="9"/>
        <v/>
      </c>
      <c r="AK47" s="47" t="str">
        <f t="shared" si="10"/>
        <v/>
      </c>
    </row>
    <row r="48" spans="1:37" ht="19.5" customHeight="1" x14ac:dyDescent="0.25">
      <c r="A48" s="10"/>
      <c r="B48" s="40" t="s">
        <v>65</v>
      </c>
      <c r="C48" s="79"/>
      <c r="D48" s="80"/>
      <c r="E48" s="80"/>
      <c r="F48" s="80"/>
      <c r="G48" s="81"/>
      <c r="H48" s="204" t="str">
        <f t="shared" si="0"/>
        <v/>
      </c>
      <c r="I48" s="205"/>
      <c r="J48" s="206"/>
      <c r="K48" s="204" t="str">
        <f t="shared" si="1"/>
        <v/>
      </c>
      <c r="L48" s="247"/>
      <c r="M48" s="206"/>
      <c r="N48" s="159" t="str">
        <f t="shared" si="2"/>
        <v/>
      </c>
      <c r="O48" s="205"/>
      <c r="P48" s="207"/>
      <c r="Q48" s="211" t="str">
        <f t="shared" si="3"/>
        <v/>
      </c>
      <c r="R48" s="205"/>
      <c r="S48" s="207"/>
      <c r="T48" s="79"/>
      <c r="U48" s="80"/>
      <c r="V48" s="80"/>
      <c r="W48" s="80"/>
      <c r="X48" s="80"/>
      <c r="Y48" s="81"/>
      <c r="Z48" s="13"/>
      <c r="AB48" s="41"/>
      <c r="AC48" s="42" t="str">
        <f t="shared" si="4"/>
        <v/>
      </c>
      <c r="AD48" s="43" t="str">
        <f t="shared" si="5"/>
        <v/>
      </c>
      <c r="AE48" s="41"/>
      <c r="AF48" s="42" t="str">
        <f t="shared" si="6"/>
        <v/>
      </c>
      <c r="AG48" s="44" t="str">
        <f t="shared" si="7"/>
        <v/>
      </c>
      <c r="AH48" s="45"/>
      <c r="AI48" s="45" t="str">
        <f t="shared" si="8"/>
        <v/>
      </c>
      <c r="AJ48" s="46" t="str">
        <f t="shared" si="9"/>
        <v/>
      </c>
      <c r="AK48" s="47" t="str">
        <f t="shared" si="10"/>
        <v/>
      </c>
    </row>
    <row r="49" spans="1:37" ht="19.5" customHeight="1" thickBot="1" x14ac:dyDescent="0.3">
      <c r="A49" s="10"/>
      <c r="B49" s="40" t="s">
        <v>66</v>
      </c>
      <c r="C49" s="79"/>
      <c r="D49" s="80"/>
      <c r="E49" s="80"/>
      <c r="F49" s="80"/>
      <c r="G49" s="81"/>
      <c r="H49" s="214" t="str">
        <f>IF(AB49&lt;&gt;0,AD49,"")</f>
        <v/>
      </c>
      <c r="I49" s="215"/>
      <c r="J49" s="216"/>
      <c r="K49" s="214" t="str">
        <f>IF(AE49&lt;&gt;0,AG49,"")</f>
        <v/>
      </c>
      <c r="L49" s="266"/>
      <c r="M49" s="216"/>
      <c r="N49" s="217" t="str">
        <f>IF(AE49&lt;&gt;0,AJ49,"")</f>
        <v/>
      </c>
      <c r="O49" s="215"/>
      <c r="P49" s="218"/>
      <c r="Q49" s="219" t="str">
        <f>IF(AE49&lt;&gt;0,AK49,"")</f>
        <v/>
      </c>
      <c r="R49" s="215"/>
      <c r="S49" s="218"/>
      <c r="T49" s="79"/>
      <c r="U49" s="80"/>
      <c r="V49" s="80"/>
      <c r="W49" s="80"/>
      <c r="X49" s="80"/>
      <c r="Y49" s="81"/>
      <c r="Z49" s="13"/>
      <c r="AB49" s="41"/>
      <c r="AC49" s="42" t="str">
        <f t="shared" si="4"/>
        <v/>
      </c>
      <c r="AD49" s="43" t="str">
        <f t="shared" si="5"/>
        <v/>
      </c>
      <c r="AE49" s="41"/>
      <c r="AF49" s="42" t="str">
        <f t="shared" si="6"/>
        <v/>
      </c>
      <c r="AG49" s="44" t="str">
        <f t="shared" si="7"/>
        <v/>
      </c>
      <c r="AH49" s="45"/>
      <c r="AI49" s="45" t="str">
        <f t="shared" si="8"/>
        <v/>
      </c>
      <c r="AJ49" s="46" t="str">
        <f t="shared" si="9"/>
        <v/>
      </c>
      <c r="AK49" s="47" t="str">
        <f t="shared" si="10"/>
        <v/>
      </c>
    </row>
    <row r="50" spans="1:37" ht="15.75" customHeight="1" x14ac:dyDescent="0.25">
      <c r="A50" s="10"/>
      <c r="B50" s="194" t="s">
        <v>41</v>
      </c>
      <c r="C50" s="195"/>
      <c r="D50" s="195"/>
      <c r="E50" s="195"/>
      <c r="F50" s="195"/>
      <c r="G50" s="196"/>
      <c r="H50" s="239" t="str">
        <f>IF(H25&lt;&gt;"",AVERAGE(H25:J49),"")</f>
        <v/>
      </c>
      <c r="I50" s="155"/>
      <c r="J50" s="156"/>
      <c r="K50" s="239" t="str">
        <f>IF(K25&lt;&gt;"",AVERAGE(K25:M49),"")</f>
        <v/>
      </c>
      <c r="L50" s="155"/>
      <c r="M50" s="156"/>
      <c r="N50" s="239" t="str">
        <f>IF(N25&lt;&gt;"",AVERAGE(N25:P49),"")</f>
        <v/>
      </c>
      <c r="O50" s="155"/>
      <c r="P50" s="156"/>
      <c r="Q50" s="239" t="str">
        <f>IF(Q25&lt;&gt;"",AVERAGE(Q25:S49),"")</f>
        <v/>
      </c>
      <c r="R50" s="155"/>
      <c r="S50" s="156"/>
      <c r="T50" s="267"/>
      <c r="U50" s="268"/>
      <c r="V50" s="231" t="s">
        <v>61</v>
      </c>
      <c r="W50" s="231"/>
      <c r="X50" s="231"/>
      <c r="Y50" s="232"/>
      <c r="Z50" s="13"/>
      <c r="AB50" s="48"/>
      <c r="AC50" s="48"/>
      <c r="AD50" s="49"/>
      <c r="AE50" s="48"/>
      <c r="AF50" s="48"/>
      <c r="AG50" s="49"/>
      <c r="AH50" s="50"/>
    </row>
    <row r="51" spans="1:37" ht="15.75" customHeight="1" x14ac:dyDescent="0.25">
      <c r="A51" s="10"/>
      <c r="B51" s="191" t="s">
        <v>42</v>
      </c>
      <c r="C51" s="192"/>
      <c r="D51" s="192"/>
      <c r="E51" s="192"/>
      <c r="F51" s="192"/>
      <c r="G51" s="193"/>
      <c r="H51" s="162" t="str">
        <f>IF(H25&lt;&gt;"",MIN(H25:J49),"")</f>
        <v/>
      </c>
      <c r="I51" s="225"/>
      <c r="J51" s="226"/>
      <c r="K51" s="162" t="str">
        <f>IF(K25&lt;&gt;"",MIN(K25:M49),"")</f>
        <v/>
      </c>
      <c r="L51" s="225"/>
      <c r="M51" s="226"/>
      <c r="N51" s="162" t="str">
        <f>IF(N25&lt;&gt;"",MIN(N25:P49),"")</f>
        <v/>
      </c>
      <c r="O51" s="225"/>
      <c r="P51" s="226"/>
      <c r="Q51" s="162" t="str">
        <f>IF(Q25&lt;&gt;"",MIN(Q25:S49),"")</f>
        <v/>
      </c>
      <c r="R51" s="225"/>
      <c r="S51" s="226"/>
      <c r="T51" s="227"/>
      <c r="U51" s="228"/>
      <c r="V51" s="233"/>
      <c r="W51" s="233"/>
      <c r="X51" s="233"/>
      <c r="Y51" s="234"/>
      <c r="Z51" s="13"/>
      <c r="AB51" s="48"/>
      <c r="AC51" s="48"/>
      <c r="AD51" s="49"/>
      <c r="AE51" s="48"/>
      <c r="AF51" s="48"/>
      <c r="AG51" s="49"/>
      <c r="AH51" s="50"/>
    </row>
    <row r="52" spans="1:37" ht="15.75" customHeight="1" thickBot="1" x14ac:dyDescent="0.3">
      <c r="A52" s="10"/>
      <c r="B52" s="188" t="s">
        <v>43</v>
      </c>
      <c r="C52" s="189"/>
      <c r="D52" s="189"/>
      <c r="E52" s="189"/>
      <c r="F52" s="189"/>
      <c r="G52" s="190"/>
      <c r="H52" s="178" t="str">
        <f>IF(H25&lt;&gt;"",MAX(H25:J49),"")</f>
        <v/>
      </c>
      <c r="I52" s="237"/>
      <c r="J52" s="238"/>
      <c r="K52" s="178" t="str">
        <f>IF(K25&lt;&gt;"",MAX(K25:M49),"")</f>
        <v/>
      </c>
      <c r="L52" s="237"/>
      <c r="M52" s="238"/>
      <c r="N52" s="178" t="str">
        <f>IF(N25&lt;&gt;"",MAX(N25:P49),"")</f>
        <v/>
      </c>
      <c r="O52" s="237"/>
      <c r="P52" s="238"/>
      <c r="Q52" s="178" t="str">
        <f>IF(Q25&lt;&gt;"",MAX(Q25:S49),"")</f>
        <v/>
      </c>
      <c r="R52" s="237"/>
      <c r="S52" s="238"/>
      <c r="T52" s="229"/>
      <c r="U52" s="230"/>
      <c r="V52" s="235"/>
      <c r="W52" s="235"/>
      <c r="X52" s="235"/>
      <c r="Y52" s="236"/>
      <c r="Z52" s="13"/>
      <c r="AB52" s="48"/>
      <c r="AC52" s="48"/>
      <c r="AD52" s="49"/>
      <c r="AE52" s="48"/>
      <c r="AF52" s="48"/>
      <c r="AG52" s="49"/>
      <c r="AH52" s="50"/>
    </row>
    <row r="53" spans="1:37" ht="15.9" customHeight="1" x14ac:dyDescent="0.25">
      <c r="A53" s="51"/>
      <c r="B53" s="52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19"/>
    </row>
    <row r="54" spans="1:37" ht="12.75" customHeight="1" x14ac:dyDescent="0.25">
      <c r="A54" s="53"/>
      <c r="B54" s="54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37" s="20" customFormat="1" ht="15.6" customHeight="1" x14ac:dyDescent="0.25">
      <c r="A55" s="55" t="s">
        <v>80</v>
      </c>
      <c r="B55" s="56" t="s">
        <v>14</v>
      </c>
      <c r="C55" s="57"/>
      <c r="D55" s="57"/>
      <c r="E55" s="57"/>
      <c r="F55" s="58"/>
      <c r="G55" s="58"/>
      <c r="H55" s="58"/>
      <c r="I55" s="7"/>
      <c r="J55" s="7"/>
      <c r="K55" s="7"/>
      <c r="L55" s="7"/>
      <c r="M55" s="7"/>
      <c r="N55" s="7"/>
      <c r="O55" s="7"/>
      <c r="P55" s="7"/>
      <c r="Q55" s="58"/>
      <c r="R55" s="7"/>
      <c r="S55" s="7"/>
      <c r="T55" s="7"/>
      <c r="U55" s="100"/>
      <c r="V55" s="100"/>
      <c r="W55" s="100"/>
      <c r="X55" s="101"/>
      <c r="Y55" s="101"/>
      <c r="Z55" s="102"/>
    </row>
    <row r="56" spans="1:37" s="20" customFormat="1" ht="26.4" customHeight="1" x14ac:dyDescent="0.25">
      <c r="A56" s="108" t="s">
        <v>82</v>
      </c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277"/>
      <c r="R56" s="82" t="s">
        <v>9</v>
      </c>
      <c r="S56" s="83"/>
      <c r="T56" s="84"/>
      <c r="U56" s="103"/>
      <c r="V56" s="104"/>
      <c r="W56" s="104"/>
      <c r="X56" s="105"/>
      <c r="Y56" s="105"/>
      <c r="Z56" s="106"/>
    </row>
    <row r="57" spans="1:37" s="20" customFormat="1" ht="26.4" customHeight="1" x14ac:dyDescent="0.25">
      <c r="A57" s="278"/>
      <c r="B57" s="279"/>
      <c r="C57" s="279"/>
      <c r="D57" s="279"/>
      <c r="E57" s="279"/>
      <c r="F57" s="279"/>
      <c r="G57" s="279"/>
      <c r="H57" s="279"/>
      <c r="I57" s="279"/>
      <c r="J57" s="279"/>
      <c r="K57" s="279"/>
      <c r="L57" s="279"/>
      <c r="M57" s="279"/>
      <c r="N57" s="279"/>
      <c r="O57" s="279"/>
      <c r="P57" s="279"/>
      <c r="Q57" s="280"/>
      <c r="R57" s="82"/>
      <c r="S57" s="83"/>
      <c r="T57" s="84"/>
      <c r="U57" s="116"/>
      <c r="V57" s="117"/>
      <c r="W57" s="117"/>
      <c r="X57" s="95"/>
      <c r="Y57" s="95"/>
      <c r="Z57" s="94"/>
    </row>
    <row r="58" spans="1:37" s="20" customFormat="1" ht="15.6" customHeight="1" x14ac:dyDescent="0.25">
      <c r="A58" s="59" t="s">
        <v>81</v>
      </c>
      <c r="B58" s="60" t="s">
        <v>5</v>
      </c>
      <c r="C58" s="11"/>
      <c r="D58" s="1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2"/>
      <c r="R58" s="82"/>
      <c r="S58" s="83"/>
      <c r="T58" s="84"/>
      <c r="U58" s="118"/>
      <c r="V58" s="119"/>
      <c r="W58" s="119"/>
      <c r="X58" s="98"/>
      <c r="Y58" s="98"/>
      <c r="Z58" s="99"/>
    </row>
    <row r="59" spans="1:37" s="20" customFormat="1" ht="15.6" customHeight="1" x14ac:dyDescent="0.25">
      <c r="A59" s="281"/>
      <c r="B59" s="282"/>
      <c r="C59" s="282"/>
      <c r="D59" s="282"/>
      <c r="E59" s="282"/>
      <c r="F59" s="282"/>
      <c r="G59" s="282"/>
      <c r="H59" s="282"/>
      <c r="I59" s="282"/>
      <c r="J59" s="282"/>
      <c r="K59" s="282"/>
      <c r="L59" s="282"/>
      <c r="M59" s="282"/>
      <c r="N59" s="282"/>
      <c r="O59" s="282"/>
      <c r="P59" s="282"/>
      <c r="Q59" s="283"/>
      <c r="R59" s="82" t="s">
        <v>10</v>
      </c>
      <c r="S59" s="83"/>
      <c r="T59" s="84"/>
      <c r="U59" s="287"/>
      <c r="V59" s="288"/>
      <c r="W59" s="288"/>
      <c r="X59" s="289"/>
      <c r="Y59" s="289"/>
      <c r="Z59" s="290"/>
    </row>
    <row r="60" spans="1:37" s="20" customFormat="1" ht="15.6" customHeight="1" x14ac:dyDescent="0.25">
      <c r="A60" s="281"/>
      <c r="B60" s="282"/>
      <c r="C60" s="282"/>
      <c r="D60" s="282"/>
      <c r="E60" s="282"/>
      <c r="F60" s="282"/>
      <c r="G60" s="282"/>
      <c r="H60" s="282"/>
      <c r="I60" s="282"/>
      <c r="J60" s="282"/>
      <c r="K60" s="282"/>
      <c r="L60" s="282"/>
      <c r="M60" s="282"/>
      <c r="N60" s="282"/>
      <c r="O60" s="282"/>
      <c r="P60" s="282"/>
      <c r="Q60" s="283"/>
      <c r="R60" s="82"/>
      <c r="S60" s="83"/>
      <c r="T60" s="84"/>
      <c r="U60" s="291"/>
      <c r="V60" s="93"/>
      <c r="W60" s="93"/>
      <c r="X60" s="93"/>
      <c r="Y60" s="93"/>
      <c r="Z60" s="292"/>
    </row>
    <row r="61" spans="1:37" s="20" customFormat="1" ht="15.6" customHeight="1" x14ac:dyDescent="0.25">
      <c r="A61" s="281"/>
      <c r="B61" s="282"/>
      <c r="C61" s="282"/>
      <c r="D61" s="282"/>
      <c r="E61" s="282"/>
      <c r="F61" s="282"/>
      <c r="G61" s="282"/>
      <c r="H61" s="282"/>
      <c r="I61" s="282"/>
      <c r="J61" s="282"/>
      <c r="K61" s="282"/>
      <c r="L61" s="282"/>
      <c r="M61" s="282"/>
      <c r="N61" s="282"/>
      <c r="O61" s="282"/>
      <c r="P61" s="282"/>
      <c r="Q61" s="283"/>
      <c r="R61" s="82"/>
      <c r="S61" s="83"/>
      <c r="T61" s="84"/>
      <c r="U61" s="291"/>
      <c r="V61" s="93"/>
      <c r="W61" s="93"/>
      <c r="X61" s="93"/>
      <c r="Y61" s="93"/>
      <c r="Z61" s="292"/>
    </row>
    <row r="62" spans="1:37" s="20" customFormat="1" ht="15.6" customHeight="1" x14ac:dyDescent="0.25">
      <c r="A62" s="284"/>
      <c r="B62" s="285"/>
      <c r="C62" s="285"/>
      <c r="D62" s="285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6"/>
      <c r="R62" s="85"/>
      <c r="S62" s="86"/>
      <c r="T62" s="87"/>
      <c r="U62" s="293"/>
      <c r="V62" s="294"/>
      <c r="W62" s="294"/>
      <c r="X62" s="295"/>
      <c r="Y62" s="295"/>
      <c r="Z62" s="296"/>
    </row>
    <row r="64" spans="1:37" ht="12.75" customHeight="1" x14ac:dyDescent="0.25">
      <c r="A64" s="1"/>
      <c r="P64" s="11"/>
      <c r="Q64" s="11"/>
      <c r="R64" s="11"/>
      <c r="S64" s="11"/>
      <c r="T64" s="11"/>
      <c r="U64" s="11"/>
      <c r="V64" s="11"/>
      <c r="W64" s="11"/>
    </row>
    <row r="65" spans="1:23" ht="12.75" customHeight="1" x14ac:dyDescent="0.25">
      <c r="A65" s="1"/>
      <c r="P65" s="11"/>
      <c r="Q65" s="11"/>
      <c r="R65" s="11"/>
      <c r="S65" s="11"/>
      <c r="T65" s="11"/>
      <c r="U65" s="11"/>
      <c r="V65" s="11"/>
      <c r="W65" s="11"/>
    </row>
    <row r="66" spans="1:23" ht="12.75" customHeight="1" x14ac:dyDescent="0.25">
      <c r="A66" s="1"/>
      <c r="P66" s="11"/>
      <c r="Q66" s="11"/>
      <c r="R66" s="11"/>
      <c r="S66" s="11"/>
      <c r="T66" s="11"/>
      <c r="U66" s="11"/>
      <c r="V66" s="11"/>
      <c r="W66" s="11"/>
    </row>
    <row r="67" spans="1:23" ht="12.75" customHeight="1" x14ac:dyDescent="0.25">
      <c r="A67" s="1"/>
      <c r="P67" s="11"/>
      <c r="Q67" s="11"/>
      <c r="R67" s="11"/>
      <c r="S67" s="11"/>
      <c r="T67" s="11"/>
      <c r="U67" s="11"/>
      <c r="V67" s="11"/>
      <c r="W67" s="11"/>
    </row>
    <row r="68" spans="1:23" ht="12.75" customHeight="1" x14ac:dyDescent="0.25">
      <c r="A68" s="1"/>
      <c r="P68" s="11"/>
      <c r="Q68" s="11"/>
      <c r="R68" s="11"/>
      <c r="S68" s="11"/>
      <c r="T68" s="11"/>
      <c r="U68" s="11"/>
      <c r="V68" s="11"/>
      <c r="W68" s="11"/>
    </row>
    <row r="69" spans="1:23" ht="12.75" customHeight="1" x14ac:dyDescent="0.25">
      <c r="A69" s="1"/>
      <c r="P69" s="11"/>
      <c r="Q69" s="11"/>
      <c r="R69" s="11"/>
      <c r="S69" s="11"/>
      <c r="T69" s="11"/>
      <c r="U69" s="11"/>
      <c r="V69" s="11"/>
      <c r="W69" s="11"/>
    </row>
  </sheetData>
  <sheetProtection selectLockedCells="1"/>
  <mergeCells count="220">
    <mergeCell ref="A56:Q56"/>
    <mergeCell ref="A57:Q57"/>
    <mergeCell ref="V60:Y61"/>
    <mergeCell ref="N42:P42"/>
    <mergeCell ref="Q41:S41"/>
    <mergeCell ref="Q40:S40"/>
    <mergeCell ref="Q39:S39"/>
    <mergeCell ref="Q36:S36"/>
    <mergeCell ref="Q48:S48"/>
    <mergeCell ref="Q47:S47"/>
    <mergeCell ref="Q46:S46"/>
    <mergeCell ref="Q45:S45"/>
    <mergeCell ref="Q42:S42"/>
    <mergeCell ref="N41:P41"/>
    <mergeCell ref="N38:P38"/>
    <mergeCell ref="V50:Y52"/>
    <mergeCell ref="T44:Y44"/>
    <mergeCell ref="T45:Y45"/>
    <mergeCell ref="T46:Y46"/>
    <mergeCell ref="T47:Y47"/>
    <mergeCell ref="T50:U52"/>
    <mergeCell ref="Q50:S50"/>
    <mergeCell ref="Q51:S51"/>
    <mergeCell ref="Q52:S52"/>
    <mergeCell ref="N50:P50"/>
    <mergeCell ref="N51:P51"/>
    <mergeCell ref="H31:J31"/>
    <mergeCell ref="Q33:S33"/>
    <mergeCell ref="N46:P46"/>
    <mergeCell ref="N45:P45"/>
    <mergeCell ref="N44:P44"/>
    <mergeCell ref="N43:P43"/>
    <mergeCell ref="N40:P40"/>
    <mergeCell ref="N39:P39"/>
    <mergeCell ref="K44:M44"/>
    <mergeCell ref="H42:J42"/>
    <mergeCell ref="H41:J41"/>
    <mergeCell ref="H40:J40"/>
    <mergeCell ref="H39:J39"/>
    <mergeCell ref="K38:M38"/>
    <mergeCell ref="Q35:S35"/>
    <mergeCell ref="Q37:S37"/>
    <mergeCell ref="Q38:S38"/>
    <mergeCell ref="K49:M49"/>
    <mergeCell ref="K48:M48"/>
    <mergeCell ref="K47:M47"/>
    <mergeCell ref="N49:P49"/>
    <mergeCell ref="H43:J43"/>
    <mergeCell ref="A59:Q62"/>
    <mergeCell ref="R57:T58"/>
    <mergeCell ref="R59:T62"/>
    <mergeCell ref="U57:Z58"/>
    <mergeCell ref="R56:T56"/>
    <mergeCell ref="Q28:S28"/>
    <mergeCell ref="Q29:S29"/>
    <mergeCell ref="N29:P29"/>
    <mergeCell ref="H33:J33"/>
    <mergeCell ref="N52:P52"/>
    <mergeCell ref="Q49:S49"/>
    <mergeCell ref="Q44:S44"/>
    <mergeCell ref="Q43:S43"/>
    <mergeCell ref="N48:P48"/>
    <mergeCell ref="N47:P47"/>
    <mergeCell ref="Q34:S34"/>
    <mergeCell ref="T28:Y28"/>
    <mergeCell ref="T29:Y29"/>
    <mergeCell ref="Q31:S31"/>
    <mergeCell ref="Q30:S30"/>
    <mergeCell ref="U55:Z55"/>
    <mergeCell ref="U56:Z56"/>
    <mergeCell ref="J5:K5"/>
    <mergeCell ref="L5:O5"/>
    <mergeCell ref="P5:T5"/>
    <mergeCell ref="J6:K6"/>
    <mergeCell ref="L6:O6"/>
    <mergeCell ref="P6:T6"/>
    <mergeCell ref="N11:R11"/>
    <mergeCell ref="U1:Z6"/>
    <mergeCell ref="T25:Y25"/>
    <mergeCell ref="T26:Y26"/>
    <mergeCell ref="T27:Y27"/>
    <mergeCell ref="Q32:S32"/>
    <mergeCell ref="T43:Y43"/>
    <mergeCell ref="T36:Y36"/>
    <mergeCell ref="T37:Y37"/>
    <mergeCell ref="T38:Y38"/>
    <mergeCell ref="T39:Y39"/>
    <mergeCell ref="T48:Y48"/>
    <mergeCell ref="T40:Y40"/>
    <mergeCell ref="T41:Y41"/>
    <mergeCell ref="T42:Y42"/>
    <mergeCell ref="T49:Y49"/>
    <mergeCell ref="A1:F6"/>
    <mergeCell ref="G1:T1"/>
    <mergeCell ref="B10:G10"/>
    <mergeCell ref="S10:Y10"/>
    <mergeCell ref="N10:R10"/>
    <mergeCell ref="G2:T4"/>
    <mergeCell ref="G5:H5"/>
    <mergeCell ref="A7:F7"/>
    <mergeCell ref="G7:Z7"/>
    <mergeCell ref="H10:M10"/>
    <mergeCell ref="B18:H18"/>
    <mergeCell ref="I17:Y17"/>
    <mergeCell ref="I18:Y18"/>
    <mergeCell ref="S11:Y11"/>
    <mergeCell ref="B17:H17"/>
    <mergeCell ref="B12:G12"/>
    <mergeCell ref="B11:G11"/>
    <mergeCell ref="N12:R12"/>
    <mergeCell ref="H12:M12"/>
    <mergeCell ref="H11:M11"/>
    <mergeCell ref="T12:U12"/>
    <mergeCell ref="X12:Y12"/>
    <mergeCell ref="N26:P26"/>
    <mergeCell ref="N37:P37"/>
    <mergeCell ref="N36:P36"/>
    <mergeCell ref="H37:J37"/>
    <mergeCell ref="H36:J36"/>
    <mergeCell ref="H35:J35"/>
    <mergeCell ref="H38:J38"/>
    <mergeCell ref="K35:M35"/>
    <mergeCell ref="N35:P35"/>
    <mergeCell ref="H30:J30"/>
    <mergeCell ref="K28:M28"/>
    <mergeCell ref="H27:J27"/>
    <mergeCell ref="B52:G52"/>
    <mergeCell ref="H52:J52"/>
    <mergeCell ref="C38:G38"/>
    <mergeCell ref="C39:G39"/>
    <mergeCell ref="C40:G40"/>
    <mergeCell ref="K43:M43"/>
    <mergeCell ref="K40:M40"/>
    <mergeCell ref="K39:M39"/>
    <mergeCell ref="K52:M52"/>
    <mergeCell ref="K51:M51"/>
    <mergeCell ref="K42:M42"/>
    <mergeCell ref="K41:M41"/>
    <mergeCell ref="K50:M50"/>
    <mergeCell ref="H44:J44"/>
    <mergeCell ref="H49:J49"/>
    <mergeCell ref="H48:J48"/>
    <mergeCell ref="H51:J51"/>
    <mergeCell ref="H50:J50"/>
    <mergeCell ref="H47:J47"/>
    <mergeCell ref="H46:J46"/>
    <mergeCell ref="K46:M46"/>
    <mergeCell ref="K45:M45"/>
    <mergeCell ref="H45:J45"/>
    <mergeCell ref="B50:G50"/>
    <mergeCell ref="B51:G51"/>
    <mergeCell ref="C26:G26"/>
    <mergeCell ref="K26:M26"/>
    <mergeCell ref="C49:G49"/>
    <mergeCell ref="K31:M31"/>
    <mergeCell ref="AK23:AK24"/>
    <mergeCell ref="T32:Y32"/>
    <mergeCell ref="T33:Y33"/>
    <mergeCell ref="T34:Y34"/>
    <mergeCell ref="T35:Y35"/>
    <mergeCell ref="N31:P31"/>
    <mergeCell ref="N32:P32"/>
    <mergeCell ref="N33:P33"/>
    <mergeCell ref="N34:P34"/>
    <mergeCell ref="AH23:AJ23"/>
    <mergeCell ref="Q27:S27"/>
    <mergeCell ref="N28:P28"/>
    <mergeCell ref="N23:P23"/>
    <mergeCell ref="Q25:S25"/>
    <mergeCell ref="T23:Y24"/>
    <mergeCell ref="Q23:S24"/>
    <mergeCell ref="Q26:S26"/>
    <mergeCell ref="AB23:AD23"/>
    <mergeCell ref="T30:Y30"/>
    <mergeCell ref="T31:Y31"/>
    <mergeCell ref="AE23:AG23"/>
    <mergeCell ref="N25:P25"/>
    <mergeCell ref="K27:M27"/>
    <mergeCell ref="K30:M30"/>
    <mergeCell ref="K29:M29"/>
    <mergeCell ref="C37:G37"/>
    <mergeCell ref="K37:M37"/>
    <mergeCell ref="K36:M36"/>
    <mergeCell ref="C25:G25"/>
    <mergeCell ref="H26:J26"/>
    <mergeCell ref="H25:J25"/>
    <mergeCell ref="H24:J24"/>
    <mergeCell ref="K24:M24"/>
    <mergeCell ref="N24:P24"/>
    <mergeCell ref="N27:P27"/>
    <mergeCell ref="H23:J23"/>
    <mergeCell ref="H32:J32"/>
    <mergeCell ref="K23:M23"/>
    <mergeCell ref="B23:G24"/>
    <mergeCell ref="C27:G27"/>
    <mergeCell ref="C28:G28"/>
    <mergeCell ref="C34:G34"/>
    <mergeCell ref="N30:P30"/>
    <mergeCell ref="C48:G48"/>
    <mergeCell ref="C43:G43"/>
    <mergeCell ref="C44:G44"/>
    <mergeCell ref="C45:G45"/>
    <mergeCell ref="C46:G46"/>
    <mergeCell ref="C32:G32"/>
    <mergeCell ref="C33:G33"/>
    <mergeCell ref="K25:M25"/>
    <mergeCell ref="C47:G47"/>
    <mergeCell ref="C41:G41"/>
    <mergeCell ref="C42:G42"/>
    <mergeCell ref="H28:J28"/>
    <mergeCell ref="H29:J29"/>
    <mergeCell ref="H34:J34"/>
    <mergeCell ref="K34:M34"/>
    <mergeCell ref="K33:M33"/>
    <mergeCell ref="K32:M32"/>
    <mergeCell ref="C35:G35"/>
    <mergeCell ref="C36:G36"/>
    <mergeCell ref="C29:G29"/>
    <mergeCell ref="C30:G30"/>
    <mergeCell ref="C31:G31"/>
  </mergeCells>
  <printOptions horizontalCentered="1"/>
  <pageMargins left="0.39370078740157483" right="0.39370078740157483" top="0.39370078740157483" bottom="0.39370078740157483" header="0" footer="0.19685039370078741"/>
  <pageSetup paperSize="9" scale="72" orientation="portrait" r:id="rId1"/>
  <headerFooter alignWithMargins="0">
    <oddFooter>&amp;RDG-Q / CRE PLW12 du 06/04/2011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Check Box 4">
              <controlPr locked="0" defaultSize="0" autoFill="0" autoLine="0" autoPict="0">
                <anchor moveWithCells="1">
                  <from>
                    <xdr:col>18</xdr:col>
                    <xdr:colOff>60960</xdr:colOff>
                    <xdr:row>10</xdr:row>
                    <xdr:rowOff>335280</xdr:rowOff>
                  </from>
                  <to>
                    <xdr:col>19</xdr:col>
                    <xdr:colOff>30480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Check Box 5">
              <controlPr locked="0" defaultSize="0" autoFill="0" autoLine="0" autoPict="0">
                <anchor moveWithCells="1">
                  <from>
                    <xdr:col>22</xdr:col>
                    <xdr:colOff>60960</xdr:colOff>
                    <xdr:row>10</xdr:row>
                    <xdr:rowOff>335280</xdr:rowOff>
                  </from>
                  <to>
                    <xdr:col>23</xdr:col>
                    <xdr:colOff>30480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A1:AK69"/>
  <sheetViews>
    <sheetView topLeftCell="A43" workbookViewId="0">
      <selection activeCell="A59" sqref="A59:Q62"/>
    </sheetView>
  </sheetViews>
  <sheetFormatPr baseColWidth="10" defaultColWidth="11.44140625" defaultRowHeight="12.75" customHeight="1" x14ac:dyDescent="0.25"/>
  <cols>
    <col min="1" max="1" width="5.109375" style="63" customWidth="1"/>
    <col min="2" max="26" width="5.109375" style="1" customWidth="1"/>
    <col min="27" max="38" width="7.6640625" style="1" customWidth="1"/>
    <col min="39" max="16384" width="11.44140625" style="1"/>
  </cols>
  <sheetData>
    <row r="1" spans="1:32" ht="12.75" customHeight="1" x14ac:dyDescent="0.25">
      <c r="A1" s="120"/>
      <c r="B1" s="121"/>
      <c r="C1" s="121"/>
      <c r="D1" s="121"/>
      <c r="E1" s="121"/>
      <c r="F1" s="122"/>
      <c r="G1" s="129" t="s">
        <v>16</v>
      </c>
      <c r="H1" s="130"/>
      <c r="I1" s="130"/>
      <c r="J1" s="130"/>
      <c r="K1" s="130"/>
      <c r="L1" s="130"/>
      <c r="M1" s="130"/>
      <c r="N1" s="130"/>
      <c r="O1" s="130"/>
      <c r="P1" s="130"/>
      <c r="Q1" s="130"/>
      <c r="R1" s="130"/>
      <c r="S1" s="130"/>
      <c r="T1" s="131"/>
      <c r="U1" s="135"/>
      <c r="V1" s="136"/>
      <c r="W1" s="136"/>
      <c r="X1" s="136"/>
      <c r="Y1" s="136"/>
      <c r="Z1" s="137"/>
    </row>
    <row r="2" spans="1:32" ht="12.75" customHeight="1" x14ac:dyDescent="0.25">
      <c r="A2" s="123"/>
      <c r="B2" s="124"/>
      <c r="C2" s="124"/>
      <c r="D2" s="124"/>
      <c r="E2" s="124"/>
      <c r="F2" s="125"/>
      <c r="G2" s="144" t="s">
        <v>75</v>
      </c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6"/>
      <c r="U2" s="138"/>
      <c r="V2" s="139"/>
      <c r="W2" s="139"/>
      <c r="X2" s="139"/>
      <c r="Y2" s="139"/>
      <c r="Z2" s="140"/>
    </row>
    <row r="3" spans="1:32" ht="12.75" customHeight="1" x14ac:dyDescent="0.25">
      <c r="A3" s="123"/>
      <c r="B3" s="124"/>
      <c r="C3" s="124"/>
      <c r="D3" s="124"/>
      <c r="E3" s="124"/>
      <c r="F3" s="125"/>
      <c r="G3" s="144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6"/>
      <c r="U3" s="138"/>
      <c r="V3" s="139"/>
      <c r="W3" s="139"/>
      <c r="X3" s="139"/>
      <c r="Y3" s="139"/>
      <c r="Z3" s="140"/>
    </row>
    <row r="4" spans="1:32" ht="12.75" customHeight="1" x14ac:dyDescent="0.25">
      <c r="A4" s="123"/>
      <c r="B4" s="124"/>
      <c r="C4" s="124"/>
      <c r="D4" s="124"/>
      <c r="E4" s="124"/>
      <c r="F4" s="125"/>
      <c r="G4" s="144"/>
      <c r="H4" s="145"/>
      <c r="I4" s="145"/>
      <c r="J4" s="145"/>
      <c r="K4" s="145"/>
      <c r="L4" s="145"/>
      <c r="M4" s="145"/>
      <c r="N4" s="145"/>
      <c r="O4" s="145"/>
      <c r="P4" s="145"/>
      <c r="Q4" s="145"/>
      <c r="R4" s="145"/>
      <c r="S4" s="145"/>
      <c r="T4" s="146"/>
      <c r="U4" s="138"/>
      <c r="V4" s="139"/>
      <c r="W4" s="139"/>
      <c r="X4" s="139"/>
      <c r="Y4" s="139"/>
      <c r="Z4" s="140"/>
    </row>
    <row r="5" spans="1:32" ht="12.75" customHeight="1" x14ac:dyDescent="0.25">
      <c r="A5" s="123"/>
      <c r="B5" s="124"/>
      <c r="C5" s="124"/>
      <c r="D5" s="124"/>
      <c r="E5" s="124"/>
      <c r="F5" s="125"/>
      <c r="G5" s="110" t="s">
        <v>77</v>
      </c>
      <c r="H5" s="111"/>
      <c r="I5" s="2" t="s">
        <v>17</v>
      </c>
      <c r="J5" s="269"/>
      <c r="K5" s="270"/>
      <c r="L5" s="271"/>
      <c r="M5" s="272"/>
      <c r="N5" s="272"/>
      <c r="O5" s="273"/>
      <c r="P5" s="274"/>
      <c r="Q5" s="275"/>
      <c r="R5" s="275"/>
      <c r="S5" s="275"/>
      <c r="T5" s="276"/>
      <c r="U5" s="138"/>
      <c r="V5" s="139"/>
      <c r="W5" s="139"/>
      <c r="X5" s="139"/>
      <c r="Y5" s="139"/>
      <c r="Z5" s="140"/>
    </row>
    <row r="6" spans="1:32" ht="12.75" customHeight="1" x14ac:dyDescent="0.25">
      <c r="A6" s="126"/>
      <c r="B6" s="127"/>
      <c r="C6" s="127"/>
      <c r="D6" s="127"/>
      <c r="E6" s="127"/>
      <c r="F6" s="128"/>
      <c r="G6" s="3"/>
      <c r="H6" s="4"/>
      <c r="I6" s="4"/>
      <c r="J6" s="107" t="s">
        <v>18</v>
      </c>
      <c r="K6" s="107"/>
      <c r="L6" s="107" t="s">
        <v>19</v>
      </c>
      <c r="M6" s="107"/>
      <c r="N6" s="107"/>
      <c r="O6" s="107"/>
      <c r="P6" s="107" t="s">
        <v>20</v>
      </c>
      <c r="Q6" s="107"/>
      <c r="R6" s="107"/>
      <c r="S6" s="107"/>
      <c r="T6" s="134"/>
      <c r="U6" s="141"/>
      <c r="V6" s="142"/>
      <c r="W6" s="142"/>
      <c r="X6" s="142"/>
      <c r="Y6" s="142"/>
      <c r="Z6" s="143"/>
    </row>
    <row r="7" spans="1:32" ht="36.6" customHeight="1" x14ac:dyDescent="0.25">
      <c r="A7" s="112" t="s">
        <v>8</v>
      </c>
      <c r="B7" s="112"/>
      <c r="C7" s="112"/>
      <c r="D7" s="112"/>
      <c r="E7" s="112"/>
      <c r="F7" s="112"/>
      <c r="G7" s="113" t="s">
        <v>15</v>
      </c>
      <c r="H7" s="113"/>
      <c r="I7" s="113"/>
      <c r="J7" s="113"/>
      <c r="K7" s="113"/>
      <c r="L7" s="113"/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</row>
    <row r="8" spans="1:32" ht="15.6" customHeight="1" x14ac:dyDescent="0.25">
      <c r="A8" s="5" t="s">
        <v>2</v>
      </c>
      <c r="B8" s="6" t="s">
        <v>0</v>
      </c>
      <c r="C8" s="7"/>
      <c r="D8" s="8"/>
      <c r="E8" s="8"/>
      <c r="F8" s="8"/>
      <c r="G8" s="8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9"/>
    </row>
    <row r="9" spans="1:32" ht="8.25" customHeight="1" x14ac:dyDescent="0.25">
      <c r="A9" s="10"/>
      <c r="B9" s="11"/>
      <c r="C9" s="11"/>
      <c r="D9" s="12"/>
      <c r="E9" s="12"/>
      <c r="F9" s="12"/>
      <c r="G9" s="12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3"/>
    </row>
    <row r="10" spans="1:32" ht="15.9" customHeight="1" x14ac:dyDescent="0.25">
      <c r="A10" s="10"/>
      <c r="B10" s="132" t="s">
        <v>7</v>
      </c>
      <c r="C10" s="132"/>
      <c r="D10" s="132"/>
      <c r="E10" s="132"/>
      <c r="F10" s="132"/>
      <c r="G10" s="132"/>
      <c r="H10" s="114"/>
      <c r="I10" s="114"/>
      <c r="J10" s="114"/>
      <c r="K10" s="114"/>
      <c r="L10" s="114"/>
      <c r="M10" s="114"/>
      <c r="N10" s="132" t="s">
        <v>1</v>
      </c>
      <c r="O10" s="132"/>
      <c r="P10" s="132"/>
      <c r="Q10" s="132"/>
      <c r="R10" s="132"/>
      <c r="S10" s="133"/>
      <c r="T10" s="133"/>
      <c r="U10" s="133"/>
      <c r="V10" s="133"/>
      <c r="W10" s="133"/>
      <c r="X10" s="133"/>
      <c r="Y10" s="133"/>
      <c r="Z10" s="14"/>
    </row>
    <row r="11" spans="1:32" ht="15.9" customHeight="1" x14ac:dyDescent="0.25">
      <c r="A11" s="10"/>
      <c r="B11" s="132" t="s">
        <v>6</v>
      </c>
      <c r="C11" s="132"/>
      <c r="D11" s="132"/>
      <c r="E11" s="132"/>
      <c r="F11" s="132"/>
      <c r="G11" s="132"/>
      <c r="H11" s="115"/>
      <c r="I11" s="115"/>
      <c r="J11" s="115"/>
      <c r="K11" s="115"/>
      <c r="L11" s="115"/>
      <c r="M11" s="115"/>
      <c r="N11" s="132" t="s">
        <v>73</v>
      </c>
      <c r="O11" s="132"/>
      <c r="P11" s="132"/>
      <c r="Q11" s="132"/>
      <c r="R11" s="132"/>
      <c r="S11" s="133"/>
      <c r="T11" s="133"/>
      <c r="U11" s="133"/>
      <c r="V11" s="133"/>
      <c r="W11" s="133"/>
      <c r="X11" s="133"/>
      <c r="Y11" s="133"/>
      <c r="Z11" s="14"/>
    </row>
    <row r="12" spans="1:32" ht="15.9" customHeight="1" x14ac:dyDescent="0.25">
      <c r="A12" s="10"/>
      <c r="B12" s="132" t="s">
        <v>72</v>
      </c>
      <c r="C12" s="132"/>
      <c r="D12" s="132"/>
      <c r="E12" s="132"/>
      <c r="F12" s="132"/>
      <c r="G12" s="132"/>
      <c r="H12" s="115"/>
      <c r="I12" s="115"/>
      <c r="J12" s="115"/>
      <c r="K12" s="115"/>
      <c r="L12" s="115"/>
      <c r="M12" s="115"/>
      <c r="N12" s="132" t="s">
        <v>24</v>
      </c>
      <c r="O12" s="132"/>
      <c r="P12" s="132"/>
      <c r="Q12" s="132"/>
      <c r="R12" s="132"/>
      <c r="S12" s="15"/>
      <c r="T12" s="199" t="s">
        <v>25</v>
      </c>
      <c r="U12" s="199"/>
      <c r="V12" s="15"/>
      <c r="W12" s="15"/>
      <c r="X12" s="199" t="s">
        <v>26</v>
      </c>
      <c r="Y12" s="199"/>
      <c r="Z12" s="14"/>
    </row>
    <row r="13" spans="1:32" ht="8.25" customHeight="1" x14ac:dyDescent="0.25">
      <c r="A13" s="16"/>
      <c r="B13" s="4"/>
      <c r="C13" s="4"/>
      <c r="D13" s="17"/>
      <c r="E13" s="17"/>
      <c r="F13" s="17"/>
      <c r="G13" s="17"/>
      <c r="H13" s="4"/>
      <c r="I13" s="4"/>
      <c r="J13" s="4"/>
      <c r="K13" s="4"/>
      <c r="L13" s="4"/>
      <c r="M13" s="4"/>
      <c r="N13" s="18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19"/>
    </row>
    <row r="14" spans="1:32" s="20" customFormat="1" ht="15" x14ac:dyDescent="0.25">
      <c r="B14" s="21"/>
      <c r="C14" s="21"/>
      <c r="K14" s="22"/>
      <c r="L14" s="21"/>
      <c r="M14" s="23"/>
    </row>
    <row r="15" spans="1:32" s="20" customFormat="1" ht="15.6" customHeight="1" x14ac:dyDescent="0.25">
      <c r="A15" s="5" t="s">
        <v>3</v>
      </c>
      <c r="B15" s="24" t="s">
        <v>11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6"/>
      <c r="AB15" s="27" t="s">
        <v>71</v>
      </c>
      <c r="AC15" s="27"/>
      <c r="AD15" s="27"/>
      <c r="AE15" s="27"/>
      <c r="AF15" s="27">
        <v>600</v>
      </c>
    </row>
    <row r="16" spans="1:32" s="20" customFormat="1" ht="15" x14ac:dyDescent="0.25">
      <c r="A16" s="28"/>
      <c r="B16" s="29"/>
      <c r="C16" s="30"/>
      <c r="D16" s="30"/>
      <c r="E16" s="30"/>
      <c r="F16" s="30"/>
      <c r="G16" s="30"/>
      <c r="H16" s="30"/>
      <c r="I16" s="30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X16" s="30"/>
      <c r="Y16" s="30"/>
      <c r="Z16" s="31"/>
    </row>
    <row r="17" spans="1:37" s="20" customFormat="1" ht="15" x14ac:dyDescent="0.25">
      <c r="A17" s="28"/>
      <c r="B17" s="157" t="s">
        <v>12</v>
      </c>
      <c r="C17" s="157"/>
      <c r="D17" s="157"/>
      <c r="E17" s="157"/>
      <c r="F17" s="157"/>
      <c r="G17" s="157"/>
      <c r="H17" s="157"/>
      <c r="I17" s="158"/>
      <c r="J17" s="158"/>
      <c r="K17" s="158"/>
      <c r="L17" s="158"/>
      <c r="M17" s="15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  <c r="Y17" s="158"/>
      <c r="Z17" s="32"/>
    </row>
    <row r="18" spans="1:37" s="20" customFormat="1" ht="15" x14ac:dyDescent="0.25">
      <c r="A18" s="28"/>
      <c r="B18" s="157" t="s">
        <v>13</v>
      </c>
      <c r="C18" s="157"/>
      <c r="D18" s="157"/>
      <c r="E18" s="157"/>
      <c r="F18" s="157"/>
      <c r="G18" s="157"/>
      <c r="H18" s="157"/>
      <c r="I18" s="158"/>
      <c r="J18" s="158"/>
      <c r="K18" s="158"/>
      <c r="L18" s="158"/>
      <c r="M18" s="158"/>
      <c r="N18" s="158"/>
      <c r="O18" s="158"/>
      <c r="P18" s="158"/>
      <c r="Q18" s="158"/>
      <c r="R18" s="158"/>
      <c r="S18" s="158"/>
      <c r="T18" s="158"/>
      <c r="U18" s="158"/>
      <c r="V18" s="158"/>
      <c r="W18" s="158"/>
      <c r="X18" s="158"/>
      <c r="Y18" s="158"/>
      <c r="Z18" s="32"/>
    </row>
    <row r="19" spans="1:37" s="20" customFormat="1" ht="13.2" x14ac:dyDescent="0.25">
      <c r="A19" s="33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5"/>
    </row>
    <row r="20" spans="1:37" ht="12.75" customHeight="1" x14ac:dyDescent="0.25">
      <c r="A20" s="12"/>
      <c r="B20" s="11"/>
      <c r="C20" s="11"/>
      <c r="D20" s="12"/>
      <c r="E20" s="12"/>
      <c r="F20" s="12"/>
      <c r="G20" s="12"/>
      <c r="H20" s="11"/>
      <c r="I20" s="11"/>
      <c r="J20" s="11"/>
      <c r="K20" s="11"/>
      <c r="L20" s="11"/>
      <c r="M20" s="11"/>
      <c r="N20" s="36"/>
      <c r="O20" s="11"/>
      <c r="P20" s="11"/>
      <c r="Q20" s="11"/>
      <c r="R20" s="11"/>
      <c r="S20" s="11"/>
      <c r="T20" s="11"/>
      <c r="U20" s="11"/>
      <c r="V20" s="11"/>
      <c r="W20" s="11"/>
      <c r="X20" s="11"/>
    </row>
    <row r="21" spans="1:37" ht="15.6" customHeight="1" x14ac:dyDescent="0.25">
      <c r="A21" s="5" t="s">
        <v>4</v>
      </c>
      <c r="B21" s="6" t="s">
        <v>44</v>
      </c>
      <c r="C21" s="37"/>
      <c r="D21" s="38"/>
      <c r="E21" s="38"/>
      <c r="F21" s="38"/>
      <c r="G21" s="38"/>
      <c r="H21" s="37"/>
      <c r="I21" s="37"/>
      <c r="J21" s="37"/>
      <c r="K21" s="37"/>
      <c r="L21" s="3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9"/>
    </row>
    <row r="22" spans="1:37" ht="12.75" customHeight="1" x14ac:dyDescent="0.25">
      <c r="A22" s="10"/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3"/>
    </row>
    <row r="23" spans="1:37" ht="15.75" customHeight="1" x14ac:dyDescent="0.25">
      <c r="A23" s="10"/>
      <c r="B23" s="147" t="s">
        <v>27</v>
      </c>
      <c r="C23" s="148"/>
      <c r="D23" s="148"/>
      <c r="E23" s="148"/>
      <c r="F23" s="148"/>
      <c r="G23" s="148"/>
      <c r="H23" s="148"/>
      <c r="I23" s="148"/>
      <c r="J23" s="149"/>
      <c r="K23" s="147" t="s">
        <v>78</v>
      </c>
      <c r="L23" s="153"/>
      <c r="M23" s="149"/>
      <c r="N23" s="147" t="s">
        <v>28</v>
      </c>
      <c r="O23" s="153"/>
      <c r="P23" s="154"/>
      <c r="Q23" s="147" t="s">
        <v>29</v>
      </c>
      <c r="R23" s="148"/>
      <c r="S23" s="148"/>
      <c r="T23" s="148"/>
      <c r="U23" s="148"/>
      <c r="V23" s="148"/>
      <c r="W23" s="148"/>
      <c r="X23" s="148"/>
      <c r="Y23" s="149"/>
      <c r="Z23" s="13"/>
      <c r="AB23" s="208"/>
      <c r="AC23" s="209"/>
      <c r="AD23" s="210"/>
      <c r="AE23" s="183"/>
      <c r="AF23" s="184"/>
      <c r="AG23" s="185"/>
      <c r="AH23" s="183"/>
      <c r="AI23" s="184"/>
      <c r="AJ23" s="185"/>
      <c r="AK23" s="200"/>
    </row>
    <row r="24" spans="1:37" ht="15.75" customHeight="1" x14ac:dyDescent="0.25">
      <c r="A24" s="10"/>
      <c r="B24" s="150"/>
      <c r="C24" s="151"/>
      <c r="D24" s="151"/>
      <c r="E24" s="151"/>
      <c r="F24" s="151"/>
      <c r="G24" s="151"/>
      <c r="H24" s="151"/>
      <c r="I24" s="151"/>
      <c r="J24" s="152"/>
      <c r="K24" s="202" t="s">
        <v>30</v>
      </c>
      <c r="L24" s="155"/>
      <c r="M24" s="203"/>
      <c r="N24" s="150" t="s">
        <v>30</v>
      </c>
      <c r="O24" s="155"/>
      <c r="P24" s="156"/>
      <c r="Q24" s="150"/>
      <c r="R24" s="151"/>
      <c r="S24" s="151"/>
      <c r="T24" s="151"/>
      <c r="U24" s="151"/>
      <c r="V24" s="151"/>
      <c r="W24" s="151"/>
      <c r="X24" s="151"/>
      <c r="Y24" s="152"/>
      <c r="Z24" s="13"/>
      <c r="AB24" s="39"/>
      <c r="AC24" s="39"/>
      <c r="AD24" s="40"/>
      <c r="AE24" s="39"/>
      <c r="AF24" s="39"/>
      <c r="AG24" s="40"/>
      <c r="AH24" s="39"/>
      <c r="AI24" s="39"/>
      <c r="AJ24" s="40"/>
      <c r="AK24" s="201"/>
    </row>
    <row r="25" spans="1:37" ht="19.5" customHeight="1" x14ac:dyDescent="0.25">
      <c r="A25" s="10"/>
      <c r="B25" s="40" t="s">
        <v>31</v>
      </c>
      <c r="C25" s="79"/>
      <c r="D25" s="80"/>
      <c r="E25" s="80"/>
      <c r="F25" s="80"/>
      <c r="G25" s="80"/>
      <c r="H25" s="80"/>
      <c r="I25" s="80"/>
      <c r="J25" s="81"/>
      <c r="K25" s="204"/>
      <c r="L25" s="205"/>
      <c r="M25" s="206"/>
      <c r="N25" s="159" t="str">
        <f>IF(K25&lt;&gt;"",600*LN(300/(300-K25)),"")</f>
        <v/>
      </c>
      <c r="O25" s="205"/>
      <c r="P25" s="207"/>
      <c r="Q25" s="211"/>
      <c r="R25" s="212"/>
      <c r="S25" s="212"/>
      <c r="T25" s="212"/>
      <c r="U25" s="212"/>
      <c r="V25" s="212"/>
      <c r="W25" s="212"/>
      <c r="X25" s="212"/>
      <c r="Y25" s="213"/>
      <c r="Z25" s="13"/>
      <c r="AB25" s="41"/>
      <c r="AC25" s="42" t="str">
        <f>IF(AB25&lt;&gt;0,AB25*2,"")</f>
        <v/>
      </c>
      <c r="AD25" s="43" t="str">
        <f>IF(AB25&lt;&gt;0,((70/AC25)*($AF$15/762)*100),"")</f>
        <v/>
      </c>
      <c r="AE25" s="41"/>
      <c r="AF25" s="42" t="str">
        <f>IF(AE25&lt;&gt;0,AE25*2,"")</f>
        <v/>
      </c>
      <c r="AG25" s="44" t="str">
        <f>IF(AE25&lt;&gt;0,(112.5/AF25)*100,"")</f>
        <v/>
      </c>
      <c r="AH25" s="45"/>
      <c r="AI25" s="45" t="str">
        <f>IF(AH25&lt;&gt;0,AH25*2,"")</f>
        <v/>
      </c>
      <c r="AJ25" s="46" t="str">
        <f>IF(AH25&lt;&gt;0,(90/AI25)*100,"")</f>
        <v/>
      </c>
      <c r="AK25" s="47" t="str">
        <f>IF(AE25&lt;&gt;0,AJ25/AG25,"")</f>
        <v/>
      </c>
    </row>
    <row r="26" spans="1:37" ht="19.5" customHeight="1" x14ac:dyDescent="0.25">
      <c r="A26" s="10"/>
      <c r="B26" s="40" t="s">
        <v>32</v>
      </c>
      <c r="C26" s="79"/>
      <c r="D26" s="80"/>
      <c r="E26" s="80"/>
      <c r="F26" s="80"/>
      <c r="G26" s="80"/>
      <c r="H26" s="80"/>
      <c r="I26" s="80"/>
      <c r="J26" s="81"/>
      <c r="K26" s="204"/>
      <c r="L26" s="205"/>
      <c r="M26" s="206"/>
      <c r="N26" s="159" t="str">
        <f t="shared" ref="N26:N49" si="0">IF(K26&lt;&gt;"",600*LN(300/(300-K26)),"")</f>
        <v/>
      </c>
      <c r="O26" s="205"/>
      <c r="P26" s="207"/>
      <c r="Q26" s="211"/>
      <c r="R26" s="212"/>
      <c r="S26" s="212"/>
      <c r="T26" s="212"/>
      <c r="U26" s="212"/>
      <c r="V26" s="212"/>
      <c r="W26" s="212"/>
      <c r="X26" s="212"/>
      <c r="Y26" s="213"/>
      <c r="Z26" s="13"/>
      <c r="AB26" s="41"/>
      <c r="AC26" s="42" t="str">
        <f t="shared" ref="AC26:AC49" si="1">IF(AB26&lt;&gt;0,AB26*2,"")</f>
        <v/>
      </c>
      <c r="AD26" s="43" t="str">
        <f t="shared" ref="AD26:AD49" si="2">IF(AB26&lt;&gt;0,((70/AC26)*($AF$15/762)*100),"")</f>
        <v/>
      </c>
      <c r="AE26" s="41"/>
      <c r="AF26" s="42" t="str">
        <f t="shared" ref="AF26:AF49" si="3">IF(AE26&lt;&gt;0,AE26*2,"")</f>
        <v/>
      </c>
      <c r="AG26" s="44" t="str">
        <f t="shared" ref="AG26:AG49" si="4">IF(AE26&lt;&gt;0,(112.5/AF26)*100,"")</f>
        <v/>
      </c>
      <c r="AH26" s="45"/>
      <c r="AI26" s="45" t="str">
        <f t="shared" ref="AI26:AI49" si="5">IF(AH26&lt;&gt;0,AH26*2,"")</f>
        <v/>
      </c>
      <c r="AJ26" s="46" t="str">
        <f t="shared" ref="AJ26:AJ49" si="6">IF(AH26&lt;&gt;0,(90/AI26)*100,"")</f>
        <v/>
      </c>
      <c r="AK26" s="47" t="str">
        <f t="shared" ref="AK26:AK49" si="7">IF(AE26&lt;&gt;0,AJ26/AG26,"")</f>
        <v/>
      </c>
    </row>
    <row r="27" spans="1:37" ht="19.5" customHeight="1" x14ac:dyDescent="0.25">
      <c r="A27" s="10"/>
      <c r="B27" s="40" t="s">
        <v>33</v>
      </c>
      <c r="C27" s="79"/>
      <c r="D27" s="80"/>
      <c r="E27" s="80"/>
      <c r="F27" s="80"/>
      <c r="G27" s="80"/>
      <c r="H27" s="80"/>
      <c r="I27" s="80"/>
      <c r="J27" s="81"/>
      <c r="K27" s="204"/>
      <c r="L27" s="205"/>
      <c r="M27" s="206"/>
      <c r="N27" s="159" t="str">
        <f t="shared" si="0"/>
        <v/>
      </c>
      <c r="O27" s="205"/>
      <c r="P27" s="207"/>
      <c r="Q27" s="211"/>
      <c r="R27" s="212"/>
      <c r="S27" s="212"/>
      <c r="T27" s="212"/>
      <c r="U27" s="212"/>
      <c r="V27" s="212"/>
      <c r="W27" s="212"/>
      <c r="X27" s="212"/>
      <c r="Y27" s="213"/>
      <c r="Z27" s="13"/>
      <c r="AB27" s="41"/>
      <c r="AC27" s="42" t="str">
        <f t="shared" si="1"/>
        <v/>
      </c>
      <c r="AD27" s="43" t="str">
        <f t="shared" si="2"/>
        <v/>
      </c>
      <c r="AE27" s="41"/>
      <c r="AF27" s="42" t="str">
        <f t="shared" si="3"/>
        <v/>
      </c>
      <c r="AG27" s="44" t="str">
        <f t="shared" si="4"/>
        <v/>
      </c>
      <c r="AH27" s="45"/>
      <c r="AI27" s="45" t="str">
        <f t="shared" si="5"/>
        <v/>
      </c>
      <c r="AJ27" s="46" t="str">
        <f t="shared" si="6"/>
        <v/>
      </c>
      <c r="AK27" s="47" t="str">
        <f t="shared" si="7"/>
        <v/>
      </c>
    </row>
    <row r="28" spans="1:37" ht="19.5" customHeight="1" x14ac:dyDescent="0.25">
      <c r="A28" s="10"/>
      <c r="B28" s="40" t="s">
        <v>34</v>
      </c>
      <c r="C28" s="79"/>
      <c r="D28" s="80"/>
      <c r="E28" s="80"/>
      <c r="F28" s="80"/>
      <c r="G28" s="80"/>
      <c r="H28" s="80"/>
      <c r="I28" s="80"/>
      <c r="J28" s="81"/>
      <c r="K28" s="204"/>
      <c r="L28" s="205"/>
      <c r="M28" s="206"/>
      <c r="N28" s="159" t="str">
        <f t="shared" si="0"/>
        <v/>
      </c>
      <c r="O28" s="205"/>
      <c r="P28" s="207"/>
      <c r="Q28" s="211"/>
      <c r="R28" s="212"/>
      <c r="S28" s="212"/>
      <c r="T28" s="212"/>
      <c r="U28" s="212"/>
      <c r="V28" s="212"/>
      <c r="W28" s="212"/>
      <c r="X28" s="212"/>
      <c r="Y28" s="213"/>
      <c r="Z28" s="13"/>
      <c r="AB28" s="41"/>
      <c r="AC28" s="42" t="str">
        <f t="shared" si="1"/>
        <v/>
      </c>
      <c r="AD28" s="43" t="str">
        <f t="shared" si="2"/>
        <v/>
      </c>
      <c r="AE28" s="41"/>
      <c r="AF28" s="42" t="str">
        <f t="shared" si="3"/>
        <v/>
      </c>
      <c r="AG28" s="44" t="str">
        <f t="shared" si="4"/>
        <v/>
      </c>
      <c r="AH28" s="45"/>
      <c r="AI28" s="45" t="str">
        <f t="shared" si="5"/>
        <v/>
      </c>
      <c r="AJ28" s="46" t="str">
        <f t="shared" si="6"/>
        <v/>
      </c>
      <c r="AK28" s="47" t="str">
        <f t="shared" si="7"/>
        <v/>
      </c>
    </row>
    <row r="29" spans="1:37" ht="19.5" customHeight="1" x14ac:dyDescent="0.25">
      <c r="A29" s="10"/>
      <c r="B29" s="40" t="s">
        <v>35</v>
      </c>
      <c r="C29" s="79"/>
      <c r="D29" s="80"/>
      <c r="E29" s="80"/>
      <c r="F29" s="80"/>
      <c r="G29" s="80"/>
      <c r="H29" s="80"/>
      <c r="I29" s="80"/>
      <c r="J29" s="81"/>
      <c r="K29" s="204"/>
      <c r="L29" s="205"/>
      <c r="M29" s="206"/>
      <c r="N29" s="159" t="str">
        <f t="shared" si="0"/>
        <v/>
      </c>
      <c r="O29" s="205"/>
      <c r="P29" s="207"/>
      <c r="Q29" s="211"/>
      <c r="R29" s="212"/>
      <c r="S29" s="212"/>
      <c r="T29" s="212"/>
      <c r="U29" s="212"/>
      <c r="V29" s="212"/>
      <c r="W29" s="212"/>
      <c r="X29" s="212"/>
      <c r="Y29" s="213"/>
      <c r="Z29" s="13"/>
      <c r="AB29" s="41"/>
      <c r="AC29" s="42" t="str">
        <f t="shared" si="1"/>
        <v/>
      </c>
      <c r="AD29" s="43" t="str">
        <f t="shared" si="2"/>
        <v/>
      </c>
      <c r="AE29" s="41"/>
      <c r="AF29" s="42" t="str">
        <f t="shared" si="3"/>
        <v/>
      </c>
      <c r="AG29" s="44" t="str">
        <f t="shared" si="4"/>
        <v/>
      </c>
      <c r="AH29" s="45"/>
      <c r="AI29" s="45" t="str">
        <f t="shared" si="5"/>
        <v/>
      </c>
      <c r="AJ29" s="46" t="str">
        <f t="shared" si="6"/>
        <v/>
      </c>
      <c r="AK29" s="47" t="str">
        <f t="shared" si="7"/>
        <v/>
      </c>
    </row>
    <row r="30" spans="1:37" ht="19.5" customHeight="1" x14ac:dyDescent="0.25">
      <c r="A30" s="10"/>
      <c r="B30" s="40" t="s">
        <v>36</v>
      </c>
      <c r="C30" s="79"/>
      <c r="D30" s="80"/>
      <c r="E30" s="80"/>
      <c r="F30" s="80"/>
      <c r="G30" s="80"/>
      <c r="H30" s="80"/>
      <c r="I30" s="80"/>
      <c r="J30" s="81"/>
      <c r="K30" s="204"/>
      <c r="L30" s="205"/>
      <c r="M30" s="206"/>
      <c r="N30" s="159" t="str">
        <f t="shared" si="0"/>
        <v/>
      </c>
      <c r="O30" s="205"/>
      <c r="P30" s="207"/>
      <c r="Q30" s="211"/>
      <c r="R30" s="212"/>
      <c r="S30" s="212"/>
      <c r="T30" s="212"/>
      <c r="U30" s="212"/>
      <c r="V30" s="212"/>
      <c r="W30" s="212"/>
      <c r="X30" s="212"/>
      <c r="Y30" s="213"/>
      <c r="Z30" s="13"/>
      <c r="AB30" s="41"/>
      <c r="AC30" s="42" t="str">
        <f t="shared" si="1"/>
        <v/>
      </c>
      <c r="AD30" s="43" t="str">
        <f t="shared" si="2"/>
        <v/>
      </c>
      <c r="AE30" s="41"/>
      <c r="AF30" s="42" t="str">
        <f t="shared" si="3"/>
        <v/>
      </c>
      <c r="AG30" s="44" t="str">
        <f t="shared" si="4"/>
        <v/>
      </c>
      <c r="AH30" s="45"/>
      <c r="AI30" s="45" t="str">
        <f t="shared" si="5"/>
        <v/>
      </c>
      <c r="AJ30" s="46" t="str">
        <f t="shared" si="6"/>
        <v/>
      </c>
      <c r="AK30" s="47" t="str">
        <f t="shared" si="7"/>
        <v/>
      </c>
    </row>
    <row r="31" spans="1:37" ht="19.5" customHeight="1" x14ac:dyDescent="0.25">
      <c r="A31" s="10"/>
      <c r="B31" s="40" t="s">
        <v>37</v>
      </c>
      <c r="C31" s="79"/>
      <c r="D31" s="80"/>
      <c r="E31" s="80"/>
      <c r="F31" s="80"/>
      <c r="G31" s="80"/>
      <c r="H31" s="80"/>
      <c r="I31" s="80"/>
      <c r="J31" s="81"/>
      <c r="K31" s="204"/>
      <c r="L31" s="205"/>
      <c r="M31" s="206"/>
      <c r="N31" s="159" t="str">
        <f t="shared" si="0"/>
        <v/>
      </c>
      <c r="O31" s="205"/>
      <c r="P31" s="207"/>
      <c r="Q31" s="211"/>
      <c r="R31" s="212"/>
      <c r="S31" s="212"/>
      <c r="T31" s="212"/>
      <c r="U31" s="212"/>
      <c r="V31" s="212"/>
      <c r="W31" s="212"/>
      <c r="X31" s="212"/>
      <c r="Y31" s="213"/>
      <c r="Z31" s="13"/>
      <c r="AB31" s="41"/>
      <c r="AC31" s="42" t="str">
        <f t="shared" si="1"/>
        <v/>
      </c>
      <c r="AD31" s="43" t="str">
        <f t="shared" si="2"/>
        <v/>
      </c>
      <c r="AE31" s="41"/>
      <c r="AF31" s="42" t="str">
        <f t="shared" si="3"/>
        <v/>
      </c>
      <c r="AG31" s="44" t="str">
        <f t="shared" si="4"/>
        <v/>
      </c>
      <c r="AH31" s="45"/>
      <c r="AI31" s="45" t="str">
        <f t="shared" si="5"/>
        <v/>
      </c>
      <c r="AJ31" s="46" t="str">
        <f t="shared" si="6"/>
        <v/>
      </c>
      <c r="AK31" s="47" t="str">
        <f t="shared" si="7"/>
        <v/>
      </c>
    </row>
    <row r="32" spans="1:37" ht="19.5" customHeight="1" x14ac:dyDescent="0.25">
      <c r="A32" s="10"/>
      <c r="B32" s="40" t="s">
        <v>38</v>
      </c>
      <c r="C32" s="79"/>
      <c r="D32" s="80"/>
      <c r="E32" s="80"/>
      <c r="F32" s="80"/>
      <c r="G32" s="80"/>
      <c r="H32" s="80"/>
      <c r="I32" s="80"/>
      <c r="J32" s="81"/>
      <c r="K32" s="204"/>
      <c r="L32" s="205"/>
      <c r="M32" s="206"/>
      <c r="N32" s="159" t="str">
        <f t="shared" si="0"/>
        <v/>
      </c>
      <c r="O32" s="205"/>
      <c r="P32" s="207"/>
      <c r="Q32" s="211"/>
      <c r="R32" s="212"/>
      <c r="S32" s="212"/>
      <c r="T32" s="212"/>
      <c r="U32" s="212"/>
      <c r="V32" s="212"/>
      <c r="W32" s="212"/>
      <c r="X32" s="212"/>
      <c r="Y32" s="213"/>
      <c r="Z32" s="13"/>
      <c r="AB32" s="41"/>
      <c r="AC32" s="42" t="str">
        <f t="shared" si="1"/>
        <v/>
      </c>
      <c r="AD32" s="43" t="str">
        <f t="shared" si="2"/>
        <v/>
      </c>
      <c r="AE32" s="41"/>
      <c r="AF32" s="42" t="str">
        <f t="shared" si="3"/>
        <v/>
      </c>
      <c r="AG32" s="44" t="str">
        <f t="shared" si="4"/>
        <v/>
      </c>
      <c r="AH32" s="45"/>
      <c r="AI32" s="45" t="str">
        <f t="shared" si="5"/>
        <v/>
      </c>
      <c r="AJ32" s="46" t="str">
        <f t="shared" si="6"/>
        <v/>
      </c>
      <c r="AK32" s="47" t="str">
        <f t="shared" si="7"/>
        <v/>
      </c>
    </row>
    <row r="33" spans="1:37" ht="19.5" customHeight="1" x14ac:dyDescent="0.25">
      <c r="A33" s="10"/>
      <c r="B33" s="40" t="s">
        <v>39</v>
      </c>
      <c r="C33" s="79"/>
      <c r="D33" s="80"/>
      <c r="E33" s="80"/>
      <c r="F33" s="80"/>
      <c r="G33" s="80"/>
      <c r="H33" s="80"/>
      <c r="I33" s="80"/>
      <c r="J33" s="81"/>
      <c r="K33" s="204"/>
      <c r="L33" s="205"/>
      <c r="M33" s="206"/>
      <c r="N33" s="159" t="str">
        <f t="shared" si="0"/>
        <v/>
      </c>
      <c r="O33" s="205"/>
      <c r="P33" s="207"/>
      <c r="Q33" s="211"/>
      <c r="R33" s="212"/>
      <c r="S33" s="212"/>
      <c r="T33" s="212"/>
      <c r="U33" s="212"/>
      <c r="V33" s="212"/>
      <c r="W33" s="212"/>
      <c r="X33" s="212"/>
      <c r="Y33" s="213"/>
      <c r="Z33" s="13"/>
      <c r="AB33" s="41"/>
      <c r="AC33" s="42" t="str">
        <f t="shared" si="1"/>
        <v/>
      </c>
      <c r="AD33" s="43" t="str">
        <f t="shared" si="2"/>
        <v/>
      </c>
      <c r="AE33" s="41"/>
      <c r="AF33" s="42" t="str">
        <f t="shared" si="3"/>
        <v/>
      </c>
      <c r="AG33" s="44" t="str">
        <f t="shared" si="4"/>
        <v/>
      </c>
      <c r="AH33" s="45"/>
      <c r="AI33" s="45" t="str">
        <f t="shared" si="5"/>
        <v/>
      </c>
      <c r="AJ33" s="46" t="str">
        <f t="shared" si="6"/>
        <v/>
      </c>
      <c r="AK33" s="47" t="str">
        <f t="shared" si="7"/>
        <v/>
      </c>
    </row>
    <row r="34" spans="1:37" ht="19.5" customHeight="1" x14ac:dyDescent="0.25">
      <c r="A34" s="10"/>
      <c r="B34" s="40" t="s">
        <v>40</v>
      </c>
      <c r="C34" s="79"/>
      <c r="D34" s="80"/>
      <c r="E34" s="80"/>
      <c r="F34" s="80"/>
      <c r="G34" s="80"/>
      <c r="H34" s="80"/>
      <c r="I34" s="80"/>
      <c r="J34" s="81"/>
      <c r="K34" s="204"/>
      <c r="L34" s="205"/>
      <c r="M34" s="206"/>
      <c r="N34" s="159" t="str">
        <f t="shared" si="0"/>
        <v/>
      </c>
      <c r="O34" s="205"/>
      <c r="P34" s="207"/>
      <c r="Q34" s="211"/>
      <c r="R34" s="212"/>
      <c r="S34" s="212"/>
      <c r="T34" s="212"/>
      <c r="U34" s="212"/>
      <c r="V34" s="212"/>
      <c r="W34" s="212"/>
      <c r="X34" s="212"/>
      <c r="Y34" s="213"/>
      <c r="Z34" s="13"/>
      <c r="AB34" s="41"/>
      <c r="AC34" s="42" t="str">
        <f t="shared" si="1"/>
        <v/>
      </c>
      <c r="AD34" s="43" t="str">
        <f t="shared" si="2"/>
        <v/>
      </c>
      <c r="AE34" s="41"/>
      <c r="AF34" s="42" t="str">
        <f t="shared" si="3"/>
        <v/>
      </c>
      <c r="AG34" s="44" t="str">
        <f t="shared" si="4"/>
        <v/>
      </c>
      <c r="AH34" s="45"/>
      <c r="AI34" s="45" t="str">
        <f t="shared" si="5"/>
        <v/>
      </c>
      <c r="AJ34" s="46" t="str">
        <f t="shared" si="6"/>
        <v/>
      </c>
      <c r="AK34" s="47" t="str">
        <f t="shared" si="7"/>
        <v/>
      </c>
    </row>
    <row r="35" spans="1:37" ht="19.5" customHeight="1" x14ac:dyDescent="0.25">
      <c r="A35" s="10"/>
      <c r="B35" s="40" t="s">
        <v>51</v>
      </c>
      <c r="C35" s="79"/>
      <c r="D35" s="80"/>
      <c r="E35" s="80"/>
      <c r="F35" s="80"/>
      <c r="G35" s="80"/>
      <c r="H35" s="80"/>
      <c r="I35" s="80"/>
      <c r="J35" s="81"/>
      <c r="K35" s="204"/>
      <c r="L35" s="205"/>
      <c r="M35" s="206"/>
      <c r="N35" s="159" t="str">
        <f t="shared" si="0"/>
        <v/>
      </c>
      <c r="O35" s="205"/>
      <c r="P35" s="207"/>
      <c r="Q35" s="211"/>
      <c r="R35" s="212"/>
      <c r="S35" s="212"/>
      <c r="T35" s="212"/>
      <c r="U35" s="212"/>
      <c r="V35" s="212"/>
      <c r="W35" s="212"/>
      <c r="X35" s="212"/>
      <c r="Y35" s="213"/>
      <c r="Z35" s="13"/>
      <c r="AB35" s="41"/>
      <c r="AC35" s="42" t="str">
        <f t="shared" si="1"/>
        <v/>
      </c>
      <c r="AD35" s="43" t="str">
        <f t="shared" si="2"/>
        <v/>
      </c>
      <c r="AE35" s="41"/>
      <c r="AF35" s="42" t="str">
        <f t="shared" si="3"/>
        <v/>
      </c>
      <c r="AG35" s="44" t="str">
        <f t="shared" si="4"/>
        <v/>
      </c>
      <c r="AH35" s="45"/>
      <c r="AI35" s="45" t="str">
        <f t="shared" si="5"/>
        <v/>
      </c>
      <c r="AJ35" s="46" t="str">
        <f t="shared" si="6"/>
        <v/>
      </c>
      <c r="AK35" s="47" t="str">
        <f t="shared" si="7"/>
        <v/>
      </c>
    </row>
    <row r="36" spans="1:37" ht="19.5" customHeight="1" x14ac:dyDescent="0.25">
      <c r="A36" s="10"/>
      <c r="B36" s="40" t="s">
        <v>52</v>
      </c>
      <c r="C36" s="79"/>
      <c r="D36" s="80"/>
      <c r="E36" s="80"/>
      <c r="F36" s="80"/>
      <c r="G36" s="80"/>
      <c r="H36" s="80"/>
      <c r="I36" s="80"/>
      <c r="J36" s="81"/>
      <c r="K36" s="204"/>
      <c r="L36" s="205"/>
      <c r="M36" s="206"/>
      <c r="N36" s="159" t="str">
        <f t="shared" si="0"/>
        <v/>
      </c>
      <c r="O36" s="205"/>
      <c r="P36" s="207"/>
      <c r="Q36" s="211"/>
      <c r="R36" s="212"/>
      <c r="S36" s="212"/>
      <c r="T36" s="212"/>
      <c r="U36" s="212"/>
      <c r="V36" s="212"/>
      <c r="W36" s="212"/>
      <c r="X36" s="212"/>
      <c r="Y36" s="213"/>
      <c r="Z36" s="13"/>
      <c r="AB36" s="41"/>
      <c r="AC36" s="42" t="str">
        <f t="shared" si="1"/>
        <v/>
      </c>
      <c r="AD36" s="43" t="str">
        <f t="shared" si="2"/>
        <v/>
      </c>
      <c r="AE36" s="41"/>
      <c r="AF36" s="42" t="str">
        <f t="shared" si="3"/>
        <v/>
      </c>
      <c r="AG36" s="44" t="str">
        <f t="shared" si="4"/>
        <v/>
      </c>
      <c r="AH36" s="45"/>
      <c r="AI36" s="45" t="str">
        <f t="shared" si="5"/>
        <v/>
      </c>
      <c r="AJ36" s="46" t="str">
        <f t="shared" si="6"/>
        <v/>
      </c>
      <c r="AK36" s="47" t="str">
        <f t="shared" si="7"/>
        <v/>
      </c>
    </row>
    <row r="37" spans="1:37" ht="19.5" customHeight="1" x14ac:dyDescent="0.25">
      <c r="A37" s="10"/>
      <c r="B37" s="40" t="s">
        <v>53</v>
      </c>
      <c r="C37" s="79"/>
      <c r="D37" s="80"/>
      <c r="E37" s="80"/>
      <c r="F37" s="80"/>
      <c r="G37" s="80"/>
      <c r="H37" s="80"/>
      <c r="I37" s="80"/>
      <c r="J37" s="81"/>
      <c r="K37" s="204"/>
      <c r="L37" s="205"/>
      <c r="M37" s="206"/>
      <c r="N37" s="159" t="str">
        <f t="shared" si="0"/>
        <v/>
      </c>
      <c r="O37" s="205"/>
      <c r="P37" s="207"/>
      <c r="Q37" s="211"/>
      <c r="R37" s="212"/>
      <c r="S37" s="212"/>
      <c r="T37" s="212"/>
      <c r="U37" s="212"/>
      <c r="V37" s="212"/>
      <c r="W37" s="212"/>
      <c r="X37" s="212"/>
      <c r="Y37" s="213"/>
      <c r="Z37" s="13"/>
      <c r="AB37" s="41"/>
      <c r="AC37" s="42" t="str">
        <f t="shared" si="1"/>
        <v/>
      </c>
      <c r="AD37" s="43" t="str">
        <f t="shared" si="2"/>
        <v/>
      </c>
      <c r="AE37" s="41"/>
      <c r="AF37" s="42" t="str">
        <f t="shared" si="3"/>
        <v/>
      </c>
      <c r="AG37" s="44" t="str">
        <f t="shared" si="4"/>
        <v/>
      </c>
      <c r="AH37" s="45"/>
      <c r="AI37" s="45" t="str">
        <f t="shared" si="5"/>
        <v/>
      </c>
      <c r="AJ37" s="46" t="str">
        <f t="shared" si="6"/>
        <v/>
      </c>
      <c r="AK37" s="47" t="str">
        <f t="shared" si="7"/>
        <v/>
      </c>
    </row>
    <row r="38" spans="1:37" ht="19.5" customHeight="1" x14ac:dyDescent="0.25">
      <c r="A38" s="10"/>
      <c r="B38" s="40" t="s">
        <v>54</v>
      </c>
      <c r="C38" s="79"/>
      <c r="D38" s="80"/>
      <c r="E38" s="80"/>
      <c r="F38" s="80"/>
      <c r="G38" s="80"/>
      <c r="H38" s="80"/>
      <c r="I38" s="80"/>
      <c r="J38" s="81"/>
      <c r="K38" s="204"/>
      <c r="L38" s="205"/>
      <c r="M38" s="206"/>
      <c r="N38" s="159" t="str">
        <f t="shared" si="0"/>
        <v/>
      </c>
      <c r="O38" s="205"/>
      <c r="P38" s="207"/>
      <c r="Q38" s="211"/>
      <c r="R38" s="212"/>
      <c r="S38" s="212"/>
      <c r="T38" s="212"/>
      <c r="U38" s="212"/>
      <c r="V38" s="212"/>
      <c r="W38" s="212"/>
      <c r="X38" s="212"/>
      <c r="Y38" s="213"/>
      <c r="Z38" s="13"/>
      <c r="AB38" s="41"/>
      <c r="AC38" s="42" t="str">
        <f t="shared" si="1"/>
        <v/>
      </c>
      <c r="AD38" s="43" t="str">
        <f t="shared" si="2"/>
        <v/>
      </c>
      <c r="AE38" s="41"/>
      <c r="AF38" s="42" t="str">
        <f t="shared" si="3"/>
        <v/>
      </c>
      <c r="AG38" s="44" t="str">
        <f t="shared" si="4"/>
        <v/>
      </c>
      <c r="AH38" s="45"/>
      <c r="AI38" s="45" t="str">
        <f t="shared" si="5"/>
        <v/>
      </c>
      <c r="AJ38" s="46" t="str">
        <f t="shared" si="6"/>
        <v/>
      </c>
      <c r="AK38" s="47" t="str">
        <f t="shared" si="7"/>
        <v/>
      </c>
    </row>
    <row r="39" spans="1:37" ht="19.5" customHeight="1" x14ac:dyDescent="0.25">
      <c r="A39" s="10"/>
      <c r="B39" s="40" t="s">
        <v>55</v>
      </c>
      <c r="C39" s="79"/>
      <c r="D39" s="80"/>
      <c r="E39" s="80"/>
      <c r="F39" s="80"/>
      <c r="G39" s="80"/>
      <c r="H39" s="80"/>
      <c r="I39" s="80"/>
      <c r="J39" s="81"/>
      <c r="K39" s="204"/>
      <c r="L39" s="205"/>
      <c r="M39" s="206"/>
      <c r="N39" s="159" t="str">
        <f t="shared" si="0"/>
        <v/>
      </c>
      <c r="O39" s="205"/>
      <c r="P39" s="207"/>
      <c r="Q39" s="211"/>
      <c r="R39" s="212"/>
      <c r="S39" s="212"/>
      <c r="T39" s="212"/>
      <c r="U39" s="212"/>
      <c r="V39" s="212"/>
      <c r="W39" s="212"/>
      <c r="X39" s="212"/>
      <c r="Y39" s="213"/>
      <c r="Z39" s="13"/>
      <c r="AB39" s="41"/>
      <c r="AC39" s="42" t="str">
        <f t="shared" si="1"/>
        <v/>
      </c>
      <c r="AD39" s="43" t="str">
        <f t="shared" si="2"/>
        <v/>
      </c>
      <c r="AE39" s="41"/>
      <c r="AF39" s="42" t="str">
        <f t="shared" si="3"/>
        <v/>
      </c>
      <c r="AG39" s="44" t="str">
        <f t="shared" si="4"/>
        <v/>
      </c>
      <c r="AH39" s="45"/>
      <c r="AI39" s="45" t="str">
        <f t="shared" si="5"/>
        <v/>
      </c>
      <c r="AJ39" s="46" t="str">
        <f t="shared" si="6"/>
        <v/>
      </c>
      <c r="AK39" s="47" t="str">
        <f t="shared" si="7"/>
        <v/>
      </c>
    </row>
    <row r="40" spans="1:37" ht="19.5" customHeight="1" x14ac:dyDescent="0.25">
      <c r="A40" s="10"/>
      <c r="B40" s="40" t="s">
        <v>56</v>
      </c>
      <c r="C40" s="79"/>
      <c r="D40" s="80"/>
      <c r="E40" s="80"/>
      <c r="F40" s="80"/>
      <c r="G40" s="80"/>
      <c r="H40" s="80"/>
      <c r="I40" s="80"/>
      <c r="J40" s="81"/>
      <c r="K40" s="204"/>
      <c r="L40" s="205"/>
      <c r="M40" s="206"/>
      <c r="N40" s="159" t="str">
        <f t="shared" si="0"/>
        <v/>
      </c>
      <c r="O40" s="205"/>
      <c r="P40" s="207"/>
      <c r="Q40" s="211"/>
      <c r="R40" s="212"/>
      <c r="S40" s="212"/>
      <c r="T40" s="212"/>
      <c r="U40" s="212"/>
      <c r="V40" s="212"/>
      <c r="W40" s="212"/>
      <c r="X40" s="212"/>
      <c r="Y40" s="213"/>
      <c r="Z40" s="13"/>
      <c r="AB40" s="41"/>
      <c r="AC40" s="42" t="str">
        <f t="shared" si="1"/>
        <v/>
      </c>
      <c r="AD40" s="43" t="str">
        <f t="shared" si="2"/>
        <v/>
      </c>
      <c r="AE40" s="41"/>
      <c r="AF40" s="42" t="str">
        <f t="shared" si="3"/>
        <v/>
      </c>
      <c r="AG40" s="44" t="str">
        <f t="shared" si="4"/>
        <v/>
      </c>
      <c r="AH40" s="45"/>
      <c r="AI40" s="45" t="str">
        <f t="shared" si="5"/>
        <v/>
      </c>
      <c r="AJ40" s="46" t="str">
        <f t="shared" si="6"/>
        <v/>
      </c>
      <c r="AK40" s="47" t="str">
        <f t="shared" si="7"/>
        <v/>
      </c>
    </row>
    <row r="41" spans="1:37" ht="19.5" customHeight="1" x14ac:dyDescent="0.25">
      <c r="A41" s="10"/>
      <c r="B41" s="40" t="s">
        <v>57</v>
      </c>
      <c r="C41" s="79"/>
      <c r="D41" s="80"/>
      <c r="E41" s="80"/>
      <c r="F41" s="80"/>
      <c r="G41" s="80"/>
      <c r="H41" s="80"/>
      <c r="I41" s="80"/>
      <c r="J41" s="81"/>
      <c r="K41" s="204"/>
      <c r="L41" s="205"/>
      <c r="M41" s="206"/>
      <c r="N41" s="159" t="str">
        <f t="shared" si="0"/>
        <v/>
      </c>
      <c r="O41" s="205"/>
      <c r="P41" s="207"/>
      <c r="Q41" s="211"/>
      <c r="R41" s="212"/>
      <c r="S41" s="212"/>
      <c r="T41" s="212"/>
      <c r="U41" s="212"/>
      <c r="V41" s="212"/>
      <c r="W41" s="212"/>
      <c r="X41" s="212"/>
      <c r="Y41" s="213"/>
      <c r="Z41" s="13"/>
      <c r="AB41" s="41"/>
      <c r="AC41" s="42" t="str">
        <f t="shared" si="1"/>
        <v/>
      </c>
      <c r="AD41" s="43" t="str">
        <f t="shared" si="2"/>
        <v/>
      </c>
      <c r="AE41" s="41"/>
      <c r="AF41" s="42" t="str">
        <f t="shared" si="3"/>
        <v/>
      </c>
      <c r="AG41" s="44" t="str">
        <f t="shared" si="4"/>
        <v/>
      </c>
      <c r="AH41" s="45"/>
      <c r="AI41" s="45" t="str">
        <f t="shared" si="5"/>
        <v/>
      </c>
      <c r="AJ41" s="46" t="str">
        <f t="shared" si="6"/>
        <v/>
      </c>
      <c r="AK41" s="47" t="str">
        <f t="shared" si="7"/>
        <v/>
      </c>
    </row>
    <row r="42" spans="1:37" ht="19.5" customHeight="1" x14ac:dyDescent="0.25">
      <c r="A42" s="10"/>
      <c r="B42" s="40" t="s">
        <v>58</v>
      </c>
      <c r="C42" s="79"/>
      <c r="D42" s="80"/>
      <c r="E42" s="80"/>
      <c r="F42" s="80"/>
      <c r="G42" s="80"/>
      <c r="H42" s="80"/>
      <c r="I42" s="80"/>
      <c r="J42" s="81"/>
      <c r="K42" s="204"/>
      <c r="L42" s="205"/>
      <c r="M42" s="206"/>
      <c r="N42" s="159" t="str">
        <f t="shared" si="0"/>
        <v/>
      </c>
      <c r="O42" s="205"/>
      <c r="P42" s="207"/>
      <c r="Q42" s="211"/>
      <c r="R42" s="212"/>
      <c r="S42" s="212"/>
      <c r="T42" s="212"/>
      <c r="U42" s="212"/>
      <c r="V42" s="212"/>
      <c r="W42" s="212"/>
      <c r="X42" s="212"/>
      <c r="Y42" s="213"/>
      <c r="Z42" s="13"/>
      <c r="AB42" s="41"/>
      <c r="AC42" s="42" t="str">
        <f t="shared" si="1"/>
        <v/>
      </c>
      <c r="AD42" s="43" t="str">
        <f t="shared" si="2"/>
        <v/>
      </c>
      <c r="AE42" s="41"/>
      <c r="AF42" s="42" t="str">
        <f t="shared" si="3"/>
        <v/>
      </c>
      <c r="AG42" s="44" t="str">
        <f t="shared" si="4"/>
        <v/>
      </c>
      <c r="AH42" s="45"/>
      <c r="AI42" s="45" t="str">
        <f t="shared" si="5"/>
        <v/>
      </c>
      <c r="AJ42" s="46" t="str">
        <f t="shared" si="6"/>
        <v/>
      </c>
      <c r="AK42" s="47" t="str">
        <f t="shared" si="7"/>
        <v/>
      </c>
    </row>
    <row r="43" spans="1:37" ht="19.5" customHeight="1" x14ac:dyDescent="0.25">
      <c r="A43" s="10"/>
      <c r="B43" s="40" t="s">
        <v>59</v>
      </c>
      <c r="C43" s="79"/>
      <c r="D43" s="80"/>
      <c r="E43" s="80"/>
      <c r="F43" s="80"/>
      <c r="G43" s="80"/>
      <c r="H43" s="80"/>
      <c r="I43" s="80"/>
      <c r="J43" s="81"/>
      <c r="K43" s="204"/>
      <c r="L43" s="205"/>
      <c r="M43" s="206"/>
      <c r="N43" s="159" t="str">
        <f t="shared" si="0"/>
        <v/>
      </c>
      <c r="O43" s="205"/>
      <c r="P43" s="207"/>
      <c r="Q43" s="211"/>
      <c r="R43" s="212"/>
      <c r="S43" s="212"/>
      <c r="T43" s="212"/>
      <c r="U43" s="212"/>
      <c r="V43" s="212"/>
      <c r="W43" s="212"/>
      <c r="X43" s="212"/>
      <c r="Y43" s="213"/>
      <c r="Z43" s="13"/>
      <c r="AB43" s="41"/>
      <c r="AC43" s="42" t="str">
        <f t="shared" si="1"/>
        <v/>
      </c>
      <c r="AD43" s="43" t="str">
        <f t="shared" si="2"/>
        <v/>
      </c>
      <c r="AE43" s="41"/>
      <c r="AF43" s="42" t="str">
        <f t="shared" si="3"/>
        <v/>
      </c>
      <c r="AG43" s="44" t="str">
        <f t="shared" si="4"/>
        <v/>
      </c>
      <c r="AH43" s="45"/>
      <c r="AI43" s="45" t="str">
        <f t="shared" si="5"/>
        <v/>
      </c>
      <c r="AJ43" s="46" t="str">
        <f t="shared" si="6"/>
        <v/>
      </c>
      <c r="AK43" s="47" t="str">
        <f t="shared" si="7"/>
        <v/>
      </c>
    </row>
    <row r="44" spans="1:37" ht="19.5" customHeight="1" x14ac:dyDescent="0.25">
      <c r="A44" s="10"/>
      <c r="B44" s="40" t="s">
        <v>60</v>
      </c>
      <c r="C44" s="79"/>
      <c r="D44" s="80"/>
      <c r="E44" s="80"/>
      <c r="F44" s="80"/>
      <c r="G44" s="80"/>
      <c r="H44" s="80"/>
      <c r="I44" s="80"/>
      <c r="J44" s="81"/>
      <c r="K44" s="204"/>
      <c r="L44" s="205"/>
      <c r="M44" s="206"/>
      <c r="N44" s="159" t="str">
        <f t="shared" si="0"/>
        <v/>
      </c>
      <c r="O44" s="205"/>
      <c r="P44" s="207"/>
      <c r="Q44" s="211"/>
      <c r="R44" s="212"/>
      <c r="S44" s="212"/>
      <c r="T44" s="212"/>
      <c r="U44" s="212"/>
      <c r="V44" s="212"/>
      <c r="W44" s="212"/>
      <c r="X44" s="212"/>
      <c r="Y44" s="213"/>
      <c r="Z44" s="13"/>
      <c r="AB44" s="41"/>
      <c r="AC44" s="42" t="str">
        <f t="shared" si="1"/>
        <v/>
      </c>
      <c r="AD44" s="43" t="str">
        <f t="shared" si="2"/>
        <v/>
      </c>
      <c r="AE44" s="41"/>
      <c r="AF44" s="42" t="str">
        <f t="shared" si="3"/>
        <v/>
      </c>
      <c r="AG44" s="44" t="str">
        <f t="shared" si="4"/>
        <v/>
      </c>
      <c r="AH44" s="45"/>
      <c r="AI44" s="45" t="str">
        <f t="shared" si="5"/>
        <v/>
      </c>
      <c r="AJ44" s="46" t="str">
        <f t="shared" si="6"/>
        <v/>
      </c>
      <c r="AK44" s="47" t="str">
        <f t="shared" si="7"/>
        <v/>
      </c>
    </row>
    <row r="45" spans="1:37" ht="19.5" customHeight="1" x14ac:dyDescent="0.25">
      <c r="A45" s="10"/>
      <c r="B45" s="40" t="s">
        <v>62</v>
      </c>
      <c r="C45" s="79"/>
      <c r="D45" s="80"/>
      <c r="E45" s="80"/>
      <c r="F45" s="80"/>
      <c r="G45" s="80"/>
      <c r="H45" s="80"/>
      <c r="I45" s="80"/>
      <c r="J45" s="81"/>
      <c r="K45" s="204"/>
      <c r="L45" s="205"/>
      <c r="M45" s="206"/>
      <c r="N45" s="159" t="str">
        <f t="shared" si="0"/>
        <v/>
      </c>
      <c r="O45" s="205"/>
      <c r="P45" s="207"/>
      <c r="Q45" s="211"/>
      <c r="R45" s="212"/>
      <c r="S45" s="212"/>
      <c r="T45" s="212"/>
      <c r="U45" s="212"/>
      <c r="V45" s="212"/>
      <c r="W45" s="212"/>
      <c r="X45" s="212"/>
      <c r="Y45" s="213"/>
      <c r="Z45" s="13"/>
      <c r="AB45" s="41"/>
      <c r="AC45" s="42" t="str">
        <f t="shared" si="1"/>
        <v/>
      </c>
      <c r="AD45" s="43" t="str">
        <f t="shared" si="2"/>
        <v/>
      </c>
      <c r="AE45" s="41"/>
      <c r="AF45" s="42" t="str">
        <f t="shared" si="3"/>
        <v/>
      </c>
      <c r="AG45" s="44" t="str">
        <f t="shared" si="4"/>
        <v/>
      </c>
      <c r="AH45" s="45"/>
      <c r="AI45" s="45" t="str">
        <f t="shared" si="5"/>
        <v/>
      </c>
      <c r="AJ45" s="46" t="str">
        <f t="shared" si="6"/>
        <v/>
      </c>
      <c r="AK45" s="47" t="str">
        <f t="shared" si="7"/>
        <v/>
      </c>
    </row>
    <row r="46" spans="1:37" ht="19.5" customHeight="1" x14ac:dyDescent="0.25">
      <c r="A46" s="10"/>
      <c r="B46" s="40" t="s">
        <v>63</v>
      </c>
      <c r="C46" s="79"/>
      <c r="D46" s="80"/>
      <c r="E46" s="80"/>
      <c r="F46" s="80"/>
      <c r="G46" s="80"/>
      <c r="H46" s="80"/>
      <c r="I46" s="80"/>
      <c r="J46" s="81"/>
      <c r="K46" s="204"/>
      <c r="L46" s="205"/>
      <c r="M46" s="206"/>
      <c r="N46" s="159" t="str">
        <f t="shared" si="0"/>
        <v/>
      </c>
      <c r="O46" s="205"/>
      <c r="P46" s="207"/>
      <c r="Q46" s="211"/>
      <c r="R46" s="212"/>
      <c r="S46" s="212"/>
      <c r="T46" s="212"/>
      <c r="U46" s="212"/>
      <c r="V46" s="212"/>
      <c r="W46" s="212"/>
      <c r="X46" s="212"/>
      <c r="Y46" s="213"/>
      <c r="Z46" s="13"/>
      <c r="AB46" s="41"/>
      <c r="AC46" s="42" t="str">
        <f t="shared" si="1"/>
        <v/>
      </c>
      <c r="AD46" s="43" t="str">
        <f t="shared" si="2"/>
        <v/>
      </c>
      <c r="AE46" s="41"/>
      <c r="AF46" s="42" t="str">
        <f t="shared" si="3"/>
        <v/>
      </c>
      <c r="AG46" s="44" t="str">
        <f t="shared" si="4"/>
        <v/>
      </c>
      <c r="AH46" s="45"/>
      <c r="AI46" s="45" t="str">
        <f t="shared" si="5"/>
        <v/>
      </c>
      <c r="AJ46" s="46" t="str">
        <f t="shared" si="6"/>
        <v/>
      </c>
      <c r="AK46" s="47" t="str">
        <f t="shared" si="7"/>
        <v/>
      </c>
    </row>
    <row r="47" spans="1:37" ht="19.5" customHeight="1" x14ac:dyDescent="0.25">
      <c r="A47" s="10"/>
      <c r="B47" s="40" t="s">
        <v>64</v>
      </c>
      <c r="C47" s="79"/>
      <c r="D47" s="80"/>
      <c r="E47" s="80"/>
      <c r="F47" s="80"/>
      <c r="G47" s="80"/>
      <c r="H47" s="80"/>
      <c r="I47" s="80"/>
      <c r="J47" s="81"/>
      <c r="K47" s="204"/>
      <c r="L47" s="205"/>
      <c r="M47" s="206"/>
      <c r="N47" s="159" t="str">
        <f t="shared" si="0"/>
        <v/>
      </c>
      <c r="O47" s="205"/>
      <c r="P47" s="207"/>
      <c r="Q47" s="211"/>
      <c r="R47" s="212"/>
      <c r="S47" s="212"/>
      <c r="T47" s="212"/>
      <c r="U47" s="212"/>
      <c r="V47" s="212"/>
      <c r="W47" s="212"/>
      <c r="X47" s="212"/>
      <c r="Y47" s="213"/>
      <c r="Z47" s="13"/>
      <c r="AB47" s="41"/>
      <c r="AC47" s="42" t="str">
        <f t="shared" si="1"/>
        <v/>
      </c>
      <c r="AD47" s="43" t="str">
        <f t="shared" si="2"/>
        <v/>
      </c>
      <c r="AE47" s="41"/>
      <c r="AF47" s="42" t="str">
        <f t="shared" si="3"/>
        <v/>
      </c>
      <c r="AG47" s="44" t="str">
        <f t="shared" si="4"/>
        <v/>
      </c>
      <c r="AH47" s="45"/>
      <c r="AI47" s="45" t="str">
        <f t="shared" si="5"/>
        <v/>
      </c>
      <c r="AJ47" s="46" t="str">
        <f t="shared" si="6"/>
        <v/>
      </c>
      <c r="AK47" s="47" t="str">
        <f t="shared" si="7"/>
        <v/>
      </c>
    </row>
    <row r="48" spans="1:37" ht="19.5" customHeight="1" x14ac:dyDescent="0.25">
      <c r="A48" s="10"/>
      <c r="B48" s="40" t="s">
        <v>65</v>
      </c>
      <c r="C48" s="79"/>
      <c r="D48" s="80"/>
      <c r="E48" s="80"/>
      <c r="F48" s="80"/>
      <c r="G48" s="80"/>
      <c r="H48" s="80"/>
      <c r="I48" s="80"/>
      <c r="J48" s="81"/>
      <c r="K48" s="204"/>
      <c r="L48" s="205"/>
      <c r="M48" s="206"/>
      <c r="N48" s="159" t="str">
        <f t="shared" si="0"/>
        <v/>
      </c>
      <c r="O48" s="205"/>
      <c r="P48" s="207"/>
      <c r="Q48" s="211"/>
      <c r="R48" s="212"/>
      <c r="S48" s="212"/>
      <c r="T48" s="212"/>
      <c r="U48" s="212"/>
      <c r="V48" s="212"/>
      <c r="W48" s="212"/>
      <c r="X48" s="212"/>
      <c r="Y48" s="213"/>
      <c r="Z48" s="13"/>
      <c r="AB48" s="41"/>
      <c r="AC48" s="42" t="str">
        <f t="shared" si="1"/>
        <v/>
      </c>
      <c r="AD48" s="43" t="str">
        <f t="shared" si="2"/>
        <v/>
      </c>
      <c r="AE48" s="41"/>
      <c r="AF48" s="42" t="str">
        <f t="shared" si="3"/>
        <v/>
      </c>
      <c r="AG48" s="44" t="str">
        <f t="shared" si="4"/>
        <v/>
      </c>
      <c r="AH48" s="45"/>
      <c r="AI48" s="45" t="str">
        <f t="shared" si="5"/>
        <v/>
      </c>
      <c r="AJ48" s="46" t="str">
        <f t="shared" si="6"/>
        <v/>
      </c>
      <c r="AK48" s="47" t="str">
        <f t="shared" si="7"/>
        <v/>
      </c>
    </row>
    <row r="49" spans="1:37" ht="19.5" customHeight="1" thickBot="1" x14ac:dyDescent="0.3">
      <c r="A49" s="10"/>
      <c r="B49" s="40" t="s">
        <v>66</v>
      </c>
      <c r="C49" s="222"/>
      <c r="D49" s="223"/>
      <c r="E49" s="223"/>
      <c r="F49" s="223"/>
      <c r="G49" s="223"/>
      <c r="H49" s="223"/>
      <c r="I49" s="223"/>
      <c r="J49" s="224"/>
      <c r="K49" s="214"/>
      <c r="L49" s="215"/>
      <c r="M49" s="216"/>
      <c r="N49" s="217" t="str">
        <f t="shared" si="0"/>
        <v/>
      </c>
      <c r="O49" s="215"/>
      <c r="P49" s="218"/>
      <c r="Q49" s="219"/>
      <c r="R49" s="220"/>
      <c r="S49" s="220"/>
      <c r="T49" s="220"/>
      <c r="U49" s="220"/>
      <c r="V49" s="220"/>
      <c r="W49" s="220"/>
      <c r="X49" s="220"/>
      <c r="Y49" s="221"/>
      <c r="Z49" s="13"/>
      <c r="AB49" s="41"/>
      <c r="AC49" s="42" t="str">
        <f t="shared" si="1"/>
        <v/>
      </c>
      <c r="AD49" s="43" t="str">
        <f t="shared" si="2"/>
        <v/>
      </c>
      <c r="AE49" s="41"/>
      <c r="AF49" s="42" t="str">
        <f t="shared" si="3"/>
        <v/>
      </c>
      <c r="AG49" s="44" t="str">
        <f t="shared" si="4"/>
        <v/>
      </c>
      <c r="AH49" s="45"/>
      <c r="AI49" s="45" t="str">
        <f t="shared" si="5"/>
        <v/>
      </c>
      <c r="AJ49" s="46" t="str">
        <f t="shared" si="6"/>
        <v/>
      </c>
      <c r="AK49" s="47" t="str">
        <f t="shared" si="7"/>
        <v/>
      </c>
    </row>
    <row r="50" spans="1:37" ht="15.75" customHeight="1" x14ac:dyDescent="0.25">
      <c r="A50" s="10"/>
      <c r="B50" s="194" t="s">
        <v>41</v>
      </c>
      <c r="C50" s="195"/>
      <c r="D50" s="195"/>
      <c r="E50" s="195"/>
      <c r="F50" s="195"/>
      <c r="G50" s="195"/>
      <c r="H50" s="195"/>
      <c r="I50" s="195"/>
      <c r="J50" s="196"/>
      <c r="K50" s="239" t="str">
        <f>IF(K25&lt;&gt;"",AVERAGE(K25:M49),"")</f>
        <v/>
      </c>
      <c r="L50" s="155"/>
      <c r="M50" s="156"/>
      <c r="N50" s="239" t="str">
        <f>IF(N25&lt;&gt;"",AVERAGE(N25:P49),"")</f>
        <v/>
      </c>
      <c r="O50" s="155"/>
      <c r="P50" s="156"/>
      <c r="Q50" s="227"/>
      <c r="R50" s="228"/>
      <c r="S50" s="231" t="s">
        <v>61</v>
      </c>
      <c r="T50" s="231"/>
      <c r="U50" s="231"/>
      <c r="V50" s="231"/>
      <c r="W50" s="231"/>
      <c r="X50" s="231"/>
      <c r="Y50" s="232"/>
      <c r="Z50" s="13"/>
      <c r="AB50" s="48"/>
      <c r="AC50" s="48"/>
      <c r="AD50" s="49"/>
      <c r="AE50" s="48"/>
      <c r="AF50" s="48"/>
      <c r="AG50" s="49"/>
      <c r="AH50" s="50"/>
    </row>
    <row r="51" spans="1:37" ht="15.75" customHeight="1" x14ac:dyDescent="0.25">
      <c r="A51" s="10"/>
      <c r="B51" s="191" t="s">
        <v>42</v>
      </c>
      <c r="C51" s="192"/>
      <c r="D51" s="192"/>
      <c r="E51" s="192"/>
      <c r="F51" s="192"/>
      <c r="G51" s="192"/>
      <c r="H51" s="192"/>
      <c r="I51" s="192"/>
      <c r="J51" s="193"/>
      <c r="K51" s="162" t="str">
        <f>IF(K25&lt;&gt;"",MIN(K25:M49),"")</f>
        <v/>
      </c>
      <c r="L51" s="225"/>
      <c r="M51" s="226"/>
      <c r="N51" s="162" t="str">
        <f>IF(N25&lt;&gt;"",MIN(N25:P49),"")</f>
        <v/>
      </c>
      <c r="O51" s="225"/>
      <c r="P51" s="226"/>
      <c r="Q51" s="227"/>
      <c r="R51" s="228"/>
      <c r="S51" s="233"/>
      <c r="T51" s="233"/>
      <c r="U51" s="233"/>
      <c r="V51" s="233"/>
      <c r="W51" s="233"/>
      <c r="X51" s="233"/>
      <c r="Y51" s="234"/>
      <c r="Z51" s="13"/>
      <c r="AB51" s="48"/>
      <c r="AC51" s="48"/>
      <c r="AD51" s="49"/>
      <c r="AE51" s="48"/>
      <c r="AF51" s="48"/>
      <c r="AG51" s="49"/>
      <c r="AH51" s="50"/>
    </row>
    <row r="52" spans="1:37" ht="15.75" customHeight="1" thickBot="1" x14ac:dyDescent="0.3">
      <c r="A52" s="10"/>
      <c r="B52" s="188" t="s">
        <v>43</v>
      </c>
      <c r="C52" s="189"/>
      <c r="D52" s="189"/>
      <c r="E52" s="189"/>
      <c r="F52" s="189"/>
      <c r="G52" s="189"/>
      <c r="H52" s="189"/>
      <c r="I52" s="189"/>
      <c r="J52" s="190"/>
      <c r="K52" s="178" t="str">
        <f>IF(K25&lt;&gt;"",MAX(K25:M49),"")</f>
        <v/>
      </c>
      <c r="L52" s="237"/>
      <c r="M52" s="238"/>
      <c r="N52" s="178" t="str">
        <f>IF(N25&lt;&gt;"",MAX(N25:P49),"")</f>
        <v/>
      </c>
      <c r="O52" s="237"/>
      <c r="P52" s="238"/>
      <c r="Q52" s="229"/>
      <c r="R52" s="230"/>
      <c r="S52" s="235"/>
      <c r="T52" s="235"/>
      <c r="U52" s="235"/>
      <c r="V52" s="235"/>
      <c r="W52" s="235"/>
      <c r="X52" s="235"/>
      <c r="Y52" s="236"/>
      <c r="Z52" s="13"/>
      <c r="AB52" s="48"/>
      <c r="AC52" s="48"/>
      <c r="AD52" s="49"/>
      <c r="AE52" s="48"/>
      <c r="AF52" s="48"/>
      <c r="AG52" s="49"/>
      <c r="AH52" s="50"/>
    </row>
    <row r="53" spans="1:37" ht="15.9" customHeight="1" x14ac:dyDescent="0.25">
      <c r="A53" s="51"/>
      <c r="B53" s="52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19"/>
    </row>
    <row r="54" spans="1:37" ht="12.75" customHeight="1" x14ac:dyDescent="0.25">
      <c r="A54" s="53"/>
      <c r="B54" s="54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</row>
    <row r="55" spans="1:37" s="20" customFormat="1" ht="15.6" customHeight="1" x14ac:dyDescent="0.25">
      <c r="A55" s="55" t="s">
        <v>80</v>
      </c>
      <c r="B55" s="56" t="s">
        <v>14</v>
      </c>
      <c r="C55" s="57"/>
      <c r="D55" s="57"/>
      <c r="E55" s="57"/>
      <c r="F55" s="58"/>
      <c r="G55" s="58"/>
      <c r="H55" s="58"/>
      <c r="I55" s="7"/>
      <c r="J55" s="7"/>
      <c r="K55" s="7"/>
      <c r="L55" s="7"/>
      <c r="M55" s="7"/>
      <c r="N55" s="7"/>
      <c r="O55" s="7"/>
      <c r="P55" s="7"/>
      <c r="Q55" s="58"/>
      <c r="R55" s="7"/>
      <c r="S55" s="7"/>
      <c r="T55" s="7"/>
      <c r="U55" s="100"/>
      <c r="V55" s="100"/>
      <c r="W55" s="100"/>
      <c r="X55" s="101"/>
      <c r="Y55" s="101"/>
      <c r="Z55" s="102"/>
    </row>
    <row r="56" spans="1:37" s="20" customFormat="1" ht="25.2" customHeight="1" x14ac:dyDescent="0.25">
      <c r="A56" s="108" t="s">
        <v>82</v>
      </c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09"/>
      <c r="O56" s="109"/>
      <c r="P56" s="109"/>
      <c r="Q56" s="277"/>
      <c r="R56" s="82" t="s">
        <v>9</v>
      </c>
      <c r="S56" s="83"/>
      <c r="T56" s="84"/>
      <c r="U56" s="103"/>
      <c r="V56" s="104"/>
      <c r="W56" s="104"/>
      <c r="X56" s="105"/>
      <c r="Y56" s="105"/>
      <c r="Z56" s="106"/>
    </row>
    <row r="57" spans="1:37" s="20" customFormat="1" ht="25.2" customHeight="1" x14ac:dyDescent="0.25">
      <c r="A57" s="278"/>
      <c r="B57" s="279"/>
      <c r="C57" s="279"/>
      <c r="D57" s="279"/>
      <c r="E57" s="279"/>
      <c r="F57" s="279"/>
      <c r="G57" s="279"/>
      <c r="H57" s="279"/>
      <c r="I57" s="279"/>
      <c r="J57" s="279"/>
      <c r="K57" s="279"/>
      <c r="L57" s="279"/>
      <c r="M57" s="279"/>
      <c r="N57" s="279"/>
      <c r="O57" s="279"/>
      <c r="P57" s="279"/>
      <c r="Q57" s="280"/>
      <c r="R57" s="82"/>
      <c r="S57" s="83"/>
      <c r="T57" s="84"/>
      <c r="U57" s="116"/>
      <c r="V57" s="117"/>
      <c r="W57" s="117"/>
      <c r="X57" s="95"/>
      <c r="Y57" s="95"/>
      <c r="Z57" s="94"/>
    </row>
    <row r="58" spans="1:37" s="20" customFormat="1" ht="15.6" customHeight="1" x14ac:dyDescent="0.25">
      <c r="A58" s="59" t="s">
        <v>81</v>
      </c>
      <c r="B58" s="60" t="s">
        <v>5</v>
      </c>
      <c r="C58" s="11"/>
      <c r="D58" s="1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2"/>
      <c r="R58" s="82"/>
      <c r="S58" s="83"/>
      <c r="T58" s="84"/>
      <c r="U58" s="118"/>
      <c r="V58" s="119"/>
      <c r="W58" s="119"/>
      <c r="X58" s="98"/>
      <c r="Y58" s="98"/>
      <c r="Z58" s="99"/>
    </row>
    <row r="59" spans="1:37" s="20" customFormat="1" ht="15.6" customHeight="1" x14ac:dyDescent="0.25">
      <c r="A59" s="281"/>
      <c r="B59" s="282"/>
      <c r="C59" s="282"/>
      <c r="D59" s="282"/>
      <c r="E59" s="282"/>
      <c r="F59" s="282"/>
      <c r="G59" s="282"/>
      <c r="H59" s="282"/>
      <c r="I59" s="282"/>
      <c r="J59" s="282"/>
      <c r="K59" s="282"/>
      <c r="L59" s="282"/>
      <c r="M59" s="282"/>
      <c r="N59" s="282"/>
      <c r="O59" s="282"/>
      <c r="P59" s="282"/>
      <c r="Q59" s="283"/>
      <c r="R59" s="82" t="s">
        <v>10</v>
      </c>
      <c r="S59" s="83"/>
      <c r="T59" s="84"/>
      <c r="U59" s="88"/>
      <c r="V59" s="89"/>
      <c r="W59" s="89"/>
      <c r="X59" s="90"/>
      <c r="Y59" s="90"/>
      <c r="Z59" s="91"/>
    </row>
    <row r="60" spans="1:37" s="20" customFormat="1" ht="15.6" customHeight="1" x14ac:dyDescent="0.25">
      <c r="A60" s="281"/>
      <c r="B60" s="282"/>
      <c r="C60" s="282"/>
      <c r="D60" s="282"/>
      <c r="E60" s="282"/>
      <c r="F60" s="282"/>
      <c r="G60" s="282"/>
      <c r="H60" s="282"/>
      <c r="I60" s="282"/>
      <c r="J60" s="282"/>
      <c r="K60" s="282"/>
      <c r="L60" s="282"/>
      <c r="M60" s="282"/>
      <c r="N60" s="282"/>
      <c r="O60" s="282"/>
      <c r="P60" s="282"/>
      <c r="Q60" s="283"/>
      <c r="R60" s="82"/>
      <c r="S60" s="83"/>
      <c r="T60" s="84"/>
      <c r="U60" s="92"/>
      <c r="V60" s="93"/>
      <c r="W60" s="93"/>
      <c r="X60" s="95"/>
      <c r="Y60" s="95"/>
      <c r="Z60" s="94"/>
    </row>
    <row r="61" spans="1:37" s="20" customFormat="1" ht="15.6" customHeight="1" x14ac:dyDescent="0.25">
      <c r="A61" s="281"/>
      <c r="B61" s="282"/>
      <c r="C61" s="282"/>
      <c r="D61" s="282"/>
      <c r="E61" s="282"/>
      <c r="F61" s="282"/>
      <c r="G61" s="282"/>
      <c r="H61" s="282"/>
      <c r="I61" s="282"/>
      <c r="J61" s="282"/>
      <c r="K61" s="282"/>
      <c r="L61" s="282"/>
      <c r="M61" s="282"/>
      <c r="N61" s="282"/>
      <c r="O61" s="282"/>
      <c r="P61" s="282"/>
      <c r="Q61" s="283"/>
      <c r="R61" s="82"/>
      <c r="S61" s="83"/>
      <c r="T61" s="84"/>
      <c r="U61" s="92"/>
      <c r="V61" s="93"/>
      <c r="W61" s="93"/>
      <c r="X61" s="95"/>
      <c r="Y61" s="95"/>
      <c r="Z61" s="94"/>
    </row>
    <row r="62" spans="1:37" s="20" customFormat="1" ht="15.6" customHeight="1" x14ac:dyDescent="0.25">
      <c r="A62" s="284"/>
      <c r="B62" s="285"/>
      <c r="C62" s="285"/>
      <c r="D62" s="285"/>
      <c r="E62" s="285"/>
      <c r="F62" s="285"/>
      <c r="G62" s="285"/>
      <c r="H62" s="285"/>
      <c r="I62" s="285"/>
      <c r="J62" s="285"/>
      <c r="K62" s="285"/>
      <c r="L62" s="285"/>
      <c r="M62" s="285"/>
      <c r="N62" s="285"/>
      <c r="O62" s="285"/>
      <c r="P62" s="285"/>
      <c r="Q62" s="286"/>
      <c r="R62" s="85"/>
      <c r="S62" s="86"/>
      <c r="T62" s="87"/>
      <c r="U62" s="96"/>
      <c r="V62" s="97"/>
      <c r="W62" s="97"/>
      <c r="X62" s="98"/>
      <c r="Y62" s="98"/>
      <c r="Z62" s="99"/>
    </row>
    <row r="64" spans="1:37" ht="12.75" customHeight="1" x14ac:dyDescent="0.25">
      <c r="A64" s="1"/>
      <c r="P64" s="11"/>
      <c r="Q64" s="11"/>
      <c r="R64" s="11"/>
      <c r="S64" s="11"/>
      <c r="T64" s="11"/>
      <c r="U64" s="11"/>
      <c r="V64" s="11"/>
      <c r="W64" s="11"/>
    </row>
    <row r="65" spans="1:23" ht="12.75" customHeight="1" x14ac:dyDescent="0.25">
      <c r="A65" s="1"/>
      <c r="P65" s="11"/>
      <c r="Q65" s="11"/>
      <c r="R65" s="11"/>
      <c r="S65" s="11"/>
      <c r="T65" s="11"/>
      <c r="U65" s="11"/>
      <c r="V65" s="11"/>
      <c r="W65" s="11"/>
    </row>
    <row r="66" spans="1:23" ht="12.75" customHeight="1" x14ac:dyDescent="0.25">
      <c r="A66" s="1"/>
      <c r="P66" s="11"/>
      <c r="Q66" s="11"/>
      <c r="R66" s="11"/>
      <c r="S66" s="11"/>
      <c r="T66" s="11"/>
      <c r="U66" s="11"/>
      <c r="V66" s="11"/>
      <c r="W66" s="11"/>
    </row>
    <row r="67" spans="1:23" ht="12.75" customHeight="1" x14ac:dyDescent="0.25">
      <c r="A67" s="1"/>
      <c r="P67" s="11"/>
      <c r="Q67" s="11"/>
      <c r="R67" s="11"/>
      <c r="S67" s="11"/>
      <c r="T67" s="11"/>
      <c r="U67" s="11"/>
      <c r="V67" s="11"/>
      <c r="W67" s="11"/>
    </row>
    <row r="68" spans="1:23" ht="12.75" customHeight="1" x14ac:dyDescent="0.25">
      <c r="A68" s="1"/>
      <c r="P68" s="11"/>
      <c r="Q68" s="11"/>
      <c r="R68" s="11"/>
      <c r="S68" s="11"/>
      <c r="T68" s="11"/>
      <c r="U68" s="11"/>
      <c r="V68" s="11"/>
      <c r="W68" s="11"/>
    </row>
    <row r="69" spans="1:23" ht="12.75" customHeight="1" x14ac:dyDescent="0.25">
      <c r="A69" s="1"/>
      <c r="P69" s="11"/>
      <c r="Q69" s="11"/>
      <c r="R69" s="11"/>
      <c r="S69" s="11"/>
      <c r="T69" s="11"/>
      <c r="U69" s="11"/>
      <c r="V69" s="11"/>
      <c r="W69" s="11"/>
    </row>
  </sheetData>
  <sheetProtection selectLockedCells="1"/>
  <mergeCells count="161">
    <mergeCell ref="A59:Q62"/>
    <mergeCell ref="R59:T62"/>
    <mergeCell ref="U59:Z62"/>
    <mergeCell ref="R56:T56"/>
    <mergeCell ref="U56:Z56"/>
    <mergeCell ref="R57:T58"/>
    <mergeCell ref="U57:Z58"/>
    <mergeCell ref="A56:Q56"/>
    <mergeCell ref="A57:Q57"/>
    <mergeCell ref="K51:M51"/>
    <mergeCell ref="N51:P51"/>
    <mergeCell ref="B52:J52"/>
    <mergeCell ref="K52:M52"/>
    <mergeCell ref="N52:P52"/>
    <mergeCell ref="U55:Z55"/>
    <mergeCell ref="C49:J49"/>
    <mergeCell ref="K49:M49"/>
    <mergeCell ref="N49:P49"/>
    <mergeCell ref="Q49:Y49"/>
    <mergeCell ref="B50:J50"/>
    <mergeCell ref="K50:M50"/>
    <mergeCell ref="N50:P50"/>
    <mergeCell ref="Q50:R52"/>
    <mergeCell ref="S50:Y52"/>
    <mergeCell ref="B51:J51"/>
    <mergeCell ref="C47:J47"/>
    <mergeCell ref="K47:M47"/>
    <mergeCell ref="N47:P47"/>
    <mergeCell ref="Q47:Y47"/>
    <mergeCell ref="C48:J48"/>
    <mergeCell ref="K48:M48"/>
    <mergeCell ref="N48:P48"/>
    <mergeCell ref="Q48:Y48"/>
    <mergeCell ref="C45:J45"/>
    <mergeCell ref="K45:M45"/>
    <mergeCell ref="N45:P45"/>
    <mergeCell ref="Q45:Y45"/>
    <mergeCell ref="C46:J46"/>
    <mergeCell ref="K46:M46"/>
    <mergeCell ref="N46:P46"/>
    <mergeCell ref="Q46:Y46"/>
    <mergeCell ref="C43:J43"/>
    <mergeCell ref="K43:M43"/>
    <mergeCell ref="N43:P43"/>
    <mergeCell ref="Q43:Y43"/>
    <mergeCell ref="C44:J44"/>
    <mergeCell ref="K44:M44"/>
    <mergeCell ref="N44:P44"/>
    <mergeCell ref="Q44:Y44"/>
    <mergeCell ref="C41:J41"/>
    <mergeCell ref="K41:M41"/>
    <mergeCell ref="N41:P41"/>
    <mergeCell ref="Q41:Y41"/>
    <mergeCell ref="C42:J42"/>
    <mergeCell ref="K42:M42"/>
    <mergeCell ref="N42:P42"/>
    <mergeCell ref="Q42:Y42"/>
    <mergeCell ref="C39:J39"/>
    <mergeCell ref="K39:M39"/>
    <mergeCell ref="N39:P39"/>
    <mergeCell ref="Q39:Y39"/>
    <mergeCell ref="C40:J40"/>
    <mergeCell ref="K40:M40"/>
    <mergeCell ref="N40:P40"/>
    <mergeCell ref="Q40:Y40"/>
    <mergeCell ref="C37:J37"/>
    <mergeCell ref="K37:M37"/>
    <mergeCell ref="N37:P37"/>
    <mergeCell ref="Q37:Y37"/>
    <mergeCell ref="C38:J38"/>
    <mergeCell ref="K38:M38"/>
    <mergeCell ref="N38:P38"/>
    <mergeCell ref="Q38:Y38"/>
    <mergeCell ref="C35:J35"/>
    <mergeCell ref="K35:M35"/>
    <mergeCell ref="N35:P35"/>
    <mergeCell ref="Q35:Y35"/>
    <mergeCell ref="C36:J36"/>
    <mergeCell ref="K36:M36"/>
    <mergeCell ref="N36:P36"/>
    <mergeCell ref="Q36:Y36"/>
    <mergeCell ref="C33:J33"/>
    <mergeCell ref="K33:M33"/>
    <mergeCell ref="N33:P33"/>
    <mergeCell ref="Q33:Y33"/>
    <mergeCell ref="C34:J34"/>
    <mergeCell ref="K34:M34"/>
    <mergeCell ref="N34:P34"/>
    <mergeCell ref="Q34:Y34"/>
    <mergeCell ref="C31:J31"/>
    <mergeCell ref="K31:M31"/>
    <mergeCell ref="N31:P31"/>
    <mergeCell ref="Q31:Y31"/>
    <mergeCell ref="C32:J32"/>
    <mergeCell ref="K32:M32"/>
    <mergeCell ref="N32:P32"/>
    <mergeCell ref="Q32:Y32"/>
    <mergeCell ref="C29:J29"/>
    <mergeCell ref="K29:M29"/>
    <mergeCell ref="N29:P29"/>
    <mergeCell ref="Q29:Y29"/>
    <mergeCell ref="C30:J30"/>
    <mergeCell ref="K30:M30"/>
    <mergeCell ref="N30:P30"/>
    <mergeCell ref="Q30:Y30"/>
    <mergeCell ref="C27:J27"/>
    <mergeCell ref="K27:M27"/>
    <mergeCell ref="N27:P27"/>
    <mergeCell ref="Q27:Y27"/>
    <mergeCell ref="C28:J28"/>
    <mergeCell ref="K28:M28"/>
    <mergeCell ref="N28:P28"/>
    <mergeCell ref="Q28:Y28"/>
    <mergeCell ref="C25:J25"/>
    <mergeCell ref="K25:M25"/>
    <mergeCell ref="N25:P25"/>
    <mergeCell ref="Q25:Y25"/>
    <mergeCell ref="C26:J26"/>
    <mergeCell ref="K26:M26"/>
    <mergeCell ref="N26:P26"/>
    <mergeCell ref="Q26:Y26"/>
    <mergeCell ref="AB23:AD23"/>
    <mergeCell ref="AE23:AG23"/>
    <mergeCell ref="AH23:AJ23"/>
    <mergeCell ref="AK23:AK24"/>
    <mergeCell ref="K24:M24"/>
    <mergeCell ref="N24:P24"/>
    <mergeCell ref="B17:H17"/>
    <mergeCell ref="I17:Y17"/>
    <mergeCell ref="B18:H18"/>
    <mergeCell ref="I18:Y18"/>
    <mergeCell ref="B23:J24"/>
    <mergeCell ref="K23:M23"/>
    <mergeCell ref="N23:P23"/>
    <mergeCell ref="Q23:Y24"/>
    <mergeCell ref="B11:G11"/>
    <mergeCell ref="H11:M11"/>
    <mergeCell ref="N11:R11"/>
    <mergeCell ref="S11:Y11"/>
    <mergeCell ref="B12:G12"/>
    <mergeCell ref="H12:M12"/>
    <mergeCell ref="N12:R12"/>
    <mergeCell ref="T12:U12"/>
    <mergeCell ref="X12:Y12"/>
    <mergeCell ref="P6:T6"/>
    <mergeCell ref="A7:F7"/>
    <mergeCell ref="G7:Z7"/>
    <mergeCell ref="B10:G10"/>
    <mergeCell ref="H10:M10"/>
    <mergeCell ref="N10:R10"/>
    <mergeCell ref="S10:Y10"/>
    <mergeCell ref="A1:F6"/>
    <mergeCell ref="G1:T1"/>
    <mergeCell ref="U1:Z6"/>
    <mergeCell ref="G2:T4"/>
    <mergeCell ref="G5:H5"/>
    <mergeCell ref="J5:K5"/>
    <mergeCell ref="L5:O5"/>
    <mergeCell ref="P5:T5"/>
    <mergeCell ref="J6:K6"/>
    <mergeCell ref="L6:O6"/>
  </mergeCells>
  <printOptions horizontalCentered="1"/>
  <pageMargins left="0.39370078740157483" right="0.39370078740157483" top="0.39370078740157483" bottom="0.39370078740157483" header="0" footer="0.19685039370078741"/>
  <pageSetup paperSize="9" scale="72" orientation="portrait" r:id="rId1"/>
  <headerFooter alignWithMargins="0">
    <oddFooter>&amp;RDG-Q / CRE PLW2 du 06/04/2011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Check Box 4">
              <controlPr locked="0" defaultSize="0" autoFill="0" autoLine="0" autoPict="0">
                <anchor moveWithCells="1">
                  <from>
                    <xdr:col>18</xdr:col>
                    <xdr:colOff>60960</xdr:colOff>
                    <xdr:row>10</xdr:row>
                    <xdr:rowOff>335280</xdr:rowOff>
                  </from>
                  <to>
                    <xdr:col>19</xdr:col>
                    <xdr:colOff>30480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Check Box 5">
              <controlPr locked="0" defaultSize="0" autoFill="0" autoLine="0" autoPict="0">
                <anchor moveWithCells="1">
                  <from>
                    <xdr:col>22</xdr:col>
                    <xdr:colOff>60960</xdr:colOff>
                    <xdr:row>10</xdr:row>
                    <xdr:rowOff>335280</xdr:rowOff>
                  </from>
                  <to>
                    <xdr:col>23</xdr:col>
                    <xdr:colOff>30480</xdr:colOff>
                    <xdr:row>12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5</vt:i4>
      </vt:variant>
    </vt:vector>
  </HeadingPairs>
  <TitlesOfParts>
    <vt:vector size="10" baseType="lpstr">
      <vt:lpstr>CRE EV2</vt:lpstr>
      <vt:lpstr>CRE W_EV2</vt:lpstr>
      <vt:lpstr>CRE EV1_EV2</vt:lpstr>
      <vt:lpstr>CRE W_EV1_EV2</vt:lpstr>
      <vt:lpstr>CRE EVd_EV2 Miniplaque</vt:lpstr>
      <vt:lpstr>'CRE EV1_EV2'!Zone_d_impression</vt:lpstr>
      <vt:lpstr>'CRE EV2'!Zone_d_impression</vt:lpstr>
      <vt:lpstr>'CRE EVd_EV2 Miniplaque'!Zone_d_impression</vt:lpstr>
      <vt:lpstr>'CRE W_EV1_EV2'!Zone_d_impression</vt:lpstr>
      <vt:lpstr>'CRE W_EV2'!Zone_d_impression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2016-11-24T14:26:36Z</cp:lastPrinted>
  <dcterms:created xsi:type="dcterms:W3CDTF">2004-11-13T18:13:05Z</dcterms:created>
  <dcterms:modified xsi:type="dcterms:W3CDTF">2023-03-10T07:51:40Z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2001353798</vt:i4>
  </property>
  <property fmtid="{D5CDD505-2E9C-101B-9397-08002B2CF9AE}" pid="3" name="_EmailSubject">
    <vt:lpwstr>Groupe de Travail Procédures et 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François CHARTIER</vt:lpwstr>
  </property>
  <property fmtid="{D5CDD505-2E9C-101B-9397-08002B2CF9AE}" pid="6" name="_ReviewingToolsShownOnce">
    <vt:lpwstr/>
  </property>
</Properties>
</file>