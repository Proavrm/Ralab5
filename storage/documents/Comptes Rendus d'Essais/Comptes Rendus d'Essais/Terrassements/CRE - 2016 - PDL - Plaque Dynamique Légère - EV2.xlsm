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60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S:\Labo\St Priest\Documents types\Comptes Rendus d'Essais\Terrassements\"/>
    </mc:Choice>
  </mc:AlternateContent>
  <xr:revisionPtr revIDLastSave="0" documentId="13_ncr:1_{05C9B89C-D501-4269-B3CB-2C3FD52680D1}" xr6:coauthVersionLast="47" xr6:coauthVersionMax="47" xr10:uidLastSave="{00000000-0000-0000-0000-000000000000}"/>
  <bookViews>
    <workbookView xWindow="28680" yWindow="660" windowWidth="19440" windowHeight="15600" xr2:uid="{00000000-000D-0000-FFFF-FFFF00000000}"/>
  </bookViews>
  <sheets>
    <sheet name="CRE PDL1" sheetId="6" r:id="rId1"/>
    <sheet name="CRE PDL2" sheetId="9" r:id="rId2"/>
  </sheets>
  <definedNames>
    <definedName name="_xlnm.Print_Area" localSheetId="0">'CRE PDL1'!$A$1:$Z$62</definedName>
    <definedName name="_xlnm.Print_Area" localSheetId="1">'CRE PDL2'!$A$1:$Z$64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E25" i="9" l="1"/>
  <c r="AF25" i="9" s="1"/>
  <c r="AG25" i="9" s="1"/>
  <c r="AE26" i="9"/>
  <c r="AF26" i="9" s="1"/>
  <c r="AG26" i="9" s="1"/>
  <c r="AE27" i="9"/>
  <c r="AF27" i="9" s="1"/>
  <c r="AG27" i="9" s="1"/>
  <c r="AE28" i="9"/>
  <c r="AF28" i="9" s="1"/>
  <c r="AG28" i="9" s="1"/>
  <c r="AE29" i="9"/>
  <c r="AF29" i="9" s="1"/>
  <c r="AG29" i="9" s="1"/>
  <c r="AE30" i="9"/>
  <c r="AF30" i="9" s="1"/>
  <c r="AG30" i="9" s="1"/>
  <c r="AE31" i="9"/>
  <c r="AF31" i="9" s="1"/>
  <c r="AG31" i="9" s="1"/>
  <c r="AE32" i="9"/>
  <c r="AF32" i="9" s="1"/>
  <c r="AG32" i="9" s="1"/>
  <c r="AE33" i="9"/>
  <c r="AF33" i="9" s="1"/>
  <c r="AG33" i="9" s="1"/>
  <c r="AE34" i="9"/>
  <c r="AF34" i="9" s="1"/>
  <c r="AG34" i="9" s="1"/>
  <c r="AE35" i="9"/>
  <c r="AF35" i="9" s="1"/>
  <c r="AG35" i="9" s="1"/>
  <c r="AE36" i="9"/>
  <c r="AF36" i="9" s="1"/>
  <c r="AG36" i="9" s="1"/>
  <c r="AE37" i="9"/>
  <c r="AF37" i="9" s="1"/>
  <c r="AG37" i="9" s="1"/>
  <c r="AE38" i="9"/>
  <c r="AF38" i="9" s="1"/>
  <c r="AG38" i="9" s="1"/>
  <c r="K39" i="9"/>
  <c r="AG39" i="9"/>
  <c r="K40" i="9"/>
  <c r="AG40" i="9"/>
  <c r="K41" i="9"/>
  <c r="AG41" i="9"/>
  <c r="K42" i="9"/>
  <c r="AG42" i="9"/>
  <c r="K43" i="9"/>
  <c r="AG43" i="9"/>
  <c r="K44" i="9"/>
  <c r="AG44" i="9"/>
  <c r="K45" i="9"/>
  <c r="AG45" i="9"/>
  <c r="K46" i="9"/>
  <c r="AG46" i="9"/>
  <c r="K47" i="9"/>
  <c r="AG47" i="9"/>
  <c r="K48" i="9"/>
  <c r="AG48" i="9"/>
  <c r="K49" i="9"/>
  <c r="AG49" i="9"/>
  <c r="AE44" i="6"/>
  <c r="AF44" i="6"/>
  <c r="AG44" i="6" s="1"/>
  <c r="K44" i="6" s="1"/>
  <c r="AE45" i="6"/>
  <c r="AF45" i="6" s="1"/>
  <c r="AG45" i="6" s="1"/>
  <c r="AE46" i="6"/>
  <c r="AF46" i="6" s="1"/>
  <c r="AG46" i="6" s="1"/>
  <c r="AE47" i="6"/>
  <c r="AF47" i="6"/>
  <c r="AG47" i="6" s="1"/>
  <c r="K47" i="6" s="1"/>
  <c r="AE48" i="6"/>
  <c r="AF48" i="6" s="1"/>
  <c r="AG48" i="6" s="1"/>
  <c r="K48" i="6" s="1"/>
  <c r="AE26" i="6"/>
  <c r="AF26" i="6" s="1"/>
  <c r="AG26" i="6" s="1"/>
  <c r="AE27" i="6"/>
  <c r="AF27" i="6" s="1"/>
  <c r="AG27" i="6" s="1"/>
  <c r="AE28" i="6"/>
  <c r="AF28" i="6" s="1"/>
  <c r="AG28" i="6" s="1"/>
  <c r="K28" i="6" s="1"/>
  <c r="AE29" i="6"/>
  <c r="AF29" i="6" s="1"/>
  <c r="AG29" i="6" s="1"/>
  <c r="K29" i="6" s="1"/>
  <c r="AE30" i="6"/>
  <c r="AE31" i="6"/>
  <c r="AF31" i="6" s="1"/>
  <c r="AG31" i="6" s="1"/>
  <c r="AE32" i="6"/>
  <c r="AE33" i="6"/>
  <c r="AF33" i="6" s="1"/>
  <c r="AG33" i="6" s="1"/>
  <c r="K33" i="6" s="1"/>
  <c r="AE34" i="6"/>
  <c r="AE35" i="6"/>
  <c r="AF35" i="6"/>
  <c r="AG35" i="6"/>
  <c r="AE36" i="6"/>
  <c r="AF36" i="6" s="1"/>
  <c r="AG36" i="6" s="1"/>
  <c r="K36" i="6" s="1"/>
  <c r="AE37" i="6"/>
  <c r="AF37" i="6" s="1"/>
  <c r="AG37" i="6" s="1"/>
  <c r="AE38" i="6"/>
  <c r="AF38" i="6" s="1"/>
  <c r="AG38" i="6" s="1"/>
  <c r="K38" i="6" s="1"/>
  <c r="AE39" i="6"/>
  <c r="AF39" i="6" s="1"/>
  <c r="AG39" i="6" s="1"/>
  <c r="AE40" i="6"/>
  <c r="AF40" i="6" s="1"/>
  <c r="AG40" i="6" s="1"/>
  <c r="K40" i="6" s="1"/>
  <c r="AE41" i="6"/>
  <c r="AE42" i="6"/>
  <c r="AF42" i="6" s="1"/>
  <c r="AG42" i="6" s="1"/>
  <c r="K42" i="6" s="1"/>
  <c r="AE43" i="6"/>
  <c r="AF43" i="6" s="1"/>
  <c r="AG43" i="6" s="1"/>
  <c r="AE49" i="6"/>
  <c r="AF49" i="6"/>
  <c r="AG49" i="6"/>
  <c r="K49" i="6" s="1"/>
  <c r="AE25" i="6"/>
  <c r="AF25" i="6" s="1"/>
  <c r="AG25" i="6" s="1"/>
  <c r="K25" i="6" s="1"/>
  <c r="AF32" i="6"/>
  <c r="AG32" i="6" s="1"/>
  <c r="K35" i="6" l="1"/>
  <c r="K45" i="6"/>
  <c r="K32" i="6"/>
  <c r="K43" i="6"/>
  <c r="K37" i="6"/>
  <c r="AF34" i="6"/>
  <c r="AG34" i="6" s="1"/>
  <c r="K34" i="6" s="1"/>
  <c r="AF30" i="6"/>
  <c r="AG30" i="6" s="1"/>
  <c r="K30" i="6" s="1"/>
  <c r="K52" i="6"/>
  <c r="K50" i="6"/>
  <c r="K51" i="6"/>
  <c r="K39" i="6"/>
  <c r="K31" i="6"/>
  <c r="K46" i="6"/>
  <c r="AF41" i="6"/>
  <c r="AG41" i="6" s="1"/>
  <c r="K41" i="6" s="1"/>
  <c r="K26" i="6"/>
  <c r="K38" i="9"/>
  <c r="K36" i="9"/>
  <c r="K34" i="9"/>
  <c r="K31" i="9"/>
  <c r="K29" i="9"/>
  <c r="K27" i="9"/>
  <c r="K25" i="9"/>
  <c r="K27" i="6"/>
  <c r="K37" i="9"/>
  <c r="K35" i="9"/>
  <c r="K33" i="9"/>
  <c r="K32" i="9"/>
  <c r="K30" i="9"/>
  <c r="K28" i="9"/>
  <c r="K26" i="9"/>
  <c r="K51" i="9" l="1"/>
  <c r="K50" i="9"/>
  <c r="K52" i="9"/>
</calcChain>
</file>

<file path=xl/sharedStrings.xml><?xml version="1.0" encoding="utf-8"?>
<sst xmlns="http://schemas.openxmlformats.org/spreadsheetml/2006/main" count="148" uniqueCount="82">
  <si>
    <t>1/</t>
  </si>
  <si>
    <t>RENSEIGNEMENTS GENERAUX</t>
  </si>
  <si>
    <t>2/</t>
  </si>
  <si>
    <t>CRITERES DE CONFORMITE</t>
  </si>
  <si>
    <t>Source des critères :</t>
  </si>
  <si>
    <t>Définition des critères / objectifs :</t>
  </si>
  <si>
    <t xml:space="preserve">3/ </t>
  </si>
  <si>
    <t>RESULTATS DES ESSAIS</t>
  </si>
  <si>
    <t>4/</t>
  </si>
  <si>
    <t>CONCLUSIONS</t>
  </si>
  <si>
    <t>Conforme</t>
  </si>
  <si>
    <t>Non conforme</t>
  </si>
  <si>
    <t>Pour information</t>
  </si>
  <si>
    <t>5/</t>
  </si>
  <si>
    <t>COMMENTAIRES</t>
  </si>
  <si>
    <t>Date de l'essai :</t>
  </si>
  <si>
    <t>Localisation de l'essai</t>
  </si>
  <si>
    <t>Module EV2</t>
  </si>
  <si>
    <t>Observations</t>
  </si>
  <si>
    <t>Moyenne</t>
  </si>
  <si>
    <t>N°1</t>
  </si>
  <si>
    <t>N°2</t>
  </si>
  <si>
    <t>N°3</t>
  </si>
  <si>
    <t>N°4</t>
  </si>
  <si>
    <t>N°5</t>
  </si>
  <si>
    <t>N°6</t>
  </si>
  <si>
    <t>N°7</t>
  </si>
  <si>
    <t>N°8</t>
  </si>
  <si>
    <t>N°9</t>
  </si>
  <si>
    <t>N°10</t>
  </si>
  <si>
    <t>Oui</t>
  </si>
  <si>
    <t>Non</t>
  </si>
  <si>
    <t>Contrôle</t>
  </si>
  <si>
    <t>Opérateur :</t>
  </si>
  <si>
    <t>Nature du matériau :</t>
  </si>
  <si>
    <t>Partie de l'ouvrage :</t>
  </si>
  <si>
    <t>Plan de situation :</t>
  </si>
  <si>
    <t>Laboratoire :</t>
  </si>
  <si>
    <t>MPa</t>
  </si>
  <si>
    <t>Nom</t>
  </si>
  <si>
    <t>Fonction</t>
  </si>
  <si>
    <t>Visa</t>
  </si>
  <si>
    <t>EV2</t>
  </si>
  <si>
    <t>Région Rhône Alpes - 29-31 rue des Tâches - ZI Mi-Plaine - 69800 SAINT PRIEST</t>
  </si>
  <si>
    <t>Valeur mini</t>
  </si>
  <si>
    <t>Valeur maxi</t>
  </si>
  <si>
    <t>Evd</t>
  </si>
  <si>
    <t>Lect s1</t>
  </si>
  <si>
    <t>Lect s2</t>
  </si>
  <si>
    <t>Lect s3</t>
  </si>
  <si>
    <t>Module Evd</t>
  </si>
  <si>
    <t>Moy s</t>
  </si>
  <si>
    <t>N°11</t>
  </si>
  <si>
    <t>N°12</t>
  </si>
  <si>
    <t>N°13</t>
  </si>
  <si>
    <t>N°14</t>
  </si>
  <si>
    <t>N°15</t>
  </si>
  <si>
    <t>COMPTE RENDU D'ESSAIS</t>
  </si>
  <si>
    <t>Détermination du module Evd et EV2 
Plaque Dynamique Légère</t>
  </si>
  <si>
    <t>n°</t>
  </si>
  <si>
    <t>Chrono</t>
  </si>
  <si>
    <t>N° d'affaire</t>
  </si>
  <si>
    <t>Date de rédaction</t>
  </si>
  <si>
    <t>% de valeurs ≥ au seuil requis</t>
  </si>
  <si>
    <t>N°16</t>
  </si>
  <si>
    <t>N°17</t>
  </si>
  <si>
    <t>N°18</t>
  </si>
  <si>
    <t>N°19</t>
  </si>
  <si>
    <t>N°20</t>
  </si>
  <si>
    <t>PDL1</t>
  </si>
  <si>
    <t>N°21</t>
  </si>
  <si>
    <t>N°22</t>
  </si>
  <si>
    <t>N°23</t>
  </si>
  <si>
    <t>N°24</t>
  </si>
  <si>
    <t>N°25</t>
  </si>
  <si>
    <t>CBR</t>
  </si>
  <si>
    <t>%</t>
  </si>
  <si>
    <t>Indice CBR</t>
  </si>
  <si>
    <t>PDL2</t>
  </si>
  <si>
    <t>Détermination de l'indice CBR
Plaque Dynamique Légère</t>
  </si>
  <si>
    <t>COMPTE RENDU  D'ESSAIS</t>
  </si>
  <si>
    <t>Contrôle 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</si>
</sst>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5" x14ac:knownFonts="1">
    <font>
      <sz val="10"/>
      <name val="Arial"/>
    </font>
    <font>
      <sz val="8"/>
      <name val="Arial"/>
      <family val="2"/>
    </font>
    <font>
      <sz val="8"/>
      <color rgb="FF000000"/>
      <name val="Tahoma"/>
      <family val="2"/>
    </font>
    <font>
      <sz val="10"/>
      <name val="Century Gothic"/>
      <family val="2"/>
    </font>
    <font>
      <b/>
      <sz val="10"/>
      <name val="Century Gothic"/>
      <family val="2"/>
    </font>
    <font>
      <b/>
      <sz val="14"/>
      <name val="Century Gothic"/>
      <family val="2"/>
    </font>
    <font>
      <b/>
      <sz val="12"/>
      <name val="Century Gothic"/>
      <family val="2"/>
    </font>
    <font>
      <sz val="8"/>
      <name val="Century Gothic"/>
      <family val="2"/>
    </font>
    <font>
      <sz val="12"/>
      <name val="Century Gothic"/>
      <family val="2"/>
    </font>
    <font>
      <b/>
      <u/>
      <sz val="12"/>
      <name val="Century Gothic"/>
      <family val="2"/>
    </font>
    <font>
      <sz val="11"/>
      <name val="Century Gothic"/>
      <family val="2"/>
    </font>
    <font>
      <b/>
      <u/>
      <sz val="11"/>
      <name val="Century Gothic"/>
      <family val="2"/>
    </font>
    <font>
      <b/>
      <sz val="11"/>
      <name val="Century Gothic"/>
      <family val="2"/>
    </font>
    <font>
      <u/>
      <sz val="10"/>
      <name val="Century Gothic"/>
      <family val="2"/>
    </font>
    <font>
      <sz val="14"/>
      <name val="Century Gothic"/>
      <family val="2"/>
    </font>
  </fonts>
  <fills count="2">
    <fill>
      <patternFill patternType="none"/>
    </fill>
    <fill>
      <patternFill patternType="gray125"/>
    </fill>
  </fills>
  <borders count="48">
    <border>
      <left/>
      <right/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/>
      <right/>
      <top style="dashed">
        <color indexed="64"/>
      </top>
      <bottom/>
      <diagonal/>
    </border>
    <border>
      <left/>
      <right style="thin">
        <color indexed="64"/>
      </right>
      <top style="dashed">
        <color indexed="64"/>
      </top>
      <bottom/>
      <diagonal/>
    </border>
    <border>
      <left/>
      <right style="dashed">
        <color indexed="64"/>
      </right>
      <top/>
      <bottom/>
      <diagonal/>
    </border>
    <border>
      <left/>
      <right style="dashed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dashed">
        <color indexed="64"/>
      </top>
      <bottom/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295">
    <xf numFmtId="0" fontId="0" fillId="0" borderId="0" xfId="0"/>
    <xf numFmtId="0" fontId="3" fillId="0" borderId="0" xfId="0" applyFont="1" applyFill="1"/>
    <xf numFmtId="0" fontId="3" fillId="0" borderId="0" xfId="0" applyFont="1"/>
    <xf numFmtId="0" fontId="3" fillId="0" borderId="0" xfId="0" applyFont="1" applyFill="1" applyBorder="1" applyAlignment="1" applyProtection="1">
      <alignment horizontal="right" vertical="center"/>
      <protection hidden="1"/>
    </xf>
    <xf numFmtId="0" fontId="3" fillId="0" borderId="2" xfId="0" applyFont="1" applyFill="1" applyBorder="1" applyAlignment="1" applyProtection="1">
      <alignment vertical="center"/>
      <protection hidden="1"/>
    </xf>
    <xf numFmtId="0" fontId="3" fillId="0" borderId="3" xfId="0" applyFont="1" applyFill="1" applyBorder="1" applyAlignment="1" applyProtection="1">
      <alignment vertical="center"/>
      <protection hidden="1"/>
    </xf>
    <xf numFmtId="0" fontId="4" fillId="0" borderId="0" xfId="0" applyFont="1" applyFill="1" applyAlignment="1">
      <alignment vertical="center"/>
    </xf>
    <xf numFmtId="0" fontId="4" fillId="0" borderId="0" xfId="0" applyFont="1" applyAlignment="1">
      <alignment vertical="center"/>
    </xf>
    <xf numFmtId="0" fontId="6" fillId="0" borderId="4" xfId="0" applyFont="1" applyFill="1" applyBorder="1" applyAlignment="1" applyProtection="1">
      <alignment horizontal="center" vertical="center"/>
      <protection hidden="1"/>
    </xf>
    <xf numFmtId="0" fontId="9" fillId="0" borderId="5" xfId="0" applyFont="1" applyFill="1" applyBorder="1" applyAlignment="1" applyProtection="1">
      <alignment vertical="center"/>
      <protection hidden="1"/>
    </xf>
    <xf numFmtId="0" fontId="3" fillId="0" borderId="5" xfId="0" applyFont="1" applyFill="1" applyBorder="1" applyAlignment="1" applyProtection="1">
      <alignment vertical="center"/>
      <protection hidden="1"/>
    </xf>
    <xf numFmtId="0" fontId="3" fillId="0" borderId="5" xfId="0" applyFont="1" applyFill="1" applyBorder="1" applyAlignment="1" applyProtection="1">
      <alignment horizontal="center"/>
      <protection hidden="1"/>
    </xf>
    <xf numFmtId="0" fontId="3" fillId="0" borderId="5" xfId="0" applyFont="1" applyFill="1" applyBorder="1" applyProtection="1">
      <protection hidden="1"/>
    </xf>
    <xf numFmtId="0" fontId="3" fillId="0" borderId="6" xfId="0" applyFont="1" applyFill="1" applyBorder="1" applyProtection="1">
      <protection hidden="1"/>
    </xf>
    <xf numFmtId="0" fontId="3" fillId="0" borderId="7" xfId="0" applyFont="1" applyFill="1" applyBorder="1" applyProtection="1">
      <protection hidden="1"/>
    </xf>
    <xf numFmtId="0" fontId="3" fillId="0" borderId="0" xfId="0" applyFont="1" applyFill="1" applyBorder="1" applyProtection="1">
      <protection hidden="1"/>
    </xf>
    <xf numFmtId="0" fontId="3" fillId="0" borderId="0" xfId="0" applyFont="1" applyFill="1" applyBorder="1" applyAlignment="1" applyProtection="1">
      <alignment horizontal="center"/>
      <protection hidden="1"/>
    </xf>
    <xf numFmtId="0" fontId="3" fillId="0" borderId="8" xfId="0" applyFont="1" applyFill="1" applyBorder="1" applyProtection="1">
      <protection hidden="1"/>
    </xf>
    <xf numFmtId="0" fontId="8" fillId="0" borderId="8" xfId="0" applyFont="1" applyFill="1" applyBorder="1" applyAlignment="1" applyProtection="1">
      <alignment horizontal="left"/>
      <protection hidden="1"/>
    </xf>
    <xf numFmtId="0" fontId="10" fillId="0" borderId="0" xfId="0" applyFont="1" applyFill="1" applyBorder="1" applyProtection="1">
      <protection hidden="1"/>
    </xf>
    <xf numFmtId="0" fontId="8" fillId="0" borderId="8" xfId="0" applyFont="1" applyFill="1" applyBorder="1" applyProtection="1">
      <protection hidden="1"/>
    </xf>
    <xf numFmtId="0" fontId="10" fillId="0" borderId="0" xfId="0" applyFont="1" applyFill="1" applyProtection="1">
      <protection hidden="1"/>
    </xf>
    <xf numFmtId="0" fontId="10" fillId="0" borderId="0" xfId="0" applyFont="1" applyFill="1" applyBorder="1" applyAlignment="1" applyProtection="1">
      <alignment horizontal="left"/>
      <protection hidden="1"/>
    </xf>
    <xf numFmtId="0" fontId="3" fillId="0" borderId="2" xfId="0" applyFont="1" applyFill="1" applyBorder="1" applyProtection="1">
      <protection hidden="1"/>
    </xf>
    <xf numFmtId="0" fontId="3" fillId="0" borderId="3" xfId="0" applyFont="1" applyFill="1" applyBorder="1" applyProtection="1">
      <protection hidden="1"/>
    </xf>
    <xf numFmtId="0" fontId="3" fillId="0" borderId="3" xfId="0" applyFont="1" applyFill="1" applyBorder="1" applyAlignment="1" applyProtection="1">
      <alignment horizontal="center"/>
      <protection hidden="1"/>
    </xf>
    <xf numFmtId="0" fontId="3" fillId="0" borderId="3" xfId="0" applyFont="1" applyFill="1" applyBorder="1" applyAlignment="1" applyProtection="1">
      <alignment horizontal="left"/>
      <protection hidden="1"/>
    </xf>
    <xf numFmtId="0" fontId="3" fillId="0" borderId="9" xfId="0" applyFont="1" applyFill="1" applyBorder="1" applyProtection="1">
      <protection hidden="1"/>
    </xf>
    <xf numFmtId="0" fontId="3" fillId="0" borderId="0" xfId="0" applyFont="1" applyFill="1" applyProtection="1">
      <protection hidden="1"/>
    </xf>
    <xf numFmtId="0" fontId="11" fillId="0" borderId="0" xfId="0" applyFont="1" applyFill="1" applyAlignment="1" applyProtection="1">
      <alignment horizontal="right"/>
      <protection hidden="1"/>
    </xf>
    <xf numFmtId="0" fontId="9" fillId="0" borderId="0" xfId="0" applyFont="1" applyFill="1" applyAlignment="1" applyProtection="1">
      <alignment horizontal="right"/>
      <protection hidden="1"/>
    </xf>
    <xf numFmtId="14" fontId="12" fillId="0" borderId="0" xfId="0" applyNumberFormat="1" applyFont="1" applyFill="1" applyAlignment="1" applyProtection="1">
      <alignment horizontal="center"/>
      <protection hidden="1"/>
    </xf>
    <xf numFmtId="0" fontId="9" fillId="0" borderId="5" xfId="0" applyFont="1" applyFill="1" applyBorder="1" applyAlignment="1" applyProtection="1">
      <protection hidden="1"/>
    </xf>
    <xf numFmtId="0" fontId="3" fillId="0" borderId="0" xfId="0" applyFont="1" applyFill="1" applyProtection="1">
      <protection locked="0"/>
    </xf>
    <xf numFmtId="0" fontId="6" fillId="0" borderId="0" xfId="0" applyFont="1" applyFill="1" applyBorder="1" applyAlignment="1" applyProtection="1">
      <protection hidden="1"/>
    </xf>
    <xf numFmtId="0" fontId="4" fillId="0" borderId="0" xfId="0" applyFont="1" applyFill="1" applyProtection="1">
      <protection hidden="1"/>
    </xf>
    <xf numFmtId="0" fontId="3" fillId="0" borderId="7" xfId="0" applyFont="1" applyFill="1" applyBorder="1" applyAlignment="1" applyProtection="1">
      <protection hidden="1"/>
    </xf>
    <xf numFmtId="0" fontId="3" fillId="0" borderId="0" xfId="0" applyFont="1" applyFill="1" applyBorder="1" applyAlignment="1" applyProtection="1">
      <protection hidden="1"/>
    </xf>
    <xf numFmtId="0" fontId="3" fillId="0" borderId="8" xfId="0" applyFont="1" applyFill="1" applyBorder="1" applyAlignment="1" applyProtection="1">
      <protection hidden="1"/>
    </xf>
    <xf numFmtId="0" fontId="3" fillId="0" borderId="23" xfId="0" applyFont="1" applyFill="1" applyBorder="1" applyAlignment="1" applyProtection="1">
      <alignment horizontal="center"/>
      <protection hidden="1"/>
    </xf>
    <xf numFmtId="0" fontId="3" fillId="0" borderId="24" xfId="0" applyFont="1" applyFill="1" applyBorder="1" applyAlignment="1" applyProtection="1">
      <alignment horizontal="center"/>
      <protection hidden="1"/>
    </xf>
    <xf numFmtId="0" fontId="4" fillId="0" borderId="25" xfId="0" applyFont="1" applyFill="1" applyBorder="1" applyAlignment="1" applyProtection="1">
      <alignment horizontal="center"/>
      <protection hidden="1"/>
    </xf>
    <xf numFmtId="0" fontId="4" fillId="0" borderId="17" xfId="0" applyFont="1" applyFill="1" applyBorder="1" applyAlignment="1" applyProtection="1">
      <alignment horizontal="center"/>
      <protection hidden="1"/>
    </xf>
    <xf numFmtId="1" fontId="3" fillId="0" borderId="28" xfId="0" applyNumberFormat="1" applyFont="1" applyFill="1" applyBorder="1" applyAlignment="1" applyProtection="1">
      <alignment horizontal="center"/>
      <protection locked="0"/>
    </xf>
    <xf numFmtId="1" fontId="3" fillId="0" borderId="27" xfId="0" applyNumberFormat="1" applyFont="1" applyFill="1" applyBorder="1" applyAlignment="1" applyProtection="1">
      <alignment horizontal="center"/>
      <protection locked="0"/>
    </xf>
    <xf numFmtId="1" fontId="3" fillId="0" borderId="18" xfId="0" applyNumberFormat="1" applyFont="1" applyFill="1" applyBorder="1" applyAlignment="1" applyProtection="1">
      <alignment horizontal="center"/>
      <protection locked="0"/>
    </xf>
    <xf numFmtId="1" fontId="3" fillId="0" borderId="29" xfId="0" applyNumberFormat="1" applyFont="1" applyFill="1" applyBorder="1" applyAlignment="1" applyProtection="1">
      <alignment horizontal="center"/>
      <protection hidden="1"/>
    </xf>
    <xf numFmtId="164" fontId="4" fillId="0" borderId="30" xfId="0" applyNumberFormat="1" applyFont="1" applyFill="1" applyBorder="1" applyAlignment="1" applyProtection="1">
      <alignment horizontal="center"/>
      <protection hidden="1"/>
    </xf>
    <xf numFmtId="1" fontId="3" fillId="0" borderId="1" xfId="0" applyNumberFormat="1" applyFont="1" applyFill="1" applyBorder="1" applyAlignment="1" applyProtection="1">
      <alignment horizontal="center"/>
      <protection locked="0"/>
    </xf>
    <xf numFmtId="1" fontId="3" fillId="0" borderId="17" xfId="0" applyNumberFormat="1" applyFont="1" applyFill="1" applyBorder="1" applyAlignment="1" applyProtection="1">
      <alignment horizontal="center"/>
      <protection locked="0"/>
    </xf>
    <xf numFmtId="1" fontId="3" fillId="0" borderId="10" xfId="0" applyNumberFormat="1" applyFont="1" applyFill="1" applyBorder="1" applyAlignment="1" applyProtection="1">
      <alignment horizontal="center"/>
      <protection locked="0"/>
    </xf>
    <xf numFmtId="1" fontId="3" fillId="0" borderId="2" xfId="0" applyNumberFormat="1" applyFont="1" applyFill="1" applyBorder="1" applyAlignment="1" applyProtection="1">
      <alignment horizontal="center"/>
      <protection hidden="1"/>
    </xf>
    <xf numFmtId="164" fontId="4" fillId="0" borderId="26" xfId="0" applyNumberFormat="1" applyFont="1" applyFill="1" applyBorder="1" applyAlignment="1" applyProtection="1">
      <alignment horizontal="center"/>
      <protection hidden="1"/>
    </xf>
    <xf numFmtId="1" fontId="3" fillId="0" borderId="31" xfId="0" applyNumberFormat="1" applyFont="1" applyFill="1" applyBorder="1" applyAlignment="1" applyProtection="1">
      <alignment horizontal="center"/>
      <protection locked="0"/>
    </xf>
    <xf numFmtId="1" fontId="3" fillId="0" borderId="24" xfId="0" applyNumberFormat="1" applyFont="1" applyFill="1" applyBorder="1" applyAlignment="1" applyProtection="1">
      <alignment horizontal="center"/>
      <protection locked="0"/>
    </xf>
    <xf numFmtId="1" fontId="3" fillId="0" borderId="21" xfId="0" applyNumberFormat="1" applyFont="1" applyFill="1" applyBorder="1" applyAlignment="1" applyProtection="1">
      <alignment horizontal="center"/>
      <protection locked="0"/>
    </xf>
    <xf numFmtId="1" fontId="3" fillId="0" borderId="32" xfId="0" applyNumberFormat="1" applyFont="1" applyFill="1" applyBorder="1" applyAlignment="1" applyProtection="1">
      <alignment horizontal="center"/>
      <protection hidden="1"/>
    </xf>
    <xf numFmtId="164" fontId="4" fillId="0" borderId="33" xfId="0" applyNumberFormat="1" applyFont="1" applyFill="1" applyBorder="1" applyAlignment="1" applyProtection="1">
      <alignment horizontal="center"/>
      <protection hidden="1"/>
    </xf>
    <xf numFmtId="0" fontId="8" fillId="0" borderId="18" xfId="0" applyFont="1" applyFill="1" applyBorder="1" applyAlignment="1" applyProtection="1">
      <alignment horizontal="left"/>
      <protection hidden="1"/>
    </xf>
    <xf numFmtId="0" fontId="3" fillId="0" borderId="18" xfId="0" applyFont="1" applyFill="1" applyBorder="1" applyProtection="1">
      <protection hidden="1"/>
    </xf>
    <xf numFmtId="0" fontId="8" fillId="0" borderId="19" xfId="0" applyFont="1" applyFill="1" applyBorder="1" applyAlignment="1" applyProtection="1">
      <alignment horizontal="left"/>
      <protection hidden="1"/>
    </xf>
    <xf numFmtId="1" fontId="3" fillId="0" borderId="0" xfId="0" applyNumberFormat="1" applyFont="1" applyFill="1" applyBorder="1" applyAlignment="1">
      <alignment horizontal="center"/>
    </xf>
    <xf numFmtId="1" fontId="3" fillId="0" borderId="0" xfId="0" applyNumberFormat="1" applyFont="1" applyFill="1" applyBorder="1" applyAlignment="1" applyProtection="1">
      <alignment horizontal="center"/>
      <protection locked="0"/>
    </xf>
    <xf numFmtId="164" fontId="4" fillId="0" borderId="0" xfId="0" applyNumberFormat="1" applyFont="1" applyFill="1" applyBorder="1" applyAlignment="1">
      <alignment horizontal="center"/>
    </xf>
    <xf numFmtId="0" fontId="8" fillId="0" borderId="10" xfId="0" applyFont="1" applyFill="1" applyBorder="1" applyAlignment="1" applyProtection="1">
      <alignment horizontal="left"/>
      <protection hidden="1"/>
    </xf>
    <xf numFmtId="0" fontId="8" fillId="0" borderId="20" xfId="0" applyFont="1" applyFill="1" applyBorder="1" applyAlignment="1" applyProtection="1">
      <alignment horizontal="left"/>
      <protection hidden="1"/>
    </xf>
    <xf numFmtId="0" fontId="8" fillId="0" borderId="21" xfId="0" applyFont="1" applyFill="1" applyBorder="1" applyAlignment="1" applyProtection="1">
      <alignment horizontal="left"/>
      <protection hidden="1"/>
    </xf>
    <xf numFmtId="0" fontId="8" fillId="0" borderId="22" xfId="0" applyFont="1" applyFill="1" applyBorder="1" applyAlignment="1" applyProtection="1">
      <alignment horizontal="left"/>
      <protection hidden="1"/>
    </xf>
    <xf numFmtId="0" fontId="3" fillId="0" borderId="10" xfId="0" applyFont="1" applyFill="1" applyBorder="1" applyProtection="1">
      <protection hidden="1"/>
    </xf>
    <xf numFmtId="0" fontId="6" fillId="0" borderId="11" xfId="0" applyFont="1" applyFill="1" applyBorder="1" applyAlignment="1" applyProtection="1">
      <alignment horizontal="center" vertical="center"/>
      <protection hidden="1"/>
    </xf>
    <xf numFmtId="0" fontId="9" fillId="0" borderId="12" xfId="0" applyFont="1" applyFill="1" applyBorder="1" applyAlignment="1" applyProtection="1">
      <alignment vertical="center"/>
      <protection hidden="1"/>
    </xf>
    <xf numFmtId="0" fontId="13" fillId="0" borderId="12" xfId="0" applyFont="1" applyFill="1" applyBorder="1" applyAlignment="1" applyProtection="1">
      <alignment vertical="center"/>
      <protection hidden="1"/>
    </xf>
    <xf numFmtId="0" fontId="3" fillId="0" borderId="12" xfId="0" applyFont="1" applyFill="1" applyBorder="1" applyAlignment="1" applyProtection="1">
      <alignment vertical="center"/>
      <protection hidden="1"/>
    </xf>
    <xf numFmtId="0" fontId="3" fillId="0" borderId="6" xfId="0" applyFont="1" applyFill="1" applyBorder="1" applyAlignment="1" applyProtection="1">
      <alignment vertical="center"/>
      <protection hidden="1"/>
    </xf>
    <xf numFmtId="0" fontId="3" fillId="0" borderId="13" xfId="0" applyFont="1" applyFill="1" applyBorder="1" applyAlignment="1" applyProtection="1">
      <alignment vertical="center"/>
      <protection hidden="1"/>
    </xf>
    <xf numFmtId="0" fontId="3" fillId="0" borderId="14" xfId="0" applyFont="1" applyFill="1" applyBorder="1" applyAlignment="1" applyProtection="1">
      <alignment vertical="center"/>
      <protection hidden="1"/>
    </xf>
    <xf numFmtId="0" fontId="6" fillId="0" borderId="7" xfId="0" applyFont="1" applyFill="1" applyBorder="1" applyAlignment="1" applyProtection="1">
      <alignment horizontal="center" vertical="center"/>
      <protection hidden="1"/>
    </xf>
    <xf numFmtId="0" fontId="3" fillId="0" borderId="0" xfId="0" applyFont="1" applyFill="1" applyBorder="1" applyAlignment="1" applyProtection="1">
      <alignment vertical="center"/>
      <protection hidden="1"/>
    </xf>
    <xf numFmtId="0" fontId="3" fillId="0" borderId="8" xfId="0" applyFont="1" applyFill="1" applyBorder="1" applyAlignment="1" applyProtection="1">
      <alignment vertical="center"/>
      <protection hidden="1"/>
    </xf>
    <xf numFmtId="0" fontId="3" fillId="0" borderId="7" xfId="0" applyFont="1" applyFill="1" applyBorder="1" applyAlignment="1" applyProtection="1">
      <alignment horizontal="center" vertical="center"/>
      <protection hidden="1"/>
    </xf>
    <xf numFmtId="0" fontId="3" fillId="0" borderId="2" xfId="0" applyFont="1" applyFill="1" applyBorder="1" applyAlignment="1" applyProtection="1">
      <alignment horizontal="center" vertical="center"/>
      <protection hidden="1"/>
    </xf>
    <xf numFmtId="0" fontId="3" fillId="0" borderId="16" xfId="0" applyFont="1" applyFill="1" applyBorder="1" applyAlignment="1" applyProtection="1">
      <alignment vertical="center"/>
      <protection hidden="1"/>
    </xf>
    <xf numFmtId="0" fontId="3" fillId="0" borderId="9" xfId="0" applyFont="1" applyFill="1" applyBorder="1" applyAlignment="1" applyProtection="1">
      <alignment vertical="center"/>
      <protection hidden="1"/>
    </xf>
    <xf numFmtId="0" fontId="9" fillId="0" borderId="0" xfId="0" applyFont="1" applyFill="1" applyBorder="1" applyAlignment="1" applyProtection="1">
      <alignment vertical="center"/>
      <protection hidden="1"/>
    </xf>
    <xf numFmtId="0" fontId="8" fillId="0" borderId="0" xfId="0" applyFont="1" applyFill="1" applyBorder="1" applyAlignment="1" applyProtection="1">
      <alignment vertical="center"/>
      <protection hidden="1"/>
    </xf>
    <xf numFmtId="0" fontId="8" fillId="0" borderId="8" xfId="0" applyFont="1" applyFill="1" applyBorder="1" applyAlignment="1" applyProtection="1">
      <alignment vertical="center"/>
      <protection hidden="1"/>
    </xf>
    <xf numFmtId="0" fontId="8" fillId="0" borderId="0" xfId="0" applyFont="1" applyFill="1" applyBorder="1" applyProtection="1">
      <protection hidden="1"/>
    </xf>
    <xf numFmtId="0" fontId="8" fillId="0" borderId="0" xfId="0" applyFont="1" applyFill="1" applyBorder="1" applyAlignment="1" applyProtection="1">
      <alignment horizontal="center"/>
      <protection hidden="1"/>
    </xf>
    <xf numFmtId="0" fontId="8" fillId="0" borderId="0" xfId="0" applyFont="1" applyFill="1" applyBorder="1" applyAlignment="1" applyProtection="1">
      <alignment horizontal="left"/>
      <protection hidden="1"/>
    </xf>
    <xf numFmtId="0" fontId="3" fillId="0" borderId="39" xfId="0" applyFont="1" applyFill="1" applyBorder="1" applyAlignment="1" applyProtection="1">
      <alignment horizontal="center"/>
      <protection hidden="1"/>
    </xf>
    <xf numFmtId="0" fontId="3" fillId="0" borderId="27" xfId="0" applyFont="1" applyFill="1" applyBorder="1" applyAlignment="1" applyProtection="1">
      <alignment horizontal="center"/>
      <protection hidden="1"/>
    </xf>
    <xf numFmtId="0" fontId="4" fillId="0" borderId="30" xfId="0" applyFont="1" applyFill="1" applyBorder="1" applyAlignment="1" applyProtection="1">
      <alignment horizontal="center"/>
      <protection hidden="1"/>
    </xf>
    <xf numFmtId="0" fontId="4" fillId="0" borderId="17" xfId="0" applyFont="1" applyFill="1" applyBorder="1" applyAlignment="1" applyProtection="1">
      <alignment horizontal="center"/>
      <protection locked="0"/>
    </xf>
    <xf numFmtId="1" fontId="3" fillId="0" borderId="38" xfId="0" applyNumberFormat="1" applyFont="1" applyFill="1" applyBorder="1" applyAlignment="1" applyProtection="1">
      <alignment horizontal="center"/>
      <protection locked="0"/>
    </xf>
    <xf numFmtId="1" fontId="3" fillId="0" borderId="38" xfId="0" applyNumberFormat="1" applyFont="1" applyFill="1" applyBorder="1" applyAlignment="1" applyProtection="1">
      <alignment horizontal="center"/>
      <protection hidden="1"/>
    </xf>
    <xf numFmtId="164" fontId="4" fillId="0" borderId="37" xfId="0" applyNumberFormat="1" applyFont="1" applyFill="1" applyBorder="1" applyAlignment="1" applyProtection="1">
      <alignment horizontal="center"/>
      <protection hidden="1"/>
    </xf>
    <xf numFmtId="1" fontId="3" fillId="0" borderId="36" xfId="0" applyNumberFormat="1" applyFont="1" applyFill="1" applyBorder="1" applyAlignment="1" applyProtection="1">
      <alignment horizontal="center"/>
      <protection locked="0"/>
    </xf>
    <xf numFmtId="1" fontId="3" fillId="0" borderId="4" xfId="0" applyNumberFormat="1" applyFont="1" applyFill="1" applyBorder="1" applyAlignment="1" applyProtection="1">
      <alignment horizontal="center"/>
      <protection locked="0"/>
    </xf>
    <xf numFmtId="1" fontId="3" fillId="0" borderId="4" xfId="0" applyNumberFormat="1" applyFont="1" applyFill="1" applyBorder="1" applyAlignment="1" applyProtection="1">
      <alignment horizontal="center"/>
      <protection hidden="1"/>
    </xf>
    <xf numFmtId="164" fontId="4" fillId="0" borderId="35" xfId="0" applyNumberFormat="1" applyFont="1" applyFill="1" applyBorder="1" applyAlignment="1" applyProtection="1">
      <alignment horizontal="center"/>
      <protection hidden="1"/>
    </xf>
    <xf numFmtId="1" fontId="3" fillId="0" borderId="34" xfId="0" applyNumberFormat="1" applyFont="1" applyFill="1" applyBorder="1" applyAlignment="1" applyProtection="1">
      <alignment horizontal="center"/>
      <protection locked="0"/>
    </xf>
    <xf numFmtId="1" fontId="3" fillId="0" borderId="34" xfId="0" applyNumberFormat="1" applyFont="1" applyFill="1" applyBorder="1" applyAlignment="1" applyProtection="1">
      <alignment horizontal="center"/>
      <protection hidden="1"/>
    </xf>
    <xf numFmtId="164" fontId="4" fillId="0" borderId="25" xfId="0" applyNumberFormat="1" applyFont="1" applyFill="1" applyBorder="1" applyAlignment="1" applyProtection="1">
      <alignment horizontal="center"/>
      <protection hidden="1"/>
    </xf>
    <xf numFmtId="1" fontId="3" fillId="0" borderId="0" xfId="0" applyNumberFormat="1" applyFont="1" applyFill="1" applyBorder="1" applyAlignment="1" applyProtection="1">
      <alignment horizontal="center"/>
      <protection hidden="1"/>
    </xf>
    <xf numFmtId="164" fontId="4" fillId="0" borderId="0" xfId="0" applyNumberFormat="1" applyFont="1" applyFill="1" applyBorder="1" applyAlignment="1" applyProtection="1">
      <alignment horizontal="center"/>
      <protection hidden="1"/>
    </xf>
    <xf numFmtId="0" fontId="6" fillId="0" borderId="0" xfId="0" applyFont="1" applyFill="1" applyBorder="1" applyAlignment="1" applyProtection="1">
      <alignment vertical="center"/>
      <protection hidden="1"/>
    </xf>
    <xf numFmtId="0" fontId="3" fillId="0" borderId="0" xfId="0" applyFont="1" applyFill="1" applyAlignment="1" applyProtection="1">
      <alignment vertical="center"/>
      <protection hidden="1"/>
    </xf>
    <xf numFmtId="0" fontId="3" fillId="0" borderId="15" xfId="0" applyFont="1" applyFill="1" applyBorder="1" applyAlignment="1" applyProtection="1">
      <alignment vertical="center"/>
      <protection hidden="1"/>
    </xf>
    <xf numFmtId="0" fontId="10" fillId="0" borderId="4" xfId="0" applyFont="1" applyFill="1" applyBorder="1" applyAlignment="1" applyProtection="1">
      <alignment horizontal="center" vertical="center" wrapText="1"/>
      <protection locked="0"/>
    </xf>
    <xf numFmtId="0" fontId="10" fillId="0" borderId="5" xfId="0" applyFont="1" applyFill="1" applyBorder="1" applyAlignment="1" applyProtection="1">
      <alignment horizontal="center" vertical="center" wrapText="1"/>
      <protection locked="0"/>
    </xf>
    <xf numFmtId="0" fontId="10" fillId="0" borderId="2" xfId="0" applyFont="1" applyFill="1" applyBorder="1" applyAlignment="1" applyProtection="1">
      <alignment horizontal="center" vertical="center" wrapText="1"/>
      <protection locked="0"/>
    </xf>
    <xf numFmtId="0" fontId="10" fillId="0" borderId="3" xfId="0" applyFont="1" applyFill="1" applyBorder="1" applyAlignment="1" applyProtection="1">
      <alignment horizontal="center" vertical="center" wrapText="1"/>
      <protection locked="0"/>
    </xf>
    <xf numFmtId="0" fontId="3" fillId="0" borderId="5" xfId="0" applyFont="1" applyBorder="1" applyAlignment="1" applyProtection="1">
      <alignment horizontal="center" vertical="center" wrapText="1"/>
      <protection locked="0"/>
    </xf>
    <xf numFmtId="0" fontId="3" fillId="0" borderId="6" xfId="0" applyFont="1" applyBorder="1" applyAlignment="1" applyProtection="1">
      <alignment horizontal="center" vertical="center" wrapText="1"/>
      <protection locked="0"/>
    </xf>
    <xf numFmtId="0" fontId="10" fillId="0" borderId="7" xfId="0" applyFont="1" applyFill="1" applyBorder="1" applyAlignment="1" applyProtection="1">
      <alignment horizontal="center" vertical="center" wrapText="1"/>
      <protection locked="0"/>
    </xf>
    <xf numFmtId="0" fontId="10" fillId="0" borderId="0" xfId="0" applyFont="1" applyFill="1" applyBorder="1" applyAlignment="1" applyProtection="1">
      <alignment horizontal="center" vertical="center" wrapText="1"/>
      <protection locked="0"/>
    </xf>
    <xf numFmtId="0" fontId="3" fillId="0" borderId="0" xfId="0" applyFont="1" applyAlignment="1" applyProtection="1">
      <alignment horizontal="center" vertical="center" wrapText="1"/>
      <protection locked="0"/>
    </xf>
    <xf numFmtId="0" fontId="3" fillId="0" borderId="8" xfId="0" applyFont="1" applyBorder="1" applyAlignment="1" applyProtection="1">
      <alignment horizontal="center" vertical="center" wrapText="1"/>
      <protection locked="0"/>
    </xf>
    <xf numFmtId="0" fontId="3" fillId="0" borderId="3" xfId="0" applyFont="1" applyBorder="1" applyAlignment="1" applyProtection="1">
      <alignment horizontal="center" vertical="center" wrapText="1"/>
      <protection locked="0"/>
    </xf>
    <xf numFmtId="0" fontId="3" fillId="0" borderId="9" xfId="0" applyFont="1" applyBorder="1" applyAlignment="1" applyProtection="1">
      <alignment horizontal="center" vertical="center" wrapText="1"/>
      <protection locked="0"/>
    </xf>
    <xf numFmtId="164" fontId="4" fillId="0" borderId="34" xfId="0" applyNumberFormat="1" applyFont="1" applyFill="1" applyBorder="1" applyAlignment="1" applyProtection="1">
      <alignment horizontal="center" vertical="center"/>
      <protection hidden="1"/>
    </xf>
    <xf numFmtId="164" fontId="4" fillId="0" borderId="21" xfId="0" applyNumberFormat="1" applyFont="1" applyFill="1" applyBorder="1" applyAlignment="1" applyProtection="1">
      <alignment horizontal="center" vertical="center"/>
      <protection hidden="1"/>
    </xf>
    <xf numFmtId="164" fontId="4" fillId="0" borderId="40" xfId="0" applyNumberFormat="1" applyFont="1" applyFill="1" applyBorder="1" applyAlignment="1" applyProtection="1">
      <alignment horizontal="center" vertical="center"/>
      <protection hidden="1"/>
    </xf>
    <xf numFmtId="2" fontId="4" fillId="0" borderId="29" xfId="0" applyNumberFormat="1" applyFont="1" applyFill="1" applyBorder="1" applyAlignment="1" applyProtection="1">
      <alignment horizontal="center" vertical="center"/>
      <protection locked="0"/>
    </xf>
    <xf numFmtId="2" fontId="4" fillId="0" borderId="18" xfId="0" applyNumberFormat="1" applyFont="1" applyFill="1" applyBorder="1" applyAlignment="1" applyProtection="1">
      <alignment horizontal="center" vertical="center"/>
      <protection locked="0"/>
    </xf>
    <xf numFmtId="0" fontId="3" fillId="0" borderId="4" xfId="0" applyFont="1" applyFill="1" applyBorder="1" applyAlignment="1" applyProtection="1">
      <alignment horizontal="center" vertical="center" wrapText="1"/>
      <protection locked="0"/>
    </xf>
    <xf numFmtId="0" fontId="3" fillId="0" borderId="5" xfId="0" applyFont="1" applyFill="1" applyBorder="1" applyAlignment="1" applyProtection="1">
      <alignment horizontal="center" vertical="center" wrapText="1"/>
      <protection locked="0"/>
    </xf>
    <xf numFmtId="0" fontId="3" fillId="0" borderId="7" xfId="0" applyFont="1" applyFill="1" applyBorder="1" applyAlignment="1" applyProtection="1">
      <alignment horizontal="center" vertical="center" wrapText="1"/>
      <protection locked="0"/>
    </xf>
    <xf numFmtId="0" fontId="3" fillId="0" borderId="0" xfId="0" applyFont="1" applyFill="1" applyBorder="1" applyAlignment="1" applyProtection="1">
      <alignment horizontal="center" vertical="center" wrapText="1"/>
      <protection locked="0"/>
    </xf>
    <xf numFmtId="0" fontId="3" fillId="0" borderId="2" xfId="0" applyFont="1" applyFill="1" applyBorder="1" applyAlignment="1" applyProtection="1">
      <alignment horizontal="center" vertical="center" wrapText="1"/>
      <protection locked="0"/>
    </xf>
    <xf numFmtId="0" fontId="3" fillId="0" borderId="3" xfId="0" applyFont="1" applyFill="1" applyBorder="1" applyAlignment="1" applyProtection="1">
      <alignment horizontal="center" vertical="center" wrapText="1"/>
      <protection locked="0"/>
    </xf>
    <xf numFmtId="0" fontId="4" fillId="0" borderId="4" xfId="0" applyFont="1" applyFill="1" applyBorder="1" applyAlignment="1" applyProtection="1">
      <alignment horizontal="center" vertical="center"/>
      <protection hidden="1"/>
    </xf>
    <xf numFmtId="0" fontId="4" fillId="0" borderId="5" xfId="0" applyFont="1" applyFill="1" applyBorder="1" applyAlignment="1" applyProtection="1">
      <alignment horizontal="center" vertical="center"/>
      <protection hidden="1"/>
    </xf>
    <xf numFmtId="0" fontId="4" fillId="0" borderId="6" xfId="0" applyFont="1" applyFill="1" applyBorder="1" applyAlignment="1" applyProtection="1">
      <alignment horizontal="center" vertical="center"/>
      <protection hidden="1"/>
    </xf>
    <xf numFmtId="0" fontId="4" fillId="0" borderId="2" xfId="0" applyFont="1" applyFill="1" applyBorder="1" applyAlignment="1" applyProtection="1">
      <alignment horizontal="center" vertical="center"/>
      <protection hidden="1"/>
    </xf>
    <xf numFmtId="0" fontId="4" fillId="0" borderId="3" xfId="0" applyFont="1" applyFill="1" applyBorder="1" applyAlignment="1" applyProtection="1">
      <alignment horizontal="center" vertical="center"/>
      <protection hidden="1"/>
    </xf>
    <xf numFmtId="0" fontId="4" fillId="0" borderId="9" xfId="0" applyFont="1" applyFill="1" applyBorder="1" applyAlignment="1" applyProtection="1">
      <alignment horizontal="center" vertical="center"/>
      <protection hidden="1"/>
    </xf>
    <xf numFmtId="164" fontId="10" fillId="0" borderId="38" xfId="0" applyNumberFormat="1" applyFont="1" applyFill="1" applyBorder="1" applyAlignment="1" applyProtection="1">
      <alignment horizontal="center"/>
      <protection hidden="1"/>
    </xf>
    <xf numFmtId="164" fontId="10" fillId="0" borderId="10" xfId="0" applyNumberFormat="1" applyFont="1" applyFill="1" applyBorder="1" applyAlignment="1" applyProtection="1">
      <alignment horizontal="center"/>
      <protection hidden="1"/>
    </xf>
    <xf numFmtId="164" fontId="10" fillId="0" borderId="41" xfId="0" applyNumberFormat="1" applyFont="1" applyFill="1" applyBorder="1" applyAlignment="1" applyProtection="1">
      <alignment horizontal="center"/>
      <protection hidden="1"/>
    </xf>
    <xf numFmtId="164" fontId="4" fillId="0" borderId="38" xfId="0" applyNumberFormat="1" applyFont="1" applyFill="1" applyBorder="1" applyAlignment="1" applyProtection="1">
      <alignment horizontal="center" vertical="center"/>
      <protection hidden="1"/>
    </xf>
    <xf numFmtId="164" fontId="4" fillId="0" borderId="10" xfId="0" applyNumberFormat="1" applyFont="1" applyFill="1" applyBorder="1" applyAlignment="1" applyProtection="1">
      <alignment horizontal="center" vertical="center"/>
      <protection hidden="1"/>
    </xf>
    <xf numFmtId="164" fontId="4" fillId="0" borderId="41" xfId="0" applyNumberFormat="1" applyFont="1" applyFill="1" applyBorder="1" applyAlignment="1" applyProtection="1">
      <alignment horizontal="center" vertical="center"/>
      <protection hidden="1"/>
    </xf>
    <xf numFmtId="0" fontId="3" fillId="0" borderId="5" xfId="0" applyFont="1" applyBorder="1" applyProtection="1">
      <protection hidden="1"/>
    </xf>
    <xf numFmtId="0" fontId="3" fillId="0" borderId="6" xfId="0" applyFont="1" applyBorder="1" applyProtection="1">
      <protection hidden="1"/>
    </xf>
    <xf numFmtId="0" fontId="11" fillId="0" borderId="7" xfId="0" applyFont="1" applyFill="1" applyBorder="1" applyAlignment="1" applyProtection="1">
      <alignment horizontal="center" vertical="center"/>
      <protection hidden="1"/>
    </xf>
    <xf numFmtId="0" fontId="11" fillId="0" borderId="0" xfId="0" applyFont="1" applyFill="1" applyBorder="1" applyAlignment="1" applyProtection="1">
      <alignment horizontal="center" vertical="center"/>
      <protection hidden="1"/>
    </xf>
    <xf numFmtId="0" fontId="11" fillId="0" borderId="8" xfId="0" applyFont="1" applyFill="1" applyBorder="1" applyAlignment="1" applyProtection="1">
      <alignment horizontal="center" vertical="center"/>
      <protection hidden="1"/>
    </xf>
    <xf numFmtId="0" fontId="11" fillId="0" borderId="2" xfId="0" applyFont="1" applyFill="1" applyBorder="1" applyAlignment="1" applyProtection="1">
      <alignment horizontal="center" vertical="center"/>
      <protection hidden="1"/>
    </xf>
    <xf numFmtId="0" fontId="11" fillId="0" borderId="3" xfId="0" applyFont="1" applyFill="1" applyBorder="1" applyAlignment="1" applyProtection="1">
      <alignment horizontal="center" vertical="center"/>
      <protection hidden="1"/>
    </xf>
    <xf numFmtId="0" fontId="11" fillId="0" borderId="9" xfId="0" applyFont="1" applyFill="1" applyBorder="1" applyAlignment="1" applyProtection="1">
      <alignment horizontal="center" vertical="center"/>
      <protection hidden="1"/>
    </xf>
    <xf numFmtId="0" fontId="6" fillId="0" borderId="43" xfId="0" applyFont="1" applyFill="1" applyBorder="1" applyAlignment="1" applyProtection="1">
      <alignment horizontal="center" vertical="center"/>
      <protection hidden="1"/>
    </xf>
    <xf numFmtId="0" fontId="6" fillId="0" borderId="13" xfId="0" applyFont="1" applyFill="1" applyBorder="1" applyAlignment="1" applyProtection="1">
      <alignment horizontal="center" vertical="center"/>
      <protection hidden="1"/>
    </xf>
    <xf numFmtId="0" fontId="6" fillId="0" borderId="44" xfId="0" applyFont="1" applyFill="1" applyBorder="1" applyAlignment="1" applyProtection="1">
      <alignment horizontal="center" vertical="center"/>
      <protection hidden="1"/>
    </xf>
    <xf numFmtId="0" fontId="8" fillId="0" borderId="7" xfId="0" applyFont="1" applyFill="1" applyBorder="1" applyAlignment="1" applyProtection="1">
      <alignment horizontal="left" vertical="center" wrapText="1"/>
      <protection locked="0"/>
    </xf>
    <xf numFmtId="0" fontId="8" fillId="0" borderId="0" xfId="0" applyFont="1" applyFill="1" applyBorder="1" applyAlignment="1" applyProtection="1">
      <alignment horizontal="left" vertical="center" wrapText="1"/>
      <protection locked="0"/>
    </xf>
    <xf numFmtId="0" fontId="8" fillId="0" borderId="8" xfId="0" applyFont="1" applyFill="1" applyBorder="1" applyAlignment="1" applyProtection="1">
      <alignment horizontal="left" vertical="center" wrapText="1"/>
      <protection locked="0"/>
    </xf>
    <xf numFmtId="0" fontId="8" fillId="0" borderId="2" xfId="0" applyFont="1" applyFill="1" applyBorder="1" applyAlignment="1" applyProtection="1">
      <alignment horizontal="left" vertical="center" wrapText="1"/>
      <protection locked="0"/>
    </xf>
    <xf numFmtId="0" fontId="8" fillId="0" borderId="3" xfId="0" applyFont="1" applyFill="1" applyBorder="1" applyAlignment="1" applyProtection="1">
      <alignment horizontal="left" vertical="center" wrapText="1"/>
      <protection locked="0"/>
    </xf>
    <xf numFmtId="0" fontId="8" fillId="0" borderId="9" xfId="0" applyFont="1" applyFill="1" applyBorder="1" applyAlignment="1" applyProtection="1">
      <alignment horizontal="left" vertical="center" wrapText="1"/>
      <protection locked="0"/>
    </xf>
    <xf numFmtId="0" fontId="10" fillId="0" borderId="38" xfId="0" applyFont="1" applyFill="1" applyBorder="1" applyAlignment="1" applyProtection="1">
      <alignment horizontal="center"/>
      <protection locked="0"/>
    </xf>
    <xf numFmtId="0" fontId="10" fillId="0" borderId="10" xfId="0" applyFont="1" applyFill="1" applyBorder="1" applyAlignment="1" applyProtection="1">
      <alignment horizontal="center"/>
      <protection locked="0"/>
    </xf>
    <xf numFmtId="0" fontId="10" fillId="0" borderId="41" xfId="0" applyFont="1" applyFill="1" applyBorder="1" applyAlignment="1" applyProtection="1">
      <alignment horizontal="center"/>
      <protection locked="0"/>
    </xf>
    <xf numFmtId="0" fontId="4" fillId="0" borderId="28" xfId="0" applyFont="1" applyFill="1" applyBorder="1" applyAlignment="1" applyProtection="1">
      <alignment horizontal="center"/>
      <protection hidden="1"/>
    </xf>
    <xf numFmtId="0" fontId="4" fillId="0" borderId="18" xfId="0" applyFont="1" applyFill="1" applyBorder="1" applyAlignment="1" applyProtection="1">
      <alignment horizontal="center"/>
      <protection hidden="1"/>
    </xf>
    <xf numFmtId="0" fontId="4" fillId="0" borderId="19" xfId="0" applyFont="1" applyFill="1" applyBorder="1" applyAlignment="1" applyProtection="1">
      <alignment horizontal="center"/>
      <protection hidden="1"/>
    </xf>
    <xf numFmtId="2" fontId="4" fillId="0" borderId="38" xfId="0" applyNumberFormat="1" applyFont="1" applyFill="1" applyBorder="1" applyAlignment="1" applyProtection="1">
      <alignment horizontal="center" vertical="center"/>
      <protection hidden="1"/>
    </xf>
    <xf numFmtId="2" fontId="4" fillId="0" borderId="10" xfId="0" applyNumberFormat="1" applyFont="1" applyFill="1" applyBorder="1" applyAlignment="1" applyProtection="1">
      <alignment horizontal="center" vertical="center"/>
      <protection hidden="1"/>
    </xf>
    <xf numFmtId="0" fontId="4" fillId="0" borderId="1" xfId="0" applyFont="1" applyFill="1" applyBorder="1" applyAlignment="1" applyProtection="1">
      <alignment horizontal="center" vertical="center"/>
      <protection hidden="1"/>
    </xf>
    <xf numFmtId="0" fontId="4" fillId="0" borderId="10" xfId="0" applyFont="1" applyFill="1" applyBorder="1" applyAlignment="1" applyProtection="1">
      <alignment horizontal="center" vertical="center"/>
      <protection hidden="1"/>
    </xf>
    <xf numFmtId="0" fontId="4" fillId="0" borderId="41" xfId="0" applyFont="1" applyFill="1" applyBorder="1" applyAlignment="1" applyProtection="1">
      <alignment horizontal="center" vertical="center"/>
      <protection hidden="1"/>
    </xf>
    <xf numFmtId="0" fontId="11" fillId="0" borderId="10" xfId="0" applyFont="1" applyFill="1" applyBorder="1" applyAlignment="1" applyProtection="1">
      <alignment horizontal="center" vertical="center" wrapText="1"/>
      <protection hidden="1"/>
    </xf>
    <xf numFmtId="0" fontId="3" fillId="0" borderId="10" xfId="0" applyFont="1" applyBorder="1" applyAlignment="1" applyProtection="1">
      <alignment horizontal="center" vertical="center" wrapText="1"/>
      <protection hidden="1"/>
    </xf>
    <xf numFmtId="0" fontId="3" fillId="0" borderId="41" xfId="0" applyFont="1" applyBorder="1" applyAlignment="1" applyProtection="1">
      <alignment horizontal="center" vertical="center" wrapText="1"/>
      <protection hidden="1"/>
    </xf>
    <xf numFmtId="164" fontId="4" fillId="0" borderId="29" xfId="0" applyNumberFormat="1" applyFont="1" applyFill="1" applyBorder="1" applyAlignment="1" applyProtection="1">
      <alignment horizontal="center" vertical="center"/>
      <protection hidden="1"/>
    </xf>
    <xf numFmtId="164" fontId="4" fillId="0" borderId="18" xfId="0" applyNumberFormat="1" applyFont="1" applyFill="1" applyBorder="1" applyAlignment="1" applyProtection="1">
      <alignment horizontal="center" vertical="center"/>
      <protection hidden="1"/>
    </xf>
    <xf numFmtId="164" fontId="4" fillId="0" borderId="42" xfId="0" applyNumberFormat="1" applyFont="1" applyFill="1" applyBorder="1" applyAlignment="1" applyProtection="1">
      <alignment horizontal="center" vertical="center"/>
      <protection hidden="1"/>
    </xf>
    <xf numFmtId="0" fontId="3" fillId="0" borderId="3" xfId="0" applyFont="1" applyBorder="1" applyProtection="1">
      <protection hidden="1"/>
    </xf>
    <xf numFmtId="0" fontId="3" fillId="0" borderId="9" xfId="0" applyFont="1" applyBorder="1" applyProtection="1">
      <protection hidden="1"/>
    </xf>
    <xf numFmtId="0" fontId="4" fillId="0" borderId="28" xfId="0" applyFont="1" applyFill="1" applyBorder="1" applyAlignment="1" applyProtection="1">
      <alignment horizontal="center" vertical="center"/>
      <protection hidden="1"/>
    </xf>
    <xf numFmtId="0" fontId="4" fillId="0" borderId="18" xfId="0" applyFont="1" applyFill="1" applyBorder="1" applyAlignment="1" applyProtection="1">
      <alignment horizontal="center" vertical="center"/>
      <protection hidden="1"/>
    </xf>
    <xf numFmtId="0" fontId="4" fillId="0" borderId="42" xfId="0" applyFont="1" applyFill="1" applyBorder="1" applyAlignment="1" applyProtection="1">
      <alignment horizontal="center" vertical="center"/>
      <protection hidden="1"/>
    </xf>
    <xf numFmtId="0" fontId="4" fillId="0" borderId="31" xfId="0" applyFont="1" applyFill="1" applyBorder="1" applyAlignment="1" applyProtection="1">
      <alignment horizontal="center" vertical="center"/>
      <protection hidden="1"/>
    </xf>
    <xf numFmtId="0" fontId="4" fillId="0" borderId="21" xfId="0" applyFont="1" applyFill="1" applyBorder="1" applyAlignment="1" applyProtection="1">
      <alignment horizontal="center" vertical="center"/>
      <protection hidden="1"/>
    </xf>
    <xf numFmtId="0" fontId="4" fillId="0" borderId="40" xfId="0" applyFont="1" applyFill="1" applyBorder="1" applyAlignment="1" applyProtection="1">
      <alignment horizontal="center" vertical="center"/>
      <protection hidden="1"/>
    </xf>
    <xf numFmtId="2" fontId="4" fillId="0" borderId="34" xfId="0" applyNumberFormat="1" applyFont="1" applyFill="1" applyBorder="1" applyAlignment="1" applyProtection="1">
      <alignment horizontal="center" vertical="center"/>
      <protection hidden="1"/>
    </xf>
    <xf numFmtId="2" fontId="4" fillId="0" borderId="21" xfId="0" applyNumberFormat="1" applyFont="1" applyFill="1" applyBorder="1" applyAlignment="1" applyProtection="1">
      <alignment horizontal="center" vertical="center"/>
      <protection hidden="1"/>
    </xf>
    <xf numFmtId="2" fontId="10" fillId="0" borderId="38" xfId="0" applyNumberFormat="1" applyFont="1" applyFill="1" applyBorder="1" applyAlignment="1" applyProtection="1">
      <alignment horizontal="left"/>
      <protection locked="0"/>
    </xf>
    <xf numFmtId="2" fontId="10" fillId="0" borderId="10" xfId="0" applyNumberFormat="1" applyFont="1" applyFill="1" applyBorder="1" applyAlignment="1" applyProtection="1">
      <alignment horizontal="left"/>
      <protection locked="0"/>
    </xf>
    <xf numFmtId="2" fontId="10" fillId="0" borderId="41" xfId="0" applyNumberFormat="1" applyFont="1" applyFill="1" applyBorder="1" applyAlignment="1" applyProtection="1">
      <alignment horizontal="left"/>
      <protection locked="0"/>
    </xf>
    <xf numFmtId="164" fontId="4" fillId="0" borderId="1" xfId="0" applyNumberFormat="1" applyFont="1" applyFill="1" applyBorder="1" applyAlignment="1" applyProtection="1">
      <alignment horizontal="center"/>
      <protection hidden="1"/>
    </xf>
    <xf numFmtId="164" fontId="4" fillId="0" borderId="20" xfId="0" applyNumberFormat="1" applyFont="1" applyFill="1" applyBorder="1" applyAlignment="1" applyProtection="1">
      <alignment horizontal="center"/>
      <protection hidden="1"/>
    </xf>
    <xf numFmtId="0" fontId="4" fillId="0" borderId="31" xfId="0" applyFont="1" applyFill="1" applyBorder="1" applyAlignment="1" applyProtection="1">
      <alignment horizontal="center"/>
      <protection hidden="1"/>
    </xf>
    <xf numFmtId="0" fontId="4" fillId="0" borderId="22" xfId="0" applyFont="1" applyFill="1" applyBorder="1" applyAlignment="1" applyProtection="1">
      <alignment horizontal="center"/>
      <protection hidden="1"/>
    </xf>
    <xf numFmtId="164" fontId="4" fillId="0" borderId="0" xfId="0" applyNumberFormat="1" applyFont="1" applyFill="1" applyBorder="1" applyAlignment="1">
      <alignment horizontal="center"/>
    </xf>
    <xf numFmtId="164" fontId="4" fillId="0" borderId="31" xfId="0" applyNumberFormat="1" applyFont="1" applyFill="1" applyBorder="1" applyAlignment="1" applyProtection="1">
      <alignment horizontal="center"/>
      <protection hidden="1"/>
    </xf>
    <xf numFmtId="164" fontId="4" fillId="0" borderId="22" xfId="0" applyNumberFormat="1" applyFont="1" applyFill="1" applyBorder="1" applyAlignment="1" applyProtection="1">
      <alignment horizontal="center"/>
      <protection hidden="1"/>
    </xf>
    <xf numFmtId="164" fontId="4" fillId="0" borderId="28" xfId="0" applyNumberFormat="1" applyFont="1" applyFill="1" applyBorder="1" applyAlignment="1" applyProtection="1">
      <alignment horizontal="center"/>
      <protection hidden="1"/>
    </xf>
    <xf numFmtId="164" fontId="4" fillId="0" borderId="19" xfId="0" applyNumberFormat="1" applyFont="1" applyFill="1" applyBorder="1" applyAlignment="1" applyProtection="1">
      <alignment horizontal="center"/>
      <protection hidden="1"/>
    </xf>
    <xf numFmtId="0" fontId="3" fillId="0" borderId="4" xfId="0" applyFont="1" applyFill="1" applyBorder="1" applyAlignment="1" applyProtection="1">
      <alignment horizontal="center" vertical="center" wrapText="1"/>
      <protection hidden="1"/>
    </xf>
    <xf numFmtId="0" fontId="3" fillId="0" borderId="5" xfId="0" applyFont="1" applyFill="1" applyBorder="1" applyAlignment="1" applyProtection="1">
      <alignment horizontal="center" vertical="center" wrapText="1"/>
      <protection hidden="1"/>
    </xf>
    <xf numFmtId="0" fontId="3" fillId="0" borderId="6" xfId="0" applyFont="1" applyFill="1" applyBorder="1" applyAlignment="1" applyProtection="1">
      <alignment horizontal="center" vertical="center" wrapText="1"/>
      <protection hidden="1"/>
    </xf>
    <xf numFmtId="0" fontId="3" fillId="0" borderId="7" xfId="0" applyFont="1" applyFill="1" applyBorder="1" applyAlignment="1" applyProtection="1">
      <alignment horizontal="center" vertical="center" wrapText="1"/>
      <protection hidden="1"/>
    </xf>
    <xf numFmtId="0" fontId="3" fillId="0" borderId="0" xfId="0" applyFont="1" applyFill="1" applyBorder="1" applyAlignment="1" applyProtection="1">
      <alignment horizontal="center" vertical="center" wrapText="1"/>
      <protection hidden="1"/>
    </xf>
    <xf numFmtId="0" fontId="3" fillId="0" borderId="8" xfId="0" applyFont="1" applyFill="1" applyBorder="1" applyAlignment="1" applyProtection="1">
      <alignment horizontal="center" vertical="center" wrapText="1"/>
      <protection hidden="1"/>
    </xf>
    <xf numFmtId="0" fontId="3" fillId="0" borderId="2" xfId="0" applyFont="1" applyFill="1" applyBorder="1" applyAlignment="1" applyProtection="1">
      <alignment horizontal="center" vertical="center" wrapText="1"/>
      <protection hidden="1"/>
    </xf>
    <xf numFmtId="0" fontId="3" fillId="0" borderId="3" xfId="0" applyFont="1" applyFill="1" applyBorder="1" applyAlignment="1" applyProtection="1">
      <alignment horizontal="center" vertical="center" wrapText="1"/>
      <protection hidden="1"/>
    </xf>
    <xf numFmtId="0" fontId="3" fillId="0" borderId="9" xfId="0" applyFont="1" applyFill="1" applyBorder="1" applyAlignment="1" applyProtection="1">
      <alignment horizontal="center" vertical="center" wrapText="1"/>
      <protection hidden="1"/>
    </xf>
    <xf numFmtId="0" fontId="3" fillId="0" borderId="6" xfId="0" applyFont="1" applyFill="1" applyBorder="1" applyAlignment="1" applyProtection="1">
      <alignment horizontal="center" vertical="center" wrapText="1"/>
      <protection locked="0"/>
    </xf>
    <xf numFmtId="0" fontId="3" fillId="0" borderId="8" xfId="0" applyFont="1" applyFill="1" applyBorder="1" applyAlignment="1" applyProtection="1">
      <alignment horizontal="center" vertical="center" wrapText="1"/>
      <protection locked="0"/>
    </xf>
    <xf numFmtId="0" fontId="3" fillId="0" borderId="9" xfId="0" applyFont="1" applyFill="1" applyBorder="1" applyAlignment="1" applyProtection="1">
      <alignment horizontal="center" vertical="center" wrapText="1"/>
      <protection locked="0"/>
    </xf>
    <xf numFmtId="0" fontId="10" fillId="0" borderId="0" xfId="0" applyFont="1" applyFill="1" applyBorder="1" applyAlignment="1" applyProtection="1">
      <protection hidden="1"/>
    </xf>
    <xf numFmtId="14" fontId="10" fillId="0" borderId="0" xfId="0" applyNumberFormat="1" applyFont="1" applyFill="1" applyBorder="1" applyAlignment="1" applyProtection="1">
      <alignment horizontal="left"/>
      <protection locked="0"/>
    </xf>
    <xf numFmtId="0" fontId="10" fillId="0" borderId="0" xfId="0" applyFont="1" applyFill="1" applyBorder="1" applyAlignment="1" applyProtection="1">
      <alignment horizontal="left"/>
      <protection hidden="1"/>
    </xf>
    <xf numFmtId="0" fontId="6" fillId="0" borderId="10" xfId="0" applyFont="1" applyFill="1" applyBorder="1" applyAlignment="1" applyProtection="1">
      <alignment horizontal="center" vertical="center"/>
      <protection hidden="1"/>
    </xf>
    <xf numFmtId="0" fontId="8" fillId="0" borderId="10" xfId="0" applyFont="1" applyFill="1" applyBorder="1" applyAlignment="1" applyProtection="1">
      <alignment horizontal="center" vertical="center"/>
      <protection hidden="1"/>
    </xf>
    <xf numFmtId="0" fontId="10" fillId="0" borderId="0" xfId="0" applyFont="1" applyFill="1" applyBorder="1" applyAlignment="1" applyProtection="1">
      <alignment horizontal="left"/>
      <protection locked="0"/>
    </xf>
    <xf numFmtId="0" fontId="5" fillId="0" borderId="7" xfId="0" applyFont="1" applyFill="1" applyBorder="1" applyAlignment="1" applyProtection="1">
      <alignment horizontal="center" vertical="center" wrapText="1"/>
      <protection hidden="1"/>
    </xf>
    <xf numFmtId="0" fontId="5" fillId="0" borderId="0" xfId="0" applyFont="1" applyFill="1" applyBorder="1" applyAlignment="1" applyProtection="1">
      <alignment horizontal="center" vertical="center" wrapText="1"/>
      <protection hidden="1"/>
    </xf>
    <xf numFmtId="0" fontId="5" fillId="0" borderId="8" xfId="0" applyFont="1" applyFill="1" applyBorder="1" applyAlignment="1" applyProtection="1">
      <alignment horizontal="center" vertical="center" wrapText="1"/>
      <protection hidden="1"/>
    </xf>
    <xf numFmtId="0" fontId="6" fillId="0" borderId="7" xfId="0" applyFont="1" applyFill="1" applyBorder="1" applyAlignment="1" applyProtection="1">
      <alignment horizontal="center" vertical="center" wrapText="1"/>
      <protection hidden="1"/>
    </xf>
    <xf numFmtId="0" fontId="6" fillId="0" borderId="0" xfId="0" applyFont="1" applyFill="1" applyBorder="1" applyAlignment="1" applyProtection="1">
      <alignment horizontal="center" vertical="center" wrapText="1"/>
      <protection hidden="1"/>
    </xf>
    <xf numFmtId="0" fontId="6" fillId="0" borderId="0" xfId="0" applyFont="1" applyFill="1" applyBorder="1" applyAlignment="1" applyProtection="1">
      <alignment horizontal="center" vertical="center"/>
      <protection locked="0"/>
    </xf>
    <xf numFmtId="0" fontId="6" fillId="0" borderId="8" xfId="0" applyFont="1" applyFill="1" applyBorder="1" applyAlignment="1" applyProtection="1">
      <alignment horizontal="center" vertical="center"/>
      <protection locked="0"/>
    </xf>
    <xf numFmtId="0" fontId="3" fillId="0" borderId="7" xfId="0" applyFont="1" applyFill="1" applyBorder="1" applyAlignment="1" applyProtection="1">
      <alignment horizontal="center" vertical="center"/>
      <protection locked="0"/>
    </xf>
    <xf numFmtId="0" fontId="3" fillId="0" borderId="0" xfId="0" applyFont="1" applyFill="1" applyBorder="1" applyAlignment="1" applyProtection="1">
      <alignment horizontal="center" vertical="center"/>
      <protection locked="0"/>
    </xf>
    <xf numFmtId="0" fontId="3" fillId="0" borderId="8" xfId="0" applyFont="1" applyFill="1" applyBorder="1" applyAlignment="1" applyProtection="1">
      <alignment horizontal="center" vertical="center"/>
      <protection locked="0"/>
    </xf>
    <xf numFmtId="14" fontId="3" fillId="0" borderId="7" xfId="0" applyNumberFormat="1" applyFont="1" applyFill="1" applyBorder="1" applyAlignment="1" applyProtection="1">
      <alignment horizontal="center" vertical="center"/>
      <protection locked="0"/>
    </xf>
    <xf numFmtId="14" fontId="3" fillId="0" borderId="0" xfId="0" applyNumberFormat="1" applyFont="1" applyFill="1" applyBorder="1" applyAlignment="1" applyProtection="1">
      <alignment horizontal="center" vertical="center"/>
      <protection locked="0"/>
    </xf>
    <xf numFmtId="14" fontId="3" fillId="0" borderId="8" xfId="0" applyNumberFormat="1" applyFont="1" applyFill="1" applyBorder="1" applyAlignment="1" applyProtection="1">
      <alignment horizontal="center" vertical="center"/>
      <protection locked="0"/>
    </xf>
    <xf numFmtId="0" fontId="7" fillId="0" borderId="3" xfId="0" applyFont="1" applyFill="1" applyBorder="1" applyAlignment="1" applyProtection="1">
      <alignment horizontal="center" vertical="center"/>
      <protection hidden="1"/>
    </xf>
    <xf numFmtId="0" fontId="7" fillId="0" borderId="9" xfId="0" applyFont="1" applyFill="1" applyBorder="1" applyAlignment="1" applyProtection="1">
      <alignment horizontal="center" vertical="center"/>
      <protection hidden="1"/>
    </xf>
    <xf numFmtId="2" fontId="8" fillId="0" borderId="38" xfId="0" applyNumberFormat="1" applyFont="1" applyFill="1" applyBorder="1" applyAlignment="1" applyProtection="1">
      <alignment horizontal="left"/>
      <protection locked="0"/>
    </xf>
    <xf numFmtId="2" fontId="8" fillId="0" borderId="10" xfId="0" applyNumberFormat="1" applyFont="1" applyFill="1" applyBorder="1" applyAlignment="1" applyProtection="1">
      <alignment horizontal="left"/>
      <protection locked="0"/>
    </xf>
    <xf numFmtId="2" fontId="8" fillId="0" borderId="41" xfId="0" applyNumberFormat="1" applyFont="1" applyFill="1" applyBorder="1" applyAlignment="1" applyProtection="1">
      <alignment horizontal="left"/>
      <protection locked="0"/>
    </xf>
    <xf numFmtId="164" fontId="8" fillId="0" borderId="38" xfId="0" applyNumberFormat="1" applyFont="1" applyFill="1" applyBorder="1" applyAlignment="1" applyProtection="1">
      <alignment horizontal="center"/>
      <protection hidden="1"/>
    </xf>
    <xf numFmtId="164" fontId="8" fillId="0" borderId="10" xfId="0" applyNumberFormat="1" applyFont="1" applyFill="1" applyBorder="1" applyAlignment="1" applyProtection="1">
      <alignment horizontal="center"/>
      <protection hidden="1"/>
    </xf>
    <xf numFmtId="164" fontId="8" fillId="0" borderId="41" xfId="0" applyNumberFormat="1" applyFont="1" applyFill="1" applyBorder="1" applyAlignment="1" applyProtection="1">
      <alignment horizontal="center"/>
      <protection hidden="1"/>
    </xf>
    <xf numFmtId="0" fontId="8" fillId="0" borderId="38" xfId="0" applyFont="1" applyFill="1" applyBorder="1" applyAlignment="1" applyProtection="1">
      <alignment horizontal="center"/>
      <protection locked="0"/>
    </xf>
    <xf numFmtId="0" fontId="8" fillId="0" borderId="10" xfId="0" applyFont="1" applyFill="1" applyBorder="1" applyAlignment="1" applyProtection="1">
      <alignment horizontal="center"/>
      <protection locked="0"/>
    </xf>
    <xf numFmtId="0" fontId="8" fillId="0" borderId="41" xfId="0" applyFont="1" applyFill="1" applyBorder="1" applyAlignment="1" applyProtection="1">
      <alignment horizontal="center"/>
      <protection locked="0"/>
    </xf>
    <xf numFmtId="0" fontId="10" fillId="0" borderId="38" xfId="0" applyFont="1" applyFill="1" applyBorder="1" applyAlignment="1" applyProtection="1">
      <alignment horizontal="center" vertical="center" wrapText="1"/>
      <protection locked="0"/>
    </xf>
    <xf numFmtId="0" fontId="10" fillId="0" borderId="10" xfId="0" applyFont="1" applyFill="1" applyBorder="1" applyAlignment="1" applyProtection="1">
      <alignment horizontal="center" vertical="center" wrapText="1"/>
      <protection locked="0"/>
    </xf>
    <xf numFmtId="0" fontId="3" fillId="0" borderId="10" xfId="0" applyFont="1" applyBorder="1" applyAlignment="1" applyProtection="1">
      <alignment horizontal="center" vertical="center" wrapText="1"/>
      <protection locked="0"/>
    </xf>
    <xf numFmtId="0" fontId="3" fillId="0" borderId="41" xfId="0" applyFont="1" applyBorder="1" applyAlignment="1" applyProtection="1">
      <alignment horizontal="center" vertical="center" wrapText="1"/>
      <protection locked="0"/>
    </xf>
    <xf numFmtId="0" fontId="6" fillId="0" borderId="0" xfId="0" applyFont="1" applyFill="1" applyBorder="1" applyAlignment="1" applyProtection="1">
      <alignment horizontal="center" vertical="center"/>
      <protection hidden="1"/>
    </xf>
    <xf numFmtId="0" fontId="6" fillId="0" borderId="15" xfId="0" applyFont="1" applyFill="1" applyBorder="1" applyAlignment="1" applyProtection="1">
      <alignment horizontal="center" vertical="center"/>
      <protection hidden="1"/>
    </xf>
    <xf numFmtId="0" fontId="6" fillId="0" borderId="8" xfId="0" applyFont="1" applyFill="1" applyBorder="1" applyAlignment="1" applyProtection="1">
      <alignment horizontal="center" vertical="center"/>
      <protection hidden="1"/>
    </xf>
    <xf numFmtId="0" fontId="4" fillId="0" borderId="45" xfId="0" applyFont="1" applyFill="1" applyBorder="1" applyAlignment="1" applyProtection="1">
      <alignment horizontal="center"/>
      <protection hidden="1"/>
    </xf>
    <xf numFmtId="0" fontId="4" fillId="0" borderId="46" xfId="0" applyFont="1" applyFill="1" applyBorder="1" applyAlignment="1" applyProtection="1">
      <alignment horizontal="center"/>
      <protection hidden="1"/>
    </xf>
    <xf numFmtId="0" fontId="4" fillId="0" borderId="47" xfId="0" applyFont="1" applyFill="1" applyBorder="1" applyAlignment="1" applyProtection="1">
      <alignment horizontal="center"/>
      <protection hidden="1"/>
    </xf>
    <xf numFmtId="0" fontId="4" fillId="0" borderId="1" xfId="0" applyFont="1" applyFill="1" applyBorder="1" applyAlignment="1" applyProtection="1">
      <alignment horizontal="center"/>
      <protection hidden="1"/>
    </xf>
    <xf numFmtId="0" fontId="4" fillId="0" borderId="20" xfId="0" applyFont="1" applyFill="1" applyBorder="1" applyAlignment="1" applyProtection="1">
      <alignment horizontal="center"/>
      <protection hidden="1"/>
    </xf>
    <xf numFmtId="164" fontId="4" fillId="0" borderId="0" xfId="0" applyNumberFormat="1" applyFont="1" applyFill="1" applyBorder="1" applyAlignment="1" applyProtection="1">
      <alignment horizontal="center"/>
      <protection hidden="1"/>
    </xf>
    <xf numFmtId="0" fontId="8" fillId="0" borderId="0" xfId="0" applyFont="1" applyFill="1" applyBorder="1" applyAlignment="1" applyProtection="1">
      <alignment horizontal="left"/>
      <protection hidden="1"/>
    </xf>
    <xf numFmtId="0" fontId="8" fillId="0" borderId="0" xfId="0" applyFont="1" applyFill="1" applyBorder="1" applyAlignment="1" applyProtection="1">
      <alignment horizontal="left"/>
      <protection locked="0"/>
    </xf>
    <xf numFmtId="14" fontId="8" fillId="0" borderId="0" xfId="0" applyNumberFormat="1" applyFont="1" applyFill="1" applyBorder="1" applyAlignment="1" applyProtection="1">
      <alignment horizontal="left"/>
      <protection locked="0"/>
    </xf>
    <xf numFmtId="0" fontId="12" fillId="0" borderId="0" xfId="0" applyFont="1" applyFill="1" applyBorder="1" applyAlignment="1" applyProtection="1">
      <alignment horizontal="center" vertical="center"/>
      <protection locked="0"/>
    </xf>
    <xf numFmtId="0" fontId="12" fillId="0" borderId="8" xfId="0" applyFont="1" applyFill="1" applyBorder="1" applyAlignment="1" applyProtection="1">
      <alignment horizontal="center" vertical="center"/>
      <protection locked="0"/>
    </xf>
    <xf numFmtId="0" fontId="10" fillId="0" borderId="7" xfId="0" applyFont="1" applyFill="1" applyBorder="1" applyAlignment="1" applyProtection="1">
      <alignment horizontal="center" vertical="center"/>
      <protection locked="0"/>
    </xf>
    <xf numFmtId="0" fontId="10" fillId="0" borderId="0" xfId="0" applyFont="1" applyFill="1" applyBorder="1" applyAlignment="1" applyProtection="1">
      <alignment horizontal="center" vertical="center"/>
      <protection locked="0"/>
    </xf>
    <xf numFmtId="0" fontId="10" fillId="0" borderId="8" xfId="0" applyFont="1" applyFill="1" applyBorder="1" applyAlignment="1" applyProtection="1">
      <alignment horizontal="center" vertical="center"/>
      <protection locked="0"/>
    </xf>
    <xf numFmtId="14" fontId="10" fillId="0" borderId="7" xfId="0" applyNumberFormat="1" applyFont="1" applyFill="1" applyBorder="1" applyAlignment="1" applyProtection="1">
      <alignment horizontal="center" vertical="center"/>
      <protection locked="0"/>
    </xf>
    <xf numFmtId="14" fontId="10" fillId="0" borderId="0" xfId="0" applyNumberFormat="1" applyFont="1" applyFill="1" applyBorder="1" applyAlignment="1" applyProtection="1">
      <alignment horizontal="center" vertical="center"/>
      <protection locked="0"/>
    </xf>
    <xf numFmtId="14" fontId="10" fillId="0" borderId="8" xfId="0" applyNumberFormat="1" applyFont="1" applyFill="1" applyBorder="1" applyAlignment="1" applyProtection="1">
      <alignment horizontal="center" vertical="center"/>
      <protection locked="0"/>
    </xf>
    <xf numFmtId="0" fontId="14" fillId="0" borderId="4" xfId="0" applyFont="1" applyFill="1" applyBorder="1" applyAlignment="1" applyProtection="1">
      <alignment horizontal="center" vertical="center" wrapText="1"/>
      <protection locked="0"/>
    </xf>
    <xf numFmtId="0" fontId="14" fillId="0" borderId="5" xfId="0" applyFont="1" applyFill="1" applyBorder="1" applyAlignment="1" applyProtection="1">
      <alignment horizontal="center" vertical="center" wrapText="1"/>
      <protection locked="0"/>
    </xf>
    <xf numFmtId="0" fontId="14" fillId="0" borderId="6" xfId="0" applyFont="1" applyFill="1" applyBorder="1" applyAlignment="1" applyProtection="1">
      <alignment horizontal="center" vertical="center" wrapText="1"/>
      <protection locked="0"/>
    </xf>
    <xf numFmtId="0" fontId="14" fillId="0" borderId="7" xfId="0" applyFont="1" applyFill="1" applyBorder="1" applyAlignment="1" applyProtection="1">
      <alignment horizontal="center" vertical="center" wrapText="1"/>
      <protection locked="0"/>
    </xf>
    <xf numFmtId="0" fontId="14" fillId="0" borderId="0" xfId="0" applyFont="1" applyFill="1" applyBorder="1" applyAlignment="1" applyProtection="1">
      <alignment horizontal="center" vertical="center" wrapText="1"/>
      <protection locked="0"/>
    </xf>
    <xf numFmtId="0" fontId="14" fillId="0" borderId="8" xfId="0" applyFont="1" applyFill="1" applyBorder="1" applyAlignment="1" applyProtection="1">
      <alignment horizontal="center" vertical="center" wrapText="1"/>
      <protection locked="0"/>
    </xf>
    <xf numFmtId="0" fontId="14" fillId="0" borderId="2" xfId="0" applyFont="1" applyFill="1" applyBorder="1" applyAlignment="1" applyProtection="1">
      <alignment horizontal="center" vertical="center" wrapText="1"/>
      <protection locked="0"/>
    </xf>
    <xf numFmtId="0" fontId="14" fillId="0" borderId="3" xfId="0" applyFont="1" applyFill="1" applyBorder="1" applyAlignment="1" applyProtection="1">
      <alignment horizontal="center" vertical="center" wrapText="1"/>
      <protection locked="0"/>
    </xf>
    <xf numFmtId="0" fontId="14" fillId="0" borderId="9" xfId="0" applyFont="1" applyFill="1" applyBorder="1" applyAlignment="1" applyProtection="1">
      <alignment horizontal="center" vertical="center" wrapText="1"/>
      <protection locked="0"/>
    </xf>
    <xf numFmtId="0" fontId="6" fillId="0" borderId="14" xfId="0" applyFont="1" applyFill="1" applyBorder="1" applyAlignment="1" applyProtection="1">
      <alignment horizontal="center" vertical="center"/>
      <protection hidden="1"/>
    </xf>
    <xf numFmtId="0" fontId="6" fillId="0" borderId="2" xfId="0" applyFont="1" applyFill="1" applyBorder="1" applyAlignment="1" applyProtection="1">
      <alignment horizontal="center" vertical="center"/>
      <protection hidden="1"/>
    </xf>
    <xf numFmtId="0" fontId="6" fillId="0" borderId="3" xfId="0" applyFont="1" applyFill="1" applyBorder="1" applyAlignment="1" applyProtection="1">
      <alignment horizontal="center" vertical="center"/>
      <protection hidden="1"/>
    </xf>
    <xf numFmtId="0" fontId="6" fillId="0" borderId="9" xfId="0" applyFont="1" applyFill="1" applyBorder="1" applyAlignment="1" applyProtection="1">
      <alignment horizontal="center" vertical="center"/>
      <protection hidden="1"/>
    </xf>
    <xf numFmtId="0" fontId="10" fillId="0" borderId="41" xfId="0" applyFont="1" applyFill="1" applyBorder="1" applyAlignment="1" applyProtection="1">
      <alignment horizontal="center" vertical="center" wrapText="1"/>
      <protection locked="0"/>
    </xf>
    <xf numFmtId="0" fontId="3" fillId="0" borderId="4" xfId="0" applyFont="1" applyFill="1" applyBorder="1" applyAlignment="1" applyProtection="1">
      <alignment vertical="center" wrapText="1"/>
      <protection locked="0"/>
    </xf>
    <xf numFmtId="0" fontId="3" fillId="0" borderId="5" xfId="0" applyFont="1" applyFill="1" applyBorder="1" applyAlignment="1" applyProtection="1">
      <alignment vertical="center" wrapText="1"/>
      <protection locked="0"/>
    </xf>
    <xf numFmtId="0" fontId="3" fillId="0" borderId="5" xfId="0" applyFont="1" applyBorder="1" applyAlignment="1" applyProtection="1">
      <alignment vertical="center" wrapText="1"/>
      <protection locked="0"/>
    </xf>
    <xf numFmtId="0" fontId="3" fillId="0" borderId="6" xfId="0" applyFont="1" applyBorder="1" applyAlignment="1" applyProtection="1">
      <alignment vertical="center" wrapText="1"/>
      <protection locked="0"/>
    </xf>
    <xf numFmtId="0" fontId="3" fillId="0" borderId="7" xfId="0" applyFont="1" applyFill="1" applyBorder="1" applyAlignment="1" applyProtection="1">
      <alignment vertical="center" wrapText="1"/>
      <protection locked="0"/>
    </xf>
    <xf numFmtId="0" fontId="3" fillId="0" borderId="8" xfId="0" applyFont="1" applyBorder="1" applyAlignment="1" applyProtection="1">
      <alignment vertical="center" wrapText="1"/>
      <protection locked="0"/>
    </xf>
    <xf numFmtId="0" fontId="3" fillId="0" borderId="2" xfId="0" applyFont="1" applyFill="1" applyBorder="1" applyAlignment="1" applyProtection="1">
      <alignment vertical="center" wrapText="1"/>
      <protection locked="0"/>
    </xf>
    <xf numFmtId="0" fontId="3" fillId="0" borderId="3" xfId="0" applyFont="1" applyFill="1" applyBorder="1" applyAlignment="1" applyProtection="1">
      <alignment vertical="center" wrapText="1"/>
      <protection locked="0"/>
    </xf>
    <xf numFmtId="0" fontId="3" fillId="0" borderId="3" xfId="0" applyFont="1" applyBorder="1" applyAlignment="1" applyProtection="1">
      <alignment vertical="center" wrapText="1"/>
      <protection locked="0"/>
    </xf>
    <xf numFmtId="0" fontId="3" fillId="0" borderId="9" xfId="0" applyFont="1" applyBorder="1" applyAlignment="1" applyProtection="1">
      <alignment vertical="center" wrapText="1"/>
      <protection locked="0"/>
    </xf>
    <xf numFmtId="0" fontId="10" fillId="0" borderId="7" xfId="0" applyFont="1" applyFill="1" applyBorder="1" applyAlignment="1" applyProtection="1">
      <alignment horizontal="left" vertical="center" wrapText="1"/>
      <protection locked="0"/>
    </xf>
    <xf numFmtId="0" fontId="10" fillId="0" borderId="0" xfId="0" applyFont="1" applyFill="1" applyBorder="1" applyAlignment="1" applyProtection="1">
      <alignment horizontal="left" vertical="center" wrapText="1"/>
      <protection locked="0"/>
    </xf>
    <xf numFmtId="0" fontId="10" fillId="0" borderId="8" xfId="0" applyFont="1" applyFill="1" applyBorder="1" applyAlignment="1" applyProtection="1">
      <alignment horizontal="left" vertical="center" wrapText="1"/>
      <protection locked="0"/>
    </xf>
    <xf numFmtId="0" fontId="10" fillId="0" borderId="2" xfId="0" applyFont="1" applyFill="1" applyBorder="1" applyAlignment="1" applyProtection="1">
      <alignment horizontal="left" vertical="center" wrapText="1"/>
      <protection locked="0"/>
    </xf>
    <xf numFmtId="0" fontId="10" fillId="0" borderId="3" xfId="0" applyFont="1" applyFill="1" applyBorder="1" applyAlignment="1" applyProtection="1">
      <alignment horizontal="left" vertical="center" wrapText="1"/>
      <protection locked="0"/>
    </xf>
    <xf numFmtId="0" fontId="10" fillId="0" borderId="9" xfId="0" applyFont="1" applyFill="1" applyBorder="1" applyAlignment="1" applyProtection="1">
      <alignment horizontal="left" vertical="center" wrapText="1"/>
      <protection locked="0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104775</xdr:colOff>
      <xdr:row>53</xdr:row>
      <xdr:rowOff>0</xdr:rowOff>
    </xdr:from>
    <xdr:to>
      <xdr:col>22</xdr:col>
      <xdr:colOff>104775</xdr:colOff>
      <xdr:row>53</xdr:row>
      <xdr:rowOff>0</xdr:rowOff>
    </xdr:to>
    <xdr:sp macro="" textlink="">
      <xdr:nvSpPr>
        <xdr:cNvPr id="3255" name="Line 35">
          <a:extLst>
            <a:ext uri="{FF2B5EF4-FFF2-40B4-BE49-F238E27FC236}">
              <a16:creationId xmlns:a16="http://schemas.microsoft.com/office/drawing/2014/main" id="{00000000-0008-0000-0000-0000B70C0000}"/>
            </a:ext>
          </a:extLst>
        </xdr:cNvPr>
        <xdr:cNvSpPr>
          <a:spLocks noChangeShapeType="1"/>
        </xdr:cNvSpPr>
      </xdr:nvSpPr>
      <xdr:spPr bwMode="auto">
        <a:xfrm>
          <a:off x="7648575" y="11725275"/>
          <a:ext cx="0" cy="0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171450</xdr:colOff>
      <xdr:row>3</xdr:row>
      <xdr:rowOff>114300</xdr:rowOff>
    </xdr:from>
    <xdr:to>
      <xdr:col>20</xdr:col>
      <xdr:colOff>19050</xdr:colOff>
      <xdr:row>5</xdr:row>
      <xdr:rowOff>0</xdr:rowOff>
    </xdr:to>
    <xdr:sp macro="" textlink="" fLocksText="0">
      <xdr:nvSpPr>
        <xdr:cNvPr id="3247" name="Text Box 81">
          <a:extLst>
            <a:ext uri="{FF2B5EF4-FFF2-40B4-BE49-F238E27FC236}">
              <a16:creationId xmlns:a16="http://schemas.microsoft.com/office/drawing/2014/main" id="{00000000-0008-0000-0000-0000AF0C0000}"/>
            </a:ext>
          </a:extLst>
        </xdr:cNvPr>
        <xdr:cNvSpPr txBox="1">
          <a:spLocks noChangeArrowheads="1"/>
        </xdr:cNvSpPr>
      </xdr:nvSpPr>
      <xdr:spPr bwMode="auto">
        <a:xfrm>
          <a:off x="5314950" y="600075"/>
          <a:ext cx="15621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27</xdr:col>
      <xdr:colOff>257175</xdr:colOff>
      <xdr:row>16</xdr:row>
      <xdr:rowOff>9525</xdr:rowOff>
    </xdr:from>
    <xdr:to>
      <xdr:col>32</xdr:col>
      <xdr:colOff>47625</xdr:colOff>
      <xdr:row>19</xdr:row>
      <xdr:rowOff>0</xdr:rowOff>
    </xdr:to>
    <xdr:sp macro="" textlink="">
      <xdr:nvSpPr>
        <xdr:cNvPr id="3163" name="Text Box 91">
          <a:extLst>
            <a:ext uri="{FF2B5EF4-FFF2-40B4-BE49-F238E27FC236}">
              <a16:creationId xmlns:a16="http://schemas.microsoft.com/office/drawing/2014/main" id="{00000000-0008-0000-0000-00005B0C0000}"/>
            </a:ext>
          </a:extLst>
        </xdr:cNvPr>
        <xdr:cNvSpPr txBox="1">
          <a:spLocks noChangeArrowheads="1"/>
        </xdr:cNvSpPr>
      </xdr:nvSpPr>
      <xdr:spPr bwMode="auto">
        <a:xfrm>
          <a:off x="9505950" y="3190875"/>
          <a:ext cx="2219325" cy="533400"/>
        </a:xfrm>
        <a:prstGeom prst="rect">
          <a:avLst/>
        </a:prstGeom>
        <a:solidFill>
          <a:srgbClr val="FFFFFF"/>
        </a:solidFill>
        <a:ln w="9525">
          <a:solidFill>
            <a:srgbClr val="FF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fr-FR" sz="1000" b="0" i="0" u="none" strike="noStrike" baseline="0">
              <a:solidFill>
                <a:srgbClr val="FF0000"/>
              </a:solidFill>
              <a:latin typeface="Arial"/>
              <a:cs typeface="Arial"/>
            </a:rPr>
            <a:t>Saisir la lecture boitier dans ces colonnes</a:t>
          </a:r>
        </a:p>
      </xdr:txBody>
    </xdr:sp>
    <xdr:clientData fPrintsWithSheet="0"/>
  </xdr:twoCellAnchor>
  <xdr:twoCellAnchor>
    <xdr:from>
      <xdr:col>27</xdr:col>
      <xdr:colOff>209550</xdr:colOff>
      <xdr:row>18</xdr:row>
      <xdr:rowOff>142875</xdr:rowOff>
    </xdr:from>
    <xdr:to>
      <xdr:col>27</xdr:col>
      <xdr:colOff>266700</xdr:colOff>
      <xdr:row>22</xdr:row>
      <xdr:rowOff>152400</xdr:rowOff>
    </xdr:to>
    <xdr:sp macro="" textlink="">
      <xdr:nvSpPr>
        <xdr:cNvPr id="3260" name="Line 92">
          <a:extLst>
            <a:ext uri="{FF2B5EF4-FFF2-40B4-BE49-F238E27FC236}">
              <a16:creationId xmlns:a16="http://schemas.microsoft.com/office/drawing/2014/main" id="{00000000-0008-0000-0000-0000BC0C0000}"/>
            </a:ext>
          </a:extLst>
        </xdr:cNvPr>
        <xdr:cNvSpPr>
          <a:spLocks noChangeShapeType="1"/>
        </xdr:cNvSpPr>
      </xdr:nvSpPr>
      <xdr:spPr bwMode="auto">
        <a:xfrm flipV="1">
          <a:off x="9458325" y="3705225"/>
          <a:ext cx="57150" cy="704850"/>
        </a:xfrm>
        <a:prstGeom prst="line">
          <a:avLst/>
        </a:prstGeom>
        <a:noFill/>
        <a:ln w="9525">
          <a:solidFill>
            <a:srgbClr val="FF0000"/>
          </a:solidFill>
          <a:round/>
          <a:headEnd type="triangle" w="med" len="med"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PrintsWithSheet="0"/>
  </xdr:twoCellAnchor>
  <xdr:twoCellAnchor>
    <xdr:from>
      <xdr:col>28</xdr:col>
      <xdr:colOff>228600</xdr:colOff>
      <xdr:row>18</xdr:row>
      <xdr:rowOff>152400</xdr:rowOff>
    </xdr:from>
    <xdr:to>
      <xdr:col>28</xdr:col>
      <xdr:colOff>285750</xdr:colOff>
      <xdr:row>22</xdr:row>
      <xdr:rowOff>161925</xdr:rowOff>
    </xdr:to>
    <xdr:sp macro="" textlink="">
      <xdr:nvSpPr>
        <xdr:cNvPr id="3261" name="Line 97">
          <a:extLst>
            <a:ext uri="{FF2B5EF4-FFF2-40B4-BE49-F238E27FC236}">
              <a16:creationId xmlns:a16="http://schemas.microsoft.com/office/drawing/2014/main" id="{00000000-0008-0000-0000-0000BD0C0000}"/>
            </a:ext>
          </a:extLst>
        </xdr:cNvPr>
        <xdr:cNvSpPr>
          <a:spLocks noChangeShapeType="1"/>
        </xdr:cNvSpPr>
      </xdr:nvSpPr>
      <xdr:spPr bwMode="auto">
        <a:xfrm flipV="1">
          <a:off x="9963150" y="3714750"/>
          <a:ext cx="57150" cy="704850"/>
        </a:xfrm>
        <a:prstGeom prst="line">
          <a:avLst/>
        </a:prstGeom>
        <a:noFill/>
        <a:ln w="9525">
          <a:solidFill>
            <a:srgbClr val="FF0000"/>
          </a:solidFill>
          <a:round/>
          <a:headEnd type="triangle" w="med" len="med"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PrintsWithSheet="0"/>
  </xdr:twoCellAnchor>
  <xdr:twoCellAnchor>
    <xdr:from>
      <xdr:col>29</xdr:col>
      <xdr:colOff>200025</xdr:colOff>
      <xdr:row>19</xdr:row>
      <xdr:rowOff>0</xdr:rowOff>
    </xdr:from>
    <xdr:to>
      <xdr:col>29</xdr:col>
      <xdr:colOff>257175</xdr:colOff>
      <xdr:row>22</xdr:row>
      <xdr:rowOff>171450</xdr:rowOff>
    </xdr:to>
    <xdr:sp macro="" textlink="">
      <xdr:nvSpPr>
        <xdr:cNvPr id="3262" name="Line 98">
          <a:extLst>
            <a:ext uri="{FF2B5EF4-FFF2-40B4-BE49-F238E27FC236}">
              <a16:creationId xmlns:a16="http://schemas.microsoft.com/office/drawing/2014/main" id="{00000000-0008-0000-0000-0000BE0C0000}"/>
            </a:ext>
          </a:extLst>
        </xdr:cNvPr>
        <xdr:cNvSpPr>
          <a:spLocks noChangeShapeType="1"/>
        </xdr:cNvSpPr>
      </xdr:nvSpPr>
      <xdr:spPr bwMode="auto">
        <a:xfrm flipV="1">
          <a:off x="10420350" y="3724275"/>
          <a:ext cx="57150" cy="704850"/>
        </a:xfrm>
        <a:prstGeom prst="line">
          <a:avLst/>
        </a:prstGeom>
        <a:noFill/>
        <a:ln w="9525">
          <a:solidFill>
            <a:srgbClr val="FF0000"/>
          </a:solidFill>
          <a:round/>
          <a:headEnd type="triangle" w="med" len="med"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PrintsWithSheet="0"/>
  </xdr:twoCellAnchor>
  <xdr:twoCellAnchor>
    <xdr:from>
      <xdr:col>30</xdr:col>
      <xdr:colOff>219075</xdr:colOff>
      <xdr:row>19</xdr:row>
      <xdr:rowOff>0</xdr:rowOff>
    </xdr:from>
    <xdr:to>
      <xdr:col>30</xdr:col>
      <xdr:colOff>276225</xdr:colOff>
      <xdr:row>22</xdr:row>
      <xdr:rowOff>171450</xdr:rowOff>
    </xdr:to>
    <xdr:sp macro="" textlink="">
      <xdr:nvSpPr>
        <xdr:cNvPr id="3263" name="Line 99">
          <a:extLst>
            <a:ext uri="{FF2B5EF4-FFF2-40B4-BE49-F238E27FC236}">
              <a16:creationId xmlns:a16="http://schemas.microsoft.com/office/drawing/2014/main" id="{00000000-0008-0000-0000-0000BF0C0000}"/>
            </a:ext>
          </a:extLst>
        </xdr:cNvPr>
        <xdr:cNvSpPr>
          <a:spLocks noChangeShapeType="1"/>
        </xdr:cNvSpPr>
      </xdr:nvSpPr>
      <xdr:spPr bwMode="auto">
        <a:xfrm flipV="1">
          <a:off x="10925175" y="3724275"/>
          <a:ext cx="57150" cy="704850"/>
        </a:xfrm>
        <a:prstGeom prst="line">
          <a:avLst/>
        </a:prstGeom>
        <a:noFill/>
        <a:ln w="9525">
          <a:solidFill>
            <a:srgbClr val="FF0000"/>
          </a:solidFill>
          <a:round/>
          <a:headEnd type="triangle" w="med" len="med"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76200</xdr:colOff>
          <xdr:row>9</xdr:row>
          <xdr:rowOff>175260</xdr:rowOff>
        </xdr:from>
        <xdr:to>
          <xdr:col>19</xdr:col>
          <xdr:colOff>38100</xdr:colOff>
          <xdr:row>11</xdr:row>
          <xdr:rowOff>19050</xdr:rowOff>
        </xdr:to>
        <xdr:sp macro="" textlink="">
          <xdr:nvSpPr>
            <xdr:cNvPr id="3175" name="Check Box 103" hidden="1">
              <a:extLst>
                <a:ext uri="{63B3BB69-23CF-44E3-9099-C40C66FF867C}">
                  <a14:compatExt spid="_x0000_s3175"/>
                </a:ext>
                <a:ext uri="{FF2B5EF4-FFF2-40B4-BE49-F238E27FC236}">
                  <a16:creationId xmlns:a16="http://schemas.microsoft.com/office/drawing/2014/main" id="{00000000-0008-0000-0000-00006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76200</xdr:colOff>
          <xdr:row>9</xdr:row>
          <xdr:rowOff>175260</xdr:rowOff>
        </xdr:from>
        <xdr:to>
          <xdr:col>22</xdr:col>
          <xdr:colOff>38100</xdr:colOff>
          <xdr:row>11</xdr:row>
          <xdr:rowOff>19050</xdr:rowOff>
        </xdr:to>
        <xdr:sp macro="" textlink="">
          <xdr:nvSpPr>
            <xdr:cNvPr id="3176" name="Check Box 104" hidden="1">
              <a:extLst>
                <a:ext uri="{63B3BB69-23CF-44E3-9099-C40C66FF867C}">
                  <a14:compatExt spid="_x0000_s3176"/>
                </a:ext>
                <a:ext uri="{FF2B5EF4-FFF2-40B4-BE49-F238E27FC236}">
                  <a16:creationId xmlns:a16="http://schemas.microsoft.com/office/drawing/2014/main" id="{00000000-0008-0000-0000-00006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59</xdr:row>
          <xdr:rowOff>0</xdr:rowOff>
        </xdr:from>
        <xdr:to>
          <xdr:col>30</xdr:col>
          <xdr:colOff>20955</xdr:colOff>
          <xdr:row>61</xdr:row>
          <xdr:rowOff>38100</xdr:rowOff>
        </xdr:to>
        <xdr:sp macro="" textlink="">
          <xdr:nvSpPr>
            <xdr:cNvPr id="3180" name="Signature" hidden="1">
              <a:extLst>
                <a:ext uri="{63B3BB69-23CF-44E3-9099-C40C66FF867C}">
                  <a14:compatExt spid="_x0000_s3180"/>
                </a:ext>
                <a:ext uri="{FF2B5EF4-FFF2-40B4-BE49-F238E27FC236}">
                  <a16:creationId xmlns:a16="http://schemas.microsoft.com/office/drawing/2014/main" id="{00000000-0008-0000-0000-00006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47625</xdr:colOff>
      <xdr:row>2</xdr:row>
      <xdr:rowOff>0</xdr:rowOff>
    </xdr:from>
    <xdr:to>
      <xdr:col>4</xdr:col>
      <xdr:colOff>320040</xdr:colOff>
      <xdr:row>4</xdr:row>
      <xdr:rowOff>0</xdr:rowOff>
    </xdr:to>
    <xdr:pic>
      <xdr:nvPicPr>
        <xdr:cNvPr id="18" name="Image 1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0525" y="323850"/>
          <a:ext cx="1295400" cy="323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104775</xdr:colOff>
      <xdr:row>53</xdr:row>
      <xdr:rowOff>0</xdr:rowOff>
    </xdr:from>
    <xdr:to>
      <xdr:col>22</xdr:col>
      <xdr:colOff>104775</xdr:colOff>
      <xdr:row>53</xdr:row>
      <xdr:rowOff>0</xdr:rowOff>
    </xdr:to>
    <xdr:sp macro="" textlink="">
      <xdr:nvSpPr>
        <xdr:cNvPr id="6214" name="Line 35">
          <a:extLst>
            <a:ext uri="{FF2B5EF4-FFF2-40B4-BE49-F238E27FC236}">
              <a16:creationId xmlns:a16="http://schemas.microsoft.com/office/drawing/2014/main" id="{00000000-0008-0000-0100-000046180000}"/>
            </a:ext>
          </a:extLst>
        </xdr:cNvPr>
        <xdr:cNvSpPr>
          <a:spLocks noChangeShapeType="1"/>
        </xdr:cNvSpPr>
      </xdr:nvSpPr>
      <xdr:spPr bwMode="auto">
        <a:xfrm>
          <a:off x="7648575" y="11715750"/>
          <a:ext cx="0" cy="0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27</xdr:col>
      <xdr:colOff>257175</xdr:colOff>
      <xdr:row>16</xdr:row>
      <xdr:rowOff>9525</xdr:rowOff>
    </xdr:from>
    <xdr:to>
      <xdr:col>32</xdr:col>
      <xdr:colOff>47625</xdr:colOff>
      <xdr:row>19</xdr:row>
      <xdr:rowOff>0</xdr:rowOff>
    </xdr:to>
    <xdr:sp macro="" textlink="">
      <xdr:nvSpPr>
        <xdr:cNvPr id="16" name="Text Box 91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 txBox="1">
          <a:spLocks noChangeArrowheads="1"/>
        </xdr:cNvSpPr>
      </xdr:nvSpPr>
      <xdr:spPr bwMode="auto">
        <a:xfrm>
          <a:off x="20831175" y="3067050"/>
          <a:ext cx="3600450" cy="476250"/>
        </a:xfrm>
        <a:prstGeom prst="rect">
          <a:avLst/>
        </a:prstGeom>
        <a:solidFill>
          <a:srgbClr val="FFFFFF"/>
        </a:solidFill>
        <a:ln w="9525">
          <a:solidFill>
            <a:srgbClr val="FF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fr-FR" sz="1000" b="0" i="0" u="none" strike="noStrike" baseline="0">
              <a:solidFill>
                <a:srgbClr val="FF0000"/>
              </a:solidFill>
              <a:latin typeface="Arial"/>
              <a:cs typeface="Arial"/>
            </a:rPr>
            <a:t>Saisir la lecture boitier dans ces colonnes</a:t>
          </a:r>
        </a:p>
      </xdr:txBody>
    </xdr:sp>
    <xdr:clientData fPrintsWithSheet="0"/>
  </xdr:twoCellAnchor>
  <xdr:twoCellAnchor>
    <xdr:from>
      <xdr:col>27</xdr:col>
      <xdr:colOff>209550</xdr:colOff>
      <xdr:row>18</xdr:row>
      <xdr:rowOff>142875</xdr:rowOff>
    </xdr:from>
    <xdr:to>
      <xdr:col>27</xdr:col>
      <xdr:colOff>266700</xdr:colOff>
      <xdr:row>22</xdr:row>
      <xdr:rowOff>152400</xdr:rowOff>
    </xdr:to>
    <xdr:sp macro="" textlink="">
      <xdr:nvSpPr>
        <xdr:cNvPr id="6229" name="Line 92">
          <a:extLst>
            <a:ext uri="{FF2B5EF4-FFF2-40B4-BE49-F238E27FC236}">
              <a16:creationId xmlns:a16="http://schemas.microsoft.com/office/drawing/2014/main" id="{00000000-0008-0000-0100-000055180000}"/>
            </a:ext>
          </a:extLst>
        </xdr:cNvPr>
        <xdr:cNvSpPr>
          <a:spLocks noChangeShapeType="1"/>
        </xdr:cNvSpPr>
      </xdr:nvSpPr>
      <xdr:spPr bwMode="auto">
        <a:xfrm flipV="1">
          <a:off x="9458325" y="3695700"/>
          <a:ext cx="57150" cy="704850"/>
        </a:xfrm>
        <a:prstGeom prst="line">
          <a:avLst/>
        </a:prstGeom>
        <a:noFill/>
        <a:ln w="9525">
          <a:solidFill>
            <a:srgbClr val="FF0000"/>
          </a:solidFill>
          <a:round/>
          <a:headEnd type="triangle" w="med" len="med"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PrintsWithSheet="0"/>
  </xdr:twoCellAnchor>
  <xdr:twoCellAnchor>
    <xdr:from>
      <xdr:col>28</xdr:col>
      <xdr:colOff>228600</xdr:colOff>
      <xdr:row>18</xdr:row>
      <xdr:rowOff>152400</xdr:rowOff>
    </xdr:from>
    <xdr:to>
      <xdr:col>28</xdr:col>
      <xdr:colOff>295275</xdr:colOff>
      <xdr:row>22</xdr:row>
      <xdr:rowOff>161925</xdr:rowOff>
    </xdr:to>
    <xdr:sp macro="" textlink="">
      <xdr:nvSpPr>
        <xdr:cNvPr id="6231" name="Line 97">
          <a:extLst>
            <a:ext uri="{FF2B5EF4-FFF2-40B4-BE49-F238E27FC236}">
              <a16:creationId xmlns:a16="http://schemas.microsoft.com/office/drawing/2014/main" id="{00000000-0008-0000-0100-000057180000}"/>
            </a:ext>
          </a:extLst>
        </xdr:cNvPr>
        <xdr:cNvSpPr>
          <a:spLocks noChangeShapeType="1"/>
        </xdr:cNvSpPr>
      </xdr:nvSpPr>
      <xdr:spPr bwMode="auto">
        <a:xfrm flipV="1">
          <a:off x="9963150" y="3705225"/>
          <a:ext cx="66675" cy="704850"/>
        </a:xfrm>
        <a:prstGeom prst="line">
          <a:avLst/>
        </a:prstGeom>
        <a:noFill/>
        <a:ln w="9525">
          <a:solidFill>
            <a:srgbClr val="FF0000"/>
          </a:solidFill>
          <a:round/>
          <a:headEnd type="triangle" w="med" len="med"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PrintsWithSheet="0"/>
  </xdr:twoCellAnchor>
  <xdr:twoCellAnchor>
    <xdr:from>
      <xdr:col>29</xdr:col>
      <xdr:colOff>257175</xdr:colOff>
      <xdr:row>19</xdr:row>
      <xdr:rowOff>0</xdr:rowOff>
    </xdr:from>
    <xdr:to>
      <xdr:col>29</xdr:col>
      <xdr:colOff>314325</xdr:colOff>
      <xdr:row>22</xdr:row>
      <xdr:rowOff>171450</xdr:rowOff>
    </xdr:to>
    <xdr:sp macro="" textlink="">
      <xdr:nvSpPr>
        <xdr:cNvPr id="6232" name="Line 98">
          <a:extLst>
            <a:ext uri="{FF2B5EF4-FFF2-40B4-BE49-F238E27FC236}">
              <a16:creationId xmlns:a16="http://schemas.microsoft.com/office/drawing/2014/main" id="{00000000-0008-0000-0100-000058180000}"/>
            </a:ext>
          </a:extLst>
        </xdr:cNvPr>
        <xdr:cNvSpPr>
          <a:spLocks noChangeShapeType="1"/>
        </xdr:cNvSpPr>
      </xdr:nvSpPr>
      <xdr:spPr bwMode="auto">
        <a:xfrm flipV="1">
          <a:off x="10477500" y="3714750"/>
          <a:ext cx="57150" cy="704850"/>
        </a:xfrm>
        <a:prstGeom prst="line">
          <a:avLst/>
        </a:prstGeom>
        <a:noFill/>
        <a:ln w="9525">
          <a:solidFill>
            <a:srgbClr val="FF0000"/>
          </a:solidFill>
          <a:round/>
          <a:headEnd type="triangle" w="med" len="med"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PrintsWithSheet="0"/>
  </xdr:twoCellAnchor>
  <xdr:twoCellAnchor>
    <xdr:from>
      <xdr:col>30</xdr:col>
      <xdr:colOff>228600</xdr:colOff>
      <xdr:row>19</xdr:row>
      <xdr:rowOff>19050</xdr:rowOff>
    </xdr:from>
    <xdr:to>
      <xdr:col>30</xdr:col>
      <xdr:colOff>285750</xdr:colOff>
      <xdr:row>23</xdr:row>
      <xdr:rowOff>0</xdr:rowOff>
    </xdr:to>
    <xdr:sp macro="" textlink="">
      <xdr:nvSpPr>
        <xdr:cNvPr id="6233" name="Line 99">
          <a:extLst>
            <a:ext uri="{FF2B5EF4-FFF2-40B4-BE49-F238E27FC236}">
              <a16:creationId xmlns:a16="http://schemas.microsoft.com/office/drawing/2014/main" id="{00000000-0008-0000-0100-000059180000}"/>
            </a:ext>
          </a:extLst>
        </xdr:cNvPr>
        <xdr:cNvSpPr>
          <a:spLocks noChangeShapeType="1"/>
        </xdr:cNvSpPr>
      </xdr:nvSpPr>
      <xdr:spPr bwMode="auto">
        <a:xfrm flipV="1">
          <a:off x="10934700" y="3733800"/>
          <a:ext cx="57150" cy="704850"/>
        </a:xfrm>
        <a:prstGeom prst="line">
          <a:avLst/>
        </a:prstGeom>
        <a:noFill/>
        <a:ln w="9525">
          <a:solidFill>
            <a:srgbClr val="FF0000"/>
          </a:solidFill>
          <a:round/>
          <a:headEnd type="triangle" w="med" len="med"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76200</xdr:colOff>
          <xdr:row>9</xdr:row>
          <xdr:rowOff>175260</xdr:rowOff>
        </xdr:from>
        <xdr:to>
          <xdr:col>19</xdr:col>
          <xdr:colOff>38100</xdr:colOff>
          <xdr:row>11</xdr:row>
          <xdr:rowOff>7620</xdr:rowOff>
        </xdr:to>
        <xdr:sp macro="" textlink="">
          <xdr:nvSpPr>
            <xdr:cNvPr id="6145" name="Check Box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68580</xdr:colOff>
          <xdr:row>9</xdr:row>
          <xdr:rowOff>175260</xdr:rowOff>
        </xdr:from>
        <xdr:to>
          <xdr:col>22</xdr:col>
          <xdr:colOff>30480</xdr:colOff>
          <xdr:row>11</xdr:row>
          <xdr:rowOff>7620</xdr:rowOff>
        </xdr:to>
        <xdr:sp macro="" textlink="">
          <xdr:nvSpPr>
            <xdr:cNvPr id="6146" name="Check Box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106680</xdr:colOff>
          <xdr:row>56</xdr:row>
          <xdr:rowOff>7620</xdr:rowOff>
        </xdr:from>
        <xdr:to>
          <xdr:col>1</xdr:col>
          <xdr:colOff>68580</xdr:colOff>
          <xdr:row>57</xdr:row>
          <xdr:rowOff>45720</xdr:rowOff>
        </xdr:to>
        <xdr:sp macro="" textlink="">
          <xdr:nvSpPr>
            <xdr:cNvPr id="6147" name="Check Box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1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</xdr:colOff>
          <xdr:row>55</xdr:row>
          <xdr:rowOff>327660</xdr:rowOff>
        </xdr:from>
        <xdr:to>
          <xdr:col>6</xdr:col>
          <xdr:colOff>312420</xdr:colOff>
          <xdr:row>57</xdr:row>
          <xdr:rowOff>0</xdr:rowOff>
        </xdr:to>
        <xdr:sp macro="" textlink="">
          <xdr:nvSpPr>
            <xdr:cNvPr id="6148" name="Check Box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1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114300</xdr:colOff>
          <xdr:row>56</xdr:row>
          <xdr:rowOff>0</xdr:rowOff>
        </xdr:from>
        <xdr:to>
          <xdr:col>12</xdr:col>
          <xdr:colOff>76200</xdr:colOff>
          <xdr:row>57</xdr:row>
          <xdr:rowOff>38100</xdr:rowOff>
        </xdr:to>
        <xdr:sp macro="" textlink="">
          <xdr:nvSpPr>
            <xdr:cNvPr id="6149" name="Check Box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1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61</xdr:row>
          <xdr:rowOff>0</xdr:rowOff>
        </xdr:from>
        <xdr:to>
          <xdr:col>30</xdr:col>
          <xdr:colOff>22860</xdr:colOff>
          <xdr:row>63</xdr:row>
          <xdr:rowOff>22860</xdr:rowOff>
        </xdr:to>
        <xdr:sp macro="" textlink="">
          <xdr:nvSpPr>
            <xdr:cNvPr id="6150" name="Signature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1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28575</xdr:colOff>
      <xdr:row>1</xdr:row>
      <xdr:rowOff>133350</xdr:rowOff>
    </xdr:from>
    <xdr:to>
      <xdr:col>4</xdr:col>
      <xdr:colOff>295275</xdr:colOff>
      <xdr:row>3</xdr:row>
      <xdr:rowOff>133350</xdr:rowOff>
    </xdr:to>
    <xdr:pic>
      <xdr:nvPicPr>
        <xdr:cNvPr id="15" name="Image 1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1475" y="295275"/>
          <a:ext cx="1295400" cy="323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image" Target="../media/image3.emf"/><Relationship Id="rId10" Type="http://schemas.openxmlformats.org/officeDocument/2006/relationships/ctrlProp" Target="../ctrlProps/ctrlProp7.xml"/><Relationship Id="rId4" Type="http://schemas.openxmlformats.org/officeDocument/2006/relationships/control" Target="../activeX/activeX2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AX62"/>
  <sheetViews>
    <sheetView tabSelected="1" workbookViewId="0">
      <selection activeCell="N19" sqref="N19"/>
    </sheetView>
  </sheetViews>
  <sheetFormatPr baseColWidth="10" defaultColWidth="11.44140625" defaultRowHeight="13.2" x14ac:dyDescent="0.25"/>
  <cols>
    <col min="1" max="26" width="5.109375" style="1" customWidth="1"/>
    <col min="27" max="27" width="5" style="1" customWidth="1"/>
    <col min="28" max="34" width="7.33203125" style="1" customWidth="1"/>
    <col min="35" max="16384" width="11.44140625" style="1"/>
  </cols>
  <sheetData>
    <row r="1" spans="1:50" ht="12.75" customHeight="1" x14ac:dyDescent="0.25">
      <c r="A1" s="199"/>
      <c r="B1" s="200"/>
      <c r="C1" s="200"/>
      <c r="D1" s="200"/>
      <c r="E1" s="200"/>
      <c r="F1" s="201"/>
      <c r="G1" s="131" t="s">
        <v>57</v>
      </c>
      <c r="H1" s="132"/>
      <c r="I1" s="132"/>
      <c r="J1" s="132"/>
      <c r="K1" s="132"/>
      <c r="L1" s="132"/>
      <c r="M1" s="132"/>
      <c r="N1" s="132"/>
      <c r="O1" s="132"/>
      <c r="P1" s="132"/>
      <c r="Q1" s="132"/>
      <c r="R1" s="132"/>
      <c r="S1" s="132"/>
      <c r="T1" s="133"/>
      <c r="U1" s="265"/>
      <c r="V1" s="266"/>
      <c r="W1" s="266"/>
      <c r="X1" s="266"/>
      <c r="Y1" s="266"/>
      <c r="Z1" s="267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</row>
    <row r="2" spans="1:50" ht="12.75" customHeight="1" x14ac:dyDescent="0.25">
      <c r="A2" s="202"/>
      <c r="B2" s="203"/>
      <c r="C2" s="203"/>
      <c r="D2" s="203"/>
      <c r="E2" s="203"/>
      <c r="F2" s="204"/>
      <c r="G2" s="217" t="s">
        <v>58</v>
      </c>
      <c r="H2" s="218"/>
      <c r="I2" s="218"/>
      <c r="J2" s="218"/>
      <c r="K2" s="218"/>
      <c r="L2" s="218"/>
      <c r="M2" s="218"/>
      <c r="N2" s="218"/>
      <c r="O2" s="218"/>
      <c r="P2" s="218"/>
      <c r="Q2" s="218"/>
      <c r="R2" s="218"/>
      <c r="S2" s="218"/>
      <c r="T2" s="219"/>
      <c r="U2" s="268"/>
      <c r="V2" s="269"/>
      <c r="W2" s="269"/>
      <c r="X2" s="269"/>
      <c r="Y2" s="269"/>
      <c r="Z2" s="270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</row>
    <row r="3" spans="1:50" ht="12.75" customHeight="1" x14ac:dyDescent="0.25">
      <c r="A3" s="202"/>
      <c r="B3" s="203"/>
      <c r="C3" s="203"/>
      <c r="D3" s="203"/>
      <c r="E3" s="203"/>
      <c r="F3" s="204"/>
      <c r="G3" s="217"/>
      <c r="H3" s="218"/>
      <c r="I3" s="218"/>
      <c r="J3" s="218"/>
      <c r="K3" s="218"/>
      <c r="L3" s="218"/>
      <c r="M3" s="218"/>
      <c r="N3" s="218"/>
      <c r="O3" s="218"/>
      <c r="P3" s="218"/>
      <c r="Q3" s="218"/>
      <c r="R3" s="218"/>
      <c r="S3" s="218"/>
      <c r="T3" s="219"/>
      <c r="U3" s="268"/>
      <c r="V3" s="269"/>
      <c r="W3" s="269"/>
      <c r="X3" s="269"/>
      <c r="Y3" s="269"/>
      <c r="Z3" s="270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</row>
    <row r="4" spans="1:50" ht="12.75" customHeight="1" x14ac:dyDescent="0.25">
      <c r="A4" s="202"/>
      <c r="B4" s="203"/>
      <c r="C4" s="203"/>
      <c r="D4" s="203"/>
      <c r="E4" s="203"/>
      <c r="F4" s="204"/>
      <c r="G4" s="217"/>
      <c r="H4" s="218"/>
      <c r="I4" s="218"/>
      <c r="J4" s="218"/>
      <c r="K4" s="218"/>
      <c r="L4" s="218"/>
      <c r="M4" s="218"/>
      <c r="N4" s="218"/>
      <c r="O4" s="218"/>
      <c r="P4" s="218"/>
      <c r="Q4" s="218"/>
      <c r="R4" s="218"/>
      <c r="S4" s="218"/>
      <c r="T4" s="219"/>
      <c r="U4" s="268"/>
      <c r="V4" s="269"/>
      <c r="W4" s="269"/>
      <c r="X4" s="269"/>
      <c r="Y4" s="269"/>
      <c r="Z4" s="270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</row>
    <row r="5" spans="1:50" ht="12.75" customHeight="1" x14ac:dyDescent="0.25">
      <c r="A5" s="202"/>
      <c r="B5" s="203"/>
      <c r="C5" s="203"/>
      <c r="D5" s="203"/>
      <c r="E5" s="203"/>
      <c r="F5" s="204"/>
      <c r="G5" s="220" t="s">
        <v>69</v>
      </c>
      <c r="H5" s="221"/>
      <c r="I5" s="3" t="s">
        <v>59</v>
      </c>
      <c r="J5" s="257"/>
      <c r="K5" s="258"/>
      <c r="L5" s="259"/>
      <c r="M5" s="260"/>
      <c r="N5" s="260"/>
      <c r="O5" s="261"/>
      <c r="P5" s="262"/>
      <c r="Q5" s="263"/>
      <c r="R5" s="263"/>
      <c r="S5" s="263"/>
      <c r="T5" s="264"/>
      <c r="U5" s="268"/>
      <c r="V5" s="269"/>
      <c r="W5" s="269"/>
      <c r="X5" s="269"/>
      <c r="Y5" s="269"/>
      <c r="Z5" s="270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</row>
    <row r="6" spans="1:50" ht="12.75" customHeight="1" x14ac:dyDescent="0.25">
      <c r="A6" s="205"/>
      <c r="B6" s="206"/>
      <c r="C6" s="206"/>
      <c r="D6" s="206"/>
      <c r="E6" s="206"/>
      <c r="F6" s="207"/>
      <c r="G6" s="4"/>
      <c r="H6" s="5"/>
      <c r="I6" s="5"/>
      <c r="J6" s="230" t="s">
        <v>60</v>
      </c>
      <c r="K6" s="230"/>
      <c r="L6" s="230" t="s">
        <v>61</v>
      </c>
      <c r="M6" s="230"/>
      <c r="N6" s="230"/>
      <c r="O6" s="230"/>
      <c r="P6" s="230" t="s">
        <v>62</v>
      </c>
      <c r="Q6" s="230"/>
      <c r="R6" s="230"/>
      <c r="S6" s="230"/>
      <c r="T6" s="231"/>
      <c r="U6" s="271"/>
      <c r="V6" s="272"/>
      <c r="W6" s="272"/>
      <c r="X6" s="272"/>
      <c r="Y6" s="272"/>
      <c r="Z6" s="273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</row>
    <row r="7" spans="1:50" s="6" customFormat="1" ht="36.75" customHeight="1" x14ac:dyDescent="0.25">
      <c r="A7" s="214" t="s">
        <v>37</v>
      </c>
      <c r="B7" s="214"/>
      <c r="C7" s="214"/>
      <c r="D7" s="214"/>
      <c r="E7" s="214"/>
      <c r="F7" s="214"/>
      <c r="G7" s="215" t="s">
        <v>43</v>
      </c>
      <c r="H7" s="215"/>
      <c r="I7" s="215"/>
      <c r="J7" s="215"/>
      <c r="K7" s="215"/>
      <c r="L7" s="215"/>
      <c r="M7" s="215"/>
      <c r="N7" s="215"/>
      <c r="O7" s="215"/>
      <c r="P7" s="215"/>
      <c r="Q7" s="215"/>
      <c r="R7" s="215"/>
      <c r="S7" s="215"/>
      <c r="T7" s="215"/>
      <c r="U7" s="215"/>
      <c r="V7" s="215"/>
      <c r="W7" s="215"/>
      <c r="X7" s="215"/>
      <c r="Y7" s="215"/>
      <c r="Z7" s="215"/>
      <c r="AB7" s="7"/>
      <c r="AC7" s="7"/>
      <c r="AD7" s="7"/>
      <c r="AE7" s="7"/>
      <c r="AF7" s="7"/>
      <c r="AG7" s="7"/>
      <c r="AH7" s="7"/>
      <c r="AI7" s="7"/>
      <c r="AJ7" s="7"/>
      <c r="AK7" s="7"/>
      <c r="AL7" s="7"/>
      <c r="AM7" s="7"/>
      <c r="AN7" s="7"/>
      <c r="AO7" s="7"/>
      <c r="AP7" s="7"/>
      <c r="AQ7" s="7"/>
      <c r="AR7" s="7"/>
      <c r="AS7" s="7"/>
      <c r="AT7" s="7"/>
      <c r="AU7" s="7"/>
      <c r="AV7" s="7"/>
      <c r="AW7" s="7"/>
      <c r="AX7" s="7"/>
    </row>
    <row r="8" spans="1:50" ht="15.6" customHeight="1" x14ac:dyDescent="0.25">
      <c r="A8" s="8" t="s">
        <v>0</v>
      </c>
      <c r="B8" s="9" t="s">
        <v>1</v>
      </c>
      <c r="C8" s="10"/>
      <c r="D8" s="11"/>
      <c r="E8" s="11"/>
      <c r="F8" s="11"/>
      <c r="G8" s="11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  <c r="Y8" s="12"/>
      <c r="Z8" s="13"/>
    </row>
    <row r="9" spans="1:50" ht="9" customHeight="1" x14ac:dyDescent="0.25">
      <c r="A9" s="14"/>
      <c r="B9" s="15"/>
      <c r="C9" s="15"/>
      <c r="D9" s="16"/>
      <c r="E9" s="16"/>
      <c r="F9" s="16"/>
      <c r="G9" s="16"/>
      <c r="H9" s="15"/>
      <c r="I9" s="15"/>
      <c r="J9" s="15"/>
      <c r="K9" s="15"/>
      <c r="L9" s="15"/>
      <c r="M9" s="15"/>
      <c r="N9" s="15"/>
      <c r="O9" s="15"/>
      <c r="P9" s="15"/>
      <c r="Q9" s="15"/>
      <c r="R9" s="15"/>
      <c r="S9" s="15"/>
      <c r="T9" s="15"/>
      <c r="U9" s="15"/>
      <c r="V9" s="15"/>
      <c r="W9" s="15"/>
      <c r="X9" s="15"/>
      <c r="Y9" s="15"/>
      <c r="Z9" s="17"/>
    </row>
    <row r="10" spans="1:50" ht="15" customHeight="1" x14ac:dyDescent="0.25">
      <c r="A10" s="14"/>
      <c r="B10" s="211" t="s">
        <v>33</v>
      </c>
      <c r="C10" s="211"/>
      <c r="D10" s="211"/>
      <c r="E10" s="211"/>
      <c r="F10" s="211"/>
      <c r="G10" s="216"/>
      <c r="H10" s="216"/>
      <c r="I10" s="216"/>
      <c r="J10" s="216"/>
      <c r="K10" s="216"/>
      <c r="L10" s="216"/>
      <c r="M10" s="216"/>
      <c r="N10" s="213" t="s">
        <v>35</v>
      </c>
      <c r="O10" s="213"/>
      <c r="P10" s="213"/>
      <c r="Q10" s="213"/>
      <c r="R10" s="213"/>
      <c r="S10" s="216"/>
      <c r="T10" s="216"/>
      <c r="U10" s="216"/>
      <c r="V10" s="216"/>
      <c r="W10" s="216"/>
      <c r="X10" s="216"/>
      <c r="Y10" s="216"/>
      <c r="Z10" s="18"/>
    </row>
    <row r="11" spans="1:50" ht="15" customHeight="1" x14ac:dyDescent="0.25">
      <c r="A11" s="14"/>
      <c r="B11" s="211" t="s">
        <v>15</v>
      </c>
      <c r="C11" s="211"/>
      <c r="D11" s="211"/>
      <c r="E11" s="211"/>
      <c r="F11" s="211"/>
      <c r="G11" s="212"/>
      <c r="H11" s="212"/>
      <c r="I11" s="212"/>
      <c r="J11" s="212"/>
      <c r="K11" s="212"/>
      <c r="L11" s="212"/>
      <c r="M11" s="212"/>
      <c r="N11" s="213" t="s">
        <v>36</v>
      </c>
      <c r="O11" s="213"/>
      <c r="P11" s="213"/>
      <c r="Q11" s="213"/>
      <c r="R11" s="213"/>
      <c r="S11" s="19"/>
      <c r="T11" s="19" t="s">
        <v>30</v>
      </c>
      <c r="U11" s="19"/>
      <c r="V11" s="19"/>
      <c r="W11" s="19" t="s">
        <v>31</v>
      </c>
      <c r="X11" s="19"/>
      <c r="Y11" s="19"/>
      <c r="Z11" s="20"/>
    </row>
    <row r="12" spans="1:50" ht="15" customHeight="1" x14ac:dyDescent="0.25">
      <c r="A12" s="14"/>
      <c r="B12" s="211" t="s">
        <v>34</v>
      </c>
      <c r="C12" s="211"/>
      <c r="D12" s="211"/>
      <c r="E12" s="211"/>
      <c r="F12" s="211"/>
      <c r="G12" s="216"/>
      <c r="H12" s="216"/>
      <c r="I12" s="216"/>
      <c r="J12" s="216"/>
      <c r="K12" s="216"/>
      <c r="L12" s="216"/>
      <c r="M12" s="216"/>
      <c r="N12" s="21"/>
      <c r="O12" s="21"/>
      <c r="P12" s="21"/>
      <c r="Q12" s="21"/>
      <c r="R12" s="21"/>
      <c r="S12" s="21"/>
      <c r="T12" s="21"/>
      <c r="U12" s="21"/>
      <c r="V12" s="21"/>
      <c r="W12" s="21"/>
      <c r="X12" s="22"/>
      <c r="Y12" s="22"/>
      <c r="Z12" s="18"/>
    </row>
    <row r="13" spans="1:50" ht="9" customHeight="1" x14ac:dyDescent="0.25">
      <c r="A13" s="23"/>
      <c r="B13" s="24"/>
      <c r="C13" s="24"/>
      <c r="D13" s="25"/>
      <c r="E13" s="25"/>
      <c r="F13" s="25"/>
      <c r="G13" s="25"/>
      <c r="H13" s="24"/>
      <c r="I13" s="24"/>
      <c r="J13" s="24"/>
      <c r="K13" s="24"/>
      <c r="L13" s="24"/>
      <c r="M13" s="24"/>
      <c r="N13" s="26"/>
      <c r="O13" s="24"/>
      <c r="P13" s="24"/>
      <c r="Q13" s="24"/>
      <c r="R13" s="24"/>
      <c r="S13" s="24"/>
      <c r="T13" s="24"/>
      <c r="U13" s="24"/>
      <c r="V13" s="24"/>
      <c r="W13" s="24"/>
      <c r="X13" s="24"/>
      <c r="Y13" s="24"/>
      <c r="Z13" s="27"/>
    </row>
    <row r="14" spans="1:50" ht="15" x14ac:dyDescent="0.25">
      <c r="A14" s="28"/>
      <c r="B14" s="29"/>
      <c r="C14" s="29"/>
      <c r="D14" s="28"/>
      <c r="E14" s="28"/>
      <c r="F14" s="28"/>
      <c r="G14" s="28"/>
      <c r="H14" s="28"/>
      <c r="I14" s="28"/>
      <c r="J14" s="28"/>
      <c r="K14" s="30"/>
      <c r="L14" s="29"/>
      <c r="M14" s="31"/>
      <c r="N14" s="28"/>
      <c r="O14" s="28"/>
      <c r="P14" s="28"/>
      <c r="Q14" s="28"/>
      <c r="R14" s="28"/>
      <c r="S14" s="28"/>
      <c r="T14" s="28"/>
      <c r="U14" s="28"/>
      <c r="V14" s="28"/>
      <c r="W14" s="28"/>
      <c r="X14" s="28"/>
      <c r="Y14" s="28"/>
      <c r="Z14" s="28"/>
    </row>
    <row r="15" spans="1:50" ht="15.6" customHeight="1" x14ac:dyDescent="0.25">
      <c r="A15" s="8" t="s">
        <v>2</v>
      </c>
      <c r="B15" s="32" t="s">
        <v>3</v>
      </c>
      <c r="C15" s="12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3"/>
      <c r="AB15" s="33"/>
      <c r="AC15" s="33"/>
      <c r="AD15" s="33"/>
      <c r="AE15" s="33"/>
    </row>
    <row r="16" spans="1:50" ht="15" x14ac:dyDescent="0.25">
      <c r="A16" s="14"/>
      <c r="B16" s="34"/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5"/>
      <c r="P16" s="15"/>
      <c r="Q16" s="15"/>
      <c r="R16" s="15"/>
      <c r="S16" s="15"/>
      <c r="T16" s="15"/>
      <c r="U16" s="15"/>
      <c r="V16" s="15"/>
      <c r="W16" s="15"/>
      <c r="X16" s="15"/>
      <c r="Y16" s="15"/>
      <c r="Z16" s="17"/>
      <c r="AB16" s="33"/>
      <c r="AC16" s="33"/>
      <c r="AD16" s="33"/>
      <c r="AE16" s="33"/>
    </row>
    <row r="17" spans="1:34" ht="15" x14ac:dyDescent="0.25">
      <c r="A17" s="14"/>
      <c r="B17" s="213" t="s">
        <v>4</v>
      </c>
      <c r="C17" s="213"/>
      <c r="D17" s="213"/>
      <c r="E17" s="213"/>
      <c r="F17" s="213"/>
      <c r="G17" s="213"/>
      <c r="H17" s="213"/>
      <c r="I17" s="216"/>
      <c r="J17" s="216"/>
      <c r="K17" s="216"/>
      <c r="L17" s="216"/>
      <c r="M17" s="216"/>
      <c r="N17" s="216"/>
      <c r="O17" s="216"/>
      <c r="P17" s="216"/>
      <c r="Q17" s="216"/>
      <c r="R17" s="216"/>
      <c r="S17" s="216"/>
      <c r="T17" s="216"/>
      <c r="U17" s="216"/>
      <c r="V17" s="216"/>
      <c r="W17" s="216"/>
      <c r="X17" s="216"/>
      <c r="Y17" s="216"/>
      <c r="Z17" s="18"/>
      <c r="AB17" s="33"/>
      <c r="AC17" s="33"/>
      <c r="AD17" s="33"/>
      <c r="AE17" s="33"/>
    </row>
    <row r="18" spans="1:34" ht="15" x14ac:dyDescent="0.25">
      <c r="A18" s="14"/>
      <c r="B18" s="213" t="s">
        <v>5</v>
      </c>
      <c r="C18" s="213"/>
      <c r="D18" s="213"/>
      <c r="E18" s="213"/>
      <c r="F18" s="213"/>
      <c r="G18" s="213"/>
      <c r="H18" s="213"/>
      <c r="I18" s="216"/>
      <c r="J18" s="216"/>
      <c r="K18" s="216"/>
      <c r="L18" s="216"/>
      <c r="M18" s="216"/>
      <c r="N18" s="216"/>
      <c r="O18" s="216"/>
      <c r="P18" s="216"/>
      <c r="Q18" s="216"/>
      <c r="R18" s="216"/>
      <c r="S18" s="216"/>
      <c r="T18" s="216"/>
      <c r="U18" s="216"/>
      <c r="V18" s="216"/>
      <c r="W18" s="216"/>
      <c r="X18" s="216"/>
      <c r="Y18" s="216"/>
      <c r="Z18" s="18"/>
    </row>
    <row r="19" spans="1:34" x14ac:dyDescent="0.25">
      <c r="A19" s="23"/>
      <c r="B19" s="24"/>
      <c r="C19" s="24"/>
      <c r="D19" s="24"/>
      <c r="E19" s="24"/>
      <c r="F19" s="24"/>
      <c r="G19" s="24"/>
      <c r="H19" s="24"/>
      <c r="I19" s="24"/>
      <c r="J19" s="24"/>
      <c r="K19" s="24"/>
      <c r="L19" s="24"/>
      <c r="M19" s="24"/>
      <c r="N19" s="24"/>
      <c r="O19" s="24"/>
      <c r="P19" s="24"/>
      <c r="Q19" s="24"/>
      <c r="R19" s="24"/>
      <c r="S19" s="24"/>
      <c r="T19" s="24"/>
      <c r="U19" s="24"/>
      <c r="V19" s="24"/>
      <c r="W19" s="24"/>
      <c r="X19" s="24"/>
      <c r="Y19" s="24"/>
      <c r="Z19" s="27"/>
    </row>
    <row r="20" spans="1:34" x14ac:dyDescent="0.25">
      <c r="A20" s="28"/>
      <c r="B20" s="28"/>
      <c r="C20" s="35"/>
      <c r="D20" s="28"/>
      <c r="E20" s="28"/>
      <c r="F20" s="28"/>
      <c r="G20" s="28"/>
      <c r="H20" s="28"/>
      <c r="I20" s="28"/>
      <c r="J20" s="28"/>
      <c r="K20" s="28"/>
      <c r="L20" s="28"/>
      <c r="M20" s="28"/>
      <c r="N20" s="28"/>
      <c r="O20" s="28"/>
      <c r="P20" s="28"/>
      <c r="Q20" s="28"/>
      <c r="R20" s="28"/>
      <c r="S20" s="28"/>
      <c r="T20" s="28"/>
      <c r="U20" s="28"/>
      <c r="V20" s="28"/>
      <c r="W20" s="28"/>
      <c r="X20" s="28"/>
      <c r="Y20" s="28"/>
      <c r="Z20" s="28"/>
    </row>
    <row r="21" spans="1:34" ht="15.6" customHeight="1" x14ac:dyDescent="0.25">
      <c r="A21" s="8" t="s">
        <v>6</v>
      </c>
      <c r="B21" s="9" t="s">
        <v>7</v>
      </c>
      <c r="C21" s="12"/>
      <c r="D21" s="11"/>
      <c r="E21" s="11"/>
      <c r="F21" s="11"/>
      <c r="G21" s="11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3"/>
    </row>
    <row r="22" spans="1:34" ht="13.8" thickBot="1" x14ac:dyDescent="0.3">
      <c r="A22" s="36"/>
      <c r="B22" s="37"/>
      <c r="C22" s="37"/>
      <c r="D22" s="37"/>
      <c r="E22" s="37"/>
      <c r="F22" s="37"/>
      <c r="G22" s="37"/>
      <c r="H22" s="37"/>
      <c r="I22" s="37"/>
      <c r="J22" s="37"/>
      <c r="K22" s="37"/>
      <c r="L22" s="37"/>
      <c r="M22" s="37"/>
      <c r="N22" s="37"/>
      <c r="O22" s="37"/>
      <c r="P22" s="37"/>
      <c r="Q22" s="37"/>
      <c r="R22" s="37"/>
      <c r="S22" s="37"/>
      <c r="T22" s="37"/>
      <c r="U22" s="37"/>
      <c r="V22" s="37"/>
      <c r="W22" s="37"/>
      <c r="X22" s="37"/>
      <c r="Y22" s="37"/>
      <c r="Z22" s="38"/>
    </row>
    <row r="23" spans="1:34" ht="15" customHeight="1" x14ac:dyDescent="0.25">
      <c r="A23" s="36"/>
      <c r="B23" s="131" t="s">
        <v>16</v>
      </c>
      <c r="C23" s="132"/>
      <c r="D23" s="132"/>
      <c r="E23" s="132"/>
      <c r="F23" s="132"/>
      <c r="G23" s="132"/>
      <c r="H23" s="132"/>
      <c r="I23" s="132"/>
      <c r="J23" s="133"/>
      <c r="K23" s="131" t="s">
        <v>17</v>
      </c>
      <c r="L23" s="143"/>
      <c r="M23" s="144"/>
      <c r="N23" s="131" t="s">
        <v>18</v>
      </c>
      <c r="O23" s="132"/>
      <c r="P23" s="132"/>
      <c r="Q23" s="132"/>
      <c r="R23" s="132"/>
      <c r="S23" s="132"/>
      <c r="T23" s="132"/>
      <c r="U23" s="132"/>
      <c r="V23" s="132"/>
      <c r="W23" s="132"/>
      <c r="X23" s="132"/>
      <c r="Y23" s="133"/>
      <c r="Z23" s="38"/>
      <c r="AB23" s="163" t="s">
        <v>50</v>
      </c>
      <c r="AC23" s="164"/>
      <c r="AD23" s="164"/>
      <c r="AE23" s="164"/>
      <c r="AF23" s="165"/>
      <c r="AG23" s="163" t="s">
        <v>17</v>
      </c>
      <c r="AH23" s="165"/>
    </row>
    <row r="24" spans="1:34" ht="14.25" customHeight="1" thickBot="1" x14ac:dyDescent="0.3">
      <c r="A24" s="36"/>
      <c r="B24" s="134"/>
      <c r="C24" s="135"/>
      <c r="D24" s="135"/>
      <c r="E24" s="135"/>
      <c r="F24" s="135"/>
      <c r="G24" s="135"/>
      <c r="H24" s="135"/>
      <c r="I24" s="135"/>
      <c r="J24" s="136"/>
      <c r="K24" s="134" t="s">
        <v>38</v>
      </c>
      <c r="L24" s="177"/>
      <c r="M24" s="178"/>
      <c r="N24" s="134"/>
      <c r="O24" s="135"/>
      <c r="P24" s="135"/>
      <c r="Q24" s="135"/>
      <c r="R24" s="135"/>
      <c r="S24" s="135"/>
      <c r="T24" s="135"/>
      <c r="U24" s="135"/>
      <c r="V24" s="135"/>
      <c r="W24" s="135"/>
      <c r="X24" s="135"/>
      <c r="Y24" s="136"/>
      <c r="Z24" s="38"/>
      <c r="AB24" s="39" t="s">
        <v>47</v>
      </c>
      <c r="AC24" s="40" t="s">
        <v>48</v>
      </c>
      <c r="AD24" s="40" t="s">
        <v>49</v>
      </c>
      <c r="AE24" s="40" t="s">
        <v>51</v>
      </c>
      <c r="AF24" s="41" t="s">
        <v>46</v>
      </c>
      <c r="AG24" s="192" t="s">
        <v>42</v>
      </c>
      <c r="AH24" s="193"/>
    </row>
    <row r="25" spans="1:34" ht="20.100000000000001" customHeight="1" x14ac:dyDescent="0.25">
      <c r="A25" s="36"/>
      <c r="B25" s="42" t="s">
        <v>20</v>
      </c>
      <c r="C25" s="160"/>
      <c r="D25" s="161"/>
      <c r="E25" s="161"/>
      <c r="F25" s="161"/>
      <c r="G25" s="161"/>
      <c r="H25" s="161"/>
      <c r="I25" s="161"/>
      <c r="J25" s="162"/>
      <c r="K25" s="137" t="str">
        <f t="shared" ref="K25:K33" si="0">IF(AE25&lt;&gt;0,AG25,"")</f>
        <v/>
      </c>
      <c r="L25" s="138"/>
      <c r="M25" s="139"/>
      <c r="N25" s="187"/>
      <c r="O25" s="188"/>
      <c r="P25" s="188"/>
      <c r="Q25" s="188"/>
      <c r="R25" s="188"/>
      <c r="S25" s="188"/>
      <c r="T25" s="188"/>
      <c r="U25" s="188"/>
      <c r="V25" s="188"/>
      <c r="W25" s="188"/>
      <c r="X25" s="188"/>
      <c r="Y25" s="189"/>
      <c r="Z25" s="38"/>
      <c r="AB25" s="43"/>
      <c r="AC25" s="44"/>
      <c r="AD25" s="45"/>
      <c r="AE25" s="46" t="str">
        <f>IF(AB25,AVERAGE(AB25:AD25),"")</f>
        <v/>
      </c>
      <c r="AF25" s="47" t="str">
        <f>IF(AE25&lt;&gt;"",22.5/AE25,"")</f>
        <v/>
      </c>
      <c r="AG25" s="197" t="str">
        <f>IF(AF25&lt;&gt;"",600*LN(300/(300-AF25)),"")</f>
        <v/>
      </c>
      <c r="AH25" s="198"/>
    </row>
    <row r="26" spans="1:34" ht="20.100000000000001" customHeight="1" x14ac:dyDescent="0.25">
      <c r="A26" s="36"/>
      <c r="B26" s="42" t="s">
        <v>21</v>
      </c>
      <c r="C26" s="160"/>
      <c r="D26" s="161"/>
      <c r="E26" s="161"/>
      <c r="F26" s="161"/>
      <c r="G26" s="161"/>
      <c r="H26" s="161"/>
      <c r="I26" s="161"/>
      <c r="J26" s="162"/>
      <c r="K26" s="137" t="str">
        <f t="shared" si="0"/>
        <v/>
      </c>
      <c r="L26" s="138"/>
      <c r="M26" s="139"/>
      <c r="N26" s="187"/>
      <c r="O26" s="188"/>
      <c r="P26" s="188"/>
      <c r="Q26" s="188"/>
      <c r="R26" s="188"/>
      <c r="S26" s="188"/>
      <c r="T26" s="188"/>
      <c r="U26" s="188"/>
      <c r="V26" s="188"/>
      <c r="W26" s="188"/>
      <c r="X26" s="188"/>
      <c r="Y26" s="189"/>
      <c r="Z26" s="38"/>
      <c r="AB26" s="48"/>
      <c r="AC26" s="49"/>
      <c r="AD26" s="50"/>
      <c r="AE26" s="51" t="str">
        <f t="shared" ref="AE26:AE49" si="1">IF(AB26,AVERAGE(AB26:AD26),"")</f>
        <v/>
      </c>
      <c r="AF26" s="52" t="str">
        <f t="shared" ref="AF26:AF49" si="2">IF(AE26&lt;&gt;"",22.5/AE26,"")</f>
        <v/>
      </c>
      <c r="AG26" s="190" t="str">
        <f t="shared" ref="AG26:AG49" si="3">IF(AF26&lt;&gt;"",600*LN(300/(300-AF26)),"")</f>
        <v/>
      </c>
      <c r="AH26" s="191"/>
    </row>
    <row r="27" spans="1:34" ht="20.100000000000001" customHeight="1" x14ac:dyDescent="0.25">
      <c r="A27" s="36"/>
      <c r="B27" s="42" t="s">
        <v>22</v>
      </c>
      <c r="C27" s="160"/>
      <c r="D27" s="161"/>
      <c r="E27" s="161"/>
      <c r="F27" s="161"/>
      <c r="G27" s="161"/>
      <c r="H27" s="161"/>
      <c r="I27" s="161"/>
      <c r="J27" s="162"/>
      <c r="K27" s="137" t="str">
        <f t="shared" si="0"/>
        <v/>
      </c>
      <c r="L27" s="138"/>
      <c r="M27" s="139"/>
      <c r="N27" s="187"/>
      <c r="O27" s="188"/>
      <c r="P27" s="188"/>
      <c r="Q27" s="188"/>
      <c r="R27" s="188"/>
      <c r="S27" s="188"/>
      <c r="T27" s="188"/>
      <c r="U27" s="188"/>
      <c r="V27" s="188"/>
      <c r="W27" s="188"/>
      <c r="X27" s="188"/>
      <c r="Y27" s="189"/>
      <c r="Z27" s="38"/>
      <c r="AB27" s="48"/>
      <c r="AC27" s="49"/>
      <c r="AD27" s="50"/>
      <c r="AE27" s="51" t="str">
        <f t="shared" si="1"/>
        <v/>
      </c>
      <c r="AF27" s="52" t="str">
        <f t="shared" si="2"/>
        <v/>
      </c>
      <c r="AG27" s="190" t="str">
        <f t="shared" si="3"/>
        <v/>
      </c>
      <c r="AH27" s="191"/>
    </row>
    <row r="28" spans="1:34" ht="20.100000000000001" customHeight="1" x14ac:dyDescent="0.25">
      <c r="A28" s="36"/>
      <c r="B28" s="42" t="s">
        <v>23</v>
      </c>
      <c r="C28" s="160"/>
      <c r="D28" s="161"/>
      <c r="E28" s="161"/>
      <c r="F28" s="161"/>
      <c r="G28" s="161"/>
      <c r="H28" s="161"/>
      <c r="I28" s="161"/>
      <c r="J28" s="162"/>
      <c r="K28" s="137" t="str">
        <f t="shared" si="0"/>
        <v/>
      </c>
      <c r="L28" s="138"/>
      <c r="M28" s="139"/>
      <c r="N28" s="187"/>
      <c r="O28" s="188"/>
      <c r="P28" s="188"/>
      <c r="Q28" s="188"/>
      <c r="R28" s="188"/>
      <c r="S28" s="188"/>
      <c r="T28" s="188"/>
      <c r="U28" s="188"/>
      <c r="V28" s="188"/>
      <c r="W28" s="188"/>
      <c r="X28" s="188"/>
      <c r="Y28" s="189"/>
      <c r="Z28" s="38"/>
      <c r="AB28" s="48"/>
      <c r="AC28" s="49"/>
      <c r="AD28" s="50"/>
      <c r="AE28" s="51" t="str">
        <f t="shared" si="1"/>
        <v/>
      </c>
      <c r="AF28" s="52" t="str">
        <f t="shared" si="2"/>
        <v/>
      </c>
      <c r="AG28" s="190" t="str">
        <f t="shared" si="3"/>
        <v/>
      </c>
      <c r="AH28" s="191"/>
    </row>
    <row r="29" spans="1:34" ht="20.100000000000001" customHeight="1" x14ac:dyDescent="0.25">
      <c r="A29" s="36"/>
      <c r="B29" s="42" t="s">
        <v>24</v>
      </c>
      <c r="C29" s="160"/>
      <c r="D29" s="161"/>
      <c r="E29" s="161"/>
      <c r="F29" s="161"/>
      <c r="G29" s="161"/>
      <c r="H29" s="161"/>
      <c r="I29" s="161"/>
      <c r="J29" s="162"/>
      <c r="K29" s="137" t="str">
        <f t="shared" si="0"/>
        <v/>
      </c>
      <c r="L29" s="138"/>
      <c r="M29" s="139"/>
      <c r="N29" s="187"/>
      <c r="O29" s="188"/>
      <c r="P29" s="188"/>
      <c r="Q29" s="188"/>
      <c r="R29" s="188"/>
      <c r="S29" s="188"/>
      <c r="T29" s="188"/>
      <c r="U29" s="188"/>
      <c r="V29" s="188"/>
      <c r="W29" s="188"/>
      <c r="X29" s="188"/>
      <c r="Y29" s="189"/>
      <c r="Z29" s="38"/>
      <c r="AB29" s="48"/>
      <c r="AC29" s="49"/>
      <c r="AD29" s="50"/>
      <c r="AE29" s="51" t="str">
        <f t="shared" si="1"/>
        <v/>
      </c>
      <c r="AF29" s="52" t="str">
        <f t="shared" si="2"/>
        <v/>
      </c>
      <c r="AG29" s="190" t="str">
        <f t="shared" si="3"/>
        <v/>
      </c>
      <c r="AH29" s="191"/>
    </row>
    <row r="30" spans="1:34" ht="20.100000000000001" customHeight="1" x14ac:dyDescent="0.25">
      <c r="A30" s="36"/>
      <c r="B30" s="42" t="s">
        <v>25</v>
      </c>
      <c r="C30" s="160"/>
      <c r="D30" s="161"/>
      <c r="E30" s="161"/>
      <c r="F30" s="161"/>
      <c r="G30" s="161"/>
      <c r="H30" s="161"/>
      <c r="I30" s="161"/>
      <c r="J30" s="162"/>
      <c r="K30" s="137" t="str">
        <f t="shared" si="0"/>
        <v/>
      </c>
      <c r="L30" s="138"/>
      <c r="M30" s="139"/>
      <c r="N30" s="187"/>
      <c r="O30" s="188"/>
      <c r="P30" s="188"/>
      <c r="Q30" s="188"/>
      <c r="R30" s="188"/>
      <c r="S30" s="188"/>
      <c r="T30" s="188"/>
      <c r="U30" s="188"/>
      <c r="V30" s="188"/>
      <c r="W30" s="188"/>
      <c r="X30" s="188"/>
      <c r="Y30" s="189"/>
      <c r="Z30" s="38"/>
      <c r="AB30" s="48"/>
      <c r="AC30" s="49"/>
      <c r="AD30" s="50"/>
      <c r="AE30" s="51" t="str">
        <f t="shared" si="1"/>
        <v/>
      </c>
      <c r="AF30" s="52" t="str">
        <f t="shared" si="2"/>
        <v/>
      </c>
      <c r="AG30" s="190" t="str">
        <f t="shared" si="3"/>
        <v/>
      </c>
      <c r="AH30" s="191"/>
    </row>
    <row r="31" spans="1:34" ht="20.100000000000001" customHeight="1" x14ac:dyDescent="0.25">
      <c r="A31" s="36"/>
      <c r="B31" s="42" t="s">
        <v>26</v>
      </c>
      <c r="C31" s="160"/>
      <c r="D31" s="161"/>
      <c r="E31" s="161"/>
      <c r="F31" s="161"/>
      <c r="G31" s="161"/>
      <c r="H31" s="161"/>
      <c r="I31" s="161"/>
      <c r="J31" s="162"/>
      <c r="K31" s="137" t="str">
        <f t="shared" si="0"/>
        <v/>
      </c>
      <c r="L31" s="138"/>
      <c r="M31" s="139"/>
      <c r="N31" s="187"/>
      <c r="O31" s="188"/>
      <c r="P31" s="188"/>
      <c r="Q31" s="188"/>
      <c r="R31" s="188"/>
      <c r="S31" s="188"/>
      <c r="T31" s="188"/>
      <c r="U31" s="188"/>
      <c r="V31" s="188"/>
      <c r="W31" s="188"/>
      <c r="X31" s="188"/>
      <c r="Y31" s="189"/>
      <c r="Z31" s="38"/>
      <c r="AB31" s="48"/>
      <c r="AC31" s="49"/>
      <c r="AD31" s="50"/>
      <c r="AE31" s="51" t="str">
        <f t="shared" si="1"/>
        <v/>
      </c>
      <c r="AF31" s="52" t="str">
        <f t="shared" si="2"/>
        <v/>
      </c>
      <c r="AG31" s="190" t="str">
        <f t="shared" si="3"/>
        <v/>
      </c>
      <c r="AH31" s="191"/>
    </row>
    <row r="32" spans="1:34" ht="20.100000000000001" customHeight="1" x14ac:dyDescent="0.25">
      <c r="A32" s="36"/>
      <c r="B32" s="42" t="s">
        <v>27</v>
      </c>
      <c r="C32" s="160"/>
      <c r="D32" s="161"/>
      <c r="E32" s="161"/>
      <c r="F32" s="161"/>
      <c r="G32" s="161"/>
      <c r="H32" s="161"/>
      <c r="I32" s="161"/>
      <c r="J32" s="162"/>
      <c r="K32" s="137" t="str">
        <f t="shared" si="0"/>
        <v/>
      </c>
      <c r="L32" s="138"/>
      <c r="M32" s="139"/>
      <c r="N32" s="187"/>
      <c r="O32" s="188"/>
      <c r="P32" s="188"/>
      <c r="Q32" s="188"/>
      <c r="R32" s="188"/>
      <c r="S32" s="188"/>
      <c r="T32" s="188"/>
      <c r="U32" s="188"/>
      <c r="V32" s="188"/>
      <c r="W32" s="188"/>
      <c r="X32" s="188"/>
      <c r="Y32" s="189"/>
      <c r="Z32" s="38"/>
      <c r="AB32" s="48"/>
      <c r="AC32" s="49"/>
      <c r="AD32" s="50"/>
      <c r="AE32" s="51" t="str">
        <f t="shared" si="1"/>
        <v/>
      </c>
      <c r="AF32" s="52" t="str">
        <f t="shared" si="2"/>
        <v/>
      </c>
      <c r="AG32" s="190" t="str">
        <f t="shared" si="3"/>
        <v/>
      </c>
      <c r="AH32" s="191"/>
    </row>
    <row r="33" spans="1:34" ht="20.100000000000001" customHeight="1" x14ac:dyDescent="0.25">
      <c r="A33" s="36"/>
      <c r="B33" s="42" t="s">
        <v>28</v>
      </c>
      <c r="C33" s="160"/>
      <c r="D33" s="161"/>
      <c r="E33" s="161"/>
      <c r="F33" s="161"/>
      <c r="G33" s="161"/>
      <c r="H33" s="161"/>
      <c r="I33" s="161"/>
      <c r="J33" s="162"/>
      <c r="K33" s="137" t="str">
        <f t="shared" si="0"/>
        <v/>
      </c>
      <c r="L33" s="138"/>
      <c r="M33" s="139"/>
      <c r="N33" s="187"/>
      <c r="O33" s="188"/>
      <c r="P33" s="188"/>
      <c r="Q33" s="188"/>
      <c r="R33" s="188"/>
      <c r="S33" s="188"/>
      <c r="T33" s="188"/>
      <c r="U33" s="188"/>
      <c r="V33" s="188"/>
      <c r="W33" s="188"/>
      <c r="X33" s="188"/>
      <c r="Y33" s="189"/>
      <c r="Z33" s="38"/>
      <c r="AB33" s="48"/>
      <c r="AC33" s="49"/>
      <c r="AD33" s="50"/>
      <c r="AE33" s="51" t="str">
        <f t="shared" si="1"/>
        <v/>
      </c>
      <c r="AF33" s="52" t="str">
        <f t="shared" si="2"/>
        <v/>
      </c>
      <c r="AG33" s="190" t="str">
        <f t="shared" si="3"/>
        <v/>
      </c>
      <c r="AH33" s="191"/>
    </row>
    <row r="34" spans="1:34" ht="20.100000000000001" customHeight="1" x14ac:dyDescent="0.25">
      <c r="A34" s="36"/>
      <c r="B34" s="42" t="s">
        <v>29</v>
      </c>
      <c r="C34" s="160"/>
      <c r="D34" s="161"/>
      <c r="E34" s="161"/>
      <c r="F34" s="161"/>
      <c r="G34" s="161"/>
      <c r="H34" s="161"/>
      <c r="I34" s="161"/>
      <c r="J34" s="162"/>
      <c r="K34" s="137" t="str">
        <f t="shared" ref="K34:K40" si="4">IF(AE34&lt;&gt;0,AG34,"")</f>
        <v/>
      </c>
      <c r="L34" s="138"/>
      <c r="M34" s="139"/>
      <c r="N34" s="187"/>
      <c r="O34" s="188"/>
      <c r="P34" s="188"/>
      <c r="Q34" s="188"/>
      <c r="R34" s="188"/>
      <c r="S34" s="188"/>
      <c r="T34" s="188"/>
      <c r="U34" s="188"/>
      <c r="V34" s="188"/>
      <c r="W34" s="188"/>
      <c r="X34" s="188"/>
      <c r="Y34" s="189"/>
      <c r="Z34" s="38"/>
      <c r="AB34" s="48"/>
      <c r="AC34" s="49"/>
      <c r="AD34" s="50"/>
      <c r="AE34" s="51" t="str">
        <f t="shared" si="1"/>
        <v/>
      </c>
      <c r="AF34" s="52" t="str">
        <f t="shared" si="2"/>
        <v/>
      </c>
      <c r="AG34" s="190" t="str">
        <f t="shared" si="3"/>
        <v/>
      </c>
      <c r="AH34" s="191"/>
    </row>
    <row r="35" spans="1:34" ht="20.100000000000001" customHeight="1" x14ac:dyDescent="0.25">
      <c r="A35" s="36"/>
      <c r="B35" s="42" t="s">
        <v>52</v>
      </c>
      <c r="C35" s="160"/>
      <c r="D35" s="161"/>
      <c r="E35" s="161"/>
      <c r="F35" s="161"/>
      <c r="G35" s="161"/>
      <c r="H35" s="161"/>
      <c r="I35" s="161"/>
      <c r="J35" s="162"/>
      <c r="K35" s="137" t="str">
        <f t="shared" si="4"/>
        <v/>
      </c>
      <c r="L35" s="138"/>
      <c r="M35" s="139"/>
      <c r="N35" s="187"/>
      <c r="O35" s="188"/>
      <c r="P35" s="188"/>
      <c r="Q35" s="188"/>
      <c r="R35" s="188"/>
      <c r="S35" s="188"/>
      <c r="T35" s="188"/>
      <c r="U35" s="188"/>
      <c r="V35" s="188"/>
      <c r="W35" s="188"/>
      <c r="X35" s="188"/>
      <c r="Y35" s="189"/>
      <c r="Z35" s="38"/>
      <c r="AB35" s="48"/>
      <c r="AC35" s="49"/>
      <c r="AD35" s="50"/>
      <c r="AE35" s="51" t="str">
        <f t="shared" si="1"/>
        <v/>
      </c>
      <c r="AF35" s="52" t="str">
        <f t="shared" si="2"/>
        <v/>
      </c>
      <c r="AG35" s="190" t="str">
        <f t="shared" si="3"/>
        <v/>
      </c>
      <c r="AH35" s="191"/>
    </row>
    <row r="36" spans="1:34" ht="20.100000000000001" customHeight="1" x14ac:dyDescent="0.25">
      <c r="A36" s="36"/>
      <c r="B36" s="42" t="s">
        <v>53</v>
      </c>
      <c r="C36" s="160"/>
      <c r="D36" s="161"/>
      <c r="E36" s="161"/>
      <c r="F36" s="161"/>
      <c r="G36" s="161"/>
      <c r="H36" s="161"/>
      <c r="I36" s="161"/>
      <c r="J36" s="162"/>
      <c r="K36" s="137" t="str">
        <f t="shared" si="4"/>
        <v/>
      </c>
      <c r="L36" s="138"/>
      <c r="M36" s="139"/>
      <c r="N36" s="187"/>
      <c r="O36" s="188"/>
      <c r="P36" s="188"/>
      <c r="Q36" s="188"/>
      <c r="R36" s="188"/>
      <c r="S36" s="188"/>
      <c r="T36" s="188"/>
      <c r="U36" s="188"/>
      <c r="V36" s="188"/>
      <c r="W36" s="188"/>
      <c r="X36" s="188"/>
      <c r="Y36" s="189"/>
      <c r="Z36" s="38"/>
      <c r="AB36" s="48"/>
      <c r="AC36" s="49"/>
      <c r="AD36" s="50"/>
      <c r="AE36" s="51" t="str">
        <f t="shared" si="1"/>
        <v/>
      </c>
      <c r="AF36" s="52" t="str">
        <f t="shared" si="2"/>
        <v/>
      </c>
      <c r="AG36" s="190" t="str">
        <f t="shared" si="3"/>
        <v/>
      </c>
      <c r="AH36" s="191"/>
    </row>
    <row r="37" spans="1:34" ht="20.100000000000001" customHeight="1" x14ac:dyDescent="0.25">
      <c r="A37" s="36"/>
      <c r="B37" s="42" t="s">
        <v>54</v>
      </c>
      <c r="C37" s="160"/>
      <c r="D37" s="161"/>
      <c r="E37" s="161"/>
      <c r="F37" s="161"/>
      <c r="G37" s="161"/>
      <c r="H37" s="161"/>
      <c r="I37" s="161"/>
      <c r="J37" s="162"/>
      <c r="K37" s="137" t="str">
        <f t="shared" si="4"/>
        <v/>
      </c>
      <c r="L37" s="138"/>
      <c r="M37" s="139"/>
      <c r="N37" s="187"/>
      <c r="O37" s="188"/>
      <c r="P37" s="188"/>
      <c r="Q37" s="188"/>
      <c r="R37" s="188"/>
      <c r="S37" s="188"/>
      <c r="T37" s="188"/>
      <c r="U37" s="188"/>
      <c r="V37" s="188"/>
      <c r="W37" s="188"/>
      <c r="X37" s="188"/>
      <c r="Y37" s="189"/>
      <c r="Z37" s="38"/>
      <c r="AB37" s="48"/>
      <c r="AC37" s="49"/>
      <c r="AD37" s="50"/>
      <c r="AE37" s="51" t="str">
        <f t="shared" si="1"/>
        <v/>
      </c>
      <c r="AF37" s="52" t="str">
        <f t="shared" si="2"/>
        <v/>
      </c>
      <c r="AG37" s="190" t="str">
        <f t="shared" si="3"/>
        <v/>
      </c>
      <c r="AH37" s="191"/>
    </row>
    <row r="38" spans="1:34" ht="20.100000000000001" customHeight="1" x14ac:dyDescent="0.25">
      <c r="A38" s="36"/>
      <c r="B38" s="42" t="s">
        <v>55</v>
      </c>
      <c r="C38" s="160"/>
      <c r="D38" s="161"/>
      <c r="E38" s="161"/>
      <c r="F38" s="161"/>
      <c r="G38" s="161"/>
      <c r="H38" s="161"/>
      <c r="I38" s="161"/>
      <c r="J38" s="162"/>
      <c r="K38" s="137" t="str">
        <f t="shared" si="4"/>
        <v/>
      </c>
      <c r="L38" s="138"/>
      <c r="M38" s="139"/>
      <c r="N38" s="187"/>
      <c r="O38" s="188"/>
      <c r="P38" s="188"/>
      <c r="Q38" s="188"/>
      <c r="R38" s="188"/>
      <c r="S38" s="188"/>
      <c r="T38" s="188"/>
      <c r="U38" s="188"/>
      <c r="V38" s="188"/>
      <c r="W38" s="188"/>
      <c r="X38" s="188"/>
      <c r="Y38" s="189"/>
      <c r="Z38" s="38"/>
      <c r="AB38" s="48"/>
      <c r="AC38" s="49"/>
      <c r="AD38" s="50"/>
      <c r="AE38" s="51" t="str">
        <f t="shared" si="1"/>
        <v/>
      </c>
      <c r="AF38" s="52" t="str">
        <f t="shared" si="2"/>
        <v/>
      </c>
      <c r="AG38" s="190" t="str">
        <f t="shared" si="3"/>
        <v/>
      </c>
      <c r="AH38" s="191"/>
    </row>
    <row r="39" spans="1:34" ht="20.100000000000001" customHeight="1" x14ac:dyDescent="0.25">
      <c r="A39" s="36"/>
      <c r="B39" s="42" t="s">
        <v>56</v>
      </c>
      <c r="C39" s="160"/>
      <c r="D39" s="161"/>
      <c r="E39" s="161"/>
      <c r="F39" s="161"/>
      <c r="G39" s="161"/>
      <c r="H39" s="161"/>
      <c r="I39" s="161"/>
      <c r="J39" s="162"/>
      <c r="K39" s="137" t="str">
        <f t="shared" si="4"/>
        <v/>
      </c>
      <c r="L39" s="138"/>
      <c r="M39" s="139"/>
      <c r="N39" s="187"/>
      <c r="O39" s="188"/>
      <c r="P39" s="188"/>
      <c r="Q39" s="188"/>
      <c r="R39" s="188"/>
      <c r="S39" s="188"/>
      <c r="T39" s="188"/>
      <c r="U39" s="188"/>
      <c r="V39" s="188"/>
      <c r="W39" s="188"/>
      <c r="X39" s="188"/>
      <c r="Y39" s="189"/>
      <c r="Z39" s="38"/>
      <c r="AB39" s="48"/>
      <c r="AC39" s="49"/>
      <c r="AD39" s="50"/>
      <c r="AE39" s="51" t="str">
        <f t="shared" si="1"/>
        <v/>
      </c>
      <c r="AF39" s="52" t="str">
        <f t="shared" si="2"/>
        <v/>
      </c>
      <c r="AG39" s="190" t="str">
        <f t="shared" si="3"/>
        <v/>
      </c>
      <c r="AH39" s="191"/>
    </row>
    <row r="40" spans="1:34" ht="20.100000000000001" customHeight="1" x14ac:dyDescent="0.25">
      <c r="A40" s="36"/>
      <c r="B40" s="42" t="s">
        <v>64</v>
      </c>
      <c r="C40" s="160"/>
      <c r="D40" s="161"/>
      <c r="E40" s="161"/>
      <c r="F40" s="161"/>
      <c r="G40" s="161"/>
      <c r="H40" s="161"/>
      <c r="I40" s="161"/>
      <c r="J40" s="162"/>
      <c r="K40" s="137" t="str">
        <f t="shared" si="4"/>
        <v/>
      </c>
      <c r="L40" s="138"/>
      <c r="M40" s="139"/>
      <c r="N40" s="187"/>
      <c r="O40" s="188"/>
      <c r="P40" s="188"/>
      <c r="Q40" s="188"/>
      <c r="R40" s="188"/>
      <c r="S40" s="188"/>
      <c r="T40" s="188"/>
      <c r="U40" s="188"/>
      <c r="V40" s="188"/>
      <c r="W40" s="188"/>
      <c r="X40" s="188"/>
      <c r="Y40" s="189"/>
      <c r="Z40" s="38"/>
      <c r="AB40" s="48"/>
      <c r="AC40" s="49"/>
      <c r="AD40" s="50"/>
      <c r="AE40" s="51" t="str">
        <f t="shared" si="1"/>
        <v/>
      </c>
      <c r="AF40" s="52" t="str">
        <f t="shared" si="2"/>
        <v/>
      </c>
      <c r="AG40" s="190" t="str">
        <f t="shared" si="3"/>
        <v/>
      </c>
      <c r="AH40" s="191"/>
    </row>
    <row r="41" spans="1:34" ht="20.100000000000001" customHeight="1" x14ac:dyDescent="0.25">
      <c r="A41" s="36"/>
      <c r="B41" s="42" t="s">
        <v>65</v>
      </c>
      <c r="C41" s="160"/>
      <c r="D41" s="161"/>
      <c r="E41" s="161"/>
      <c r="F41" s="161"/>
      <c r="G41" s="161"/>
      <c r="H41" s="161"/>
      <c r="I41" s="161"/>
      <c r="J41" s="162"/>
      <c r="K41" s="137" t="str">
        <f t="shared" ref="K41:K49" si="5">IF(AE41&lt;&gt;0,AG41,"")</f>
        <v/>
      </c>
      <c r="L41" s="138"/>
      <c r="M41" s="139"/>
      <c r="N41" s="187"/>
      <c r="O41" s="188"/>
      <c r="P41" s="188"/>
      <c r="Q41" s="188"/>
      <c r="R41" s="188"/>
      <c r="S41" s="188"/>
      <c r="T41" s="188"/>
      <c r="U41" s="188"/>
      <c r="V41" s="188"/>
      <c r="W41" s="188"/>
      <c r="X41" s="188"/>
      <c r="Y41" s="189"/>
      <c r="Z41" s="38"/>
      <c r="AB41" s="48"/>
      <c r="AC41" s="49"/>
      <c r="AD41" s="50"/>
      <c r="AE41" s="51" t="str">
        <f t="shared" si="1"/>
        <v/>
      </c>
      <c r="AF41" s="52" t="str">
        <f t="shared" si="2"/>
        <v/>
      </c>
      <c r="AG41" s="190" t="str">
        <f t="shared" si="3"/>
        <v/>
      </c>
      <c r="AH41" s="191"/>
    </row>
    <row r="42" spans="1:34" ht="20.100000000000001" customHeight="1" x14ac:dyDescent="0.25">
      <c r="A42" s="36"/>
      <c r="B42" s="42" t="s">
        <v>66</v>
      </c>
      <c r="C42" s="160"/>
      <c r="D42" s="161"/>
      <c r="E42" s="161"/>
      <c r="F42" s="161"/>
      <c r="G42" s="161"/>
      <c r="H42" s="161"/>
      <c r="I42" s="161"/>
      <c r="J42" s="162"/>
      <c r="K42" s="137" t="str">
        <f t="shared" si="5"/>
        <v/>
      </c>
      <c r="L42" s="138"/>
      <c r="M42" s="139"/>
      <c r="N42" s="187"/>
      <c r="O42" s="188"/>
      <c r="P42" s="188"/>
      <c r="Q42" s="188"/>
      <c r="R42" s="188"/>
      <c r="S42" s="188"/>
      <c r="T42" s="188"/>
      <c r="U42" s="188"/>
      <c r="V42" s="188"/>
      <c r="W42" s="188"/>
      <c r="X42" s="188"/>
      <c r="Y42" s="189"/>
      <c r="Z42" s="38"/>
      <c r="AB42" s="48"/>
      <c r="AC42" s="49"/>
      <c r="AD42" s="50"/>
      <c r="AE42" s="51" t="str">
        <f t="shared" si="1"/>
        <v/>
      </c>
      <c r="AF42" s="52" t="str">
        <f t="shared" si="2"/>
        <v/>
      </c>
      <c r="AG42" s="190" t="str">
        <f t="shared" si="3"/>
        <v/>
      </c>
      <c r="AH42" s="191"/>
    </row>
    <row r="43" spans="1:34" ht="20.100000000000001" customHeight="1" x14ac:dyDescent="0.25">
      <c r="A43" s="36"/>
      <c r="B43" s="42" t="s">
        <v>67</v>
      </c>
      <c r="C43" s="160"/>
      <c r="D43" s="161"/>
      <c r="E43" s="161"/>
      <c r="F43" s="161"/>
      <c r="G43" s="161"/>
      <c r="H43" s="161"/>
      <c r="I43" s="161"/>
      <c r="J43" s="162"/>
      <c r="K43" s="137" t="str">
        <f t="shared" si="5"/>
        <v/>
      </c>
      <c r="L43" s="138"/>
      <c r="M43" s="139"/>
      <c r="N43" s="187"/>
      <c r="O43" s="188"/>
      <c r="P43" s="188"/>
      <c r="Q43" s="188"/>
      <c r="R43" s="188"/>
      <c r="S43" s="188"/>
      <c r="T43" s="188"/>
      <c r="U43" s="188"/>
      <c r="V43" s="188"/>
      <c r="W43" s="188"/>
      <c r="X43" s="188"/>
      <c r="Y43" s="189"/>
      <c r="Z43" s="38"/>
      <c r="AB43" s="48"/>
      <c r="AC43" s="49"/>
      <c r="AD43" s="50"/>
      <c r="AE43" s="51" t="str">
        <f t="shared" si="1"/>
        <v/>
      </c>
      <c r="AF43" s="52" t="str">
        <f t="shared" si="2"/>
        <v/>
      </c>
      <c r="AG43" s="190" t="str">
        <f t="shared" si="3"/>
        <v/>
      </c>
      <c r="AH43" s="191"/>
    </row>
    <row r="44" spans="1:34" ht="20.100000000000001" customHeight="1" x14ac:dyDescent="0.25">
      <c r="A44" s="36"/>
      <c r="B44" s="42" t="s">
        <v>68</v>
      </c>
      <c r="C44" s="160"/>
      <c r="D44" s="161"/>
      <c r="E44" s="161"/>
      <c r="F44" s="161"/>
      <c r="G44" s="161"/>
      <c r="H44" s="161"/>
      <c r="I44" s="161"/>
      <c r="J44" s="162"/>
      <c r="K44" s="137" t="str">
        <f t="shared" si="5"/>
        <v/>
      </c>
      <c r="L44" s="138"/>
      <c r="M44" s="139"/>
      <c r="N44" s="187"/>
      <c r="O44" s="188"/>
      <c r="P44" s="188"/>
      <c r="Q44" s="188"/>
      <c r="R44" s="188"/>
      <c r="S44" s="188"/>
      <c r="T44" s="188"/>
      <c r="U44" s="188"/>
      <c r="V44" s="188"/>
      <c r="W44" s="188"/>
      <c r="X44" s="188"/>
      <c r="Y44" s="189"/>
      <c r="Z44" s="38"/>
      <c r="AB44" s="48"/>
      <c r="AC44" s="49"/>
      <c r="AD44" s="50"/>
      <c r="AE44" s="51" t="str">
        <f>IF(AB44,AVERAGE(AB44:AD44),"")</f>
        <v/>
      </c>
      <c r="AF44" s="52" t="str">
        <f t="shared" si="2"/>
        <v/>
      </c>
      <c r="AG44" s="190" t="str">
        <f t="shared" si="3"/>
        <v/>
      </c>
      <c r="AH44" s="191"/>
    </row>
    <row r="45" spans="1:34" ht="20.100000000000001" customHeight="1" x14ac:dyDescent="0.25">
      <c r="A45" s="36"/>
      <c r="B45" s="42" t="s">
        <v>70</v>
      </c>
      <c r="C45" s="160"/>
      <c r="D45" s="161"/>
      <c r="E45" s="161"/>
      <c r="F45" s="161"/>
      <c r="G45" s="161"/>
      <c r="H45" s="161"/>
      <c r="I45" s="161"/>
      <c r="J45" s="162"/>
      <c r="K45" s="137" t="str">
        <f t="shared" si="5"/>
        <v/>
      </c>
      <c r="L45" s="138"/>
      <c r="M45" s="139"/>
      <c r="N45" s="187"/>
      <c r="O45" s="188"/>
      <c r="P45" s="188"/>
      <c r="Q45" s="188"/>
      <c r="R45" s="188"/>
      <c r="S45" s="188"/>
      <c r="T45" s="188"/>
      <c r="U45" s="188"/>
      <c r="V45" s="188"/>
      <c r="W45" s="188"/>
      <c r="X45" s="188"/>
      <c r="Y45" s="189"/>
      <c r="Z45" s="38"/>
      <c r="AB45" s="48"/>
      <c r="AC45" s="49"/>
      <c r="AD45" s="50"/>
      <c r="AE45" s="51" t="str">
        <f>IF(AB45,AVERAGE(AB45:AD45),"")</f>
        <v/>
      </c>
      <c r="AF45" s="52" t="str">
        <f t="shared" si="2"/>
        <v/>
      </c>
      <c r="AG45" s="190" t="str">
        <f t="shared" si="3"/>
        <v/>
      </c>
      <c r="AH45" s="191"/>
    </row>
    <row r="46" spans="1:34" ht="20.100000000000001" customHeight="1" x14ac:dyDescent="0.25">
      <c r="A46" s="36"/>
      <c r="B46" s="42" t="s">
        <v>71</v>
      </c>
      <c r="C46" s="160"/>
      <c r="D46" s="161"/>
      <c r="E46" s="161"/>
      <c r="F46" s="161"/>
      <c r="G46" s="161"/>
      <c r="H46" s="161"/>
      <c r="I46" s="161"/>
      <c r="J46" s="162"/>
      <c r="K46" s="137" t="str">
        <f t="shared" si="5"/>
        <v/>
      </c>
      <c r="L46" s="138"/>
      <c r="M46" s="139"/>
      <c r="N46" s="187"/>
      <c r="O46" s="188"/>
      <c r="P46" s="188"/>
      <c r="Q46" s="188"/>
      <c r="R46" s="188"/>
      <c r="S46" s="188"/>
      <c r="T46" s="188"/>
      <c r="U46" s="188"/>
      <c r="V46" s="188"/>
      <c r="W46" s="188"/>
      <c r="X46" s="188"/>
      <c r="Y46" s="189"/>
      <c r="Z46" s="38"/>
      <c r="AB46" s="48"/>
      <c r="AC46" s="49"/>
      <c r="AD46" s="50"/>
      <c r="AE46" s="51" t="str">
        <f>IF(AB46,AVERAGE(AB46:AD46),"")</f>
        <v/>
      </c>
      <c r="AF46" s="52" t="str">
        <f t="shared" si="2"/>
        <v/>
      </c>
      <c r="AG46" s="190" t="str">
        <f t="shared" si="3"/>
        <v/>
      </c>
      <c r="AH46" s="191"/>
    </row>
    <row r="47" spans="1:34" ht="20.100000000000001" customHeight="1" x14ac:dyDescent="0.25">
      <c r="A47" s="36"/>
      <c r="B47" s="42" t="s">
        <v>72</v>
      </c>
      <c r="C47" s="160"/>
      <c r="D47" s="161"/>
      <c r="E47" s="161"/>
      <c r="F47" s="161"/>
      <c r="G47" s="161"/>
      <c r="H47" s="161"/>
      <c r="I47" s="161"/>
      <c r="J47" s="162"/>
      <c r="K47" s="137" t="str">
        <f t="shared" si="5"/>
        <v/>
      </c>
      <c r="L47" s="138"/>
      <c r="M47" s="139"/>
      <c r="N47" s="187"/>
      <c r="O47" s="188"/>
      <c r="P47" s="188"/>
      <c r="Q47" s="188"/>
      <c r="R47" s="188"/>
      <c r="S47" s="188"/>
      <c r="T47" s="188"/>
      <c r="U47" s="188"/>
      <c r="V47" s="188"/>
      <c r="W47" s="188"/>
      <c r="X47" s="188"/>
      <c r="Y47" s="189"/>
      <c r="Z47" s="38"/>
      <c r="AB47" s="48"/>
      <c r="AC47" s="49"/>
      <c r="AD47" s="50"/>
      <c r="AE47" s="51" t="str">
        <f>IF(AB47,AVERAGE(AB47:AD47),"")</f>
        <v/>
      </c>
      <c r="AF47" s="52" t="str">
        <f t="shared" si="2"/>
        <v/>
      </c>
      <c r="AG47" s="190" t="str">
        <f t="shared" si="3"/>
        <v/>
      </c>
      <c r="AH47" s="191"/>
    </row>
    <row r="48" spans="1:34" ht="20.100000000000001" customHeight="1" x14ac:dyDescent="0.25">
      <c r="A48" s="36"/>
      <c r="B48" s="42" t="s">
        <v>73</v>
      </c>
      <c r="C48" s="160"/>
      <c r="D48" s="161"/>
      <c r="E48" s="161"/>
      <c r="F48" s="161"/>
      <c r="G48" s="161"/>
      <c r="H48" s="161"/>
      <c r="I48" s="161"/>
      <c r="J48" s="162"/>
      <c r="K48" s="137" t="str">
        <f t="shared" si="5"/>
        <v/>
      </c>
      <c r="L48" s="138"/>
      <c r="M48" s="139"/>
      <c r="N48" s="187"/>
      <c r="O48" s="188"/>
      <c r="P48" s="188"/>
      <c r="Q48" s="188"/>
      <c r="R48" s="188"/>
      <c r="S48" s="188"/>
      <c r="T48" s="188"/>
      <c r="U48" s="188"/>
      <c r="V48" s="188"/>
      <c r="W48" s="188"/>
      <c r="X48" s="188"/>
      <c r="Y48" s="189"/>
      <c r="Z48" s="38"/>
      <c r="AB48" s="48"/>
      <c r="AC48" s="49"/>
      <c r="AD48" s="50"/>
      <c r="AE48" s="51" t="str">
        <f>IF(AB48,AVERAGE(AB48:AD48),"")</f>
        <v/>
      </c>
      <c r="AF48" s="52" t="str">
        <f t="shared" si="2"/>
        <v/>
      </c>
      <c r="AG48" s="190" t="str">
        <f t="shared" si="3"/>
        <v/>
      </c>
      <c r="AH48" s="191"/>
    </row>
    <row r="49" spans="1:34" ht="20.100000000000001" customHeight="1" thickBot="1" x14ac:dyDescent="0.3">
      <c r="A49" s="36"/>
      <c r="B49" s="42" t="s">
        <v>74</v>
      </c>
      <c r="C49" s="160"/>
      <c r="D49" s="161"/>
      <c r="E49" s="161"/>
      <c r="F49" s="161"/>
      <c r="G49" s="161"/>
      <c r="H49" s="161"/>
      <c r="I49" s="161"/>
      <c r="J49" s="162"/>
      <c r="K49" s="137" t="str">
        <f t="shared" si="5"/>
        <v/>
      </c>
      <c r="L49" s="138"/>
      <c r="M49" s="139"/>
      <c r="N49" s="187"/>
      <c r="O49" s="188"/>
      <c r="P49" s="188"/>
      <c r="Q49" s="188"/>
      <c r="R49" s="188"/>
      <c r="S49" s="188"/>
      <c r="T49" s="188"/>
      <c r="U49" s="188"/>
      <c r="V49" s="188"/>
      <c r="W49" s="188"/>
      <c r="X49" s="188"/>
      <c r="Y49" s="189"/>
      <c r="Z49" s="38"/>
      <c r="AB49" s="53"/>
      <c r="AC49" s="54"/>
      <c r="AD49" s="55"/>
      <c r="AE49" s="56" t="str">
        <f t="shared" si="1"/>
        <v/>
      </c>
      <c r="AF49" s="57" t="str">
        <f t="shared" si="2"/>
        <v/>
      </c>
      <c r="AG49" s="195" t="str">
        <f t="shared" si="3"/>
        <v/>
      </c>
      <c r="AH49" s="196"/>
    </row>
    <row r="50" spans="1:34" ht="20.100000000000001" customHeight="1" x14ac:dyDescent="0.25">
      <c r="A50" s="36"/>
      <c r="B50" s="179" t="s">
        <v>19</v>
      </c>
      <c r="C50" s="180"/>
      <c r="D50" s="180"/>
      <c r="E50" s="180"/>
      <c r="F50" s="180"/>
      <c r="G50" s="180"/>
      <c r="H50" s="180"/>
      <c r="I50" s="180"/>
      <c r="J50" s="181"/>
      <c r="K50" s="174" t="str">
        <f>IF(K25&lt;&gt;"",AVERAGE(K25:M49),"")</f>
        <v/>
      </c>
      <c r="L50" s="175"/>
      <c r="M50" s="176"/>
      <c r="N50" s="123"/>
      <c r="O50" s="124"/>
      <c r="P50" s="124"/>
      <c r="Q50" s="58" t="s">
        <v>63</v>
      </c>
      <c r="R50" s="58"/>
      <c r="S50" s="59"/>
      <c r="T50" s="58"/>
      <c r="U50" s="58"/>
      <c r="V50" s="58"/>
      <c r="W50" s="58"/>
      <c r="X50" s="58"/>
      <c r="Y50" s="60"/>
      <c r="Z50" s="38"/>
      <c r="AB50" s="61"/>
      <c r="AC50" s="61"/>
      <c r="AD50" s="61"/>
      <c r="AE50" s="62"/>
      <c r="AF50" s="63"/>
      <c r="AG50" s="194"/>
      <c r="AH50" s="194"/>
    </row>
    <row r="51" spans="1:34" ht="20.100000000000001" customHeight="1" x14ac:dyDescent="0.25">
      <c r="A51" s="36"/>
      <c r="B51" s="168" t="s">
        <v>44</v>
      </c>
      <c r="C51" s="169"/>
      <c r="D51" s="169"/>
      <c r="E51" s="169"/>
      <c r="F51" s="169"/>
      <c r="G51" s="169"/>
      <c r="H51" s="169"/>
      <c r="I51" s="169"/>
      <c r="J51" s="170"/>
      <c r="K51" s="140" t="str">
        <f>IF(K25&lt;&gt;"",MIN(K25:M49),"")</f>
        <v/>
      </c>
      <c r="L51" s="141"/>
      <c r="M51" s="142"/>
      <c r="N51" s="166"/>
      <c r="O51" s="167"/>
      <c r="P51" s="167"/>
      <c r="Q51" s="64"/>
      <c r="R51" s="64"/>
      <c r="S51" s="64"/>
      <c r="T51" s="64"/>
      <c r="U51" s="64"/>
      <c r="V51" s="64"/>
      <c r="W51" s="64"/>
      <c r="X51" s="64"/>
      <c r="Y51" s="65"/>
      <c r="Z51" s="38"/>
      <c r="AB51" s="61"/>
      <c r="AC51" s="61"/>
      <c r="AD51" s="61"/>
      <c r="AE51" s="62"/>
      <c r="AF51" s="63"/>
      <c r="AG51" s="194"/>
      <c r="AH51" s="194"/>
    </row>
    <row r="52" spans="1:34" ht="20.100000000000001" customHeight="1" thickBot="1" x14ac:dyDescent="0.3">
      <c r="A52" s="36"/>
      <c r="B52" s="182" t="s">
        <v>45</v>
      </c>
      <c r="C52" s="183"/>
      <c r="D52" s="183"/>
      <c r="E52" s="183"/>
      <c r="F52" s="183"/>
      <c r="G52" s="183"/>
      <c r="H52" s="183"/>
      <c r="I52" s="183"/>
      <c r="J52" s="184"/>
      <c r="K52" s="120" t="str">
        <f>IF(K25&lt;&gt;"",MAX(K25:M49),"")</f>
        <v/>
      </c>
      <c r="L52" s="121"/>
      <c r="M52" s="122"/>
      <c r="N52" s="185"/>
      <c r="O52" s="186"/>
      <c r="P52" s="186"/>
      <c r="Q52" s="66"/>
      <c r="R52" s="66"/>
      <c r="S52" s="66"/>
      <c r="T52" s="66"/>
      <c r="U52" s="66"/>
      <c r="V52" s="66"/>
      <c r="W52" s="66"/>
      <c r="X52" s="66"/>
      <c r="Y52" s="67"/>
      <c r="Z52" s="38"/>
      <c r="AB52" s="61"/>
      <c r="AC52" s="61"/>
      <c r="AD52" s="61"/>
      <c r="AE52" s="62"/>
      <c r="AF52" s="63"/>
      <c r="AG52" s="194"/>
      <c r="AH52" s="194"/>
    </row>
    <row r="53" spans="1:34" x14ac:dyDescent="0.25">
      <c r="A53" s="23"/>
      <c r="B53" s="24"/>
      <c r="C53" s="24"/>
      <c r="D53" s="24"/>
      <c r="E53" s="24"/>
      <c r="F53" s="24"/>
      <c r="G53" s="24"/>
      <c r="H53" s="24"/>
      <c r="I53" s="24"/>
      <c r="J53" s="24"/>
      <c r="K53" s="24"/>
      <c r="L53" s="24"/>
      <c r="M53" s="24"/>
      <c r="N53" s="24"/>
      <c r="O53" s="24"/>
      <c r="P53" s="24"/>
      <c r="Q53" s="24"/>
      <c r="R53" s="24"/>
      <c r="S53" s="24"/>
      <c r="T53" s="24"/>
      <c r="U53" s="24"/>
      <c r="V53" s="24"/>
      <c r="W53" s="24"/>
      <c r="X53" s="24"/>
      <c r="Y53" s="24"/>
      <c r="Z53" s="27"/>
    </row>
    <row r="54" spans="1:34" x14ac:dyDescent="0.25">
      <c r="A54" s="68"/>
      <c r="B54" s="28"/>
      <c r="C54" s="28"/>
      <c r="D54" s="28"/>
      <c r="E54" s="28"/>
      <c r="F54" s="28"/>
      <c r="G54" s="28"/>
      <c r="H54" s="28"/>
      <c r="I54" s="28"/>
      <c r="J54" s="28"/>
      <c r="K54" s="28"/>
      <c r="L54" s="28"/>
      <c r="M54" s="28"/>
      <c r="N54" s="28"/>
      <c r="O54" s="28"/>
      <c r="P54" s="28"/>
      <c r="Q54" s="28"/>
      <c r="R54" s="28"/>
      <c r="S54" s="28"/>
      <c r="T54" s="28"/>
      <c r="U54" s="28"/>
      <c r="V54" s="28"/>
      <c r="W54" s="28"/>
      <c r="X54" s="28"/>
      <c r="Y54" s="28"/>
      <c r="Z54" s="28"/>
      <c r="AA54" s="28"/>
      <c r="AB54" s="15"/>
      <c r="AC54" s="15"/>
      <c r="AD54" s="15"/>
    </row>
    <row r="55" spans="1:34" ht="15.6" customHeight="1" x14ac:dyDescent="0.25">
      <c r="A55" s="69" t="s">
        <v>8</v>
      </c>
      <c r="B55" s="70" t="s">
        <v>9</v>
      </c>
      <c r="C55" s="71"/>
      <c r="D55" s="71"/>
      <c r="E55" s="71"/>
      <c r="F55" s="72"/>
      <c r="G55" s="72"/>
      <c r="H55" s="72"/>
      <c r="I55" s="10"/>
      <c r="J55" s="10"/>
      <c r="K55" s="10"/>
      <c r="L55" s="10"/>
      <c r="M55" s="10"/>
      <c r="N55" s="10"/>
      <c r="O55" s="10"/>
      <c r="P55" s="10"/>
      <c r="Q55" s="73"/>
      <c r="R55" s="10"/>
      <c r="S55" s="10"/>
      <c r="T55" s="10"/>
      <c r="U55" s="171"/>
      <c r="V55" s="171"/>
      <c r="W55" s="171"/>
      <c r="X55" s="172"/>
      <c r="Y55" s="172"/>
      <c r="Z55" s="173"/>
      <c r="AA55" s="28"/>
      <c r="AB55" s="28"/>
      <c r="AC55" s="28"/>
      <c r="AD55" s="28"/>
    </row>
    <row r="56" spans="1:34" ht="26.4" customHeight="1" x14ac:dyDescent="0.25">
      <c r="A56" s="151" t="s">
        <v>81</v>
      </c>
      <c r="B56" s="152"/>
      <c r="C56" s="152"/>
      <c r="D56" s="152"/>
      <c r="E56" s="152"/>
      <c r="F56" s="152"/>
      <c r="G56" s="152"/>
      <c r="H56" s="152"/>
      <c r="I56" s="152"/>
      <c r="J56" s="152"/>
      <c r="K56" s="152"/>
      <c r="L56" s="152"/>
      <c r="M56" s="152"/>
      <c r="N56" s="152"/>
      <c r="O56" s="152"/>
      <c r="P56" s="152"/>
      <c r="Q56" s="274"/>
      <c r="R56" s="145" t="s">
        <v>39</v>
      </c>
      <c r="S56" s="146"/>
      <c r="T56" s="147"/>
      <c r="U56" s="241"/>
      <c r="V56" s="242"/>
      <c r="W56" s="242"/>
      <c r="X56" s="242"/>
      <c r="Y56" s="242"/>
      <c r="Z56" s="278"/>
      <c r="AA56" s="28"/>
      <c r="AB56" s="28"/>
      <c r="AC56" s="28"/>
      <c r="AD56" s="28"/>
    </row>
    <row r="57" spans="1:34" ht="26.4" customHeight="1" x14ac:dyDescent="0.25">
      <c r="A57" s="275"/>
      <c r="B57" s="276"/>
      <c r="C57" s="276"/>
      <c r="D57" s="276"/>
      <c r="E57" s="276"/>
      <c r="F57" s="276"/>
      <c r="G57" s="276"/>
      <c r="H57" s="276"/>
      <c r="I57" s="276"/>
      <c r="J57" s="276"/>
      <c r="K57" s="276"/>
      <c r="L57" s="276"/>
      <c r="M57" s="276"/>
      <c r="N57" s="276"/>
      <c r="O57" s="276"/>
      <c r="P57" s="276"/>
      <c r="Q57" s="277"/>
      <c r="R57" s="145"/>
      <c r="S57" s="146"/>
      <c r="T57" s="147"/>
      <c r="U57" s="114"/>
      <c r="V57" s="115"/>
      <c r="W57" s="115"/>
      <c r="X57" s="116"/>
      <c r="Y57" s="116"/>
      <c r="Z57" s="117"/>
      <c r="AA57" s="28"/>
      <c r="AB57" s="28"/>
      <c r="AC57" s="28"/>
      <c r="AD57" s="28"/>
    </row>
    <row r="58" spans="1:34" ht="15.6" customHeight="1" x14ac:dyDescent="0.25">
      <c r="A58" s="76" t="s">
        <v>13</v>
      </c>
      <c r="B58" s="83" t="s">
        <v>14</v>
      </c>
      <c r="C58" s="77"/>
      <c r="D58" s="77"/>
      <c r="E58" s="84"/>
      <c r="F58" s="84"/>
      <c r="G58" s="84"/>
      <c r="H58" s="84"/>
      <c r="I58" s="84"/>
      <c r="J58" s="84"/>
      <c r="K58" s="84"/>
      <c r="L58" s="84"/>
      <c r="M58" s="84"/>
      <c r="N58" s="84"/>
      <c r="O58" s="84"/>
      <c r="P58" s="84"/>
      <c r="Q58" s="85"/>
      <c r="R58" s="145"/>
      <c r="S58" s="146"/>
      <c r="T58" s="147"/>
      <c r="U58" s="110"/>
      <c r="V58" s="111"/>
      <c r="W58" s="111"/>
      <c r="X58" s="118"/>
      <c r="Y58" s="118"/>
      <c r="Z58" s="119"/>
      <c r="AA58" s="28"/>
      <c r="AB58" s="28"/>
      <c r="AC58" s="28"/>
      <c r="AD58" s="28"/>
    </row>
    <row r="59" spans="1:34" ht="15.6" customHeight="1" x14ac:dyDescent="0.25">
      <c r="A59" s="289"/>
      <c r="B59" s="290"/>
      <c r="C59" s="290"/>
      <c r="D59" s="290"/>
      <c r="E59" s="290"/>
      <c r="F59" s="290"/>
      <c r="G59" s="290"/>
      <c r="H59" s="290"/>
      <c r="I59" s="290"/>
      <c r="J59" s="290"/>
      <c r="K59" s="290"/>
      <c r="L59" s="290"/>
      <c r="M59" s="290"/>
      <c r="N59" s="290"/>
      <c r="O59" s="290"/>
      <c r="P59" s="290"/>
      <c r="Q59" s="291"/>
      <c r="R59" s="145" t="s">
        <v>41</v>
      </c>
      <c r="S59" s="146"/>
      <c r="T59" s="147"/>
      <c r="U59" s="279"/>
      <c r="V59" s="280"/>
      <c r="W59" s="280"/>
      <c r="X59" s="281"/>
      <c r="Y59" s="281"/>
      <c r="Z59" s="282"/>
      <c r="AA59" s="28"/>
      <c r="AB59" s="28"/>
      <c r="AC59" s="28"/>
      <c r="AD59" s="28"/>
    </row>
    <row r="60" spans="1:34" ht="15.6" customHeight="1" x14ac:dyDescent="0.25">
      <c r="A60" s="289"/>
      <c r="B60" s="290"/>
      <c r="C60" s="290"/>
      <c r="D60" s="290"/>
      <c r="E60" s="290"/>
      <c r="F60" s="290"/>
      <c r="G60" s="290"/>
      <c r="H60" s="290"/>
      <c r="I60" s="290"/>
      <c r="J60" s="290"/>
      <c r="K60" s="290"/>
      <c r="L60" s="290"/>
      <c r="M60" s="290"/>
      <c r="N60" s="290"/>
      <c r="O60" s="290"/>
      <c r="P60" s="290"/>
      <c r="Q60" s="291"/>
      <c r="R60" s="145"/>
      <c r="S60" s="146"/>
      <c r="T60" s="147"/>
      <c r="U60" s="283"/>
      <c r="V60" s="128"/>
      <c r="W60" s="128"/>
      <c r="X60" s="128"/>
      <c r="Y60" s="128"/>
      <c r="Z60" s="284"/>
      <c r="AA60" s="28"/>
      <c r="AB60" s="28"/>
      <c r="AC60" s="28"/>
      <c r="AD60" s="28"/>
    </row>
    <row r="61" spans="1:34" ht="15.6" customHeight="1" x14ac:dyDescent="0.25">
      <c r="A61" s="289"/>
      <c r="B61" s="290"/>
      <c r="C61" s="290"/>
      <c r="D61" s="290"/>
      <c r="E61" s="290"/>
      <c r="F61" s="290"/>
      <c r="G61" s="290"/>
      <c r="H61" s="290"/>
      <c r="I61" s="290"/>
      <c r="J61" s="290"/>
      <c r="K61" s="290"/>
      <c r="L61" s="290"/>
      <c r="M61" s="290"/>
      <c r="N61" s="290"/>
      <c r="O61" s="290"/>
      <c r="P61" s="290"/>
      <c r="Q61" s="291"/>
      <c r="R61" s="145"/>
      <c r="S61" s="146"/>
      <c r="T61" s="147"/>
      <c r="U61" s="283"/>
      <c r="V61" s="128"/>
      <c r="W61" s="128"/>
      <c r="X61" s="128"/>
      <c r="Y61" s="128"/>
      <c r="Z61" s="284"/>
      <c r="AA61" s="28"/>
      <c r="AB61" s="28"/>
      <c r="AC61" s="28"/>
      <c r="AD61" s="28"/>
    </row>
    <row r="62" spans="1:34" ht="15.6" customHeight="1" x14ac:dyDescent="0.25">
      <c r="A62" s="292"/>
      <c r="B62" s="293"/>
      <c r="C62" s="293"/>
      <c r="D62" s="293"/>
      <c r="E62" s="293"/>
      <c r="F62" s="293"/>
      <c r="G62" s="293"/>
      <c r="H62" s="293"/>
      <c r="I62" s="293"/>
      <c r="J62" s="293"/>
      <c r="K62" s="293"/>
      <c r="L62" s="293"/>
      <c r="M62" s="293"/>
      <c r="N62" s="293"/>
      <c r="O62" s="293"/>
      <c r="P62" s="293"/>
      <c r="Q62" s="294"/>
      <c r="R62" s="148"/>
      <c r="S62" s="149"/>
      <c r="T62" s="150"/>
      <c r="U62" s="285"/>
      <c r="V62" s="286"/>
      <c r="W62" s="286"/>
      <c r="X62" s="287"/>
      <c r="Y62" s="287"/>
      <c r="Z62" s="288"/>
      <c r="AA62" s="28"/>
      <c r="AB62" s="28"/>
      <c r="AC62" s="28"/>
      <c r="AD62" s="28"/>
    </row>
  </sheetData>
  <sheetProtection selectLockedCells="1"/>
  <mergeCells count="155">
    <mergeCell ref="A56:Q56"/>
    <mergeCell ref="A57:Q57"/>
    <mergeCell ref="V60:Y61"/>
    <mergeCell ref="N46:Y46"/>
    <mergeCell ref="N47:Y47"/>
    <mergeCell ref="N48:Y48"/>
    <mergeCell ref="AG44:AH44"/>
    <mergeCell ref="AG45:AH45"/>
    <mergeCell ref="AG46:AH46"/>
    <mergeCell ref="AG47:AH47"/>
    <mergeCell ref="AG48:AH48"/>
    <mergeCell ref="C45:J45"/>
    <mergeCell ref="C46:J46"/>
    <mergeCell ref="C47:J47"/>
    <mergeCell ref="C48:J48"/>
    <mergeCell ref="K44:M44"/>
    <mergeCell ref="K45:M45"/>
    <mergeCell ref="K46:M46"/>
    <mergeCell ref="K47:M47"/>
    <mergeCell ref="K48:M48"/>
    <mergeCell ref="B12:F12"/>
    <mergeCell ref="G12:M12"/>
    <mergeCell ref="B17:H17"/>
    <mergeCell ref="I17:Y17"/>
    <mergeCell ref="B18:H18"/>
    <mergeCell ref="I18:Y18"/>
    <mergeCell ref="C32:J32"/>
    <mergeCell ref="C49:J49"/>
    <mergeCell ref="N25:Y25"/>
    <mergeCell ref="N26:Y26"/>
    <mergeCell ref="N27:Y27"/>
    <mergeCell ref="N28:Y28"/>
    <mergeCell ref="N29:Y29"/>
    <mergeCell ref="N30:Y30"/>
    <mergeCell ref="N31:Y31"/>
    <mergeCell ref="C33:J33"/>
    <mergeCell ref="C40:J40"/>
    <mergeCell ref="N37:Y37"/>
    <mergeCell ref="N38:Y38"/>
    <mergeCell ref="N39:Y39"/>
    <mergeCell ref="C43:J43"/>
    <mergeCell ref="C41:J41"/>
    <mergeCell ref="C42:J42"/>
    <mergeCell ref="N42:Y42"/>
    <mergeCell ref="A1:F6"/>
    <mergeCell ref="G1:T1"/>
    <mergeCell ref="U1:Z6"/>
    <mergeCell ref="B11:F11"/>
    <mergeCell ref="G11:M11"/>
    <mergeCell ref="N11:R11"/>
    <mergeCell ref="A7:F7"/>
    <mergeCell ref="G7:Z7"/>
    <mergeCell ref="B10:F10"/>
    <mergeCell ref="G10:M10"/>
    <mergeCell ref="N10:R10"/>
    <mergeCell ref="S10:Y10"/>
    <mergeCell ref="G2:T4"/>
    <mergeCell ref="G5:H5"/>
    <mergeCell ref="J5:K5"/>
    <mergeCell ref="L5:O5"/>
    <mergeCell ref="P5:T5"/>
    <mergeCell ref="P6:T6"/>
    <mergeCell ref="J6:K6"/>
    <mergeCell ref="L6:O6"/>
    <mergeCell ref="AG52:AH52"/>
    <mergeCell ref="AG42:AH42"/>
    <mergeCell ref="AG43:AH43"/>
    <mergeCell ref="AG49:AH49"/>
    <mergeCell ref="AG39:AH39"/>
    <mergeCell ref="C25:J25"/>
    <mergeCell ref="C26:J26"/>
    <mergeCell ref="C27:J27"/>
    <mergeCell ref="C28:J28"/>
    <mergeCell ref="AG30:AH30"/>
    <mergeCell ref="AG28:AH28"/>
    <mergeCell ref="AG29:AH29"/>
    <mergeCell ref="AG25:AH25"/>
    <mergeCell ref="AG26:AH26"/>
    <mergeCell ref="AG27:AH27"/>
    <mergeCell ref="AG50:AH50"/>
    <mergeCell ref="AG51:AH51"/>
    <mergeCell ref="AG32:AH32"/>
    <mergeCell ref="AG33:AH33"/>
    <mergeCell ref="AG40:AH40"/>
    <mergeCell ref="AG41:AH41"/>
    <mergeCell ref="N43:Y43"/>
    <mergeCell ref="N49:Y49"/>
    <mergeCell ref="N32:Y32"/>
    <mergeCell ref="AG31:AH31"/>
    <mergeCell ref="C29:J29"/>
    <mergeCell ref="C30:J30"/>
    <mergeCell ref="C31:J31"/>
    <mergeCell ref="AG23:AH23"/>
    <mergeCell ref="K42:M42"/>
    <mergeCell ref="K32:M32"/>
    <mergeCell ref="K30:M30"/>
    <mergeCell ref="K31:M31"/>
    <mergeCell ref="K28:M28"/>
    <mergeCell ref="AG24:AH24"/>
    <mergeCell ref="N33:Y33"/>
    <mergeCell ref="N40:Y40"/>
    <mergeCell ref="N41:Y41"/>
    <mergeCell ref="N34:Y34"/>
    <mergeCell ref="N35:Y35"/>
    <mergeCell ref="N36:Y36"/>
    <mergeCell ref="AG34:AH34"/>
    <mergeCell ref="AG35:AH35"/>
    <mergeCell ref="AG36:AH36"/>
    <mergeCell ref="AG37:AH37"/>
    <mergeCell ref="AG38:AH38"/>
    <mergeCell ref="K34:M34"/>
    <mergeCell ref="K35:M35"/>
    <mergeCell ref="AB23:AF23"/>
    <mergeCell ref="K26:M26"/>
    <mergeCell ref="N51:P51"/>
    <mergeCell ref="B51:J51"/>
    <mergeCell ref="K33:M33"/>
    <mergeCell ref="U55:Z55"/>
    <mergeCell ref="K43:M43"/>
    <mergeCell ref="K27:M27"/>
    <mergeCell ref="K25:M25"/>
    <mergeCell ref="K50:M50"/>
    <mergeCell ref="N23:Y24"/>
    <mergeCell ref="K40:M40"/>
    <mergeCell ref="K41:M41"/>
    <mergeCell ref="K24:M24"/>
    <mergeCell ref="B50:J50"/>
    <mergeCell ref="B52:J52"/>
    <mergeCell ref="N52:P52"/>
    <mergeCell ref="N44:Y44"/>
    <mergeCell ref="N45:Y45"/>
    <mergeCell ref="K36:M36"/>
    <mergeCell ref="K37:M37"/>
    <mergeCell ref="K38:M38"/>
    <mergeCell ref="K39:M39"/>
    <mergeCell ref="C34:J34"/>
    <mergeCell ref="U56:Z56"/>
    <mergeCell ref="U57:Z58"/>
    <mergeCell ref="K52:M52"/>
    <mergeCell ref="N50:P50"/>
    <mergeCell ref="B23:J24"/>
    <mergeCell ref="K49:M49"/>
    <mergeCell ref="K51:M51"/>
    <mergeCell ref="K23:M23"/>
    <mergeCell ref="K29:M29"/>
    <mergeCell ref="R59:T62"/>
    <mergeCell ref="R56:T56"/>
    <mergeCell ref="R57:T58"/>
    <mergeCell ref="A59:Q62"/>
    <mergeCell ref="C35:J35"/>
    <mergeCell ref="C36:J36"/>
    <mergeCell ref="C37:J37"/>
    <mergeCell ref="C38:J38"/>
    <mergeCell ref="C39:J39"/>
    <mergeCell ref="C44:J44"/>
  </mergeCells>
  <phoneticPr fontId="1" type="noConversion"/>
  <printOptions horizontalCentered="1"/>
  <pageMargins left="0.39370078740157483" right="0.39370078740157483" top="0.39370078740157483" bottom="0.39370078740157483" header="0" footer="0.19685039370078741"/>
  <pageSetup paperSize="9" scale="70" orientation="portrait" horizontalDpi="300" verticalDpi="300" r:id="rId1"/>
  <headerFooter alignWithMargins="0">
    <oddFooter>&amp;RDG-Q / RE PDL1 du 06/04/2011</oddFooter>
  </headerFooter>
  <drawing r:id="rId2"/>
  <legacyDrawing r:id="rId3"/>
  <controls>
    <mc:AlternateContent xmlns:mc="http://schemas.openxmlformats.org/markup-compatibility/2006">
      <mc:Choice Requires="x14">
        <control shapeId="3180" r:id="rId4" name="Signature">
          <controlPr autoLine="0" r:id="rId5">
            <anchor moveWithCells="1">
              <from>
                <xdr:col>27</xdr:col>
                <xdr:colOff>0</xdr:colOff>
                <xdr:row>59</xdr:row>
                <xdr:rowOff>0</xdr:rowOff>
              </from>
              <to>
                <xdr:col>29</xdr:col>
                <xdr:colOff>480060</xdr:colOff>
                <xdr:row>61</xdr:row>
                <xdr:rowOff>30480</xdr:rowOff>
              </to>
            </anchor>
          </controlPr>
        </control>
      </mc:Choice>
      <mc:Fallback>
        <control shapeId="3180" r:id="rId4" name="Signature"/>
      </mc:Fallback>
    </mc:AlternateContent>
    <mc:AlternateContent xmlns:mc="http://schemas.openxmlformats.org/markup-compatibility/2006">
      <mc:Choice Requires="x14">
        <control shapeId="3175" r:id="rId6" name="Check Box 103">
          <controlPr locked="0" defaultSize="0" autoFill="0" autoLine="0" autoPict="0">
            <anchor moveWithCells="1">
              <from>
                <xdr:col>18</xdr:col>
                <xdr:colOff>76200</xdr:colOff>
                <xdr:row>9</xdr:row>
                <xdr:rowOff>175260</xdr:rowOff>
              </from>
              <to>
                <xdr:col>19</xdr:col>
                <xdr:colOff>38100</xdr:colOff>
                <xdr:row>11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76" r:id="rId7" name="Check Box 104">
          <controlPr locked="0" defaultSize="0" autoFill="0" autoLine="0" autoPict="0">
            <anchor moveWithCells="1">
              <from>
                <xdr:col>21</xdr:col>
                <xdr:colOff>76200</xdr:colOff>
                <xdr:row>9</xdr:row>
                <xdr:rowOff>175260</xdr:rowOff>
              </from>
              <to>
                <xdr:col>22</xdr:col>
                <xdr:colOff>38100</xdr:colOff>
                <xdr:row>11</xdr:row>
                <xdr:rowOff>7620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pageSetUpPr fitToPage="1"/>
  </sheetPr>
  <dimension ref="A1:AH64"/>
  <sheetViews>
    <sheetView workbookViewId="0">
      <selection activeCell="AB9" sqref="AB9"/>
    </sheetView>
  </sheetViews>
  <sheetFormatPr baseColWidth="10" defaultColWidth="11.44140625" defaultRowHeight="13.2" x14ac:dyDescent="0.25"/>
  <cols>
    <col min="1" max="26" width="5.109375" style="28" customWidth="1"/>
    <col min="27" max="27" width="5" style="28" customWidth="1"/>
    <col min="28" max="34" width="7.33203125" style="28" customWidth="1"/>
    <col min="35" max="16384" width="11.44140625" style="28"/>
  </cols>
  <sheetData>
    <row r="1" spans="1:26" ht="12.75" customHeight="1" x14ac:dyDescent="0.25">
      <c r="A1" s="199"/>
      <c r="B1" s="200"/>
      <c r="C1" s="200"/>
      <c r="D1" s="200"/>
      <c r="E1" s="200"/>
      <c r="F1" s="201"/>
      <c r="G1" s="131" t="s">
        <v>80</v>
      </c>
      <c r="H1" s="132"/>
      <c r="I1" s="132"/>
      <c r="J1" s="132"/>
      <c r="K1" s="132"/>
      <c r="L1" s="132"/>
      <c r="M1" s="132"/>
      <c r="N1" s="132"/>
      <c r="O1" s="132"/>
      <c r="P1" s="132"/>
      <c r="Q1" s="132"/>
      <c r="R1" s="132"/>
      <c r="S1" s="132"/>
      <c r="T1" s="133"/>
      <c r="U1" s="125"/>
      <c r="V1" s="126"/>
      <c r="W1" s="126"/>
      <c r="X1" s="126"/>
      <c r="Y1" s="126"/>
      <c r="Z1" s="208"/>
    </row>
    <row r="2" spans="1:26" ht="12.75" customHeight="1" x14ac:dyDescent="0.25">
      <c r="A2" s="202"/>
      <c r="B2" s="203"/>
      <c r="C2" s="203"/>
      <c r="D2" s="203"/>
      <c r="E2" s="203"/>
      <c r="F2" s="204"/>
      <c r="G2" s="217" t="s">
        <v>79</v>
      </c>
      <c r="H2" s="218"/>
      <c r="I2" s="218"/>
      <c r="J2" s="218"/>
      <c r="K2" s="218"/>
      <c r="L2" s="218"/>
      <c r="M2" s="218"/>
      <c r="N2" s="218"/>
      <c r="O2" s="218"/>
      <c r="P2" s="218"/>
      <c r="Q2" s="218"/>
      <c r="R2" s="218"/>
      <c r="S2" s="218"/>
      <c r="T2" s="219"/>
      <c r="U2" s="127"/>
      <c r="V2" s="128"/>
      <c r="W2" s="128"/>
      <c r="X2" s="128"/>
      <c r="Y2" s="128"/>
      <c r="Z2" s="209"/>
    </row>
    <row r="3" spans="1:26" ht="12.75" customHeight="1" x14ac:dyDescent="0.25">
      <c r="A3" s="202"/>
      <c r="B3" s="203"/>
      <c r="C3" s="203"/>
      <c r="D3" s="203"/>
      <c r="E3" s="203"/>
      <c r="F3" s="204"/>
      <c r="G3" s="217"/>
      <c r="H3" s="218"/>
      <c r="I3" s="218"/>
      <c r="J3" s="218"/>
      <c r="K3" s="218"/>
      <c r="L3" s="218"/>
      <c r="M3" s="218"/>
      <c r="N3" s="218"/>
      <c r="O3" s="218"/>
      <c r="P3" s="218"/>
      <c r="Q3" s="218"/>
      <c r="R3" s="218"/>
      <c r="S3" s="218"/>
      <c r="T3" s="219"/>
      <c r="U3" s="127"/>
      <c r="V3" s="128"/>
      <c r="W3" s="128"/>
      <c r="X3" s="128"/>
      <c r="Y3" s="128"/>
      <c r="Z3" s="209"/>
    </row>
    <row r="4" spans="1:26" ht="12.75" customHeight="1" x14ac:dyDescent="0.25">
      <c r="A4" s="202"/>
      <c r="B4" s="203"/>
      <c r="C4" s="203"/>
      <c r="D4" s="203"/>
      <c r="E4" s="203"/>
      <c r="F4" s="204"/>
      <c r="G4" s="217"/>
      <c r="H4" s="218"/>
      <c r="I4" s="218"/>
      <c r="J4" s="218"/>
      <c r="K4" s="218"/>
      <c r="L4" s="218"/>
      <c r="M4" s="218"/>
      <c r="N4" s="218"/>
      <c r="O4" s="218"/>
      <c r="P4" s="218"/>
      <c r="Q4" s="218"/>
      <c r="R4" s="218"/>
      <c r="S4" s="218"/>
      <c r="T4" s="219"/>
      <c r="U4" s="127"/>
      <c r="V4" s="128"/>
      <c r="W4" s="128"/>
      <c r="X4" s="128"/>
      <c r="Y4" s="128"/>
      <c r="Z4" s="209"/>
    </row>
    <row r="5" spans="1:26" ht="12.75" customHeight="1" x14ac:dyDescent="0.25">
      <c r="A5" s="202"/>
      <c r="B5" s="203"/>
      <c r="C5" s="203"/>
      <c r="D5" s="203"/>
      <c r="E5" s="203"/>
      <c r="F5" s="204"/>
      <c r="G5" s="220" t="s">
        <v>78</v>
      </c>
      <c r="H5" s="221"/>
      <c r="I5" s="3" t="s">
        <v>59</v>
      </c>
      <c r="J5" s="222"/>
      <c r="K5" s="223"/>
      <c r="L5" s="224"/>
      <c r="M5" s="225"/>
      <c r="N5" s="225"/>
      <c r="O5" s="226"/>
      <c r="P5" s="227"/>
      <c r="Q5" s="228"/>
      <c r="R5" s="228"/>
      <c r="S5" s="228"/>
      <c r="T5" s="229"/>
      <c r="U5" s="127"/>
      <c r="V5" s="128"/>
      <c r="W5" s="128"/>
      <c r="X5" s="128"/>
      <c r="Y5" s="128"/>
      <c r="Z5" s="209"/>
    </row>
    <row r="6" spans="1:26" ht="12.75" customHeight="1" x14ac:dyDescent="0.25">
      <c r="A6" s="205"/>
      <c r="B6" s="206"/>
      <c r="C6" s="206"/>
      <c r="D6" s="206"/>
      <c r="E6" s="206"/>
      <c r="F6" s="207"/>
      <c r="G6" s="4"/>
      <c r="H6" s="5"/>
      <c r="I6" s="5"/>
      <c r="J6" s="230" t="s">
        <v>60</v>
      </c>
      <c r="K6" s="230"/>
      <c r="L6" s="230" t="s">
        <v>61</v>
      </c>
      <c r="M6" s="230"/>
      <c r="N6" s="230"/>
      <c r="O6" s="230"/>
      <c r="P6" s="230" t="s">
        <v>62</v>
      </c>
      <c r="Q6" s="230"/>
      <c r="R6" s="230"/>
      <c r="S6" s="230"/>
      <c r="T6" s="231"/>
      <c r="U6" s="129"/>
      <c r="V6" s="130"/>
      <c r="W6" s="130"/>
      <c r="X6" s="130"/>
      <c r="Y6" s="130"/>
      <c r="Z6" s="210"/>
    </row>
    <row r="7" spans="1:26" ht="36.75" customHeight="1" x14ac:dyDescent="0.25">
      <c r="A7" s="214" t="s">
        <v>37</v>
      </c>
      <c r="B7" s="214"/>
      <c r="C7" s="214"/>
      <c r="D7" s="214"/>
      <c r="E7" s="214"/>
      <c r="F7" s="214"/>
      <c r="G7" s="215" t="s">
        <v>43</v>
      </c>
      <c r="H7" s="215"/>
      <c r="I7" s="215"/>
      <c r="J7" s="215"/>
      <c r="K7" s="215"/>
      <c r="L7" s="215"/>
      <c r="M7" s="215"/>
      <c r="N7" s="215"/>
      <c r="O7" s="215"/>
      <c r="P7" s="215"/>
      <c r="Q7" s="215"/>
      <c r="R7" s="215"/>
      <c r="S7" s="215"/>
      <c r="T7" s="215"/>
      <c r="U7" s="215"/>
      <c r="V7" s="215"/>
      <c r="W7" s="215"/>
      <c r="X7" s="215"/>
      <c r="Y7" s="215"/>
      <c r="Z7" s="215"/>
    </row>
    <row r="8" spans="1:26" ht="15" customHeight="1" x14ac:dyDescent="0.25">
      <c r="A8" s="8" t="s">
        <v>0</v>
      </c>
      <c r="B8" s="9" t="s">
        <v>1</v>
      </c>
      <c r="C8" s="10"/>
      <c r="D8" s="11"/>
      <c r="E8" s="11"/>
      <c r="F8" s="11"/>
      <c r="G8" s="11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  <c r="Y8" s="12"/>
      <c r="Z8" s="13"/>
    </row>
    <row r="9" spans="1:26" ht="15" customHeight="1" x14ac:dyDescent="0.25">
      <c r="A9" s="14"/>
      <c r="B9" s="15"/>
      <c r="C9" s="15"/>
      <c r="D9" s="16"/>
      <c r="E9" s="16"/>
      <c r="F9" s="16"/>
      <c r="G9" s="16"/>
      <c r="H9" s="15"/>
      <c r="I9" s="15"/>
      <c r="J9" s="15"/>
      <c r="K9" s="15"/>
      <c r="L9" s="15"/>
      <c r="M9" s="15"/>
      <c r="N9" s="15"/>
      <c r="O9" s="15"/>
      <c r="P9" s="15"/>
      <c r="Q9" s="15"/>
      <c r="R9" s="15"/>
      <c r="S9" s="15"/>
      <c r="T9" s="15"/>
      <c r="U9" s="15"/>
      <c r="V9" s="15"/>
      <c r="W9" s="15"/>
      <c r="X9" s="15"/>
      <c r="Y9" s="15"/>
      <c r="Z9" s="17"/>
    </row>
    <row r="10" spans="1:26" ht="15" customHeight="1" x14ac:dyDescent="0.25">
      <c r="A10" s="14"/>
      <c r="B10" s="254" t="s">
        <v>33</v>
      </c>
      <c r="C10" s="254"/>
      <c r="D10" s="254"/>
      <c r="E10" s="254"/>
      <c r="F10" s="254"/>
      <c r="G10" s="255"/>
      <c r="H10" s="255"/>
      <c r="I10" s="255"/>
      <c r="J10" s="255"/>
      <c r="K10" s="255"/>
      <c r="L10" s="255"/>
      <c r="M10" s="255"/>
      <c r="N10" s="254" t="s">
        <v>35</v>
      </c>
      <c r="O10" s="254"/>
      <c r="P10" s="254"/>
      <c r="Q10" s="254"/>
      <c r="R10" s="254"/>
      <c r="S10" s="255"/>
      <c r="T10" s="255"/>
      <c r="U10" s="255"/>
      <c r="V10" s="255"/>
      <c r="W10" s="255"/>
      <c r="X10" s="255"/>
      <c r="Y10" s="255"/>
      <c r="Z10" s="18"/>
    </row>
    <row r="11" spans="1:26" ht="15" customHeight="1" x14ac:dyDescent="0.25">
      <c r="A11" s="14"/>
      <c r="B11" s="254" t="s">
        <v>15</v>
      </c>
      <c r="C11" s="254"/>
      <c r="D11" s="254"/>
      <c r="E11" s="254"/>
      <c r="F11" s="254"/>
      <c r="G11" s="256"/>
      <c r="H11" s="256"/>
      <c r="I11" s="256"/>
      <c r="J11" s="256"/>
      <c r="K11" s="256"/>
      <c r="L11" s="256"/>
      <c r="M11" s="256"/>
      <c r="N11" s="254" t="s">
        <v>36</v>
      </c>
      <c r="O11" s="254"/>
      <c r="P11" s="254"/>
      <c r="Q11" s="254"/>
      <c r="R11" s="254"/>
      <c r="S11" s="86"/>
      <c r="T11" s="87" t="s">
        <v>30</v>
      </c>
      <c r="U11" s="86"/>
      <c r="V11" s="86"/>
      <c r="W11" s="87" t="s">
        <v>31</v>
      </c>
      <c r="X11" s="86"/>
      <c r="Y11" s="86"/>
      <c r="Z11" s="20"/>
    </row>
    <row r="12" spans="1:26" ht="14.25" customHeight="1" x14ac:dyDescent="0.25">
      <c r="A12" s="14"/>
      <c r="B12" s="254" t="s">
        <v>34</v>
      </c>
      <c r="C12" s="254"/>
      <c r="D12" s="254"/>
      <c r="E12" s="254"/>
      <c r="F12" s="254"/>
      <c r="G12" s="255"/>
      <c r="H12" s="255"/>
      <c r="I12" s="255"/>
      <c r="J12" s="255"/>
      <c r="K12" s="255"/>
      <c r="L12" s="255"/>
      <c r="M12" s="255"/>
      <c r="N12" s="88"/>
      <c r="O12" s="88"/>
      <c r="P12" s="88"/>
      <c r="Q12" s="88"/>
      <c r="R12" s="88"/>
      <c r="S12" s="88"/>
      <c r="T12" s="88"/>
      <c r="U12" s="88"/>
      <c r="V12" s="88"/>
      <c r="W12" s="88"/>
      <c r="X12" s="88"/>
      <c r="Y12" s="88"/>
      <c r="Z12" s="18"/>
    </row>
    <row r="13" spans="1:26" ht="15" customHeight="1" x14ac:dyDescent="0.25">
      <c r="A13" s="23"/>
      <c r="B13" s="24"/>
      <c r="C13" s="24"/>
      <c r="D13" s="25"/>
      <c r="E13" s="25"/>
      <c r="F13" s="25"/>
      <c r="G13" s="25"/>
      <c r="H13" s="24"/>
      <c r="I13" s="24"/>
      <c r="J13" s="24"/>
      <c r="K13" s="24"/>
      <c r="L13" s="24"/>
      <c r="M13" s="24"/>
      <c r="N13" s="26"/>
      <c r="O13" s="24"/>
      <c r="P13" s="24"/>
      <c r="Q13" s="24"/>
      <c r="R13" s="24"/>
      <c r="S13" s="24"/>
      <c r="T13" s="24"/>
      <c r="U13" s="24"/>
      <c r="V13" s="24"/>
      <c r="W13" s="24"/>
      <c r="X13" s="24"/>
      <c r="Y13" s="24"/>
      <c r="Z13" s="27"/>
    </row>
    <row r="14" spans="1:26" ht="15" x14ac:dyDescent="0.25">
      <c r="B14" s="29"/>
      <c r="C14" s="29"/>
      <c r="K14" s="30"/>
      <c r="L14" s="29"/>
      <c r="M14" s="31"/>
    </row>
    <row r="15" spans="1:26" ht="15" x14ac:dyDescent="0.25">
      <c r="A15" s="8" t="s">
        <v>2</v>
      </c>
      <c r="B15" s="32" t="s">
        <v>3</v>
      </c>
      <c r="C15" s="12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3"/>
    </row>
    <row r="16" spans="1:26" ht="15" x14ac:dyDescent="0.25">
      <c r="A16" s="14"/>
      <c r="B16" s="34"/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5"/>
      <c r="P16" s="15"/>
      <c r="Q16" s="15"/>
      <c r="R16" s="15"/>
      <c r="S16" s="15"/>
      <c r="T16" s="15"/>
      <c r="U16" s="15"/>
      <c r="V16" s="15"/>
      <c r="W16" s="15"/>
      <c r="X16" s="15"/>
      <c r="Y16" s="15"/>
      <c r="Z16" s="17"/>
    </row>
    <row r="17" spans="1:34" ht="15" x14ac:dyDescent="0.25">
      <c r="A17" s="14"/>
      <c r="B17" s="254" t="s">
        <v>4</v>
      </c>
      <c r="C17" s="254"/>
      <c r="D17" s="254"/>
      <c r="E17" s="254"/>
      <c r="F17" s="254"/>
      <c r="G17" s="254"/>
      <c r="H17" s="254"/>
      <c r="I17" s="255"/>
      <c r="J17" s="255"/>
      <c r="K17" s="255"/>
      <c r="L17" s="255"/>
      <c r="M17" s="255"/>
      <c r="N17" s="255"/>
      <c r="O17" s="255"/>
      <c r="P17" s="255"/>
      <c r="Q17" s="255"/>
      <c r="R17" s="255"/>
      <c r="S17" s="255"/>
      <c r="T17" s="255"/>
      <c r="U17" s="255"/>
      <c r="V17" s="255"/>
      <c r="W17" s="255"/>
      <c r="X17" s="255"/>
      <c r="Y17" s="255"/>
      <c r="Z17" s="18"/>
    </row>
    <row r="18" spans="1:34" ht="15" x14ac:dyDescent="0.25">
      <c r="A18" s="14"/>
      <c r="B18" s="254" t="s">
        <v>5</v>
      </c>
      <c r="C18" s="254"/>
      <c r="D18" s="254"/>
      <c r="E18" s="254"/>
      <c r="F18" s="254"/>
      <c r="G18" s="254"/>
      <c r="H18" s="254"/>
      <c r="I18" s="255"/>
      <c r="J18" s="255"/>
      <c r="K18" s="255"/>
      <c r="L18" s="255"/>
      <c r="M18" s="255"/>
      <c r="N18" s="255"/>
      <c r="O18" s="255"/>
      <c r="P18" s="255"/>
      <c r="Q18" s="255"/>
      <c r="R18" s="255"/>
      <c r="S18" s="255"/>
      <c r="T18" s="255"/>
      <c r="U18" s="255"/>
      <c r="V18" s="255"/>
      <c r="W18" s="255"/>
      <c r="X18" s="255"/>
      <c r="Y18" s="255"/>
      <c r="Z18" s="18"/>
    </row>
    <row r="19" spans="1:34" x14ac:dyDescent="0.25">
      <c r="A19" s="23"/>
      <c r="B19" s="24"/>
      <c r="C19" s="24"/>
      <c r="D19" s="24"/>
      <c r="E19" s="24"/>
      <c r="F19" s="24"/>
      <c r="G19" s="24"/>
      <c r="H19" s="24"/>
      <c r="I19" s="24"/>
      <c r="J19" s="24"/>
      <c r="K19" s="24"/>
      <c r="L19" s="24"/>
      <c r="M19" s="24"/>
      <c r="N19" s="24"/>
      <c r="O19" s="24"/>
      <c r="P19" s="24"/>
      <c r="Q19" s="24"/>
      <c r="R19" s="24"/>
      <c r="S19" s="24"/>
      <c r="T19" s="24"/>
      <c r="U19" s="24"/>
      <c r="V19" s="24"/>
      <c r="W19" s="24"/>
      <c r="X19" s="24"/>
      <c r="Y19" s="24"/>
      <c r="Z19" s="27"/>
    </row>
    <row r="20" spans="1:34" x14ac:dyDescent="0.25">
      <c r="C20" s="35"/>
    </row>
    <row r="21" spans="1:34" ht="15" x14ac:dyDescent="0.25">
      <c r="A21" s="8" t="s">
        <v>6</v>
      </c>
      <c r="B21" s="9" t="s">
        <v>7</v>
      </c>
      <c r="C21" s="12"/>
      <c r="D21" s="11"/>
      <c r="E21" s="11"/>
      <c r="F21" s="11"/>
      <c r="G21" s="11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3"/>
    </row>
    <row r="22" spans="1:34" ht="13.8" thickBot="1" x14ac:dyDescent="0.3">
      <c r="A22" s="36"/>
      <c r="B22" s="37"/>
      <c r="C22" s="37"/>
      <c r="D22" s="37"/>
      <c r="E22" s="37"/>
      <c r="F22" s="37"/>
      <c r="G22" s="37"/>
      <c r="H22" s="37"/>
      <c r="I22" s="37"/>
      <c r="J22" s="37"/>
      <c r="K22" s="37"/>
      <c r="L22" s="37"/>
      <c r="M22" s="37"/>
      <c r="N22" s="37"/>
      <c r="O22" s="37"/>
      <c r="P22" s="37"/>
      <c r="Q22" s="37"/>
      <c r="R22" s="37"/>
      <c r="S22" s="37"/>
      <c r="T22" s="37"/>
      <c r="U22" s="37"/>
      <c r="V22" s="37"/>
      <c r="W22" s="37"/>
      <c r="X22" s="37"/>
      <c r="Y22" s="37"/>
      <c r="Z22" s="38"/>
    </row>
    <row r="23" spans="1:34" ht="15" customHeight="1" thickBot="1" x14ac:dyDescent="0.3">
      <c r="A23" s="36"/>
      <c r="B23" s="131" t="s">
        <v>16</v>
      </c>
      <c r="C23" s="132"/>
      <c r="D23" s="132"/>
      <c r="E23" s="132"/>
      <c r="F23" s="132"/>
      <c r="G23" s="132"/>
      <c r="H23" s="132"/>
      <c r="I23" s="132"/>
      <c r="J23" s="133"/>
      <c r="K23" s="131" t="s">
        <v>77</v>
      </c>
      <c r="L23" s="143"/>
      <c r="M23" s="144"/>
      <c r="N23" s="131" t="s">
        <v>18</v>
      </c>
      <c r="O23" s="132"/>
      <c r="P23" s="132"/>
      <c r="Q23" s="132"/>
      <c r="R23" s="132"/>
      <c r="S23" s="132"/>
      <c r="T23" s="132"/>
      <c r="U23" s="132"/>
      <c r="V23" s="132"/>
      <c r="W23" s="132"/>
      <c r="X23" s="132"/>
      <c r="Y23" s="133"/>
      <c r="Z23" s="38"/>
      <c r="AB23" s="248" t="s">
        <v>50</v>
      </c>
      <c r="AC23" s="249"/>
      <c r="AD23" s="249"/>
      <c r="AE23" s="249"/>
      <c r="AF23" s="250"/>
      <c r="AG23" s="164" t="s">
        <v>77</v>
      </c>
      <c r="AH23" s="165"/>
    </row>
    <row r="24" spans="1:34" ht="14.25" customHeight="1" x14ac:dyDescent="0.25">
      <c r="A24" s="36"/>
      <c r="B24" s="134"/>
      <c r="C24" s="135"/>
      <c r="D24" s="135"/>
      <c r="E24" s="135"/>
      <c r="F24" s="135"/>
      <c r="G24" s="135"/>
      <c r="H24" s="135"/>
      <c r="I24" s="135"/>
      <c r="J24" s="136"/>
      <c r="K24" s="134" t="s">
        <v>76</v>
      </c>
      <c r="L24" s="177"/>
      <c r="M24" s="178"/>
      <c r="N24" s="134"/>
      <c r="O24" s="135"/>
      <c r="P24" s="135"/>
      <c r="Q24" s="135"/>
      <c r="R24" s="135"/>
      <c r="S24" s="135"/>
      <c r="T24" s="135"/>
      <c r="U24" s="135"/>
      <c r="V24" s="135"/>
      <c r="W24" s="135"/>
      <c r="X24" s="135"/>
      <c r="Y24" s="136"/>
      <c r="Z24" s="38"/>
      <c r="AB24" s="89" t="s">
        <v>47</v>
      </c>
      <c r="AC24" s="90" t="s">
        <v>48</v>
      </c>
      <c r="AD24" s="90" t="s">
        <v>49</v>
      </c>
      <c r="AE24" s="90" t="s">
        <v>51</v>
      </c>
      <c r="AF24" s="91" t="s">
        <v>46</v>
      </c>
      <c r="AG24" s="251" t="s">
        <v>75</v>
      </c>
      <c r="AH24" s="252"/>
    </row>
    <row r="25" spans="1:34" ht="20.100000000000001" customHeight="1" x14ac:dyDescent="0.25">
      <c r="A25" s="36"/>
      <c r="B25" s="92" t="s">
        <v>20</v>
      </c>
      <c r="C25" s="238"/>
      <c r="D25" s="239"/>
      <c r="E25" s="239"/>
      <c r="F25" s="239"/>
      <c r="G25" s="239"/>
      <c r="H25" s="239"/>
      <c r="I25" s="239"/>
      <c r="J25" s="240"/>
      <c r="K25" s="235" t="str">
        <f t="shared" ref="K25:K49" si="0">IF(AE25&lt;&gt;0,AG25,"")</f>
        <v/>
      </c>
      <c r="L25" s="236"/>
      <c r="M25" s="237"/>
      <c r="N25" s="232"/>
      <c r="O25" s="233"/>
      <c r="P25" s="233"/>
      <c r="Q25" s="233"/>
      <c r="R25" s="233"/>
      <c r="S25" s="233"/>
      <c r="T25" s="233"/>
      <c r="U25" s="233"/>
      <c r="V25" s="233"/>
      <c r="W25" s="233"/>
      <c r="X25" s="233"/>
      <c r="Y25" s="234"/>
      <c r="Z25" s="38"/>
      <c r="AB25" s="48"/>
      <c r="AC25" s="93"/>
      <c r="AD25" s="93"/>
      <c r="AE25" s="94" t="str">
        <f t="shared" ref="AE25:AE38" si="1">IF(AB25&lt;&gt;"",AVERAGE(AB25:AD25),"")</f>
        <v/>
      </c>
      <c r="AF25" s="95" t="str">
        <f t="shared" ref="AF25:AF38" si="2">IF(AE25&lt;&gt;"",22.5/AE25,"")</f>
        <v/>
      </c>
      <c r="AG25" s="190" t="str">
        <f t="shared" ref="AG25:AG49" si="3">IF(AF25&lt;&gt;"",POWER((-100*LN(1-(AF25/300))),(1/0.85)),"")</f>
        <v/>
      </c>
      <c r="AH25" s="191"/>
    </row>
    <row r="26" spans="1:34" ht="20.100000000000001" customHeight="1" x14ac:dyDescent="0.25">
      <c r="A26" s="36"/>
      <c r="B26" s="92" t="s">
        <v>21</v>
      </c>
      <c r="C26" s="238"/>
      <c r="D26" s="239"/>
      <c r="E26" s="239"/>
      <c r="F26" s="239"/>
      <c r="G26" s="239"/>
      <c r="H26" s="239"/>
      <c r="I26" s="239"/>
      <c r="J26" s="240"/>
      <c r="K26" s="235" t="str">
        <f t="shared" si="0"/>
        <v/>
      </c>
      <c r="L26" s="236"/>
      <c r="M26" s="237"/>
      <c r="N26" s="232"/>
      <c r="O26" s="233"/>
      <c r="P26" s="233"/>
      <c r="Q26" s="233"/>
      <c r="R26" s="233"/>
      <c r="S26" s="233"/>
      <c r="T26" s="233"/>
      <c r="U26" s="233"/>
      <c r="V26" s="233"/>
      <c r="W26" s="233"/>
      <c r="X26" s="233"/>
      <c r="Y26" s="234"/>
      <c r="Z26" s="38"/>
      <c r="AB26" s="48"/>
      <c r="AC26" s="93"/>
      <c r="AD26" s="93"/>
      <c r="AE26" s="94" t="str">
        <f t="shared" si="1"/>
        <v/>
      </c>
      <c r="AF26" s="95" t="str">
        <f t="shared" si="2"/>
        <v/>
      </c>
      <c r="AG26" s="190" t="str">
        <f t="shared" si="3"/>
        <v/>
      </c>
      <c r="AH26" s="191"/>
    </row>
    <row r="27" spans="1:34" ht="20.100000000000001" customHeight="1" x14ac:dyDescent="0.25">
      <c r="A27" s="36"/>
      <c r="B27" s="92" t="s">
        <v>22</v>
      </c>
      <c r="C27" s="238"/>
      <c r="D27" s="239"/>
      <c r="E27" s="239"/>
      <c r="F27" s="239"/>
      <c r="G27" s="239"/>
      <c r="H27" s="239"/>
      <c r="I27" s="239"/>
      <c r="J27" s="240"/>
      <c r="K27" s="235" t="str">
        <f t="shared" si="0"/>
        <v/>
      </c>
      <c r="L27" s="236"/>
      <c r="M27" s="237"/>
      <c r="N27" s="232"/>
      <c r="O27" s="233"/>
      <c r="P27" s="233"/>
      <c r="Q27" s="233"/>
      <c r="R27" s="233"/>
      <c r="S27" s="233"/>
      <c r="T27" s="233"/>
      <c r="U27" s="233"/>
      <c r="V27" s="233"/>
      <c r="W27" s="233"/>
      <c r="X27" s="233"/>
      <c r="Y27" s="234"/>
      <c r="Z27" s="38"/>
      <c r="AB27" s="48"/>
      <c r="AC27" s="93"/>
      <c r="AD27" s="93"/>
      <c r="AE27" s="94" t="str">
        <f t="shared" si="1"/>
        <v/>
      </c>
      <c r="AF27" s="95" t="str">
        <f t="shared" si="2"/>
        <v/>
      </c>
      <c r="AG27" s="190" t="str">
        <f t="shared" si="3"/>
        <v/>
      </c>
      <c r="AH27" s="191"/>
    </row>
    <row r="28" spans="1:34" ht="20.100000000000001" customHeight="1" x14ac:dyDescent="0.25">
      <c r="A28" s="36"/>
      <c r="B28" s="92" t="s">
        <v>23</v>
      </c>
      <c r="C28" s="238"/>
      <c r="D28" s="239"/>
      <c r="E28" s="239"/>
      <c r="F28" s="239"/>
      <c r="G28" s="239"/>
      <c r="H28" s="239"/>
      <c r="I28" s="239"/>
      <c r="J28" s="240"/>
      <c r="K28" s="235" t="str">
        <f t="shared" si="0"/>
        <v/>
      </c>
      <c r="L28" s="236"/>
      <c r="M28" s="237"/>
      <c r="N28" s="232"/>
      <c r="O28" s="233"/>
      <c r="P28" s="233"/>
      <c r="Q28" s="233"/>
      <c r="R28" s="233"/>
      <c r="S28" s="233"/>
      <c r="T28" s="233"/>
      <c r="U28" s="233"/>
      <c r="V28" s="233"/>
      <c r="W28" s="233"/>
      <c r="X28" s="233"/>
      <c r="Y28" s="234"/>
      <c r="Z28" s="38"/>
      <c r="AB28" s="48"/>
      <c r="AC28" s="93"/>
      <c r="AD28" s="93"/>
      <c r="AE28" s="94" t="str">
        <f t="shared" si="1"/>
        <v/>
      </c>
      <c r="AF28" s="95" t="str">
        <f t="shared" si="2"/>
        <v/>
      </c>
      <c r="AG28" s="190" t="str">
        <f t="shared" si="3"/>
        <v/>
      </c>
      <c r="AH28" s="191"/>
    </row>
    <row r="29" spans="1:34" ht="20.100000000000001" customHeight="1" x14ac:dyDescent="0.25">
      <c r="A29" s="36"/>
      <c r="B29" s="92" t="s">
        <v>24</v>
      </c>
      <c r="C29" s="238"/>
      <c r="D29" s="239"/>
      <c r="E29" s="239"/>
      <c r="F29" s="239"/>
      <c r="G29" s="239"/>
      <c r="H29" s="239"/>
      <c r="I29" s="239"/>
      <c r="J29" s="240"/>
      <c r="K29" s="235" t="str">
        <f t="shared" si="0"/>
        <v/>
      </c>
      <c r="L29" s="236"/>
      <c r="M29" s="237"/>
      <c r="N29" s="232"/>
      <c r="O29" s="233"/>
      <c r="P29" s="233"/>
      <c r="Q29" s="233"/>
      <c r="R29" s="233"/>
      <c r="S29" s="233"/>
      <c r="T29" s="233"/>
      <c r="U29" s="233"/>
      <c r="V29" s="233"/>
      <c r="W29" s="233"/>
      <c r="X29" s="233"/>
      <c r="Y29" s="234"/>
      <c r="Z29" s="38"/>
      <c r="AB29" s="48"/>
      <c r="AC29" s="93"/>
      <c r="AD29" s="93"/>
      <c r="AE29" s="94" t="str">
        <f t="shared" si="1"/>
        <v/>
      </c>
      <c r="AF29" s="95" t="str">
        <f t="shared" si="2"/>
        <v/>
      </c>
      <c r="AG29" s="190" t="str">
        <f t="shared" si="3"/>
        <v/>
      </c>
      <c r="AH29" s="191"/>
    </row>
    <row r="30" spans="1:34" ht="20.100000000000001" customHeight="1" x14ac:dyDescent="0.25">
      <c r="A30" s="36"/>
      <c r="B30" s="92" t="s">
        <v>25</v>
      </c>
      <c r="C30" s="238"/>
      <c r="D30" s="239"/>
      <c r="E30" s="239"/>
      <c r="F30" s="239"/>
      <c r="G30" s="239"/>
      <c r="H30" s="239"/>
      <c r="I30" s="239"/>
      <c r="J30" s="240"/>
      <c r="K30" s="235" t="str">
        <f t="shared" si="0"/>
        <v/>
      </c>
      <c r="L30" s="236"/>
      <c r="M30" s="237"/>
      <c r="N30" s="232"/>
      <c r="O30" s="233"/>
      <c r="P30" s="233"/>
      <c r="Q30" s="233"/>
      <c r="R30" s="233"/>
      <c r="S30" s="233"/>
      <c r="T30" s="233"/>
      <c r="U30" s="233"/>
      <c r="V30" s="233"/>
      <c r="W30" s="233"/>
      <c r="X30" s="233"/>
      <c r="Y30" s="234"/>
      <c r="Z30" s="38"/>
      <c r="AB30" s="48"/>
      <c r="AC30" s="93"/>
      <c r="AD30" s="93"/>
      <c r="AE30" s="94" t="str">
        <f t="shared" si="1"/>
        <v/>
      </c>
      <c r="AF30" s="95" t="str">
        <f t="shared" si="2"/>
        <v/>
      </c>
      <c r="AG30" s="190" t="str">
        <f t="shared" si="3"/>
        <v/>
      </c>
      <c r="AH30" s="191"/>
    </row>
    <row r="31" spans="1:34" ht="20.100000000000001" customHeight="1" x14ac:dyDescent="0.25">
      <c r="A31" s="36"/>
      <c r="B31" s="92" t="s">
        <v>26</v>
      </c>
      <c r="C31" s="238"/>
      <c r="D31" s="239"/>
      <c r="E31" s="239"/>
      <c r="F31" s="239"/>
      <c r="G31" s="239"/>
      <c r="H31" s="239"/>
      <c r="I31" s="239"/>
      <c r="J31" s="240"/>
      <c r="K31" s="235" t="str">
        <f t="shared" si="0"/>
        <v/>
      </c>
      <c r="L31" s="236"/>
      <c r="M31" s="237"/>
      <c r="N31" s="232"/>
      <c r="O31" s="233"/>
      <c r="P31" s="233"/>
      <c r="Q31" s="233"/>
      <c r="R31" s="233"/>
      <c r="S31" s="233"/>
      <c r="T31" s="233"/>
      <c r="U31" s="233"/>
      <c r="V31" s="233"/>
      <c r="W31" s="233"/>
      <c r="X31" s="233"/>
      <c r="Y31" s="234"/>
      <c r="Z31" s="38"/>
      <c r="AB31" s="48"/>
      <c r="AC31" s="93"/>
      <c r="AD31" s="93"/>
      <c r="AE31" s="94" t="str">
        <f t="shared" si="1"/>
        <v/>
      </c>
      <c r="AF31" s="95" t="str">
        <f t="shared" si="2"/>
        <v/>
      </c>
      <c r="AG31" s="190" t="str">
        <f t="shared" si="3"/>
        <v/>
      </c>
      <c r="AH31" s="191"/>
    </row>
    <row r="32" spans="1:34" ht="20.100000000000001" customHeight="1" x14ac:dyDescent="0.25">
      <c r="A32" s="36"/>
      <c r="B32" s="92" t="s">
        <v>27</v>
      </c>
      <c r="C32" s="238"/>
      <c r="D32" s="239"/>
      <c r="E32" s="239"/>
      <c r="F32" s="239"/>
      <c r="G32" s="239"/>
      <c r="H32" s="239"/>
      <c r="I32" s="239"/>
      <c r="J32" s="240"/>
      <c r="K32" s="235" t="str">
        <f t="shared" si="0"/>
        <v/>
      </c>
      <c r="L32" s="236"/>
      <c r="M32" s="237"/>
      <c r="N32" s="232"/>
      <c r="O32" s="233"/>
      <c r="P32" s="233"/>
      <c r="Q32" s="233"/>
      <c r="R32" s="233"/>
      <c r="S32" s="233"/>
      <c r="T32" s="233"/>
      <c r="U32" s="233"/>
      <c r="V32" s="233"/>
      <c r="W32" s="233"/>
      <c r="X32" s="233"/>
      <c r="Y32" s="234"/>
      <c r="Z32" s="38"/>
      <c r="AB32" s="48"/>
      <c r="AC32" s="93"/>
      <c r="AD32" s="93"/>
      <c r="AE32" s="94" t="str">
        <f t="shared" si="1"/>
        <v/>
      </c>
      <c r="AF32" s="95" t="str">
        <f t="shared" si="2"/>
        <v/>
      </c>
      <c r="AG32" s="190" t="str">
        <f t="shared" si="3"/>
        <v/>
      </c>
      <c r="AH32" s="191"/>
    </row>
    <row r="33" spans="1:34" ht="20.100000000000001" customHeight="1" x14ac:dyDescent="0.25">
      <c r="A33" s="36"/>
      <c r="B33" s="92" t="s">
        <v>28</v>
      </c>
      <c r="C33" s="238"/>
      <c r="D33" s="239"/>
      <c r="E33" s="239"/>
      <c r="F33" s="239"/>
      <c r="G33" s="239"/>
      <c r="H33" s="239"/>
      <c r="I33" s="239"/>
      <c r="J33" s="240"/>
      <c r="K33" s="235" t="str">
        <f t="shared" si="0"/>
        <v/>
      </c>
      <c r="L33" s="236"/>
      <c r="M33" s="237"/>
      <c r="N33" s="232"/>
      <c r="O33" s="233"/>
      <c r="P33" s="233"/>
      <c r="Q33" s="233"/>
      <c r="R33" s="233"/>
      <c r="S33" s="233"/>
      <c r="T33" s="233"/>
      <c r="U33" s="233"/>
      <c r="V33" s="233"/>
      <c r="W33" s="233"/>
      <c r="X33" s="233"/>
      <c r="Y33" s="234"/>
      <c r="Z33" s="38"/>
      <c r="AB33" s="48"/>
      <c r="AC33" s="93"/>
      <c r="AD33" s="93"/>
      <c r="AE33" s="94" t="str">
        <f t="shared" si="1"/>
        <v/>
      </c>
      <c r="AF33" s="95" t="str">
        <f t="shared" si="2"/>
        <v/>
      </c>
      <c r="AG33" s="190" t="str">
        <f t="shared" si="3"/>
        <v/>
      </c>
      <c r="AH33" s="191"/>
    </row>
    <row r="34" spans="1:34" ht="20.100000000000001" customHeight="1" x14ac:dyDescent="0.25">
      <c r="A34" s="36"/>
      <c r="B34" s="92" t="s">
        <v>29</v>
      </c>
      <c r="C34" s="238"/>
      <c r="D34" s="239"/>
      <c r="E34" s="239"/>
      <c r="F34" s="239"/>
      <c r="G34" s="239"/>
      <c r="H34" s="239"/>
      <c r="I34" s="239"/>
      <c r="J34" s="240"/>
      <c r="K34" s="235" t="str">
        <f t="shared" si="0"/>
        <v/>
      </c>
      <c r="L34" s="236"/>
      <c r="M34" s="237"/>
      <c r="N34" s="232"/>
      <c r="O34" s="233"/>
      <c r="P34" s="233"/>
      <c r="Q34" s="233"/>
      <c r="R34" s="233"/>
      <c r="S34" s="233"/>
      <c r="T34" s="233"/>
      <c r="U34" s="233"/>
      <c r="V34" s="233"/>
      <c r="W34" s="233"/>
      <c r="X34" s="233"/>
      <c r="Y34" s="234"/>
      <c r="Z34" s="38"/>
      <c r="AB34" s="48"/>
      <c r="AC34" s="93"/>
      <c r="AD34" s="93"/>
      <c r="AE34" s="94" t="str">
        <f t="shared" si="1"/>
        <v/>
      </c>
      <c r="AF34" s="95" t="str">
        <f t="shared" si="2"/>
        <v/>
      </c>
      <c r="AG34" s="190" t="str">
        <f t="shared" si="3"/>
        <v/>
      </c>
      <c r="AH34" s="191"/>
    </row>
    <row r="35" spans="1:34" ht="20.100000000000001" customHeight="1" x14ac:dyDescent="0.25">
      <c r="A35" s="36"/>
      <c r="B35" s="92" t="s">
        <v>52</v>
      </c>
      <c r="C35" s="238"/>
      <c r="D35" s="239"/>
      <c r="E35" s="239"/>
      <c r="F35" s="239"/>
      <c r="G35" s="239"/>
      <c r="H35" s="239"/>
      <c r="I35" s="239"/>
      <c r="J35" s="240"/>
      <c r="K35" s="235" t="str">
        <f t="shared" si="0"/>
        <v/>
      </c>
      <c r="L35" s="236"/>
      <c r="M35" s="237"/>
      <c r="N35" s="232"/>
      <c r="O35" s="233"/>
      <c r="P35" s="233"/>
      <c r="Q35" s="233"/>
      <c r="R35" s="233"/>
      <c r="S35" s="233"/>
      <c r="T35" s="233"/>
      <c r="U35" s="233"/>
      <c r="V35" s="233"/>
      <c r="W35" s="233"/>
      <c r="X35" s="233"/>
      <c r="Y35" s="234"/>
      <c r="Z35" s="38"/>
      <c r="AB35" s="48"/>
      <c r="AC35" s="93"/>
      <c r="AD35" s="93"/>
      <c r="AE35" s="94" t="str">
        <f t="shared" si="1"/>
        <v/>
      </c>
      <c r="AF35" s="95" t="str">
        <f t="shared" si="2"/>
        <v/>
      </c>
      <c r="AG35" s="190" t="str">
        <f t="shared" si="3"/>
        <v/>
      </c>
      <c r="AH35" s="191"/>
    </row>
    <row r="36" spans="1:34" ht="20.100000000000001" customHeight="1" x14ac:dyDescent="0.25">
      <c r="A36" s="36"/>
      <c r="B36" s="92" t="s">
        <v>53</v>
      </c>
      <c r="C36" s="238"/>
      <c r="D36" s="239"/>
      <c r="E36" s="239"/>
      <c r="F36" s="239"/>
      <c r="G36" s="239"/>
      <c r="H36" s="239"/>
      <c r="I36" s="239"/>
      <c r="J36" s="240"/>
      <c r="K36" s="235" t="str">
        <f t="shared" si="0"/>
        <v/>
      </c>
      <c r="L36" s="236"/>
      <c r="M36" s="237"/>
      <c r="N36" s="232"/>
      <c r="O36" s="233"/>
      <c r="P36" s="233"/>
      <c r="Q36" s="233"/>
      <c r="R36" s="233"/>
      <c r="S36" s="233"/>
      <c r="T36" s="233"/>
      <c r="U36" s="233"/>
      <c r="V36" s="233"/>
      <c r="W36" s="233"/>
      <c r="X36" s="233"/>
      <c r="Y36" s="234"/>
      <c r="Z36" s="38"/>
      <c r="AB36" s="48"/>
      <c r="AC36" s="93"/>
      <c r="AD36" s="93"/>
      <c r="AE36" s="94" t="str">
        <f t="shared" si="1"/>
        <v/>
      </c>
      <c r="AF36" s="95" t="str">
        <f t="shared" si="2"/>
        <v/>
      </c>
      <c r="AG36" s="190" t="str">
        <f t="shared" si="3"/>
        <v/>
      </c>
      <c r="AH36" s="191"/>
    </row>
    <row r="37" spans="1:34" ht="20.100000000000001" customHeight="1" x14ac:dyDescent="0.25">
      <c r="A37" s="36"/>
      <c r="B37" s="92" t="s">
        <v>54</v>
      </c>
      <c r="C37" s="238"/>
      <c r="D37" s="239"/>
      <c r="E37" s="239"/>
      <c r="F37" s="239"/>
      <c r="G37" s="239"/>
      <c r="H37" s="239"/>
      <c r="I37" s="239"/>
      <c r="J37" s="240"/>
      <c r="K37" s="235" t="str">
        <f t="shared" si="0"/>
        <v/>
      </c>
      <c r="L37" s="236"/>
      <c r="M37" s="237"/>
      <c r="N37" s="232"/>
      <c r="O37" s="233"/>
      <c r="P37" s="233"/>
      <c r="Q37" s="233"/>
      <c r="R37" s="233"/>
      <c r="S37" s="233"/>
      <c r="T37" s="233"/>
      <c r="U37" s="233"/>
      <c r="V37" s="233"/>
      <c r="W37" s="233"/>
      <c r="X37" s="233"/>
      <c r="Y37" s="234"/>
      <c r="Z37" s="38"/>
      <c r="AB37" s="48"/>
      <c r="AC37" s="93"/>
      <c r="AD37" s="93"/>
      <c r="AE37" s="94" t="str">
        <f t="shared" si="1"/>
        <v/>
      </c>
      <c r="AF37" s="95" t="str">
        <f t="shared" si="2"/>
        <v/>
      </c>
      <c r="AG37" s="190" t="str">
        <f t="shared" si="3"/>
        <v/>
      </c>
      <c r="AH37" s="191"/>
    </row>
    <row r="38" spans="1:34" ht="20.100000000000001" customHeight="1" x14ac:dyDescent="0.25">
      <c r="A38" s="36"/>
      <c r="B38" s="92" t="s">
        <v>55</v>
      </c>
      <c r="C38" s="238"/>
      <c r="D38" s="239"/>
      <c r="E38" s="239"/>
      <c r="F38" s="239"/>
      <c r="G38" s="239"/>
      <c r="H38" s="239"/>
      <c r="I38" s="239"/>
      <c r="J38" s="240"/>
      <c r="K38" s="235" t="str">
        <f t="shared" si="0"/>
        <v/>
      </c>
      <c r="L38" s="236"/>
      <c r="M38" s="237"/>
      <c r="N38" s="232"/>
      <c r="O38" s="233"/>
      <c r="P38" s="233"/>
      <c r="Q38" s="233"/>
      <c r="R38" s="233"/>
      <c r="S38" s="233"/>
      <c r="T38" s="233"/>
      <c r="U38" s="233"/>
      <c r="V38" s="233"/>
      <c r="W38" s="233"/>
      <c r="X38" s="233"/>
      <c r="Y38" s="234"/>
      <c r="Z38" s="38"/>
      <c r="AB38" s="48"/>
      <c r="AC38" s="93"/>
      <c r="AD38" s="93"/>
      <c r="AE38" s="94" t="str">
        <f t="shared" si="1"/>
        <v/>
      </c>
      <c r="AF38" s="95" t="str">
        <f t="shared" si="2"/>
        <v/>
      </c>
      <c r="AG38" s="190" t="str">
        <f t="shared" si="3"/>
        <v/>
      </c>
      <c r="AH38" s="191"/>
    </row>
    <row r="39" spans="1:34" ht="20.100000000000001" customHeight="1" x14ac:dyDescent="0.25">
      <c r="A39" s="36"/>
      <c r="B39" s="92" t="s">
        <v>56</v>
      </c>
      <c r="C39" s="238"/>
      <c r="D39" s="239"/>
      <c r="E39" s="239"/>
      <c r="F39" s="239"/>
      <c r="G39" s="239"/>
      <c r="H39" s="239"/>
      <c r="I39" s="239"/>
      <c r="J39" s="240"/>
      <c r="K39" s="235" t="str">
        <f t="shared" si="0"/>
        <v/>
      </c>
      <c r="L39" s="236"/>
      <c r="M39" s="237"/>
      <c r="N39" s="232"/>
      <c r="O39" s="233"/>
      <c r="P39" s="233"/>
      <c r="Q39" s="233"/>
      <c r="R39" s="233"/>
      <c r="S39" s="233"/>
      <c r="T39" s="233"/>
      <c r="U39" s="233"/>
      <c r="V39" s="233"/>
      <c r="W39" s="233"/>
      <c r="X39" s="233"/>
      <c r="Y39" s="234"/>
      <c r="Z39" s="38"/>
      <c r="AB39" s="96"/>
      <c r="AC39" s="97"/>
      <c r="AD39" s="97"/>
      <c r="AE39" s="98"/>
      <c r="AF39" s="99"/>
      <c r="AG39" s="190" t="str">
        <f t="shared" si="3"/>
        <v/>
      </c>
      <c r="AH39" s="191"/>
    </row>
    <row r="40" spans="1:34" ht="20.100000000000001" customHeight="1" x14ac:dyDescent="0.25">
      <c r="A40" s="36"/>
      <c r="B40" s="92" t="s">
        <v>64</v>
      </c>
      <c r="C40" s="238"/>
      <c r="D40" s="239"/>
      <c r="E40" s="239"/>
      <c r="F40" s="239"/>
      <c r="G40" s="239"/>
      <c r="H40" s="239"/>
      <c r="I40" s="239"/>
      <c r="J40" s="240"/>
      <c r="K40" s="235" t="str">
        <f t="shared" si="0"/>
        <v/>
      </c>
      <c r="L40" s="236"/>
      <c r="M40" s="237"/>
      <c r="N40" s="232"/>
      <c r="O40" s="233"/>
      <c r="P40" s="233"/>
      <c r="Q40" s="233"/>
      <c r="R40" s="233"/>
      <c r="S40" s="233"/>
      <c r="T40" s="233"/>
      <c r="U40" s="233"/>
      <c r="V40" s="233"/>
      <c r="W40" s="233"/>
      <c r="X40" s="233"/>
      <c r="Y40" s="234"/>
      <c r="Z40" s="38"/>
      <c r="AB40" s="96"/>
      <c r="AC40" s="97"/>
      <c r="AD40" s="97"/>
      <c r="AE40" s="98"/>
      <c r="AF40" s="99"/>
      <c r="AG40" s="190" t="str">
        <f t="shared" si="3"/>
        <v/>
      </c>
      <c r="AH40" s="191"/>
    </row>
    <row r="41" spans="1:34" ht="20.100000000000001" customHeight="1" x14ac:dyDescent="0.25">
      <c r="A41" s="36"/>
      <c r="B41" s="92" t="s">
        <v>65</v>
      </c>
      <c r="C41" s="238"/>
      <c r="D41" s="239"/>
      <c r="E41" s="239"/>
      <c r="F41" s="239"/>
      <c r="G41" s="239"/>
      <c r="H41" s="239"/>
      <c r="I41" s="239"/>
      <c r="J41" s="240"/>
      <c r="K41" s="235" t="str">
        <f t="shared" si="0"/>
        <v/>
      </c>
      <c r="L41" s="236"/>
      <c r="M41" s="237"/>
      <c r="N41" s="232"/>
      <c r="O41" s="233"/>
      <c r="P41" s="233"/>
      <c r="Q41" s="233"/>
      <c r="R41" s="233"/>
      <c r="S41" s="233"/>
      <c r="T41" s="233"/>
      <c r="U41" s="233"/>
      <c r="V41" s="233"/>
      <c r="W41" s="233"/>
      <c r="X41" s="233"/>
      <c r="Y41" s="234"/>
      <c r="Z41" s="38"/>
      <c r="AB41" s="96"/>
      <c r="AC41" s="97"/>
      <c r="AD41" s="97"/>
      <c r="AE41" s="98"/>
      <c r="AF41" s="99"/>
      <c r="AG41" s="190" t="str">
        <f t="shared" si="3"/>
        <v/>
      </c>
      <c r="AH41" s="191"/>
    </row>
    <row r="42" spans="1:34" ht="20.100000000000001" customHeight="1" x14ac:dyDescent="0.25">
      <c r="A42" s="36"/>
      <c r="B42" s="92" t="s">
        <v>66</v>
      </c>
      <c r="C42" s="238"/>
      <c r="D42" s="239"/>
      <c r="E42" s="239"/>
      <c r="F42" s="239"/>
      <c r="G42" s="239"/>
      <c r="H42" s="239"/>
      <c r="I42" s="239"/>
      <c r="J42" s="240"/>
      <c r="K42" s="235" t="str">
        <f t="shared" si="0"/>
        <v/>
      </c>
      <c r="L42" s="236"/>
      <c r="M42" s="237"/>
      <c r="N42" s="232"/>
      <c r="O42" s="233"/>
      <c r="P42" s="233"/>
      <c r="Q42" s="233"/>
      <c r="R42" s="233"/>
      <c r="S42" s="233"/>
      <c r="T42" s="233"/>
      <c r="U42" s="233"/>
      <c r="V42" s="233"/>
      <c r="W42" s="233"/>
      <c r="X42" s="233"/>
      <c r="Y42" s="234"/>
      <c r="Z42" s="38"/>
      <c r="AB42" s="96"/>
      <c r="AC42" s="97"/>
      <c r="AD42" s="97"/>
      <c r="AE42" s="98"/>
      <c r="AF42" s="99"/>
      <c r="AG42" s="190" t="str">
        <f t="shared" si="3"/>
        <v/>
      </c>
      <c r="AH42" s="191"/>
    </row>
    <row r="43" spans="1:34" ht="20.100000000000001" customHeight="1" x14ac:dyDescent="0.25">
      <c r="A43" s="36"/>
      <c r="B43" s="92" t="s">
        <v>67</v>
      </c>
      <c r="C43" s="238"/>
      <c r="D43" s="239"/>
      <c r="E43" s="239"/>
      <c r="F43" s="239"/>
      <c r="G43" s="239"/>
      <c r="H43" s="239"/>
      <c r="I43" s="239"/>
      <c r="J43" s="240"/>
      <c r="K43" s="235" t="str">
        <f t="shared" si="0"/>
        <v/>
      </c>
      <c r="L43" s="236"/>
      <c r="M43" s="237"/>
      <c r="N43" s="232"/>
      <c r="O43" s="233"/>
      <c r="P43" s="233"/>
      <c r="Q43" s="233"/>
      <c r="R43" s="233"/>
      <c r="S43" s="233"/>
      <c r="T43" s="233"/>
      <c r="U43" s="233"/>
      <c r="V43" s="233"/>
      <c r="W43" s="233"/>
      <c r="X43" s="233"/>
      <c r="Y43" s="234"/>
      <c r="Z43" s="38"/>
      <c r="AB43" s="96"/>
      <c r="AC43" s="97"/>
      <c r="AD43" s="97"/>
      <c r="AE43" s="98"/>
      <c r="AF43" s="99"/>
      <c r="AG43" s="190" t="str">
        <f t="shared" si="3"/>
        <v/>
      </c>
      <c r="AH43" s="191"/>
    </row>
    <row r="44" spans="1:34" ht="20.100000000000001" customHeight="1" x14ac:dyDescent="0.25">
      <c r="A44" s="36"/>
      <c r="B44" s="92" t="s">
        <v>68</v>
      </c>
      <c r="C44" s="238"/>
      <c r="D44" s="239"/>
      <c r="E44" s="239"/>
      <c r="F44" s="239"/>
      <c r="G44" s="239"/>
      <c r="H44" s="239"/>
      <c r="I44" s="239"/>
      <c r="J44" s="240"/>
      <c r="K44" s="235" t="str">
        <f t="shared" si="0"/>
        <v/>
      </c>
      <c r="L44" s="236"/>
      <c r="M44" s="237"/>
      <c r="N44" s="232"/>
      <c r="O44" s="233"/>
      <c r="P44" s="233"/>
      <c r="Q44" s="233"/>
      <c r="R44" s="233"/>
      <c r="S44" s="233"/>
      <c r="T44" s="233"/>
      <c r="U44" s="233"/>
      <c r="V44" s="233"/>
      <c r="W44" s="233"/>
      <c r="X44" s="233"/>
      <c r="Y44" s="234"/>
      <c r="Z44" s="38"/>
      <c r="AB44" s="96"/>
      <c r="AC44" s="97"/>
      <c r="AD44" s="97"/>
      <c r="AE44" s="98"/>
      <c r="AF44" s="99"/>
      <c r="AG44" s="190" t="str">
        <f t="shared" si="3"/>
        <v/>
      </c>
      <c r="AH44" s="191"/>
    </row>
    <row r="45" spans="1:34" ht="20.100000000000001" customHeight="1" x14ac:dyDescent="0.25">
      <c r="A45" s="36"/>
      <c r="B45" s="92" t="s">
        <v>70</v>
      </c>
      <c r="C45" s="238"/>
      <c r="D45" s="239"/>
      <c r="E45" s="239"/>
      <c r="F45" s="239"/>
      <c r="G45" s="239"/>
      <c r="H45" s="239"/>
      <c r="I45" s="239"/>
      <c r="J45" s="240"/>
      <c r="K45" s="235" t="str">
        <f t="shared" si="0"/>
        <v/>
      </c>
      <c r="L45" s="236"/>
      <c r="M45" s="237"/>
      <c r="N45" s="232"/>
      <c r="O45" s="233"/>
      <c r="P45" s="233"/>
      <c r="Q45" s="233"/>
      <c r="R45" s="233"/>
      <c r="S45" s="233"/>
      <c r="T45" s="233"/>
      <c r="U45" s="233"/>
      <c r="V45" s="233"/>
      <c r="W45" s="233"/>
      <c r="X45" s="233"/>
      <c r="Y45" s="234"/>
      <c r="Z45" s="38"/>
      <c r="AB45" s="96"/>
      <c r="AC45" s="97"/>
      <c r="AD45" s="97"/>
      <c r="AE45" s="98"/>
      <c r="AF45" s="99"/>
      <c r="AG45" s="190" t="str">
        <f t="shared" si="3"/>
        <v/>
      </c>
      <c r="AH45" s="191"/>
    </row>
    <row r="46" spans="1:34" ht="20.100000000000001" customHeight="1" x14ac:dyDescent="0.25">
      <c r="A46" s="36"/>
      <c r="B46" s="92" t="s">
        <v>71</v>
      </c>
      <c r="C46" s="238"/>
      <c r="D46" s="239"/>
      <c r="E46" s="239"/>
      <c r="F46" s="239"/>
      <c r="G46" s="239"/>
      <c r="H46" s="239"/>
      <c r="I46" s="239"/>
      <c r="J46" s="240"/>
      <c r="K46" s="235" t="str">
        <f t="shared" si="0"/>
        <v/>
      </c>
      <c r="L46" s="236"/>
      <c r="M46" s="237"/>
      <c r="N46" s="232"/>
      <c r="O46" s="233"/>
      <c r="P46" s="233"/>
      <c r="Q46" s="233"/>
      <c r="R46" s="233"/>
      <c r="S46" s="233"/>
      <c r="T46" s="233"/>
      <c r="U46" s="233"/>
      <c r="V46" s="233"/>
      <c r="W46" s="233"/>
      <c r="X46" s="233"/>
      <c r="Y46" s="234"/>
      <c r="Z46" s="38"/>
      <c r="AB46" s="96"/>
      <c r="AC46" s="97"/>
      <c r="AD46" s="97"/>
      <c r="AE46" s="98"/>
      <c r="AF46" s="99"/>
      <c r="AG46" s="190" t="str">
        <f t="shared" si="3"/>
        <v/>
      </c>
      <c r="AH46" s="191"/>
    </row>
    <row r="47" spans="1:34" ht="20.100000000000001" customHeight="1" x14ac:dyDescent="0.25">
      <c r="A47" s="36"/>
      <c r="B47" s="92" t="s">
        <v>72</v>
      </c>
      <c r="C47" s="238"/>
      <c r="D47" s="239"/>
      <c r="E47" s="239"/>
      <c r="F47" s="239"/>
      <c r="G47" s="239"/>
      <c r="H47" s="239"/>
      <c r="I47" s="239"/>
      <c r="J47" s="240"/>
      <c r="K47" s="235" t="str">
        <f t="shared" si="0"/>
        <v/>
      </c>
      <c r="L47" s="236"/>
      <c r="M47" s="237"/>
      <c r="N47" s="232"/>
      <c r="O47" s="233"/>
      <c r="P47" s="233"/>
      <c r="Q47" s="233"/>
      <c r="R47" s="233"/>
      <c r="S47" s="233"/>
      <c r="T47" s="233"/>
      <c r="U47" s="233"/>
      <c r="V47" s="233"/>
      <c r="W47" s="233"/>
      <c r="X47" s="233"/>
      <c r="Y47" s="234"/>
      <c r="Z47" s="38"/>
      <c r="AB47" s="96"/>
      <c r="AC47" s="97"/>
      <c r="AD47" s="97"/>
      <c r="AE47" s="98"/>
      <c r="AF47" s="99"/>
      <c r="AG47" s="190" t="str">
        <f t="shared" si="3"/>
        <v/>
      </c>
      <c r="AH47" s="191"/>
    </row>
    <row r="48" spans="1:34" ht="20.100000000000001" customHeight="1" x14ac:dyDescent="0.25">
      <c r="A48" s="36"/>
      <c r="B48" s="92" t="s">
        <v>73</v>
      </c>
      <c r="C48" s="238"/>
      <c r="D48" s="239"/>
      <c r="E48" s="239"/>
      <c r="F48" s="239"/>
      <c r="G48" s="239"/>
      <c r="H48" s="239"/>
      <c r="I48" s="239"/>
      <c r="J48" s="240"/>
      <c r="K48" s="235" t="str">
        <f t="shared" si="0"/>
        <v/>
      </c>
      <c r="L48" s="236"/>
      <c r="M48" s="237"/>
      <c r="N48" s="232"/>
      <c r="O48" s="233"/>
      <c r="P48" s="233"/>
      <c r="Q48" s="233"/>
      <c r="R48" s="233"/>
      <c r="S48" s="233"/>
      <c r="T48" s="233"/>
      <c r="U48" s="233"/>
      <c r="V48" s="233"/>
      <c r="W48" s="233"/>
      <c r="X48" s="233"/>
      <c r="Y48" s="234"/>
      <c r="Z48" s="38"/>
      <c r="AB48" s="96"/>
      <c r="AC48" s="97"/>
      <c r="AD48" s="97"/>
      <c r="AE48" s="98"/>
      <c r="AF48" s="99"/>
      <c r="AG48" s="190" t="str">
        <f t="shared" si="3"/>
        <v/>
      </c>
      <c r="AH48" s="191"/>
    </row>
    <row r="49" spans="1:34" ht="20.100000000000001" customHeight="1" thickBot="1" x14ac:dyDescent="0.3">
      <c r="A49" s="36"/>
      <c r="B49" s="92" t="s">
        <v>74</v>
      </c>
      <c r="C49" s="238"/>
      <c r="D49" s="239"/>
      <c r="E49" s="239"/>
      <c r="F49" s="239"/>
      <c r="G49" s="239"/>
      <c r="H49" s="239"/>
      <c r="I49" s="239"/>
      <c r="J49" s="240"/>
      <c r="K49" s="235" t="str">
        <f t="shared" si="0"/>
        <v/>
      </c>
      <c r="L49" s="236"/>
      <c r="M49" s="237"/>
      <c r="N49" s="232"/>
      <c r="O49" s="233"/>
      <c r="P49" s="233"/>
      <c r="Q49" s="233"/>
      <c r="R49" s="233"/>
      <c r="S49" s="233"/>
      <c r="T49" s="233"/>
      <c r="U49" s="233"/>
      <c r="V49" s="233"/>
      <c r="W49" s="233"/>
      <c r="X49" s="233"/>
      <c r="Y49" s="234"/>
      <c r="Z49" s="38"/>
      <c r="AB49" s="53"/>
      <c r="AC49" s="100"/>
      <c r="AD49" s="100"/>
      <c r="AE49" s="101"/>
      <c r="AF49" s="102"/>
      <c r="AG49" s="195" t="str">
        <f t="shared" si="3"/>
        <v/>
      </c>
      <c r="AH49" s="196"/>
    </row>
    <row r="50" spans="1:34" ht="20.100000000000001" customHeight="1" x14ac:dyDescent="0.25">
      <c r="A50" s="36"/>
      <c r="B50" s="179" t="s">
        <v>19</v>
      </c>
      <c r="C50" s="180"/>
      <c r="D50" s="180"/>
      <c r="E50" s="180"/>
      <c r="F50" s="180"/>
      <c r="G50" s="180"/>
      <c r="H50" s="180"/>
      <c r="I50" s="180"/>
      <c r="J50" s="181"/>
      <c r="K50" s="174" t="str">
        <f>IF(K25&lt;&gt;"",AVERAGE(K25:M49),"")</f>
        <v/>
      </c>
      <c r="L50" s="175"/>
      <c r="M50" s="176"/>
      <c r="N50" s="123"/>
      <c r="O50" s="124"/>
      <c r="P50" s="124"/>
      <c r="Q50" s="58" t="s">
        <v>63</v>
      </c>
      <c r="R50" s="58"/>
      <c r="S50" s="59"/>
      <c r="T50" s="58"/>
      <c r="U50" s="58"/>
      <c r="V50" s="58"/>
      <c r="W50" s="58"/>
      <c r="X50" s="58"/>
      <c r="Y50" s="60"/>
      <c r="Z50" s="38"/>
      <c r="AB50" s="103"/>
      <c r="AC50" s="103"/>
      <c r="AD50" s="103"/>
      <c r="AE50" s="103"/>
      <c r="AF50" s="104"/>
      <c r="AG50" s="253"/>
      <c r="AH50" s="253"/>
    </row>
    <row r="51" spans="1:34" ht="20.100000000000001" customHeight="1" x14ac:dyDescent="0.25">
      <c r="A51" s="36"/>
      <c r="B51" s="168" t="s">
        <v>44</v>
      </c>
      <c r="C51" s="169"/>
      <c r="D51" s="169"/>
      <c r="E51" s="169"/>
      <c r="F51" s="169"/>
      <c r="G51" s="169"/>
      <c r="H51" s="169"/>
      <c r="I51" s="169"/>
      <c r="J51" s="170"/>
      <c r="K51" s="140" t="str">
        <f>IF(K25&lt;&gt;"",MIN(K25:M49),"")</f>
        <v/>
      </c>
      <c r="L51" s="141"/>
      <c r="M51" s="142"/>
      <c r="N51" s="166"/>
      <c r="O51" s="167"/>
      <c r="P51" s="167"/>
      <c r="Q51" s="64"/>
      <c r="R51" s="64"/>
      <c r="S51" s="64"/>
      <c r="T51" s="64"/>
      <c r="U51" s="64"/>
      <c r="V51" s="64"/>
      <c r="W51" s="64"/>
      <c r="X51" s="64"/>
      <c r="Y51" s="65"/>
      <c r="Z51" s="38"/>
      <c r="AB51" s="103"/>
      <c r="AC51" s="103"/>
      <c r="AD51" s="103"/>
      <c r="AE51" s="103"/>
      <c r="AF51" s="104"/>
      <c r="AG51" s="253"/>
      <c r="AH51" s="253"/>
    </row>
    <row r="52" spans="1:34" ht="20.100000000000001" customHeight="1" thickBot="1" x14ac:dyDescent="0.3">
      <c r="A52" s="36"/>
      <c r="B52" s="182" t="s">
        <v>45</v>
      </c>
      <c r="C52" s="183"/>
      <c r="D52" s="183"/>
      <c r="E52" s="183"/>
      <c r="F52" s="183"/>
      <c r="G52" s="183"/>
      <c r="H52" s="183"/>
      <c r="I52" s="183"/>
      <c r="J52" s="184"/>
      <c r="K52" s="120" t="str">
        <f>IF(K25&lt;&gt;"",MAX(K25:M49),"")</f>
        <v/>
      </c>
      <c r="L52" s="121"/>
      <c r="M52" s="122"/>
      <c r="N52" s="185"/>
      <c r="O52" s="186"/>
      <c r="P52" s="186"/>
      <c r="Q52" s="66"/>
      <c r="R52" s="66"/>
      <c r="S52" s="66"/>
      <c r="T52" s="66"/>
      <c r="U52" s="66"/>
      <c r="V52" s="66"/>
      <c r="W52" s="66"/>
      <c r="X52" s="66"/>
      <c r="Y52" s="67"/>
      <c r="Z52" s="38"/>
      <c r="AB52" s="103"/>
      <c r="AC52" s="103"/>
      <c r="AD52" s="103"/>
      <c r="AE52" s="103"/>
      <c r="AF52" s="104"/>
      <c r="AG52" s="253"/>
      <c r="AH52" s="253"/>
    </row>
    <row r="53" spans="1:34" x14ac:dyDescent="0.25">
      <c r="A53" s="23"/>
      <c r="B53" s="24"/>
      <c r="C53" s="24"/>
      <c r="D53" s="24"/>
      <c r="E53" s="24"/>
      <c r="F53" s="24"/>
      <c r="G53" s="24"/>
      <c r="H53" s="24"/>
      <c r="I53" s="24"/>
      <c r="J53" s="24"/>
      <c r="K53" s="24"/>
      <c r="L53" s="24"/>
      <c r="M53" s="24"/>
      <c r="N53" s="24"/>
      <c r="O53" s="24"/>
      <c r="P53" s="24"/>
      <c r="Q53" s="24"/>
      <c r="R53" s="24"/>
      <c r="S53" s="24"/>
      <c r="T53" s="24"/>
      <c r="U53" s="24"/>
      <c r="V53" s="24"/>
      <c r="W53" s="24"/>
      <c r="X53" s="24"/>
      <c r="Y53" s="24"/>
      <c r="Z53" s="27"/>
    </row>
    <row r="54" spans="1:34" x14ac:dyDescent="0.25">
      <c r="A54" s="68"/>
    </row>
    <row r="55" spans="1:34" ht="30.75" customHeight="1" x14ac:dyDescent="0.25">
      <c r="A55" s="69" t="s">
        <v>8</v>
      </c>
      <c r="B55" s="70" t="s">
        <v>9</v>
      </c>
      <c r="C55" s="71"/>
      <c r="D55" s="71"/>
      <c r="E55" s="71"/>
      <c r="F55" s="72"/>
      <c r="G55" s="72"/>
      <c r="H55" s="72"/>
      <c r="I55" s="10"/>
      <c r="J55" s="10"/>
      <c r="K55" s="10"/>
      <c r="L55" s="10"/>
      <c r="M55" s="10"/>
      <c r="N55" s="10"/>
      <c r="O55" s="10"/>
      <c r="P55" s="10"/>
      <c r="Q55" s="73"/>
      <c r="R55" s="10"/>
      <c r="S55" s="10"/>
      <c r="T55" s="10"/>
      <c r="U55" s="171"/>
      <c r="V55" s="171"/>
      <c r="W55" s="171"/>
      <c r="X55" s="172"/>
      <c r="Y55" s="172"/>
      <c r="Z55" s="173"/>
    </row>
    <row r="56" spans="1:34" ht="28.5" customHeight="1" x14ac:dyDescent="0.25">
      <c r="A56" s="151" t="s">
        <v>32</v>
      </c>
      <c r="B56" s="152"/>
      <c r="C56" s="152"/>
      <c r="D56" s="152"/>
      <c r="E56" s="152"/>
      <c r="F56" s="152"/>
      <c r="G56" s="152"/>
      <c r="H56" s="152"/>
      <c r="I56" s="152"/>
      <c r="J56" s="152"/>
      <c r="K56" s="153"/>
      <c r="L56" s="74"/>
      <c r="M56" s="74"/>
      <c r="N56" s="74"/>
      <c r="O56" s="74"/>
      <c r="P56" s="74"/>
      <c r="Q56" s="75"/>
      <c r="R56" s="145" t="s">
        <v>39</v>
      </c>
      <c r="S56" s="146"/>
      <c r="T56" s="147"/>
      <c r="U56" s="241"/>
      <c r="V56" s="242"/>
      <c r="W56" s="242"/>
      <c r="X56" s="243"/>
      <c r="Y56" s="243"/>
      <c r="Z56" s="244"/>
    </row>
    <row r="57" spans="1:34" ht="14.25" customHeight="1" x14ac:dyDescent="0.25">
      <c r="A57" s="79"/>
      <c r="B57" s="77"/>
      <c r="C57" s="105" t="s">
        <v>10</v>
      </c>
      <c r="D57" s="77"/>
      <c r="E57" s="77"/>
      <c r="F57" s="106"/>
      <c r="G57" s="106"/>
      <c r="H57" s="245" t="s">
        <v>11</v>
      </c>
      <c r="I57" s="245"/>
      <c r="J57" s="245"/>
      <c r="K57" s="246"/>
      <c r="L57" s="77"/>
      <c r="M57" s="245" t="s">
        <v>12</v>
      </c>
      <c r="N57" s="245"/>
      <c r="O57" s="245"/>
      <c r="P57" s="245"/>
      <c r="Q57" s="247"/>
      <c r="R57" s="145" t="s">
        <v>40</v>
      </c>
      <c r="S57" s="146"/>
      <c r="T57" s="147"/>
      <c r="U57" s="108"/>
      <c r="V57" s="109"/>
      <c r="W57" s="109"/>
      <c r="X57" s="112"/>
      <c r="Y57" s="112"/>
      <c r="Z57" s="113"/>
    </row>
    <row r="58" spans="1:34" ht="9" customHeight="1" x14ac:dyDescent="0.25">
      <c r="A58" s="79"/>
      <c r="B58" s="77"/>
      <c r="C58" s="77"/>
      <c r="D58" s="77"/>
      <c r="E58" s="77"/>
      <c r="F58" s="77"/>
      <c r="G58" s="77"/>
      <c r="H58" s="106"/>
      <c r="I58" s="77"/>
      <c r="J58" s="77"/>
      <c r="K58" s="107"/>
      <c r="L58" s="77"/>
      <c r="M58" s="77"/>
      <c r="N58" s="77"/>
      <c r="O58" s="77"/>
      <c r="P58" s="77"/>
      <c r="Q58" s="78"/>
      <c r="R58" s="145"/>
      <c r="S58" s="146"/>
      <c r="T58" s="147"/>
      <c r="U58" s="114"/>
      <c r="V58" s="115"/>
      <c r="W58" s="115"/>
      <c r="X58" s="116"/>
      <c r="Y58" s="116"/>
      <c r="Z58" s="117"/>
    </row>
    <row r="59" spans="1:34" ht="12.75" customHeight="1" x14ac:dyDescent="0.25">
      <c r="A59" s="80"/>
      <c r="B59" s="5"/>
      <c r="C59" s="5"/>
      <c r="D59" s="5"/>
      <c r="E59" s="5"/>
      <c r="F59" s="5"/>
      <c r="G59" s="5"/>
      <c r="H59" s="5"/>
      <c r="I59" s="5"/>
      <c r="J59" s="5"/>
      <c r="K59" s="81"/>
      <c r="L59" s="5"/>
      <c r="M59" s="5"/>
      <c r="N59" s="5"/>
      <c r="O59" s="5"/>
      <c r="P59" s="5"/>
      <c r="Q59" s="82"/>
      <c r="R59" s="145"/>
      <c r="S59" s="146"/>
      <c r="T59" s="147"/>
      <c r="U59" s="114"/>
      <c r="V59" s="115"/>
      <c r="W59" s="115"/>
      <c r="X59" s="116"/>
      <c r="Y59" s="116"/>
      <c r="Z59" s="117"/>
    </row>
    <row r="60" spans="1:34" ht="14.25" customHeight="1" x14ac:dyDescent="0.25">
      <c r="A60" s="76" t="s">
        <v>13</v>
      </c>
      <c r="B60" s="83" t="s">
        <v>14</v>
      </c>
      <c r="C60" s="77"/>
      <c r="D60" s="77"/>
      <c r="E60" s="84"/>
      <c r="F60" s="84"/>
      <c r="G60" s="84"/>
      <c r="H60" s="84"/>
      <c r="I60" s="84"/>
      <c r="J60" s="84"/>
      <c r="K60" s="84"/>
      <c r="L60" s="84"/>
      <c r="M60" s="84"/>
      <c r="N60" s="84"/>
      <c r="O60" s="84"/>
      <c r="P60" s="84"/>
      <c r="Q60" s="85"/>
      <c r="R60" s="145"/>
      <c r="S60" s="146"/>
      <c r="T60" s="147"/>
      <c r="U60" s="110"/>
      <c r="V60" s="111"/>
      <c r="W60" s="111"/>
      <c r="X60" s="118"/>
      <c r="Y60" s="118"/>
      <c r="Z60" s="119"/>
    </row>
    <row r="61" spans="1:34" ht="12.75" customHeight="1" x14ac:dyDescent="0.25">
      <c r="A61" s="154"/>
      <c r="B61" s="155"/>
      <c r="C61" s="155"/>
      <c r="D61" s="155"/>
      <c r="E61" s="155"/>
      <c r="F61" s="155"/>
      <c r="G61" s="155"/>
      <c r="H61" s="155"/>
      <c r="I61" s="155"/>
      <c r="J61" s="155"/>
      <c r="K61" s="155"/>
      <c r="L61" s="155"/>
      <c r="M61" s="155"/>
      <c r="N61" s="155"/>
      <c r="O61" s="155"/>
      <c r="P61" s="155"/>
      <c r="Q61" s="156"/>
      <c r="R61" s="145" t="s">
        <v>41</v>
      </c>
      <c r="S61" s="146"/>
      <c r="T61" s="147"/>
      <c r="U61" s="125"/>
      <c r="V61" s="126"/>
      <c r="W61" s="126"/>
      <c r="X61" s="112"/>
      <c r="Y61" s="112"/>
      <c r="Z61" s="113"/>
    </row>
    <row r="62" spans="1:34" ht="16.5" customHeight="1" x14ac:dyDescent="0.25">
      <c r="A62" s="154"/>
      <c r="B62" s="155"/>
      <c r="C62" s="155"/>
      <c r="D62" s="155"/>
      <c r="E62" s="155"/>
      <c r="F62" s="155"/>
      <c r="G62" s="155"/>
      <c r="H62" s="155"/>
      <c r="I62" s="155"/>
      <c r="J62" s="155"/>
      <c r="K62" s="155"/>
      <c r="L62" s="155"/>
      <c r="M62" s="155"/>
      <c r="N62" s="155"/>
      <c r="O62" s="155"/>
      <c r="P62" s="155"/>
      <c r="Q62" s="156"/>
      <c r="R62" s="145"/>
      <c r="S62" s="146"/>
      <c r="T62" s="147"/>
      <c r="U62" s="127"/>
      <c r="V62" s="128"/>
      <c r="W62" s="128"/>
      <c r="X62" s="116"/>
      <c r="Y62" s="116"/>
      <c r="Z62" s="117"/>
    </row>
    <row r="63" spans="1:34" ht="15.75" customHeight="1" x14ac:dyDescent="0.25">
      <c r="A63" s="154"/>
      <c r="B63" s="155"/>
      <c r="C63" s="155"/>
      <c r="D63" s="155"/>
      <c r="E63" s="155"/>
      <c r="F63" s="155"/>
      <c r="G63" s="155"/>
      <c r="H63" s="155"/>
      <c r="I63" s="155"/>
      <c r="J63" s="155"/>
      <c r="K63" s="155"/>
      <c r="L63" s="155"/>
      <c r="M63" s="155"/>
      <c r="N63" s="155"/>
      <c r="O63" s="155"/>
      <c r="P63" s="155"/>
      <c r="Q63" s="156"/>
      <c r="R63" s="145"/>
      <c r="S63" s="146"/>
      <c r="T63" s="147"/>
      <c r="U63" s="127"/>
      <c r="V63" s="128"/>
      <c r="W63" s="128"/>
      <c r="X63" s="116"/>
      <c r="Y63" s="116"/>
      <c r="Z63" s="117"/>
    </row>
    <row r="64" spans="1:34" ht="15" customHeight="1" x14ac:dyDescent="0.25">
      <c r="A64" s="157"/>
      <c r="B64" s="158"/>
      <c r="C64" s="158"/>
      <c r="D64" s="158"/>
      <c r="E64" s="158"/>
      <c r="F64" s="158"/>
      <c r="G64" s="158"/>
      <c r="H64" s="158"/>
      <c r="I64" s="158"/>
      <c r="J64" s="158"/>
      <c r="K64" s="158"/>
      <c r="L64" s="158"/>
      <c r="M64" s="158"/>
      <c r="N64" s="158"/>
      <c r="O64" s="158"/>
      <c r="P64" s="158"/>
      <c r="Q64" s="159"/>
      <c r="R64" s="148"/>
      <c r="S64" s="149"/>
      <c r="T64" s="150"/>
      <c r="U64" s="129"/>
      <c r="V64" s="130"/>
      <c r="W64" s="130"/>
      <c r="X64" s="118"/>
      <c r="Y64" s="118"/>
      <c r="Z64" s="119"/>
    </row>
  </sheetData>
  <sheetProtection selectLockedCells="1"/>
  <mergeCells count="156">
    <mergeCell ref="C38:J38"/>
    <mergeCell ref="N51:P51"/>
    <mergeCell ref="N25:Y25"/>
    <mergeCell ref="N26:Y26"/>
    <mergeCell ref="N27:Y27"/>
    <mergeCell ref="N28:Y28"/>
    <mergeCell ref="N38:Y38"/>
    <mergeCell ref="N34:Y34"/>
    <mergeCell ref="N35:Y35"/>
    <mergeCell ref="N36:Y36"/>
    <mergeCell ref="N37:Y37"/>
    <mergeCell ref="N33:Y33"/>
    <mergeCell ref="C35:J35"/>
    <mergeCell ref="C36:J36"/>
    <mergeCell ref="C37:J37"/>
    <mergeCell ref="N29:Y29"/>
    <mergeCell ref="N30:Y30"/>
    <mergeCell ref="N31:Y31"/>
    <mergeCell ref="N32:Y32"/>
    <mergeCell ref="C34:J34"/>
    <mergeCell ref="K39:M39"/>
    <mergeCell ref="K40:M40"/>
    <mergeCell ref="K41:M41"/>
    <mergeCell ref="K42:M42"/>
    <mergeCell ref="G12:M12"/>
    <mergeCell ref="N10:R10"/>
    <mergeCell ref="S10:Y10"/>
    <mergeCell ref="I18:Y18"/>
    <mergeCell ref="C25:J25"/>
    <mergeCell ref="C26:J26"/>
    <mergeCell ref="N11:R11"/>
    <mergeCell ref="B18:H18"/>
    <mergeCell ref="B17:H17"/>
    <mergeCell ref="I17:Y17"/>
    <mergeCell ref="K24:M24"/>
    <mergeCell ref="K26:M26"/>
    <mergeCell ref="AG51:AH51"/>
    <mergeCell ref="AG52:AH52"/>
    <mergeCell ref="AG36:AH36"/>
    <mergeCell ref="AG37:AH37"/>
    <mergeCell ref="AG38:AH38"/>
    <mergeCell ref="AG44:AH44"/>
    <mergeCell ref="A1:F6"/>
    <mergeCell ref="G1:T1"/>
    <mergeCell ref="U1:Z6"/>
    <mergeCell ref="G2:T4"/>
    <mergeCell ref="G5:H5"/>
    <mergeCell ref="J5:K5"/>
    <mergeCell ref="L5:O5"/>
    <mergeCell ref="P5:T5"/>
    <mergeCell ref="J6:K6"/>
    <mergeCell ref="L6:O6"/>
    <mergeCell ref="P6:T6"/>
    <mergeCell ref="A7:F7"/>
    <mergeCell ref="G7:Z7"/>
    <mergeCell ref="B12:F12"/>
    <mergeCell ref="B11:F11"/>
    <mergeCell ref="B10:F10"/>
    <mergeCell ref="G10:M10"/>
    <mergeCell ref="G11:M11"/>
    <mergeCell ref="AG25:AH25"/>
    <mergeCell ref="AG26:AH26"/>
    <mergeCell ref="AG27:AH27"/>
    <mergeCell ref="AG28:AH28"/>
    <mergeCell ref="AG29:AH29"/>
    <mergeCell ref="AG33:AH33"/>
    <mergeCell ref="AG34:AH34"/>
    <mergeCell ref="AG35:AH35"/>
    <mergeCell ref="AG50:AH50"/>
    <mergeCell ref="AG39:AH39"/>
    <mergeCell ref="AG40:AH40"/>
    <mergeCell ref="AG41:AH41"/>
    <mergeCell ref="AG42:AH42"/>
    <mergeCell ref="AG43:AH43"/>
    <mergeCell ref="AG47:AH47"/>
    <mergeCell ref="AG48:AH48"/>
    <mergeCell ref="AG49:AH49"/>
    <mergeCell ref="A56:K56"/>
    <mergeCell ref="R56:T56"/>
    <mergeCell ref="B51:J51"/>
    <mergeCell ref="C33:J33"/>
    <mergeCell ref="AB23:AF23"/>
    <mergeCell ref="AG23:AH23"/>
    <mergeCell ref="K36:M36"/>
    <mergeCell ref="K32:M32"/>
    <mergeCell ref="K30:M30"/>
    <mergeCell ref="K31:M31"/>
    <mergeCell ref="K28:M28"/>
    <mergeCell ref="N23:Y24"/>
    <mergeCell ref="K34:M34"/>
    <mergeCell ref="AG30:AH30"/>
    <mergeCell ref="AG31:AH31"/>
    <mergeCell ref="AG32:AH32"/>
    <mergeCell ref="K33:M33"/>
    <mergeCell ref="C27:J27"/>
    <mergeCell ref="C28:J28"/>
    <mergeCell ref="C29:J29"/>
    <mergeCell ref="C30:J30"/>
    <mergeCell ref="C31:J31"/>
    <mergeCell ref="C32:J32"/>
    <mergeCell ref="AG24:AH24"/>
    <mergeCell ref="U61:Z64"/>
    <mergeCell ref="B23:J24"/>
    <mergeCell ref="K38:M38"/>
    <mergeCell ref="K51:M51"/>
    <mergeCell ref="K23:M23"/>
    <mergeCell ref="K29:M29"/>
    <mergeCell ref="K37:M37"/>
    <mergeCell ref="K27:M27"/>
    <mergeCell ref="K25:M25"/>
    <mergeCell ref="A61:Q64"/>
    <mergeCell ref="K50:M50"/>
    <mergeCell ref="N52:P52"/>
    <mergeCell ref="U55:Z55"/>
    <mergeCell ref="U56:Z56"/>
    <mergeCell ref="U57:Z60"/>
    <mergeCell ref="K52:M52"/>
    <mergeCell ref="N50:P50"/>
    <mergeCell ref="K35:M35"/>
    <mergeCell ref="B50:J50"/>
    <mergeCell ref="R61:T64"/>
    <mergeCell ref="H57:K57"/>
    <mergeCell ref="M57:Q57"/>
    <mergeCell ref="R57:T60"/>
    <mergeCell ref="B52:J52"/>
    <mergeCell ref="N44:Y44"/>
    <mergeCell ref="K44:M44"/>
    <mergeCell ref="K45:M45"/>
    <mergeCell ref="C44:J44"/>
    <mergeCell ref="N39:Y39"/>
    <mergeCell ref="N40:Y40"/>
    <mergeCell ref="N41:Y41"/>
    <mergeCell ref="N42:Y42"/>
    <mergeCell ref="N43:Y43"/>
    <mergeCell ref="N45:Y45"/>
    <mergeCell ref="C45:J45"/>
    <mergeCell ref="C46:J46"/>
    <mergeCell ref="C47:J47"/>
    <mergeCell ref="C48:J48"/>
    <mergeCell ref="C49:J49"/>
    <mergeCell ref="K43:M43"/>
    <mergeCell ref="C39:J39"/>
    <mergeCell ref="C40:J40"/>
    <mergeCell ref="C41:J41"/>
    <mergeCell ref="C42:J42"/>
    <mergeCell ref="C43:J43"/>
    <mergeCell ref="N46:Y46"/>
    <mergeCell ref="N47:Y47"/>
    <mergeCell ref="N48:Y48"/>
    <mergeCell ref="N49:Y49"/>
    <mergeCell ref="AG45:AH45"/>
    <mergeCell ref="AG46:AH46"/>
    <mergeCell ref="K46:M46"/>
    <mergeCell ref="K47:M47"/>
    <mergeCell ref="K48:M48"/>
    <mergeCell ref="K49:M49"/>
  </mergeCells>
  <printOptions horizontalCentered="1"/>
  <pageMargins left="0.39370078740157483" right="0.39370078740157483" top="0.39370078740157483" bottom="0.39370078740157483" header="0" footer="0.39370078740157483"/>
  <pageSetup paperSize="9" scale="69" orientation="portrait" horizontalDpi="300" verticalDpi="300" r:id="rId1"/>
  <headerFooter alignWithMargins="0">
    <oddFooter>&amp;RDG-Q / CRE PDL2 du 06/04/2011</oddFooter>
  </headerFooter>
  <drawing r:id="rId2"/>
  <legacyDrawing r:id="rId3"/>
  <controls>
    <mc:AlternateContent xmlns:mc="http://schemas.openxmlformats.org/markup-compatibility/2006">
      <mc:Choice Requires="x14">
        <control shapeId="6150" r:id="rId4" name="Signature">
          <controlPr defaultSize="0" autoLine="0" r:id="rId5">
            <anchor moveWithCells="1">
              <from>
                <xdr:col>27</xdr:col>
                <xdr:colOff>0</xdr:colOff>
                <xdr:row>61</xdr:row>
                <xdr:rowOff>0</xdr:rowOff>
              </from>
              <to>
                <xdr:col>29</xdr:col>
                <xdr:colOff>464820</xdr:colOff>
                <xdr:row>63</xdr:row>
                <xdr:rowOff>22860</xdr:rowOff>
              </to>
            </anchor>
          </controlPr>
        </control>
      </mc:Choice>
      <mc:Fallback>
        <control shapeId="6150" r:id="rId4" name="Signature"/>
      </mc:Fallback>
    </mc:AlternateContent>
    <mc:AlternateContent xmlns:mc="http://schemas.openxmlformats.org/markup-compatibility/2006">
      <mc:Choice Requires="x14">
        <control shapeId="6145" r:id="rId6" name="Check Box 1">
          <controlPr locked="0" defaultSize="0" autoFill="0" autoLine="0" autoPict="0">
            <anchor moveWithCells="1">
              <from>
                <xdr:col>18</xdr:col>
                <xdr:colOff>76200</xdr:colOff>
                <xdr:row>9</xdr:row>
                <xdr:rowOff>175260</xdr:rowOff>
              </from>
              <to>
                <xdr:col>19</xdr:col>
                <xdr:colOff>38100</xdr:colOff>
                <xdr:row>11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146" r:id="rId7" name="Check Box 2">
          <controlPr locked="0" defaultSize="0" autoFill="0" autoLine="0" autoPict="0">
            <anchor moveWithCells="1">
              <from>
                <xdr:col>21</xdr:col>
                <xdr:colOff>68580</xdr:colOff>
                <xdr:row>9</xdr:row>
                <xdr:rowOff>175260</xdr:rowOff>
              </from>
              <to>
                <xdr:col>22</xdr:col>
                <xdr:colOff>30480</xdr:colOff>
                <xdr:row>11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147" r:id="rId8" name="Check Box 3">
          <controlPr locked="0" defaultSize="0" autoFill="0" autoLine="0" autoPict="0">
            <anchor moveWithCells="1">
              <from>
                <xdr:col>0</xdr:col>
                <xdr:colOff>106680</xdr:colOff>
                <xdr:row>56</xdr:row>
                <xdr:rowOff>7620</xdr:rowOff>
              </from>
              <to>
                <xdr:col>1</xdr:col>
                <xdr:colOff>68580</xdr:colOff>
                <xdr:row>57</xdr:row>
                <xdr:rowOff>45720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148" r:id="rId9" name="Check Box 4">
          <controlPr locked="0" defaultSize="0" autoFill="0" autoLine="0" autoPict="0">
            <anchor moveWithCells="1">
              <from>
                <xdr:col>6</xdr:col>
                <xdr:colOff>7620</xdr:colOff>
                <xdr:row>55</xdr:row>
                <xdr:rowOff>327660</xdr:rowOff>
              </from>
              <to>
                <xdr:col>6</xdr:col>
                <xdr:colOff>312420</xdr:colOff>
                <xdr:row>57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149" r:id="rId10" name="Check Box 5">
          <controlPr locked="0" defaultSize="0" autoFill="0" autoLine="0" autoPict="0">
            <anchor moveWithCells="1">
              <from>
                <xdr:col>11</xdr:col>
                <xdr:colOff>114300</xdr:colOff>
                <xdr:row>56</xdr:row>
                <xdr:rowOff>0</xdr:rowOff>
              </from>
              <to>
                <xdr:col>12</xdr:col>
                <xdr:colOff>76200</xdr:colOff>
                <xdr:row>57</xdr:row>
                <xdr:rowOff>38100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2</vt:i4>
      </vt:variant>
    </vt:vector>
  </HeadingPairs>
  <TitlesOfParts>
    <vt:vector size="4" baseType="lpstr">
      <vt:lpstr>CRE PDL1</vt:lpstr>
      <vt:lpstr>CRE PDL2</vt:lpstr>
      <vt:lpstr>'CRE PDL1'!Zone_d_impression</vt:lpstr>
      <vt:lpstr>'CRE PDL2'!Zone_d_impression</vt:lpstr>
    </vt:vector>
  </TitlesOfParts>
  <Company>AB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MONTET F.</dc:creator>
  <cp:lastModifiedBy>MONTET Frederic</cp:lastModifiedBy>
  <cp:lastPrinted>2015-02-05T07:09:41Z</cp:lastPrinted>
  <dcterms:created xsi:type="dcterms:W3CDTF">2003-10-22T13:58:33Z</dcterms:created>
  <dcterms:modified xsi:type="dcterms:W3CDTF">2023-03-09T13:40:00Z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550937871</vt:i4>
  </property>
  <property fmtid="{D5CDD505-2E9C-101B-9397-08002B2CF9AE}" pid="3" name="_EmailSubject">
    <vt:lpwstr>Groupe de travail Procédures et Essais</vt:lpwstr>
  </property>
  <property fmtid="{D5CDD505-2E9C-101B-9397-08002B2CF9AE}" pid="4" name="_AuthorEmail">
    <vt:lpwstr>fchartier@guintoli.fr</vt:lpwstr>
  </property>
  <property fmtid="{D5CDD505-2E9C-101B-9397-08002B2CF9AE}" pid="5" name="_AuthorEmailDisplayName">
    <vt:lpwstr>CHARTIER Francois</vt:lpwstr>
  </property>
  <property fmtid="{D5CDD505-2E9C-101B-9397-08002B2CF9AE}" pid="6" name="_ReviewingToolsShownOnce">
    <vt:lpwstr/>
  </property>
</Properties>
</file>