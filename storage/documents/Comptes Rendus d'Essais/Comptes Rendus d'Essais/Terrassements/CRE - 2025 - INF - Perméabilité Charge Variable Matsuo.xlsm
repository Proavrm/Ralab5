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227"/>
  <workbookPr/>
  <mc:AlternateContent xmlns:mc="http://schemas.openxmlformats.org/markup-compatibility/2006">
    <mc:Choice Requires="x15">
      <x15ac:absPath xmlns:x15ac="http://schemas.microsoft.com/office/spreadsheetml/2010/11/ac" url="S:\Labo\St Priest\Documents types\Comptes Rendus d'Essais\Terrassements\"/>
    </mc:Choice>
  </mc:AlternateContent>
  <xr:revisionPtr revIDLastSave="0" documentId="13_ncr:1_{FBDC340F-94D9-45C0-B4A5-1CF55E8735BE}" xr6:coauthVersionLast="47" xr6:coauthVersionMax="47" xr10:uidLastSave="{00000000-0000-0000-0000-000000000000}"/>
  <bookViews>
    <workbookView xWindow="57480" yWindow="-120" windowWidth="29040" windowHeight="15720" xr2:uid="{00000000-000D-0000-FFFF-FFFF00000000}"/>
  </bookViews>
  <sheets>
    <sheet name="CRE" sheetId="10" r:id="rId1"/>
  </sheets>
  <definedNames>
    <definedName name="_xlnm.Print_Area" localSheetId="0">CRE!$A$1:$Z$82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2" i="10" l="1"/>
  <c r="G51" i="10"/>
  <c r="G50" i="10"/>
  <c r="G49" i="10"/>
  <c r="K29" i="10"/>
  <c r="G37" i="10" s="1"/>
  <c r="G43" i="10" l="1"/>
  <c r="G46" i="10"/>
  <c r="G40" i="10"/>
  <c r="G47" i="10"/>
  <c r="G42" i="10"/>
  <c r="G39" i="10"/>
  <c r="G45" i="10"/>
  <c r="G38" i="10"/>
  <c r="G48" i="10"/>
  <c r="G44" i="10"/>
  <c r="G41" i="10"/>
  <c r="G36" i="10"/>
  <c r="O63" i="10" l="1"/>
</calcChain>
</file>

<file path=xl/sharedStrings.xml><?xml version="1.0" encoding="utf-8"?>
<sst xmlns="http://schemas.openxmlformats.org/spreadsheetml/2006/main" count="56" uniqueCount="53">
  <si>
    <t>RENSEIGNEMENTS GENERAUX</t>
  </si>
  <si>
    <t>Nature du matériau :</t>
  </si>
  <si>
    <t>Date de(s) prélèvement(s) :</t>
  </si>
  <si>
    <t>1/</t>
  </si>
  <si>
    <t>2/</t>
  </si>
  <si>
    <t>3/</t>
  </si>
  <si>
    <t>COMMENTAIRES</t>
  </si>
  <si>
    <t>Date de(s) essai(s) :</t>
  </si>
  <si>
    <t>Opérateur :</t>
  </si>
  <si>
    <t>Laboratoire :</t>
  </si>
  <si>
    <t>Nom</t>
  </si>
  <si>
    <t>Fonction</t>
  </si>
  <si>
    <t>Visa</t>
  </si>
  <si>
    <t>CRITERES DE CONFORMITE</t>
  </si>
  <si>
    <t>Source des critères :</t>
  </si>
  <si>
    <t>Définition des critères / objectifs :</t>
  </si>
  <si>
    <t>CONCLUSIONS</t>
  </si>
  <si>
    <t>Région Rhône Alpes - 29-31 rue des Tâches - ZI Mi-Plaine - 69800 SAINT PRIEST</t>
  </si>
  <si>
    <t>COMPTE RENDU D'ESSAIS</t>
  </si>
  <si>
    <t>n°</t>
  </si>
  <si>
    <t>Chrono</t>
  </si>
  <si>
    <t>N° d'affaire</t>
  </si>
  <si>
    <t>Date de rédaction</t>
  </si>
  <si>
    <t>Contrôle :</t>
  </si>
  <si>
    <t>4/</t>
  </si>
  <si>
    <t>5/</t>
  </si>
  <si>
    <t>RESULTATS DES ESSAIS</t>
  </si>
  <si>
    <t>Dénomination :</t>
  </si>
  <si>
    <t>Largeur :</t>
  </si>
  <si>
    <t>Longueur :</t>
  </si>
  <si>
    <t>Profondeur de fouille :</t>
  </si>
  <si>
    <t>Mesures :</t>
  </si>
  <si>
    <t>Temps</t>
  </si>
  <si>
    <t>min</t>
  </si>
  <si>
    <t>Hauteur d'eau</t>
  </si>
  <si>
    <t>m</t>
  </si>
  <si>
    <t>F =</t>
  </si>
  <si>
    <t>2(Larg.+Long.)</t>
  </si>
  <si>
    <t>K =</t>
  </si>
  <si>
    <t>F</t>
  </si>
  <si>
    <t>(t2-t1)</t>
  </si>
  <si>
    <t>Larg. x Long.</t>
  </si>
  <si>
    <t>ln</t>
  </si>
  <si>
    <t>(H(t1)+F)</t>
  </si>
  <si>
    <t>(H(t2)+F)</t>
  </si>
  <si>
    <t>K(t)</t>
  </si>
  <si>
    <t>m/s</t>
  </si>
  <si>
    <t>Dimension Fosse d'essai (m) :</t>
  </si>
  <si>
    <t>Coefficient de forme :</t>
  </si>
  <si>
    <t>Perméabilité K (m/s) :</t>
  </si>
  <si>
    <t>Perméabilité moyenne K</t>
  </si>
  <si>
    <t>INF</t>
  </si>
  <si>
    <t>Perméabilité des sols
Charge variable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</si>
</sst>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"/>
    <numFmt numFmtId="165" formatCode="0.000"/>
  </numFmts>
  <fonts count="15" x14ac:knownFonts="1">
    <font>
      <sz val="10"/>
      <name val="Arial"/>
    </font>
    <font>
      <sz val="10"/>
      <name val="Century Gothic"/>
      <family val="2"/>
    </font>
    <font>
      <b/>
      <sz val="10"/>
      <name val="Century Gothic"/>
      <family val="2"/>
    </font>
    <font>
      <b/>
      <sz val="14"/>
      <name val="Century Gothic"/>
      <family val="2"/>
    </font>
    <font>
      <b/>
      <sz val="12"/>
      <name val="Century Gothic"/>
      <family val="2"/>
    </font>
    <font>
      <sz val="8"/>
      <name val="Century Gothic"/>
      <family val="2"/>
    </font>
    <font>
      <sz val="12"/>
      <name val="Century Gothic"/>
      <family val="2"/>
    </font>
    <font>
      <b/>
      <u/>
      <sz val="12"/>
      <name val="Century Gothic"/>
      <family val="2"/>
    </font>
    <font>
      <b/>
      <u/>
      <sz val="11"/>
      <name val="Century Gothic"/>
      <family val="2"/>
    </font>
    <font>
      <b/>
      <sz val="11"/>
      <name val="Century Gothic"/>
      <family val="2"/>
    </font>
    <font>
      <u/>
      <sz val="10"/>
      <name val="Century Gothic"/>
      <family val="2"/>
    </font>
    <font>
      <i/>
      <sz val="10"/>
      <name val="Century Gothic"/>
      <family val="2"/>
    </font>
    <font>
      <sz val="11"/>
      <name val="Century Gothic"/>
      <family val="2"/>
    </font>
    <font>
      <sz val="10"/>
      <color rgb="FF000000"/>
      <name val="Arial"/>
      <family val="2"/>
    </font>
    <font>
      <b/>
      <u/>
      <sz val="12"/>
      <color rgb="FF000000"/>
      <name val="Century Gothic"/>
      <family val="2"/>
    </font>
  </fonts>
  <fills count="2">
    <fill>
      <patternFill patternType="none"/>
    </fill>
    <fill>
      <patternFill patternType="gray125"/>
    </fill>
  </fills>
  <borders count="2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3" fillId="0" borderId="0"/>
  </cellStyleXfs>
  <cellXfs count="180">
    <xf numFmtId="0" fontId="0" fillId="0" borderId="0" xfId="0"/>
    <xf numFmtId="0" fontId="1" fillId="0" borderId="0" xfId="0" applyFont="1" applyAlignment="1" applyProtection="1">
      <alignment vertical="center"/>
      <protection hidden="1"/>
    </xf>
    <xf numFmtId="0" fontId="1" fillId="0" borderId="0" xfId="0" applyFont="1" applyAlignment="1" applyProtection="1">
      <alignment horizontal="right" vertical="center"/>
      <protection hidden="1"/>
    </xf>
    <xf numFmtId="0" fontId="1" fillId="0" borderId="8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vertical="center"/>
      <protection hidden="1"/>
    </xf>
    <xf numFmtId="0" fontId="4" fillId="0" borderId="1" xfId="0" applyFont="1" applyBorder="1" applyAlignment="1" applyProtection="1">
      <alignment horizontal="center" vertical="center"/>
      <protection hidden="1"/>
    </xf>
    <xf numFmtId="0" fontId="7" fillId="0" borderId="2" xfId="0" applyFont="1" applyBorder="1" applyAlignment="1" applyProtection="1">
      <alignment vertical="center"/>
      <protection hidden="1"/>
    </xf>
    <xf numFmtId="0" fontId="1" fillId="0" borderId="2" xfId="0" applyFont="1" applyBorder="1" applyAlignment="1" applyProtection="1">
      <alignment vertical="center"/>
      <protection hidden="1"/>
    </xf>
    <xf numFmtId="0" fontId="1" fillId="0" borderId="2" xfId="0" applyFont="1" applyBorder="1" applyAlignment="1" applyProtection="1">
      <alignment horizontal="center" vertical="center"/>
      <protection hidden="1"/>
    </xf>
    <xf numFmtId="0" fontId="1" fillId="0" borderId="9" xfId="0" applyFont="1" applyBorder="1" applyAlignment="1" applyProtection="1">
      <alignment vertical="center"/>
      <protection hidden="1"/>
    </xf>
    <xf numFmtId="0" fontId="1" fillId="0" borderId="6" xfId="0" applyFont="1" applyBorder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 vertical="center"/>
      <protection hidden="1"/>
    </xf>
    <xf numFmtId="0" fontId="1" fillId="0" borderId="7" xfId="0" applyFont="1" applyBorder="1" applyAlignment="1" applyProtection="1">
      <alignment vertical="center"/>
      <protection hidden="1"/>
    </xf>
    <xf numFmtId="0" fontId="6" fillId="0" borderId="7" xfId="0" applyFont="1" applyBorder="1" applyAlignment="1" applyProtection="1">
      <alignment horizontal="left" vertical="center"/>
      <protection hidden="1"/>
    </xf>
    <xf numFmtId="0" fontId="1" fillId="0" borderId="8" xfId="0" applyFont="1" applyBorder="1" applyAlignment="1" applyProtection="1">
      <alignment horizontal="center"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1" fillId="0" borderId="3" xfId="0" applyFont="1" applyBorder="1" applyAlignment="1" applyProtection="1">
      <alignment horizontal="left" vertical="center"/>
      <protection hidden="1"/>
    </xf>
    <xf numFmtId="0" fontId="1" fillId="0" borderId="10" xfId="0" applyFont="1" applyBorder="1" applyAlignment="1" applyProtection="1">
      <alignment vertical="center"/>
      <protection hidden="1"/>
    </xf>
    <xf numFmtId="0" fontId="1" fillId="0" borderId="0" xfId="0" applyFont="1" applyProtection="1">
      <protection hidden="1"/>
    </xf>
    <xf numFmtId="0" fontId="8" fillId="0" borderId="0" xfId="0" applyFont="1" applyAlignment="1" applyProtection="1">
      <alignment horizontal="right"/>
      <protection hidden="1"/>
    </xf>
    <xf numFmtId="0" fontId="7" fillId="0" borderId="0" xfId="0" applyFont="1" applyAlignment="1" applyProtection="1">
      <alignment horizontal="right"/>
      <protection hidden="1"/>
    </xf>
    <xf numFmtId="14" fontId="9" fillId="0" borderId="0" xfId="0" applyNumberFormat="1" applyFont="1" applyAlignment="1" applyProtection="1">
      <alignment horizontal="center"/>
      <protection hidden="1"/>
    </xf>
    <xf numFmtId="0" fontId="7" fillId="0" borderId="2" xfId="0" applyFont="1" applyBorder="1" applyProtection="1">
      <protection hidden="1"/>
    </xf>
    <xf numFmtId="0" fontId="1" fillId="0" borderId="2" xfId="0" applyFont="1" applyBorder="1" applyProtection="1">
      <protection hidden="1"/>
    </xf>
    <xf numFmtId="0" fontId="1" fillId="0" borderId="9" xfId="0" applyFont="1" applyBorder="1" applyProtection="1">
      <protection hidden="1"/>
    </xf>
    <xf numFmtId="0" fontId="1" fillId="0" borderId="6" xfId="0" applyFont="1" applyBorder="1" applyProtection="1">
      <protection hidden="1"/>
    </xf>
    <xf numFmtId="0" fontId="4" fillId="0" borderId="0" xfId="0" applyFont="1" applyProtection="1">
      <protection hidden="1"/>
    </xf>
    <xf numFmtId="0" fontId="1" fillId="0" borderId="7" xfId="0" applyFont="1" applyBorder="1" applyProtection="1">
      <protection hidden="1"/>
    </xf>
    <xf numFmtId="0" fontId="6" fillId="0" borderId="7" xfId="0" applyFont="1" applyBorder="1" applyAlignment="1" applyProtection="1">
      <alignment horizontal="left"/>
      <protection hidden="1"/>
    </xf>
    <xf numFmtId="0" fontId="1" fillId="0" borderId="8" xfId="0" applyFont="1" applyBorder="1" applyProtection="1">
      <protection hidden="1"/>
    </xf>
    <xf numFmtId="0" fontId="1" fillId="0" borderId="3" xfId="0" applyFont="1" applyBorder="1" applyProtection="1">
      <protection hidden="1"/>
    </xf>
    <xf numFmtId="0" fontId="1" fillId="0" borderId="10" xfId="0" applyFont="1" applyBorder="1" applyProtection="1">
      <protection hidden="1"/>
    </xf>
    <xf numFmtId="0" fontId="1" fillId="0" borderId="0" xfId="0" applyFont="1" applyAlignment="1" applyProtection="1">
      <alignment horizontal="left" vertical="center"/>
      <protection hidden="1"/>
    </xf>
    <xf numFmtId="0" fontId="10" fillId="0" borderId="2" xfId="0" applyFont="1" applyBorder="1" applyAlignment="1" applyProtection="1">
      <alignment vertical="center"/>
      <protection hidden="1"/>
    </xf>
    <xf numFmtId="0" fontId="10" fillId="0" borderId="2" xfId="0" applyFont="1" applyBorder="1" applyAlignment="1" applyProtection="1">
      <alignment horizontal="center" vertical="center"/>
      <protection hidden="1"/>
    </xf>
    <xf numFmtId="0" fontId="4" fillId="0" borderId="0" xfId="0" applyFont="1" applyAlignment="1" applyProtection="1">
      <alignment vertical="center"/>
      <protection hidden="1"/>
    </xf>
    <xf numFmtId="0" fontId="4" fillId="0" borderId="0" xfId="0" applyFont="1" applyAlignment="1" applyProtection="1">
      <alignment horizontal="center" vertical="center"/>
      <protection hidden="1"/>
    </xf>
    <xf numFmtId="0" fontId="4" fillId="0" borderId="7" xfId="0" applyFont="1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4" fillId="0" borderId="6" xfId="0" applyFont="1" applyBorder="1" applyAlignment="1" applyProtection="1">
      <alignment vertical="center" textRotation="90" wrapText="1"/>
      <protection hidden="1"/>
    </xf>
    <xf numFmtId="0" fontId="1" fillId="0" borderId="6" xfId="0" applyFont="1" applyBorder="1" applyAlignment="1" applyProtection="1">
      <alignment vertical="center" textRotation="90" wrapText="1"/>
      <protection hidden="1"/>
    </xf>
    <xf numFmtId="0" fontId="4" fillId="0" borderId="6" xfId="0" applyFont="1" applyBorder="1" applyAlignment="1" applyProtection="1">
      <alignment horizontal="center" vertical="center"/>
      <protection hidden="1"/>
    </xf>
    <xf numFmtId="0" fontId="7" fillId="0" borderId="0" xfId="0" applyFont="1" applyAlignment="1" applyProtection="1">
      <alignment vertical="center"/>
      <protection hidden="1"/>
    </xf>
    <xf numFmtId="0" fontId="10" fillId="0" borderId="0" xfId="0" applyFont="1" applyAlignment="1" applyProtection="1">
      <alignment vertical="center"/>
      <protection hidden="1"/>
    </xf>
    <xf numFmtId="0" fontId="10" fillId="0" borderId="0" xfId="0" applyFont="1" applyAlignment="1" applyProtection="1">
      <alignment horizontal="center" vertical="center"/>
      <protection hidden="1"/>
    </xf>
    <xf numFmtId="0" fontId="11" fillId="0" borderId="6" xfId="0" applyFont="1" applyBorder="1" applyAlignment="1" applyProtection="1">
      <alignment horizontal="center" vertical="center"/>
      <protection hidden="1"/>
    </xf>
    <xf numFmtId="0" fontId="10" fillId="0" borderId="7" xfId="0" applyFont="1" applyBorder="1" applyAlignment="1" applyProtection="1">
      <alignment vertical="center"/>
      <protection hidden="1"/>
    </xf>
    <xf numFmtId="0" fontId="6" fillId="0" borderId="7" xfId="0" applyFont="1" applyBorder="1" applyAlignment="1" applyProtection="1">
      <alignment vertical="center"/>
      <protection hidden="1"/>
    </xf>
    <xf numFmtId="0" fontId="11" fillId="0" borderId="6" xfId="0" quotePrefix="1" applyFont="1" applyBorder="1" applyAlignment="1" applyProtection="1">
      <alignment horizontal="center" vertical="center"/>
      <protection hidden="1"/>
    </xf>
    <xf numFmtId="0" fontId="6" fillId="0" borderId="0" xfId="0" applyFont="1" applyAlignment="1" applyProtection="1">
      <alignment vertical="center"/>
      <protection hidden="1"/>
    </xf>
    <xf numFmtId="0" fontId="2" fillId="0" borderId="8" xfId="0" applyFont="1" applyBorder="1" applyAlignment="1" applyProtection="1">
      <alignment horizontal="center" vertical="center"/>
      <protection hidden="1"/>
    </xf>
    <xf numFmtId="0" fontId="2" fillId="0" borderId="3" xfId="0" applyFont="1" applyBorder="1" applyAlignment="1" applyProtection="1">
      <alignment vertical="center"/>
      <protection hidden="1"/>
    </xf>
    <xf numFmtId="0" fontId="4" fillId="0" borderId="4" xfId="0" applyFont="1" applyBorder="1" applyAlignment="1" applyProtection="1">
      <alignment horizontal="center" vertical="center"/>
      <protection hidden="1"/>
    </xf>
    <xf numFmtId="0" fontId="7" fillId="0" borderId="5" xfId="0" applyFont="1" applyBorder="1" applyAlignment="1" applyProtection="1">
      <alignment vertical="center"/>
      <protection hidden="1"/>
    </xf>
    <xf numFmtId="0" fontId="10" fillId="0" borderId="5" xfId="0" applyFont="1" applyBorder="1" applyAlignment="1" applyProtection="1">
      <alignment vertical="center"/>
      <protection hidden="1"/>
    </xf>
    <xf numFmtId="0" fontId="1" fillId="0" borderId="5" xfId="0" applyFont="1" applyBorder="1" applyAlignment="1" applyProtection="1">
      <alignment vertical="center"/>
      <protection hidden="1"/>
    </xf>
    <xf numFmtId="0" fontId="1" fillId="0" borderId="1" xfId="0" applyFont="1" applyBorder="1" applyAlignment="1" applyProtection="1">
      <alignment vertical="center" wrapText="1"/>
      <protection locked="0"/>
    </xf>
    <xf numFmtId="0" fontId="1" fillId="0" borderId="2" xfId="0" applyFont="1" applyBorder="1" applyAlignment="1" applyProtection="1">
      <alignment vertical="center" wrapText="1"/>
      <protection locked="0"/>
    </xf>
    <xf numFmtId="0" fontId="1" fillId="0" borderId="9" xfId="0" applyFont="1" applyBorder="1" applyAlignment="1" applyProtection="1">
      <alignment vertical="center" wrapText="1"/>
      <protection locked="0"/>
    </xf>
    <xf numFmtId="0" fontId="1" fillId="0" borderId="6" xfId="0" applyFont="1" applyBorder="1" applyAlignment="1" applyProtection="1">
      <alignment vertical="center" wrapText="1"/>
      <protection locked="0"/>
    </xf>
    <xf numFmtId="0" fontId="1" fillId="0" borderId="7" xfId="0" applyFont="1" applyBorder="1" applyAlignment="1" applyProtection="1">
      <alignment vertical="center" wrapText="1"/>
      <protection locked="0"/>
    </xf>
    <xf numFmtId="0" fontId="1" fillId="0" borderId="8" xfId="0" applyFont="1" applyBorder="1" applyAlignment="1" applyProtection="1">
      <alignment vertical="center" wrapText="1"/>
      <protection locked="0"/>
    </xf>
    <xf numFmtId="0" fontId="1" fillId="0" borderId="3" xfId="0" applyFont="1" applyBorder="1" applyAlignment="1" applyProtection="1">
      <alignment vertical="center" wrapText="1"/>
      <protection locked="0"/>
    </xf>
    <xf numFmtId="0" fontId="1" fillId="0" borderId="10" xfId="0" applyFont="1" applyBorder="1" applyAlignment="1" applyProtection="1">
      <alignment vertical="center" wrapText="1"/>
      <protection locked="0"/>
    </xf>
    <xf numFmtId="0" fontId="14" fillId="0" borderId="17" xfId="1" applyFont="1" applyBorder="1" applyAlignment="1" applyProtection="1">
      <alignment vertical="center"/>
      <protection hidden="1"/>
    </xf>
    <xf numFmtId="11" fontId="1" fillId="0" borderId="0" xfId="0" applyNumberFormat="1" applyFont="1" applyAlignment="1" applyProtection="1">
      <alignment horizontal="center" vertical="center"/>
      <protection hidden="1"/>
    </xf>
    <xf numFmtId="0" fontId="1" fillId="0" borderId="21" xfId="0" applyFont="1" applyBorder="1" applyAlignment="1" applyProtection="1">
      <alignment vertical="center"/>
      <protection hidden="1"/>
    </xf>
    <xf numFmtId="0" fontId="1" fillId="0" borderId="22" xfId="0" applyFont="1" applyBorder="1" applyAlignment="1" applyProtection="1">
      <alignment vertical="center"/>
      <protection hidden="1"/>
    </xf>
    <xf numFmtId="0" fontId="1" fillId="0" borderId="23" xfId="0" applyFont="1" applyBorder="1" applyAlignment="1" applyProtection="1">
      <alignment vertical="center"/>
      <protection hidden="1"/>
    </xf>
    <xf numFmtId="0" fontId="1" fillId="0" borderId="24" xfId="0" applyFont="1" applyBorder="1" applyAlignment="1" applyProtection="1">
      <alignment vertical="center"/>
      <protection hidden="1"/>
    </xf>
    <xf numFmtId="0" fontId="1" fillId="0" borderId="25" xfId="0" applyFont="1" applyBorder="1" applyAlignment="1" applyProtection="1">
      <alignment vertical="center"/>
      <protection hidden="1"/>
    </xf>
    <xf numFmtId="11" fontId="3" fillId="0" borderId="0" xfId="0" applyNumberFormat="1" applyFont="1" applyAlignment="1" applyProtection="1">
      <alignment vertical="center"/>
      <protection hidden="1"/>
    </xf>
    <xf numFmtId="11" fontId="3" fillId="0" borderId="24" xfId="0" applyNumberFormat="1" applyFont="1" applyBorder="1" applyAlignment="1" applyProtection="1">
      <alignment vertical="center"/>
      <protection hidden="1"/>
    </xf>
    <xf numFmtId="0" fontId="0" fillId="0" borderId="0" xfId="0" applyProtection="1">
      <protection hidden="1"/>
    </xf>
    <xf numFmtId="0" fontId="6" fillId="0" borderId="0" xfId="0" applyFont="1" applyAlignment="1" applyProtection="1">
      <alignment vertical="top" wrapText="1"/>
      <protection hidden="1"/>
    </xf>
    <xf numFmtId="165" fontId="1" fillId="0" borderId="0" xfId="0" applyNumberFormat="1" applyFont="1" applyAlignment="1" applyProtection="1">
      <alignment horizontal="center" vertical="center"/>
      <protection hidden="1"/>
    </xf>
    <xf numFmtId="0" fontId="5" fillId="0" borderId="3" xfId="0" applyFont="1" applyBorder="1" applyAlignment="1" applyProtection="1">
      <alignment horizontal="center" vertical="center"/>
      <protection hidden="1"/>
    </xf>
    <xf numFmtId="0" fontId="5" fillId="0" borderId="10" xfId="0" applyFont="1" applyBorder="1" applyAlignment="1" applyProtection="1">
      <alignment horizontal="center" vertical="center"/>
      <protection hidden="1"/>
    </xf>
    <xf numFmtId="0" fontId="4" fillId="0" borderId="13" xfId="0" applyFont="1" applyBorder="1" applyAlignment="1" applyProtection="1">
      <alignment horizontal="center" vertical="center"/>
      <protection hidden="1"/>
    </xf>
    <xf numFmtId="0" fontId="6" fillId="0" borderId="13" xfId="0" applyFont="1" applyBorder="1" applyAlignment="1" applyProtection="1">
      <alignment horizontal="center" vertical="center"/>
      <protection hidden="1"/>
    </xf>
    <xf numFmtId="0" fontId="12" fillId="0" borderId="0" xfId="0" applyFont="1" applyAlignment="1" applyProtection="1">
      <alignment horizontal="left" vertical="center"/>
      <protection hidden="1"/>
    </xf>
    <xf numFmtId="14" fontId="12" fillId="0" borderId="0" xfId="0" applyNumberFormat="1" applyFont="1" applyAlignment="1" applyProtection="1">
      <alignment horizontal="left" vertical="center"/>
      <protection locked="0"/>
    </xf>
    <xf numFmtId="0" fontId="12" fillId="0" borderId="0" xfId="0" applyFont="1" applyAlignment="1" applyProtection="1">
      <alignment horizontal="left" vertical="center"/>
      <protection locked="0"/>
    </xf>
    <xf numFmtId="0" fontId="1" fillId="0" borderId="1" xfId="0" applyFont="1" applyBorder="1" applyAlignment="1" applyProtection="1">
      <alignment horizontal="center" vertical="center" wrapText="1"/>
      <protection hidden="1"/>
    </xf>
    <xf numFmtId="0" fontId="1" fillId="0" borderId="2" xfId="0" applyFont="1" applyBorder="1" applyAlignment="1" applyProtection="1">
      <alignment horizontal="center" vertical="center" wrapText="1"/>
      <protection hidden="1"/>
    </xf>
    <xf numFmtId="0" fontId="1" fillId="0" borderId="9" xfId="0" applyFont="1" applyBorder="1" applyAlignment="1" applyProtection="1">
      <alignment horizontal="center" vertical="center" wrapText="1"/>
      <protection hidden="1"/>
    </xf>
    <xf numFmtId="0" fontId="1" fillId="0" borderId="6" xfId="0" applyFont="1" applyBorder="1" applyAlignment="1" applyProtection="1">
      <alignment horizontal="center" vertical="center" wrapText="1"/>
      <protection hidden="1"/>
    </xf>
    <xf numFmtId="0" fontId="1" fillId="0" borderId="0" xfId="0" applyFont="1" applyAlignment="1" applyProtection="1">
      <alignment horizontal="center" vertical="center" wrapText="1"/>
      <protection hidden="1"/>
    </xf>
    <xf numFmtId="0" fontId="1" fillId="0" borderId="7" xfId="0" applyFont="1" applyBorder="1" applyAlignment="1" applyProtection="1">
      <alignment horizontal="center" vertical="center" wrapText="1"/>
      <protection hidden="1"/>
    </xf>
    <xf numFmtId="0" fontId="1" fillId="0" borderId="8" xfId="0" applyFont="1" applyBorder="1" applyAlignment="1" applyProtection="1">
      <alignment horizontal="center" vertical="center" wrapText="1"/>
      <protection hidden="1"/>
    </xf>
    <xf numFmtId="0" fontId="1" fillId="0" borderId="3" xfId="0" applyFont="1" applyBorder="1" applyAlignment="1" applyProtection="1">
      <alignment horizontal="center" vertical="center" wrapText="1"/>
      <protection hidden="1"/>
    </xf>
    <xf numFmtId="0" fontId="1" fillId="0" borderId="10" xfId="0" applyFont="1" applyBorder="1" applyAlignment="1" applyProtection="1">
      <alignment horizontal="center" vertical="center" wrapText="1"/>
      <protection hidden="1"/>
    </xf>
    <xf numFmtId="0" fontId="2" fillId="0" borderId="1" xfId="0" applyFont="1" applyBorder="1" applyAlignment="1" applyProtection="1">
      <alignment horizontal="center" vertical="center"/>
      <protection hidden="1"/>
    </xf>
    <xf numFmtId="0" fontId="2" fillId="0" borderId="2" xfId="0" applyFont="1" applyBorder="1" applyAlignment="1" applyProtection="1">
      <alignment horizontal="center" vertical="center"/>
      <protection hidden="1"/>
    </xf>
    <xf numFmtId="0" fontId="2" fillId="0" borderId="9" xfId="0" applyFont="1" applyBorder="1" applyAlignment="1" applyProtection="1">
      <alignment horizontal="center" vertical="center"/>
      <protection hidden="1"/>
    </xf>
    <xf numFmtId="0" fontId="3" fillId="0" borderId="1" xfId="0" applyFont="1" applyBorder="1" applyAlignment="1" applyProtection="1">
      <alignment horizontal="center" vertical="center" wrapText="1"/>
      <protection locked="0"/>
    </xf>
    <xf numFmtId="0" fontId="3" fillId="0" borderId="2" xfId="0" applyFont="1" applyBorder="1" applyAlignment="1" applyProtection="1">
      <alignment horizontal="center" vertical="center" wrapText="1"/>
      <protection locked="0"/>
    </xf>
    <xf numFmtId="0" fontId="3" fillId="0" borderId="9" xfId="0" applyFont="1" applyBorder="1" applyAlignment="1" applyProtection="1">
      <alignment horizontal="center" vertical="center" wrapText="1"/>
      <protection locked="0"/>
    </xf>
    <xf numFmtId="0" fontId="3" fillId="0" borderId="6" xfId="0" applyFont="1" applyBorder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0" borderId="7" xfId="0" applyFont="1" applyBorder="1" applyAlignment="1" applyProtection="1">
      <alignment horizontal="center" vertical="center" wrapText="1"/>
      <protection locked="0"/>
    </xf>
    <xf numFmtId="0" fontId="3" fillId="0" borderId="8" xfId="0" applyFont="1" applyBorder="1" applyAlignment="1" applyProtection="1">
      <alignment horizontal="center" vertical="center" wrapText="1"/>
      <protection locked="0"/>
    </xf>
    <xf numFmtId="0" fontId="3" fillId="0" borderId="3" xfId="0" applyFont="1" applyBorder="1" applyAlignment="1" applyProtection="1">
      <alignment horizontal="center" vertical="center" wrapText="1"/>
      <protection locked="0"/>
    </xf>
    <xf numFmtId="0" fontId="3" fillId="0" borderId="10" xfId="0" applyFont="1" applyBorder="1" applyAlignment="1" applyProtection="1">
      <alignment horizontal="center" vertical="center" wrapText="1"/>
      <protection locked="0"/>
    </xf>
    <xf numFmtId="0" fontId="3" fillId="0" borderId="6" xfId="0" applyFont="1" applyBorder="1" applyAlignment="1" applyProtection="1">
      <alignment horizontal="center" vertical="center" wrapText="1"/>
      <protection hidden="1"/>
    </xf>
    <xf numFmtId="0" fontId="3" fillId="0" borderId="0" xfId="0" applyFont="1" applyAlignment="1" applyProtection="1">
      <alignment horizontal="center" vertical="center" wrapText="1"/>
      <protection hidden="1"/>
    </xf>
    <xf numFmtId="0" fontId="3" fillId="0" borderId="7" xfId="0" applyFont="1" applyBorder="1" applyAlignment="1" applyProtection="1">
      <alignment horizontal="center" vertical="center" wrapText="1"/>
      <protection hidden="1"/>
    </xf>
    <xf numFmtId="0" fontId="4" fillId="0" borderId="6" xfId="0" applyFont="1" applyBorder="1" applyAlignment="1" applyProtection="1">
      <alignment horizontal="center" vertical="center" wrapText="1"/>
      <protection hidden="1"/>
    </xf>
    <xf numFmtId="0" fontId="4" fillId="0" borderId="0" xfId="0" applyFont="1" applyAlignment="1" applyProtection="1">
      <alignment horizontal="center" vertical="center" wrapText="1"/>
      <protection hidden="1"/>
    </xf>
    <xf numFmtId="164" fontId="4" fillId="0" borderId="0" xfId="0" applyNumberFormat="1" applyFont="1" applyAlignment="1" applyProtection="1">
      <alignment horizontal="center" vertical="center"/>
      <protection locked="0"/>
    </xf>
    <xf numFmtId="164" fontId="4" fillId="0" borderId="7" xfId="0" applyNumberFormat="1" applyFont="1" applyBorder="1" applyAlignment="1" applyProtection="1">
      <alignment horizontal="center" vertical="center"/>
      <protection locked="0"/>
    </xf>
    <xf numFmtId="0" fontId="4" fillId="0" borderId="6" xfId="0" applyFont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7" xfId="0" applyFont="1" applyBorder="1" applyAlignment="1" applyProtection="1">
      <alignment horizontal="center" vertical="center"/>
      <protection locked="0"/>
    </xf>
    <xf numFmtId="14" fontId="4" fillId="0" borderId="6" xfId="0" applyNumberFormat="1" applyFont="1" applyBorder="1" applyAlignment="1" applyProtection="1">
      <alignment horizontal="center" vertical="center"/>
      <protection locked="0"/>
    </xf>
    <xf numFmtId="14" fontId="4" fillId="0" borderId="0" xfId="0" applyNumberFormat="1" applyFont="1" applyAlignment="1" applyProtection="1">
      <alignment horizontal="center" vertical="center"/>
      <protection locked="0"/>
    </xf>
    <xf numFmtId="14" fontId="4" fillId="0" borderId="7" xfId="0" applyNumberFormat="1" applyFont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left"/>
      <protection hidden="1"/>
    </xf>
    <xf numFmtId="0" fontId="12" fillId="0" borderId="0" xfId="0" applyFont="1" applyAlignment="1" applyProtection="1">
      <alignment horizontal="left"/>
      <protection locked="0"/>
    </xf>
    <xf numFmtId="0" fontId="2" fillId="0" borderId="0" xfId="0" applyFont="1" applyAlignment="1" applyProtection="1">
      <alignment horizontal="left" vertical="center"/>
      <protection hidden="1"/>
    </xf>
    <xf numFmtId="0" fontId="2" fillId="0" borderId="18" xfId="0" applyFont="1" applyBorder="1" applyAlignment="1" applyProtection="1">
      <alignment horizontal="center" vertical="center"/>
      <protection hidden="1"/>
    </xf>
    <xf numFmtId="0" fontId="2" fillId="0" borderId="19" xfId="0" applyFont="1" applyBorder="1" applyAlignment="1" applyProtection="1">
      <alignment horizontal="center" vertical="center"/>
      <protection hidden="1"/>
    </xf>
    <xf numFmtId="0" fontId="2" fillId="0" borderId="20" xfId="0" applyFont="1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2" fillId="0" borderId="22" xfId="0" applyFont="1" applyBorder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 vertical="center"/>
      <protection locked="0"/>
    </xf>
    <xf numFmtId="165" fontId="1" fillId="0" borderId="23" xfId="0" applyNumberFormat="1" applyFont="1" applyBorder="1" applyAlignment="1" applyProtection="1">
      <alignment horizontal="center" vertical="center"/>
      <protection hidden="1"/>
    </xf>
    <xf numFmtId="165" fontId="1" fillId="0" borderId="24" xfId="0" applyNumberFormat="1" applyFont="1" applyBorder="1" applyAlignment="1" applyProtection="1">
      <alignment horizontal="center" vertical="center"/>
      <protection hidden="1"/>
    </xf>
    <xf numFmtId="165" fontId="1" fillId="0" borderId="25" xfId="0" applyNumberFormat="1" applyFont="1" applyBorder="1" applyAlignment="1" applyProtection="1">
      <alignment horizontal="center" vertical="center"/>
      <protection hidden="1"/>
    </xf>
    <xf numFmtId="0" fontId="2" fillId="0" borderId="21" xfId="0" applyFont="1" applyBorder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 vertical="center"/>
      <protection hidden="1"/>
    </xf>
    <xf numFmtId="11" fontId="1" fillId="0" borderId="0" xfId="0" applyNumberFormat="1" applyFont="1" applyAlignment="1" applyProtection="1">
      <alignment horizontal="center" vertical="center"/>
      <protection hidden="1"/>
    </xf>
    <xf numFmtId="11" fontId="3" fillId="0" borderId="21" xfId="0" applyNumberFormat="1" applyFont="1" applyBorder="1" applyAlignment="1" applyProtection="1">
      <alignment horizontal="right" vertical="center"/>
      <protection locked="0"/>
    </xf>
    <xf numFmtId="11" fontId="3" fillId="0" borderId="0" xfId="0" applyNumberFormat="1" applyFont="1" applyAlignment="1" applyProtection="1">
      <alignment horizontal="right" vertical="center"/>
      <protection locked="0"/>
    </xf>
    <xf numFmtId="11" fontId="3" fillId="0" borderId="23" xfId="0" applyNumberFormat="1" applyFont="1" applyBorder="1" applyAlignment="1" applyProtection="1">
      <alignment horizontal="right" vertical="center"/>
      <protection locked="0"/>
    </xf>
    <xf numFmtId="11" fontId="3" fillId="0" borderId="24" xfId="0" applyNumberFormat="1" applyFont="1" applyBorder="1" applyAlignment="1" applyProtection="1">
      <alignment horizontal="right" vertical="center"/>
      <protection locked="0"/>
    </xf>
    <xf numFmtId="0" fontId="4" fillId="0" borderId="8" xfId="0" applyFont="1" applyBorder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4" fillId="0" borderId="10" xfId="0" applyFont="1" applyBorder="1" applyAlignment="1" applyProtection="1">
      <alignment horizontal="center" vertical="center"/>
      <protection locked="0"/>
    </xf>
    <xf numFmtId="0" fontId="8" fillId="0" borderId="6" xfId="0" applyFont="1" applyBorder="1" applyAlignment="1" applyProtection="1">
      <alignment horizontal="center" vertical="center"/>
      <protection hidden="1"/>
    </xf>
    <xf numFmtId="0" fontId="8" fillId="0" borderId="0" xfId="0" applyFont="1" applyAlignment="1" applyProtection="1">
      <alignment horizontal="center" vertical="center"/>
      <protection hidden="1"/>
    </xf>
    <xf numFmtId="0" fontId="8" fillId="0" borderId="7" xfId="0" applyFont="1" applyBorder="1" applyAlignment="1" applyProtection="1">
      <alignment horizontal="center" vertical="center"/>
      <protection hidden="1"/>
    </xf>
    <xf numFmtId="0" fontId="12" fillId="0" borderId="6" xfId="0" applyFont="1" applyBorder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 wrapText="1"/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0" borderId="7" xfId="0" applyFont="1" applyBorder="1" applyAlignment="1" applyProtection="1">
      <alignment horizontal="center" vertical="center" wrapText="1"/>
      <protection locked="0"/>
    </xf>
    <xf numFmtId="0" fontId="12" fillId="0" borderId="8" xfId="0" applyFont="1" applyBorder="1" applyAlignment="1" applyProtection="1">
      <alignment horizontal="center" vertical="center" wrapText="1"/>
      <protection locked="0"/>
    </xf>
    <xf numFmtId="0" fontId="12" fillId="0" borderId="3" xfId="0" applyFont="1" applyBorder="1" applyAlignment="1" applyProtection="1">
      <alignment horizontal="center" vertical="center" wrapText="1"/>
      <protection locked="0"/>
    </xf>
    <xf numFmtId="0" fontId="1" fillId="0" borderId="3" xfId="0" applyFont="1" applyBorder="1" applyAlignment="1" applyProtection="1">
      <alignment horizontal="center" vertical="center" wrapText="1"/>
      <protection locked="0"/>
    </xf>
    <xf numFmtId="0" fontId="1" fillId="0" borderId="10" xfId="0" applyFont="1" applyBorder="1" applyAlignment="1" applyProtection="1">
      <alignment horizontal="center" vertical="center" wrapText="1"/>
      <protection locked="0"/>
    </xf>
    <xf numFmtId="0" fontId="6" fillId="0" borderId="6" xfId="0" applyFont="1" applyBorder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7" xfId="0" applyFont="1" applyBorder="1" applyAlignment="1" applyProtection="1">
      <alignment horizontal="left" vertical="center" wrapText="1"/>
      <protection locked="0"/>
    </xf>
    <xf numFmtId="0" fontId="6" fillId="0" borderId="8" xfId="0" applyFont="1" applyBorder="1" applyAlignment="1" applyProtection="1">
      <alignment horizontal="left" vertical="center" wrapText="1"/>
      <protection locked="0"/>
    </xf>
    <xf numFmtId="0" fontId="6" fillId="0" borderId="3" xfId="0" applyFont="1" applyBorder="1" applyAlignment="1" applyProtection="1">
      <alignment horizontal="left" vertical="center" wrapText="1"/>
      <protection locked="0"/>
    </xf>
    <xf numFmtId="0" fontId="6" fillId="0" borderId="10" xfId="0" applyFont="1" applyBorder="1" applyAlignment="1" applyProtection="1">
      <alignment horizontal="left" vertical="center" wrapText="1"/>
      <protection locked="0"/>
    </xf>
    <xf numFmtId="0" fontId="8" fillId="0" borderId="8" xfId="0" applyFont="1" applyBorder="1" applyAlignment="1" applyProtection="1">
      <alignment horizontal="center" vertical="center"/>
      <protection hidden="1"/>
    </xf>
    <xf numFmtId="0" fontId="8" fillId="0" borderId="3" xfId="0" applyFont="1" applyBorder="1" applyAlignment="1" applyProtection="1">
      <alignment horizontal="center" vertical="center"/>
      <protection hidden="1"/>
    </xf>
    <xf numFmtId="0" fontId="8" fillId="0" borderId="10" xfId="0" applyFont="1" applyBorder="1" applyAlignment="1" applyProtection="1">
      <alignment horizontal="center" vertical="center"/>
      <protection hidden="1"/>
    </xf>
    <xf numFmtId="0" fontId="3" fillId="0" borderId="18" xfId="0" applyFont="1" applyBorder="1" applyAlignment="1" applyProtection="1">
      <alignment horizontal="center" vertical="center"/>
      <protection hidden="1"/>
    </xf>
    <xf numFmtId="0" fontId="3" fillId="0" borderId="19" xfId="0" applyFont="1" applyBorder="1" applyAlignment="1" applyProtection="1">
      <alignment horizontal="center" vertical="center"/>
      <protection hidden="1"/>
    </xf>
    <xf numFmtId="0" fontId="3" fillId="0" borderId="20" xfId="0" applyFont="1" applyBorder="1" applyAlignment="1" applyProtection="1">
      <alignment horizontal="center" vertical="center"/>
      <protection hidden="1"/>
    </xf>
    <xf numFmtId="0" fontId="3" fillId="0" borderId="21" xfId="0" applyFont="1" applyBorder="1" applyAlignment="1" applyProtection="1">
      <alignment horizontal="center" vertical="center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0" fontId="3" fillId="0" borderId="22" xfId="0" applyFont="1" applyBorder="1" applyAlignment="1" applyProtection="1">
      <alignment horizontal="center" vertical="center"/>
      <protection hidden="1"/>
    </xf>
    <xf numFmtId="0" fontId="8" fillId="0" borderId="13" xfId="0" applyFont="1" applyBorder="1" applyAlignment="1" applyProtection="1">
      <alignment horizontal="center" vertical="center" wrapText="1"/>
      <protection hidden="1"/>
    </xf>
    <xf numFmtId="0" fontId="1" fillId="0" borderId="13" xfId="0" applyFont="1" applyBorder="1" applyAlignment="1" applyProtection="1">
      <alignment horizontal="center" vertical="center"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4" fillId="0" borderId="16" xfId="0" applyFont="1" applyBorder="1" applyAlignment="1" applyProtection="1">
      <alignment horizontal="center" vertical="center"/>
      <protection hidden="1"/>
    </xf>
    <xf numFmtId="0" fontId="4" fillId="0" borderId="11" xfId="0" applyFont="1" applyBorder="1" applyAlignment="1" applyProtection="1">
      <alignment horizontal="center" vertical="center"/>
      <protection hidden="1"/>
    </xf>
    <xf numFmtId="0" fontId="4" fillId="0" borderId="12" xfId="0" applyFont="1" applyBorder="1" applyAlignment="1" applyProtection="1">
      <alignment horizontal="center" vertical="center"/>
      <protection hidden="1"/>
    </xf>
    <xf numFmtId="0" fontId="12" fillId="0" borderId="15" xfId="0" applyFont="1" applyBorder="1" applyAlignment="1" applyProtection="1">
      <alignment horizontal="center" vertical="center" wrapText="1"/>
      <protection locked="0"/>
    </xf>
    <xf numFmtId="0" fontId="12" fillId="0" borderId="13" xfId="0" applyFont="1" applyBorder="1" applyAlignment="1" applyProtection="1">
      <alignment horizontal="center" vertical="center" wrapText="1"/>
      <protection locked="0"/>
    </xf>
    <xf numFmtId="0" fontId="1" fillId="0" borderId="13" xfId="0" applyFont="1" applyBorder="1" applyAlignment="1" applyProtection="1">
      <alignment horizontal="center" vertical="center" wrapText="1"/>
      <protection locked="0"/>
    </xf>
    <xf numFmtId="0" fontId="1" fillId="0" borderId="14" xfId="0" applyFont="1" applyBorder="1" applyAlignment="1" applyProtection="1">
      <alignment horizontal="center" vertical="center" wrapText="1"/>
      <protection locked="0"/>
    </xf>
    <xf numFmtId="11" fontId="3" fillId="0" borderId="0" xfId="0" applyNumberFormat="1" applyFont="1" applyAlignment="1" applyProtection="1">
      <alignment horizontal="left" vertical="center"/>
      <protection hidden="1"/>
    </xf>
    <xf numFmtId="11" fontId="3" fillId="0" borderId="22" xfId="0" applyNumberFormat="1" applyFont="1" applyBorder="1" applyAlignment="1" applyProtection="1">
      <alignment horizontal="left" vertical="center"/>
      <protection hidden="1"/>
    </xf>
    <xf numFmtId="11" fontId="3" fillId="0" borderId="24" xfId="0" applyNumberFormat="1" applyFont="1" applyBorder="1" applyAlignment="1" applyProtection="1">
      <alignment horizontal="left" vertical="center"/>
      <protection hidden="1"/>
    </xf>
    <xf numFmtId="11" fontId="3" fillId="0" borderId="25" xfId="0" applyNumberFormat="1" applyFont="1" applyBorder="1" applyAlignment="1" applyProtection="1">
      <alignment horizontal="left" vertical="center"/>
      <protection hidden="1"/>
    </xf>
  </cellXfs>
  <cellStyles count="2">
    <cellStyle name="Normal" xfId="0" builtinId="0"/>
    <cellStyle name="Normal 2" xfId="1" xr:uid="{F46ADBD9-0C40-4CFD-ADA9-DD0574ED834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Variation de hauteur d'eau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CRE!$B$35:$C$43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strCache>
            </c:strRef>
          </c:xVal>
          <c:yVal>
            <c:numRef>
              <c:f>CRE!$D$35:$D$43</c:f>
              <c:numCache>
                <c:formatCode>General</c:formatCode>
                <c:ptCount val="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85-4177-9B21-2472935ACCAE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CRE!$B$35:$C$48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30</c:v>
                </c:pt>
                <c:pt idx="10">
                  <c:v>40</c:v>
                </c:pt>
                <c:pt idx="11">
                  <c:v>50</c:v>
                </c:pt>
                <c:pt idx="12">
                  <c:v>60</c:v>
                </c:pt>
                <c:pt idx="13">
                  <c:v>75</c:v>
                </c:pt>
              </c:strCache>
            </c:strRef>
          </c:xVal>
          <c:yVal>
            <c:numRef>
              <c:f>CRE!$H$35:$H$48</c:f>
              <c:numCache>
                <c:formatCode>0.00E+00</c:formatCode>
                <c:ptCount val="1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85-4177-9B21-2472935ACCAE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strRef>
              <c:f>CRE!$B$35:$C$48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30</c:v>
                </c:pt>
                <c:pt idx="10">
                  <c:v>40</c:v>
                </c:pt>
                <c:pt idx="11">
                  <c:v>50</c:v>
                </c:pt>
                <c:pt idx="12">
                  <c:v>60</c:v>
                </c:pt>
                <c:pt idx="13">
                  <c:v>75</c:v>
                </c:pt>
              </c:strCache>
            </c:strRef>
          </c:xVal>
          <c:yVal>
            <c:numRef>
              <c:f>CRE!$I$35:$I$48</c:f>
              <c:numCache>
                <c:formatCode>0.00E+00</c:formatCode>
                <c:ptCount val="1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85-4177-9B21-2472935ACC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9286287"/>
        <c:axId val="1139283887"/>
      </c:scatterChart>
      <c:valAx>
        <c:axId val="11392862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Temps (min)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39283887"/>
        <c:crosses val="autoZero"/>
        <c:crossBetween val="midCat"/>
      </c:valAx>
      <c:valAx>
        <c:axId val="1139283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Hauteur d'eau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392862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0</xdr:row>
      <xdr:rowOff>85726</xdr:rowOff>
    </xdr:from>
    <xdr:to>
      <xdr:col>5</xdr:col>
      <xdr:colOff>134282</xdr:colOff>
      <xdr:row>5</xdr:row>
      <xdr:rowOff>112396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1357079A-4A90-48BF-B215-F5A75DCF2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170" y="87631"/>
          <a:ext cx="1675427" cy="83439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32</xdr:row>
      <xdr:rowOff>1904</xdr:rowOff>
    </xdr:from>
    <xdr:to>
      <xdr:col>24</xdr:col>
      <xdr:colOff>38100</xdr:colOff>
      <xdr:row>51</xdr:row>
      <xdr:rowOff>161924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54041A2-425B-493F-99C3-1B8275B93A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342900</xdr:colOff>
      <xdr:row>55</xdr:row>
      <xdr:rowOff>0</xdr:rowOff>
    </xdr:from>
    <xdr:to>
      <xdr:col>12</xdr:col>
      <xdr:colOff>19050</xdr:colOff>
      <xdr:row>64</xdr:row>
      <xdr:rowOff>22753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41A47EFD-F4ED-43F7-8ED6-4120271977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2900" y="8667750"/>
          <a:ext cx="3901440" cy="1476268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</xdr:colOff>
      <xdr:row>65</xdr:row>
      <xdr:rowOff>20955</xdr:rowOff>
    </xdr:from>
    <xdr:to>
      <xdr:col>12</xdr:col>
      <xdr:colOff>0</xdr:colOff>
      <xdr:row>70</xdr:row>
      <xdr:rowOff>153488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909936CA-7DCD-4A72-A438-1E03BC7F4F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7665" y="10955655"/>
          <a:ext cx="3861435" cy="9421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4927-1654-4FD0-9329-E4FE47F3058F}">
  <sheetPr>
    <pageSetUpPr fitToPage="1"/>
  </sheetPr>
  <dimension ref="A1:Z82"/>
  <sheetViews>
    <sheetView tabSelected="1" zoomScaleNormal="100" workbookViewId="0">
      <selection activeCell="J5" sqref="J5:K5"/>
    </sheetView>
  </sheetViews>
  <sheetFormatPr baseColWidth="10" defaultColWidth="11.44140625" defaultRowHeight="12.75" customHeight="1" x14ac:dyDescent="0.25"/>
  <cols>
    <col min="1" max="1" width="5.109375" style="11" customWidth="1"/>
    <col min="2" max="26" width="5.109375" style="1" customWidth="1"/>
    <col min="27" max="16384" width="11.44140625" style="1"/>
  </cols>
  <sheetData>
    <row r="1" spans="1:26" ht="12.75" customHeight="1" x14ac:dyDescent="0.25">
      <c r="A1" s="84"/>
      <c r="B1" s="85"/>
      <c r="C1" s="85"/>
      <c r="D1" s="85"/>
      <c r="E1" s="85"/>
      <c r="F1" s="86"/>
      <c r="G1" s="93" t="s">
        <v>18</v>
      </c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5"/>
      <c r="U1" s="96"/>
      <c r="V1" s="97"/>
      <c r="W1" s="97"/>
      <c r="X1" s="97"/>
      <c r="Y1" s="97"/>
      <c r="Z1" s="98"/>
    </row>
    <row r="2" spans="1:26" ht="12.75" customHeight="1" x14ac:dyDescent="0.25">
      <c r="A2" s="87"/>
      <c r="B2" s="88"/>
      <c r="C2" s="88"/>
      <c r="D2" s="88"/>
      <c r="E2" s="88"/>
      <c r="F2" s="89"/>
      <c r="G2" s="105" t="s">
        <v>52</v>
      </c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7"/>
      <c r="U2" s="99"/>
      <c r="V2" s="100"/>
      <c r="W2" s="100"/>
      <c r="X2" s="100"/>
      <c r="Y2" s="100"/>
      <c r="Z2" s="101"/>
    </row>
    <row r="3" spans="1:26" ht="12.75" customHeight="1" x14ac:dyDescent="0.25">
      <c r="A3" s="87"/>
      <c r="B3" s="88"/>
      <c r="C3" s="88"/>
      <c r="D3" s="88"/>
      <c r="E3" s="88"/>
      <c r="F3" s="89"/>
      <c r="G3" s="105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7"/>
      <c r="U3" s="99"/>
      <c r="V3" s="100"/>
      <c r="W3" s="100"/>
      <c r="X3" s="100"/>
      <c r="Y3" s="100"/>
      <c r="Z3" s="101"/>
    </row>
    <row r="4" spans="1:26" ht="12.75" customHeight="1" x14ac:dyDescent="0.25">
      <c r="A4" s="87"/>
      <c r="B4" s="88"/>
      <c r="C4" s="88"/>
      <c r="D4" s="88"/>
      <c r="E4" s="88"/>
      <c r="F4" s="89"/>
      <c r="G4" s="105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7"/>
      <c r="U4" s="99"/>
      <c r="V4" s="100"/>
      <c r="W4" s="100"/>
      <c r="X4" s="100"/>
      <c r="Y4" s="100"/>
      <c r="Z4" s="101"/>
    </row>
    <row r="5" spans="1:26" ht="12.75" customHeight="1" x14ac:dyDescent="0.25">
      <c r="A5" s="87"/>
      <c r="B5" s="88"/>
      <c r="C5" s="88"/>
      <c r="D5" s="88"/>
      <c r="E5" s="88"/>
      <c r="F5" s="89"/>
      <c r="G5" s="108" t="s">
        <v>51</v>
      </c>
      <c r="H5" s="109"/>
      <c r="I5" s="2" t="s">
        <v>19</v>
      </c>
      <c r="J5" s="110"/>
      <c r="K5" s="111"/>
      <c r="L5" s="112"/>
      <c r="M5" s="113"/>
      <c r="N5" s="113"/>
      <c r="O5" s="114"/>
      <c r="P5" s="115"/>
      <c r="Q5" s="116"/>
      <c r="R5" s="116"/>
      <c r="S5" s="116"/>
      <c r="T5" s="117"/>
      <c r="U5" s="99"/>
      <c r="V5" s="100"/>
      <c r="W5" s="100"/>
      <c r="X5" s="100"/>
      <c r="Y5" s="100"/>
      <c r="Z5" s="101"/>
    </row>
    <row r="6" spans="1:26" ht="12.75" customHeight="1" x14ac:dyDescent="0.25">
      <c r="A6" s="90"/>
      <c r="B6" s="91"/>
      <c r="C6" s="91"/>
      <c r="D6" s="91"/>
      <c r="E6" s="91"/>
      <c r="F6" s="92"/>
      <c r="G6" s="3"/>
      <c r="H6" s="4"/>
      <c r="I6" s="4"/>
      <c r="J6" s="77" t="s">
        <v>20</v>
      </c>
      <c r="K6" s="77"/>
      <c r="L6" s="77" t="s">
        <v>21</v>
      </c>
      <c r="M6" s="77"/>
      <c r="N6" s="77"/>
      <c r="O6" s="77"/>
      <c r="P6" s="77" t="s">
        <v>22</v>
      </c>
      <c r="Q6" s="77"/>
      <c r="R6" s="77"/>
      <c r="S6" s="77"/>
      <c r="T6" s="78"/>
      <c r="U6" s="102"/>
      <c r="V6" s="103"/>
      <c r="W6" s="103"/>
      <c r="X6" s="103"/>
      <c r="Y6" s="103"/>
      <c r="Z6" s="104"/>
    </row>
    <row r="7" spans="1:26" ht="36.6" customHeight="1" x14ac:dyDescent="0.25">
      <c r="A7" s="79" t="s">
        <v>9</v>
      </c>
      <c r="B7" s="79"/>
      <c r="C7" s="79"/>
      <c r="D7" s="79"/>
      <c r="E7" s="79"/>
      <c r="F7" s="79"/>
      <c r="G7" s="80" t="s">
        <v>17</v>
      </c>
      <c r="H7" s="80"/>
      <c r="I7" s="80"/>
      <c r="J7" s="80"/>
      <c r="K7" s="80"/>
      <c r="L7" s="80"/>
      <c r="M7" s="80"/>
      <c r="N7" s="80"/>
      <c r="O7" s="80"/>
      <c r="P7" s="80"/>
      <c r="Q7" s="80"/>
      <c r="R7" s="80"/>
      <c r="S7" s="80"/>
      <c r="T7" s="80"/>
      <c r="U7" s="80"/>
      <c r="V7" s="80"/>
      <c r="W7" s="80"/>
      <c r="X7" s="80"/>
      <c r="Y7" s="80"/>
      <c r="Z7" s="80"/>
    </row>
    <row r="8" spans="1:26" ht="15.6" customHeight="1" x14ac:dyDescent="0.25">
      <c r="A8" s="5" t="s">
        <v>3</v>
      </c>
      <c r="B8" s="6" t="s">
        <v>0</v>
      </c>
      <c r="C8" s="7"/>
      <c r="D8" s="8"/>
      <c r="E8" s="8"/>
      <c r="F8" s="8"/>
      <c r="G8" s="8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9"/>
    </row>
    <row r="9" spans="1:26" ht="9" customHeight="1" x14ac:dyDescent="0.25">
      <c r="A9" s="10"/>
      <c r="D9" s="11"/>
      <c r="E9" s="11"/>
      <c r="F9" s="11"/>
      <c r="G9" s="11"/>
      <c r="Z9" s="12"/>
    </row>
    <row r="10" spans="1:26" ht="15.9" customHeight="1" x14ac:dyDescent="0.25">
      <c r="A10" s="10"/>
      <c r="B10" s="81" t="s">
        <v>8</v>
      </c>
      <c r="C10" s="81"/>
      <c r="D10" s="81"/>
      <c r="E10" s="81"/>
      <c r="F10" s="81"/>
      <c r="G10" s="81"/>
      <c r="H10" s="82"/>
      <c r="I10" s="82"/>
      <c r="J10" s="82"/>
      <c r="K10" s="82"/>
      <c r="L10" s="82"/>
      <c r="M10" s="82"/>
      <c r="N10" s="81" t="s">
        <v>1</v>
      </c>
      <c r="O10" s="81"/>
      <c r="P10" s="81"/>
      <c r="Q10" s="81"/>
      <c r="R10" s="81"/>
      <c r="S10" s="83"/>
      <c r="T10" s="83"/>
      <c r="U10" s="83"/>
      <c r="V10" s="83"/>
      <c r="W10" s="83"/>
      <c r="X10" s="83"/>
      <c r="Y10" s="83"/>
      <c r="Z10" s="13"/>
    </row>
    <row r="11" spans="1:26" ht="15.9" customHeight="1" x14ac:dyDescent="0.25">
      <c r="A11" s="10"/>
      <c r="B11" s="81" t="s">
        <v>2</v>
      </c>
      <c r="C11" s="81"/>
      <c r="D11" s="81"/>
      <c r="E11" s="81"/>
      <c r="F11" s="81"/>
      <c r="G11" s="81"/>
      <c r="H11" s="82"/>
      <c r="I11" s="82"/>
      <c r="J11" s="82"/>
      <c r="K11" s="82"/>
      <c r="L11" s="82"/>
      <c r="M11" s="82"/>
      <c r="N11" s="81" t="s">
        <v>27</v>
      </c>
      <c r="O11" s="81"/>
      <c r="P11" s="81"/>
      <c r="Q11" s="81"/>
      <c r="R11" s="81"/>
      <c r="S11" s="83"/>
      <c r="T11" s="83"/>
      <c r="U11" s="83"/>
      <c r="V11" s="83"/>
      <c r="W11" s="83"/>
      <c r="X11" s="83"/>
      <c r="Y11" s="83"/>
      <c r="Z11" s="13"/>
    </row>
    <row r="12" spans="1:26" ht="15.9" customHeight="1" x14ac:dyDescent="0.25">
      <c r="A12" s="10"/>
      <c r="B12" s="81" t="s">
        <v>7</v>
      </c>
      <c r="C12" s="81"/>
      <c r="D12" s="81"/>
      <c r="E12" s="81"/>
      <c r="F12" s="81"/>
      <c r="G12" s="81"/>
      <c r="H12" s="82"/>
      <c r="I12" s="82"/>
      <c r="J12" s="82"/>
      <c r="K12" s="82"/>
      <c r="L12" s="82"/>
      <c r="M12" s="82"/>
      <c r="N12" s="81" t="s">
        <v>30</v>
      </c>
      <c r="O12" s="81"/>
      <c r="P12" s="81"/>
      <c r="Q12" s="81"/>
      <c r="R12" s="81"/>
      <c r="S12" s="83"/>
      <c r="T12" s="83"/>
      <c r="U12" s="83"/>
      <c r="V12" s="83"/>
      <c r="W12" s="83"/>
      <c r="X12" s="83"/>
      <c r="Y12" s="83"/>
      <c r="Z12" s="13"/>
    </row>
    <row r="13" spans="1:26" ht="9" customHeight="1" x14ac:dyDescent="0.25">
      <c r="A13" s="14"/>
      <c r="B13" s="4"/>
      <c r="C13" s="4"/>
      <c r="D13" s="15"/>
      <c r="E13" s="15"/>
      <c r="F13" s="15"/>
      <c r="G13" s="15"/>
      <c r="H13" s="4"/>
      <c r="I13" s="4"/>
      <c r="J13" s="4"/>
      <c r="K13" s="4"/>
      <c r="L13" s="4"/>
      <c r="M13" s="4"/>
      <c r="N13" s="16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17"/>
    </row>
    <row r="14" spans="1:26" s="18" customFormat="1" ht="15" x14ac:dyDescent="0.25">
      <c r="B14" s="19"/>
      <c r="C14" s="19"/>
      <c r="K14" s="20"/>
      <c r="L14" s="19"/>
      <c r="M14" s="21"/>
    </row>
    <row r="15" spans="1:26" s="18" customFormat="1" ht="15.6" customHeight="1" x14ac:dyDescent="0.25">
      <c r="A15" s="5" t="s">
        <v>4</v>
      </c>
      <c r="B15" s="22" t="s">
        <v>13</v>
      </c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4"/>
    </row>
    <row r="16" spans="1:26" s="18" customFormat="1" ht="8.4" customHeight="1" x14ac:dyDescent="0.25">
      <c r="A16" s="25"/>
      <c r="B16" s="26"/>
      <c r="Z16" s="27"/>
    </row>
    <row r="17" spans="1:26" s="18" customFormat="1" ht="15" x14ac:dyDescent="0.25">
      <c r="A17" s="25"/>
      <c r="B17" s="118" t="s">
        <v>14</v>
      </c>
      <c r="C17" s="118"/>
      <c r="D17" s="118"/>
      <c r="E17" s="118"/>
      <c r="F17" s="118"/>
      <c r="G17" s="118"/>
      <c r="H17" s="118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28"/>
    </row>
    <row r="18" spans="1:26" s="18" customFormat="1" ht="15" x14ac:dyDescent="0.25">
      <c r="A18" s="25"/>
      <c r="B18" s="118" t="s">
        <v>15</v>
      </c>
      <c r="C18" s="118"/>
      <c r="D18" s="118"/>
      <c r="E18" s="118"/>
      <c r="F18" s="118"/>
      <c r="G18" s="118"/>
      <c r="H18" s="118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28"/>
    </row>
    <row r="19" spans="1:26" s="18" customFormat="1" ht="8.4" customHeight="1" x14ac:dyDescent="0.25">
      <c r="A19" s="29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1"/>
    </row>
    <row r="20" spans="1:26" ht="12.75" customHeight="1" x14ac:dyDescent="0.25">
      <c r="D20" s="11"/>
      <c r="E20" s="11"/>
      <c r="F20" s="11"/>
      <c r="G20" s="11"/>
      <c r="N20" s="32"/>
    </row>
    <row r="21" spans="1:26" ht="15.6" customHeight="1" x14ac:dyDescent="0.25">
      <c r="A21" s="5" t="s">
        <v>5</v>
      </c>
      <c r="B21" s="65" t="s">
        <v>26</v>
      </c>
      <c r="C21" s="33"/>
      <c r="D21" s="34"/>
      <c r="E21" s="34"/>
      <c r="F21" s="34"/>
      <c r="G21" s="34"/>
      <c r="H21" s="33"/>
      <c r="I21" s="33"/>
      <c r="J21" s="33"/>
      <c r="K21" s="33"/>
      <c r="L21" s="33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9"/>
    </row>
    <row r="22" spans="1:26" ht="12.75" customHeight="1" x14ac:dyDescent="0.25">
      <c r="A22" s="10"/>
      <c r="Z22" s="12"/>
    </row>
    <row r="23" spans="1:26" ht="12.75" customHeight="1" thickBot="1" x14ac:dyDescent="0.3">
      <c r="A23" s="10"/>
      <c r="Z23" s="12"/>
    </row>
    <row r="24" spans="1:26" ht="12.75" customHeight="1" x14ac:dyDescent="0.25">
      <c r="A24" s="10"/>
      <c r="B24" s="120" t="s">
        <v>47</v>
      </c>
      <c r="C24" s="120"/>
      <c r="D24" s="120"/>
      <c r="E24" s="120"/>
      <c r="F24" s="120"/>
      <c r="G24" s="120"/>
      <c r="K24" s="121" t="s">
        <v>48</v>
      </c>
      <c r="L24" s="122"/>
      <c r="M24" s="122"/>
      <c r="N24" s="123"/>
      <c r="O24" s="38"/>
      <c r="P24" s="38"/>
      <c r="Q24" s="121" t="s">
        <v>49</v>
      </c>
      <c r="R24" s="122"/>
      <c r="S24" s="122"/>
      <c r="T24" s="122"/>
      <c r="U24" s="122"/>
      <c r="V24" s="123"/>
      <c r="Z24" s="12"/>
    </row>
    <row r="25" spans="1:26" ht="12.75" customHeight="1" x14ac:dyDescent="0.25">
      <c r="A25" s="10"/>
      <c r="K25" s="67"/>
      <c r="N25" s="68"/>
      <c r="Q25" s="67"/>
      <c r="V25" s="68"/>
      <c r="Z25" s="12"/>
    </row>
    <row r="26" spans="1:26" ht="12.75" customHeight="1" x14ac:dyDescent="0.25">
      <c r="A26" s="10"/>
      <c r="B26" s="1" t="s">
        <v>28</v>
      </c>
      <c r="D26" s="126"/>
      <c r="E26" s="126"/>
      <c r="F26" s="126"/>
      <c r="G26" s="1" t="s">
        <v>35</v>
      </c>
      <c r="K26" s="130" t="s">
        <v>36</v>
      </c>
      <c r="L26" s="124" t="s">
        <v>41</v>
      </c>
      <c r="M26" s="124"/>
      <c r="N26" s="125"/>
      <c r="O26" s="38"/>
      <c r="P26" s="38"/>
      <c r="Q26" s="130" t="s">
        <v>38</v>
      </c>
      <c r="R26" s="124" t="s">
        <v>39</v>
      </c>
      <c r="S26" s="124"/>
      <c r="T26" s="124" t="s">
        <v>42</v>
      </c>
      <c r="U26" s="124" t="s">
        <v>43</v>
      </c>
      <c r="V26" s="125"/>
      <c r="Z26" s="12"/>
    </row>
    <row r="27" spans="1:26" ht="12.75" customHeight="1" x14ac:dyDescent="0.25">
      <c r="A27" s="10"/>
      <c r="B27" s="1" t="s">
        <v>29</v>
      </c>
      <c r="D27" s="126"/>
      <c r="E27" s="126"/>
      <c r="F27" s="126"/>
      <c r="G27" s="1" t="s">
        <v>35</v>
      </c>
      <c r="K27" s="130"/>
      <c r="L27" s="124" t="s">
        <v>37</v>
      </c>
      <c r="M27" s="124"/>
      <c r="N27" s="125"/>
      <c r="O27" s="38"/>
      <c r="P27" s="38"/>
      <c r="Q27" s="130"/>
      <c r="R27" s="124" t="s">
        <v>40</v>
      </c>
      <c r="S27" s="124"/>
      <c r="T27" s="124"/>
      <c r="U27" s="124" t="s">
        <v>44</v>
      </c>
      <c r="V27" s="125"/>
      <c r="Z27" s="12"/>
    </row>
    <row r="28" spans="1:26" ht="12.75" customHeight="1" x14ac:dyDescent="0.25">
      <c r="A28" s="10"/>
      <c r="K28" s="67"/>
      <c r="N28" s="68"/>
      <c r="Q28" s="67"/>
      <c r="V28" s="68"/>
      <c r="Z28" s="12"/>
    </row>
    <row r="29" spans="1:26" ht="12.75" customHeight="1" thickBot="1" x14ac:dyDescent="0.3">
      <c r="A29" s="10"/>
      <c r="B29" s="38" t="s">
        <v>31</v>
      </c>
      <c r="K29" s="127" t="e">
        <f>(D26*D27)/(2*(D26+D27))</f>
        <v>#DIV/0!</v>
      </c>
      <c r="L29" s="128"/>
      <c r="M29" s="128"/>
      <c r="N29" s="129"/>
      <c r="Q29" s="69"/>
      <c r="R29" s="70"/>
      <c r="S29" s="70"/>
      <c r="T29" s="70"/>
      <c r="U29" s="70"/>
      <c r="V29" s="71"/>
      <c r="Z29" s="12"/>
    </row>
    <row r="30" spans="1:26" ht="12.75" customHeight="1" x14ac:dyDescent="0.25">
      <c r="A30" s="10"/>
      <c r="B30" s="38"/>
      <c r="K30" s="76"/>
      <c r="L30" s="76"/>
      <c r="M30" s="76"/>
      <c r="N30" s="76"/>
      <c r="Z30" s="12"/>
    </row>
    <row r="31" spans="1:26" ht="12.75" customHeight="1" x14ac:dyDescent="0.25">
      <c r="A31" s="10"/>
      <c r="B31" s="38"/>
      <c r="K31" s="76"/>
      <c r="L31" s="76"/>
      <c r="M31" s="76"/>
      <c r="N31" s="76"/>
      <c r="Z31" s="12"/>
    </row>
    <row r="32" spans="1:26" ht="12.75" customHeight="1" x14ac:dyDescent="0.25">
      <c r="A32" s="10"/>
      <c r="Z32" s="12"/>
    </row>
    <row r="33" spans="1:26" ht="12.75" customHeight="1" x14ac:dyDescent="0.25">
      <c r="A33" s="10"/>
      <c r="B33" s="124" t="s">
        <v>32</v>
      </c>
      <c r="C33" s="124"/>
      <c r="D33" s="124" t="s">
        <v>34</v>
      </c>
      <c r="E33" s="124"/>
      <c r="F33" s="124"/>
      <c r="G33" s="124" t="s">
        <v>45</v>
      </c>
      <c r="H33" s="124"/>
      <c r="I33" s="124"/>
      <c r="Z33" s="12"/>
    </row>
    <row r="34" spans="1:26" ht="12.75" customHeight="1" x14ac:dyDescent="0.25">
      <c r="A34" s="10"/>
      <c r="B34" s="124" t="s">
        <v>33</v>
      </c>
      <c r="C34" s="124"/>
      <c r="D34" s="124" t="s">
        <v>35</v>
      </c>
      <c r="E34" s="124"/>
      <c r="F34" s="124"/>
      <c r="G34" s="124" t="s">
        <v>46</v>
      </c>
      <c r="H34" s="124"/>
      <c r="I34" s="124"/>
      <c r="Z34" s="12"/>
    </row>
    <row r="35" spans="1:26" ht="12.6" customHeight="1" x14ac:dyDescent="0.25">
      <c r="A35" s="10"/>
      <c r="B35" s="131">
        <v>0</v>
      </c>
      <c r="C35" s="131"/>
      <c r="D35" s="126"/>
      <c r="E35" s="126"/>
      <c r="F35" s="126"/>
      <c r="G35" s="132"/>
      <c r="H35" s="132"/>
      <c r="I35" s="132"/>
      <c r="Z35" s="12"/>
    </row>
    <row r="36" spans="1:26" ht="12.6" customHeight="1" x14ac:dyDescent="0.25">
      <c r="A36" s="10"/>
      <c r="B36" s="131">
        <v>1</v>
      </c>
      <c r="C36" s="131"/>
      <c r="D36" s="126"/>
      <c r="E36" s="126"/>
      <c r="F36" s="126"/>
      <c r="G36" s="132" t="str">
        <f>IF(D36&lt;&gt;"",($K$29/(60*(B36-B35)))*LN((D35+$K$29)/(D36+$K$29)),"")</f>
        <v/>
      </c>
      <c r="H36" s="132"/>
      <c r="I36" s="132"/>
      <c r="Z36" s="12"/>
    </row>
    <row r="37" spans="1:26" ht="12.6" customHeight="1" x14ac:dyDescent="0.25">
      <c r="A37" s="10"/>
      <c r="B37" s="131">
        <v>2</v>
      </c>
      <c r="C37" s="131"/>
      <c r="D37" s="126"/>
      <c r="E37" s="126"/>
      <c r="F37" s="126"/>
      <c r="G37" s="132" t="str">
        <f t="shared" ref="G37:G48" si="0">IF(D37&lt;&gt;"",($K$29/(60*(B37-B36)))*LN((D36+$K$29)/(D37+$K$29)),"")</f>
        <v/>
      </c>
      <c r="H37" s="132"/>
      <c r="I37" s="132"/>
      <c r="Z37" s="12"/>
    </row>
    <row r="38" spans="1:26" ht="12.6" customHeight="1" x14ac:dyDescent="0.25">
      <c r="A38" s="10"/>
      <c r="B38" s="131">
        <v>3</v>
      </c>
      <c r="C38" s="131"/>
      <c r="D38" s="126"/>
      <c r="E38" s="126"/>
      <c r="F38" s="126"/>
      <c r="G38" s="132" t="str">
        <f t="shared" si="0"/>
        <v/>
      </c>
      <c r="H38" s="132"/>
      <c r="I38" s="132"/>
      <c r="Z38" s="12"/>
    </row>
    <row r="39" spans="1:26" ht="12.6" customHeight="1" x14ac:dyDescent="0.25">
      <c r="A39" s="10"/>
      <c r="B39" s="131">
        <v>4</v>
      </c>
      <c r="C39" s="131"/>
      <c r="D39" s="126"/>
      <c r="E39" s="126"/>
      <c r="F39" s="126"/>
      <c r="G39" s="132" t="str">
        <f t="shared" si="0"/>
        <v/>
      </c>
      <c r="H39" s="132"/>
      <c r="I39" s="132"/>
      <c r="Z39" s="12"/>
    </row>
    <row r="40" spans="1:26" ht="12.6" customHeight="1" x14ac:dyDescent="0.25">
      <c r="A40" s="10"/>
      <c r="B40" s="131">
        <v>5</v>
      </c>
      <c r="C40" s="131"/>
      <c r="D40" s="126"/>
      <c r="E40" s="126"/>
      <c r="F40" s="126"/>
      <c r="G40" s="132" t="str">
        <f t="shared" si="0"/>
        <v/>
      </c>
      <c r="H40" s="132"/>
      <c r="I40" s="132"/>
      <c r="Z40" s="12"/>
    </row>
    <row r="41" spans="1:26" ht="12.6" customHeight="1" x14ac:dyDescent="0.25">
      <c r="A41" s="10"/>
      <c r="B41" s="131">
        <v>10</v>
      </c>
      <c r="C41" s="131"/>
      <c r="D41" s="126"/>
      <c r="E41" s="126"/>
      <c r="F41" s="126"/>
      <c r="G41" s="132" t="str">
        <f t="shared" si="0"/>
        <v/>
      </c>
      <c r="H41" s="132"/>
      <c r="I41" s="132"/>
      <c r="Z41" s="12"/>
    </row>
    <row r="42" spans="1:26" ht="12.6" customHeight="1" x14ac:dyDescent="0.25">
      <c r="A42" s="10"/>
      <c r="B42" s="131">
        <v>15</v>
      </c>
      <c r="C42" s="131"/>
      <c r="D42" s="126"/>
      <c r="E42" s="126"/>
      <c r="F42" s="126"/>
      <c r="G42" s="132" t="str">
        <f t="shared" si="0"/>
        <v/>
      </c>
      <c r="H42" s="132"/>
      <c r="I42" s="132"/>
      <c r="Z42" s="12"/>
    </row>
    <row r="43" spans="1:26" ht="12.6" customHeight="1" x14ac:dyDescent="0.25">
      <c r="A43" s="10"/>
      <c r="B43" s="131">
        <v>20</v>
      </c>
      <c r="C43" s="131"/>
      <c r="D43" s="126"/>
      <c r="E43" s="126"/>
      <c r="F43" s="126"/>
      <c r="G43" s="132" t="str">
        <f t="shared" si="0"/>
        <v/>
      </c>
      <c r="H43" s="132"/>
      <c r="I43" s="132"/>
      <c r="Z43" s="12"/>
    </row>
    <row r="44" spans="1:26" ht="12.6" customHeight="1" x14ac:dyDescent="0.25">
      <c r="A44" s="10"/>
      <c r="B44" s="131">
        <v>30</v>
      </c>
      <c r="C44" s="131"/>
      <c r="D44" s="126"/>
      <c r="E44" s="126"/>
      <c r="F44" s="126"/>
      <c r="G44" s="132" t="str">
        <f t="shared" si="0"/>
        <v/>
      </c>
      <c r="H44" s="132"/>
      <c r="I44" s="132"/>
      <c r="Z44" s="12"/>
    </row>
    <row r="45" spans="1:26" ht="12.6" customHeight="1" x14ac:dyDescent="0.25">
      <c r="A45" s="10"/>
      <c r="B45" s="131">
        <v>40</v>
      </c>
      <c r="C45" s="131"/>
      <c r="D45" s="126"/>
      <c r="E45" s="126"/>
      <c r="F45" s="126"/>
      <c r="G45" s="132" t="str">
        <f t="shared" si="0"/>
        <v/>
      </c>
      <c r="H45" s="132"/>
      <c r="I45" s="132"/>
      <c r="Z45" s="12"/>
    </row>
    <row r="46" spans="1:26" ht="12.6" customHeight="1" x14ac:dyDescent="0.25">
      <c r="A46" s="10"/>
      <c r="B46" s="131">
        <v>50</v>
      </c>
      <c r="C46" s="131"/>
      <c r="D46" s="126"/>
      <c r="E46" s="126"/>
      <c r="F46" s="126"/>
      <c r="G46" s="132" t="str">
        <f t="shared" si="0"/>
        <v/>
      </c>
      <c r="H46" s="132"/>
      <c r="I46" s="132"/>
      <c r="Z46" s="12"/>
    </row>
    <row r="47" spans="1:26" ht="12.6" customHeight="1" x14ac:dyDescent="0.25">
      <c r="A47" s="10"/>
      <c r="B47" s="131">
        <v>60</v>
      </c>
      <c r="C47" s="131"/>
      <c r="D47" s="126"/>
      <c r="E47" s="126"/>
      <c r="F47" s="126"/>
      <c r="G47" s="132" t="str">
        <f t="shared" si="0"/>
        <v/>
      </c>
      <c r="H47" s="132"/>
      <c r="I47" s="132"/>
      <c r="Z47" s="12"/>
    </row>
    <row r="48" spans="1:26" ht="12.6" customHeight="1" x14ac:dyDescent="0.25">
      <c r="A48" s="10"/>
      <c r="B48" s="131">
        <v>75</v>
      </c>
      <c r="C48" s="131"/>
      <c r="D48" s="126"/>
      <c r="E48" s="126"/>
      <c r="F48" s="126"/>
      <c r="G48" s="132" t="str">
        <f t="shared" si="0"/>
        <v/>
      </c>
      <c r="H48" s="132"/>
      <c r="I48" s="132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6"/>
      <c r="W48" s="36"/>
      <c r="X48" s="36"/>
      <c r="Y48" s="36"/>
      <c r="Z48" s="37"/>
    </row>
    <row r="49" spans="1:26" ht="12.6" customHeight="1" x14ac:dyDescent="0.25">
      <c r="A49" s="10"/>
      <c r="B49" s="131">
        <v>90</v>
      </c>
      <c r="C49" s="131"/>
      <c r="D49" s="126"/>
      <c r="E49" s="126"/>
      <c r="F49" s="126"/>
      <c r="G49" s="132" t="str">
        <f t="shared" ref="G49:G52" si="1">IF(D49&lt;&gt;"",($K$29/(60*(B49-B48)))*LN((D48+$K$29)/(D49+$K$29)),"")</f>
        <v/>
      </c>
      <c r="H49" s="132"/>
      <c r="I49" s="132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18"/>
      <c r="W49" s="18"/>
      <c r="X49" s="18"/>
      <c r="Y49" s="18"/>
      <c r="Z49" s="27"/>
    </row>
    <row r="50" spans="1:26" ht="12.6" customHeight="1" x14ac:dyDescent="0.25">
      <c r="A50" s="40"/>
      <c r="B50" s="131">
        <v>105</v>
      </c>
      <c r="C50" s="131"/>
      <c r="D50" s="126"/>
      <c r="E50" s="126"/>
      <c r="F50" s="126"/>
      <c r="G50" s="132" t="str">
        <f t="shared" si="1"/>
        <v/>
      </c>
      <c r="H50" s="132"/>
      <c r="I50" s="132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8"/>
      <c r="W50" s="18"/>
      <c r="X50" s="18"/>
      <c r="Y50" s="18"/>
      <c r="Z50" s="27"/>
    </row>
    <row r="51" spans="1:26" ht="12.6" customHeight="1" x14ac:dyDescent="0.25">
      <c r="A51" s="41"/>
      <c r="B51" s="131">
        <v>120</v>
      </c>
      <c r="C51" s="131"/>
      <c r="D51" s="126"/>
      <c r="E51" s="126"/>
      <c r="F51" s="126"/>
      <c r="G51" s="132" t="str">
        <f t="shared" si="1"/>
        <v/>
      </c>
      <c r="H51" s="132"/>
      <c r="I51" s="132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8"/>
      <c r="W51" s="18"/>
      <c r="X51" s="18"/>
      <c r="Y51" s="18"/>
      <c r="Z51" s="27"/>
    </row>
    <row r="52" spans="1:26" ht="12.6" customHeight="1" x14ac:dyDescent="0.25">
      <c r="A52" s="41"/>
      <c r="B52" s="131"/>
      <c r="C52" s="131"/>
      <c r="D52" s="131"/>
      <c r="E52" s="131"/>
      <c r="F52" s="131"/>
      <c r="G52" s="132" t="str">
        <f t="shared" si="1"/>
        <v/>
      </c>
      <c r="H52" s="132"/>
      <c r="I52" s="132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8"/>
      <c r="W52" s="18"/>
      <c r="X52" s="18"/>
      <c r="Y52" s="18"/>
      <c r="Z52" s="27"/>
    </row>
    <row r="53" spans="1:26" ht="12.6" customHeight="1" x14ac:dyDescent="0.25">
      <c r="A53" s="41"/>
      <c r="B53" s="11"/>
      <c r="C53" s="11"/>
      <c r="D53" s="11"/>
      <c r="E53" s="11"/>
      <c r="F53" s="11"/>
      <c r="G53" s="66"/>
      <c r="H53" s="66"/>
      <c r="I53" s="66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8"/>
      <c r="W53" s="18"/>
      <c r="X53" s="18"/>
      <c r="Y53" s="18"/>
      <c r="Z53" s="27"/>
    </row>
    <row r="54" spans="1:26" ht="12.6" customHeight="1" x14ac:dyDescent="0.25">
      <c r="A54" s="41"/>
      <c r="B54" s="11"/>
      <c r="C54" s="11"/>
      <c r="D54" s="11"/>
      <c r="E54" s="11"/>
      <c r="F54" s="11"/>
      <c r="G54" s="66"/>
      <c r="H54" s="66"/>
      <c r="I54" s="66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8"/>
      <c r="W54" s="18"/>
      <c r="X54" s="18"/>
      <c r="Y54" s="18"/>
      <c r="Z54" s="27"/>
    </row>
    <row r="55" spans="1:26" ht="12.6" customHeight="1" x14ac:dyDescent="0.25">
      <c r="A55" s="41"/>
      <c r="B55" s="124"/>
      <c r="C55" s="124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8"/>
      <c r="W55" s="18"/>
      <c r="X55" s="18"/>
      <c r="Y55" s="18"/>
      <c r="Z55" s="27"/>
    </row>
    <row r="56" spans="1:26" ht="12.6" customHeight="1" x14ac:dyDescent="0.25">
      <c r="A56" s="10"/>
      <c r="Z56" s="12"/>
    </row>
    <row r="57" spans="1:26" ht="12.6" customHeight="1" x14ac:dyDescent="0.25">
      <c r="A57" s="10"/>
      <c r="Z57" s="12"/>
    </row>
    <row r="58" spans="1:26" ht="12.6" customHeight="1" x14ac:dyDescent="0.25">
      <c r="A58" s="42"/>
      <c r="B58" s="43"/>
      <c r="C58" s="44"/>
      <c r="D58" s="45"/>
      <c r="E58" s="45"/>
      <c r="F58" s="45"/>
      <c r="G58" s="44"/>
      <c r="H58" s="44"/>
      <c r="I58" s="44"/>
      <c r="Z58" s="12"/>
    </row>
    <row r="59" spans="1:26" ht="12.6" customHeight="1" thickBot="1" x14ac:dyDescent="0.3">
      <c r="A59" s="10"/>
      <c r="Z59" s="12"/>
    </row>
    <row r="60" spans="1:26" ht="12.6" customHeight="1" x14ac:dyDescent="0.25">
      <c r="A60" s="46"/>
      <c r="B60" s="38"/>
      <c r="C60" s="38"/>
      <c r="D60" s="38"/>
      <c r="E60" s="38"/>
      <c r="F60" s="38"/>
      <c r="G60" s="38"/>
      <c r="H60" s="38"/>
      <c r="I60" s="38"/>
      <c r="J60" s="38"/>
      <c r="K60" s="38"/>
      <c r="L60" s="38"/>
      <c r="M60" s="38"/>
      <c r="N60" s="38"/>
      <c r="O60" s="160" t="s">
        <v>50</v>
      </c>
      <c r="P60" s="161"/>
      <c r="Q60" s="161"/>
      <c r="R60" s="161"/>
      <c r="S60" s="161"/>
      <c r="T60" s="161"/>
      <c r="U60" s="161"/>
      <c r="V60" s="161"/>
      <c r="W60" s="161"/>
      <c r="X60" s="162"/>
      <c r="Y60" s="44"/>
      <c r="Z60" s="47"/>
    </row>
    <row r="61" spans="1:26" ht="12.6" customHeight="1" x14ac:dyDescent="0.25">
      <c r="A61" s="46"/>
      <c r="O61" s="163"/>
      <c r="P61" s="164"/>
      <c r="Q61" s="164"/>
      <c r="R61" s="164"/>
      <c r="S61" s="164"/>
      <c r="T61" s="164"/>
      <c r="U61" s="164"/>
      <c r="V61" s="164"/>
      <c r="W61" s="164"/>
      <c r="X61" s="165"/>
      <c r="Z61" s="12"/>
    </row>
    <row r="62" spans="1:26" ht="12.6" customHeight="1" x14ac:dyDescent="0.25">
      <c r="A62" s="46"/>
      <c r="O62" s="163"/>
      <c r="P62" s="164"/>
      <c r="Q62" s="164"/>
      <c r="R62" s="164"/>
      <c r="S62" s="164"/>
      <c r="T62" s="164"/>
      <c r="U62" s="164"/>
      <c r="V62" s="164"/>
      <c r="W62" s="164"/>
      <c r="X62" s="165"/>
      <c r="Y62" s="50"/>
      <c r="Z62" s="48"/>
    </row>
    <row r="63" spans="1:26" ht="12.6" customHeight="1" x14ac:dyDescent="0.25">
      <c r="A63" s="46"/>
      <c r="O63" s="133" t="e">
        <f>AVERAGE(G37:I42)</f>
        <v>#DIV/0!</v>
      </c>
      <c r="P63" s="134"/>
      <c r="Q63" s="134"/>
      <c r="R63" s="134"/>
      <c r="S63" s="134"/>
      <c r="T63" s="72"/>
      <c r="U63" s="176" t="s">
        <v>46</v>
      </c>
      <c r="V63" s="176"/>
      <c r="W63" s="176"/>
      <c r="X63" s="177"/>
      <c r="Z63" s="12"/>
    </row>
    <row r="64" spans="1:26" ht="12.6" customHeight="1" x14ac:dyDescent="0.25">
      <c r="A64" s="49"/>
      <c r="O64" s="133"/>
      <c r="P64" s="134"/>
      <c r="Q64" s="134"/>
      <c r="R64" s="134"/>
      <c r="S64" s="134"/>
      <c r="T64" s="72"/>
      <c r="U64" s="176"/>
      <c r="V64" s="176"/>
      <c r="W64" s="176"/>
      <c r="X64" s="177"/>
      <c r="Y64" s="50"/>
      <c r="Z64" s="48"/>
    </row>
    <row r="65" spans="1:26" ht="12.6" customHeight="1" thickBot="1" x14ac:dyDescent="0.3">
      <c r="A65" s="10"/>
      <c r="O65" s="135"/>
      <c r="P65" s="136"/>
      <c r="Q65" s="136"/>
      <c r="R65" s="136"/>
      <c r="S65" s="136"/>
      <c r="T65" s="73"/>
      <c r="U65" s="178"/>
      <c r="V65" s="178"/>
      <c r="W65" s="178"/>
      <c r="X65" s="179"/>
      <c r="Z65" s="12"/>
    </row>
    <row r="66" spans="1:26" ht="12.6" customHeight="1" x14ac:dyDescent="0.25">
      <c r="A66" s="10"/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38"/>
      <c r="Q66" s="38"/>
      <c r="U66" s="50"/>
      <c r="X66" s="50"/>
      <c r="Y66" s="50"/>
      <c r="Z66" s="48"/>
    </row>
    <row r="67" spans="1:26" ht="12.6" customHeight="1" x14ac:dyDescent="0.25">
      <c r="A67" s="46"/>
      <c r="B67" s="74"/>
      <c r="U67" s="75"/>
      <c r="V67" s="75"/>
      <c r="W67" s="75"/>
      <c r="X67" s="75"/>
      <c r="Y67" s="75"/>
      <c r="Z67" s="48"/>
    </row>
    <row r="68" spans="1:26" ht="12.6" customHeight="1" x14ac:dyDescent="0.25">
      <c r="A68" s="46"/>
      <c r="U68" s="75"/>
      <c r="V68" s="75"/>
      <c r="W68" s="75"/>
      <c r="X68" s="75"/>
      <c r="Y68" s="75"/>
      <c r="Z68" s="48"/>
    </row>
    <row r="69" spans="1:26" ht="12.6" customHeight="1" x14ac:dyDescent="0.25">
      <c r="A69" s="46"/>
      <c r="U69" s="75"/>
      <c r="V69" s="75"/>
      <c r="W69" s="75"/>
      <c r="X69" s="75"/>
      <c r="Y69" s="75"/>
      <c r="Z69" s="48"/>
    </row>
    <row r="70" spans="1:26" ht="12.6" customHeight="1" x14ac:dyDescent="0.25">
      <c r="A70" s="46"/>
      <c r="Z70" s="12"/>
    </row>
    <row r="71" spans="1:26" ht="12.6" customHeight="1" x14ac:dyDescent="0.25">
      <c r="A71" s="46"/>
      <c r="Z71" s="12"/>
    </row>
    <row r="72" spans="1:26" ht="12.6" customHeight="1" x14ac:dyDescent="0.25">
      <c r="A72" s="46"/>
      <c r="Z72" s="12"/>
    </row>
    <row r="73" spans="1:26" ht="12.6" customHeight="1" x14ac:dyDescent="0.25">
      <c r="A73" s="51"/>
      <c r="B73" s="52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17"/>
    </row>
    <row r="74" spans="1:26" ht="12.75" customHeight="1" x14ac:dyDescent="0.25">
      <c r="A74" s="39"/>
      <c r="B74" s="38"/>
    </row>
    <row r="75" spans="1:26" s="18" customFormat="1" ht="15.6" customHeight="1" x14ac:dyDescent="0.25">
      <c r="A75" s="53" t="s">
        <v>24</v>
      </c>
      <c r="B75" s="54" t="s">
        <v>16</v>
      </c>
      <c r="C75" s="55"/>
      <c r="D75" s="55"/>
      <c r="E75" s="55"/>
      <c r="F75" s="56"/>
      <c r="G75" s="56"/>
      <c r="H75" s="56"/>
      <c r="I75" s="7"/>
      <c r="J75" s="7"/>
      <c r="K75" s="7"/>
      <c r="L75" s="7"/>
      <c r="M75" s="7"/>
      <c r="N75" s="7"/>
      <c r="O75" s="7"/>
      <c r="P75" s="7"/>
      <c r="Q75" s="56"/>
      <c r="R75" s="7"/>
      <c r="S75" s="7"/>
      <c r="T75" s="7"/>
      <c r="U75" s="166"/>
      <c r="V75" s="166"/>
      <c r="W75" s="166"/>
      <c r="X75" s="167"/>
      <c r="Y75" s="167"/>
      <c r="Z75" s="168"/>
    </row>
    <row r="76" spans="1:26" s="18" customFormat="1" ht="26.4" customHeight="1" x14ac:dyDescent="0.25">
      <c r="A76" s="169" t="s">
        <v>23</v>
      </c>
      <c r="B76" s="170"/>
      <c r="C76" s="170"/>
      <c r="D76" s="170"/>
      <c r="E76" s="170"/>
      <c r="F76" s="170"/>
      <c r="G76" s="170"/>
      <c r="H76" s="170"/>
      <c r="I76" s="170"/>
      <c r="J76" s="170"/>
      <c r="K76" s="170"/>
      <c r="L76" s="170"/>
      <c r="M76" s="170"/>
      <c r="N76" s="170"/>
      <c r="O76" s="170"/>
      <c r="P76" s="170"/>
      <c r="Q76" s="171"/>
      <c r="R76" s="140" t="s">
        <v>10</v>
      </c>
      <c r="S76" s="141"/>
      <c r="T76" s="142"/>
      <c r="U76" s="172"/>
      <c r="V76" s="173"/>
      <c r="W76" s="173"/>
      <c r="X76" s="174"/>
      <c r="Y76" s="174"/>
      <c r="Z76" s="175"/>
    </row>
    <row r="77" spans="1:26" s="18" customFormat="1" ht="26.4" customHeight="1" x14ac:dyDescent="0.25">
      <c r="A77" s="137"/>
      <c r="B77" s="138"/>
      <c r="C77" s="138"/>
      <c r="D77" s="138"/>
      <c r="E77" s="138"/>
      <c r="F77" s="138"/>
      <c r="G77" s="138"/>
      <c r="H77" s="138"/>
      <c r="I77" s="138"/>
      <c r="J77" s="138"/>
      <c r="K77" s="138"/>
      <c r="L77" s="138"/>
      <c r="M77" s="138"/>
      <c r="N77" s="138"/>
      <c r="O77" s="138"/>
      <c r="P77" s="138"/>
      <c r="Q77" s="139"/>
      <c r="R77" s="140" t="s">
        <v>11</v>
      </c>
      <c r="S77" s="141"/>
      <c r="T77" s="142"/>
      <c r="U77" s="143"/>
      <c r="V77" s="144"/>
      <c r="W77" s="144"/>
      <c r="X77" s="145"/>
      <c r="Y77" s="145"/>
      <c r="Z77" s="146"/>
    </row>
    <row r="78" spans="1:26" s="18" customFormat="1" ht="15.6" customHeight="1" x14ac:dyDescent="0.25">
      <c r="A78" s="42" t="s">
        <v>25</v>
      </c>
      <c r="B78" s="43" t="s">
        <v>6</v>
      </c>
      <c r="C78" s="1"/>
      <c r="D78" s="1"/>
      <c r="E78" s="50"/>
      <c r="F78" s="50"/>
      <c r="G78" s="50"/>
      <c r="H78" s="50"/>
      <c r="I78" s="50"/>
      <c r="J78" s="50"/>
      <c r="K78" s="50"/>
      <c r="L78" s="50"/>
      <c r="M78" s="50"/>
      <c r="N78" s="50"/>
      <c r="O78" s="50"/>
      <c r="P78" s="50"/>
      <c r="Q78" s="48"/>
      <c r="R78" s="140"/>
      <c r="S78" s="141"/>
      <c r="T78" s="142"/>
      <c r="U78" s="147"/>
      <c r="V78" s="148"/>
      <c r="W78" s="148"/>
      <c r="X78" s="149"/>
      <c r="Y78" s="149"/>
      <c r="Z78" s="150"/>
    </row>
    <row r="79" spans="1:26" s="18" customFormat="1" ht="15.6" customHeight="1" x14ac:dyDescent="0.25">
      <c r="A79" s="151"/>
      <c r="B79" s="152"/>
      <c r="C79" s="152"/>
      <c r="D79" s="152"/>
      <c r="E79" s="152"/>
      <c r="F79" s="152"/>
      <c r="G79" s="152"/>
      <c r="H79" s="152"/>
      <c r="I79" s="152"/>
      <c r="J79" s="152"/>
      <c r="K79" s="152"/>
      <c r="L79" s="152"/>
      <c r="M79" s="152"/>
      <c r="N79" s="152"/>
      <c r="O79" s="152"/>
      <c r="P79" s="152"/>
      <c r="Q79" s="153"/>
      <c r="R79" s="140" t="s">
        <v>12</v>
      </c>
      <c r="S79" s="141"/>
      <c r="T79" s="142"/>
      <c r="U79" s="57"/>
      <c r="V79" s="58"/>
      <c r="W79" s="58"/>
      <c r="X79" s="58"/>
      <c r="Y79" s="58"/>
      <c r="Z79" s="59"/>
    </row>
    <row r="80" spans="1:26" s="18" customFormat="1" ht="15.6" customHeight="1" x14ac:dyDescent="0.25">
      <c r="A80" s="151"/>
      <c r="B80" s="152"/>
      <c r="C80" s="152"/>
      <c r="D80" s="152"/>
      <c r="E80" s="152"/>
      <c r="F80" s="152"/>
      <c r="G80" s="152"/>
      <c r="H80" s="152"/>
      <c r="I80" s="152"/>
      <c r="J80" s="152"/>
      <c r="K80" s="152"/>
      <c r="L80" s="152"/>
      <c r="M80" s="152"/>
      <c r="N80" s="152"/>
      <c r="O80" s="152"/>
      <c r="P80" s="152"/>
      <c r="Q80" s="153"/>
      <c r="R80" s="140"/>
      <c r="S80" s="141"/>
      <c r="T80" s="142"/>
      <c r="U80" s="60"/>
      <c r="V80" s="145"/>
      <c r="W80" s="145"/>
      <c r="X80" s="145"/>
      <c r="Y80" s="145"/>
      <c r="Z80" s="61"/>
    </row>
    <row r="81" spans="1:26" s="18" customFormat="1" ht="15.6" customHeight="1" x14ac:dyDescent="0.25">
      <c r="A81" s="151"/>
      <c r="B81" s="152"/>
      <c r="C81" s="152"/>
      <c r="D81" s="152"/>
      <c r="E81" s="152"/>
      <c r="F81" s="152"/>
      <c r="G81" s="152"/>
      <c r="H81" s="152"/>
      <c r="I81" s="152"/>
      <c r="J81" s="152"/>
      <c r="K81" s="152"/>
      <c r="L81" s="152"/>
      <c r="M81" s="152"/>
      <c r="N81" s="152"/>
      <c r="O81" s="152"/>
      <c r="P81" s="152"/>
      <c r="Q81" s="153"/>
      <c r="R81" s="140"/>
      <c r="S81" s="141"/>
      <c r="T81" s="142"/>
      <c r="U81" s="60"/>
      <c r="V81" s="145"/>
      <c r="W81" s="145"/>
      <c r="X81" s="145"/>
      <c r="Y81" s="145"/>
      <c r="Z81" s="61"/>
    </row>
    <row r="82" spans="1:26" s="18" customFormat="1" ht="15.6" customHeight="1" x14ac:dyDescent="0.25">
      <c r="A82" s="154"/>
      <c r="B82" s="155"/>
      <c r="C82" s="155"/>
      <c r="D82" s="155"/>
      <c r="E82" s="155"/>
      <c r="F82" s="155"/>
      <c r="G82" s="155"/>
      <c r="H82" s="155"/>
      <c r="I82" s="155"/>
      <c r="J82" s="155"/>
      <c r="K82" s="155"/>
      <c r="L82" s="155"/>
      <c r="M82" s="155"/>
      <c r="N82" s="155"/>
      <c r="O82" s="155"/>
      <c r="P82" s="155"/>
      <c r="Q82" s="156"/>
      <c r="R82" s="157"/>
      <c r="S82" s="158"/>
      <c r="T82" s="159"/>
      <c r="U82" s="62"/>
      <c r="V82" s="63"/>
      <c r="W82" s="63"/>
      <c r="X82" s="63"/>
      <c r="Y82" s="63"/>
      <c r="Z82" s="64"/>
    </row>
  </sheetData>
  <sheetProtection algorithmName="SHA-512" hashValue="l5Z8JfTZWsGgFDTSX9mYjYrcdx4DKuQqZMSZmycgZB2wtfLdRmXMWilj2ou89whlGCN0mkLVhTSKw/LUrUdg5A==" saltValue="OokRWLOWf3tw3PK+32ygUA==" spinCount="100000" sheet="1" objects="1" scenarios="1" selectLockedCells="1"/>
  <mergeCells count="118">
    <mergeCell ref="O63:S65"/>
    <mergeCell ref="A77:Q77"/>
    <mergeCell ref="R77:T78"/>
    <mergeCell ref="U77:Z78"/>
    <mergeCell ref="A79:Q82"/>
    <mergeCell ref="R79:T82"/>
    <mergeCell ref="V80:Y81"/>
    <mergeCell ref="B55:C55"/>
    <mergeCell ref="O60:X62"/>
    <mergeCell ref="U75:Z75"/>
    <mergeCell ref="A76:Q76"/>
    <mergeCell ref="R76:T76"/>
    <mergeCell ref="U76:Z76"/>
    <mergeCell ref="U63:X65"/>
    <mergeCell ref="B51:C51"/>
    <mergeCell ref="D51:F51"/>
    <mergeCell ref="G51:I51"/>
    <mergeCell ref="B52:C52"/>
    <mergeCell ref="D52:F52"/>
    <mergeCell ref="G52:I52"/>
    <mergeCell ref="B49:C49"/>
    <mergeCell ref="D49:F49"/>
    <mergeCell ref="G49:I49"/>
    <mergeCell ref="B50:C50"/>
    <mergeCell ref="D50:F50"/>
    <mergeCell ref="G50:I50"/>
    <mergeCell ref="B47:C47"/>
    <mergeCell ref="D47:F47"/>
    <mergeCell ref="G47:I47"/>
    <mergeCell ref="B48:C48"/>
    <mergeCell ref="D48:F48"/>
    <mergeCell ref="G48:I48"/>
    <mergeCell ref="B45:C45"/>
    <mergeCell ref="D45:F45"/>
    <mergeCell ref="G45:I45"/>
    <mergeCell ref="B46:C46"/>
    <mergeCell ref="D46:F46"/>
    <mergeCell ref="G46:I46"/>
    <mergeCell ref="B43:C43"/>
    <mergeCell ref="D43:F43"/>
    <mergeCell ref="G43:I43"/>
    <mergeCell ref="B44:C44"/>
    <mergeCell ref="D44:F44"/>
    <mergeCell ref="G44:I44"/>
    <mergeCell ref="B41:C41"/>
    <mergeCell ref="D41:F41"/>
    <mergeCell ref="G41:I41"/>
    <mergeCell ref="B42:C42"/>
    <mergeCell ref="D42:F42"/>
    <mergeCell ref="G42:I42"/>
    <mergeCell ref="B39:C39"/>
    <mergeCell ref="D39:F39"/>
    <mergeCell ref="G39:I39"/>
    <mergeCell ref="B40:C40"/>
    <mergeCell ref="D40:F40"/>
    <mergeCell ref="G40:I40"/>
    <mergeCell ref="B37:C37"/>
    <mergeCell ref="D37:F37"/>
    <mergeCell ref="G37:I37"/>
    <mergeCell ref="B38:C38"/>
    <mergeCell ref="D38:F38"/>
    <mergeCell ref="G38:I38"/>
    <mergeCell ref="B35:C35"/>
    <mergeCell ref="D35:F35"/>
    <mergeCell ref="G35:I35"/>
    <mergeCell ref="B36:C36"/>
    <mergeCell ref="D36:F36"/>
    <mergeCell ref="G36:I36"/>
    <mergeCell ref="B33:C33"/>
    <mergeCell ref="D33:F33"/>
    <mergeCell ref="G33:I33"/>
    <mergeCell ref="B34:C34"/>
    <mergeCell ref="D34:F34"/>
    <mergeCell ref="G34:I34"/>
    <mergeCell ref="U26:V26"/>
    <mergeCell ref="D27:F27"/>
    <mergeCell ref="L27:N27"/>
    <mergeCell ref="R27:S27"/>
    <mergeCell ref="U27:V27"/>
    <mergeCell ref="K29:N29"/>
    <mergeCell ref="D26:F26"/>
    <mergeCell ref="K26:K27"/>
    <mergeCell ref="L26:N26"/>
    <mergeCell ref="Q26:Q27"/>
    <mergeCell ref="R26:S26"/>
    <mergeCell ref="T26:T27"/>
    <mergeCell ref="B17:H17"/>
    <mergeCell ref="I17:Y17"/>
    <mergeCell ref="B18:H18"/>
    <mergeCell ref="I18:Y18"/>
    <mergeCell ref="B24:G24"/>
    <mergeCell ref="K24:N24"/>
    <mergeCell ref="Q24:V24"/>
    <mergeCell ref="B11:G11"/>
    <mergeCell ref="H11:M11"/>
    <mergeCell ref="N11:R11"/>
    <mergeCell ref="S11:Y11"/>
    <mergeCell ref="B12:G12"/>
    <mergeCell ref="H12:M12"/>
    <mergeCell ref="N12:R12"/>
    <mergeCell ref="S12:Y12"/>
    <mergeCell ref="P6:T6"/>
    <mergeCell ref="A7:F7"/>
    <mergeCell ref="G7:Z7"/>
    <mergeCell ref="B10:G10"/>
    <mergeCell ref="H10:M10"/>
    <mergeCell ref="N10:R10"/>
    <mergeCell ref="S10:Y10"/>
    <mergeCell ref="A1:F6"/>
    <mergeCell ref="G1:T1"/>
    <mergeCell ref="U1:Z6"/>
    <mergeCell ref="G2:T4"/>
    <mergeCell ref="G5:H5"/>
    <mergeCell ref="J5:K5"/>
    <mergeCell ref="L5:O5"/>
    <mergeCell ref="P5:T5"/>
    <mergeCell ref="J6:K6"/>
    <mergeCell ref="L6:O6"/>
  </mergeCells>
  <printOptions horizontalCentered="1" verticalCentered="1"/>
  <pageMargins left="0.27559055118110237" right="0.35433070866141736" top="3.937007874015748E-2" bottom="0.39370078740157483" header="0.35433070866141736" footer="0.19685039370078741"/>
  <pageSetup paperSize="9" scale="74" orientation="portrait" r:id="rId1"/>
  <headerFooter alignWithMargins="0">
    <oddFooter>&amp;RDG-Q / RE ID du 28/06/06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CRE</vt:lpstr>
      <vt:lpstr>CRE!Zone_d_impression</vt:lpstr>
    </vt:vector>
  </TitlesOfParts>
  <Company>AB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MONTET F.</dc:creator>
  <cp:lastModifiedBy>LHOPITAL Sylvain</cp:lastModifiedBy>
  <cp:lastPrinted>2025-01-28T07:29:46Z</cp:lastPrinted>
  <dcterms:created xsi:type="dcterms:W3CDTF">2004-11-13T18:13:05Z</dcterms:created>
  <dcterms:modified xsi:type="dcterms:W3CDTF">2025-01-29T06:24:56Z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2001353798</vt:i4>
  </property>
  <property fmtid="{D5CDD505-2E9C-101B-9397-08002B2CF9AE}" pid="3" name="_EmailSubject">
    <vt:lpwstr>Groupe de Travail Procédures et Essais</vt:lpwstr>
  </property>
  <property fmtid="{D5CDD505-2E9C-101B-9397-08002B2CF9AE}" pid="4" name="_AuthorEmail">
    <vt:lpwstr>fchartier@guintoli.fr</vt:lpwstr>
  </property>
  <property fmtid="{D5CDD505-2E9C-101B-9397-08002B2CF9AE}" pid="5" name="_AuthorEmailDisplayName">
    <vt:lpwstr>François CHARTIER</vt:lpwstr>
  </property>
  <property fmtid="{D5CDD505-2E9C-101B-9397-08002B2CF9AE}" pid="6" name="_ReviewingToolsShownOnce">
    <vt:lpwstr/>
  </property>
</Properties>
</file>