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6AB1B322-754D-4446-A750-3D273B478FD1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IM" sheetId="2" r:id="rId1"/>
  </sheets>
  <definedNames>
    <definedName name="_xlnm.Print_Area" localSheetId="0">'CRE IM'!$A$1:$Z$75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6" i="2" l="1"/>
  <c r="N48" i="2" s="1"/>
  <c r="L62" i="2" s="1"/>
  <c r="R62" i="2" s="1"/>
  <c r="L58" i="2"/>
  <c r="R58" i="2" s="1"/>
  <c r="AD30" i="2"/>
  <c r="AD31" i="2"/>
  <c r="AD32" i="2"/>
  <c r="AD33" i="2"/>
  <c r="AD34" i="2"/>
  <c r="AD36" i="2"/>
  <c r="AD35" i="2"/>
  <c r="AD29" i="2"/>
  <c r="AC36" i="2"/>
  <c r="AC35" i="2"/>
  <c r="AC34" i="2"/>
  <c r="AC33" i="2"/>
  <c r="AC32" i="2"/>
  <c r="AC31" i="2"/>
  <c r="AC30" i="2"/>
  <c r="AC29" i="2"/>
</calcChain>
</file>

<file path=xl/sharedStrings.xml><?xml version="1.0" encoding="utf-8"?>
<sst xmlns="http://schemas.openxmlformats.org/spreadsheetml/2006/main" count="55" uniqueCount="51">
  <si>
    <t>RENSEIGNEMENTS GENERAUX</t>
  </si>
  <si>
    <t>1/</t>
  </si>
  <si>
    <t>Date du prélèvement :</t>
  </si>
  <si>
    <t>Nature du matériau :</t>
  </si>
  <si>
    <t>Provenance :</t>
  </si>
  <si>
    <t>Destination :</t>
  </si>
  <si>
    <t>Teneur en eau (%)</t>
  </si>
  <si>
    <t>Gonflement (mm)</t>
  </si>
  <si>
    <t xml:space="preserve">2/ </t>
  </si>
  <si>
    <t>RESULTATS DES ESSAIS</t>
  </si>
  <si>
    <t xml:space="preserve">ETAT INITIAL DE L'ECHANTILLON </t>
  </si>
  <si>
    <t>MESURE DU GONFLEMENT LINEAIRE RELATIF</t>
  </si>
  <si>
    <t>Date de mise en immersion :</t>
  </si>
  <si>
    <t>Durée d'immersion :</t>
  </si>
  <si>
    <t>Temps (j)</t>
  </si>
  <si>
    <t>TENEUR EN EAU (%)</t>
  </si>
  <si>
    <t>ETAT FINAL DE L'ECHANTILLON APRES IMMERSION</t>
  </si>
  <si>
    <t xml:space="preserve">GONFLEMENT LINEAIRE ABSOLU    </t>
  </si>
  <si>
    <t xml:space="preserve"> GONFLEMENT LINEAIRE RELATIF    </t>
  </si>
  <si>
    <t>∆H =</t>
  </si>
  <si>
    <t>mm</t>
  </si>
  <si>
    <t>COMMENTAIRES</t>
  </si>
  <si>
    <t>G= (∆H / H) x100 =</t>
  </si>
  <si>
    <t>Opérateur :</t>
  </si>
  <si>
    <t xml:space="preserve">avec H = </t>
  </si>
  <si>
    <t>Nature du liant :</t>
  </si>
  <si>
    <t>Laboratoire :</t>
  </si>
  <si>
    <t>Densité sèche</t>
  </si>
  <si>
    <t>MASSE VOLUMIQUE SECHE (t/m3)</t>
  </si>
  <si>
    <t>Région Rhône Alpes - 29-31 rue des Tâches - ZI Mi-Plaine - 69800 SAINT PRIEST</t>
  </si>
  <si>
    <t>n°</t>
  </si>
  <si>
    <t>Chrono</t>
  </si>
  <si>
    <t>N° d'affaire</t>
  </si>
  <si>
    <t>Date de rédaction</t>
  </si>
  <si>
    <t>IM</t>
  </si>
  <si>
    <t>RAPPORT D'ESSAIS</t>
  </si>
  <si>
    <t>W%</t>
  </si>
  <si>
    <t>H</t>
  </si>
  <si>
    <t xml:space="preserve">3/ </t>
  </si>
  <si>
    <t>CONFORMITE</t>
  </si>
  <si>
    <t>4/</t>
  </si>
  <si>
    <t>Gonflement relatif:</t>
  </si>
  <si>
    <t>CONCLUSIONS</t>
  </si>
  <si>
    <t>Nom</t>
  </si>
  <si>
    <t>Visa</t>
  </si>
  <si>
    <t>5/</t>
  </si>
  <si>
    <t>GONFLEMENT APRES IMMERSION - CBRi 
(NF P 94-078 de mai 1997)</t>
  </si>
  <si>
    <r>
      <t>I</t>
    </r>
    <r>
      <rPr>
        <b/>
        <vertAlign val="subscript"/>
        <sz val="11"/>
        <rFont val="Century Gothic"/>
        <family val="2"/>
      </rPr>
      <t>CBR</t>
    </r>
    <r>
      <rPr>
        <b/>
        <sz val="11"/>
        <rFont val="Century Gothic"/>
        <family val="2"/>
      </rPr>
      <t xml:space="preserve"> immédiat</t>
    </r>
  </si>
  <si>
    <r>
      <t>I</t>
    </r>
    <r>
      <rPr>
        <b/>
        <vertAlign val="subscript"/>
        <sz val="11"/>
        <rFont val="Century Gothic"/>
        <family val="2"/>
      </rPr>
      <t>CBR</t>
    </r>
    <r>
      <rPr>
        <b/>
        <sz val="11"/>
        <rFont val="Century Gothic"/>
        <family val="2"/>
      </rPr>
      <t xml:space="preserve"> après immersion</t>
    </r>
  </si>
  <si>
    <r>
      <t>Rapport I</t>
    </r>
    <r>
      <rPr>
        <b/>
        <i/>
        <vertAlign val="subscript"/>
        <sz val="11"/>
        <rFont val="Century Gothic"/>
        <family val="2"/>
      </rPr>
      <t>CBR</t>
    </r>
    <r>
      <rPr>
        <b/>
        <i/>
        <sz val="11"/>
        <rFont val="Century Gothic"/>
        <family val="2"/>
      </rPr>
      <t xml:space="preserve"> après immersion / I</t>
    </r>
    <r>
      <rPr>
        <b/>
        <i/>
        <vertAlign val="subscript"/>
        <sz val="11"/>
        <rFont val="Century Gothic"/>
        <family val="2"/>
      </rPr>
      <t>CBR</t>
    </r>
    <r>
      <rPr>
        <b/>
        <i/>
        <sz val="11"/>
        <rFont val="Century Gothic"/>
        <family val="2"/>
      </rPr>
      <t xml:space="preserve"> immédiat :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</si>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</sst>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0.0"/>
  </numFmts>
  <fonts count="2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i/>
      <u/>
      <sz val="10"/>
      <name val="Century Gothic"/>
      <family val="2"/>
    </font>
    <font>
      <sz val="10"/>
      <color indexed="9"/>
      <name val="Century Gothic"/>
      <family val="2"/>
    </font>
    <font>
      <i/>
      <sz val="11"/>
      <color indexed="9"/>
      <name val="Century Gothic"/>
      <family val="2"/>
    </font>
    <font>
      <i/>
      <sz val="10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b/>
      <i/>
      <u/>
      <sz val="11"/>
      <name val="Century Gothic"/>
      <family val="2"/>
    </font>
    <font>
      <b/>
      <vertAlign val="subscript"/>
      <sz val="11"/>
      <name val="Century Gothic"/>
      <family val="2"/>
    </font>
    <font>
      <b/>
      <i/>
      <sz val="11"/>
      <name val="Century Gothic"/>
      <family val="2"/>
    </font>
    <font>
      <b/>
      <i/>
      <vertAlign val="subscript"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70">
    <xf numFmtId="0" fontId="0" fillId="0" borderId="0" xfId="0"/>
    <xf numFmtId="0" fontId="3" fillId="0" borderId="0" xfId="0" applyFont="1" applyFill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3" fillId="0" borderId="1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9" fillId="0" borderId="4" xfId="0" applyFont="1" applyFill="1" applyBorder="1" applyAlignment="1" applyProtection="1">
      <alignment vertical="center"/>
      <protection hidden="1"/>
    </xf>
    <xf numFmtId="0" fontId="3" fillId="0" borderId="4" xfId="0" applyFont="1" applyFill="1" applyBorder="1" applyAlignment="1" applyProtection="1">
      <alignment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vertical="center"/>
      <protection hidden="1"/>
    </xf>
    <xf numFmtId="0" fontId="6" fillId="0" borderId="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vertical="center"/>
      <protection hidden="1"/>
    </xf>
    <xf numFmtId="0" fontId="3" fillId="0" borderId="6" xfId="0" applyFont="1" applyFill="1" applyBorder="1" applyAlignment="1" applyProtection="1">
      <alignment vertical="center"/>
      <protection hidden="1"/>
    </xf>
    <xf numFmtId="0" fontId="10" fillId="0" borderId="0" xfId="0" applyFont="1" applyFill="1" applyBorder="1" applyAlignment="1" applyProtection="1">
      <alignment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left" vertical="center"/>
      <protection hidden="1"/>
    </xf>
    <xf numFmtId="0" fontId="3" fillId="0" borderId="8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11" fillId="0" borderId="0" xfId="0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7" fillId="0" borderId="6" xfId="0" applyFont="1" applyFill="1" applyBorder="1" applyAlignment="1" applyProtection="1">
      <alignment vertical="center"/>
      <protection hidden="1"/>
    </xf>
    <xf numFmtId="0" fontId="12" fillId="0" borderId="0" xfId="0" applyFont="1" applyFill="1" applyAlignment="1" applyProtection="1">
      <alignment horizontal="center" vertical="center"/>
      <protection hidden="1"/>
    </xf>
    <xf numFmtId="0" fontId="8" fillId="0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13" fillId="0" borderId="0" xfId="0" applyFont="1" applyFill="1" applyBorder="1" applyAlignment="1" applyProtection="1">
      <alignment vertical="center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14" fillId="0" borderId="6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hidden="1"/>
    </xf>
    <xf numFmtId="0" fontId="14" fillId="0" borderId="1" xfId="0" quotePrefix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6" fillId="0" borderId="10" xfId="0" applyFont="1" applyFill="1" applyBorder="1" applyAlignment="1" applyProtection="1">
      <alignment horizontal="center" vertical="center"/>
      <protection hidden="1"/>
    </xf>
    <xf numFmtId="0" fontId="9" fillId="0" borderId="11" xfId="0" applyFont="1" applyFill="1" applyBorder="1" applyAlignment="1" applyProtection="1">
      <alignment vertical="center"/>
      <protection hidden="1"/>
    </xf>
    <xf numFmtId="0" fontId="16" fillId="0" borderId="11" xfId="0" applyFont="1" applyFill="1" applyBorder="1" applyAlignment="1" applyProtection="1">
      <alignment vertical="center"/>
      <protection hidden="1"/>
    </xf>
    <xf numFmtId="0" fontId="3" fillId="0" borderId="11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7" xfId="0" applyFont="1" applyFill="1" applyBorder="1" applyAlignment="1" applyProtection="1">
      <alignment vertical="center"/>
      <protection hidden="1"/>
    </xf>
    <xf numFmtId="0" fontId="10" fillId="0" borderId="0" xfId="0" applyFont="1" applyFill="1" applyBorder="1" applyAlignment="1" applyProtection="1">
      <alignment horizontal="left" vertical="center"/>
      <protection hidden="1"/>
    </xf>
    <xf numFmtId="0" fontId="17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6" fillId="0" borderId="16" xfId="0" applyFont="1" applyFill="1" applyBorder="1" applyAlignment="1" applyProtection="1">
      <alignment horizontal="center" vertical="center"/>
      <protection hidden="1"/>
    </xf>
    <xf numFmtId="0" fontId="6" fillId="0" borderId="12" xfId="0" applyFont="1" applyFill="1" applyBorder="1" applyAlignment="1" applyProtection="1">
      <alignment horizontal="center" vertical="center"/>
      <protection hidden="1"/>
    </xf>
    <xf numFmtId="0" fontId="17" fillId="0" borderId="6" xfId="0" applyFont="1" applyFill="1" applyBorder="1" applyAlignment="1" applyProtection="1">
      <alignment horizontal="center" vertical="center"/>
      <protection hidden="1"/>
    </xf>
    <xf numFmtId="0" fontId="17" fillId="0" borderId="0" xfId="0" applyFont="1" applyFill="1" applyBorder="1" applyAlignment="1" applyProtection="1">
      <alignment horizontal="center" vertical="center"/>
      <protection hidden="1"/>
    </xf>
    <xf numFmtId="0" fontId="17" fillId="0" borderId="7" xfId="0" applyFont="1" applyFill="1" applyBorder="1" applyAlignment="1" applyProtection="1">
      <alignment horizontal="center" vertical="center"/>
      <protection hidden="1"/>
    </xf>
    <xf numFmtId="0" fontId="10" fillId="0" borderId="14" xfId="0" applyFont="1" applyFill="1" applyBorder="1" applyAlignment="1" applyProtection="1">
      <alignment horizontal="center" vertical="center" wrapText="1"/>
      <protection locked="0"/>
    </xf>
    <xf numFmtId="0" fontId="10" fillId="0" borderId="15" xfId="0" applyFont="1" applyFill="1" applyBorder="1" applyAlignment="1" applyProtection="1">
      <alignment horizontal="center" vertical="center" wrapText="1"/>
      <protection locked="0"/>
    </xf>
    <xf numFmtId="0" fontId="3" fillId="0" borderId="15" xfId="0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10" fontId="10" fillId="0" borderId="0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10" fillId="0" borderId="6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7" xfId="0" applyFont="1" applyFill="1" applyBorder="1" applyAlignment="1" applyProtection="1">
      <alignment horizontal="left" vertical="center" wrapText="1"/>
      <protection locked="0"/>
    </xf>
    <xf numFmtId="0" fontId="10" fillId="0" borderId="1" xfId="0" applyFont="1" applyFill="1" applyBorder="1" applyAlignment="1" applyProtection="1">
      <alignment horizontal="left" vertical="center" wrapText="1"/>
      <protection locked="0"/>
    </xf>
    <xf numFmtId="0" fontId="10" fillId="0" borderId="2" xfId="0" applyFont="1" applyFill="1" applyBorder="1" applyAlignment="1" applyProtection="1">
      <alignment horizontal="left" vertical="center" wrapText="1"/>
      <protection locked="0"/>
    </xf>
    <xf numFmtId="0" fontId="10" fillId="0" borderId="8" xfId="0" applyFont="1" applyFill="1" applyBorder="1" applyAlignment="1" applyProtection="1">
      <alignment horizontal="left" vertical="center" wrapText="1"/>
      <protection locked="0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2" xfId="0" applyFont="1" applyFill="1" applyBorder="1" applyAlignment="1" applyProtection="1">
      <alignment horizontal="center" vertical="center"/>
      <protection hidden="1"/>
    </xf>
    <xf numFmtId="0" fontId="17" fillId="0" borderId="8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10" fillId="0" borderId="6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15" xfId="0" applyFont="1" applyFill="1" applyBorder="1" applyAlignment="1" applyProtection="1">
      <alignment horizontal="center" vertical="center"/>
      <protection locked="0"/>
    </xf>
    <xf numFmtId="10" fontId="10" fillId="0" borderId="15" xfId="0" applyNumberFormat="1" applyFont="1" applyFill="1" applyBorder="1" applyAlignment="1" applyProtection="1">
      <alignment horizontal="center" vertical="center"/>
      <protection locked="0"/>
    </xf>
    <xf numFmtId="10" fontId="10" fillId="0" borderId="9" xfId="0" applyNumberFormat="1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10" fillId="0" borderId="4" xfId="0" applyFont="1" applyFill="1" applyBorder="1" applyAlignment="1" applyProtection="1">
      <alignment horizontal="center" vertical="center"/>
      <protection locked="0"/>
    </xf>
    <xf numFmtId="0" fontId="10" fillId="0" borderId="5" xfId="0" applyFont="1" applyFill="1" applyBorder="1" applyAlignment="1" applyProtection="1">
      <alignment horizontal="center" vertical="center"/>
      <protection locked="0"/>
    </xf>
    <xf numFmtId="0" fontId="10" fillId="0" borderId="2" xfId="0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 applyProtection="1">
      <alignment horizontal="center" vertical="center"/>
      <protection hidden="1"/>
    </xf>
    <xf numFmtId="0" fontId="10" fillId="0" borderId="3" xfId="0" applyFont="1" applyFill="1" applyBorder="1" applyAlignment="1" applyProtection="1">
      <alignment horizontal="center" vertical="center"/>
      <protection locked="0"/>
    </xf>
    <xf numFmtId="0" fontId="10" fillId="0" borderId="1" xfId="0" applyFont="1" applyFill="1" applyBorder="1" applyAlignment="1" applyProtection="1">
      <alignment horizontal="center" vertical="center"/>
      <protection locked="0"/>
    </xf>
    <xf numFmtId="0" fontId="10" fillId="0" borderId="17" xfId="0" applyFont="1" applyFill="1" applyBorder="1" applyAlignment="1" applyProtection="1">
      <alignment horizontal="center" vertical="center"/>
      <protection locked="0"/>
    </xf>
    <xf numFmtId="0" fontId="10" fillId="0" borderId="21" xfId="0" applyFont="1" applyBorder="1"/>
    <xf numFmtId="0" fontId="10" fillId="0" borderId="18" xfId="0" applyFont="1" applyBorder="1"/>
    <xf numFmtId="0" fontId="10" fillId="0" borderId="19" xfId="0" applyFont="1" applyBorder="1"/>
    <xf numFmtId="0" fontId="10" fillId="0" borderId="22" xfId="0" applyFont="1" applyBorder="1"/>
    <xf numFmtId="0" fontId="10" fillId="0" borderId="20" xfId="0" applyFont="1" applyBorder="1"/>
    <xf numFmtId="0" fontId="10" fillId="0" borderId="1" xfId="0" applyFont="1" applyBorder="1"/>
    <xf numFmtId="0" fontId="10" fillId="0" borderId="2" xfId="0" applyFont="1" applyBorder="1"/>
    <xf numFmtId="0" fontId="10" fillId="0" borderId="8" xfId="0" applyFont="1" applyBorder="1"/>
    <xf numFmtId="0" fontId="10" fillId="0" borderId="4" xfId="0" applyFont="1" applyBorder="1"/>
    <xf numFmtId="0" fontId="10" fillId="0" borderId="5" xfId="0" applyFont="1" applyBorder="1"/>
    <xf numFmtId="0" fontId="10" fillId="0" borderId="0" xfId="0" applyFont="1" applyFill="1" applyBorder="1" applyAlignment="1" applyProtection="1">
      <alignment horizontal="left" vertical="center"/>
      <protection locked="0"/>
    </xf>
    <xf numFmtId="14" fontId="10" fillId="0" borderId="0" xfId="0" applyNumberFormat="1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4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3" xfId="0" applyFont="1" applyFill="1" applyBorder="1" applyAlignment="1" applyProtection="1">
      <alignment horizontal="center" vertical="center" wrapText="1"/>
      <protection locked="0"/>
    </xf>
    <xf numFmtId="0" fontId="5" fillId="0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6" fillId="0" borderId="15" xfId="0" applyFont="1" applyFill="1" applyBorder="1" applyAlignment="1" applyProtection="1">
      <alignment horizontal="center" vertical="center"/>
      <protection hidden="1"/>
    </xf>
    <xf numFmtId="0" fontId="8" fillId="0" borderId="15" xfId="0" applyFont="1" applyFill="1" applyBorder="1" applyAlignment="1" applyProtection="1">
      <alignment horizontal="center" vertical="center"/>
      <protection hidden="1"/>
    </xf>
    <xf numFmtId="0" fontId="6" fillId="0" borderId="6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/>
      <protection locked="0"/>
    </xf>
    <xf numFmtId="0" fontId="15" fillId="0" borderId="6" xfId="0" applyFont="1" applyFill="1" applyBorder="1" applyAlignment="1" applyProtection="1">
      <alignment horizontal="center" vertical="center"/>
      <protection locked="0"/>
    </xf>
    <xf numFmtId="14" fontId="15" fillId="0" borderId="6" xfId="0" applyNumberFormat="1" applyFont="1" applyFill="1" applyBorder="1" applyAlignment="1" applyProtection="1">
      <alignment horizontal="center" vertical="center"/>
      <protection locked="0"/>
    </xf>
    <xf numFmtId="14" fontId="15" fillId="0" borderId="0" xfId="0" applyNumberFormat="1" applyFont="1" applyFill="1" applyBorder="1" applyAlignment="1" applyProtection="1">
      <alignment horizontal="center" vertical="center"/>
      <protection locked="0"/>
    </xf>
    <xf numFmtId="14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Border="1" applyAlignment="1" applyProtection="1">
      <alignment horizontal="left" vertical="center"/>
      <protection hidden="1"/>
    </xf>
    <xf numFmtId="0" fontId="15" fillId="0" borderId="14" xfId="0" applyFont="1" applyFill="1" applyBorder="1" applyAlignment="1" applyProtection="1">
      <alignment horizontal="center" vertical="center"/>
      <protection hidden="1"/>
    </xf>
    <xf numFmtId="0" fontId="15" fillId="0" borderId="15" xfId="0" applyFont="1" applyFill="1" applyBorder="1" applyAlignment="1" applyProtection="1">
      <alignment horizontal="center" vertical="center"/>
      <protection hidden="1"/>
    </xf>
    <xf numFmtId="0" fontId="15" fillId="0" borderId="9" xfId="0" applyFont="1" applyFill="1" applyBorder="1" applyAlignment="1" applyProtection="1">
      <alignment horizontal="center" vertical="center"/>
      <protection hidden="1"/>
    </xf>
    <xf numFmtId="0" fontId="10" fillId="0" borderId="3" xfId="0" applyFont="1" applyFill="1" applyBorder="1" applyAlignment="1" applyProtection="1">
      <alignment horizontal="left" vertical="center"/>
      <protection hidden="1"/>
    </xf>
    <xf numFmtId="0" fontId="10" fillId="0" borderId="4" xfId="0" applyFont="1" applyFill="1" applyBorder="1" applyAlignment="1" applyProtection="1">
      <alignment horizontal="left" vertical="center"/>
      <protection hidden="1"/>
    </xf>
    <xf numFmtId="0" fontId="10" fillId="0" borderId="1" xfId="0" applyFont="1" applyFill="1" applyBorder="1" applyAlignment="1" applyProtection="1">
      <alignment horizontal="left" vertical="center"/>
      <protection hidden="1"/>
    </xf>
    <xf numFmtId="0" fontId="10" fillId="0" borderId="2" xfId="0" applyFont="1" applyFill="1" applyBorder="1" applyAlignment="1" applyProtection="1">
      <alignment horizontal="left" vertical="center"/>
      <protection hidden="1"/>
    </xf>
    <xf numFmtId="0" fontId="10" fillId="0" borderId="23" xfId="0" applyFont="1" applyFill="1" applyBorder="1" applyAlignment="1" applyProtection="1">
      <alignment horizontal="center" vertical="center"/>
      <protection hidden="1"/>
    </xf>
    <xf numFmtId="0" fontId="10" fillId="0" borderId="23" xfId="0" applyFont="1" applyFill="1" applyBorder="1" applyAlignment="1" applyProtection="1">
      <alignment horizontal="center" vertical="center" wrapText="1"/>
      <protection hidden="1"/>
    </xf>
    <xf numFmtId="0" fontId="10" fillId="0" borderId="3" xfId="0" applyFont="1" applyFill="1" applyBorder="1" applyAlignment="1" applyProtection="1">
      <alignment horizontal="center" vertical="center"/>
      <protection hidden="1"/>
    </xf>
    <xf numFmtId="0" fontId="10" fillId="0" borderId="17" xfId="0" applyFont="1" applyFill="1" applyBorder="1" applyAlignment="1" applyProtection="1">
      <alignment horizontal="center" vertical="center"/>
      <protection hidden="1"/>
    </xf>
    <xf numFmtId="164" fontId="10" fillId="0" borderId="0" xfId="1" applyFont="1" applyFill="1" applyBorder="1" applyAlignment="1" applyProtection="1">
      <alignment horizontal="left" vertical="center"/>
      <protection hidden="1"/>
    </xf>
    <xf numFmtId="0" fontId="10" fillId="0" borderId="14" xfId="0" applyFont="1" applyFill="1" applyBorder="1" applyAlignment="1" applyProtection="1">
      <alignment horizontal="center" vertical="center"/>
      <protection hidden="1"/>
    </xf>
    <xf numFmtId="0" fontId="10" fillId="0" borderId="15" xfId="0" applyFont="1" applyFill="1" applyBorder="1" applyAlignment="1" applyProtection="1">
      <alignment horizontal="center" vertical="center"/>
      <protection hidden="1"/>
    </xf>
    <xf numFmtId="0" fontId="10" fillId="0" borderId="9" xfId="0" applyFont="1" applyFill="1" applyBorder="1" applyAlignment="1" applyProtection="1">
      <alignment vertic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15" fillId="0" borderId="3" xfId="0" applyFont="1" applyFill="1" applyBorder="1" applyAlignment="1" applyProtection="1">
      <alignment horizontal="center" vertical="center"/>
      <protection hidden="1"/>
    </xf>
    <xf numFmtId="0" fontId="15" fillId="0" borderId="4" xfId="0" applyFont="1" applyFill="1" applyBorder="1" applyAlignment="1" applyProtection="1">
      <alignment horizontal="center" vertical="center"/>
      <protection hidden="1"/>
    </xf>
    <xf numFmtId="0" fontId="15" fillId="0" borderId="5" xfId="0" applyFont="1" applyFill="1" applyBorder="1" applyAlignment="1" applyProtection="1">
      <alignment horizontal="center" vertical="center"/>
      <protection hidden="1"/>
    </xf>
    <xf numFmtId="0" fontId="20" fillId="0" borderId="0" xfId="0" applyFont="1" applyFill="1" applyBorder="1" applyAlignment="1" applyProtection="1">
      <alignment horizontal="left" vertical="center"/>
      <protection hidden="1"/>
    </xf>
    <xf numFmtId="0" fontId="6" fillId="0" borderId="13" xfId="0" applyFont="1" applyFill="1" applyBorder="1" applyAlignment="1" applyProtection="1">
      <alignment horizontal="center" vertical="center"/>
      <protection hidden="1"/>
    </xf>
    <xf numFmtId="0" fontId="6" fillId="0" borderId="1" xfId="0" applyFont="1" applyFill="1" applyBorder="1" applyAlignment="1" applyProtection="1">
      <alignment horizontal="center" vertical="center"/>
      <protection hidden="1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vertical="center" wrapText="1"/>
      <protection locked="0"/>
    </xf>
    <xf numFmtId="0" fontId="3" fillId="0" borderId="4" xfId="0" applyFont="1" applyFill="1" applyBorder="1" applyAlignment="1" applyProtection="1">
      <alignment vertical="center" wrapText="1"/>
      <protection locked="0"/>
    </xf>
    <xf numFmtId="0" fontId="3" fillId="0" borderId="4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vertical="center" wrapText="1"/>
      <protection locked="0"/>
    </xf>
    <xf numFmtId="0" fontId="3" fillId="0" borderId="6" xfId="0" applyFont="1" applyFill="1" applyBorder="1" applyAlignment="1" applyProtection="1">
      <alignment vertical="center" wrapText="1"/>
      <protection locked="0"/>
    </xf>
    <xf numFmtId="0" fontId="3" fillId="0" borderId="7" xfId="0" applyFont="1" applyBorder="1" applyAlignment="1" applyProtection="1">
      <alignment vertical="center" wrapText="1"/>
      <protection locked="0"/>
    </xf>
    <xf numFmtId="0" fontId="3" fillId="0" borderId="1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8" xfId="0" applyFont="1" applyBorder="1" applyAlignment="1" applyProtection="1">
      <alignment vertical="center" wrapText="1"/>
      <protection locked="0"/>
    </xf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9871419065658"/>
          <c:y val="4.761917064311199E-2"/>
          <c:w val="0.84804056889643475"/>
          <c:h val="0.7619067302897918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'CRE IM'!$AC$29:$AC$36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'CRE IM'!$AD$29:$AD$36</c:f>
              <c:numCache>
                <c:formatCode>General</c:formatCode>
                <c:ptCount val="8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0C-4C5D-8EE1-C5F08FC6B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60288"/>
        <c:axId val="161061072"/>
      </c:scatterChart>
      <c:valAx>
        <c:axId val="161060288"/>
        <c:scaling>
          <c:orientation val="minMax"/>
          <c:max val="8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(jours)</a:t>
                </a:r>
              </a:p>
            </c:rich>
          </c:tx>
          <c:layout>
            <c:manualLayout>
              <c:xMode val="edge"/>
              <c:yMode val="edge"/>
              <c:x val="0.45261506527370349"/>
              <c:y val="0.883600105542362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1061072"/>
        <c:crosses val="autoZero"/>
        <c:crossBetween val="midCat"/>
        <c:majorUnit val="1"/>
      </c:valAx>
      <c:valAx>
        <c:axId val="161061072"/>
        <c:scaling>
          <c:orientation val="minMax"/>
          <c:max val="3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Gonflement (mm)</a:t>
                </a:r>
              </a:p>
            </c:rich>
          </c:tx>
          <c:layout>
            <c:manualLayout>
              <c:xMode val="edge"/>
              <c:yMode val="edge"/>
              <c:x val="1.1437908496732025E-2"/>
              <c:y val="0.26455082003638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106028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25</xdr:col>
      <xdr:colOff>0</xdr:colOff>
      <xdr:row>44</xdr:row>
      <xdr:rowOff>0</xdr:rowOff>
    </xdr:to>
    <xdr:graphicFrame macro="">
      <xdr:nvGraphicFramePr>
        <xdr:cNvPr id="2136" name="Chart 1">
          <a:extLs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28575</xdr:colOff>
      <xdr:row>1</xdr:row>
      <xdr:rowOff>142875</xdr:rowOff>
    </xdr:from>
    <xdr:to>
      <xdr:col>4</xdr:col>
      <xdr:colOff>287655</xdr:colOff>
      <xdr:row>3</xdr:row>
      <xdr:rowOff>135255</xdr:rowOff>
    </xdr:to>
    <xdr:pic>
      <xdr:nvPicPr>
        <xdr:cNvPr id="23" name="Image 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0480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E75"/>
  <sheetViews>
    <sheetView tabSelected="1" workbookViewId="0">
      <selection activeCell="O71" sqref="O71"/>
    </sheetView>
  </sheetViews>
  <sheetFormatPr baseColWidth="10" defaultColWidth="11.44140625" defaultRowHeight="12.75" customHeight="1" x14ac:dyDescent="0.25"/>
  <cols>
    <col min="1" max="26" width="5.109375" style="1" customWidth="1"/>
    <col min="27" max="16384" width="11.44140625" style="1"/>
  </cols>
  <sheetData>
    <row r="1" spans="1:26" ht="12.75" customHeight="1" x14ac:dyDescent="0.25">
      <c r="A1" s="105"/>
      <c r="B1" s="106"/>
      <c r="C1" s="106"/>
      <c r="D1" s="106"/>
      <c r="E1" s="106"/>
      <c r="F1" s="107"/>
      <c r="G1" s="78" t="s">
        <v>35</v>
      </c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80"/>
      <c r="U1" s="114"/>
      <c r="V1" s="115"/>
      <c r="W1" s="115"/>
      <c r="X1" s="115"/>
      <c r="Y1" s="115"/>
      <c r="Z1" s="116"/>
    </row>
    <row r="2" spans="1:26" ht="12.75" customHeight="1" x14ac:dyDescent="0.25">
      <c r="A2" s="108"/>
      <c r="B2" s="109"/>
      <c r="C2" s="109"/>
      <c r="D2" s="109"/>
      <c r="E2" s="109"/>
      <c r="F2" s="110"/>
      <c r="G2" s="123" t="s">
        <v>46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5"/>
      <c r="U2" s="117"/>
      <c r="V2" s="118"/>
      <c r="W2" s="118"/>
      <c r="X2" s="118"/>
      <c r="Y2" s="118"/>
      <c r="Z2" s="119"/>
    </row>
    <row r="3" spans="1:26" ht="12.75" customHeight="1" x14ac:dyDescent="0.25">
      <c r="A3" s="108"/>
      <c r="B3" s="109"/>
      <c r="C3" s="109"/>
      <c r="D3" s="109"/>
      <c r="E3" s="109"/>
      <c r="F3" s="110"/>
      <c r="G3" s="123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5"/>
      <c r="U3" s="117"/>
      <c r="V3" s="118"/>
      <c r="W3" s="118"/>
      <c r="X3" s="118"/>
      <c r="Y3" s="118"/>
      <c r="Z3" s="119"/>
    </row>
    <row r="4" spans="1:26" ht="12.75" customHeight="1" x14ac:dyDescent="0.25">
      <c r="A4" s="108"/>
      <c r="B4" s="109"/>
      <c r="C4" s="109"/>
      <c r="D4" s="109"/>
      <c r="E4" s="109"/>
      <c r="F4" s="110"/>
      <c r="G4" s="123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5"/>
      <c r="U4" s="117"/>
      <c r="V4" s="118"/>
      <c r="W4" s="118"/>
      <c r="X4" s="118"/>
      <c r="Y4" s="118"/>
      <c r="Z4" s="119"/>
    </row>
    <row r="5" spans="1:26" ht="12.75" customHeight="1" x14ac:dyDescent="0.25">
      <c r="A5" s="108"/>
      <c r="B5" s="109"/>
      <c r="C5" s="109"/>
      <c r="D5" s="109"/>
      <c r="E5" s="109"/>
      <c r="F5" s="110"/>
      <c r="G5" s="128" t="s">
        <v>34</v>
      </c>
      <c r="H5" s="129"/>
      <c r="I5" s="2" t="s">
        <v>30</v>
      </c>
      <c r="J5" s="56"/>
      <c r="K5" s="130"/>
      <c r="L5" s="131"/>
      <c r="M5" s="56"/>
      <c r="N5" s="56"/>
      <c r="O5" s="130"/>
      <c r="P5" s="132"/>
      <c r="Q5" s="133"/>
      <c r="R5" s="133"/>
      <c r="S5" s="133"/>
      <c r="T5" s="134"/>
      <c r="U5" s="117"/>
      <c r="V5" s="118"/>
      <c r="W5" s="118"/>
      <c r="X5" s="118"/>
      <c r="Y5" s="118"/>
      <c r="Z5" s="119"/>
    </row>
    <row r="6" spans="1:26" ht="12.75" customHeight="1" x14ac:dyDescent="0.25">
      <c r="A6" s="111"/>
      <c r="B6" s="112"/>
      <c r="C6" s="112"/>
      <c r="D6" s="112"/>
      <c r="E6" s="112"/>
      <c r="F6" s="113"/>
      <c r="G6" s="3"/>
      <c r="H6" s="4"/>
      <c r="I6" s="4"/>
      <c r="J6" s="103" t="s">
        <v>31</v>
      </c>
      <c r="K6" s="103"/>
      <c r="L6" s="103" t="s">
        <v>32</v>
      </c>
      <c r="M6" s="103"/>
      <c r="N6" s="103"/>
      <c r="O6" s="103"/>
      <c r="P6" s="103" t="s">
        <v>33</v>
      </c>
      <c r="Q6" s="103"/>
      <c r="R6" s="103"/>
      <c r="S6" s="103"/>
      <c r="T6" s="104"/>
      <c r="U6" s="120"/>
      <c r="V6" s="121"/>
      <c r="W6" s="121"/>
      <c r="X6" s="121"/>
      <c r="Y6" s="121"/>
      <c r="Z6" s="122"/>
    </row>
    <row r="7" spans="1:26" ht="36.75" customHeight="1" x14ac:dyDescent="0.25">
      <c r="A7" s="126" t="s">
        <v>26</v>
      </c>
      <c r="B7" s="126"/>
      <c r="C7" s="126"/>
      <c r="D7" s="126"/>
      <c r="E7" s="126"/>
      <c r="F7" s="126"/>
      <c r="G7" s="127" t="s">
        <v>29</v>
      </c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</row>
    <row r="8" spans="1:26" ht="15.6" customHeight="1" x14ac:dyDescent="0.25">
      <c r="A8" s="5" t="s">
        <v>1</v>
      </c>
      <c r="B8" s="6" t="s">
        <v>0</v>
      </c>
      <c r="C8" s="7"/>
      <c r="D8" s="8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9.75" customHeight="1" x14ac:dyDescent="0.25">
      <c r="A9" s="10"/>
      <c r="B9" s="11"/>
      <c r="C9" s="12"/>
      <c r="D9" s="1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4"/>
    </row>
    <row r="10" spans="1:26" ht="15.9" customHeight="1" x14ac:dyDescent="0.25">
      <c r="A10" s="15"/>
      <c r="B10" s="101" t="s">
        <v>23</v>
      </c>
      <c r="C10" s="101"/>
      <c r="D10" s="101"/>
      <c r="E10" s="101"/>
      <c r="F10" s="101"/>
      <c r="G10" s="101"/>
      <c r="H10" s="99"/>
      <c r="I10" s="99"/>
      <c r="J10" s="99"/>
      <c r="K10" s="99"/>
      <c r="L10" s="99"/>
      <c r="M10" s="99"/>
      <c r="N10" s="42"/>
      <c r="O10" s="101" t="s">
        <v>3</v>
      </c>
      <c r="P10" s="101"/>
      <c r="Q10" s="101"/>
      <c r="R10" s="101"/>
      <c r="S10" s="101"/>
      <c r="T10" s="99"/>
      <c r="U10" s="99"/>
      <c r="V10" s="99"/>
      <c r="W10" s="99"/>
      <c r="X10" s="99"/>
      <c r="Y10" s="99"/>
      <c r="Z10" s="14"/>
    </row>
    <row r="11" spans="1:26" ht="15.9" customHeight="1" x14ac:dyDescent="0.25">
      <c r="A11" s="15"/>
      <c r="B11" s="101" t="s">
        <v>2</v>
      </c>
      <c r="C11" s="101"/>
      <c r="D11" s="101"/>
      <c r="E11" s="101"/>
      <c r="F11" s="101"/>
      <c r="G11" s="101"/>
      <c r="H11" s="100"/>
      <c r="I11" s="100"/>
      <c r="J11" s="100"/>
      <c r="K11" s="100"/>
      <c r="L11" s="100"/>
      <c r="M11" s="100"/>
      <c r="N11" s="16"/>
      <c r="O11" s="101" t="s">
        <v>4</v>
      </c>
      <c r="P11" s="101"/>
      <c r="Q11" s="101"/>
      <c r="R11" s="101"/>
      <c r="S11" s="101"/>
      <c r="T11" s="99"/>
      <c r="U11" s="99"/>
      <c r="V11" s="99"/>
      <c r="W11" s="99"/>
      <c r="X11" s="99"/>
      <c r="Y11" s="99"/>
      <c r="Z11" s="14"/>
    </row>
    <row r="12" spans="1:26" ht="15.9" customHeight="1" x14ac:dyDescent="0.25">
      <c r="A12" s="15"/>
      <c r="B12" s="101" t="s">
        <v>12</v>
      </c>
      <c r="C12" s="101"/>
      <c r="D12" s="101"/>
      <c r="E12" s="101"/>
      <c r="F12" s="101"/>
      <c r="G12" s="101"/>
      <c r="H12" s="100"/>
      <c r="I12" s="100"/>
      <c r="J12" s="100"/>
      <c r="K12" s="100"/>
      <c r="L12" s="100"/>
      <c r="M12" s="100"/>
      <c r="N12" s="42"/>
      <c r="O12" s="101" t="s">
        <v>5</v>
      </c>
      <c r="P12" s="101"/>
      <c r="Q12" s="101"/>
      <c r="R12" s="101"/>
      <c r="S12" s="101"/>
      <c r="T12" s="99"/>
      <c r="U12" s="99"/>
      <c r="V12" s="99"/>
      <c r="W12" s="99"/>
      <c r="X12" s="99"/>
      <c r="Y12" s="99"/>
      <c r="Z12" s="14"/>
    </row>
    <row r="13" spans="1:26" ht="15.9" customHeight="1" x14ac:dyDescent="0.25">
      <c r="A13" s="15"/>
      <c r="B13" s="101" t="s">
        <v>13</v>
      </c>
      <c r="C13" s="101"/>
      <c r="D13" s="101"/>
      <c r="E13" s="101"/>
      <c r="F13" s="101"/>
      <c r="G13" s="101"/>
      <c r="H13" s="102"/>
      <c r="I13" s="102"/>
      <c r="J13" s="102"/>
      <c r="K13" s="102"/>
      <c r="L13" s="99" t="s">
        <v>37</v>
      </c>
      <c r="M13" s="99"/>
      <c r="N13" s="42"/>
      <c r="O13" s="101" t="s">
        <v>25</v>
      </c>
      <c r="P13" s="101"/>
      <c r="Q13" s="101"/>
      <c r="R13" s="101"/>
      <c r="S13" s="101"/>
      <c r="T13" s="99"/>
      <c r="U13" s="99"/>
      <c r="V13" s="99"/>
      <c r="W13" s="99"/>
      <c r="X13" s="99"/>
      <c r="Y13" s="99"/>
      <c r="Z13" s="14"/>
    </row>
    <row r="14" spans="1:26" ht="6.75" customHeight="1" x14ac:dyDescent="0.25">
      <c r="A14" s="3"/>
      <c r="B14" s="17"/>
      <c r="C14" s="4"/>
      <c r="D14" s="18"/>
      <c r="E14" s="4"/>
      <c r="F14" s="4"/>
      <c r="G14" s="4"/>
      <c r="H14" s="4"/>
      <c r="I14" s="4"/>
      <c r="J14" s="4"/>
      <c r="K14" s="19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20"/>
    </row>
    <row r="15" spans="1:26" ht="9.75" customHeight="1" x14ac:dyDescent="0.25">
      <c r="A15" s="12"/>
      <c r="B15" s="12"/>
      <c r="C15" s="12"/>
      <c r="D15" s="13"/>
      <c r="E15" s="12"/>
      <c r="F15" s="12"/>
      <c r="G15" s="12"/>
      <c r="H15" s="12"/>
      <c r="I15" s="12"/>
      <c r="J15" s="12"/>
      <c r="K15" s="21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6" ht="15.6" customHeight="1" x14ac:dyDescent="0.25">
      <c r="A16" s="5" t="s">
        <v>8</v>
      </c>
      <c r="B16" s="6" t="s">
        <v>9</v>
      </c>
      <c r="C16" s="7"/>
      <c r="D16" s="8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9"/>
    </row>
    <row r="17" spans="1:31" ht="9.75" customHeight="1" x14ac:dyDescent="0.25">
      <c r="A17" s="15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4"/>
    </row>
    <row r="18" spans="1:31" ht="15.75" customHeight="1" x14ac:dyDescent="0.25">
      <c r="A18" s="15"/>
      <c r="B18" s="135" t="s">
        <v>10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4"/>
    </row>
    <row r="19" spans="1:31" ht="6.75" customHeight="1" x14ac:dyDescent="0.25">
      <c r="A19" s="15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4"/>
    </row>
    <row r="20" spans="1:31" ht="15.75" customHeight="1" x14ac:dyDescent="0.25">
      <c r="A20" s="15"/>
      <c r="B20" s="136" t="s">
        <v>15</v>
      </c>
      <c r="C20" s="137"/>
      <c r="D20" s="137"/>
      <c r="E20" s="137"/>
      <c r="F20" s="137"/>
      <c r="G20" s="137"/>
      <c r="H20" s="137"/>
      <c r="I20" s="138"/>
      <c r="J20" s="16"/>
      <c r="K20" s="136" t="s">
        <v>28</v>
      </c>
      <c r="L20" s="137"/>
      <c r="M20" s="137"/>
      <c r="N20" s="137"/>
      <c r="O20" s="137"/>
      <c r="P20" s="137"/>
      <c r="Q20" s="137"/>
      <c r="R20" s="138"/>
      <c r="S20" s="16"/>
      <c r="T20" s="16"/>
      <c r="U20" s="136" t="s">
        <v>47</v>
      </c>
      <c r="V20" s="137"/>
      <c r="W20" s="137"/>
      <c r="X20" s="137"/>
      <c r="Y20" s="138"/>
      <c r="Z20" s="14"/>
      <c r="AB20" s="12"/>
      <c r="AC20" s="12"/>
      <c r="AD20" s="12"/>
      <c r="AE20" s="12"/>
    </row>
    <row r="21" spans="1:31" ht="15.75" customHeight="1" x14ac:dyDescent="0.25">
      <c r="A21" s="15"/>
      <c r="B21" s="139" t="s">
        <v>36</v>
      </c>
      <c r="C21" s="140"/>
      <c r="D21" s="140"/>
      <c r="E21" s="140"/>
      <c r="F21" s="81"/>
      <c r="G21" s="81"/>
      <c r="H21" s="81"/>
      <c r="I21" s="82"/>
      <c r="J21" s="16"/>
      <c r="K21" s="139" t="s">
        <v>27</v>
      </c>
      <c r="L21" s="140"/>
      <c r="M21" s="140"/>
      <c r="N21" s="140"/>
      <c r="O21" s="81"/>
      <c r="P21" s="81"/>
      <c r="Q21" s="81"/>
      <c r="R21" s="82"/>
      <c r="S21" s="16"/>
      <c r="T21" s="16"/>
      <c r="U21" s="86"/>
      <c r="V21" s="81"/>
      <c r="W21" s="81"/>
      <c r="X21" s="81"/>
      <c r="Y21" s="82"/>
      <c r="Z21" s="14"/>
      <c r="AB21" s="12"/>
      <c r="AC21" s="12"/>
      <c r="AD21" s="12"/>
      <c r="AE21" s="12"/>
    </row>
    <row r="22" spans="1:31" ht="15.75" customHeight="1" x14ac:dyDescent="0.25">
      <c r="A22" s="15"/>
      <c r="B22" s="141"/>
      <c r="C22" s="142"/>
      <c r="D22" s="142"/>
      <c r="E22" s="142"/>
      <c r="F22" s="83"/>
      <c r="G22" s="83"/>
      <c r="H22" s="83"/>
      <c r="I22" s="84"/>
      <c r="J22" s="16"/>
      <c r="K22" s="141"/>
      <c r="L22" s="142"/>
      <c r="M22" s="142"/>
      <c r="N22" s="142"/>
      <c r="O22" s="83"/>
      <c r="P22" s="83"/>
      <c r="Q22" s="83"/>
      <c r="R22" s="84"/>
      <c r="S22" s="16"/>
      <c r="T22" s="16"/>
      <c r="U22" s="87"/>
      <c r="V22" s="83"/>
      <c r="W22" s="83"/>
      <c r="X22" s="83"/>
      <c r="Y22" s="84"/>
      <c r="Z22" s="14"/>
      <c r="AB22" s="12"/>
      <c r="AC22" s="12"/>
      <c r="AD22" s="12"/>
      <c r="AE22" s="12"/>
    </row>
    <row r="23" spans="1:31" ht="15.75" customHeight="1" x14ac:dyDescent="0.25">
      <c r="A23" s="15"/>
      <c r="B23" s="12"/>
      <c r="C23" s="12"/>
      <c r="D23" s="12"/>
      <c r="E23" s="12"/>
      <c r="F23" s="23"/>
      <c r="G23" s="23"/>
      <c r="H23" s="23"/>
      <c r="I23" s="23"/>
      <c r="J23" s="12"/>
      <c r="K23" s="12"/>
      <c r="L23" s="12"/>
      <c r="M23" s="12"/>
      <c r="N23" s="12"/>
      <c r="O23" s="23"/>
      <c r="P23" s="23"/>
      <c r="Q23" s="23"/>
      <c r="R23" s="23"/>
      <c r="S23" s="12"/>
      <c r="T23" s="12"/>
      <c r="U23" s="12"/>
      <c r="V23" s="12"/>
      <c r="W23" s="12"/>
      <c r="X23" s="12"/>
      <c r="Y23" s="12"/>
      <c r="Z23" s="14"/>
      <c r="AB23" s="12"/>
      <c r="AC23" s="12"/>
      <c r="AD23" s="12"/>
      <c r="AE23" s="12"/>
    </row>
    <row r="24" spans="1:31" ht="15.75" customHeight="1" x14ac:dyDescent="0.25">
      <c r="A24" s="15"/>
      <c r="B24" s="135" t="s">
        <v>11</v>
      </c>
      <c r="C24" s="12"/>
      <c r="D24" s="12"/>
      <c r="E24" s="12"/>
      <c r="F24" s="23"/>
      <c r="G24" s="23"/>
      <c r="H24" s="23"/>
      <c r="I24" s="23"/>
      <c r="J24" s="12"/>
      <c r="K24" s="12"/>
      <c r="L24" s="12"/>
      <c r="M24" s="12"/>
      <c r="N24" s="12"/>
      <c r="O24" s="23"/>
      <c r="P24" s="23"/>
      <c r="Q24" s="23"/>
      <c r="R24" s="23"/>
      <c r="S24" s="12"/>
      <c r="T24" s="12"/>
      <c r="U24" s="12"/>
      <c r="V24" s="12"/>
      <c r="W24" s="12"/>
      <c r="X24" s="12"/>
      <c r="Y24" s="12"/>
      <c r="Z24" s="14"/>
      <c r="AB24" s="12"/>
      <c r="AC24" s="12"/>
      <c r="AD24" s="12"/>
      <c r="AE24" s="12"/>
    </row>
    <row r="25" spans="1:31" ht="9.75" customHeight="1" x14ac:dyDescent="0.25">
      <c r="A25" s="15"/>
      <c r="B25" s="12"/>
      <c r="C25" s="12"/>
      <c r="D25" s="12"/>
      <c r="E25" s="12"/>
      <c r="F25" s="12"/>
      <c r="G25" s="12"/>
      <c r="H25" s="12"/>
      <c r="I25" s="12"/>
      <c r="J25" s="12"/>
      <c r="K25" s="13"/>
      <c r="L25" s="13"/>
      <c r="M25" s="13"/>
      <c r="N25" s="13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4"/>
    </row>
    <row r="26" spans="1:31" ht="15.75" customHeight="1" x14ac:dyDescent="0.25">
      <c r="A26" s="24"/>
      <c r="B26" s="22"/>
      <c r="C26" s="12"/>
      <c r="D26" s="21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4"/>
    </row>
    <row r="27" spans="1:31" ht="15.75" customHeight="1" x14ac:dyDescent="0.25">
      <c r="A27" s="15"/>
      <c r="B27" s="12"/>
      <c r="C27" s="143" t="s">
        <v>14</v>
      </c>
      <c r="D27" s="143"/>
      <c r="E27" s="144" t="s">
        <v>7</v>
      </c>
      <c r="F27" s="144"/>
      <c r="G27" s="144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4"/>
    </row>
    <row r="28" spans="1:31" ht="15.75" customHeight="1" x14ac:dyDescent="0.25">
      <c r="A28" s="25"/>
      <c r="B28" s="12"/>
      <c r="C28" s="143"/>
      <c r="D28" s="143"/>
      <c r="E28" s="144"/>
      <c r="F28" s="144"/>
      <c r="G28" s="144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4"/>
    </row>
    <row r="29" spans="1:31" ht="15.75" customHeight="1" x14ac:dyDescent="0.25">
      <c r="A29" s="25"/>
      <c r="B29" s="12"/>
      <c r="C29" s="145">
        <v>0</v>
      </c>
      <c r="D29" s="98"/>
      <c r="E29" s="86">
        <v>0</v>
      </c>
      <c r="F29" s="97"/>
      <c r="G29" s="98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4"/>
      <c r="AC29" s="26">
        <f>C29</f>
        <v>0</v>
      </c>
      <c r="AD29" s="26">
        <f>E29</f>
        <v>0</v>
      </c>
    </row>
    <row r="30" spans="1:31" ht="15.75" customHeight="1" x14ac:dyDescent="0.25">
      <c r="A30" s="25"/>
      <c r="B30" s="12"/>
      <c r="C30" s="91"/>
      <c r="D30" s="93"/>
      <c r="E30" s="91"/>
      <c r="F30" s="92"/>
      <c r="G30" s="93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4"/>
      <c r="AC30" s="26">
        <f>C31</f>
        <v>1</v>
      </c>
      <c r="AD30" s="26" t="e">
        <f>IF(E31&lt;&gt;"",E31,#N/A)</f>
        <v>#N/A</v>
      </c>
    </row>
    <row r="31" spans="1:31" ht="15.75" customHeight="1" x14ac:dyDescent="0.25">
      <c r="A31" s="25"/>
      <c r="B31" s="12"/>
      <c r="C31" s="146">
        <v>1</v>
      </c>
      <c r="D31" s="90"/>
      <c r="E31" s="88"/>
      <c r="F31" s="89"/>
      <c r="G31" s="90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4"/>
      <c r="AC31" s="26">
        <f>C33</f>
        <v>2</v>
      </c>
      <c r="AD31" s="26" t="e">
        <f>IF(E33&lt;&gt;"",E33,#N/A)</f>
        <v>#N/A</v>
      </c>
    </row>
    <row r="32" spans="1:31" ht="15.75" customHeight="1" x14ac:dyDescent="0.25">
      <c r="A32" s="25"/>
      <c r="B32" s="12"/>
      <c r="C32" s="91"/>
      <c r="D32" s="93"/>
      <c r="E32" s="91"/>
      <c r="F32" s="92"/>
      <c r="G32" s="93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4"/>
      <c r="AC32" s="26">
        <f>C35</f>
        <v>3</v>
      </c>
      <c r="AD32" s="26" t="e">
        <f>IF(E35&lt;&gt;"",E35,#N/A)</f>
        <v>#N/A</v>
      </c>
    </row>
    <row r="33" spans="1:30" ht="15.75" customHeight="1" x14ac:dyDescent="0.25">
      <c r="A33" s="25"/>
      <c r="B33" s="12"/>
      <c r="C33" s="146">
        <v>2</v>
      </c>
      <c r="D33" s="90"/>
      <c r="E33" s="88"/>
      <c r="F33" s="89"/>
      <c r="G33" s="90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4"/>
      <c r="AC33" s="26">
        <f>C37</f>
        <v>4</v>
      </c>
      <c r="AD33" s="26" t="e">
        <f>IF(E37&lt;&gt;"",E37,#N/A)</f>
        <v>#N/A</v>
      </c>
    </row>
    <row r="34" spans="1:30" ht="15.75" customHeight="1" x14ac:dyDescent="0.25">
      <c r="A34" s="25"/>
      <c r="B34" s="12"/>
      <c r="C34" s="91"/>
      <c r="D34" s="93"/>
      <c r="E34" s="91"/>
      <c r="F34" s="92"/>
      <c r="G34" s="93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4"/>
      <c r="AC34" s="26">
        <f>C39</f>
        <v>5</v>
      </c>
      <c r="AD34" s="26" t="e">
        <f>IF(E39&lt;&gt;"",E39,#N/A)</f>
        <v>#N/A</v>
      </c>
    </row>
    <row r="35" spans="1:30" ht="15.75" customHeight="1" x14ac:dyDescent="0.25">
      <c r="A35" s="15"/>
      <c r="B35" s="12"/>
      <c r="C35" s="146">
        <v>3</v>
      </c>
      <c r="D35" s="90"/>
      <c r="E35" s="88"/>
      <c r="F35" s="89"/>
      <c r="G35" s="90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4"/>
      <c r="AC35" s="26">
        <f>C41</f>
        <v>6</v>
      </c>
      <c r="AD35" s="26" t="e">
        <f>IF(E41&lt;&gt;"",E41,#N/A)</f>
        <v>#N/A</v>
      </c>
    </row>
    <row r="36" spans="1:30" ht="15.75" customHeight="1" x14ac:dyDescent="0.25">
      <c r="A36" s="15"/>
      <c r="B36" s="12"/>
      <c r="C36" s="91"/>
      <c r="D36" s="93"/>
      <c r="E36" s="91"/>
      <c r="F36" s="92"/>
      <c r="G36" s="93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4"/>
      <c r="AC36" s="26">
        <f>C43</f>
        <v>7</v>
      </c>
      <c r="AD36" s="26" t="e">
        <f>IF(E43&lt;&gt;"",E43,#N/A)</f>
        <v>#N/A</v>
      </c>
    </row>
    <row r="37" spans="1:30" ht="15.75" customHeight="1" x14ac:dyDescent="0.25">
      <c r="A37" s="27"/>
      <c r="B37" s="28"/>
      <c r="C37" s="146">
        <v>4</v>
      </c>
      <c r="D37" s="90"/>
      <c r="E37" s="88"/>
      <c r="F37" s="89"/>
      <c r="G37" s="90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2"/>
      <c r="X37" s="12"/>
      <c r="Y37" s="12"/>
      <c r="Z37" s="14"/>
    </row>
    <row r="38" spans="1:30" ht="15.75" customHeight="1" x14ac:dyDescent="0.25">
      <c r="A38" s="27"/>
      <c r="B38" s="28"/>
      <c r="C38" s="91"/>
      <c r="D38" s="93"/>
      <c r="E38" s="91"/>
      <c r="F38" s="92"/>
      <c r="G38" s="93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4"/>
    </row>
    <row r="39" spans="1:30" ht="15.75" customHeight="1" x14ac:dyDescent="0.25">
      <c r="A39" s="27"/>
      <c r="B39" s="28"/>
      <c r="C39" s="146">
        <v>5</v>
      </c>
      <c r="D39" s="90"/>
      <c r="E39" s="88"/>
      <c r="F39" s="89"/>
      <c r="G39" s="90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4"/>
    </row>
    <row r="40" spans="1:30" ht="15.75" customHeight="1" x14ac:dyDescent="0.25">
      <c r="A40" s="27"/>
      <c r="B40" s="28"/>
      <c r="C40" s="91"/>
      <c r="D40" s="93"/>
      <c r="E40" s="91"/>
      <c r="F40" s="92"/>
      <c r="G40" s="93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4"/>
    </row>
    <row r="41" spans="1:30" ht="15.75" customHeight="1" x14ac:dyDescent="0.25">
      <c r="A41" s="27"/>
      <c r="B41" s="28"/>
      <c r="C41" s="146">
        <v>6</v>
      </c>
      <c r="D41" s="90"/>
      <c r="E41" s="88"/>
      <c r="F41" s="89"/>
      <c r="G41" s="90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4"/>
    </row>
    <row r="42" spans="1:30" ht="15.75" customHeight="1" x14ac:dyDescent="0.25">
      <c r="A42" s="27"/>
      <c r="B42" s="28"/>
      <c r="C42" s="91"/>
      <c r="D42" s="93"/>
      <c r="E42" s="91"/>
      <c r="F42" s="92"/>
      <c r="G42" s="93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4"/>
    </row>
    <row r="43" spans="1:30" ht="15.75" customHeight="1" x14ac:dyDescent="0.25">
      <c r="A43" s="27"/>
      <c r="B43" s="28"/>
      <c r="C43" s="146">
        <v>7</v>
      </c>
      <c r="D43" s="90"/>
      <c r="E43" s="88"/>
      <c r="F43" s="89"/>
      <c r="G43" s="90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4"/>
    </row>
    <row r="44" spans="1:30" ht="15.75" customHeight="1" x14ac:dyDescent="0.25">
      <c r="A44" s="27"/>
      <c r="B44" s="28"/>
      <c r="C44" s="94"/>
      <c r="D44" s="96"/>
      <c r="E44" s="94"/>
      <c r="F44" s="95"/>
      <c r="G44" s="96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4"/>
    </row>
    <row r="45" spans="1:30" ht="15.75" customHeight="1" x14ac:dyDescent="0.25">
      <c r="A45" s="27"/>
      <c r="B45" s="28"/>
      <c r="C45" s="28"/>
      <c r="D45" s="12"/>
      <c r="E45" s="13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4"/>
    </row>
    <row r="46" spans="1:30" ht="15.75" customHeight="1" x14ac:dyDescent="0.25">
      <c r="A46" s="27"/>
      <c r="B46" s="28"/>
      <c r="C46" s="147" t="s">
        <v>17</v>
      </c>
      <c r="D46" s="16"/>
      <c r="E46" s="16"/>
      <c r="F46" s="16"/>
      <c r="G46" s="16"/>
      <c r="H46" s="16"/>
      <c r="I46" s="16"/>
      <c r="J46" s="148" t="s">
        <v>19</v>
      </c>
      <c r="K46" s="149"/>
      <c r="L46" s="75">
        <f>MAX(E29:G44)</f>
        <v>0</v>
      </c>
      <c r="M46" s="75"/>
      <c r="N46" s="150" t="s">
        <v>20</v>
      </c>
      <c r="O46" s="16"/>
      <c r="P46" s="16"/>
      <c r="Q46" s="12"/>
      <c r="R46" s="12"/>
      <c r="S46" s="12"/>
      <c r="T46" s="12"/>
      <c r="U46" s="12"/>
      <c r="V46" s="12"/>
      <c r="W46" s="12"/>
      <c r="X46" s="12"/>
      <c r="Y46" s="12"/>
      <c r="Z46" s="14"/>
    </row>
    <row r="47" spans="1:30" ht="10.5" customHeight="1" x14ac:dyDescent="0.25">
      <c r="A47" s="27"/>
      <c r="B47" s="28"/>
      <c r="C47" s="42"/>
      <c r="D47" s="16"/>
      <c r="E47" s="151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2"/>
      <c r="R47" s="12"/>
      <c r="S47" s="12"/>
      <c r="T47" s="12"/>
      <c r="U47" s="12"/>
      <c r="V47" s="12"/>
      <c r="W47" s="12"/>
      <c r="X47" s="12"/>
      <c r="Y47" s="12"/>
      <c r="Z47" s="14"/>
    </row>
    <row r="48" spans="1:30" ht="15.75" customHeight="1" x14ac:dyDescent="0.25">
      <c r="A48" s="27"/>
      <c r="B48" s="28"/>
      <c r="C48" s="42" t="s">
        <v>18</v>
      </c>
      <c r="D48" s="16"/>
      <c r="E48" s="151"/>
      <c r="F48" s="16"/>
      <c r="G48" s="16"/>
      <c r="H48" s="16"/>
      <c r="I48" s="16"/>
      <c r="J48" s="148" t="s">
        <v>22</v>
      </c>
      <c r="K48" s="149"/>
      <c r="L48" s="149"/>
      <c r="M48" s="149"/>
      <c r="N48" s="76">
        <f>IF(L46&lt;&gt;"",(L46/U48),"")</f>
        <v>0</v>
      </c>
      <c r="O48" s="76"/>
      <c r="P48" s="77"/>
      <c r="Q48" s="12"/>
      <c r="R48" s="12"/>
      <c r="S48" s="29" t="s">
        <v>24</v>
      </c>
      <c r="T48" s="29"/>
      <c r="U48" s="29">
        <v>116</v>
      </c>
      <c r="V48" s="29" t="s">
        <v>20</v>
      </c>
      <c r="W48" s="12"/>
      <c r="X48" s="12"/>
      <c r="Y48" s="12"/>
      <c r="Z48" s="14"/>
    </row>
    <row r="49" spans="1:26" ht="9.75" customHeight="1" x14ac:dyDescent="0.25">
      <c r="A49" s="27"/>
      <c r="B49" s="28"/>
      <c r="C49" s="28"/>
      <c r="D49" s="12"/>
      <c r="E49" s="13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4"/>
    </row>
    <row r="50" spans="1:26" ht="15.75" customHeight="1" x14ac:dyDescent="0.25">
      <c r="A50" s="27"/>
      <c r="B50" s="135" t="s">
        <v>16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4"/>
    </row>
    <row r="51" spans="1:26" ht="6" customHeight="1" x14ac:dyDescent="0.25">
      <c r="A51" s="27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4"/>
    </row>
    <row r="52" spans="1:26" ht="15.75" customHeight="1" x14ac:dyDescent="0.25">
      <c r="A52" s="15"/>
      <c r="B52" s="152" t="s">
        <v>15</v>
      </c>
      <c r="C52" s="153"/>
      <c r="D52" s="153"/>
      <c r="E52" s="153"/>
      <c r="F52" s="153"/>
      <c r="G52" s="153"/>
      <c r="H52" s="153"/>
      <c r="I52" s="154"/>
      <c r="J52" s="16"/>
      <c r="K52" s="136" t="s">
        <v>28</v>
      </c>
      <c r="L52" s="137"/>
      <c r="M52" s="137"/>
      <c r="N52" s="137"/>
      <c r="O52" s="137"/>
      <c r="P52" s="137"/>
      <c r="Q52" s="137"/>
      <c r="R52" s="138"/>
      <c r="S52" s="16"/>
      <c r="T52" s="16"/>
      <c r="U52" s="136" t="s">
        <v>48</v>
      </c>
      <c r="V52" s="137"/>
      <c r="W52" s="137"/>
      <c r="X52" s="137"/>
      <c r="Y52" s="138"/>
      <c r="Z52" s="14"/>
    </row>
    <row r="53" spans="1:26" ht="15.75" customHeight="1" x14ac:dyDescent="0.25">
      <c r="A53" s="15"/>
      <c r="B53" s="139" t="s">
        <v>6</v>
      </c>
      <c r="C53" s="140"/>
      <c r="D53" s="140"/>
      <c r="E53" s="140"/>
      <c r="F53" s="81"/>
      <c r="G53" s="81"/>
      <c r="H53" s="81"/>
      <c r="I53" s="82"/>
      <c r="J53" s="16"/>
      <c r="K53" s="139" t="s">
        <v>27</v>
      </c>
      <c r="L53" s="140"/>
      <c r="M53" s="140"/>
      <c r="N53" s="140"/>
      <c r="O53" s="81"/>
      <c r="P53" s="81"/>
      <c r="Q53" s="81"/>
      <c r="R53" s="82"/>
      <c r="S53" s="16"/>
      <c r="T53" s="16"/>
      <c r="U53" s="86"/>
      <c r="V53" s="81"/>
      <c r="W53" s="81"/>
      <c r="X53" s="81"/>
      <c r="Y53" s="82"/>
      <c r="Z53" s="14"/>
    </row>
    <row r="54" spans="1:26" ht="15.75" customHeight="1" x14ac:dyDescent="0.25">
      <c r="A54" s="10"/>
      <c r="B54" s="141"/>
      <c r="C54" s="142"/>
      <c r="D54" s="142"/>
      <c r="E54" s="142"/>
      <c r="F54" s="83"/>
      <c r="G54" s="83"/>
      <c r="H54" s="83"/>
      <c r="I54" s="84"/>
      <c r="J54" s="16"/>
      <c r="K54" s="141"/>
      <c r="L54" s="142"/>
      <c r="M54" s="142"/>
      <c r="N54" s="142"/>
      <c r="O54" s="83"/>
      <c r="P54" s="83"/>
      <c r="Q54" s="83"/>
      <c r="R54" s="84"/>
      <c r="S54" s="16"/>
      <c r="T54" s="16"/>
      <c r="U54" s="87"/>
      <c r="V54" s="83"/>
      <c r="W54" s="83"/>
      <c r="X54" s="83"/>
      <c r="Y54" s="84"/>
      <c r="Z54" s="14"/>
    </row>
    <row r="55" spans="1:26" ht="15.75" customHeight="1" x14ac:dyDescent="0.25">
      <c r="A55" s="15"/>
      <c r="B55" s="12"/>
      <c r="C55" s="12"/>
      <c r="D55" s="12"/>
      <c r="E55" s="12"/>
      <c r="F55" s="23"/>
      <c r="G55" s="23"/>
      <c r="H55" s="23"/>
      <c r="I55" s="23"/>
      <c r="J55" s="12"/>
      <c r="K55" s="12"/>
      <c r="L55" s="12"/>
      <c r="M55" s="12"/>
      <c r="N55" s="12"/>
      <c r="O55" s="23"/>
      <c r="P55" s="23"/>
      <c r="Q55" s="23"/>
      <c r="R55" s="23"/>
      <c r="S55" s="30"/>
      <c r="T55" s="12"/>
      <c r="U55" s="12"/>
      <c r="V55" s="12"/>
      <c r="W55" s="12"/>
      <c r="X55" s="12"/>
      <c r="Y55" s="12"/>
      <c r="Z55" s="14"/>
    </row>
    <row r="56" spans="1:26" ht="15.6" customHeight="1" x14ac:dyDescent="0.25">
      <c r="A56" s="10" t="s">
        <v>38</v>
      </c>
      <c r="B56" s="11" t="s">
        <v>39</v>
      </c>
      <c r="C56" s="12"/>
      <c r="D56" s="12"/>
      <c r="E56" s="12"/>
      <c r="F56" s="23"/>
      <c r="G56" s="23"/>
      <c r="H56" s="23"/>
      <c r="I56" s="23"/>
      <c r="J56" s="12"/>
      <c r="K56" s="12"/>
      <c r="L56" s="12"/>
      <c r="M56" s="12"/>
      <c r="N56" s="12"/>
      <c r="O56" s="23"/>
      <c r="P56" s="23"/>
      <c r="Q56" s="23"/>
      <c r="R56" s="23"/>
      <c r="S56" s="30"/>
      <c r="T56" s="12"/>
      <c r="U56" s="12"/>
      <c r="V56" s="12"/>
      <c r="W56" s="12"/>
      <c r="X56" s="12"/>
      <c r="Y56" s="12"/>
      <c r="Z56" s="14"/>
    </row>
    <row r="57" spans="1:26" ht="15.75" customHeight="1" x14ac:dyDescent="0.25">
      <c r="A57" s="31"/>
      <c r="B57" s="12"/>
      <c r="C57" s="12"/>
      <c r="D57" s="12"/>
      <c r="E57" s="12"/>
      <c r="F57" s="23"/>
      <c r="G57" s="23"/>
      <c r="H57" s="23"/>
      <c r="I57" s="23"/>
      <c r="J57" s="12"/>
      <c r="K57" s="12"/>
      <c r="L57" s="12"/>
      <c r="M57" s="12"/>
      <c r="N57" s="12"/>
      <c r="O57" s="23"/>
      <c r="P57" s="23"/>
      <c r="Q57" s="23"/>
      <c r="R57" s="23"/>
      <c r="S57" s="12"/>
      <c r="T57" s="12"/>
      <c r="U57" s="12"/>
      <c r="V57" s="12"/>
      <c r="W57" s="12"/>
      <c r="X57" s="12"/>
      <c r="Y57" s="12"/>
      <c r="Z57" s="14"/>
    </row>
    <row r="58" spans="1:26" ht="15.75" customHeight="1" x14ac:dyDescent="0.25">
      <c r="A58" s="31"/>
      <c r="B58" s="155" t="s">
        <v>49</v>
      </c>
      <c r="C58" s="155"/>
      <c r="D58" s="155"/>
      <c r="E58" s="155"/>
      <c r="F58" s="155"/>
      <c r="G58" s="155"/>
      <c r="H58" s="155"/>
      <c r="I58" s="155"/>
      <c r="J58" s="155"/>
      <c r="K58" s="16"/>
      <c r="L58" s="85" t="str">
        <f>IF(U53&lt;&gt;"",U53/U21,"")</f>
        <v/>
      </c>
      <c r="M58" s="85"/>
      <c r="N58" s="85"/>
      <c r="O58" s="85"/>
      <c r="P58" s="85"/>
      <c r="Q58" s="32"/>
      <c r="R58" s="56" t="str">
        <f>IF(L58&lt;&gt;"",IF(L58&gt;=1,"CONFORME","NON-CONFORME"),"")</f>
        <v/>
      </c>
      <c r="S58" s="56"/>
      <c r="T58" s="56"/>
      <c r="U58" s="56"/>
      <c r="V58" s="56"/>
      <c r="W58" s="56"/>
      <c r="X58" s="56"/>
      <c r="Y58" s="56"/>
      <c r="Z58" s="14"/>
    </row>
    <row r="59" spans="1:26" ht="15.75" customHeight="1" x14ac:dyDescent="0.25">
      <c r="A59" s="31"/>
      <c r="B59" s="155"/>
      <c r="C59" s="155"/>
      <c r="D59" s="155"/>
      <c r="E59" s="155"/>
      <c r="F59" s="155"/>
      <c r="G59" s="155"/>
      <c r="H59" s="155"/>
      <c r="I59" s="155"/>
      <c r="J59" s="155"/>
      <c r="K59" s="16"/>
      <c r="L59" s="85"/>
      <c r="M59" s="85"/>
      <c r="N59" s="85"/>
      <c r="O59" s="85"/>
      <c r="P59" s="85"/>
      <c r="Q59" s="32"/>
      <c r="R59" s="56"/>
      <c r="S59" s="56"/>
      <c r="T59" s="56"/>
      <c r="U59" s="56"/>
      <c r="V59" s="56"/>
      <c r="W59" s="56"/>
      <c r="X59" s="56"/>
      <c r="Y59" s="56"/>
      <c r="Z59" s="14"/>
    </row>
    <row r="60" spans="1:26" ht="15.75" customHeight="1" x14ac:dyDescent="0.25">
      <c r="A60" s="31"/>
      <c r="B60" s="155"/>
      <c r="C60" s="155"/>
      <c r="D60" s="155"/>
      <c r="E60" s="155"/>
      <c r="F60" s="155"/>
      <c r="G60" s="155"/>
      <c r="H60" s="155"/>
      <c r="I60" s="155"/>
      <c r="J60" s="155"/>
      <c r="K60" s="16"/>
      <c r="L60" s="85"/>
      <c r="M60" s="85"/>
      <c r="N60" s="85"/>
      <c r="O60" s="85"/>
      <c r="P60" s="85"/>
      <c r="Q60" s="32"/>
      <c r="R60" s="56"/>
      <c r="S60" s="56"/>
      <c r="T60" s="56"/>
      <c r="U60" s="56"/>
      <c r="V60" s="56"/>
      <c r="W60" s="56"/>
      <c r="X60" s="56"/>
      <c r="Y60" s="56"/>
      <c r="Z60" s="14"/>
    </row>
    <row r="61" spans="1:26" ht="15.75" customHeight="1" x14ac:dyDescent="0.25">
      <c r="A61" s="31"/>
      <c r="B61" s="16"/>
      <c r="C61" s="16"/>
      <c r="D61" s="16"/>
      <c r="E61" s="16"/>
      <c r="F61" s="32"/>
      <c r="G61" s="32"/>
      <c r="H61" s="32"/>
      <c r="I61" s="32"/>
      <c r="J61" s="16"/>
      <c r="K61" s="16"/>
      <c r="L61" s="16"/>
      <c r="M61" s="16"/>
      <c r="N61" s="16"/>
      <c r="O61" s="32"/>
      <c r="P61" s="32"/>
      <c r="Q61" s="32"/>
      <c r="R61" s="32"/>
      <c r="S61" s="16"/>
      <c r="T61" s="16"/>
      <c r="U61" s="16"/>
      <c r="V61" s="16"/>
      <c r="W61" s="16"/>
      <c r="X61" s="16"/>
      <c r="Y61" s="16"/>
      <c r="Z61" s="14"/>
    </row>
    <row r="62" spans="1:26" ht="15.75" customHeight="1" x14ac:dyDescent="0.25">
      <c r="A62" s="31"/>
      <c r="B62" s="155" t="s">
        <v>41</v>
      </c>
      <c r="C62" s="155"/>
      <c r="D62" s="155"/>
      <c r="E62" s="155"/>
      <c r="F62" s="155"/>
      <c r="G62" s="155"/>
      <c r="H62" s="155"/>
      <c r="I62" s="155"/>
      <c r="J62" s="155"/>
      <c r="K62" s="16"/>
      <c r="L62" s="55">
        <f>IF(N48&lt;&gt;"",N48,"")</f>
        <v>0</v>
      </c>
      <c r="M62" s="55"/>
      <c r="N62" s="55"/>
      <c r="O62" s="55"/>
      <c r="P62" s="55"/>
      <c r="Q62" s="32"/>
      <c r="R62" s="56" t="str">
        <f>IF(L62&lt;&gt;"",IF(L62&lt;=0.05,"ADAPTE",IF(L62&gt;0.05,IF(L62&lt;=0.1,"DOUTEUX","INADAPTE"),"")),"")</f>
        <v>ADAPTE</v>
      </c>
      <c r="S62" s="56"/>
      <c r="T62" s="56"/>
      <c r="U62" s="56"/>
      <c r="V62" s="56"/>
      <c r="W62" s="56"/>
      <c r="X62" s="56"/>
      <c r="Y62" s="56"/>
      <c r="Z62" s="14"/>
    </row>
    <row r="63" spans="1:26" ht="15.75" customHeight="1" x14ac:dyDescent="0.25">
      <c r="A63" s="31"/>
      <c r="B63" s="155"/>
      <c r="C63" s="155"/>
      <c r="D63" s="155"/>
      <c r="E63" s="155"/>
      <c r="F63" s="155"/>
      <c r="G63" s="155"/>
      <c r="H63" s="155"/>
      <c r="I63" s="155"/>
      <c r="J63" s="155"/>
      <c r="K63" s="16"/>
      <c r="L63" s="55"/>
      <c r="M63" s="55"/>
      <c r="N63" s="55"/>
      <c r="O63" s="55"/>
      <c r="P63" s="55"/>
      <c r="Q63" s="32"/>
      <c r="R63" s="56"/>
      <c r="S63" s="56"/>
      <c r="T63" s="56"/>
      <c r="U63" s="56"/>
      <c r="V63" s="56"/>
      <c r="W63" s="56"/>
      <c r="X63" s="56"/>
      <c r="Y63" s="56"/>
      <c r="Z63" s="14"/>
    </row>
    <row r="64" spans="1:26" ht="15.75" customHeight="1" x14ac:dyDescent="0.25">
      <c r="A64" s="31"/>
      <c r="B64" s="155"/>
      <c r="C64" s="155"/>
      <c r="D64" s="155"/>
      <c r="E64" s="155"/>
      <c r="F64" s="155"/>
      <c r="G64" s="155"/>
      <c r="H64" s="155"/>
      <c r="I64" s="155"/>
      <c r="J64" s="155"/>
      <c r="K64" s="16"/>
      <c r="L64" s="55"/>
      <c r="M64" s="55"/>
      <c r="N64" s="55"/>
      <c r="O64" s="55"/>
      <c r="P64" s="55"/>
      <c r="Q64" s="32"/>
      <c r="R64" s="56"/>
      <c r="S64" s="56"/>
      <c r="T64" s="56"/>
      <c r="U64" s="56"/>
      <c r="V64" s="56"/>
      <c r="W64" s="56"/>
      <c r="X64" s="56"/>
      <c r="Y64" s="56"/>
      <c r="Z64" s="14"/>
    </row>
    <row r="65" spans="1:26" ht="15.9" customHeight="1" x14ac:dyDescent="0.25">
      <c r="A65" s="31"/>
      <c r="B65" s="33"/>
      <c r="C65" s="33"/>
      <c r="D65" s="33"/>
      <c r="E65" s="33"/>
      <c r="F65" s="23"/>
      <c r="G65" s="23"/>
      <c r="H65" s="23"/>
      <c r="I65" s="23"/>
      <c r="J65" s="12"/>
      <c r="K65" s="33"/>
      <c r="L65" s="33"/>
      <c r="M65" s="33"/>
      <c r="N65" s="33"/>
      <c r="O65" s="23"/>
      <c r="P65" s="23"/>
      <c r="Q65" s="23"/>
      <c r="R65" s="23"/>
      <c r="S65" s="12"/>
      <c r="T65" s="12"/>
      <c r="U65" s="12"/>
      <c r="V65" s="12"/>
      <c r="W65" s="12"/>
      <c r="X65" s="12"/>
      <c r="Y65" s="12"/>
      <c r="Z65" s="14"/>
    </row>
    <row r="66" spans="1:26" ht="6.75" customHeight="1" x14ac:dyDescent="0.25">
      <c r="A66" s="3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17"/>
      <c r="S66" s="4"/>
      <c r="T66" s="4"/>
      <c r="U66" s="4"/>
      <c r="V66" s="4"/>
      <c r="W66" s="4"/>
      <c r="X66" s="4"/>
      <c r="Y66" s="4"/>
      <c r="Z66" s="20"/>
    </row>
    <row r="67" spans="1:26" ht="9.75" customHeight="1" x14ac:dyDescent="0.25">
      <c r="A67" s="35"/>
      <c r="B67" s="3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</row>
    <row r="68" spans="1:26" ht="15.6" customHeight="1" x14ac:dyDescent="0.25">
      <c r="A68" s="36" t="s">
        <v>40</v>
      </c>
      <c r="B68" s="37" t="s">
        <v>42</v>
      </c>
      <c r="C68" s="38"/>
      <c r="D68" s="38"/>
      <c r="E68" s="38"/>
      <c r="F68" s="39"/>
      <c r="G68" s="39"/>
      <c r="H68" s="39"/>
      <c r="I68" s="7"/>
      <c r="J68" s="7"/>
      <c r="K68" s="7"/>
      <c r="L68" s="7"/>
      <c r="M68" s="7"/>
      <c r="N68" s="7"/>
      <c r="O68" s="7"/>
      <c r="P68" s="7"/>
      <c r="Q68" s="39"/>
      <c r="R68" s="7"/>
      <c r="S68" s="7"/>
      <c r="T68" s="7"/>
      <c r="U68" s="43"/>
      <c r="V68" s="43"/>
      <c r="W68" s="43"/>
      <c r="X68" s="44"/>
      <c r="Y68" s="44"/>
      <c r="Z68" s="45"/>
    </row>
    <row r="69" spans="1:26" ht="26.4" customHeight="1" x14ac:dyDescent="0.25">
      <c r="A69" s="46" t="s">
        <v>50</v>
      </c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156"/>
      <c r="R69" s="48" t="s">
        <v>43</v>
      </c>
      <c r="S69" s="49"/>
      <c r="T69" s="50"/>
      <c r="U69" s="51"/>
      <c r="V69" s="52"/>
      <c r="W69" s="52"/>
      <c r="X69" s="53"/>
      <c r="Y69" s="53"/>
      <c r="Z69" s="54"/>
    </row>
    <row r="70" spans="1:26" ht="26.4" customHeight="1" x14ac:dyDescent="0.25">
      <c r="A70" s="157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9"/>
      <c r="R70" s="48"/>
      <c r="S70" s="49"/>
      <c r="T70" s="50"/>
      <c r="U70" s="71"/>
      <c r="V70" s="72"/>
      <c r="W70" s="72"/>
      <c r="X70" s="67"/>
      <c r="Y70" s="67"/>
      <c r="Z70" s="68"/>
    </row>
    <row r="71" spans="1:26" ht="15.6" customHeight="1" x14ac:dyDescent="0.25">
      <c r="A71" s="10" t="s">
        <v>45</v>
      </c>
      <c r="B71" s="11" t="s">
        <v>21</v>
      </c>
      <c r="C71" s="12"/>
      <c r="D71" s="12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1"/>
      <c r="R71" s="48"/>
      <c r="S71" s="49"/>
      <c r="T71" s="50"/>
      <c r="U71" s="73"/>
      <c r="V71" s="74"/>
      <c r="W71" s="74"/>
      <c r="X71" s="69"/>
      <c r="Y71" s="69"/>
      <c r="Z71" s="70"/>
    </row>
    <row r="72" spans="1:26" ht="15.6" customHeight="1" x14ac:dyDescent="0.25">
      <c r="A72" s="57"/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9"/>
      <c r="R72" s="48" t="s">
        <v>44</v>
      </c>
      <c r="S72" s="49"/>
      <c r="T72" s="50"/>
      <c r="U72" s="160"/>
      <c r="V72" s="161"/>
      <c r="W72" s="161"/>
      <c r="X72" s="162"/>
      <c r="Y72" s="162"/>
      <c r="Z72" s="163"/>
    </row>
    <row r="73" spans="1:26" ht="15.6" customHeight="1" x14ac:dyDescent="0.25">
      <c r="A73" s="57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9"/>
      <c r="R73" s="48"/>
      <c r="S73" s="49"/>
      <c r="T73" s="50"/>
      <c r="U73" s="164"/>
      <c r="V73" s="66"/>
      <c r="W73" s="66"/>
      <c r="X73" s="66"/>
      <c r="Y73" s="66"/>
      <c r="Z73" s="165"/>
    </row>
    <row r="74" spans="1:26" ht="15.6" customHeight="1" x14ac:dyDescent="0.25">
      <c r="A74" s="57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9"/>
      <c r="R74" s="48"/>
      <c r="S74" s="49"/>
      <c r="T74" s="50"/>
      <c r="U74" s="164"/>
      <c r="V74" s="66"/>
      <c r="W74" s="66"/>
      <c r="X74" s="66"/>
      <c r="Y74" s="66"/>
      <c r="Z74" s="165"/>
    </row>
    <row r="75" spans="1:26" ht="15.6" customHeight="1" x14ac:dyDescent="0.25">
      <c r="A75" s="60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2"/>
      <c r="R75" s="63"/>
      <c r="S75" s="64"/>
      <c r="T75" s="65"/>
      <c r="U75" s="166"/>
      <c r="V75" s="167"/>
      <c r="W75" s="167"/>
      <c r="X75" s="168"/>
      <c r="Y75" s="168"/>
      <c r="Z75" s="169"/>
    </row>
  </sheetData>
  <sheetProtection selectLockedCells="1"/>
  <mergeCells count="84">
    <mergeCell ref="O13:S13"/>
    <mergeCell ref="B13:G13"/>
    <mergeCell ref="A1:F6"/>
    <mergeCell ref="G1:T1"/>
    <mergeCell ref="U1:Z6"/>
    <mergeCell ref="G2:T4"/>
    <mergeCell ref="B11:G11"/>
    <mergeCell ref="H10:M10"/>
    <mergeCell ref="O11:S11"/>
    <mergeCell ref="A7:F7"/>
    <mergeCell ref="G7:Z7"/>
    <mergeCell ref="B10:G10"/>
    <mergeCell ref="T10:Y10"/>
    <mergeCell ref="O10:S10"/>
    <mergeCell ref="G5:H5"/>
    <mergeCell ref="J5:K5"/>
    <mergeCell ref="L5:O5"/>
    <mergeCell ref="P5:T5"/>
    <mergeCell ref="J6:K6"/>
    <mergeCell ref="L6:O6"/>
    <mergeCell ref="P6:T6"/>
    <mergeCell ref="B20:I20"/>
    <mergeCell ref="B21:E22"/>
    <mergeCell ref="C29:D30"/>
    <mergeCell ref="T11:Y11"/>
    <mergeCell ref="T12:Y12"/>
    <mergeCell ref="T13:Y13"/>
    <mergeCell ref="H11:M11"/>
    <mergeCell ref="H12:M12"/>
    <mergeCell ref="K21:N22"/>
    <mergeCell ref="U20:Y20"/>
    <mergeCell ref="U21:Y22"/>
    <mergeCell ref="K20:R20"/>
    <mergeCell ref="B12:G12"/>
    <mergeCell ref="H13:K13"/>
    <mergeCell ref="L13:M13"/>
    <mergeCell ref="O12:S12"/>
    <mergeCell ref="O21:R22"/>
    <mergeCell ref="F21:I22"/>
    <mergeCell ref="C33:D34"/>
    <mergeCell ref="C35:D36"/>
    <mergeCell ref="C37:D38"/>
    <mergeCell ref="E33:G34"/>
    <mergeCell ref="E35:G36"/>
    <mergeCell ref="E37:G38"/>
    <mergeCell ref="C31:D32"/>
    <mergeCell ref="E29:G30"/>
    <mergeCell ref="E31:G32"/>
    <mergeCell ref="C27:D28"/>
    <mergeCell ref="E27:G28"/>
    <mergeCell ref="C39:D40"/>
    <mergeCell ref="E39:G40"/>
    <mergeCell ref="C41:D42"/>
    <mergeCell ref="E41:G42"/>
    <mergeCell ref="C43:D44"/>
    <mergeCell ref="E43:G44"/>
    <mergeCell ref="B52:I52"/>
    <mergeCell ref="B53:E54"/>
    <mergeCell ref="F53:I54"/>
    <mergeCell ref="L58:P60"/>
    <mergeCell ref="K53:N54"/>
    <mergeCell ref="O53:R54"/>
    <mergeCell ref="R58:Y60"/>
    <mergeCell ref="U53:Y54"/>
    <mergeCell ref="B58:J60"/>
    <mergeCell ref="J46:K46"/>
    <mergeCell ref="L46:M46"/>
    <mergeCell ref="J48:M48"/>
    <mergeCell ref="U52:Y52"/>
    <mergeCell ref="K52:R52"/>
    <mergeCell ref="N48:P48"/>
    <mergeCell ref="A72:Q75"/>
    <mergeCell ref="R72:T75"/>
    <mergeCell ref="R70:T71"/>
    <mergeCell ref="U70:Z71"/>
    <mergeCell ref="A70:Q70"/>
    <mergeCell ref="V73:Y74"/>
    <mergeCell ref="U68:Z68"/>
    <mergeCell ref="R69:T69"/>
    <mergeCell ref="U69:Z69"/>
    <mergeCell ref="B62:J64"/>
    <mergeCell ref="L62:P64"/>
    <mergeCell ref="R62:Y64"/>
    <mergeCell ref="A69:Q69"/>
  </mergeCells>
  <phoneticPr fontId="2" type="noConversion"/>
  <printOptions horizontalCentered="1"/>
  <pageMargins left="0.39370078740157483" right="0.39370078740157483" top="0.39370078740157483" bottom="0.39370078740157483" header="0" footer="0.19685039370078741"/>
  <pageSetup paperSize="9" scale="71" orientation="portrait" r:id="rId1"/>
  <headerFooter alignWithMargins="0">
    <oddFooter>&amp;RDG-Q / CRE IM du 06/04/2011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IM</vt:lpstr>
      <vt:lpstr>'CRE IM'!Zone_d_impression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2018-03-09T07:28:27Z</cp:lastPrinted>
  <dcterms:created xsi:type="dcterms:W3CDTF">2004-11-13T18:13:05Z</dcterms:created>
  <dcterms:modified xsi:type="dcterms:W3CDTF">2023-03-09T13:04:01Z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-1564943410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