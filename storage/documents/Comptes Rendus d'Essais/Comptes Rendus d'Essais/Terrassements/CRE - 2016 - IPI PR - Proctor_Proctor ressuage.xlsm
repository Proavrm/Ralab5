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S:\Labo\St Priest\Documents types\Comptes Rendus d'Essais\Terrassements\"/>
    </mc:Choice>
  </mc:AlternateContent>
  <xr:revisionPtr revIDLastSave="0" documentId="13_ncr:1_{8979CF29-7B5D-4A30-B769-52B6501C106F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CRE PR" sheetId="6" r:id="rId1"/>
    <sheet name="CRE PR ressuage" sheetId="5" r:id="rId2"/>
    <sheet name="CALC IPI - PR" sheetId="7" r:id="rId3"/>
  </sheets>
  <definedNames>
    <definedName name="_xlnm.Print_Area" localSheetId="2">'CALC IPI - PR'!$A$1:$Z$62</definedName>
    <definedName name="_xlnm.Print_Area" localSheetId="0">'CRE PR'!$A$1:$Z$70</definedName>
    <definedName name="_xlnm.Print_Area" localSheetId="1">'CRE PR ressuage'!$A$1:$Z$70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4" i="7" l="1"/>
  <c r="F45" i="7" s="1"/>
  <c r="F34" i="7"/>
  <c r="F36" i="7" s="1"/>
  <c r="F46" i="7" s="1"/>
  <c r="F27" i="5" l="1"/>
  <c r="F28" i="5"/>
  <c r="F29" i="5"/>
  <c r="F26" i="5"/>
  <c r="F25" i="5"/>
  <c r="L26" i="5" l="1"/>
  <c r="L27" i="5"/>
  <c r="L28" i="5"/>
  <c r="L29" i="5"/>
  <c r="L25" i="5"/>
  <c r="K26" i="5"/>
  <c r="K27" i="5"/>
  <c r="K28" i="5"/>
  <c r="K29" i="5"/>
  <c r="K25" i="5"/>
  <c r="L26" i="6"/>
  <c r="L27" i="6"/>
  <c r="L28" i="6"/>
  <c r="L29" i="6"/>
  <c r="K26" i="6"/>
  <c r="K27" i="6"/>
  <c r="K28" i="6"/>
  <c r="K29" i="6"/>
  <c r="L25" i="6"/>
  <c r="K25" i="6"/>
  <c r="T31" i="6"/>
  <c r="T32" i="6"/>
  <c r="T35" i="5"/>
  <c r="T34" i="5"/>
  <c r="T32" i="5"/>
  <c r="T31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Girard David</author>
  </authors>
  <commentList>
    <comment ref="X26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corrections pour les matériaux comportant moins de 30% d'éléments de dimension supérieure à 20 mm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Girard David</author>
  </authors>
  <commentList>
    <comment ref="X26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corrections pour les matériaux comportant moins de 30% d'éléments de dimension supérieure à 20 mm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<sst xmlns="http://schemas.openxmlformats.org/spreadsheetml/2006/main" count="163" uniqueCount="91">
  <si>
    <t>RENSEIGNEMENTS GENERAUX</t>
  </si>
  <si>
    <t>Nature du matériau :</t>
  </si>
  <si>
    <t>Provenance :</t>
  </si>
  <si>
    <t>Destination :</t>
  </si>
  <si>
    <t>Date de(s) prélèvement(s) :</t>
  </si>
  <si>
    <t>1/</t>
  </si>
  <si>
    <t>2/</t>
  </si>
  <si>
    <t>3/</t>
  </si>
  <si>
    <t>COMMENTAIRES</t>
  </si>
  <si>
    <t>Date de(s) essai(s) :</t>
  </si>
  <si>
    <t>Opérateur :</t>
  </si>
  <si>
    <t>Laboratoire :</t>
  </si>
  <si>
    <t>7/</t>
  </si>
  <si>
    <t>Région Rhône Alpes - 29-31 rue des Tâches - ZI Mi-Plaine - 69800 SAINT PRIEST</t>
  </si>
  <si>
    <t>COMPTE RENDU D'ESSAIS</t>
  </si>
  <si>
    <t>N° d'affaire</t>
  </si>
  <si>
    <t>Si traitement, nature et dosage du liant :</t>
  </si>
  <si>
    <t>Proctor</t>
  </si>
  <si>
    <t>Refus à 5 mm (%) :</t>
  </si>
  <si>
    <t>CBR</t>
  </si>
  <si>
    <t>Refus à 20 mm (%) :</t>
  </si>
  <si>
    <t>IPI</t>
  </si>
  <si>
    <t>IPI - PR</t>
  </si>
  <si>
    <t>CRITERES DE CONFORMITE</t>
  </si>
  <si>
    <t>Source des critères :</t>
  </si>
  <si>
    <t>Définition des critères / objectifs :</t>
  </si>
  <si>
    <t>ρd (t/m3)</t>
  </si>
  <si>
    <t>Nom</t>
  </si>
  <si>
    <t>Visa</t>
  </si>
  <si>
    <t>CONCLUSIONS</t>
  </si>
  <si>
    <t>RESULTATS D'ESSAIS</t>
  </si>
  <si>
    <t>MOULE</t>
  </si>
  <si>
    <t>Normal</t>
  </si>
  <si>
    <t>Modifié</t>
  </si>
  <si>
    <t xml:space="preserve">ENERGIE </t>
  </si>
  <si>
    <t>ρd OPN (t/m3)</t>
  </si>
  <si>
    <t>Poids spécifique:</t>
  </si>
  <si>
    <t>estimé</t>
  </si>
  <si>
    <t>mesuré</t>
  </si>
  <si>
    <t xml:space="preserve">ρs = </t>
  </si>
  <si>
    <t>t / m3</t>
  </si>
  <si>
    <t>ρd OPN corr (t/m3)</t>
  </si>
  <si>
    <t>W OPN corr (%)</t>
  </si>
  <si>
    <t>ρd OPM corr (t/m3)</t>
  </si>
  <si>
    <t>ρd OPM (t/m3)</t>
  </si>
  <si>
    <t>W OPM corr (%)</t>
  </si>
  <si>
    <t>W naturelle (%) :</t>
  </si>
  <si>
    <t>W Avant</t>
  </si>
  <si>
    <t>W Après</t>
  </si>
  <si>
    <t>Delta W</t>
  </si>
  <si>
    <t>W OPM Ressuage</t>
  </si>
  <si>
    <t>Sr80</t>
  </si>
  <si>
    <t>Sr100</t>
  </si>
  <si>
    <t>W à l'essai</t>
  </si>
  <si>
    <t>W OPN (%)</t>
  </si>
  <si>
    <t>Chrono</t>
  </si>
  <si>
    <t>Date de rédaction</t>
  </si>
  <si>
    <t>ESSAI PROCTOR / IPI
(NF P 94-093 / NF P 94-078)</t>
  </si>
  <si>
    <t>ESSAI PROCTOR (W% ressuage) / IPI
(NF EN 13286-2 / NF P 94-078)</t>
  </si>
  <si>
    <t>FEUILLE D'ESSAIS</t>
  </si>
  <si>
    <t>ESSAI PROCTOR (W% ressuage) / IPI
(NF P 94-093 / NF EN 13286-2 / NF P 94-078)</t>
  </si>
  <si>
    <t>CONDITIONS D'ESSAI</t>
  </si>
  <si>
    <t xml:space="preserve">Echantillons utilisés pour le mélange : </t>
  </si>
  <si>
    <t>Energie de compactage :</t>
  </si>
  <si>
    <t>Normale</t>
  </si>
  <si>
    <t>Modifiée</t>
  </si>
  <si>
    <t>Wnaturelle du mélange (%) :</t>
  </si>
  <si>
    <t>Moules utilisés :</t>
  </si>
  <si>
    <t>% liant :</t>
  </si>
  <si>
    <t>RESULTATS DES ESSAIS</t>
  </si>
  <si>
    <t>Poids d'eau ajoutée</t>
  </si>
  <si>
    <t xml:space="preserve">Poids spécifiques </t>
  </si>
  <si>
    <t>Poids total humide (g)</t>
  </si>
  <si>
    <t>Poids du moule (g)</t>
  </si>
  <si>
    <t>Poids net humide (g)</t>
  </si>
  <si>
    <t>Volume du moule (cm3)</t>
  </si>
  <si>
    <t>Densité humide (t/m3)</t>
  </si>
  <si>
    <t>W% Après ESSAI</t>
  </si>
  <si>
    <t>N° de la tare</t>
  </si>
  <si>
    <t>Poids total humide</t>
  </si>
  <si>
    <t>Poids total sec</t>
  </si>
  <si>
    <t>Poids de la tare</t>
  </si>
  <si>
    <t>Poids de l'eau</t>
  </si>
  <si>
    <t>Poids du sol sec</t>
  </si>
  <si>
    <t>Teneurs en eau</t>
  </si>
  <si>
    <t>W% moyenne</t>
  </si>
  <si>
    <t>Densité sèche (t/m3)</t>
  </si>
  <si>
    <t>IPI (2.5 / 5 m)</t>
  </si>
  <si>
    <t>4/</t>
  </si>
  <si>
    <t>5/</t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</si>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</sst>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0"/>
    <numFmt numFmtId="166" formatCode="0.000"/>
    <numFmt numFmtId="167" formatCode="#,##0.000"/>
    <numFmt numFmtId="168" formatCode="0.0000"/>
  </numFmts>
  <fonts count="20" x14ac:knownFonts="1">
    <font>
      <sz val="10"/>
      <name val="Arial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sz val="11"/>
      <name val="Century Gothic"/>
      <family val="2"/>
    </font>
    <font>
      <b/>
      <u/>
      <sz val="11"/>
      <name val="Century Gothic"/>
      <family val="2"/>
    </font>
    <font>
      <b/>
      <sz val="11"/>
      <name val="Century Gothic"/>
      <family val="2"/>
    </font>
    <font>
      <sz val="16"/>
      <name val="Century Gothic"/>
      <family val="2"/>
    </font>
    <font>
      <u/>
      <sz val="10"/>
      <name val="Century Gothic"/>
      <family val="2"/>
    </font>
    <font>
      <b/>
      <sz val="9"/>
      <name val="Century Gothic"/>
      <family val="2"/>
    </font>
    <font>
      <sz val="10"/>
      <name val="Arial"/>
      <family val="2"/>
    </font>
    <font>
      <sz val="14"/>
      <name val="Century Gothic"/>
      <family val="2"/>
    </font>
    <font>
      <b/>
      <sz val="16"/>
      <name val="Century Gothic"/>
      <family val="2"/>
    </font>
  </fonts>
  <fills count="2">
    <fill>
      <patternFill patternType="none"/>
    </fill>
    <fill>
      <patternFill patternType="gray125"/>
    </fill>
  </fills>
  <borders count="4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/>
    <xf numFmtId="9" fontId="17" fillId="0" borderId="0" applyFont="0" applyFill="0" applyBorder="0" applyAlignment="0" applyProtection="0"/>
  </cellStyleXfs>
  <cellXfs count="412">
    <xf numFmtId="0" fontId="0" fillId="0" borderId="0" xfId="0"/>
    <xf numFmtId="0" fontId="4" fillId="0" borderId="0" xfId="0" applyFont="1" applyFill="1" applyAlignment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right" vertical="center"/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0" fontId="4" fillId="0" borderId="6" xfId="0" applyFont="1" applyFill="1" applyBorder="1" applyAlignment="1" applyProtection="1">
      <alignment vertical="center"/>
      <protection hidden="1"/>
    </xf>
    <xf numFmtId="0" fontId="7" fillId="0" borderId="1" xfId="0" applyFont="1" applyFill="1" applyBorder="1" applyAlignment="1" applyProtection="1">
      <alignment horizontal="center" vertical="center"/>
      <protection hidden="1"/>
    </xf>
    <xf numFmtId="0" fontId="10" fillId="0" borderId="2" xfId="0" applyFont="1" applyFill="1" applyBorder="1" applyAlignment="1" applyProtection="1">
      <alignment vertical="center"/>
      <protection hidden="1"/>
    </xf>
    <xf numFmtId="0" fontId="4" fillId="0" borderId="2" xfId="0" applyFont="1" applyFill="1" applyBorder="1" applyAlignment="1" applyProtection="1">
      <alignment vertical="center"/>
      <protection hidden="1"/>
    </xf>
    <xf numFmtId="0" fontId="4" fillId="0" borderId="2" xfId="0" applyFont="1" applyFill="1" applyBorder="1" applyAlignment="1" applyProtection="1">
      <alignment horizontal="center" vertical="center"/>
      <protection hidden="1"/>
    </xf>
    <xf numFmtId="0" fontId="4" fillId="0" borderId="7" xfId="0" applyFont="1" applyFill="1" applyBorder="1" applyAlignment="1" applyProtection="1">
      <alignment vertical="center"/>
      <protection hidden="1"/>
    </xf>
    <xf numFmtId="0" fontId="4" fillId="0" borderId="3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0" fontId="4" fillId="0" borderId="4" xfId="0" applyFont="1" applyFill="1" applyBorder="1" applyAlignment="1" applyProtection="1">
      <alignment vertical="center"/>
      <protection hidden="1"/>
    </xf>
    <xf numFmtId="0" fontId="9" fillId="0" borderId="4" xfId="0" applyFont="1" applyFill="1" applyBorder="1" applyAlignment="1" applyProtection="1">
      <alignment horizontal="left" vertical="center"/>
      <protection hidden="1"/>
    </xf>
    <xf numFmtId="0" fontId="4" fillId="0" borderId="5" xfId="0" applyFont="1" applyFill="1" applyBorder="1" applyAlignment="1" applyProtection="1">
      <alignment horizontal="center" vertical="center"/>
      <protection hidden="1"/>
    </xf>
    <xf numFmtId="0" fontId="4" fillId="0" borderId="6" xfId="0" applyFont="1" applyFill="1" applyBorder="1" applyAlignment="1" applyProtection="1">
      <alignment horizontal="center" vertical="center"/>
      <protection hidden="1"/>
    </xf>
    <xf numFmtId="0" fontId="4" fillId="0" borderId="6" xfId="0" applyFont="1" applyFill="1" applyBorder="1" applyAlignment="1" applyProtection="1">
      <alignment horizontal="left" vertical="center"/>
      <protection hidden="1"/>
    </xf>
    <xf numFmtId="0" fontId="4" fillId="0" borderId="8" xfId="0" applyFont="1" applyFill="1" applyBorder="1" applyAlignment="1" applyProtection="1">
      <alignment vertical="center"/>
      <protection hidden="1"/>
    </xf>
    <xf numFmtId="0" fontId="4" fillId="0" borderId="0" xfId="0" applyFont="1" applyFill="1" applyProtection="1">
      <protection hidden="1"/>
    </xf>
    <xf numFmtId="0" fontId="12" fillId="0" borderId="0" xfId="0" applyFont="1" applyFill="1" applyAlignment="1" applyProtection="1">
      <alignment horizontal="right"/>
      <protection hidden="1"/>
    </xf>
    <xf numFmtId="0" fontId="10" fillId="0" borderId="0" xfId="0" applyFont="1" applyFill="1" applyAlignment="1" applyProtection="1">
      <alignment horizontal="right"/>
      <protection hidden="1"/>
    </xf>
    <xf numFmtId="14" fontId="13" fillId="0" borderId="0" xfId="0" applyNumberFormat="1" applyFont="1" applyFill="1" applyAlignment="1" applyProtection="1">
      <alignment horizontal="center"/>
      <protection hidden="1"/>
    </xf>
    <xf numFmtId="0" fontId="10" fillId="0" borderId="2" xfId="0" applyFont="1" applyFill="1" applyBorder="1" applyAlignment="1" applyProtection="1">
      <protection hidden="1"/>
    </xf>
    <xf numFmtId="0" fontId="4" fillId="0" borderId="2" xfId="0" applyFont="1" applyFill="1" applyBorder="1" applyProtection="1">
      <protection hidden="1"/>
    </xf>
    <xf numFmtId="0" fontId="4" fillId="0" borderId="7" xfId="0" applyFont="1" applyFill="1" applyBorder="1" applyProtection="1">
      <protection hidden="1"/>
    </xf>
    <xf numFmtId="0" fontId="4" fillId="0" borderId="3" xfId="0" applyFont="1" applyFill="1" applyBorder="1" applyProtection="1">
      <protection hidden="1"/>
    </xf>
    <xf numFmtId="0" fontId="7" fillId="0" borderId="0" xfId="0" applyFont="1" applyFill="1" applyBorder="1" applyAlignment="1" applyProtection="1">
      <protection hidden="1"/>
    </xf>
    <xf numFmtId="0" fontId="4" fillId="0" borderId="0" xfId="0" applyFont="1" applyFill="1" applyBorder="1" applyProtection="1">
      <protection hidden="1"/>
    </xf>
    <xf numFmtId="0" fontId="4" fillId="0" borderId="4" xfId="0" applyFont="1" applyFill="1" applyBorder="1" applyProtection="1">
      <protection hidden="1"/>
    </xf>
    <xf numFmtId="0" fontId="9" fillId="0" borderId="4" xfId="0" applyFont="1" applyFill="1" applyBorder="1" applyAlignment="1" applyProtection="1">
      <alignment horizontal="left"/>
      <protection hidden="1"/>
    </xf>
    <xf numFmtId="0" fontId="4" fillId="0" borderId="5" xfId="0" applyFont="1" applyFill="1" applyBorder="1" applyProtection="1">
      <protection hidden="1"/>
    </xf>
    <xf numFmtId="0" fontId="4" fillId="0" borderId="6" xfId="0" applyFont="1" applyFill="1" applyBorder="1" applyProtection="1">
      <protection hidden="1"/>
    </xf>
    <xf numFmtId="0" fontId="4" fillId="0" borderId="8" xfId="0" applyFont="1" applyFill="1" applyBorder="1" applyProtection="1">
      <protection hidden="1"/>
    </xf>
    <xf numFmtId="0" fontId="4" fillId="0" borderId="2" xfId="0" applyFont="1" applyFill="1" applyBorder="1" applyAlignment="1">
      <alignment vertical="center"/>
    </xf>
    <xf numFmtId="2" fontId="14" fillId="0" borderId="2" xfId="0" applyNumberFormat="1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15" fillId="0" borderId="2" xfId="0" applyFont="1" applyFill="1" applyBorder="1" applyAlignment="1" applyProtection="1">
      <alignment vertical="center"/>
      <protection hidden="1"/>
    </xf>
    <xf numFmtId="0" fontId="15" fillId="0" borderId="2" xfId="0" applyFont="1" applyFill="1" applyBorder="1" applyAlignment="1" applyProtection="1">
      <alignment horizontal="center" vertical="center"/>
      <protection hidden="1"/>
    </xf>
    <xf numFmtId="0" fontId="4" fillId="0" borderId="3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8" fillId="0" borderId="13" xfId="0" applyFont="1" applyFill="1" applyBorder="1" applyAlignment="1">
      <alignment horizontal="center" vertical="center"/>
    </xf>
    <xf numFmtId="1" fontId="11" fillId="0" borderId="14" xfId="0" applyNumberFormat="1" applyFont="1" applyBorder="1" applyAlignment="1">
      <alignment horizontal="center" vertical="center"/>
    </xf>
    <xf numFmtId="4" fontId="11" fillId="0" borderId="16" xfId="0" applyNumberFormat="1" applyFont="1" applyFill="1" applyBorder="1" applyAlignment="1" applyProtection="1">
      <alignment horizontal="center" vertical="center"/>
    </xf>
    <xf numFmtId="4" fontId="11" fillId="0" borderId="14" xfId="0" applyNumberFormat="1" applyFont="1" applyFill="1" applyBorder="1" applyAlignment="1" applyProtection="1">
      <alignment horizontal="center" vertical="center"/>
    </xf>
    <xf numFmtId="0" fontId="4" fillId="0" borderId="1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1" fontId="11" fillId="0" borderId="15" xfId="0" applyNumberFormat="1" applyFont="1" applyBorder="1" applyAlignment="1">
      <alignment horizontal="center" vertical="center"/>
    </xf>
    <xf numFmtId="4" fontId="11" fillId="0" borderId="15" xfId="0" applyNumberFormat="1" applyFont="1" applyFill="1" applyBorder="1" applyAlignment="1" applyProtection="1">
      <alignment horizontal="center" vertical="center"/>
    </xf>
    <xf numFmtId="0" fontId="4" fillId="0" borderId="3" xfId="0" applyFont="1" applyFill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1" fontId="11" fillId="0" borderId="5" xfId="0" applyNumberFormat="1" applyFont="1" applyFill="1" applyBorder="1" applyAlignment="1" applyProtection="1">
      <alignment horizontal="center" vertical="center"/>
      <protection locked="0"/>
    </xf>
    <xf numFmtId="4" fontId="11" fillId="0" borderId="17" xfId="0" applyNumberFormat="1" applyFont="1" applyFill="1" applyBorder="1" applyAlignment="1" applyProtection="1">
      <alignment horizontal="center" vertical="center"/>
    </xf>
    <xf numFmtId="0" fontId="4" fillId="0" borderId="5" xfId="0" applyFont="1" applyFill="1" applyBorder="1" applyAlignment="1">
      <alignment vertical="center"/>
    </xf>
    <xf numFmtId="0" fontId="4" fillId="0" borderId="6" xfId="0" applyFont="1" applyFill="1" applyBorder="1" applyAlignment="1">
      <alignment vertical="center"/>
    </xf>
    <xf numFmtId="0" fontId="4" fillId="0" borderId="8" xfId="0" applyFont="1" applyFill="1" applyBorder="1" applyAlignment="1">
      <alignment vertical="center"/>
    </xf>
    <xf numFmtId="0" fontId="4" fillId="0" borderId="6" xfId="0" applyFont="1" applyFill="1" applyBorder="1" applyAlignment="1" applyProtection="1">
      <alignment vertical="center"/>
    </xf>
    <xf numFmtId="0" fontId="4" fillId="0" borderId="8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>
      <alignment vertical="center"/>
    </xf>
    <xf numFmtId="0" fontId="4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>
      <alignment vertical="center"/>
    </xf>
    <xf numFmtId="0" fontId="4" fillId="0" borderId="0" xfId="0" applyFont="1" applyBorder="1" applyAlignment="1"/>
    <xf numFmtId="4" fontId="4" fillId="0" borderId="0" xfId="0" applyNumberFormat="1" applyFont="1" applyFill="1" applyBorder="1" applyAlignment="1" applyProtection="1">
      <alignment vertical="center"/>
    </xf>
    <xf numFmtId="4" fontId="4" fillId="0" borderId="0" xfId="0" applyNumberFormat="1" applyFont="1" applyBorder="1" applyAlignment="1"/>
    <xf numFmtId="164" fontId="4" fillId="0" borderId="0" xfId="0" applyNumberFormat="1" applyFont="1" applyFill="1" applyBorder="1" applyAlignment="1" applyProtection="1">
      <alignment vertical="center"/>
      <protection locked="0"/>
    </xf>
    <xf numFmtId="0" fontId="7" fillId="0" borderId="0" xfId="0" applyFont="1" applyFill="1" applyBorder="1" applyAlignment="1" applyProtection="1">
      <alignment horizontal="center" vertical="center"/>
      <protection hidden="1"/>
    </xf>
    <xf numFmtId="0" fontId="7" fillId="0" borderId="4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protection hidden="1"/>
    </xf>
    <xf numFmtId="0" fontId="4" fillId="0" borderId="4" xfId="0" applyFont="1" applyBorder="1" applyProtection="1">
      <protection hidden="1"/>
    </xf>
    <xf numFmtId="0" fontId="7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4" fillId="0" borderId="5" xfId="0" applyFont="1" applyFill="1" applyBorder="1" applyAlignment="1">
      <alignment horizontal="center" vertical="center"/>
    </xf>
    <xf numFmtId="0" fontId="9" fillId="0" borderId="6" xfId="0" applyFont="1" applyBorder="1" applyAlignment="1" applyProtection="1">
      <alignment vertical="center"/>
      <protection locked="0"/>
    </xf>
    <xf numFmtId="0" fontId="9" fillId="0" borderId="8" xfId="0" applyFont="1" applyFill="1" applyBorder="1" applyAlignment="1" applyProtection="1">
      <alignment vertical="center"/>
      <protection hidden="1"/>
    </xf>
    <xf numFmtId="0" fontId="7" fillId="0" borderId="9" xfId="0" applyFont="1" applyFill="1" applyBorder="1" applyAlignment="1" applyProtection="1">
      <alignment horizontal="center" vertical="center"/>
      <protection hidden="1"/>
    </xf>
    <xf numFmtId="0" fontId="10" fillId="0" borderId="10" xfId="0" applyFont="1" applyFill="1" applyBorder="1" applyAlignment="1" applyProtection="1">
      <alignment vertical="center"/>
      <protection hidden="1"/>
    </xf>
    <xf numFmtId="0" fontId="15" fillId="0" borderId="10" xfId="0" applyFont="1" applyFill="1" applyBorder="1" applyAlignment="1" applyProtection="1">
      <alignment vertical="center"/>
      <protection hidden="1"/>
    </xf>
    <xf numFmtId="0" fontId="4" fillId="0" borderId="10" xfId="0" applyFont="1" applyFill="1" applyBorder="1" applyAlignment="1" applyProtection="1">
      <alignment vertical="center"/>
      <protection hidden="1"/>
    </xf>
    <xf numFmtId="0" fontId="7" fillId="0" borderId="3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4" xfId="0" applyFont="1" applyFill="1" applyBorder="1" applyAlignment="1" applyProtection="1">
      <alignment vertical="center"/>
      <protection hidden="1"/>
    </xf>
    <xf numFmtId="0" fontId="4" fillId="0" borderId="0" xfId="0" applyFont="1" applyFill="1" applyAlignment="1" applyProtection="1">
      <alignment horizontal="center" vertical="center"/>
      <protection hidden="1"/>
    </xf>
    <xf numFmtId="0" fontId="4" fillId="0" borderId="0" xfId="1" applyFont="1" applyFill="1" applyAlignment="1" applyProtection="1">
      <alignment vertical="center"/>
      <protection hidden="1"/>
    </xf>
    <xf numFmtId="0" fontId="4" fillId="0" borderId="0" xfId="1" applyFont="1" applyFill="1" applyBorder="1" applyAlignment="1" applyProtection="1">
      <alignment horizontal="right" vertical="center"/>
      <protection hidden="1"/>
    </xf>
    <xf numFmtId="0" fontId="4" fillId="0" borderId="5" xfId="1" applyFont="1" applyFill="1" applyBorder="1" applyAlignment="1" applyProtection="1">
      <alignment vertical="center"/>
      <protection hidden="1"/>
    </xf>
    <xf numFmtId="0" fontId="4" fillId="0" borderId="6" xfId="1" applyFont="1" applyFill="1" applyBorder="1" applyAlignment="1" applyProtection="1">
      <alignment vertical="center"/>
      <protection hidden="1"/>
    </xf>
    <xf numFmtId="0" fontId="7" fillId="0" borderId="1" xfId="1" applyFont="1" applyFill="1" applyBorder="1" applyAlignment="1" applyProtection="1">
      <alignment horizontal="center" vertical="center"/>
      <protection hidden="1"/>
    </xf>
    <xf numFmtId="0" fontId="10" fillId="0" borderId="2" xfId="1" applyFont="1" applyFill="1" applyBorder="1" applyAlignment="1" applyProtection="1">
      <alignment vertical="center"/>
      <protection hidden="1"/>
    </xf>
    <xf numFmtId="0" fontId="4" fillId="0" borderId="2" xfId="1" applyFont="1" applyFill="1" applyBorder="1" applyAlignment="1" applyProtection="1">
      <alignment vertical="center"/>
      <protection hidden="1"/>
    </xf>
    <xf numFmtId="0" fontId="4" fillId="0" borderId="2" xfId="1" applyFont="1" applyFill="1" applyBorder="1" applyAlignment="1" applyProtection="1">
      <alignment horizontal="center" vertical="center"/>
      <protection hidden="1"/>
    </xf>
    <xf numFmtId="0" fontId="4" fillId="0" borderId="7" xfId="1" applyFont="1" applyFill="1" applyBorder="1" applyAlignment="1" applyProtection="1">
      <alignment vertical="center"/>
      <protection hidden="1"/>
    </xf>
    <xf numFmtId="0" fontId="4" fillId="0" borderId="3" xfId="1" applyFont="1" applyFill="1" applyBorder="1" applyAlignment="1" applyProtection="1">
      <alignment horizontal="center" vertical="center"/>
      <protection hidden="1"/>
    </xf>
    <xf numFmtId="0" fontId="4" fillId="0" borderId="0" xfId="1" applyFont="1" applyFill="1" applyBorder="1" applyAlignment="1" applyProtection="1">
      <alignment vertical="center"/>
      <protection hidden="1"/>
    </xf>
    <xf numFmtId="0" fontId="4" fillId="0" borderId="0" xfId="1" applyFont="1" applyFill="1" applyBorder="1" applyAlignment="1" applyProtection="1">
      <alignment horizontal="center" vertical="center"/>
      <protection hidden="1"/>
    </xf>
    <xf numFmtId="0" fontId="4" fillId="0" borderId="4" xfId="1" applyFont="1" applyFill="1" applyBorder="1" applyAlignment="1" applyProtection="1">
      <alignment vertical="center"/>
      <protection hidden="1"/>
    </xf>
    <xf numFmtId="0" fontId="9" fillId="0" borderId="4" xfId="1" applyFont="1" applyFill="1" applyBorder="1" applyAlignment="1" applyProtection="1">
      <alignment horizontal="left" vertical="center"/>
      <protection hidden="1"/>
    </xf>
    <xf numFmtId="0" fontId="4" fillId="0" borderId="5" xfId="1" applyFont="1" applyFill="1" applyBorder="1" applyAlignment="1" applyProtection="1">
      <alignment horizontal="center" vertical="center"/>
      <protection hidden="1"/>
    </xf>
    <xf numFmtId="0" fontId="4" fillId="0" borderId="6" xfId="1" applyFont="1" applyFill="1" applyBorder="1" applyAlignment="1" applyProtection="1">
      <alignment horizontal="center" vertical="center"/>
      <protection hidden="1"/>
    </xf>
    <xf numFmtId="0" fontId="4" fillId="0" borderId="6" xfId="1" applyFont="1" applyFill="1" applyBorder="1" applyAlignment="1" applyProtection="1">
      <alignment horizontal="left" vertical="center"/>
      <protection hidden="1"/>
    </xf>
    <xf numFmtId="0" fontId="4" fillId="0" borderId="8" xfId="1" applyFont="1" applyFill="1" applyBorder="1" applyAlignment="1" applyProtection="1">
      <alignment vertical="center"/>
      <protection hidden="1"/>
    </xf>
    <xf numFmtId="0" fontId="4" fillId="0" borderId="0" xfId="1" applyFont="1" applyFill="1" applyProtection="1">
      <protection hidden="1"/>
    </xf>
    <xf numFmtId="0" fontId="12" fillId="0" borderId="0" xfId="1" applyFont="1" applyFill="1" applyAlignment="1" applyProtection="1">
      <alignment horizontal="right"/>
      <protection hidden="1"/>
    </xf>
    <xf numFmtId="0" fontId="10" fillId="0" borderId="0" xfId="1" applyFont="1" applyFill="1" applyAlignment="1" applyProtection="1">
      <alignment horizontal="right"/>
      <protection hidden="1"/>
    </xf>
    <xf numFmtId="14" fontId="13" fillId="0" borderId="0" xfId="1" applyNumberFormat="1" applyFont="1" applyFill="1" applyAlignment="1" applyProtection="1">
      <alignment horizontal="center"/>
      <protection hidden="1"/>
    </xf>
    <xf numFmtId="0" fontId="10" fillId="0" borderId="2" xfId="1" applyFont="1" applyFill="1" applyBorder="1" applyAlignment="1">
      <alignment vertical="center"/>
    </xf>
    <xf numFmtId="0" fontId="4" fillId="0" borderId="2" xfId="1" applyFont="1" applyFill="1" applyBorder="1" applyProtection="1">
      <protection hidden="1"/>
    </xf>
    <xf numFmtId="0" fontId="4" fillId="0" borderId="7" xfId="1" applyFont="1" applyFill="1" applyBorder="1" applyProtection="1">
      <protection hidden="1"/>
    </xf>
    <xf numFmtId="0" fontId="4" fillId="0" borderId="3" xfId="1" applyFont="1" applyFill="1" applyBorder="1" applyProtection="1">
      <protection hidden="1"/>
    </xf>
    <xf numFmtId="0" fontId="7" fillId="0" borderId="0" xfId="1" applyFont="1" applyFill="1" applyBorder="1" applyAlignment="1" applyProtection="1">
      <protection hidden="1"/>
    </xf>
    <xf numFmtId="0" fontId="4" fillId="0" borderId="0" xfId="1" applyFont="1" applyFill="1" applyBorder="1" applyProtection="1">
      <protection hidden="1"/>
    </xf>
    <xf numFmtId="0" fontId="4" fillId="0" borderId="4" xfId="1" applyFont="1" applyFill="1" applyBorder="1" applyProtection="1">
      <protection hidden="1"/>
    </xf>
    <xf numFmtId="0" fontId="4" fillId="0" borderId="2" xfId="1" applyFont="1" applyFill="1" applyBorder="1" applyAlignment="1">
      <alignment vertical="center"/>
    </xf>
    <xf numFmtId="0" fontId="4" fillId="0" borderId="7" xfId="1" applyFont="1" applyFill="1" applyBorder="1" applyAlignment="1">
      <alignment vertical="center"/>
    </xf>
    <xf numFmtId="0" fontId="4" fillId="0" borderId="0" xfId="1" applyFont="1" applyFill="1" applyBorder="1" applyAlignment="1">
      <alignment vertical="center"/>
    </xf>
    <xf numFmtId="0" fontId="4" fillId="0" borderId="2" xfId="1" applyFont="1" applyFill="1" applyBorder="1" applyAlignment="1">
      <alignment horizontal="center" vertical="center"/>
    </xf>
    <xf numFmtId="0" fontId="4" fillId="0" borderId="7" xfId="1" applyFont="1" applyFill="1" applyBorder="1" applyAlignment="1">
      <alignment horizontal="center" vertical="center"/>
    </xf>
    <xf numFmtId="0" fontId="9" fillId="0" borderId="4" xfId="1" applyFont="1" applyFill="1" applyBorder="1" applyAlignment="1" applyProtection="1">
      <alignment horizontal="left"/>
      <protection hidden="1"/>
    </xf>
    <xf numFmtId="0" fontId="4" fillId="0" borderId="5" xfId="1" applyFont="1" applyFill="1" applyBorder="1" applyAlignment="1">
      <alignment vertical="center"/>
    </xf>
    <xf numFmtId="0" fontId="4" fillId="0" borderId="6" xfId="1" applyFont="1" applyFill="1" applyBorder="1" applyAlignment="1">
      <alignment vertical="center"/>
    </xf>
    <xf numFmtId="0" fontId="4" fillId="0" borderId="8" xfId="1" applyFont="1" applyFill="1" applyBorder="1" applyAlignment="1">
      <alignment horizontal="center" vertical="center"/>
    </xf>
    <xf numFmtId="0" fontId="14" fillId="0" borderId="0" xfId="1" applyFont="1" applyFill="1" applyBorder="1" applyAlignment="1">
      <alignment horizontal="center" vertical="center"/>
    </xf>
    <xf numFmtId="2" fontId="14" fillId="0" borderId="0" xfId="1" applyNumberFormat="1" applyFont="1" applyFill="1" applyBorder="1" applyAlignment="1">
      <alignment horizontal="center" vertical="center"/>
    </xf>
    <xf numFmtId="0" fontId="4" fillId="0" borderId="0" xfId="1" applyFont="1" applyFill="1" applyBorder="1" applyAlignment="1">
      <alignment horizontal="left" vertical="center"/>
    </xf>
    <xf numFmtId="0" fontId="9" fillId="0" borderId="0" xfId="1" applyFont="1" applyFill="1" applyBorder="1" applyAlignment="1">
      <alignment vertical="center"/>
    </xf>
    <xf numFmtId="0" fontId="7" fillId="0" borderId="3" xfId="1" applyFont="1" applyFill="1" applyBorder="1" applyAlignment="1" applyProtection="1">
      <alignment horizontal="center" vertical="center"/>
      <protection hidden="1"/>
    </xf>
    <xf numFmtId="166" fontId="14" fillId="0" borderId="0" xfId="1" applyNumberFormat="1" applyFont="1" applyFill="1" applyBorder="1" applyAlignment="1">
      <alignment horizontal="center" vertical="center"/>
    </xf>
    <xf numFmtId="2" fontId="18" fillId="0" borderId="0" xfId="1" applyNumberFormat="1" applyFont="1" applyFill="1" applyBorder="1" applyAlignment="1">
      <alignment horizontal="center" vertical="center"/>
    </xf>
    <xf numFmtId="0" fontId="9" fillId="0" borderId="5" xfId="1" applyFont="1" applyFill="1" applyBorder="1" applyAlignment="1">
      <alignment vertical="center"/>
    </xf>
    <xf numFmtId="0" fontId="9" fillId="0" borderId="6" xfId="1" applyFont="1" applyFill="1" applyBorder="1" applyAlignment="1">
      <alignment vertical="center"/>
    </xf>
    <xf numFmtId="0" fontId="7" fillId="0" borderId="1" xfId="1" applyFont="1" applyFill="1" applyBorder="1" applyAlignment="1">
      <alignment horizontal="center" vertical="center"/>
    </xf>
    <xf numFmtId="166" fontId="14" fillId="0" borderId="2" xfId="1" applyNumberFormat="1" applyFont="1" applyFill="1" applyBorder="1" applyAlignment="1">
      <alignment horizontal="center" vertical="center"/>
    </xf>
    <xf numFmtId="0" fontId="14" fillId="0" borderId="2" xfId="1" applyFont="1" applyFill="1" applyBorder="1" applyAlignment="1">
      <alignment horizontal="center" vertical="center"/>
    </xf>
    <xf numFmtId="2" fontId="14" fillId="0" borderId="2" xfId="1" applyNumberFormat="1" applyFont="1" applyFill="1" applyBorder="1" applyAlignment="1">
      <alignment horizontal="center" vertical="center"/>
    </xf>
    <xf numFmtId="2" fontId="18" fillId="0" borderId="2" xfId="1" applyNumberFormat="1" applyFont="1" applyFill="1" applyBorder="1" applyAlignment="1">
      <alignment horizontal="center" vertical="center"/>
    </xf>
    <xf numFmtId="0" fontId="9" fillId="0" borderId="2" xfId="1" applyFont="1" applyFill="1" applyBorder="1" applyAlignment="1">
      <alignment vertical="center"/>
    </xf>
    <xf numFmtId="0" fontId="19" fillId="0" borderId="3" xfId="1" applyFont="1" applyFill="1" applyBorder="1" applyAlignment="1">
      <alignment vertical="center"/>
    </xf>
    <xf numFmtId="0" fontId="5" fillId="0" borderId="0" xfId="1" quotePrefix="1" applyFont="1" applyFill="1" applyBorder="1" applyAlignment="1" applyProtection="1">
      <alignment horizontal="center" vertical="center"/>
    </xf>
    <xf numFmtId="0" fontId="4" fillId="0" borderId="3" xfId="1" applyFont="1" applyFill="1" applyBorder="1" applyAlignment="1">
      <alignment vertical="center"/>
    </xf>
    <xf numFmtId="0" fontId="5" fillId="0" borderId="0" xfId="1" applyFont="1" applyFill="1" applyBorder="1" applyAlignment="1">
      <alignment vertical="center"/>
    </xf>
    <xf numFmtId="0" fontId="5" fillId="0" borderId="0" xfId="1" applyFont="1" applyFill="1" applyBorder="1" applyAlignment="1">
      <alignment horizontal="center" vertical="center"/>
    </xf>
    <xf numFmtId="0" fontId="5" fillId="0" borderId="0" xfId="1" applyFont="1" applyFill="1" applyBorder="1" applyAlignment="1">
      <alignment horizontal="left" vertical="center"/>
    </xf>
    <xf numFmtId="2" fontId="5" fillId="0" borderId="0" xfId="1" applyNumberFormat="1" applyFont="1" applyFill="1" applyBorder="1" applyAlignment="1" applyProtection="1">
      <alignment horizontal="center" vertical="center"/>
    </xf>
    <xf numFmtId="0" fontId="5" fillId="0" borderId="0" xfId="1" applyFont="1" applyFill="1" applyBorder="1" applyAlignment="1" applyProtection="1">
      <alignment horizontal="center" vertical="center"/>
    </xf>
    <xf numFmtId="0" fontId="7" fillId="0" borderId="4" xfId="1" applyFont="1" applyFill="1" applyBorder="1" applyAlignment="1" applyProtection="1">
      <alignment horizontal="center" vertical="center"/>
      <protection hidden="1"/>
    </xf>
    <xf numFmtId="0" fontId="4" fillId="0" borderId="4" xfId="1" applyFont="1" applyBorder="1" applyProtection="1">
      <protection hidden="1"/>
    </xf>
    <xf numFmtId="166" fontId="4" fillId="0" borderId="0" xfId="1" applyNumberFormat="1" applyFont="1" applyFill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/>
    </xf>
    <xf numFmtId="0" fontId="4" fillId="0" borderId="0" xfId="1" quotePrefix="1" applyFont="1" applyFill="1" applyBorder="1" applyAlignment="1">
      <alignment horizontal="center" vertical="center"/>
    </xf>
    <xf numFmtId="0" fontId="9" fillId="0" borderId="4" xfId="1" applyFont="1" applyFill="1" applyBorder="1" applyAlignment="1" applyProtection="1">
      <alignment vertical="center"/>
      <protection hidden="1"/>
    </xf>
    <xf numFmtId="0" fontId="4" fillId="0" borderId="6" xfId="1" applyFont="1" applyFill="1" applyBorder="1" applyAlignment="1">
      <alignment horizontal="center" vertical="center"/>
    </xf>
    <xf numFmtId="0" fontId="9" fillId="0" borderId="2" xfId="1" applyFont="1" applyFill="1" applyBorder="1" applyAlignment="1" applyProtection="1">
      <alignment vertical="center"/>
      <protection hidden="1"/>
    </xf>
    <xf numFmtId="0" fontId="4" fillId="0" borderId="0" xfId="1" applyFont="1" applyFill="1" applyAlignment="1" applyProtection="1">
      <alignment horizontal="center" vertical="center"/>
      <protection hidden="1"/>
    </xf>
    <xf numFmtId="0" fontId="12" fillId="0" borderId="3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0" fontId="12" fillId="0" borderId="4" xfId="0" applyFont="1" applyFill="1" applyBorder="1" applyAlignment="1" applyProtection="1">
      <alignment horizontal="center" vertical="center"/>
      <protection hidden="1"/>
    </xf>
    <xf numFmtId="0" fontId="11" fillId="0" borderId="18" xfId="0" applyFont="1" applyFill="1" applyBorder="1" applyAlignment="1" applyProtection="1">
      <alignment horizontal="center" vertical="center" wrapText="1"/>
      <protection locked="0"/>
    </xf>
    <xf numFmtId="0" fontId="11" fillId="0" borderId="19" xfId="0" applyFont="1" applyFill="1" applyBorder="1" applyAlignment="1" applyProtection="1">
      <alignment horizontal="center" vertical="center" wrapText="1"/>
      <protection locked="0"/>
    </xf>
    <xf numFmtId="0" fontId="4" fillId="0" borderId="19" xfId="0" applyFont="1" applyBorder="1" applyAlignment="1" applyProtection="1">
      <alignment horizontal="center" vertical="center" wrapText="1"/>
      <protection locked="0"/>
    </xf>
    <xf numFmtId="0" fontId="4" fillId="0" borderId="20" xfId="0" applyFont="1" applyBorder="1" applyAlignment="1" applyProtection="1">
      <alignment horizontal="center" vertical="center" wrapText="1"/>
      <protection locked="0"/>
    </xf>
    <xf numFmtId="0" fontId="12" fillId="0" borderId="19" xfId="0" applyFont="1" applyFill="1" applyBorder="1" applyAlignment="1" applyProtection="1">
      <alignment horizontal="center" vertical="center" wrapText="1"/>
      <protection hidden="1"/>
    </xf>
    <xf numFmtId="0" fontId="4" fillId="0" borderId="19" xfId="0" applyFont="1" applyBorder="1" applyAlignment="1" applyProtection="1">
      <alignment horizontal="center" vertical="center" wrapText="1"/>
      <protection hidden="1"/>
    </xf>
    <xf numFmtId="0" fontId="4" fillId="0" borderId="20" xfId="0" applyFont="1" applyBorder="1" applyAlignment="1" applyProtection="1">
      <alignment horizontal="center" vertical="center" wrapText="1"/>
      <protection hidden="1"/>
    </xf>
    <xf numFmtId="0" fontId="5" fillId="0" borderId="18" xfId="0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5" fillId="0" borderId="20" xfId="0" applyFont="1" applyFill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7" fillId="0" borderId="26" xfId="0" applyFont="1" applyFill="1" applyBorder="1" applyAlignment="1" applyProtection="1">
      <alignment horizontal="center" vertical="center"/>
      <protection hidden="1"/>
    </xf>
    <xf numFmtId="0" fontId="7" fillId="0" borderId="11" xfId="0" applyFon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9" xfId="0" applyFont="1" applyBorder="1"/>
    <xf numFmtId="0" fontId="4" fillId="0" borderId="20" xfId="0" applyFont="1" applyBorder="1"/>
    <xf numFmtId="4" fontId="11" fillId="0" borderId="18" xfId="0" applyNumberFormat="1" applyFont="1" applyFill="1" applyBorder="1" applyAlignment="1" applyProtection="1">
      <alignment horizontal="center" vertical="center"/>
    </xf>
    <xf numFmtId="4" fontId="11" fillId="0" borderId="19" xfId="0" applyNumberFormat="1" applyFont="1" applyBorder="1"/>
    <xf numFmtId="4" fontId="11" fillId="0" borderId="20" xfId="0" applyNumberFormat="1" applyFont="1" applyBorder="1"/>
    <xf numFmtId="0" fontId="16" fillId="0" borderId="13" xfId="0" applyFont="1" applyFill="1" applyBorder="1" applyAlignment="1">
      <alignment horizontal="center" vertical="center"/>
    </xf>
    <xf numFmtId="164" fontId="11" fillId="0" borderId="13" xfId="0" applyNumberFormat="1" applyFont="1" applyFill="1" applyBorder="1" applyAlignment="1" applyProtection="1">
      <alignment horizontal="center" vertical="center"/>
      <protection locked="0"/>
    </xf>
    <xf numFmtId="0" fontId="11" fillId="0" borderId="13" xfId="0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12" fillId="0" borderId="5" xfId="0" applyFont="1" applyFill="1" applyBorder="1" applyAlignment="1" applyProtection="1">
      <alignment horizontal="center" vertical="center"/>
      <protection hidden="1"/>
    </xf>
    <xf numFmtId="0" fontId="12" fillId="0" borderId="6" xfId="0" applyFont="1" applyFill="1" applyBorder="1" applyAlignment="1" applyProtection="1">
      <alignment horizontal="center" vertical="center"/>
      <protection hidden="1"/>
    </xf>
    <xf numFmtId="0" fontId="12" fillId="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 wrapText="1"/>
      <protection locked="0"/>
    </xf>
    <xf numFmtId="0" fontId="11" fillId="0" borderId="3" xfId="0" applyFont="1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0" fontId="11" fillId="0" borderId="5" xfId="0" applyFont="1" applyFill="1" applyBorder="1" applyAlignment="1" applyProtection="1">
      <alignment horizontal="center" vertical="center" wrapText="1"/>
      <protection locked="0"/>
    </xf>
    <xf numFmtId="0" fontId="11" fillId="0" borderId="6" xfId="0" applyFont="1" applyFill="1" applyBorder="1" applyAlignment="1" applyProtection="1">
      <alignment horizontal="center" vertical="center" wrapText="1"/>
      <protection locked="0"/>
    </xf>
    <xf numFmtId="166" fontId="11" fillId="0" borderId="21" xfId="0" applyNumberFormat="1" applyFont="1" applyFill="1" applyBorder="1" applyAlignment="1" applyProtection="1">
      <alignment horizontal="center" vertical="center"/>
      <protection hidden="1"/>
    </xf>
    <xf numFmtId="166" fontId="11" fillId="0" borderId="16" xfId="0" applyNumberFormat="1" applyFont="1" applyFill="1" applyBorder="1" applyAlignment="1" applyProtection="1">
      <alignment horizontal="center" vertical="center"/>
      <protection hidden="1"/>
    </xf>
    <xf numFmtId="166" fontId="11" fillId="0" borderId="5" xfId="0" applyNumberFormat="1" applyFont="1" applyFill="1" applyBorder="1" applyAlignment="1" applyProtection="1">
      <alignment horizontal="center" vertical="center"/>
      <protection hidden="1"/>
    </xf>
    <xf numFmtId="166" fontId="11" fillId="0" borderId="8" xfId="0" applyNumberFormat="1" applyFont="1" applyFill="1" applyBorder="1" applyAlignment="1" applyProtection="1">
      <alignment horizontal="center" vertical="center"/>
      <protection hidden="1"/>
    </xf>
    <xf numFmtId="0" fontId="11" fillId="0" borderId="1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27" xfId="0" applyFont="1" applyFill="1" applyBorder="1" applyAlignment="1">
      <alignment horizontal="center" vertical="center"/>
    </xf>
    <xf numFmtId="0" fontId="11" fillId="0" borderId="28" xfId="0" applyFont="1" applyFill="1" applyBorder="1" applyAlignment="1">
      <alignment horizontal="center" vertical="center"/>
    </xf>
    <xf numFmtId="0" fontId="11" fillId="0" borderId="29" xfId="0" applyFont="1" applyFill="1" applyBorder="1" applyAlignment="1">
      <alignment horizontal="center" vertical="center"/>
    </xf>
    <xf numFmtId="166" fontId="11" fillId="0" borderId="22" xfId="0" applyNumberFormat="1" applyFont="1" applyFill="1" applyBorder="1" applyAlignment="1" applyProtection="1">
      <alignment horizontal="center" vertical="center"/>
      <protection hidden="1"/>
    </xf>
    <xf numFmtId="166" fontId="11" fillId="0" borderId="24" xfId="0" applyNumberFormat="1" applyFont="1" applyFill="1" applyBorder="1" applyAlignment="1" applyProtection="1">
      <alignment horizontal="center" vertical="center"/>
      <protection hidden="1"/>
    </xf>
    <xf numFmtId="0" fontId="11" fillId="0" borderId="3" xfId="0" applyFont="1" applyFill="1" applyBorder="1" applyAlignment="1" applyProtection="1">
      <alignment horizontal="center" vertical="center"/>
      <protection locked="0"/>
    </xf>
    <xf numFmtId="0" fontId="11" fillId="0" borderId="4" xfId="0" applyFont="1" applyFill="1" applyBorder="1" applyAlignment="1" applyProtection="1">
      <alignment horizontal="center" vertical="center"/>
      <protection locked="0"/>
    </xf>
    <xf numFmtId="164" fontId="11" fillId="0" borderId="5" xfId="0" applyNumberFormat="1" applyFont="1" applyFill="1" applyBorder="1" applyAlignment="1" applyProtection="1">
      <alignment horizontal="center" vertical="center"/>
      <protection locked="0"/>
    </xf>
    <xf numFmtId="164" fontId="11" fillId="0" borderId="8" xfId="0" applyNumberFormat="1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2" fontId="11" fillId="0" borderId="6" xfId="0" applyNumberFormat="1" applyFont="1" applyFill="1" applyBorder="1" applyAlignment="1" applyProtection="1">
      <alignment horizontal="center" vertical="center"/>
      <protection locked="0"/>
    </xf>
    <xf numFmtId="0" fontId="8" fillId="0" borderId="6" xfId="0" applyFont="1" applyFill="1" applyBorder="1" applyAlignment="1" applyProtection="1">
      <alignment horizontal="center" vertical="center"/>
      <protection hidden="1"/>
    </xf>
    <xf numFmtId="0" fontId="11" fillId="0" borderId="0" xfId="0" applyFont="1" applyBorder="1" applyAlignment="1" applyProtection="1">
      <alignment horizontal="left" vertical="center"/>
      <protection locked="0"/>
    </xf>
    <xf numFmtId="14" fontId="11" fillId="0" borderId="0" xfId="0" applyNumberFormat="1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Alignment="1" applyProtection="1">
      <alignment horizontal="left" vertical="center"/>
      <protection hidden="1"/>
    </xf>
    <xf numFmtId="0" fontId="11" fillId="0" borderId="0" xfId="0" applyFont="1" applyFill="1" applyBorder="1" applyAlignment="1" applyProtection="1">
      <alignment horizontal="left"/>
      <protection hidden="1"/>
    </xf>
    <xf numFmtId="0" fontId="8" fillId="0" borderId="8" xfId="0" applyFont="1" applyFill="1" applyBorder="1" applyAlignment="1" applyProtection="1">
      <alignment horizontal="center" vertical="center"/>
      <protection hidden="1"/>
    </xf>
    <xf numFmtId="0" fontId="7" fillId="0" borderId="19" xfId="0" applyFont="1" applyFill="1" applyBorder="1" applyAlignment="1" applyProtection="1">
      <alignment horizontal="center" vertical="center"/>
      <protection hidden="1"/>
    </xf>
    <xf numFmtId="0" fontId="9" fillId="0" borderId="19" xfId="0" applyFon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 applyAlignment="1" applyProtection="1">
      <alignment horizontal="center" vertical="center" wrapText="1"/>
      <protection hidden="1"/>
    </xf>
    <xf numFmtId="0" fontId="4" fillId="0" borderId="2" xfId="0" applyFont="1" applyFill="1" applyBorder="1" applyAlignment="1" applyProtection="1">
      <alignment horizontal="center" vertical="center" wrapText="1"/>
      <protection hidden="1"/>
    </xf>
    <xf numFmtId="0" fontId="4" fillId="0" borderId="7" xfId="0" applyFont="1" applyFill="1" applyBorder="1" applyAlignment="1" applyProtection="1">
      <alignment horizontal="center" vertical="center" wrapText="1"/>
      <protection hidden="1"/>
    </xf>
    <xf numFmtId="0" fontId="4" fillId="0" borderId="3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4" xfId="0" applyFont="1" applyFill="1" applyBorder="1" applyAlignment="1" applyProtection="1">
      <alignment horizontal="center" vertical="center" wrapText="1"/>
      <protection hidden="1"/>
    </xf>
    <xf numFmtId="0" fontId="4" fillId="0" borderId="5" xfId="0" applyFont="1" applyFill="1" applyBorder="1" applyAlignment="1" applyProtection="1">
      <alignment horizontal="center" vertical="center" wrapText="1"/>
      <protection hidden="1"/>
    </xf>
    <xf numFmtId="0" fontId="4" fillId="0" borderId="6" xfId="0" applyFont="1" applyFill="1" applyBorder="1" applyAlignment="1" applyProtection="1">
      <alignment horizontal="center" vertical="center" wrapText="1"/>
      <protection hidden="1"/>
    </xf>
    <xf numFmtId="0" fontId="4" fillId="0" borderId="8" xfId="0" applyFont="1" applyFill="1" applyBorder="1" applyAlignment="1" applyProtection="1">
      <alignment horizontal="center" vertical="center" wrapText="1"/>
      <protection hidden="1"/>
    </xf>
    <xf numFmtId="0" fontId="5" fillId="0" borderId="1" xfId="0" applyFont="1" applyFill="1" applyBorder="1" applyAlignment="1" applyProtection="1">
      <alignment horizontal="center" vertical="center"/>
      <protection hidden="1"/>
    </xf>
    <xf numFmtId="0" fontId="5" fillId="0" borderId="2" xfId="0" applyFont="1" applyFill="1" applyBorder="1" applyAlignment="1" applyProtection="1">
      <alignment horizontal="center" vertical="center"/>
      <protection hidden="1"/>
    </xf>
    <xf numFmtId="0" fontId="5" fillId="0" borderId="7" xfId="0" applyFont="1" applyFill="1" applyBorder="1" applyAlignment="1" applyProtection="1">
      <alignment horizontal="center" vertical="center"/>
      <protection hidden="1"/>
    </xf>
    <xf numFmtId="0" fontId="6" fillId="0" borderId="1" xfId="0" applyFont="1" applyFill="1" applyBorder="1" applyAlignment="1" applyProtection="1">
      <alignment horizontal="center" vertical="center" wrapText="1"/>
      <protection locked="0"/>
    </xf>
    <xf numFmtId="0" fontId="6" fillId="0" borderId="2" xfId="0" applyFont="1" applyFill="1" applyBorder="1" applyAlignment="1" applyProtection="1">
      <alignment horizontal="center" vertical="center" wrapText="1"/>
      <protection locked="0"/>
    </xf>
    <xf numFmtId="0" fontId="6" fillId="0" borderId="7" xfId="0" applyFont="1" applyFill="1" applyBorder="1" applyAlignment="1" applyProtection="1">
      <alignment horizontal="center" vertical="center" wrapText="1"/>
      <protection locked="0"/>
    </xf>
    <xf numFmtId="0" fontId="6" fillId="0" borderId="3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6" fillId="0" borderId="4" xfId="0" applyFont="1" applyFill="1" applyBorder="1" applyAlignment="1" applyProtection="1">
      <alignment horizontal="center" vertical="center" wrapText="1"/>
      <protection locked="0"/>
    </xf>
    <xf numFmtId="0" fontId="6" fillId="0" borderId="5" xfId="0" applyFont="1" applyFill="1" applyBorder="1" applyAlignment="1" applyProtection="1">
      <alignment horizontal="center" vertical="center" wrapText="1"/>
      <protection locked="0"/>
    </xf>
    <xf numFmtId="0" fontId="6" fillId="0" borderId="6" xfId="0" applyFont="1" applyFill="1" applyBorder="1" applyAlignment="1" applyProtection="1">
      <alignment horizontal="center" vertical="center" wrapText="1"/>
      <protection locked="0"/>
    </xf>
    <xf numFmtId="0" fontId="6" fillId="0" borderId="8" xfId="0" applyFont="1" applyFill="1" applyBorder="1" applyAlignment="1" applyProtection="1">
      <alignment horizontal="center" vertical="center" wrapText="1"/>
      <protection locked="0"/>
    </xf>
    <xf numFmtId="0" fontId="6" fillId="0" borderId="3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Fill="1" applyBorder="1" applyAlignment="1" applyProtection="1">
      <alignment horizontal="center" vertical="center" wrapText="1"/>
      <protection hidden="1"/>
    </xf>
    <xf numFmtId="0" fontId="6" fillId="0" borderId="4" xfId="0" applyFont="1" applyFill="1" applyBorder="1" applyAlignment="1" applyProtection="1">
      <alignment horizontal="center" vertical="center" wrapText="1"/>
      <protection hidden="1"/>
    </xf>
    <xf numFmtId="0" fontId="7" fillId="0" borderId="3" xfId="0" applyFont="1" applyFill="1" applyBorder="1" applyAlignment="1" applyProtection="1">
      <alignment horizontal="center" vertical="center" wrapText="1"/>
      <protection hidden="1"/>
    </xf>
    <xf numFmtId="0" fontId="7" fillId="0" borderId="0" xfId="0" applyFont="1" applyFill="1" applyBorder="1" applyAlignment="1" applyProtection="1">
      <alignment horizontal="center" vertical="center" wrapText="1"/>
      <protection hidden="1"/>
    </xf>
    <xf numFmtId="0" fontId="11" fillId="0" borderId="0" xfId="0" applyFont="1" applyBorder="1" applyAlignment="1" applyProtection="1">
      <alignment horizontal="center" vertical="center"/>
      <protection locked="0"/>
    </xf>
    <xf numFmtId="164" fontId="4" fillId="0" borderId="18" xfId="0" applyNumberFormat="1" applyFont="1" applyFill="1" applyBorder="1" applyAlignment="1" applyProtection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4" fillId="0" borderId="13" xfId="0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 applyProtection="1">
      <alignment horizontal="left"/>
      <protection locked="0"/>
    </xf>
    <xf numFmtId="164" fontId="4" fillId="0" borderId="13" xfId="0" applyNumberFormat="1" applyFont="1" applyFill="1" applyBorder="1" applyAlignment="1" applyProtection="1">
      <alignment horizontal="center" vertical="center"/>
      <protection locked="0"/>
    </xf>
    <xf numFmtId="167" fontId="4" fillId="0" borderId="18" xfId="0" applyNumberFormat="1" applyFont="1" applyFill="1" applyBorder="1" applyAlignment="1" applyProtection="1">
      <alignment horizontal="center" vertical="center"/>
    </xf>
    <xf numFmtId="2" fontId="11" fillId="0" borderId="22" xfId="0" applyNumberFormat="1" applyFont="1" applyBorder="1" applyAlignment="1">
      <alignment horizontal="center" vertical="center"/>
    </xf>
    <xf numFmtId="2" fontId="11" fillId="0" borderId="24" xfId="0" applyNumberFormat="1" applyFont="1" applyBorder="1" applyAlignment="1">
      <alignment horizontal="center" vertical="center"/>
    </xf>
    <xf numFmtId="2" fontId="11" fillId="0" borderId="21" xfId="0" applyNumberFormat="1" applyFont="1" applyBorder="1" applyAlignment="1">
      <alignment horizontal="center" vertical="center"/>
    </xf>
    <xf numFmtId="2" fontId="11" fillId="0" borderId="16" xfId="0" applyNumberFormat="1" applyFont="1" applyBorder="1" applyAlignment="1">
      <alignment horizontal="center" vertical="center"/>
    </xf>
    <xf numFmtId="2" fontId="11" fillId="0" borderId="21" xfId="0" applyNumberFormat="1" applyFont="1" applyFill="1" applyBorder="1" applyAlignment="1">
      <alignment horizontal="center" vertical="center"/>
    </xf>
    <xf numFmtId="2" fontId="11" fillId="0" borderId="16" xfId="0" applyNumberFormat="1" applyFont="1" applyFill="1" applyBorder="1" applyAlignment="1">
      <alignment horizontal="center" vertical="center"/>
    </xf>
    <xf numFmtId="2" fontId="11" fillId="0" borderId="5" xfId="0" applyNumberFormat="1" applyFont="1" applyFill="1" applyBorder="1" applyAlignment="1">
      <alignment horizontal="center" vertical="center"/>
    </xf>
    <xf numFmtId="2" fontId="11" fillId="0" borderId="8" xfId="0" applyNumberFormat="1" applyFont="1" applyFill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2" fontId="11" fillId="0" borderId="5" xfId="0" applyNumberFormat="1" applyFont="1" applyFill="1" applyBorder="1" applyAlignment="1" applyProtection="1">
      <alignment horizontal="center" vertical="center"/>
      <protection locked="0"/>
    </xf>
    <xf numFmtId="2" fontId="11" fillId="0" borderId="8" xfId="0" applyNumberFormat="1" applyFont="1" applyFill="1" applyBorder="1" applyAlignment="1" applyProtection="1">
      <alignment horizontal="center" vertical="center"/>
      <protection locked="0"/>
    </xf>
    <xf numFmtId="0" fontId="4" fillId="0" borderId="19" xfId="1" applyFont="1" applyFill="1" applyBorder="1" applyAlignment="1">
      <alignment horizontal="center" vertical="center"/>
    </xf>
    <xf numFmtId="0" fontId="4" fillId="0" borderId="20" xfId="1" applyFont="1" applyFill="1" applyBorder="1" applyAlignment="1">
      <alignment horizontal="center" vertical="center"/>
    </xf>
    <xf numFmtId="0" fontId="12" fillId="0" borderId="2" xfId="1" applyFont="1" applyFill="1" applyBorder="1" applyAlignment="1" applyProtection="1">
      <alignment horizontal="center" vertical="center"/>
      <protection hidden="1"/>
    </xf>
    <xf numFmtId="0" fontId="11" fillId="0" borderId="2" xfId="1" applyFont="1" applyFill="1" applyBorder="1" applyAlignment="1" applyProtection="1">
      <alignment horizontal="center" vertical="center" wrapText="1"/>
      <protection locked="0"/>
    </xf>
    <xf numFmtId="0" fontId="4" fillId="0" borderId="2" xfId="1" applyFont="1" applyBorder="1" applyAlignment="1" applyProtection="1">
      <alignment horizontal="center" vertical="center" wrapText="1"/>
      <protection locked="0"/>
    </xf>
    <xf numFmtId="0" fontId="4" fillId="0" borderId="7" xfId="1" applyFont="1" applyBorder="1" applyAlignment="1" applyProtection="1">
      <alignment horizontal="center" vertical="center" wrapText="1"/>
      <protection locked="0"/>
    </xf>
    <xf numFmtId="0" fontId="9" fillId="0" borderId="3" xfId="1" applyFont="1" applyFill="1" applyBorder="1" applyAlignment="1" applyProtection="1">
      <alignment horizontal="left" vertical="center" wrapText="1"/>
      <protection locked="0"/>
    </xf>
    <xf numFmtId="0" fontId="4" fillId="0" borderId="0" xfId="1" applyFont="1"/>
    <xf numFmtId="0" fontId="4" fillId="0" borderId="4" xfId="1" applyFont="1" applyBorder="1"/>
    <xf numFmtId="0" fontId="4" fillId="0" borderId="3" xfId="1" applyFont="1" applyBorder="1"/>
    <xf numFmtId="0" fontId="4" fillId="0" borderId="5" xfId="1" applyFont="1" applyBorder="1"/>
    <xf numFmtId="0" fontId="4" fillId="0" borderId="6" xfId="1" applyFont="1" applyBorder="1"/>
    <xf numFmtId="0" fontId="4" fillId="0" borderId="8" xfId="1" applyFont="1" applyBorder="1"/>
    <xf numFmtId="0" fontId="4" fillId="0" borderId="18" xfId="1" applyFont="1" applyFill="1" applyBorder="1" applyAlignment="1">
      <alignment horizontal="center" vertical="center"/>
    </xf>
    <xf numFmtId="0" fontId="4" fillId="0" borderId="36" xfId="1" applyFont="1" applyFill="1" applyBorder="1" applyAlignment="1">
      <alignment horizontal="center" vertical="center"/>
    </xf>
    <xf numFmtId="0" fontId="5" fillId="0" borderId="18" xfId="1" applyFont="1" applyFill="1" applyBorder="1" applyAlignment="1">
      <alignment horizontal="center" vertical="center"/>
    </xf>
    <xf numFmtId="0" fontId="5" fillId="0" borderId="19" xfId="1" applyFont="1" applyFill="1" applyBorder="1" applyAlignment="1">
      <alignment horizontal="center" vertical="center"/>
    </xf>
    <xf numFmtId="0" fontId="5" fillId="0" borderId="20" xfId="1" applyFont="1" applyFill="1" applyBorder="1" applyAlignment="1">
      <alignment horizontal="center" vertical="center"/>
    </xf>
    <xf numFmtId="168" fontId="4" fillId="0" borderId="18" xfId="1" applyNumberFormat="1" applyFont="1" applyFill="1" applyBorder="1" applyAlignment="1">
      <alignment horizontal="center" vertical="center"/>
    </xf>
    <xf numFmtId="168" fontId="4" fillId="0" borderId="19" xfId="1" applyNumberFormat="1" applyFont="1" applyFill="1" applyBorder="1" applyAlignment="1">
      <alignment horizontal="center" vertical="center"/>
    </xf>
    <xf numFmtId="168" fontId="4" fillId="0" borderId="36" xfId="1" applyNumberFormat="1" applyFont="1" applyFill="1" applyBorder="1" applyAlignment="1">
      <alignment horizontal="center" vertical="center"/>
    </xf>
    <xf numFmtId="10" fontId="4" fillId="0" borderId="18" xfId="2" applyNumberFormat="1" applyFont="1" applyFill="1" applyBorder="1" applyAlignment="1">
      <alignment horizontal="center" vertical="center"/>
    </xf>
    <xf numFmtId="10" fontId="4" fillId="0" borderId="19" xfId="2" applyNumberFormat="1" applyFont="1" applyFill="1" applyBorder="1" applyAlignment="1">
      <alignment horizontal="center" vertical="center"/>
    </xf>
    <xf numFmtId="10" fontId="4" fillId="0" borderId="36" xfId="2" applyNumberFormat="1" applyFont="1" applyFill="1" applyBorder="1" applyAlignment="1">
      <alignment horizontal="center" vertical="center"/>
    </xf>
    <xf numFmtId="0" fontId="4" fillId="0" borderId="28" xfId="1" applyFont="1" applyFill="1" applyBorder="1" applyAlignment="1">
      <alignment horizontal="center" vertical="center"/>
    </xf>
    <xf numFmtId="0" fontId="4" fillId="0" borderId="29" xfId="1" applyFont="1" applyFill="1" applyBorder="1" applyAlignment="1">
      <alignment horizontal="center" vertical="center"/>
    </xf>
    <xf numFmtId="0" fontId="4" fillId="0" borderId="27" xfId="1" applyFont="1" applyFill="1" applyBorder="1" applyAlignment="1">
      <alignment horizontal="center" vertical="center"/>
    </xf>
    <xf numFmtId="0" fontId="4" fillId="0" borderId="39" xfId="1" applyFont="1" applyFill="1" applyBorder="1" applyAlignment="1">
      <alignment horizontal="center" vertical="center"/>
    </xf>
    <xf numFmtId="0" fontId="4" fillId="0" borderId="21" xfId="1" applyFont="1" applyFill="1" applyBorder="1" applyAlignment="1">
      <alignment horizontal="center" vertical="center"/>
    </xf>
    <xf numFmtId="0" fontId="4" fillId="0" borderId="38" xfId="1" applyFont="1" applyFill="1" applyBorder="1" applyAlignment="1">
      <alignment horizontal="center" vertical="center"/>
    </xf>
    <xf numFmtId="0" fontId="4" fillId="0" borderId="25" xfId="1" applyFont="1" applyFill="1" applyBorder="1" applyAlignment="1">
      <alignment horizontal="center" vertical="center"/>
    </xf>
    <xf numFmtId="0" fontId="4" fillId="0" borderId="16" xfId="1" applyFont="1" applyFill="1" applyBorder="1" applyAlignment="1">
      <alignment horizontal="center" vertical="center"/>
    </xf>
    <xf numFmtId="0" fontId="4" fillId="0" borderId="27" xfId="1" applyFont="1" applyFill="1" applyBorder="1" applyAlignment="1">
      <alignment horizontal="left" vertical="center"/>
    </xf>
    <xf numFmtId="0" fontId="4" fillId="0" borderId="28" xfId="1" applyFont="1" applyFill="1" applyBorder="1" applyAlignment="1">
      <alignment horizontal="left" vertical="center"/>
    </xf>
    <xf numFmtId="0" fontId="4" fillId="0" borderId="29" xfId="1" applyFont="1" applyFill="1" applyBorder="1" applyAlignment="1">
      <alignment horizontal="left" vertical="center"/>
    </xf>
    <xf numFmtId="10" fontId="4" fillId="0" borderId="27" xfId="2" applyNumberFormat="1" applyFont="1" applyFill="1" applyBorder="1" applyAlignment="1">
      <alignment horizontal="center" vertical="center"/>
    </xf>
    <xf numFmtId="10" fontId="4" fillId="0" borderId="29" xfId="2" applyNumberFormat="1" applyFont="1" applyFill="1" applyBorder="1" applyAlignment="1">
      <alignment horizontal="center" vertical="center"/>
    </xf>
    <xf numFmtId="0" fontId="4" fillId="0" borderId="21" xfId="1" applyFont="1" applyFill="1" applyBorder="1" applyAlignment="1">
      <alignment horizontal="left" vertical="center"/>
    </xf>
    <xf numFmtId="0" fontId="4" fillId="0" borderId="25" xfId="1" applyFont="1" applyFill="1" applyBorder="1" applyAlignment="1">
      <alignment horizontal="left" vertical="center"/>
    </xf>
    <xf numFmtId="0" fontId="4" fillId="0" borderId="16" xfId="1" applyFont="1" applyFill="1" applyBorder="1" applyAlignment="1">
      <alignment horizontal="left" vertical="center"/>
    </xf>
    <xf numFmtId="0" fontId="4" fillId="0" borderId="23" xfId="1" applyFont="1" applyFill="1" applyBorder="1" applyAlignment="1">
      <alignment horizontal="center" vertical="center"/>
    </xf>
    <xf numFmtId="0" fontId="4" fillId="0" borderId="24" xfId="1" applyFont="1" applyFill="1" applyBorder="1" applyAlignment="1">
      <alignment horizontal="center" vertical="center"/>
    </xf>
    <xf numFmtId="0" fontId="4" fillId="0" borderId="22" xfId="1" applyFont="1" applyFill="1" applyBorder="1" applyAlignment="1">
      <alignment horizontal="center" vertical="center"/>
    </xf>
    <xf numFmtId="0" fontId="4" fillId="0" borderId="37" xfId="1" applyFont="1" applyFill="1" applyBorder="1" applyAlignment="1">
      <alignment horizontal="center" vertical="center"/>
    </xf>
    <xf numFmtId="0" fontId="4" fillId="0" borderId="22" xfId="1" applyFont="1" applyFill="1" applyBorder="1" applyAlignment="1">
      <alignment horizontal="left" vertical="center"/>
    </xf>
    <xf numFmtId="0" fontId="4" fillId="0" borderId="23" xfId="1" applyFont="1" applyFill="1" applyBorder="1" applyAlignment="1">
      <alignment horizontal="left" vertical="center"/>
    </xf>
    <xf numFmtId="0" fontId="4" fillId="0" borderId="24" xfId="1" applyFont="1" applyFill="1" applyBorder="1" applyAlignment="1">
      <alignment horizontal="left" vertical="center"/>
    </xf>
    <xf numFmtId="166" fontId="4" fillId="0" borderId="27" xfId="1" applyNumberFormat="1" applyFont="1" applyFill="1" applyBorder="1" applyAlignment="1">
      <alignment horizontal="center" vertical="center"/>
    </xf>
    <xf numFmtId="166" fontId="4" fillId="0" borderId="28" xfId="1" applyNumberFormat="1" applyFont="1" applyFill="1" applyBorder="1" applyAlignment="1">
      <alignment horizontal="center" vertical="center"/>
    </xf>
    <xf numFmtId="166" fontId="4" fillId="0" borderId="39" xfId="1" applyNumberFormat="1" applyFont="1" applyFill="1" applyBorder="1" applyAlignment="1">
      <alignment horizontal="center" vertical="center"/>
    </xf>
    <xf numFmtId="0" fontId="4" fillId="0" borderId="5" xfId="1" applyFont="1" applyFill="1" applyBorder="1" applyAlignment="1">
      <alignment horizontal="left" vertical="center"/>
    </xf>
    <xf numFmtId="0" fontId="4" fillId="0" borderId="6" xfId="1" applyFont="1" applyFill="1" applyBorder="1" applyAlignment="1">
      <alignment horizontal="left" vertical="center"/>
    </xf>
    <xf numFmtId="2" fontId="14" fillId="0" borderId="6" xfId="1" applyNumberFormat="1" applyFont="1" applyFill="1" applyBorder="1" applyAlignment="1">
      <alignment horizontal="center" vertical="center"/>
    </xf>
    <xf numFmtId="2" fontId="14" fillId="0" borderId="8" xfId="1" applyNumberFormat="1" applyFont="1" applyFill="1" applyBorder="1" applyAlignment="1">
      <alignment horizontal="center" vertical="center"/>
    </xf>
    <xf numFmtId="0" fontId="4" fillId="0" borderId="18" xfId="1" applyFont="1" applyFill="1" applyBorder="1" applyAlignment="1">
      <alignment horizontal="left" vertical="center"/>
    </xf>
    <xf numFmtId="0" fontId="4" fillId="0" borderId="19" xfId="1" applyFont="1" applyFill="1" applyBorder="1" applyAlignment="1">
      <alignment horizontal="left" vertical="center"/>
    </xf>
    <xf numFmtId="0" fontId="4" fillId="0" borderId="5" xfId="1" applyFont="1" applyFill="1" applyBorder="1" applyAlignment="1">
      <alignment horizontal="center" vertical="center"/>
    </xf>
    <xf numFmtId="0" fontId="4" fillId="0" borderId="6" xfId="1" applyFont="1" applyFill="1" applyBorder="1" applyAlignment="1">
      <alignment horizontal="center" vertical="center"/>
    </xf>
    <xf numFmtId="0" fontId="4" fillId="0" borderId="8" xfId="1" applyFont="1" applyFill="1" applyBorder="1" applyAlignment="1">
      <alignment horizontal="center" vertical="center"/>
    </xf>
    <xf numFmtId="2" fontId="14" fillId="0" borderId="19" xfId="1" applyNumberFormat="1" applyFont="1" applyFill="1" applyBorder="1" applyAlignment="1">
      <alignment horizontal="center" vertical="center"/>
    </xf>
    <xf numFmtId="2" fontId="14" fillId="0" borderId="20" xfId="1" applyNumberFormat="1" applyFont="1" applyFill="1" applyBorder="1" applyAlignment="1">
      <alignment horizontal="center" vertical="center"/>
    </xf>
    <xf numFmtId="0" fontId="4" fillId="0" borderId="1" xfId="1" applyFont="1" applyFill="1" applyBorder="1" applyAlignment="1">
      <alignment horizontal="left" vertical="center"/>
    </xf>
    <xf numFmtId="0" fontId="4" fillId="0" borderId="2" xfId="1" applyFont="1" applyFill="1" applyBorder="1" applyAlignment="1">
      <alignment horizontal="left" vertical="center"/>
    </xf>
    <xf numFmtId="2" fontId="14" fillId="0" borderId="34" xfId="1" applyNumberFormat="1" applyFont="1" applyFill="1" applyBorder="1" applyAlignment="1">
      <alignment horizontal="center" vertical="center"/>
    </xf>
    <xf numFmtId="2" fontId="14" fillId="0" borderId="35" xfId="1" applyNumberFormat="1" applyFont="1" applyFill="1" applyBorder="1" applyAlignment="1">
      <alignment horizontal="center" vertical="center"/>
    </xf>
    <xf numFmtId="0" fontId="9" fillId="0" borderId="0" xfId="1" applyFont="1" applyFill="1" applyBorder="1" applyAlignment="1" applyProtection="1">
      <alignment horizontal="left" vertical="center"/>
      <protection hidden="1"/>
    </xf>
    <xf numFmtId="14" fontId="9" fillId="0" borderId="31" xfId="1" applyNumberFormat="1" applyFont="1" applyFill="1" applyBorder="1" applyAlignment="1" applyProtection="1">
      <alignment horizontal="left" vertical="center"/>
      <protection locked="0"/>
    </xf>
    <xf numFmtId="0" fontId="9" fillId="0" borderId="33" xfId="1" applyFont="1" applyBorder="1" applyAlignment="1" applyProtection="1">
      <alignment horizontal="left" vertical="center"/>
      <protection locked="0"/>
    </xf>
    <xf numFmtId="0" fontId="9" fillId="0" borderId="31" xfId="1" applyFont="1" applyBorder="1" applyAlignment="1" applyProtection="1">
      <alignment horizontal="left" vertical="center"/>
      <protection locked="0"/>
    </xf>
    <xf numFmtId="0" fontId="8" fillId="0" borderId="6" xfId="1" applyFont="1" applyFill="1" applyBorder="1" applyAlignment="1" applyProtection="1">
      <alignment horizontal="center" vertical="center"/>
      <protection hidden="1"/>
    </xf>
    <xf numFmtId="0" fontId="8" fillId="0" borderId="8" xfId="1" applyFont="1" applyFill="1" applyBorder="1" applyAlignment="1" applyProtection="1">
      <alignment horizontal="center" vertical="center"/>
      <protection hidden="1"/>
    </xf>
    <xf numFmtId="0" fontId="7" fillId="0" borderId="19" xfId="1" applyFont="1" applyFill="1" applyBorder="1" applyAlignment="1" applyProtection="1">
      <alignment horizontal="center" vertical="center"/>
      <protection hidden="1"/>
    </xf>
    <xf numFmtId="0" fontId="9" fillId="0" borderId="19" xfId="1" applyFont="1" applyFill="1" applyBorder="1" applyAlignment="1" applyProtection="1">
      <alignment horizontal="center" vertical="center"/>
      <protection hidden="1"/>
    </xf>
    <xf numFmtId="0" fontId="9" fillId="0" borderId="31" xfId="1" applyFont="1" applyBorder="1" applyAlignment="1" applyProtection="1">
      <alignment horizontal="center" vertical="center"/>
      <protection locked="0"/>
    </xf>
    <xf numFmtId="0" fontId="4" fillId="0" borderId="1" xfId="1" applyFont="1" applyFill="1" applyBorder="1" applyAlignment="1" applyProtection="1">
      <alignment horizontal="center" vertical="center" wrapText="1"/>
      <protection hidden="1"/>
    </xf>
    <xf numFmtId="0" fontId="4" fillId="0" borderId="2" xfId="1" applyFont="1" applyFill="1" applyBorder="1" applyAlignment="1" applyProtection="1">
      <alignment horizontal="center" vertical="center" wrapText="1"/>
      <protection hidden="1"/>
    </xf>
    <xf numFmtId="0" fontId="4" fillId="0" borderId="7" xfId="1" applyFont="1" applyFill="1" applyBorder="1" applyAlignment="1" applyProtection="1">
      <alignment horizontal="center" vertical="center" wrapText="1"/>
      <protection hidden="1"/>
    </xf>
    <xf numFmtId="0" fontId="4" fillId="0" borderId="3" xfId="1" applyFont="1" applyFill="1" applyBorder="1" applyAlignment="1" applyProtection="1">
      <alignment horizontal="center" vertical="center" wrapText="1"/>
      <protection hidden="1"/>
    </xf>
    <xf numFmtId="0" fontId="4" fillId="0" borderId="0" xfId="1" applyFont="1" applyFill="1" applyBorder="1" applyAlignment="1" applyProtection="1">
      <alignment horizontal="center" vertical="center" wrapText="1"/>
      <protection hidden="1"/>
    </xf>
    <xf numFmtId="0" fontId="4" fillId="0" borderId="4" xfId="1" applyFont="1" applyFill="1" applyBorder="1" applyAlignment="1" applyProtection="1">
      <alignment horizontal="center" vertical="center" wrapText="1"/>
      <protection hidden="1"/>
    </xf>
    <xf numFmtId="0" fontId="4" fillId="0" borderId="5" xfId="1" applyFont="1" applyFill="1" applyBorder="1" applyAlignment="1" applyProtection="1">
      <alignment horizontal="center" vertical="center" wrapText="1"/>
      <protection hidden="1"/>
    </xf>
    <xf numFmtId="0" fontId="4" fillId="0" borderId="6" xfId="1" applyFont="1" applyFill="1" applyBorder="1" applyAlignment="1" applyProtection="1">
      <alignment horizontal="center" vertical="center" wrapText="1"/>
      <protection hidden="1"/>
    </xf>
    <xf numFmtId="0" fontId="4" fillId="0" borderId="8" xfId="1" applyFont="1" applyFill="1" applyBorder="1" applyAlignment="1" applyProtection="1">
      <alignment horizontal="center" vertical="center" wrapText="1"/>
      <protection hidden="1"/>
    </xf>
    <xf numFmtId="0" fontId="5" fillId="0" borderId="1" xfId="1" applyFont="1" applyFill="1" applyBorder="1" applyAlignment="1" applyProtection="1">
      <alignment horizontal="center" vertical="center"/>
      <protection hidden="1"/>
    </xf>
    <xf numFmtId="0" fontId="5" fillId="0" borderId="2" xfId="1" applyFont="1" applyFill="1" applyBorder="1" applyAlignment="1" applyProtection="1">
      <alignment horizontal="center" vertical="center"/>
      <protection hidden="1"/>
    </xf>
    <xf numFmtId="0" fontId="5" fillId="0" borderId="7" xfId="1" applyFont="1" applyFill="1" applyBorder="1" applyAlignment="1" applyProtection="1">
      <alignment horizontal="center" vertical="center"/>
      <protection hidden="1"/>
    </xf>
    <xf numFmtId="0" fontId="6" fillId="0" borderId="1" xfId="1" applyFont="1" applyFill="1" applyBorder="1" applyAlignment="1" applyProtection="1">
      <alignment horizontal="center" vertical="center" wrapText="1"/>
      <protection locked="0"/>
    </xf>
    <xf numFmtId="0" fontId="6" fillId="0" borderId="2" xfId="1" applyFont="1" applyFill="1" applyBorder="1" applyAlignment="1" applyProtection="1">
      <alignment horizontal="center" vertical="center" wrapText="1"/>
      <protection locked="0"/>
    </xf>
    <xf numFmtId="0" fontId="6" fillId="0" borderId="7" xfId="1" applyFont="1" applyFill="1" applyBorder="1" applyAlignment="1" applyProtection="1">
      <alignment horizontal="center" vertical="center" wrapText="1"/>
      <protection locked="0"/>
    </xf>
    <xf numFmtId="0" fontId="6" fillId="0" borderId="3" xfId="1" applyFont="1" applyFill="1" applyBorder="1" applyAlignment="1" applyProtection="1">
      <alignment horizontal="center" vertical="center" wrapText="1"/>
      <protection locked="0"/>
    </xf>
    <xf numFmtId="0" fontId="6" fillId="0" borderId="0" xfId="1" applyFont="1" applyFill="1" applyBorder="1" applyAlignment="1" applyProtection="1">
      <alignment horizontal="center" vertical="center" wrapText="1"/>
      <protection locked="0"/>
    </xf>
    <xf numFmtId="0" fontId="6" fillId="0" borderId="4" xfId="1" applyFont="1" applyFill="1" applyBorder="1" applyAlignment="1" applyProtection="1">
      <alignment horizontal="center" vertical="center" wrapText="1"/>
      <protection locked="0"/>
    </xf>
    <xf numFmtId="0" fontId="6" fillId="0" borderId="5" xfId="1" applyFont="1" applyFill="1" applyBorder="1" applyAlignment="1" applyProtection="1">
      <alignment horizontal="center" vertical="center" wrapText="1"/>
      <protection locked="0"/>
    </xf>
    <xf numFmtId="0" fontId="6" fillId="0" borderId="6" xfId="1" applyFont="1" applyFill="1" applyBorder="1" applyAlignment="1" applyProtection="1">
      <alignment horizontal="center" vertical="center" wrapText="1"/>
      <protection locked="0"/>
    </xf>
    <xf numFmtId="0" fontId="6" fillId="0" borderId="8" xfId="1" applyFont="1" applyFill="1" applyBorder="1" applyAlignment="1" applyProtection="1">
      <alignment horizontal="center" vertical="center" wrapText="1"/>
      <protection locked="0"/>
    </xf>
    <xf numFmtId="0" fontId="6" fillId="0" borderId="3" xfId="1" applyFont="1" applyFill="1" applyBorder="1" applyAlignment="1" applyProtection="1">
      <alignment horizontal="center" vertical="center" wrapText="1"/>
      <protection hidden="1"/>
    </xf>
    <xf numFmtId="0" fontId="6" fillId="0" borderId="0" xfId="1" applyFont="1" applyFill="1" applyBorder="1" applyAlignment="1" applyProtection="1">
      <alignment horizontal="center" vertical="center" wrapText="1"/>
      <protection hidden="1"/>
    </xf>
    <xf numFmtId="0" fontId="6" fillId="0" borderId="4" xfId="1" applyFont="1" applyFill="1" applyBorder="1" applyAlignment="1" applyProtection="1">
      <alignment horizontal="center" vertical="center" wrapText="1"/>
      <protection hidden="1"/>
    </xf>
    <xf numFmtId="0" fontId="7" fillId="0" borderId="3" xfId="1" applyFont="1" applyFill="1" applyBorder="1" applyAlignment="1" applyProtection="1">
      <alignment horizontal="center" vertical="center" wrapText="1"/>
      <protection hidden="1"/>
    </xf>
    <xf numFmtId="0" fontId="7" fillId="0" borderId="0" xfId="1" applyFont="1" applyFill="1" applyBorder="1" applyAlignment="1" applyProtection="1">
      <alignment horizontal="center" vertical="center" wrapText="1"/>
      <protection hidden="1"/>
    </xf>
    <xf numFmtId="165" fontId="7" fillId="0" borderId="0" xfId="1" applyNumberFormat="1" applyFont="1" applyFill="1" applyBorder="1" applyAlignment="1" applyProtection="1">
      <alignment horizontal="center" vertical="center"/>
      <protection locked="0"/>
    </xf>
    <xf numFmtId="165" fontId="7" fillId="0" borderId="4" xfId="1" applyNumberFormat="1" applyFont="1" applyFill="1" applyBorder="1" applyAlignment="1" applyProtection="1">
      <alignment horizontal="center" vertical="center"/>
      <protection locked="0"/>
    </xf>
    <xf numFmtId="0" fontId="7" fillId="0" borderId="30" xfId="1" applyFont="1" applyFill="1" applyBorder="1" applyAlignment="1" applyProtection="1">
      <alignment horizontal="center" vertical="center"/>
      <protection locked="0"/>
    </xf>
    <xf numFmtId="0" fontId="7" fillId="0" borderId="31" xfId="1" applyFont="1" applyFill="1" applyBorder="1" applyAlignment="1" applyProtection="1">
      <alignment horizontal="center" vertical="center"/>
      <protection locked="0"/>
    </xf>
    <xf numFmtId="0" fontId="7" fillId="0" borderId="32" xfId="1" applyFont="1" applyFill="1" applyBorder="1" applyAlignment="1" applyProtection="1">
      <alignment horizontal="center" vertical="center"/>
      <protection locked="0"/>
    </xf>
    <xf numFmtId="14" fontId="7" fillId="0" borderId="3" xfId="1" applyNumberFormat="1" applyFont="1" applyFill="1" applyBorder="1" applyAlignment="1" applyProtection="1">
      <alignment horizontal="center" vertical="center"/>
      <protection locked="0"/>
    </xf>
    <xf numFmtId="14" fontId="7" fillId="0" borderId="0" xfId="1" applyNumberFormat="1" applyFont="1" applyFill="1" applyBorder="1" applyAlignment="1" applyProtection="1">
      <alignment horizontal="center" vertical="center"/>
      <protection locked="0"/>
    </xf>
    <xf numFmtId="14" fontId="7" fillId="0" borderId="4" xfId="1" applyNumberFormat="1" applyFont="1" applyFill="1" applyBorder="1" applyAlignment="1" applyProtection="1">
      <alignment horizontal="center" vertical="center"/>
      <protection locked="0"/>
    </xf>
    <xf numFmtId="165" fontId="13" fillId="0" borderId="0" xfId="0" applyNumberFormat="1" applyFont="1" applyFill="1" applyBorder="1" applyAlignment="1" applyProtection="1">
      <alignment horizontal="center" vertical="center"/>
      <protection locked="0"/>
    </xf>
    <xf numFmtId="165" fontId="13" fillId="0" borderId="4" xfId="0" applyNumberFormat="1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14" fontId="13" fillId="0" borderId="3" xfId="0" applyNumberFormat="1" applyFont="1" applyFill="1" applyBorder="1" applyAlignment="1" applyProtection="1">
      <alignment horizontal="center" vertical="center"/>
      <protection locked="0"/>
    </xf>
    <xf numFmtId="14" fontId="13" fillId="0" borderId="0" xfId="0" applyNumberFormat="1" applyFont="1" applyFill="1" applyBorder="1" applyAlignment="1" applyProtection="1">
      <alignment horizontal="center" vertical="center"/>
      <protection locked="0"/>
    </xf>
    <xf numFmtId="14" fontId="13" fillId="0" borderId="4" xfId="0" applyNumberFormat="1" applyFont="1" applyFill="1" applyBorder="1" applyAlignment="1" applyProtection="1">
      <alignment horizontal="center" vertical="center"/>
      <protection locked="0"/>
    </xf>
    <xf numFmtId="0" fontId="7" fillId="0" borderId="12" xfId="0" applyFont="1" applyFill="1" applyBorder="1" applyAlignment="1" applyProtection="1">
      <alignment horizontal="center" vertical="center"/>
      <protection hidden="1"/>
    </xf>
    <xf numFmtId="0" fontId="7" fillId="0" borderId="5" xfId="0" applyFont="1" applyFill="1" applyBorder="1" applyAlignment="1" applyProtection="1">
      <alignment horizontal="center" vertical="center"/>
      <protection hidden="1"/>
    </xf>
    <xf numFmtId="0" fontId="7" fillId="0" borderId="6" xfId="0" applyFont="1" applyFill="1" applyBorder="1" applyAlignment="1" applyProtection="1">
      <alignment horizontal="center" vertical="center"/>
      <protection hidden="1"/>
    </xf>
    <xf numFmtId="0" fontId="7" fillId="0" borderId="8" xfId="0" applyFon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 applyAlignment="1" applyProtection="1">
      <alignment vertical="center" wrapText="1"/>
      <protection locked="0"/>
    </xf>
    <xf numFmtId="0" fontId="4" fillId="0" borderId="2" xfId="0" applyFont="1" applyFill="1" applyBorder="1" applyAlignment="1" applyProtection="1">
      <alignment vertical="center" wrapText="1"/>
      <protection locked="0"/>
    </xf>
    <xf numFmtId="0" fontId="4" fillId="0" borderId="2" xfId="0" applyFont="1" applyBorder="1" applyAlignment="1" applyProtection="1">
      <alignment vertical="center" wrapText="1"/>
      <protection locked="0"/>
    </xf>
    <xf numFmtId="0" fontId="4" fillId="0" borderId="7" xfId="0" applyFont="1" applyBorder="1" applyAlignment="1" applyProtection="1">
      <alignment vertical="center" wrapText="1"/>
      <protection locked="0"/>
    </xf>
    <xf numFmtId="0" fontId="4" fillId="0" borderId="3" xfId="0" applyFont="1" applyFill="1" applyBorder="1" applyAlignment="1" applyProtection="1">
      <alignment vertical="center" wrapText="1"/>
      <protection locked="0"/>
    </xf>
    <xf numFmtId="0" fontId="4" fillId="0" borderId="4" xfId="0" applyFont="1" applyBorder="1" applyAlignment="1" applyProtection="1">
      <alignment vertical="center" wrapText="1"/>
      <protection locked="0"/>
    </xf>
    <xf numFmtId="0" fontId="4" fillId="0" borderId="5" xfId="0" applyFont="1" applyFill="1" applyBorder="1" applyAlignment="1" applyProtection="1">
      <alignment vertical="center" wrapText="1"/>
      <protection locked="0"/>
    </xf>
    <xf numFmtId="0" fontId="4" fillId="0" borderId="6" xfId="0" applyFont="1" applyFill="1" applyBorder="1" applyAlignment="1" applyProtection="1">
      <alignment vertical="center" wrapText="1"/>
      <protection locked="0"/>
    </xf>
    <xf numFmtId="0" fontId="4" fillId="0" borderId="6" xfId="0" applyFont="1" applyBorder="1" applyAlignment="1" applyProtection="1">
      <alignment vertical="center" wrapText="1"/>
      <protection locked="0"/>
    </xf>
    <xf numFmtId="0" fontId="4" fillId="0" borderId="8" xfId="0" applyFont="1" applyBorder="1" applyAlignment="1" applyProtection="1">
      <alignment vertical="center" wrapText="1"/>
      <protection locked="0"/>
    </xf>
    <xf numFmtId="0" fontId="11" fillId="0" borderId="3" xfId="0" applyFont="1" applyFill="1" applyBorder="1" applyAlignment="1" applyProtection="1">
      <alignment horizontal="left" vertical="center" wrapText="1"/>
      <protection locked="0"/>
    </xf>
    <xf numFmtId="0" fontId="11" fillId="0" borderId="0" xfId="0" applyFont="1" applyFill="1" applyBorder="1" applyAlignment="1" applyProtection="1">
      <alignment horizontal="left" vertical="center" wrapText="1"/>
      <protection locked="0"/>
    </xf>
    <xf numFmtId="0" fontId="11" fillId="0" borderId="4" xfId="0" applyFont="1" applyFill="1" applyBorder="1" applyAlignment="1" applyProtection="1">
      <alignment horizontal="left" vertical="center" wrapText="1"/>
      <protection locked="0"/>
    </xf>
    <xf numFmtId="0" fontId="11" fillId="0" borderId="5" xfId="0" applyFont="1" applyFill="1" applyBorder="1" applyAlignment="1" applyProtection="1">
      <alignment horizontal="left" vertical="center" wrapText="1"/>
      <protection locked="0"/>
    </xf>
    <xf numFmtId="0" fontId="11" fillId="0" borderId="6" xfId="0" applyFont="1" applyFill="1" applyBorder="1" applyAlignment="1" applyProtection="1">
      <alignment horizontal="left" vertical="center" wrapText="1"/>
      <protection locked="0"/>
    </xf>
    <xf numFmtId="0" fontId="11" fillId="0" borderId="8" xfId="0" applyFont="1" applyFill="1" applyBorder="1" applyAlignment="1" applyProtection="1">
      <alignment horizontal="left" vertical="center" wrapText="1"/>
      <protection locked="0"/>
    </xf>
  </cellXfs>
  <cellStyles count="3">
    <cellStyle name="Normal" xfId="0" builtinId="0"/>
    <cellStyle name="Normal 2" xfId="1" xr:uid="{00000000-0005-0000-0000-000001000000}"/>
    <cellStyle name="Pourcentage 2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176018807891632E-2"/>
          <c:y val="3.1198736399862096E-2"/>
          <c:w val="0.85648244954703956"/>
          <c:h val="0.86699646416458875"/>
        </c:manualLayout>
      </c:layout>
      <c:scatterChart>
        <c:scatterStyle val="lineMarker"/>
        <c:varyColors val="0"/>
        <c:ser>
          <c:idx val="1"/>
          <c:order val="0"/>
          <c:tx>
            <c:v>Courbe de saturation 80%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'CRE PR'!$B$25:$B$29</c:f>
              <c:numCache>
                <c:formatCode>General</c:formatCode>
                <c:ptCount val="5"/>
              </c:numCache>
            </c:numRef>
          </c:xVal>
          <c:yVal>
            <c:numRef>
              <c:f>'CRE PR'!$K$25:$K$29</c:f>
              <c:numCache>
                <c:formatCode>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E8-4FF6-BCCE-6586C82CF83F}"/>
            </c:ext>
          </c:extLst>
        </c:ser>
        <c:ser>
          <c:idx val="2"/>
          <c:order val="1"/>
          <c:tx>
            <c:v>Courbe de saturation 100%</c:v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'CRE PR'!$B$25:$B$29</c:f>
              <c:numCache>
                <c:formatCode>General</c:formatCode>
                <c:ptCount val="5"/>
              </c:numCache>
            </c:numRef>
          </c:xVal>
          <c:yVal>
            <c:numRef>
              <c:f>'CRE PR'!$L$25:$L$29</c:f>
              <c:numCache>
                <c:formatCode>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E8-4FF6-BCCE-6586C82CF83F}"/>
            </c:ext>
          </c:extLst>
        </c:ser>
        <c:ser>
          <c:idx val="3"/>
          <c:order val="2"/>
          <c:tx>
            <c:v>Courbe Proctor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'CRE PR'!$B$25:$B$29</c:f>
              <c:numCache>
                <c:formatCode>General</c:formatCode>
                <c:ptCount val="5"/>
              </c:numCache>
            </c:numRef>
          </c:xVal>
          <c:yVal>
            <c:numRef>
              <c:f>'CRE PR'!$H$25:$H$29</c:f>
              <c:numCache>
                <c:formatCode>0.000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E8-4FF6-BCCE-6586C82CF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655536"/>
        <c:axId val="180655928"/>
      </c:scatterChart>
      <c:scatterChart>
        <c:scatterStyle val="lineMarker"/>
        <c:varyColors val="0"/>
        <c:ser>
          <c:idx val="0"/>
          <c:order val="3"/>
          <c:tx>
            <c:v>Courbe IPI</c:v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triang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'CRE PR'!$B$25:$B$29</c:f>
              <c:numCache>
                <c:formatCode>General</c:formatCode>
                <c:ptCount val="5"/>
              </c:numCache>
            </c:numRef>
          </c:xVal>
          <c:yVal>
            <c:numRef>
              <c:f>'CRE PR'!$J$25:$J$29</c:f>
              <c:numCache>
                <c:formatCode>0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0E8-4FF6-BCCE-6586C82CF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656320"/>
        <c:axId val="180656712"/>
      </c:scatterChart>
      <c:valAx>
        <c:axId val="180655536"/>
        <c:scaling>
          <c:orientation val="minMax"/>
          <c:max val="1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fr-FR"/>
                  <a:t>TENEURS EN EAU   (%)</a:t>
                </a:r>
              </a:p>
            </c:rich>
          </c:tx>
          <c:layout>
            <c:manualLayout>
              <c:xMode val="edge"/>
              <c:yMode val="edge"/>
              <c:x val="0.4062504860503548"/>
              <c:y val="0.94581424836805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fr-FR"/>
          </a:p>
        </c:txPr>
        <c:crossAx val="180655928"/>
        <c:crossesAt val="1.6"/>
        <c:crossBetween val="midCat"/>
        <c:majorUnit val="1"/>
        <c:minorUnit val="0.5"/>
      </c:valAx>
      <c:valAx>
        <c:axId val="180655928"/>
        <c:scaling>
          <c:orientation val="minMax"/>
          <c:max val="2.5"/>
          <c:min val="1.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fr-FR"/>
                  <a:t>MASSE VOLUMIQUE SECHE (t/m3)</a:t>
                </a:r>
              </a:p>
            </c:rich>
          </c:tx>
          <c:layout>
            <c:manualLayout>
              <c:xMode val="edge"/>
              <c:yMode val="edge"/>
              <c:x val="5.7870370370370367E-3"/>
              <c:y val="0.2298853597574657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1"/>
        <c:majorTickMark val="cross"/>
        <c:min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fr-FR"/>
          </a:p>
        </c:txPr>
        <c:crossAx val="180655536"/>
        <c:crosses val="autoZero"/>
        <c:crossBetween val="midCat"/>
        <c:majorUnit val="0.05"/>
        <c:minorUnit val="0.01"/>
      </c:valAx>
      <c:valAx>
        <c:axId val="180656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0656712"/>
        <c:crosses val="autoZero"/>
        <c:crossBetween val="midCat"/>
      </c:valAx>
      <c:valAx>
        <c:axId val="180656712"/>
        <c:scaling>
          <c:orientation val="minMax"/>
          <c:max val="50"/>
        </c:scaling>
        <c:delete val="0"/>
        <c:axPos val="r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fr-FR"/>
                  <a:t>IPI</a:t>
                </a:r>
              </a:p>
            </c:rich>
          </c:tx>
          <c:layout>
            <c:manualLayout>
              <c:xMode val="edge"/>
              <c:yMode val="edge"/>
              <c:x val="0.96180664916885394"/>
              <c:y val="0.44991865082471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fr-FR"/>
          </a:p>
        </c:txPr>
        <c:crossAx val="180656320"/>
        <c:crosses val="max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3263973947700978"/>
          <c:y val="5.9113455748448944E-2"/>
          <c:w val="0.17939839117332557"/>
          <c:h val="0.282430769712434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MS Sans Serif"/>
              <a:ea typeface="MS Sans Serif"/>
              <a:cs typeface="MS Sans Serif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MS Sans Serif"/>
          <a:ea typeface="MS Sans Serif"/>
          <a:cs typeface="MS Sans Serif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176018807891632E-2"/>
          <c:y val="3.1198736399862096E-2"/>
          <c:w val="0.85648244954703956"/>
          <c:h val="0.86699646416458875"/>
        </c:manualLayout>
      </c:layout>
      <c:scatterChart>
        <c:scatterStyle val="lineMarker"/>
        <c:varyColors val="0"/>
        <c:ser>
          <c:idx val="1"/>
          <c:order val="0"/>
          <c:tx>
            <c:v>Courbe de saturation 80%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'CRE PR ressuage'!$D$25:$D$29</c:f>
              <c:numCache>
                <c:formatCode>0.00</c:formatCode>
                <c:ptCount val="5"/>
              </c:numCache>
            </c:numRef>
          </c:xVal>
          <c:yVal>
            <c:numRef>
              <c:f>'CRE PR ressuage'!$K$25:$K$29</c:f>
              <c:numCache>
                <c:formatCode>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B5-4633-8B19-BD5789E74EBA}"/>
            </c:ext>
          </c:extLst>
        </c:ser>
        <c:ser>
          <c:idx val="2"/>
          <c:order val="1"/>
          <c:tx>
            <c:v>Courbe de saturation 100%</c:v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'CRE PR ressuage'!$D$25:$D$29</c:f>
              <c:numCache>
                <c:formatCode>0.00</c:formatCode>
                <c:ptCount val="5"/>
              </c:numCache>
            </c:numRef>
          </c:xVal>
          <c:yVal>
            <c:numRef>
              <c:f>'CRE PR ressuage'!$L$25:$L$29</c:f>
              <c:numCache>
                <c:formatCode>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B5-4633-8B19-BD5789E74EBA}"/>
            </c:ext>
          </c:extLst>
        </c:ser>
        <c:ser>
          <c:idx val="3"/>
          <c:order val="2"/>
          <c:tx>
            <c:v>Courbe Proctor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'CRE PR ressuage'!$D$25:$D$29</c:f>
              <c:numCache>
                <c:formatCode>0.00</c:formatCode>
                <c:ptCount val="5"/>
              </c:numCache>
            </c:numRef>
          </c:xVal>
          <c:yVal>
            <c:numRef>
              <c:f>'CRE PR ressuage'!$H$25:$H$29</c:f>
              <c:numCache>
                <c:formatCode>0.000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B5-4633-8B19-BD5789E74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347280"/>
        <c:axId val="182347672"/>
      </c:scatterChart>
      <c:scatterChart>
        <c:scatterStyle val="lineMarker"/>
        <c:varyColors val="0"/>
        <c:ser>
          <c:idx val="0"/>
          <c:order val="3"/>
          <c:tx>
            <c:v>Courbe IPI</c:v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triang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'CRE PR ressuage'!$D$25:$D$29</c:f>
              <c:numCache>
                <c:formatCode>0.00</c:formatCode>
                <c:ptCount val="5"/>
              </c:numCache>
            </c:numRef>
          </c:xVal>
          <c:yVal>
            <c:numRef>
              <c:f>'CRE PR ressuage'!$J$25:$J$29</c:f>
              <c:numCache>
                <c:formatCode>0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6B5-4633-8B19-BD5789E74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348064"/>
        <c:axId val="182348456"/>
      </c:scatterChart>
      <c:valAx>
        <c:axId val="182347280"/>
        <c:scaling>
          <c:orientation val="minMax"/>
          <c:max val="1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fr-FR"/>
                  <a:t>TENEURS EN EAU   (%)</a:t>
                </a:r>
              </a:p>
            </c:rich>
          </c:tx>
          <c:layout>
            <c:manualLayout>
              <c:xMode val="edge"/>
              <c:yMode val="edge"/>
              <c:x val="0.4062504860503548"/>
              <c:y val="0.9458142483680593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fr-FR"/>
          </a:p>
        </c:txPr>
        <c:crossAx val="182347672"/>
        <c:crossesAt val="1.6"/>
        <c:crossBetween val="midCat"/>
        <c:majorUnit val="1"/>
        <c:minorUnit val="0.5"/>
      </c:valAx>
      <c:valAx>
        <c:axId val="182347672"/>
        <c:scaling>
          <c:orientation val="minMax"/>
          <c:max val="2.5"/>
          <c:min val="1.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fr-FR"/>
                  <a:t>MASSE VOLUMIQUE SECHE (t/m3)</a:t>
                </a:r>
              </a:p>
            </c:rich>
          </c:tx>
          <c:layout>
            <c:manualLayout>
              <c:xMode val="edge"/>
              <c:yMode val="edge"/>
              <c:x val="5.7870370370370367E-3"/>
              <c:y val="0.2298853597574657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1"/>
        <c:majorTickMark val="cross"/>
        <c:min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fr-FR"/>
          </a:p>
        </c:txPr>
        <c:crossAx val="182347280"/>
        <c:crosses val="autoZero"/>
        <c:crossBetween val="midCat"/>
        <c:majorUnit val="0.05"/>
        <c:minorUnit val="0.01"/>
      </c:valAx>
      <c:valAx>
        <c:axId val="18234806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82348456"/>
        <c:crosses val="autoZero"/>
        <c:crossBetween val="midCat"/>
      </c:valAx>
      <c:valAx>
        <c:axId val="182348456"/>
        <c:scaling>
          <c:orientation val="minMax"/>
          <c:max val="50"/>
        </c:scaling>
        <c:delete val="0"/>
        <c:axPos val="r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fr-FR"/>
                  <a:t>IPI</a:t>
                </a:r>
              </a:p>
            </c:rich>
          </c:tx>
          <c:layout>
            <c:manualLayout>
              <c:xMode val="edge"/>
              <c:yMode val="edge"/>
              <c:x val="0.96180664916885394"/>
              <c:y val="0.44991865082471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fr-FR"/>
          </a:p>
        </c:txPr>
        <c:crossAx val="182348064"/>
        <c:crosses val="max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3263973947700978"/>
          <c:y val="5.9113455748448944E-2"/>
          <c:w val="0.17939839117332557"/>
          <c:h val="0.282430769712434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MS Sans Serif"/>
              <a:ea typeface="MS Sans Serif"/>
              <a:cs typeface="MS Sans Serif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MS Sans Serif"/>
          <a:ea typeface="MS Sans Serif"/>
          <a:cs typeface="MS Sans Serif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36</xdr:row>
      <xdr:rowOff>0</xdr:rowOff>
    </xdr:from>
    <xdr:to>
      <xdr:col>25</xdr:col>
      <xdr:colOff>0</xdr:colOff>
      <xdr:row>59</xdr:row>
      <xdr:rowOff>190500</xdr:rowOff>
    </xdr:to>
    <xdr:graphicFrame macro="">
      <xdr:nvGraphicFramePr>
        <xdr:cNvPr id="6220" name="Chart 20">
          <a:extLst>
            <a:ext uri="{FF2B5EF4-FFF2-40B4-BE49-F238E27FC236}">
              <a16:creationId xmlns:a16="http://schemas.microsoft.com/office/drawing/2014/main" id="{00000000-0008-0000-0000-00004C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</xdr:colOff>
          <xdr:row>24</xdr:row>
          <xdr:rowOff>182880</xdr:rowOff>
        </xdr:from>
        <xdr:to>
          <xdr:col>16</xdr:col>
          <xdr:colOff>17145</xdr:colOff>
          <xdr:row>26</xdr:row>
          <xdr:rowOff>0</xdr:rowOff>
        </xdr:to>
        <xdr:sp macro="" textlink="">
          <xdr:nvSpPr>
            <xdr:cNvPr id="6163" name="Check Box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</xdr:colOff>
          <xdr:row>26</xdr:row>
          <xdr:rowOff>182880</xdr:rowOff>
        </xdr:from>
        <xdr:to>
          <xdr:col>16</xdr:col>
          <xdr:colOff>17145</xdr:colOff>
          <xdr:row>28</xdr:row>
          <xdr:rowOff>0</xdr:rowOff>
        </xdr:to>
        <xdr:sp macro="" textlink="">
          <xdr:nvSpPr>
            <xdr:cNvPr id="6166" name="Check Box 22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</xdr:colOff>
          <xdr:row>24</xdr:row>
          <xdr:rowOff>182880</xdr:rowOff>
        </xdr:from>
        <xdr:to>
          <xdr:col>19</xdr:col>
          <xdr:colOff>17145</xdr:colOff>
          <xdr:row>26</xdr:row>
          <xdr:rowOff>0</xdr:rowOff>
        </xdr:to>
        <xdr:sp macro="" textlink="">
          <xdr:nvSpPr>
            <xdr:cNvPr id="6167" name="Check Box 23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</xdr:colOff>
          <xdr:row>26</xdr:row>
          <xdr:rowOff>182880</xdr:rowOff>
        </xdr:from>
        <xdr:to>
          <xdr:col>19</xdr:col>
          <xdr:colOff>17145</xdr:colOff>
          <xdr:row>28</xdr:row>
          <xdr:rowOff>0</xdr:rowOff>
        </xdr:to>
        <xdr:sp macro="" textlink="">
          <xdr:nvSpPr>
            <xdr:cNvPr id="6168" name="Check Box 24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68580</xdr:colOff>
          <xdr:row>26</xdr:row>
          <xdr:rowOff>182880</xdr:rowOff>
        </xdr:from>
        <xdr:to>
          <xdr:col>23</xdr:col>
          <xdr:colOff>17145</xdr:colOff>
          <xdr:row>28</xdr:row>
          <xdr:rowOff>0</xdr:rowOff>
        </xdr:to>
        <xdr:sp macro="" textlink="">
          <xdr:nvSpPr>
            <xdr:cNvPr id="6169" name="Check Box 25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68580</xdr:colOff>
          <xdr:row>26</xdr:row>
          <xdr:rowOff>182880</xdr:rowOff>
        </xdr:from>
        <xdr:to>
          <xdr:col>20</xdr:col>
          <xdr:colOff>17145</xdr:colOff>
          <xdr:row>28</xdr:row>
          <xdr:rowOff>0</xdr:rowOff>
        </xdr:to>
        <xdr:sp macro="" textlink="">
          <xdr:nvSpPr>
            <xdr:cNvPr id="6170" name="Check Box 26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518160</xdr:colOff>
          <xdr:row>66</xdr:row>
          <xdr:rowOff>175260</xdr:rowOff>
        </xdr:from>
        <xdr:to>
          <xdr:col>28</xdr:col>
          <xdr:colOff>533400</xdr:colOff>
          <xdr:row>69</xdr:row>
          <xdr:rowOff>19050</xdr:rowOff>
        </xdr:to>
        <xdr:sp macro="" textlink="">
          <xdr:nvSpPr>
            <xdr:cNvPr id="6171" name="CommandButton1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38100</xdr:colOff>
      <xdr:row>2</xdr:row>
      <xdr:rowOff>0</xdr:rowOff>
    </xdr:from>
    <xdr:to>
      <xdr:col>4</xdr:col>
      <xdr:colOff>304800</xdr:colOff>
      <xdr:row>4</xdr:row>
      <xdr:rowOff>0</xdr:rowOff>
    </xdr:to>
    <xdr:pic>
      <xdr:nvPicPr>
        <xdr:cNvPr id="14" name="Image 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23850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36</xdr:row>
      <xdr:rowOff>0</xdr:rowOff>
    </xdr:from>
    <xdr:to>
      <xdr:col>25</xdr:col>
      <xdr:colOff>0</xdr:colOff>
      <xdr:row>59</xdr:row>
      <xdr:rowOff>190500</xdr:rowOff>
    </xdr:to>
    <xdr:graphicFrame macro="">
      <xdr:nvGraphicFramePr>
        <xdr:cNvPr id="5205" name="Chart 30">
          <a:extLst>
            <a:ext uri="{FF2B5EF4-FFF2-40B4-BE49-F238E27FC236}">
              <a16:creationId xmlns:a16="http://schemas.microsoft.com/office/drawing/2014/main" id="{00000000-0008-0000-0100-000055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</xdr:colOff>
          <xdr:row>24</xdr:row>
          <xdr:rowOff>182880</xdr:rowOff>
        </xdr:from>
        <xdr:to>
          <xdr:col>16</xdr:col>
          <xdr:colOff>17145</xdr:colOff>
          <xdr:row>26</xdr:row>
          <xdr:rowOff>0</xdr:rowOff>
        </xdr:to>
        <xdr:sp macro="" textlink="">
          <xdr:nvSpPr>
            <xdr:cNvPr id="5144" name="Check Box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</xdr:colOff>
          <xdr:row>26</xdr:row>
          <xdr:rowOff>182880</xdr:rowOff>
        </xdr:from>
        <xdr:to>
          <xdr:col>16</xdr:col>
          <xdr:colOff>17145</xdr:colOff>
          <xdr:row>28</xdr:row>
          <xdr:rowOff>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1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</xdr:colOff>
          <xdr:row>24</xdr:row>
          <xdr:rowOff>182880</xdr:rowOff>
        </xdr:from>
        <xdr:to>
          <xdr:col>19</xdr:col>
          <xdr:colOff>17145</xdr:colOff>
          <xdr:row>26</xdr:row>
          <xdr:rowOff>0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</xdr:colOff>
          <xdr:row>26</xdr:row>
          <xdr:rowOff>182880</xdr:rowOff>
        </xdr:from>
        <xdr:to>
          <xdr:col>19</xdr:col>
          <xdr:colOff>17145</xdr:colOff>
          <xdr:row>28</xdr:row>
          <xdr:rowOff>0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68580</xdr:colOff>
          <xdr:row>26</xdr:row>
          <xdr:rowOff>182880</xdr:rowOff>
        </xdr:from>
        <xdr:to>
          <xdr:col>23</xdr:col>
          <xdr:colOff>17145</xdr:colOff>
          <xdr:row>28</xdr:row>
          <xdr:rowOff>0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1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68580</xdr:colOff>
          <xdr:row>26</xdr:row>
          <xdr:rowOff>182880</xdr:rowOff>
        </xdr:from>
        <xdr:to>
          <xdr:col>20</xdr:col>
          <xdr:colOff>17145</xdr:colOff>
          <xdr:row>28</xdr:row>
          <xdr:rowOff>0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1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464820</xdr:colOff>
          <xdr:row>66</xdr:row>
          <xdr:rowOff>190500</xdr:rowOff>
        </xdr:from>
        <xdr:to>
          <xdr:col>28</xdr:col>
          <xdr:colOff>474345</xdr:colOff>
          <xdr:row>69</xdr:row>
          <xdr:rowOff>38100</xdr:rowOff>
        </xdr:to>
        <xdr:sp macro="" textlink="">
          <xdr:nvSpPr>
            <xdr:cNvPr id="5157" name="CommandButton1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1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85725</xdr:colOff>
      <xdr:row>1</xdr:row>
      <xdr:rowOff>123825</xdr:rowOff>
    </xdr:from>
    <xdr:to>
      <xdr:col>5</xdr:col>
      <xdr:colOff>19050</xdr:colOff>
      <xdr:row>3</xdr:row>
      <xdr:rowOff>133350</xdr:rowOff>
    </xdr:to>
    <xdr:pic>
      <xdr:nvPicPr>
        <xdr:cNvPr id="14" name="Image 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" y="285750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7</xdr:row>
      <xdr:rowOff>0</xdr:rowOff>
    </xdr:from>
    <xdr:to>
      <xdr:col>14</xdr:col>
      <xdr:colOff>180975</xdr:colOff>
      <xdr:row>7</xdr:row>
      <xdr:rowOff>0</xdr:rowOff>
    </xdr:to>
    <xdr:sp macro="" textlink="">
      <xdr:nvSpPr>
        <xdr:cNvPr id="2" name="Text Box 1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4800600" y="1447800"/>
          <a:ext cx="1809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68580</xdr:colOff>
          <xdr:row>16</xdr:row>
          <xdr:rowOff>190500</xdr:rowOff>
        </xdr:from>
        <xdr:to>
          <xdr:col>25</xdr:col>
          <xdr:colOff>30480</xdr:colOff>
          <xdr:row>18</xdr:row>
          <xdr:rowOff>22860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68580</xdr:colOff>
          <xdr:row>17</xdr:row>
          <xdr:rowOff>190500</xdr:rowOff>
        </xdr:from>
        <xdr:to>
          <xdr:col>25</xdr:col>
          <xdr:colOff>30480</xdr:colOff>
          <xdr:row>19</xdr:row>
          <xdr:rowOff>7620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68580</xdr:colOff>
          <xdr:row>19</xdr:row>
          <xdr:rowOff>190500</xdr:rowOff>
        </xdr:from>
        <xdr:to>
          <xdr:col>25</xdr:col>
          <xdr:colOff>30480</xdr:colOff>
          <xdr:row>21</xdr:row>
          <xdr:rowOff>7620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68580</xdr:colOff>
          <xdr:row>20</xdr:row>
          <xdr:rowOff>190500</xdr:rowOff>
        </xdr:from>
        <xdr:to>
          <xdr:col>25</xdr:col>
          <xdr:colOff>30480</xdr:colOff>
          <xdr:row>22</xdr:row>
          <xdr:rowOff>7620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38100</xdr:colOff>
      <xdr:row>2</xdr:row>
      <xdr:rowOff>9525</xdr:rowOff>
    </xdr:from>
    <xdr:to>
      <xdr:col>4</xdr:col>
      <xdr:colOff>315087</xdr:colOff>
      <xdr:row>3</xdr:row>
      <xdr:rowOff>155587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333375"/>
          <a:ext cx="1305687" cy="3079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11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Z70"/>
  <sheetViews>
    <sheetView tabSelected="1" topLeftCell="A4" workbookViewId="0">
      <selection activeCell="A65" sqref="A65:Q65"/>
    </sheetView>
  </sheetViews>
  <sheetFormatPr baseColWidth="10" defaultColWidth="11.44140625" defaultRowHeight="12.75" customHeight="1" x14ac:dyDescent="0.25"/>
  <cols>
    <col min="1" max="1" width="5.109375" style="85" customWidth="1"/>
    <col min="2" max="26" width="5.109375" style="1" customWidth="1"/>
    <col min="27" max="16384" width="11.44140625" style="1"/>
  </cols>
  <sheetData>
    <row r="1" spans="1:26" ht="12.75" customHeight="1" x14ac:dyDescent="0.25">
      <c r="A1" s="230"/>
      <c r="B1" s="231"/>
      <c r="C1" s="231"/>
      <c r="D1" s="231"/>
      <c r="E1" s="231"/>
      <c r="F1" s="232"/>
      <c r="G1" s="239" t="s">
        <v>14</v>
      </c>
      <c r="H1" s="240"/>
      <c r="I1" s="240"/>
      <c r="J1" s="240"/>
      <c r="K1" s="240"/>
      <c r="L1" s="240"/>
      <c r="M1" s="240"/>
      <c r="N1" s="240"/>
      <c r="O1" s="240"/>
      <c r="P1" s="240"/>
      <c r="Q1" s="240"/>
      <c r="R1" s="240"/>
      <c r="S1" s="240"/>
      <c r="T1" s="241"/>
      <c r="U1" s="242"/>
      <c r="V1" s="243"/>
      <c r="W1" s="243"/>
      <c r="X1" s="243"/>
      <c r="Y1" s="243"/>
      <c r="Z1" s="244"/>
    </row>
    <row r="2" spans="1:26" ht="12.75" customHeight="1" x14ac:dyDescent="0.25">
      <c r="A2" s="233"/>
      <c r="B2" s="234"/>
      <c r="C2" s="234"/>
      <c r="D2" s="234"/>
      <c r="E2" s="234"/>
      <c r="F2" s="235"/>
      <c r="G2" s="251" t="s">
        <v>57</v>
      </c>
      <c r="H2" s="252"/>
      <c r="I2" s="252"/>
      <c r="J2" s="252"/>
      <c r="K2" s="252"/>
      <c r="L2" s="252"/>
      <c r="M2" s="252"/>
      <c r="N2" s="252"/>
      <c r="O2" s="252"/>
      <c r="P2" s="252"/>
      <c r="Q2" s="252"/>
      <c r="R2" s="252"/>
      <c r="S2" s="252"/>
      <c r="T2" s="253"/>
      <c r="U2" s="245"/>
      <c r="V2" s="246"/>
      <c r="W2" s="246"/>
      <c r="X2" s="246"/>
      <c r="Y2" s="246"/>
      <c r="Z2" s="247"/>
    </row>
    <row r="3" spans="1:26" ht="12.75" customHeight="1" x14ac:dyDescent="0.25">
      <c r="A3" s="233"/>
      <c r="B3" s="234"/>
      <c r="C3" s="234"/>
      <c r="D3" s="234"/>
      <c r="E3" s="234"/>
      <c r="F3" s="235"/>
      <c r="G3" s="251"/>
      <c r="H3" s="252"/>
      <c r="I3" s="252"/>
      <c r="J3" s="252"/>
      <c r="K3" s="252"/>
      <c r="L3" s="252"/>
      <c r="M3" s="252"/>
      <c r="N3" s="252"/>
      <c r="O3" s="252"/>
      <c r="P3" s="252"/>
      <c r="Q3" s="252"/>
      <c r="R3" s="252"/>
      <c r="S3" s="252"/>
      <c r="T3" s="253"/>
      <c r="U3" s="245"/>
      <c r="V3" s="246"/>
      <c r="W3" s="246"/>
      <c r="X3" s="246"/>
      <c r="Y3" s="246"/>
      <c r="Z3" s="247"/>
    </row>
    <row r="4" spans="1:26" ht="12.75" customHeight="1" x14ac:dyDescent="0.25">
      <c r="A4" s="233"/>
      <c r="B4" s="234"/>
      <c r="C4" s="234"/>
      <c r="D4" s="234"/>
      <c r="E4" s="234"/>
      <c r="F4" s="235"/>
      <c r="G4" s="251"/>
      <c r="H4" s="252"/>
      <c r="I4" s="252"/>
      <c r="J4" s="252"/>
      <c r="K4" s="252"/>
      <c r="L4" s="252"/>
      <c r="M4" s="252"/>
      <c r="N4" s="252"/>
      <c r="O4" s="252"/>
      <c r="P4" s="252"/>
      <c r="Q4" s="252"/>
      <c r="R4" s="252"/>
      <c r="S4" s="252"/>
      <c r="T4" s="253"/>
      <c r="U4" s="245"/>
      <c r="V4" s="246"/>
      <c r="W4" s="246"/>
      <c r="X4" s="246"/>
      <c r="Y4" s="246"/>
      <c r="Z4" s="247"/>
    </row>
    <row r="5" spans="1:26" ht="12.75" customHeight="1" x14ac:dyDescent="0.25">
      <c r="A5" s="233"/>
      <c r="B5" s="234"/>
      <c r="C5" s="234"/>
      <c r="D5" s="234"/>
      <c r="E5" s="234"/>
      <c r="F5" s="235"/>
      <c r="G5" s="254" t="s">
        <v>22</v>
      </c>
      <c r="H5" s="255"/>
      <c r="I5" s="2"/>
      <c r="J5" s="384"/>
      <c r="K5" s="385"/>
      <c r="L5" s="386"/>
      <c r="M5" s="387"/>
      <c r="N5" s="387"/>
      <c r="O5" s="388"/>
      <c r="P5" s="389"/>
      <c r="Q5" s="390"/>
      <c r="R5" s="390"/>
      <c r="S5" s="390"/>
      <c r="T5" s="391"/>
      <c r="U5" s="245"/>
      <c r="V5" s="246"/>
      <c r="W5" s="246"/>
      <c r="X5" s="246"/>
      <c r="Y5" s="246"/>
      <c r="Z5" s="247"/>
    </row>
    <row r="6" spans="1:26" ht="12.75" customHeight="1" x14ac:dyDescent="0.25">
      <c r="A6" s="236"/>
      <c r="B6" s="237"/>
      <c r="C6" s="237"/>
      <c r="D6" s="237"/>
      <c r="E6" s="237"/>
      <c r="F6" s="238"/>
      <c r="G6" s="3"/>
      <c r="H6" s="4"/>
      <c r="I6" s="4"/>
      <c r="J6" s="222" t="s">
        <v>55</v>
      </c>
      <c r="K6" s="222"/>
      <c r="L6" s="222" t="s">
        <v>15</v>
      </c>
      <c r="M6" s="222"/>
      <c r="N6" s="222"/>
      <c r="O6" s="222"/>
      <c r="P6" s="222" t="s">
        <v>56</v>
      </c>
      <c r="Q6" s="222"/>
      <c r="R6" s="222"/>
      <c r="S6" s="222"/>
      <c r="T6" s="227"/>
      <c r="U6" s="248"/>
      <c r="V6" s="249"/>
      <c r="W6" s="249"/>
      <c r="X6" s="249"/>
      <c r="Y6" s="249"/>
      <c r="Z6" s="250"/>
    </row>
    <row r="7" spans="1:26" ht="35.4" customHeight="1" x14ac:dyDescent="0.25">
      <c r="A7" s="228" t="s">
        <v>11</v>
      </c>
      <c r="B7" s="228"/>
      <c r="C7" s="228"/>
      <c r="D7" s="228"/>
      <c r="E7" s="228"/>
      <c r="F7" s="228"/>
      <c r="G7" s="229" t="s">
        <v>13</v>
      </c>
      <c r="H7" s="229"/>
      <c r="I7" s="229"/>
      <c r="J7" s="229"/>
      <c r="K7" s="229"/>
      <c r="L7" s="229"/>
      <c r="M7" s="229"/>
      <c r="N7" s="229"/>
      <c r="O7" s="229"/>
      <c r="P7" s="229"/>
      <c r="Q7" s="229"/>
      <c r="R7" s="229"/>
      <c r="S7" s="229"/>
      <c r="T7" s="229"/>
      <c r="U7" s="229"/>
      <c r="V7" s="229"/>
      <c r="W7" s="229"/>
      <c r="X7" s="229"/>
      <c r="Y7" s="229"/>
      <c r="Z7" s="229"/>
    </row>
    <row r="8" spans="1:26" ht="15.6" customHeight="1" x14ac:dyDescent="0.25">
      <c r="A8" s="5" t="s">
        <v>5</v>
      </c>
      <c r="B8" s="6" t="s">
        <v>0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26" ht="8.25" customHeight="1" x14ac:dyDescent="0.25">
      <c r="A9" s="10"/>
      <c r="B9" s="11"/>
      <c r="C9" s="11"/>
      <c r="D9" s="12"/>
      <c r="E9" s="12"/>
      <c r="F9" s="12"/>
      <c r="G9" s="12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3"/>
    </row>
    <row r="10" spans="1:26" ht="15.9" customHeight="1" x14ac:dyDescent="0.25">
      <c r="A10" s="10"/>
      <c r="B10" s="225" t="s">
        <v>10</v>
      </c>
      <c r="C10" s="225"/>
      <c r="D10" s="225"/>
      <c r="E10" s="225"/>
      <c r="F10" s="225"/>
      <c r="G10" s="225"/>
      <c r="H10" s="224"/>
      <c r="I10" s="224"/>
      <c r="J10" s="224"/>
      <c r="K10" s="224"/>
      <c r="L10" s="224"/>
      <c r="M10" s="224"/>
      <c r="N10" s="225" t="s">
        <v>16</v>
      </c>
      <c r="O10" s="225"/>
      <c r="P10" s="225"/>
      <c r="Q10" s="225"/>
      <c r="R10" s="225"/>
      <c r="S10" s="225"/>
      <c r="T10" s="225"/>
      <c r="U10" s="225"/>
      <c r="V10" s="256"/>
      <c r="W10" s="256"/>
      <c r="X10" s="256"/>
      <c r="Y10" s="256"/>
      <c r="Z10" s="14"/>
    </row>
    <row r="11" spans="1:26" ht="15.9" customHeight="1" x14ac:dyDescent="0.25">
      <c r="A11" s="10"/>
      <c r="B11" s="225" t="s">
        <v>4</v>
      </c>
      <c r="C11" s="225"/>
      <c r="D11" s="225"/>
      <c r="E11" s="225"/>
      <c r="F11" s="225"/>
      <c r="G11" s="225"/>
      <c r="H11" s="224"/>
      <c r="I11" s="224"/>
      <c r="J11" s="224"/>
      <c r="K11" s="224"/>
      <c r="L11" s="224"/>
      <c r="M11" s="224"/>
      <c r="N11" s="225" t="s">
        <v>2</v>
      </c>
      <c r="O11" s="225"/>
      <c r="P11" s="225"/>
      <c r="Q11" s="225"/>
      <c r="R11" s="225"/>
      <c r="S11" s="223"/>
      <c r="T11" s="223"/>
      <c r="U11" s="223"/>
      <c r="V11" s="223"/>
      <c r="W11" s="223"/>
      <c r="X11" s="223"/>
      <c r="Y11" s="223"/>
      <c r="Z11" s="14"/>
    </row>
    <row r="12" spans="1:26" ht="15.75" customHeight="1" x14ac:dyDescent="0.25">
      <c r="A12" s="10"/>
      <c r="B12" s="225" t="s">
        <v>9</v>
      </c>
      <c r="C12" s="225"/>
      <c r="D12" s="225"/>
      <c r="E12" s="225"/>
      <c r="F12" s="225"/>
      <c r="G12" s="225"/>
      <c r="H12" s="224"/>
      <c r="I12" s="224"/>
      <c r="J12" s="224"/>
      <c r="K12" s="224"/>
      <c r="L12" s="224"/>
      <c r="M12" s="224"/>
      <c r="N12" s="225" t="s">
        <v>3</v>
      </c>
      <c r="O12" s="225"/>
      <c r="P12" s="225"/>
      <c r="Q12" s="225"/>
      <c r="R12" s="225"/>
      <c r="S12" s="223"/>
      <c r="T12" s="223"/>
      <c r="U12" s="223"/>
      <c r="V12" s="223"/>
      <c r="W12" s="223"/>
      <c r="X12" s="223"/>
      <c r="Y12" s="223"/>
      <c r="Z12" s="14"/>
    </row>
    <row r="13" spans="1:26" ht="15.9" customHeight="1" x14ac:dyDescent="0.25">
      <c r="A13" s="10"/>
      <c r="B13" s="225" t="s">
        <v>1</v>
      </c>
      <c r="C13" s="225"/>
      <c r="D13" s="225"/>
      <c r="E13" s="225"/>
      <c r="F13" s="225"/>
      <c r="G13" s="225"/>
      <c r="H13" s="224"/>
      <c r="I13" s="224"/>
      <c r="J13" s="224"/>
      <c r="K13" s="224"/>
      <c r="L13" s="224"/>
      <c r="M13" s="224"/>
      <c r="N13" s="225"/>
      <c r="O13" s="225"/>
      <c r="P13" s="225"/>
      <c r="Q13" s="225"/>
      <c r="R13" s="225"/>
      <c r="S13" s="223"/>
      <c r="T13" s="223"/>
      <c r="U13" s="223"/>
      <c r="V13" s="223"/>
      <c r="W13" s="223"/>
      <c r="X13" s="223"/>
      <c r="Y13" s="223"/>
      <c r="Z13" s="14"/>
    </row>
    <row r="14" spans="1:26" ht="8.25" customHeight="1" x14ac:dyDescent="0.25">
      <c r="A14" s="15"/>
      <c r="B14" s="4"/>
      <c r="C14" s="4"/>
      <c r="D14" s="16"/>
      <c r="E14" s="16"/>
      <c r="F14" s="16"/>
      <c r="G14" s="16"/>
      <c r="H14" s="4"/>
      <c r="I14" s="4"/>
      <c r="J14" s="4"/>
      <c r="K14" s="4"/>
      <c r="L14" s="4"/>
      <c r="M14" s="4"/>
      <c r="N14" s="17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18"/>
    </row>
    <row r="15" spans="1:26" s="19" customFormat="1" ht="15" x14ac:dyDescent="0.25">
      <c r="B15" s="20"/>
      <c r="C15" s="20"/>
      <c r="K15" s="21"/>
      <c r="L15" s="20"/>
      <c r="M15" s="22"/>
    </row>
    <row r="16" spans="1:26" s="19" customFormat="1" ht="15.6" customHeight="1" x14ac:dyDescent="0.25">
      <c r="A16" s="5" t="s">
        <v>6</v>
      </c>
      <c r="B16" s="23" t="s">
        <v>23</v>
      </c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5"/>
    </row>
    <row r="17" spans="1:26" s="19" customFormat="1" ht="8.25" customHeight="1" x14ac:dyDescent="0.25">
      <c r="A17" s="26"/>
      <c r="B17" s="27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9"/>
    </row>
    <row r="18" spans="1:26" s="19" customFormat="1" ht="15.75" customHeight="1" x14ac:dyDescent="0.25">
      <c r="A18" s="26"/>
      <c r="B18" s="226" t="s">
        <v>24</v>
      </c>
      <c r="C18" s="226"/>
      <c r="D18" s="226"/>
      <c r="E18" s="226"/>
      <c r="F18" s="226"/>
      <c r="G18" s="226"/>
      <c r="H18" s="226"/>
      <c r="I18" s="187"/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30"/>
    </row>
    <row r="19" spans="1:26" s="19" customFormat="1" ht="15.75" customHeight="1" x14ac:dyDescent="0.25">
      <c r="A19" s="26"/>
      <c r="B19" s="226" t="s">
        <v>25</v>
      </c>
      <c r="C19" s="226"/>
      <c r="D19" s="226"/>
      <c r="E19" s="226"/>
      <c r="F19" s="226"/>
      <c r="G19" s="226"/>
      <c r="H19" s="226"/>
      <c r="I19" s="187"/>
      <c r="J19" s="187"/>
      <c r="K19" s="187"/>
      <c r="L19" s="187"/>
      <c r="M19" s="187"/>
      <c r="N19" s="187"/>
      <c r="O19" s="187"/>
      <c r="P19" s="187"/>
      <c r="Q19" s="187"/>
      <c r="R19" s="187"/>
      <c r="S19" s="187"/>
      <c r="T19" s="187"/>
      <c r="U19" s="187"/>
      <c r="V19" s="187"/>
      <c r="W19" s="187"/>
      <c r="X19" s="187"/>
      <c r="Y19" s="187"/>
      <c r="Z19" s="30"/>
    </row>
    <row r="20" spans="1:26" s="19" customFormat="1" ht="8.25" customHeight="1" x14ac:dyDescent="0.25">
      <c r="A20" s="31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3"/>
    </row>
    <row r="21" spans="1:26" ht="15.75" customHeight="1" x14ac:dyDescent="0.25">
      <c r="A21" s="12"/>
      <c r="B21" s="34"/>
      <c r="C21" s="34"/>
      <c r="D21" s="34"/>
      <c r="E21" s="34"/>
      <c r="F21" s="34"/>
      <c r="G21" s="35"/>
      <c r="H21" s="35"/>
      <c r="I21" s="35"/>
      <c r="J21" s="35"/>
      <c r="K21" s="36"/>
      <c r="L21" s="36"/>
      <c r="M21" s="37"/>
      <c r="N21" s="37"/>
      <c r="O21" s="37"/>
      <c r="P21" s="37"/>
      <c r="Q21" s="34"/>
      <c r="R21" s="34"/>
      <c r="S21" s="34"/>
      <c r="T21" s="34"/>
      <c r="U21" s="34"/>
      <c r="V21" s="37"/>
      <c r="W21" s="37"/>
      <c r="X21" s="37"/>
      <c r="Y21" s="38"/>
      <c r="Z21" s="11"/>
    </row>
    <row r="22" spans="1:26" ht="15.6" customHeight="1" x14ac:dyDescent="0.25">
      <c r="A22" s="5" t="s">
        <v>7</v>
      </c>
      <c r="B22" s="6" t="s">
        <v>30</v>
      </c>
      <c r="C22" s="39"/>
      <c r="D22" s="40"/>
      <c r="E22" s="40"/>
      <c r="F22" s="40"/>
      <c r="G22" s="40"/>
      <c r="H22" s="39"/>
      <c r="I22" s="39"/>
      <c r="J22" s="39"/>
      <c r="K22" s="39"/>
      <c r="L22" s="39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9"/>
    </row>
    <row r="23" spans="1:26" ht="15.75" customHeight="1" x14ac:dyDescent="0.25">
      <c r="A23" s="10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3"/>
    </row>
    <row r="24" spans="1:26" ht="15.75" customHeight="1" x14ac:dyDescent="0.25">
      <c r="A24" s="41"/>
      <c r="B24" s="166" t="s">
        <v>53</v>
      </c>
      <c r="C24" s="167"/>
      <c r="D24" s="167"/>
      <c r="E24" s="167"/>
      <c r="F24" s="167"/>
      <c r="G24" s="168"/>
      <c r="H24" s="166" t="s">
        <v>26</v>
      </c>
      <c r="I24" s="168"/>
      <c r="J24" s="42" t="s">
        <v>21</v>
      </c>
      <c r="K24" s="43" t="s">
        <v>51</v>
      </c>
      <c r="L24" s="43" t="s">
        <v>52</v>
      </c>
      <c r="M24" s="11"/>
      <c r="N24" s="166" t="s">
        <v>34</v>
      </c>
      <c r="O24" s="167"/>
      <c r="P24" s="168"/>
      <c r="Q24" s="166" t="s">
        <v>31</v>
      </c>
      <c r="R24" s="167"/>
      <c r="S24" s="168"/>
      <c r="T24" s="177" t="s">
        <v>46</v>
      </c>
      <c r="U24" s="178"/>
      <c r="V24" s="178"/>
      <c r="W24" s="178"/>
      <c r="X24" s="204"/>
      <c r="Y24" s="205"/>
      <c r="Z24" s="13"/>
    </row>
    <row r="25" spans="1:26" ht="15.75" customHeight="1" x14ac:dyDescent="0.25">
      <c r="A25" s="41"/>
      <c r="B25" s="169"/>
      <c r="C25" s="170"/>
      <c r="D25" s="170"/>
      <c r="E25" s="170"/>
      <c r="F25" s="170"/>
      <c r="G25" s="171"/>
      <c r="H25" s="209"/>
      <c r="I25" s="210"/>
      <c r="J25" s="44"/>
      <c r="K25" s="45" t="str">
        <f>IF(B25="","",(0.8*$V$29)/((0.8+(B25*$V$29)/100)))</f>
        <v/>
      </c>
      <c r="L25" s="46" t="str">
        <f>IF(B25="","",$V$29/(1+($V$29*B25/100)))</f>
        <v/>
      </c>
      <c r="M25" s="11"/>
      <c r="N25" s="47"/>
      <c r="O25" s="34"/>
      <c r="P25" s="48"/>
      <c r="Q25" s="47"/>
      <c r="R25" s="34"/>
      <c r="S25" s="48"/>
      <c r="T25" s="215" t="s">
        <v>18</v>
      </c>
      <c r="U25" s="216"/>
      <c r="V25" s="216"/>
      <c r="W25" s="217"/>
      <c r="X25" s="211"/>
      <c r="Y25" s="212"/>
      <c r="Z25" s="13"/>
    </row>
    <row r="26" spans="1:26" ht="15.75" customHeight="1" x14ac:dyDescent="0.25">
      <c r="A26" s="41"/>
      <c r="B26" s="172"/>
      <c r="C26" s="173"/>
      <c r="D26" s="173"/>
      <c r="E26" s="173"/>
      <c r="F26" s="173"/>
      <c r="G26" s="174"/>
      <c r="H26" s="200"/>
      <c r="I26" s="201"/>
      <c r="J26" s="49"/>
      <c r="K26" s="45" t="str">
        <f>IF(B26="","",(0.8*$V$29)/((0.8+(B26*$V$29)/100)))</f>
        <v/>
      </c>
      <c r="L26" s="50" t="str">
        <f>IF(B26="","",$V$29/(1+($V$29*B26/100)))</f>
        <v/>
      </c>
      <c r="M26" s="11"/>
      <c r="N26" s="51" t="s">
        <v>32</v>
      </c>
      <c r="O26" s="37"/>
      <c r="P26" s="52"/>
      <c r="Q26" s="51" t="s">
        <v>17</v>
      </c>
      <c r="R26" s="37"/>
      <c r="S26" s="52"/>
      <c r="T26" s="218" t="s">
        <v>20</v>
      </c>
      <c r="U26" s="219"/>
      <c r="V26" s="219"/>
      <c r="W26" s="220"/>
      <c r="X26" s="213"/>
      <c r="Y26" s="214"/>
      <c r="Z26" s="13"/>
    </row>
    <row r="27" spans="1:26" ht="15.75" customHeight="1" x14ac:dyDescent="0.25">
      <c r="A27" s="41"/>
      <c r="B27" s="172"/>
      <c r="C27" s="173"/>
      <c r="D27" s="173"/>
      <c r="E27" s="173"/>
      <c r="F27" s="173"/>
      <c r="G27" s="174"/>
      <c r="H27" s="200"/>
      <c r="I27" s="201"/>
      <c r="J27" s="49"/>
      <c r="K27" s="45" t="str">
        <f>IF(B27="","",(0.8*$V$29)/((0.8+(B27*$V$29)/100)))</f>
        <v/>
      </c>
      <c r="L27" s="50" t="str">
        <f>IF(B27="","",$V$29/(1+($V$29*B27/100)))</f>
        <v/>
      </c>
      <c r="M27" s="11"/>
      <c r="N27" s="51"/>
      <c r="O27" s="37"/>
      <c r="P27" s="52"/>
      <c r="Q27" s="51"/>
      <c r="R27" s="37"/>
      <c r="S27" s="37"/>
      <c r="T27" s="47" t="s">
        <v>36</v>
      </c>
      <c r="U27" s="34"/>
      <c r="V27" s="34"/>
      <c r="W27" s="34"/>
      <c r="X27" s="34"/>
      <c r="Y27" s="48"/>
      <c r="Z27" s="13"/>
    </row>
    <row r="28" spans="1:26" ht="15.75" customHeight="1" x14ac:dyDescent="0.25">
      <c r="A28" s="41"/>
      <c r="B28" s="172"/>
      <c r="C28" s="173"/>
      <c r="D28" s="173"/>
      <c r="E28" s="173"/>
      <c r="F28" s="173"/>
      <c r="G28" s="174"/>
      <c r="H28" s="200"/>
      <c r="I28" s="201"/>
      <c r="J28" s="49"/>
      <c r="K28" s="45" t="str">
        <f>IF(B28="","",(0.8*$V$29)/((0.8+(B28*$V$29)/100)))</f>
        <v/>
      </c>
      <c r="L28" s="50" t="str">
        <f>IF(B28="","",$V$29/(1+($V$29*B28/100)))</f>
        <v/>
      </c>
      <c r="M28" s="11"/>
      <c r="N28" s="51" t="s">
        <v>33</v>
      </c>
      <c r="O28" s="37"/>
      <c r="P28" s="52"/>
      <c r="Q28" s="51" t="s">
        <v>19</v>
      </c>
      <c r="R28" s="37"/>
      <c r="S28" s="52"/>
      <c r="T28" s="37"/>
      <c r="U28" s="37" t="s">
        <v>37</v>
      </c>
      <c r="V28" s="37"/>
      <c r="W28" s="37"/>
      <c r="X28" s="37" t="s">
        <v>38</v>
      </c>
      <c r="Y28" s="52"/>
      <c r="Z28" s="13"/>
    </row>
    <row r="29" spans="1:26" ht="15.75" customHeight="1" x14ac:dyDescent="0.25">
      <c r="A29" s="41"/>
      <c r="B29" s="206"/>
      <c r="C29" s="207"/>
      <c r="D29" s="207"/>
      <c r="E29" s="207"/>
      <c r="F29" s="207"/>
      <c r="G29" s="208"/>
      <c r="H29" s="202"/>
      <c r="I29" s="203"/>
      <c r="J29" s="53"/>
      <c r="K29" s="54" t="str">
        <f>IF(B29="","",(0.8*$V$29)/((0.8+(B29*$V$29)/100)))</f>
        <v/>
      </c>
      <c r="L29" s="54" t="str">
        <f>IF(B29="","",$V$29/(1+($V$29*B29/100)))</f>
        <v/>
      </c>
      <c r="M29" s="11"/>
      <c r="N29" s="55"/>
      <c r="O29" s="56"/>
      <c r="P29" s="57"/>
      <c r="Q29" s="55"/>
      <c r="R29" s="56"/>
      <c r="S29" s="56"/>
      <c r="T29" s="55"/>
      <c r="U29" s="56" t="s">
        <v>39</v>
      </c>
      <c r="V29" s="221">
        <v>2.65</v>
      </c>
      <c r="W29" s="221"/>
      <c r="X29" s="58" t="s">
        <v>40</v>
      </c>
      <c r="Y29" s="59"/>
      <c r="Z29" s="13"/>
    </row>
    <row r="30" spans="1:26" ht="15.75" customHeight="1" x14ac:dyDescent="0.25">
      <c r="A30" s="41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11"/>
      <c r="Y30" s="11"/>
      <c r="Z30" s="13"/>
    </row>
    <row r="31" spans="1:26" ht="15.75" customHeight="1" x14ac:dyDescent="0.25">
      <c r="A31" s="41"/>
      <c r="B31" s="11"/>
      <c r="C31" s="11"/>
      <c r="D31" s="11"/>
      <c r="E31" s="184" t="s">
        <v>35</v>
      </c>
      <c r="F31" s="184"/>
      <c r="G31" s="184"/>
      <c r="H31" s="186"/>
      <c r="I31" s="186"/>
      <c r="J31" s="186"/>
      <c r="K31" s="11"/>
      <c r="L31" s="11"/>
      <c r="M31" s="11"/>
      <c r="N31" s="11"/>
      <c r="O31" s="11"/>
      <c r="P31" s="166" t="s">
        <v>41</v>
      </c>
      <c r="Q31" s="179"/>
      <c r="R31" s="179"/>
      <c r="S31" s="180"/>
      <c r="T31" s="181" t="str">
        <f>IF(X26="","",H31/(1+X26/100*(H31/V29-1)))</f>
        <v/>
      </c>
      <c r="U31" s="182"/>
      <c r="V31" s="182"/>
      <c r="W31" s="183"/>
      <c r="X31" s="11"/>
      <c r="Y31" s="11"/>
      <c r="Z31" s="13"/>
    </row>
    <row r="32" spans="1:26" ht="15.75" customHeight="1" x14ac:dyDescent="0.25">
      <c r="A32" s="41"/>
      <c r="B32" s="11"/>
      <c r="C32" s="11"/>
      <c r="D32" s="11"/>
      <c r="E32" s="184" t="s">
        <v>54</v>
      </c>
      <c r="F32" s="184"/>
      <c r="G32" s="184"/>
      <c r="H32" s="185"/>
      <c r="I32" s="185"/>
      <c r="J32" s="185"/>
      <c r="K32" s="11"/>
      <c r="L32" s="11"/>
      <c r="M32" s="11"/>
      <c r="N32" s="11"/>
      <c r="O32" s="11"/>
      <c r="P32" s="166" t="s">
        <v>42</v>
      </c>
      <c r="Q32" s="179"/>
      <c r="R32" s="179"/>
      <c r="S32" s="180"/>
      <c r="T32" s="181" t="str">
        <f>IF(H32&lt;&gt;"",H32-(X26/100*H32),"")</f>
        <v/>
      </c>
      <c r="U32" s="182"/>
      <c r="V32" s="182"/>
      <c r="W32" s="183"/>
      <c r="X32" s="11"/>
      <c r="Y32" s="11"/>
      <c r="Z32" s="13"/>
    </row>
    <row r="33" spans="1:26" ht="15.75" customHeight="1" x14ac:dyDescent="0.25">
      <c r="A33" s="41"/>
      <c r="B33" s="11"/>
      <c r="C33" s="11"/>
      <c r="D33" s="11"/>
      <c r="E33" s="37"/>
      <c r="F33" s="37"/>
      <c r="G33" s="37"/>
      <c r="H33" s="37"/>
      <c r="I33" s="37"/>
      <c r="J33" s="37"/>
      <c r="K33" s="11"/>
      <c r="L33" s="11"/>
      <c r="M33" s="11"/>
      <c r="N33" s="11"/>
      <c r="O33" s="11"/>
      <c r="P33" s="37"/>
      <c r="Q33" s="37"/>
      <c r="R33" s="37"/>
      <c r="S33" s="37"/>
      <c r="T33" s="37"/>
      <c r="U33" s="37"/>
      <c r="V33" s="37"/>
      <c r="W33" s="37"/>
      <c r="X33" s="11"/>
      <c r="Y33" s="11"/>
      <c r="Z33" s="13"/>
    </row>
    <row r="34" spans="1:26" ht="15.75" customHeight="1" x14ac:dyDescent="0.25">
      <c r="A34" s="41"/>
      <c r="B34" s="11"/>
      <c r="C34" s="11"/>
      <c r="D34" s="11"/>
      <c r="E34" s="60"/>
      <c r="F34" s="60"/>
      <c r="G34" s="60"/>
      <c r="H34" s="61"/>
      <c r="I34" s="61"/>
      <c r="J34" s="61"/>
      <c r="K34" s="11"/>
      <c r="L34" s="11"/>
      <c r="M34" s="11"/>
      <c r="N34" s="11"/>
      <c r="O34" s="11"/>
      <c r="P34" s="62"/>
      <c r="Q34" s="63"/>
      <c r="R34" s="63"/>
      <c r="S34" s="63"/>
      <c r="T34" s="64"/>
      <c r="U34" s="65"/>
      <c r="V34" s="65"/>
      <c r="W34" s="65"/>
      <c r="X34" s="11"/>
      <c r="Y34" s="11"/>
      <c r="Z34" s="13"/>
    </row>
    <row r="35" spans="1:26" ht="15.75" customHeight="1" x14ac:dyDescent="0.25">
      <c r="A35" s="41"/>
      <c r="B35" s="11"/>
      <c r="C35" s="11"/>
      <c r="D35" s="11"/>
      <c r="E35" s="60"/>
      <c r="F35" s="60"/>
      <c r="G35" s="60"/>
      <c r="H35" s="66"/>
      <c r="I35" s="66"/>
      <c r="J35" s="66"/>
      <c r="K35" s="11"/>
      <c r="L35" s="11"/>
      <c r="M35" s="11"/>
      <c r="N35" s="11"/>
      <c r="O35" s="11"/>
      <c r="P35" s="62"/>
      <c r="Q35" s="63"/>
      <c r="R35" s="63"/>
      <c r="S35" s="63"/>
      <c r="T35" s="64"/>
      <c r="U35" s="65"/>
      <c r="V35" s="65"/>
      <c r="W35" s="65"/>
      <c r="X35" s="11"/>
      <c r="Y35" s="11"/>
      <c r="Z35" s="13"/>
    </row>
    <row r="36" spans="1:26" ht="15.75" customHeight="1" x14ac:dyDescent="0.25">
      <c r="A36" s="41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11"/>
      <c r="Y36" s="11"/>
      <c r="Z36" s="13"/>
    </row>
    <row r="37" spans="1:26" ht="15.75" customHeight="1" x14ac:dyDescent="0.25">
      <c r="A37" s="41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11"/>
      <c r="Y37" s="11"/>
      <c r="Z37" s="13"/>
    </row>
    <row r="38" spans="1:26" ht="15.75" customHeight="1" x14ac:dyDescent="0.25">
      <c r="A38" s="41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11"/>
      <c r="Y38" s="11"/>
      <c r="Z38" s="13"/>
    </row>
    <row r="39" spans="1:26" ht="15.75" customHeight="1" x14ac:dyDescent="0.25">
      <c r="A39" s="41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11"/>
      <c r="Y39" s="11"/>
      <c r="Z39" s="13"/>
    </row>
    <row r="40" spans="1:26" ht="15.75" customHeight="1" x14ac:dyDescent="0.25">
      <c r="A40" s="41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11"/>
      <c r="Y40" s="11"/>
      <c r="Z40" s="13"/>
    </row>
    <row r="41" spans="1:26" ht="15.75" customHeight="1" x14ac:dyDescent="0.25">
      <c r="A41" s="41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11"/>
      <c r="Y41" s="11"/>
      <c r="Z41" s="13"/>
    </row>
    <row r="42" spans="1:26" ht="15.75" customHeight="1" x14ac:dyDescent="0.25">
      <c r="A42" s="41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11"/>
      <c r="Y42" s="11"/>
      <c r="Z42" s="13"/>
    </row>
    <row r="43" spans="1:26" ht="15.75" customHeight="1" x14ac:dyDescent="0.25">
      <c r="A43" s="41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11"/>
      <c r="Y43" s="11"/>
      <c r="Z43" s="13"/>
    </row>
    <row r="44" spans="1:26" ht="15.75" customHeight="1" x14ac:dyDescent="0.25">
      <c r="A44" s="41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11"/>
      <c r="Y44" s="11"/>
      <c r="Z44" s="13"/>
    </row>
    <row r="45" spans="1:26" ht="15.75" customHeight="1" x14ac:dyDescent="0.25">
      <c r="A45" s="41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11"/>
      <c r="Y45" s="11"/>
      <c r="Z45" s="13"/>
    </row>
    <row r="46" spans="1:26" ht="15.75" customHeight="1" x14ac:dyDescent="0.25">
      <c r="A46" s="41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11"/>
      <c r="Y46" s="11"/>
      <c r="Z46" s="13"/>
    </row>
    <row r="47" spans="1:26" ht="15.75" customHeight="1" x14ac:dyDescent="0.25">
      <c r="A47" s="41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67"/>
      <c r="Y47" s="67"/>
      <c r="Z47" s="68"/>
    </row>
    <row r="48" spans="1:26" ht="15.75" customHeight="1" x14ac:dyDescent="0.25">
      <c r="A48" s="41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8"/>
      <c r="S48" s="38"/>
      <c r="T48" s="38"/>
      <c r="U48" s="38"/>
      <c r="V48" s="38"/>
      <c r="W48" s="37"/>
      <c r="X48" s="69"/>
      <c r="Y48" s="69"/>
      <c r="Z48" s="70"/>
    </row>
    <row r="49" spans="1:26" ht="15.75" customHeight="1" x14ac:dyDescent="0.25">
      <c r="A49" s="41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69"/>
      <c r="Y49" s="69"/>
      <c r="Z49" s="70"/>
    </row>
    <row r="50" spans="1:26" ht="15.75" customHeight="1" x14ac:dyDescent="0.25">
      <c r="A50" s="41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69"/>
      <c r="Y50" s="69"/>
      <c r="Z50" s="70"/>
    </row>
    <row r="51" spans="1:26" ht="15.75" customHeight="1" x14ac:dyDescent="0.25">
      <c r="A51" s="41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69"/>
      <c r="Y51" s="69"/>
      <c r="Z51" s="70"/>
    </row>
    <row r="52" spans="1:26" ht="15.75" customHeight="1" x14ac:dyDescent="0.25">
      <c r="A52" s="41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69"/>
      <c r="Y52" s="69"/>
      <c r="Z52" s="70"/>
    </row>
    <row r="53" spans="1:26" ht="15.75" customHeight="1" x14ac:dyDescent="0.25">
      <c r="A53" s="41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69"/>
      <c r="Y53" s="69"/>
      <c r="Z53" s="70"/>
    </row>
    <row r="54" spans="1:26" ht="15.75" customHeight="1" x14ac:dyDescent="0.25">
      <c r="A54" s="41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69"/>
      <c r="Y54" s="69"/>
      <c r="Z54" s="70"/>
    </row>
    <row r="55" spans="1:26" ht="15.75" customHeight="1" x14ac:dyDescent="0.25">
      <c r="A55" s="41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71"/>
      <c r="U55" s="72"/>
      <c r="V55" s="71"/>
      <c r="W55" s="37"/>
      <c r="X55" s="69"/>
      <c r="Y55" s="69"/>
      <c r="Z55" s="70"/>
    </row>
    <row r="56" spans="1:26" ht="15.75" customHeight="1" x14ac:dyDescent="0.25">
      <c r="A56" s="41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71"/>
      <c r="U56" s="72"/>
      <c r="V56" s="37"/>
      <c r="W56" s="37"/>
      <c r="X56" s="69"/>
      <c r="Y56" s="69"/>
      <c r="Z56" s="70"/>
    </row>
    <row r="57" spans="1:26" ht="15.75" customHeight="1" x14ac:dyDescent="0.25">
      <c r="A57" s="41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73"/>
      <c r="V57" s="37"/>
      <c r="W57" s="37"/>
      <c r="X57" s="69"/>
      <c r="Y57" s="69"/>
      <c r="Z57" s="70"/>
    </row>
    <row r="58" spans="1:26" ht="15.75" customHeight="1" x14ac:dyDescent="0.25">
      <c r="A58" s="41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73"/>
      <c r="V58" s="37"/>
      <c r="W58" s="37"/>
      <c r="X58" s="69"/>
      <c r="Y58" s="69"/>
      <c r="Z58" s="70"/>
    </row>
    <row r="59" spans="1:26" ht="15.75" customHeight="1" x14ac:dyDescent="0.25">
      <c r="A59" s="41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73"/>
      <c r="V59" s="37"/>
      <c r="W59" s="37"/>
      <c r="X59" s="69"/>
      <c r="Y59" s="69"/>
      <c r="Z59" s="70"/>
    </row>
    <row r="60" spans="1:26" ht="15.75" customHeight="1" x14ac:dyDescent="0.25">
      <c r="A60" s="41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6"/>
      <c r="V60" s="37"/>
      <c r="W60" s="37"/>
      <c r="X60" s="69"/>
      <c r="Y60" s="69"/>
      <c r="Z60" s="70"/>
    </row>
    <row r="61" spans="1:26" ht="15.75" customHeight="1" x14ac:dyDescent="0.25">
      <c r="A61" s="74"/>
      <c r="B61" s="56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75"/>
      <c r="Y61" s="75"/>
      <c r="Z61" s="76"/>
    </row>
    <row r="62" spans="1:26" ht="15.75" customHeight="1" x14ac:dyDescent="0.25">
      <c r="A62" s="41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72"/>
      <c r="T62" s="37"/>
      <c r="U62" s="37"/>
      <c r="V62" s="37"/>
      <c r="W62" s="37"/>
      <c r="X62" s="11"/>
      <c r="Y62" s="11"/>
      <c r="Z62" s="11"/>
    </row>
    <row r="63" spans="1:26" ht="15.6" customHeight="1" x14ac:dyDescent="0.25">
      <c r="A63" s="77" t="s">
        <v>88</v>
      </c>
      <c r="B63" s="78" t="s">
        <v>29</v>
      </c>
      <c r="C63" s="79"/>
      <c r="D63" s="79"/>
      <c r="E63" s="79"/>
      <c r="F63" s="80"/>
      <c r="G63" s="80"/>
      <c r="H63" s="80"/>
      <c r="I63" s="7"/>
      <c r="J63" s="7"/>
      <c r="K63" s="7"/>
      <c r="L63" s="7"/>
      <c r="M63" s="7"/>
      <c r="N63" s="7"/>
      <c r="O63" s="7"/>
      <c r="P63" s="7"/>
      <c r="Q63" s="80"/>
      <c r="R63" s="7"/>
      <c r="S63" s="7"/>
      <c r="T63" s="7"/>
      <c r="U63" s="163"/>
      <c r="V63" s="163"/>
      <c r="W63" s="163"/>
      <c r="X63" s="164"/>
      <c r="Y63" s="164"/>
      <c r="Z63" s="165"/>
    </row>
    <row r="64" spans="1:26" ht="26.4" customHeight="1" x14ac:dyDescent="0.25">
      <c r="A64" s="175" t="s">
        <v>90</v>
      </c>
      <c r="B64" s="176"/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392"/>
      <c r="R64" s="156" t="s">
        <v>27</v>
      </c>
      <c r="S64" s="157"/>
      <c r="T64" s="158"/>
      <c r="U64" s="159"/>
      <c r="V64" s="160"/>
      <c r="W64" s="160"/>
      <c r="X64" s="161"/>
      <c r="Y64" s="161"/>
      <c r="Z64" s="162"/>
    </row>
    <row r="65" spans="1:26" ht="26.4" customHeight="1" x14ac:dyDescent="0.25">
      <c r="A65" s="393"/>
      <c r="B65" s="394"/>
      <c r="C65" s="394"/>
      <c r="D65" s="394"/>
      <c r="E65" s="394"/>
      <c r="F65" s="394"/>
      <c r="G65" s="394"/>
      <c r="H65" s="394"/>
      <c r="I65" s="394"/>
      <c r="J65" s="394"/>
      <c r="K65" s="394"/>
      <c r="L65" s="394"/>
      <c r="M65" s="394"/>
      <c r="N65" s="394"/>
      <c r="O65" s="394"/>
      <c r="P65" s="394"/>
      <c r="Q65" s="395"/>
      <c r="R65" s="156"/>
      <c r="S65" s="157"/>
      <c r="T65" s="158"/>
      <c r="U65" s="196"/>
      <c r="V65" s="197"/>
      <c r="W65" s="197"/>
      <c r="X65" s="192"/>
      <c r="Y65" s="192"/>
      <c r="Z65" s="193"/>
    </row>
    <row r="66" spans="1:26" ht="15.6" customHeight="1" x14ac:dyDescent="0.25">
      <c r="A66" s="81" t="s">
        <v>89</v>
      </c>
      <c r="B66" s="82" t="s">
        <v>8</v>
      </c>
      <c r="C66" s="11"/>
      <c r="D66" s="11"/>
      <c r="E66" s="83"/>
      <c r="F66" s="83"/>
      <c r="G66" s="83"/>
      <c r="H66" s="83"/>
      <c r="I66" s="83"/>
      <c r="J66" s="83"/>
      <c r="K66" s="83"/>
      <c r="L66" s="83"/>
      <c r="M66" s="83"/>
      <c r="N66" s="83"/>
      <c r="O66" s="83"/>
      <c r="P66" s="83"/>
      <c r="Q66" s="84"/>
      <c r="R66" s="156"/>
      <c r="S66" s="157"/>
      <c r="T66" s="158"/>
      <c r="U66" s="198"/>
      <c r="V66" s="199"/>
      <c r="W66" s="199"/>
      <c r="X66" s="194"/>
      <c r="Y66" s="194"/>
      <c r="Z66" s="195"/>
    </row>
    <row r="67" spans="1:26" ht="15.6" customHeight="1" x14ac:dyDescent="0.25">
      <c r="A67" s="406"/>
      <c r="B67" s="407"/>
      <c r="C67" s="407"/>
      <c r="D67" s="407"/>
      <c r="E67" s="407"/>
      <c r="F67" s="407"/>
      <c r="G67" s="407"/>
      <c r="H67" s="407"/>
      <c r="I67" s="407"/>
      <c r="J67" s="407"/>
      <c r="K67" s="407"/>
      <c r="L67" s="407"/>
      <c r="M67" s="407"/>
      <c r="N67" s="407"/>
      <c r="O67" s="407"/>
      <c r="P67" s="407"/>
      <c r="Q67" s="408"/>
      <c r="R67" s="156" t="s">
        <v>28</v>
      </c>
      <c r="S67" s="157"/>
      <c r="T67" s="158"/>
      <c r="U67" s="396"/>
      <c r="V67" s="397"/>
      <c r="W67" s="397"/>
      <c r="X67" s="398"/>
      <c r="Y67" s="398"/>
      <c r="Z67" s="399"/>
    </row>
    <row r="68" spans="1:26" ht="15.6" customHeight="1" x14ac:dyDescent="0.25">
      <c r="A68" s="406"/>
      <c r="B68" s="407"/>
      <c r="C68" s="407"/>
      <c r="D68" s="407"/>
      <c r="E68" s="407"/>
      <c r="F68" s="407"/>
      <c r="G68" s="407"/>
      <c r="H68" s="407"/>
      <c r="I68" s="407"/>
      <c r="J68" s="407"/>
      <c r="K68" s="407"/>
      <c r="L68" s="407"/>
      <c r="M68" s="407"/>
      <c r="N68" s="407"/>
      <c r="O68" s="407"/>
      <c r="P68" s="407"/>
      <c r="Q68" s="408"/>
      <c r="R68" s="156"/>
      <c r="S68" s="157"/>
      <c r="T68" s="158"/>
      <c r="U68" s="400"/>
      <c r="V68" s="191"/>
      <c r="W68" s="191"/>
      <c r="X68" s="191"/>
      <c r="Y68" s="191"/>
      <c r="Z68" s="401"/>
    </row>
    <row r="69" spans="1:26" ht="15.6" customHeight="1" x14ac:dyDescent="0.25">
      <c r="A69" s="406"/>
      <c r="B69" s="407"/>
      <c r="C69" s="407"/>
      <c r="D69" s="407"/>
      <c r="E69" s="407"/>
      <c r="F69" s="407"/>
      <c r="G69" s="407"/>
      <c r="H69" s="407"/>
      <c r="I69" s="407"/>
      <c r="J69" s="407"/>
      <c r="K69" s="407"/>
      <c r="L69" s="407"/>
      <c r="M69" s="407"/>
      <c r="N69" s="407"/>
      <c r="O69" s="407"/>
      <c r="P69" s="407"/>
      <c r="Q69" s="408"/>
      <c r="R69" s="156"/>
      <c r="S69" s="157"/>
      <c r="T69" s="158"/>
      <c r="U69" s="400"/>
      <c r="V69" s="191"/>
      <c r="W69" s="191"/>
      <c r="X69" s="191"/>
      <c r="Y69" s="191"/>
      <c r="Z69" s="401"/>
    </row>
    <row r="70" spans="1:26" ht="15.6" customHeight="1" x14ac:dyDescent="0.25">
      <c r="A70" s="409"/>
      <c r="B70" s="410"/>
      <c r="C70" s="410"/>
      <c r="D70" s="410"/>
      <c r="E70" s="410"/>
      <c r="F70" s="410"/>
      <c r="G70" s="410"/>
      <c r="H70" s="410"/>
      <c r="I70" s="410"/>
      <c r="J70" s="410"/>
      <c r="K70" s="410"/>
      <c r="L70" s="410"/>
      <c r="M70" s="410"/>
      <c r="N70" s="410"/>
      <c r="O70" s="410"/>
      <c r="P70" s="410"/>
      <c r="Q70" s="411"/>
      <c r="R70" s="188"/>
      <c r="S70" s="189"/>
      <c r="T70" s="190"/>
      <c r="U70" s="402"/>
      <c r="V70" s="403"/>
      <c r="W70" s="403"/>
      <c r="X70" s="404"/>
      <c r="Y70" s="404"/>
      <c r="Z70" s="405"/>
    </row>
  </sheetData>
  <sheetProtection selectLockedCells="1"/>
  <mergeCells count="73">
    <mergeCell ref="A64:Q64"/>
    <mergeCell ref="A65:Q65"/>
    <mergeCell ref="V68:Y69"/>
    <mergeCell ref="N24:P24"/>
    <mergeCell ref="P6:T6"/>
    <mergeCell ref="A7:F7"/>
    <mergeCell ref="G7:Z7"/>
    <mergeCell ref="A1:F6"/>
    <mergeCell ref="G1:T1"/>
    <mergeCell ref="U1:Z6"/>
    <mergeCell ref="G2:T4"/>
    <mergeCell ref="G5:H5"/>
    <mergeCell ref="H12:M12"/>
    <mergeCell ref="I18:Y18"/>
    <mergeCell ref="V10:W10"/>
    <mergeCell ref="X10:Y10"/>
    <mergeCell ref="S11:Y11"/>
    <mergeCell ref="I19:Y19"/>
    <mergeCell ref="B19:H19"/>
    <mergeCell ref="B10:G10"/>
    <mergeCell ref="B18:H18"/>
    <mergeCell ref="B13:G13"/>
    <mergeCell ref="B11:G11"/>
    <mergeCell ref="J5:K5"/>
    <mergeCell ref="B12:G12"/>
    <mergeCell ref="L5:O5"/>
    <mergeCell ref="P5:T5"/>
    <mergeCell ref="J6:K6"/>
    <mergeCell ref="L6:O6"/>
    <mergeCell ref="S13:Y13"/>
    <mergeCell ref="S12:Y12"/>
    <mergeCell ref="H10:M10"/>
    <mergeCell ref="N10:U10"/>
    <mergeCell ref="N12:R12"/>
    <mergeCell ref="N13:R13"/>
    <mergeCell ref="N11:R11"/>
    <mergeCell ref="H11:M11"/>
    <mergeCell ref="H13:M13"/>
    <mergeCell ref="H27:I27"/>
    <mergeCell ref="H28:I28"/>
    <mergeCell ref="H29:I29"/>
    <mergeCell ref="E31:G31"/>
    <mergeCell ref="X24:Y24"/>
    <mergeCell ref="B29:G29"/>
    <mergeCell ref="H25:I25"/>
    <mergeCell ref="H26:I26"/>
    <mergeCell ref="H24:I24"/>
    <mergeCell ref="B27:G27"/>
    <mergeCell ref="B28:G28"/>
    <mergeCell ref="X25:Y25"/>
    <mergeCell ref="X26:Y26"/>
    <mergeCell ref="T25:W25"/>
    <mergeCell ref="T26:W26"/>
    <mergeCell ref="V29:W29"/>
    <mergeCell ref="A67:Q70"/>
    <mergeCell ref="R67:T70"/>
    <mergeCell ref="R65:T66"/>
    <mergeCell ref="U65:Z66"/>
    <mergeCell ref="R64:T64"/>
    <mergeCell ref="U64:Z64"/>
    <mergeCell ref="U63:Z63"/>
    <mergeCell ref="B24:G24"/>
    <mergeCell ref="B25:G25"/>
    <mergeCell ref="B26:G26"/>
    <mergeCell ref="Q24:S24"/>
    <mergeCell ref="T24:W24"/>
    <mergeCell ref="P32:S32"/>
    <mergeCell ref="T32:W32"/>
    <mergeCell ref="P31:S31"/>
    <mergeCell ref="T31:W31"/>
    <mergeCell ref="E32:G32"/>
    <mergeCell ref="H32:J32"/>
    <mergeCell ref="H31:J31"/>
  </mergeCells>
  <phoneticPr fontId="1" type="noConversion"/>
  <printOptions horizontalCentered="1"/>
  <pageMargins left="0.39370078740157483" right="0.39370078740157483" top="0.39370078740157483" bottom="0.39370078740157483" header="0" footer="0.19685039370078741"/>
  <pageSetup paperSize="9" scale="71" orientation="portrait" r:id="rId1"/>
  <headerFooter alignWithMargins="0">
    <oddFooter>&amp;RDG-Q / CRE PR du 06/04/2011</oddFooter>
  </headerFooter>
  <drawing r:id="rId2"/>
  <legacyDrawing r:id="rId3"/>
  <controls>
    <mc:AlternateContent xmlns:mc="http://schemas.openxmlformats.org/markup-compatibility/2006">
      <mc:Choice Requires="x14">
        <control shapeId="6171" r:id="rId4" name="CommandButton1">
          <controlPr defaultSize="0" autoLine="0" r:id="rId5">
            <anchor moveWithCells="1">
              <from>
                <xdr:col>26</xdr:col>
                <xdr:colOff>518160</xdr:colOff>
                <xdr:row>66</xdr:row>
                <xdr:rowOff>175260</xdr:rowOff>
              </from>
              <to>
                <xdr:col>28</xdr:col>
                <xdr:colOff>495300</xdr:colOff>
                <xdr:row>69</xdr:row>
                <xdr:rowOff>22860</xdr:rowOff>
              </to>
            </anchor>
          </controlPr>
        </control>
      </mc:Choice>
      <mc:Fallback>
        <control shapeId="6171" r:id="rId4" name="CommandButton1"/>
      </mc:Fallback>
    </mc:AlternateContent>
    <mc:AlternateContent xmlns:mc="http://schemas.openxmlformats.org/markup-compatibility/2006">
      <mc:Choice Requires="x14">
        <control shapeId="6163" r:id="rId6" name="Check Box 19">
          <controlPr locked="0" defaultSize="0" autoFill="0" autoLine="0" autoPict="0">
            <anchor moveWithCells="1">
              <from>
                <xdr:col>15</xdr:col>
                <xdr:colOff>68580</xdr:colOff>
                <xdr:row>24</xdr:row>
                <xdr:rowOff>182880</xdr:rowOff>
              </from>
              <to>
                <xdr:col>16</xdr:col>
                <xdr:colOff>30480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6" r:id="rId7" name="Check Box 22">
          <controlPr locked="0" defaultSize="0" autoFill="0" autoLine="0" autoPict="0">
            <anchor moveWithCells="1">
              <from>
                <xdr:col>15</xdr:col>
                <xdr:colOff>68580</xdr:colOff>
                <xdr:row>26</xdr:row>
                <xdr:rowOff>182880</xdr:rowOff>
              </from>
              <to>
                <xdr:col>16</xdr:col>
                <xdr:colOff>30480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7" r:id="rId8" name="Check Box 23">
          <controlPr locked="0" defaultSize="0" autoFill="0" autoLine="0" autoPict="0">
            <anchor moveWithCells="1">
              <from>
                <xdr:col>18</xdr:col>
                <xdr:colOff>68580</xdr:colOff>
                <xdr:row>24</xdr:row>
                <xdr:rowOff>182880</xdr:rowOff>
              </from>
              <to>
                <xdr:col>19</xdr:col>
                <xdr:colOff>30480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8" r:id="rId9" name="Check Box 24">
          <controlPr locked="0" defaultSize="0" autoFill="0" autoLine="0" autoPict="0">
            <anchor moveWithCells="1">
              <from>
                <xdr:col>18</xdr:col>
                <xdr:colOff>68580</xdr:colOff>
                <xdr:row>26</xdr:row>
                <xdr:rowOff>182880</xdr:rowOff>
              </from>
              <to>
                <xdr:col>19</xdr:col>
                <xdr:colOff>30480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9" r:id="rId10" name="Check Box 25">
          <controlPr locked="0" defaultSize="0" autoFill="0" autoLine="0" autoPict="0">
            <anchor moveWithCells="1">
              <from>
                <xdr:col>22</xdr:col>
                <xdr:colOff>68580</xdr:colOff>
                <xdr:row>26</xdr:row>
                <xdr:rowOff>182880</xdr:rowOff>
              </from>
              <to>
                <xdr:col>23</xdr:col>
                <xdr:colOff>30480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0" r:id="rId11" name="Check Box 26">
          <controlPr locked="0" defaultSize="0" autoFill="0" autoLine="0" autoPict="0">
            <anchor moveWithCells="1">
              <from>
                <xdr:col>19</xdr:col>
                <xdr:colOff>68580</xdr:colOff>
                <xdr:row>26</xdr:row>
                <xdr:rowOff>182880</xdr:rowOff>
              </from>
              <to>
                <xdr:col>20</xdr:col>
                <xdr:colOff>30480</xdr:colOff>
                <xdr:row>28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Z70"/>
  <sheetViews>
    <sheetView topLeftCell="A46" workbookViewId="0">
      <selection activeCell="U65" sqref="U65:Z66"/>
    </sheetView>
  </sheetViews>
  <sheetFormatPr baseColWidth="10" defaultColWidth="11.44140625" defaultRowHeight="12.75" customHeight="1" x14ac:dyDescent="0.25"/>
  <cols>
    <col min="1" max="1" width="5.109375" style="85" customWidth="1"/>
    <col min="2" max="26" width="5.109375" style="1" customWidth="1"/>
    <col min="27" max="16384" width="11.44140625" style="1"/>
  </cols>
  <sheetData>
    <row r="1" spans="1:26" ht="12.75" customHeight="1" x14ac:dyDescent="0.25">
      <c r="A1" s="230"/>
      <c r="B1" s="231"/>
      <c r="C1" s="231"/>
      <c r="D1" s="231"/>
      <c r="E1" s="231"/>
      <c r="F1" s="232"/>
      <c r="G1" s="239" t="s">
        <v>14</v>
      </c>
      <c r="H1" s="240"/>
      <c r="I1" s="240"/>
      <c r="J1" s="240"/>
      <c r="K1" s="240"/>
      <c r="L1" s="240"/>
      <c r="M1" s="240"/>
      <c r="N1" s="240"/>
      <c r="O1" s="240"/>
      <c r="P1" s="240"/>
      <c r="Q1" s="240"/>
      <c r="R1" s="240"/>
      <c r="S1" s="240"/>
      <c r="T1" s="241"/>
      <c r="U1" s="242"/>
      <c r="V1" s="243"/>
      <c r="W1" s="243"/>
      <c r="X1" s="243"/>
      <c r="Y1" s="243"/>
      <c r="Z1" s="244"/>
    </row>
    <row r="2" spans="1:26" ht="12.75" customHeight="1" x14ac:dyDescent="0.25">
      <c r="A2" s="233"/>
      <c r="B2" s="234"/>
      <c r="C2" s="234"/>
      <c r="D2" s="234"/>
      <c r="E2" s="234"/>
      <c r="F2" s="235"/>
      <c r="G2" s="251" t="s">
        <v>58</v>
      </c>
      <c r="H2" s="252"/>
      <c r="I2" s="252"/>
      <c r="J2" s="252"/>
      <c r="K2" s="252"/>
      <c r="L2" s="252"/>
      <c r="M2" s="252"/>
      <c r="N2" s="252"/>
      <c r="O2" s="252"/>
      <c r="P2" s="252"/>
      <c r="Q2" s="252"/>
      <c r="R2" s="252"/>
      <c r="S2" s="252"/>
      <c r="T2" s="253"/>
      <c r="U2" s="245"/>
      <c r="V2" s="246"/>
      <c r="W2" s="246"/>
      <c r="X2" s="246"/>
      <c r="Y2" s="246"/>
      <c r="Z2" s="247"/>
    </row>
    <row r="3" spans="1:26" ht="12.75" customHeight="1" x14ac:dyDescent="0.25">
      <c r="A3" s="233"/>
      <c r="B3" s="234"/>
      <c r="C3" s="234"/>
      <c r="D3" s="234"/>
      <c r="E3" s="234"/>
      <c r="F3" s="235"/>
      <c r="G3" s="251"/>
      <c r="H3" s="252"/>
      <c r="I3" s="252"/>
      <c r="J3" s="252"/>
      <c r="K3" s="252"/>
      <c r="L3" s="252"/>
      <c r="M3" s="252"/>
      <c r="N3" s="252"/>
      <c r="O3" s="252"/>
      <c r="P3" s="252"/>
      <c r="Q3" s="252"/>
      <c r="R3" s="252"/>
      <c r="S3" s="252"/>
      <c r="T3" s="253"/>
      <c r="U3" s="245"/>
      <c r="V3" s="246"/>
      <c r="W3" s="246"/>
      <c r="X3" s="246"/>
      <c r="Y3" s="246"/>
      <c r="Z3" s="247"/>
    </row>
    <row r="4" spans="1:26" ht="12.75" customHeight="1" x14ac:dyDescent="0.25">
      <c r="A4" s="233"/>
      <c r="B4" s="234"/>
      <c r="C4" s="234"/>
      <c r="D4" s="234"/>
      <c r="E4" s="234"/>
      <c r="F4" s="235"/>
      <c r="G4" s="251"/>
      <c r="H4" s="252"/>
      <c r="I4" s="252"/>
      <c r="J4" s="252"/>
      <c r="K4" s="252"/>
      <c r="L4" s="252"/>
      <c r="M4" s="252"/>
      <c r="N4" s="252"/>
      <c r="O4" s="252"/>
      <c r="P4" s="252"/>
      <c r="Q4" s="252"/>
      <c r="R4" s="252"/>
      <c r="S4" s="252"/>
      <c r="T4" s="253"/>
      <c r="U4" s="245"/>
      <c r="V4" s="246"/>
      <c r="W4" s="246"/>
      <c r="X4" s="246"/>
      <c r="Y4" s="246"/>
      <c r="Z4" s="247"/>
    </row>
    <row r="5" spans="1:26" ht="12.75" customHeight="1" x14ac:dyDescent="0.25">
      <c r="A5" s="233"/>
      <c r="B5" s="234"/>
      <c r="C5" s="234"/>
      <c r="D5" s="234"/>
      <c r="E5" s="234"/>
      <c r="F5" s="235"/>
      <c r="G5" s="254" t="s">
        <v>22</v>
      </c>
      <c r="H5" s="255"/>
      <c r="I5" s="2"/>
      <c r="J5" s="384"/>
      <c r="K5" s="385"/>
      <c r="L5" s="386"/>
      <c r="M5" s="387"/>
      <c r="N5" s="387"/>
      <c r="O5" s="388"/>
      <c r="P5" s="389"/>
      <c r="Q5" s="390"/>
      <c r="R5" s="390"/>
      <c r="S5" s="390"/>
      <c r="T5" s="391"/>
      <c r="U5" s="245"/>
      <c r="V5" s="246"/>
      <c r="W5" s="246"/>
      <c r="X5" s="246"/>
      <c r="Y5" s="246"/>
      <c r="Z5" s="247"/>
    </row>
    <row r="6" spans="1:26" ht="12.75" customHeight="1" x14ac:dyDescent="0.25">
      <c r="A6" s="236"/>
      <c r="B6" s="237"/>
      <c r="C6" s="237"/>
      <c r="D6" s="237"/>
      <c r="E6" s="237"/>
      <c r="F6" s="238"/>
      <c r="G6" s="3"/>
      <c r="H6" s="4"/>
      <c r="I6" s="4"/>
      <c r="J6" s="222" t="s">
        <v>55</v>
      </c>
      <c r="K6" s="222"/>
      <c r="L6" s="222" t="s">
        <v>15</v>
      </c>
      <c r="M6" s="222"/>
      <c r="N6" s="222"/>
      <c r="O6" s="222"/>
      <c r="P6" s="222" t="s">
        <v>56</v>
      </c>
      <c r="Q6" s="222"/>
      <c r="R6" s="222"/>
      <c r="S6" s="222"/>
      <c r="T6" s="227"/>
      <c r="U6" s="248"/>
      <c r="V6" s="249"/>
      <c r="W6" s="249"/>
      <c r="X6" s="249"/>
      <c r="Y6" s="249"/>
      <c r="Z6" s="250"/>
    </row>
    <row r="7" spans="1:26" ht="36.6" customHeight="1" x14ac:dyDescent="0.25">
      <c r="A7" s="228" t="s">
        <v>11</v>
      </c>
      <c r="B7" s="228"/>
      <c r="C7" s="228"/>
      <c r="D7" s="228"/>
      <c r="E7" s="228"/>
      <c r="F7" s="228"/>
      <c r="G7" s="229" t="s">
        <v>13</v>
      </c>
      <c r="H7" s="229"/>
      <c r="I7" s="229"/>
      <c r="J7" s="229"/>
      <c r="K7" s="229"/>
      <c r="L7" s="229"/>
      <c r="M7" s="229"/>
      <c r="N7" s="229"/>
      <c r="O7" s="229"/>
      <c r="P7" s="229"/>
      <c r="Q7" s="229"/>
      <c r="R7" s="229"/>
      <c r="S7" s="229"/>
      <c r="T7" s="229"/>
      <c r="U7" s="229"/>
      <c r="V7" s="229"/>
      <c r="W7" s="229"/>
      <c r="X7" s="229"/>
      <c r="Y7" s="229"/>
      <c r="Z7" s="229"/>
    </row>
    <row r="8" spans="1:26" ht="15.6" customHeight="1" x14ac:dyDescent="0.25">
      <c r="A8" s="5" t="s">
        <v>5</v>
      </c>
      <c r="B8" s="6" t="s">
        <v>0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26" ht="8.25" customHeight="1" x14ac:dyDescent="0.25">
      <c r="A9" s="10"/>
      <c r="B9" s="11"/>
      <c r="C9" s="11"/>
      <c r="D9" s="12"/>
      <c r="E9" s="12"/>
      <c r="F9" s="12"/>
      <c r="G9" s="12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3"/>
    </row>
    <row r="10" spans="1:26" ht="15.9" customHeight="1" x14ac:dyDescent="0.25">
      <c r="A10" s="10"/>
      <c r="B10" s="225" t="s">
        <v>10</v>
      </c>
      <c r="C10" s="225"/>
      <c r="D10" s="225"/>
      <c r="E10" s="225"/>
      <c r="F10" s="225"/>
      <c r="G10" s="225"/>
      <c r="H10" s="224"/>
      <c r="I10" s="224"/>
      <c r="J10" s="224"/>
      <c r="K10" s="224"/>
      <c r="L10" s="224"/>
      <c r="M10" s="224"/>
      <c r="N10" s="225" t="s">
        <v>16</v>
      </c>
      <c r="O10" s="225"/>
      <c r="P10" s="225"/>
      <c r="Q10" s="225"/>
      <c r="R10" s="225"/>
      <c r="S10" s="225"/>
      <c r="T10" s="225"/>
      <c r="U10" s="225"/>
      <c r="V10" s="256"/>
      <c r="W10" s="256"/>
      <c r="X10" s="256"/>
      <c r="Y10" s="256"/>
      <c r="Z10" s="14"/>
    </row>
    <row r="11" spans="1:26" ht="15.9" customHeight="1" x14ac:dyDescent="0.25">
      <c r="A11" s="10"/>
      <c r="B11" s="225" t="s">
        <v>4</v>
      </c>
      <c r="C11" s="225"/>
      <c r="D11" s="225"/>
      <c r="E11" s="225"/>
      <c r="F11" s="225"/>
      <c r="G11" s="225"/>
      <c r="H11" s="224"/>
      <c r="I11" s="224"/>
      <c r="J11" s="224"/>
      <c r="K11" s="224"/>
      <c r="L11" s="224"/>
      <c r="M11" s="224"/>
      <c r="N11" s="225" t="s">
        <v>2</v>
      </c>
      <c r="O11" s="225"/>
      <c r="P11" s="225"/>
      <c r="Q11" s="225"/>
      <c r="R11" s="225"/>
      <c r="S11" s="223"/>
      <c r="T11" s="223"/>
      <c r="U11" s="223"/>
      <c r="V11" s="223"/>
      <c r="W11" s="223"/>
      <c r="X11" s="223"/>
      <c r="Y11" s="223"/>
      <c r="Z11" s="14"/>
    </row>
    <row r="12" spans="1:26" ht="15.75" customHeight="1" x14ac:dyDescent="0.25">
      <c r="A12" s="10"/>
      <c r="B12" s="225" t="s">
        <v>9</v>
      </c>
      <c r="C12" s="225"/>
      <c r="D12" s="225"/>
      <c r="E12" s="225"/>
      <c r="F12" s="225"/>
      <c r="G12" s="225"/>
      <c r="H12" s="224"/>
      <c r="I12" s="224"/>
      <c r="J12" s="224"/>
      <c r="K12" s="224"/>
      <c r="L12" s="224"/>
      <c r="M12" s="224"/>
      <c r="N12" s="225" t="s">
        <v>3</v>
      </c>
      <c r="O12" s="225"/>
      <c r="P12" s="225"/>
      <c r="Q12" s="225"/>
      <c r="R12" s="225"/>
      <c r="S12" s="223"/>
      <c r="T12" s="223"/>
      <c r="U12" s="223"/>
      <c r="V12" s="223"/>
      <c r="W12" s="223"/>
      <c r="X12" s="223"/>
      <c r="Y12" s="223"/>
      <c r="Z12" s="14"/>
    </row>
    <row r="13" spans="1:26" ht="15.9" customHeight="1" x14ac:dyDescent="0.25">
      <c r="A13" s="10"/>
      <c r="B13" s="225" t="s">
        <v>1</v>
      </c>
      <c r="C13" s="225"/>
      <c r="D13" s="225"/>
      <c r="E13" s="225"/>
      <c r="F13" s="225"/>
      <c r="G13" s="225"/>
      <c r="H13" s="224"/>
      <c r="I13" s="224"/>
      <c r="J13" s="224"/>
      <c r="K13" s="224"/>
      <c r="L13" s="224"/>
      <c r="M13" s="224"/>
      <c r="N13" s="225"/>
      <c r="O13" s="225"/>
      <c r="P13" s="225"/>
      <c r="Q13" s="225"/>
      <c r="R13" s="225"/>
      <c r="S13" s="223"/>
      <c r="T13" s="223"/>
      <c r="U13" s="223"/>
      <c r="V13" s="223"/>
      <c r="W13" s="223"/>
      <c r="X13" s="223"/>
      <c r="Y13" s="223"/>
      <c r="Z13" s="14"/>
    </row>
    <row r="14" spans="1:26" ht="8.25" customHeight="1" x14ac:dyDescent="0.25">
      <c r="A14" s="15"/>
      <c r="B14" s="4"/>
      <c r="C14" s="4"/>
      <c r="D14" s="16"/>
      <c r="E14" s="16"/>
      <c r="F14" s="16"/>
      <c r="G14" s="16"/>
      <c r="H14" s="4"/>
      <c r="I14" s="4"/>
      <c r="J14" s="4"/>
      <c r="K14" s="4"/>
      <c r="L14" s="4"/>
      <c r="M14" s="4"/>
      <c r="N14" s="17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18"/>
    </row>
    <row r="15" spans="1:26" s="19" customFormat="1" ht="15" x14ac:dyDescent="0.25">
      <c r="B15" s="20"/>
      <c r="C15" s="20"/>
      <c r="K15" s="21"/>
      <c r="L15" s="20"/>
      <c r="M15" s="22"/>
    </row>
    <row r="16" spans="1:26" s="19" customFormat="1" ht="15.6" customHeight="1" x14ac:dyDescent="0.25">
      <c r="A16" s="5" t="s">
        <v>6</v>
      </c>
      <c r="B16" s="23" t="s">
        <v>23</v>
      </c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5"/>
    </row>
    <row r="17" spans="1:26" s="19" customFormat="1" ht="8.25" customHeight="1" x14ac:dyDescent="0.25">
      <c r="A17" s="26"/>
      <c r="B17" s="27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9"/>
    </row>
    <row r="18" spans="1:26" s="19" customFormat="1" ht="15.75" customHeight="1" x14ac:dyDescent="0.25">
      <c r="A18" s="26"/>
      <c r="B18" s="226" t="s">
        <v>24</v>
      </c>
      <c r="C18" s="226"/>
      <c r="D18" s="226"/>
      <c r="E18" s="226"/>
      <c r="F18" s="226"/>
      <c r="G18" s="226"/>
      <c r="H18" s="226"/>
      <c r="I18" s="261"/>
      <c r="J18" s="261"/>
      <c r="K18" s="261"/>
      <c r="L18" s="261"/>
      <c r="M18" s="261"/>
      <c r="N18" s="261"/>
      <c r="O18" s="261"/>
      <c r="P18" s="261"/>
      <c r="Q18" s="261"/>
      <c r="R18" s="261"/>
      <c r="S18" s="261"/>
      <c r="T18" s="261"/>
      <c r="U18" s="261"/>
      <c r="V18" s="261"/>
      <c r="W18" s="261"/>
      <c r="X18" s="261"/>
      <c r="Y18" s="261"/>
      <c r="Z18" s="30"/>
    </row>
    <row r="19" spans="1:26" s="19" customFormat="1" ht="15.75" customHeight="1" x14ac:dyDescent="0.25">
      <c r="A19" s="26"/>
      <c r="B19" s="226" t="s">
        <v>25</v>
      </c>
      <c r="C19" s="226"/>
      <c r="D19" s="226"/>
      <c r="E19" s="226"/>
      <c r="F19" s="226"/>
      <c r="G19" s="226"/>
      <c r="H19" s="226"/>
      <c r="I19" s="261"/>
      <c r="J19" s="261"/>
      <c r="K19" s="261"/>
      <c r="L19" s="261"/>
      <c r="M19" s="261"/>
      <c r="N19" s="261"/>
      <c r="O19" s="261"/>
      <c r="P19" s="261"/>
      <c r="Q19" s="261"/>
      <c r="R19" s="261"/>
      <c r="S19" s="261"/>
      <c r="T19" s="261"/>
      <c r="U19" s="261"/>
      <c r="V19" s="261"/>
      <c r="W19" s="261"/>
      <c r="X19" s="261"/>
      <c r="Y19" s="261"/>
      <c r="Z19" s="30"/>
    </row>
    <row r="20" spans="1:26" s="19" customFormat="1" ht="8.25" customHeight="1" x14ac:dyDescent="0.25">
      <c r="A20" s="31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3"/>
    </row>
    <row r="21" spans="1:26" ht="15.75" customHeight="1" x14ac:dyDescent="0.25">
      <c r="A21" s="12"/>
      <c r="B21" s="34"/>
      <c r="C21" s="34"/>
      <c r="D21" s="34"/>
      <c r="E21" s="34"/>
      <c r="F21" s="34"/>
      <c r="G21" s="35"/>
      <c r="H21" s="35"/>
      <c r="I21" s="35"/>
      <c r="J21" s="35"/>
      <c r="K21" s="36"/>
      <c r="L21" s="36"/>
      <c r="M21" s="37"/>
      <c r="N21" s="37"/>
      <c r="O21" s="37"/>
      <c r="P21" s="37"/>
      <c r="Q21" s="34"/>
      <c r="R21" s="34"/>
      <c r="S21" s="34"/>
      <c r="T21" s="34"/>
      <c r="U21" s="34"/>
      <c r="V21" s="37"/>
      <c r="W21" s="37"/>
      <c r="X21" s="37"/>
      <c r="Y21" s="38"/>
      <c r="Z21" s="11"/>
    </row>
    <row r="22" spans="1:26" ht="15.6" customHeight="1" x14ac:dyDescent="0.25">
      <c r="A22" s="5" t="s">
        <v>7</v>
      </c>
      <c r="B22" s="6" t="s">
        <v>30</v>
      </c>
      <c r="C22" s="39"/>
      <c r="D22" s="40"/>
      <c r="E22" s="40"/>
      <c r="F22" s="40"/>
      <c r="G22" s="40"/>
      <c r="H22" s="39"/>
      <c r="I22" s="39"/>
      <c r="J22" s="39"/>
      <c r="K22" s="39"/>
      <c r="L22" s="39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9"/>
    </row>
    <row r="23" spans="1:26" ht="15.75" customHeight="1" x14ac:dyDescent="0.25">
      <c r="A23" s="10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3"/>
    </row>
    <row r="24" spans="1:26" ht="15.75" customHeight="1" x14ac:dyDescent="0.25">
      <c r="A24" s="41"/>
      <c r="B24" s="166" t="s">
        <v>47</v>
      </c>
      <c r="C24" s="168"/>
      <c r="D24" s="166" t="s">
        <v>48</v>
      </c>
      <c r="E24" s="168"/>
      <c r="F24" s="166" t="s">
        <v>49</v>
      </c>
      <c r="G24" s="168"/>
      <c r="H24" s="166" t="s">
        <v>26</v>
      </c>
      <c r="I24" s="168"/>
      <c r="J24" s="42" t="s">
        <v>21</v>
      </c>
      <c r="K24" s="43" t="s">
        <v>51</v>
      </c>
      <c r="L24" s="43" t="s">
        <v>52</v>
      </c>
      <c r="M24" s="11"/>
      <c r="N24" s="166" t="s">
        <v>34</v>
      </c>
      <c r="O24" s="167"/>
      <c r="P24" s="168"/>
      <c r="Q24" s="166" t="s">
        <v>31</v>
      </c>
      <c r="R24" s="167"/>
      <c r="S24" s="168"/>
      <c r="T24" s="177" t="s">
        <v>46</v>
      </c>
      <c r="U24" s="178"/>
      <c r="V24" s="178"/>
      <c r="W24" s="178"/>
      <c r="X24" s="204"/>
      <c r="Y24" s="205"/>
      <c r="Z24" s="13"/>
    </row>
    <row r="25" spans="1:26" ht="15.75" customHeight="1" x14ac:dyDescent="0.25">
      <c r="A25" s="41"/>
      <c r="B25" s="264"/>
      <c r="C25" s="265"/>
      <c r="D25" s="264"/>
      <c r="E25" s="265"/>
      <c r="F25" s="258">
        <f>IF(B25&lt;&gt;"",AVERAGE(B25:D25),D25)</f>
        <v>0</v>
      </c>
      <c r="G25" s="259"/>
      <c r="H25" s="209"/>
      <c r="I25" s="210"/>
      <c r="J25" s="44"/>
      <c r="K25" s="46" t="str">
        <f>IF(D25="","",(0.8*$V$29)/((0.8+(D25*$V$29)/100)))</f>
        <v/>
      </c>
      <c r="L25" s="46" t="str">
        <f>IF(D25="","",$V$29/(1+($V$29*D25/100)))</f>
        <v/>
      </c>
      <c r="M25" s="11"/>
      <c r="N25" s="47"/>
      <c r="O25" s="34"/>
      <c r="P25" s="48"/>
      <c r="Q25" s="47"/>
      <c r="R25" s="34"/>
      <c r="S25" s="48"/>
      <c r="T25" s="215" t="s">
        <v>18</v>
      </c>
      <c r="U25" s="216"/>
      <c r="V25" s="216"/>
      <c r="W25" s="217"/>
      <c r="X25" s="211"/>
      <c r="Y25" s="212"/>
      <c r="Z25" s="13"/>
    </row>
    <row r="26" spans="1:26" ht="15.75" customHeight="1" x14ac:dyDescent="0.25">
      <c r="A26" s="41"/>
      <c r="B26" s="266"/>
      <c r="C26" s="267"/>
      <c r="D26" s="266"/>
      <c r="E26" s="267"/>
      <c r="F26" s="172">
        <f>IF(B26&lt;&gt;"",AVERAGE(B26:D26),D26)</f>
        <v>0</v>
      </c>
      <c r="G26" s="174"/>
      <c r="H26" s="200"/>
      <c r="I26" s="201"/>
      <c r="J26" s="49"/>
      <c r="K26" s="50" t="str">
        <f>IF(D26="","",(0.8*$V$29)/((0.8+(D26*$V$29)/100)))</f>
        <v/>
      </c>
      <c r="L26" s="50" t="str">
        <f>IF(D26="","",$V$29/(1+($V$29*D26/100)))</f>
        <v/>
      </c>
      <c r="M26" s="11"/>
      <c r="N26" s="51" t="s">
        <v>32</v>
      </c>
      <c r="O26" s="37"/>
      <c r="P26" s="52"/>
      <c r="Q26" s="51" t="s">
        <v>17</v>
      </c>
      <c r="R26" s="37"/>
      <c r="S26" s="52"/>
      <c r="T26" s="218" t="s">
        <v>20</v>
      </c>
      <c r="U26" s="219"/>
      <c r="V26" s="219"/>
      <c r="W26" s="220"/>
      <c r="X26" s="213"/>
      <c r="Y26" s="214"/>
      <c r="Z26" s="13"/>
    </row>
    <row r="27" spans="1:26" ht="15.75" customHeight="1" x14ac:dyDescent="0.25">
      <c r="A27" s="41"/>
      <c r="B27" s="266"/>
      <c r="C27" s="267"/>
      <c r="D27" s="266"/>
      <c r="E27" s="267"/>
      <c r="F27" s="172">
        <f t="shared" ref="F27:F29" si="0">IF(B27&lt;&gt;"",AVERAGE(B27:D27),D27)</f>
        <v>0</v>
      </c>
      <c r="G27" s="174"/>
      <c r="H27" s="200"/>
      <c r="I27" s="201"/>
      <c r="J27" s="49"/>
      <c r="K27" s="50" t="str">
        <f>IF(D27="","",(0.8*$V$29)/((0.8+(D27*$V$29)/100)))</f>
        <v/>
      </c>
      <c r="L27" s="50" t="str">
        <f>IF(D27="","",$V$29/(1+($V$29*D27/100)))</f>
        <v/>
      </c>
      <c r="M27" s="11"/>
      <c r="N27" s="51"/>
      <c r="O27" s="37"/>
      <c r="P27" s="52"/>
      <c r="Q27" s="51"/>
      <c r="R27" s="37"/>
      <c r="S27" s="37"/>
      <c r="T27" s="47" t="s">
        <v>36</v>
      </c>
      <c r="U27" s="34"/>
      <c r="V27" s="34"/>
      <c r="W27" s="34"/>
      <c r="X27" s="34"/>
      <c r="Y27" s="48"/>
      <c r="Z27" s="13"/>
    </row>
    <row r="28" spans="1:26" ht="15.75" customHeight="1" x14ac:dyDescent="0.25">
      <c r="A28" s="41"/>
      <c r="B28" s="268"/>
      <c r="C28" s="269"/>
      <c r="D28" s="266"/>
      <c r="E28" s="267"/>
      <c r="F28" s="172">
        <f t="shared" si="0"/>
        <v>0</v>
      </c>
      <c r="G28" s="174"/>
      <c r="H28" s="200"/>
      <c r="I28" s="201"/>
      <c r="J28" s="49"/>
      <c r="K28" s="50" t="str">
        <f>IF(D28="","",(0.8*$V$29)/((0.8+(D28*$V$29)/100)))</f>
        <v/>
      </c>
      <c r="L28" s="50" t="str">
        <f>IF(D28="","",$V$29/(1+($V$29*D28/100)))</f>
        <v/>
      </c>
      <c r="M28" s="11"/>
      <c r="N28" s="51" t="s">
        <v>33</v>
      </c>
      <c r="O28" s="37"/>
      <c r="P28" s="52"/>
      <c r="Q28" s="51" t="s">
        <v>19</v>
      </c>
      <c r="R28" s="37"/>
      <c r="S28" s="52"/>
      <c r="T28" s="37"/>
      <c r="U28" s="37" t="s">
        <v>37</v>
      </c>
      <c r="V28" s="37"/>
      <c r="W28" s="37"/>
      <c r="X28" s="37" t="s">
        <v>38</v>
      </c>
      <c r="Y28" s="52"/>
      <c r="Z28" s="13"/>
    </row>
    <row r="29" spans="1:26" ht="15.75" customHeight="1" x14ac:dyDescent="0.25">
      <c r="A29" s="41"/>
      <c r="B29" s="270"/>
      <c r="C29" s="271"/>
      <c r="D29" s="274"/>
      <c r="E29" s="275"/>
      <c r="F29" s="272">
        <f t="shared" si="0"/>
        <v>0</v>
      </c>
      <c r="G29" s="273"/>
      <c r="H29" s="202"/>
      <c r="I29" s="203"/>
      <c r="J29" s="53"/>
      <c r="K29" s="54" t="str">
        <f>IF(D29="","",(0.8*$V$29)/((0.8+(D29*$V$29)/100)))</f>
        <v/>
      </c>
      <c r="L29" s="54" t="str">
        <f>IF(D29="","",$V$29/(1+($V$29*D29/100)))</f>
        <v/>
      </c>
      <c r="M29" s="11"/>
      <c r="N29" s="55"/>
      <c r="O29" s="56"/>
      <c r="P29" s="57"/>
      <c r="Q29" s="55"/>
      <c r="R29" s="56"/>
      <c r="S29" s="56"/>
      <c r="T29" s="55"/>
      <c r="U29" s="56" t="s">
        <v>39</v>
      </c>
      <c r="V29" s="221">
        <v>2.65</v>
      </c>
      <c r="W29" s="221"/>
      <c r="X29" s="58" t="s">
        <v>40</v>
      </c>
      <c r="Y29" s="59"/>
      <c r="Z29" s="13"/>
    </row>
    <row r="30" spans="1:26" ht="15.75" customHeight="1" x14ac:dyDescent="0.25">
      <c r="A30" s="41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11"/>
      <c r="Y30" s="11"/>
      <c r="Z30" s="13"/>
    </row>
    <row r="31" spans="1:26" ht="15.75" customHeight="1" x14ac:dyDescent="0.25">
      <c r="A31" s="41"/>
      <c r="B31" s="11"/>
      <c r="C31" s="11"/>
      <c r="D31" s="11"/>
      <c r="E31" s="184" t="s">
        <v>35</v>
      </c>
      <c r="F31" s="184"/>
      <c r="G31" s="184"/>
      <c r="H31" s="260"/>
      <c r="I31" s="260"/>
      <c r="J31" s="260"/>
      <c r="K31" s="11"/>
      <c r="L31" s="11"/>
      <c r="M31" s="11"/>
      <c r="N31" s="11"/>
      <c r="O31" s="11"/>
      <c r="P31" s="166" t="s">
        <v>41</v>
      </c>
      <c r="Q31" s="179"/>
      <c r="R31" s="179"/>
      <c r="S31" s="180"/>
      <c r="T31" s="263" t="str">
        <f>IF(X26="","",H31/(1+X26/100*(H31/V29-1)))</f>
        <v/>
      </c>
      <c r="U31" s="179"/>
      <c r="V31" s="179"/>
      <c r="W31" s="180"/>
      <c r="X31" s="11"/>
      <c r="Y31" s="11"/>
      <c r="Z31" s="13"/>
    </row>
    <row r="32" spans="1:26" ht="15.75" customHeight="1" x14ac:dyDescent="0.25">
      <c r="A32" s="41"/>
      <c r="B32" s="11"/>
      <c r="C32" s="11"/>
      <c r="D32" s="11"/>
      <c r="E32" s="184" t="s">
        <v>54</v>
      </c>
      <c r="F32" s="184"/>
      <c r="G32" s="184"/>
      <c r="H32" s="262"/>
      <c r="I32" s="262"/>
      <c r="J32" s="262"/>
      <c r="K32" s="11"/>
      <c r="L32" s="11"/>
      <c r="M32" s="11"/>
      <c r="N32" s="11"/>
      <c r="O32" s="11"/>
      <c r="P32" s="166" t="s">
        <v>42</v>
      </c>
      <c r="Q32" s="179"/>
      <c r="R32" s="179"/>
      <c r="S32" s="180"/>
      <c r="T32" s="257" t="str">
        <f>IF(H32&lt;&gt;"",H32-(X26/100*H32),"")</f>
        <v/>
      </c>
      <c r="U32" s="179"/>
      <c r="V32" s="179"/>
      <c r="W32" s="180"/>
      <c r="X32" s="11"/>
      <c r="Y32" s="11"/>
      <c r="Z32" s="13"/>
    </row>
    <row r="33" spans="1:26" ht="15.75" customHeight="1" x14ac:dyDescent="0.25">
      <c r="A33" s="41"/>
      <c r="B33" s="11"/>
      <c r="C33" s="11"/>
      <c r="D33" s="11"/>
      <c r="E33" s="37"/>
      <c r="F33" s="37"/>
      <c r="G33" s="37"/>
      <c r="H33" s="37"/>
      <c r="I33" s="37"/>
      <c r="J33" s="37"/>
      <c r="K33" s="11"/>
      <c r="L33" s="11"/>
      <c r="M33" s="11"/>
      <c r="N33" s="11"/>
      <c r="O33" s="11"/>
      <c r="P33" s="37"/>
      <c r="Q33" s="37"/>
      <c r="R33" s="37"/>
      <c r="S33" s="37"/>
      <c r="T33" s="37"/>
      <c r="U33" s="37"/>
      <c r="V33" s="37"/>
      <c r="W33" s="37"/>
      <c r="X33" s="11"/>
      <c r="Y33" s="11"/>
      <c r="Z33" s="13"/>
    </row>
    <row r="34" spans="1:26" ht="15.75" customHeight="1" x14ac:dyDescent="0.25">
      <c r="A34" s="41"/>
      <c r="B34" s="11"/>
      <c r="C34" s="11"/>
      <c r="D34" s="11"/>
      <c r="E34" s="184" t="s">
        <v>44</v>
      </c>
      <c r="F34" s="184"/>
      <c r="G34" s="184"/>
      <c r="H34" s="260"/>
      <c r="I34" s="260"/>
      <c r="J34" s="260"/>
      <c r="K34" s="11"/>
      <c r="L34" s="11"/>
      <c r="M34" s="11"/>
      <c r="N34" s="11"/>
      <c r="O34" s="11"/>
      <c r="P34" s="166" t="s">
        <v>43</v>
      </c>
      <c r="Q34" s="179"/>
      <c r="R34" s="179"/>
      <c r="S34" s="180"/>
      <c r="T34" s="263" t="str">
        <f>IF(X26="","",H34/(1+X26/100*(H34/V29-1)))</f>
        <v/>
      </c>
      <c r="U34" s="179"/>
      <c r="V34" s="179"/>
      <c r="W34" s="180"/>
      <c r="X34" s="11"/>
      <c r="Y34" s="11"/>
      <c r="Z34" s="13"/>
    </row>
    <row r="35" spans="1:26" ht="15.75" customHeight="1" x14ac:dyDescent="0.25">
      <c r="A35" s="41"/>
      <c r="B35" s="11"/>
      <c r="C35" s="11"/>
      <c r="D35" s="11"/>
      <c r="E35" s="184" t="s">
        <v>50</v>
      </c>
      <c r="F35" s="184"/>
      <c r="G35" s="184"/>
      <c r="H35" s="262"/>
      <c r="I35" s="262"/>
      <c r="J35" s="262"/>
      <c r="K35" s="11"/>
      <c r="L35" s="11"/>
      <c r="M35" s="11"/>
      <c r="N35" s="11"/>
      <c r="O35" s="11"/>
      <c r="P35" s="166" t="s">
        <v>45</v>
      </c>
      <c r="Q35" s="179"/>
      <c r="R35" s="179"/>
      <c r="S35" s="180"/>
      <c r="T35" s="257" t="str">
        <f>IF(H35&lt;&gt;"",H35-(W28/100*H35),"")</f>
        <v/>
      </c>
      <c r="U35" s="179"/>
      <c r="V35" s="179"/>
      <c r="W35" s="180"/>
      <c r="X35" s="11"/>
      <c r="Y35" s="11"/>
      <c r="Z35" s="13"/>
    </row>
    <row r="36" spans="1:26" ht="15.75" customHeight="1" x14ac:dyDescent="0.25">
      <c r="A36" s="41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11"/>
      <c r="Y36" s="11"/>
      <c r="Z36" s="13"/>
    </row>
    <row r="37" spans="1:26" ht="15.75" customHeight="1" x14ac:dyDescent="0.25">
      <c r="A37" s="41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11"/>
      <c r="Y37" s="11"/>
      <c r="Z37" s="13"/>
    </row>
    <row r="38" spans="1:26" ht="15.75" customHeight="1" x14ac:dyDescent="0.25">
      <c r="A38" s="41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11"/>
      <c r="Y38" s="11"/>
      <c r="Z38" s="13"/>
    </row>
    <row r="39" spans="1:26" ht="15.75" customHeight="1" x14ac:dyDescent="0.25">
      <c r="A39" s="41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11"/>
      <c r="Y39" s="11"/>
      <c r="Z39" s="13"/>
    </row>
    <row r="40" spans="1:26" ht="15.75" customHeight="1" x14ac:dyDescent="0.25">
      <c r="A40" s="41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11"/>
      <c r="Y40" s="11"/>
      <c r="Z40" s="13"/>
    </row>
    <row r="41" spans="1:26" ht="15.75" customHeight="1" x14ac:dyDescent="0.25">
      <c r="A41" s="41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11"/>
      <c r="Y41" s="11"/>
      <c r="Z41" s="13"/>
    </row>
    <row r="42" spans="1:26" ht="15.75" customHeight="1" x14ac:dyDescent="0.25">
      <c r="A42" s="41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11"/>
      <c r="Y42" s="11"/>
      <c r="Z42" s="13"/>
    </row>
    <row r="43" spans="1:26" ht="15.75" customHeight="1" x14ac:dyDescent="0.25">
      <c r="A43" s="41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11"/>
      <c r="Y43" s="11"/>
      <c r="Z43" s="13"/>
    </row>
    <row r="44" spans="1:26" ht="15.75" customHeight="1" x14ac:dyDescent="0.25">
      <c r="A44" s="41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11"/>
      <c r="Y44" s="11"/>
      <c r="Z44" s="13"/>
    </row>
    <row r="45" spans="1:26" ht="15.75" customHeight="1" x14ac:dyDescent="0.25">
      <c r="A45" s="41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11"/>
      <c r="Y45" s="11"/>
      <c r="Z45" s="13"/>
    </row>
    <row r="46" spans="1:26" ht="15.75" customHeight="1" x14ac:dyDescent="0.25">
      <c r="A46" s="41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11"/>
      <c r="Y46" s="11"/>
      <c r="Z46" s="13"/>
    </row>
    <row r="47" spans="1:26" ht="15.75" customHeight="1" x14ac:dyDescent="0.25">
      <c r="A47" s="41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67"/>
      <c r="Y47" s="67"/>
      <c r="Z47" s="68"/>
    </row>
    <row r="48" spans="1:26" ht="15.75" customHeight="1" x14ac:dyDescent="0.25">
      <c r="A48" s="41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8"/>
      <c r="S48" s="38"/>
      <c r="T48" s="38"/>
      <c r="U48" s="38"/>
      <c r="V48" s="38"/>
      <c r="W48" s="37"/>
      <c r="X48" s="69"/>
      <c r="Y48" s="69"/>
      <c r="Z48" s="70"/>
    </row>
    <row r="49" spans="1:26" ht="15.75" customHeight="1" x14ac:dyDescent="0.25">
      <c r="A49" s="41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69"/>
      <c r="Y49" s="69"/>
      <c r="Z49" s="70"/>
    </row>
    <row r="50" spans="1:26" ht="15.75" customHeight="1" x14ac:dyDescent="0.25">
      <c r="A50" s="41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69"/>
      <c r="Y50" s="69"/>
      <c r="Z50" s="70"/>
    </row>
    <row r="51" spans="1:26" ht="15.75" customHeight="1" x14ac:dyDescent="0.25">
      <c r="A51" s="41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69"/>
      <c r="Y51" s="69"/>
      <c r="Z51" s="70"/>
    </row>
    <row r="52" spans="1:26" ht="15.75" customHeight="1" x14ac:dyDescent="0.25">
      <c r="A52" s="41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69"/>
      <c r="Y52" s="69"/>
      <c r="Z52" s="70"/>
    </row>
    <row r="53" spans="1:26" ht="15.75" customHeight="1" x14ac:dyDescent="0.25">
      <c r="A53" s="41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69"/>
      <c r="Y53" s="69"/>
      <c r="Z53" s="70"/>
    </row>
    <row r="54" spans="1:26" ht="15.75" customHeight="1" x14ac:dyDescent="0.25">
      <c r="A54" s="41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69"/>
      <c r="Y54" s="69"/>
      <c r="Z54" s="70"/>
    </row>
    <row r="55" spans="1:26" ht="15.75" customHeight="1" x14ac:dyDescent="0.25">
      <c r="A55" s="41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71"/>
      <c r="U55" s="72"/>
      <c r="V55" s="71"/>
      <c r="W55" s="37"/>
      <c r="X55" s="69"/>
      <c r="Y55" s="69"/>
      <c r="Z55" s="70"/>
    </row>
    <row r="56" spans="1:26" ht="15.75" customHeight="1" x14ac:dyDescent="0.25">
      <c r="A56" s="41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71"/>
      <c r="U56" s="72"/>
      <c r="V56" s="37"/>
      <c r="W56" s="37"/>
      <c r="X56" s="69"/>
      <c r="Y56" s="69"/>
      <c r="Z56" s="70"/>
    </row>
    <row r="57" spans="1:26" ht="15.75" customHeight="1" x14ac:dyDescent="0.25">
      <c r="A57" s="41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73"/>
      <c r="V57" s="37"/>
      <c r="W57" s="37"/>
      <c r="X57" s="69"/>
      <c r="Y57" s="69"/>
      <c r="Z57" s="70"/>
    </row>
    <row r="58" spans="1:26" ht="15.75" customHeight="1" x14ac:dyDescent="0.25">
      <c r="A58" s="41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73"/>
      <c r="V58" s="37"/>
      <c r="W58" s="37"/>
      <c r="X58" s="69"/>
      <c r="Y58" s="69"/>
      <c r="Z58" s="70"/>
    </row>
    <row r="59" spans="1:26" ht="15.75" customHeight="1" x14ac:dyDescent="0.25">
      <c r="A59" s="41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73"/>
      <c r="V59" s="37"/>
      <c r="W59" s="37"/>
      <c r="X59" s="69"/>
      <c r="Y59" s="69"/>
      <c r="Z59" s="70"/>
    </row>
    <row r="60" spans="1:26" ht="15.75" customHeight="1" x14ac:dyDescent="0.25">
      <c r="A60" s="41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6"/>
      <c r="V60" s="37"/>
      <c r="W60" s="37"/>
      <c r="X60" s="69"/>
      <c r="Y60" s="69"/>
      <c r="Z60" s="70"/>
    </row>
    <row r="61" spans="1:26" ht="15.75" customHeight="1" x14ac:dyDescent="0.25">
      <c r="A61" s="74"/>
      <c r="B61" s="56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75"/>
      <c r="Y61" s="75"/>
      <c r="Z61" s="76"/>
    </row>
    <row r="62" spans="1:26" ht="15.75" customHeight="1" x14ac:dyDescent="0.25">
      <c r="A62" s="41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72"/>
      <c r="T62" s="37"/>
      <c r="U62" s="37"/>
      <c r="V62" s="37"/>
      <c r="W62" s="37"/>
      <c r="X62" s="11"/>
      <c r="Y62" s="11"/>
      <c r="Z62" s="11"/>
    </row>
    <row r="63" spans="1:26" ht="15.6" customHeight="1" x14ac:dyDescent="0.25">
      <c r="A63" s="77" t="s">
        <v>88</v>
      </c>
      <c r="B63" s="78" t="s">
        <v>29</v>
      </c>
      <c r="C63" s="79"/>
      <c r="D63" s="79"/>
      <c r="E63" s="79"/>
      <c r="F63" s="80"/>
      <c r="G63" s="80"/>
      <c r="H63" s="80"/>
      <c r="I63" s="7"/>
      <c r="J63" s="7"/>
      <c r="K63" s="7"/>
      <c r="L63" s="7"/>
      <c r="M63" s="7"/>
      <c r="N63" s="7"/>
      <c r="O63" s="7"/>
      <c r="P63" s="7"/>
      <c r="Q63" s="80"/>
      <c r="R63" s="7"/>
      <c r="S63" s="7"/>
      <c r="T63" s="7"/>
      <c r="U63" s="163"/>
      <c r="V63" s="163"/>
      <c r="W63" s="163"/>
      <c r="X63" s="164"/>
      <c r="Y63" s="164"/>
      <c r="Z63" s="165"/>
    </row>
    <row r="64" spans="1:26" ht="26.4" customHeight="1" x14ac:dyDescent="0.25">
      <c r="A64" s="175" t="s">
        <v>90</v>
      </c>
      <c r="B64" s="176"/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392"/>
      <c r="R64" s="156" t="s">
        <v>27</v>
      </c>
      <c r="S64" s="157"/>
      <c r="T64" s="158"/>
      <c r="U64" s="159"/>
      <c r="V64" s="160"/>
      <c r="W64" s="160"/>
      <c r="X64" s="161"/>
      <c r="Y64" s="161"/>
      <c r="Z64" s="162"/>
    </row>
    <row r="65" spans="1:26" ht="26.4" customHeight="1" x14ac:dyDescent="0.25">
      <c r="A65" s="393"/>
      <c r="B65" s="394"/>
      <c r="C65" s="394"/>
      <c r="D65" s="394"/>
      <c r="E65" s="394"/>
      <c r="F65" s="394"/>
      <c r="G65" s="394"/>
      <c r="H65" s="394"/>
      <c r="I65" s="394"/>
      <c r="J65" s="394"/>
      <c r="K65" s="394"/>
      <c r="L65" s="394"/>
      <c r="M65" s="394"/>
      <c r="N65" s="394"/>
      <c r="O65" s="394"/>
      <c r="P65" s="394"/>
      <c r="Q65" s="395"/>
      <c r="R65" s="156"/>
      <c r="S65" s="157"/>
      <c r="T65" s="158"/>
      <c r="U65" s="196"/>
      <c r="V65" s="197"/>
      <c r="W65" s="197"/>
      <c r="X65" s="192"/>
      <c r="Y65" s="192"/>
      <c r="Z65" s="193"/>
    </row>
    <row r="66" spans="1:26" ht="15.6" customHeight="1" x14ac:dyDescent="0.25">
      <c r="A66" s="81" t="s">
        <v>89</v>
      </c>
      <c r="B66" s="82" t="s">
        <v>8</v>
      </c>
      <c r="C66" s="11"/>
      <c r="D66" s="11"/>
      <c r="E66" s="83"/>
      <c r="F66" s="83"/>
      <c r="G66" s="83"/>
      <c r="H66" s="83"/>
      <c r="I66" s="83"/>
      <c r="J66" s="83"/>
      <c r="K66" s="83"/>
      <c r="L66" s="83"/>
      <c r="M66" s="83"/>
      <c r="N66" s="83"/>
      <c r="O66" s="83"/>
      <c r="P66" s="83"/>
      <c r="Q66" s="84"/>
      <c r="R66" s="156"/>
      <c r="S66" s="157"/>
      <c r="T66" s="158"/>
      <c r="U66" s="198"/>
      <c r="V66" s="199"/>
      <c r="W66" s="199"/>
      <c r="X66" s="194"/>
      <c r="Y66" s="194"/>
      <c r="Z66" s="195"/>
    </row>
    <row r="67" spans="1:26" ht="15.6" customHeight="1" x14ac:dyDescent="0.25">
      <c r="A67" s="406"/>
      <c r="B67" s="407"/>
      <c r="C67" s="407"/>
      <c r="D67" s="407"/>
      <c r="E67" s="407"/>
      <c r="F67" s="407"/>
      <c r="G67" s="407"/>
      <c r="H67" s="407"/>
      <c r="I67" s="407"/>
      <c r="J67" s="407"/>
      <c r="K67" s="407"/>
      <c r="L67" s="407"/>
      <c r="M67" s="407"/>
      <c r="N67" s="407"/>
      <c r="O67" s="407"/>
      <c r="P67" s="407"/>
      <c r="Q67" s="408"/>
      <c r="R67" s="156" t="s">
        <v>28</v>
      </c>
      <c r="S67" s="157"/>
      <c r="T67" s="158"/>
      <c r="U67" s="396"/>
      <c r="V67" s="397"/>
      <c r="W67" s="397"/>
      <c r="X67" s="398"/>
      <c r="Y67" s="398"/>
      <c r="Z67" s="399"/>
    </row>
    <row r="68" spans="1:26" ht="15.6" customHeight="1" x14ac:dyDescent="0.25">
      <c r="A68" s="406"/>
      <c r="B68" s="407"/>
      <c r="C68" s="407"/>
      <c r="D68" s="407"/>
      <c r="E68" s="407"/>
      <c r="F68" s="407"/>
      <c r="G68" s="407"/>
      <c r="H68" s="407"/>
      <c r="I68" s="407"/>
      <c r="J68" s="407"/>
      <c r="K68" s="407"/>
      <c r="L68" s="407"/>
      <c r="M68" s="407"/>
      <c r="N68" s="407"/>
      <c r="O68" s="407"/>
      <c r="P68" s="407"/>
      <c r="Q68" s="408"/>
      <c r="R68" s="156"/>
      <c r="S68" s="157"/>
      <c r="T68" s="158"/>
      <c r="U68" s="400"/>
      <c r="V68" s="191"/>
      <c r="W68" s="191"/>
      <c r="X68" s="191"/>
      <c r="Y68" s="191"/>
      <c r="Z68" s="401"/>
    </row>
    <row r="69" spans="1:26" ht="15.6" customHeight="1" x14ac:dyDescent="0.25">
      <c r="A69" s="406"/>
      <c r="B69" s="407"/>
      <c r="C69" s="407"/>
      <c r="D69" s="407"/>
      <c r="E69" s="407"/>
      <c r="F69" s="407"/>
      <c r="G69" s="407"/>
      <c r="H69" s="407"/>
      <c r="I69" s="407"/>
      <c r="J69" s="407"/>
      <c r="K69" s="407"/>
      <c r="L69" s="407"/>
      <c r="M69" s="407"/>
      <c r="N69" s="407"/>
      <c r="O69" s="407"/>
      <c r="P69" s="407"/>
      <c r="Q69" s="408"/>
      <c r="R69" s="156"/>
      <c r="S69" s="157"/>
      <c r="T69" s="158"/>
      <c r="U69" s="400"/>
      <c r="V69" s="191"/>
      <c r="W69" s="191"/>
      <c r="X69" s="191"/>
      <c r="Y69" s="191"/>
      <c r="Z69" s="401"/>
    </row>
    <row r="70" spans="1:26" ht="15.6" customHeight="1" x14ac:dyDescent="0.25">
      <c r="A70" s="409"/>
      <c r="B70" s="410"/>
      <c r="C70" s="410"/>
      <c r="D70" s="410"/>
      <c r="E70" s="410"/>
      <c r="F70" s="410"/>
      <c r="G70" s="410"/>
      <c r="H70" s="410"/>
      <c r="I70" s="410"/>
      <c r="J70" s="410"/>
      <c r="K70" s="410"/>
      <c r="L70" s="410"/>
      <c r="M70" s="410"/>
      <c r="N70" s="410"/>
      <c r="O70" s="410"/>
      <c r="P70" s="410"/>
      <c r="Q70" s="411"/>
      <c r="R70" s="188"/>
      <c r="S70" s="189"/>
      <c r="T70" s="190"/>
      <c r="U70" s="402"/>
      <c r="V70" s="403"/>
      <c r="W70" s="403"/>
      <c r="X70" s="404"/>
      <c r="Y70" s="404"/>
      <c r="Z70" s="405"/>
    </row>
  </sheetData>
  <sheetProtection selectLockedCells="1"/>
  <mergeCells count="93">
    <mergeCell ref="A64:Q64"/>
    <mergeCell ref="A65:Q65"/>
    <mergeCell ref="V68:Y69"/>
    <mergeCell ref="H35:J35"/>
    <mergeCell ref="B28:C28"/>
    <mergeCell ref="B29:C29"/>
    <mergeCell ref="E31:G31"/>
    <mergeCell ref="E32:G32"/>
    <mergeCell ref="F28:G28"/>
    <mergeCell ref="F29:G29"/>
    <mergeCell ref="D28:E28"/>
    <mergeCell ref="D29:E29"/>
    <mergeCell ref="H29:I29"/>
    <mergeCell ref="E35:G35"/>
    <mergeCell ref="H31:J31"/>
    <mergeCell ref="E34:G34"/>
    <mergeCell ref="B25:C25"/>
    <mergeCell ref="B26:C26"/>
    <mergeCell ref="B27:C27"/>
    <mergeCell ref="D24:E24"/>
    <mergeCell ref="D25:E25"/>
    <mergeCell ref="D26:E26"/>
    <mergeCell ref="D27:E27"/>
    <mergeCell ref="U63:Z63"/>
    <mergeCell ref="T25:W25"/>
    <mergeCell ref="T26:W26"/>
    <mergeCell ref="H25:I25"/>
    <mergeCell ref="H26:I26"/>
    <mergeCell ref="H32:J32"/>
    <mergeCell ref="P31:S31"/>
    <mergeCell ref="T31:W31"/>
    <mergeCell ref="V29:W29"/>
    <mergeCell ref="R64:T64"/>
    <mergeCell ref="U64:Z64"/>
    <mergeCell ref="P34:S34"/>
    <mergeCell ref="T34:W34"/>
    <mergeCell ref="P35:S35"/>
    <mergeCell ref="T35:W35"/>
    <mergeCell ref="A67:Q70"/>
    <mergeCell ref="R67:T70"/>
    <mergeCell ref="R65:T66"/>
    <mergeCell ref="U65:Z66"/>
    <mergeCell ref="B19:H19"/>
    <mergeCell ref="I19:Y19"/>
    <mergeCell ref="N24:P24"/>
    <mergeCell ref="S13:Y13"/>
    <mergeCell ref="B13:G13"/>
    <mergeCell ref="B24:C24"/>
    <mergeCell ref="B18:H18"/>
    <mergeCell ref="I18:Y18"/>
    <mergeCell ref="Q24:S24"/>
    <mergeCell ref="T24:W24"/>
    <mergeCell ref="X24:Y24"/>
    <mergeCell ref="F24:G24"/>
    <mergeCell ref="B11:G11"/>
    <mergeCell ref="B12:G12"/>
    <mergeCell ref="N12:R12"/>
    <mergeCell ref="N13:R13"/>
    <mergeCell ref="H13:M13"/>
    <mergeCell ref="H12:M12"/>
    <mergeCell ref="N11:R11"/>
    <mergeCell ref="H11:M11"/>
    <mergeCell ref="F25:G25"/>
    <mergeCell ref="F26:G26"/>
    <mergeCell ref="H24:I24"/>
    <mergeCell ref="F27:G27"/>
    <mergeCell ref="H34:J34"/>
    <mergeCell ref="H27:I27"/>
    <mergeCell ref="H28:I28"/>
    <mergeCell ref="S12:Y12"/>
    <mergeCell ref="T32:W32"/>
    <mergeCell ref="X10:Y10"/>
    <mergeCell ref="S11:Y11"/>
    <mergeCell ref="V10:W10"/>
    <mergeCell ref="N10:U10"/>
    <mergeCell ref="X25:Y25"/>
    <mergeCell ref="X26:Y26"/>
    <mergeCell ref="P32:S32"/>
    <mergeCell ref="A1:F6"/>
    <mergeCell ref="G1:T1"/>
    <mergeCell ref="A7:F7"/>
    <mergeCell ref="G7:Z7"/>
    <mergeCell ref="B10:G10"/>
    <mergeCell ref="H10:M10"/>
    <mergeCell ref="U1:Z6"/>
    <mergeCell ref="G2:T4"/>
    <mergeCell ref="G5:H5"/>
    <mergeCell ref="J5:K5"/>
    <mergeCell ref="L5:O5"/>
    <mergeCell ref="P5:T5"/>
    <mergeCell ref="J6:K6"/>
    <mergeCell ref="L6:O6"/>
    <mergeCell ref="P6:T6"/>
  </mergeCells>
  <phoneticPr fontId="1" type="noConversion"/>
  <printOptions horizontalCentered="1"/>
  <pageMargins left="0.39370078740157483" right="0.39370078740157483" top="0.39370078740157483" bottom="0.39370078740157483" header="0" footer="0.19685039370078741"/>
  <pageSetup paperSize="9" scale="71" orientation="portrait" r:id="rId1"/>
  <headerFooter alignWithMargins="0">
    <oddFooter>&amp;RDG-Q / CRE PR Ressuage du 06/04/2011</oddFooter>
  </headerFooter>
  <drawing r:id="rId2"/>
  <legacyDrawing r:id="rId3"/>
  <controls>
    <mc:AlternateContent xmlns:mc="http://schemas.openxmlformats.org/markup-compatibility/2006">
      <mc:Choice Requires="x14">
        <control shapeId="5157" r:id="rId4" name="CommandButton1">
          <controlPr defaultSize="0" autoLine="0" r:id="rId5">
            <anchor moveWithCells="1">
              <from>
                <xdr:col>26</xdr:col>
                <xdr:colOff>464820</xdr:colOff>
                <xdr:row>66</xdr:row>
                <xdr:rowOff>190500</xdr:rowOff>
              </from>
              <to>
                <xdr:col>28</xdr:col>
                <xdr:colOff>449580</xdr:colOff>
                <xdr:row>69</xdr:row>
                <xdr:rowOff>38100</xdr:rowOff>
              </to>
            </anchor>
          </controlPr>
        </control>
      </mc:Choice>
      <mc:Fallback>
        <control shapeId="5157" r:id="rId4" name="CommandButton1"/>
      </mc:Fallback>
    </mc:AlternateContent>
    <mc:AlternateContent xmlns:mc="http://schemas.openxmlformats.org/markup-compatibility/2006">
      <mc:Choice Requires="x14">
        <control shapeId="5144" r:id="rId6" name="Check Box 24">
          <controlPr locked="0" defaultSize="0" autoFill="0" autoLine="0" autoPict="0">
            <anchor moveWithCells="1">
              <from>
                <xdr:col>15</xdr:col>
                <xdr:colOff>68580</xdr:colOff>
                <xdr:row>24</xdr:row>
                <xdr:rowOff>182880</xdr:rowOff>
              </from>
              <to>
                <xdr:col>16</xdr:col>
                <xdr:colOff>30480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52" r:id="rId7" name="Check Box 32">
          <controlPr locked="0" defaultSize="0" autoFill="0" autoLine="0" autoPict="0">
            <anchor moveWithCells="1">
              <from>
                <xdr:col>15</xdr:col>
                <xdr:colOff>68580</xdr:colOff>
                <xdr:row>26</xdr:row>
                <xdr:rowOff>182880</xdr:rowOff>
              </from>
              <to>
                <xdr:col>16</xdr:col>
                <xdr:colOff>30480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53" r:id="rId8" name="Check Box 33">
          <controlPr locked="0" defaultSize="0" autoFill="0" autoLine="0" autoPict="0">
            <anchor moveWithCells="1">
              <from>
                <xdr:col>18</xdr:col>
                <xdr:colOff>68580</xdr:colOff>
                <xdr:row>24</xdr:row>
                <xdr:rowOff>182880</xdr:rowOff>
              </from>
              <to>
                <xdr:col>19</xdr:col>
                <xdr:colOff>30480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54" r:id="rId9" name="Check Box 34">
          <controlPr locked="0" defaultSize="0" autoFill="0" autoLine="0" autoPict="0">
            <anchor moveWithCells="1">
              <from>
                <xdr:col>18</xdr:col>
                <xdr:colOff>68580</xdr:colOff>
                <xdr:row>26</xdr:row>
                <xdr:rowOff>182880</xdr:rowOff>
              </from>
              <to>
                <xdr:col>19</xdr:col>
                <xdr:colOff>30480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55" r:id="rId10" name="Check Box 35">
          <controlPr locked="0" defaultSize="0" autoFill="0" autoLine="0" autoPict="0">
            <anchor moveWithCells="1">
              <from>
                <xdr:col>22</xdr:col>
                <xdr:colOff>68580</xdr:colOff>
                <xdr:row>26</xdr:row>
                <xdr:rowOff>182880</xdr:rowOff>
              </from>
              <to>
                <xdr:col>23</xdr:col>
                <xdr:colOff>30480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56" r:id="rId11" name="Check Box 36">
          <controlPr locked="0" defaultSize="0" autoFill="0" autoLine="0" autoPict="0">
            <anchor moveWithCells="1">
              <from>
                <xdr:col>19</xdr:col>
                <xdr:colOff>68580</xdr:colOff>
                <xdr:row>26</xdr:row>
                <xdr:rowOff>182880</xdr:rowOff>
              </from>
              <to>
                <xdr:col>20</xdr:col>
                <xdr:colOff>30480</xdr:colOff>
                <xdr:row>28</xdr:row>
                <xdr:rowOff>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Z66"/>
  <sheetViews>
    <sheetView zoomScaleNormal="100" workbookViewId="0">
      <selection activeCell="R34" sqref="R34:U34"/>
    </sheetView>
  </sheetViews>
  <sheetFormatPr baseColWidth="10" defaultColWidth="11.44140625" defaultRowHeight="12.75" customHeight="1" x14ac:dyDescent="0.25"/>
  <cols>
    <col min="1" max="1" width="5.109375" style="155" customWidth="1"/>
    <col min="2" max="26" width="5.109375" style="86" customWidth="1"/>
    <col min="27" max="16384" width="11.44140625" style="86"/>
  </cols>
  <sheetData>
    <row r="1" spans="1:26" ht="12.75" customHeight="1" x14ac:dyDescent="0.25">
      <c r="A1" s="350"/>
      <c r="B1" s="351"/>
      <c r="C1" s="351"/>
      <c r="D1" s="351"/>
      <c r="E1" s="351"/>
      <c r="F1" s="352"/>
      <c r="G1" s="359" t="s">
        <v>59</v>
      </c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1"/>
      <c r="U1" s="362"/>
      <c r="V1" s="363"/>
      <c r="W1" s="363"/>
      <c r="X1" s="363"/>
      <c r="Y1" s="363"/>
      <c r="Z1" s="364"/>
    </row>
    <row r="2" spans="1:26" ht="12.75" customHeight="1" x14ac:dyDescent="0.25">
      <c r="A2" s="353"/>
      <c r="B2" s="354"/>
      <c r="C2" s="354"/>
      <c r="D2" s="354"/>
      <c r="E2" s="354"/>
      <c r="F2" s="355"/>
      <c r="G2" s="371" t="s">
        <v>60</v>
      </c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3"/>
      <c r="U2" s="365"/>
      <c r="V2" s="366"/>
      <c r="W2" s="366"/>
      <c r="X2" s="366"/>
      <c r="Y2" s="366"/>
      <c r="Z2" s="367"/>
    </row>
    <row r="3" spans="1:26" ht="12.75" customHeight="1" x14ac:dyDescent="0.25">
      <c r="A3" s="353"/>
      <c r="B3" s="354"/>
      <c r="C3" s="354"/>
      <c r="D3" s="354"/>
      <c r="E3" s="354"/>
      <c r="F3" s="355"/>
      <c r="G3" s="371"/>
      <c r="H3" s="372"/>
      <c r="I3" s="372"/>
      <c r="J3" s="372"/>
      <c r="K3" s="372"/>
      <c r="L3" s="372"/>
      <c r="M3" s="372"/>
      <c r="N3" s="372"/>
      <c r="O3" s="372"/>
      <c r="P3" s="372"/>
      <c r="Q3" s="372"/>
      <c r="R3" s="372"/>
      <c r="S3" s="372"/>
      <c r="T3" s="373"/>
      <c r="U3" s="365"/>
      <c r="V3" s="366"/>
      <c r="W3" s="366"/>
      <c r="X3" s="366"/>
      <c r="Y3" s="366"/>
      <c r="Z3" s="367"/>
    </row>
    <row r="4" spans="1:26" ht="12.75" customHeight="1" x14ac:dyDescent="0.25">
      <c r="A4" s="353"/>
      <c r="B4" s="354"/>
      <c r="C4" s="354"/>
      <c r="D4" s="354"/>
      <c r="E4" s="354"/>
      <c r="F4" s="355"/>
      <c r="G4" s="371"/>
      <c r="H4" s="372"/>
      <c r="I4" s="372"/>
      <c r="J4" s="372"/>
      <c r="K4" s="372"/>
      <c r="L4" s="372"/>
      <c r="M4" s="372"/>
      <c r="N4" s="372"/>
      <c r="O4" s="372"/>
      <c r="P4" s="372"/>
      <c r="Q4" s="372"/>
      <c r="R4" s="372"/>
      <c r="S4" s="372"/>
      <c r="T4" s="373"/>
      <c r="U4" s="365"/>
      <c r="V4" s="366"/>
      <c r="W4" s="366"/>
      <c r="X4" s="366"/>
      <c r="Y4" s="366"/>
      <c r="Z4" s="367"/>
    </row>
    <row r="5" spans="1:26" ht="12.75" customHeight="1" x14ac:dyDescent="0.25">
      <c r="A5" s="353"/>
      <c r="B5" s="354"/>
      <c r="C5" s="354"/>
      <c r="D5" s="354"/>
      <c r="E5" s="354"/>
      <c r="F5" s="355"/>
      <c r="G5" s="374" t="s">
        <v>22</v>
      </c>
      <c r="H5" s="375"/>
      <c r="I5" s="87"/>
      <c r="J5" s="376"/>
      <c r="K5" s="377"/>
      <c r="L5" s="378"/>
      <c r="M5" s="379"/>
      <c r="N5" s="379"/>
      <c r="O5" s="380"/>
      <c r="P5" s="381"/>
      <c r="Q5" s="382"/>
      <c r="R5" s="382"/>
      <c r="S5" s="382"/>
      <c r="T5" s="383"/>
      <c r="U5" s="365"/>
      <c r="V5" s="366"/>
      <c r="W5" s="366"/>
      <c r="X5" s="366"/>
      <c r="Y5" s="366"/>
      <c r="Z5" s="367"/>
    </row>
    <row r="6" spans="1:26" ht="12.75" customHeight="1" x14ac:dyDescent="0.25">
      <c r="A6" s="356"/>
      <c r="B6" s="357"/>
      <c r="C6" s="357"/>
      <c r="D6" s="357"/>
      <c r="E6" s="357"/>
      <c r="F6" s="358"/>
      <c r="G6" s="88"/>
      <c r="H6" s="89"/>
      <c r="I6" s="89"/>
      <c r="J6" s="345"/>
      <c r="K6" s="345"/>
      <c r="L6" s="345" t="s">
        <v>15</v>
      </c>
      <c r="M6" s="345"/>
      <c r="N6" s="345"/>
      <c r="O6" s="345"/>
      <c r="P6" s="345"/>
      <c r="Q6" s="345"/>
      <c r="R6" s="345"/>
      <c r="S6" s="345"/>
      <c r="T6" s="346"/>
      <c r="U6" s="368"/>
      <c r="V6" s="369"/>
      <c r="W6" s="369"/>
      <c r="X6" s="369"/>
      <c r="Y6" s="369"/>
      <c r="Z6" s="370"/>
    </row>
    <row r="7" spans="1:26" ht="37.5" customHeight="1" x14ac:dyDescent="0.25">
      <c r="A7" s="347" t="s">
        <v>11</v>
      </c>
      <c r="B7" s="347"/>
      <c r="C7" s="347"/>
      <c r="D7" s="347"/>
      <c r="E7" s="347"/>
      <c r="F7" s="347"/>
      <c r="G7" s="348" t="s">
        <v>13</v>
      </c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</row>
    <row r="8" spans="1:26" ht="15.9" customHeight="1" x14ac:dyDescent="0.25">
      <c r="A8" s="90" t="s">
        <v>5</v>
      </c>
      <c r="B8" s="91" t="s">
        <v>0</v>
      </c>
      <c r="C8" s="92"/>
      <c r="D8" s="93"/>
      <c r="E8" s="93"/>
      <c r="F8" s="93"/>
      <c r="G8" s="93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4"/>
    </row>
    <row r="9" spans="1:26" ht="8.25" customHeight="1" x14ac:dyDescent="0.25">
      <c r="A9" s="95"/>
      <c r="B9" s="96"/>
      <c r="C9" s="96"/>
      <c r="D9" s="97"/>
      <c r="E9" s="97"/>
      <c r="F9" s="97"/>
      <c r="G9" s="97"/>
      <c r="H9" s="96"/>
      <c r="I9" s="96"/>
      <c r="J9" s="96"/>
      <c r="K9" s="96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W9" s="96"/>
      <c r="X9" s="96"/>
      <c r="Y9" s="96"/>
      <c r="Z9" s="98"/>
    </row>
    <row r="10" spans="1:26" ht="15.9" customHeight="1" x14ac:dyDescent="0.25">
      <c r="A10" s="95"/>
      <c r="B10" s="341" t="s">
        <v>10</v>
      </c>
      <c r="C10" s="341"/>
      <c r="D10" s="341"/>
      <c r="E10" s="341"/>
      <c r="F10" s="341"/>
      <c r="G10" s="341"/>
      <c r="H10" s="342"/>
      <c r="I10" s="342"/>
      <c r="J10" s="342"/>
      <c r="K10" s="342"/>
      <c r="L10" s="342"/>
      <c r="M10" s="342"/>
      <c r="N10" s="341" t="s">
        <v>16</v>
      </c>
      <c r="O10" s="341"/>
      <c r="P10" s="341"/>
      <c r="Q10" s="341"/>
      <c r="R10" s="341"/>
      <c r="S10" s="341"/>
      <c r="T10" s="341"/>
      <c r="U10" s="341"/>
      <c r="V10" s="349"/>
      <c r="W10" s="349"/>
      <c r="X10" s="349"/>
      <c r="Y10" s="349"/>
      <c r="Z10" s="99"/>
    </row>
    <row r="11" spans="1:26" ht="15.9" customHeight="1" x14ac:dyDescent="0.25">
      <c r="A11" s="95"/>
      <c r="B11" s="341" t="s">
        <v>4</v>
      </c>
      <c r="C11" s="341"/>
      <c r="D11" s="341"/>
      <c r="E11" s="341"/>
      <c r="F11" s="341"/>
      <c r="G11" s="341"/>
      <c r="H11" s="342"/>
      <c r="I11" s="342"/>
      <c r="J11" s="342"/>
      <c r="K11" s="342"/>
      <c r="L11" s="342"/>
      <c r="M11" s="342"/>
      <c r="N11" s="341" t="s">
        <v>2</v>
      </c>
      <c r="O11" s="341"/>
      <c r="P11" s="341"/>
      <c r="Q11" s="341"/>
      <c r="R11" s="341"/>
      <c r="S11" s="344"/>
      <c r="T11" s="344"/>
      <c r="U11" s="344"/>
      <c r="V11" s="344"/>
      <c r="W11" s="344"/>
      <c r="X11" s="344"/>
      <c r="Y11" s="344"/>
      <c r="Z11" s="99"/>
    </row>
    <row r="12" spans="1:26" ht="15.75" customHeight="1" x14ac:dyDescent="0.25">
      <c r="A12" s="95"/>
      <c r="B12" s="341" t="s">
        <v>9</v>
      </c>
      <c r="C12" s="341"/>
      <c r="D12" s="341"/>
      <c r="E12" s="341"/>
      <c r="F12" s="341"/>
      <c r="G12" s="341"/>
      <c r="H12" s="342"/>
      <c r="I12" s="342"/>
      <c r="J12" s="342"/>
      <c r="K12" s="342"/>
      <c r="L12" s="342"/>
      <c r="M12" s="342"/>
      <c r="N12" s="341" t="s">
        <v>3</v>
      </c>
      <c r="O12" s="341"/>
      <c r="P12" s="341"/>
      <c r="Q12" s="341"/>
      <c r="R12" s="341"/>
      <c r="S12" s="344"/>
      <c r="T12" s="344"/>
      <c r="U12" s="344"/>
      <c r="V12" s="344"/>
      <c r="W12" s="344"/>
      <c r="X12" s="344"/>
      <c r="Y12" s="344"/>
      <c r="Z12" s="99"/>
    </row>
    <row r="13" spans="1:26" ht="15.9" customHeight="1" x14ac:dyDescent="0.25">
      <c r="A13" s="95"/>
      <c r="B13" s="341" t="s">
        <v>1</v>
      </c>
      <c r="C13" s="341"/>
      <c r="D13" s="341"/>
      <c r="E13" s="341"/>
      <c r="F13" s="341"/>
      <c r="G13" s="341"/>
      <c r="H13" s="342"/>
      <c r="I13" s="342"/>
      <c r="J13" s="342"/>
      <c r="K13" s="342"/>
      <c r="L13" s="342"/>
      <c r="M13" s="342"/>
      <c r="N13" s="341"/>
      <c r="O13" s="341"/>
      <c r="P13" s="341"/>
      <c r="Q13" s="341"/>
      <c r="R13" s="341"/>
      <c r="S13" s="343"/>
      <c r="T13" s="343"/>
      <c r="U13" s="343"/>
      <c r="V13" s="343"/>
      <c r="W13" s="343"/>
      <c r="X13" s="343"/>
      <c r="Y13" s="343"/>
      <c r="Z13" s="99"/>
    </row>
    <row r="14" spans="1:26" ht="8.25" customHeight="1" x14ac:dyDescent="0.25">
      <c r="A14" s="100"/>
      <c r="B14" s="89"/>
      <c r="C14" s="89"/>
      <c r="D14" s="101"/>
      <c r="E14" s="101"/>
      <c r="F14" s="101"/>
      <c r="G14" s="101"/>
      <c r="H14" s="89"/>
      <c r="I14" s="89"/>
      <c r="J14" s="89"/>
      <c r="K14" s="89"/>
      <c r="L14" s="89"/>
      <c r="M14" s="89"/>
      <c r="N14" s="102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103"/>
    </row>
    <row r="15" spans="1:26" s="104" customFormat="1" ht="15" x14ac:dyDescent="0.25">
      <c r="B15" s="105"/>
      <c r="C15" s="105"/>
      <c r="K15" s="106"/>
      <c r="L15" s="105"/>
      <c r="M15" s="107"/>
    </row>
    <row r="16" spans="1:26" s="104" customFormat="1" ht="15" x14ac:dyDescent="0.25">
      <c r="A16" s="90" t="s">
        <v>6</v>
      </c>
      <c r="B16" s="108" t="s">
        <v>61</v>
      </c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10"/>
    </row>
    <row r="17" spans="1:26" s="104" customFormat="1" ht="8.25" customHeight="1" x14ac:dyDescent="0.25">
      <c r="A17" s="111"/>
      <c r="B17" s="112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4"/>
    </row>
    <row r="18" spans="1:26" s="104" customFormat="1" ht="15.75" customHeight="1" x14ac:dyDescent="0.25">
      <c r="A18" s="111"/>
      <c r="B18" s="337" t="s">
        <v>62</v>
      </c>
      <c r="C18" s="338"/>
      <c r="D18" s="338"/>
      <c r="E18" s="338"/>
      <c r="F18" s="338"/>
      <c r="G18" s="338"/>
      <c r="H18" s="338"/>
      <c r="I18" s="115"/>
      <c r="J18" s="115"/>
      <c r="K18" s="115"/>
      <c r="L18" s="115"/>
      <c r="M18" s="115"/>
      <c r="N18" s="116"/>
      <c r="O18" s="117"/>
      <c r="P18" s="117"/>
      <c r="Q18" s="337" t="s">
        <v>63</v>
      </c>
      <c r="R18" s="338"/>
      <c r="S18" s="338"/>
      <c r="T18" s="338"/>
      <c r="U18" s="338"/>
      <c r="V18" s="115"/>
      <c r="W18" s="115" t="s">
        <v>64</v>
      </c>
      <c r="X18" s="118"/>
      <c r="Y18" s="119"/>
      <c r="Z18" s="120"/>
    </row>
    <row r="19" spans="1:26" s="104" customFormat="1" ht="15.75" customHeight="1" x14ac:dyDescent="0.25">
      <c r="A19" s="111"/>
      <c r="B19" s="332"/>
      <c r="C19" s="333"/>
      <c r="D19" s="333"/>
      <c r="E19" s="333"/>
      <c r="F19" s="333"/>
      <c r="G19" s="333"/>
      <c r="H19" s="333"/>
      <c r="I19" s="333"/>
      <c r="J19" s="333"/>
      <c r="K19" s="333"/>
      <c r="L19" s="333"/>
      <c r="M19" s="333"/>
      <c r="N19" s="334"/>
      <c r="O19" s="117"/>
      <c r="P19" s="117"/>
      <c r="Q19" s="121"/>
      <c r="R19" s="122"/>
      <c r="S19" s="122"/>
      <c r="T19" s="122"/>
      <c r="U19" s="122"/>
      <c r="V19" s="122"/>
      <c r="W19" s="122" t="s">
        <v>65</v>
      </c>
      <c r="X19" s="122"/>
      <c r="Y19" s="123"/>
      <c r="Z19" s="120"/>
    </row>
    <row r="20" spans="1:26" s="104" customFormat="1" ht="15.75" customHeight="1" x14ac:dyDescent="0.25">
      <c r="A20" s="111"/>
      <c r="B20" s="117"/>
      <c r="C20" s="117"/>
      <c r="D20" s="117"/>
      <c r="E20" s="117"/>
      <c r="F20" s="124"/>
      <c r="G20" s="125"/>
      <c r="H20" s="126"/>
      <c r="I20" s="117"/>
      <c r="J20" s="117"/>
      <c r="K20" s="117"/>
      <c r="L20" s="126"/>
      <c r="M20" s="117"/>
      <c r="N20" s="117"/>
      <c r="O20" s="117"/>
      <c r="P20" s="117"/>
      <c r="Q20" s="117"/>
      <c r="R20" s="117"/>
      <c r="S20" s="126"/>
      <c r="T20" s="117"/>
      <c r="U20" s="117"/>
      <c r="V20" s="117"/>
      <c r="W20" s="117"/>
      <c r="X20" s="117"/>
      <c r="Y20" s="117"/>
      <c r="Z20" s="114"/>
    </row>
    <row r="21" spans="1:26" ht="15.75" customHeight="1" x14ac:dyDescent="0.25">
      <c r="A21" s="95"/>
      <c r="B21" s="330" t="s">
        <v>66</v>
      </c>
      <c r="C21" s="331"/>
      <c r="D21" s="331"/>
      <c r="E21" s="331"/>
      <c r="F21" s="331"/>
      <c r="G21" s="335"/>
      <c r="H21" s="335"/>
      <c r="I21" s="335"/>
      <c r="J21" s="336"/>
      <c r="K21" s="127"/>
      <c r="L21" s="127"/>
      <c r="M21" s="117"/>
      <c r="N21" s="117"/>
      <c r="O21" s="117"/>
      <c r="P21" s="117"/>
      <c r="Q21" s="337" t="s">
        <v>67</v>
      </c>
      <c r="R21" s="338"/>
      <c r="S21" s="338"/>
      <c r="T21" s="338"/>
      <c r="U21" s="338"/>
      <c r="V21" s="115"/>
      <c r="W21" s="115" t="s">
        <v>17</v>
      </c>
      <c r="X21" s="115"/>
      <c r="Y21" s="119"/>
      <c r="Z21" s="98"/>
    </row>
    <row r="22" spans="1:26" ht="15.75" customHeight="1" x14ac:dyDescent="0.25">
      <c r="A22" s="128"/>
      <c r="B22" s="96"/>
      <c r="C22" s="117"/>
      <c r="D22" s="129"/>
      <c r="E22" s="124"/>
      <c r="F22" s="124"/>
      <c r="G22" s="125"/>
      <c r="H22" s="125"/>
      <c r="I22" s="130"/>
      <c r="J22" s="127"/>
      <c r="K22" s="127"/>
      <c r="L22" s="127"/>
      <c r="M22" s="117"/>
      <c r="N22" s="117"/>
      <c r="O22" s="117"/>
      <c r="P22" s="117"/>
      <c r="Q22" s="131"/>
      <c r="R22" s="132"/>
      <c r="S22" s="132"/>
      <c r="T22" s="122"/>
      <c r="U22" s="122"/>
      <c r="V22" s="122"/>
      <c r="W22" s="122" t="s">
        <v>19</v>
      </c>
      <c r="X22" s="122"/>
      <c r="Y22" s="123"/>
      <c r="Z22" s="98"/>
    </row>
    <row r="23" spans="1:26" ht="15.75" customHeight="1" x14ac:dyDescent="0.25">
      <c r="A23" s="95"/>
      <c r="B23" s="337" t="s">
        <v>18</v>
      </c>
      <c r="C23" s="338"/>
      <c r="D23" s="338"/>
      <c r="E23" s="338"/>
      <c r="F23" s="338"/>
      <c r="G23" s="339"/>
      <c r="H23" s="339"/>
      <c r="I23" s="339"/>
      <c r="J23" s="340"/>
      <c r="K23" s="127"/>
      <c r="L23" s="127"/>
      <c r="M23" s="117"/>
      <c r="N23" s="117"/>
      <c r="O23" s="117"/>
      <c r="P23" s="117"/>
      <c r="Q23" s="127"/>
      <c r="R23" s="127"/>
      <c r="S23" s="127"/>
      <c r="T23" s="117"/>
      <c r="U23" s="117"/>
      <c r="V23" s="117"/>
      <c r="W23" s="117"/>
      <c r="X23" s="117"/>
      <c r="Y23" s="117"/>
      <c r="Z23" s="98"/>
    </row>
    <row r="24" spans="1:26" ht="15.75" customHeight="1" x14ac:dyDescent="0.25">
      <c r="A24" s="95"/>
      <c r="B24" s="326" t="s">
        <v>20</v>
      </c>
      <c r="C24" s="327"/>
      <c r="D24" s="327"/>
      <c r="E24" s="327"/>
      <c r="F24" s="327"/>
      <c r="G24" s="328"/>
      <c r="H24" s="328"/>
      <c r="I24" s="328"/>
      <c r="J24" s="329"/>
      <c r="K24" s="127"/>
      <c r="L24" s="127"/>
      <c r="M24" s="117"/>
      <c r="N24" s="117"/>
      <c r="O24" s="117"/>
      <c r="P24" s="117"/>
      <c r="Q24" s="330" t="s">
        <v>68</v>
      </c>
      <c r="R24" s="331"/>
      <c r="S24" s="331"/>
      <c r="T24" s="331"/>
      <c r="U24" s="331"/>
      <c r="V24" s="276"/>
      <c r="W24" s="276"/>
      <c r="X24" s="276"/>
      <c r="Y24" s="277"/>
      <c r="Z24" s="98"/>
    </row>
    <row r="25" spans="1:26" ht="7.5" customHeight="1" x14ac:dyDescent="0.25">
      <c r="A25" s="100"/>
      <c r="B25" s="89"/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103"/>
    </row>
    <row r="26" spans="1:26" ht="15.75" customHeight="1" x14ac:dyDescent="0.25">
      <c r="A26" s="97"/>
      <c r="B26" s="96"/>
      <c r="C26" s="96"/>
      <c r="D26" s="96"/>
      <c r="E26" s="96"/>
      <c r="F26" s="96"/>
      <c r="G26" s="96"/>
      <c r="H26" s="96"/>
      <c r="I26" s="96"/>
      <c r="J26" s="96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96"/>
      <c r="Y26" s="96"/>
      <c r="Z26" s="96"/>
    </row>
    <row r="27" spans="1:26" ht="15.75" customHeight="1" x14ac:dyDescent="0.25">
      <c r="A27" s="133" t="s">
        <v>7</v>
      </c>
      <c r="B27" s="108" t="s">
        <v>69</v>
      </c>
      <c r="C27" s="115"/>
      <c r="D27" s="134"/>
      <c r="E27" s="135"/>
      <c r="F27" s="135"/>
      <c r="G27" s="136"/>
      <c r="H27" s="136"/>
      <c r="I27" s="137"/>
      <c r="J27" s="138"/>
      <c r="K27" s="138"/>
      <c r="L27" s="138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92"/>
      <c r="Y27" s="92"/>
      <c r="Z27" s="94"/>
    </row>
    <row r="28" spans="1:26" ht="8.25" customHeight="1" x14ac:dyDescent="0.25">
      <c r="A28" s="139"/>
      <c r="B28" s="117"/>
      <c r="C28" s="117"/>
      <c r="D28" s="129"/>
      <c r="E28" s="124"/>
      <c r="F28" s="124"/>
      <c r="G28" s="125"/>
      <c r="H28" s="125"/>
      <c r="I28" s="130"/>
      <c r="J28" s="127"/>
      <c r="K28" s="127"/>
      <c r="L28" s="127"/>
      <c r="M28" s="117"/>
      <c r="N28" s="117"/>
      <c r="O28" s="117"/>
      <c r="P28" s="117"/>
      <c r="Q28" s="140"/>
      <c r="R28" s="117"/>
      <c r="S28" s="117"/>
      <c r="T28" s="117"/>
      <c r="U28" s="117"/>
      <c r="V28" s="117"/>
      <c r="W28" s="117"/>
      <c r="X28" s="96"/>
      <c r="Y28" s="96"/>
      <c r="Z28" s="98"/>
    </row>
    <row r="29" spans="1:26" ht="15.75" customHeight="1" x14ac:dyDescent="0.25">
      <c r="A29" s="141"/>
      <c r="B29" s="291" t="s">
        <v>70</v>
      </c>
      <c r="C29" s="292"/>
      <c r="D29" s="292"/>
      <c r="E29" s="293"/>
      <c r="F29" s="289"/>
      <c r="G29" s="276"/>
      <c r="H29" s="276"/>
      <c r="I29" s="290"/>
      <c r="J29" s="276"/>
      <c r="K29" s="276"/>
      <c r="L29" s="276"/>
      <c r="M29" s="290"/>
      <c r="N29" s="276"/>
      <c r="O29" s="276"/>
      <c r="P29" s="276"/>
      <c r="Q29" s="290"/>
      <c r="R29" s="276"/>
      <c r="S29" s="276"/>
      <c r="T29" s="276"/>
      <c r="U29" s="290"/>
      <c r="V29" s="276"/>
      <c r="W29" s="276"/>
      <c r="X29" s="276"/>
      <c r="Y29" s="277"/>
      <c r="Z29" s="98"/>
    </row>
    <row r="30" spans="1:26" ht="15.75" customHeight="1" x14ac:dyDescent="0.25">
      <c r="A30" s="141"/>
      <c r="B30" s="142"/>
      <c r="C30" s="142"/>
      <c r="D30" s="143"/>
      <c r="E30" s="143"/>
      <c r="F30" s="117"/>
      <c r="G30" s="143"/>
      <c r="H30" s="117"/>
      <c r="I30" s="117"/>
      <c r="J30" s="117"/>
      <c r="K30" s="144"/>
      <c r="L30" s="117"/>
      <c r="M30" s="117"/>
      <c r="N30" s="117"/>
      <c r="O30" s="144"/>
      <c r="P30" s="117"/>
      <c r="Q30" s="117"/>
      <c r="R30" s="117"/>
      <c r="S30" s="145"/>
      <c r="T30" s="146"/>
      <c r="U30" s="140"/>
      <c r="V30" s="117"/>
      <c r="W30" s="145"/>
      <c r="X30" s="146"/>
      <c r="Y30" s="140"/>
      <c r="Z30" s="98"/>
    </row>
    <row r="31" spans="1:26" ht="15.75" customHeight="1" x14ac:dyDescent="0.25">
      <c r="A31" s="141"/>
      <c r="B31" s="291" t="s">
        <v>71</v>
      </c>
      <c r="C31" s="292"/>
      <c r="D31" s="292"/>
      <c r="E31" s="293"/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2"/>
      <c r="W31" s="122"/>
      <c r="X31" s="122"/>
      <c r="Y31" s="122"/>
      <c r="Z31" s="98"/>
    </row>
    <row r="32" spans="1:26" ht="15.75" customHeight="1" x14ac:dyDescent="0.25">
      <c r="A32" s="141"/>
      <c r="B32" s="320" t="s">
        <v>72</v>
      </c>
      <c r="C32" s="321"/>
      <c r="D32" s="321"/>
      <c r="E32" s="321"/>
      <c r="F32" s="318"/>
      <c r="G32" s="316"/>
      <c r="H32" s="316"/>
      <c r="I32" s="319"/>
      <c r="J32" s="316"/>
      <c r="K32" s="316"/>
      <c r="L32" s="316"/>
      <c r="M32" s="319"/>
      <c r="N32" s="316"/>
      <c r="O32" s="316"/>
      <c r="P32" s="316"/>
      <c r="Q32" s="319"/>
      <c r="R32" s="316"/>
      <c r="S32" s="316"/>
      <c r="T32" s="316"/>
      <c r="U32" s="319"/>
      <c r="V32" s="316"/>
      <c r="W32" s="316"/>
      <c r="X32" s="316"/>
      <c r="Y32" s="317"/>
      <c r="Z32" s="98"/>
    </row>
    <row r="33" spans="1:26" ht="15.75" customHeight="1" x14ac:dyDescent="0.25">
      <c r="A33" s="141"/>
      <c r="B33" s="313" t="s">
        <v>73</v>
      </c>
      <c r="C33" s="314"/>
      <c r="D33" s="314"/>
      <c r="E33" s="314"/>
      <c r="F33" s="304"/>
      <c r="G33" s="306"/>
      <c r="H33" s="306"/>
      <c r="I33" s="305"/>
      <c r="J33" s="306"/>
      <c r="K33" s="306"/>
      <c r="L33" s="306"/>
      <c r="M33" s="305"/>
      <c r="N33" s="306"/>
      <c r="O33" s="306"/>
      <c r="P33" s="306"/>
      <c r="Q33" s="305"/>
      <c r="R33" s="306"/>
      <c r="S33" s="306"/>
      <c r="T33" s="306"/>
      <c r="U33" s="305"/>
      <c r="V33" s="306"/>
      <c r="W33" s="306"/>
      <c r="X33" s="306"/>
      <c r="Y33" s="307"/>
      <c r="Z33" s="98"/>
    </row>
    <row r="34" spans="1:26" ht="15.75" customHeight="1" x14ac:dyDescent="0.25">
      <c r="A34" s="141"/>
      <c r="B34" s="313" t="s">
        <v>74</v>
      </c>
      <c r="C34" s="314"/>
      <c r="D34" s="314"/>
      <c r="E34" s="314"/>
      <c r="F34" s="304">
        <f>F32-F33</f>
        <v>0</v>
      </c>
      <c r="G34" s="306"/>
      <c r="H34" s="306"/>
      <c r="I34" s="305"/>
      <c r="J34" s="306"/>
      <c r="K34" s="306"/>
      <c r="L34" s="306"/>
      <c r="M34" s="305"/>
      <c r="N34" s="306"/>
      <c r="O34" s="306"/>
      <c r="P34" s="306"/>
      <c r="Q34" s="305"/>
      <c r="R34" s="306"/>
      <c r="S34" s="306"/>
      <c r="T34" s="306"/>
      <c r="U34" s="305"/>
      <c r="V34" s="306"/>
      <c r="W34" s="306"/>
      <c r="X34" s="306"/>
      <c r="Y34" s="307"/>
      <c r="Z34" s="98"/>
    </row>
    <row r="35" spans="1:26" ht="15.75" customHeight="1" x14ac:dyDescent="0.25">
      <c r="A35" s="141"/>
      <c r="B35" s="313" t="s">
        <v>75</v>
      </c>
      <c r="C35" s="314"/>
      <c r="D35" s="314"/>
      <c r="E35" s="314"/>
      <c r="F35" s="304"/>
      <c r="G35" s="306"/>
      <c r="H35" s="306"/>
      <c r="I35" s="305"/>
      <c r="J35" s="306"/>
      <c r="K35" s="306"/>
      <c r="L35" s="306"/>
      <c r="M35" s="305"/>
      <c r="N35" s="306"/>
      <c r="O35" s="306"/>
      <c r="P35" s="306"/>
      <c r="Q35" s="305"/>
      <c r="R35" s="306"/>
      <c r="S35" s="306"/>
      <c r="T35" s="306"/>
      <c r="U35" s="305"/>
      <c r="V35" s="306"/>
      <c r="W35" s="306"/>
      <c r="X35" s="306"/>
      <c r="Y35" s="307"/>
      <c r="Z35" s="98"/>
    </row>
    <row r="36" spans="1:26" ht="15.75" customHeight="1" x14ac:dyDescent="0.25">
      <c r="A36" s="141"/>
      <c r="B36" s="308" t="s">
        <v>76</v>
      </c>
      <c r="C36" s="309"/>
      <c r="D36" s="309"/>
      <c r="E36" s="309"/>
      <c r="F36" s="323" t="e">
        <f>F34/F35</f>
        <v>#DIV/0!</v>
      </c>
      <c r="G36" s="324"/>
      <c r="H36" s="324"/>
      <c r="I36" s="325"/>
      <c r="J36" s="300"/>
      <c r="K36" s="300"/>
      <c r="L36" s="300"/>
      <c r="M36" s="303"/>
      <c r="N36" s="300"/>
      <c r="O36" s="300"/>
      <c r="P36" s="300"/>
      <c r="Q36" s="303"/>
      <c r="R36" s="300"/>
      <c r="S36" s="300"/>
      <c r="T36" s="300"/>
      <c r="U36" s="303"/>
      <c r="V36" s="300"/>
      <c r="W36" s="300"/>
      <c r="X36" s="300"/>
      <c r="Y36" s="301"/>
      <c r="Z36" s="98"/>
    </row>
    <row r="37" spans="1:26" ht="15.75" customHeight="1" x14ac:dyDescent="0.25">
      <c r="A37" s="141"/>
      <c r="B37" s="291" t="s">
        <v>77</v>
      </c>
      <c r="C37" s="292"/>
      <c r="D37" s="292"/>
      <c r="E37" s="293"/>
      <c r="F37" s="121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122"/>
      <c r="X37" s="122"/>
      <c r="Y37" s="122"/>
      <c r="Z37" s="98"/>
    </row>
    <row r="38" spans="1:26" ht="15.75" customHeight="1" x14ac:dyDescent="0.25">
      <c r="A38" s="141"/>
      <c r="B38" s="320" t="s">
        <v>78</v>
      </c>
      <c r="C38" s="321"/>
      <c r="D38" s="321"/>
      <c r="E38" s="322"/>
      <c r="F38" s="318"/>
      <c r="G38" s="317"/>
      <c r="H38" s="318"/>
      <c r="I38" s="319"/>
      <c r="J38" s="316"/>
      <c r="K38" s="317"/>
      <c r="L38" s="318"/>
      <c r="M38" s="319"/>
      <c r="N38" s="316"/>
      <c r="O38" s="317"/>
      <c r="P38" s="318"/>
      <c r="Q38" s="319"/>
      <c r="R38" s="316"/>
      <c r="S38" s="317"/>
      <c r="T38" s="318"/>
      <c r="U38" s="319"/>
      <c r="V38" s="316"/>
      <c r="W38" s="317"/>
      <c r="X38" s="318"/>
      <c r="Y38" s="317"/>
      <c r="Z38" s="147"/>
    </row>
    <row r="39" spans="1:26" ht="15.75" customHeight="1" x14ac:dyDescent="0.25">
      <c r="A39" s="141"/>
      <c r="B39" s="313" t="s">
        <v>79</v>
      </c>
      <c r="C39" s="314"/>
      <c r="D39" s="314"/>
      <c r="E39" s="315"/>
      <c r="F39" s="304"/>
      <c r="G39" s="307"/>
      <c r="H39" s="304"/>
      <c r="I39" s="305"/>
      <c r="J39" s="306"/>
      <c r="K39" s="307"/>
      <c r="L39" s="304"/>
      <c r="M39" s="305"/>
      <c r="N39" s="306"/>
      <c r="O39" s="307"/>
      <c r="P39" s="304"/>
      <c r="Q39" s="305"/>
      <c r="R39" s="306"/>
      <c r="S39" s="307"/>
      <c r="T39" s="304"/>
      <c r="U39" s="305"/>
      <c r="V39" s="306"/>
      <c r="W39" s="307"/>
      <c r="X39" s="304"/>
      <c r="Y39" s="307"/>
      <c r="Z39" s="148"/>
    </row>
    <row r="40" spans="1:26" ht="15.75" customHeight="1" x14ac:dyDescent="0.25">
      <c r="A40" s="141"/>
      <c r="B40" s="313" t="s">
        <v>80</v>
      </c>
      <c r="C40" s="314"/>
      <c r="D40" s="314"/>
      <c r="E40" s="315"/>
      <c r="F40" s="304"/>
      <c r="G40" s="307"/>
      <c r="H40" s="304"/>
      <c r="I40" s="305"/>
      <c r="J40" s="306"/>
      <c r="K40" s="307"/>
      <c r="L40" s="304"/>
      <c r="M40" s="305"/>
      <c r="N40" s="306"/>
      <c r="O40" s="307"/>
      <c r="P40" s="304"/>
      <c r="Q40" s="305"/>
      <c r="R40" s="306"/>
      <c r="S40" s="307"/>
      <c r="T40" s="304"/>
      <c r="U40" s="305"/>
      <c r="V40" s="306"/>
      <c r="W40" s="307"/>
      <c r="X40" s="304"/>
      <c r="Y40" s="307"/>
      <c r="Z40" s="148"/>
    </row>
    <row r="41" spans="1:26" ht="15.75" customHeight="1" x14ac:dyDescent="0.25">
      <c r="A41" s="141"/>
      <c r="B41" s="313" t="s">
        <v>81</v>
      </c>
      <c r="C41" s="314"/>
      <c r="D41" s="314"/>
      <c r="E41" s="315"/>
      <c r="F41" s="304"/>
      <c r="G41" s="307"/>
      <c r="H41" s="304"/>
      <c r="I41" s="305"/>
      <c r="J41" s="306"/>
      <c r="K41" s="307"/>
      <c r="L41" s="304"/>
      <c r="M41" s="305"/>
      <c r="N41" s="306"/>
      <c r="O41" s="307"/>
      <c r="P41" s="304"/>
      <c r="Q41" s="305"/>
      <c r="R41" s="306"/>
      <c r="S41" s="307"/>
      <c r="T41" s="304"/>
      <c r="U41" s="305"/>
      <c r="V41" s="306"/>
      <c r="W41" s="307"/>
      <c r="X41" s="304"/>
      <c r="Y41" s="307"/>
      <c r="Z41" s="148"/>
    </row>
    <row r="42" spans="1:26" ht="15.75" customHeight="1" x14ac:dyDescent="0.25">
      <c r="A42" s="141"/>
      <c r="B42" s="313" t="s">
        <v>82</v>
      </c>
      <c r="C42" s="314"/>
      <c r="D42" s="314"/>
      <c r="E42" s="315"/>
      <c r="F42" s="304"/>
      <c r="G42" s="307"/>
      <c r="H42" s="304"/>
      <c r="I42" s="305"/>
      <c r="J42" s="306"/>
      <c r="K42" s="307"/>
      <c r="L42" s="304"/>
      <c r="M42" s="305"/>
      <c r="N42" s="306"/>
      <c r="O42" s="307"/>
      <c r="P42" s="304"/>
      <c r="Q42" s="305"/>
      <c r="R42" s="306"/>
      <c r="S42" s="307"/>
      <c r="T42" s="304"/>
      <c r="U42" s="305"/>
      <c r="V42" s="306"/>
      <c r="W42" s="307"/>
      <c r="X42" s="304"/>
      <c r="Y42" s="307"/>
      <c r="Z42" s="148"/>
    </row>
    <row r="43" spans="1:26" ht="15.75" customHeight="1" x14ac:dyDescent="0.25">
      <c r="A43" s="141"/>
      <c r="B43" s="313" t="s">
        <v>83</v>
      </c>
      <c r="C43" s="314"/>
      <c r="D43" s="314"/>
      <c r="E43" s="315"/>
      <c r="F43" s="304"/>
      <c r="G43" s="307"/>
      <c r="H43" s="304"/>
      <c r="I43" s="305"/>
      <c r="J43" s="306"/>
      <c r="K43" s="307"/>
      <c r="L43" s="304"/>
      <c r="M43" s="305"/>
      <c r="N43" s="306"/>
      <c r="O43" s="307"/>
      <c r="P43" s="304"/>
      <c r="Q43" s="305"/>
      <c r="R43" s="306"/>
      <c r="S43" s="307"/>
      <c r="T43" s="304"/>
      <c r="U43" s="305"/>
      <c r="V43" s="306"/>
      <c r="W43" s="307"/>
      <c r="X43" s="304"/>
      <c r="Y43" s="307"/>
      <c r="Z43" s="98"/>
    </row>
    <row r="44" spans="1:26" ht="15.75" customHeight="1" x14ac:dyDescent="0.25">
      <c r="A44" s="141"/>
      <c r="B44" s="308" t="s">
        <v>84</v>
      </c>
      <c r="C44" s="309"/>
      <c r="D44" s="309"/>
      <c r="E44" s="310"/>
      <c r="F44" s="311" t="e">
        <f>(F39-F40)/(F40-F41)</f>
        <v>#DIV/0!</v>
      </c>
      <c r="G44" s="312"/>
      <c r="H44" s="302"/>
      <c r="I44" s="303"/>
      <c r="J44" s="300"/>
      <c r="K44" s="301"/>
      <c r="L44" s="302"/>
      <c r="M44" s="303"/>
      <c r="N44" s="300"/>
      <c r="O44" s="301"/>
      <c r="P44" s="302"/>
      <c r="Q44" s="303"/>
      <c r="R44" s="300"/>
      <c r="S44" s="301"/>
      <c r="T44" s="302"/>
      <c r="U44" s="303"/>
      <c r="V44" s="300"/>
      <c r="W44" s="301"/>
      <c r="X44" s="302"/>
      <c r="Y44" s="301"/>
      <c r="Z44" s="98"/>
    </row>
    <row r="45" spans="1:26" ht="15.9" customHeight="1" x14ac:dyDescent="0.25">
      <c r="A45" s="141"/>
      <c r="B45" s="291" t="s">
        <v>85</v>
      </c>
      <c r="C45" s="292"/>
      <c r="D45" s="292"/>
      <c r="E45" s="292"/>
      <c r="F45" s="297" t="e">
        <f>F44</f>
        <v>#DIV/0!</v>
      </c>
      <c r="G45" s="298"/>
      <c r="H45" s="298"/>
      <c r="I45" s="299"/>
      <c r="J45" s="276"/>
      <c r="K45" s="276"/>
      <c r="L45" s="276"/>
      <c r="M45" s="290"/>
      <c r="N45" s="276"/>
      <c r="O45" s="276"/>
      <c r="P45" s="276"/>
      <c r="Q45" s="290"/>
      <c r="R45" s="276"/>
      <c r="S45" s="276"/>
      <c r="T45" s="276"/>
      <c r="U45" s="290"/>
      <c r="V45" s="276"/>
      <c r="W45" s="276"/>
      <c r="X45" s="276"/>
      <c r="Y45" s="277"/>
      <c r="Z45" s="98"/>
    </row>
    <row r="46" spans="1:26" ht="15.9" customHeight="1" x14ac:dyDescent="0.25">
      <c r="A46" s="141"/>
      <c r="B46" s="291" t="s">
        <v>86</v>
      </c>
      <c r="C46" s="292"/>
      <c r="D46" s="292"/>
      <c r="E46" s="292"/>
      <c r="F46" s="294" t="e">
        <f>F36/(1+F45)</f>
        <v>#DIV/0!</v>
      </c>
      <c r="G46" s="295"/>
      <c r="H46" s="295"/>
      <c r="I46" s="296"/>
      <c r="J46" s="276"/>
      <c r="K46" s="276"/>
      <c r="L46" s="276"/>
      <c r="M46" s="290"/>
      <c r="N46" s="276"/>
      <c r="O46" s="276"/>
      <c r="P46" s="276"/>
      <c r="Q46" s="290"/>
      <c r="R46" s="276"/>
      <c r="S46" s="276"/>
      <c r="T46" s="276"/>
      <c r="U46" s="290"/>
      <c r="V46" s="276"/>
      <c r="W46" s="276"/>
      <c r="X46" s="276"/>
      <c r="Y46" s="277"/>
      <c r="Z46" s="98"/>
    </row>
    <row r="47" spans="1:26" ht="15.9" customHeight="1" x14ac:dyDescent="0.25">
      <c r="A47" s="141"/>
      <c r="B47" s="117"/>
      <c r="C47" s="117"/>
      <c r="D47" s="149"/>
      <c r="E47" s="150"/>
      <c r="F47" s="117"/>
      <c r="G47" s="151"/>
      <c r="H47" s="117"/>
      <c r="I47" s="117"/>
      <c r="J47" s="117"/>
      <c r="K47" s="117"/>
      <c r="L47" s="151"/>
      <c r="M47" s="140"/>
      <c r="N47" s="117"/>
      <c r="O47" s="117"/>
      <c r="P47" s="151"/>
      <c r="Q47" s="140"/>
      <c r="R47" s="146"/>
      <c r="S47" s="140"/>
      <c r="T47" s="146"/>
      <c r="U47" s="140"/>
      <c r="V47" s="146"/>
      <c r="W47" s="140"/>
      <c r="X47" s="146"/>
      <c r="Y47" s="140"/>
      <c r="Z47" s="152"/>
    </row>
    <row r="48" spans="1:26" ht="15.9" customHeight="1" x14ac:dyDescent="0.25">
      <c r="A48" s="141"/>
      <c r="B48" s="291" t="s">
        <v>87</v>
      </c>
      <c r="C48" s="292"/>
      <c r="D48" s="292"/>
      <c r="E48" s="293"/>
      <c r="F48" s="289"/>
      <c r="G48" s="277"/>
      <c r="H48" s="289"/>
      <c r="I48" s="290"/>
      <c r="J48" s="276"/>
      <c r="K48" s="277"/>
      <c r="L48" s="289"/>
      <c r="M48" s="290"/>
      <c r="N48" s="276"/>
      <c r="O48" s="277"/>
      <c r="P48" s="289"/>
      <c r="Q48" s="290"/>
      <c r="R48" s="276"/>
      <c r="S48" s="277"/>
      <c r="T48" s="289"/>
      <c r="U48" s="290"/>
      <c r="V48" s="276"/>
      <c r="W48" s="277"/>
      <c r="X48" s="289"/>
      <c r="Y48" s="277"/>
      <c r="Z48" s="98"/>
    </row>
    <row r="49" spans="1:26" ht="15.9" customHeight="1" x14ac:dyDescent="0.25">
      <c r="A49" s="141"/>
      <c r="B49" s="291" t="s">
        <v>21</v>
      </c>
      <c r="C49" s="292"/>
      <c r="D49" s="292"/>
      <c r="E49" s="292"/>
      <c r="F49" s="289"/>
      <c r="G49" s="276"/>
      <c r="H49" s="276"/>
      <c r="I49" s="290"/>
      <c r="J49" s="276"/>
      <c r="K49" s="276"/>
      <c r="L49" s="276"/>
      <c r="M49" s="290"/>
      <c r="N49" s="276"/>
      <c r="O49" s="276"/>
      <c r="P49" s="276"/>
      <c r="Q49" s="290"/>
      <c r="R49" s="276"/>
      <c r="S49" s="276"/>
      <c r="T49" s="276"/>
      <c r="U49" s="290"/>
      <c r="V49" s="276"/>
      <c r="W49" s="276"/>
      <c r="X49" s="276"/>
      <c r="Y49" s="277"/>
      <c r="Z49" s="152"/>
    </row>
    <row r="50" spans="1:26" ht="8.25" customHeight="1" x14ac:dyDescent="0.25">
      <c r="A50" s="121"/>
      <c r="B50" s="122"/>
      <c r="C50" s="122"/>
      <c r="D50" s="122"/>
      <c r="E50" s="122"/>
      <c r="F50" s="122"/>
      <c r="G50" s="122"/>
      <c r="H50" s="122"/>
      <c r="I50" s="122"/>
      <c r="J50" s="122"/>
      <c r="K50" s="122"/>
      <c r="L50" s="122"/>
      <c r="M50" s="122"/>
      <c r="N50" s="122"/>
      <c r="O50" s="122"/>
      <c r="P50" s="122"/>
      <c r="Q50" s="122"/>
      <c r="R50" s="153"/>
      <c r="S50" s="153"/>
      <c r="T50" s="153"/>
      <c r="U50" s="153"/>
      <c r="V50" s="153"/>
      <c r="W50" s="153"/>
      <c r="X50" s="89"/>
      <c r="Y50" s="89"/>
      <c r="Z50" s="103"/>
    </row>
    <row r="51" spans="1:26" ht="15.75" customHeight="1" x14ac:dyDescent="0.25">
      <c r="A51" s="141"/>
      <c r="B51" s="117"/>
      <c r="C51" s="117"/>
      <c r="D51" s="117"/>
      <c r="E51" s="117"/>
      <c r="F51" s="117"/>
      <c r="G51" s="117"/>
      <c r="H51" s="117"/>
      <c r="I51" s="117"/>
      <c r="J51" s="117"/>
      <c r="K51" s="117"/>
      <c r="L51" s="117"/>
      <c r="M51" s="117"/>
      <c r="N51" s="117"/>
      <c r="O51" s="117"/>
      <c r="P51" s="117"/>
      <c r="Q51" s="117"/>
      <c r="R51" s="150"/>
      <c r="S51" s="150"/>
      <c r="T51" s="150"/>
      <c r="U51" s="150"/>
      <c r="V51" s="150"/>
      <c r="W51" s="150"/>
      <c r="X51" s="96"/>
      <c r="Y51" s="96"/>
      <c r="Z51" s="96"/>
    </row>
    <row r="52" spans="1:26" s="104" customFormat="1" ht="14.25" customHeight="1" x14ac:dyDescent="0.25">
      <c r="A52" s="90" t="s">
        <v>12</v>
      </c>
      <c r="B52" s="91" t="s">
        <v>8</v>
      </c>
      <c r="C52" s="92"/>
      <c r="D52" s="92"/>
      <c r="E52" s="154"/>
      <c r="F52" s="154"/>
      <c r="G52" s="154"/>
      <c r="H52" s="154"/>
      <c r="I52" s="154"/>
      <c r="J52" s="154"/>
      <c r="K52" s="154"/>
      <c r="L52" s="154"/>
      <c r="M52" s="154"/>
      <c r="N52" s="154"/>
      <c r="O52" s="154"/>
      <c r="P52" s="154"/>
      <c r="Q52" s="154"/>
      <c r="R52" s="278"/>
      <c r="S52" s="278"/>
      <c r="T52" s="278"/>
      <c r="U52" s="279"/>
      <c r="V52" s="279"/>
      <c r="W52" s="279"/>
      <c r="X52" s="280"/>
      <c r="Y52" s="280"/>
      <c r="Z52" s="281"/>
    </row>
    <row r="53" spans="1:26" s="104" customFormat="1" ht="12.75" customHeight="1" x14ac:dyDescent="0.25">
      <c r="A53" s="282"/>
      <c r="B53" s="283"/>
      <c r="C53" s="283"/>
      <c r="D53" s="283"/>
      <c r="E53" s="283"/>
      <c r="F53" s="283"/>
      <c r="G53" s="283"/>
      <c r="H53" s="283"/>
      <c r="I53" s="283"/>
      <c r="J53" s="283"/>
      <c r="K53" s="283"/>
      <c r="L53" s="283"/>
      <c r="M53" s="283"/>
      <c r="N53" s="283"/>
      <c r="O53" s="283"/>
      <c r="P53" s="283"/>
      <c r="Q53" s="283"/>
      <c r="R53" s="283"/>
      <c r="S53" s="283"/>
      <c r="T53" s="283"/>
      <c r="U53" s="283"/>
      <c r="V53" s="283"/>
      <c r="W53" s="283"/>
      <c r="X53" s="283"/>
      <c r="Y53" s="283"/>
      <c r="Z53" s="284"/>
    </row>
    <row r="54" spans="1:26" s="104" customFormat="1" ht="12.75" customHeight="1" x14ac:dyDescent="0.25">
      <c r="A54" s="282"/>
      <c r="B54" s="283"/>
      <c r="C54" s="283"/>
      <c r="D54" s="283"/>
      <c r="E54" s="283"/>
      <c r="F54" s="283"/>
      <c r="G54" s="283"/>
      <c r="H54" s="283"/>
      <c r="I54" s="283"/>
      <c r="J54" s="283"/>
      <c r="K54" s="283"/>
      <c r="L54" s="283"/>
      <c r="M54" s="283"/>
      <c r="N54" s="283"/>
      <c r="O54" s="283"/>
      <c r="P54" s="283"/>
      <c r="Q54" s="283"/>
      <c r="R54" s="283"/>
      <c r="S54" s="283"/>
      <c r="T54" s="283"/>
      <c r="U54" s="283"/>
      <c r="V54" s="283"/>
      <c r="W54" s="283"/>
      <c r="X54" s="283"/>
      <c r="Y54" s="283"/>
      <c r="Z54" s="284"/>
    </row>
    <row r="55" spans="1:26" s="104" customFormat="1" ht="12.75" customHeight="1" x14ac:dyDescent="0.25">
      <c r="A55" s="282"/>
      <c r="B55" s="283"/>
      <c r="C55" s="283"/>
      <c r="D55" s="283"/>
      <c r="E55" s="283"/>
      <c r="F55" s="283"/>
      <c r="G55" s="283"/>
      <c r="H55" s="283"/>
      <c r="I55" s="283"/>
      <c r="J55" s="283"/>
      <c r="K55" s="283"/>
      <c r="L55" s="283"/>
      <c r="M55" s="283"/>
      <c r="N55" s="283"/>
      <c r="O55" s="283"/>
      <c r="P55" s="283"/>
      <c r="Q55" s="283"/>
      <c r="R55" s="283"/>
      <c r="S55" s="283"/>
      <c r="T55" s="283"/>
      <c r="U55" s="283"/>
      <c r="V55" s="283"/>
      <c r="W55" s="283"/>
      <c r="X55" s="283"/>
      <c r="Y55" s="283"/>
      <c r="Z55" s="284"/>
    </row>
    <row r="56" spans="1:26" s="104" customFormat="1" ht="12.75" customHeight="1" x14ac:dyDescent="0.25">
      <c r="A56" s="282"/>
      <c r="B56" s="283"/>
      <c r="C56" s="283"/>
      <c r="D56" s="283"/>
      <c r="E56" s="283"/>
      <c r="F56" s="283"/>
      <c r="G56" s="283"/>
      <c r="H56" s="283"/>
      <c r="I56" s="283"/>
      <c r="J56" s="283"/>
      <c r="K56" s="283"/>
      <c r="L56" s="283"/>
      <c r="M56" s="283"/>
      <c r="N56" s="283"/>
      <c r="O56" s="283"/>
      <c r="P56" s="283"/>
      <c r="Q56" s="283"/>
      <c r="R56" s="283"/>
      <c r="S56" s="283"/>
      <c r="T56" s="283"/>
      <c r="U56" s="283"/>
      <c r="V56" s="283"/>
      <c r="W56" s="283"/>
      <c r="X56" s="283"/>
      <c r="Y56" s="283"/>
      <c r="Z56" s="284"/>
    </row>
    <row r="57" spans="1:26" s="104" customFormat="1" ht="16.5" customHeight="1" x14ac:dyDescent="0.25">
      <c r="A57" s="285"/>
      <c r="B57" s="283"/>
      <c r="C57" s="283"/>
      <c r="D57" s="283"/>
      <c r="E57" s="283"/>
      <c r="F57" s="283"/>
      <c r="G57" s="283"/>
      <c r="H57" s="283"/>
      <c r="I57" s="283"/>
      <c r="J57" s="283"/>
      <c r="K57" s="283"/>
      <c r="L57" s="283"/>
      <c r="M57" s="283"/>
      <c r="N57" s="283"/>
      <c r="O57" s="283"/>
      <c r="P57" s="283"/>
      <c r="Q57" s="283"/>
      <c r="R57" s="283"/>
      <c r="S57" s="283"/>
      <c r="T57" s="283"/>
      <c r="U57" s="283"/>
      <c r="V57" s="283"/>
      <c r="W57" s="283"/>
      <c r="X57" s="283"/>
      <c r="Y57" s="283"/>
      <c r="Z57" s="284"/>
    </row>
    <row r="58" spans="1:26" s="104" customFormat="1" ht="15.6" customHeight="1" x14ac:dyDescent="0.25">
      <c r="A58" s="285"/>
      <c r="B58" s="283"/>
      <c r="C58" s="283"/>
      <c r="D58" s="283"/>
      <c r="E58" s="283"/>
      <c r="F58" s="283"/>
      <c r="G58" s="283"/>
      <c r="H58" s="283"/>
      <c r="I58" s="283"/>
      <c r="J58" s="283"/>
      <c r="K58" s="283"/>
      <c r="L58" s="283"/>
      <c r="M58" s="283"/>
      <c r="N58" s="283"/>
      <c r="O58" s="283"/>
      <c r="P58" s="283"/>
      <c r="Q58" s="283"/>
      <c r="R58" s="283"/>
      <c r="S58" s="283"/>
      <c r="T58" s="283"/>
      <c r="U58" s="283"/>
      <c r="V58" s="283"/>
      <c r="W58" s="283"/>
      <c r="X58" s="283"/>
      <c r="Y58" s="283"/>
      <c r="Z58" s="284"/>
    </row>
    <row r="59" spans="1:26" s="104" customFormat="1" ht="15" customHeight="1" x14ac:dyDescent="0.25">
      <c r="A59" s="285"/>
      <c r="B59" s="283"/>
      <c r="C59" s="283"/>
      <c r="D59" s="283"/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S59" s="283"/>
      <c r="T59" s="283"/>
      <c r="U59" s="283"/>
      <c r="V59" s="283"/>
      <c r="W59" s="283"/>
      <c r="X59" s="283"/>
      <c r="Y59" s="283"/>
      <c r="Z59" s="284"/>
    </row>
    <row r="60" spans="1:26" ht="12.75" customHeight="1" x14ac:dyDescent="0.25">
      <c r="A60" s="285"/>
      <c r="B60" s="283"/>
      <c r="C60" s="283"/>
      <c r="D60" s="283"/>
      <c r="E60" s="283"/>
      <c r="F60" s="283"/>
      <c r="G60" s="283"/>
      <c r="H60" s="283"/>
      <c r="I60" s="283"/>
      <c r="J60" s="283"/>
      <c r="K60" s="283"/>
      <c r="L60" s="283"/>
      <c r="M60" s="283"/>
      <c r="N60" s="283"/>
      <c r="O60" s="283"/>
      <c r="P60" s="283"/>
      <c r="Q60" s="283"/>
      <c r="R60" s="283"/>
      <c r="S60" s="283"/>
      <c r="T60" s="283"/>
      <c r="U60" s="283"/>
      <c r="V60" s="283"/>
      <c r="W60" s="283"/>
      <c r="X60" s="283"/>
      <c r="Y60" s="283"/>
      <c r="Z60" s="284"/>
    </row>
    <row r="61" spans="1:26" ht="12.75" customHeight="1" x14ac:dyDescent="0.25">
      <c r="A61" s="285"/>
      <c r="B61" s="283"/>
      <c r="C61" s="283"/>
      <c r="D61" s="283"/>
      <c r="E61" s="283"/>
      <c r="F61" s="283"/>
      <c r="G61" s="283"/>
      <c r="H61" s="283"/>
      <c r="I61" s="283"/>
      <c r="J61" s="283"/>
      <c r="K61" s="283"/>
      <c r="L61" s="283"/>
      <c r="M61" s="283"/>
      <c r="N61" s="283"/>
      <c r="O61" s="283"/>
      <c r="P61" s="283"/>
      <c r="Q61" s="283"/>
      <c r="R61" s="283"/>
      <c r="S61" s="283"/>
      <c r="T61" s="283"/>
      <c r="U61" s="283"/>
      <c r="V61" s="283"/>
      <c r="W61" s="283"/>
      <c r="X61" s="283"/>
      <c r="Y61" s="283"/>
      <c r="Z61" s="284"/>
    </row>
    <row r="62" spans="1:26" ht="12.75" customHeight="1" x14ac:dyDescent="0.25">
      <c r="A62" s="286"/>
      <c r="B62" s="287"/>
      <c r="C62" s="287"/>
      <c r="D62" s="287"/>
      <c r="E62" s="287"/>
      <c r="F62" s="287"/>
      <c r="G62" s="287"/>
      <c r="H62" s="287"/>
      <c r="I62" s="287"/>
      <c r="J62" s="287"/>
      <c r="K62" s="287"/>
      <c r="L62" s="287"/>
      <c r="M62" s="287"/>
      <c r="N62" s="287"/>
      <c r="O62" s="287"/>
      <c r="P62" s="287"/>
      <c r="Q62" s="287"/>
      <c r="R62" s="287"/>
      <c r="S62" s="287"/>
      <c r="T62" s="287"/>
      <c r="U62" s="287"/>
      <c r="V62" s="287"/>
      <c r="W62" s="287"/>
      <c r="X62" s="287"/>
      <c r="Y62" s="287"/>
      <c r="Z62" s="288"/>
    </row>
    <row r="63" spans="1:26" ht="12.75" customHeight="1" x14ac:dyDescent="0.25">
      <c r="P63" s="96"/>
      <c r="Q63" s="96"/>
      <c r="R63" s="96"/>
      <c r="S63" s="96"/>
      <c r="T63" s="96"/>
      <c r="U63" s="96"/>
      <c r="V63" s="96"/>
      <c r="W63" s="96"/>
    </row>
    <row r="64" spans="1:26" ht="12.75" customHeight="1" x14ac:dyDescent="0.25">
      <c r="P64" s="96"/>
      <c r="Q64" s="96"/>
      <c r="R64" s="96"/>
      <c r="S64" s="96"/>
      <c r="T64" s="96"/>
      <c r="U64" s="96"/>
      <c r="V64" s="96"/>
      <c r="W64" s="96"/>
    </row>
    <row r="65" spans="16:23" ht="12.75" customHeight="1" x14ac:dyDescent="0.25">
      <c r="P65" s="96"/>
      <c r="Q65" s="96"/>
      <c r="R65" s="96"/>
      <c r="S65" s="96"/>
      <c r="T65" s="96"/>
      <c r="U65" s="96"/>
      <c r="V65" s="96"/>
      <c r="W65" s="96"/>
    </row>
    <row r="66" spans="16:23" ht="12.75" customHeight="1" x14ac:dyDescent="0.25">
      <c r="P66" s="96"/>
      <c r="Q66" s="96"/>
      <c r="R66" s="96"/>
      <c r="S66" s="96"/>
      <c r="T66" s="96"/>
      <c r="U66" s="96"/>
      <c r="V66" s="96"/>
      <c r="W66" s="96"/>
    </row>
  </sheetData>
  <sheetProtection selectLockedCells="1"/>
  <mergeCells count="189">
    <mergeCell ref="P6:T6"/>
    <mergeCell ref="A7:F7"/>
    <mergeCell ref="G7:Z7"/>
    <mergeCell ref="B10:G10"/>
    <mergeCell ref="H10:M10"/>
    <mergeCell ref="N10:U10"/>
    <mergeCell ref="V10:W10"/>
    <mergeCell ref="X10:Y10"/>
    <mergeCell ref="A1:F6"/>
    <mergeCell ref="G1:T1"/>
    <mergeCell ref="U1:Z6"/>
    <mergeCell ref="G2:T4"/>
    <mergeCell ref="G5:H5"/>
    <mergeCell ref="J5:K5"/>
    <mergeCell ref="L5:O5"/>
    <mergeCell ref="P5:T5"/>
    <mergeCell ref="J6:K6"/>
    <mergeCell ref="L6:O6"/>
    <mergeCell ref="B13:G13"/>
    <mergeCell ref="H13:M13"/>
    <mergeCell ref="N13:R13"/>
    <mergeCell ref="S13:Y13"/>
    <mergeCell ref="B18:H18"/>
    <mergeCell ref="Q18:U18"/>
    <mergeCell ref="B11:G11"/>
    <mergeCell ref="H11:M11"/>
    <mergeCell ref="N11:R11"/>
    <mergeCell ref="S11:Y11"/>
    <mergeCell ref="B12:G12"/>
    <mergeCell ref="H12:M12"/>
    <mergeCell ref="N12:R12"/>
    <mergeCell ref="S12:Y12"/>
    <mergeCell ref="V24:Y24"/>
    <mergeCell ref="B29:E29"/>
    <mergeCell ref="F29:I29"/>
    <mergeCell ref="J29:M29"/>
    <mergeCell ref="N29:Q29"/>
    <mergeCell ref="R29:U29"/>
    <mergeCell ref="V29:Y29"/>
    <mergeCell ref="B19:N19"/>
    <mergeCell ref="B21:F21"/>
    <mergeCell ref="G21:J21"/>
    <mergeCell ref="Q21:U21"/>
    <mergeCell ref="B23:F23"/>
    <mergeCell ref="G23:J23"/>
    <mergeCell ref="B31:E31"/>
    <mergeCell ref="B32:E32"/>
    <mergeCell ref="F32:I32"/>
    <mergeCell ref="J32:M32"/>
    <mergeCell ref="N32:Q32"/>
    <mergeCell ref="R32:U32"/>
    <mergeCell ref="B24:F24"/>
    <mergeCell ref="G24:J24"/>
    <mergeCell ref="Q24:U24"/>
    <mergeCell ref="B34:E34"/>
    <mergeCell ref="F34:I34"/>
    <mergeCell ref="J34:M34"/>
    <mergeCell ref="N34:Q34"/>
    <mergeCell ref="R34:U34"/>
    <mergeCell ref="V34:Y34"/>
    <mergeCell ref="V32:Y32"/>
    <mergeCell ref="B33:E33"/>
    <mergeCell ref="F33:I33"/>
    <mergeCell ref="J33:M33"/>
    <mergeCell ref="N33:Q33"/>
    <mergeCell ref="R33:U33"/>
    <mergeCell ref="V33:Y33"/>
    <mergeCell ref="B36:E36"/>
    <mergeCell ref="F36:I36"/>
    <mergeCell ref="J36:M36"/>
    <mergeCell ref="N36:Q36"/>
    <mergeCell ref="R36:U36"/>
    <mergeCell ref="V36:Y36"/>
    <mergeCell ref="B35:E35"/>
    <mergeCell ref="F35:I35"/>
    <mergeCell ref="J35:M35"/>
    <mergeCell ref="N35:Q35"/>
    <mergeCell ref="R35:U35"/>
    <mergeCell ref="V35:Y35"/>
    <mergeCell ref="N38:O38"/>
    <mergeCell ref="P38:Q38"/>
    <mergeCell ref="R38:S38"/>
    <mergeCell ref="T38:U38"/>
    <mergeCell ref="V38:W38"/>
    <mergeCell ref="X38:Y38"/>
    <mergeCell ref="B37:E37"/>
    <mergeCell ref="B38:E38"/>
    <mergeCell ref="F38:G38"/>
    <mergeCell ref="H38:I38"/>
    <mergeCell ref="J38:K38"/>
    <mergeCell ref="L38:M38"/>
    <mergeCell ref="B40:E40"/>
    <mergeCell ref="F40:G40"/>
    <mergeCell ref="H40:I40"/>
    <mergeCell ref="J40:K40"/>
    <mergeCell ref="L40:M40"/>
    <mergeCell ref="B39:E39"/>
    <mergeCell ref="F39:G39"/>
    <mergeCell ref="H39:I39"/>
    <mergeCell ref="J39:K39"/>
    <mergeCell ref="L39:M39"/>
    <mergeCell ref="N40:O40"/>
    <mergeCell ref="P40:Q40"/>
    <mergeCell ref="R40:S40"/>
    <mergeCell ref="T40:U40"/>
    <mergeCell ref="V40:W40"/>
    <mergeCell ref="X40:Y40"/>
    <mergeCell ref="P39:Q39"/>
    <mergeCell ref="R39:S39"/>
    <mergeCell ref="T39:U39"/>
    <mergeCell ref="V39:W39"/>
    <mergeCell ref="X39:Y39"/>
    <mergeCell ref="N39:O39"/>
    <mergeCell ref="B42:E42"/>
    <mergeCell ref="F42:G42"/>
    <mergeCell ref="H42:I42"/>
    <mergeCell ref="J42:K42"/>
    <mergeCell ref="L42:M42"/>
    <mergeCell ref="B41:E41"/>
    <mergeCell ref="F41:G41"/>
    <mergeCell ref="H41:I41"/>
    <mergeCell ref="J41:K41"/>
    <mergeCell ref="L41:M41"/>
    <mergeCell ref="N42:O42"/>
    <mergeCell ref="P42:Q42"/>
    <mergeCell ref="R42:S42"/>
    <mergeCell ref="T42:U42"/>
    <mergeCell ref="V42:W42"/>
    <mergeCell ref="X42:Y42"/>
    <mergeCell ref="P41:Q41"/>
    <mergeCell ref="R41:S41"/>
    <mergeCell ref="T41:U41"/>
    <mergeCell ref="V41:W41"/>
    <mergeCell ref="X41:Y41"/>
    <mergeCell ref="N41:O41"/>
    <mergeCell ref="B44:E44"/>
    <mergeCell ref="F44:G44"/>
    <mergeCell ref="H44:I44"/>
    <mergeCell ref="J44:K44"/>
    <mergeCell ref="L44:M44"/>
    <mergeCell ref="B43:E43"/>
    <mergeCell ref="F43:G43"/>
    <mergeCell ref="H43:I43"/>
    <mergeCell ref="J43:K43"/>
    <mergeCell ref="L43:M43"/>
    <mergeCell ref="N44:O44"/>
    <mergeCell ref="P44:Q44"/>
    <mergeCell ref="R44:S44"/>
    <mergeCell ref="T44:U44"/>
    <mergeCell ref="V44:W44"/>
    <mergeCell ref="X44:Y44"/>
    <mergeCell ref="P43:Q43"/>
    <mergeCell ref="R43:S43"/>
    <mergeCell ref="T43:U43"/>
    <mergeCell ref="V43:W43"/>
    <mergeCell ref="X43:Y43"/>
    <mergeCell ref="N43:O43"/>
    <mergeCell ref="B46:E46"/>
    <mergeCell ref="F46:I46"/>
    <mergeCell ref="J46:M46"/>
    <mergeCell ref="N46:Q46"/>
    <mergeCell ref="R46:U46"/>
    <mergeCell ref="V46:Y46"/>
    <mergeCell ref="B45:E45"/>
    <mergeCell ref="F45:I45"/>
    <mergeCell ref="J45:M45"/>
    <mergeCell ref="N45:Q45"/>
    <mergeCell ref="R45:U45"/>
    <mergeCell ref="V45:Y45"/>
    <mergeCell ref="V49:Y49"/>
    <mergeCell ref="R52:T52"/>
    <mergeCell ref="U52:Z52"/>
    <mergeCell ref="A53:Z62"/>
    <mergeCell ref="P48:Q48"/>
    <mergeCell ref="R48:S48"/>
    <mergeCell ref="T48:U48"/>
    <mergeCell ref="V48:W48"/>
    <mergeCell ref="X48:Y48"/>
    <mergeCell ref="B49:E49"/>
    <mergeCell ref="F49:I49"/>
    <mergeCell ref="J49:M49"/>
    <mergeCell ref="N49:Q49"/>
    <mergeCell ref="R49:U49"/>
    <mergeCell ref="B48:E48"/>
    <mergeCell ref="F48:G48"/>
    <mergeCell ref="H48:I48"/>
    <mergeCell ref="J48:K48"/>
    <mergeCell ref="L48:M48"/>
    <mergeCell ref="N48:O48"/>
  </mergeCells>
  <printOptions horizontalCentered="1"/>
  <pageMargins left="0.39370078740157483" right="0.39370078740157483" top="0.39370078740157483" bottom="0.39370078740157483" header="0" footer="0.19685039370078741"/>
  <pageSetup paperSize="9" scale="72" orientation="portrait" r:id="rId1"/>
  <headerFooter alignWithMargins="0">
    <oddFooter>&amp;RDG-Q / FE IPI PR du 06/04/2011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Check Box 1">
              <controlPr defaultSize="0" autoFill="0" autoLine="0" autoPict="0">
                <anchor moveWithCells="1">
                  <from>
                    <xdr:col>24</xdr:col>
                    <xdr:colOff>68580</xdr:colOff>
                    <xdr:row>16</xdr:row>
                    <xdr:rowOff>190500</xdr:rowOff>
                  </from>
                  <to>
                    <xdr:col>25</xdr:col>
                    <xdr:colOff>30480</xdr:colOff>
                    <xdr:row>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Check Box 2">
              <controlPr defaultSize="0" autoFill="0" autoLine="0" autoPict="0">
                <anchor moveWithCells="1">
                  <from>
                    <xdr:col>24</xdr:col>
                    <xdr:colOff>68580</xdr:colOff>
                    <xdr:row>17</xdr:row>
                    <xdr:rowOff>190500</xdr:rowOff>
                  </from>
                  <to>
                    <xdr:col>25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Check Box 3">
              <controlPr defaultSize="0" autoFill="0" autoLine="0" autoPict="0">
                <anchor moveWithCells="1">
                  <from>
                    <xdr:col>24</xdr:col>
                    <xdr:colOff>68580</xdr:colOff>
                    <xdr:row>19</xdr:row>
                    <xdr:rowOff>190500</xdr:rowOff>
                  </from>
                  <to>
                    <xdr:col>25</xdr:col>
                    <xdr:colOff>30480</xdr:colOff>
                    <xdr:row>21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Check Box 4">
              <controlPr defaultSize="0" autoFill="0" autoLine="0" autoPict="0">
                <anchor moveWithCells="1">
                  <from>
                    <xdr:col>24</xdr:col>
                    <xdr:colOff>68580</xdr:colOff>
                    <xdr:row>20</xdr:row>
                    <xdr:rowOff>190500</xdr:rowOff>
                  </from>
                  <to>
                    <xdr:col>25</xdr:col>
                    <xdr:colOff>30480</xdr:colOff>
                    <xdr:row>22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CRE PR</vt:lpstr>
      <vt:lpstr>CRE PR ressuage</vt:lpstr>
      <vt:lpstr>CALC IPI - PR</vt:lpstr>
      <vt:lpstr>'CALC IPI - PR'!Zone_d_impression</vt:lpstr>
      <vt:lpstr>'CRE PR'!Zone_d_impression</vt:lpstr>
      <vt:lpstr>'CRE PR ressuage'!Zone_d_impression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2016-11-24T14:22:48Z</cp:lastPrinted>
  <dcterms:created xsi:type="dcterms:W3CDTF">2004-11-13T18:13:05Z</dcterms:created>
  <dcterms:modified xsi:type="dcterms:W3CDTF">2023-03-09T13:33:53Z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2001353798</vt:i4>
  </property>
  <property fmtid="{D5CDD505-2E9C-101B-9397-08002B2CF9AE}" pid="3" name="_EmailSubject">
    <vt:lpwstr>Groupe de Travail Procédures et 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François CHARTIER</vt:lpwstr>
  </property>
  <property fmtid="{D5CDD505-2E9C-101B-9397-08002B2CF9AE}" pid="6" name="_ReviewingToolsShownOnce">
    <vt:lpwstr/>
  </property>
</Properties>
</file>