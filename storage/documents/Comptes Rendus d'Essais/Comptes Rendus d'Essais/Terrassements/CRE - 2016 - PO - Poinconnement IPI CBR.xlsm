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/>
  <workbookPr codeName="ThisWorkbook"/>
  <mc:AlternateContent xmlns:mc="http://schemas.openxmlformats.org/markup-compatibility/2006">
    <mc:Choice Requires="x15">
      <x15ac:absPath xmlns:x15ac="http://schemas.microsoft.com/office/spreadsheetml/2010/11/ac" url="S:\Labo\St Priest\Documents types\Comptes Rendus d'Essais\Terrassements\"/>
    </mc:Choice>
  </mc:AlternateContent>
  <xr:revisionPtr revIDLastSave="0" documentId="13_ncr:1_{C33C0922-FA1D-4C54-8885-6E02584A7F4C}" xr6:coauthVersionLast="47" xr6:coauthVersionMax="47" xr10:uidLastSave="{00000000-0000-0000-0000-000000000000}"/>
  <bookViews>
    <workbookView xWindow="28680" yWindow="660" windowWidth="19440" windowHeight="15600" xr2:uid="{00000000-000D-0000-FFFF-FFFF00000000}"/>
  </bookViews>
  <sheets>
    <sheet name="CRE PO" sheetId="1" r:id="rId1"/>
  </sheets>
  <definedNames>
    <definedName name="_xlnm.Print_Area" localSheetId="0">'CRE PO'!$A:$Z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G49" i="1" l="1"/>
  <c r="IG51" i="1" s="1"/>
  <c r="IG48" i="1"/>
  <c r="IH49" i="1"/>
  <c r="IH51" i="1" s="1"/>
  <c r="IH48" i="1"/>
  <c r="II49" i="1"/>
  <c r="II51" i="1" s="1"/>
  <c r="II48" i="1"/>
  <c r="IJ49" i="1"/>
  <c r="IJ51" i="1" s="1"/>
  <c r="IJ48" i="1"/>
  <c r="IK49" i="1"/>
  <c r="IK51" i="1" s="1"/>
  <c r="IK48" i="1"/>
  <c r="ID48" i="1"/>
  <c r="IN49" i="1"/>
  <c r="IN51" i="1" s="1"/>
  <c r="IM49" i="1"/>
  <c r="IM51" i="1"/>
  <c r="IL49" i="1"/>
  <c r="IL51" i="1" s="1"/>
  <c r="IF49" i="1"/>
  <c r="IE49" i="1"/>
  <c r="Q35" i="1"/>
  <c r="IJ50" i="1" s="1"/>
  <c r="M35" i="1"/>
  <c r="IH50" i="1" s="1"/>
  <c r="IN48" i="1"/>
  <c r="IM48" i="1"/>
  <c r="IL48" i="1"/>
  <c r="IF48" i="1"/>
  <c r="IE48" i="1"/>
  <c r="B59" i="1"/>
  <c r="ID49" i="1"/>
  <c r="IC53" i="1" l="1"/>
  <c r="IE52" i="1" s="1"/>
  <c r="IG52" i="1" l="1"/>
  <c r="II52" i="1"/>
  <c r="IN52" i="1"/>
  <c r="IL52" i="1"/>
  <c r="IJ52" i="1"/>
  <c r="IJ53" i="1" s="1"/>
  <c r="J62" i="1" s="1"/>
  <c r="IK52" i="1"/>
  <c r="IH52" i="1"/>
  <c r="IH53" i="1" s="1"/>
  <c r="J61" i="1" s="1"/>
  <c r="U61" i="1" s="1"/>
  <c r="IF52" i="1"/>
  <c r="IM52" i="1"/>
  <c r="IQ49" i="1" l="1"/>
  <c r="IQ51" i="1" s="1"/>
</calcChain>
</file>

<file path=xl/sharedStrings.xml><?xml version="1.0" encoding="utf-8"?>
<sst xmlns="http://schemas.openxmlformats.org/spreadsheetml/2006/main" count="61" uniqueCount="60">
  <si>
    <t>Laboratoire :</t>
  </si>
  <si>
    <t>1/</t>
  </si>
  <si>
    <t>RENSEIGNEMENTS GENERAUX</t>
  </si>
  <si>
    <t>Opérateur :</t>
  </si>
  <si>
    <t>Nature du matériau :</t>
  </si>
  <si>
    <t>Date de(s) prélèvement(s) :</t>
  </si>
  <si>
    <t>Date de(s) essai(s) :</t>
  </si>
  <si>
    <t>Provenance :</t>
  </si>
  <si>
    <t>Destination :</t>
  </si>
  <si>
    <t>2/</t>
  </si>
  <si>
    <t>CRITERES DE CONFORMITE</t>
  </si>
  <si>
    <t>Source des critères :</t>
  </si>
  <si>
    <t>Définition des critères / objectifs :</t>
  </si>
  <si>
    <t>4/</t>
  </si>
  <si>
    <t>CONCLUSIONS</t>
  </si>
  <si>
    <t>Nom</t>
  </si>
  <si>
    <t>5/</t>
  </si>
  <si>
    <t>COMMENTAIRES</t>
  </si>
  <si>
    <t>Visa</t>
  </si>
  <si>
    <t>3/</t>
  </si>
  <si>
    <t>RESULTATS DES ESSAIS</t>
  </si>
  <si>
    <t>Temps (mn)</t>
  </si>
  <si>
    <t>Lecture (1/100 mm)</t>
  </si>
  <si>
    <t>IPI calculé</t>
  </si>
  <si>
    <t>courbe recalée</t>
  </si>
  <si>
    <t>enfoncement</t>
  </si>
  <si>
    <t>La courbe a-t-elle besoin d'une correction à l'origine ? (O/N)</t>
  </si>
  <si>
    <t>Valeurs relevées pendant l'essai de poinçonnement</t>
  </si>
  <si>
    <t>Indice calculé à 2.5 mm</t>
  </si>
  <si>
    <t>Indice calculé à 5 mm</t>
  </si>
  <si>
    <t xml:space="preserve">Indice à 2.5 mm d'enfoncement  </t>
  </si>
  <si>
    <t xml:space="preserve">Indice à 5 mm d'enfoncement  </t>
  </si>
  <si>
    <t>INDICE RETENU</t>
  </si>
  <si>
    <t>CBR immédiat</t>
  </si>
  <si>
    <t>Nature de l'indice mesuré :</t>
  </si>
  <si>
    <t>Indice Portant Immédiat</t>
  </si>
  <si>
    <t>CBR immergé après 4 jours</t>
  </si>
  <si>
    <t>extrapolation entre 2 et 5 mm</t>
  </si>
  <si>
    <t>Masse volumique sèche :</t>
  </si>
  <si>
    <t>Pourcentage de la densité de Référence :</t>
  </si>
  <si>
    <t>OPN</t>
  </si>
  <si>
    <t>OPM</t>
  </si>
  <si>
    <t>Teneur en eau de confection :</t>
  </si>
  <si>
    <t>Pourcentage de la teneur en eau de Référence :</t>
  </si>
  <si>
    <t>Gonflement relatif (en %) :</t>
  </si>
  <si>
    <t>Enfoncement (mm)</t>
  </si>
  <si>
    <t>Teneur en eau après immersion :</t>
  </si>
  <si>
    <t>Effort (KN)</t>
  </si>
  <si>
    <t>RAIDEUR de l'anneau dynamométrique :</t>
  </si>
  <si>
    <t>O</t>
  </si>
  <si>
    <t>Indice Portant Immergé après 4 jours</t>
  </si>
  <si>
    <t>Région Rhône Alpes - 29-31 rue des Tâches - ZI Mi-Plaine - 69800 SAINT PRIEST</t>
  </si>
  <si>
    <t>COMPTE RENDU D'ESSAIS</t>
  </si>
  <si>
    <t>n°</t>
  </si>
  <si>
    <t>Chrono</t>
  </si>
  <si>
    <t>N° d'affaire</t>
  </si>
  <si>
    <t>Date de rédaction</t>
  </si>
  <si>
    <t>PO</t>
  </si>
  <si>
    <t>Indice CBR (immédiat ou après immersion)
Indice Portant Immédiat   (NF P 94-078 de mai 1997)</t>
  </si>
  <si>
    <t>Contrôle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</si>
</sst>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5" x14ac:knownFonts="1">
    <font>
      <sz val="10"/>
      <name val="Arial"/>
    </font>
    <font>
      <sz val="10"/>
      <name val="Century Gothic"/>
      <family val="2"/>
    </font>
    <font>
      <b/>
      <sz val="10"/>
      <name val="Century Gothic"/>
      <family val="2"/>
    </font>
    <font>
      <b/>
      <sz val="14"/>
      <name val="Century Gothic"/>
      <family val="2"/>
    </font>
    <font>
      <b/>
      <sz val="12"/>
      <name val="Century Gothic"/>
      <family val="2"/>
    </font>
    <font>
      <sz val="8"/>
      <name val="Century Gothic"/>
      <family val="2"/>
    </font>
    <font>
      <sz val="12"/>
      <name val="Century Gothic"/>
      <family val="2"/>
    </font>
    <font>
      <b/>
      <u/>
      <sz val="12"/>
      <name val="Century Gothic"/>
      <family val="2"/>
    </font>
    <font>
      <b/>
      <sz val="11"/>
      <name val="Century Gothic"/>
      <family val="2"/>
    </font>
    <font>
      <b/>
      <sz val="12"/>
      <color indexed="10"/>
      <name val="Century Gothic"/>
      <family val="2"/>
    </font>
    <font>
      <b/>
      <sz val="12"/>
      <color indexed="17"/>
      <name val="Century Gothic"/>
      <family val="2"/>
    </font>
    <font>
      <b/>
      <sz val="14"/>
      <color indexed="10"/>
      <name val="Century Gothic"/>
      <family val="2"/>
    </font>
    <font>
      <u/>
      <sz val="10"/>
      <name val="Century Gothic"/>
      <family val="2"/>
    </font>
    <font>
      <b/>
      <u/>
      <sz val="11"/>
      <name val="Century Gothic"/>
      <family val="2"/>
    </font>
    <font>
      <sz val="11"/>
      <name val="Century Gothic"/>
      <family val="2"/>
    </font>
  </fonts>
  <fills count="4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indexed="43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 applyBorder="0"/>
  </cellStyleXfs>
  <cellXfs count="231">
    <xf numFmtId="0" fontId="0" fillId="0" borderId="0" xfId="0"/>
    <xf numFmtId="0" fontId="1" fillId="0" borderId="0" xfId="0" applyFont="1" applyFill="1" applyAlignment="1" applyProtection="1">
      <alignment vertical="center"/>
      <protection hidden="1"/>
    </xf>
    <xf numFmtId="0" fontId="1" fillId="0" borderId="0" xfId="0" applyFont="1" applyFill="1" applyBorder="1" applyAlignment="1" applyProtection="1">
      <alignment horizontal="right" vertical="center"/>
      <protection hidden="1"/>
    </xf>
    <xf numFmtId="0" fontId="1" fillId="0" borderId="1" xfId="0" applyFont="1" applyFill="1" applyBorder="1" applyAlignment="1" applyProtection="1">
      <alignment vertical="center"/>
      <protection hidden="1"/>
    </xf>
    <xf numFmtId="0" fontId="1" fillId="0" borderId="2" xfId="0" applyFont="1" applyFill="1" applyBorder="1" applyAlignment="1" applyProtection="1">
      <alignment vertical="center"/>
      <protection hidden="1"/>
    </xf>
    <xf numFmtId="0" fontId="4" fillId="0" borderId="3" xfId="0" applyFont="1" applyFill="1" applyBorder="1" applyAlignment="1" applyProtection="1">
      <alignment horizontal="center" vertical="center"/>
      <protection hidden="1"/>
    </xf>
    <xf numFmtId="0" fontId="7" fillId="0" borderId="4" xfId="0" applyFont="1" applyFill="1" applyBorder="1" applyAlignment="1" applyProtection="1">
      <alignment vertical="center"/>
      <protection hidden="1"/>
    </xf>
    <xf numFmtId="0" fontId="4" fillId="0" borderId="4" xfId="0" applyFont="1" applyFill="1" applyBorder="1" applyAlignment="1" applyProtection="1">
      <alignment vertical="center"/>
      <protection hidden="1"/>
    </xf>
    <xf numFmtId="0" fontId="4" fillId="0" borderId="5" xfId="0" applyFont="1" applyFill="1" applyBorder="1" applyAlignment="1" applyProtection="1">
      <alignment vertical="center"/>
      <protection hidden="1"/>
    </xf>
    <xf numFmtId="0" fontId="6" fillId="0" borderId="0" xfId="0" applyFont="1" applyFill="1" applyAlignment="1" applyProtection="1">
      <alignment vertical="center"/>
      <protection hidden="1"/>
    </xf>
    <xf numFmtId="0" fontId="6" fillId="0" borderId="6" xfId="0" applyFont="1" applyFill="1" applyBorder="1" applyAlignment="1" applyProtection="1">
      <alignment vertical="center"/>
      <protection hidden="1"/>
    </xf>
    <xf numFmtId="0" fontId="6" fillId="0" borderId="0" xfId="0" applyFont="1" applyFill="1" applyBorder="1" applyAlignment="1" applyProtection="1">
      <alignment vertical="center"/>
      <protection hidden="1"/>
    </xf>
    <xf numFmtId="0" fontId="6" fillId="0" borderId="7" xfId="0" applyFont="1" applyFill="1" applyBorder="1" applyAlignment="1" applyProtection="1">
      <alignment vertical="center"/>
      <protection hidden="1"/>
    </xf>
    <xf numFmtId="0" fontId="6" fillId="0" borderId="1" xfId="0" applyFont="1" applyFill="1" applyBorder="1" applyAlignment="1" applyProtection="1">
      <alignment vertical="center"/>
      <protection hidden="1"/>
    </xf>
    <xf numFmtId="0" fontId="6" fillId="0" borderId="2" xfId="0" applyFont="1" applyFill="1" applyBorder="1" applyAlignment="1" applyProtection="1">
      <alignment horizontal="left" vertical="center"/>
      <protection hidden="1"/>
    </xf>
    <xf numFmtId="0" fontId="6" fillId="0" borderId="2" xfId="0" applyFont="1" applyFill="1" applyBorder="1" applyAlignment="1" applyProtection="1">
      <alignment vertical="center"/>
      <protection hidden="1"/>
    </xf>
    <xf numFmtId="0" fontId="6" fillId="0" borderId="8" xfId="0" applyFont="1" applyFill="1" applyBorder="1" applyAlignment="1" applyProtection="1">
      <alignment vertical="center"/>
      <protection hidden="1"/>
    </xf>
    <xf numFmtId="0" fontId="1" fillId="0" borderId="0" xfId="0" applyFont="1" applyFill="1" applyBorder="1" applyAlignment="1" applyProtection="1">
      <alignment vertical="center"/>
      <protection hidden="1"/>
    </xf>
    <xf numFmtId="0" fontId="6" fillId="0" borderId="7" xfId="0" applyFont="1" applyFill="1" applyBorder="1" applyAlignment="1" applyProtection="1">
      <alignment horizontal="left" vertical="center"/>
      <protection hidden="1"/>
    </xf>
    <xf numFmtId="0" fontId="4" fillId="0" borderId="2" xfId="0" applyFont="1" applyFill="1" applyBorder="1" applyAlignment="1" applyProtection="1">
      <alignment horizontal="left" vertical="center"/>
      <protection hidden="1"/>
    </xf>
    <xf numFmtId="0" fontId="4" fillId="0" borderId="3" xfId="0" applyFont="1" applyBorder="1" applyAlignment="1" applyProtection="1">
      <alignment horizontal="center" vertical="center"/>
      <protection hidden="1"/>
    </xf>
    <xf numFmtId="0" fontId="7" fillId="0" borderId="4" xfId="0" applyFont="1" applyBorder="1" applyAlignment="1" applyProtection="1">
      <alignment vertical="center"/>
      <protection hidden="1"/>
    </xf>
    <xf numFmtId="0" fontId="6" fillId="0" borderId="4" xfId="0" applyFont="1" applyBorder="1" applyAlignment="1" applyProtection="1">
      <alignment vertical="center"/>
      <protection hidden="1"/>
    </xf>
    <xf numFmtId="0" fontId="6" fillId="0" borderId="5" xfId="0" applyFont="1" applyBorder="1" applyAlignment="1" applyProtection="1">
      <alignment vertical="center"/>
      <protection hidden="1"/>
    </xf>
    <xf numFmtId="0" fontId="6" fillId="0" borderId="0" xfId="0" applyFont="1" applyAlignment="1" applyProtection="1">
      <alignment vertical="center"/>
      <protection hidden="1"/>
    </xf>
    <xf numFmtId="0" fontId="4" fillId="0" borderId="6" xfId="0" applyFont="1" applyBorder="1" applyAlignment="1" applyProtection="1">
      <alignment horizontal="center" vertical="center"/>
      <protection hidden="1"/>
    </xf>
    <xf numFmtId="0" fontId="7" fillId="0" borderId="0" xfId="0" applyFont="1" applyBorder="1" applyAlignment="1" applyProtection="1">
      <alignment vertical="center"/>
      <protection hidden="1"/>
    </xf>
    <xf numFmtId="0" fontId="6" fillId="0" borderId="0" xfId="0" applyFont="1" applyBorder="1" applyAlignment="1" applyProtection="1">
      <alignment vertical="center"/>
      <protection hidden="1"/>
    </xf>
    <xf numFmtId="0" fontId="6" fillId="0" borderId="7" xfId="0" applyFont="1" applyBorder="1" applyAlignment="1" applyProtection="1">
      <alignment vertical="center"/>
      <protection hidden="1"/>
    </xf>
    <xf numFmtId="0" fontId="4" fillId="0" borderId="3" xfId="0" applyFont="1" applyFill="1" applyBorder="1" applyAlignment="1" applyProtection="1">
      <alignment horizontal="left" vertical="center"/>
      <protection hidden="1"/>
    </xf>
    <xf numFmtId="0" fontId="4" fillId="0" borderId="1" xfId="0" applyFont="1" applyFill="1" applyBorder="1" applyAlignment="1" applyProtection="1">
      <alignment horizontal="left" vertical="center"/>
      <protection hidden="1"/>
    </xf>
    <xf numFmtId="0" fontId="4" fillId="0" borderId="0" xfId="0" applyFont="1" applyFill="1" applyBorder="1" applyAlignment="1" applyProtection="1">
      <alignment horizontal="left" vertical="center"/>
      <protection hidden="1"/>
    </xf>
    <xf numFmtId="0" fontId="6" fillId="0" borderId="0" xfId="0" applyFont="1" applyFill="1" applyBorder="1" applyAlignment="1" applyProtection="1">
      <alignment horizontal="left" vertical="center"/>
      <protection hidden="1"/>
    </xf>
    <xf numFmtId="0" fontId="4" fillId="0" borderId="0" xfId="0" applyFont="1" applyFill="1" applyBorder="1" applyAlignment="1" applyProtection="1">
      <alignment horizontal="right" vertical="center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0" fontId="6" fillId="0" borderId="6" xfId="0" applyFont="1" applyBorder="1" applyAlignment="1" applyProtection="1">
      <alignment horizontal="center" vertical="center"/>
      <protection hidden="1"/>
    </xf>
    <xf numFmtId="0" fontId="6" fillId="0" borderId="0" xfId="0" applyFont="1" applyBorder="1" applyAlignment="1" applyProtection="1">
      <alignment horizontal="center" vertical="center"/>
      <protection hidden="1"/>
    </xf>
    <xf numFmtId="0" fontId="6" fillId="0" borderId="8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164" fontId="1" fillId="0" borderId="0" xfId="0" applyNumberFormat="1" applyFont="1" applyBorder="1" applyAlignment="1" applyProtection="1">
      <alignment horizontal="center" vertical="center"/>
      <protection hidden="1"/>
    </xf>
    <xf numFmtId="0" fontId="6" fillId="0" borderId="0" xfId="0" applyFont="1" applyAlignment="1" applyProtection="1">
      <alignment horizontal="right" vertical="center"/>
      <protection hidden="1"/>
    </xf>
    <xf numFmtId="0" fontId="1" fillId="0" borderId="9" xfId="0" applyFont="1" applyBorder="1" applyAlignment="1" applyProtection="1">
      <alignment horizontal="center" vertical="center"/>
      <protection hidden="1"/>
    </xf>
    <xf numFmtId="0" fontId="1" fillId="0" borderId="9" xfId="0" applyFont="1" applyFill="1" applyBorder="1" applyAlignment="1" applyProtection="1">
      <alignment horizontal="center" vertical="center"/>
      <protection hidden="1"/>
    </xf>
    <xf numFmtId="0" fontId="9" fillId="0" borderId="9" xfId="0" applyFont="1" applyFill="1" applyBorder="1" applyAlignment="1" applyProtection="1">
      <alignment horizontal="center" vertical="center"/>
      <protection hidden="1"/>
    </xf>
    <xf numFmtId="0" fontId="4" fillId="0" borderId="10" xfId="0" applyFont="1" applyBorder="1" applyAlignment="1" applyProtection="1">
      <alignment horizontal="center" vertical="center"/>
      <protection hidden="1"/>
    </xf>
    <xf numFmtId="0" fontId="1" fillId="2" borderId="11" xfId="0" applyFont="1" applyFill="1" applyBorder="1" applyAlignment="1" applyProtection="1">
      <alignment horizontal="center" vertical="center"/>
      <protection hidden="1"/>
    </xf>
    <xf numFmtId="0" fontId="9" fillId="2" borderId="11" xfId="0" applyFont="1" applyFill="1" applyBorder="1" applyAlignment="1" applyProtection="1">
      <alignment horizontal="center" vertical="center"/>
      <protection hidden="1"/>
    </xf>
    <xf numFmtId="0" fontId="1" fillId="2" borderId="12" xfId="0" applyFont="1" applyFill="1" applyBorder="1" applyAlignment="1" applyProtection="1">
      <alignment horizontal="center" vertical="center"/>
      <protection hidden="1"/>
    </xf>
    <xf numFmtId="164" fontId="6" fillId="0" borderId="0" xfId="0" applyNumberFormat="1" applyFont="1" applyAlignment="1" applyProtection="1">
      <alignment vertical="center"/>
      <protection hidden="1"/>
    </xf>
    <xf numFmtId="0" fontId="1" fillId="0" borderId="13" xfId="0" applyFont="1" applyBorder="1" applyAlignment="1" applyProtection="1">
      <alignment horizontal="center" vertical="center"/>
      <protection hidden="1"/>
    </xf>
    <xf numFmtId="0" fontId="4" fillId="0" borderId="14" xfId="0" applyFont="1" applyBorder="1" applyAlignment="1" applyProtection="1">
      <alignment horizontal="center" vertical="center"/>
      <protection hidden="1"/>
    </xf>
    <xf numFmtId="0" fontId="4" fillId="0" borderId="15" xfId="0" applyFont="1" applyBorder="1" applyAlignment="1" applyProtection="1">
      <alignment horizontal="center" vertical="center"/>
      <protection hidden="1"/>
    </xf>
    <xf numFmtId="0" fontId="10" fillId="2" borderId="16" xfId="0" applyFont="1" applyFill="1" applyBorder="1" applyAlignment="1" applyProtection="1">
      <alignment horizontal="center" vertical="center"/>
      <protection hidden="1"/>
    </xf>
    <xf numFmtId="0" fontId="1" fillId="0" borderId="15" xfId="0" applyFont="1" applyBorder="1" applyAlignment="1" applyProtection="1">
      <alignment horizontal="center" vertical="center"/>
      <protection hidden="1"/>
    </xf>
    <xf numFmtId="0" fontId="1" fillId="0" borderId="17" xfId="0" applyFont="1" applyBorder="1" applyAlignment="1" applyProtection="1">
      <alignment horizontal="center" vertical="center"/>
      <protection hidden="1"/>
    </xf>
    <xf numFmtId="0" fontId="1" fillId="0" borderId="18" xfId="0" applyFont="1" applyBorder="1" applyAlignment="1" applyProtection="1">
      <alignment horizontal="center" vertical="center"/>
      <protection hidden="1"/>
    </xf>
    <xf numFmtId="0" fontId="4" fillId="0" borderId="18" xfId="0" applyFont="1" applyBorder="1" applyAlignment="1" applyProtection="1">
      <alignment horizontal="center" vertical="center"/>
      <protection hidden="1"/>
    </xf>
    <xf numFmtId="0" fontId="4" fillId="0" borderId="0" xfId="0" applyFont="1" applyAlignment="1" applyProtection="1">
      <alignment horizontal="right" vertical="center"/>
      <protection hidden="1"/>
    </xf>
    <xf numFmtId="164" fontId="1" fillId="0" borderId="9" xfId="0" applyNumberFormat="1" applyFont="1" applyBorder="1" applyAlignment="1" applyProtection="1">
      <alignment horizontal="center" vertical="center"/>
      <protection hidden="1"/>
    </xf>
    <xf numFmtId="164" fontId="6" fillId="0" borderId="9" xfId="0" applyNumberFormat="1" applyFont="1" applyBorder="1" applyAlignment="1" applyProtection="1">
      <alignment horizontal="center" vertical="center"/>
      <protection hidden="1"/>
    </xf>
    <xf numFmtId="164" fontId="11" fillId="0" borderId="9" xfId="0" applyNumberFormat="1" applyFont="1" applyBorder="1" applyAlignment="1" applyProtection="1">
      <alignment horizontal="center" vertical="center"/>
      <protection hidden="1"/>
    </xf>
    <xf numFmtId="164" fontId="4" fillId="0" borderId="0" xfId="0" applyNumberFormat="1" applyFont="1" applyAlignment="1" applyProtection="1">
      <alignment horizontal="center" vertical="center"/>
      <protection hidden="1"/>
    </xf>
    <xf numFmtId="0" fontId="4" fillId="0" borderId="1" xfId="0" applyFont="1" applyBorder="1" applyAlignment="1" applyProtection="1">
      <alignment horizontal="center" vertical="center"/>
      <protection hidden="1"/>
    </xf>
    <xf numFmtId="0" fontId="4" fillId="0" borderId="2" xfId="0" applyFont="1" applyBorder="1" applyAlignment="1" applyProtection="1">
      <alignment horizontal="center" vertical="center"/>
      <protection hidden="1"/>
    </xf>
    <xf numFmtId="164" fontId="10" fillId="0" borderId="11" xfId="0" applyNumberFormat="1" applyFont="1" applyBorder="1" applyAlignment="1" applyProtection="1">
      <alignment horizontal="center" vertical="center"/>
      <protection hidden="1"/>
    </xf>
    <xf numFmtId="0" fontId="1" fillId="0" borderId="0" xfId="0" applyFont="1" applyAlignment="1" applyProtection="1">
      <alignment vertical="center"/>
      <protection hidden="1"/>
    </xf>
    <xf numFmtId="0" fontId="6" fillId="0" borderId="1" xfId="0" applyFont="1" applyBorder="1" applyAlignment="1" applyProtection="1">
      <alignment vertical="center"/>
      <protection hidden="1"/>
    </xf>
    <xf numFmtId="0" fontId="6" fillId="0" borderId="2" xfId="0" applyFont="1" applyBorder="1" applyAlignment="1" applyProtection="1">
      <alignment vertical="center"/>
      <protection hidden="1"/>
    </xf>
    <xf numFmtId="2" fontId="4" fillId="0" borderId="0" xfId="0" applyNumberFormat="1" applyFont="1" applyFill="1" applyBorder="1" applyAlignment="1" applyProtection="1">
      <alignment horizontal="left" vertical="center"/>
      <protection hidden="1"/>
    </xf>
    <xf numFmtId="0" fontId="4" fillId="0" borderId="19" xfId="0" applyFont="1" applyFill="1" applyBorder="1" applyAlignment="1" applyProtection="1">
      <alignment horizontal="center" vertical="center"/>
      <protection hidden="1"/>
    </xf>
    <xf numFmtId="0" fontId="7" fillId="0" borderId="20" xfId="0" applyFont="1" applyFill="1" applyBorder="1" applyAlignment="1" applyProtection="1">
      <alignment vertical="center"/>
      <protection hidden="1"/>
    </xf>
    <xf numFmtId="0" fontId="12" fillId="0" borderId="20" xfId="0" applyFont="1" applyFill="1" applyBorder="1" applyAlignment="1" applyProtection="1">
      <alignment vertical="center"/>
      <protection hidden="1"/>
    </xf>
    <xf numFmtId="0" fontId="1" fillId="0" borderId="20" xfId="0" applyFont="1" applyFill="1" applyBorder="1" applyAlignment="1" applyProtection="1">
      <alignment vertical="center"/>
      <protection hidden="1"/>
    </xf>
    <xf numFmtId="0" fontId="1" fillId="0" borderId="4" xfId="0" applyFont="1" applyFill="1" applyBorder="1" applyAlignment="1" applyProtection="1">
      <alignment vertical="center"/>
      <protection hidden="1"/>
    </xf>
    <xf numFmtId="0" fontId="4" fillId="0" borderId="6" xfId="0" applyFont="1" applyFill="1" applyBorder="1" applyAlignment="1" applyProtection="1">
      <alignment horizontal="center" vertical="center"/>
      <protection hidden="1"/>
    </xf>
    <xf numFmtId="0" fontId="7" fillId="0" borderId="0" xfId="0" applyFont="1" applyFill="1" applyBorder="1" applyAlignment="1" applyProtection="1">
      <alignment vertical="center"/>
      <protection hidden="1"/>
    </xf>
    <xf numFmtId="0" fontId="6" fillId="0" borderId="0" xfId="0" applyFont="1" applyFill="1" applyAlignment="1" applyProtection="1">
      <alignment horizontal="left" vertical="center"/>
      <protection hidden="1"/>
    </xf>
    <xf numFmtId="0" fontId="1" fillId="0" borderId="0" xfId="0" applyFont="1" applyFill="1" applyBorder="1" applyAlignment="1" applyProtection="1">
      <alignment horizontal="center" vertical="center" wrapText="1"/>
      <protection locked="0"/>
    </xf>
    <xf numFmtId="0" fontId="1" fillId="0" borderId="0" xfId="0" applyFont="1" applyAlignment="1" applyProtection="1">
      <alignment horizontal="center" vertical="center" wrapText="1"/>
      <protection locked="0"/>
    </xf>
    <xf numFmtId="0" fontId="1" fillId="0" borderId="7" xfId="0" applyFont="1" applyBorder="1" applyAlignment="1" applyProtection="1">
      <alignment horizontal="center" vertical="center" wrapText="1"/>
      <protection locked="0"/>
    </xf>
    <xf numFmtId="0" fontId="1" fillId="0" borderId="2" xfId="0" applyFont="1" applyBorder="1" applyAlignment="1" applyProtection="1">
      <alignment horizontal="center" vertical="center" wrapText="1"/>
      <protection locked="0"/>
    </xf>
    <xf numFmtId="0" fontId="1" fillId="0" borderId="8" xfId="0" applyFont="1" applyBorder="1" applyAlignment="1" applyProtection="1">
      <alignment horizontal="center" vertical="center" wrapText="1"/>
      <protection locked="0"/>
    </xf>
    <xf numFmtId="0" fontId="14" fillId="0" borderId="23" xfId="0" applyFont="1" applyFill="1" applyBorder="1" applyAlignment="1" applyProtection="1">
      <alignment horizontal="center" vertical="center" wrapText="1"/>
      <protection locked="0"/>
    </xf>
    <xf numFmtId="0" fontId="14" fillId="0" borderId="25" xfId="0" applyFont="1" applyFill="1" applyBorder="1" applyAlignment="1" applyProtection="1">
      <alignment horizontal="center" vertical="center" wrapText="1"/>
      <protection locked="0"/>
    </xf>
    <xf numFmtId="0" fontId="1" fillId="0" borderId="25" xfId="0" applyFont="1" applyBorder="1" applyAlignment="1" applyProtection="1">
      <alignment horizontal="center" vertical="center" wrapText="1"/>
      <protection locked="0"/>
    </xf>
    <xf numFmtId="0" fontId="1" fillId="0" borderId="24" xfId="0" applyFont="1" applyBorder="1" applyAlignment="1" applyProtection="1">
      <alignment horizontal="center" vertical="center" wrapText="1"/>
      <protection locked="0"/>
    </xf>
    <xf numFmtId="0" fontId="13" fillId="0" borderId="25" xfId="0" applyFont="1" applyFill="1" applyBorder="1" applyAlignment="1" applyProtection="1">
      <alignment horizontal="center" vertical="center" wrapText="1"/>
      <protection hidden="1"/>
    </xf>
    <xf numFmtId="0" fontId="1" fillId="0" borderId="25" xfId="0" applyFont="1" applyBorder="1" applyAlignment="1" applyProtection="1">
      <alignment horizontal="center" vertical="center" wrapText="1"/>
      <protection hidden="1"/>
    </xf>
    <xf numFmtId="0" fontId="1" fillId="0" borderId="24" xfId="0" applyFont="1" applyBorder="1" applyAlignment="1" applyProtection="1">
      <alignment horizontal="center" vertical="center" wrapText="1"/>
      <protection hidden="1"/>
    </xf>
    <xf numFmtId="0" fontId="14" fillId="0" borderId="6" xfId="0" applyFont="1" applyFill="1" applyBorder="1" applyAlignment="1" applyProtection="1">
      <alignment horizontal="center" vertical="center" wrapText="1"/>
      <protection locked="0"/>
    </xf>
    <xf numFmtId="0" fontId="14" fillId="0" borderId="0" xfId="0" applyFont="1" applyFill="1" applyBorder="1" applyAlignment="1" applyProtection="1">
      <alignment horizontal="center" vertical="center" wrapText="1"/>
      <protection locked="0"/>
    </xf>
    <xf numFmtId="0" fontId="14" fillId="0" borderId="1" xfId="0" applyFont="1" applyFill="1" applyBorder="1" applyAlignment="1" applyProtection="1">
      <alignment horizontal="center" vertical="center" wrapText="1"/>
      <protection locked="0"/>
    </xf>
    <xf numFmtId="0" fontId="14" fillId="0" borderId="2" xfId="0" applyFont="1" applyFill="1" applyBorder="1" applyAlignment="1" applyProtection="1">
      <alignment horizontal="center" vertical="center" wrapText="1"/>
      <protection locked="0"/>
    </xf>
    <xf numFmtId="0" fontId="13" fillId="0" borderId="6" xfId="0" applyFont="1" applyFill="1" applyBorder="1" applyAlignment="1" applyProtection="1">
      <alignment horizontal="center" vertical="center"/>
      <protection hidden="1"/>
    </xf>
    <xf numFmtId="0" fontId="13" fillId="0" borderId="0" xfId="0" applyFont="1" applyFill="1" applyBorder="1" applyAlignment="1" applyProtection="1">
      <alignment horizontal="center" vertical="center"/>
      <protection hidden="1"/>
    </xf>
    <xf numFmtId="0" fontId="13" fillId="0" borderId="7" xfId="0" applyFont="1" applyFill="1" applyBorder="1" applyAlignment="1" applyProtection="1">
      <alignment horizontal="center" vertical="center"/>
      <protection hidden="1"/>
    </xf>
    <xf numFmtId="0" fontId="13" fillId="0" borderId="1" xfId="0" applyFont="1" applyFill="1" applyBorder="1" applyAlignment="1" applyProtection="1">
      <alignment horizontal="center" vertical="center"/>
      <protection hidden="1"/>
    </xf>
    <xf numFmtId="0" fontId="13" fillId="0" borderId="2" xfId="0" applyFont="1" applyFill="1" applyBorder="1" applyAlignment="1" applyProtection="1">
      <alignment horizontal="center" vertical="center"/>
      <protection hidden="1"/>
    </xf>
    <xf numFmtId="0" fontId="13" fillId="0" borderId="8" xfId="0" applyFont="1" applyFill="1" applyBorder="1" applyAlignment="1" applyProtection="1">
      <alignment horizontal="center" vertical="center"/>
      <protection hidden="1"/>
    </xf>
    <xf numFmtId="0" fontId="4" fillId="0" borderId="26" xfId="0" applyFont="1" applyFill="1" applyBorder="1" applyAlignment="1" applyProtection="1">
      <alignment horizontal="center" vertical="center"/>
      <protection hidden="1"/>
    </xf>
    <xf numFmtId="0" fontId="4" fillId="0" borderId="21" xfId="0" applyFont="1" applyFill="1" applyBorder="1" applyAlignment="1" applyProtection="1">
      <alignment horizontal="center" vertical="center"/>
      <protection hidden="1"/>
    </xf>
    <xf numFmtId="0" fontId="8" fillId="0" borderId="9" xfId="0" applyFont="1" applyFill="1" applyBorder="1" applyAlignment="1" applyProtection="1">
      <alignment horizontal="center" vertical="center"/>
      <protection hidden="1"/>
    </xf>
    <xf numFmtId="0" fontId="4" fillId="0" borderId="11" xfId="0" applyFont="1" applyBorder="1" applyAlignment="1" applyProtection="1">
      <alignment horizontal="center" vertical="center"/>
      <protection hidden="1"/>
    </xf>
    <xf numFmtId="0" fontId="4" fillId="0" borderId="18" xfId="0" applyFont="1" applyBorder="1" applyAlignment="1" applyProtection="1">
      <alignment horizontal="center" vertical="center"/>
      <protection hidden="1"/>
    </xf>
    <xf numFmtId="0" fontId="6" fillId="0" borderId="25" xfId="0" applyFont="1" applyFill="1" applyBorder="1" applyAlignment="1" applyProtection="1">
      <alignment horizontal="center" vertical="center"/>
      <protection hidden="1"/>
    </xf>
    <xf numFmtId="0" fontId="3" fillId="0" borderId="6" xfId="0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Fill="1" applyBorder="1" applyAlignment="1" applyProtection="1">
      <alignment horizontal="center" vertical="center" wrapText="1"/>
      <protection hidden="1"/>
    </xf>
    <xf numFmtId="0" fontId="3" fillId="0" borderId="7" xfId="0" applyFont="1" applyFill="1" applyBorder="1" applyAlignment="1" applyProtection="1">
      <alignment horizontal="center" vertical="center" wrapText="1"/>
      <protection hidden="1"/>
    </xf>
    <xf numFmtId="0" fontId="4" fillId="0" borderId="6" xfId="0" applyFont="1" applyFill="1" applyBorder="1" applyAlignment="1" applyProtection="1">
      <alignment horizontal="center" vertical="center" wrapText="1"/>
      <protection hidden="1"/>
    </xf>
    <xf numFmtId="0" fontId="4" fillId="0" borderId="0" xfId="0" applyFont="1" applyFill="1" applyBorder="1" applyAlignment="1" applyProtection="1">
      <alignment horizontal="center" vertical="center" wrapText="1"/>
      <protection hidden="1"/>
    </xf>
    <xf numFmtId="0" fontId="1" fillId="0" borderId="3" xfId="0" applyFont="1" applyFill="1" applyBorder="1" applyAlignment="1" applyProtection="1">
      <alignment horizontal="center" vertical="center" wrapText="1"/>
      <protection hidden="1"/>
    </xf>
    <xf numFmtId="0" fontId="1" fillId="0" borderId="4" xfId="0" applyFont="1" applyFill="1" applyBorder="1" applyAlignment="1" applyProtection="1">
      <alignment horizontal="center" vertical="center" wrapText="1"/>
      <protection hidden="1"/>
    </xf>
    <xf numFmtId="0" fontId="1" fillId="0" borderId="5" xfId="0" applyFont="1" applyFill="1" applyBorder="1" applyAlignment="1" applyProtection="1">
      <alignment horizontal="center" vertical="center" wrapText="1"/>
      <protection hidden="1"/>
    </xf>
    <xf numFmtId="0" fontId="1" fillId="0" borderId="6" xfId="0" applyFont="1" applyFill="1" applyBorder="1" applyAlignment="1" applyProtection="1">
      <alignment horizontal="center" vertical="center" wrapText="1"/>
      <protection hidden="1"/>
    </xf>
    <xf numFmtId="0" fontId="1" fillId="0" borderId="0" xfId="0" applyFont="1" applyFill="1" applyBorder="1" applyAlignment="1" applyProtection="1">
      <alignment horizontal="center" vertical="center" wrapText="1"/>
      <protection hidden="1"/>
    </xf>
    <xf numFmtId="0" fontId="1" fillId="0" borderId="7" xfId="0" applyFont="1" applyFill="1" applyBorder="1" applyAlignment="1" applyProtection="1">
      <alignment horizontal="center" vertical="center" wrapText="1"/>
      <protection hidden="1"/>
    </xf>
    <xf numFmtId="0" fontId="1" fillId="0" borderId="1" xfId="0" applyFont="1" applyFill="1" applyBorder="1" applyAlignment="1" applyProtection="1">
      <alignment horizontal="center" vertical="center" wrapText="1"/>
      <protection hidden="1"/>
    </xf>
    <xf numFmtId="0" fontId="1" fillId="0" borderId="2" xfId="0" applyFont="1" applyFill="1" applyBorder="1" applyAlignment="1" applyProtection="1">
      <alignment horizontal="center" vertical="center" wrapText="1"/>
      <protection hidden="1"/>
    </xf>
    <xf numFmtId="0" fontId="1" fillId="0" borderId="8" xfId="0" applyFont="1" applyFill="1" applyBorder="1" applyAlignment="1" applyProtection="1">
      <alignment horizontal="center" vertical="center" wrapText="1"/>
      <protection hidden="1"/>
    </xf>
    <xf numFmtId="0" fontId="2" fillId="0" borderId="3" xfId="0" applyFont="1" applyFill="1" applyBorder="1" applyAlignment="1" applyProtection="1">
      <alignment horizontal="center" vertical="center"/>
      <protection hidden="1"/>
    </xf>
    <xf numFmtId="0" fontId="2" fillId="0" borderId="4" xfId="0" applyFont="1" applyFill="1" applyBorder="1" applyAlignment="1" applyProtection="1">
      <alignment horizontal="center" vertical="center"/>
      <protection hidden="1"/>
    </xf>
    <xf numFmtId="0" fontId="2" fillId="0" borderId="5" xfId="0" applyFont="1" applyFill="1" applyBorder="1" applyAlignment="1" applyProtection="1">
      <alignment horizontal="center" vertical="center"/>
      <protection hidden="1"/>
    </xf>
    <xf numFmtId="0" fontId="3" fillId="0" borderId="3" xfId="0" applyFont="1" applyFill="1" applyBorder="1" applyAlignment="1" applyProtection="1">
      <alignment horizontal="center" vertical="center" wrapText="1"/>
      <protection locked="0"/>
    </xf>
    <xf numFmtId="0" fontId="3" fillId="0" borderId="4" xfId="0" applyFont="1" applyFill="1" applyBorder="1" applyAlignment="1" applyProtection="1">
      <alignment horizontal="center" vertical="center" wrapText="1"/>
      <protection locked="0"/>
    </xf>
    <xf numFmtId="0" fontId="3" fillId="0" borderId="5" xfId="0" applyFont="1" applyFill="1" applyBorder="1" applyAlignment="1" applyProtection="1">
      <alignment horizontal="center" vertical="center" wrapText="1"/>
      <protection locked="0"/>
    </xf>
    <xf numFmtId="0" fontId="3" fillId="0" borderId="6" xfId="0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Fill="1" applyBorder="1" applyAlignment="1" applyProtection="1">
      <alignment horizontal="center" vertical="center" wrapText="1"/>
      <protection locked="0"/>
    </xf>
    <xf numFmtId="0" fontId="3" fillId="0" borderId="7" xfId="0" applyFont="1" applyFill="1" applyBorder="1" applyAlignment="1" applyProtection="1">
      <alignment horizontal="center" vertical="center" wrapText="1"/>
      <protection locked="0"/>
    </xf>
    <xf numFmtId="0" fontId="3" fillId="0" borderId="1" xfId="0" applyFont="1" applyFill="1" applyBorder="1" applyAlignment="1" applyProtection="1">
      <alignment horizontal="center" vertical="center" wrapText="1"/>
      <protection locked="0"/>
    </xf>
    <xf numFmtId="0" fontId="3" fillId="0" borderId="2" xfId="0" applyFont="1" applyFill="1" applyBorder="1" applyAlignment="1" applyProtection="1">
      <alignment horizontal="center" vertical="center" wrapText="1"/>
      <protection locked="0"/>
    </xf>
    <xf numFmtId="0" fontId="3" fillId="0" borderId="8" xfId="0" applyFont="1" applyFill="1" applyBorder="1" applyAlignment="1" applyProtection="1">
      <alignment horizontal="center" vertical="center" wrapText="1"/>
      <protection locked="0"/>
    </xf>
    <xf numFmtId="0" fontId="5" fillId="0" borderId="2" xfId="0" applyFont="1" applyFill="1" applyBorder="1" applyAlignment="1" applyProtection="1">
      <alignment horizontal="center" vertical="center"/>
      <protection hidden="1"/>
    </xf>
    <xf numFmtId="0" fontId="5" fillId="0" borderId="8" xfId="0" applyFont="1" applyFill="1" applyBorder="1" applyAlignment="1" applyProtection="1">
      <alignment horizontal="center" vertical="center"/>
      <protection hidden="1"/>
    </xf>
    <xf numFmtId="0" fontId="4" fillId="0" borderId="25" xfId="0" applyFont="1" applyFill="1" applyBorder="1" applyAlignment="1" applyProtection="1">
      <alignment horizontal="center" vertical="center"/>
      <protection hidden="1"/>
    </xf>
    <xf numFmtId="0" fontId="8" fillId="0" borderId="0" xfId="0" applyFont="1" applyFill="1" applyBorder="1" applyAlignment="1" applyProtection="1">
      <alignment horizontal="center" vertical="center"/>
      <protection locked="0"/>
    </xf>
    <xf numFmtId="0" fontId="8" fillId="0" borderId="7" xfId="0" applyFont="1" applyFill="1" applyBorder="1" applyAlignment="1" applyProtection="1">
      <alignment horizontal="center" vertical="center"/>
      <protection locked="0"/>
    </xf>
    <xf numFmtId="0" fontId="8" fillId="0" borderId="6" xfId="0" applyFont="1" applyFill="1" applyBorder="1" applyAlignment="1" applyProtection="1">
      <alignment horizontal="center" vertical="center"/>
      <protection locked="0"/>
    </xf>
    <xf numFmtId="14" fontId="8" fillId="0" borderId="6" xfId="0" applyNumberFormat="1" applyFont="1" applyFill="1" applyBorder="1" applyAlignment="1" applyProtection="1">
      <alignment horizontal="center" vertical="center"/>
      <protection locked="0"/>
    </xf>
    <xf numFmtId="14" fontId="8" fillId="0" borderId="0" xfId="0" applyNumberFormat="1" applyFont="1" applyFill="1" applyBorder="1" applyAlignment="1" applyProtection="1">
      <alignment horizontal="center" vertical="center"/>
      <protection locked="0"/>
    </xf>
    <xf numFmtId="14" fontId="8" fillId="0" borderId="7" xfId="0" applyNumberFormat="1" applyFont="1" applyFill="1" applyBorder="1" applyAlignment="1" applyProtection="1">
      <alignment horizontal="center" vertical="center"/>
      <protection locked="0"/>
    </xf>
    <xf numFmtId="0" fontId="14" fillId="0" borderId="0" xfId="0" applyFont="1" applyFill="1" applyBorder="1" applyAlignment="1" applyProtection="1">
      <alignment horizontal="left" vertical="center"/>
      <protection hidden="1"/>
    </xf>
    <xf numFmtId="0" fontId="14" fillId="0" borderId="0" xfId="0" applyFont="1" applyFill="1" applyBorder="1" applyAlignment="1" applyProtection="1">
      <alignment horizontal="left" vertical="center"/>
      <protection locked="0"/>
    </xf>
    <xf numFmtId="14" fontId="14" fillId="0" borderId="0" xfId="0" applyNumberFormat="1" applyFont="1" applyFill="1" applyBorder="1" applyAlignment="1" applyProtection="1">
      <alignment horizontal="left" vertical="center"/>
      <protection locked="0"/>
    </xf>
    <xf numFmtId="0" fontId="14" fillId="0" borderId="4" xfId="0" applyFont="1" applyFill="1" applyBorder="1" applyAlignment="1" applyProtection="1">
      <alignment horizontal="left" vertical="center"/>
      <protection hidden="1"/>
    </xf>
    <xf numFmtId="0" fontId="14" fillId="0" borderId="4" xfId="0" applyFont="1" applyFill="1" applyBorder="1" applyAlignment="1" applyProtection="1">
      <alignment vertical="center"/>
      <protection hidden="1"/>
    </xf>
    <xf numFmtId="0" fontId="8" fillId="0" borderId="4" xfId="0" applyFont="1" applyFill="1" applyBorder="1" applyAlignment="1" applyProtection="1">
      <alignment horizontal="right" vertical="center"/>
      <protection hidden="1"/>
    </xf>
    <xf numFmtId="0" fontId="8" fillId="0" borderId="4" xfId="0" applyFont="1" applyFill="1" applyBorder="1" applyAlignment="1" applyProtection="1">
      <alignment vertical="center"/>
      <protection hidden="1"/>
    </xf>
    <xf numFmtId="0" fontId="14" fillId="0" borderId="5" xfId="0" applyFont="1" applyFill="1" applyBorder="1" applyAlignment="1" applyProtection="1">
      <alignment vertical="center"/>
      <protection hidden="1"/>
    </xf>
    <xf numFmtId="0" fontId="14" fillId="0" borderId="2" xfId="0" applyFont="1" applyFill="1" applyBorder="1" applyAlignment="1" applyProtection="1">
      <alignment horizontal="left" vertical="center"/>
      <protection hidden="1"/>
    </xf>
    <xf numFmtId="0" fontId="14" fillId="0" borderId="2" xfId="0" applyFont="1" applyFill="1" applyBorder="1" applyAlignment="1" applyProtection="1">
      <alignment vertical="center"/>
      <protection hidden="1"/>
    </xf>
    <xf numFmtId="0" fontId="8" fillId="0" borderId="2" xfId="0" applyFont="1" applyFill="1" applyBorder="1" applyAlignment="1" applyProtection="1">
      <alignment horizontal="right" vertical="center"/>
      <protection hidden="1"/>
    </xf>
    <xf numFmtId="0" fontId="8" fillId="0" borderId="2" xfId="0" applyFont="1" applyFill="1" applyBorder="1" applyAlignment="1" applyProtection="1">
      <alignment vertical="center"/>
      <protection hidden="1"/>
    </xf>
    <xf numFmtId="0" fontId="14" fillId="0" borderId="8" xfId="0" applyFont="1" applyFill="1" applyBorder="1" applyAlignment="1" applyProtection="1">
      <alignment vertical="center"/>
      <protection hidden="1"/>
    </xf>
    <xf numFmtId="0" fontId="14" fillId="0" borderId="0" xfId="0" applyFont="1" applyBorder="1" applyAlignment="1" applyProtection="1">
      <alignment horizontal="right" vertical="center"/>
      <protection hidden="1"/>
    </xf>
    <xf numFmtId="0" fontId="14" fillId="3" borderId="0" xfId="0" applyFont="1" applyFill="1" applyBorder="1" applyAlignment="1" applyProtection="1">
      <alignment horizontal="center" vertical="center"/>
      <protection locked="0"/>
    </xf>
    <xf numFmtId="0" fontId="14" fillId="3" borderId="0" xfId="0" applyFont="1" applyFill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center" vertical="center"/>
      <protection hidden="1"/>
    </xf>
    <xf numFmtId="0" fontId="14" fillId="0" borderId="0" xfId="0" applyFont="1" applyBorder="1" applyAlignment="1" applyProtection="1">
      <alignment horizontal="center" vertical="center"/>
      <protection hidden="1"/>
    </xf>
    <xf numFmtId="0" fontId="14" fillId="0" borderId="0" xfId="0" applyFont="1" applyBorder="1" applyAlignment="1" applyProtection="1">
      <alignment horizontal="center" vertical="center"/>
      <protection hidden="1"/>
    </xf>
    <xf numFmtId="0" fontId="14" fillId="0" borderId="0" xfId="0" applyFont="1" applyAlignment="1" applyProtection="1">
      <alignment vertical="center"/>
      <protection hidden="1"/>
    </xf>
    <xf numFmtId="0" fontId="8" fillId="0" borderId="0" xfId="0" applyFont="1" applyBorder="1" applyAlignment="1" applyProtection="1">
      <alignment horizontal="left" vertical="center"/>
      <protection hidden="1"/>
    </xf>
    <xf numFmtId="0" fontId="8" fillId="3" borderId="2" xfId="0" applyFont="1" applyFill="1" applyBorder="1" applyAlignment="1" applyProtection="1">
      <alignment horizontal="center" vertical="center"/>
      <protection hidden="1"/>
    </xf>
    <xf numFmtId="0" fontId="14" fillId="0" borderId="6" xfId="0" applyFont="1" applyBorder="1" applyAlignment="1" applyProtection="1">
      <alignment horizontal="center" vertical="center"/>
      <protection hidden="1"/>
    </xf>
    <xf numFmtId="0" fontId="14" fillId="0" borderId="9" xfId="0" applyFont="1" applyBorder="1" applyAlignment="1" applyProtection="1">
      <alignment horizontal="center" vertical="center"/>
      <protection hidden="1"/>
    </xf>
    <xf numFmtId="0" fontId="14" fillId="0" borderId="9" xfId="0" applyFont="1" applyFill="1" applyBorder="1" applyAlignment="1" applyProtection="1">
      <alignment horizontal="center" vertical="center"/>
      <protection hidden="1"/>
    </xf>
    <xf numFmtId="0" fontId="14" fillId="0" borderId="23" xfId="0" applyFont="1" applyFill="1" applyBorder="1" applyAlignment="1" applyProtection="1">
      <alignment horizontal="center" vertical="center"/>
      <protection hidden="1"/>
    </xf>
    <xf numFmtId="0" fontId="8" fillId="0" borderId="10" xfId="0" applyFont="1" applyFill="1" applyBorder="1" applyAlignment="1" applyProtection="1">
      <alignment horizontal="center" vertical="center"/>
      <protection hidden="1"/>
    </xf>
    <xf numFmtId="0" fontId="8" fillId="0" borderId="36" xfId="0" applyFont="1" applyFill="1" applyBorder="1" applyAlignment="1" applyProtection="1">
      <alignment horizontal="center" vertical="center"/>
      <protection hidden="1"/>
    </xf>
    <xf numFmtId="0" fontId="14" fillId="0" borderId="24" xfId="0" applyFont="1" applyFill="1" applyBorder="1" applyAlignment="1" applyProtection="1">
      <alignment horizontal="center" vertical="center"/>
      <protection hidden="1"/>
    </xf>
    <xf numFmtId="0" fontId="8" fillId="0" borderId="37" xfId="0" applyFont="1" applyFill="1" applyBorder="1" applyAlignment="1" applyProtection="1">
      <alignment horizontal="center" vertical="center"/>
      <protection hidden="1"/>
    </xf>
    <xf numFmtId="0" fontId="8" fillId="0" borderId="38" xfId="0" applyFont="1" applyFill="1" applyBorder="1" applyAlignment="1" applyProtection="1">
      <alignment horizontal="center" vertical="center"/>
      <protection hidden="1"/>
    </xf>
    <xf numFmtId="0" fontId="14" fillId="0" borderId="34" xfId="0" applyFont="1" applyFill="1" applyBorder="1" applyAlignment="1" applyProtection="1">
      <alignment horizontal="center" vertical="center"/>
      <protection hidden="1"/>
    </xf>
    <xf numFmtId="0" fontId="14" fillId="0" borderId="35" xfId="0" applyFont="1" applyFill="1" applyBorder="1" applyAlignment="1" applyProtection="1">
      <alignment horizontal="center" vertical="center"/>
      <protection hidden="1"/>
    </xf>
    <xf numFmtId="0" fontId="14" fillId="0" borderId="39" xfId="0" applyFont="1" applyFill="1" applyBorder="1" applyAlignment="1" applyProtection="1">
      <alignment horizontal="center" vertical="center"/>
      <protection hidden="1"/>
    </xf>
    <xf numFmtId="0" fontId="14" fillId="0" borderId="40" xfId="0" applyFont="1" applyFill="1" applyBorder="1" applyAlignment="1" applyProtection="1">
      <alignment horizontal="center" vertical="center"/>
      <protection hidden="1"/>
    </xf>
    <xf numFmtId="0" fontId="14" fillId="3" borderId="9" xfId="0" applyFont="1" applyFill="1" applyBorder="1" applyAlignment="1" applyProtection="1">
      <alignment horizontal="center" vertical="center"/>
      <protection locked="0"/>
    </xf>
    <xf numFmtId="0" fontId="14" fillId="3" borderId="23" xfId="0" applyFont="1" applyFill="1" applyBorder="1" applyAlignment="1" applyProtection="1">
      <alignment horizontal="center" vertical="center"/>
      <protection locked="0"/>
    </xf>
    <xf numFmtId="0" fontId="14" fillId="3" borderId="34" xfId="0" applyFont="1" applyFill="1" applyBorder="1" applyAlignment="1" applyProtection="1">
      <alignment horizontal="center" vertical="center"/>
      <protection locked="0"/>
    </xf>
    <xf numFmtId="0" fontId="14" fillId="3" borderId="35" xfId="0" applyFont="1" applyFill="1" applyBorder="1" applyAlignment="1" applyProtection="1">
      <alignment horizontal="center" vertical="center"/>
      <protection locked="0"/>
    </xf>
    <xf numFmtId="0" fontId="14" fillId="3" borderId="24" xfId="0" applyFont="1" applyFill="1" applyBorder="1" applyAlignment="1" applyProtection="1">
      <alignment horizontal="center" vertical="center"/>
      <protection locked="0"/>
    </xf>
    <xf numFmtId="0" fontId="14" fillId="3" borderId="39" xfId="0" applyFont="1" applyFill="1" applyBorder="1" applyAlignment="1" applyProtection="1">
      <alignment horizontal="center" vertical="center"/>
      <protection locked="0"/>
    </xf>
    <xf numFmtId="0" fontId="14" fillId="3" borderId="40" xfId="0" applyFont="1" applyFill="1" applyBorder="1" applyAlignment="1" applyProtection="1">
      <alignment horizontal="center" vertical="center"/>
      <protection locked="0"/>
    </xf>
    <xf numFmtId="0" fontId="14" fillId="0" borderId="27" xfId="0" applyFont="1" applyFill="1" applyBorder="1" applyAlignment="1" applyProtection="1">
      <alignment horizontal="center" vertical="center"/>
      <protection hidden="1"/>
    </xf>
    <xf numFmtId="0" fontId="14" fillId="0" borderId="3" xfId="0" applyFont="1" applyFill="1" applyBorder="1" applyAlignment="1" applyProtection="1">
      <alignment horizontal="center" vertical="center"/>
      <protection hidden="1"/>
    </xf>
    <xf numFmtId="0" fontId="8" fillId="0" borderId="0" xfId="0" applyFont="1" applyFill="1" applyBorder="1" applyAlignment="1" applyProtection="1">
      <alignment vertical="center"/>
      <protection hidden="1"/>
    </xf>
    <xf numFmtId="0" fontId="8" fillId="0" borderId="0" xfId="0" applyFont="1" applyFill="1" applyBorder="1" applyAlignment="1" applyProtection="1">
      <alignment horizontal="right" vertical="center"/>
      <protection hidden="1"/>
    </xf>
    <xf numFmtId="164" fontId="8" fillId="0" borderId="28" xfId="0" applyNumberFormat="1" applyFont="1" applyFill="1" applyBorder="1" applyAlignment="1" applyProtection="1">
      <alignment horizontal="center" vertical="center"/>
      <protection hidden="1"/>
    </xf>
    <xf numFmtId="164" fontId="8" fillId="0" borderId="29" xfId="0" applyNumberFormat="1" applyFont="1" applyFill="1" applyBorder="1" applyAlignment="1" applyProtection="1">
      <alignment horizontal="center" vertical="center"/>
      <protection hidden="1"/>
    </xf>
    <xf numFmtId="0" fontId="8" fillId="0" borderId="0" xfId="0" applyFont="1" applyFill="1" applyBorder="1" applyAlignment="1" applyProtection="1">
      <alignment horizontal="left" vertical="center"/>
      <protection hidden="1"/>
    </xf>
    <xf numFmtId="0" fontId="8" fillId="0" borderId="0" xfId="0" applyFont="1" applyFill="1" applyBorder="1" applyAlignment="1" applyProtection="1">
      <alignment horizontal="center" vertical="center"/>
      <protection hidden="1"/>
    </xf>
    <xf numFmtId="0" fontId="8" fillId="0" borderId="5" xfId="0" applyFont="1" applyFill="1" applyBorder="1" applyAlignment="1" applyProtection="1">
      <alignment horizontal="center" vertical="center"/>
      <protection hidden="1"/>
    </xf>
    <xf numFmtId="164" fontId="14" fillId="0" borderId="0" xfId="0" applyNumberFormat="1" applyFont="1" applyBorder="1" applyAlignment="1" applyProtection="1">
      <alignment horizontal="center" vertical="center"/>
      <protection hidden="1"/>
    </xf>
    <xf numFmtId="0" fontId="14" fillId="0" borderId="7" xfId="0" applyFont="1" applyBorder="1" applyAlignment="1" applyProtection="1">
      <alignment vertical="center"/>
      <protection hidden="1"/>
    </xf>
    <xf numFmtId="0" fontId="8" fillId="0" borderId="23" xfId="0" applyFont="1" applyBorder="1" applyAlignment="1" applyProtection="1">
      <alignment horizontal="center" vertical="center"/>
      <protection hidden="1"/>
    </xf>
    <xf numFmtId="0" fontId="8" fillId="0" borderId="25" xfId="0" applyFont="1" applyBorder="1" applyAlignment="1" applyProtection="1">
      <alignment horizontal="center" vertical="center"/>
      <protection hidden="1"/>
    </xf>
    <xf numFmtId="0" fontId="8" fillId="0" borderId="24" xfId="0" applyFont="1" applyBorder="1" applyAlignment="1" applyProtection="1">
      <alignment horizontal="center" vertical="center"/>
      <protection hidden="1"/>
    </xf>
    <xf numFmtId="0" fontId="8" fillId="3" borderId="9" xfId="0" applyFont="1" applyFill="1" applyBorder="1" applyAlignment="1" applyProtection="1">
      <alignment horizontal="center" vertical="center"/>
      <protection locked="0"/>
    </xf>
    <xf numFmtId="0" fontId="14" fillId="0" borderId="9" xfId="0" applyFont="1" applyFill="1" applyBorder="1" applyAlignment="1" applyProtection="1">
      <alignment horizontal="right" vertical="center"/>
      <protection hidden="1"/>
    </xf>
    <xf numFmtId="164" fontId="14" fillId="0" borderId="9" xfId="0" applyNumberFormat="1" applyFont="1" applyFill="1" applyBorder="1" applyAlignment="1" applyProtection="1">
      <alignment horizontal="center" vertical="center"/>
      <protection hidden="1"/>
    </xf>
    <xf numFmtId="0" fontId="8" fillId="0" borderId="30" xfId="0" applyFont="1" applyBorder="1" applyAlignment="1" applyProtection="1">
      <alignment horizontal="center" vertical="center"/>
      <protection hidden="1"/>
    </xf>
    <xf numFmtId="0" fontId="8" fillId="0" borderId="31" xfId="0" applyFont="1" applyBorder="1" applyAlignment="1" applyProtection="1">
      <alignment horizontal="center" vertical="center"/>
      <protection hidden="1"/>
    </xf>
    <xf numFmtId="0" fontId="8" fillId="0" borderId="32" xfId="0" applyFont="1" applyBorder="1" applyAlignment="1" applyProtection="1">
      <alignment horizontal="center" vertical="center"/>
      <protection hidden="1"/>
    </xf>
    <xf numFmtId="164" fontId="8" fillId="0" borderId="30" xfId="0" applyNumberFormat="1" applyFont="1" applyBorder="1" applyAlignment="1" applyProtection="1">
      <alignment horizontal="center" vertical="center"/>
      <protection hidden="1"/>
    </xf>
    <xf numFmtId="164" fontId="8" fillId="0" borderId="31" xfId="0" applyNumberFormat="1" applyFont="1" applyBorder="1" applyAlignment="1" applyProtection="1">
      <alignment horizontal="center" vertical="center"/>
      <protection hidden="1"/>
    </xf>
    <xf numFmtId="164" fontId="8" fillId="0" borderId="32" xfId="0" applyNumberFormat="1" applyFont="1" applyBorder="1" applyAlignment="1" applyProtection="1">
      <alignment horizontal="center" vertical="center"/>
      <protection hidden="1"/>
    </xf>
    <xf numFmtId="0" fontId="8" fillId="0" borderId="33" xfId="0" applyFont="1" applyBorder="1" applyAlignment="1" applyProtection="1">
      <alignment horizontal="center" vertical="center"/>
      <protection hidden="1"/>
    </xf>
    <xf numFmtId="0" fontId="8" fillId="0" borderId="15" xfId="0" applyFont="1" applyBorder="1" applyAlignment="1" applyProtection="1">
      <alignment horizontal="center" vertical="center"/>
      <protection hidden="1"/>
    </xf>
    <xf numFmtId="0" fontId="8" fillId="0" borderId="17" xfId="0" applyFont="1" applyBorder="1" applyAlignment="1" applyProtection="1">
      <alignment horizontal="center" vertical="center"/>
      <protection hidden="1"/>
    </xf>
    <xf numFmtId="164" fontId="8" fillId="0" borderId="33" xfId="0" applyNumberFormat="1" applyFont="1" applyBorder="1" applyAlignment="1" applyProtection="1">
      <alignment horizontal="center" vertical="center"/>
      <protection hidden="1"/>
    </xf>
    <xf numFmtId="164" fontId="8" fillId="0" borderId="15" xfId="0" applyNumberFormat="1" applyFont="1" applyBorder="1" applyAlignment="1" applyProtection="1">
      <alignment horizontal="center" vertical="center"/>
      <protection hidden="1"/>
    </xf>
    <xf numFmtId="164" fontId="8" fillId="0" borderId="17" xfId="0" applyNumberFormat="1" applyFont="1" applyBorder="1" applyAlignment="1" applyProtection="1">
      <alignment horizontal="center" vertical="center"/>
      <protection hidden="1"/>
    </xf>
    <xf numFmtId="0" fontId="4" fillId="0" borderId="22" xfId="0" applyFont="1" applyFill="1" applyBorder="1" applyAlignment="1" applyProtection="1">
      <alignment horizontal="center" vertical="center"/>
      <protection hidden="1"/>
    </xf>
    <xf numFmtId="0" fontId="4" fillId="0" borderId="1" xfId="0" applyFont="1" applyFill="1" applyBorder="1" applyAlignment="1" applyProtection="1">
      <alignment horizontal="center" vertical="center"/>
      <protection hidden="1"/>
    </xf>
    <xf numFmtId="0" fontId="4" fillId="0" borderId="2" xfId="0" applyFont="1" applyFill="1" applyBorder="1" applyAlignment="1" applyProtection="1">
      <alignment horizontal="center" vertical="center"/>
      <protection hidden="1"/>
    </xf>
    <xf numFmtId="0" fontId="4" fillId="0" borderId="8" xfId="0" applyFont="1" applyFill="1" applyBorder="1" applyAlignment="1" applyProtection="1">
      <alignment horizontal="center" vertical="center"/>
      <protection hidden="1"/>
    </xf>
    <xf numFmtId="0" fontId="14" fillId="0" borderId="6" xfId="0" applyFont="1" applyFill="1" applyBorder="1" applyAlignment="1" applyProtection="1">
      <alignment horizontal="left" vertical="center" wrapText="1"/>
      <protection locked="0"/>
    </xf>
    <xf numFmtId="0" fontId="14" fillId="0" borderId="0" xfId="0" applyFont="1" applyFill="1" applyBorder="1" applyAlignment="1" applyProtection="1">
      <alignment horizontal="left" vertical="center" wrapText="1"/>
      <protection locked="0"/>
    </xf>
    <xf numFmtId="0" fontId="14" fillId="0" borderId="7" xfId="0" applyFont="1" applyFill="1" applyBorder="1" applyAlignment="1" applyProtection="1">
      <alignment horizontal="left" vertical="center" wrapText="1"/>
      <protection locked="0"/>
    </xf>
    <xf numFmtId="0" fontId="14" fillId="0" borderId="1" xfId="0" applyFont="1" applyFill="1" applyBorder="1" applyAlignment="1" applyProtection="1">
      <alignment horizontal="left" vertical="center" wrapText="1"/>
      <protection locked="0"/>
    </xf>
    <xf numFmtId="0" fontId="14" fillId="0" borderId="2" xfId="0" applyFont="1" applyFill="1" applyBorder="1" applyAlignment="1" applyProtection="1">
      <alignment horizontal="left" vertical="center" wrapText="1"/>
      <protection locked="0"/>
    </xf>
    <xf numFmtId="0" fontId="14" fillId="0" borderId="8" xfId="0" applyFont="1" applyFill="1" applyBorder="1" applyAlignment="1" applyProtection="1">
      <alignment horizontal="left" vertical="center" wrapText="1"/>
      <protection locked="0"/>
    </xf>
    <xf numFmtId="0" fontId="1" fillId="0" borderId="3" xfId="0" applyFont="1" applyFill="1" applyBorder="1" applyAlignment="1" applyProtection="1">
      <alignment vertical="center" wrapText="1"/>
      <protection locked="0"/>
    </xf>
    <xf numFmtId="0" fontId="1" fillId="0" borderId="4" xfId="0" applyFont="1" applyFill="1" applyBorder="1" applyAlignment="1" applyProtection="1">
      <alignment vertical="center" wrapText="1"/>
      <protection locked="0"/>
    </xf>
    <xf numFmtId="0" fontId="1" fillId="0" borderId="4" xfId="0" applyFont="1" applyBorder="1" applyAlignment="1" applyProtection="1">
      <alignment vertical="center" wrapText="1"/>
      <protection locked="0"/>
    </xf>
    <xf numFmtId="0" fontId="1" fillId="0" borderId="5" xfId="0" applyFont="1" applyBorder="1" applyAlignment="1" applyProtection="1">
      <alignment vertical="center" wrapText="1"/>
      <protection locked="0"/>
    </xf>
    <xf numFmtId="0" fontId="1" fillId="0" borderId="6" xfId="0" applyFont="1" applyFill="1" applyBorder="1" applyAlignment="1" applyProtection="1">
      <alignment vertical="center" wrapText="1"/>
      <protection locked="0"/>
    </xf>
    <xf numFmtId="0" fontId="1" fillId="0" borderId="7" xfId="0" applyFont="1" applyBorder="1" applyAlignment="1" applyProtection="1">
      <alignment vertical="center" wrapText="1"/>
      <protection locked="0"/>
    </xf>
    <xf numFmtId="0" fontId="1" fillId="0" borderId="1" xfId="0" applyFont="1" applyFill="1" applyBorder="1" applyAlignment="1" applyProtection="1">
      <alignment vertical="center" wrapText="1"/>
      <protection locked="0"/>
    </xf>
    <xf numFmtId="0" fontId="1" fillId="0" borderId="2" xfId="0" applyFont="1" applyFill="1" applyBorder="1" applyAlignment="1" applyProtection="1">
      <alignment vertical="center" wrapText="1"/>
      <protection locked="0"/>
    </xf>
    <xf numFmtId="0" fontId="1" fillId="0" borderId="2" xfId="0" applyFont="1" applyBorder="1" applyAlignment="1" applyProtection="1">
      <alignment vertical="center" wrapText="1"/>
      <protection locked="0"/>
    </xf>
    <xf numFmtId="0" fontId="1" fillId="0" borderId="8" xfId="0" applyFont="1" applyBorder="1" applyAlignment="1" applyProtection="1">
      <alignment vertical="center" wrapText="1"/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1049877722505941E-2"/>
          <c:y val="5.4117647058823527E-2"/>
          <c:w val="0.91410439696716606"/>
          <c:h val="0.84705882352941175"/>
        </c:manualLayout>
      </c:layout>
      <c:scatterChart>
        <c:scatterStyle val="lineMarker"/>
        <c:varyColors val="0"/>
        <c:ser>
          <c:idx val="0"/>
          <c:order val="0"/>
          <c:tx>
            <c:v>Courbe Essai</c:v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diamond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'CRE PO'!$ID$48:$IN$48</c:f>
              <c:numCache>
                <c:formatCode>General</c:formatCode>
                <c:ptCount val="11"/>
                <c:pt idx="0">
                  <c:v>0</c:v>
                </c:pt>
                <c:pt idx="1">
                  <c:v>0.63</c:v>
                </c:pt>
                <c:pt idx="2">
                  <c:v>1.27</c:v>
                </c:pt>
                <c:pt idx="3">
                  <c:v>2</c:v>
                </c:pt>
                <c:pt idx="4">
                  <c:v>2.5</c:v>
                </c:pt>
                <c:pt idx="5">
                  <c:v>3.75</c:v>
                </c:pt>
                <c:pt idx="6">
                  <c:v>5</c:v>
                </c:pt>
                <c:pt idx="7">
                  <c:v>6.25</c:v>
                </c:pt>
                <c:pt idx="8">
                  <c:v>7.5</c:v>
                </c:pt>
                <c:pt idx="9">
                  <c:v>8.25</c:v>
                </c:pt>
                <c:pt idx="10">
                  <c:v>10</c:v>
                </c:pt>
              </c:numCache>
            </c:numRef>
          </c:xVal>
          <c:yVal>
            <c:numRef>
              <c:f>'CRE PO'!$ID$49:$IN$49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5B-43FA-9D14-530EDE490658}"/>
            </c:ext>
          </c:extLst>
        </c:ser>
        <c:ser>
          <c:idx val="2"/>
          <c:order val="1"/>
          <c:tx>
            <c:v>Courbe corrigée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'CRE PO'!$ID$48:$IN$48</c:f>
              <c:numCache>
                <c:formatCode>General</c:formatCode>
                <c:ptCount val="11"/>
                <c:pt idx="0">
                  <c:v>0</c:v>
                </c:pt>
                <c:pt idx="1">
                  <c:v>0.63</c:v>
                </c:pt>
                <c:pt idx="2">
                  <c:v>1.27</c:v>
                </c:pt>
                <c:pt idx="3">
                  <c:v>2</c:v>
                </c:pt>
                <c:pt idx="4">
                  <c:v>2.5</c:v>
                </c:pt>
                <c:pt idx="5">
                  <c:v>3.75</c:v>
                </c:pt>
                <c:pt idx="6">
                  <c:v>5</c:v>
                </c:pt>
                <c:pt idx="7">
                  <c:v>6.25</c:v>
                </c:pt>
                <c:pt idx="8">
                  <c:v>7.5</c:v>
                </c:pt>
                <c:pt idx="9">
                  <c:v>8.25</c:v>
                </c:pt>
                <c:pt idx="10">
                  <c:v>10</c:v>
                </c:pt>
              </c:numCache>
            </c:numRef>
          </c:xVal>
          <c:yVal>
            <c:numRef>
              <c:f>'CRE PO'!$ID$52:$IN$52</c:f>
              <c:numCache>
                <c:formatCode>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15B-43FA-9D14-530EDE490658}"/>
            </c:ext>
          </c:extLst>
        </c:ser>
        <c:ser>
          <c:idx val="1"/>
          <c:order val="2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'CRE PO'!$IP$48:$IQ$48</c:f>
              <c:numCache>
                <c:formatCode>General</c:formatCode>
                <c:ptCount val="2"/>
                <c:pt idx="0">
                  <c:v>2.5</c:v>
                </c:pt>
                <c:pt idx="1">
                  <c:v>2.5</c:v>
                </c:pt>
              </c:numCache>
            </c:numRef>
          </c:xVal>
          <c:yVal>
            <c:numRef>
              <c:f>'CRE PO'!$IP$49:$IQ$49</c:f>
              <c:numCache>
                <c:formatCode>0.0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15B-43FA-9D14-530EDE490658}"/>
            </c:ext>
          </c:extLst>
        </c:ser>
        <c:ser>
          <c:idx val="3"/>
          <c:order val="3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'CRE PO'!$IP$50:$IQ$50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'CRE PO'!$IP$51:$IQ$51</c:f>
              <c:numCache>
                <c:formatCode>0.0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15B-43FA-9D14-530EDE490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229904"/>
        <c:axId val="160230296"/>
      </c:scatterChart>
      <c:valAx>
        <c:axId val="160229904"/>
        <c:scaling>
          <c:orientation val="minMax"/>
          <c:max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Enfoncement (mm)</a:t>
                </a:r>
              </a:p>
            </c:rich>
          </c:tx>
          <c:layout>
            <c:manualLayout>
              <c:xMode val="edge"/>
              <c:yMode val="edge"/>
              <c:x val="0.81654339336957216"/>
              <c:y val="0.80235294117647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0230296"/>
        <c:crosses val="autoZero"/>
        <c:crossBetween val="midCat"/>
      </c:valAx>
      <c:valAx>
        <c:axId val="1602302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Effort sur anneau dynamométrique</a:t>
                </a:r>
              </a:p>
            </c:rich>
          </c:tx>
          <c:layout>
            <c:manualLayout>
              <c:xMode val="edge"/>
              <c:yMode val="edge"/>
              <c:x val="9.5440084835630972E-3"/>
              <c:y val="0.228235294117647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022990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12831400316741956"/>
          <c:y val="9.4117647058823528E-2"/>
          <c:w val="0.15164380168279598"/>
          <c:h val="0.1011764705882352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925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37</xdr:row>
      <xdr:rowOff>152400</xdr:rowOff>
    </xdr:from>
    <xdr:to>
      <xdr:col>25</xdr:col>
      <xdr:colOff>219075</xdr:colOff>
      <xdr:row>57</xdr:row>
      <xdr:rowOff>9525</xdr:rowOff>
    </xdr:to>
    <xdr:graphicFrame macro="">
      <xdr:nvGraphicFramePr>
        <xdr:cNvPr id="1187" name="Chart 57">
          <a:extLst>
            <a:ext uri="{FF2B5EF4-FFF2-40B4-BE49-F238E27FC236}">
              <a16:creationId xmlns:a16="http://schemas.microsoft.com/office/drawing/2014/main" id="{00000000-0008-0000-0000-0000A3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38100</xdr:colOff>
      <xdr:row>34</xdr:row>
      <xdr:rowOff>114300</xdr:rowOff>
    </xdr:from>
    <xdr:to>
      <xdr:col>11</xdr:col>
      <xdr:colOff>257175</xdr:colOff>
      <xdr:row>34</xdr:row>
      <xdr:rowOff>114300</xdr:rowOff>
    </xdr:to>
    <xdr:sp macro="" textlink="">
      <xdr:nvSpPr>
        <xdr:cNvPr id="1188" name="Line 59">
          <a:extLst>
            <a:ext uri="{FF2B5EF4-FFF2-40B4-BE49-F238E27FC236}">
              <a16:creationId xmlns:a16="http://schemas.microsoft.com/office/drawing/2014/main" id="{00000000-0008-0000-0000-0000A4040000}"/>
            </a:ext>
          </a:extLst>
        </xdr:cNvPr>
        <xdr:cNvSpPr>
          <a:spLocks noChangeShapeType="1"/>
        </xdr:cNvSpPr>
      </xdr:nvSpPr>
      <xdr:spPr bwMode="auto">
        <a:xfrm>
          <a:off x="3914775" y="6543675"/>
          <a:ext cx="219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47625</xdr:colOff>
      <xdr:row>34</xdr:row>
      <xdr:rowOff>104775</xdr:rowOff>
    </xdr:from>
    <xdr:to>
      <xdr:col>18</xdr:col>
      <xdr:colOff>304800</xdr:colOff>
      <xdr:row>34</xdr:row>
      <xdr:rowOff>104775</xdr:rowOff>
    </xdr:to>
    <xdr:sp macro="" textlink="">
      <xdr:nvSpPr>
        <xdr:cNvPr id="1189" name="Line 60">
          <a:extLst>
            <a:ext uri="{FF2B5EF4-FFF2-40B4-BE49-F238E27FC236}">
              <a16:creationId xmlns:a16="http://schemas.microsoft.com/office/drawing/2014/main" id="{00000000-0008-0000-0000-0000A5040000}"/>
            </a:ext>
          </a:extLst>
        </xdr:cNvPr>
        <xdr:cNvSpPr>
          <a:spLocks noChangeShapeType="1"/>
        </xdr:cNvSpPr>
      </xdr:nvSpPr>
      <xdr:spPr bwMode="auto">
        <a:xfrm flipH="1">
          <a:off x="6391275" y="6534150"/>
          <a:ext cx="2571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22</xdr:row>
          <xdr:rowOff>22860</xdr:rowOff>
        </xdr:from>
        <xdr:to>
          <xdr:col>13</xdr:col>
          <xdr:colOff>342900</xdr:colOff>
          <xdr:row>23</xdr:row>
          <xdr:rowOff>0</xdr:rowOff>
        </xdr:to>
        <xdr:sp macro="" textlink="">
          <xdr:nvSpPr>
            <xdr:cNvPr id="1101" name="Check Box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23</xdr:row>
          <xdr:rowOff>22860</xdr:rowOff>
        </xdr:from>
        <xdr:to>
          <xdr:col>13</xdr:col>
          <xdr:colOff>342900</xdr:colOff>
          <xdr:row>24</xdr:row>
          <xdr:rowOff>0</xdr:rowOff>
        </xdr:to>
        <xdr:sp macro="" textlink="">
          <xdr:nvSpPr>
            <xdr:cNvPr id="1102" name="Check Box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38100</xdr:colOff>
          <xdr:row>22</xdr:row>
          <xdr:rowOff>22860</xdr:rowOff>
        </xdr:from>
        <xdr:to>
          <xdr:col>24</xdr:col>
          <xdr:colOff>342900</xdr:colOff>
          <xdr:row>23</xdr:row>
          <xdr:rowOff>0</xdr:rowOff>
        </xdr:to>
        <xdr:sp macro="" textlink="">
          <xdr:nvSpPr>
            <xdr:cNvPr id="1103" name="Check Box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38100</xdr:colOff>
          <xdr:row>23</xdr:row>
          <xdr:rowOff>22860</xdr:rowOff>
        </xdr:from>
        <xdr:to>
          <xdr:col>24</xdr:col>
          <xdr:colOff>342900</xdr:colOff>
          <xdr:row>24</xdr:row>
          <xdr:rowOff>0</xdr:rowOff>
        </xdr:to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297180</xdr:colOff>
          <xdr:row>25</xdr:row>
          <xdr:rowOff>83820</xdr:rowOff>
        </xdr:from>
        <xdr:to>
          <xdr:col>22</xdr:col>
          <xdr:colOff>247650</xdr:colOff>
          <xdr:row>26</xdr:row>
          <xdr:rowOff>95250</xdr:rowOff>
        </xdr:to>
        <xdr:sp macro="" textlink="">
          <xdr:nvSpPr>
            <xdr:cNvPr id="1105" name="Check Box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259080</xdr:colOff>
          <xdr:row>25</xdr:row>
          <xdr:rowOff>83820</xdr:rowOff>
        </xdr:from>
        <xdr:to>
          <xdr:col>25</xdr:col>
          <xdr:colOff>209550</xdr:colOff>
          <xdr:row>26</xdr:row>
          <xdr:rowOff>95250</xdr:rowOff>
        </xdr:to>
        <xdr:sp macro="" textlink="">
          <xdr:nvSpPr>
            <xdr:cNvPr id="1106" name="Check Box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495300</xdr:colOff>
          <xdr:row>69</xdr:row>
          <xdr:rowOff>182880</xdr:rowOff>
        </xdr:from>
        <xdr:to>
          <xdr:col>28</xdr:col>
          <xdr:colOff>514350</xdr:colOff>
          <xdr:row>72</xdr:row>
          <xdr:rowOff>17145</xdr:rowOff>
        </xdr:to>
        <xdr:sp macro="" textlink="">
          <xdr:nvSpPr>
            <xdr:cNvPr id="1109" name="CommandButton1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19050</xdr:colOff>
      <xdr:row>2</xdr:row>
      <xdr:rowOff>9525</xdr:rowOff>
    </xdr:from>
    <xdr:to>
      <xdr:col>4</xdr:col>
      <xdr:colOff>281940</xdr:colOff>
      <xdr:row>4</xdr:row>
      <xdr:rowOff>19050</xdr:rowOff>
    </xdr:to>
    <xdr:pic>
      <xdr:nvPicPr>
        <xdr:cNvPr id="16" name="Image 1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1475" y="333375"/>
          <a:ext cx="1323975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IQ99"/>
  <sheetViews>
    <sheetView tabSelected="1" topLeftCell="A46" workbookViewId="0">
      <selection activeCell="A68" sqref="A68:Q68"/>
    </sheetView>
  </sheetViews>
  <sheetFormatPr baseColWidth="10" defaultColWidth="11.44140625" defaultRowHeight="12.75" customHeight="1" x14ac:dyDescent="0.25"/>
  <cols>
    <col min="1" max="26" width="5.33203125" style="1" customWidth="1"/>
    <col min="27" max="39" width="11.44140625" style="1"/>
    <col min="40" max="40" width="12.44140625" style="1" bestFit="1" customWidth="1"/>
    <col min="41" max="16384" width="11.44140625" style="1"/>
  </cols>
  <sheetData>
    <row r="1" spans="1:26" ht="12.75" customHeight="1" x14ac:dyDescent="0.25">
      <c r="A1" s="110"/>
      <c r="B1" s="111"/>
      <c r="C1" s="111"/>
      <c r="D1" s="111"/>
      <c r="E1" s="111"/>
      <c r="F1" s="112"/>
      <c r="G1" s="119" t="s">
        <v>52</v>
      </c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1"/>
      <c r="U1" s="122"/>
      <c r="V1" s="123"/>
      <c r="W1" s="123"/>
      <c r="X1" s="123"/>
      <c r="Y1" s="123"/>
      <c r="Z1" s="124"/>
    </row>
    <row r="2" spans="1:26" ht="12.75" customHeight="1" x14ac:dyDescent="0.25">
      <c r="A2" s="113"/>
      <c r="B2" s="114"/>
      <c r="C2" s="114"/>
      <c r="D2" s="114"/>
      <c r="E2" s="114"/>
      <c r="F2" s="115"/>
      <c r="G2" s="105" t="s">
        <v>58</v>
      </c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7"/>
      <c r="U2" s="125"/>
      <c r="V2" s="126"/>
      <c r="W2" s="126"/>
      <c r="X2" s="126"/>
      <c r="Y2" s="126"/>
      <c r="Z2" s="127"/>
    </row>
    <row r="3" spans="1:26" ht="12.75" customHeight="1" x14ac:dyDescent="0.25">
      <c r="A3" s="113"/>
      <c r="B3" s="114"/>
      <c r="C3" s="114"/>
      <c r="D3" s="114"/>
      <c r="E3" s="114"/>
      <c r="F3" s="115"/>
      <c r="G3" s="105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7"/>
      <c r="U3" s="125"/>
      <c r="V3" s="126"/>
      <c r="W3" s="126"/>
      <c r="X3" s="126"/>
      <c r="Y3" s="126"/>
      <c r="Z3" s="127"/>
    </row>
    <row r="4" spans="1:26" ht="12.75" customHeight="1" x14ac:dyDescent="0.25">
      <c r="A4" s="113"/>
      <c r="B4" s="114"/>
      <c r="C4" s="114"/>
      <c r="D4" s="114"/>
      <c r="E4" s="114"/>
      <c r="F4" s="115"/>
      <c r="G4" s="105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7"/>
      <c r="U4" s="125"/>
      <c r="V4" s="126"/>
      <c r="W4" s="126"/>
      <c r="X4" s="126"/>
      <c r="Y4" s="126"/>
      <c r="Z4" s="127"/>
    </row>
    <row r="5" spans="1:26" ht="12.75" customHeight="1" x14ac:dyDescent="0.25">
      <c r="A5" s="113"/>
      <c r="B5" s="114"/>
      <c r="C5" s="114"/>
      <c r="D5" s="114"/>
      <c r="E5" s="114"/>
      <c r="F5" s="115"/>
      <c r="G5" s="108" t="s">
        <v>57</v>
      </c>
      <c r="H5" s="109"/>
      <c r="I5" s="2" t="s">
        <v>53</v>
      </c>
      <c r="J5" s="134"/>
      <c r="K5" s="135"/>
      <c r="L5" s="136"/>
      <c r="M5" s="134"/>
      <c r="N5" s="134"/>
      <c r="O5" s="135"/>
      <c r="P5" s="137"/>
      <c r="Q5" s="138"/>
      <c r="R5" s="138"/>
      <c r="S5" s="138"/>
      <c r="T5" s="139"/>
      <c r="U5" s="125"/>
      <c r="V5" s="126"/>
      <c r="W5" s="126"/>
      <c r="X5" s="126"/>
      <c r="Y5" s="126"/>
      <c r="Z5" s="127"/>
    </row>
    <row r="6" spans="1:26" ht="12.75" customHeight="1" x14ac:dyDescent="0.25">
      <c r="A6" s="116"/>
      <c r="B6" s="117"/>
      <c r="C6" s="117"/>
      <c r="D6" s="117"/>
      <c r="E6" s="117"/>
      <c r="F6" s="118"/>
      <c r="G6" s="3"/>
      <c r="H6" s="4"/>
      <c r="I6" s="4"/>
      <c r="J6" s="131" t="s">
        <v>54</v>
      </c>
      <c r="K6" s="131"/>
      <c r="L6" s="131" t="s">
        <v>55</v>
      </c>
      <c r="M6" s="131"/>
      <c r="N6" s="131"/>
      <c r="O6" s="131"/>
      <c r="P6" s="131" t="s">
        <v>56</v>
      </c>
      <c r="Q6" s="131"/>
      <c r="R6" s="131"/>
      <c r="S6" s="131"/>
      <c r="T6" s="132"/>
      <c r="U6" s="128"/>
      <c r="V6" s="129"/>
      <c r="W6" s="129"/>
      <c r="X6" s="129"/>
      <c r="Y6" s="129"/>
      <c r="Z6" s="130"/>
    </row>
    <row r="7" spans="1:26" ht="36.6" customHeight="1" x14ac:dyDescent="0.25">
      <c r="A7" s="133" t="s">
        <v>0</v>
      </c>
      <c r="B7" s="133"/>
      <c r="C7" s="133"/>
      <c r="D7" s="133"/>
      <c r="E7" s="133"/>
      <c r="F7" s="133"/>
      <c r="G7" s="104" t="s">
        <v>51</v>
      </c>
      <c r="H7" s="104"/>
      <c r="I7" s="104"/>
      <c r="J7" s="104"/>
      <c r="K7" s="104"/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</row>
    <row r="8" spans="1:26" s="9" customFormat="1" ht="15.6" customHeight="1" x14ac:dyDescent="0.25">
      <c r="A8" s="5" t="s">
        <v>1</v>
      </c>
      <c r="B8" s="6" t="s">
        <v>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8"/>
    </row>
    <row r="9" spans="1:26" s="9" customFormat="1" ht="8.25" customHeight="1" x14ac:dyDescent="0.25">
      <c r="A9" s="10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2"/>
    </row>
    <row r="10" spans="1:26" s="9" customFormat="1" ht="15.9" customHeight="1" x14ac:dyDescent="0.25">
      <c r="A10" s="10"/>
      <c r="B10" s="140" t="s">
        <v>3</v>
      </c>
      <c r="C10" s="140"/>
      <c r="D10" s="140"/>
      <c r="E10" s="140"/>
      <c r="F10" s="140"/>
      <c r="G10" s="140"/>
      <c r="H10" s="141"/>
      <c r="I10" s="141"/>
      <c r="J10" s="141"/>
      <c r="K10" s="141"/>
      <c r="L10" s="141"/>
      <c r="M10" s="141"/>
      <c r="N10" s="140" t="s">
        <v>4</v>
      </c>
      <c r="O10" s="140"/>
      <c r="P10" s="140"/>
      <c r="Q10" s="140"/>
      <c r="R10" s="140"/>
      <c r="S10" s="141"/>
      <c r="T10" s="141"/>
      <c r="U10" s="141"/>
      <c r="V10" s="141"/>
      <c r="W10" s="141"/>
      <c r="X10" s="141"/>
      <c r="Y10" s="141"/>
      <c r="Z10" s="12"/>
    </row>
    <row r="11" spans="1:26" s="9" customFormat="1" ht="15.9" customHeight="1" x14ac:dyDescent="0.25">
      <c r="A11" s="10"/>
      <c r="B11" s="140" t="s">
        <v>5</v>
      </c>
      <c r="C11" s="140"/>
      <c r="D11" s="140"/>
      <c r="E11" s="140"/>
      <c r="F11" s="140"/>
      <c r="G11" s="140"/>
      <c r="H11" s="142"/>
      <c r="I11" s="142"/>
      <c r="J11" s="142"/>
      <c r="K11" s="142"/>
      <c r="L11" s="142"/>
      <c r="M11" s="142"/>
      <c r="N11" s="140" t="s">
        <v>7</v>
      </c>
      <c r="O11" s="140"/>
      <c r="P11" s="140"/>
      <c r="Q11" s="140"/>
      <c r="R11" s="140"/>
      <c r="S11" s="141"/>
      <c r="T11" s="141"/>
      <c r="U11" s="141"/>
      <c r="V11" s="141"/>
      <c r="W11" s="141"/>
      <c r="X11" s="141"/>
      <c r="Y11" s="141"/>
      <c r="Z11" s="12"/>
    </row>
    <row r="12" spans="1:26" s="9" customFormat="1" ht="15.9" customHeight="1" x14ac:dyDescent="0.25">
      <c r="A12" s="10"/>
      <c r="B12" s="140" t="s">
        <v>6</v>
      </c>
      <c r="C12" s="140"/>
      <c r="D12" s="140"/>
      <c r="E12" s="140"/>
      <c r="F12" s="140"/>
      <c r="G12" s="140"/>
      <c r="H12" s="142"/>
      <c r="I12" s="142"/>
      <c r="J12" s="142"/>
      <c r="K12" s="142"/>
      <c r="L12" s="142"/>
      <c r="M12" s="142"/>
      <c r="N12" s="140" t="s">
        <v>8</v>
      </c>
      <c r="O12" s="140"/>
      <c r="P12" s="140"/>
      <c r="Q12" s="140"/>
      <c r="R12" s="140"/>
      <c r="S12" s="141"/>
      <c r="T12" s="141"/>
      <c r="U12" s="141"/>
      <c r="V12" s="141"/>
      <c r="W12" s="141"/>
      <c r="X12" s="141"/>
      <c r="Y12" s="141"/>
      <c r="Z12" s="12"/>
    </row>
    <row r="13" spans="1:26" s="9" customFormat="1" ht="9" customHeight="1" x14ac:dyDescent="0.25">
      <c r="A13" s="13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6"/>
    </row>
    <row r="14" spans="1:26" s="9" customFormat="1" ht="12.75" customHeight="1" x14ac:dyDescent="0.25">
      <c r="A14" s="1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</row>
    <row r="15" spans="1:26" s="17" customFormat="1" ht="15.6" customHeight="1" x14ac:dyDescent="0.25">
      <c r="A15" s="5" t="s">
        <v>9</v>
      </c>
      <c r="B15" s="6" t="s">
        <v>10</v>
      </c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8"/>
    </row>
    <row r="16" spans="1:26" s="17" customFormat="1" ht="6.75" customHeight="1" x14ac:dyDescent="0.25">
      <c r="A16" s="10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2"/>
    </row>
    <row r="17" spans="1:26" s="9" customFormat="1" ht="15.9" customHeight="1" x14ac:dyDescent="0.25">
      <c r="A17" s="10"/>
      <c r="B17" s="140" t="s">
        <v>11</v>
      </c>
      <c r="C17" s="140"/>
      <c r="D17" s="140"/>
      <c r="E17" s="140"/>
      <c r="F17" s="140"/>
      <c r="G17" s="14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41"/>
      <c r="W17" s="141"/>
      <c r="X17" s="141"/>
      <c r="Y17" s="141"/>
      <c r="Z17" s="18"/>
    </row>
    <row r="18" spans="1:26" s="9" customFormat="1" ht="15.9" customHeight="1" x14ac:dyDescent="0.25">
      <c r="A18" s="10"/>
      <c r="B18" s="140" t="s">
        <v>12</v>
      </c>
      <c r="C18" s="140"/>
      <c r="D18" s="140"/>
      <c r="E18" s="140"/>
      <c r="F18" s="140"/>
      <c r="G18" s="14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41"/>
      <c r="W18" s="141"/>
      <c r="X18" s="141"/>
      <c r="Y18" s="141"/>
      <c r="Z18" s="18"/>
    </row>
    <row r="19" spans="1:26" s="9" customFormat="1" ht="10.5" customHeight="1" x14ac:dyDescent="0.25">
      <c r="A19" s="13"/>
      <c r="B19" s="15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9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6"/>
    </row>
    <row r="20" spans="1:26" s="9" customFormat="1" ht="12.75" customHeight="1" x14ac:dyDescent="0.25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</row>
    <row r="21" spans="1:26" s="24" customFormat="1" ht="15.6" customHeight="1" x14ac:dyDescent="0.25">
      <c r="A21" s="20" t="s">
        <v>19</v>
      </c>
      <c r="B21" s="21" t="s">
        <v>20</v>
      </c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3"/>
    </row>
    <row r="22" spans="1:26" s="24" customFormat="1" ht="8.25" customHeight="1" x14ac:dyDescent="0.25">
      <c r="A22" s="25"/>
      <c r="B22" s="26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8"/>
    </row>
    <row r="23" spans="1:26" s="9" customFormat="1" ht="20.25" customHeight="1" x14ac:dyDescent="0.25">
      <c r="A23" s="10"/>
      <c r="B23" s="29" t="s">
        <v>34</v>
      </c>
      <c r="C23" s="143"/>
      <c r="D23" s="143"/>
      <c r="E23" s="143"/>
      <c r="F23" s="143"/>
      <c r="G23" s="143"/>
      <c r="H23" s="143"/>
      <c r="I23" s="143"/>
      <c r="J23" s="144"/>
      <c r="K23" s="144"/>
      <c r="L23" s="143"/>
      <c r="M23" s="145" t="s">
        <v>33</v>
      </c>
      <c r="N23" s="146"/>
      <c r="O23" s="146"/>
      <c r="P23" s="146"/>
      <c r="Q23" s="146"/>
      <c r="R23" s="146"/>
      <c r="S23" s="146"/>
      <c r="T23" s="146"/>
      <c r="U23" s="146"/>
      <c r="V23" s="146"/>
      <c r="W23" s="146"/>
      <c r="X23" s="145" t="s">
        <v>36</v>
      </c>
      <c r="Y23" s="147"/>
      <c r="Z23" s="12"/>
    </row>
    <row r="24" spans="1:26" s="9" customFormat="1" ht="20.25" customHeight="1" x14ac:dyDescent="0.25">
      <c r="A24" s="10"/>
      <c r="B24" s="30"/>
      <c r="C24" s="148"/>
      <c r="D24" s="148"/>
      <c r="E24" s="148"/>
      <c r="F24" s="148"/>
      <c r="G24" s="148"/>
      <c r="H24" s="148"/>
      <c r="I24" s="148"/>
      <c r="J24" s="149"/>
      <c r="K24" s="149"/>
      <c r="L24" s="148"/>
      <c r="M24" s="150" t="s">
        <v>35</v>
      </c>
      <c r="N24" s="151"/>
      <c r="O24" s="151"/>
      <c r="P24" s="151"/>
      <c r="Q24" s="151"/>
      <c r="R24" s="151"/>
      <c r="S24" s="151"/>
      <c r="T24" s="151"/>
      <c r="U24" s="151"/>
      <c r="V24" s="151"/>
      <c r="W24" s="151"/>
      <c r="X24" s="150" t="s">
        <v>50</v>
      </c>
      <c r="Y24" s="152"/>
      <c r="Z24" s="12"/>
    </row>
    <row r="25" spans="1:26" s="9" customFormat="1" ht="9" customHeight="1" x14ac:dyDescent="0.25">
      <c r="A25" s="10"/>
      <c r="B25" s="31"/>
      <c r="C25" s="32"/>
      <c r="D25" s="32"/>
      <c r="E25" s="32"/>
      <c r="F25" s="32"/>
      <c r="G25" s="32"/>
      <c r="H25" s="32"/>
      <c r="I25" s="32"/>
      <c r="J25" s="11"/>
      <c r="K25" s="11"/>
      <c r="L25" s="32"/>
      <c r="M25" s="33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3"/>
      <c r="Y25" s="11"/>
      <c r="Z25" s="12"/>
    </row>
    <row r="26" spans="1:26" s="24" customFormat="1" ht="16.5" customHeight="1" x14ac:dyDescent="0.25">
      <c r="A26" s="35"/>
      <c r="B26" s="153" t="s">
        <v>38</v>
      </c>
      <c r="C26" s="153"/>
      <c r="D26" s="153"/>
      <c r="E26" s="153"/>
      <c r="F26" s="153"/>
      <c r="G26" s="153"/>
      <c r="H26" s="154"/>
      <c r="I26" s="154"/>
      <c r="J26" s="153" t="s">
        <v>39</v>
      </c>
      <c r="K26" s="153"/>
      <c r="L26" s="153"/>
      <c r="M26" s="153"/>
      <c r="N26" s="153"/>
      <c r="O26" s="153"/>
      <c r="P26" s="153"/>
      <c r="Q26" s="153"/>
      <c r="R26" s="153"/>
      <c r="S26" s="155"/>
      <c r="T26" s="155"/>
      <c r="U26" s="156" t="s">
        <v>40</v>
      </c>
      <c r="V26" s="156"/>
      <c r="W26" s="157"/>
      <c r="X26" s="158" t="s">
        <v>41</v>
      </c>
      <c r="Y26" s="158"/>
      <c r="Z26" s="28"/>
    </row>
    <row r="27" spans="1:26" s="24" customFormat="1" ht="16.5" customHeight="1" x14ac:dyDescent="0.25">
      <c r="A27" s="35"/>
      <c r="B27" s="153" t="s">
        <v>42</v>
      </c>
      <c r="C27" s="153"/>
      <c r="D27" s="153"/>
      <c r="E27" s="153"/>
      <c r="F27" s="153"/>
      <c r="G27" s="153"/>
      <c r="H27" s="155"/>
      <c r="I27" s="155"/>
      <c r="J27" s="153" t="s">
        <v>43</v>
      </c>
      <c r="K27" s="153"/>
      <c r="L27" s="153"/>
      <c r="M27" s="153"/>
      <c r="N27" s="153"/>
      <c r="O27" s="153"/>
      <c r="P27" s="153"/>
      <c r="Q27" s="153"/>
      <c r="R27" s="153"/>
      <c r="S27" s="155"/>
      <c r="T27" s="155"/>
      <c r="U27" s="156"/>
      <c r="V27" s="156"/>
      <c r="W27" s="157"/>
      <c r="X27" s="158"/>
      <c r="Y27" s="158"/>
      <c r="Z27" s="28"/>
    </row>
    <row r="28" spans="1:26" s="24" customFormat="1" ht="16.5" customHeight="1" x14ac:dyDescent="0.25">
      <c r="A28" s="35"/>
      <c r="B28" s="153" t="s">
        <v>44</v>
      </c>
      <c r="C28" s="153"/>
      <c r="D28" s="153"/>
      <c r="E28" s="153"/>
      <c r="F28" s="153"/>
      <c r="G28" s="153"/>
      <c r="H28" s="155"/>
      <c r="I28" s="155"/>
      <c r="J28" s="153" t="s">
        <v>46</v>
      </c>
      <c r="K28" s="153"/>
      <c r="L28" s="153"/>
      <c r="M28" s="153"/>
      <c r="N28" s="153"/>
      <c r="O28" s="153"/>
      <c r="P28" s="153"/>
      <c r="Q28" s="153"/>
      <c r="R28" s="153"/>
      <c r="S28" s="155"/>
      <c r="T28" s="155"/>
      <c r="U28" s="159"/>
      <c r="V28" s="159"/>
      <c r="W28" s="159"/>
      <c r="X28" s="159"/>
      <c r="Y28" s="159"/>
      <c r="Z28" s="28"/>
    </row>
    <row r="29" spans="1:26" s="24" customFormat="1" ht="16.5" customHeight="1" x14ac:dyDescent="0.25">
      <c r="A29" s="35"/>
      <c r="B29" s="160" t="s">
        <v>48</v>
      </c>
      <c r="C29" s="157"/>
      <c r="D29" s="157"/>
      <c r="E29" s="159"/>
      <c r="F29" s="159"/>
      <c r="G29" s="159"/>
      <c r="H29" s="159"/>
      <c r="I29" s="159"/>
      <c r="J29" s="159"/>
      <c r="K29" s="159"/>
      <c r="L29" s="161">
        <v>590</v>
      </c>
      <c r="M29" s="161"/>
      <c r="N29" s="159"/>
      <c r="O29" s="159"/>
      <c r="P29" s="159"/>
      <c r="Q29" s="159"/>
      <c r="R29" s="159"/>
      <c r="S29" s="159"/>
      <c r="T29" s="159"/>
      <c r="U29" s="159"/>
      <c r="V29" s="159"/>
      <c r="W29" s="159"/>
      <c r="X29" s="159"/>
      <c r="Y29" s="159"/>
      <c r="Z29" s="37"/>
    </row>
    <row r="30" spans="1:26" s="24" customFormat="1" ht="16.5" customHeight="1" thickBot="1" x14ac:dyDescent="0.3">
      <c r="A30" s="162"/>
      <c r="B30" s="157"/>
      <c r="C30" s="157"/>
      <c r="D30" s="157"/>
      <c r="E30" s="163" t="s">
        <v>27</v>
      </c>
      <c r="F30" s="163"/>
      <c r="G30" s="163"/>
      <c r="H30" s="163"/>
      <c r="I30" s="163"/>
      <c r="J30" s="163"/>
      <c r="K30" s="163"/>
      <c r="L30" s="163"/>
      <c r="M30" s="163"/>
      <c r="N30" s="163"/>
      <c r="O30" s="163"/>
      <c r="P30" s="163"/>
      <c r="Q30" s="163"/>
      <c r="R30" s="163"/>
      <c r="S30" s="163"/>
      <c r="T30" s="163"/>
      <c r="U30" s="163"/>
      <c r="V30" s="163"/>
      <c r="W30" s="163"/>
      <c r="X30" s="163"/>
      <c r="Y30" s="163"/>
      <c r="Z30" s="163"/>
    </row>
    <row r="31" spans="1:26" s="24" customFormat="1" ht="16.5" customHeight="1" x14ac:dyDescent="0.25">
      <c r="A31" s="101" t="s">
        <v>45</v>
      </c>
      <c r="B31" s="101"/>
      <c r="C31" s="101"/>
      <c r="D31" s="101"/>
      <c r="E31" s="164">
        <v>0</v>
      </c>
      <c r="F31" s="164"/>
      <c r="G31" s="164">
        <v>0.63</v>
      </c>
      <c r="H31" s="164"/>
      <c r="I31" s="164">
        <v>1.27</v>
      </c>
      <c r="J31" s="164"/>
      <c r="K31" s="164">
        <v>2</v>
      </c>
      <c r="L31" s="165"/>
      <c r="M31" s="166">
        <v>2.5</v>
      </c>
      <c r="N31" s="167"/>
      <c r="O31" s="168">
        <v>3.75</v>
      </c>
      <c r="P31" s="165"/>
      <c r="Q31" s="169">
        <v>5</v>
      </c>
      <c r="R31" s="170"/>
      <c r="S31" s="168">
        <v>6.25</v>
      </c>
      <c r="T31" s="165"/>
      <c r="U31" s="164">
        <v>7.5</v>
      </c>
      <c r="V31" s="164"/>
      <c r="W31" s="168">
        <v>8.25</v>
      </c>
      <c r="X31" s="164"/>
      <c r="Y31" s="164">
        <v>10</v>
      </c>
      <c r="Z31" s="164"/>
    </row>
    <row r="32" spans="1:26" s="24" customFormat="1" ht="16.5" customHeight="1" x14ac:dyDescent="0.25">
      <c r="A32" s="101" t="s">
        <v>21</v>
      </c>
      <c r="B32" s="101"/>
      <c r="C32" s="101"/>
      <c r="D32" s="101"/>
      <c r="E32" s="164">
        <v>0</v>
      </c>
      <c r="F32" s="164"/>
      <c r="G32" s="164">
        <v>0.5</v>
      </c>
      <c r="H32" s="164"/>
      <c r="I32" s="164">
        <v>1</v>
      </c>
      <c r="J32" s="164"/>
      <c r="K32" s="164">
        <v>1.5</v>
      </c>
      <c r="L32" s="165"/>
      <c r="M32" s="171">
        <v>2</v>
      </c>
      <c r="N32" s="172"/>
      <c r="O32" s="168">
        <v>3</v>
      </c>
      <c r="P32" s="165"/>
      <c r="Q32" s="173">
        <v>4</v>
      </c>
      <c r="R32" s="174"/>
      <c r="S32" s="168">
        <v>5</v>
      </c>
      <c r="T32" s="165"/>
      <c r="U32" s="164">
        <v>6</v>
      </c>
      <c r="V32" s="164"/>
      <c r="W32" s="168">
        <v>7</v>
      </c>
      <c r="X32" s="164"/>
      <c r="Y32" s="164">
        <v>8</v>
      </c>
      <c r="Z32" s="164"/>
    </row>
    <row r="33" spans="1:251" s="24" customFormat="1" ht="16.5" customHeight="1" x14ac:dyDescent="0.25">
      <c r="A33" s="101" t="s">
        <v>22</v>
      </c>
      <c r="B33" s="101"/>
      <c r="C33" s="101"/>
      <c r="D33" s="101"/>
      <c r="E33" s="175"/>
      <c r="F33" s="175"/>
      <c r="G33" s="175"/>
      <c r="H33" s="175"/>
      <c r="I33" s="175"/>
      <c r="J33" s="175"/>
      <c r="K33" s="175"/>
      <c r="L33" s="176"/>
      <c r="M33" s="177"/>
      <c r="N33" s="178"/>
      <c r="O33" s="179"/>
      <c r="P33" s="176"/>
      <c r="Q33" s="180"/>
      <c r="R33" s="181"/>
      <c r="S33" s="179"/>
      <c r="T33" s="176"/>
      <c r="U33" s="175"/>
      <c r="V33" s="175"/>
      <c r="W33" s="179"/>
      <c r="X33" s="175"/>
      <c r="Y33" s="175"/>
      <c r="Z33" s="175"/>
    </row>
    <row r="34" spans="1:251" s="24" customFormat="1" ht="16.5" customHeight="1" x14ac:dyDescent="0.25">
      <c r="A34" s="101" t="s">
        <v>47</v>
      </c>
      <c r="B34" s="101"/>
      <c r="C34" s="101"/>
      <c r="D34" s="101"/>
      <c r="E34" s="175"/>
      <c r="F34" s="175"/>
      <c r="G34" s="175"/>
      <c r="H34" s="175"/>
      <c r="I34" s="175"/>
      <c r="J34" s="175"/>
      <c r="K34" s="175"/>
      <c r="L34" s="176"/>
      <c r="M34" s="177"/>
      <c r="N34" s="178"/>
      <c r="O34" s="179"/>
      <c r="P34" s="176"/>
      <c r="Q34" s="180"/>
      <c r="R34" s="181"/>
      <c r="S34" s="179"/>
      <c r="T34" s="176"/>
      <c r="U34" s="175"/>
      <c r="V34" s="175"/>
      <c r="W34" s="179"/>
      <c r="X34" s="175"/>
      <c r="Y34" s="175"/>
      <c r="Z34" s="175"/>
    </row>
    <row r="35" spans="1:251" s="24" customFormat="1" ht="16.5" customHeight="1" thickBot="1" x14ac:dyDescent="0.3">
      <c r="A35" s="182"/>
      <c r="B35" s="182"/>
      <c r="C35" s="182"/>
      <c r="D35" s="183"/>
      <c r="E35" s="159"/>
      <c r="F35" s="184"/>
      <c r="G35" s="184"/>
      <c r="H35" s="184"/>
      <c r="I35" s="184"/>
      <c r="J35" s="184"/>
      <c r="K35" s="185" t="s">
        <v>28</v>
      </c>
      <c r="L35" s="184"/>
      <c r="M35" s="186">
        <f>M34/13.35</f>
        <v>0</v>
      </c>
      <c r="N35" s="187"/>
      <c r="O35" s="159"/>
      <c r="P35" s="159"/>
      <c r="Q35" s="186">
        <f>Q34/20.1</f>
        <v>0</v>
      </c>
      <c r="R35" s="187"/>
      <c r="S35" s="159"/>
      <c r="T35" s="188" t="s">
        <v>29</v>
      </c>
      <c r="U35" s="159"/>
      <c r="V35" s="159"/>
      <c r="W35" s="189"/>
      <c r="X35" s="189"/>
      <c r="Y35" s="189"/>
      <c r="Z35" s="190"/>
    </row>
    <row r="36" spans="1:251" s="24" customFormat="1" ht="16.5" customHeight="1" x14ac:dyDescent="0.25">
      <c r="A36" s="162"/>
      <c r="B36" s="157"/>
      <c r="C36" s="157"/>
      <c r="D36" s="157"/>
      <c r="E36" s="157"/>
      <c r="F36" s="157"/>
      <c r="G36" s="157"/>
      <c r="H36" s="157"/>
      <c r="I36" s="157"/>
      <c r="J36" s="191"/>
      <c r="K36" s="191"/>
      <c r="L36" s="191"/>
      <c r="M36" s="157"/>
      <c r="N36" s="157"/>
      <c r="O36" s="159"/>
      <c r="P36" s="185"/>
      <c r="Q36" s="185"/>
      <c r="R36" s="185"/>
      <c r="S36" s="185"/>
      <c r="T36" s="185"/>
      <c r="U36" s="191"/>
      <c r="V36" s="191"/>
      <c r="W36" s="191"/>
      <c r="X36" s="157"/>
      <c r="Y36" s="157"/>
      <c r="Z36" s="192"/>
    </row>
    <row r="37" spans="1:251" s="24" customFormat="1" ht="16.5" customHeight="1" x14ac:dyDescent="0.25">
      <c r="A37" s="162"/>
      <c r="B37" s="193" t="s">
        <v>26</v>
      </c>
      <c r="C37" s="194"/>
      <c r="D37" s="194"/>
      <c r="E37" s="194"/>
      <c r="F37" s="194"/>
      <c r="G37" s="194"/>
      <c r="H37" s="194"/>
      <c r="I37" s="194"/>
      <c r="J37" s="194"/>
      <c r="K37" s="194"/>
      <c r="L37" s="194"/>
      <c r="M37" s="194"/>
      <c r="N37" s="194"/>
      <c r="O37" s="194"/>
      <c r="P37" s="195"/>
      <c r="Q37" s="196" t="s">
        <v>49</v>
      </c>
      <c r="R37" s="196"/>
      <c r="S37" s="157"/>
      <c r="T37" s="157"/>
      <c r="U37" s="191"/>
      <c r="V37" s="191"/>
      <c r="W37" s="191"/>
      <c r="X37" s="157"/>
      <c r="Y37" s="157"/>
      <c r="Z37" s="192"/>
    </row>
    <row r="38" spans="1:251" s="24" customFormat="1" ht="16.5" customHeight="1" x14ac:dyDescent="0.25">
      <c r="A38" s="35"/>
      <c r="B38" s="36"/>
      <c r="C38" s="36"/>
      <c r="D38" s="36"/>
      <c r="E38" s="36"/>
      <c r="F38" s="36"/>
      <c r="G38" s="38"/>
      <c r="H38" s="38"/>
      <c r="I38" s="38"/>
      <c r="J38" s="39"/>
      <c r="K38" s="39"/>
      <c r="L38" s="39"/>
      <c r="M38" s="36"/>
      <c r="N38" s="36"/>
      <c r="O38" s="36"/>
      <c r="P38" s="36"/>
      <c r="Q38" s="36"/>
      <c r="R38" s="38"/>
      <c r="S38" s="38"/>
      <c r="T38" s="38"/>
      <c r="U38" s="39"/>
      <c r="V38" s="39"/>
      <c r="W38" s="39"/>
      <c r="X38" s="36"/>
      <c r="Y38" s="36"/>
      <c r="Z38" s="28"/>
    </row>
    <row r="39" spans="1:251" s="24" customFormat="1" ht="16.5" customHeight="1" x14ac:dyDescent="0.25">
      <c r="A39" s="35"/>
      <c r="B39" s="36"/>
      <c r="C39" s="36"/>
      <c r="D39" s="36"/>
      <c r="E39" s="36"/>
      <c r="F39" s="36"/>
      <c r="G39" s="38"/>
      <c r="H39" s="38"/>
      <c r="I39" s="38"/>
      <c r="J39" s="39"/>
      <c r="K39" s="39"/>
      <c r="L39" s="39"/>
      <c r="M39" s="36"/>
      <c r="N39" s="36"/>
      <c r="O39" s="36"/>
      <c r="P39" s="36"/>
      <c r="Q39" s="36"/>
      <c r="R39" s="38"/>
      <c r="S39" s="38"/>
      <c r="T39" s="38"/>
      <c r="U39" s="39"/>
      <c r="V39" s="39"/>
      <c r="W39" s="39"/>
      <c r="X39" s="36"/>
      <c r="Y39" s="36"/>
      <c r="Z39" s="28"/>
    </row>
    <row r="40" spans="1:251" s="24" customFormat="1" ht="16.5" customHeight="1" x14ac:dyDescent="0.25">
      <c r="A40" s="35"/>
      <c r="B40" s="36"/>
      <c r="C40" s="36"/>
      <c r="D40" s="36"/>
      <c r="E40" s="36"/>
      <c r="F40" s="36"/>
      <c r="G40" s="38"/>
      <c r="H40" s="38"/>
      <c r="I40" s="38"/>
      <c r="J40" s="39"/>
      <c r="K40" s="39"/>
      <c r="L40" s="39"/>
      <c r="M40" s="36"/>
      <c r="N40" s="36"/>
      <c r="O40" s="36"/>
      <c r="P40" s="36"/>
      <c r="Q40" s="36"/>
      <c r="R40" s="38"/>
      <c r="S40" s="38"/>
      <c r="T40" s="38"/>
      <c r="U40" s="39"/>
      <c r="V40" s="39"/>
      <c r="W40" s="39"/>
      <c r="X40" s="36"/>
      <c r="Y40" s="36"/>
      <c r="Z40" s="28"/>
    </row>
    <row r="41" spans="1:251" s="24" customFormat="1" ht="16.5" customHeight="1" x14ac:dyDescent="0.25">
      <c r="A41" s="35"/>
      <c r="B41" s="36"/>
      <c r="C41" s="36"/>
      <c r="D41" s="36"/>
      <c r="E41" s="36"/>
      <c r="F41" s="36"/>
      <c r="G41" s="38"/>
      <c r="H41" s="38"/>
      <c r="I41" s="38"/>
      <c r="J41" s="39"/>
      <c r="K41" s="39"/>
      <c r="L41" s="39"/>
      <c r="M41" s="36"/>
      <c r="N41" s="36"/>
      <c r="O41" s="36"/>
      <c r="P41" s="36"/>
      <c r="Q41" s="36"/>
      <c r="R41" s="38"/>
      <c r="S41" s="38"/>
      <c r="T41" s="38"/>
      <c r="U41" s="39"/>
      <c r="V41" s="39"/>
      <c r="W41" s="39"/>
      <c r="X41" s="36"/>
      <c r="Y41" s="36"/>
      <c r="Z41" s="28"/>
    </row>
    <row r="42" spans="1:251" s="24" customFormat="1" ht="16.5" customHeight="1" x14ac:dyDescent="0.25">
      <c r="A42" s="35"/>
      <c r="B42" s="36"/>
      <c r="C42" s="36"/>
      <c r="D42" s="36"/>
      <c r="E42" s="36"/>
      <c r="F42" s="36"/>
      <c r="G42" s="38"/>
      <c r="H42" s="38"/>
      <c r="I42" s="38"/>
      <c r="J42" s="39"/>
      <c r="K42" s="39"/>
      <c r="L42" s="39"/>
      <c r="M42" s="36"/>
      <c r="N42" s="36"/>
      <c r="O42" s="36"/>
      <c r="P42" s="36"/>
      <c r="Q42" s="36"/>
      <c r="R42" s="38"/>
      <c r="S42" s="38"/>
      <c r="T42" s="38"/>
      <c r="U42" s="39"/>
      <c r="V42" s="39"/>
      <c r="W42" s="39"/>
      <c r="X42" s="36"/>
      <c r="Y42" s="36"/>
      <c r="Z42" s="28"/>
    </row>
    <row r="43" spans="1:251" s="24" customFormat="1" ht="16.5" customHeight="1" x14ac:dyDescent="0.25">
      <c r="A43" s="35"/>
      <c r="B43" s="36"/>
      <c r="C43" s="36"/>
      <c r="D43" s="36"/>
      <c r="E43" s="36"/>
      <c r="F43" s="36"/>
      <c r="G43" s="38"/>
      <c r="H43" s="38"/>
      <c r="I43" s="38"/>
      <c r="J43" s="39"/>
      <c r="K43" s="39"/>
      <c r="L43" s="39"/>
      <c r="M43" s="36"/>
      <c r="N43" s="36"/>
      <c r="O43" s="36"/>
      <c r="P43" s="36"/>
      <c r="Q43" s="36"/>
      <c r="R43" s="38"/>
      <c r="S43" s="38"/>
      <c r="T43" s="38"/>
      <c r="U43" s="39"/>
      <c r="V43" s="39"/>
      <c r="W43" s="39"/>
      <c r="X43" s="36"/>
      <c r="Y43" s="36"/>
      <c r="Z43" s="28"/>
    </row>
    <row r="44" spans="1:251" s="24" customFormat="1" ht="16.5" customHeight="1" x14ac:dyDescent="0.25">
      <c r="A44" s="35"/>
      <c r="B44" s="36"/>
      <c r="C44" s="36"/>
      <c r="D44" s="36"/>
      <c r="E44" s="36"/>
      <c r="F44" s="36"/>
      <c r="G44" s="38"/>
      <c r="H44" s="38"/>
      <c r="I44" s="38"/>
      <c r="J44" s="39"/>
      <c r="K44" s="39"/>
      <c r="L44" s="39"/>
      <c r="M44" s="36"/>
      <c r="N44" s="36"/>
      <c r="O44" s="36"/>
      <c r="P44" s="36"/>
      <c r="Q44" s="36"/>
      <c r="R44" s="38"/>
      <c r="S44" s="38"/>
      <c r="T44" s="38"/>
      <c r="U44" s="39"/>
      <c r="V44" s="39"/>
      <c r="W44" s="39"/>
      <c r="X44" s="36"/>
      <c r="Y44" s="36"/>
      <c r="Z44" s="28"/>
    </row>
    <row r="45" spans="1:251" s="24" customFormat="1" ht="16.5" customHeight="1" x14ac:dyDescent="0.25">
      <c r="A45" s="35"/>
      <c r="B45" s="36"/>
      <c r="C45" s="36"/>
      <c r="D45" s="36"/>
      <c r="E45" s="36"/>
      <c r="F45" s="36"/>
      <c r="G45" s="38"/>
      <c r="H45" s="38"/>
      <c r="I45" s="38"/>
      <c r="J45" s="39"/>
      <c r="K45" s="39"/>
      <c r="L45" s="39"/>
      <c r="M45" s="36"/>
      <c r="N45" s="36"/>
      <c r="O45" s="36"/>
      <c r="P45" s="36"/>
      <c r="Q45" s="36"/>
      <c r="R45" s="38"/>
      <c r="S45" s="38"/>
      <c r="T45" s="38"/>
      <c r="U45" s="39"/>
      <c r="V45" s="39"/>
      <c r="W45" s="39"/>
      <c r="X45" s="36"/>
      <c r="Y45" s="36"/>
      <c r="Z45" s="28"/>
    </row>
    <row r="46" spans="1:251" s="24" customFormat="1" ht="16.5" customHeight="1" x14ac:dyDescent="0.25">
      <c r="A46" s="35"/>
      <c r="B46" s="36"/>
      <c r="C46" s="36"/>
      <c r="D46" s="36"/>
      <c r="E46" s="36"/>
      <c r="F46" s="36"/>
      <c r="G46" s="38"/>
      <c r="H46" s="38"/>
      <c r="I46" s="38"/>
      <c r="J46" s="39"/>
      <c r="K46" s="39"/>
      <c r="L46" s="39"/>
      <c r="M46" s="36"/>
      <c r="N46" s="36"/>
      <c r="O46" s="36"/>
      <c r="P46" s="36"/>
      <c r="Q46" s="36"/>
      <c r="R46" s="38"/>
      <c r="S46" s="38"/>
      <c r="T46" s="38"/>
      <c r="U46" s="39"/>
      <c r="V46" s="39"/>
      <c r="W46" s="39"/>
      <c r="X46" s="36"/>
      <c r="Y46" s="36"/>
      <c r="Z46" s="28"/>
    </row>
    <row r="47" spans="1:251" s="24" customFormat="1" ht="16.5" customHeight="1" x14ac:dyDescent="0.25">
      <c r="A47" s="35"/>
      <c r="B47" s="36"/>
      <c r="C47" s="36"/>
      <c r="D47" s="36"/>
      <c r="E47" s="36"/>
      <c r="F47" s="36"/>
      <c r="G47" s="38"/>
      <c r="H47" s="38"/>
      <c r="I47" s="38"/>
      <c r="J47" s="39"/>
      <c r="K47" s="39"/>
      <c r="L47" s="39"/>
      <c r="M47" s="36"/>
      <c r="N47" s="36"/>
      <c r="O47" s="36"/>
      <c r="P47" s="36"/>
      <c r="Q47" s="36"/>
      <c r="R47" s="38"/>
      <c r="S47" s="38"/>
      <c r="T47" s="38"/>
      <c r="U47" s="39"/>
      <c r="V47" s="39"/>
      <c r="W47" s="39"/>
      <c r="X47" s="36"/>
      <c r="Y47" s="36"/>
      <c r="Z47" s="28"/>
    </row>
    <row r="48" spans="1:251" s="24" customFormat="1" ht="16.5" customHeight="1" thickBot="1" x14ac:dyDescent="0.3">
      <c r="A48" s="35"/>
      <c r="B48" s="36"/>
      <c r="C48" s="36"/>
      <c r="D48" s="36"/>
      <c r="E48" s="36"/>
      <c r="F48" s="36"/>
      <c r="G48" s="38"/>
      <c r="H48" s="38"/>
      <c r="I48" s="38"/>
      <c r="J48" s="39"/>
      <c r="K48" s="39"/>
      <c r="L48" s="39"/>
      <c r="M48" s="36"/>
      <c r="N48" s="36"/>
      <c r="O48" s="36"/>
      <c r="P48" s="36"/>
      <c r="Q48" s="36"/>
      <c r="R48" s="38"/>
      <c r="S48" s="38"/>
      <c r="T48" s="38"/>
      <c r="U48" s="39"/>
      <c r="V48" s="39"/>
      <c r="W48" s="39"/>
      <c r="X48" s="36"/>
      <c r="Y48" s="36"/>
      <c r="Z48" s="28"/>
      <c r="IC48" s="40" t="s">
        <v>25</v>
      </c>
      <c r="ID48" s="41">
        <f>E31</f>
        <v>0</v>
      </c>
      <c r="IE48" s="42">
        <f>G31</f>
        <v>0.63</v>
      </c>
      <c r="IF48" s="42">
        <f>I31</f>
        <v>1.27</v>
      </c>
      <c r="IG48" s="42">
        <f>K31</f>
        <v>2</v>
      </c>
      <c r="IH48" s="43">
        <f>M31</f>
        <v>2.5</v>
      </c>
      <c r="II48" s="42">
        <f>O31</f>
        <v>3.75</v>
      </c>
      <c r="IJ48" s="42">
        <f>Q31</f>
        <v>5</v>
      </c>
      <c r="IK48" s="42">
        <f>S31</f>
        <v>6.25</v>
      </c>
      <c r="IL48" s="42">
        <f>U31</f>
        <v>7.5</v>
      </c>
      <c r="IM48" s="42">
        <f>W31</f>
        <v>8.25</v>
      </c>
      <c r="IN48" s="42">
        <f>Y31</f>
        <v>10</v>
      </c>
      <c r="IP48" s="24">
        <v>2.5</v>
      </c>
      <c r="IQ48" s="24">
        <v>2.5</v>
      </c>
    </row>
    <row r="49" spans="1:251" s="24" customFormat="1" ht="16.5" customHeight="1" x14ac:dyDescent="0.25">
      <c r="A49" s="35"/>
      <c r="B49" s="36"/>
      <c r="C49" s="36"/>
      <c r="D49" s="36"/>
      <c r="E49" s="36"/>
      <c r="F49" s="36"/>
      <c r="G49" s="38"/>
      <c r="H49" s="38"/>
      <c r="I49" s="38"/>
      <c r="J49" s="39"/>
      <c r="K49" s="39"/>
      <c r="L49" s="39"/>
      <c r="M49" s="36"/>
      <c r="N49" s="36"/>
      <c r="O49" s="36"/>
      <c r="P49" s="36"/>
      <c r="Q49" s="36"/>
      <c r="R49" s="38"/>
      <c r="S49" s="38"/>
      <c r="T49" s="38"/>
      <c r="U49" s="39"/>
      <c r="V49" s="39"/>
      <c r="W49" s="39"/>
      <c r="X49" s="36"/>
      <c r="Y49" s="36"/>
      <c r="Z49" s="28"/>
      <c r="IC49" s="44" t="s">
        <v>22</v>
      </c>
      <c r="ID49" s="45">
        <f>E34</f>
        <v>0</v>
      </c>
      <c r="IE49" s="45">
        <f>G34</f>
        <v>0</v>
      </c>
      <c r="IF49" s="45">
        <f>I34</f>
        <v>0</v>
      </c>
      <c r="IG49" s="45">
        <f>K34</f>
        <v>0</v>
      </c>
      <c r="IH49" s="46">
        <f>M34</f>
        <v>0</v>
      </c>
      <c r="II49" s="45">
        <f>O34</f>
        <v>0</v>
      </c>
      <c r="IJ49" s="45">
        <f>Q34</f>
        <v>0</v>
      </c>
      <c r="IK49" s="45">
        <f>S34</f>
        <v>0</v>
      </c>
      <c r="IL49" s="45">
        <f>U34</f>
        <v>0</v>
      </c>
      <c r="IM49" s="45">
        <f>W34</f>
        <v>0</v>
      </c>
      <c r="IN49" s="47">
        <f>Y34</f>
        <v>0</v>
      </c>
      <c r="IO49" s="48"/>
      <c r="IP49" s="24">
        <v>0</v>
      </c>
      <c r="IQ49" s="48">
        <f>MAX(IG49:IN49,IG52:IN52)</f>
        <v>0</v>
      </c>
    </row>
    <row r="50" spans="1:251" s="24" customFormat="1" ht="16.5" customHeight="1" thickBot="1" x14ac:dyDescent="0.3">
      <c r="A50" s="35"/>
      <c r="B50" s="36"/>
      <c r="C50" s="36"/>
      <c r="D50" s="36"/>
      <c r="E50" s="36"/>
      <c r="F50" s="36"/>
      <c r="G50" s="38"/>
      <c r="H50" s="38"/>
      <c r="I50" s="38"/>
      <c r="J50" s="39"/>
      <c r="K50" s="39"/>
      <c r="L50" s="39"/>
      <c r="M50" s="36"/>
      <c r="N50" s="36"/>
      <c r="O50" s="36"/>
      <c r="P50" s="36"/>
      <c r="Q50" s="36"/>
      <c r="R50" s="38"/>
      <c r="S50" s="38"/>
      <c r="T50" s="38"/>
      <c r="U50" s="39"/>
      <c r="V50" s="39"/>
      <c r="W50" s="39"/>
      <c r="X50" s="36"/>
      <c r="Y50" s="36"/>
      <c r="Z50" s="28"/>
      <c r="IC50" s="49"/>
      <c r="ID50" s="50" t="s">
        <v>23</v>
      </c>
      <c r="IE50" s="51"/>
      <c r="IF50" s="51"/>
      <c r="IG50" s="51"/>
      <c r="IH50" s="52">
        <f>M35</f>
        <v>0</v>
      </c>
      <c r="IJ50" s="52">
        <f>Q35</f>
        <v>0</v>
      </c>
      <c r="IK50" s="51"/>
      <c r="IM50" s="53"/>
      <c r="IN50" s="54"/>
      <c r="IP50" s="24">
        <v>5</v>
      </c>
      <c r="IQ50" s="24">
        <v>5</v>
      </c>
    </row>
    <row r="51" spans="1:251" s="24" customFormat="1" ht="16.5" customHeight="1" x14ac:dyDescent="0.25">
      <c r="A51" s="35"/>
      <c r="B51" s="36"/>
      <c r="C51" s="36"/>
      <c r="D51" s="36"/>
      <c r="E51" s="36"/>
      <c r="F51" s="36"/>
      <c r="G51" s="38"/>
      <c r="H51" s="38"/>
      <c r="I51" s="38"/>
      <c r="J51" s="39"/>
      <c r="K51" s="39"/>
      <c r="L51" s="39"/>
      <c r="M51" s="36"/>
      <c r="N51" s="36"/>
      <c r="O51" s="36"/>
      <c r="P51" s="36"/>
      <c r="Q51" s="36"/>
      <c r="R51" s="38"/>
      <c r="S51" s="38"/>
      <c r="T51" s="38"/>
      <c r="U51" s="39"/>
      <c r="V51" s="39"/>
      <c r="W51" s="39"/>
      <c r="X51" s="36"/>
      <c r="Y51" s="36"/>
      <c r="Z51" s="28"/>
      <c r="IC51" s="102" t="s">
        <v>37</v>
      </c>
      <c r="ID51" s="103"/>
      <c r="IE51" s="103"/>
      <c r="IF51" s="55"/>
      <c r="IG51" s="55">
        <f t="shared" ref="IG51:IN51" si="0">IG49</f>
        <v>0</v>
      </c>
      <c r="IH51" s="56">
        <f t="shared" si="0"/>
        <v>0</v>
      </c>
      <c r="II51" s="55">
        <f t="shared" si="0"/>
        <v>0</v>
      </c>
      <c r="IJ51" s="55">
        <f t="shared" si="0"/>
        <v>0</v>
      </c>
      <c r="IK51" s="55">
        <f t="shared" si="0"/>
        <v>0</v>
      </c>
      <c r="IL51" s="55">
        <f t="shared" si="0"/>
        <v>0</v>
      </c>
      <c r="IM51" s="55">
        <f t="shared" si="0"/>
        <v>0</v>
      </c>
      <c r="IN51" s="55">
        <f t="shared" si="0"/>
        <v>0</v>
      </c>
      <c r="IP51" s="24">
        <v>0</v>
      </c>
      <c r="IQ51" s="48">
        <f>IQ49</f>
        <v>0</v>
      </c>
    </row>
    <row r="52" spans="1:251" s="24" customFormat="1" ht="16.5" customHeight="1" x14ac:dyDescent="0.25">
      <c r="A52" s="35"/>
      <c r="B52" s="36"/>
      <c r="C52" s="36"/>
      <c r="D52" s="36"/>
      <c r="E52" s="36"/>
      <c r="F52" s="36"/>
      <c r="G52" s="38"/>
      <c r="H52" s="38"/>
      <c r="I52" s="38"/>
      <c r="J52" s="39"/>
      <c r="K52" s="39"/>
      <c r="L52" s="39"/>
      <c r="M52" s="36"/>
      <c r="N52" s="36"/>
      <c r="O52" s="36"/>
      <c r="P52" s="36"/>
      <c r="Q52" s="36"/>
      <c r="R52" s="38"/>
      <c r="S52" s="38"/>
      <c r="T52" s="38"/>
      <c r="U52" s="39"/>
      <c r="V52" s="39"/>
      <c r="W52" s="39"/>
      <c r="X52" s="36"/>
      <c r="Y52" s="36"/>
      <c r="Z52" s="28"/>
      <c r="IC52" s="57" t="s">
        <v>24</v>
      </c>
      <c r="ID52" s="58">
        <v>0</v>
      </c>
      <c r="IE52" s="59">
        <f>IF($IC$53=0,IE49,NA())</f>
        <v>0</v>
      </c>
      <c r="IF52" s="59">
        <f>IF($IC$53=0,IF49,NA())</f>
        <v>0</v>
      </c>
      <c r="IG52" s="58">
        <f>IG49-$IC$53</f>
        <v>0</v>
      </c>
      <c r="IH52" s="60">
        <f t="shared" ref="IH52:IN52" si="1">IH49-$IC$53</f>
        <v>0</v>
      </c>
      <c r="II52" s="58">
        <f t="shared" si="1"/>
        <v>0</v>
      </c>
      <c r="IJ52" s="60">
        <f t="shared" si="1"/>
        <v>0</v>
      </c>
      <c r="IK52" s="58">
        <f t="shared" si="1"/>
        <v>0</v>
      </c>
      <c r="IL52" s="58">
        <f t="shared" si="1"/>
        <v>0</v>
      </c>
      <c r="IM52" s="58">
        <f t="shared" si="1"/>
        <v>0</v>
      </c>
      <c r="IN52" s="58">
        <f t="shared" si="1"/>
        <v>0</v>
      </c>
      <c r="IO52" s="48"/>
    </row>
    <row r="53" spans="1:251" s="24" customFormat="1" ht="16.5" customHeight="1" x14ac:dyDescent="0.25">
      <c r="A53" s="35"/>
      <c r="B53" s="36"/>
      <c r="C53" s="36"/>
      <c r="D53" s="36"/>
      <c r="E53" s="36"/>
      <c r="F53" s="36"/>
      <c r="G53" s="38"/>
      <c r="H53" s="38"/>
      <c r="I53" s="38"/>
      <c r="J53" s="39"/>
      <c r="K53" s="39"/>
      <c r="L53" s="39"/>
      <c r="M53" s="36"/>
      <c r="N53" s="36"/>
      <c r="O53" s="36"/>
      <c r="P53" s="36"/>
      <c r="Q53" s="36"/>
      <c r="R53" s="38"/>
      <c r="S53" s="38"/>
      <c r="T53" s="38"/>
      <c r="U53" s="39"/>
      <c r="V53" s="39"/>
      <c r="W53" s="39"/>
      <c r="X53" s="36"/>
      <c r="Y53" s="36"/>
      <c r="Z53" s="28"/>
      <c r="IC53" s="61">
        <f>IF(OR(Q37="o",Q37="O")=TRUE,TREND(IG51:IK51,IG48:IK48,ID48),0)</f>
        <v>0</v>
      </c>
      <c r="ID53" s="62"/>
      <c r="IE53" s="63"/>
      <c r="IF53" s="63"/>
      <c r="IG53" s="63"/>
      <c r="IH53" s="64" t="e">
        <f>IH50/IH49*IH52</f>
        <v>#DIV/0!</v>
      </c>
      <c r="IJ53" s="64" t="e">
        <f>IJ50/IJ49*IJ52</f>
        <v>#DIV/0!</v>
      </c>
      <c r="IK53" s="63"/>
      <c r="IL53" s="64"/>
      <c r="IM53" s="65"/>
      <c r="IN53" s="65"/>
    </row>
    <row r="54" spans="1:251" s="24" customFormat="1" ht="16.5" customHeight="1" x14ac:dyDescent="0.25">
      <c r="A54" s="35"/>
      <c r="B54" s="36"/>
      <c r="C54" s="36"/>
      <c r="D54" s="36"/>
      <c r="E54" s="36"/>
      <c r="F54" s="36"/>
      <c r="G54" s="38"/>
      <c r="H54" s="38"/>
      <c r="I54" s="38"/>
      <c r="J54" s="39"/>
      <c r="K54" s="39"/>
      <c r="L54" s="39"/>
      <c r="M54" s="36"/>
      <c r="N54" s="36"/>
      <c r="O54" s="36"/>
      <c r="P54" s="36"/>
      <c r="Q54" s="36"/>
      <c r="R54" s="38"/>
      <c r="S54" s="38"/>
      <c r="T54" s="38"/>
      <c r="U54" s="39"/>
      <c r="V54" s="39"/>
      <c r="W54" s="39"/>
      <c r="X54" s="36"/>
      <c r="Y54" s="36"/>
      <c r="Z54" s="28"/>
    </row>
    <row r="55" spans="1:251" s="24" customFormat="1" ht="16.5" customHeight="1" x14ac:dyDescent="0.25">
      <c r="A55" s="35"/>
      <c r="B55" s="36"/>
      <c r="C55" s="36"/>
      <c r="D55" s="36"/>
      <c r="E55" s="36"/>
      <c r="F55" s="36"/>
      <c r="G55" s="38"/>
      <c r="H55" s="38"/>
      <c r="I55" s="38"/>
      <c r="J55" s="39"/>
      <c r="K55" s="39"/>
      <c r="L55" s="39"/>
      <c r="M55" s="36"/>
      <c r="N55" s="36"/>
      <c r="O55" s="36"/>
      <c r="P55" s="36"/>
      <c r="Q55" s="36"/>
      <c r="R55" s="38"/>
      <c r="S55" s="38"/>
      <c r="T55" s="38"/>
      <c r="U55" s="39"/>
      <c r="V55" s="39"/>
      <c r="W55" s="39"/>
      <c r="X55" s="36"/>
      <c r="Y55" s="36"/>
      <c r="Z55" s="28"/>
    </row>
    <row r="56" spans="1:251" s="24" customFormat="1" ht="16.5" customHeight="1" x14ac:dyDescent="0.25">
      <c r="A56" s="35"/>
      <c r="B56" s="36"/>
      <c r="C56" s="36"/>
      <c r="D56" s="36"/>
      <c r="E56" s="36"/>
      <c r="F56" s="36"/>
      <c r="G56" s="38"/>
      <c r="H56" s="38"/>
      <c r="I56" s="38"/>
      <c r="J56" s="39"/>
      <c r="K56" s="39"/>
      <c r="L56" s="39"/>
      <c r="M56" s="36"/>
      <c r="N56" s="36"/>
      <c r="O56" s="36"/>
      <c r="P56" s="36"/>
      <c r="Q56" s="36"/>
      <c r="R56" s="38"/>
      <c r="S56" s="38"/>
      <c r="T56" s="38"/>
      <c r="U56" s="39"/>
      <c r="V56" s="39"/>
      <c r="W56" s="39"/>
      <c r="X56" s="36"/>
      <c r="Y56" s="36"/>
      <c r="Z56" s="28"/>
    </row>
    <row r="57" spans="1:251" s="24" customFormat="1" ht="16.5" customHeight="1" x14ac:dyDescent="0.25">
      <c r="A57" s="35"/>
      <c r="B57" s="36"/>
      <c r="C57" s="36"/>
      <c r="D57" s="36"/>
      <c r="E57" s="36"/>
      <c r="F57" s="36"/>
      <c r="G57" s="38"/>
      <c r="H57" s="38"/>
      <c r="I57" s="38"/>
      <c r="J57" s="39"/>
      <c r="K57" s="39"/>
      <c r="L57" s="39"/>
      <c r="M57" s="36"/>
      <c r="N57" s="36"/>
      <c r="O57" s="36"/>
      <c r="P57" s="36"/>
      <c r="Q57" s="36"/>
      <c r="R57" s="38"/>
      <c r="S57" s="38"/>
      <c r="T57" s="38"/>
      <c r="U57" s="39"/>
      <c r="V57" s="39"/>
      <c r="W57" s="39"/>
      <c r="X57" s="36"/>
      <c r="Y57" s="36"/>
      <c r="Z57" s="28"/>
    </row>
    <row r="58" spans="1:251" s="24" customFormat="1" ht="16.5" customHeight="1" x14ac:dyDescent="0.25">
      <c r="A58" s="35"/>
      <c r="B58" s="36"/>
      <c r="C58" s="36"/>
      <c r="D58" s="36"/>
      <c r="E58" s="36"/>
      <c r="F58" s="36"/>
      <c r="G58" s="38"/>
      <c r="H58" s="38"/>
      <c r="I58" s="38"/>
      <c r="J58" s="39"/>
      <c r="K58" s="39"/>
      <c r="L58" s="39"/>
      <c r="M58" s="36"/>
      <c r="N58" s="36"/>
      <c r="O58" s="36"/>
      <c r="P58" s="36"/>
      <c r="Q58" s="36"/>
      <c r="R58" s="38"/>
      <c r="S58" s="38"/>
      <c r="T58" s="38"/>
      <c r="U58" s="39"/>
      <c r="V58" s="39"/>
      <c r="W58" s="39"/>
      <c r="X58" s="36"/>
      <c r="Y58" s="36"/>
      <c r="Z58" s="28"/>
    </row>
    <row r="59" spans="1:251" s="24" customFormat="1" ht="16.5" customHeight="1" x14ac:dyDescent="0.25">
      <c r="A59" s="35"/>
      <c r="B59" s="193" t="str">
        <f>IF(OR(Q37="o",Q37="O")=TRUE,"Indice après correction à l'origine de la courbe de poinçonnement","Indice après analyse de la courbe de poinçonnement")</f>
        <v>Indice après correction à l'origine de la courbe de poinçonnement</v>
      </c>
      <c r="C59" s="194"/>
      <c r="D59" s="194"/>
      <c r="E59" s="194"/>
      <c r="F59" s="194"/>
      <c r="G59" s="194"/>
      <c r="H59" s="194"/>
      <c r="I59" s="194"/>
      <c r="J59" s="194"/>
      <c r="K59" s="194"/>
      <c r="L59" s="194"/>
      <c r="M59" s="194"/>
      <c r="N59" s="194"/>
      <c r="O59" s="194"/>
      <c r="P59" s="194"/>
      <c r="Q59" s="194"/>
      <c r="R59" s="194"/>
      <c r="S59" s="194"/>
      <c r="T59" s="194"/>
      <c r="U59" s="194"/>
      <c r="V59" s="194"/>
      <c r="W59" s="194"/>
      <c r="X59" s="194"/>
      <c r="Y59" s="195"/>
      <c r="Z59" s="28"/>
    </row>
    <row r="60" spans="1:251" s="24" customFormat="1" ht="16.5" customHeight="1" thickBot="1" x14ac:dyDescent="0.3">
      <c r="A60" s="35"/>
      <c r="B60" s="157"/>
      <c r="C60" s="157"/>
      <c r="D60" s="157"/>
      <c r="E60" s="157"/>
      <c r="F60" s="157"/>
      <c r="G60" s="157"/>
      <c r="H60" s="157"/>
      <c r="I60" s="157"/>
      <c r="J60" s="191"/>
      <c r="K60" s="191"/>
      <c r="L60" s="191"/>
      <c r="M60" s="157"/>
      <c r="N60" s="157"/>
      <c r="O60" s="157"/>
      <c r="P60" s="157"/>
      <c r="Q60" s="157"/>
      <c r="R60" s="157"/>
      <c r="S60" s="157"/>
      <c r="T60" s="157"/>
      <c r="U60" s="191"/>
      <c r="V60" s="191"/>
      <c r="W60" s="191"/>
      <c r="X60" s="157"/>
      <c r="Y60" s="157"/>
      <c r="Z60" s="28"/>
    </row>
    <row r="61" spans="1:251" s="24" customFormat="1" ht="16.5" customHeight="1" x14ac:dyDescent="0.25">
      <c r="A61" s="35"/>
      <c r="B61" s="197" t="s">
        <v>30</v>
      </c>
      <c r="C61" s="197"/>
      <c r="D61" s="197"/>
      <c r="E61" s="197"/>
      <c r="F61" s="197"/>
      <c r="G61" s="197"/>
      <c r="H61" s="197"/>
      <c r="I61" s="197"/>
      <c r="J61" s="198" t="e">
        <f>IH53</f>
        <v>#DIV/0!</v>
      </c>
      <c r="K61" s="198"/>
      <c r="L61" s="159"/>
      <c r="M61" s="159"/>
      <c r="N61" s="159"/>
      <c r="O61" s="159"/>
      <c r="P61" s="199" t="s">
        <v>32</v>
      </c>
      <c r="Q61" s="200"/>
      <c r="R61" s="200"/>
      <c r="S61" s="200"/>
      <c r="T61" s="201"/>
      <c r="U61" s="202" t="e">
        <f>MAX(J61:K62)</f>
        <v>#DIV/0!</v>
      </c>
      <c r="V61" s="203"/>
      <c r="W61" s="204"/>
      <c r="X61" s="157"/>
      <c r="Y61" s="157"/>
      <c r="Z61" s="28"/>
    </row>
    <row r="62" spans="1:251" s="24" customFormat="1" ht="16.5" customHeight="1" thickBot="1" x14ac:dyDescent="0.3">
      <c r="A62" s="35"/>
      <c r="B62" s="197" t="s">
        <v>31</v>
      </c>
      <c r="C62" s="197"/>
      <c r="D62" s="197"/>
      <c r="E62" s="197"/>
      <c r="F62" s="197"/>
      <c r="G62" s="197"/>
      <c r="H62" s="197"/>
      <c r="I62" s="197"/>
      <c r="J62" s="198" t="e">
        <f>IJ53</f>
        <v>#DIV/0!</v>
      </c>
      <c r="K62" s="198"/>
      <c r="L62" s="159"/>
      <c r="M62" s="159"/>
      <c r="N62" s="159"/>
      <c r="O62" s="159"/>
      <c r="P62" s="205"/>
      <c r="Q62" s="206"/>
      <c r="R62" s="206"/>
      <c r="S62" s="206"/>
      <c r="T62" s="207"/>
      <c r="U62" s="208"/>
      <c r="V62" s="209"/>
      <c r="W62" s="210"/>
      <c r="X62" s="157"/>
      <c r="Y62" s="157"/>
      <c r="Z62" s="28"/>
    </row>
    <row r="63" spans="1:251" s="24" customFormat="1" ht="16.5" customHeight="1" x14ac:dyDescent="0.25">
      <c r="A63" s="66"/>
      <c r="B63" s="67"/>
      <c r="C63" s="67"/>
      <c r="D63" s="67"/>
      <c r="E63" s="67"/>
      <c r="F63" s="67"/>
      <c r="G63" s="67"/>
      <c r="H63" s="67"/>
      <c r="I63" s="67"/>
      <c r="J63" s="67"/>
      <c r="K63" s="67"/>
      <c r="L63" s="67"/>
      <c r="M63" s="67"/>
      <c r="N63" s="67"/>
      <c r="O63" s="67"/>
      <c r="P63" s="67"/>
      <c r="Q63" s="67"/>
      <c r="R63" s="67"/>
      <c r="S63" s="67"/>
      <c r="T63" s="67"/>
      <c r="U63" s="67"/>
      <c r="V63" s="67"/>
      <c r="W63" s="67"/>
      <c r="X63" s="67"/>
      <c r="Y63" s="67"/>
      <c r="Z63" s="37"/>
    </row>
    <row r="64" spans="1:251" s="9" customFormat="1" ht="12.75" customHeight="1" x14ac:dyDescent="0.25">
      <c r="A64" s="32"/>
      <c r="B64" s="32"/>
      <c r="C64" s="32"/>
      <c r="D64" s="32"/>
      <c r="E64" s="32"/>
      <c r="F64" s="32"/>
      <c r="G64" s="32"/>
      <c r="H64" s="32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2"/>
      <c r="T64" s="32"/>
      <c r="U64" s="32"/>
      <c r="V64" s="32"/>
      <c r="W64" s="32"/>
      <c r="X64" s="32"/>
      <c r="Y64" s="32"/>
      <c r="Z64" s="32"/>
      <c r="AB64" s="31"/>
      <c r="AC64" s="68"/>
      <c r="AD64" s="31"/>
    </row>
    <row r="65" spans="1:29" s="9" customFormat="1" ht="12.75" customHeight="1" x14ac:dyDescent="0.25">
      <c r="A65" s="15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5"/>
      <c r="Y65" s="15"/>
      <c r="Z65" s="15"/>
    </row>
    <row r="66" spans="1:29" ht="15.6" customHeight="1" x14ac:dyDescent="0.25">
      <c r="A66" s="69" t="s">
        <v>13</v>
      </c>
      <c r="B66" s="70" t="s">
        <v>14</v>
      </c>
      <c r="C66" s="71"/>
      <c r="D66" s="71"/>
      <c r="E66" s="71"/>
      <c r="F66" s="72"/>
      <c r="G66" s="72"/>
      <c r="H66" s="72"/>
      <c r="I66" s="73"/>
      <c r="J66" s="73"/>
      <c r="K66" s="73"/>
      <c r="L66" s="73"/>
      <c r="M66" s="73"/>
      <c r="N66" s="73"/>
      <c r="O66" s="73"/>
      <c r="P66" s="73"/>
      <c r="Q66" s="73"/>
      <c r="R66" s="73"/>
      <c r="S66" s="73"/>
      <c r="T66" s="73"/>
      <c r="U66" s="86"/>
      <c r="V66" s="86"/>
      <c r="W66" s="86"/>
      <c r="X66" s="87"/>
      <c r="Y66" s="87"/>
      <c r="Z66" s="88"/>
      <c r="AA66" s="9"/>
      <c r="AB66" s="9"/>
      <c r="AC66" s="9"/>
    </row>
    <row r="67" spans="1:29" ht="26.4" customHeight="1" x14ac:dyDescent="0.25">
      <c r="A67" s="99" t="s">
        <v>59</v>
      </c>
      <c r="B67" s="100"/>
      <c r="C67" s="100"/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211"/>
      <c r="R67" s="93" t="s">
        <v>15</v>
      </c>
      <c r="S67" s="94"/>
      <c r="T67" s="95"/>
      <c r="U67" s="82"/>
      <c r="V67" s="83"/>
      <c r="W67" s="83"/>
      <c r="X67" s="84"/>
      <c r="Y67" s="84"/>
      <c r="Z67" s="85"/>
      <c r="AA67" s="9"/>
      <c r="AB67" s="9"/>
      <c r="AC67" s="9"/>
    </row>
    <row r="68" spans="1:29" ht="26.4" customHeight="1" x14ac:dyDescent="0.25">
      <c r="A68" s="212"/>
      <c r="B68" s="213"/>
      <c r="C68" s="213"/>
      <c r="D68" s="213"/>
      <c r="E68" s="213"/>
      <c r="F68" s="213"/>
      <c r="G68" s="213"/>
      <c r="H68" s="213"/>
      <c r="I68" s="213"/>
      <c r="J68" s="213"/>
      <c r="K68" s="213"/>
      <c r="L68" s="213"/>
      <c r="M68" s="213"/>
      <c r="N68" s="213"/>
      <c r="O68" s="213"/>
      <c r="P68" s="213"/>
      <c r="Q68" s="214"/>
      <c r="R68" s="93"/>
      <c r="S68" s="94"/>
      <c r="T68" s="95"/>
      <c r="U68" s="89"/>
      <c r="V68" s="90"/>
      <c r="W68" s="90"/>
      <c r="X68" s="78"/>
      <c r="Y68" s="78"/>
      <c r="Z68" s="79"/>
      <c r="AA68" s="9"/>
      <c r="AB68" s="9"/>
      <c r="AC68" s="9"/>
    </row>
    <row r="69" spans="1:29" ht="15.6" customHeight="1" x14ac:dyDescent="0.25">
      <c r="A69" s="74" t="s">
        <v>16</v>
      </c>
      <c r="B69" s="75" t="s">
        <v>17</v>
      </c>
      <c r="C69" s="17"/>
      <c r="D69" s="17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2"/>
      <c r="R69" s="93"/>
      <c r="S69" s="94"/>
      <c r="T69" s="95"/>
      <c r="U69" s="91"/>
      <c r="V69" s="92"/>
      <c r="W69" s="92"/>
      <c r="X69" s="80"/>
      <c r="Y69" s="80"/>
      <c r="Z69" s="81"/>
      <c r="AA69" s="9"/>
      <c r="AB69" s="9"/>
      <c r="AC69" s="9"/>
    </row>
    <row r="70" spans="1:29" ht="15.6" customHeight="1" x14ac:dyDescent="0.25">
      <c r="A70" s="215"/>
      <c r="B70" s="216"/>
      <c r="C70" s="216"/>
      <c r="D70" s="216"/>
      <c r="E70" s="216"/>
      <c r="F70" s="216"/>
      <c r="G70" s="216"/>
      <c r="H70" s="216"/>
      <c r="I70" s="216"/>
      <c r="J70" s="216"/>
      <c r="K70" s="216"/>
      <c r="L70" s="216"/>
      <c r="M70" s="216"/>
      <c r="N70" s="216"/>
      <c r="O70" s="216"/>
      <c r="P70" s="216"/>
      <c r="Q70" s="217"/>
      <c r="R70" s="93" t="s">
        <v>18</v>
      </c>
      <c r="S70" s="94"/>
      <c r="T70" s="95"/>
      <c r="U70" s="221"/>
      <c r="V70" s="222"/>
      <c r="W70" s="222"/>
      <c r="X70" s="223"/>
      <c r="Y70" s="223"/>
      <c r="Z70" s="224"/>
      <c r="AA70" s="9"/>
      <c r="AB70" s="9"/>
      <c r="AC70" s="9"/>
    </row>
    <row r="71" spans="1:29" ht="15.6" customHeight="1" x14ac:dyDescent="0.25">
      <c r="A71" s="215"/>
      <c r="B71" s="216"/>
      <c r="C71" s="216"/>
      <c r="D71" s="216"/>
      <c r="E71" s="216"/>
      <c r="F71" s="216"/>
      <c r="G71" s="216"/>
      <c r="H71" s="216"/>
      <c r="I71" s="216"/>
      <c r="J71" s="216"/>
      <c r="K71" s="216"/>
      <c r="L71" s="216"/>
      <c r="M71" s="216"/>
      <c r="N71" s="216"/>
      <c r="O71" s="216"/>
      <c r="P71" s="216"/>
      <c r="Q71" s="217"/>
      <c r="R71" s="93"/>
      <c r="S71" s="94"/>
      <c r="T71" s="95"/>
      <c r="U71" s="225"/>
      <c r="V71" s="77"/>
      <c r="W71" s="77"/>
      <c r="X71" s="77"/>
      <c r="Y71" s="77"/>
      <c r="Z71" s="226"/>
      <c r="AA71" s="9"/>
      <c r="AB71" s="9"/>
      <c r="AC71" s="9"/>
    </row>
    <row r="72" spans="1:29" ht="15.6" customHeight="1" x14ac:dyDescent="0.25">
      <c r="A72" s="215"/>
      <c r="B72" s="216"/>
      <c r="C72" s="216"/>
      <c r="D72" s="216"/>
      <c r="E72" s="216"/>
      <c r="F72" s="216"/>
      <c r="G72" s="216"/>
      <c r="H72" s="216"/>
      <c r="I72" s="216"/>
      <c r="J72" s="216"/>
      <c r="K72" s="216"/>
      <c r="L72" s="216"/>
      <c r="M72" s="216"/>
      <c r="N72" s="216"/>
      <c r="O72" s="216"/>
      <c r="P72" s="216"/>
      <c r="Q72" s="217"/>
      <c r="R72" s="93"/>
      <c r="S72" s="94"/>
      <c r="T72" s="95"/>
      <c r="U72" s="225"/>
      <c r="V72" s="77"/>
      <c r="W72" s="77"/>
      <c r="X72" s="77"/>
      <c r="Y72" s="77"/>
      <c r="Z72" s="226"/>
      <c r="AA72" s="9"/>
      <c r="AB72" s="9"/>
      <c r="AC72" s="9"/>
    </row>
    <row r="73" spans="1:29" ht="15.6" customHeight="1" x14ac:dyDescent="0.25">
      <c r="A73" s="218"/>
      <c r="B73" s="219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20"/>
      <c r="R73" s="96"/>
      <c r="S73" s="97"/>
      <c r="T73" s="98"/>
      <c r="U73" s="227"/>
      <c r="V73" s="228"/>
      <c r="W73" s="228"/>
      <c r="X73" s="229"/>
      <c r="Y73" s="229"/>
      <c r="Z73" s="230"/>
      <c r="AA73" s="9"/>
      <c r="AB73" s="9"/>
      <c r="AC73" s="9"/>
    </row>
    <row r="74" spans="1:29" s="76" customFormat="1" ht="15" customHeight="1" x14ac:dyDescent="0.25"/>
    <row r="75" spans="1:29" s="76" customFormat="1" ht="15" customHeight="1" x14ac:dyDescent="0.25"/>
    <row r="76" spans="1:29" s="76" customFormat="1" ht="15" customHeight="1" x14ac:dyDescent="0.25"/>
    <row r="77" spans="1:29" s="76" customFormat="1" ht="15" customHeight="1" x14ac:dyDescent="0.25"/>
    <row r="78" spans="1:29" s="76" customFormat="1" ht="15" customHeight="1" x14ac:dyDescent="0.25"/>
    <row r="79" spans="1:29" s="76" customFormat="1" ht="15" customHeight="1" x14ac:dyDescent="0.25"/>
    <row r="80" spans="1:29" s="76" customFormat="1" ht="15" customHeight="1" x14ac:dyDescent="0.25"/>
    <row r="81" s="76" customFormat="1" ht="15" customHeight="1" x14ac:dyDescent="0.25"/>
    <row r="82" s="76" customFormat="1" ht="15" customHeight="1" x14ac:dyDescent="0.25"/>
    <row r="83" s="76" customFormat="1" ht="15" customHeight="1" x14ac:dyDescent="0.25"/>
    <row r="84" s="76" customFormat="1" ht="15" customHeight="1" x14ac:dyDescent="0.25"/>
    <row r="85" s="76" customFormat="1" ht="15" customHeight="1" x14ac:dyDescent="0.25"/>
    <row r="86" s="76" customFormat="1" ht="15" customHeight="1" x14ac:dyDescent="0.25"/>
    <row r="87" s="76" customFormat="1" ht="15" customHeight="1" x14ac:dyDescent="0.25"/>
    <row r="88" s="76" customFormat="1" ht="15" customHeight="1" x14ac:dyDescent="0.25"/>
    <row r="89" s="76" customFormat="1" ht="15" customHeight="1" x14ac:dyDescent="0.25"/>
    <row r="90" s="76" customFormat="1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</sheetData>
  <sheetProtection selectLockedCells="1"/>
  <mergeCells count="111">
    <mergeCell ref="Q37:R37"/>
    <mergeCell ref="Q32:R32"/>
    <mergeCell ref="Q34:R34"/>
    <mergeCell ref="O34:P34"/>
    <mergeCell ref="S34:T34"/>
    <mergeCell ref="O33:P33"/>
    <mergeCell ref="Q33:R33"/>
    <mergeCell ref="U32:V32"/>
    <mergeCell ref="A31:D31"/>
    <mergeCell ref="I31:J31"/>
    <mergeCell ref="E31:F31"/>
    <mergeCell ref="G31:H31"/>
    <mergeCell ref="G34:H34"/>
    <mergeCell ref="I34:J34"/>
    <mergeCell ref="O31:P31"/>
    <mergeCell ref="A35:D35"/>
    <mergeCell ref="M35:N35"/>
    <mergeCell ref="Q35:R35"/>
    <mergeCell ref="B28:G28"/>
    <mergeCell ref="J28:R28"/>
    <mergeCell ref="W31:X31"/>
    <mergeCell ref="M31:N31"/>
    <mergeCell ref="Q31:R31"/>
    <mergeCell ref="G2:T4"/>
    <mergeCell ref="G5:H5"/>
    <mergeCell ref="J5:K5"/>
    <mergeCell ref="L5:O5"/>
    <mergeCell ref="P5:T5"/>
    <mergeCell ref="A1:F6"/>
    <mergeCell ref="G1:T1"/>
    <mergeCell ref="U1:Z6"/>
    <mergeCell ref="N10:R10"/>
    <mergeCell ref="H10:M10"/>
    <mergeCell ref="J6:K6"/>
    <mergeCell ref="L6:O6"/>
    <mergeCell ref="P6:T6"/>
    <mergeCell ref="H12:M12"/>
    <mergeCell ref="A7:F7"/>
    <mergeCell ref="S12:Y12"/>
    <mergeCell ref="B17:H17"/>
    <mergeCell ref="B18:H18"/>
    <mergeCell ref="I17:Y17"/>
    <mergeCell ref="G7:Z7"/>
    <mergeCell ref="B11:G11"/>
    <mergeCell ref="B10:G10"/>
    <mergeCell ref="S10:Y10"/>
    <mergeCell ref="S11:Y11"/>
    <mergeCell ref="N11:R11"/>
    <mergeCell ref="N12:R12"/>
    <mergeCell ref="H11:M11"/>
    <mergeCell ref="B27:G27"/>
    <mergeCell ref="U26:V27"/>
    <mergeCell ref="X26:Y27"/>
    <mergeCell ref="J27:R27"/>
    <mergeCell ref="B26:G26"/>
    <mergeCell ref="H26:I26"/>
    <mergeCell ref="J26:R26"/>
    <mergeCell ref="I18:Y18"/>
    <mergeCell ref="B12:G12"/>
    <mergeCell ref="IC51:IE51"/>
    <mergeCell ref="S33:T33"/>
    <mergeCell ref="Y32:Z32"/>
    <mergeCell ref="Y34:Z34"/>
    <mergeCell ref="W32:X32"/>
    <mergeCell ref="U34:V34"/>
    <mergeCell ref="W34:X34"/>
    <mergeCell ref="Y33:Z33"/>
    <mergeCell ref="U33:V33"/>
    <mergeCell ref="W33:X33"/>
    <mergeCell ref="B62:I62"/>
    <mergeCell ref="P61:T62"/>
    <mergeCell ref="R68:T69"/>
    <mergeCell ref="J62:K62"/>
    <mergeCell ref="E34:F34"/>
    <mergeCell ref="A32:D32"/>
    <mergeCell ref="A34:D34"/>
    <mergeCell ref="S32:T32"/>
    <mergeCell ref="B59:Y59"/>
    <mergeCell ref="B61:I61"/>
    <mergeCell ref="J61:K61"/>
    <mergeCell ref="G32:H32"/>
    <mergeCell ref="I32:J32"/>
    <mergeCell ref="K32:L32"/>
    <mergeCell ref="K34:L34"/>
    <mergeCell ref="M34:N34"/>
    <mergeCell ref="K33:L33"/>
    <mergeCell ref="M33:N33"/>
    <mergeCell ref="U61:W62"/>
    <mergeCell ref="B37:P37"/>
    <mergeCell ref="A33:D33"/>
    <mergeCell ref="E33:F33"/>
    <mergeCell ref="G33:H33"/>
    <mergeCell ref="I33:J33"/>
    <mergeCell ref="U67:Z67"/>
    <mergeCell ref="U66:Z66"/>
    <mergeCell ref="U68:Z69"/>
    <mergeCell ref="R70:T73"/>
    <mergeCell ref="R67:T67"/>
    <mergeCell ref="A70:Q73"/>
    <mergeCell ref="A67:Q67"/>
    <mergeCell ref="A68:Q68"/>
    <mergeCell ref="V71:Y72"/>
    <mergeCell ref="L29:M29"/>
    <mergeCell ref="E32:F32"/>
    <mergeCell ref="M32:N32"/>
    <mergeCell ref="O32:P32"/>
    <mergeCell ref="E30:Z30"/>
    <mergeCell ref="U31:V31"/>
    <mergeCell ref="Y31:Z31"/>
    <mergeCell ref="S31:T31"/>
    <mergeCell ref="K31:L31"/>
  </mergeCells>
  <phoneticPr fontId="0" type="noConversion"/>
  <printOptions horizontalCentered="1"/>
  <pageMargins left="0.39370078740157483" right="0.39370078740157483" top="0.39370078740157483" bottom="0.39370078740157483" header="0" footer="0.19685039370078741"/>
  <pageSetup paperSize="9" scale="66" orientation="portrait" r:id="rId1"/>
  <headerFooter alignWithMargins="0">
    <oddFooter>&amp;RDG-Q / CRE PO du 06/04/2011</oddFooter>
  </headerFooter>
  <drawing r:id="rId2"/>
  <legacyDrawing r:id="rId3"/>
  <controls>
    <mc:AlternateContent xmlns:mc="http://schemas.openxmlformats.org/markup-compatibility/2006">
      <mc:Choice Requires="x14">
        <control shapeId="1109" r:id="rId4" name="CommandButton1">
          <controlPr defaultSize="0" autoLine="0" r:id="rId5">
            <anchor moveWithCells="1">
              <from>
                <xdr:col>26</xdr:col>
                <xdr:colOff>495300</xdr:colOff>
                <xdr:row>69</xdr:row>
                <xdr:rowOff>182880</xdr:rowOff>
              </from>
              <to>
                <xdr:col>28</xdr:col>
                <xdr:colOff>480060</xdr:colOff>
                <xdr:row>72</xdr:row>
                <xdr:rowOff>30480</xdr:rowOff>
              </to>
            </anchor>
          </controlPr>
        </control>
      </mc:Choice>
      <mc:Fallback>
        <control shapeId="1109" r:id="rId4" name="CommandButton1"/>
      </mc:Fallback>
    </mc:AlternateContent>
    <mc:AlternateContent xmlns:mc="http://schemas.openxmlformats.org/markup-compatibility/2006">
      <mc:Choice Requires="x14">
        <control shapeId="1101" r:id="rId6" name="Check Box 77">
          <controlPr defaultSize="0" autoFill="0" autoLine="0" autoPict="0">
            <anchor moveWithCells="1">
              <from>
                <xdr:col>13</xdr:col>
                <xdr:colOff>38100</xdr:colOff>
                <xdr:row>22</xdr:row>
                <xdr:rowOff>22860</xdr:rowOff>
              </from>
              <to>
                <xdr:col>13</xdr:col>
                <xdr:colOff>342900</xdr:colOff>
                <xdr:row>22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2" r:id="rId7" name="Check Box 78">
          <controlPr defaultSize="0" autoFill="0" autoLine="0" autoPict="0">
            <anchor moveWithCells="1">
              <from>
                <xdr:col>13</xdr:col>
                <xdr:colOff>38100</xdr:colOff>
                <xdr:row>23</xdr:row>
                <xdr:rowOff>22860</xdr:rowOff>
              </from>
              <to>
                <xdr:col>13</xdr:col>
                <xdr:colOff>342900</xdr:colOff>
                <xdr:row>23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3" r:id="rId8" name="Check Box 79">
          <controlPr defaultSize="0" autoFill="0" autoLine="0" autoPict="0">
            <anchor moveWithCells="1">
              <from>
                <xdr:col>24</xdr:col>
                <xdr:colOff>38100</xdr:colOff>
                <xdr:row>22</xdr:row>
                <xdr:rowOff>22860</xdr:rowOff>
              </from>
              <to>
                <xdr:col>24</xdr:col>
                <xdr:colOff>342900</xdr:colOff>
                <xdr:row>22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4" r:id="rId9" name="Check Box 80">
          <controlPr defaultSize="0" autoFill="0" autoLine="0" autoPict="0">
            <anchor moveWithCells="1">
              <from>
                <xdr:col>24</xdr:col>
                <xdr:colOff>38100</xdr:colOff>
                <xdr:row>23</xdr:row>
                <xdr:rowOff>22860</xdr:rowOff>
              </from>
              <to>
                <xdr:col>24</xdr:col>
                <xdr:colOff>342900</xdr:colOff>
                <xdr:row>23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5" r:id="rId10" name="Check Box 81">
          <controlPr defaultSize="0" autoFill="0" autoLine="0" autoPict="0">
            <anchor moveWithCells="1">
              <from>
                <xdr:col>21</xdr:col>
                <xdr:colOff>297180</xdr:colOff>
                <xdr:row>25</xdr:row>
                <xdr:rowOff>83820</xdr:rowOff>
              </from>
              <to>
                <xdr:col>22</xdr:col>
                <xdr:colOff>251460</xdr:colOff>
                <xdr:row>26</xdr:row>
                <xdr:rowOff>99060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6" r:id="rId11" name="Check Box 82">
          <controlPr defaultSize="0" autoFill="0" autoLine="0" autoPict="0">
            <anchor moveWithCells="1">
              <from>
                <xdr:col>24</xdr:col>
                <xdr:colOff>259080</xdr:colOff>
                <xdr:row>25</xdr:row>
                <xdr:rowOff>83820</xdr:rowOff>
              </from>
              <to>
                <xdr:col>25</xdr:col>
                <xdr:colOff>213360</xdr:colOff>
                <xdr:row>26</xdr:row>
                <xdr:rowOff>99060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CRE PO</vt:lpstr>
      <vt:lpstr>'CRE PO'!Zone_d_impression</vt:lpstr>
    </vt:vector>
  </TitlesOfParts>
  <Company>AB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GOEDDE</dc:creator>
  <cp:lastModifiedBy>MONTET Frederic</cp:lastModifiedBy>
  <cp:lastPrinted>2011-04-06T09:06:48Z</cp:lastPrinted>
  <dcterms:created xsi:type="dcterms:W3CDTF">2005-06-22T06:30:18Z</dcterms:created>
  <dcterms:modified xsi:type="dcterms:W3CDTF">2023-03-10T07:59:06Z</dcterms:modified>
</cp:coreProperties>
</file>