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6\69\RA N63C  Villeurbanne - Tram T6 Nord\Essais de Laboratoire\Enrobés\Sondages carottés - Anatole France - 260126\"/>
    </mc:Choice>
  </mc:AlternateContent>
  <xr:revisionPtr revIDLastSave="0" documentId="13_ncr:1_{7D8F652F-5726-484B-9F75-1C713C80E2F9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GB 157 260126" sheetId="3" r:id="rId1"/>
    <sheet name="BBSG 114 260126" sheetId="1" r:id="rId2"/>
  </sheets>
  <definedNames>
    <definedName name="_xlnm.Print_Area" localSheetId="1">'BBSG 114 260126'!$A$1:$Z$61</definedName>
    <definedName name="_xlnm.Print_Area" localSheetId="0">'GB 157 260126'!$A$1:$Z$61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5" i="3" l="1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F27" i="3" l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35" i="1"/>
  <c r="F27" i="1" l="1"/>
</calcChain>
</file>

<file path=xl/sharedStrings.xml><?xml version="1.0" encoding="utf-8"?>
<sst xmlns="http://schemas.openxmlformats.org/spreadsheetml/2006/main" count="136" uniqueCount="68">
  <si>
    <t>COMPTE RENDU D'ESSAIS</t>
  </si>
  <si>
    <t>MASSE VOLUMIQUE DES ENROBES
(NF EN 12697-6-A1)</t>
  </si>
  <si>
    <t>n°</t>
  </si>
  <si>
    <t>RA N63C</t>
  </si>
  <si>
    <t>03/02/2026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</si>
  <si>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</si>
  <si>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</si>
  <si>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</si>
  <si>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</si>
  <si>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</si>
  <si>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</si>
  <si>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</si>
  <si>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Sylvain LHOPITAL</t>
  </si>
  <si>
    <t>26/01/2026</t>
  </si>
  <si>
    <t>Opérateur :</t>
  </si>
  <si>
    <t>Nature du produit :</t>
  </si>
  <si>
    <t>BBSG 0/10 Classe 3</t>
  </si>
  <si>
    <t>Date de(s) prélèvement(s) :</t>
  </si>
  <si>
    <t>Provenance :</t>
  </si>
  <si>
    <t>Carottage</t>
  </si>
  <si>
    <t>Date de(s) essai(s) :</t>
  </si>
  <si>
    <t>Couche :</t>
  </si>
  <si>
    <t>Roulement</t>
  </si>
  <si>
    <t>2/</t>
  </si>
  <si>
    <t>CRITERES DE CONFORMITE</t>
  </si>
  <si>
    <t>Source des critères :</t>
  </si>
  <si>
    <t>Définition des critères / objectifs :</t>
  </si>
  <si>
    <t>3/</t>
  </si>
  <si>
    <t>RESULTATS DES ESSAIS</t>
  </si>
  <si>
    <t>Température mesurée de l'eau :
(±1 - °C)</t>
  </si>
  <si>
    <t>°C</t>
  </si>
  <si>
    <t xml:space="preserve">Masse volumique de la paraffine: </t>
  </si>
  <si>
    <r>
      <t>kg/m</t>
    </r>
    <r>
      <rPr>
        <b/>
        <vertAlign val="superscript"/>
        <sz val="11"/>
        <color rgb="FF000000"/>
        <rFont val="Century Gothic"/>
        <family val="2"/>
      </rPr>
      <t>3</t>
    </r>
  </si>
  <si>
    <t>Masse volumique de l'eau :</t>
  </si>
  <si>
    <t>kg/m3</t>
  </si>
  <si>
    <t>MVR :</t>
  </si>
  <si>
    <t>Référence de l'éprouvette</t>
  </si>
  <si>
    <t>Masse séche
(g)</t>
  </si>
  <si>
    <t>Masse sèche paraffinée
(g)</t>
  </si>
  <si>
    <t>Masse dans l'eau
(g)</t>
  </si>
  <si>
    <r>
      <t>Masse volumique de l'éprouvette
(kg/m</t>
    </r>
    <r>
      <rPr>
        <b/>
        <vertAlign val="superscript"/>
        <sz val="11"/>
        <color rgb="FF000000"/>
        <rFont val="Century Gothic"/>
        <family val="2"/>
      </rPr>
      <t>3)</t>
    </r>
  </si>
  <si>
    <t>Compacité %</t>
  </si>
  <si>
    <t>% vides</t>
  </si>
  <si>
    <t>Hauteur de l'éprouvette (cm)</t>
  </si>
  <si>
    <t>Température mesurée au 1°C</t>
  </si>
  <si>
    <t>Facteur de correction K</t>
  </si>
  <si>
    <t>Facteur de correction à utiliser</t>
  </si>
  <si>
    <t>4/</t>
  </si>
  <si>
    <t>CONCLUSIONS</t>
  </si>
  <si>
    <t>Contrôle</t>
  </si>
  <si>
    <t>Nom</t>
  </si>
  <si>
    <t>Fonction</t>
  </si>
  <si>
    <t>Chef de section laboratoire</t>
  </si>
  <si>
    <t>5/</t>
  </si>
  <si>
    <t>COMMENTAIRES</t>
  </si>
  <si>
    <t>Visa</t>
  </si>
  <si>
    <t>Villeurbanne
Tram T6N</t>
  </si>
  <si>
    <t>BBSG 0/10 Classe 3 - P2R F114</t>
  </si>
  <si>
    <t>Non conforme</t>
  </si>
  <si>
    <t>Conforme</t>
  </si>
  <si>
    <r>
      <t>Masse volumique de l'éprouvette
(kg/m</t>
    </r>
    <r>
      <rPr>
        <b/>
        <vertAlign val="superscript"/>
        <sz val="11"/>
        <color rgb="FF000000"/>
        <rFont val="Century Gothic"/>
        <family val="2"/>
      </rPr>
      <t>3)</t>
    </r>
  </si>
  <si>
    <r>
      <t>kg/m</t>
    </r>
    <r>
      <rPr>
        <b/>
        <vertAlign val="superscript"/>
        <sz val="11"/>
        <color rgb="FF000000"/>
        <rFont val="Century Gothic"/>
        <family val="2"/>
      </rPr>
      <t>3</t>
    </r>
  </si>
  <si>
    <t>Roulement, Fondation</t>
  </si>
  <si>
    <t>Fondation</t>
  </si>
  <si>
    <t>GB 0/14 Classe 3</t>
  </si>
  <si>
    <t>GB 0/14 Classe 3 - P2R F157</t>
  </si>
  <si>
    <r>
      <t xml:space="preserve">4% </t>
    </r>
    <r>
      <rPr>
        <sz val="11"/>
        <color rgb="FF000000"/>
        <rFont val="Aptos Narrow"/>
        <family val="2"/>
      </rPr>
      <t>≤</t>
    </r>
    <r>
      <rPr>
        <sz val="11"/>
        <color rgb="FF000000"/>
        <rFont val="Century Gothic"/>
        <family val="2"/>
      </rPr>
      <t xml:space="preserve"> %vides </t>
    </r>
    <r>
      <rPr>
        <sz val="11"/>
        <color rgb="FF000000"/>
        <rFont val="Aptos Narrow"/>
        <family val="2"/>
      </rPr>
      <t>≤</t>
    </r>
    <r>
      <rPr>
        <sz val="11"/>
        <color rgb="FF000000"/>
        <rFont val="Century Gothic"/>
        <family val="2"/>
      </rPr>
      <t xml:space="preserve"> 8%</t>
    </r>
  </si>
  <si>
    <r>
      <t xml:space="preserve">%vides </t>
    </r>
    <r>
      <rPr>
        <sz val="11"/>
        <color rgb="FF000000"/>
        <rFont val="Aptos Narrow"/>
        <family val="2"/>
      </rPr>
      <t>≤</t>
    </r>
    <r>
      <rPr>
        <sz val="11"/>
        <color rgb="FF000000"/>
        <rFont val="Century Gothic"/>
        <family val="2"/>
      </rPr>
      <t xml:space="preserve"> 9%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</si>
</sst>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0"/>
  </numFmts>
  <fonts count="29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11"/>
      <color rgb="FF000000"/>
      <name val="Calibri"/>
      <family val="2"/>
    </font>
    <font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b/>
      <vertAlign val="superscript"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10"/>
      <color rgb="FF000000"/>
      <name val="Arial"/>
      <family val="2"/>
    </font>
    <font>
      <b/>
      <sz val="14"/>
      <name val="Century Gothic"/>
      <family val="2"/>
    </font>
    <font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1"/>
      <color rgb="FF000000"/>
      <name val="Calibri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sz val="8"/>
      <color rgb="FF000000"/>
      <name val="Century Gothic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369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7" xfId="0" applyFont="1" applyBorder="1" applyProtection="1">
      <protection hidden="1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0" xfId="0" applyFont="1"/>
    <xf numFmtId="0" fontId="8" fillId="0" borderId="0" xfId="0" applyFont="1" applyAlignment="1">
      <alignment horizontal="right"/>
    </xf>
    <xf numFmtId="164" fontId="1" fillId="0" borderId="7" xfId="0" applyNumberFormat="1" applyFont="1" applyBorder="1" applyAlignment="1" applyProtection="1">
      <alignment vertical="center"/>
      <protection hidden="1"/>
    </xf>
    <xf numFmtId="164" fontId="1" fillId="0" borderId="0" xfId="0" applyNumberFormat="1" applyFont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164" fontId="1" fillId="0" borderId="8" xfId="0" applyNumberFormat="1" applyFont="1" applyBorder="1" applyAlignment="1" applyProtection="1">
      <alignment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8" fillId="0" borderId="2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7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9" fillId="0" borderId="0" xfId="0" applyFont="1"/>
    <xf numFmtId="0" fontId="6" fillId="0" borderId="3" xfId="0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10" fillId="0" borderId="4" xfId="0" applyFont="1" applyBorder="1" applyAlignment="1" applyProtection="1">
      <alignment vertical="center"/>
      <protection hidden="1"/>
    </xf>
    <xf numFmtId="0" fontId="10" fillId="0" borderId="4" xfId="0" applyFont="1" applyBorder="1" applyProtection="1">
      <protection hidden="1"/>
    </xf>
    <xf numFmtId="0" fontId="10" fillId="0" borderId="6" xfId="0" applyFont="1" applyBorder="1" applyProtection="1">
      <protection hidden="1"/>
    </xf>
    <xf numFmtId="0" fontId="6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10" fillId="0" borderId="2" xfId="0" applyFont="1" applyBorder="1" applyAlignment="1" applyProtection="1">
      <alignment horizontal="center" vertical="center"/>
      <protection hidden="1"/>
    </xf>
    <xf numFmtId="0" fontId="10" fillId="0" borderId="2" xfId="0" applyFont="1" applyBorder="1" applyAlignment="1" applyProtection="1">
      <alignment horizontal="left" vertical="center"/>
      <protection hidden="1"/>
    </xf>
    <xf numFmtId="0" fontId="10" fillId="0" borderId="3" xfId="0" applyFont="1" applyBorder="1" applyAlignment="1" applyProtection="1">
      <alignment vertical="center" wrapText="1"/>
      <protection locked="0"/>
    </xf>
    <xf numFmtId="0" fontId="10" fillId="0" borderId="4" xfId="0" applyFont="1" applyBorder="1" applyAlignment="1" applyProtection="1">
      <alignment vertical="center" wrapText="1"/>
      <protection locked="0"/>
    </xf>
    <xf numFmtId="0" fontId="10" fillId="0" borderId="5" xfId="0" applyFont="1" applyBorder="1" applyAlignment="1" applyProtection="1">
      <alignment vertical="center" wrapText="1"/>
      <protection locked="0"/>
    </xf>
    <xf numFmtId="0" fontId="10" fillId="0" borderId="6" xfId="0" applyFont="1" applyBorder="1" applyAlignment="1" applyProtection="1">
      <alignment vertical="center" wrapText="1"/>
      <protection locked="0"/>
    </xf>
    <xf numFmtId="0" fontId="10" fillId="0" borderId="7" xfId="0" applyFont="1" applyBorder="1" applyAlignment="1" applyProtection="1">
      <alignment vertical="center" wrapText="1"/>
      <protection locked="0"/>
    </xf>
    <xf numFmtId="0" fontId="15" fillId="0" borderId="0" xfId="1"/>
    <xf numFmtId="0" fontId="19" fillId="0" borderId="0" xfId="1" applyFont="1" applyAlignment="1" applyProtection="1">
      <alignment vertical="center"/>
      <protection hidden="1"/>
    </xf>
    <xf numFmtId="0" fontId="19" fillId="0" borderId="0" xfId="1" applyFont="1" applyAlignment="1" applyProtection="1">
      <alignment horizontal="center" vertical="center"/>
      <protection hidden="1"/>
    </xf>
    <xf numFmtId="164" fontId="19" fillId="0" borderId="8" xfId="1" applyNumberFormat="1" applyFont="1" applyBorder="1" applyAlignment="1" applyProtection="1">
      <alignment vertical="center"/>
      <protection hidden="1"/>
    </xf>
    <xf numFmtId="0" fontId="19" fillId="0" borderId="2" xfId="1" applyFont="1" applyBorder="1" applyAlignment="1" applyProtection="1">
      <alignment horizontal="center" vertical="center"/>
      <protection hidden="1"/>
    </xf>
    <xf numFmtId="0" fontId="19" fillId="0" borderId="1" xfId="1" applyFont="1" applyBorder="1" applyAlignment="1" applyProtection="1">
      <alignment horizontal="center" vertical="center"/>
      <protection hidden="1"/>
    </xf>
    <xf numFmtId="164" fontId="19" fillId="0" borderId="7" xfId="1" applyNumberFormat="1" applyFont="1" applyBorder="1" applyAlignment="1" applyProtection="1">
      <alignment vertical="center"/>
      <protection hidden="1"/>
    </xf>
    <xf numFmtId="0" fontId="19" fillId="0" borderId="6" xfId="1" applyFont="1" applyBorder="1" applyAlignment="1" applyProtection="1">
      <alignment horizontal="center" vertical="center"/>
      <protection hidden="1"/>
    </xf>
    <xf numFmtId="164" fontId="19" fillId="0" borderId="0" xfId="1" applyNumberFormat="1" applyFont="1" applyAlignment="1" applyProtection="1">
      <alignment horizontal="center" vertical="center"/>
      <protection hidden="1"/>
    </xf>
    <xf numFmtId="0" fontId="19" fillId="0" borderId="0" xfId="1" applyFont="1" applyProtection="1">
      <protection hidden="1"/>
    </xf>
    <xf numFmtId="0" fontId="19" fillId="0" borderId="8" xfId="1" applyFont="1" applyBorder="1" applyAlignment="1" applyProtection="1">
      <alignment vertical="center" wrapText="1"/>
      <protection locked="0"/>
    </xf>
    <xf numFmtId="0" fontId="19" fillId="0" borderId="2" xfId="1" applyFont="1" applyBorder="1" applyAlignment="1" applyProtection="1">
      <alignment vertical="center" wrapText="1"/>
      <protection locked="0"/>
    </xf>
    <xf numFmtId="0" fontId="19" fillId="0" borderId="1" xfId="1" applyFont="1" applyBorder="1" applyAlignment="1" applyProtection="1">
      <alignment vertical="center" wrapText="1"/>
      <protection locked="0"/>
    </xf>
    <xf numFmtId="0" fontId="17" fillId="0" borderId="7" xfId="1" applyFont="1" applyBorder="1" applyAlignment="1" applyProtection="1">
      <alignment vertical="center" wrapText="1"/>
      <protection locked="0"/>
    </xf>
    <xf numFmtId="0" fontId="17" fillId="0" borderId="6" xfId="1" applyFont="1" applyBorder="1" applyAlignment="1" applyProtection="1">
      <alignment vertical="center" wrapText="1"/>
      <protection locked="0"/>
    </xf>
    <xf numFmtId="0" fontId="17" fillId="0" borderId="5" xfId="1" applyFont="1" applyBorder="1" applyAlignment="1" applyProtection="1">
      <alignment vertical="center" wrapText="1"/>
      <protection locked="0"/>
    </xf>
    <xf numFmtId="0" fontId="17" fillId="0" borderId="4" xfId="1" applyFont="1" applyBorder="1" applyAlignment="1" applyProtection="1">
      <alignment vertical="center" wrapText="1"/>
      <protection locked="0"/>
    </xf>
    <xf numFmtId="0" fontId="17" fillId="0" borderId="3" xfId="1" applyFont="1" applyBorder="1" applyAlignment="1" applyProtection="1">
      <alignment vertical="center" wrapText="1"/>
      <protection locked="0"/>
    </xf>
    <xf numFmtId="0" fontId="21" fillId="0" borderId="7" xfId="1" applyFont="1" applyBorder="1" applyAlignment="1" applyProtection="1">
      <alignment vertical="center"/>
      <protection hidden="1"/>
    </xf>
    <xf numFmtId="0" fontId="21" fillId="0" borderId="0" xfId="1" applyFont="1" applyAlignment="1" applyProtection="1">
      <alignment vertical="center"/>
      <protection hidden="1"/>
    </xf>
    <xf numFmtId="0" fontId="22" fillId="0" borderId="0" xfId="1" applyFont="1" applyAlignment="1" applyProtection="1">
      <alignment vertical="center"/>
      <protection hidden="1"/>
    </xf>
    <xf numFmtId="0" fontId="18" fillId="0" borderId="6" xfId="1" applyFont="1" applyBorder="1" applyAlignment="1" applyProtection="1">
      <alignment horizontal="center" vertical="center"/>
      <protection hidden="1"/>
    </xf>
    <xf numFmtId="0" fontId="23" fillId="0" borderId="0" xfId="1" applyFont="1"/>
    <xf numFmtId="0" fontId="19" fillId="0" borderId="4" xfId="1" applyFont="1" applyBorder="1" applyAlignment="1" applyProtection="1">
      <alignment vertical="center"/>
      <protection hidden="1"/>
    </xf>
    <xf numFmtId="0" fontId="19" fillId="0" borderId="10" xfId="1" applyFont="1" applyBorder="1" applyAlignment="1" applyProtection="1">
      <alignment vertical="center"/>
      <protection hidden="1"/>
    </xf>
    <xf numFmtId="0" fontId="24" fillId="0" borderId="10" xfId="1" applyFont="1" applyBorder="1" applyAlignment="1" applyProtection="1">
      <alignment vertical="center"/>
      <protection hidden="1"/>
    </xf>
    <xf numFmtId="0" fontId="22" fillId="0" borderId="10" xfId="1" applyFont="1" applyBorder="1" applyAlignment="1" applyProtection="1">
      <alignment vertical="center"/>
      <protection hidden="1"/>
    </xf>
    <xf numFmtId="0" fontId="18" fillId="0" borderId="9" xfId="1" applyFont="1" applyBorder="1" applyAlignment="1" applyProtection="1">
      <alignment horizontal="center" vertical="center"/>
      <protection hidden="1"/>
    </xf>
    <xf numFmtId="0" fontId="25" fillId="0" borderId="0" xfId="1" applyFont="1" applyAlignment="1" applyProtection="1">
      <alignment vertical="center"/>
      <protection hidden="1"/>
    </xf>
    <xf numFmtId="0" fontId="25" fillId="0" borderId="0" xfId="1" applyFont="1" applyAlignment="1" applyProtection="1">
      <alignment horizontal="center" vertical="center"/>
      <protection hidden="1"/>
    </xf>
    <xf numFmtId="0" fontId="19" fillId="0" borderId="8" xfId="1" applyFont="1" applyBorder="1" applyAlignment="1" applyProtection="1">
      <alignment vertical="center"/>
      <protection hidden="1"/>
    </xf>
    <xf numFmtId="0" fontId="19" fillId="0" borderId="2" xfId="1" applyFont="1" applyBorder="1" applyAlignment="1" applyProtection="1">
      <alignment vertical="center"/>
      <protection hidden="1"/>
    </xf>
    <xf numFmtId="0" fontId="25" fillId="0" borderId="2" xfId="1" applyFont="1" applyBorder="1" applyAlignment="1" applyProtection="1">
      <alignment vertical="center"/>
      <protection hidden="1"/>
    </xf>
    <xf numFmtId="0" fontId="25" fillId="0" borderId="1" xfId="1" applyFont="1" applyBorder="1" applyAlignment="1" applyProtection="1">
      <alignment horizontal="center" vertical="center"/>
      <protection hidden="1"/>
    </xf>
    <xf numFmtId="0" fontId="19" fillId="0" borderId="7" xfId="1" applyFont="1" applyBorder="1" applyAlignment="1" applyProtection="1">
      <alignment vertical="center"/>
      <protection hidden="1"/>
    </xf>
    <xf numFmtId="0" fontId="19" fillId="0" borderId="0" xfId="1" applyFont="1" applyAlignment="1">
      <alignment vertical="center"/>
    </xf>
    <xf numFmtId="2" fontId="19" fillId="0" borderId="0" xfId="1" applyNumberFormat="1" applyFont="1" applyAlignment="1">
      <alignment vertical="center"/>
    </xf>
    <xf numFmtId="165" fontId="19" fillId="0" borderId="0" xfId="1" applyNumberFormat="1" applyFont="1" applyAlignment="1">
      <alignment vertical="center"/>
    </xf>
    <xf numFmtId="0" fontId="19" fillId="0" borderId="0" xfId="1" applyFont="1"/>
    <xf numFmtId="0" fontId="25" fillId="0" borderId="0" xfId="1" applyFont="1"/>
    <xf numFmtId="0" fontId="25" fillId="0" borderId="0" xfId="1" applyFont="1" applyAlignment="1">
      <alignment horizontal="center"/>
    </xf>
    <xf numFmtId="0" fontId="25" fillId="0" borderId="0" xfId="1" applyFont="1" applyAlignment="1">
      <alignment horizontal="right"/>
    </xf>
    <xf numFmtId="0" fontId="25" fillId="0" borderId="0" xfId="1" applyFont="1" applyAlignment="1">
      <alignment horizontal="right" wrapText="1"/>
    </xf>
    <xf numFmtId="0" fontId="19" fillId="0" borderId="5" xfId="1" applyFont="1" applyBorder="1" applyAlignment="1" applyProtection="1">
      <alignment vertical="center"/>
      <protection hidden="1"/>
    </xf>
    <xf numFmtId="0" fontId="24" fillId="0" borderId="4" xfId="1" applyFont="1" applyBorder="1" applyAlignment="1" applyProtection="1">
      <alignment vertical="center"/>
      <protection hidden="1"/>
    </xf>
    <xf numFmtId="0" fontId="24" fillId="0" borderId="4" xfId="1" applyFont="1" applyBorder="1" applyAlignment="1" applyProtection="1">
      <alignment horizontal="center" vertical="center"/>
      <protection hidden="1"/>
    </xf>
    <xf numFmtId="0" fontId="22" fillId="0" borderId="4" xfId="1" applyFont="1" applyBorder="1" applyAlignment="1" applyProtection="1">
      <alignment vertical="center"/>
      <protection hidden="1"/>
    </xf>
    <xf numFmtId="0" fontId="18" fillId="0" borderId="3" xfId="1" applyFont="1" applyBorder="1" applyAlignment="1" applyProtection="1">
      <alignment horizontal="center" vertical="center"/>
      <protection hidden="1"/>
    </xf>
    <xf numFmtId="0" fontId="19" fillId="0" borderId="0" xfId="1" applyFont="1" applyAlignment="1" applyProtection="1">
      <alignment horizontal="left" vertical="center"/>
      <protection hidden="1"/>
    </xf>
    <xf numFmtId="0" fontId="19" fillId="0" borderId="8" xfId="1" applyFont="1" applyBorder="1" applyProtection="1">
      <protection hidden="1"/>
    </xf>
    <xf numFmtId="0" fontId="19" fillId="0" borderId="2" xfId="1" applyFont="1" applyBorder="1" applyProtection="1">
      <protection hidden="1"/>
    </xf>
    <xf numFmtId="0" fontId="19" fillId="0" borderId="1" xfId="1" applyFont="1" applyBorder="1" applyProtection="1">
      <protection hidden="1"/>
    </xf>
    <xf numFmtId="0" fontId="21" fillId="0" borderId="7" xfId="1" applyFont="1" applyBorder="1" applyAlignment="1" applyProtection="1">
      <alignment horizontal="left"/>
      <protection hidden="1"/>
    </xf>
    <xf numFmtId="0" fontId="17" fillId="0" borderId="6" xfId="1" applyFont="1" applyBorder="1" applyProtection="1">
      <protection hidden="1"/>
    </xf>
    <xf numFmtId="0" fontId="19" fillId="0" borderId="7" xfId="1" applyFont="1" applyBorder="1" applyProtection="1">
      <protection hidden="1"/>
    </xf>
    <xf numFmtId="0" fontId="17" fillId="0" borderId="0" xfId="1" applyFont="1" applyProtection="1">
      <protection hidden="1"/>
    </xf>
    <xf numFmtId="0" fontId="26" fillId="0" borderId="0" xfId="1" applyFont="1" applyProtection="1">
      <protection hidden="1"/>
    </xf>
    <xf numFmtId="0" fontId="19" fillId="0" borderId="5" xfId="1" applyFont="1" applyBorder="1" applyProtection="1">
      <protection hidden="1"/>
    </xf>
    <xf numFmtId="0" fontId="19" fillId="0" borderId="4" xfId="1" applyFont="1" applyBorder="1" applyProtection="1">
      <protection hidden="1"/>
    </xf>
    <xf numFmtId="0" fontId="17" fillId="0" borderId="4" xfId="1" applyFont="1" applyBorder="1" applyProtection="1">
      <protection hidden="1"/>
    </xf>
    <xf numFmtId="0" fontId="20" fillId="0" borderId="4" xfId="1" applyFont="1" applyBorder="1" applyAlignment="1" applyProtection="1">
      <alignment vertical="center"/>
      <protection hidden="1"/>
    </xf>
    <xf numFmtId="0" fontId="26" fillId="0" borderId="3" xfId="1" applyFont="1" applyBorder="1" applyAlignment="1" applyProtection="1">
      <alignment horizontal="center" vertical="center"/>
      <protection hidden="1"/>
    </xf>
    <xf numFmtId="14" fontId="26" fillId="0" borderId="0" xfId="1" applyNumberFormat="1" applyFont="1" applyAlignment="1" applyProtection="1">
      <alignment horizontal="center"/>
      <protection hidden="1"/>
    </xf>
    <xf numFmtId="0" fontId="20" fillId="0" borderId="0" xfId="1" applyFont="1" applyAlignment="1" applyProtection="1">
      <alignment horizontal="right"/>
      <protection hidden="1"/>
    </xf>
    <xf numFmtId="0" fontId="22" fillId="0" borderId="0" xfId="1" applyFont="1" applyAlignment="1" applyProtection="1">
      <alignment horizontal="right"/>
      <protection hidden="1"/>
    </xf>
    <xf numFmtId="0" fontId="17" fillId="0" borderId="2" xfId="1" applyFont="1" applyBorder="1" applyAlignment="1" applyProtection="1">
      <alignment vertical="center"/>
      <protection hidden="1"/>
    </xf>
    <xf numFmtId="0" fontId="17" fillId="0" borderId="2" xfId="1" applyFont="1" applyBorder="1" applyAlignment="1" applyProtection="1">
      <alignment horizontal="left" vertical="center"/>
      <protection hidden="1"/>
    </xf>
    <xf numFmtId="0" fontId="17" fillId="0" borderId="2" xfId="1" applyFont="1" applyBorder="1" applyAlignment="1" applyProtection="1">
      <alignment horizontal="center" vertical="center"/>
      <protection hidden="1"/>
    </xf>
    <xf numFmtId="0" fontId="21" fillId="0" borderId="7" xfId="1" applyFont="1" applyBorder="1" applyAlignment="1" applyProtection="1">
      <alignment horizontal="left" vertical="center"/>
      <protection hidden="1"/>
    </xf>
    <xf numFmtId="0" fontId="19" fillId="0" borderId="4" xfId="1" applyFont="1" applyBorder="1" applyAlignment="1" applyProtection="1">
      <alignment horizontal="center" vertical="center"/>
      <protection hidden="1"/>
    </xf>
    <xf numFmtId="0" fontId="17" fillId="0" borderId="4" xfId="1" applyFont="1" applyBorder="1" applyAlignment="1" applyProtection="1">
      <alignment vertical="center"/>
      <protection hidden="1"/>
    </xf>
    <xf numFmtId="0" fontId="19" fillId="0" borderId="1" xfId="1" applyFont="1" applyBorder="1" applyAlignment="1" applyProtection="1">
      <alignment vertical="center"/>
      <protection hidden="1"/>
    </xf>
    <xf numFmtId="0" fontId="19" fillId="0" borderId="0" xfId="1" applyFont="1" applyAlignment="1" applyProtection="1">
      <alignment horizontal="right" vertical="center"/>
      <protection hidden="1"/>
    </xf>
    <xf numFmtId="165" fontId="17" fillId="0" borderId="15" xfId="1" applyNumberFormat="1" applyFont="1" applyBorder="1" applyAlignment="1">
      <alignment horizontal="center" vertical="center"/>
    </xf>
    <xf numFmtId="0" fontId="17" fillId="0" borderId="15" xfId="1" applyFont="1" applyBorder="1" applyAlignment="1">
      <alignment horizontal="center" vertical="center"/>
    </xf>
    <xf numFmtId="0" fontId="17" fillId="0" borderId="16" xfId="1" applyFont="1" applyBorder="1" applyAlignment="1">
      <alignment horizontal="center" vertical="center"/>
    </xf>
    <xf numFmtId="0" fontId="17" fillId="0" borderId="26" xfId="1" applyFont="1" applyBorder="1" applyAlignment="1">
      <alignment horizontal="center" vertical="center"/>
    </xf>
    <xf numFmtId="0" fontId="17" fillId="0" borderId="6" xfId="1" applyFont="1" applyBorder="1" applyAlignment="1" applyProtection="1">
      <alignment horizontal="left" vertical="center" wrapText="1"/>
      <protection locked="0"/>
    </xf>
    <xf numFmtId="0" fontId="17" fillId="0" borderId="0" xfId="1" applyFont="1" applyAlignment="1" applyProtection="1">
      <alignment horizontal="left" vertical="center" wrapText="1"/>
      <protection locked="0"/>
    </xf>
    <xf numFmtId="0" fontId="17" fillId="0" borderId="7" xfId="1" applyFont="1" applyBorder="1" applyAlignment="1" applyProtection="1">
      <alignment horizontal="left" vertical="center" wrapText="1"/>
      <protection locked="0"/>
    </xf>
    <xf numFmtId="0" fontId="17" fillId="0" borderId="1" xfId="1" applyFont="1" applyBorder="1" applyAlignment="1" applyProtection="1">
      <alignment horizontal="left" vertical="center" wrapText="1"/>
      <protection locked="0"/>
    </xf>
    <xf numFmtId="0" fontId="17" fillId="0" borderId="2" xfId="1" applyFont="1" applyBorder="1" applyAlignment="1" applyProtection="1">
      <alignment horizontal="left" vertical="center" wrapText="1"/>
      <protection locked="0"/>
    </xf>
    <xf numFmtId="0" fontId="17" fillId="0" borderId="8" xfId="1" applyFont="1" applyBorder="1" applyAlignment="1" applyProtection="1">
      <alignment horizontal="left" vertical="center" wrapText="1"/>
      <protection locked="0"/>
    </xf>
    <xf numFmtId="0" fontId="20" fillId="0" borderId="6" xfId="1" applyFont="1" applyBorder="1" applyAlignment="1" applyProtection="1">
      <alignment horizontal="center" vertical="center"/>
      <protection hidden="1"/>
    </xf>
    <xf numFmtId="0" fontId="20" fillId="0" borderId="0" xfId="1" applyFont="1" applyAlignment="1" applyProtection="1">
      <alignment horizontal="center" vertical="center"/>
      <protection hidden="1"/>
    </xf>
    <xf numFmtId="0" fontId="20" fillId="0" borderId="7" xfId="1" applyFont="1" applyBorder="1" applyAlignment="1" applyProtection="1">
      <alignment horizontal="center" vertical="center"/>
      <protection hidden="1"/>
    </xf>
    <xf numFmtId="0" fontId="20" fillId="0" borderId="1" xfId="1" applyFont="1" applyBorder="1" applyAlignment="1" applyProtection="1">
      <alignment horizontal="center" vertical="center"/>
      <protection hidden="1"/>
    </xf>
    <xf numFmtId="0" fontId="20" fillId="0" borderId="2" xfId="1" applyFont="1" applyBorder="1" applyAlignment="1" applyProtection="1">
      <alignment horizontal="center" vertical="center"/>
      <protection hidden="1"/>
    </xf>
    <xf numFmtId="0" fontId="20" fillId="0" borderId="8" xfId="1" applyFont="1" applyBorder="1" applyAlignment="1" applyProtection="1">
      <alignment horizontal="center" vertical="center"/>
      <protection hidden="1"/>
    </xf>
    <xf numFmtId="0" fontId="19" fillId="0" borderId="5" xfId="1" applyFont="1" applyBorder="1" applyAlignment="1" applyProtection="1">
      <alignment horizontal="center" vertical="center" wrapText="1"/>
      <protection hidden="1"/>
    </xf>
    <xf numFmtId="0" fontId="19" fillId="0" borderId="7" xfId="1" applyFont="1" applyBorder="1" applyAlignment="1" applyProtection="1">
      <alignment horizontal="center" vertical="center" wrapText="1"/>
      <protection hidden="1"/>
    </xf>
    <xf numFmtId="0" fontId="19" fillId="0" borderId="8" xfId="1" applyFont="1" applyBorder="1" applyAlignment="1" applyProtection="1">
      <alignment horizontal="center" vertical="center" wrapText="1"/>
      <protection hidden="1"/>
    </xf>
    <xf numFmtId="0" fontId="26" fillId="0" borderId="19" xfId="1" applyFont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2" xfId="1" applyFont="1" applyBorder="1" applyAlignment="1">
      <alignment horizontal="center" vertical="center" wrapText="1"/>
    </xf>
    <xf numFmtId="0" fontId="17" fillId="0" borderId="0" xfId="1" applyFont="1" applyAlignment="1" applyProtection="1">
      <alignment horizontal="center" vertical="center" wrapText="1"/>
      <protection locked="0"/>
    </xf>
    <xf numFmtId="0" fontId="19" fillId="0" borderId="3" xfId="1" applyFont="1" applyBorder="1" applyAlignment="1" applyProtection="1">
      <alignment horizontal="center" vertical="center" wrapText="1"/>
      <protection hidden="1"/>
    </xf>
    <xf numFmtId="0" fontId="19" fillId="0" borderId="6" xfId="1" applyFont="1" applyBorder="1" applyAlignment="1" applyProtection="1">
      <alignment horizontal="center" vertical="center" wrapText="1"/>
      <protection hidden="1"/>
    </xf>
    <xf numFmtId="0" fontId="19" fillId="0" borderId="1" xfId="1" applyFont="1" applyBorder="1" applyAlignment="1" applyProtection="1">
      <alignment horizontal="center" vertical="center" wrapText="1"/>
      <protection hidden="1"/>
    </xf>
    <xf numFmtId="0" fontId="19" fillId="0" borderId="4" xfId="1" applyFont="1" applyBorder="1" applyAlignment="1" applyProtection="1">
      <alignment horizontal="center" vertical="center" wrapText="1"/>
      <protection hidden="1"/>
    </xf>
    <xf numFmtId="0" fontId="19" fillId="0" borderId="0" xfId="1" applyFont="1" applyAlignment="1" applyProtection="1">
      <alignment horizontal="center" vertical="center" wrapText="1"/>
      <protection hidden="1"/>
    </xf>
    <xf numFmtId="0" fontId="19" fillId="0" borderId="2" xfId="1" applyFont="1" applyBorder="1" applyAlignment="1" applyProtection="1">
      <alignment horizontal="center" vertical="center" wrapText="1"/>
      <protection hidden="1"/>
    </xf>
    <xf numFmtId="0" fontId="17" fillId="0" borderId="3" xfId="1" applyFont="1" applyBorder="1" applyAlignment="1" applyProtection="1">
      <alignment horizontal="center" vertical="center" wrapText="1"/>
      <protection locked="0"/>
    </xf>
    <xf numFmtId="0" fontId="17" fillId="0" borderId="4" xfId="1" applyFont="1" applyBorder="1" applyAlignment="1" applyProtection="1">
      <alignment horizontal="center" vertical="center" wrapText="1"/>
      <protection locked="0"/>
    </xf>
    <xf numFmtId="0" fontId="17" fillId="0" borderId="5" xfId="1" applyFont="1" applyBorder="1" applyAlignment="1" applyProtection="1">
      <alignment horizontal="center" vertical="center" wrapText="1"/>
      <protection locked="0"/>
    </xf>
    <xf numFmtId="0" fontId="17" fillId="0" borderId="6" xfId="1" applyFont="1" applyBorder="1" applyAlignment="1" applyProtection="1">
      <alignment horizontal="center" vertical="center" wrapText="1"/>
      <protection locked="0"/>
    </xf>
    <xf numFmtId="0" fontId="17" fillId="0" borderId="7" xfId="1" applyFont="1" applyBorder="1" applyAlignment="1" applyProtection="1">
      <alignment horizontal="center" vertical="center" wrapText="1"/>
      <protection locked="0"/>
    </xf>
    <xf numFmtId="0" fontId="17" fillId="0" borderId="1" xfId="1" applyFont="1" applyBorder="1" applyAlignment="1" applyProtection="1">
      <alignment horizontal="center" vertical="center" wrapText="1"/>
      <protection locked="0"/>
    </xf>
    <xf numFmtId="0" fontId="17" fillId="0" borderId="2" xfId="1" applyFont="1" applyBorder="1" applyAlignment="1" applyProtection="1">
      <alignment horizontal="center" vertical="center" wrapText="1"/>
      <protection locked="0"/>
    </xf>
    <xf numFmtId="0" fontId="17" fillId="0" borderId="8" xfId="1" applyFont="1" applyBorder="1" applyAlignment="1" applyProtection="1">
      <alignment horizontal="center" vertical="center" wrapText="1"/>
      <protection locked="0"/>
    </xf>
    <xf numFmtId="0" fontId="19" fillId="0" borderId="18" xfId="1" applyFont="1" applyBorder="1" applyAlignment="1">
      <alignment horizontal="center" vertical="center"/>
    </xf>
    <xf numFmtId="0" fontId="19" fillId="0" borderId="25" xfId="1" applyFont="1" applyBorder="1" applyAlignment="1">
      <alignment horizontal="center" vertical="center"/>
    </xf>
    <xf numFmtId="0" fontId="18" fillId="0" borderId="6" xfId="1" applyFont="1" applyBorder="1" applyAlignment="1" applyProtection="1">
      <alignment horizontal="center" vertical="center"/>
      <protection hidden="1"/>
    </xf>
    <xf numFmtId="0" fontId="18" fillId="0" borderId="0" xfId="1" applyFont="1" applyAlignment="1" applyProtection="1">
      <alignment horizontal="center" vertical="center"/>
      <protection hidden="1"/>
    </xf>
    <xf numFmtId="0" fontId="18" fillId="0" borderId="7" xfId="1" applyFont="1" applyBorder="1" applyAlignment="1" applyProtection="1">
      <alignment horizontal="center" vertical="center"/>
      <protection hidden="1"/>
    </xf>
    <xf numFmtId="0" fontId="18" fillId="0" borderId="1" xfId="1" applyFont="1" applyBorder="1" applyAlignment="1" applyProtection="1">
      <alignment horizontal="center" vertical="center"/>
      <protection hidden="1"/>
    </xf>
    <xf numFmtId="0" fontId="18" fillId="0" borderId="2" xfId="1" applyFont="1" applyBorder="1" applyAlignment="1" applyProtection="1">
      <alignment horizontal="center" vertical="center"/>
      <protection hidden="1"/>
    </xf>
    <xf numFmtId="0" fontId="18" fillId="0" borderId="8" xfId="1" applyFont="1" applyBorder="1" applyAlignment="1" applyProtection="1">
      <alignment horizontal="center" vertical="center"/>
      <protection hidden="1"/>
    </xf>
    <xf numFmtId="0" fontId="18" fillId="0" borderId="12" xfId="1" applyFont="1" applyBorder="1" applyAlignment="1" applyProtection="1">
      <alignment horizontal="center" vertical="center"/>
      <protection hidden="1"/>
    </xf>
    <xf numFmtId="0" fontId="18" fillId="0" borderId="13" xfId="1" applyFont="1" applyBorder="1" applyAlignment="1" applyProtection="1">
      <alignment horizontal="center" vertical="center"/>
      <protection hidden="1"/>
    </xf>
    <xf numFmtId="0" fontId="18" fillId="0" borderId="14" xfId="1" applyFont="1" applyBorder="1" applyAlignment="1" applyProtection="1">
      <alignment horizontal="center" vertical="center"/>
      <protection hidden="1"/>
    </xf>
    <xf numFmtId="0" fontId="20" fillId="0" borderId="11" xfId="1" applyFont="1" applyBorder="1" applyAlignment="1" applyProtection="1">
      <alignment horizontal="center" vertical="center" wrapText="1"/>
      <protection hidden="1"/>
    </xf>
    <xf numFmtId="0" fontId="19" fillId="0" borderId="11" xfId="1" applyFont="1" applyBorder="1" applyAlignment="1" applyProtection="1">
      <alignment horizontal="center" vertical="center" wrapText="1"/>
      <protection hidden="1"/>
    </xf>
    <xf numFmtId="0" fontId="19" fillId="0" borderId="20" xfId="1" applyFont="1" applyBorder="1" applyAlignment="1" applyProtection="1">
      <alignment horizontal="center" vertical="center" wrapText="1"/>
      <protection hidden="1"/>
    </xf>
    <xf numFmtId="0" fontId="17" fillId="0" borderId="21" xfId="1" applyFont="1" applyBorder="1" applyAlignment="1" applyProtection="1">
      <alignment horizontal="center" vertical="center" wrapText="1"/>
      <protection locked="0"/>
    </xf>
    <xf numFmtId="0" fontId="17" fillId="0" borderId="11" xfId="1" applyFont="1" applyBorder="1" applyAlignment="1" applyProtection="1">
      <alignment horizontal="center" vertical="center" wrapText="1"/>
      <protection locked="0"/>
    </xf>
    <xf numFmtId="0" fontId="17" fillId="0" borderId="20" xfId="1" applyFont="1" applyBorder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6" fillId="0" borderId="19" xfId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6" fillId="0" borderId="2" xfId="1" applyFont="1" applyBorder="1" applyAlignment="1">
      <alignment horizontal="center" vertical="center"/>
    </xf>
    <xf numFmtId="0" fontId="26" fillId="0" borderId="22" xfId="1" applyFont="1" applyBorder="1" applyAlignment="1">
      <alignment horizontal="center" vertical="center" wrapText="1"/>
    </xf>
    <xf numFmtId="0" fontId="26" fillId="0" borderId="23" xfId="1" applyFont="1" applyBorder="1" applyAlignment="1">
      <alignment horizontal="center" vertical="center" wrapText="1"/>
    </xf>
    <xf numFmtId="0" fontId="26" fillId="0" borderId="24" xfId="1" applyFont="1" applyBorder="1" applyAlignment="1">
      <alignment horizontal="center" vertical="center" wrapText="1"/>
    </xf>
    <xf numFmtId="0" fontId="17" fillId="0" borderId="0" xfId="1" applyFont="1" applyAlignment="1" applyProtection="1">
      <alignment horizontal="left"/>
      <protection locked="0"/>
    </xf>
    <xf numFmtId="0" fontId="10" fillId="0" borderId="0" xfId="1" applyFont="1" applyAlignment="1" applyProtection="1">
      <alignment horizontal="left"/>
      <protection locked="0"/>
    </xf>
    <xf numFmtId="0" fontId="26" fillId="0" borderId="4" xfId="1" applyFont="1" applyBorder="1" applyAlignment="1">
      <alignment horizontal="left" vertical="center"/>
    </xf>
    <xf numFmtId="0" fontId="26" fillId="0" borderId="5" xfId="1" applyFont="1" applyBorder="1" applyAlignment="1">
      <alignment horizontal="left" vertical="center"/>
    </xf>
    <xf numFmtId="0" fontId="26" fillId="0" borderId="0" xfId="1" applyFont="1" applyAlignment="1">
      <alignment horizontal="left" vertical="center"/>
    </xf>
    <xf numFmtId="0" fontId="26" fillId="0" borderId="7" xfId="1" applyFont="1" applyBorder="1" applyAlignment="1">
      <alignment horizontal="left" vertical="center"/>
    </xf>
    <xf numFmtId="0" fontId="26" fillId="0" borderId="2" xfId="1" applyFont="1" applyBorder="1" applyAlignment="1">
      <alignment horizontal="left" vertical="center"/>
    </xf>
    <xf numFmtId="0" fontId="26" fillId="0" borderId="8" xfId="1" applyFont="1" applyBorder="1" applyAlignment="1">
      <alignment horizontal="left" vertical="center"/>
    </xf>
    <xf numFmtId="0" fontId="26" fillId="0" borderId="4" xfId="1" applyFont="1" applyBorder="1" applyAlignment="1">
      <alignment horizontal="center" vertical="center"/>
    </xf>
    <xf numFmtId="165" fontId="26" fillId="0" borderId="4" xfId="1" applyNumberFormat="1" applyFont="1" applyBorder="1" applyAlignment="1">
      <alignment horizontal="center" vertical="center"/>
    </xf>
    <xf numFmtId="165" fontId="26" fillId="0" borderId="0" xfId="1" applyNumberFormat="1" applyFont="1" applyAlignment="1">
      <alignment horizontal="center" vertical="center"/>
    </xf>
    <xf numFmtId="165" fontId="26" fillId="0" borderId="2" xfId="1" applyNumberFormat="1" applyFont="1" applyBorder="1" applyAlignment="1">
      <alignment horizontal="center" vertical="center"/>
    </xf>
    <xf numFmtId="0" fontId="26" fillId="0" borderId="3" xfId="1" applyFont="1" applyBorder="1" applyAlignment="1">
      <alignment horizontal="center" vertical="center" wrapText="1"/>
    </xf>
    <xf numFmtId="0" fontId="26" fillId="0" borderId="4" xfId="1" applyFont="1" applyBorder="1" applyAlignment="1">
      <alignment horizontal="center" vertical="center" wrapText="1"/>
    </xf>
    <xf numFmtId="0" fontId="26" fillId="0" borderId="6" xfId="1" applyFont="1" applyBorder="1" applyAlignment="1">
      <alignment horizontal="center" vertical="center" wrapText="1"/>
    </xf>
    <xf numFmtId="0" fontId="26" fillId="0" borderId="1" xfId="1" applyFont="1" applyBorder="1" applyAlignment="1">
      <alignment horizontal="center" vertical="center" wrapText="1"/>
    </xf>
    <xf numFmtId="0" fontId="26" fillId="0" borderId="3" xfId="1" applyFont="1" applyBorder="1" applyAlignment="1">
      <alignment horizontal="center" vertical="center"/>
    </xf>
    <xf numFmtId="0" fontId="26" fillId="0" borderId="6" xfId="1" applyFont="1" applyBorder="1" applyAlignment="1">
      <alignment horizontal="center" vertical="center"/>
    </xf>
    <xf numFmtId="0" fontId="26" fillId="0" borderId="1" xfId="1" applyFont="1" applyBorder="1" applyAlignment="1">
      <alignment horizontal="center" vertical="center"/>
    </xf>
    <xf numFmtId="0" fontId="18" fillId="0" borderId="11" xfId="1" applyFont="1" applyBorder="1" applyAlignment="1" applyProtection="1">
      <alignment horizontal="center" vertical="center"/>
      <protection hidden="1"/>
    </xf>
    <xf numFmtId="0" fontId="21" fillId="0" borderId="11" xfId="1" applyFont="1" applyBorder="1" applyAlignment="1" applyProtection="1">
      <alignment horizontal="center" vertical="center"/>
      <protection hidden="1"/>
    </xf>
    <xf numFmtId="0" fontId="17" fillId="0" borderId="0" xfId="1" applyFont="1" applyAlignment="1" applyProtection="1">
      <alignment horizontal="left" vertical="center"/>
      <protection hidden="1"/>
    </xf>
    <xf numFmtId="14" fontId="17" fillId="0" borderId="0" xfId="1" applyNumberFormat="1" applyFont="1" applyAlignment="1" applyProtection="1">
      <alignment horizontal="left" vertical="center"/>
      <protection locked="0"/>
    </xf>
    <xf numFmtId="0" fontId="19" fillId="0" borderId="17" xfId="1" applyFont="1" applyBorder="1" applyAlignment="1">
      <alignment horizontal="center" vertical="center"/>
    </xf>
    <xf numFmtId="0" fontId="17" fillId="0" borderId="0" xfId="1" applyFont="1" applyAlignment="1" applyProtection="1">
      <alignment horizontal="left"/>
      <protection hidden="1"/>
    </xf>
    <xf numFmtId="0" fontId="25" fillId="0" borderId="3" xfId="1" applyFont="1" applyBorder="1" applyAlignment="1" applyProtection="1">
      <alignment horizontal="center" vertical="center"/>
      <protection hidden="1"/>
    </xf>
    <xf numFmtId="0" fontId="25" fillId="0" borderId="4" xfId="1" applyFont="1" applyBorder="1" applyAlignment="1" applyProtection="1">
      <alignment horizontal="center" vertical="center"/>
      <protection hidden="1"/>
    </xf>
    <xf numFmtId="0" fontId="25" fillId="0" borderId="5" xfId="1" applyFont="1" applyBorder="1" applyAlignment="1" applyProtection="1">
      <alignment horizontal="center" vertical="center"/>
      <protection hidden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26" fillId="0" borderId="29" xfId="1" applyFont="1" applyBorder="1" applyAlignment="1">
      <alignment horizontal="center" vertical="center" wrapText="1"/>
    </xf>
    <xf numFmtId="0" fontId="16" fillId="0" borderId="30" xfId="1" applyFont="1" applyBorder="1" applyAlignment="1" applyProtection="1">
      <alignment horizontal="center" vertical="center" wrapText="1"/>
      <protection locked="0"/>
    </xf>
    <xf numFmtId="0" fontId="16" fillId="0" borderId="31" xfId="1" applyFont="1" applyBorder="1" applyAlignment="1" applyProtection="1">
      <alignment horizontal="center" vertical="center" wrapText="1"/>
      <protection locked="0"/>
    </xf>
    <xf numFmtId="0" fontId="16" fillId="0" borderId="32" xfId="1" applyFont="1" applyBorder="1" applyAlignment="1" applyProtection="1">
      <alignment horizontal="center" vertical="center" wrapText="1"/>
      <protection locked="0"/>
    </xf>
    <xf numFmtId="0" fontId="16" fillId="0" borderId="33" xfId="1" applyFont="1" applyBorder="1" applyAlignment="1" applyProtection="1">
      <alignment horizontal="center" vertical="center" wrapText="1"/>
      <protection locked="0"/>
    </xf>
    <xf numFmtId="0" fontId="16" fillId="0" borderId="0" xfId="1" applyFont="1" applyAlignment="1" applyProtection="1">
      <alignment horizontal="center" vertical="center" wrapText="1"/>
      <protection locked="0"/>
    </xf>
    <xf numFmtId="0" fontId="16" fillId="0" borderId="34" xfId="1" applyFont="1" applyBorder="1" applyAlignment="1" applyProtection="1">
      <alignment horizontal="center" vertical="center" wrapText="1"/>
      <protection locked="0"/>
    </xf>
    <xf numFmtId="0" fontId="16" fillId="0" borderId="35" xfId="1" applyFont="1" applyBorder="1" applyAlignment="1" applyProtection="1">
      <alignment horizontal="center" vertical="center" wrapText="1"/>
      <protection locked="0"/>
    </xf>
    <xf numFmtId="0" fontId="16" fillId="0" borderId="36" xfId="1" applyFont="1" applyBorder="1" applyAlignment="1" applyProtection="1">
      <alignment horizontal="center" vertical="center" wrapText="1"/>
      <protection locked="0"/>
    </xf>
    <xf numFmtId="0" fontId="16" fillId="0" borderId="37" xfId="1" applyFont="1" applyBorder="1" applyAlignment="1" applyProtection="1">
      <alignment horizontal="center" vertical="center" wrapText="1"/>
      <protection locked="0"/>
    </xf>
    <xf numFmtId="0" fontId="14" fillId="0" borderId="6" xfId="1" applyFont="1" applyBorder="1" applyAlignment="1" applyProtection="1">
      <alignment horizontal="center" vertical="center" wrapText="1"/>
      <protection hidden="1"/>
    </xf>
    <xf numFmtId="0" fontId="14" fillId="0" borderId="0" xfId="1" applyFont="1" applyAlignment="1" applyProtection="1">
      <alignment horizontal="center" vertical="center" wrapText="1"/>
      <protection hidden="1"/>
    </xf>
    <xf numFmtId="0" fontId="14" fillId="0" borderId="7" xfId="1" applyFont="1" applyBorder="1" applyAlignment="1" applyProtection="1">
      <alignment horizontal="center" vertical="center" wrapText="1"/>
      <protection hidden="1"/>
    </xf>
    <xf numFmtId="0" fontId="18" fillId="0" borderId="6" xfId="1" applyFont="1" applyBorder="1" applyAlignment="1" applyProtection="1">
      <alignment horizontal="center" vertical="center" wrapText="1"/>
      <protection hidden="1"/>
    </xf>
    <xf numFmtId="0" fontId="18" fillId="0" borderId="0" xfId="1" applyFont="1" applyAlignment="1" applyProtection="1">
      <alignment horizontal="center" vertical="center" wrapText="1"/>
      <protection hidden="1"/>
    </xf>
    <xf numFmtId="166" fontId="26" fillId="0" borderId="0" xfId="1" applyNumberFormat="1" applyFont="1" applyAlignment="1" applyProtection="1">
      <alignment horizontal="center" vertical="center"/>
      <protection locked="0"/>
    </xf>
    <xf numFmtId="166" fontId="26" fillId="0" borderId="7" xfId="1" applyNumberFormat="1" applyFont="1" applyBorder="1" applyAlignment="1" applyProtection="1">
      <alignment horizontal="center" vertical="center"/>
      <protection locked="0"/>
    </xf>
    <xf numFmtId="0" fontId="26" fillId="0" borderId="6" xfId="1" applyFont="1" applyBorder="1" applyAlignment="1" applyProtection="1">
      <alignment horizontal="center" vertical="center"/>
      <protection locked="0"/>
    </xf>
    <xf numFmtId="0" fontId="26" fillId="0" borderId="0" xfId="1" applyFont="1" applyAlignment="1" applyProtection="1">
      <alignment horizontal="center" vertical="center"/>
      <protection locked="0"/>
    </xf>
    <xf numFmtId="0" fontId="26" fillId="0" borderId="7" xfId="1" applyFont="1" applyBorder="1" applyAlignment="1" applyProtection="1">
      <alignment horizontal="center" vertical="center"/>
      <protection locked="0"/>
    </xf>
    <xf numFmtId="14" fontId="26" fillId="0" borderId="6" xfId="1" applyNumberFormat="1" applyFont="1" applyBorder="1" applyAlignment="1" applyProtection="1">
      <alignment horizontal="center" vertical="center"/>
      <protection locked="0"/>
    </xf>
    <xf numFmtId="14" fontId="26" fillId="0" borderId="0" xfId="1" applyNumberFormat="1" applyFont="1" applyAlignment="1" applyProtection="1">
      <alignment horizontal="center" vertical="center"/>
      <protection locked="0"/>
    </xf>
    <xf numFmtId="14" fontId="26" fillId="0" borderId="7" xfId="1" applyNumberFormat="1" applyFont="1" applyBorder="1" applyAlignment="1" applyProtection="1">
      <alignment horizontal="center" vertical="center"/>
      <protection locked="0"/>
    </xf>
    <xf numFmtId="0" fontId="27" fillId="0" borderId="2" xfId="1" applyFont="1" applyBorder="1" applyAlignment="1" applyProtection="1">
      <alignment horizontal="center" vertical="center"/>
      <protection hidden="1"/>
    </xf>
    <xf numFmtId="0" fontId="27" fillId="0" borderId="8" xfId="1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1" fillId="0" borderId="6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166" fontId="6" fillId="0" borderId="0" xfId="0" applyNumberFormat="1" applyFont="1" applyAlignment="1" applyProtection="1">
      <alignment horizontal="center" vertical="center"/>
      <protection locked="0"/>
    </xf>
    <xf numFmtId="166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14" fontId="10" fillId="0" borderId="0" xfId="0" applyNumberFormat="1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17" fillId="0" borderId="26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0" xfId="0" applyFont="1" applyAlignment="1" applyProtection="1">
      <alignment horizontal="left"/>
      <protection hidden="1"/>
    </xf>
    <xf numFmtId="165" fontId="10" fillId="0" borderId="15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10" fillId="0" borderId="0" xfId="0" applyFont="1" applyAlignment="1" applyProtection="1">
      <alignment horizontal="left"/>
      <protection locked="0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165" fontId="6" fillId="0" borderId="4" xfId="0" applyNumberFormat="1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8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14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6" xfId="0" applyFont="1" applyBorder="1" applyAlignment="1" applyProtection="1">
      <alignment horizontal="left"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0" fontId="10" fillId="0" borderId="7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10" fillId="0" borderId="2" xfId="0" applyFont="1" applyBorder="1" applyAlignment="1" applyProtection="1">
      <alignment horizontal="left" vertical="center" wrapText="1"/>
      <protection locked="0"/>
    </xf>
    <xf numFmtId="0" fontId="10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5" fillId="0" borderId="11" xfId="0" applyFont="1" applyBorder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center" vertical="center" wrapText="1"/>
      <protection hidden="1"/>
    </xf>
    <xf numFmtId="0" fontId="1" fillId="0" borderId="20" xfId="0" applyFont="1" applyBorder="1" applyAlignment="1" applyProtection="1">
      <alignment horizontal="center" vertical="center" wrapText="1"/>
      <protection hidden="1"/>
    </xf>
    <xf numFmtId="0" fontId="17" fillId="0" borderId="21" xfId="0" applyFont="1" applyBorder="1" applyAlignment="1" applyProtection="1">
      <alignment horizontal="center" vertical="center" wrapText="1"/>
      <protection locked="0"/>
    </xf>
    <xf numFmtId="0" fontId="10" fillId="0" borderId="11" xfId="0" applyFont="1" applyBorder="1" applyAlignment="1" applyProtection="1">
      <alignment horizontal="center" vertical="center" wrapText="1"/>
      <protection locked="0"/>
    </xf>
    <xf numFmtId="0" fontId="10" fillId="0" borderId="20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5AC46497-34EC-41F4-A761-4F3B0B392DA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3C0102E-C44F-4D9E-80B3-C4AE0377E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90" y="34290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76200</xdr:colOff>
      <xdr:row>57</xdr:row>
      <xdr:rowOff>26670</xdr:rowOff>
    </xdr:from>
    <xdr:ext cx="1853565" cy="747107"/>
    <xdr:pic>
      <xdr:nvPicPr>
        <xdr:cNvPr id="3" name="Image 2">
          <a:extLst>
            <a:ext uri="{FF2B5EF4-FFF2-40B4-BE49-F238E27FC236}">
              <a16:creationId xmlns:a16="http://schemas.microsoft.com/office/drawing/2014/main" id="{011F70DE-8FCF-45D9-8A5E-241FAA9B4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97200" y="9797415"/>
          <a:ext cx="1853565" cy="74710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76200</xdr:colOff>
      <xdr:row>57</xdr:row>
      <xdr:rowOff>26670</xdr:rowOff>
    </xdr:from>
    <xdr:to>
      <xdr:col>25</xdr:col>
      <xdr:colOff>171450</xdr:colOff>
      <xdr:row>60</xdr:row>
      <xdr:rowOff>167987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08B73D4-BA96-1316-9D17-3A92FC436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4700" y="8599170"/>
          <a:ext cx="1857375" cy="7337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A603-7D72-4F24-9760-5E6439293F59}">
  <sheetPr>
    <pageSetUpPr fitToPage="1"/>
  </sheetPr>
  <dimension ref="A1:AF68"/>
  <sheetViews>
    <sheetView tabSelected="1" workbookViewId="0">
      <selection activeCell="W35" sqref="W35:Y35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20" style="74" customWidth="1"/>
    <col min="28" max="28" width="28.109375" style="74" customWidth="1"/>
    <col min="29" max="29" width="22.88671875" style="74" customWidth="1"/>
    <col min="30" max="30" width="29.33203125" style="74" customWidth="1"/>
    <col min="31" max="31" width="11.44140625" style="74"/>
    <col min="32" max="16384" width="11.44140625" style="73"/>
  </cols>
  <sheetData>
    <row r="1" spans="1:32" ht="12.75" customHeight="1" x14ac:dyDescent="0.25">
      <c r="A1" s="169"/>
      <c r="B1" s="172"/>
      <c r="C1" s="172"/>
      <c r="D1" s="172"/>
      <c r="E1" s="172"/>
      <c r="F1" s="162"/>
      <c r="G1" s="232" t="s">
        <v>0</v>
      </c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4"/>
      <c r="U1" s="238" t="s">
        <v>56</v>
      </c>
      <c r="V1" s="239"/>
      <c r="W1" s="239"/>
      <c r="X1" s="239"/>
      <c r="Y1" s="239"/>
      <c r="Z1" s="240"/>
    </row>
    <row r="2" spans="1:32" ht="12.75" customHeight="1" x14ac:dyDescent="0.3">
      <c r="A2" s="170"/>
      <c r="B2" s="173"/>
      <c r="C2" s="173"/>
      <c r="D2" s="173"/>
      <c r="E2" s="173"/>
      <c r="F2" s="163"/>
      <c r="G2" s="247" t="s">
        <v>1</v>
      </c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9"/>
      <c r="U2" s="241"/>
      <c r="V2" s="242"/>
      <c r="W2" s="242"/>
      <c r="X2" s="242"/>
      <c r="Y2" s="242"/>
      <c r="Z2" s="243"/>
      <c r="AA2" s="95"/>
      <c r="AB2" s="95"/>
    </row>
    <row r="3" spans="1:32" ht="12.75" customHeight="1" x14ac:dyDescent="0.3">
      <c r="A3" s="170"/>
      <c r="B3" s="173"/>
      <c r="C3" s="173"/>
      <c r="D3" s="173"/>
      <c r="E3" s="173"/>
      <c r="F3" s="163"/>
      <c r="G3" s="247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9"/>
      <c r="U3" s="241"/>
      <c r="V3" s="242"/>
      <c r="W3" s="242"/>
      <c r="X3" s="242"/>
      <c r="Y3" s="242"/>
      <c r="Z3" s="243"/>
      <c r="AA3" s="95"/>
      <c r="AB3" s="95"/>
    </row>
    <row r="4" spans="1:32" ht="12.75" customHeight="1" x14ac:dyDescent="0.3">
      <c r="A4" s="170"/>
      <c r="B4" s="173"/>
      <c r="C4" s="173"/>
      <c r="D4" s="173"/>
      <c r="E4" s="173"/>
      <c r="F4" s="163"/>
      <c r="G4" s="247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9"/>
      <c r="U4" s="241"/>
      <c r="V4" s="242"/>
      <c r="W4" s="242"/>
      <c r="X4" s="242"/>
      <c r="Y4" s="242"/>
      <c r="Z4" s="243"/>
      <c r="AA4" s="95"/>
      <c r="AB4" s="95"/>
    </row>
    <row r="5" spans="1:32" ht="12.75" customHeight="1" x14ac:dyDescent="0.3">
      <c r="A5" s="170"/>
      <c r="B5" s="173"/>
      <c r="C5" s="173"/>
      <c r="D5" s="173"/>
      <c r="E5" s="173"/>
      <c r="F5" s="163"/>
      <c r="G5" s="250"/>
      <c r="H5" s="251"/>
      <c r="I5" s="145" t="s">
        <v>2</v>
      </c>
      <c r="J5" s="252">
        <v>2</v>
      </c>
      <c r="K5" s="253"/>
      <c r="L5" s="254" t="s">
        <v>3</v>
      </c>
      <c r="M5" s="255"/>
      <c r="N5" s="255"/>
      <c r="O5" s="256"/>
      <c r="P5" s="257" t="s">
        <v>4</v>
      </c>
      <c r="Q5" s="258"/>
      <c r="R5" s="258"/>
      <c r="S5" s="258"/>
      <c r="T5" s="259"/>
      <c r="U5" s="241"/>
      <c r="V5" s="242"/>
      <c r="W5" s="242"/>
      <c r="X5" s="242"/>
      <c r="Y5" s="242"/>
      <c r="Z5" s="243"/>
      <c r="AA5" s="95"/>
      <c r="AB5" s="95"/>
    </row>
    <row r="6" spans="1:32" ht="12.75" customHeight="1" x14ac:dyDescent="0.25">
      <c r="A6" s="171"/>
      <c r="B6" s="174"/>
      <c r="C6" s="174"/>
      <c r="D6" s="174"/>
      <c r="E6" s="174"/>
      <c r="F6" s="164"/>
      <c r="G6" s="144"/>
      <c r="H6" s="104"/>
      <c r="I6" s="104"/>
      <c r="J6" s="260" t="s">
        <v>5</v>
      </c>
      <c r="K6" s="260"/>
      <c r="L6" s="260" t="s">
        <v>6</v>
      </c>
      <c r="M6" s="260"/>
      <c r="N6" s="260"/>
      <c r="O6" s="260"/>
      <c r="P6" s="260" t="s">
        <v>7</v>
      </c>
      <c r="Q6" s="260"/>
      <c r="R6" s="260"/>
      <c r="S6" s="260"/>
      <c r="T6" s="261"/>
      <c r="U6" s="244"/>
      <c r="V6" s="245"/>
      <c r="W6" s="245"/>
      <c r="X6" s="245"/>
      <c r="Y6" s="245"/>
      <c r="Z6" s="246"/>
    </row>
    <row r="7" spans="1:32" ht="36.6" customHeight="1" x14ac:dyDescent="0.25">
      <c r="A7" s="226" t="s">
        <v>8</v>
      </c>
      <c r="B7" s="226"/>
      <c r="C7" s="226"/>
      <c r="D7" s="226"/>
      <c r="E7" s="226"/>
      <c r="F7" s="226"/>
      <c r="G7" s="227" t="s">
        <v>9</v>
      </c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</row>
    <row r="8" spans="1:32" ht="15.9" customHeight="1" x14ac:dyDescent="0.3">
      <c r="A8" s="134" t="s">
        <v>10</v>
      </c>
      <c r="B8" s="133" t="s">
        <v>11</v>
      </c>
      <c r="C8" s="143"/>
      <c r="D8" s="142"/>
      <c r="E8" s="142"/>
      <c r="F8" s="142"/>
      <c r="G8" s="142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6"/>
      <c r="AB8" s="95"/>
      <c r="AF8" s="95" t="s">
        <v>12</v>
      </c>
    </row>
    <row r="9" spans="1:32" ht="8.25" customHeight="1" x14ac:dyDescent="0.3">
      <c r="A9" s="80"/>
      <c r="D9" s="75"/>
      <c r="E9" s="75"/>
      <c r="F9" s="75"/>
      <c r="G9" s="75"/>
      <c r="Z9" s="107"/>
      <c r="AB9" s="95"/>
      <c r="AF9" s="95" t="s">
        <v>13</v>
      </c>
    </row>
    <row r="10" spans="1:32" ht="15.9" customHeight="1" x14ac:dyDescent="0.3">
      <c r="A10" s="80"/>
      <c r="B10" s="228" t="s">
        <v>14</v>
      </c>
      <c r="C10" s="228"/>
      <c r="D10" s="228"/>
      <c r="E10" s="228"/>
      <c r="F10" s="228"/>
      <c r="G10" s="228"/>
      <c r="H10" s="229" t="s">
        <v>12</v>
      </c>
      <c r="I10" s="229"/>
      <c r="J10" s="229"/>
      <c r="K10" s="229"/>
      <c r="L10" s="229"/>
      <c r="M10" s="229"/>
      <c r="N10" s="228" t="s">
        <v>15</v>
      </c>
      <c r="O10" s="228"/>
      <c r="P10" s="228"/>
      <c r="Q10" s="228"/>
      <c r="R10" s="228"/>
      <c r="S10" s="200" t="s">
        <v>65</v>
      </c>
      <c r="T10" s="200"/>
      <c r="U10" s="200"/>
      <c r="V10" s="200"/>
      <c r="W10" s="200"/>
      <c r="X10" s="200"/>
      <c r="Y10" s="200"/>
      <c r="Z10" s="141"/>
      <c r="AB10" s="95"/>
      <c r="AF10" s="95" t="s">
        <v>4</v>
      </c>
    </row>
    <row r="11" spans="1:32" ht="15.9" customHeight="1" x14ac:dyDescent="0.3">
      <c r="A11" s="80"/>
      <c r="B11" s="228" t="s">
        <v>17</v>
      </c>
      <c r="C11" s="228"/>
      <c r="D11" s="228"/>
      <c r="E11" s="228"/>
      <c r="F11" s="228"/>
      <c r="G11" s="228"/>
      <c r="H11" s="229" t="s">
        <v>13</v>
      </c>
      <c r="I11" s="229"/>
      <c r="J11" s="229"/>
      <c r="K11" s="229"/>
      <c r="L11" s="229"/>
      <c r="M11" s="229"/>
      <c r="N11" s="228" t="s">
        <v>18</v>
      </c>
      <c r="O11" s="228"/>
      <c r="P11" s="228"/>
      <c r="Q11" s="228"/>
      <c r="R11" s="228"/>
      <c r="S11" s="200" t="s">
        <v>19</v>
      </c>
      <c r="T11" s="200"/>
      <c r="U11" s="200"/>
      <c r="V11" s="200"/>
      <c r="W11" s="200"/>
      <c r="X11" s="200"/>
      <c r="Y11" s="200"/>
      <c r="Z11" s="141"/>
      <c r="AB11" s="95"/>
      <c r="AF11" s="95" t="s">
        <v>64</v>
      </c>
    </row>
    <row r="12" spans="1:32" ht="15.9" customHeight="1" x14ac:dyDescent="0.3">
      <c r="A12" s="80"/>
      <c r="B12" s="228" t="s">
        <v>20</v>
      </c>
      <c r="C12" s="228"/>
      <c r="D12" s="228"/>
      <c r="E12" s="228"/>
      <c r="F12" s="228"/>
      <c r="G12" s="228"/>
      <c r="H12" s="229" t="s">
        <v>4</v>
      </c>
      <c r="I12" s="229"/>
      <c r="J12" s="229"/>
      <c r="K12" s="229"/>
      <c r="L12" s="229"/>
      <c r="M12" s="229"/>
      <c r="N12" s="228" t="s">
        <v>21</v>
      </c>
      <c r="O12" s="228"/>
      <c r="P12" s="228"/>
      <c r="Q12" s="228"/>
      <c r="R12" s="228"/>
      <c r="S12" s="200" t="s">
        <v>63</v>
      </c>
      <c r="T12" s="200"/>
      <c r="U12" s="200"/>
      <c r="V12" s="200"/>
      <c r="W12" s="200"/>
      <c r="X12" s="200"/>
      <c r="Y12" s="200"/>
      <c r="Z12" s="141"/>
      <c r="AB12" s="95"/>
      <c r="AF12" s="95" t="s">
        <v>19</v>
      </c>
    </row>
    <row r="13" spans="1:32" ht="8.25" customHeight="1" x14ac:dyDescent="0.3">
      <c r="A13" s="78"/>
      <c r="B13" s="138"/>
      <c r="C13" s="138"/>
      <c r="D13" s="140"/>
      <c r="E13" s="140"/>
      <c r="F13" s="140"/>
      <c r="G13" s="140"/>
      <c r="H13" s="138"/>
      <c r="I13" s="138"/>
      <c r="J13" s="138"/>
      <c r="K13" s="138"/>
      <c r="L13" s="138"/>
      <c r="M13" s="138"/>
      <c r="N13" s="139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03"/>
      <c r="AB13" s="95"/>
      <c r="AF13" s="95" t="s">
        <v>62</v>
      </c>
    </row>
    <row r="14" spans="1:32" s="82" customFormat="1" ht="15" customHeight="1" x14ac:dyDescent="0.25">
      <c r="B14" s="136"/>
      <c r="C14" s="136"/>
      <c r="K14" s="137"/>
      <c r="L14" s="136"/>
      <c r="M14" s="135"/>
    </row>
    <row r="15" spans="1:32" s="82" customFormat="1" ht="16.2" customHeight="1" x14ac:dyDescent="0.25">
      <c r="A15" s="134" t="s">
        <v>23</v>
      </c>
      <c r="B15" s="133" t="s">
        <v>24</v>
      </c>
      <c r="C15" s="132"/>
      <c r="D15" s="132"/>
      <c r="E15" s="132"/>
      <c r="F15" s="132"/>
      <c r="G15" s="132"/>
      <c r="H15" s="132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0"/>
    </row>
    <row r="16" spans="1:32" s="82" customFormat="1" ht="13.8" customHeight="1" x14ac:dyDescent="0.25">
      <c r="A16" s="126"/>
      <c r="B16" s="129"/>
      <c r="C16" s="128"/>
      <c r="D16" s="128"/>
      <c r="E16" s="128"/>
      <c r="F16" s="128"/>
      <c r="G16" s="128"/>
      <c r="H16" s="128"/>
      <c r="Z16" s="127"/>
    </row>
    <row r="17" spans="1:32" s="82" customFormat="1" ht="15" customHeight="1" x14ac:dyDescent="0.25">
      <c r="A17" s="126"/>
      <c r="B17" s="231" t="s">
        <v>25</v>
      </c>
      <c r="C17" s="231"/>
      <c r="D17" s="231"/>
      <c r="E17" s="231"/>
      <c r="F17" s="231"/>
      <c r="G17" s="231"/>
      <c r="H17" s="231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125"/>
    </row>
    <row r="18" spans="1:32" s="82" customFormat="1" ht="15" customHeight="1" x14ac:dyDescent="0.3">
      <c r="A18" s="126"/>
      <c r="B18" s="231" t="s">
        <v>26</v>
      </c>
      <c r="C18" s="231"/>
      <c r="D18" s="231"/>
      <c r="E18" s="231"/>
      <c r="F18" s="231"/>
      <c r="G18" s="231"/>
      <c r="H18" s="231"/>
      <c r="I18" s="208" t="s">
        <v>67</v>
      </c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125"/>
    </row>
    <row r="19" spans="1:32" s="82" customFormat="1" ht="13.2" customHeight="1" x14ac:dyDescent="0.25">
      <c r="A19" s="124"/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2"/>
    </row>
    <row r="20" spans="1:32" ht="12.75" customHeight="1" x14ac:dyDescent="0.25">
      <c r="D20" s="75"/>
      <c r="E20" s="75"/>
      <c r="F20" s="75"/>
      <c r="G20" s="75"/>
      <c r="N20" s="121"/>
    </row>
    <row r="21" spans="1:32" ht="15.9" customHeight="1" x14ac:dyDescent="0.25">
      <c r="A21" s="120" t="s">
        <v>27</v>
      </c>
      <c r="B21" s="119" t="s">
        <v>28</v>
      </c>
      <c r="C21" s="117"/>
      <c r="D21" s="118"/>
      <c r="E21" s="118"/>
      <c r="F21" s="118"/>
      <c r="G21" s="118"/>
      <c r="H21" s="117"/>
      <c r="I21" s="117"/>
      <c r="J21" s="117"/>
      <c r="K21" s="117"/>
      <c r="L21" s="117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116"/>
    </row>
    <row r="22" spans="1:32" ht="12.75" customHeight="1" x14ac:dyDescent="0.25">
      <c r="A22" s="80"/>
      <c r="Z22" s="107"/>
    </row>
    <row r="23" spans="1:32" ht="12.75" customHeight="1" x14ac:dyDescent="0.25">
      <c r="A23" s="80"/>
      <c r="Z23" s="107"/>
    </row>
    <row r="24" spans="1:32" ht="12.75" customHeight="1" x14ac:dyDescent="0.25">
      <c r="A24" s="80"/>
      <c r="B24" s="219" t="s">
        <v>29</v>
      </c>
      <c r="C24" s="215"/>
      <c r="D24" s="215"/>
      <c r="E24" s="215"/>
      <c r="F24" s="215">
        <v>19</v>
      </c>
      <c r="G24" s="215"/>
      <c r="H24" s="215"/>
      <c r="I24" s="215"/>
      <c r="J24" s="209" t="s">
        <v>30</v>
      </c>
      <c r="K24" s="209"/>
      <c r="L24" s="210"/>
      <c r="O24" s="219" t="s">
        <v>31</v>
      </c>
      <c r="P24" s="220"/>
      <c r="Q24" s="220"/>
      <c r="R24" s="220"/>
      <c r="S24" s="215">
        <v>890</v>
      </c>
      <c r="T24" s="215"/>
      <c r="U24" s="215"/>
      <c r="V24" s="215"/>
      <c r="W24" s="209" t="s">
        <v>61</v>
      </c>
      <c r="X24" s="209"/>
      <c r="Y24" s="210"/>
      <c r="Z24" s="107"/>
      <c r="AA24" s="73"/>
    </row>
    <row r="25" spans="1:32" ht="12.75" customHeight="1" x14ac:dyDescent="0.25">
      <c r="A25" s="80"/>
      <c r="B25" s="224"/>
      <c r="C25" s="202"/>
      <c r="D25" s="202"/>
      <c r="E25" s="202"/>
      <c r="F25" s="202"/>
      <c r="G25" s="202"/>
      <c r="H25" s="202"/>
      <c r="I25" s="202"/>
      <c r="J25" s="211"/>
      <c r="K25" s="211"/>
      <c r="L25" s="212"/>
      <c r="O25" s="221"/>
      <c r="P25" s="166"/>
      <c r="Q25" s="166"/>
      <c r="R25" s="166"/>
      <c r="S25" s="202"/>
      <c r="T25" s="202"/>
      <c r="U25" s="202"/>
      <c r="V25" s="202"/>
      <c r="W25" s="211"/>
      <c r="X25" s="211"/>
      <c r="Y25" s="212"/>
      <c r="Z25" s="107"/>
      <c r="AA25" s="73"/>
    </row>
    <row r="26" spans="1:32" ht="12.75" customHeight="1" x14ac:dyDescent="0.25">
      <c r="A26" s="80"/>
      <c r="B26" s="225"/>
      <c r="C26" s="203"/>
      <c r="D26" s="203"/>
      <c r="E26" s="203"/>
      <c r="F26" s="203"/>
      <c r="G26" s="203"/>
      <c r="H26" s="203"/>
      <c r="I26" s="203"/>
      <c r="J26" s="213"/>
      <c r="K26" s="213"/>
      <c r="L26" s="214"/>
      <c r="O26" s="222"/>
      <c r="P26" s="167"/>
      <c r="Q26" s="167"/>
      <c r="R26" s="167"/>
      <c r="S26" s="203"/>
      <c r="T26" s="203"/>
      <c r="U26" s="203"/>
      <c r="V26" s="203"/>
      <c r="W26" s="213"/>
      <c r="X26" s="213"/>
      <c r="Y26" s="214"/>
      <c r="Z26" s="107"/>
      <c r="AA26" s="73"/>
    </row>
    <row r="27" spans="1:32" ht="12.75" customHeight="1" x14ac:dyDescent="0.25">
      <c r="A27" s="80"/>
      <c r="B27" s="219" t="s">
        <v>33</v>
      </c>
      <c r="C27" s="220"/>
      <c r="D27" s="220"/>
      <c r="E27" s="220"/>
      <c r="F27" s="216">
        <f>IF(F24&lt;&gt;"",(997.1*(SUM(AD35:AD68))),"")</f>
        <v>998.49594000000013</v>
      </c>
      <c r="G27" s="216"/>
      <c r="H27" s="216"/>
      <c r="I27" s="216"/>
      <c r="J27" s="209" t="s">
        <v>34</v>
      </c>
      <c r="K27" s="209"/>
      <c r="L27" s="210"/>
      <c r="O27" s="223" t="s">
        <v>35</v>
      </c>
      <c r="P27" s="215"/>
      <c r="Q27" s="215"/>
      <c r="R27" s="215"/>
      <c r="S27" s="215">
        <v>2480</v>
      </c>
      <c r="T27" s="215"/>
      <c r="U27" s="215"/>
      <c r="V27" s="215"/>
      <c r="W27" s="209" t="s">
        <v>34</v>
      </c>
      <c r="X27" s="209"/>
      <c r="Y27" s="210"/>
      <c r="Z27" s="107"/>
      <c r="AA27" s="73"/>
    </row>
    <row r="28" spans="1:32" ht="12.75" customHeight="1" x14ac:dyDescent="0.25">
      <c r="A28" s="80"/>
      <c r="B28" s="221"/>
      <c r="C28" s="166"/>
      <c r="D28" s="166"/>
      <c r="E28" s="166"/>
      <c r="F28" s="217"/>
      <c r="G28" s="217"/>
      <c r="H28" s="217"/>
      <c r="I28" s="217"/>
      <c r="J28" s="211"/>
      <c r="K28" s="211"/>
      <c r="L28" s="212"/>
      <c r="O28" s="224"/>
      <c r="P28" s="202"/>
      <c r="Q28" s="202"/>
      <c r="R28" s="202"/>
      <c r="S28" s="202"/>
      <c r="T28" s="202"/>
      <c r="U28" s="202"/>
      <c r="V28" s="202"/>
      <c r="W28" s="211"/>
      <c r="X28" s="211"/>
      <c r="Y28" s="212"/>
      <c r="Z28" s="107"/>
      <c r="AA28" s="73"/>
    </row>
    <row r="29" spans="1:32" ht="12.75" customHeight="1" x14ac:dyDescent="0.25">
      <c r="A29" s="80"/>
      <c r="B29" s="222"/>
      <c r="C29" s="167"/>
      <c r="D29" s="167"/>
      <c r="E29" s="167"/>
      <c r="F29" s="218"/>
      <c r="G29" s="218"/>
      <c r="H29" s="218"/>
      <c r="I29" s="218"/>
      <c r="J29" s="213"/>
      <c r="K29" s="213"/>
      <c r="L29" s="214"/>
      <c r="O29" s="225"/>
      <c r="P29" s="203"/>
      <c r="Q29" s="203"/>
      <c r="R29" s="203"/>
      <c r="S29" s="203"/>
      <c r="T29" s="203"/>
      <c r="U29" s="203"/>
      <c r="V29" s="203"/>
      <c r="W29" s="213"/>
      <c r="X29" s="213"/>
      <c r="Y29" s="214"/>
      <c r="Z29" s="107"/>
    </row>
    <row r="30" spans="1:32" ht="12.75" customHeight="1" x14ac:dyDescent="0.3">
      <c r="A30" s="80"/>
      <c r="B30" s="115"/>
      <c r="C30" s="113"/>
      <c r="D30" s="112"/>
      <c r="I30" s="111"/>
      <c r="J30" s="111"/>
      <c r="P30" s="113"/>
      <c r="Q30" s="113"/>
      <c r="R30" s="113"/>
      <c r="S30" s="113"/>
      <c r="T30" s="113"/>
      <c r="U30" s="113"/>
      <c r="V30" s="113"/>
      <c r="W30" s="112"/>
      <c r="Z30" s="107"/>
      <c r="AA30" s="95"/>
      <c r="AB30" s="95"/>
      <c r="AC30" s="95"/>
      <c r="AD30" s="95"/>
      <c r="AE30" s="95"/>
      <c r="AF30" s="95"/>
    </row>
    <row r="31" spans="1:32" ht="12.75" customHeight="1" thickBot="1" x14ac:dyDescent="0.3">
      <c r="A31" s="80"/>
      <c r="B31" s="115"/>
      <c r="C31" s="113"/>
      <c r="D31" s="112"/>
      <c r="E31" s="111"/>
      <c r="F31" s="114"/>
      <c r="G31" s="113"/>
      <c r="H31" s="112"/>
      <c r="I31" s="111"/>
      <c r="J31" s="111"/>
      <c r="Z31" s="107"/>
    </row>
    <row r="32" spans="1:32" ht="19.5" customHeight="1" x14ac:dyDescent="0.25">
      <c r="A32" s="80"/>
      <c r="B32" s="235" t="s">
        <v>36</v>
      </c>
      <c r="C32" s="165"/>
      <c r="D32" s="165"/>
      <c r="E32" s="165" t="s">
        <v>37</v>
      </c>
      <c r="F32" s="165"/>
      <c r="G32" s="165"/>
      <c r="H32" s="165" t="s">
        <v>38</v>
      </c>
      <c r="I32" s="165"/>
      <c r="J32" s="165"/>
      <c r="K32" s="165" t="s">
        <v>39</v>
      </c>
      <c r="L32" s="165"/>
      <c r="M32" s="165"/>
      <c r="N32" s="165" t="s">
        <v>60</v>
      </c>
      <c r="O32" s="165"/>
      <c r="P32" s="165"/>
      <c r="Q32" s="165" t="s">
        <v>41</v>
      </c>
      <c r="R32" s="165"/>
      <c r="S32" s="165"/>
      <c r="T32" s="201" t="s">
        <v>42</v>
      </c>
      <c r="U32" s="201"/>
      <c r="V32" s="201"/>
      <c r="W32" s="165" t="s">
        <v>43</v>
      </c>
      <c r="X32" s="165"/>
      <c r="Y32" s="204"/>
      <c r="Z32" s="107"/>
      <c r="AB32" s="169" t="s">
        <v>44</v>
      </c>
      <c r="AC32" s="172" t="s">
        <v>45</v>
      </c>
      <c r="AD32" s="162" t="s">
        <v>46</v>
      </c>
    </row>
    <row r="33" spans="1:30" ht="19.5" customHeight="1" x14ac:dyDescent="0.25">
      <c r="A33" s="80"/>
      <c r="B33" s="236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202"/>
      <c r="U33" s="202"/>
      <c r="V33" s="202"/>
      <c r="W33" s="166"/>
      <c r="X33" s="166"/>
      <c r="Y33" s="205"/>
      <c r="Z33" s="107"/>
      <c r="AB33" s="170"/>
      <c r="AC33" s="173"/>
      <c r="AD33" s="163"/>
    </row>
    <row r="34" spans="1:30" ht="19.5" customHeight="1" x14ac:dyDescent="0.25">
      <c r="A34" s="80"/>
      <c r="B34" s="237"/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203"/>
      <c r="U34" s="203"/>
      <c r="V34" s="203"/>
      <c r="W34" s="167"/>
      <c r="X34" s="167"/>
      <c r="Y34" s="206"/>
      <c r="Z34" s="107"/>
      <c r="AB34" s="171"/>
      <c r="AC34" s="174"/>
      <c r="AD34" s="164"/>
    </row>
    <row r="35" spans="1:30" ht="25.5" customHeight="1" x14ac:dyDescent="0.25">
      <c r="A35" s="80"/>
      <c r="B35" s="149"/>
      <c r="C35" s="147"/>
      <c r="D35" s="147"/>
      <c r="E35" s="147">
        <v>3834.9</v>
      </c>
      <c r="F35" s="147"/>
      <c r="G35" s="147"/>
      <c r="H35" s="147">
        <v>3902.4</v>
      </c>
      <c r="I35" s="147"/>
      <c r="J35" s="147"/>
      <c r="K35" s="147">
        <v>2155.6</v>
      </c>
      <c r="L35" s="147"/>
      <c r="M35" s="147"/>
      <c r="N35" s="146">
        <v>2291.4</v>
      </c>
      <c r="O35" s="146"/>
      <c r="P35" s="146"/>
      <c r="Q35" s="146">
        <v>92.4</v>
      </c>
      <c r="R35" s="146"/>
      <c r="S35" s="146"/>
      <c r="T35" s="146">
        <v>7.6</v>
      </c>
      <c r="U35" s="146"/>
      <c r="V35" s="146"/>
      <c r="W35" s="147">
        <v>10</v>
      </c>
      <c r="X35" s="147"/>
      <c r="Y35" s="148"/>
      <c r="Z35" s="107"/>
      <c r="AB35" s="80">
        <v>10</v>
      </c>
      <c r="AC35" s="75">
        <v>1.0026999999999999</v>
      </c>
      <c r="AD35" s="79" t="str">
        <f>IF($F$24=AB35,AC35,"")</f>
        <v/>
      </c>
    </row>
    <row r="36" spans="1:30" ht="25.5" customHeight="1" x14ac:dyDescent="0.25">
      <c r="A36" s="80"/>
      <c r="B36" s="149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6"/>
      <c r="O36" s="146"/>
      <c r="P36" s="146"/>
      <c r="Q36" s="146"/>
      <c r="R36" s="146"/>
      <c r="S36" s="146"/>
      <c r="T36" s="146"/>
      <c r="U36" s="146"/>
      <c r="V36" s="146"/>
      <c r="W36" s="147"/>
      <c r="X36" s="147"/>
      <c r="Y36" s="148"/>
      <c r="Z36" s="107"/>
      <c r="AB36" s="80"/>
      <c r="AC36" s="75"/>
      <c r="AD36" s="79"/>
    </row>
    <row r="37" spans="1:30" ht="25.5" customHeight="1" x14ac:dyDescent="0.25">
      <c r="A37" s="80"/>
      <c r="B37" s="149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6"/>
      <c r="O37" s="146"/>
      <c r="P37" s="146"/>
      <c r="Q37" s="146"/>
      <c r="R37" s="146"/>
      <c r="S37" s="146"/>
      <c r="T37" s="146"/>
      <c r="U37" s="146"/>
      <c r="V37" s="146"/>
      <c r="W37" s="147"/>
      <c r="X37" s="147"/>
      <c r="Y37" s="148"/>
      <c r="Z37" s="107"/>
      <c r="AB37" s="80"/>
      <c r="AC37" s="75"/>
      <c r="AD37" s="79"/>
    </row>
    <row r="38" spans="1:30" ht="25.5" customHeight="1" x14ac:dyDescent="0.25">
      <c r="A38" s="80"/>
      <c r="B38" s="149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6"/>
      <c r="O38" s="146"/>
      <c r="P38" s="146"/>
      <c r="Q38" s="146"/>
      <c r="R38" s="146"/>
      <c r="S38" s="146"/>
      <c r="T38" s="146"/>
      <c r="U38" s="146"/>
      <c r="V38" s="146"/>
      <c r="W38" s="147"/>
      <c r="X38" s="147"/>
      <c r="Y38" s="148"/>
      <c r="Z38" s="107"/>
      <c r="AB38" s="80"/>
      <c r="AC38" s="75"/>
      <c r="AD38" s="79"/>
    </row>
    <row r="39" spans="1:30" ht="25.5" customHeight="1" x14ac:dyDescent="0.25">
      <c r="A39" s="80"/>
      <c r="B39" s="149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6"/>
      <c r="O39" s="146"/>
      <c r="P39" s="146"/>
      <c r="Q39" s="146"/>
      <c r="R39" s="146"/>
      <c r="S39" s="146"/>
      <c r="T39" s="146"/>
      <c r="U39" s="146"/>
      <c r="V39" s="146"/>
      <c r="W39" s="147"/>
      <c r="X39" s="147"/>
      <c r="Y39" s="148"/>
      <c r="Z39" s="107"/>
      <c r="AB39" s="80"/>
      <c r="AC39" s="75"/>
      <c r="AD39" s="79"/>
    </row>
    <row r="40" spans="1:30" ht="25.5" customHeight="1" x14ac:dyDescent="0.25">
      <c r="A40" s="80"/>
      <c r="B40" s="149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6"/>
      <c r="O40" s="146"/>
      <c r="P40" s="146"/>
      <c r="Q40" s="146"/>
      <c r="R40" s="146"/>
      <c r="S40" s="146"/>
      <c r="T40" s="146"/>
      <c r="U40" s="146"/>
      <c r="V40" s="146"/>
      <c r="W40" s="147"/>
      <c r="X40" s="147"/>
      <c r="Y40" s="148"/>
      <c r="Z40" s="107"/>
      <c r="AB40" s="80"/>
      <c r="AC40" s="75"/>
      <c r="AD40" s="79"/>
    </row>
    <row r="41" spans="1:30" ht="25.5" customHeight="1" x14ac:dyDescent="0.25">
      <c r="A41" s="80"/>
      <c r="B41" s="149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6"/>
      <c r="O41" s="146"/>
      <c r="P41" s="146"/>
      <c r="Q41" s="146"/>
      <c r="R41" s="146"/>
      <c r="S41" s="146"/>
      <c r="T41" s="146"/>
      <c r="U41" s="146"/>
      <c r="V41" s="146"/>
      <c r="W41" s="147"/>
      <c r="X41" s="147"/>
      <c r="Y41" s="148"/>
      <c r="Z41" s="107"/>
      <c r="AB41" s="80"/>
      <c r="AC41" s="75"/>
      <c r="AD41" s="79"/>
    </row>
    <row r="42" spans="1:30" ht="25.5" customHeight="1" x14ac:dyDescent="0.25">
      <c r="A42" s="80"/>
      <c r="B42" s="149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6"/>
      <c r="O42" s="146"/>
      <c r="P42" s="146"/>
      <c r="Q42" s="146"/>
      <c r="R42" s="146"/>
      <c r="S42" s="146"/>
      <c r="T42" s="146"/>
      <c r="U42" s="146"/>
      <c r="V42" s="146"/>
      <c r="W42" s="147"/>
      <c r="X42" s="147"/>
      <c r="Y42" s="148"/>
      <c r="Z42" s="107"/>
      <c r="AB42" s="80"/>
      <c r="AC42" s="75"/>
      <c r="AD42" s="79"/>
    </row>
    <row r="43" spans="1:30" ht="25.5" customHeight="1" x14ac:dyDescent="0.25">
      <c r="A43" s="80"/>
      <c r="B43" s="149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6"/>
      <c r="O43" s="146"/>
      <c r="P43" s="146"/>
      <c r="Q43" s="146"/>
      <c r="R43" s="146"/>
      <c r="S43" s="146"/>
      <c r="T43" s="146"/>
      <c r="U43" s="146"/>
      <c r="V43" s="146"/>
      <c r="W43" s="147"/>
      <c r="X43" s="147"/>
      <c r="Y43" s="148"/>
      <c r="Z43" s="107"/>
      <c r="AB43" s="80"/>
      <c r="AC43" s="75"/>
      <c r="AD43" s="79"/>
    </row>
    <row r="44" spans="1:30" ht="25.5" customHeight="1" x14ac:dyDescent="0.25">
      <c r="A44" s="80"/>
      <c r="B44" s="149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6"/>
      <c r="O44" s="146"/>
      <c r="P44" s="146"/>
      <c r="Q44" s="146"/>
      <c r="R44" s="146"/>
      <c r="S44" s="146"/>
      <c r="T44" s="146"/>
      <c r="U44" s="146"/>
      <c r="V44" s="146"/>
      <c r="W44" s="147"/>
      <c r="X44" s="147"/>
      <c r="Y44" s="148"/>
      <c r="Z44" s="107"/>
      <c r="AB44" s="80"/>
      <c r="AC44" s="75"/>
      <c r="AD44" s="79"/>
    </row>
    <row r="45" spans="1:30" ht="25.5" customHeight="1" x14ac:dyDescent="0.25">
      <c r="A45" s="80"/>
      <c r="B45" s="149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6"/>
      <c r="O45" s="146"/>
      <c r="P45" s="146"/>
      <c r="Q45" s="146"/>
      <c r="R45" s="146"/>
      <c r="S45" s="146"/>
      <c r="T45" s="146"/>
      <c r="U45" s="146"/>
      <c r="V45" s="146"/>
      <c r="W45" s="147"/>
      <c r="X45" s="147"/>
      <c r="Y45" s="148"/>
      <c r="Z45" s="107"/>
      <c r="AB45" s="80"/>
      <c r="AC45" s="75"/>
      <c r="AD45" s="79"/>
    </row>
    <row r="46" spans="1:30" ht="25.5" customHeight="1" x14ac:dyDescent="0.25">
      <c r="A46" s="80"/>
      <c r="B46" s="149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6"/>
      <c r="O46" s="146"/>
      <c r="P46" s="146"/>
      <c r="Q46" s="146"/>
      <c r="R46" s="146"/>
      <c r="S46" s="146"/>
      <c r="T46" s="146"/>
      <c r="U46" s="146"/>
      <c r="V46" s="146"/>
      <c r="W46" s="147"/>
      <c r="X46" s="147"/>
      <c r="Y46" s="148"/>
      <c r="Z46" s="107"/>
      <c r="AB46" s="80"/>
      <c r="AC46" s="75"/>
      <c r="AD46" s="79"/>
    </row>
    <row r="47" spans="1:30" ht="25.5" customHeight="1" x14ac:dyDescent="0.25">
      <c r="A47" s="80"/>
      <c r="B47" s="149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6"/>
      <c r="O47" s="146"/>
      <c r="P47" s="146"/>
      <c r="Q47" s="146"/>
      <c r="R47" s="146"/>
      <c r="S47" s="146"/>
      <c r="T47" s="146"/>
      <c r="U47" s="146"/>
      <c r="V47" s="146"/>
      <c r="W47" s="147"/>
      <c r="X47" s="147"/>
      <c r="Y47" s="148"/>
      <c r="Z47" s="107"/>
      <c r="AB47" s="80"/>
      <c r="AC47" s="75"/>
      <c r="AD47" s="79"/>
    </row>
    <row r="48" spans="1:30" ht="25.5" customHeight="1" x14ac:dyDescent="0.25">
      <c r="A48" s="80"/>
      <c r="B48" s="149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6"/>
      <c r="O48" s="146"/>
      <c r="P48" s="146"/>
      <c r="Q48" s="146"/>
      <c r="R48" s="146"/>
      <c r="S48" s="146"/>
      <c r="T48" s="146"/>
      <c r="U48" s="146"/>
      <c r="V48" s="146"/>
      <c r="W48" s="147"/>
      <c r="X48" s="147"/>
      <c r="Y48" s="148"/>
      <c r="Z48" s="107"/>
      <c r="AB48" s="80"/>
      <c r="AC48" s="75"/>
      <c r="AD48" s="79"/>
    </row>
    <row r="49" spans="1:30" ht="25.5" customHeight="1" thickBot="1" x14ac:dyDescent="0.3">
      <c r="A49" s="80"/>
      <c r="B49" s="230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4"/>
      <c r="Z49" s="107"/>
      <c r="AB49" s="80">
        <v>11</v>
      </c>
      <c r="AC49" s="75">
        <v>1.0025999999999999</v>
      </c>
      <c r="AD49" s="79" t="str">
        <f t="shared" ref="AD49:AD68" si="0">IF($F$24=AB49,AC49,"")</f>
        <v/>
      </c>
    </row>
    <row r="50" spans="1:30" ht="12.75" customHeight="1" x14ac:dyDescent="0.25"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10"/>
      <c r="O50" s="110"/>
      <c r="P50" s="110"/>
      <c r="Q50" s="109"/>
      <c r="R50" s="109"/>
      <c r="S50" s="109"/>
      <c r="T50" s="109"/>
      <c r="U50" s="109"/>
      <c r="V50" s="109"/>
      <c r="W50" s="108"/>
      <c r="X50" s="108"/>
      <c r="Y50" s="108"/>
      <c r="Z50" s="107"/>
      <c r="AB50" s="80">
        <v>12</v>
      </c>
      <c r="AC50" s="75">
        <v>1.0024999999999999</v>
      </c>
      <c r="AD50" s="79" t="str">
        <f t="shared" si="0"/>
        <v/>
      </c>
    </row>
    <row r="51" spans="1:30" ht="15.9" customHeight="1" x14ac:dyDescent="0.25">
      <c r="A51" s="106"/>
      <c r="B51" s="105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3"/>
      <c r="AB51" s="80">
        <v>13</v>
      </c>
      <c r="AC51" s="75">
        <v>1.0023</v>
      </c>
      <c r="AD51" s="79" t="str">
        <f t="shared" si="0"/>
        <v/>
      </c>
    </row>
    <row r="52" spans="1:30" ht="12.75" customHeight="1" x14ac:dyDescent="0.25">
      <c r="A52" s="102"/>
      <c r="B52" s="101"/>
      <c r="AB52" s="80">
        <v>14</v>
      </c>
      <c r="AC52" s="75">
        <v>1.0022</v>
      </c>
      <c r="AD52" s="79" t="str">
        <f t="shared" si="0"/>
        <v/>
      </c>
    </row>
    <row r="53" spans="1:30" s="82" customFormat="1" ht="15.6" customHeight="1" x14ac:dyDescent="0.3">
      <c r="A53" s="100" t="s">
        <v>47</v>
      </c>
      <c r="B53" s="99" t="s">
        <v>48</v>
      </c>
      <c r="C53" s="98"/>
      <c r="D53" s="98"/>
      <c r="E53" s="98"/>
      <c r="F53" s="97"/>
      <c r="G53" s="97"/>
      <c r="H53" s="97"/>
      <c r="I53" s="96"/>
      <c r="J53" s="96"/>
      <c r="K53" s="96"/>
      <c r="L53" s="96"/>
      <c r="M53" s="96"/>
      <c r="N53" s="96"/>
      <c r="O53" s="96"/>
      <c r="P53" s="96"/>
      <c r="Q53" s="97"/>
      <c r="R53" s="96"/>
      <c r="S53" s="96"/>
      <c r="T53" s="96"/>
      <c r="U53" s="194"/>
      <c r="V53" s="194"/>
      <c r="W53" s="194"/>
      <c r="X53" s="195"/>
      <c r="Y53" s="195"/>
      <c r="Z53" s="196"/>
      <c r="AA53" s="95"/>
      <c r="AB53" s="80">
        <v>15</v>
      </c>
      <c r="AC53" s="75">
        <v>1.0021</v>
      </c>
      <c r="AD53" s="79" t="str">
        <f t="shared" si="0"/>
        <v/>
      </c>
    </row>
    <row r="54" spans="1:30" s="82" customFormat="1" ht="25.8" customHeight="1" x14ac:dyDescent="0.3">
      <c r="A54" s="191" t="s">
        <v>49</v>
      </c>
      <c r="B54" s="192"/>
      <c r="C54" s="192"/>
      <c r="D54" s="192"/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3"/>
      <c r="R54" s="156" t="s">
        <v>50</v>
      </c>
      <c r="S54" s="157"/>
      <c r="T54" s="158"/>
      <c r="U54" s="197" t="s">
        <v>12</v>
      </c>
      <c r="V54" s="198"/>
      <c r="W54" s="198"/>
      <c r="X54" s="198"/>
      <c r="Y54" s="198"/>
      <c r="Z54" s="199"/>
      <c r="AA54" s="95"/>
      <c r="AB54" s="80">
        <v>16</v>
      </c>
      <c r="AC54" s="75">
        <v>1.0019</v>
      </c>
      <c r="AD54" s="79" t="str">
        <f t="shared" si="0"/>
        <v/>
      </c>
    </row>
    <row r="55" spans="1:30" s="82" customFormat="1" ht="15.6" customHeight="1" x14ac:dyDescent="0.3">
      <c r="A55" s="185" t="s">
        <v>59</v>
      </c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7"/>
      <c r="R55" s="156" t="s">
        <v>51</v>
      </c>
      <c r="S55" s="157"/>
      <c r="T55" s="158"/>
      <c r="U55" s="175" t="s">
        <v>52</v>
      </c>
      <c r="V55" s="176"/>
      <c r="W55" s="176"/>
      <c r="X55" s="176"/>
      <c r="Y55" s="176"/>
      <c r="Z55" s="177"/>
      <c r="AA55" s="95"/>
      <c r="AB55" s="80">
        <v>17</v>
      </c>
      <c r="AC55" s="75">
        <v>1.0017</v>
      </c>
      <c r="AD55" s="79" t="str">
        <f t="shared" si="0"/>
        <v/>
      </c>
    </row>
    <row r="56" spans="1:30" s="82" customFormat="1" ht="15.6" customHeight="1" x14ac:dyDescent="0.3">
      <c r="A56" s="188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90"/>
      <c r="R56" s="156"/>
      <c r="S56" s="157"/>
      <c r="T56" s="158"/>
      <c r="U56" s="178"/>
      <c r="V56" s="168"/>
      <c r="W56" s="168"/>
      <c r="X56" s="168"/>
      <c r="Y56" s="168"/>
      <c r="Z56" s="179"/>
      <c r="AA56" s="95"/>
      <c r="AB56" s="80">
        <v>18</v>
      </c>
      <c r="AC56" s="75">
        <v>1.0016</v>
      </c>
      <c r="AD56" s="79" t="str">
        <f t="shared" si="0"/>
        <v/>
      </c>
    </row>
    <row r="57" spans="1:30" s="82" customFormat="1" ht="15.6" customHeight="1" x14ac:dyDescent="0.25">
      <c r="A57" s="94" t="s">
        <v>53</v>
      </c>
      <c r="B57" s="93" t="s">
        <v>54</v>
      </c>
      <c r="C57" s="74"/>
      <c r="D57" s="74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1"/>
      <c r="R57" s="156"/>
      <c r="S57" s="157"/>
      <c r="T57" s="158"/>
      <c r="U57" s="180"/>
      <c r="V57" s="181"/>
      <c r="W57" s="181"/>
      <c r="X57" s="181"/>
      <c r="Y57" s="181"/>
      <c r="Z57" s="182"/>
      <c r="AB57" s="80">
        <v>19</v>
      </c>
      <c r="AC57" s="75">
        <v>1.0014000000000001</v>
      </c>
      <c r="AD57" s="79">
        <f t="shared" si="0"/>
        <v>1.0014000000000001</v>
      </c>
    </row>
    <row r="58" spans="1:30" s="82" customFormat="1" ht="15.6" customHeight="1" x14ac:dyDescent="0.25">
      <c r="A58" s="150"/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2"/>
      <c r="R58" s="156" t="s">
        <v>55</v>
      </c>
      <c r="S58" s="157"/>
      <c r="T58" s="158"/>
      <c r="U58" s="90"/>
      <c r="V58" s="89"/>
      <c r="W58" s="89"/>
      <c r="X58" s="89"/>
      <c r="Y58" s="89"/>
      <c r="Z58" s="88"/>
      <c r="AB58" s="80">
        <v>20</v>
      </c>
      <c r="AC58" s="75">
        <v>1.0012000000000001</v>
      </c>
      <c r="AD58" s="79" t="str">
        <f t="shared" si="0"/>
        <v/>
      </c>
    </row>
    <row r="59" spans="1:30" s="82" customFormat="1" ht="15.6" customHeight="1" x14ac:dyDescent="0.25">
      <c r="A59" s="150"/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2"/>
      <c r="R59" s="156"/>
      <c r="S59" s="157"/>
      <c r="T59" s="158"/>
      <c r="U59" s="87"/>
      <c r="V59" s="168"/>
      <c r="W59" s="168"/>
      <c r="X59" s="168"/>
      <c r="Y59" s="168"/>
      <c r="Z59" s="86"/>
      <c r="AB59" s="80">
        <v>21</v>
      </c>
      <c r="AC59" s="81">
        <v>1.0009999999999999</v>
      </c>
      <c r="AD59" s="79" t="str">
        <f t="shared" si="0"/>
        <v/>
      </c>
    </row>
    <row r="60" spans="1:30" s="82" customFormat="1" ht="15.6" customHeight="1" x14ac:dyDescent="0.25">
      <c r="A60" s="150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2"/>
      <c r="R60" s="156"/>
      <c r="S60" s="157"/>
      <c r="T60" s="158"/>
      <c r="U60" s="87"/>
      <c r="V60" s="168"/>
      <c r="W60" s="168"/>
      <c r="X60" s="168"/>
      <c r="Y60" s="168"/>
      <c r="Z60" s="86"/>
      <c r="AB60" s="80">
        <v>22</v>
      </c>
      <c r="AC60" s="75">
        <v>1.0006999999999999</v>
      </c>
      <c r="AD60" s="79" t="str">
        <f t="shared" si="0"/>
        <v/>
      </c>
    </row>
    <row r="61" spans="1:30" s="82" customFormat="1" ht="15.6" customHeight="1" x14ac:dyDescent="0.25">
      <c r="A61" s="153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5"/>
      <c r="R61" s="159"/>
      <c r="S61" s="160"/>
      <c r="T61" s="161"/>
      <c r="U61" s="85"/>
      <c r="V61" s="84"/>
      <c r="W61" s="84"/>
      <c r="X61" s="84"/>
      <c r="Y61" s="84"/>
      <c r="Z61" s="83"/>
      <c r="AB61" s="80">
        <v>23</v>
      </c>
      <c r="AC61" s="75">
        <v>1.0004999999999999</v>
      </c>
      <c r="AD61" s="79" t="str">
        <f t="shared" si="0"/>
        <v/>
      </c>
    </row>
    <row r="62" spans="1:30" ht="12.75" customHeight="1" x14ac:dyDescent="0.25">
      <c r="AB62" s="80">
        <v>24</v>
      </c>
      <c r="AC62" s="75">
        <v>1.0003</v>
      </c>
      <c r="AD62" s="79" t="str">
        <f t="shared" si="0"/>
        <v/>
      </c>
    </row>
    <row r="63" spans="1:30" ht="12.75" customHeight="1" x14ac:dyDescent="0.25">
      <c r="AB63" s="80">
        <v>25</v>
      </c>
      <c r="AC63" s="81">
        <v>1</v>
      </c>
      <c r="AD63" s="79" t="str">
        <f t="shared" si="0"/>
        <v/>
      </c>
    </row>
    <row r="64" spans="1:30" ht="12.75" customHeight="1" x14ac:dyDescent="0.25">
      <c r="AB64" s="80">
        <v>26</v>
      </c>
      <c r="AC64" s="75">
        <v>0.99970000000000003</v>
      </c>
      <c r="AD64" s="79" t="str">
        <f t="shared" si="0"/>
        <v/>
      </c>
    </row>
    <row r="65" spans="28:30" ht="12.75" customHeight="1" x14ac:dyDescent="0.25">
      <c r="AB65" s="80">
        <v>27</v>
      </c>
      <c r="AC65" s="75">
        <v>0.99950000000000006</v>
      </c>
      <c r="AD65" s="79" t="str">
        <f t="shared" si="0"/>
        <v/>
      </c>
    </row>
    <row r="66" spans="28:30" ht="12.75" customHeight="1" x14ac:dyDescent="0.25">
      <c r="AB66" s="80">
        <v>28</v>
      </c>
      <c r="AC66" s="75">
        <v>0.99919999999999998</v>
      </c>
      <c r="AD66" s="79" t="str">
        <f t="shared" si="0"/>
        <v/>
      </c>
    </row>
    <row r="67" spans="28:30" ht="12.75" customHeight="1" x14ac:dyDescent="0.25">
      <c r="AB67" s="80">
        <v>29</v>
      </c>
      <c r="AC67" s="75">
        <v>0.99890000000000001</v>
      </c>
      <c r="AD67" s="79" t="str">
        <f t="shared" si="0"/>
        <v/>
      </c>
    </row>
    <row r="68" spans="28:30" ht="12.75" customHeight="1" x14ac:dyDescent="0.25">
      <c r="AB68" s="78">
        <v>30</v>
      </c>
      <c r="AC68" s="77">
        <v>0.99860000000000004</v>
      </c>
      <c r="AD68" s="76" t="str">
        <f t="shared" si="0"/>
        <v/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82">
    <mergeCell ref="L6:O6"/>
    <mergeCell ref="P6:T6"/>
    <mergeCell ref="B27:E29"/>
    <mergeCell ref="B18:H18"/>
    <mergeCell ref="B17:H17"/>
    <mergeCell ref="E35:G35"/>
    <mergeCell ref="N35:P35"/>
    <mergeCell ref="A1:F6"/>
    <mergeCell ref="G1:T1"/>
    <mergeCell ref="B11:G11"/>
    <mergeCell ref="S10:Y10"/>
    <mergeCell ref="B35:D35"/>
    <mergeCell ref="N10:R10"/>
    <mergeCell ref="N11:R11"/>
    <mergeCell ref="N12:R12"/>
    <mergeCell ref="H10:M10"/>
    <mergeCell ref="H11:M11"/>
    <mergeCell ref="B32:D34"/>
    <mergeCell ref="B24:E26"/>
    <mergeCell ref="U1:Z6"/>
    <mergeCell ref="G2:T4"/>
    <mergeCell ref="G5:H5"/>
    <mergeCell ref="J5:K5"/>
    <mergeCell ref="L5:O5"/>
    <mergeCell ref="P5:T5"/>
    <mergeCell ref="J6:K6"/>
    <mergeCell ref="K49:M49"/>
    <mergeCell ref="N49:P49"/>
    <mergeCell ref="Q36:S36"/>
    <mergeCell ref="T36:V36"/>
    <mergeCell ref="A7:F7"/>
    <mergeCell ref="G7:Z7"/>
    <mergeCell ref="B10:G10"/>
    <mergeCell ref="H12:M12"/>
    <mergeCell ref="S11:Y11"/>
    <mergeCell ref="B12:G12"/>
    <mergeCell ref="Q32:S34"/>
    <mergeCell ref="B49:D49"/>
    <mergeCell ref="B37:D37"/>
    <mergeCell ref="H37:J37"/>
    <mergeCell ref="K37:M37"/>
    <mergeCell ref="N37:P37"/>
    <mergeCell ref="Q37:S37"/>
    <mergeCell ref="T37:V37"/>
    <mergeCell ref="W37:Y37"/>
    <mergeCell ref="B36:D36"/>
    <mergeCell ref="W39:Y39"/>
    <mergeCell ref="B38:D38"/>
    <mergeCell ref="E38:G38"/>
    <mergeCell ref="H38:J38"/>
    <mergeCell ref="R54:T54"/>
    <mergeCell ref="U53:Z53"/>
    <mergeCell ref="U54:Z54"/>
    <mergeCell ref="S12:Y12"/>
    <mergeCell ref="T32:V34"/>
    <mergeCell ref="W32:Y34"/>
    <mergeCell ref="Q35:S35"/>
    <mergeCell ref="I17:Y17"/>
    <mergeCell ref="I18:Y18"/>
    <mergeCell ref="J24:L26"/>
    <mergeCell ref="J27:L29"/>
    <mergeCell ref="F24:I26"/>
    <mergeCell ref="F27:I29"/>
    <mergeCell ref="S24:V26"/>
    <mergeCell ref="W24:Y26"/>
    <mergeCell ref="O24:R26"/>
    <mergeCell ref="O27:R29"/>
    <mergeCell ref="S27:V29"/>
    <mergeCell ref="W27:Y29"/>
    <mergeCell ref="E49:G49"/>
    <mergeCell ref="Q49:S49"/>
    <mergeCell ref="H49:J49"/>
    <mergeCell ref="W36:Y36"/>
    <mergeCell ref="E37:G37"/>
    <mergeCell ref="A58:Q61"/>
    <mergeCell ref="R55:T57"/>
    <mergeCell ref="R58:T61"/>
    <mergeCell ref="H35:J35"/>
    <mergeCell ref="K35:M35"/>
    <mergeCell ref="AD32:AD34"/>
    <mergeCell ref="E32:G34"/>
    <mergeCell ref="H32:J34"/>
    <mergeCell ref="K32:M34"/>
    <mergeCell ref="N32:P34"/>
    <mergeCell ref="V59:Y60"/>
    <mergeCell ref="AB32:AB34"/>
    <mergeCell ref="AC32:AC34"/>
    <mergeCell ref="U55:Z57"/>
    <mergeCell ref="T35:V35"/>
    <mergeCell ref="W35:Y35"/>
    <mergeCell ref="T49:V49"/>
    <mergeCell ref="W49:Y49"/>
    <mergeCell ref="E36:G36"/>
    <mergeCell ref="H36:J36"/>
    <mergeCell ref="K36:M36"/>
    <mergeCell ref="N36:P36"/>
    <mergeCell ref="A55:Q56"/>
    <mergeCell ref="A54:Q54"/>
    <mergeCell ref="K38:M38"/>
    <mergeCell ref="N38:P38"/>
    <mergeCell ref="Q38:S38"/>
    <mergeCell ref="T38:V38"/>
    <mergeCell ref="W38:Y38"/>
    <mergeCell ref="B39:D39"/>
    <mergeCell ref="E39:G39"/>
    <mergeCell ref="H39:J39"/>
    <mergeCell ref="K39:M39"/>
    <mergeCell ref="N39:P39"/>
    <mergeCell ref="Q39:S39"/>
    <mergeCell ref="T39:V39"/>
    <mergeCell ref="W41:Y41"/>
    <mergeCell ref="B40:D40"/>
    <mergeCell ref="E40:G40"/>
    <mergeCell ref="H40:J40"/>
    <mergeCell ref="K40:M40"/>
    <mergeCell ref="N40:P40"/>
    <mergeCell ref="Q40:S40"/>
    <mergeCell ref="T40:V40"/>
    <mergeCell ref="W40:Y40"/>
    <mergeCell ref="B41:D41"/>
    <mergeCell ref="E41:G41"/>
    <mergeCell ref="H41:J41"/>
    <mergeCell ref="K41:M41"/>
    <mergeCell ref="N41:P41"/>
    <mergeCell ref="Q41:S41"/>
    <mergeCell ref="T41:V41"/>
    <mergeCell ref="W43:Y43"/>
    <mergeCell ref="B42:D42"/>
    <mergeCell ref="E42:G42"/>
    <mergeCell ref="H42:J42"/>
    <mergeCell ref="K42:M42"/>
    <mergeCell ref="N42:P42"/>
    <mergeCell ref="Q42:S42"/>
    <mergeCell ref="T42:V42"/>
    <mergeCell ref="W42:Y42"/>
    <mergeCell ref="B43:D43"/>
    <mergeCell ref="E43:G43"/>
    <mergeCell ref="H43:J43"/>
    <mergeCell ref="K43:M43"/>
    <mergeCell ref="N43:P43"/>
    <mergeCell ref="Q43:S43"/>
    <mergeCell ref="T43:V43"/>
    <mergeCell ref="W45:Y45"/>
    <mergeCell ref="B44:D44"/>
    <mergeCell ref="E44:G44"/>
    <mergeCell ref="H44:J44"/>
    <mergeCell ref="K44:M44"/>
    <mergeCell ref="N44:P44"/>
    <mergeCell ref="Q44:S44"/>
    <mergeCell ref="T44:V44"/>
    <mergeCell ref="W44:Y44"/>
    <mergeCell ref="B45:D45"/>
    <mergeCell ref="E45:G45"/>
    <mergeCell ref="H45:J45"/>
    <mergeCell ref="K45:M45"/>
    <mergeCell ref="N45:P45"/>
    <mergeCell ref="Q45:S45"/>
    <mergeCell ref="T45:V45"/>
    <mergeCell ref="B46:D46"/>
    <mergeCell ref="E46:G46"/>
    <mergeCell ref="H46:J46"/>
    <mergeCell ref="K46:M46"/>
    <mergeCell ref="N46:P46"/>
    <mergeCell ref="Q46:S46"/>
    <mergeCell ref="T46:V46"/>
    <mergeCell ref="W46:Y46"/>
    <mergeCell ref="B47:D47"/>
    <mergeCell ref="E47:G47"/>
    <mergeCell ref="H47:J47"/>
    <mergeCell ref="K47:M47"/>
    <mergeCell ref="N47:P47"/>
    <mergeCell ref="Q47:S47"/>
    <mergeCell ref="T47:V47"/>
    <mergeCell ref="Q48:S48"/>
    <mergeCell ref="T48:V48"/>
    <mergeCell ref="W48:Y48"/>
    <mergeCell ref="B48:D48"/>
    <mergeCell ref="E48:G48"/>
    <mergeCell ref="H48:J48"/>
    <mergeCell ref="K48:M48"/>
    <mergeCell ref="N48:P48"/>
    <mergeCell ref="W47:Y47"/>
  </mergeCells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68"/>
  <sheetViews>
    <sheetView topLeftCell="A6" workbookViewId="0">
      <selection activeCell="AA14" sqref="AA14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27" width="20" style="1" customWidth="1"/>
    <col min="28" max="28" width="28.109375" style="1" customWidth="1"/>
    <col min="29" max="29" width="22.88671875" style="1" customWidth="1"/>
    <col min="30" max="30" width="29.33203125" style="1" customWidth="1"/>
    <col min="31" max="31" width="11.44140625" style="1"/>
  </cols>
  <sheetData>
    <row r="1" spans="1:32" ht="12.75" customHeight="1" x14ac:dyDescent="0.25">
      <c r="A1" s="262"/>
      <c r="B1" s="263"/>
      <c r="C1" s="263"/>
      <c r="D1" s="263"/>
      <c r="E1" s="263"/>
      <c r="F1" s="264"/>
      <c r="G1" s="271" t="s">
        <v>0</v>
      </c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3"/>
      <c r="U1" s="238" t="s">
        <v>56</v>
      </c>
      <c r="V1" s="239"/>
      <c r="W1" s="239"/>
      <c r="X1" s="239"/>
      <c r="Y1" s="239"/>
      <c r="Z1" s="240"/>
    </row>
    <row r="2" spans="1:32" ht="12.75" customHeight="1" x14ac:dyDescent="0.3">
      <c r="A2" s="265"/>
      <c r="B2" s="266"/>
      <c r="C2" s="266"/>
      <c r="D2" s="266"/>
      <c r="E2" s="266"/>
      <c r="F2" s="267"/>
      <c r="G2" s="274" t="s">
        <v>1</v>
      </c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6"/>
      <c r="U2" s="241"/>
      <c r="V2" s="242"/>
      <c r="W2" s="242"/>
      <c r="X2" s="242"/>
      <c r="Y2" s="242"/>
      <c r="Z2" s="243"/>
      <c r="AA2" s="57"/>
      <c r="AB2" s="57"/>
    </row>
    <row r="3" spans="1:32" ht="12.75" customHeight="1" x14ac:dyDescent="0.3">
      <c r="A3" s="265"/>
      <c r="B3" s="266"/>
      <c r="C3" s="266"/>
      <c r="D3" s="266"/>
      <c r="E3" s="266"/>
      <c r="F3" s="267"/>
      <c r="G3" s="274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6"/>
      <c r="U3" s="241"/>
      <c r="V3" s="242"/>
      <c r="W3" s="242"/>
      <c r="X3" s="242"/>
      <c r="Y3" s="242"/>
      <c r="Z3" s="243"/>
      <c r="AA3" s="57"/>
      <c r="AB3" s="57"/>
    </row>
    <row r="4" spans="1:32" ht="12.75" customHeight="1" x14ac:dyDescent="0.3">
      <c r="A4" s="265"/>
      <c r="B4" s="266"/>
      <c r="C4" s="266"/>
      <c r="D4" s="266"/>
      <c r="E4" s="266"/>
      <c r="F4" s="267"/>
      <c r="G4" s="274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6"/>
      <c r="U4" s="241"/>
      <c r="V4" s="242"/>
      <c r="W4" s="242"/>
      <c r="X4" s="242"/>
      <c r="Y4" s="242"/>
      <c r="Z4" s="243"/>
      <c r="AA4" s="57"/>
      <c r="AB4" s="57"/>
    </row>
    <row r="5" spans="1:32" ht="12.75" customHeight="1" x14ac:dyDescent="0.3">
      <c r="A5" s="265"/>
      <c r="B5" s="266"/>
      <c r="C5" s="266"/>
      <c r="D5" s="266"/>
      <c r="E5" s="266"/>
      <c r="F5" s="267"/>
      <c r="G5" s="277"/>
      <c r="H5" s="278"/>
      <c r="I5" s="2" t="s">
        <v>2</v>
      </c>
      <c r="J5" s="279">
        <v>1</v>
      </c>
      <c r="K5" s="280"/>
      <c r="L5" s="281" t="s">
        <v>3</v>
      </c>
      <c r="M5" s="282"/>
      <c r="N5" s="282"/>
      <c r="O5" s="283"/>
      <c r="P5" s="284" t="s">
        <v>4</v>
      </c>
      <c r="Q5" s="285"/>
      <c r="R5" s="285"/>
      <c r="S5" s="285"/>
      <c r="T5" s="286"/>
      <c r="U5" s="241"/>
      <c r="V5" s="242"/>
      <c r="W5" s="242"/>
      <c r="X5" s="242"/>
      <c r="Y5" s="242"/>
      <c r="Z5" s="243"/>
      <c r="AA5" s="57"/>
      <c r="AB5" s="57"/>
    </row>
    <row r="6" spans="1:32" ht="12.75" customHeight="1" x14ac:dyDescent="0.25">
      <c r="A6" s="268"/>
      <c r="B6" s="269"/>
      <c r="C6" s="269"/>
      <c r="D6" s="269"/>
      <c r="E6" s="269"/>
      <c r="F6" s="270"/>
      <c r="G6" s="3"/>
      <c r="H6" s="4"/>
      <c r="I6" s="4"/>
      <c r="J6" s="287" t="s">
        <v>5</v>
      </c>
      <c r="K6" s="287"/>
      <c r="L6" s="287" t="s">
        <v>6</v>
      </c>
      <c r="M6" s="287"/>
      <c r="N6" s="287"/>
      <c r="O6" s="287"/>
      <c r="P6" s="287" t="s">
        <v>7</v>
      </c>
      <c r="Q6" s="287"/>
      <c r="R6" s="287"/>
      <c r="S6" s="287"/>
      <c r="T6" s="288"/>
      <c r="U6" s="244"/>
      <c r="V6" s="245"/>
      <c r="W6" s="245"/>
      <c r="X6" s="245"/>
      <c r="Y6" s="245"/>
      <c r="Z6" s="246"/>
    </row>
    <row r="7" spans="1:32" ht="36.6" customHeight="1" x14ac:dyDescent="0.25">
      <c r="A7" s="289" t="s">
        <v>8</v>
      </c>
      <c r="B7" s="289"/>
      <c r="C7" s="289"/>
      <c r="D7" s="289"/>
      <c r="E7" s="289"/>
      <c r="F7" s="289"/>
      <c r="G7" s="290" t="s">
        <v>9</v>
      </c>
      <c r="H7" s="290"/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  <c r="Z7" s="290"/>
    </row>
    <row r="8" spans="1:32" ht="15.9" customHeight="1" x14ac:dyDescent="0.3">
      <c r="A8" s="58" t="s">
        <v>10</v>
      </c>
      <c r="B8" s="59" t="s">
        <v>11</v>
      </c>
      <c r="C8" s="60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  <c r="AB8" s="57"/>
      <c r="AF8" s="57" t="s">
        <v>12</v>
      </c>
    </row>
    <row r="9" spans="1:32" ht="8.25" customHeight="1" x14ac:dyDescent="0.3">
      <c r="A9" s="10"/>
      <c r="D9" s="11"/>
      <c r="E9" s="11"/>
      <c r="F9" s="11"/>
      <c r="G9" s="11"/>
      <c r="Z9" s="12"/>
      <c r="AB9" s="57"/>
      <c r="AF9" s="57" t="s">
        <v>13</v>
      </c>
    </row>
    <row r="10" spans="1:32" ht="15.9" customHeight="1" x14ac:dyDescent="0.3">
      <c r="A10" s="10"/>
      <c r="B10" s="291" t="s">
        <v>14</v>
      </c>
      <c r="C10" s="291"/>
      <c r="D10" s="291"/>
      <c r="E10" s="291"/>
      <c r="F10" s="291"/>
      <c r="G10" s="291"/>
      <c r="H10" s="292" t="s">
        <v>12</v>
      </c>
      <c r="I10" s="292"/>
      <c r="J10" s="292"/>
      <c r="K10" s="292"/>
      <c r="L10" s="292"/>
      <c r="M10" s="292"/>
      <c r="N10" s="291" t="s">
        <v>15</v>
      </c>
      <c r="O10" s="291"/>
      <c r="P10" s="291"/>
      <c r="Q10" s="291"/>
      <c r="R10" s="291"/>
      <c r="S10" s="294" t="s">
        <v>57</v>
      </c>
      <c r="T10" s="293"/>
      <c r="U10" s="293"/>
      <c r="V10" s="293"/>
      <c r="W10" s="293"/>
      <c r="X10" s="293"/>
      <c r="Y10" s="293"/>
      <c r="Z10" s="13"/>
      <c r="AB10" s="57"/>
      <c r="AF10" s="57" t="s">
        <v>4</v>
      </c>
    </row>
    <row r="11" spans="1:32" ht="15.9" customHeight="1" x14ac:dyDescent="0.3">
      <c r="A11" s="10"/>
      <c r="B11" s="291" t="s">
        <v>17</v>
      </c>
      <c r="C11" s="291"/>
      <c r="D11" s="291"/>
      <c r="E11" s="291"/>
      <c r="F11" s="291"/>
      <c r="G11" s="291"/>
      <c r="H11" s="292" t="s">
        <v>13</v>
      </c>
      <c r="I11" s="292"/>
      <c r="J11" s="292"/>
      <c r="K11" s="292"/>
      <c r="L11" s="292"/>
      <c r="M11" s="292"/>
      <c r="N11" s="291" t="s">
        <v>18</v>
      </c>
      <c r="O11" s="291"/>
      <c r="P11" s="291"/>
      <c r="Q11" s="291"/>
      <c r="R11" s="291"/>
      <c r="S11" s="293" t="s">
        <v>19</v>
      </c>
      <c r="T11" s="293"/>
      <c r="U11" s="293"/>
      <c r="V11" s="293"/>
      <c r="W11" s="293"/>
      <c r="X11" s="293"/>
      <c r="Y11" s="293"/>
      <c r="Z11" s="13"/>
      <c r="AB11" s="57"/>
      <c r="AF11" s="57" t="s">
        <v>16</v>
      </c>
    </row>
    <row r="12" spans="1:32" ht="15.9" customHeight="1" x14ac:dyDescent="0.3">
      <c r="A12" s="10"/>
      <c r="B12" s="291" t="s">
        <v>20</v>
      </c>
      <c r="C12" s="291"/>
      <c r="D12" s="291"/>
      <c r="E12" s="291"/>
      <c r="F12" s="291"/>
      <c r="G12" s="291"/>
      <c r="H12" s="292" t="s">
        <v>4</v>
      </c>
      <c r="I12" s="292"/>
      <c r="J12" s="292"/>
      <c r="K12" s="292"/>
      <c r="L12" s="292"/>
      <c r="M12" s="292"/>
      <c r="N12" s="291" t="s">
        <v>21</v>
      </c>
      <c r="O12" s="291"/>
      <c r="P12" s="291"/>
      <c r="Q12" s="291"/>
      <c r="R12" s="291"/>
      <c r="S12" s="293" t="s">
        <v>22</v>
      </c>
      <c r="T12" s="293"/>
      <c r="U12" s="293"/>
      <c r="V12" s="293"/>
      <c r="W12" s="293"/>
      <c r="X12" s="293"/>
      <c r="Y12" s="293"/>
      <c r="Z12" s="13"/>
      <c r="AB12" s="57"/>
      <c r="AF12" s="57" t="s">
        <v>19</v>
      </c>
    </row>
    <row r="13" spans="1:32" ht="8.25" customHeight="1" x14ac:dyDescent="0.3">
      <c r="A13" s="14"/>
      <c r="B13" s="65"/>
      <c r="C13" s="65"/>
      <c r="D13" s="66"/>
      <c r="E13" s="66"/>
      <c r="F13" s="66"/>
      <c r="G13" s="66"/>
      <c r="H13" s="65"/>
      <c r="I13" s="65"/>
      <c r="J13" s="65"/>
      <c r="K13" s="65"/>
      <c r="L13" s="65"/>
      <c r="M13" s="65"/>
      <c r="N13" s="67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16"/>
      <c r="AB13" s="57"/>
      <c r="AF13" s="57" t="s">
        <v>22</v>
      </c>
    </row>
    <row r="14" spans="1:32" s="17" customFormat="1" ht="15" customHeight="1" x14ac:dyDescent="0.25">
      <c r="B14" s="18"/>
      <c r="C14" s="18"/>
      <c r="K14" s="19"/>
      <c r="L14" s="18"/>
      <c r="M14" s="20"/>
    </row>
    <row r="15" spans="1:32" s="17" customFormat="1" ht="16.2" customHeight="1" x14ac:dyDescent="0.25">
      <c r="A15" s="58" t="s">
        <v>23</v>
      </c>
      <c r="B15" s="59" t="s">
        <v>24</v>
      </c>
      <c r="C15" s="61"/>
      <c r="D15" s="61"/>
      <c r="E15" s="61"/>
      <c r="F15" s="61"/>
      <c r="G15" s="61"/>
      <c r="H15" s="6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2"/>
    </row>
    <row r="16" spans="1:32" s="17" customFormat="1" ht="13.8" customHeight="1" x14ac:dyDescent="0.25">
      <c r="A16" s="62"/>
      <c r="B16" s="63"/>
      <c r="C16" s="64"/>
      <c r="D16" s="64"/>
      <c r="E16" s="64"/>
      <c r="F16" s="64"/>
      <c r="G16" s="64"/>
      <c r="H16" s="64"/>
      <c r="Z16" s="23"/>
    </row>
    <row r="17" spans="1:32" s="17" customFormat="1" ht="15" customHeight="1" x14ac:dyDescent="0.25">
      <c r="A17" s="62"/>
      <c r="B17" s="312" t="s">
        <v>25</v>
      </c>
      <c r="C17" s="312"/>
      <c r="D17" s="312"/>
      <c r="E17" s="312"/>
      <c r="F17" s="312"/>
      <c r="G17" s="312"/>
      <c r="H17" s="312"/>
      <c r="I17" s="318"/>
      <c r="J17" s="318"/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24"/>
    </row>
    <row r="18" spans="1:32" s="17" customFormat="1" ht="15" customHeight="1" x14ac:dyDescent="0.3">
      <c r="A18" s="62"/>
      <c r="B18" s="312" t="s">
        <v>26</v>
      </c>
      <c r="C18" s="312"/>
      <c r="D18" s="312"/>
      <c r="E18" s="312"/>
      <c r="F18" s="312"/>
      <c r="G18" s="312"/>
      <c r="H18" s="312"/>
      <c r="I18" s="318" t="s">
        <v>66</v>
      </c>
      <c r="J18" s="318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24"/>
    </row>
    <row r="19" spans="1:32" s="17" customFormat="1" ht="13.2" customHeight="1" x14ac:dyDescent="0.25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7"/>
    </row>
    <row r="20" spans="1:32" ht="12.75" customHeight="1" x14ac:dyDescent="0.25">
      <c r="D20" s="11"/>
      <c r="E20" s="11"/>
      <c r="F20" s="11"/>
      <c r="G20" s="11"/>
      <c r="N20" s="28"/>
    </row>
    <row r="21" spans="1:32" ht="15.9" customHeight="1" x14ac:dyDescent="0.25">
      <c r="A21" s="5" t="s">
        <v>27</v>
      </c>
      <c r="B21" s="6" t="s">
        <v>28</v>
      </c>
      <c r="C21" s="29"/>
      <c r="D21" s="30"/>
      <c r="E21" s="30"/>
      <c r="F21" s="30"/>
      <c r="G21" s="30"/>
      <c r="H21" s="29"/>
      <c r="I21" s="29"/>
      <c r="J21" s="29"/>
      <c r="K21" s="29"/>
      <c r="L21" s="29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32" ht="12.75" customHeight="1" x14ac:dyDescent="0.25">
      <c r="A22" s="10"/>
      <c r="Z22" s="12"/>
    </row>
    <row r="23" spans="1:32" ht="12.75" customHeight="1" x14ac:dyDescent="0.25">
      <c r="A23" s="10"/>
      <c r="Z23" s="12"/>
    </row>
    <row r="24" spans="1:32" ht="12.75" customHeight="1" x14ac:dyDescent="0.25">
      <c r="A24" s="10"/>
      <c r="B24" s="303" t="s">
        <v>29</v>
      </c>
      <c r="C24" s="304"/>
      <c r="D24" s="304"/>
      <c r="E24" s="304"/>
      <c r="F24" s="304">
        <v>19</v>
      </c>
      <c r="G24" s="304"/>
      <c r="H24" s="304"/>
      <c r="I24" s="304"/>
      <c r="J24" s="321" t="s">
        <v>30</v>
      </c>
      <c r="K24" s="321"/>
      <c r="L24" s="322"/>
      <c r="O24" s="303" t="s">
        <v>31</v>
      </c>
      <c r="P24" s="309"/>
      <c r="Q24" s="309"/>
      <c r="R24" s="309"/>
      <c r="S24" s="304">
        <v>890</v>
      </c>
      <c r="T24" s="304"/>
      <c r="U24" s="304"/>
      <c r="V24" s="304"/>
      <c r="W24" s="321" t="s">
        <v>32</v>
      </c>
      <c r="X24" s="321"/>
      <c r="Y24" s="322"/>
      <c r="Z24" s="12"/>
      <c r="AA24"/>
    </row>
    <row r="25" spans="1:32" ht="12.75" customHeight="1" x14ac:dyDescent="0.25">
      <c r="A25" s="10"/>
      <c r="B25" s="305"/>
      <c r="C25" s="306"/>
      <c r="D25" s="306"/>
      <c r="E25" s="306"/>
      <c r="F25" s="306"/>
      <c r="G25" s="306"/>
      <c r="H25" s="306"/>
      <c r="I25" s="306"/>
      <c r="J25" s="323"/>
      <c r="K25" s="323"/>
      <c r="L25" s="324"/>
      <c r="O25" s="310"/>
      <c r="P25" s="300"/>
      <c r="Q25" s="300"/>
      <c r="R25" s="300"/>
      <c r="S25" s="306"/>
      <c r="T25" s="306"/>
      <c r="U25" s="306"/>
      <c r="V25" s="306"/>
      <c r="W25" s="323"/>
      <c r="X25" s="323"/>
      <c r="Y25" s="324"/>
      <c r="Z25" s="12"/>
      <c r="AA25"/>
    </row>
    <row r="26" spans="1:32" ht="12.75" customHeight="1" x14ac:dyDescent="0.25">
      <c r="A26" s="10"/>
      <c r="B26" s="307"/>
      <c r="C26" s="308"/>
      <c r="D26" s="308"/>
      <c r="E26" s="308"/>
      <c r="F26" s="308"/>
      <c r="G26" s="308"/>
      <c r="H26" s="308"/>
      <c r="I26" s="308"/>
      <c r="J26" s="325"/>
      <c r="K26" s="325"/>
      <c r="L26" s="326"/>
      <c r="O26" s="311"/>
      <c r="P26" s="302"/>
      <c r="Q26" s="302"/>
      <c r="R26" s="302"/>
      <c r="S26" s="308"/>
      <c r="T26" s="308"/>
      <c r="U26" s="308"/>
      <c r="V26" s="308"/>
      <c r="W26" s="325"/>
      <c r="X26" s="325"/>
      <c r="Y26" s="326"/>
      <c r="Z26" s="12"/>
      <c r="AA26"/>
    </row>
    <row r="27" spans="1:32" ht="12.75" customHeight="1" x14ac:dyDescent="0.25">
      <c r="A27" s="10"/>
      <c r="B27" s="303" t="s">
        <v>33</v>
      </c>
      <c r="C27" s="309"/>
      <c r="D27" s="309"/>
      <c r="E27" s="309"/>
      <c r="F27" s="327">
        <f>IF(F24&lt;&gt;"",(997.1*(SUM(AD35:AD68))),"")</f>
        <v>998.49594000000013</v>
      </c>
      <c r="G27" s="327"/>
      <c r="H27" s="327"/>
      <c r="I27" s="327"/>
      <c r="J27" s="321" t="s">
        <v>34</v>
      </c>
      <c r="K27" s="321"/>
      <c r="L27" s="322"/>
      <c r="O27" s="330" t="s">
        <v>35</v>
      </c>
      <c r="P27" s="304"/>
      <c r="Q27" s="304"/>
      <c r="R27" s="304"/>
      <c r="S27" s="304">
        <v>2502</v>
      </c>
      <c r="T27" s="304"/>
      <c r="U27" s="304"/>
      <c r="V27" s="304"/>
      <c r="W27" s="321" t="s">
        <v>34</v>
      </c>
      <c r="X27" s="321"/>
      <c r="Y27" s="322"/>
      <c r="Z27" s="12"/>
      <c r="AA27"/>
    </row>
    <row r="28" spans="1:32" ht="12.75" customHeight="1" x14ac:dyDescent="0.25">
      <c r="A28" s="10"/>
      <c r="B28" s="310"/>
      <c r="C28" s="300"/>
      <c r="D28" s="300"/>
      <c r="E28" s="300"/>
      <c r="F28" s="328"/>
      <c r="G28" s="328"/>
      <c r="H28" s="328"/>
      <c r="I28" s="328"/>
      <c r="J28" s="323"/>
      <c r="K28" s="323"/>
      <c r="L28" s="324"/>
      <c r="O28" s="305"/>
      <c r="P28" s="306"/>
      <c r="Q28" s="306"/>
      <c r="R28" s="306"/>
      <c r="S28" s="306"/>
      <c r="T28" s="306"/>
      <c r="U28" s="306"/>
      <c r="V28" s="306"/>
      <c r="W28" s="323"/>
      <c r="X28" s="323"/>
      <c r="Y28" s="324"/>
      <c r="Z28" s="12"/>
      <c r="AA28"/>
    </row>
    <row r="29" spans="1:32" ht="12.75" customHeight="1" x14ac:dyDescent="0.25">
      <c r="A29" s="10"/>
      <c r="B29" s="311"/>
      <c r="C29" s="302"/>
      <c r="D29" s="302"/>
      <c r="E29" s="302"/>
      <c r="F29" s="329"/>
      <c r="G29" s="329"/>
      <c r="H29" s="329"/>
      <c r="I29" s="329"/>
      <c r="J29" s="325"/>
      <c r="K29" s="325"/>
      <c r="L29" s="326"/>
      <c r="O29" s="307"/>
      <c r="P29" s="308"/>
      <c r="Q29" s="308"/>
      <c r="R29" s="308"/>
      <c r="S29" s="308"/>
      <c r="T29" s="308"/>
      <c r="U29" s="308"/>
      <c r="V29" s="308"/>
      <c r="W29" s="325"/>
      <c r="X29" s="325"/>
      <c r="Y29" s="326"/>
      <c r="Z29" s="12"/>
    </row>
    <row r="30" spans="1:32" ht="12.75" customHeight="1" x14ac:dyDescent="0.3">
      <c r="A30" s="10"/>
      <c r="B30" s="31"/>
      <c r="C30" s="32"/>
      <c r="D30" s="33"/>
      <c r="I30" s="34"/>
      <c r="J30" s="34"/>
      <c r="P30" s="32"/>
      <c r="Q30" s="32"/>
      <c r="R30" s="32"/>
      <c r="S30" s="32"/>
      <c r="T30" s="32"/>
      <c r="U30" s="32"/>
      <c r="V30" s="32"/>
      <c r="W30" s="33"/>
      <c r="Z30" s="12"/>
      <c r="AA30" s="57"/>
      <c r="AB30" s="57"/>
      <c r="AC30" s="57"/>
      <c r="AD30" s="57"/>
      <c r="AE30" s="57"/>
      <c r="AF30" s="57"/>
    </row>
    <row r="31" spans="1:32" ht="12.75" customHeight="1" x14ac:dyDescent="0.25">
      <c r="A31" s="10"/>
      <c r="B31" s="31"/>
      <c r="C31" s="32"/>
      <c r="D31" s="33"/>
      <c r="E31" s="34"/>
      <c r="F31" s="35"/>
      <c r="G31" s="32"/>
      <c r="H31" s="33"/>
      <c r="I31" s="34"/>
      <c r="J31" s="34"/>
      <c r="Z31" s="12"/>
    </row>
    <row r="32" spans="1:32" ht="19.5" customHeight="1" x14ac:dyDescent="0.25">
      <c r="A32" s="10"/>
      <c r="B32" s="297" t="s">
        <v>36</v>
      </c>
      <c r="C32" s="298"/>
      <c r="D32" s="298"/>
      <c r="E32" s="298" t="s">
        <v>37</v>
      </c>
      <c r="F32" s="298"/>
      <c r="G32" s="298"/>
      <c r="H32" s="298" t="s">
        <v>38</v>
      </c>
      <c r="I32" s="298"/>
      <c r="J32" s="298"/>
      <c r="K32" s="298" t="s">
        <v>39</v>
      </c>
      <c r="L32" s="298"/>
      <c r="M32" s="298"/>
      <c r="N32" s="298" t="s">
        <v>40</v>
      </c>
      <c r="O32" s="298"/>
      <c r="P32" s="298"/>
      <c r="Q32" s="298" t="s">
        <v>41</v>
      </c>
      <c r="R32" s="298"/>
      <c r="S32" s="298"/>
      <c r="T32" s="314" t="s">
        <v>42</v>
      </c>
      <c r="U32" s="314"/>
      <c r="V32" s="314"/>
      <c r="W32" s="298" t="s">
        <v>43</v>
      </c>
      <c r="X32" s="298"/>
      <c r="Y32" s="315"/>
      <c r="Z32" s="12"/>
      <c r="AB32" s="262" t="s">
        <v>44</v>
      </c>
      <c r="AC32" s="263" t="s">
        <v>45</v>
      </c>
      <c r="AD32" s="264" t="s">
        <v>46</v>
      </c>
    </row>
    <row r="33" spans="1:30" ht="19.5" customHeight="1" x14ac:dyDescent="0.25">
      <c r="A33" s="10"/>
      <c r="B33" s="299"/>
      <c r="C33" s="300"/>
      <c r="D33" s="300"/>
      <c r="E33" s="300"/>
      <c r="F33" s="300"/>
      <c r="G33" s="300"/>
      <c r="H33" s="300"/>
      <c r="I33" s="300"/>
      <c r="J33" s="300"/>
      <c r="K33" s="300"/>
      <c r="L33" s="300"/>
      <c r="M33" s="300"/>
      <c r="N33" s="300"/>
      <c r="O33" s="300"/>
      <c r="P33" s="300"/>
      <c r="Q33" s="300"/>
      <c r="R33" s="300"/>
      <c r="S33" s="300"/>
      <c r="T33" s="306"/>
      <c r="U33" s="306"/>
      <c r="V33" s="306"/>
      <c r="W33" s="300"/>
      <c r="X33" s="300"/>
      <c r="Y33" s="316"/>
      <c r="Z33" s="12"/>
      <c r="AB33" s="265"/>
      <c r="AC33" s="266"/>
      <c r="AD33" s="267"/>
    </row>
    <row r="34" spans="1:30" ht="19.5" customHeight="1" x14ac:dyDescent="0.25">
      <c r="A34" s="10"/>
      <c r="B34" s="301"/>
      <c r="C34" s="302"/>
      <c r="D34" s="302"/>
      <c r="E34" s="302"/>
      <c r="F34" s="302"/>
      <c r="G34" s="302"/>
      <c r="H34" s="302"/>
      <c r="I34" s="302"/>
      <c r="J34" s="302"/>
      <c r="K34" s="302"/>
      <c r="L34" s="302"/>
      <c r="M34" s="302"/>
      <c r="N34" s="302"/>
      <c r="O34" s="302"/>
      <c r="P34" s="302"/>
      <c r="Q34" s="302"/>
      <c r="R34" s="302"/>
      <c r="S34" s="302"/>
      <c r="T34" s="308"/>
      <c r="U34" s="308"/>
      <c r="V34" s="308"/>
      <c r="W34" s="302"/>
      <c r="X34" s="302"/>
      <c r="Y34" s="317"/>
      <c r="Z34" s="12"/>
      <c r="AB34" s="268"/>
      <c r="AC34" s="269"/>
      <c r="AD34" s="270"/>
    </row>
    <row r="35" spans="1:30" ht="25.5" customHeight="1" x14ac:dyDescent="0.25">
      <c r="A35" s="10"/>
      <c r="B35" s="295"/>
      <c r="C35" s="296"/>
      <c r="D35" s="296"/>
      <c r="E35" s="296">
        <v>1878.3</v>
      </c>
      <c r="F35" s="296"/>
      <c r="G35" s="296"/>
      <c r="H35" s="296">
        <v>1908.8</v>
      </c>
      <c r="I35" s="296"/>
      <c r="J35" s="296"/>
      <c r="K35" s="296">
        <v>1051.0999999999999</v>
      </c>
      <c r="L35" s="296"/>
      <c r="M35" s="296"/>
      <c r="N35" s="313">
        <v>2277.5</v>
      </c>
      <c r="O35" s="313"/>
      <c r="P35" s="313"/>
      <c r="Q35" s="313">
        <v>91</v>
      </c>
      <c r="R35" s="313"/>
      <c r="S35" s="313"/>
      <c r="T35" s="313">
        <v>9</v>
      </c>
      <c r="U35" s="313"/>
      <c r="V35" s="313"/>
      <c r="W35" s="296">
        <v>5</v>
      </c>
      <c r="X35" s="296"/>
      <c r="Y35" s="349"/>
      <c r="Z35" s="12"/>
      <c r="AB35" s="10">
        <v>10</v>
      </c>
      <c r="AC35" s="11">
        <v>1.0026999999999999</v>
      </c>
      <c r="AD35" s="36" t="str">
        <f t="shared" ref="AD35:AD68" si="0">IF($F$24=AB35,AC35,"")</f>
        <v/>
      </c>
    </row>
    <row r="36" spans="1:30" ht="25.5" customHeight="1" x14ac:dyDescent="0.25">
      <c r="A36" s="10"/>
      <c r="B36" s="295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313"/>
      <c r="O36" s="313"/>
      <c r="P36" s="313"/>
      <c r="Q36" s="313"/>
      <c r="R36" s="313"/>
      <c r="S36" s="313"/>
      <c r="T36" s="313"/>
      <c r="U36" s="313"/>
      <c r="V36" s="313"/>
      <c r="W36" s="296"/>
      <c r="X36" s="296"/>
      <c r="Y36" s="349"/>
      <c r="Z36" s="12"/>
      <c r="AB36" s="10"/>
      <c r="AC36" s="11"/>
      <c r="AD36" s="36"/>
    </row>
    <row r="37" spans="1:30" ht="25.5" customHeight="1" x14ac:dyDescent="0.25">
      <c r="A37" s="10"/>
      <c r="B37" s="295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313"/>
      <c r="O37" s="313"/>
      <c r="P37" s="313"/>
      <c r="Q37" s="313"/>
      <c r="R37" s="313"/>
      <c r="S37" s="313"/>
      <c r="T37" s="313"/>
      <c r="U37" s="313"/>
      <c r="V37" s="313"/>
      <c r="W37" s="296"/>
      <c r="X37" s="296"/>
      <c r="Y37" s="349"/>
      <c r="Z37" s="12"/>
      <c r="AB37" s="10"/>
      <c r="AC37" s="11"/>
      <c r="AD37" s="36"/>
    </row>
    <row r="38" spans="1:30" ht="25.5" customHeight="1" x14ac:dyDescent="0.25">
      <c r="A38" s="10"/>
      <c r="B38" s="295"/>
      <c r="C38" s="296"/>
      <c r="D38" s="296"/>
      <c r="E38" s="296"/>
      <c r="F38" s="296"/>
      <c r="G38" s="296"/>
      <c r="H38" s="296"/>
      <c r="I38" s="296"/>
      <c r="J38" s="296"/>
      <c r="K38" s="296"/>
      <c r="L38" s="296"/>
      <c r="M38" s="296"/>
      <c r="N38" s="313"/>
      <c r="O38" s="313"/>
      <c r="P38" s="313"/>
      <c r="Q38" s="313"/>
      <c r="R38" s="313"/>
      <c r="S38" s="313"/>
      <c r="T38" s="313"/>
      <c r="U38" s="313"/>
      <c r="V38" s="313"/>
      <c r="W38" s="296"/>
      <c r="X38" s="296"/>
      <c r="Y38" s="349"/>
      <c r="Z38" s="12"/>
      <c r="AB38" s="10"/>
      <c r="AC38" s="11"/>
      <c r="AD38" s="36"/>
    </row>
    <row r="39" spans="1:30" ht="25.5" customHeight="1" x14ac:dyDescent="0.25">
      <c r="A39" s="10"/>
      <c r="B39" s="295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313"/>
      <c r="O39" s="313"/>
      <c r="P39" s="313"/>
      <c r="Q39" s="313"/>
      <c r="R39" s="313"/>
      <c r="S39" s="313"/>
      <c r="T39" s="313"/>
      <c r="U39" s="313"/>
      <c r="V39" s="313"/>
      <c r="W39" s="296"/>
      <c r="X39" s="296"/>
      <c r="Y39" s="349"/>
      <c r="Z39" s="12"/>
      <c r="AB39" s="10"/>
      <c r="AC39" s="11"/>
      <c r="AD39" s="36"/>
    </row>
    <row r="40" spans="1:30" ht="25.5" customHeight="1" x14ac:dyDescent="0.25">
      <c r="A40" s="10"/>
      <c r="B40" s="295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313"/>
      <c r="O40" s="313"/>
      <c r="P40" s="313"/>
      <c r="Q40" s="313"/>
      <c r="R40" s="313"/>
      <c r="S40" s="313"/>
      <c r="T40" s="313"/>
      <c r="U40" s="313"/>
      <c r="V40" s="313"/>
      <c r="W40" s="296"/>
      <c r="X40" s="296"/>
      <c r="Y40" s="349"/>
      <c r="Z40" s="12"/>
      <c r="AB40" s="10"/>
      <c r="AC40" s="11"/>
      <c r="AD40" s="36"/>
    </row>
    <row r="41" spans="1:30" ht="25.5" customHeight="1" x14ac:dyDescent="0.25">
      <c r="A41" s="10"/>
      <c r="B41" s="295"/>
      <c r="C41" s="296"/>
      <c r="D41" s="296"/>
      <c r="E41" s="296"/>
      <c r="F41" s="296"/>
      <c r="G41" s="296"/>
      <c r="H41" s="296"/>
      <c r="I41" s="296"/>
      <c r="J41" s="296"/>
      <c r="K41" s="296"/>
      <c r="L41" s="296"/>
      <c r="M41" s="296"/>
      <c r="N41" s="313"/>
      <c r="O41" s="313"/>
      <c r="P41" s="313"/>
      <c r="Q41" s="313"/>
      <c r="R41" s="313"/>
      <c r="S41" s="313"/>
      <c r="T41" s="313"/>
      <c r="U41" s="313"/>
      <c r="V41" s="313"/>
      <c r="W41" s="296"/>
      <c r="X41" s="296"/>
      <c r="Y41" s="349"/>
      <c r="Z41" s="12"/>
      <c r="AB41" s="10"/>
      <c r="AC41" s="11"/>
      <c r="AD41" s="36"/>
    </row>
    <row r="42" spans="1:30" ht="25.5" customHeight="1" x14ac:dyDescent="0.25">
      <c r="A42" s="10"/>
      <c r="B42" s="295"/>
      <c r="C42" s="296"/>
      <c r="D42" s="296"/>
      <c r="E42" s="296"/>
      <c r="F42" s="296"/>
      <c r="G42" s="296"/>
      <c r="H42" s="296"/>
      <c r="I42" s="296"/>
      <c r="J42" s="296"/>
      <c r="K42" s="296"/>
      <c r="L42" s="296"/>
      <c r="M42" s="296"/>
      <c r="N42" s="313"/>
      <c r="O42" s="313"/>
      <c r="P42" s="313"/>
      <c r="Q42" s="313"/>
      <c r="R42" s="313"/>
      <c r="S42" s="313"/>
      <c r="T42" s="313"/>
      <c r="U42" s="313"/>
      <c r="V42" s="313"/>
      <c r="W42" s="296"/>
      <c r="X42" s="296"/>
      <c r="Y42" s="349"/>
      <c r="Z42" s="12"/>
      <c r="AB42" s="10"/>
      <c r="AC42" s="11"/>
      <c r="AD42" s="36"/>
    </row>
    <row r="43" spans="1:30" ht="25.5" customHeight="1" x14ac:dyDescent="0.25">
      <c r="A43" s="10"/>
      <c r="B43" s="295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313"/>
      <c r="O43" s="313"/>
      <c r="P43" s="313"/>
      <c r="Q43" s="313"/>
      <c r="R43" s="313"/>
      <c r="S43" s="313"/>
      <c r="T43" s="313"/>
      <c r="U43" s="313"/>
      <c r="V43" s="313"/>
      <c r="W43" s="296"/>
      <c r="X43" s="296"/>
      <c r="Y43" s="349"/>
      <c r="Z43" s="12"/>
      <c r="AB43" s="10"/>
      <c r="AC43" s="11"/>
      <c r="AD43" s="36"/>
    </row>
    <row r="44" spans="1:30" ht="25.5" customHeight="1" x14ac:dyDescent="0.25">
      <c r="A44" s="10"/>
      <c r="B44" s="295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313"/>
      <c r="O44" s="313"/>
      <c r="P44" s="313"/>
      <c r="Q44" s="313"/>
      <c r="R44" s="313"/>
      <c r="S44" s="313"/>
      <c r="T44" s="313"/>
      <c r="U44" s="313"/>
      <c r="V44" s="313"/>
      <c r="W44" s="296"/>
      <c r="X44" s="296"/>
      <c r="Y44" s="349"/>
      <c r="Z44" s="12"/>
      <c r="AB44" s="10"/>
      <c r="AC44" s="11"/>
      <c r="AD44" s="36"/>
    </row>
    <row r="45" spans="1:30" ht="25.5" customHeight="1" x14ac:dyDescent="0.25">
      <c r="A45" s="10"/>
      <c r="B45" s="295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313"/>
      <c r="O45" s="313"/>
      <c r="P45" s="313"/>
      <c r="Q45" s="313"/>
      <c r="R45" s="313"/>
      <c r="S45" s="313"/>
      <c r="T45" s="313"/>
      <c r="U45" s="313"/>
      <c r="V45" s="313"/>
      <c r="W45" s="296"/>
      <c r="X45" s="296"/>
      <c r="Y45" s="349"/>
      <c r="Z45" s="12"/>
      <c r="AB45" s="10"/>
      <c r="AC45" s="11"/>
      <c r="AD45" s="36"/>
    </row>
    <row r="46" spans="1:30" ht="25.5" customHeight="1" x14ac:dyDescent="0.25">
      <c r="A46" s="10"/>
      <c r="B46" s="295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313"/>
      <c r="O46" s="313"/>
      <c r="P46" s="313"/>
      <c r="Q46" s="313"/>
      <c r="R46" s="313"/>
      <c r="S46" s="313"/>
      <c r="T46" s="313"/>
      <c r="U46" s="313"/>
      <c r="V46" s="313"/>
      <c r="W46" s="296"/>
      <c r="X46" s="296"/>
      <c r="Y46" s="349"/>
      <c r="Z46" s="12"/>
      <c r="AB46" s="10"/>
      <c r="AC46" s="11"/>
      <c r="AD46" s="36"/>
    </row>
    <row r="47" spans="1:30" ht="25.5" customHeight="1" x14ac:dyDescent="0.25">
      <c r="A47" s="10"/>
      <c r="B47" s="295"/>
      <c r="C47" s="296"/>
      <c r="D47" s="296"/>
      <c r="E47" s="296"/>
      <c r="F47" s="296"/>
      <c r="G47" s="296"/>
      <c r="H47" s="296"/>
      <c r="I47" s="296"/>
      <c r="J47" s="296"/>
      <c r="K47" s="296"/>
      <c r="L47" s="296"/>
      <c r="M47" s="296"/>
      <c r="N47" s="313"/>
      <c r="O47" s="313"/>
      <c r="P47" s="313"/>
      <c r="Q47" s="313"/>
      <c r="R47" s="313"/>
      <c r="S47" s="313"/>
      <c r="T47" s="313"/>
      <c r="U47" s="313"/>
      <c r="V47" s="313"/>
      <c r="W47" s="296"/>
      <c r="X47" s="296"/>
      <c r="Y47" s="349"/>
      <c r="Z47" s="12"/>
      <c r="AB47" s="10"/>
      <c r="AC47" s="11"/>
      <c r="AD47" s="36"/>
    </row>
    <row r="48" spans="1:30" ht="25.5" customHeight="1" x14ac:dyDescent="0.25">
      <c r="A48" s="10"/>
      <c r="B48" s="295"/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  <c r="N48" s="313"/>
      <c r="O48" s="313"/>
      <c r="P48" s="313"/>
      <c r="Q48" s="313"/>
      <c r="R48" s="313"/>
      <c r="S48" s="313"/>
      <c r="T48" s="313"/>
      <c r="U48" s="313"/>
      <c r="V48" s="313"/>
      <c r="W48" s="296"/>
      <c r="X48" s="296"/>
      <c r="Y48" s="349"/>
      <c r="Z48" s="12"/>
      <c r="AB48" s="10"/>
      <c r="AC48" s="11"/>
      <c r="AD48" s="36"/>
    </row>
    <row r="49" spans="1:30" ht="25.5" customHeight="1" x14ac:dyDescent="0.25">
      <c r="A49" s="10"/>
      <c r="B49" s="350"/>
      <c r="C49" s="319"/>
      <c r="D49" s="319"/>
      <c r="E49" s="319"/>
      <c r="F49" s="319"/>
      <c r="G49" s="319"/>
      <c r="H49" s="319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Y49" s="320"/>
      <c r="Z49" s="12"/>
      <c r="AB49" s="10">
        <v>11</v>
      </c>
      <c r="AC49" s="11">
        <v>1.0025999999999999</v>
      </c>
      <c r="AD49" s="36" t="str">
        <f t="shared" si="0"/>
        <v/>
      </c>
    </row>
    <row r="50" spans="1:30" ht="12.75" customHeight="1" x14ac:dyDescent="0.25"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2"/>
      <c r="O50" s="52"/>
      <c r="P50" s="52"/>
      <c r="Q50" s="53"/>
      <c r="R50" s="53"/>
      <c r="S50" s="53"/>
      <c r="T50" s="53"/>
      <c r="U50" s="53"/>
      <c r="V50" s="53"/>
      <c r="W50" s="51"/>
      <c r="X50" s="51"/>
      <c r="Y50" s="51"/>
      <c r="Z50" s="12"/>
      <c r="AB50" s="10">
        <v>12</v>
      </c>
      <c r="AC50" s="11">
        <v>1.0024999999999999</v>
      </c>
      <c r="AD50" s="36" t="str">
        <f t="shared" si="0"/>
        <v/>
      </c>
    </row>
    <row r="51" spans="1:30" ht="15.9" customHeight="1" x14ac:dyDescent="0.25">
      <c r="A51" s="41"/>
      <c r="B51" s="4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16"/>
      <c r="AB51" s="10">
        <v>13</v>
      </c>
      <c r="AC51" s="11">
        <v>1.0023</v>
      </c>
      <c r="AD51" s="36" t="str">
        <f t="shared" si="0"/>
        <v/>
      </c>
    </row>
    <row r="52" spans="1:30" ht="12.75" customHeight="1" x14ac:dyDescent="0.25">
      <c r="A52" s="43"/>
      <c r="B52" s="44"/>
      <c r="AB52" s="10">
        <v>14</v>
      </c>
      <c r="AC52" s="11">
        <v>1.0022</v>
      </c>
      <c r="AD52" s="36" t="str">
        <f t="shared" si="0"/>
        <v/>
      </c>
    </row>
    <row r="53" spans="1:30" s="17" customFormat="1" ht="15.6" customHeight="1" x14ac:dyDescent="0.3">
      <c r="A53" s="45" t="s">
        <v>47</v>
      </c>
      <c r="B53" s="46" t="s">
        <v>48</v>
      </c>
      <c r="C53" s="47"/>
      <c r="D53" s="47"/>
      <c r="E53" s="47"/>
      <c r="F53" s="48"/>
      <c r="G53" s="48"/>
      <c r="H53" s="48"/>
      <c r="I53" s="7"/>
      <c r="J53" s="7"/>
      <c r="K53" s="7"/>
      <c r="L53" s="7"/>
      <c r="M53" s="7"/>
      <c r="N53" s="7"/>
      <c r="O53" s="7"/>
      <c r="P53" s="7"/>
      <c r="Q53" s="48"/>
      <c r="R53" s="7"/>
      <c r="S53" s="7"/>
      <c r="T53" s="7"/>
      <c r="U53" s="363"/>
      <c r="V53" s="363"/>
      <c r="W53" s="363"/>
      <c r="X53" s="364"/>
      <c r="Y53" s="364"/>
      <c r="Z53" s="365"/>
      <c r="AA53" s="57"/>
      <c r="AB53" s="10">
        <v>15</v>
      </c>
      <c r="AC53" s="11">
        <v>1.0021</v>
      </c>
      <c r="AD53" s="36" t="str">
        <f t="shared" si="0"/>
        <v/>
      </c>
    </row>
    <row r="54" spans="1:30" s="17" customFormat="1" ht="25.8" customHeight="1" x14ac:dyDescent="0.3">
      <c r="A54" s="337" t="s">
        <v>49</v>
      </c>
      <c r="B54" s="338"/>
      <c r="C54" s="338"/>
      <c r="D54" s="338"/>
      <c r="E54" s="338"/>
      <c r="F54" s="338"/>
      <c r="G54" s="338"/>
      <c r="H54" s="338"/>
      <c r="I54" s="338"/>
      <c r="J54" s="338"/>
      <c r="K54" s="338"/>
      <c r="L54" s="338"/>
      <c r="M54" s="338"/>
      <c r="N54" s="338"/>
      <c r="O54" s="338"/>
      <c r="P54" s="338"/>
      <c r="Q54" s="339"/>
      <c r="R54" s="357" t="s">
        <v>50</v>
      </c>
      <c r="S54" s="358"/>
      <c r="T54" s="359"/>
      <c r="U54" s="366" t="s">
        <v>12</v>
      </c>
      <c r="V54" s="367"/>
      <c r="W54" s="367"/>
      <c r="X54" s="367"/>
      <c r="Y54" s="367"/>
      <c r="Z54" s="368"/>
      <c r="AA54" s="57"/>
      <c r="AB54" s="10">
        <v>16</v>
      </c>
      <c r="AC54" s="11">
        <v>1.0019</v>
      </c>
      <c r="AD54" s="36" t="str">
        <f t="shared" si="0"/>
        <v/>
      </c>
    </row>
    <row r="55" spans="1:30" s="17" customFormat="1" ht="15.6" customHeight="1" x14ac:dyDescent="0.3">
      <c r="A55" s="331" t="s">
        <v>58</v>
      </c>
      <c r="B55" s="332"/>
      <c r="C55" s="332"/>
      <c r="D55" s="332"/>
      <c r="E55" s="332"/>
      <c r="F55" s="332"/>
      <c r="G55" s="332"/>
      <c r="H55" s="332"/>
      <c r="I55" s="332"/>
      <c r="J55" s="332"/>
      <c r="K55" s="332"/>
      <c r="L55" s="332"/>
      <c r="M55" s="332"/>
      <c r="N55" s="332"/>
      <c r="O55" s="332"/>
      <c r="P55" s="332"/>
      <c r="Q55" s="333"/>
      <c r="R55" s="357" t="s">
        <v>51</v>
      </c>
      <c r="S55" s="358"/>
      <c r="T55" s="359"/>
      <c r="U55" s="341" t="s">
        <v>52</v>
      </c>
      <c r="V55" s="342"/>
      <c r="W55" s="342"/>
      <c r="X55" s="342"/>
      <c r="Y55" s="342"/>
      <c r="Z55" s="343"/>
      <c r="AA55" s="57"/>
      <c r="AB55" s="10">
        <v>17</v>
      </c>
      <c r="AC55" s="11">
        <v>1.0017</v>
      </c>
      <c r="AD55" s="36" t="str">
        <f t="shared" si="0"/>
        <v/>
      </c>
    </row>
    <row r="56" spans="1:30" s="17" customFormat="1" ht="15.6" customHeight="1" x14ac:dyDescent="0.3">
      <c r="A56" s="334"/>
      <c r="B56" s="335"/>
      <c r="C56" s="335"/>
      <c r="D56" s="335"/>
      <c r="E56" s="335"/>
      <c r="F56" s="335"/>
      <c r="G56" s="335"/>
      <c r="H56" s="335"/>
      <c r="I56" s="335"/>
      <c r="J56" s="335"/>
      <c r="K56" s="335"/>
      <c r="L56" s="335"/>
      <c r="M56" s="335"/>
      <c r="N56" s="335"/>
      <c r="O56" s="335"/>
      <c r="P56" s="335"/>
      <c r="Q56" s="336"/>
      <c r="R56" s="357"/>
      <c r="S56" s="358"/>
      <c r="T56" s="359"/>
      <c r="U56" s="344"/>
      <c r="V56" s="340"/>
      <c r="W56" s="340"/>
      <c r="X56" s="340"/>
      <c r="Y56" s="340"/>
      <c r="Z56" s="345"/>
      <c r="AA56" s="57"/>
      <c r="AB56" s="10">
        <v>18</v>
      </c>
      <c r="AC56" s="11">
        <v>1.0016</v>
      </c>
      <c r="AD56" s="36" t="str">
        <f t="shared" si="0"/>
        <v/>
      </c>
    </row>
    <row r="57" spans="1:30" s="17" customFormat="1" ht="15.6" customHeight="1" x14ac:dyDescent="0.25">
      <c r="A57" s="38" t="s">
        <v>53</v>
      </c>
      <c r="B57" s="49" t="s">
        <v>54</v>
      </c>
      <c r="C57" s="1"/>
      <c r="D57" s="1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39"/>
      <c r="R57" s="357"/>
      <c r="S57" s="358"/>
      <c r="T57" s="359"/>
      <c r="U57" s="346"/>
      <c r="V57" s="347"/>
      <c r="W57" s="347"/>
      <c r="X57" s="347"/>
      <c r="Y57" s="347"/>
      <c r="Z57" s="348"/>
      <c r="AB57" s="10">
        <v>19</v>
      </c>
      <c r="AC57" s="11">
        <v>1.0014000000000001</v>
      </c>
      <c r="AD57" s="36">
        <f t="shared" si="0"/>
        <v>1.0014000000000001</v>
      </c>
    </row>
    <row r="58" spans="1:30" s="17" customFormat="1" ht="15.6" customHeight="1" x14ac:dyDescent="0.25">
      <c r="A58" s="351"/>
      <c r="B58" s="352"/>
      <c r="C58" s="352"/>
      <c r="D58" s="352"/>
      <c r="E58" s="352"/>
      <c r="F58" s="352"/>
      <c r="G58" s="352"/>
      <c r="H58" s="352"/>
      <c r="I58" s="352"/>
      <c r="J58" s="352"/>
      <c r="K58" s="352"/>
      <c r="L58" s="352"/>
      <c r="M58" s="352"/>
      <c r="N58" s="352"/>
      <c r="O58" s="352"/>
      <c r="P58" s="352"/>
      <c r="Q58" s="353"/>
      <c r="R58" s="357" t="s">
        <v>55</v>
      </c>
      <c r="S58" s="358"/>
      <c r="T58" s="359"/>
      <c r="U58" s="68"/>
      <c r="V58" s="69"/>
      <c r="W58" s="69"/>
      <c r="X58" s="69"/>
      <c r="Y58" s="69"/>
      <c r="Z58" s="70"/>
      <c r="AB58" s="10">
        <v>20</v>
      </c>
      <c r="AC58" s="11">
        <v>1.0012000000000001</v>
      </c>
      <c r="AD58" s="36" t="str">
        <f t="shared" si="0"/>
        <v/>
      </c>
    </row>
    <row r="59" spans="1:30" s="17" customFormat="1" ht="15.6" customHeight="1" x14ac:dyDescent="0.25">
      <c r="A59" s="351"/>
      <c r="B59" s="352"/>
      <c r="C59" s="352"/>
      <c r="D59" s="352"/>
      <c r="E59" s="352"/>
      <c r="F59" s="352"/>
      <c r="G59" s="352"/>
      <c r="H59" s="352"/>
      <c r="I59" s="352"/>
      <c r="J59" s="352"/>
      <c r="K59" s="352"/>
      <c r="L59" s="352"/>
      <c r="M59" s="352"/>
      <c r="N59" s="352"/>
      <c r="O59" s="352"/>
      <c r="P59" s="352"/>
      <c r="Q59" s="353"/>
      <c r="R59" s="357"/>
      <c r="S59" s="358"/>
      <c r="T59" s="359"/>
      <c r="U59" s="71"/>
      <c r="V59" s="340"/>
      <c r="W59" s="340"/>
      <c r="X59" s="340"/>
      <c r="Y59" s="340"/>
      <c r="Z59" s="72"/>
      <c r="AB59" s="10">
        <v>21</v>
      </c>
      <c r="AC59" s="37">
        <v>1.0009999999999999</v>
      </c>
      <c r="AD59" s="36" t="str">
        <f t="shared" si="0"/>
        <v/>
      </c>
    </row>
    <row r="60" spans="1:30" s="17" customFormat="1" ht="15.6" customHeight="1" x14ac:dyDescent="0.25">
      <c r="A60" s="351"/>
      <c r="B60" s="352"/>
      <c r="C60" s="352"/>
      <c r="D60" s="352"/>
      <c r="E60" s="352"/>
      <c r="F60" s="352"/>
      <c r="G60" s="352"/>
      <c r="H60" s="352"/>
      <c r="I60" s="352"/>
      <c r="J60" s="352"/>
      <c r="K60" s="352"/>
      <c r="L60" s="352"/>
      <c r="M60" s="352"/>
      <c r="N60" s="352"/>
      <c r="O60" s="352"/>
      <c r="P60" s="352"/>
      <c r="Q60" s="353"/>
      <c r="R60" s="357"/>
      <c r="S60" s="358"/>
      <c r="T60" s="359"/>
      <c r="U60" s="71"/>
      <c r="V60" s="340"/>
      <c r="W60" s="340"/>
      <c r="X60" s="340"/>
      <c r="Y60" s="340"/>
      <c r="Z60" s="72"/>
      <c r="AB60" s="10">
        <v>22</v>
      </c>
      <c r="AC60" s="11">
        <v>1.0006999999999999</v>
      </c>
      <c r="AD60" s="36" t="str">
        <f t="shared" si="0"/>
        <v/>
      </c>
    </row>
    <row r="61" spans="1:30" s="17" customFormat="1" ht="15.6" customHeight="1" x14ac:dyDescent="0.25">
      <c r="A61" s="354"/>
      <c r="B61" s="355"/>
      <c r="C61" s="355"/>
      <c r="D61" s="355"/>
      <c r="E61" s="355"/>
      <c r="F61" s="355"/>
      <c r="G61" s="355"/>
      <c r="H61" s="355"/>
      <c r="I61" s="355"/>
      <c r="J61" s="355"/>
      <c r="K61" s="355"/>
      <c r="L61" s="355"/>
      <c r="M61" s="355"/>
      <c r="N61" s="355"/>
      <c r="O61" s="355"/>
      <c r="P61" s="355"/>
      <c r="Q61" s="356"/>
      <c r="R61" s="360"/>
      <c r="S61" s="361"/>
      <c r="T61" s="362"/>
      <c r="U61" s="54"/>
      <c r="V61" s="55"/>
      <c r="W61" s="55"/>
      <c r="X61" s="55"/>
      <c r="Y61" s="55"/>
      <c r="Z61" s="56"/>
      <c r="AB61" s="10">
        <v>23</v>
      </c>
      <c r="AC61" s="11">
        <v>1.0004999999999999</v>
      </c>
      <c r="AD61" s="36" t="str">
        <f t="shared" si="0"/>
        <v/>
      </c>
    </row>
    <row r="62" spans="1:30" ht="12.75" customHeight="1" x14ac:dyDescent="0.25">
      <c r="AB62" s="10">
        <v>24</v>
      </c>
      <c r="AC62" s="11">
        <v>1.0003</v>
      </c>
      <c r="AD62" s="36" t="str">
        <f t="shared" si="0"/>
        <v/>
      </c>
    </row>
    <row r="63" spans="1:30" ht="12.75" customHeight="1" x14ac:dyDescent="0.25">
      <c r="AB63" s="10">
        <v>25</v>
      </c>
      <c r="AC63" s="37">
        <v>1</v>
      </c>
      <c r="AD63" s="36" t="str">
        <f t="shared" si="0"/>
        <v/>
      </c>
    </row>
    <row r="64" spans="1:30" ht="12.75" customHeight="1" x14ac:dyDescent="0.25">
      <c r="AB64" s="10">
        <v>26</v>
      </c>
      <c r="AC64" s="11">
        <v>0.99970000000000003</v>
      </c>
      <c r="AD64" s="36" t="str">
        <f t="shared" si="0"/>
        <v/>
      </c>
    </row>
    <row r="65" spans="28:30" ht="12.75" customHeight="1" x14ac:dyDescent="0.25">
      <c r="AB65" s="10">
        <v>27</v>
      </c>
      <c r="AC65" s="11">
        <v>0.99950000000000006</v>
      </c>
      <c r="AD65" s="36" t="str">
        <f t="shared" si="0"/>
        <v/>
      </c>
    </row>
    <row r="66" spans="28:30" ht="12.75" customHeight="1" x14ac:dyDescent="0.25">
      <c r="AB66" s="10">
        <v>28</v>
      </c>
      <c r="AC66" s="11">
        <v>0.99919999999999998</v>
      </c>
      <c r="AD66" s="36" t="str">
        <f t="shared" si="0"/>
        <v/>
      </c>
    </row>
    <row r="67" spans="28:30" ht="12.75" customHeight="1" x14ac:dyDescent="0.25">
      <c r="AB67" s="10">
        <v>29</v>
      </c>
      <c r="AC67" s="11">
        <v>0.99890000000000001</v>
      </c>
      <c r="AD67" s="36" t="str">
        <f t="shared" si="0"/>
        <v/>
      </c>
    </row>
    <row r="68" spans="28:30" ht="12.75" customHeight="1" x14ac:dyDescent="0.25">
      <c r="AB68" s="14">
        <v>30</v>
      </c>
      <c r="AC68" s="15">
        <v>0.99860000000000004</v>
      </c>
      <c r="AD68" s="40" t="str">
        <f t="shared" si="0"/>
        <v/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82">
    <mergeCell ref="T48:V48"/>
    <mergeCell ref="W48:Y48"/>
    <mergeCell ref="B48:D48"/>
    <mergeCell ref="E48:G48"/>
    <mergeCell ref="H48:J48"/>
    <mergeCell ref="K48:M48"/>
    <mergeCell ref="N48:P48"/>
    <mergeCell ref="Q46:S46"/>
    <mergeCell ref="T46:V46"/>
    <mergeCell ref="W46:Y46"/>
    <mergeCell ref="B47:D47"/>
    <mergeCell ref="E47:G47"/>
    <mergeCell ref="H47:J47"/>
    <mergeCell ref="K47:M47"/>
    <mergeCell ref="N47:P47"/>
    <mergeCell ref="Q47:S47"/>
    <mergeCell ref="T47:V47"/>
    <mergeCell ref="W47:Y47"/>
    <mergeCell ref="B46:D46"/>
    <mergeCell ref="E46:G46"/>
    <mergeCell ref="H46:J46"/>
    <mergeCell ref="K46:M46"/>
    <mergeCell ref="N46:P46"/>
    <mergeCell ref="B45:D45"/>
    <mergeCell ref="E45:G45"/>
    <mergeCell ref="H45:J45"/>
    <mergeCell ref="K45:M45"/>
    <mergeCell ref="N45:P45"/>
    <mergeCell ref="Q45:S45"/>
    <mergeCell ref="T45:V45"/>
    <mergeCell ref="W45:Y45"/>
    <mergeCell ref="B44:D44"/>
    <mergeCell ref="E44:G44"/>
    <mergeCell ref="H44:J44"/>
    <mergeCell ref="K44:M44"/>
    <mergeCell ref="N44:P44"/>
    <mergeCell ref="B43:D43"/>
    <mergeCell ref="E43:G43"/>
    <mergeCell ref="H43:J43"/>
    <mergeCell ref="K43:M43"/>
    <mergeCell ref="N43:P43"/>
    <mergeCell ref="Q43:S43"/>
    <mergeCell ref="T43:V43"/>
    <mergeCell ref="W43:Y43"/>
    <mergeCell ref="B42:D42"/>
    <mergeCell ref="E42:G42"/>
    <mergeCell ref="H42:J42"/>
    <mergeCell ref="K42:M42"/>
    <mergeCell ref="N42:P42"/>
    <mergeCell ref="B41:D41"/>
    <mergeCell ref="E41:G41"/>
    <mergeCell ref="H41:J41"/>
    <mergeCell ref="K41:M41"/>
    <mergeCell ref="N41:P41"/>
    <mergeCell ref="Q41:S41"/>
    <mergeCell ref="T41:V41"/>
    <mergeCell ref="W41:Y41"/>
    <mergeCell ref="B40:D40"/>
    <mergeCell ref="E40:G40"/>
    <mergeCell ref="H40:J40"/>
    <mergeCell ref="K40:M40"/>
    <mergeCell ref="N40:P40"/>
    <mergeCell ref="B36:D36"/>
    <mergeCell ref="E36:G36"/>
    <mergeCell ref="H36:J36"/>
    <mergeCell ref="K36:M36"/>
    <mergeCell ref="N36:P36"/>
    <mergeCell ref="Q38:S38"/>
    <mergeCell ref="T38:V38"/>
    <mergeCell ref="W38:Y38"/>
    <mergeCell ref="B39:D39"/>
    <mergeCell ref="E39:G39"/>
    <mergeCell ref="H39:J39"/>
    <mergeCell ref="K39:M39"/>
    <mergeCell ref="N39:P39"/>
    <mergeCell ref="Q39:S39"/>
    <mergeCell ref="T39:V39"/>
    <mergeCell ref="W39:Y39"/>
    <mergeCell ref="B38:D38"/>
    <mergeCell ref="E38:G38"/>
    <mergeCell ref="H38:J38"/>
    <mergeCell ref="K38:M38"/>
    <mergeCell ref="N38:P38"/>
    <mergeCell ref="A55:Q56"/>
    <mergeCell ref="A54:Q54"/>
    <mergeCell ref="V59:Y60"/>
    <mergeCell ref="AB32:AB34"/>
    <mergeCell ref="AC32:AC34"/>
    <mergeCell ref="U55:Z57"/>
    <mergeCell ref="T35:V35"/>
    <mergeCell ref="W35:Y35"/>
    <mergeCell ref="B49:D49"/>
    <mergeCell ref="E49:G49"/>
    <mergeCell ref="T49:V49"/>
    <mergeCell ref="A58:Q61"/>
    <mergeCell ref="R55:T57"/>
    <mergeCell ref="R58:T61"/>
    <mergeCell ref="H35:J35"/>
    <mergeCell ref="K35:M35"/>
    <mergeCell ref="R54:T54"/>
    <mergeCell ref="U53:Z53"/>
    <mergeCell ref="U54:Z54"/>
    <mergeCell ref="W36:Y36"/>
    <mergeCell ref="B37:D37"/>
    <mergeCell ref="E37:G37"/>
    <mergeCell ref="H37:J37"/>
    <mergeCell ref="K37:M37"/>
    <mergeCell ref="AD32:AD34"/>
    <mergeCell ref="J24:L26"/>
    <mergeCell ref="J27:L29"/>
    <mergeCell ref="F24:I26"/>
    <mergeCell ref="F27:I29"/>
    <mergeCell ref="S24:V26"/>
    <mergeCell ref="W24:Y26"/>
    <mergeCell ref="O24:R26"/>
    <mergeCell ref="O27:R29"/>
    <mergeCell ref="S27:V29"/>
    <mergeCell ref="W27:Y29"/>
    <mergeCell ref="E32:G34"/>
    <mergeCell ref="H32:J34"/>
    <mergeCell ref="K32:M34"/>
    <mergeCell ref="N32:P34"/>
    <mergeCell ref="Q32:S34"/>
    <mergeCell ref="Q35:S35"/>
    <mergeCell ref="I17:Y17"/>
    <mergeCell ref="I18:Y18"/>
    <mergeCell ref="Q49:S49"/>
    <mergeCell ref="W49:Y49"/>
    <mergeCell ref="H49:J49"/>
    <mergeCell ref="K49:M49"/>
    <mergeCell ref="N49:P49"/>
    <mergeCell ref="Q36:S36"/>
    <mergeCell ref="T36:V36"/>
    <mergeCell ref="N37:P37"/>
    <mergeCell ref="Q37:S37"/>
    <mergeCell ref="T37:V37"/>
    <mergeCell ref="W37:Y37"/>
    <mergeCell ref="Q40:S40"/>
    <mergeCell ref="T40:V40"/>
    <mergeCell ref="W40:Y40"/>
    <mergeCell ref="Q42:S42"/>
    <mergeCell ref="T42:V42"/>
    <mergeCell ref="W42:Y42"/>
    <mergeCell ref="Q44:S44"/>
    <mergeCell ref="T44:V44"/>
    <mergeCell ref="W44:Y44"/>
    <mergeCell ref="Q48:S48"/>
    <mergeCell ref="A7:F7"/>
    <mergeCell ref="G7:Z7"/>
    <mergeCell ref="B10:G10"/>
    <mergeCell ref="H12:M12"/>
    <mergeCell ref="S11:Y11"/>
    <mergeCell ref="B12:G12"/>
    <mergeCell ref="B11:G11"/>
    <mergeCell ref="S10:Y10"/>
    <mergeCell ref="B35:D35"/>
    <mergeCell ref="N10:R10"/>
    <mergeCell ref="N11:R11"/>
    <mergeCell ref="N12:R12"/>
    <mergeCell ref="H10:M10"/>
    <mergeCell ref="H11:M11"/>
    <mergeCell ref="B32:D34"/>
    <mergeCell ref="B24:E26"/>
    <mergeCell ref="B27:E29"/>
    <mergeCell ref="B18:H18"/>
    <mergeCell ref="B17:H17"/>
    <mergeCell ref="E35:G35"/>
    <mergeCell ref="N35:P35"/>
    <mergeCell ref="S12:Y12"/>
    <mergeCell ref="T32:V34"/>
    <mergeCell ref="W32:Y34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</mergeCells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GB 157 260126</vt:lpstr>
      <vt:lpstr>BBSG 114 260126</vt:lpstr>
      <vt:lpstr>'BBSG 114 260126'!Zone_d_impression</vt:lpstr>
      <vt:lpstr>'GB 157 260126'!Zone_d_impression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LHOPITAL Sylvain</cp:lastModifiedBy>
  <cp:lastPrinted>2026-02-05T12:00:40Z</cp:lastPrinted>
  <dcterms:created xsi:type="dcterms:W3CDTF">2004-11-13T18:13:05Z</dcterms:created>
  <dcterms:modified xsi:type="dcterms:W3CDTF">2026-02-05T12:00:43Z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