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42\RA ALHL  Andrézieux Bouthéon - Aire des gens du voyage\Essais de Laboratoire\Sondages\"/>
    </mc:Choice>
  </mc:AlternateContent>
  <xr:revisionPtr revIDLastSave="0" documentId="13_ncr:1_{490CE0A1-6D68-4E77-9545-024806A1AF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4 nat + 2% CAO" sheetId="3" r:id="rId1"/>
    <sheet name="A4 nat + 1% CAO" sheetId="2" r:id="rId2"/>
  </sheets>
  <definedNames>
    <definedName name="_xlnm.Print_Area" localSheetId="1">'A4 nat + 1% CAO'!$A$1:$Z$75</definedName>
    <definedName name="_xlnm.Print_Area" localSheetId="0">'A4 nat + 2% CAO'!$A$1:$Z$75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3" i="3" l="1"/>
  <c r="AD34" i="3"/>
  <c r="AD35" i="3"/>
  <c r="AD36" i="3"/>
  <c r="L58" i="3"/>
  <c r="R58" i="3" s="1"/>
  <c r="L46" i="3"/>
  <c r="N48" i="3" s="1"/>
  <c r="L62" i="3" s="1"/>
  <c r="R62" i="3" s="1"/>
  <c r="AC36" i="3"/>
  <c r="AC35" i="3"/>
  <c r="AC34" i="3"/>
  <c r="AC33" i="3"/>
  <c r="AD32" i="3"/>
  <c r="AC32" i="3"/>
  <c r="AD31" i="3"/>
  <c r="AC31" i="3"/>
  <c r="AD30" i="3"/>
  <c r="AC30" i="3"/>
  <c r="AD29" i="3"/>
  <c r="AC29" i="3"/>
  <c r="L46" i="2"/>
  <c r="N48" i="2" s="1"/>
  <c r="L62" i="2" s="1"/>
  <c r="R62" i="2" s="1"/>
  <c r="L58" i="2"/>
  <c r="R58" i="2" s="1"/>
  <c r="AD30" i="2"/>
  <c r="AD31" i="2"/>
  <c r="AD32" i="2"/>
  <c r="AD33" i="2"/>
  <c r="AD34" i="2"/>
  <c r="AD36" i="2"/>
  <c r="AD35" i="2"/>
  <c r="AD29" i="2"/>
  <c r="AC36" i="2"/>
  <c r="AC35" i="2"/>
  <c r="AC34" i="2"/>
  <c r="AC33" i="2"/>
  <c r="AC32" i="2"/>
  <c r="AC31" i="2"/>
  <c r="AC30" i="2"/>
  <c r="AC29" i="2"/>
</calcChain>
</file>

<file path=xl/sharedStrings.xml><?xml version="1.0" encoding="utf-8"?>
<sst xmlns="http://schemas.openxmlformats.org/spreadsheetml/2006/main" count="132" uniqueCount="64">
  <si>
    <t>RENSEIGNEMENTS GENERAUX</t>
  </si>
  <si>
    <t>1/</t>
  </si>
  <si>
    <t>Date du prélèvement :</t>
  </si>
  <si>
    <t>Nature du matériau :</t>
  </si>
  <si>
    <t>Provenance :</t>
  </si>
  <si>
    <t>Destination :</t>
  </si>
  <si>
    <t>Teneur en eau (%)</t>
  </si>
  <si>
    <t>Gonflement (mm)</t>
  </si>
  <si>
    <t xml:space="preserve">2/ </t>
  </si>
  <si>
    <t>RESULTATS DES ESSAIS</t>
  </si>
  <si>
    <t xml:space="preserve">ETAT INITIAL DE L'ECHANTILLON </t>
  </si>
  <si>
    <t>MESURE DU GONFLEMENT LINEAIRE RELATIF</t>
  </si>
  <si>
    <t>Date de mise en immersion :</t>
  </si>
  <si>
    <t>Durée d'immersion :</t>
  </si>
  <si>
    <t>Temps (j)</t>
  </si>
  <si>
    <t>TENEUR EN EAU (%)</t>
  </si>
  <si>
    <t>ETAT FINAL DE L'ECHANTILLON APRES IMMERSION</t>
  </si>
  <si>
    <t xml:space="preserve">GONFLEMENT LINEAIRE ABSOLU    </t>
  </si>
  <si>
    <t xml:space="preserve"> GONFLEMENT LINEAIRE RELATIF    </t>
  </si>
  <si>
    <t>∆H =</t>
  </si>
  <si>
    <t>mm</t>
  </si>
  <si>
    <t>COMMENTAIRES</t>
  </si>
  <si>
    <t>G= (∆H / H) x100 =</t>
  </si>
  <si>
    <t>Opérateur :</t>
  </si>
  <si>
    <t xml:space="preserve">avec H = </t>
  </si>
  <si>
    <t>Nature du liant :</t>
  </si>
  <si>
    <t>Laboratoire :</t>
  </si>
  <si>
    <t>Densité sèche</t>
  </si>
  <si>
    <t>MASSE VOLUMIQUE SECHE (t/m3)</t>
  </si>
  <si>
    <t>Région Rhône Alpes - 29-31 rue des Tâches - ZI Mi-Plaine - 69800 SAINT PRIEST</t>
  </si>
  <si>
    <t>n°</t>
  </si>
  <si>
    <t>Chrono</t>
  </si>
  <si>
    <t>N° d'affaire</t>
  </si>
  <si>
    <t>Date de rédaction</t>
  </si>
  <si>
    <t>IM</t>
  </si>
  <si>
    <t>RAPPORT D'ESSAIS</t>
  </si>
  <si>
    <t>W%</t>
  </si>
  <si>
    <t>H</t>
  </si>
  <si>
    <t xml:space="preserve">3/ </t>
  </si>
  <si>
    <t>CONFORMITE</t>
  </si>
  <si>
    <t>4/</t>
  </si>
  <si>
    <t>Gonflement relatif:</t>
  </si>
  <si>
    <t>CONCLUSIONS</t>
  </si>
  <si>
    <t>Nom</t>
  </si>
  <si>
    <t>Visa</t>
  </si>
  <si>
    <t>5/</t>
  </si>
  <si>
    <t>GONFLEMENT APRES IMMERSION - CBRi 
(NF P 94-078 de mai 1997)</t>
  </si>
  <si>
    <r>
      <t>I</t>
    </r>
    <r>
      <rPr>
        <b/>
        <vertAlign val="subscript"/>
        <sz val="11"/>
        <rFont val="Century Gothic"/>
        <family val="2"/>
      </rPr>
      <t>CBR</t>
    </r>
    <r>
      <rPr>
        <b/>
        <sz val="11"/>
        <rFont val="Century Gothic"/>
        <family val="2"/>
      </rPr>
      <t xml:space="preserve"> immédiat</t>
    </r>
  </si>
  <si>
    <r>
      <t>I</t>
    </r>
    <r>
      <rPr>
        <b/>
        <vertAlign val="subscript"/>
        <sz val="11"/>
        <rFont val="Century Gothic"/>
        <family val="2"/>
      </rPr>
      <t>CBR</t>
    </r>
    <r>
      <rPr>
        <b/>
        <sz val="11"/>
        <rFont val="Century Gothic"/>
        <family val="2"/>
      </rPr>
      <t xml:space="preserve"> après immersion</t>
    </r>
  </si>
  <si>
    <r>
      <t>Rapport I</t>
    </r>
    <r>
      <rPr>
        <b/>
        <i/>
        <vertAlign val="subscript"/>
        <sz val="11"/>
        <rFont val="Century Gothic"/>
        <family val="2"/>
      </rPr>
      <t>CBR</t>
    </r>
    <r>
      <rPr>
        <b/>
        <i/>
        <sz val="11"/>
        <rFont val="Century Gothic"/>
        <family val="2"/>
      </rPr>
      <t xml:space="preserve"> après immersion / I</t>
    </r>
    <r>
      <rPr>
        <b/>
        <i/>
        <vertAlign val="subscript"/>
        <sz val="11"/>
        <rFont val="Century Gothic"/>
        <family val="2"/>
      </rPr>
      <t>CBR</t>
    </r>
    <r>
      <rPr>
        <b/>
        <i/>
        <sz val="11"/>
        <rFont val="Century Gothic"/>
        <family val="2"/>
      </rPr>
      <t xml:space="preserve"> immédiat :</t>
    </r>
  </si>
  <si>
    <t>Contrôle :</t>
  </si>
  <si>
    <t>Andrezieu Boutheon Aire des gens du voyage</t>
  </si>
  <si>
    <t>RA ALHL</t>
  </si>
  <si>
    <t>A4 h</t>
  </si>
  <si>
    <t>Sondages</t>
  </si>
  <si>
    <t>Remblai</t>
  </si>
  <si>
    <t>1% CAO</t>
  </si>
  <si>
    <t>F. Montet</t>
  </si>
  <si>
    <t>18/04/2025</t>
  </si>
  <si>
    <t>Non conforme</t>
  </si>
  <si>
    <t>F. MONTET</t>
  </si>
  <si>
    <t>Technicien de laboratoire</t>
  </si>
  <si>
    <t>2% CAO</t>
  </si>
  <si>
    <t>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</si>
</sst>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2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i/>
      <u/>
      <sz val="10"/>
      <name val="Century Gothic"/>
      <family val="2"/>
    </font>
    <font>
      <sz val="10"/>
      <color indexed="9"/>
      <name val="Century Gothic"/>
      <family val="2"/>
    </font>
    <font>
      <i/>
      <sz val="11"/>
      <color indexed="9"/>
      <name val="Century Gothic"/>
      <family val="2"/>
    </font>
    <font>
      <i/>
      <sz val="10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i/>
      <u/>
      <sz val="11"/>
      <name val="Century Gothic"/>
      <family val="2"/>
    </font>
    <font>
      <b/>
      <vertAlign val="subscript"/>
      <sz val="11"/>
      <name val="Century Gothic"/>
      <family val="2"/>
    </font>
    <font>
      <b/>
      <i/>
      <sz val="11"/>
      <name val="Century Gothic"/>
      <family val="2"/>
    </font>
    <font>
      <b/>
      <i/>
      <vertAlign val="subscript"/>
      <sz val="11"/>
      <name val="Century Gothic"/>
      <family val="2"/>
    </font>
    <font>
      <sz val="11"/>
      <color rgb="FF000000"/>
      <name val="Calibri"/>
      <family val="2"/>
    </font>
    <font>
      <b/>
      <sz val="14"/>
      <color rgb="FF000000"/>
      <name val="Century Gothic"/>
      <family val="2"/>
    </font>
    <font>
      <b/>
      <sz val="11"/>
      <color rgb="FF000000"/>
      <name val="Century Gothic"/>
      <family val="2"/>
    </font>
    <font>
      <sz val="10"/>
      <color rgb="FF000000"/>
      <name val="Arial"/>
    </font>
    <font>
      <sz val="10"/>
      <color rgb="FF000000"/>
      <name val="Century Gothic"/>
    </font>
    <font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2" fillId="0" borderId="0"/>
    <xf numFmtId="0" fontId="25" fillId="0" borderId="0"/>
  </cellStyleXfs>
  <cellXfs count="194">
    <xf numFmtId="0" fontId="0" fillId="0" borderId="0" xfId="0"/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vertical="center"/>
      <protection hidden="1"/>
    </xf>
    <xf numFmtId="0" fontId="3" fillId="0" borderId="6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8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vertical="center"/>
      <protection locked="0"/>
    </xf>
    <xf numFmtId="0" fontId="3" fillId="0" borderId="6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14" fillId="0" borderId="6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14" fillId="0" borderId="1" xfId="0" quotePrefix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164" fontId="10" fillId="0" borderId="0" xfId="1" applyFont="1" applyFill="1" applyBorder="1" applyAlignment="1" applyProtection="1">
      <alignment horizontal="left" vertical="center"/>
      <protection hidden="1"/>
    </xf>
    <xf numFmtId="0" fontId="10" fillId="0" borderId="9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0" borderId="8" xfId="0" applyFont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14" fontId="15" fillId="0" borderId="6" xfId="0" applyNumberFormat="1" applyFont="1" applyBorder="1" applyAlignment="1" applyProtection="1">
      <alignment horizontal="center" vertical="center"/>
      <protection locked="0"/>
    </xf>
    <xf numFmtId="14" fontId="15" fillId="0" borderId="0" xfId="0" applyNumberFormat="1" applyFont="1" applyAlignment="1" applyProtection="1">
      <alignment horizontal="center" vertical="center"/>
      <protection locked="0"/>
    </xf>
    <xf numFmtId="14" fontId="15" fillId="0" borderId="7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5" xfId="0" applyFont="1" applyBorder="1" applyAlignment="1" applyProtection="1">
      <alignment horizontal="center" vertical="center"/>
      <protection hidden="1"/>
    </xf>
    <xf numFmtId="0" fontId="15" fillId="0" borderId="9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left" vertical="center"/>
      <protection hidden="1"/>
    </xf>
    <xf numFmtId="0" fontId="10" fillId="0" borderId="4" xfId="0" applyFont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0" fontId="10" fillId="0" borderId="2" xfId="0" applyFont="1" applyBorder="1" applyAlignment="1" applyProtection="1">
      <alignment horizontal="left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0" borderId="5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7" xfId="0" applyFont="1" applyBorder="1" applyAlignment="1" applyProtection="1">
      <alignment horizontal="center" vertical="center"/>
      <protection hidden="1"/>
    </xf>
    <xf numFmtId="0" fontId="10" fillId="0" borderId="18" xfId="0" applyFont="1" applyBorder="1"/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21" xfId="0" applyFont="1" applyBorder="1"/>
    <xf numFmtId="0" fontId="10" fillId="0" borderId="22" xfId="0" applyFont="1" applyBorder="1"/>
    <xf numFmtId="0" fontId="10" fillId="0" borderId="4" xfId="0" applyFont="1" applyBorder="1"/>
    <xf numFmtId="0" fontId="10" fillId="0" borderId="23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 wrapText="1"/>
      <protection hidden="1"/>
    </xf>
    <xf numFmtId="0" fontId="10" fillId="0" borderId="1" xfId="0" applyFont="1" applyBorder="1"/>
    <xf numFmtId="0" fontId="10" fillId="0" borderId="8" xfId="0" applyFont="1" applyBorder="1"/>
    <xf numFmtId="0" fontId="10" fillId="0" borderId="2" xfId="0" applyFont="1" applyBorder="1"/>
    <xf numFmtId="0" fontId="15" fillId="0" borderId="3" xfId="0" applyFont="1" applyBorder="1" applyAlignment="1" applyProtection="1">
      <alignment horizontal="center" vertical="center"/>
      <protection hidden="1"/>
    </xf>
    <xf numFmtId="0" fontId="15" fillId="0" borderId="4" xfId="0" applyFont="1" applyBorder="1" applyAlignment="1" applyProtection="1">
      <alignment horizontal="center" vertical="center"/>
      <protection hidden="1"/>
    </xf>
    <xf numFmtId="0" fontId="15" fillId="0" borderId="5" xfId="0" applyFont="1" applyBorder="1" applyAlignment="1" applyProtection="1">
      <alignment horizontal="center" vertical="center"/>
      <protection hidden="1"/>
    </xf>
    <xf numFmtId="165" fontId="10" fillId="0" borderId="0" xfId="0" applyNumberFormat="1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10" fillId="0" borderId="14" xfId="0" applyFont="1" applyBorder="1" applyAlignment="1" applyProtection="1">
      <alignment horizontal="center" vertical="center"/>
      <protection hidden="1"/>
    </xf>
    <xf numFmtId="0" fontId="10" fillId="0" borderId="15" xfId="0" applyFont="1" applyBorder="1" applyAlignment="1" applyProtection="1">
      <alignment horizontal="center" vertical="center"/>
      <protection hidden="1"/>
    </xf>
    <xf numFmtId="0" fontId="10" fillId="0" borderId="15" xfId="0" applyFont="1" applyBorder="1" applyAlignment="1" applyProtection="1">
      <alignment horizontal="center" vertical="center"/>
      <protection locked="0"/>
    </xf>
    <xf numFmtId="10" fontId="10" fillId="0" borderId="15" xfId="0" applyNumberFormat="1" applyFont="1" applyBorder="1" applyAlignment="1" applyProtection="1">
      <alignment horizontal="center" vertical="center"/>
      <protection locked="0"/>
    </xf>
    <xf numFmtId="10" fontId="10" fillId="0" borderId="9" xfId="0" applyNumberFormat="1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7" fillId="0" borderId="6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 vertical="center" wrapText="1"/>
      <protection hidden="1"/>
    </xf>
    <xf numFmtId="0" fontId="3" fillId="0" borderId="15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10" fontId="10" fillId="0" borderId="0" xfId="0" applyNumberFormat="1" applyFont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23" fillId="0" borderId="24" xfId="2" applyFont="1" applyBorder="1" applyAlignment="1" applyProtection="1">
      <alignment horizontal="center" vertical="center" wrapText="1"/>
      <protection locked="0"/>
    </xf>
    <xf numFmtId="0" fontId="23" fillId="0" borderId="25" xfId="2" applyFont="1" applyBorder="1" applyAlignment="1" applyProtection="1">
      <alignment horizontal="center" vertical="center" wrapText="1"/>
      <protection locked="0"/>
    </xf>
    <xf numFmtId="0" fontId="23" fillId="0" borderId="26" xfId="2" applyFont="1" applyBorder="1" applyAlignment="1" applyProtection="1">
      <alignment horizontal="center" vertical="center" wrapText="1"/>
      <protection locked="0"/>
    </xf>
    <xf numFmtId="0" fontId="23" fillId="0" borderId="27" xfId="2" applyFont="1" applyBorder="1" applyAlignment="1" applyProtection="1">
      <alignment horizontal="center" vertical="center" wrapText="1"/>
      <protection locked="0"/>
    </xf>
    <xf numFmtId="0" fontId="23" fillId="0" borderId="0" xfId="2" applyFont="1" applyAlignment="1" applyProtection="1">
      <alignment horizontal="center" vertical="center" wrapText="1"/>
      <protection locked="0"/>
    </xf>
    <xf numFmtId="0" fontId="23" fillId="0" borderId="28" xfId="2" applyFont="1" applyBorder="1" applyAlignment="1" applyProtection="1">
      <alignment horizontal="center" vertical="center" wrapText="1"/>
      <protection locked="0"/>
    </xf>
    <xf numFmtId="0" fontId="23" fillId="0" borderId="29" xfId="2" applyFont="1" applyBorder="1" applyAlignment="1" applyProtection="1">
      <alignment horizontal="center" vertical="center" wrapText="1"/>
      <protection locked="0"/>
    </xf>
    <xf numFmtId="0" fontId="23" fillId="0" borderId="30" xfId="2" applyFont="1" applyBorder="1" applyAlignment="1" applyProtection="1">
      <alignment horizontal="center" vertical="center" wrapText="1"/>
      <protection locked="0"/>
    </xf>
    <xf numFmtId="0" fontId="23" fillId="0" borderId="31" xfId="2" applyFont="1" applyBorder="1" applyAlignment="1" applyProtection="1">
      <alignment horizontal="center" vertical="center" wrapText="1"/>
      <protection locked="0"/>
    </xf>
    <xf numFmtId="0" fontId="24" fillId="0" borderId="0" xfId="2" applyFont="1" applyAlignment="1" applyProtection="1">
      <alignment horizontal="center" vertical="center"/>
      <protection locked="0"/>
    </xf>
    <xf numFmtId="0" fontId="24" fillId="0" borderId="28" xfId="2" applyFont="1" applyBorder="1" applyAlignment="1" applyProtection="1">
      <alignment horizontal="center" vertical="center"/>
      <protection locked="0"/>
    </xf>
    <xf numFmtId="0" fontId="27" fillId="0" borderId="0" xfId="3" applyFont="1" applyAlignment="1" applyProtection="1">
      <alignment horizontal="left" vertical="center"/>
      <protection locked="0"/>
    </xf>
    <xf numFmtId="14" fontId="27" fillId="0" borderId="0" xfId="3" applyNumberFormat="1" applyFont="1" applyAlignment="1" applyProtection="1">
      <alignment horizontal="left" vertical="center"/>
      <protection locked="0"/>
    </xf>
    <xf numFmtId="0" fontId="27" fillId="0" borderId="30" xfId="3" applyFont="1" applyBorder="1" applyAlignment="1" applyProtection="1">
      <alignment horizontal="center" vertical="center"/>
      <protection locked="0"/>
    </xf>
    <xf numFmtId="0" fontId="27" fillId="0" borderId="31" xfId="3" applyFont="1" applyBorder="1" applyAlignment="1" applyProtection="1">
      <alignment horizontal="center" vertical="center"/>
      <protection locked="0"/>
    </xf>
    <xf numFmtId="0" fontId="27" fillId="0" borderId="29" xfId="3" applyFont="1" applyBorder="1" applyAlignment="1" applyProtection="1">
      <alignment horizontal="left" vertical="center"/>
      <protection hidden="1"/>
    </xf>
    <xf numFmtId="0" fontId="27" fillId="0" borderId="30" xfId="3" applyFont="1" applyBorder="1" applyAlignment="1" applyProtection="1">
      <alignment horizontal="left" vertical="center"/>
      <protection hidden="1"/>
    </xf>
    <xf numFmtId="0" fontId="27" fillId="0" borderId="29" xfId="3" applyFont="1" applyBorder="1" applyAlignment="1" applyProtection="1">
      <alignment horizontal="center" vertical="center"/>
      <protection locked="0"/>
    </xf>
    <xf numFmtId="0" fontId="27" fillId="0" borderId="25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/>
      <protection hidden="1"/>
    </xf>
    <xf numFmtId="0" fontId="27" fillId="0" borderId="24" xfId="0" applyFont="1" applyBorder="1" applyAlignment="1" applyProtection="1">
      <alignment horizontal="left" vertical="center"/>
      <protection hidden="1"/>
    </xf>
    <xf numFmtId="0" fontId="27" fillId="0" borderId="25" xfId="0" applyFont="1" applyBorder="1" applyAlignment="1" applyProtection="1">
      <alignment horizontal="left" vertical="center"/>
      <protection hidden="1"/>
    </xf>
    <xf numFmtId="0" fontId="27" fillId="0" borderId="24" xfId="0" applyFont="1" applyBorder="1" applyAlignment="1" applyProtection="1">
      <alignment horizontal="center" vertical="center"/>
      <protection locked="0"/>
    </xf>
    <xf numFmtId="0" fontId="27" fillId="0" borderId="30" xfId="0" applyFont="1" applyBorder="1" applyAlignment="1" applyProtection="1">
      <alignment horizontal="center" vertical="center"/>
      <protection locked="0"/>
    </xf>
    <xf numFmtId="0" fontId="27" fillId="0" borderId="31" xfId="0" applyFont="1" applyBorder="1" applyAlignment="1" applyProtection="1">
      <alignment horizontal="center" vertical="center"/>
      <protection locked="0"/>
    </xf>
    <xf numFmtId="0" fontId="27" fillId="0" borderId="29" xfId="0" applyFont="1" applyBorder="1" applyAlignment="1" applyProtection="1">
      <alignment horizontal="left" vertical="center"/>
      <protection hidden="1"/>
    </xf>
    <xf numFmtId="0" fontId="27" fillId="0" borderId="30" xfId="0" applyFont="1" applyBorder="1" applyAlignment="1" applyProtection="1">
      <alignment horizontal="left" vertical="center"/>
      <protection hidden="1"/>
    </xf>
    <xf numFmtId="0" fontId="27" fillId="0" borderId="29" xfId="0" applyFont="1" applyBorder="1" applyAlignment="1" applyProtection="1">
      <alignment horizontal="center" vertical="center"/>
      <protection locked="0"/>
    </xf>
    <xf numFmtId="0" fontId="27" fillId="0" borderId="34" xfId="0" applyFont="1" applyBorder="1" applyAlignment="1" applyProtection="1">
      <alignment horizontal="center" vertical="center" wrapText="1"/>
      <protection locked="0"/>
    </xf>
    <xf numFmtId="0" fontId="27" fillId="0" borderId="33" xfId="0" applyFont="1" applyBorder="1" applyAlignment="1" applyProtection="1">
      <alignment horizontal="center" vertical="center" wrapText="1"/>
      <protection locked="0"/>
    </xf>
    <xf numFmtId="0" fontId="26" fillId="0" borderId="33" xfId="0" applyFont="1" applyBorder="1" applyAlignment="1" applyProtection="1">
      <alignment horizontal="center" vertical="center" wrapText="1"/>
      <protection locked="0"/>
    </xf>
    <xf numFmtId="0" fontId="26" fillId="0" borderId="32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27" fillId="0" borderId="0" xfId="3" applyFont="1" applyAlignment="1" applyProtection="1">
      <alignment vertical="center"/>
      <protection hidden="1"/>
    </xf>
    <xf numFmtId="0" fontId="10" fillId="0" borderId="21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27" fillId="0" borderId="35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27" fillId="0" borderId="36" xfId="0" applyFont="1" applyBorder="1" applyAlignment="1" applyProtection="1">
      <alignment horizontal="center" vertical="center"/>
      <protection locked="0"/>
    </xf>
    <xf numFmtId="0" fontId="27" fillId="0" borderId="35" xfId="0" applyFont="1" applyBorder="1" applyAlignment="1" applyProtection="1">
      <alignment horizontal="left" vertical="center"/>
      <protection hidden="1"/>
    </xf>
    <xf numFmtId="0" fontId="27" fillId="0" borderId="4" xfId="0" applyFont="1" applyBorder="1" applyAlignment="1" applyProtection="1">
      <alignment horizontal="left" vertical="center"/>
      <protection hidden="1"/>
    </xf>
    <xf numFmtId="0" fontId="27" fillId="0" borderId="35" xfId="3" applyFont="1" applyBorder="1" applyAlignment="1" applyProtection="1">
      <alignment horizontal="left" vertical="center"/>
      <protection hidden="1"/>
    </xf>
    <xf numFmtId="0" fontId="27" fillId="0" borderId="4" xfId="3" applyFont="1" applyBorder="1" applyAlignment="1" applyProtection="1">
      <alignment horizontal="left" vertical="center"/>
      <protection hidden="1"/>
    </xf>
    <xf numFmtId="0" fontId="27" fillId="0" borderId="4" xfId="3" applyFont="1" applyBorder="1" applyAlignment="1" applyProtection="1">
      <alignment horizontal="center" vertical="center"/>
      <protection locked="0"/>
    </xf>
    <xf numFmtId="0" fontId="27" fillId="0" borderId="36" xfId="3" applyFont="1" applyBorder="1" applyAlignment="1" applyProtection="1">
      <alignment horizontal="center" vertical="center"/>
      <protection locked="0"/>
    </xf>
    <xf numFmtId="0" fontId="27" fillId="0" borderId="35" xfId="3" applyFont="1" applyBorder="1" applyAlignment="1" applyProtection="1">
      <alignment horizontal="center" vertical="center"/>
      <protection locked="0"/>
    </xf>
  </cellXfs>
  <cellStyles count="4">
    <cellStyle name="Milliers" xfId="1" builtinId="3"/>
    <cellStyle name="Normal" xfId="0" builtinId="0"/>
    <cellStyle name="Normal 2" xfId="2" xr:uid="{AE3EA414-7EDE-4098-9985-644BBF6582F2}"/>
    <cellStyle name="Normal 3" xfId="3" xr:uid="{00615358-A377-4EA7-83FB-47F3AE91DF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9871419065658"/>
          <c:y val="4.761917064311199E-2"/>
          <c:w val="0.84804056889643475"/>
          <c:h val="0.7619067302897918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'A4 nat + 2% CAO'!$AC$29:$AC$36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'A4 nat + 2% CAO'!$AD$29:$AD$36</c:f>
              <c:numCache>
                <c:formatCode>General</c:formatCode>
                <c:ptCount val="8"/>
                <c:pt idx="0">
                  <c:v>0</c:v>
                </c:pt>
                <c:pt idx="1">
                  <c:v>1.17</c:v>
                </c:pt>
                <c:pt idx="2">
                  <c:v>1.17</c:v>
                </c:pt>
                <c:pt idx="3">
                  <c:v>1.17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BD-48FC-9594-54191EC5E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60288"/>
        <c:axId val="161061072"/>
      </c:scatterChart>
      <c:valAx>
        <c:axId val="161060288"/>
        <c:scaling>
          <c:orientation val="minMax"/>
          <c:max val="8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Temps (jours)</a:t>
                </a:r>
              </a:p>
            </c:rich>
          </c:tx>
          <c:layout>
            <c:manualLayout>
              <c:xMode val="edge"/>
              <c:yMode val="edge"/>
              <c:x val="0.45261506527370349"/>
              <c:y val="0.883600105542362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061072"/>
        <c:crosses val="autoZero"/>
        <c:crossBetween val="midCat"/>
        <c:majorUnit val="1"/>
      </c:valAx>
      <c:valAx>
        <c:axId val="161061072"/>
        <c:scaling>
          <c:orientation val="minMax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Gonflement (mm)</a:t>
                </a:r>
              </a:p>
            </c:rich>
          </c:tx>
          <c:layout>
            <c:manualLayout>
              <c:xMode val="edge"/>
              <c:yMode val="edge"/>
              <c:x val="1.1437908496732025E-2"/>
              <c:y val="0.2645508200363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060288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9871419065658"/>
          <c:y val="4.761917064311199E-2"/>
          <c:w val="0.84804056889643475"/>
          <c:h val="0.7619067302897918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'A4 nat + 1% CAO'!$AC$29:$AC$36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'A4 nat + 1% CAO'!$AD$29:$AD$36</c:f>
              <c:numCache>
                <c:formatCode>General</c:formatCode>
                <c:ptCount val="8"/>
                <c:pt idx="0">
                  <c:v>0</c:v>
                </c:pt>
                <c:pt idx="1">
                  <c:v>1.0900000000000001</c:v>
                </c:pt>
                <c:pt idx="2">
                  <c:v>1.0900000000000001</c:v>
                </c:pt>
                <c:pt idx="3">
                  <c:v>1.0900000000000001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0C-4C5D-8EE1-C5F08FC6B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60288"/>
        <c:axId val="161061072"/>
      </c:scatterChart>
      <c:valAx>
        <c:axId val="161060288"/>
        <c:scaling>
          <c:orientation val="minMax"/>
          <c:max val="8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Temps (jours)</a:t>
                </a:r>
              </a:p>
            </c:rich>
          </c:tx>
          <c:layout>
            <c:manualLayout>
              <c:xMode val="edge"/>
              <c:yMode val="edge"/>
              <c:x val="0.45261506527370349"/>
              <c:y val="0.883600105542362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061072"/>
        <c:crosses val="autoZero"/>
        <c:crossBetween val="midCat"/>
        <c:majorUnit val="1"/>
      </c:valAx>
      <c:valAx>
        <c:axId val="161061072"/>
        <c:scaling>
          <c:orientation val="minMax"/>
          <c:max val="3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Gonflement (mm)</a:t>
                </a:r>
              </a:p>
            </c:rich>
          </c:tx>
          <c:layout>
            <c:manualLayout>
              <c:xMode val="edge"/>
              <c:yMode val="edge"/>
              <c:x val="1.1437908496732025E-2"/>
              <c:y val="0.2645508200363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060288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26</xdr:row>
      <xdr:rowOff>0</xdr:rowOff>
    </xdr:from>
    <xdr:to>
      <xdr:col>25</xdr:col>
      <xdr:colOff>0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A31A3-CF0E-46FB-83DF-34974C7E5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142875</xdr:rowOff>
    </xdr:from>
    <xdr:to>
      <xdr:col>4</xdr:col>
      <xdr:colOff>283845</xdr:colOff>
      <xdr:row>3</xdr:row>
      <xdr:rowOff>131445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D00038D3-90B2-4628-B106-DD3E168B4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02895"/>
          <a:ext cx="13144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26</xdr:row>
      <xdr:rowOff>0</xdr:rowOff>
    </xdr:from>
    <xdr:to>
      <xdr:col>25</xdr:col>
      <xdr:colOff>0</xdr:colOff>
      <xdr:row>44</xdr:row>
      <xdr:rowOff>0</xdr:rowOff>
    </xdr:to>
    <xdr:graphicFrame macro="">
      <xdr:nvGraphicFramePr>
        <xdr:cNvPr id="2136" name="Chart 1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142875</xdr:rowOff>
    </xdr:from>
    <xdr:to>
      <xdr:col>4</xdr:col>
      <xdr:colOff>287655</xdr:colOff>
      <xdr:row>3</xdr:row>
      <xdr:rowOff>135255</xdr:rowOff>
    </xdr:to>
    <xdr:pic>
      <xdr:nvPicPr>
        <xdr:cNvPr id="23" name="Imag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04800"/>
          <a:ext cx="1295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5841-4332-4195-8FE2-AE3F93F46EFF}">
  <sheetPr>
    <pageSetUpPr fitToPage="1"/>
  </sheetPr>
  <dimension ref="A1:AD75"/>
  <sheetViews>
    <sheetView tabSelected="1" topLeftCell="A37" workbookViewId="0">
      <selection activeCell="AA67" sqref="AA67"/>
    </sheetView>
  </sheetViews>
  <sheetFormatPr baseColWidth="10" defaultColWidth="11.44140625" defaultRowHeight="12.75" customHeight="1" x14ac:dyDescent="0.25"/>
  <cols>
    <col min="1" max="26" width="5.109375" style="1" customWidth="1"/>
    <col min="27" max="16384" width="11.44140625" style="1"/>
  </cols>
  <sheetData>
    <row r="1" spans="1:26" ht="12.75" customHeight="1" x14ac:dyDescent="0.25">
      <c r="A1" s="55"/>
      <c r="B1" s="56"/>
      <c r="C1" s="56"/>
      <c r="D1" s="56"/>
      <c r="E1" s="56"/>
      <c r="F1" s="57"/>
      <c r="G1" s="64" t="s">
        <v>35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  <c r="U1" s="141" t="s">
        <v>51</v>
      </c>
      <c r="V1" s="142"/>
      <c r="W1" s="142"/>
      <c r="X1" s="142"/>
      <c r="Y1" s="142"/>
      <c r="Z1" s="143"/>
    </row>
    <row r="2" spans="1:26" ht="12.75" customHeight="1" x14ac:dyDescent="0.25">
      <c r="A2" s="58"/>
      <c r="B2" s="59"/>
      <c r="C2" s="59"/>
      <c r="D2" s="59"/>
      <c r="E2" s="59"/>
      <c r="F2" s="60"/>
      <c r="G2" s="67" t="s">
        <v>46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9"/>
      <c r="U2" s="144"/>
      <c r="V2" s="145"/>
      <c r="W2" s="145"/>
      <c r="X2" s="145"/>
      <c r="Y2" s="145"/>
      <c r="Z2" s="146"/>
    </row>
    <row r="3" spans="1:26" ht="12.75" customHeight="1" x14ac:dyDescent="0.25">
      <c r="A3" s="58"/>
      <c r="B3" s="59"/>
      <c r="C3" s="59"/>
      <c r="D3" s="59"/>
      <c r="E3" s="59"/>
      <c r="F3" s="60"/>
      <c r="G3" s="6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9"/>
      <c r="U3" s="144"/>
      <c r="V3" s="145"/>
      <c r="W3" s="145"/>
      <c r="X3" s="145"/>
      <c r="Y3" s="145"/>
      <c r="Z3" s="146"/>
    </row>
    <row r="4" spans="1:26" ht="12.75" customHeight="1" x14ac:dyDescent="0.25">
      <c r="A4" s="58"/>
      <c r="B4" s="59"/>
      <c r="C4" s="59"/>
      <c r="D4" s="59"/>
      <c r="E4" s="59"/>
      <c r="F4" s="60"/>
      <c r="G4" s="67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9"/>
      <c r="U4" s="144"/>
      <c r="V4" s="145"/>
      <c r="W4" s="145"/>
      <c r="X4" s="145"/>
      <c r="Y4" s="145"/>
      <c r="Z4" s="146"/>
    </row>
    <row r="5" spans="1:26" ht="12.75" customHeight="1" x14ac:dyDescent="0.25">
      <c r="A5" s="58"/>
      <c r="B5" s="59"/>
      <c r="C5" s="59"/>
      <c r="D5" s="59"/>
      <c r="E5" s="59"/>
      <c r="F5" s="60"/>
      <c r="G5" s="73" t="s">
        <v>34</v>
      </c>
      <c r="H5" s="74"/>
      <c r="I5" s="2" t="s">
        <v>30</v>
      </c>
      <c r="J5" s="75">
        <v>2</v>
      </c>
      <c r="K5" s="76"/>
      <c r="L5" s="150" t="s">
        <v>52</v>
      </c>
      <c r="M5" s="150"/>
      <c r="N5" s="150"/>
      <c r="O5" s="151"/>
      <c r="P5" s="77">
        <v>45770</v>
      </c>
      <c r="Q5" s="78"/>
      <c r="R5" s="78"/>
      <c r="S5" s="78"/>
      <c r="T5" s="79"/>
      <c r="U5" s="144"/>
      <c r="V5" s="145"/>
      <c r="W5" s="145"/>
      <c r="X5" s="145"/>
      <c r="Y5" s="145"/>
      <c r="Z5" s="146"/>
    </row>
    <row r="6" spans="1:26" ht="12.75" customHeight="1" x14ac:dyDescent="0.25">
      <c r="A6" s="61"/>
      <c r="B6" s="62"/>
      <c r="C6" s="62"/>
      <c r="D6" s="62"/>
      <c r="E6" s="62"/>
      <c r="F6" s="63"/>
      <c r="G6" s="3"/>
      <c r="H6" s="4"/>
      <c r="I6" s="4"/>
      <c r="J6" s="80" t="s">
        <v>31</v>
      </c>
      <c r="K6" s="80"/>
      <c r="L6" s="80" t="s">
        <v>32</v>
      </c>
      <c r="M6" s="80"/>
      <c r="N6" s="80"/>
      <c r="O6" s="80"/>
      <c r="P6" s="80" t="s">
        <v>33</v>
      </c>
      <c r="Q6" s="80"/>
      <c r="R6" s="80"/>
      <c r="S6" s="80"/>
      <c r="T6" s="81"/>
      <c r="U6" s="147"/>
      <c r="V6" s="148"/>
      <c r="W6" s="148"/>
      <c r="X6" s="148"/>
      <c r="Y6" s="148"/>
      <c r="Z6" s="149"/>
    </row>
    <row r="7" spans="1:26" ht="36.75" customHeight="1" x14ac:dyDescent="0.25">
      <c r="A7" s="71" t="s">
        <v>26</v>
      </c>
      <c r="B7" s="71"/>
      <c r="C7" s="71"/>
      <c r="D7" s="71"/>
      <c r="E7" s="71"/>
      <c r="F7" s="71"/>
      <c r="G7" s="72" t="s">
        <v>29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5.6" customHeight="1" x14ac:dyDescent="0.25">
      <c r="A8" s="5" t="s">
        <v>1</v>
      </c>
      <c r="B8" s="6" t="s">
        <v>0</v>
      </c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9.75" customHeight="1" x14ac:dyDescent="0.25">
      <c r="A9" s="10"/>
      <c r="B9" s="11"/>
      <c r="D9" s="12"/>
      <c r="Z9" s="13"/>
    </row>
    <row r="10" spans="1:26" ht="15.9" customHeight="1" x14ac:dyDescent="0.25">
      <c r="A10" s="14"/>
      <c r="B10" s="54" t="s">
        <v>23</v>
      </c>
      <c r="C10" s="54"/>
      <c r="D10" s="54"/>
      <c r="E10" s="54"/>
      <c r="F10" s="54"/>
      <c r="G10" s="54"/>
      <c r="H10" s="152" t="s">
        <v>57</v>
      </c>
      <c r="I10" s="152"/>
      <c r="J10" s="152"/>
      <c r="K10" s="152"/>
      <c r="L10" s="152"/>
      <c r="M10" s="152"/>
      <c r="N10" s="41"/>
      <c r="O10" s="54" t="s">
        <v>3</v>
      </c>
      <c r="P10" s="54"/>
      <c r="Q10" s="54"/>
      <c r="R10" s="54"/>
      <c r="S10" s="54"/>
      <c r="T10" s="152" t="s">
        <v>53</v>
      </c>
      <c r="U10" s="152"/>
      <c r="V10" s="152"/>
      <c r="W10" s="152"/>
      <c r="X10" s="152"/>
      <c r="Y10" s="152"/>
      <c r="Z10" s="13"/>
    </row>
    <row r="11" spans="1:26" ht="15.9" customHeight="1" x14ac:dyDescent="0.25">
      <c r="A11" s="14"/>
      <c r="B11" s="54" t="s">
        <v>2</v>
      </c>
      <c r="C11" s="54"/>
      <c r="D11" s="54"/>
      <c r="E11" s="54"/>
      <c r="F11" s="54"/>
      <c r="G11" s="54"/>
      <c r="H11" s="153">
        <v>45741</v>
      </c>
      <c r="I11" s="153"/>
      <c r="J11" s="153"/>
      <c r="K11" s="153"/>
      <c r="L11" s="153"/>
      <c r="M11" s="153"/>
      <c r="N11" s="15"/>
      <c r="O11" s="54" t="s">
        <v>4</v>
      </c>
      <c r="P11" s="54"/>
      <c r="Q11" s="54"/>
      <c r="R11" s="54"/>
      <c r="S11" s="54"/>
      <c r="T11" s="152" t="s">
        <v>54</v>
      </c>
      <c r="U11" s="152"/>
      <c r="V11" s="152"/>
      <c r="W11" s="152"/>
      <c r="X11" s="152"/>
      <c r="Y11" s="152"/>
      <c r="Z11" s="13"/>
    </row>
    <row r="12" spans="1:26" ht="15.9" customHeight="1" x14ac:dyDescent="0.25">
      <c r="A12" s="14"/>
      <c r="B12" s="54" t="s">
        <v>12</v>
      </c>
      <c r="C12" s="54"/>
      <c r="D12" s="54"/>
      <c r="E12" s="54"/>
      <c r="F12" s="54"/>
      <c r="G12" s="54"/>
      <c r="H12" s="153" t="s">
        <v>58</v>
      </c>
      <c r="I12" s="153"/>
      <c r="J12" s="153"/>
      <c r="K12" s="153"/>
      <c r="L12" s="153"/>
      <c r="M12" s="153"/>
      <c r="N12" s="41"/>
      <c r="O12" s="54" t="s">
        <v>5</v>
      </c>
      <c r="P12" s="54"/>
      <c r="Q12" s="54"/>
      <c r="R12" s="54"/>
      <c r="S12" s="54"/>
      <c r="T12" s="152" t="s">
        <v>55</v>
      </c>
      <c r="U12" s="152"/>
      <c r="V12" s="152"/>
      <c r="W12" s="152"/>
      <c r="X12" s="152"/>
      <c r="Y12" s="152"/>
      <c r="Z12" s="13"/>
    </row>
    <row r="13" spans="1:26" ht="15.9" customHeight="1" x14ac:dyDescent="0.25">
      <c r="A13" s="14"/>
      <c r="B13" s="54" t="s">
        <v>13</v>
      </c>
      <c r="C13" s="54"/>
      <c r="D13" s="54"/>
      <c r="E13" s="54"/>
      <c r="F13" s="54"/>
      <c r="G13" s="54"/>
      <c r="H13" s="94">
        <v>96</v>
      </c>
      <c r="I13" s="94"/>
      <c r="J13" s="94"/>
      <c r="K13" s="94"/>
      <c r="L13" s="70" t="s">
        <v>37</v>
      </c>
      <c r="M13" s="70"/>
      <c r="N13" s="41"/>
      <c r="O13" s="54" t="s">
        <v>25</v>
      </c>
      <c r="P13" s="54"/>
      <c r="Q13" s="54"/>
      <c r="R13" s="54"/>
      <c r="S13" s="54"/>
      <c r="T13" s="152" t="s">
        <v>62</v>
      </c>
      <c r="U13" s="152"/>
      <c r="V13" s="152"/>
      <c r="W13" s="152"/>
      <c r="X13" s="152"/>
      <c r="Y13" s="152"/>
      <c r="Z13" s="13"/>
    </row>
    <row r="14" spans="1:26" ht="6.75" customHeight="1" x14ac:dyDescent="0.25">
      <c r="A14" s="3"/>
      <c r="B14" s="16"/>
      <c r="C14" s="4"/>
      <c r="D14" s="17"/>
      <c r="E14" s="4"/>
      <c r="F14" s="4"/>
      <c r="G14" s="4"/>
      <c r="H14" s="4"/>
      <c r="I14" s="4"/>
      <c r="J14" s="4"/>
      <c r="K14" s="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9"/>
    </row>
    <row r="15" spans="1:26" ht="9.75" customHeight="1" x14ac:dyDescent="0.25">
      <c r="D15" s="12"/>
      <c r="K15" s="20"/>
    </row>
    <row r="16" spans="1:26" ht="15.6" customHeight="1" x14ac:dyDescent="0.25">
      <c r="A16" s="5" t="s">
        <v>8</v>
      </c>
      <c r="B16" s="6" t="s">
        <v>9</v>
      </c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9"/>
    </row>
    <row r="17" spans="1:30" ht="9.75" customHeight="1" x14ac:dyDescent="0.25">
      <c r="A17" s="14"/>
      <c r="Z17" s="13"/>
    </row>
    <row r="18" spans="1:30" ht="15.75" customHeight="1" x14ac:dyDescent="0.25">
      <c r="A18" s="14"/>
      <c r="B18" s="42" t="s">
        <v>10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3"/>
    </row>
    <row r="19" spans="1:30" ht="6.75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3"/>
    </row>
    <row r="20" spans="1:30" ht="15.75" customHeight="1" x14ac:dyDescent="0.25">
      <c r="A20" s="14"/>
      <c r="B20" s="82" t="s">
        <v>15</v>
      </c>
      <c r="C20" s="83"/>
      <c r="D20" s="83"/>
      <c r="E20" s="83"/>
      <c r="F20" s="83"/>
      <c r="G20" s="83"/>
      <c r="H20" s="83"/>
      <c r="I20" s="84"/>
      <c r="J20" s="15"/>
      <c r="K20" s="82" t="s">
        <v>28</v>
      </c>
      <c r="L20" s="83"/>
      <c r="M20" s="83"/>
      <c r="N20" s="83"/>
      <c r="O20" s="83"/>
      <c r="P20" s="83"/>
      <c r="Q20" s="83"/>
      <c r="R20" s="84"/>
      <c r="S20" s="15"/>
      <c r="T20" s="15"/>
      <c r="U20" s="82" t="s">
        <v>47</v>
      </c>
      <c r="V20" s="83"/>
      <c r="W20" s="83"/>
      <c r="X20" s="83"/>
      <c r="Y20" s="84"/>
      <c r="Z20" s="13"/>
    </row>
    <row r="21" spans="1:30" ht="15.75" customHeight="1" x14ac:dyDescent="0.25">
      <c r="A21" s="14"/>
      <c r="B21" s="85" t="s">
        <v>36</v>
      </c>
      <c r="C21" s="86"/>
      <c r="D21" s="86"/>
      <c r="E21" s="86"/>
      <c r="F21" s="159">
        <v>15.8</v>
      </c>
      <c r="G21" s="159"/>
      <c r="H21" s="159"/>
      <c r="I21" s="160"/>
      <c r="J21" s="161"/>
      <c r="K21" s="162" t="s">
        <v>27</v>
      </c>
      <c r="L21" s="163"/>
      <c r="M21" s="163"/>
      <c r="N21" s="163"/>
      <c r="O21" s="159">
        <v>1.639</v>
      </c>
      <c r="P21" s="159"/>
      <c r="Q21" s="159"/>
      <c r="R21" s="160"/>
      <c r="S21" s="161"/>
      <c r="T21" s="161"/>
      <c r="U21" s="164">
        <v>19</v>
      </c>
      <c r="V21" s="159"/>
      <c r="W21" s="159"/>
      <c r="X21" s="159"/>
      <c r="Y21" s="160"/>
      <c r="Z21" s="13"/>
    </row>
    <row r="22" spans="1:30" ht="15.75" customHeight="1" x14ac:dyDescent="0.25">
      <c r="A22" s="14"/>
      <c r="B22" s="87"/>
      <c r="C22" s="88"/>
      <c r="D22" s="88"/>
      <c r="E22" s="88"/>
      <c r="F22" s="165"/>
      <c r="G22" s="165"/>
      <c r="H22" s="165"/>
      <c r="I22" s="166"/>
      <c r="J22" s="161"/>
      <c r="K22" s="167"/>
      <c r="L22" s="168"/>
      <c r="M22" s="168"/>
      <c r="N22" s="168"/>
      <c r="O22" s="165"/>
      <c r="P22" s="165"/>
      <c r="Q22" s="165"/>
      <c r="R22" s="166"/>
      <c r="S22" s="161"/>
      <c r="T22" s="161"/>
      <c r="U22" s="169"/>
      <c r="V22" s="165"/>
      <c r="W22" s="165"/>
      <c r="X22" s="165"/>
      <c r="Y22" s="166"/>
      <c r="Z22" s="13"/>
    </row>
    <row r="23" spans="1:30" ht="15.75" customHeight="1" x14ac:dyDescent="0.25">
      <c r="A23" s="14"/>
      <c r="F23" s="22"/>
      <c r="G23" s="22"/>
      <c r="H23" s="22"/>
      <c r="I23" s="22"/>
      <c r="O23" s="22"/>
      <c r="P23" s="22"/>
      <c r="Q23" s="22"/>
      <c r="R23" s="22"/>
      <c r="Z23" s="13"/>
    </row>
    <row r="24" spans="1:30" ht="15.75" customHeight="1" x14ac:dyDescent="0.25">
      <c r="A24" s="14"/>
      <c r="B24" s="42" t="s">
        <v>11</v>
      </c>
      <c r="F24" s="22"/>
      <c r="G24" s="22"/>
      <c r="H24" s="22"/>
      <c r="I24" s="22"/>
      <c r="O24" s="22"/>
      <c r="P24" s="22"/>
      <c r="Q24" s="22"/>
      <c r="R24" s="22"/>
      <c r="Z24" s="13"/>
    </row>
    <row r="25" spans="1:30" ht="9.75" customHeight="1" x14ac:dyDescent="0.25">
      <c r="A25" s="14"/>
      <c r="K25" s="12"/>
      <c r="L25" s="12"/>
      <c r="M25" s="12"/>
      <c r="N25" s="12"/>
      <c r="Z25" s="13"/>
    </row>
    <row r="26" spans="1:30" ht="15.75" customHeight="1" x14ac:dyDescent="0.25">
      <c r="A26" s="23"/>
      <c r="B26" s="21"/>
      <c r="D26" s="20"/>
      <c r="Z26" s="13"/>
    </row>
    <row r="27" spans="1:30" ht="15.75" customHeight="1" x14ac:dyDescent="0.25">
      <c r="A27" s="14"/>
      <c r="C27" s="101" t="s">
        <v>14</v>
      </c>
      <c r="D27" s="101"/>
      <c r="E27" s="102" t="s">
        <v>7</v>
      </c>
      <c r="F27" s="102"/>
      <c r="G27" s="102"/>
      <c r="Z27" s="13"/>
    </row>
    <row r="28" spans="1:30" ht="15.75" customHeight="1" x14ac:dyDescent="0.25">
      <c r="A28" s="24"/>
      <c r="C28" s="101"/>
      <c r="D28" s="101"/>
      <c r="E28" s="102"/>
      <c r="F28" s="102"/>
      <c r="G28" s="102"/>
      <c r="Z28" s="13"/>
    </row>
    <row r="29" spans="1:30" ht="15.75" customHeight="1" x14ac:dyDescent="0.25">
      <c r="A29" s="24"/>
      <c r="C29" s="89">
        <v>0</v>
      </c>
      <c r="D29" s="90"/>
      <c r="E29" s="93">
        <v>0</v>
      </c>
      <c r="F29" s="100"/>
      <c r="G29" s="90"/>
      <c r="Z29" s="13"/>
      <c r="AC29" s="25">
        <f>C29</f>
        <v>0</v>
      </c>
      <c r="AD29" s="25">
        <f>E29</f>
        <v>0</v>
      </c>
    </row>
    <row r="30" spans="1:30" ht="15.75" customHeight="1" x14ac:dyDescent="0.25">
      <c r="A30" s="24"/>
      <c r="C30" s="91"/>
      <c r="D30" s="92"/>
      <c r="E30" s="91"/>
      <c r="F30" s="99"/>
      <c r="G30" s="92"/>
      <c r="Z30" s="13"/>
      <c r="AC30" s="25">
        <f>C31</f>
        <v>1</v>
      </c>
      <c r="AD30" s="25">
        <f>IF(E31&lt;&gt;"",E31,#N/A)</f>
        <v>1.17</v>
      </c>
    </row>
    <row r="31" spans="1:30" ht="15.75" customHeight="1" x14ac:dyDescent="0.25">
      <c r="A31" s="24"/>
      <c r="C31" s="95">
        <v>1</v>
      </c>
      <c r="D31" s="96"/>
      <c r="E31" s="97">
        <v>1.17</v>
      </c>
      <c r="F31" s="98"/>
      <c r="G31" s="96"/>
      <c r="Z31" s="13"/>
      <c r="AC31" s="25">
        <f>C33</f>
        <v>2</v>
      </c>
      <c r="AD31" s="25">
        <f>IF(E33&lt;&gt;"",E33,#N/A)</f>
        <v>1.17</v>
      </c>
    </row>
    <row r="32" spans="1:30" ht="15.75" customHeight="1" x14ac:dyDescent="0.25">
      <c r="A32" s="24"/>
      <c r="C32" s="91"/>
      <c r="D32" s="92"/>
      <c r="E32" s="91"/>
      <c r="F32" s="99"/>
      <c r="G32" s="92"/>
      <c r="Z32" s="13"/>
      <c r="AC32" s="25">
        <f>C35</f>
        <v>3</v>
      </c>
      <c r="AD32" s="25">
        <f>IF(E35&lt;&gt;"",E35,#N/A)</f>
        <v>1.17</v>
      </c>
    </row>
    <row r="33" spans="1:30" ht="15.75" customHeight="1" x14ac:dyDescent="0.25">
      <c r="A33" s="24"/>
      <c r="C33" s="95">
        <v>2</v>
      </c>
      <c r="D33" s="96"/>
      <c r="E33" s="97">
        <v>1.17</v>
      </c>
      <c r="F33" s="98"/>
      <c r="G33" s="96"/>
      <c r="Z33" s="13"/>
      <c r="AC33" s="25">
        <f>C37</f>
        <v>4</v>
      </c>
      <c r="AD33" s="25" t="e">
        <f>IF(E37&lt;&gt;"",E37,#N/A)</f>
        <v>#N/A</v>
      </c>
    </row>
    <row r="34" spans="1:30" ht="15.75" customHeight="1" x14ac:dyDescent="0.25">
      <c r="A34" s="24"/>
      <c r="C34" s="91"/>
      <c r="D34" s="92"/>
      <c r="E34" s="91"/>
      <c r="F34" s="99"/>
      <c r="G34" s="92"/>
      <c r="Z34" s="13"/>
      <c r="AC34" s="25">
        <f>C39</f>
        <v>5</v>
      </c>
      <c r="AD34" s="25" t="e">
        <f>IF(E39&lt;&gt;"",E39,#N/A)</f>
        <v>#N/A</v>
      </c>
    </row>
    <row r="35" spans="1:30" ht="15.75" customHeight="1" x14ac:dyDescent="0.25">
      <c r="A35" s="14"/>
      <c r="C35" s="95">
        <v>3</v>
      </c>
      <c r="D35" s="96"/>
      <c r="E35" s="97">
        <v>1.17</v>
      </c>
      <c r="F35" s="98"/>
      <c r="G35" s="96"/>
      <c r="Z35" s="13"/>
      <c r="AC35" s="25">
        <f>C41</f>
        <v>6</v>
      </c>
      <c r="AD35" s="25" t="e">
        <f>IF(E41&lt;&gt;"",E41,#N/A)</f>
        <v>#N/A</v>
      </c>
    </row>
    <row r="36" spans="1:30" ht="15.75" customHeight="1" x14ac:dyDescent="0.25">
      <c r="A36" s="14"/>
      <c r="C36" s="91"/>
      <c r="D36" s="92"/>
      <c r="E36" s="91"/>
      <c r="F36" s="99"/>
      <c r="G36" s="92"/>
      <c r="Z36" s="13"/>
      <c r="AC36" s="25">
        <f>C43</f>
        <v>7</v>
      </c>
      <c r="AD36" s="25" t="e">
        <f>IF(E43&lt;&gt;"",E43,#N/A)</f>
        <v>#N/A</v>
      </c>
    </row>
    <row r="37" spans="1:30" ht="15.75" customHeight="1" x14ac:dyDescent="0.25">
      <c r="A37" s="26"/>
      <c r="B37" s="27"/>
      <c r="C37" s="95">
        <v>4</v>
      </c>
      <c r="D37" s="96"/>
      <c r="E37" s="97"/>
      <c r="F37" s="98"/>
      <c r="G37" s="9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Z37" s="13"/>
    </row>
    <row r="38" spans="1:30" ht="15.75" customHeight="1" x14ac:dyDescent="0.25">
      <c r="A38" s="26"/>
      <c r="B38" s="27"/>
      <c r="C38" s="91"/>
      <c r="D38" s="92"/>
      <c r="E38" s="91"/>
      <c r="F38" s="99"/>
      <c r="G38" s="92"/>
      <c r="Z38" s="13"/>
    </row>
    <row r="39" spans="1:30" ht="15.75" customHeight="1" x14ac:dyDescent="0.25">
      <c r="A39" s="26"/>
      <c r="B39" s="27"/>
      <c r="C39" s="95">
        <v>5</v>
      </c>
      <c r="D39" s="96"/>
      <c r="E39" s="97"/>
      <c r="F39" s="98"/>
      <c r="G39" s="96"/>
      <c r="Z39" s="13"/>
    </row>
    <row r="40" spans="1:30" ht="15.75" customHeight="1" x14ac:dyDescent="0.25">
      <c r="A40" s="26"/>
      <c r="B40" s="27"/>
      <c r="C40" s="91"/>
      <c r="D40" s="92"/>
      <c r="E40" s="91"/>
      <c r="F40" s="99"/>
      <c r="G40" s="92"/>
      <c r="Z40" s="13"/>
    </row>
    <row r="41" spans="1:30" ht="15.75" customHeight="1" x14ac:dyDescent="0.25">
      <c r="A41" s="26"/>
      <c r="B41" s="27"/>
      <c r="C41" s="95">
        <v>6</v>
      </c>
      <c r="D41" s="96"/>
      <c r="E41" s="97"/>
      <c r="F41" s="98"/>
      <c r="G41" s="96"/>
      <c r="Z41" s="13"/>
    </row>
    <row r="42" spans="1:30" ht="15.75" customHeight="1" x14ac:dyDescent="0.25">
      <c r="A42" s="26"/>
      <c r="B42" s="27"/>
      <c r="C42" s="91"/>
      <c r="D42" s="92"/>
      <c r="E42" s="91"/>
      <c r="F42" s="99"/>
      <c r="G42" s="92"/>
      <c r="Z42" s="13"/>
    </row>
    <row r="43" spans="1:30" ht="15.75" customHeight="1" x14ac:dyDescent="0.25">
      <c r="A43" s="26"/>
      <c r="B43" s="27"/>
      <c r="C43" s="95">
        <v>7</v>
      </c>
      <c r="D43" s="96"/>
      <c r="E43" s="97"/>
      <c r="F43" s="98"/>
      <c r="G43" s="96"/>
      <c r="Z43" s="13"/>
    </row>
    <row r="44" spans="1:30" ht="15.75" customHeight="1" x14ac:dyDescent="0.25">
      <c r="A44" s="26"/>
      <c r="B44" s="27"/>
      <c r="C44" s="103"/>
      <c r="D44" s="104"/>
      <c r="E44" s="103"/>
      <c r="F44" s="105"/>
      <c r="G44" s="104"/>
      <c r="Z44" s="13"/>
    </row>
    <row r="45" spans="1:30" ht="15.75" customHeight="1" x14ac:dyDescent="0.25">
      <c r="A45" s="26"/>
      <c r="B45" s="27"/>
      <c r="C45" s="27"/>
      <c r="E45" s="12"/>
      <c r="Z45" s="13"/>
    </row>
    <row r="46" spans="1:30" ht="15.75" customHeight="1" x14ac:dyDescent="0.25">
      <c r="A46" s="26"/>
      <c r="B46" s="27"/>
      <c r="C46" s="43" t="s">
        <v>17</v>
      </c>
      <c r="D46" s="15"/>
      <c r="E46" s="15"/>
      <c r="F46" s="15"/>
      <c r="G46" s="15"/>
      <c r="H46" s="15"/>
      <c r="I46" s="15"/>
      <c r="J46" s="111" t="s">
        <v>19</v>
      </c>
      <c r="K46" s="112"/>
      <c r="L46" s="113">
        <f>MAX(E29:G44)</f>
        <v>1.17</v>
      </c>
      <c r="M46" s="113"/>
      <c r="N46" s="44" t="s">
        <v>20</v>
      </c>
      <c r="O46" s="15"/>
      <c r="P46" s="15"/>
      <c r="Z46" s="13"/>
    </row>
    <row r="47" spans="1:30" ht="10.5" customHeight="1" x14ac:dyDescent="0.25">
      <c r="A47" s="26"/>
      <c r="B47" s="27"/>
      <c r="C47" s="41"/>
      <c r="D47" s="15"/>
      <c r="E47" s="4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Z47" s="13"/>
    </row>
    <row r="48" spans="1:30" ht="15.75" customHeight="1" x14ac:dyDescent="0.25">
      <c r="A48" s="26"/>
      <c r="B48" s="27"/>
      <c r="C48" s="41" t="s">
        <v>18</v>
      </c>
      <c r="D48" s="15"/>
      <c r="E48" s="45"/>
      <c r="F48" s="15"/>
      <c r="G48" s="15"/>
      <c r="H48" s="15"/>
      <c r="I48" s="15"/>
      <c r="J48" s="111" t="s">
        <v>22</v>
      </c>
      <c r="K48" s="112"/>
      <c r="L48" s="112"/>
      <c r="M48" s="112"/>
      <c r="N48" s="114">
        <f>IF(L46&lt;&gt;"",(L46/U48),"")</f>
        <v>1.0086206896551724E-2</v>
      </c>
      <c r="O48" s="114"/>
      <c r="P48" s="115"/>
      <c r="S48" s="28" t="s">
        <v>24</v>
      </c>
      <c r="T48" s="28"/>
      <c r="U48" s="28">
        <v>116</v>
      </c>
      <c r="V48" s="28" t="s">
        <v>20</v>
      </c>
      <c r="Z48" s="13"/>
    </row>
    <row r="49" spans="1:26" ht="9.75" customHeight="1" x14ac:dyDescent="0.25">
      <c r="A49" s="26"/>
      <c r="B49" s="27"/>
      <c r="C49" s="27"/>
      <c r="E49" s="12"/>
      <c r="Z49" s="13"/>
    </row>
    <row r="50" spans="1:26" ht="15.75" customHeight="1" x14ac:dyDescent="0.25">
      <c r="A50" s="26"/>
      <c r="B50" s="42" t="s">
        <v>16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3"/>
    </row>
    <row r="51" spans="1:26" ht="6" customHeight="1" x14ac:dyDescent="0.25">
      <c r="A51" s="2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3"/>
    </row>
    <row r="52" spans="1:26" ht="15.75" customHeight="1" x14ac:dyDescent="0.25">
      <c r="A52" s="14"/>
      <c r="B52" s="106" t="s">
        <v>15</v>
      </c>
      <c r="C52" s="107"/>
      <c r="D52" s="107"/>
      <c r="E52" s="107"/>
      <c r="F52" s="107"/>
      <c r="G52" s="107"/>
      <c r="H52" s="107"/>
      <c r="I52" s="108"/>
      <c r="J52" s="15"/>
      <c r="K52" s="82" t="s">
        <v>28</v>
      </c>
      <c r="L52" s="83"/>
      <c r="M52" s="83"/>
      <c r="N52" s="83"/>
      <c r="O52" s="83"/>
      <c r="P52" s="83"/>
      <c r="Q52" s="83"/>
      <c r="R52" s="84"/>
      <c r="S52" s="15"/>
      <c r="T52" s="15"/>
      <c r="U52" s="82" t="s">
        <v>48</v>
      </c>
      <c r="V52" s="83"/>
      <c r="W52" s="83"/>
      <c r="X52" s="83"/>
      <c r="Y52" s="84"/>
      <c r="Z52" s="13"/>
    </row>
    <row r="53" spans="1:26" ht="15.75" customHeight="1" x14ac:dyDescent="0.25">
      <c r="A53" s="14"/>
      <c r="B53" s="85" t="s">
        <v>6</v>
      </c>
      <c r="C53" s="86"/>
      <c r="D53" s="86"/>
      <c r="E53" s="86"/>
      <c r="F53" s="159">
        <v>21.3</v>
      </c>
      <c r="G53" s="159"/>
      <c r="H53" s="159"/>
      <c r="I53" s="160"/>
      <c r="J53" s="161"/>
      <c r="K53" s="162" t="s">
        <v>27</v>
      </c>
      <c r="L53" s="163"/>
      <c r="M53" s="163"/>
      <c r="N53" s="163"/>
      <c r="O53" s="159">
        <v>1.629</v>
      </c>
      <c r="P53" s="159"/>
      <c r="Q53" s="159"/>
      <c r="R53" s="160"/>
      <c r="S53" s="161"/>
      <c r="T53" s="161"/>
      <c r="U53" s="164">
        <v>33</v>
      </c>
      <c r="V53" s="159"/>
      <c r="W53" s="159"/>
      <c r="X53" s="159"/>
      <c r="Y53" s="160"/>
      <c r="Z53" s="13"/>
    </row>
    <row r="54" spans="1:26" ht="15.75" customHeight="1" x14ac:dyDescent="0.25">
      <c r="A54" s="10"/>
      <c r="B54" s="87"/>
      <c r="C54" s="88"/>
      <c r="D54" s="88"/>
      <c r="E54" s="88"/>
      <c r="F54" s="165"/>
      <c r="G54" s="165"/>
      <c r="H54" s="165"/>
      <c r="I54" s="166"/>
      <c r="J54" s="161"/>
      <c r="K54" s="167"/>
      <c r="L54" s="168"/>
      <c r="M54" s="168"/>
      <c r="N54" s="168"/>
      <c r="O54" s="165"/>
      <c r="P54" s="165"/>
      <c r="Q54" s="165"/>
      <c r="R54" s="166"/>
      <c r="S54" s="161"/>
      <c r="T54" s="161"/>
      <c r="U54" s="169"/>
      <c r="V54" s="165"/>
      <c r="W54" s="165"/>
      <c r="X54" s="165"/>
      <c r="Y54" s="166"/>
      <c r="Z54" s="13"/>
    </row>
    <row r="55" spans="1:26" ht="15.75" customHeight="1" x14ac:dyDescent="0.25">
      <c r="A55" s="14"/>
      <c r="F55" s="22"/>
      <c r="G55" s="22"/>
      <c r="H55" s="22"/>
      <c r="I55" s="22"/>
      <c r="O55" s="22"/>
      <c r="P55" s="22"/>
      <c r="Q55" s="22"/>
      <c r="R55" s="22"/>
      <c r="S55" s="29"/>
      <c r="Z55" s="13"/>
    </row>
    <row r="56" spans="1:26" ht="15.6" customHeight="1" x14ac:dyDescent="0.25">
      <c r="A56" s="10" t="s">
        <v>38</v>
      </c>
      <c r="B56" s="11" t="s">
        <v>39</v>
      </c>
      <c r="F56" s="22"/>
      <c r="G56" s="22"/>
      <c r="H56" s="22"/>
      <c r="I56" s="22"/>
      <c r="O56" s="22"/>
      <c r="P56" s="22"/>
      <c r="Q56" s="22"/>
      <c r="R56" s="22"/>
      <c r="S56" s="29"/>
      <c r="Z56" s="13"/>
    </row>
    <row r="57" spans="1:26" ht="15.75" customHeight="1" x14ac:dyDescent="0.25">
      <c r="A57" s="30"/>
      <c r="F57" s="22"/>
      <c r="G57" s="22"/>
      <c r="H57" s="22"/>
      <c r="I57" s="22"/>
      <c r="O57" s="22"/>
      <c r="P57" s="22"/>
      <c r="Q57" s="22"/>
      <c r="R57" s="22"/>
      <c r="Z57" s="13"/>
    </row>
    <row r="58" spans="1:26" ht="15.75" customHeight="1" x14ac:dyDescent="0.25">
      <c r="A58" s="30"/>
      <c r="B58" s="110" t="s">
        <v>49</v>
      </c>
      <c r="C58" s="110"/>
      <c r="D58" s="110"/>
      <c r="E58" s="110"/>
      <c r="F58" s="110"/>
      <c r="G58" s="110"/>
      <c r="H58" s="110"/>
      <c r="I58" s="110"/>
      <c r="J58" s="110"/>
      <c r="K58" s="15"/>
      <c r="L58" s="109">
        <f>IF(U53&lt;&gt;"",U53/U21,"")</f>
        <v>1.736842105263158</v>
      </c>
      <c r="M58" s="109"/>
      <c r="N58" s="109"/>
      <c r="O58" s="109"/>
      <c r="P58" s="109"/>
      <c r="Q58" s="31"/>
      <c r="R58" s="75" t="str">
        <f>IF(L58&lt;&gt;"",IF(L58&gt;=1,"CONFORME","NON-CONFORME"),"")</f>
        <v>CONFORME</v>
      </c>
      <c r="S58" s="75"/>
      <c r="T58" s="75"/>
      <c r="U58" s="75"/>
      <c r="V58" s="75"/>
      <c r="W58" s="75"/>
      <c r="X58" s="75"/>
      <c r="Y58" s="75"/>
      <c r="Z58" s="13"/>
    </row>
    <row r="59" spans="1:26" ht="15.75" customHeight="1" x14ac:dyDescent="0.25">
      <c r="A59" s="30"/>
      <c r="B59" s="110"/>
      <c r="C59" s="110"/>
      <c r="D59" s="110"/>
      <c r="E59" s="110"/>
      <c r="F59" s="110"/>
      <c r="G59" s="110"/>
      <c r="H59" s="110"/>
      <c r="I59" s="110"/>
      <c r="J59" s="110"/>
      <c r="K59" s="15"/>
      <c r="L59" s="109"/>
      <c r="M59" s="109"/>
      <c r="N59" s="109"/>
      <c r="O59" s="109"/>
      <c r="P59" s="109"/>
      <c r="Q59" s="31"/>
      <c r="R59" s="75"/>
      <c r="S59" s="75"/>
      <c r="T59" s="75"/>
      <c r="U59" s="75"/>
      <c r="V59" s="75"/>
      <c r="W59" s="75"/>
      <c r="X59" s="75"/>
      <c r="Y59" s="75"/>
      <c r="Z59" s="13"/>
    </row>
    <row r="60" spans="1:26" ht="15.75" customHeight="1" x14ac:dyDescent="0.25">
      <c r="A60" s="30"/>
      <c r="B60" s="110"/>
      <c r="C60" s="110"/>
      <c r="D60" s="110"/>
      <c r="E60" s="110"/>
      <c r="F60" s="110"/>
      <c r="G60" s="110"/>
      <c r="H60" s="110"/>
      <c r="I60" s="110"/>
      <c r="J60" s="110"/>
      <c r="K60" s="15"/>
      <c r="L60" s="109"/>
      <c r="M60" s="109"/>
      <c r="N60" s="109"/>
      <c r="O60" s="109"/>
      <c r="P60" s="109"/>
      <c r="Q60" s="31"/>
      <c r="R60" s="75"/>
      <c r="S60" s="75"/>
      <c r="T60" s="75"/>
      <c r="U60" s="75"/>
      <c r="V60" s="75"/>
      <c r="W60" s="75"/>
      <c r="X60" s="75"/>
      <c r="Y60" s="75"/>
      <c r="Z60" s="13"/>
    </row>
    <row r="61" spans="1:26" ht="15.75" customHeight="1" x14ac:dyDescent="0.25">
      <c r="A61" s="30"/>
      <c r="B61" s="15"/>
      <c r="C61" s="15"/>
      <c r="D61" s="15"/>
      <c r="E61" s="15"/>
      <c r="F61" s="31"/>
      <c r="G61" s="31"/>
      <c r="H61" s="31"/>
      <c r="I61" s="31"/>
      <c r="J61" s="15"/>
      <c r="K61" s="15"/>
      <c r="L61" s="15"/>
      <c r="M61" s="15"/>
      <c r="N61" s="15"/>
      <c r="O61" s="31"/>
      <c r="P61" s="31"/>
      <c r="Q61" s="31"/>
      <c r="R61" s="31"/>
      <c r="S61" s="15"/>
      <c r="T61" s="15"/>
      <c r="U61" s="15"/>
      <c r="V61" s="15"/>
      <c r="W61" s="15"/>
      <c r="X61" s="15"/>
      <c r="Y61" s="15"/>
      <c r="Z61" s="13"/>
    </row>
    <row r="62" spans="1:26" ht="15.75" customHeight="1" x14ac:dyDescent="0.25">
      <c r="A62" s="30"/>
      <c r="B62" s="110" t="s">
        <v>41</v>
      </c>
      <c r="C62" s="110"/>
      <c r="D62" s="110"/>
      <c r="E62" s="110"/>
      <c r="F62" s="110"/>
      <c r="G62" s="110"/>
      <c r="H62" s="110"/>
      <c r="I62" s="110"/>
      <c r="J62" s="110"/>
      <c r="K62" s="15"/>
      <c r="L62" s="137">
        <f>IF(N48&lt;&gt;"",N48,"")</f>
        <v>1.0086206896551724E-2</v>
      </c>
      <c r="M62" s="137"/>
      <c r="N62" s="137"/>
      <c r="O62" s="137"/>
      <c r="P62" s="137"/>
      <c r="Q62" s="31"/>
      <c r="R62" s="75" t="str">
        <f>IF(L62&lt;&gt;"",IF(L62&lt;=0.05,"ADAPTE",IF(L62&gt;0.05,IF(L62&lt;=0.1,"DOUTEUX","INADAPTE"),"")),"")</f>
        <v>ADAPTE</v>
      </c>
      <c r="S62" s="75"/>
      <c r="T62" s="75"/>
      <c r="U62" s="75"/>
      <c r="V62" s="75"/>
      <c r="W62" s="75"/>
      <c r="X62" s="75"/>
      <c r="Y62" s="75"/>
      <c r="Z62" s="13"/>
    </row>
    <row r="63" spans="1:26" ht="15.75" customHeight="1" x14ac:dyDescent="0.25">
      <c r="A63" s="30"/>
      <c r="B63" s="110"/>
      <c r="C63" s="110"/>
      <c r="D63" s="110"/>
      <c r="E63" s="110"/>
      <c r="F63" s="110"/>
      <c r="G63" s="110"/>
      <c r="H63" s="110"/>
      <c r="I63" s="110"/>
      <c r="J63" s="110"/>
      <c r="K63" s="15"/>
      <c r="L63" s="137"/>
      <c r="M63" s="137"/>
      <c r="N63" s="137"/>
      <c r="O63" s="137"/>
      <c r="P63" s="137"/>
      <c r="Q63" s="31"/>
      <c r="R63" s="75"/>
      <c r="S63" s="75"/>
      <c r="T63" s="75"/>
      <c r="U63" s="75"/>
      <c r="V63" s="75"/>
      <c r="W63" s="75"/>
      <c r="X63" s="75"/>
      <c r="Y63" s="75"/>
      <c r="Z63" s="13"/>
    </row>
    <row r="64" spans="1:26" ht="15.75" customHeight="1" x14ac:dyDescent="0.25">
      <c r="A64" s="30"/>
      <c r="B64" s="110"/>
      <c r="C64" s="110"/>
      <c r="D64" s="110"/>
      <c r="E64" s="110"/>
      <c r="F64" s="110"/>
      <c r="G64" s="110"/>
      <c r="H64" s="110"/>
      <c r="I64" s="110"/>
      <c r="J64" s="110"/>
      <c r="K64" s="15"/>
      <c r="L64" s="137"/>
      <c r="M64" s="137"/>
      <c r="N64" s="137"/>
      <c r="O64" s="137"/>
      <c r="P64" s="137"/>
      <c r="Q64" s="31"/>
      <c r="R64" s="75"/>
      <c r="S64" s="75"/>
      <c r="T64" s="75"/>
      <c r="U64" s="75"/>
      <c r="V64" s="75"/>
      <c r="W64" s="75"/>
      <c r="X64" s="75"/>
      <c r="Y64" s="75"/>
      <c r="Z64" s="13"/>
    </row>
    <row r="65" spans="1:26" ht="15.9" customHeight="1" x14ac:dyDescent="0.25">
      <c r="A65" s="30"/>
      <c r="B65" s="32"/>
      <c r="C65" s="32"/>
      <c r="D65" s="32"/>
      <c r="E65" s="32"/>
      <c r="F65" s="22"/>
      <c r="G65" s="22"/>
      <c r="H65" s="22"/>
      <c r="I65" s="22"/>
      <c r="K65" s="32"/>
      <c r="L65" s="32"/>
      <c r="M65" s="32"/>
      <c r="N65" s="32"/>
      <c r="O65" s="22"/>
      <c r="P65" s="22"/>
      <c r="Q65" s="22"/>
      <c r="R65" s="22"/>
      <c r="Z65" s="13"/>
    </row>
    <row r="66" spans="1:26" ht="6.75" customHeight="1" x14ac:dyDescent="0.25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6"/>
      <c r="S66" s="4"/>
      <c r="T66" s="4"/>
      <c r="U66" s="4"/>
      <c r="V66" s="4"/>
      <c r="W66" s="4"/>
      <c r="X66" s="4"/>
      <c r="Y66" s="4"/>
      <c r="Z66" s="19"/>
    </row>
    <row r="67" spans="1:26" ht="9.75" customHeight="1" x14ac:dyDescent="0.25">
      <c r="A67" s="34"/>
      <c r="B67" s="32"/>
    </row>
    <row r="68" spans="1:26" ht="15.6" customHeight="1" x14ac:dyDescent="0.25">
      <c r="A68" s="35" t="s">
        <v>40</v>
      </c>
      <c r="B68" s="36" t="s">
        <v>42</v>
      </c>
      <c r="C68" s="37"/>
      <c r="D68" s="37"/>
      <c r="E68" s="37"/>
      <c r="F68" s="38"/>
      <c r="G68" s="38"/>
      <c r="H68" s="38"/>
      <c r="I68" s="7"/>
      <c r="J68" s="7"/>
      <c r="K68" s="7"/>
      <c r="L68" s="7"/>
      <c r="M68" s="7"/>
      <c r="N68" s="7"/>
      <c r="O68" s="7"/>
      <c r="P68" s="7"/>
      <c r="Q68" s="38"/>
      <c r="R68" s="7"/>
      <c r="S68" s="7"/>
      <c r="T68" s="7"/>
      <c r="U68" s="134"/>
      <c r="V68" s="134"/>
      <c r="W68" s="134"/>
      <c r="X68" s="135"/>
      <c r="Y68" s="135"/>
      <c r="Z68" s="136"/>
    </row>
    <row r="69" spans="1:26" ht="26.4" customHeight="1" x14ac:dyDescent="0.25">
      <c r="A69" s="138" t="s">
        <v>50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  <c r="R69" s="122" t="s">
        <v>43</v>
      </c>
      <c r="S69" s="123"/>
      <c r="T69" s="124"/>
      <c r="U69" s="170" t="s">
        <v>60</v>
      </c>
      <c r="V69" s="171"/>
      <c r="W69" s="171"/>
      <c r="X69" s="172"/>
      <c r="Y69" s="172"/>
      <c r="Z69" s="173"/>
    </row>
    <row r="70" spans="1:26" ht="26.4" customHeight="1" x14ac:dyDescent="0.25">
      <c r="A70" s="131" t="s">
        <v>63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3"/>
      <c r="R70" s="122"/>
      <c r="S70" s="123"/>
      <c r="T70" s="124"/>
      <c r="U70" s="174" t="s">
        <v>61</v>
      </c>
      <c r="V70" s="175"/>
      <c r="W70" s="175"/>
      <c r="X70" s="175"/>
      <c r="Y70" s="175"/>
      <c r="Z70" s="176"/>
    </row>
    <row r="71" spans="1:26" ht="15.6" customHeight="1" x14ac:dyDescent="0.25">
      <c r="A71" s="10" t="s">
        <v>45</v>
      </c>
      <c r="B71" s="11" t="s">
        <v>21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40"/>
      <c r="R71" s="122"/>
      <c r="S71" s="123"/>
      <c r="T71" s="124"/>
      <c r="U71" s="129"/>
      <c r="V71" s="130"/>
      <c r="W71" s="130"/>
      <c r="X71" s="130"/>
      <c r="Y71" s="130"/>
      <c r="Z71" s="177"/>
    </row>
    <row r="72" spans="1:26" ht="15.6" customHeight="1" x14ac:dyDescent="0.25">
      <c r="A72" s="116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8"/>
      <c r="R72" s="122" t="s">
        <v>44</v>
      </c>
      <c r="S72" s="123"/>
      <c r="T72" s="124"/>
      <c r="U72" s="46"/>
      <c r="V72" s="47"/>
      <c r="W72" s="47"/>
      <c r="X72" s="47"/>
      <c r="Y72" s="47"/>
      <c r="Z72" s="48"/>
    </row>
    <row r="73" spans="1:26" ht="15.6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8"/>
      <c r="R73" s="122"/>
      <c r="S73" s="123"/>
      <c r="T73" s="124"/>
      <c r="U73" s="49"/>
      <c r="V73" s="128"/>
      <c r="W73" s="128"/>
      <c r="X73" s="128"/>
      <c r="Y73" s="128"/>
      <c r="Z73" s="50"/>
    </row>
    <row r="74" spans="1:26" ht="15.6" customHeight="1" x14ac:dyDescent="0.25">
      <c r="A74" s="116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8"/>
      <c r="R74" s="122"/>
      <c r="S74" s="123"/>
      <c r="T74" s="124"/>
      <c r="U74" s="49"/>
      <c r="V74" s="128"/>
      <c r="W74" s="128"/>
      <c r="X74" s="128"/>
      <c r="Y74" s="128"/>
      <c r="Z74" s="50"/>
    </row>
    <row r="75" spans="1:26" ht="15.6" customHeight="1" x14ac:dyDescent="0.25">
      <c r="A75" s="119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1"/>
      <c r="R75" s="125"/>
      <c r="S75" s="126"/>
      <c r="T75" s="127"/>
      <c r="U75" s="51"/>
      <c r="V75" s="52"/>
      <c r="W75" s="52"/>
      <c r="X75" s="52"/>
      <c r="Y75" s="52"/>
      <c r="Z75" s="53"/>
    </row>
  </sheetData>
  <sheetProtection selectLockedCells="1"/>
  <mergeCells count="84">
    <mergeCell ref="A72:Q75"/>
    <mergeCell ref="R72:T75"/>
    <mergeCell ref="V73:Y74"/>
    <mergeCell ref="U68:Z68"/>
    <mergeCell ref="A69:Q69"/>
    <mergeCell ref="R69:T69"/>
    <mergeCell ref="U69:Z69"/>
    <mergeCell ref="A70:Q70"/>
    <mergeCell ref="R70:T71"/>
    <mergeCell ref="U70:Z71"/>
    <mergeCell ref="B58:J60"/>
    <mergeCell ref="L58:P60"/>
    <mergeCell ref="R58:Y60"/>
    <mergeCell ref="B62:J64"/>
    <mergeCell ref="L62:P64"/>
    <mergeCell ref="R62:Y64"/>
    <mergeCell ref="J48:M48"/>
    <mergeCell ref="N48:P48"/>
    <mergeCell ref="B52:I52"/>
    <mergeCell ref="K52:R52"/>
    <mergeCell ref="U52:Y52"/>
    <mergeCell ref="B53:E54"/>
    <mergeCell ref="F53:I54"/>
    <mergeCell ref="K53:N54"/>
    <mergeCell ref="O53:R54"/>
    <mergeCell ref="U53:Y54"/>
    <mergeCell ref="C41:D42"/>
    <mergeCell ref="E41:G42"/>
    <mergeCell ref="C43:D44"/>
    <mergeCell ref="E43:G44"/>
    <mergeCell ref="J46:K46"/>
    <mergeCell ref="L46:M46"/>
    <mergeCell ref="C35:D36"/>
    <mergeCell ref="E35:G36"/>
    <mergeCell ref="C37:D38"/>
    <mergeCell ref="E37:G38"/>
    <mergeCell ref="C39:D40"/>
    <mergeCell ref="E39:G40"/>
    <mergeCell ref="C29:D30"/>
    <mergeCell ref="E29:G30"/>
    <mergeCell ref="C31:D32"/>
    <mergeCell ref="E31:G32"/>
    <mergeCell ref="C33:D34"/>
    <mergeCell ref="E33:G34"/>
    <mergeCell ref="B21:E22"/>
    <mergeCell ref="F21:I22"/>
    <mergeCell ref="K21:N22"/>
    <mergeCell ref="O21:R22"/>
    <mergeCell ref="U21:Y22"/>
    <mergeCell ref="C27:D28"/>
    <mergeCell ref="E27:G28"/>
    <mergeCell ref="B13:G13"/>
    <mergeCell ref="H13:K13"/>
    <mergeCell ref="L13:M13"/>
    <mergeCell ref="O13:S13"/>
    <mergeCell ref="T13:Y13"/>
    <mergeCell ref="B20:I20"/>
    <mergeCell ref="K20:R20"/>
    <mergeCell ref="U20:Y20"/>
    <mergeCell ref="B11:G11"/>
    <mergeCell ref="H11:M11"/>
    <mergeCell ref="O11:S11"/>
    <mergeCell ref="T11:Y11"/>
    <mergeCell ref="B12:G12"/>
    <mergeCell ref="H12:M12"/>
    <mergeCell ref="O12:S12"/>
    <mergeCell ref="T12:Y12"/>
    <mergeCell ref="P6:T6"/>
    <mergeCell ref="A7:F7"/>
    <mergeCell ref="G7:Z7"/>
    <mergeCell ref="B10:G10"/>
    <mergeCell ref="H10:M10"/>
    <mergeCell ref="O10:S10"/>
    <mergeCell ref="T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IM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5"/>
  <sheetViews>
    <sheetView topLeftCell="A47" workbookViewId="0">
      <selection activeCell="T13" sqref="T13:Y13"/>
    </sheetView>
  </sheetViews>
  <sheetFormatPr baseColWidth="10" defaultColWidth="11.44140625" defaultRowHeight="12.75" customHeight="1" x14ac:dyDescent="0.25"/>
  <cols>
    <col min="1" max="26" width="5.109375" style="1" customWidth="1"/>
    <col min="27" max="16384" width="11.44140625" style="1"/>
  </cols>
  <sheetData>
    <row r="1" spans="1:26" ht="12.75" customHeight="1" x14ac:dyDescent="0.25">
      <c r="A1" s="55"/>
      <c r="B1" s="56"/>
      <c r="C1" s="56"/>
      <c r="D1" s="56"/>
      <c r="E1" s="56"/>
      <c r="F1" s="57"/>
      <c r="G1" s="64" t="s">
        <v>35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  <c r="U1" s="141" t="s">
        <v>51</v>
      </c>
      <c r="V1" s="142"/>
      <c r="W1" s="142"/>
      <c r="X1" s="142"/>
      <c r="Y1" s="142"/>
      <c r="Z1" s="143"/>
    </row>
    <row r="2" spans="1:26" ht="12.75" customHeight="1" x14ac:dyDescent="0.25">
      <c r="A2" s="58"/>
      <c r="B2" s="59"/>
      <c r="C2" s="59"/>
      <c r="D2" s="59"/>
      <c r="E2" s="59"/>
      <c r="F2" s="60"/>
      <c r="G2" s="67" t="s">
        <v>46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9"/>
      <c r="U2" s="144"/>
      <c r="V2" s="145"/>
      <c r="W2" s="145"/>
      <c r="X2" s="145"/>
      <c r="Y2" s="145"/>
      <c r="Z2" s="146"/>
    </row>
    <row r="3" spans="1:26" ht="12.75" customHeight="1" x14ac:dyDescent="0.25">
      <c r="A3" s="58"/>
      <c r="B3" s="59"/>
      <c r="C3" s="59"/>
      <c r="D3" s="59"/>
      <c r="E3" s="59"/>
      <c r="F3" s="60"/>
      <c r="G3" s="6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9"/>
      <c r="U3" s="144"/>
      <c r="V3" s="145"/>
      <c r="W3" s="145"/>
      <c r="X3" s="145"/>
      <c r="Y3" s="145"/>
      <c r="Z3" s="146"/>
    </row>
    <row r="4" spans="1:26" ht="12.75" customHeight="1" x14ac:dyDescent="0.25">
      <c r="A4" s="58"/>
      <c r="B4" s="59"/>
      <c r="C4" s="59"/>
      <c r="D4" s="59"/>
      <c r="E4" s="59"/>
      <c r="F4" s="60"/>
      <c r="G4" s="67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9"/>
      <c r="U4" s="144"/>
      <c r="V4" s="145"/>
      <c r="W4" s="145"/>
      <c r="X4" s="145"/>
      <c r="Y4" s="145"/>
      <c r="Z4" s="146"/>
    </row>
    <row r="5" spans="1:26" ht="12.75" customHeight="1" x14ac:dyDescent="0.25">
      <c r="A5" s="58"/>
      <c r="B5" s="59"/>
      <c r="C5" s="59"/>
      <c r="D5" s="59"/>
      <c r="E5" s="59"/>
      <c r="F5" s="60"/>
      <c r="G5" s="73" t="s">
        <v>34</v>
      </c>
      <c r="H5" s="74"/>
      <c r="I5" s="2" t="s">
        <v>30</v>
      </c>
      <c r="J5" s="75">
        <v>1</v>
      </c>
      <c r="K5" s="76"/>
      <c r="L5" s="150" t="s">
        <v>52</v>
      </c>
      <c r="M5" s="150"/>
      <c r="N5" s="150"/>
      <c r="O5" s="151"/>
      <c r="P5" s="77">
        <v>45770</v>
      </c>
      <c r="Q5" s="78"/>
      <c r="R5" s="78"/>
      <c r="S5" s="78"/>
      <c r="T5" s="79"/>
      <c r="U5" s="144"/>
      <c r="V5" s="145"/>
      <c r="W5" s="145"/>
      <c r="X5" s="145"/>
      <c r="Y5" s="145"/>
      <c r="Z5" s="146"/>
    </row>
    <row r="6" spans="1:26" ht="12.75" customHeight="1" x14ac:dyDescent="0.25">
      <c r="A6" s="61"/>
      <c r="B6" s="62"/>
      <c r="C6" s="62"/>
      <c r="D6" s="62"/>
      <c r="E6" s="62"/>
      <c r="F6" s="63"/>
      <c r="G6" s="3"/>
      <c r="H6" s="4"/>
      <c r="I6" s="4"/>
      <c r="J6" s="80" t="s">
        <v>31</v>
      </c>
      <c r="K6" s="80"/>
      <c r="L6" s="80" t="s">
        <v>32</v>
      </c>
      <c r="M6" s="80"/>
      <c r="N6" s="80"/>
      <c r="O6" s="80"/>
      <c r="P6" s="80" t="s">
        <v>33</v>
      </c>
      <c r="Q6" s="80"/>
      <c r="R6" s="80"/>
      <c r="S6" s="80"/>
      <c r="T6" s="81"/>
      <c r="U6" s="147"/>
      <c r="V6" s="148"/>
      <c r="W6" s="148"/>
      <c r="X6" s="148"/>
      <c r="Y6" s="148"/>
      <c r="Z6" s="149"/>
    </row>
    <row r="7" spans="1:26" ht="36.75" customHeight="1" x14ac:dyDescent="0.25">
      <c r="A7" s="71" t="s">
        <v>26</v>
      </c>
      <c r="B7" s="71"/>
      <c r="C7" s="71"/>
      <c r="D7" s="71"/>
      <c r="E7" s="71"/>
      <c r="F7" s="71"/>
      <c r="G7" s="72" t="s">
        <v>29</v>
      </c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5.6" customHeight="1" x14ac:dyDescent="0.25">
      <c r="A8" s="5" t="s">
        <v>1</v>
      </c>
      <c r="B8" s="6" t="s">
        <v>0</v>
      </c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9.75" customHeight="1" x14ac:dyDescent="0.25">
      <c r="A9" s="10"/>
      <c r="B9" s="11"/>
      <c r="D9" s="12"/>
      <c r="Z9" s="13"/>
    </row>
    <row r="10" spans="1:26" ht="15.9" customHeight="1" x14ac:dyDescent="0.25">
      <c r="A10" s="14"/>
      <c r="B10" s="54" t="s">
        <v>23</v>
      </c>
      <c r="C10" s="54"/>
      <c r="D10" s="54"/>
      <c r="E10" s="54"/>
      <c r="F10" s="54"/>
      <c r="G10" s="54"/>
      <c r="H10" s="152" t="s">
        <v>57</v>
      </c>
      <c r="I10" s="152"/>
      <c r="J10" s="152"/>
      <c r="K10" s="152"/>
      <c r="L10" s="152"/>
      <c r="M10" s="152"/>
      <c r="N10" s="41"/>
      <c r="O10" s="54" t="s">
        <v>3</v>
      </c>
      <c r="P10" s="54"/>
      <c r="Q10" s="54"/>
      <c r="R10" s="54"/>
      <c r="S10" s="54"/>
      <c r="T10" s="152" t="s">
        <v>53</v>
      </c>
      <c r="U10" s="152"/>
      <c r="V10" s="152"/>
      <c r="W10" s="152"/>
      <c r="X10" s="152"/>
      <c r="Y10" s="152"/>
      <c r="Z10" s="13"/>
    </row>
    <row r="11" spans="1:26" ht="15.9" customHeight="1" x14ac:dyDescent="0.25">
      <c r="A11" s="14"/>
      <c r="B11" s="54" t="s">
        <v>2</v>
      </c>
      <c r="C11" s="54"/>
      <c r="D11" s="54"/>
      <c r="E11" s="54"/>
      <c r="F11" s="54"/>
      <c r="G11" s="54"/>
      <c r="H11" s="153">
        <v>45741</v>
      </c>
      <c r="I11" s="153"/>
      <c r="J11" s="153"/>
      <c r="K11" s="153"/>
      <c r="L11" s="153"/>
      <c r="M11" s="153"/>
      <c r="N11" s="15"/>
      <c r="O11" s="54" t="s">
        <v>4</v>
      </c>
      <c r="P11" s="54"/>
      <c r="Q11" s="54"/>
      <c r="R11" s="54"/>
      <c r="S11" s="54"/>
      <c r="T11" s="152" t="s">
        <v>54</v>
      </c>
      <c r="U11" s="152"/>
      <c r="V11" s="152"/>
      <c r="W11" s="152"/>
      <c r="X11" s="152"/>
      <c r="Y11" s="152"/>
      <c r="Z11" s="13"/>
    </row>
    <row r="12" spans="1:26" ht="15.9" customHeight="1" x14ac:dyDescent="0.25">
      <c r="A12" s="14"/>
      <c r="B12" s="54" t="s">
        <v>12</v>
      </c>
      <c r="C12" s="54"/>
      <c r="D12" s="54"/>
      <c r="E12" s="54"/>
      <c r="F12" s="54"/>
      <c r="G12" s="54"/>
      <c r="H12" s="153" t="s">
        <v>58</v>
      </c>
      <c r="I12" s="153"/>
      <c r="J12" s="153"/>
      <c r="K12" s="153"/>
      <c r="L12" s="153"/>
      <c r="M12" s="153"/>
      <c r="N12" s="41"/>
      <c r="O12" s="54" t="s">
        <v>5</v>
      </c>
      <c r="P12" s="54"/>
      <c r="Q12" s="54"/>
      <c r="R12" s="54"/>
      <c r="S12" s="54"/>
      <c r="T12" s="152" t="s">
        <v>55</v>
      </c>
      <c r="U12" s="152"/>
      <c r="V12" s="152"/>
      <c r="W12" s="152"/>
      <c r="X12" s="152"/>
      <c r="Y12" s="152"/>
      <c r="Z12" s="13"/>
    </row>
    <row r="13" spans="1:26" ht="15.9" customHeight="1" x14ac:dyDescent="0.25">
      <c r="A13" s="14"/>
      <c r="B13" s="54" t="s">
        <v>13</v>
      </c>
      <c r="C13" s="54"/>
      <c r="D13" s="54"/>
      <c r="E13" s="54"/>
      <c r="F13" s="54"/>
      <c r="G13" s="54"/>
      <c r="H13" s="94">
        <v>96</v>
      </c>
      <c r="I13" s="94"/>
      <c r="J13" s="94"/>
      <c r="K13" s="94"/>
      <c r="L13" s="70" t="s">
        <v>37</v>
      </c>
      <c r="M13" s="70"/>
      <c r="N13" s="41"/>
      <c r="O13" s="54" t="s">
        <v>25</v>
      </c>
      <c r="P13" s="54"/>
      <c r="Q13" s="54"/>
      <c r="R13" s="54"/>
      <c r="S13" s="54"/>
      <c r="T13" s="152" t="s">
        <v>56</v>
      </c>
      <c r="U13" s="152"/>
      <c r="V13" s="152"/>
      <c r="W13" s="152"/>
      <c r="X13" s="152"/>
      <c r="Y13" s="152"/>
      <c r="Z13" s="13"/>
    </row>
    <row r="14" spans="1:26" ht="6.75" customHeight="1" x14ac:dyDescent="0.25">
      <c r="A14" s="3"/>
      <c r="B14" s="16"/>
      <c r="C14" s="4"/>
      <c r="D14" s="17"/>
      <c r="E14" s="4"/>
      <c r="F14" s="4"/>
      <c r="G14" s="4"/>
      <c r="H14" s="4"/>
      <c r="I14" s="4"/>
      <c r="J14" s="4"/>
      <c r="K14" s="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19"/>
    </row>
    <row r="15" spans="1:26" ht="9.75" customHeight="1" x14ac:dyDescent="0.25">
      <c r="D15" s="12"/>
      <c r="K15" s="20"/>
    </row>
    <row r="16" spans="1:26" ht="15.6" customHeight="1" x14ac:dyDescent="0.25">
      <c r="A16" s="5" t="s">
        <v>8</v>
      </c>
      <c r="B16" s="6" t="s">
        <v>9</v>
      </c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9"/>
    </row>
    <row r="17" spans="1:30" ht="9.75" customHeight="1" x14ac:dyDescent="0.25">
      <c r="A17" s="14"/>
      <c r="Z17" s="13"/>
    </row>
    <row r="18" spans="1:30" ht="15.75" customHeight="1" x14ac:dyDescent="0.25">
      <c r="A18" s="14"/>
      <c r="B18" s="42" t="s">
        <v>10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3"/>
    </row>
    <row r="19" spans="1:30" ht="6.75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3"/>
    </row>
    <row r="20" spans="1:30" ht="15.75" customHeight="1" x14ac:dyDescent="0.25">
      <c r="A20" s="14"/>
      <c r="B20" s="82" t="s">
        <v>15</v>
      </c>
      <c r="C20" s="83"/>
      <c r="D20" s="83"/>
      <c r="E20" s="83"/>
      <c r="F20" s="83"/>
      <c r="G20" s="83"/>
      <c r="H20" s="83"/>
      <c r="I20" s="84"/>
      <c r="J20" s="15"/>
      <c r="K20" s="82" t="s">
        <v>28</v>
      </c>
      <c r="L20" s="83"/>
      <c r="M20" s="83"/>
      <c r="N20" s="83"/>
      <c r="O20" s="83"/>
      <c r="P20" s="83"/>
      <c r="Q20" s="83"/>
      <c r="R20" s="84"/>
      <c r="S20" s="15"/>
      <c r="T20" s="15"/>
      <c r="U20" s="82" t="s">
        <v>47</v>
      </c>
      <c r="V20" s="83"/>
      <c r="W20" s="83"/>
      <c r="X20" s="83"/>
      <c r="Y20" s="84"/>
      <c r="Z20" s="13"/>
    </row>
    <row r="21" spans="1:30" ht="15.75" customHeight="1" x14ac:dyDescent="0.25">
      <c r="A21" s="14"/>
      <c r="B21" s="85" t="s">
        <v>36</v>
      </c>
      <c r="C21" s="86"/>
      <c r="D21" s="86"/>
      <c r="E21" s="86"/>
      <c r="F21" s="191">
        <v>15.5</v>
      </c>
      <c r="G21" s="191"/>
      <c r="H21" s="191"/>
      <c r="I21" s="192"/>
      <c r="J21" s="178"/>
      <c r="K21" s="189" t="s">
        <v>27</v>
      </c>
      <c r="L21" s="190"/>
      <c r="M21" s="190"/>
      <c r="N21" s="190"/>
      <c r="O21" s="191">
        <v>1.72</v>
      </c>
      <c r="P21" s="191"/>
      <c r="Q21" s="191"/>
      <c r="R21" s="192"/>
      <c r="S21" s="178"/>
      <c r="T21" s="178"/>
      <c r="U21" s="193">
        <v>17</v>
      </c>
      <c r="V21" s="191"/>
      <c r="W21" s="191"/>
      <c r="X21" s="191"/>
      <c r="Y21" s="192"/>
      <c r="Z21" s="13"/>
    </row>
    <row r="22" spans="1:30" ht="15.75" customHeight="1" x14ac:dyDescent="0.25">
      <c r="A22" s="14"/>
      <c r="B22" s="87"/>
      <c r="C22" s="88"/>
      <c r="D22" s="88"/>
      <c r="E22" s="88"/>
      <c r="F22" s="154"/>
      <c r="G22" s="154"/>
      <c r="H22" s="154"/>
      <c r="I22" s="155"/>
      <c r="J22" s="178"/>
      <c r="K22" s="156"/>
      <c r="L22" s="157"/>
      <c r="M22" s="157"/>
      <c r="N22" s="157"/>
      <c r="O22" s="154"/>
      <c r="P22" s="154"/>
      <c r="Q22" s="154"/>
      <c r="R22" s="155"/>
      <c r="S22" s="178"/>
      <c r="T22" s="178"/>
      <c r="U22" s="158"/>
      <c r="V22" s="154"/>
      <c r="W22" s="154"/>
      <c r="X22" s="154"/>
      <c r="Y22" s="155"/>
      <c r="Z22" s="13"/>
    </row>
    <row r="23" spans="1:30" ht="15.75" customHeight="1" x14ac:dyDescent="0.25">
      <c r="A23" s="14"/>
      <c r="F23" s="22"/>
      <c r="G23" s="22"/>
      <c r="H23" s="22"/>
      <c r="I23" s="22"/>
      <c r="O23" s="22"/>
      <c r="P23" s="22"/>
      <c r="Q23" s="22"/>
      <c r="R23" s="22"/>
      <c r="Z23" s="13"/>
    </row>
    <row r="24" spans="1:30" ht="15.75" customHeight="1" x14ac:dyDescent="0.25">
      <c r="A24" s="14"/>
      <c r="B24" s="42" t="s">
        <v>11</v>
      </c>
      <c r="F24" s="22"/>
      <c r="G24" s="22"/>
      <c r="H24" s="22"/>
      <c r="I24" s="22"/>
      <c r="O24" s="22"/>
      <c r="P24" s="22"/>
      <c r="Q24" s="22"/>
      <c r="R24" s="22"/>
      <c r="Z24" s="13"/>
    </row>
    <row r="25" spans="1:30" ht="9.75" customHeight="1" x14ac:dyDescent="0.25">
      <c r="A25" s="14"/>
      <c r="K25" s="12"/>
      <c r="L25" s="12"/>
      <c r="M25" s="12"/>
      <c r="N25" s="12"/>
      <c r="Z25" s="13"/>
    </row>
    <row r="26" spans="1:30" ht="15.75" customHeight="1" x14ac:dyDescent="0.25">
      <c r="A26" s="23"/>
      <c r="B26" s="21"/>
      <c r="D26" s="20"/>
      <c r="Z26" s="13"/>
    </row>
    <row r="27" spans="1:30" ht="15.75" customHeight="1" x14ac:dyDescent="0.25">
      <c r="A27" s="14"/>
      <c r="C27" s="101" t="s">
        <v>14</v>
      </c>
      <c r="D27" s="101"/>
      <c r="E27" s="102" t="s">
        <v>7</v>
      </c>
      <c r="F27" s="102"/>
      <c r="G27" s="102"/>
      <c r="Z27" s="13"/>
    </row>
    <row r="28" spans="1:30" ht="15.75" customHeight="1" x14ac:dyDescent="0.25">
      <c r="A28" s="24"/>
      <c r="C28" s="101"/>
      <c r="D28" s="101"/>
      <c r="E28" s="102"/>
      <c r="F28" s="102"/>
      <c r="G28" s="102"/>
      <c r="Z28" s="13"/>
    </row>
    <row r="29" spans="1:30" ht="15.75" customHeight="1" x14ac:dyDescent="0.25">
      <c r="A29" s="24"/>
      <c r="C29" s="89">
        <v>0</v>
      </c>
      <c r="D29" s="90"/>
      <c r="E29" s="93">
        <v>0</v>
      </c>
      <c r="F29" s="100"/>
      <c r="G29" s="90"/>
      <c r="Z29" s="13"/>
      <c r="AC29" s="25">
        <f>C29</f>
        <v>0</v>
      </c>
      <c r="AD29" s="25">
        <f>E29</f>
        <v>0</v>
      </c>
    </row>
    <row r="30" spans="1:30" ht="15.75" customHeight="1" x14ac:dyDescent="0.25">
      <c r="A30" s="24"/>
      <c r="C30" s="91"/>
      <c r="D30" s="92"/>
      <c r="E30" s="91"/>
      <c r="F30" s="99"/>
      <c r="G30" s="92"/>
      <c r="Z30" s="13"/>
      <c r="AC30" s="25">
        <f>C31</f>
        <v>1</v>
      </c>
      <c r="AD30" s="25">
        <f>IF(E31&lt;&gt;"",E31,#N/A)</f>
        <v>1.0900000000000001</v>
      </c>
    </row>
    <row r="31" spans="1:30" ht="15.75" customHeight="1" x14ac:dyDescent="0.25">
      <c r="A31" s="24"/>
      <c r="C31" s="95">
        <v>1</v>
      </c>
      <c r="D31" s="96"/>
      <c r="E31" s="97">
        <v>1.0900000000000001</v>
      </c>
      <c r="F31" s="98"/>
      <c r="G31" s="96"/>
      <c r="Z31" s="13"/>
      <c r="AC31" s="25">
        <f>C33</f>
        <v>2</v>
      </c>
      <c r="AD31" s="25">
        <f>IF(E33&lt;&gt;"",E33,#N/A)</f>
        <v>1.0900000000000001</v>
      </c>
    </row>
    <row r="32" spans="1:30" ht="15.75" customHeight="1" x14ac:dyDescent="0.25">
      <c r="A32" s="24"/>
      <c r="C32" s="91"/>
      <c r="D32" s="92"/>
      <c r="E32" s="91"/>
      <c r="F32" s="99"/>
      <c r="G32" s="92"/>
      <c r="Z32" s="13"/>
      <c r="AC32" s="25">
        <f>C35</f>
        <v>3</v>
      </c>
      <c r="AD32" s="25">
        <f>IF(E35&lt;&gt;"",E35,#N/A)</f>
        <v>1.0900000000000001</v>
      </c>
    </row>
    <row r="33" spans="1:30" ht="15.75" customHeight="1" x14ac:dyDescent="0.25">
      <c r="A33" s="24"/>
      <c r="C33" s="95">
        <v>2</v>
      </c>
      <c r="D33" s="96"/>
      <c r="E33" s="97">
        <v>1.0900000000000001</v>
      </c>
      <c r="F33" s="179"/>
      <c r="G33" s="180"/>
      <c r="Z33" s="13"/>
      <c r="AC33" s="25">
        <f>C37</f>
        <v>4</v>
      </c>
      <c r="AD33" s="25" t="e">
        <f>IF(E37&lt;&gt;"",E37,#N/A)</f>
        <v>#N/A</v>
      </c>
    </row>
    <row r="34" spans="1:30" ht="15.75" customHeight="1" x14ac:dyDescent="0.25">
      <c r="A34" s="24"/>
      <c r="C34" s="91"/>
      <c r="D34" s="92"/>
      <c r="E34" s="181"/>
      <c r="F34" s="182"/>
      <c r="G34" s="183"/>
      <c r="Z34" s="13"/>
      <c r="AC34" s="25">
        <f>C39</f>
        <v>5</v>
      </c>
      <c r="AD34" s="25" t="e">
        <f>IF(E39&lt;&gt;"",E39,#N/A)</f>
        <v>#N/A</v>
      </c>
    </row>
    <row r="35" spans="1:30" ht="15.75" customHeight="1" x14ac:dyDescent="0.25">
      <c r="A35" s="14"/>
      <c r="C35" s="95">
        <v>3</v>
      </c>
      <c r="D35" s="96"/>
      <c r="E35" s="97">
        <v>1.0900000000000001</v>
      </c>
      <c r="F35" s="179"/>
      <c r="G35" s="180"/>
      <c r="Z35" s="13"/>
      <c r="AC35" s="25">
        <f>C41</f>
        <v>6</v>
      </c>
      <c r="AD35" s="25" t="e">
        <f>IF(E41&lt;&gt;"",E41,#N/A)</f>
        <v>#N/A</v>
      </c>
    </row>
    <row r="36" spans="1:30" ht="15.75" customHeight="1" x14ac:dyDescent="0.25">
      <c r="A36" s="14"/>
      <c r="C36" s="91"/>
      <c r="D36" s="92"/>
      <c r="E36" s="181"/>
      <c r="F36" s="182"/>
      <c r="G36" s="183"/>
      <c r="Z36" s="13"/>
      <c r="AC36" s="25">
        <f>C43</f>
        <v>7</v>
      </c>
      <c r="AD36" s="25" t="e">
        <f>IF(E43&lt;&gt;"",E43,#N/A)</f>
        <v>#N/A</v>
      </c>
    </row>
    <row r="37" spans="1:30" ht="15.75" customHeight="1" x14ac:dyDescent="0.25">
      <c r="A37" s="26"/>
      <c r="B37" s="27"/>
      <c r="C37" s="95">
        <v>4</v>
      </c>
      <c r="D37" s="96"/>
      <c r="E37" s="97"/>
      <c r="F37" s="98"/>
      <c r="G37" s="9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Z37" s="13"/>
    </row>
    <row r="38" spans="1:30" ht="15.75" customHeight="1" x14ac:dyDescent="0.25">
      <c r="A38" s="26"/>
      <c r="B38" s="27"/>
      <c r="C38" s="91"/>
      <c r="D38" s="92"/>
      <c r="E38" s="91"/>
      <c r="F38" s="99"/>
      <c r="G38" s="92"/>
      <c r="Z38" s="13"/>
    </row>
    <row r="39" spans="1:30" ht="15.75" customHeight="1" x14ac:dyDescent="0.25">
      <c r="A39" s="26"/>
      <c r="B39" s="27"/>
      <c r="C39" s="95">
        <v>5</v>
      </c>
      <c r="D39" s="96"/>
      <c r="E39" s="97"/>
      <c r="F39" s="98"/>
      <c r="G39" s="96"/>
      <c r="Z39" s="13"/>
    </row>
    <row r="40" spans="1:30" ht="15.75" customHeight="1" x14ac:dyDescent="0.25">
      <c r="A40" s="26"/>
      <c r="B40" s="27"/>
      <c r="C40" s="91"/>
      <c r="D40" s="92"/>
      <c r="E40" s="91"/>
      <c r="F40" s="99"/>
      <c r="G40" s="92"/>
      <c r="Z40" s="13"/>
    </row>
    <row r="41" spans="1:30" ht="15.75" customHeight="1" x14ac:dyDescent="0.25">
      <c r="A41" s="26"/>
      <c r="B41" s="27"/>
      <c r="C41" s="95">
        <v>6</v>
      </c>
      <c r="D41" s="96"/>
      <c r="E41" s="97"/>
      <c r="F41" s="98"/>
      <c r="G41" s="96"/>
      <c r="Z41" s="13"/>
    </row>
    <row r="42" spans="1:30" ht="15.75" customHeight="1" x14ac:dyDescent="0.25">
      <c r="A42" s="26"/>
      <c r="B42" s="27"/>
      <c r="C42" s="91"/>
      <c r="D42" s="92"/>
      <c r="E42" s="91"/>
      <c r="F42" s="99"/>
      <c r="G42" s="92"/>
      <c r="Z42" s="13"/>
    </row>
    <row r="43" spans="1:30" ht="15.75" customHeight="1" x14ac:dyDescent="0.25">
      <c r="A43" s="26"/>
      <c r="B43" s="27"/>
      <c r="C43" s="95">
        <v>7</v>
      </c>
      <c r="D43" s="96"/>
      <c r="E43" s="97"/>
      <c r="F43" s="98"/>
      <c r="G43" s="96"/>
      <c r="Z43" s="13"/>
    </row>
    <row r="44" spans="1:30" ht="15.75" customHeight="1" x14ac:dyDescent="0.25">
      <c r="A44" s="26"/>
      <c r="B44" s="27"/>
      <c r="C44" s="103"/>
      <c r="D44" s="104"/>
      <c r="E44" s="103"/>
      <c r="F44" s="105"/>
      <c r="G44" s="104"/>
      <c r="Z44" s="13"/>
    </row>
    <row r="45" spans="1:30" ht="15.75" customHeight="1" x14ac:dyDescent="0.25">
      <c r="A45" s="26"/>
      <c r="B45" s="27"/>
      <c r="C45" s="27"/>
      <c r="E45" s="12"/>
      <c r="Z45" s="13"/>
    </row>
    <row r="46" spans="1:30" ht="15.75" customHeight="1" x14ac:dyDescent="0.25">
      <c r="A46" s="26"/>
      <c r="B46" s="27"/>
      <c r="C46" s="43" t="s">
        <v>17</v>
      </c>
      <c r="D46" s="15"/>
      <c r="E46" s="15"/>
      <c r="F46" s="15"/>
      <c r="G46" s="15"/>
      <c r="H46" s="15"/>
      <c r="I46" s="15"/>
      <c r="J46" s="111" t="s">
        <v>19</v>
      </c>
      <c r="K46" s="112"/>
      <c r="L46" s="113">
        <f>MAX(E29:G44)</f>
        <v>1.0900000000000001</v>
      </c>
      <c r="M46" s="113"/>
      <c r="N46" s="44" t="s">
        <v>20</v>
      </c>
      <c r="O46" s="15"/>
      <c r="P46" s="15"/>
      <c r="Z46" s="13"/>
    </row>
    <row r="47" spans="1:30" ht="10.5" customHeight="1" x14ac:dyDescent="0.25">
      <c r="A47" s="26"/>
      <c r="B47" s="27"/>
      <c r="C47" s="41"/>
      <c r="D47" s="15"/>
      <c r="E47" s="4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Z47" s="13"/>
    </row>
    <row r="48" spans="1:30" ht="15.75" customHeight="1" x14ac:dyDescent="0.25">
      <c r="A48" s="26"/>
      <c r="B48" s="27"/>
      <c r="C48" s="41" t="s">
        <v>18</v>
      </c>
      <c r="D48" s="15"/>
      <c r="E48" s="45"/>
      <c r="F48" s="15"/>
      <c r="G48" s="15"/>
      <c r="H48" s="15"/>
      <c r="I48" s="15"/>
      <c r="J48" s="111" t="s">
        <v>22</v>
      </c>
      <c r="K48" s="112"/>
      <c r="L48" s="112"/>
      <c r="M48" s="112"/>
      <c r="N48" s="114">
        <f>IF(L46&lt;&gt;"",(L46/U48),"")</f>
        <v>9.3965517241379314E-3</v>
      </c>
      <c r="O48" s="114"/>
      <c r="P48" s="115"/>
      <c r="S48" s="28" t="s">
        <v>24</v>
      </c>
      <c r="T48" s="28"/>
      <c r="U48" s="28">
        <v>116</v>
      </c>
      <c r="V48" s="28" t="s">
        <v>20</v>
      </c>
      <c r="Z48" s="13"/>
    </row>
    <row r="49" spans="1:26" ht="9.75" customHeight="1" x14ac:dyDescent="0.25">
      <c r="A49" s="26"/>
      <c r="B49" s="27"/>
      <c r="C49" s="27"/>
      <c r="E49" s="12"/>
      <c r="Z49" s="13"/>
    </row>
    <row r="50" spans="1:26" ht="15.75" customHeight="1" x14ac:dyDescent="0.25">
      <c r="A50" s="26"/>
      <c r="B50" s="42" t="s">
        <v>16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3"/>
    </row>
    <row r="51" spans="1:26" ht="6" customHeight="1" x14ac:dyDescent="0.25">
      <c r="A51" s="2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3"/>
    </row>
    <row r="52" spans="1:26" ht="15.75" customHeight="1" x14ac:dyDescent="0.25">
      <c r="A52" s="14"/>
      <c r="B52" s="106" t="s">
        <v>15</v>
      </c>
      <c r="C52" s="107"/>
      <c r="D52" s="107"/>
      <c r="E52" s="107"/>
      <c r="F52" s="107"/>
      <c r="G52" s="107"/>
      <c r="H52" s="107"/>
      <c r="I52" s="108"/>
      <c r="J52" s="15"/>
      <c r="K52" s="82" t="s">
        <v>28</v>
      </c>
      <c r="L52" s="83"/>
      <c r="M52" s="83"/>
      <c r="N52" s="83"/>
      <c r="O52" s="83"/>
      <c r="P52" s="83"/>
      <c r="Q52" s="83"/>
      <c r="R52" s="84"/>
      <c r="S52" s="15"/>
      <c r="T52" s="15"/>
      <c r="U52" s="82" t="s">
        <v>48</v>
      </c>
      <c r="V52" s="83"/>
      <c r="W52" s="83"/>
      <c r="X52" s="83"/>
      <c r="Y52" s="84"/>
      <c r="Z52" s="13"/>
    </row>
    <row r="53" spans="1:26" ht="15.75" customHeight="1" x14ac:dyDescent="0.25">
      <c r="A53" s="14"/>
      <c r="B53" s="85" t="s">
        <v>6</v>
      </c>
      <c r="C53" s="86"/>
      <c r="D53" s="86"/>
      <c r="E53" s="86"/>
      <c r="F53" s="159">
        <v>20</v>
      </c>
      <c r="G53" s="159"/>
      <c r="H53" s="159"/>
      <c r="I53" s="160"/>
      <c r="J53" s="161"/>
      <c r="K53" s="187" t="s">
        <v>27</v>
      </c>
      <c r="L53" s="188"/>
      <c r="M53" s="188"/>
      <c r="N53" s="188"/>
      <c r="O53" s="185">
        <v>1.7</v>
      </c>
      <c r="P53" s="185"/>
      <c r="Q53" s="185"/>
      <c r="R53" s="186"/>
      <c r="S53" s="161"/>
      <c r="T53" s="161"/>
      <c r="U53" s="184">
        <v>13</v>
      </c>
      <c r="V53" s="185"/>
      <c r="W53" s="185"/>
      <c r="X53" s="185"/>
      <c r="Y53" s="186"/>
      <c r="Z53" s="13"/>
    </row>
    <row r="54" spans="1:26" ht="15.75" customHeight="1" x14ac:dyDescent="0.25">
      <c r="A54" s="10"/>
      <c r="B54" s="87"/>
      <c r="C54" s="88"/>
      <c r="D54" s="88"/>
      <c r="E54" s="88"/>
      <c r="F54" s="165"/>
      <c r="G54" s="165"/>
      <c r="H54" s="165"/>
      <c r="I54" s="166"/>
      <c r="J54" s="161"/>
      <c r="K54" s="167"/>
      <c r="L54" s="168"/>
      <c r="M54" s="168"/>
      <c r="N54" s="168"/>
      <c r="O54" s="165"/>
      <c r="P54" s="165"/>
      <c r="Q54" s="165"/>
      <c r="R54" s="166"/>
      <c r="S54" s="161"/>
      <c r="T54" s="161"/>
      <c r="U54" s="169"/>
      <c r="V54" s="165"/>
      <c r="W54" s="165"/>
      <c r="X54" s="165"/>
      <c r="Y54" s="166"/>
      <c r="Z54" s="13"/>
    </row>
    <row r="55" spans="1:26" ht="15.75" customHeight="1" x14ac:dyDescent="0.25">
      <c r="A55" s="14"/>
      <c r="F55" s="22"/>
      <c r="G55" s="22"/>
      <c r="H55" s="22"/>
      <c r="I55" s="22"/>
      <c r="O55" s="22"/>
      <c r="P55" s="22"/>
      <c r="Q55" s="22"/>
      <c r="R55" s="22"/>
      <c r="S55" s="29"/>
      <c r="Z55" s="13"/>
    </row>
    <row r="56" spans="1:26" ht="15.6" customHeight="1" x14ac:dyDescent="0.25">
      <c r="A56" s="10" t="s">
        <v>38</v>
      </c>
      <c r="B56" s="11" t="s">
        <v>39</v>
      </c>
      <c r="F56" s="22"/>
      <c r="G56" s="22"/>
      <c r="H56" s="22"/>
      <c r="I56" s="22"/>
      <c r="O56" s="22"/>
      <c r="P56" s="22"/>
      <c r="Q56" s="22"/>
      <c r="R56" s="22"/>
      <c r="S56" s="29"/>
      <c r="Z56" s="13"/>
    </row>
    <row r="57" spans="1:26" ht="15.75" customHeight="1" x14ac:dyDescent="0.25">
      <c r="A57" s="30"/>
      <c r="F57" s="22"/>
      <c r="G57" s="22"/>
      <c r="H57" s="22"/>
      <c r="I57" s="22"/>
      <c r="O57" s="22"/>
      <c r="P57" s="22"/>
      <c r="Q57" s="22"/>
      <c r="R57" s="22"/>
      <c r="Z57" s="13"/>
    </row>
    <row r="58" spans="1:26" ht="15.75" customHeight="1" x14ac:dyDescent="0.25">
      <c r="A58" s="30"/>
      <c r="B58" s="110" t="s">
        <v>49</v>
      </c>
      <c r="C58" s="110"/>
      <c r="D58" s="110"/>
      <c r="E58" s="110"/>
      <c r="F58" s="110"/>
      <c r="G58" s="110"/>
      <c r="H58" s="110"/>
      <c r="I58" s="110"/>
      <c r="J58" s="110"/>
      <c r="K58" s="15"/>
      <c r="L58" s="109">
        <f>IF(U53&lt;&gt;"",U53/U21,"")</f>
        <v>0.76470588235294112</v>
      </c>
      <c r="M58" s="109"/>
      <c r="N58" s="109"/>
      <c r="O58" s="109"/>
      <c r="P58" s="109"/>
      <c r="Q58" s="31"/>
      <c r="R58" s="75" t="str">
        <f>IF(L58&lt;&gt;"",IF(L58&gt;=1,"CONFORME","NON-CONFORME"),"")</f>
        <v>NON-CONFORME</v>
      </c>
      <c r="S58" s="75"/>
      <c r="T58" s="75"/>
      <c r="U58" s="75"/>
      <c r="V58" s="75"/>
      <c r="W58" s="75"/>
      <c r="X58" s="75"/>
      <c r="Y58" s="75"/>
      <c r="Z58" s="13"/>
    </row>
    <row r="59" spans="1:26" ht="15.75" customHeight="1" x14ac:dyDescent="0.25">
      <c r="A59" s="30"/>
      <c r="B59" s="110"/>
      <c r="C59" s="110"/>
      <c r="D59" s="110"/>
      <c r="E59" s="110"/>
      <c r="F59" s="110"/>
      <c r="G59" s="110"/>
      <c r="H59" s="110"/>
      <c r="I59" s="110"/>
      <c r="J59" s="110"/>
      <c r="K59" s="15"/>
      <c r="L59" s="109"/>
      <c r="M59" s="109"/>
      <c r="N59" s="109"/>
      <c r="O59" s="109"/>
      <c r="P59" s="109"/>
      <c r="Q59" s="31"/>
      <c r="R59" s="75"/>
      <c r="S59" s="75"/>
      <c r="T59" s="75"/>
      <c r="U59" s="75"/>
      <c r="V59" s="75"/>
      <c r="W59" s="75"/>
      <c r="X59" s="75"/>
      <c r="Y59" s="75"/>
      <c r="Z59" s="13"/>
    </row>
    <row r="60" spans="1:26" ht="15.75" customHeight="1" x14ac:dyDescent="0.25">
      <c r="A60" s="30"/>
      <c r="B60" s="110"/>
      <c r="C60" s="110"/>
      <c r="D60" s="110"/>
      <c r="E60" s="110"/>
      <c r="F60" s="110"/>
      <c r="G60" s="110"/>
      <c r="H60" s="110"/>
      <c r="I60" s="110"/>
      <c r="J60" s="110"/>
      <c r="K60" s="15"/>
      <c r="L60" s="109"/>
      <c r="M60" s="109"/>
      <c r="N60" s="109"/>
      <c r="O60" s="109"/>
      <c r="P60" s="109"/>
      <c r="Q60" s="31"/>
      <c r="R60" s="75"/>
      <c r="S60" s="75"/>
      <c r="T60" s="75"/>
      <c r="U60" s="75"/>
      <c r="V60" s="75"/>
      <c r="W60" s="75"/>
      <c r="X60" s="75"/>
      <c r="Y60" s="75"/>
      <c r="Z60" s="13"/>
    </row>
    <row r="61" spans="1:26" ht="15.75" customHeight="1" x14ac:dyDescent="0.25">
      <c r="A61" s="30"/>
      <c r="B61" s="15"/>
      <c r="C61" s="15"/>
      <c r="D61" s="15"/>
      <c r="E61" s="15"/>
      <c r="F61" s="31"/>
      <c r="G61" s="31"/>
      <c r="H61" s="31"/>
      <c r="I61" s="31"/>
      <c r="J61" s="15"/>
      <c r="K61" s="15"/>
      <c r="L61" s="15"/>
      <c r="M61" s="15"/>
      <c r="N61" s="15"/>
      <c r="O61" s="31"/>
      <c r="P61" s="31"/>
      <c r="Q61" s="31"/>
      <c r="R61" s="31"/>
      <c r="S61" s="15"/>
      <c r="T61" s="15"/>
      <c r="U61" s="15"/>
      <c r="V61" s="15"/>
      <c r="W61" s="15"/>
      <c r="X61" s="15"/>
      <c r="Y61" s="15"/>
      <c r="Z61" s="13"/>
    </row>
    <row r="62" spans="1:26" ht="15.75" customHeight="1" x14ac:dyDescent="0.25">
      <c r="A62" s="30"/>
      <c r="B62" s="110" t="s">
        <v>41</v>
      </c>
      <c r="C62" s="110"/>
      <c r="D62" s="110"/>
      <c r="E62" s="110"/>
      <c r="F62" s="110"/>
      <c r="G62" s="110"/>
      <c r="H62" s="110"/>
      <c r="I62" s="110"/>
      <c r="J62" s="110"/>
      <c r="K62" s="15"/>
      <c r="L62" s="137">
        <f>IF(N48&lt;&gt;"",N48,"")</f>
        <v>9.3965517241379314E-3</v>
      </c>
      <c r="M62" s="137"/>
      <c r="N62" s="137"/>
      <c r="O62" s="137"/>
      <c r="P62" s="137"/>
      <c r="Q62" s="31"/>
      <c r="R62" s="75" t="str">
        <f>IF(L62&lt;&gt;"",IF(L62&lt;=0.05,"ADAPTE",IF(L62&gt;0.05,IF(L62&lt;=0.1,"DOUTEUX","INADAPTE"),"")),"")</f>
        <v>ADAPTE</v>
      </c>
      <c r="S62" s="75"/>
      <c r="T62" s="75"/>
      <c r="U62" s="75"/>
      <c r="V62" s="75"/>
      <c r="W62" s="75"/>
      <c r="X62" s="75"/>
      <c r="Y62" s="75"/>
      <c r="Z62" s="13"/>
    </row>
    <row r="63" spans="1:26" ht="15.75" customHeight="1" x14ac:dyDescent="0.25">
      <c r="A63" s="30"/>
      <c r="B63" s="110"/>
      <c r="C63" s="110"/>
      <c r="D63" s="110"/>
      <c r="E63" s="110"/>
      <c r="F63" s="110"/>
      <c r="G63" s="110"/>
      <c r="H63" s="110"/>
      <c r="I63" s="110"/>
      <c r="J63" s="110"/>
      <c r="K63" s="15"/>
      <c r="L63" s="137"/>
      <c r="M63" s="137"/>
      <c r="N63" s="137"/>
      <c r="O63" s="137"/>
      <c r="P63" s="137"/>
      <c r="Q63" s="31"/>
      <c r="R63" s="75"/>
      <c r="S63" s="75"/>
      <c r="T63" s="75"/>
      <c r="U63" s="75"/>
      <c r="V63" s="75"/>
      <c r="W63" s="75"/>
      <c r="X63" s="75"/>
      <c r="Y63" s="75"/>
      <c r="Z63" s="13"/>
    </row>
    <row r="64" spans="1:26" ht="15.75" customHeight="1" x14ac:dyDescent="0.25">
      <c r="A64" s="30"/>
      <c r="B64" s="110"/>
      <c r="C64" s="110"/>
      <c r="D64" s="110"/>
      <c r="E64" s="110"/>
      <c r="F64" s="110"/>
      <c r="G64" s="110"/>
      <c r="H64" s="110"/>
      <c r="I64" s="110"/>
      <c r="J64" s="110"/>
      <c r="K64" s="15"/>
      <c r="L64" s="137"/>
      <c r="M64" s="137"/>
      <c r="N64" s="137"/>
      <c r="O64" s="137"/>
      <c r="P64" s="137"/>
      <c r="Q64" s="31"/>
      <c r="R64" s="75"/>
      <c r="S64" s="75"/>
      <c r="T64" s="75"/>
      <c r="U64" s="75"/>
      <c r="V64" s="75"/>
      <c r="W64" s="75"/>
      <c r="X64" s="75"/>
      <c r="Y64" s="75"/>
      <c r="Z64" s="13"/>
    </row>
    <row r="65" spans="1:26" ht="15.9" customHeight="1" x14ac:dyDescent="0.25">
      <c r="A65" s="30"/>
      <c r="B65" s="32"/>
      <c r="C65" s="32"/>
      <c r="D65" s="32"/>
      <c r="E65" s="32"/>
      <c r="F65" s="22"/>
      <c r="G65" s="22"/>
      <c r="H65" s="22"/>
      <c r="I65" s="22"/>
      <c r="K65" s="32"/>
      <c r="L65" s="32"/>
      <c r="M65" s="32"/>
      <c r="N65" s="32"/>
      <c r="O65" s="22"/>
      <c r="P65" s="22"/>
      <c r="Q65" s="22"/>
      <c r="R65" s="22"/>
      <c r="Z65" s="13"/>
    </row>
    <row r="66" spans="1:26" ht="6.75" customHeight="1" x14ac:dyDescent="0.25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6"/>
      <c r="S66" s="4"/>
      <c r="T66" s="4"/>
      <c r="U66" s="4"/>
      <c r="V66" s="4"/>
      <c r="W66" s="4"/>
      <c r="X66" s="4"/>
      <c r="Y66" s="4"/>
      <c r="Z66" s="19"/>
    </row>
    <row r="67" spans="1:26" ht="9.75" customHeight="1" x14ac:dyDescent="0.25">
      <c r="A67" s="34"/>
      <c r="B67" s="32"/>
    </row>
    <row r="68" spans="1:26" ht="15.6" customHeight="1" x14ac:dyDescent="0.25">
      <c r="A68" s="35" t="s">
        <v>40</v>
      </c>
      <c r="B68" s="36" t="s">
        <v>42</v>
      </c>
      <c r="C68" s="37"/>
      <c r="D68" s="37"/>
      <c r="E68" s="37"/>
      <c r="F68" s="38"/>
      <c r="G68" s="38"/>
      <c r="H68" s="38"/>
      <c r="I68" s="7"/>
      <c r="J68" s="7"/>
      <c r="K68" s="7"/>
      <c r="L68" s="7"/>
      <c r="M68" s="7"/>
      <c r="N68" s="7"/>
      <c r="O68" s="7"/>
      <c r="P68" s="7"/>
      <c r="Q68" s="38"/>
      <c r="R68" s="7"/>
      <c r="S68" s="7"/>
      <c r="T68" s="7"/>
      <c r="U68" s="134"/>
      <c r="V68" s="134"/>
      <c r="W68" s="134"/>
      <c r="X68" s="135"/>
      <c r="Y68" s="135"/>
      <c r="Z68" s="136"/>
    </row>
    <row r="69" spans="1:26" ht="26.4" customHeight="1" x14ac:dyDescent="0.25">
      <c r="A69" s="138" t="s">
        <v>50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  <c r="R69" s="122" t="s">
        <v>43</v>
      </c>
      <c r="S69" s="123"/>
      <c r="T69" s="124"/>
      <c r="U69" s="170" t="s">
        <v>60</v>
      </c>
      <c r="V69" s="171"/>
      <c r="W69" s="171"/>
      <c r="X69" s="172"/>
      <c r="Y69" s="172"/>
      <c r="Z69" s="173"/>
    </row>
    <row r="70" spans="1:26" ht="26.4" customHeight="1" x14ac:dyDescent="0.25">
      <c r="A70" s="131" t="s">
        <v>59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3"/>
      <c r="R70" s="122"/>
      <c r="S70" s="123"/>
      <c r="T70" s="124"/>
      <c r="U70" s="174" t="s">
        <v>61</v>
      </c>
      <c r="V70" s="175"/>
      <c r="W70" s="175"/>
      <c r="X70" s="175"/>
      <c r="Y70" s="175"/>
      <c r="Z70" s="176"/>
    </row>
    <row r="71" spans="1:26" ht="15.6" customHeight="1" x14ac:dyDescent="0.25">
      <c r="A71" s="10" t="s">
        <v>45</v>
      </c>
      <c r="B71" s="11" t="s">
        <v>21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40"/>
      <c r="R71" s="122"/>
      <c r="S71" s="123"/>
      <c r="T71" s="124"/>
      <c r="U71" s="129"/>
      <c r="V71" s="130"/>
      <c r="W71" s="130"/>
      <c r="X71" s="130"/>
      <c r="Y71" s="130"/>
      <c r="Z71" s="177"/>
    </row>
    <row r="72" spans="1:26" ht="15.6" customHeight="1" x14ac:dyDescent="0.25">
      <c r="A72" s="116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8"/>
      <c r="R72" s="122" t="s">
        <v>44</v>
      </c>
      <c r="S72" s="123"/>
      <c r="T72" s="124"/>
      <c r="U72" s="46"/>
      <c r="V72" s="47"/>
      <c r="W72" s="47"/>
      <c r="X72" s="47"/>
      <c r="Y72" s="47"/>
      <c r="Z72" s="48"/>
    </row>
    <row r="73" spans="1:26" ht="15.6" customHeight="1" x14ac:dyDescent="0.25">
      <c r="A73" s="116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8"/>
      <c r="R73" s="122"/>
      <c r="S73" s="123"/>
      <c r="T73" s="124"/>
      <c r="U73" s="49"/>
      <c r="V73" s="128"/>
      <c r="W73" s="128"/>
      <c r="X73" s="128"/>
      <c r="Y73" s="128"/>
      <c r="Z73" s="50"/>
    </row>
    <row r="74" spans="1:26" ht="15.6" customHeight="1" x14ac:dyDescent="0.25">
      <c r="A74" s="116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8"/>
      <c r="R74" s="122"/>
      <c r="S74" s="123"/>
      <c r="T74" s="124"/>
      <c r="U74" s="49"/>
      <c r="V74" s="128"/>
      <c r="W74" s="128"/>
      <c r="X74" s="128"/>
      <c r="Y74" s="128"/>
      <c r="Z74" s="50"/>
    </row>
    <row r="75" spans="1:26" ht="15.6" customHeight="1" x14ac:dyDescent="0.25">
      <c r="A75" s="119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1"/>
      <c r="R75" s="125"/>
      <c r="S75" s="126"/>
      <c r="T75" s="127"/>
      <c r="U75" s="51"/>
      <c r="V75" s="52"/>
      <c r="W75" s="52"/>
      <c r="X75" s="52"/>
      <c r="Y75" s="52"/>
      <c r="Z75" s="53"/>
    </row>
  </sheetData>
  <sheetProtection selectLockedCells="1"/>
  <mergeCells count="84">
    <mergeCell ref="U21:Y22"/>
    <mergeCell ref="T13:Y13"/>
    <mergeCell ref="O21:R22"/>
    <mergeCell ref="F21:I22"/>
    <mergeCell ref="K21:N22"/>
    <mergeCell ref="F53:I54"/>
    <mergeCell ref="K53:N54"/>
    <mergeCell ref="O53:R54"/>
    <mergeCell ref="U53:Y54"/>
    <mergeCell ref="T11:Y11"/>
    <mergeCell ref="T12:Y12"/>
    <mergeCell ref="T10:Y10"/>
    <mergeCell ref="H11:M11"/>
    <mergeCell ref="H12:M12"/>
    <mergeCell ref="H10:M10"/>
    <mergeCell ref="U68:Z68"/>
    <mergeCell ref="R69:T69"/>
    <mergeCell ref="U69:Z69"/>
    <mergeCell ref="B62:J64"/>
    <mergeCell ref="L62:P64"/>
    <mergeCell ref="R62:Y64"/>
    <mergeCell ref="A69:Q69"/>
    <mergeCell ref="A72:Q75"/>
    <mergeCell ref="R72:T75"/>
    <mergeCell ref="R70:T71"/>
    <mergeCell ref="U70:Z71"/>
    <mergeCell ref="A70:Q70"/>
    <mergeCell ref="V73:Y74"/>
    <mergeCell ref="J46:K46"/>
    <mergeCell ref="L46:M46"/>
    <mergeCell ref="J48:M48"/>
    <mergeCell ref="U52:Y52"/>
    <mergeCell ref="K52:R52"/>
    <mergeCell ref="N48:P48"/>
    <mergeCell ref="B52:I52"/>
    <mergeCell ref="B53:E54"/>
    <mergeCell ref="L58:P60"/>
    <mergeCell ref="R58:Y60"/>
    <mergeCell ref="B58:J60"/>
    <mergeCell ref="C39:D40"/>
    <mergeCell ref="E39:G40"/>
    <mergeCell ref="C41:D42"/>
    <mergeCell ref="E41:G42"/>
    <mergeCell ref="C43:D44"/>
    <mergeCell ref="E43:G44"/>
    <mergeCell ref="C33:D34"/>
    <mergeCell ref="C35:D36"/>
    <mergeCell ref="C37:D38"/>
    <mergeCell ref="E33:G34"/>
    <mergeCell ref="E35:G36"/>
    <mergeCell ref="E37:G38"/>
    <mergeCell ref="C31:D32"/>
    <mergeCell ref="E29:G30"/>
    <mergeCell ref="E31:G32"/>
    <mergeCell ref="C27:D28"/>
    <mergeCell ref="E27:G28"/>
    <mergeCell ref="B20:I20"/>
    <mergeCell ref="B21:E22"/>
    <mergeCell ref="C29:D30"/>
    <mergeCell ref="U20:Y20"/>
    <mergeCell ref="K20:R20"/>
    <mergeCell ref="B12:G12"/>
    <mergeCell ref="H13:K13"/>
    <mergeCell ref="L13:M13"/>
    <mergeCell ref="O12:S12"/>
    <mergeCell ref="L5:O5"/>
    <mergeCell ref="P5:T5"/>
    <mergeCell ref="J6:K6"/>
    <mergeCell ref="L6:O6"/>
    <mergeCell ref="P6:T6"/>
    <mergeCell ref="O13:S13"/>
    <mergeCell ref="B13:G13"/>
    <mergeCell ref="A1:F6"/>
    <mergeCell ref="G1:T1"/>
    <mergeCell ref="U1:Z6"/>
    <mergeCell ref="G2:T4"/>
    <mergeCell ref="B11:G11"/>
    <mergeCell ref="O11:S11"/>
    <mergeCell ref="A7:F7"/>
    <mergeCell ref="G7:Z7"/>
    <mergeCell ref="B10:G10"/>
    <mergeCell ref="O10:S10"/>
    <mergeCell ref="G5:H5"/>
    <mergeCell ref="J5:K5"/>
  </mergeCells>
  <phoneticPr fontId="2" type="noConversion"/>
  <printOptions horizontalCentered="1"/>
  <pageMargins left="0.39370078740157483" right="0.39370078740157483" top="0.39370078740157483" bottom="0.39370078740157483" header="0" footer="0.19685039370078741"/>
  <pageSetup paperSize="9" scale="73" orientation="portrait" r:id="rId1"/>
  <headerFooter alignWithMargins="0">
    <oddFooter>&amp;RDG-Q / CRE IM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A4 nat + 2% CAO</vt:lpstr>
      <vt:lpstr>A4 nat + 1% CAO</vt:lpstr>
      <vt:lpstr>'A4 nat + 1% CAO'!Zone_d_impression</vt:lpstr>
      <vt:lpstr>'A4 nat + 2% CAO'!Zone_d_impression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MONTET Frédéric</cp:lastModifiedBy>
  <cp:lastPrinted>2025-04-23T06:10:19Z</cp:lastPrinted>
  <dcterms:created xsi:type="dcterms:W3CDTF">2004-11-13T18:13:05Z</dcterms:created>
  <dcterms:modified xsi:type="dcterms:W3CDTF">2025-04-23T06:10:24Z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-1564943410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