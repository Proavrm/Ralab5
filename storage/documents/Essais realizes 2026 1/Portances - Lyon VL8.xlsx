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6\69\RA P50J  Lyon - VL8\Essais de laboratoire\"/>
    </mc:Choice>
  </mc:AlternateContent>
  <xr:revisionPtr revIDLastSave="0" documentId="13_ncr:1_{F65F49F4-F40A-41FB-B17F-FDAA57B5A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it 24-250226 CdF B. Buyer" sheetId="7" r:id="rId1"/>
    <sheet name="Nuit 23-240226 CdF Rép. Buyer" sheetId="6" r:id="rId2"/>
    <sheet name="16-170226 CdF Rép. Buyer" sheetId="5" r:id="rId3"/>
    <sheet name="011025 Reconnaissance CdF exist" sheetId="4" r:id="rId4"/>
    <sheet name="020925 CDR " sheetId="3" r:id="rId5"/>
    <sheet name="030725 TPC" sheetId="2" r:id="rId6"/>
    <sheet name="020725 TPC" sheetId="1" r:id="rId7"/>
  </sheets>
  <definedNames>
    <definedName name="_xlnm.Print_Area" localSheetId="3">'011025 Reconnaissance CdF exist'!$A$1:$Z$69</definedName>
    <definedName name="_xlnm.Print_Area" localSheetId="6">'020725 TPC'!$A$1:$Z$69</definedName>
    <definedName name="_xlnm.Print_Area" localSheetId="4">'020925 CDR '!$A$1:$Z$61</definedName>
    <definedName name="_xlnm.Print_Area" localSheetId="5">'030725 TPC'!$A$1:$Z$69</definedName>
    <definedName name="_xlnm.Print_Area" localSheetId="2">'16-170226 CdF Rép. Buyer'!$A$1:$Z$69</definedName>
    <definedName name="_xlnm.Print_Area" localSheetId="1">'Nuit 23-240226 CdF Rép. Buyer'!$A$1:$Z$62</definedName>
    <definedName name="_xlnm.Print_Area" localSheetId="0">'Nuit 24-250226 CdF B. Buyer'!$A$1:$Z$59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7" l="1"/>
  <c r="H46" i="7"/>
  <c r="H47" i="7"/>
  <c r="H48" i="6"/>
  <c r="H49" i="6"/>
  <c r="H50" i="6"/>
  <c r="H55" i="5"/>
  <c r="H56" i="5"/>
  <c r="H57" i="5"/>
  <c r="H55" i="4"/>
  <c r="H56" i="4"/>
  <c r="H57" i="4"/>
  <c r="H47" i="3"/>
  <c r="H48" i="3"/>
  <c r="H49" i="3"/>
  <c r="H55" i="2"/>
  <c r="H56" i="2"/>
  <c r="H57" i="2"/>
  <c r="H57" i="1"/>
  <c r="H56" i="1"/>
  <c r="H55" i="1"/>
</calcChain>
</file>

<file path=xl/sharedStrings.xml><?xml version="1.0" encoding="utf-8"?>
<sst xmlns="http://schemas.openxmlformats.org/spreadsheetml/2006/main" count="412" uniqueCount="107">
  <si>
    <t>COMPTE RENDU D'ESSAIS</t>
  </si>
  <si>
    <t>PORTANCES DES PLATES-FORMES DYNAPLAQUE 
(NF P 94-117-2 d'octobre 2004)</t>
  </si>
  <si>
    <t>PLD N°</t>
  </si>
  <si>
    <t>02/07/2025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</si>
  <si>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</si>
  <si>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</si>
  <si>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</si>
  <si>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</si>
  <si>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</si>
  <si>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</si>
  <si>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</si>
  <si>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</si>
  <si>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</si>
  <si>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</si>
  <si>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sableuse</t>
  </si>
  <si>
    <t>Date de(s) essai(s) :</t>
  </si>
  <si>
    <t>Météo :</t>
  </si>
  <si>
    <t>Beau</t>
  </si>
  <si>
    <t>Partie de l'ouvrage :</t>
  </si>
  <si>
    <t>TPC purges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</si>
  <si>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</si>
  <si>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</si>
  <si>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</si>
  <si>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</si>
  <si>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</si>
  <si>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</si>
  <si>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</si>
  <si>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</si>
  <si>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</si>
  <si>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</si>
  <si>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</si>
  <si>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</si>
  <si>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</si>
  <si>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</si>
  <si>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</si>
  <si>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</si>
  <si>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&lt;20</t>
  </si>
  <si>
    <t>Moyenne</t>
  </si>
  <si>
    <t xml:space="preserve"> 86.67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</si>
  <si>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</si>
  <si>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</si>
  <si>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</si>
  <si>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</si>
  <si>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</si>
  <si>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</si>
  <si>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</si>
  <si>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</si>
  <si>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Chef de section laboratoire</t>
  </si>
  <si>
    <t>6/</t>
  </si>
  <si>
    <t>COMMENTAIRES</t>
  </si>
  <si>
    <t>Visa</t>
  </si>
  <si>
    <t>Lyon
VL8</t>
  </si>
  <si>
    <t>RA P50J</t>
  </si>
  <si>
    <t>Non purgé</t>
  </si>
  <si>
    <t>L'ilot devant le centre commercial Leclerc est acceptable. Celui devant la station Total est non conforme, à purger. Les TPC purgés sont conformes.</t>
  </si>
  <si>
    <t>Pour information</t>
  </si>
  <si>
    <t xml:space="preserve"> 72.73</t>
  </si>
  <si>
    <t>Oui</t>
  </si>
  <si>
    <t>TPC</t>
  </si>
  <si>
    <t>03/07/2025</t>
  </si>
  <si>
    <t>Purge</t>
  </si>
  <si>
    <t>Technicien de laboratoire</t>
  </si>
  <si>
    <t>Conforme</t>
  </si>
  <si>
    <t>F. MONTET</t>
  </si>
  <si>
    <t xml:space="preserve"> 100.00</t>
  </si>
  <si>
    <t>CDR</t>
  </si>
  <si>
    <t>Couvert</t>
  </si>
  <si>
    <t>02/09/2025</t>
  </si>
  <si>
    <t>GR 0/31.5</t>
  </si>
  <si>
    <t>F. Montet</t>
  </si>
  <si>
    <t>01/10/2025</t>
  </si>
  <si>
    <t>Grave in situ</t>
  </si>
  <si>
    <t>CdF existante av. B. Buyer</t>
  </si>
  <si>
    <t>Chef de Section Laboratoire</t>
  </si>
  <si>
    <t>PF chaussée après rabotage</t>
  </si>
  <si>
    <t>16/02/2026</t>
  </si>
  <si>
    <t>Grave alluvionnaire en place</t>
  </si>
  <si>
    <t>Hugo Lepolard</t>
  </si>
  <si>
    <t>Lyon
VL8
PPI</t>
  </si>
  <si>
    <t>devant 110 nymphéas</t>
  </si>
  <si>
    <t>Nuit</t>
  </si>
  <si>
    <t>Matériau du site</t>
  </si>
  <si>
    <t>PL2 N°</t>
  </si>
  <si>
    <t>PORTANCES DES PLATES-FORMES  
( NF P 94-117-1 et NF P 94-117-3 )</t>
  </si>
  <si>
    <t>CDF</t>
  </si>
  <si>
    <t>Sens voie vers Lyon</t>
  </si>
  <si>
    <t>Sens voie vers Tassin</t>
  </si>
  <si>
    <t>N° 140</t>
  </si>
  <si>
    <t>N° 123</t>
  </si>
  <si>
    <t>entrée jardin fleuri</t>
  </si>
  <si>
    <t>N° 107-111</t>
  </si>
  <si>
    <t>70 m après</t>
  </si>
  <si>
    <t>20 m avant jardin fleuri</t>
  </si>
  <si>
    <t>20m avant N° 140</t>
  </si>
  <si>
    <t>Nuit 23-24/02/2026</t>
  </si>
  <si>
    <t>70m après</t>
  </si>
  <si>
    <t>niveau entrée aux installations</t>
  </si>
  <si>
    <t>à côté installation</t>
  </si>
  <si>
    <t>Matériaux du site</t>
  </si>
  <si>
    <t>Nuit 24-25/02/2026</t>
  </si>
  <si>
    <t>Voie vers Tassin</t>
  </si>
  <si>
    <t>Voie vers Lyon</t>
  </si>
  <si>
    <t>20m après 190</t>
  </si>
  <si>
    <t>labo cerballiance</t>
  </si>
  <si>
    <t>croisement  benoit / Buyer</t>
  </si>
  <si>
    <t>50m après</t>
  </si>
  <si>
    <t>entrée parking auchan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</si>
</sst>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u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85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3" fillId="0" borderId="0" xfId="1"/>
    <xf numFmtId="0" fontId="14" fillId="0" borderId="0" xfId="1" applyFont="1" applyAlignment="1" applyProtection="1">
      <alignment vertical="center"/>
      <protection hidden="1"/>
    </xf>
    <xf numFmtId="0" fontId="14" fillId="0" borderId="0" xfId="1" applyFont="1" applyAlignment="1" applyProtection="1">
      <alignment horizontal="center" vertical="center"/>
      <protection hidden="1"/>
    </xf>
    <xf numFmtId="0" fontId="14" fillId="0" borderId="0" xfId="1" applyFont="1" applyProtection="1">
      <protection hidden="1"/>
    </xf>
    <xf numFmtId="0" fontId="12" fillId="0" borderId="4" xfId="1" applyFont="1" applyBorder="1" applyAlignment="1" applyProtection="1">
      <alignment vertical="center"/>
      <protection locked="0"/>
    </xf>
    <xf numFmtId="0" fontId="15" fillId="0" borderId="4" xfId="1" applyFont="1" applyBorder="1" applyAlignment="1" applyProtection="1">
      <alignment vertical="center"/>
      <protection hidden="1"/>
    </xf>
    <xf numFmtId="0" fontId="12" fillId="0" borderId="4" xfId="1" applyFont="1" applyBorder="1" applyAlignment="1" applyProtection="1">
      <alignment vertical="center" wrapText="1"/>
      <protection locked="0"/>
    </xf>
    <xf numFmtId="0" fontId="14" fillId="0" borderId="8" xfId="1" applyFont="1" applyBorder="1" applyAlignment="1" applyProtection="1">
      <alignment vertical="center" wrapText="1"/>
      <protection locked="0"/>
    </xf>
    <xf numFmtId="0" fontId="14" fillId="0" borderId="2" xfId="1" applyFont="1" applyBorder="1" applyAlignment="1" applyProtection="1">
      <alignment vertical="center" wrapText="1"/>
      <protection locked="0"/>
    </xf>
    <xf numFmtId="0" fontId="14" fillId="0" borderId="1" xfId="1" applyFont="1" applyBorder="1" applyAlignment="1" applyProtection="1">
      <alignment vertical="center" wrapText="1"/>
      <protection locked="0"/>
    </xf>
    <xf numFmtId="0" fontId="14" fillId="0" borderId="7" xfId="1" applyFont="1" applyBorder="1" applyAlignment="1" applyProtection="1">
      <alignment vertical="center" wrapText="1"/>
      <protection locked="0"/>
    </xf>
    <xf numFmtId="0" fontId="14" fillId="0" borderId="6" xfId="1" applyFont="1" applyBorder="1" applyAlignment="1" applyProtection="1">
      <alignment vertical="center" wrapText="1"/>
      <protection locked="0"/>
    </xf>
    <xf numFmtId="0" fontId="14" fillId="0" borderId="5" xfId="1" applyFont="1" applyBorder="1" applyAlignment="1" applyProtection="1">
      <alignment vertical="center" wrapText="1"/>
      <protection locked="0"/>
    </xf>
    <xf numFmtId="0" fontId="14" fillId="0" borderId="4" xfId="1" applyFont="1" applyBorder="1" applyAlignment="1" applyProtection="1">
      <alignment vertical="center" wrapText="1"/>
      <protection locked="0"/>
    </xf>
    <xf numFmtId="0" fontId="14" fillId="0" borderId="3" xfId="1" applyFont="1" applyBorder="1" applyAlignment="1" applyProtection="1">
      <alignment vertical="center" wrapText="1"/>
      <protection locked="0"/>
    </xf>
    <xf numFmtId="0" fontId="16" fillId="0" borderId="7" xfId="1" applyFont="1" applyBorder="1" applyAlignment="1" applyProtection="1">
      <alignment vertical="center"/>
      <protection hidden="1"/>
    </xf>
    <xf numFmtId="0" fontId="16" fillId="0" borderId="0" xfId="1" applyFont="1" applyAlignment="1" applyProtection="1">
      <alignment vertical="center"/>
      <protection hidden="1"/>
    </xf>
    <xf numFmtId="0" fontId="17" fillId="0" borderId="0" xfId="1" applyFont="1" applyAlignment="1" applyProtection="1">
      <alignment vertical="center"/>
      <protection hidden="1"/>
    </xf>
    <xf numFmtId="0" fontId="18" fillId="0" borderId="6" xfId="1" applyFont="1" applyBorder="1" applyAlignment="1" applyProtection="1">
      <alignment horizontal="center" vertical="center"/>
      <protection hidden="1"/>
    </xf>
    <xf numFmtId="0" fontId="14" fillId="0" borderId="10" xfId="1" applyFont="1" applyBorder="1" applyAlignment="1" applyProtection="1">
      <alignment horizontal="center" vertical="center" wrapText="1"/>
      <protection hidden="1"/>
    </xf>
    <xf numFmtId="0" fontId="14" fillId="0" borderId="9" xfId="1" applyFont="1" applyBorder="1" applyAlignment="1" applyProtection="1">
      <alignment horizontal="center" vertical="center" wrapText="1"/>
      <protection hidden="1"/>
    </xf>
    <xf numFmtId="0" fontId="15" fillId="0" borderId="9" xfId="1" applyFont="1" applyBorder="1" applyAlignment="1" applyProtection="1">
      <alignment horizontal="center" vertical="center" wrapText="1"/>
      <protection hidden="1"/>
    </xf>
    <xf numFmtId="0" fontId="15" fillId="0" borderId="4" xfId="1" applyFont="1" applyBorder="1" applyAlignment="1" applyProtection="1">
      <alignment horizontal="center" vertical="center" wrapText="1"/>
      <protection hidden="1"/>
    </xf>
    <xf numFmtId="0" fontId="14" fillId="0" borderId="4" xfId="1" applyFont="1" applyBorder="1" applyAlignment="1" applyProtection="1">
      <alignment vertical="center"/>
      <protection hidden="1"/>
    </xf>
    <xf numFmtId="0" fontId="14" fillId="0" borderId="13" xfId="1" applyFont="1" applyBorder="1" applyAlignment="1" applyProtection="1">
      <alignment vertical="center"/>
      <protection hidden="1"/>
    </xf>
    <xf numFmtId="0" fontId="19" fillId="0" borderId="13" xfId="1" applyFont="1" applyBorder="1" applyAlignment="1" applyProtection="1">
      <alignment vertical="center"/>
      <protection hidden="1"/>
    </xf>
    <xf numFmtId="0" fontId="17" fillId="0" borderId="4" xfId="1" applyFont="1" applyBorder="1" applyAlignment="1" applyProtection="1">
      <alignment vertical="center"/>
      <protection hidden="1"/>
    </xf>
    <xf numFmtId="0" fontId="18" fillId="0" borderId="3" xfId="1" applyFont="1" applyBorder="1" applyAlignment="1" applyProtection="1">
      <alignment vertical="center"/>
      <protection hidden="1"/>
    </xf>
    <xf numFmtId="0" fontId="20" fillId="0" borderId="0" xfId="1" applyFont="1" applyAlignment="1" applyProtection="1">
      <alignment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14" fillId="0" borderId="8" xfId="1" applyFont="1" applyBorder="1" applyAlignment="1" applyProtection="1">
      <alignment vertical="center"/>
      <protection hidden="1"/>
    </xf>
    <xf numFmtId="0" fontId="14" fillId="0" borderId="2" xfId="1" applyFont="1" applyBorder="1" applyAlignment="1" applyProtection="1">
      <alignment vertical="center"/>
      <protection hidden="1"/>
    </xf>
    <xf numFmtId="0" fontId="20" fillId="0" borderId="1" xfId="1" applyFont="1" applyBorder="1" applyAlignment="1" applyProtection="1">
      <alignment vertical="center"/>
      <protection hidden="1"/>
    </xf>
    <xf numFmtId="0" fontId="20" fillId="0" borderId="1" xfId="1" applyFont="1" applyBorder="1" applyAlignment="1" applyProtection="1">
      <alignment horizontal="center" vertical="center"/>
      <protection hidden="1"/>
    </xf>
    <xf numFmtId="0" fontId="14" fillId="0" borderId="7" xfId="1" applyFont="1" applyBorder="1" applyAlignment="1" applyProtection="1">
      <alignment vertical="center"/>
      <protection hidden="1"/>
    </xf>
    <xf numFmtId="0" fontId="14" fillId="0" borderId="6" xfId="1" applyFont="1" applyBorder="1" applyAlignment="1" applyProtection="1">
      <alignment horizontal="center" vertical="center"/>
      <protection hidden="1"/>
    </xf>
    <xf numFmtId="0" fontId="21" fillId="0" borderId="12" xfId="1" applyFont="1" applyBorder="1" applyAlignment="1">
      <alignment horizontal="center"/>
    </xf>
    <xf numFmtId="0" fontId="12" fillId="0" borderId="10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4" xfId="1" applyFont="1" applyBorder="1" applyAlignment="1" applyProtection="1">
      <alignment horizontal="center"/>
      <protection locked="0"/>
    </xf>
    <xf numFmtId="0" fontId="12" fillId="0" borderId="10" xfId="1" applyFont="1" applyBorder="1" applyAlignment="1">
      <alignment vertical="center"/>
    </xf>
    <xf numFmtId="0" fontId="12" fillId="0" borderId="9" xfId="1" applyFont="1" applyBorder="1" applyAlignment="1">
      <alignment vertical="center"/>
    </xf>
    <xf numFmtId="164" fontId="12" fillId="0" borderId="14" xfId="1" applyNumberFormat="1" applyFont="1" applyBorder="1" applyAlignment="1">
      <alignment horizontal="center" vertical="center"/>
    </xf>
    <xf numFmtId="0" fontId="21" fillId="0" borderId="15" xfId="1" applyFont="1" applyBorder="1" applyAlignment="1">
      <alignment horizontal="center"/>
    </xf>
    <xf numFmtId="0" fontId="21" fillId="0" borderId="11" xfId="1" applyFont="1" applyBorder="1" applyAlignment="1">
      <alignment horizontal="center"/>
    </xf>
    <xf numFmtId="0" fontId="12" fillId="0" borderId="4" xfId="1" applyFont="1" applyBorder="1"/>
    <xf numFmtId="0" fontId="14" fillId="0" borderId="6" xfId="1" applyFont="1" applyBorder="1" applyAlignment="1" applyProtection="1">
      <alignment vertical="center"/>
      <protection hidden="1"/>
    </xf>
    <xf numFmtId="0" fontId="14" fillId="0" borderId="5" xfId="1" applyFont="1" applyBorder="1" applyAlignment="1" applyProtection="1">
      <alignment vertical="center"/>
      <protection hidden="1"/>
    </xf>
    <xf numFmtId="0" fontId="19" fillId="0" borderId="4" xfId="1" applyFont="1" applyBorder="1" applyAlignment="1" applyProtection="1">
      <alignment vertical="center"/>
      <protection hidden="1"/>
    </xf>
    <xf numFmtId="0" fontId="19" fillId="0" borderId="4" xfId="1" applyFont="1" applyBorder="1" applyAlignment="1" applyProtection="1">
      <alignment horizontal="center" vertical="center"/>
      <protection hidden="1"/>
    </xf>
    <xf numFmtId="0" fontId="17" fillId="0" borderId="3" xfId="1" applyFont="1" applyBorder="1" applyAlignment="1" applyProtection="1">
      <alignment vertical="center"/>
      <protection hidden="1"/>
    </xf>
    <xf numFmtId="0" fontId="18" fillId="0" borderId="3" xfId="1" applyFont="1" applyBorder="1" applyAlignment="1" applyProtection="1">
      <alignment horizontal="center" vertical="center"/>
      <protection hidden="1"/>
    </xf>
    <xf numFmtId="0" fontId="14" fillId="0" borderId="0" xfId="1" applyFont="1" applyAlignment="1" applyProtection="1">
      <alignment horizontal="left" vertical="center"/>
      <protection hidden="1"/>
    </xf>
    <xf numFmtId="0" fontId="14" fillId="0" borderId="8" xfId="1" applyFont="1" applyBorder="1" applyProtection="1">
      <protection hidden="1"/>
    </xf>
    <xf numFmtId="0" fontId="14" fillId="0" borderId="2" xfId="1" applyFont="1" applyBorder="1" applyProtection="1">
      <protection hidden="1"/>
    </xf>
    <xf numFmtId="0" fontId="14" fillId="0" borderId="1" xfId="1" applyFont="1" applyBorder="1" applyProtection="1">
      <protection hidden="1"/>
    </xf>
    <xf numFmtId="0" fontId="16" fillId="0" borderId="7" xfId="1" applyFont="1" applyBorder="1" applyAlignment="1" applyProtection="1">
      <alignment horizontal="left"/>
      <protection hidden="1"/>
    </xf>
    <xf numFmtId="0" fontId="12" fillId="0" borderId="0" xfId="1" applyFont="1" applyAlignment="1" applyProtection="1">
      <alignment horizontal="left"/>
      <protection locked="0"/>
    </xf>
    <xf numFmtId="0" fontId="14" fillId="0" borderId="6" xfId="1" applyFont="1" applyBorder="1" applyProtection="1">
      <protection hidden="1"/>
    </xf>
    <xf numFmtId="0" fontId="14" fillId="0" borderId="7" xfId="1" applyFont="1" applyBorder="1" applyProtection="1">
      <protection hidden="1"/>
    </xf>
    <xf numFmtId="0" fontId="18" fillId="0" borderId="0" xfId="1" applyFont="1" applyProtection="1">
      <protection hidden="1"/>
    </xf>
    <xf numFmtId="0" fontId="14" fillId="0" borderId="5" xfId="1" applyFont="1" applyBorder="1" applyProtection="1">
      <protection hidden="1"/>
    </xf>
    <xf numFmtId="0" fontId="14" fillId="0" borderId="4" xfId="1" applyFont="1" applyBorder="1" applyProtection="1">
      <protection hidden="1"/>
    </xf>
    <xf numFmtId="0" fontId="17" fillId="0" borderId="4" xfId="1" applyFont="1" applyBorder="1" applyProtection="1">
      <protection hidden="1"/>
    </xf>
    <xf numFmtId="14" fontId="21" fillId="0" borderId="0" xfId="1" applyNumberFormat="1" applyFont="1" applyAlignment="1" applyProtection="1">
      <alignment horizontal="center"/>
      <protection hidden="1"/>
    </xf>
    <xf numFmtId="0" fontId="15" fillId="0" borderId="0" xfId="1" applyFont="1" applyAlignment="1" applyProtection="1">
      <alignment horizontal="right"/>
      <protection hidden="1"/>
    </xf>
    <xf numFmtId="0" fontId="17" fillId="0" borderId="0" xfId="1" applyFont="1" applyAlignment="1" applyProtection="1">
      <alignment horizontal="right"/>
      <protection hidden="1"/>
    </xf>
    <xf numFmtId="0" fontId="14" fillId="0" borderId="2" xfId="1" applyFont="1" applyBorder="1" applyAlignment="1" applyProtection="1">
      <alignment horizontal="left" vertical="center"/>
      <protection hidden="1"/>
    </xf>
    <xf numFmtId="0" fontId="14" fillId="0" borderId="2" xfId="1" applyFont="1" applyBorder="1" applyAlignment="1" applyProtection="1">
      <alignment horizontal="center" vertical="center"/>
      <protection hidden="1"/>
    </xf>
    <xf numFmtId="0" fontId="14" fillId="0" borderId="1" xfId="1" applyFont="1" applyBorder="1" applyAlignment="1" applyProtection="1">
      <alignment horizontal="center" vertical="center"/>
      <protection hidden="1"/>
    </xf>
    <xf numFmtId="0" fontId="16" fillId="0" borderId="7" xfId="1" applyFont="1" applyBorder="1" applyAlignment="1" applyProtection="1">
      <alignment horizontal="left" vertical="center"/>
      <protection hidden="1"/>
    </xf>
    <xf numFmtId="0" fontId="14" fillId="0" borderId="4" xfId="1" applyFont="1" applyBorder="1" applyAlignment="1" applyProtection="1">
      <alignment horizontal="center" vertical="center"/>
      <protection hidden="1"/>
    </xf>
    <xf numFmtId="0" fontId="14" fillId="0" borderId="1" xfId="1" applyFont="1" applyBorder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hidden="1"/>
    </xf>
    <xf numFmtId="0" fontId="1" fillId="0" borderId="9" xfId="1" applyFont="1" applyBorder="1" applyAlignment="1" applyProtection="1">
      <alignment horizontal="center" vertical="center" wrapTex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8" fillId="0" borderId="13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6" fillId="0" borderId="12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11" fillId="0" borderId="10" xfId="1" applyFont="1" applyBorder="1" applyAlignment="1" applyProtection="1">
      <alignment horizontal="center"/>
      <protection locked="0"/>
    </xf>
    <xf numFmtId="0" fontId="11" fillId="0" borderId="9" xfId="1" applyFont="1" applyBorder="1" applyAlignment="1" applyProtection="1">
      <alignment horizontal="center"/>
      <protection locked="0"/>
    </xf>
    <xf numFmtId="0" fontId="11" fillId="0" borderId="14" xfId="1" applyFont="1" applyBorder="1" applyAlignment="1" applyProtection="1">
      <alignment horizontal="center"/>
      <protection locked="0"/>
    </xf>
    <xf numFmtId="0" fontId="6" fillId="0" borderId="15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7" fillId="0" borderId="4" xfId="1" applyFont="1" applyBorder="1"/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0" xfId="0" applyFont="1" applyProtection="1">
      <protection hidden="1"/>
    </xf>
    <xf numFmtId="0" fontId="25" fillId="0" borderId="4" xfId="0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hidden="1"/>
    </xf>
    <xf numFmtId="0" fontId="25" fillId="0" borderId="4" xfId="0" applyFont="1" applyBorder="1" applyAlignment="1" applyProtection="1">
      <alignment vertical="center" wrapText="1"/>
      <protection locked="0"/>
    </xf>
    <xf numFmtId="0" fontId="24" fillId="0" borderId="8" xfId="0" applyFont="1" applyBorder="1" applyAlignment="1" applyProtection="1">
      <alignment vertical="center" wrapText="1"/>
      <protection locked="0"/>
    </xf>
    <xf numFmtId="0" fontId="24" fillId="0" borderId="2" xfId="0" applyFont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0" borderId="7" xfId="0" applyFont="1" applyBorder="1" applyAlignment="1" applyProtection="1">
      <alignment vertical="center" wrapText="1"/>
      <protection locked="0"/>
    </xf>
    <xf numFmtId="0" fontId="24" fillId="0" borderId="6" xfId="0" applyFont="1" applyBorder="1" applyAlignment="1" applyProtection="1">
      <alignment vertical="center" wrapText="1"/>
      <protection locked="0"/>
    </xf>
    <xf numFmtId="0" fontId="24" fillId="0" borderId="5" xfId="0" applyFont="1" applyBorder="1" applyAlignment="1" applyProtection="1">
      <alignment vertical="center" wrapText="1"/>
      <protection locked="0"/>
    </xf>
    <xf numFmtId="0" fontId="24" fillId="0" borderId="4" xfId="0" applyFont="1" applyBorder="1" applyAlignment="1" applyProtection="1">
      <alignment vertical="center" wrapText="1"/>
      <protection locked="0"/>
    </xf>
    <xf numFmtId="0" fontId="24" fillId="0" borderId="3" xfId="0" applyFont="1" applyBorder="1" applyAlignment="1" applyProtection="1">
      <alignment vertical="center" wrapText="1"/>
      <protection locked="0"/>
    </xf>
    <xf numFmtId="0" fontId="27" fillId="0" borderId="7" xfId="0" applyFont="1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9" fillId="0" borderId="6" xfId="0" applyFont="1" applyBorder="1" applyAlignment="1" applyProtection="1">
      <alignment horizontal="center" vertical="center"/>
      <protection hidden="1"/>
    </xf>
    <xf numFmtId="0" fontId="24" fillId="0" borderId="10" xfId="0" applyFont="1" applyBorder="1" applyAlignment="1" applyProtection="1">
      <alignment horizontal="center" vertical="center" wrapText="1"/>
      <protection hidden="1"/>
    </xf>
    <xf numFmtId="0" fontId="24" fillId="0" borderId="9" xfId="0" applyFont="1" applyBorder="1" applyAlignment="1" applyProtection="1">
      <alignment horizontal="center" vertical="center" wrapText="1"/>
      <protection hidden="1"/>
    </xf>
    <xf numFmtId="0" fontId="26" fillId="0" borderId="9" xfId="0" applyFont="1" applyBorder="1" applyAlignment="1" applyProtection="1">
      <alignment horizontal="center" vertical="center" wrapText="1"/>
      <protection hidden="1"/>
    </xf>
    <xf numFmtId="0" fontId="26" fillId="0" borderId="4" xfId="0" applyFont="1" applyBorder="1" applyAlignment="1" applyProtection="1">
      <alignment horizontal="center" vertical="center" wrapText="1"/>
      <protection hidden="1"/>
    </xf>
    <xf numFmtId="0" fontId="24" fillId="0" borderId="4" xfId="0" applyFont="1" applyBorder="1" applyAlignment="1" applyProtection="1">
      <alignment vertical="center"/>
      <protection hidden="1"/>
    </xf>
    <xf numFmtId="0" fontId="24" fillId="0" borderId="13" xfId="0" applyFont="1" applyBorder="1" applyAlignment="1" applyProtection="1">
      <alignment vertical="center"/>
      <protection hidden="1"/>
    </xf>
    <xf numFmtId="0" fontId="30" fillId="0" borderId="13" xfId="0" applyFont="1" applyBorder="1" applyAlignment="1" applyProtection="1">
      <alignment vertical="center"/>
      <protection hidden="1"/>
    </xf>
    <xf numFmtId="0" fontId="28" fillId="0" borderId="4" xfId="0" applyFont="1" applyBorder="1" applyAlignment="1" applyProtection="1">
      <alignment vertical="center"/>
      <protection hidden="1"/>
    </xf>
    <xf numFmtId="0" fontId="29" fillId="0" borderId="3" xfId="0" applyFont="1" applyBorder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24" fillId="0" borderId="8" xfId="0" applyFont="1" applyBorder="1" applyAlignment="1" applyProtection="1">
      <alignment vertical="center"/>
      <protection hidden="1"/>
    </xf>
    <xf numFmtId="0" fontId="24" fillId="0" borderId="2" xfId="0" applyFont="1" applyBorder="1" applyAlignment="1" applyProtection="1">
      <alignment vertical="center"/>
      <protection hidden="1"/>
    </xf>
    <xf numFmtId="0" fontId="31" fillId="0" borderId="1" xfId="0" applyFont="1" applyBorder="1" applyAlignment="1" applyProtection="1">
      <alignment vertic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vertical="center"/>
      <protection hidden="1"/>
    </xf>
    <xf numFmtId="0" fontId="24" fillId="0" borderId="6" xfId="0" applyFont="1" applyBorder="1" applyAlignment="1" applyProtection="1">
      <alignment horizontal="center" vertical="center"/>
      <protection hidden="1"/>
    </xf>
    <xf numFmtId="0" fontId="32" fillId="0" borderId="12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25" fillId="0" borderId="4" xfId="0" applyFont="1" applyBorder="1"/>
    <xf numFmtId="0" fontId="25" fillId="0" borderId="0" xfId="0" applyFont="1" applyAlignment="1" applyProtection="1">
      <alignment vertical="center"/>
      <protection hidden="1"/>
    </xf>
    <xf numFmtId="0" fontId="24" fillId="0" borderId="6" xfId="0" applyFont="1" applyBorder="1" applyAlignment="1" applyProtection="1">
      <alignment vertical="center"/>
      <protection hidden="1"/>
    </xf>
    <xf numFmtId="0" fontId="24" fillId="0" borderId="5" xfId="0" applyFont="1" applyBorder="1" applyAlignment="1" applyProtection="1">
      <alignment vertical="center"/>
      <protection hidden="1"/>
    </xf>
    <xf numFmtId="0" fontId="25" fillId="0" borderId="4" xfId="0" applyFont="1" applyBorder="1" applyAlignment="1" applyProtection="1">
      <alignment vertical="center"/>
      <protection hidden="1"/>
    </xf>
    <xf numFmtId="0" fontId="33" fillId="0" borderId="4" xfId="0" applyFont="1" applyBorder="1" applyAlignment="1" applyProtection="1">
      <alignment vertical="center"/>
      <protection hidden="1"/>
    </xf>
    <xf numFmtId="0" fontId="30" fillId="0" borderId="4" xfId="0" applyFont="1" applyBorder="1" applyAlignment="1" applyProtection="1">
      <alignment vertical="center"/>
      <protection hidden="1"/>
    </xf>
    <xf numFmtId="0" fontId="30" fillId="0" borderId="4" xfId="0" applyFont="1" applyBorder="1" applyAlignment="1" applyProtection="1">
      <alignment horizontal="center" vertical="center"/>
      <protection hidden="1"/>
    </xf>
    <xf numFmtId="0" fontId="28" fillId="0" borderId="3" xfId="0" applyFont="1" applyBorder="1" applyAlignment="1" applyProtection="1">
      <alignment vertical="center"/>
      <protection hidden="1"/>
    </xf>
    <xf numFmtId="0" fontId="29" fillId="0" borderId="3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4" fillId="0" borderId="8" xfId="0" applyFont="1" applyBorder="1" applyProtection="1">
      <protection hidden="1"/>
    </xf>
    <xf numFmtId="0" fontId="24" fillId="0" borderId="2" xfId="0" applyFont="1" applyBorder="1" applyProtection="1">
      <protection hidden="1"/>
    </xf>
    <xf numFmtId="0" fontId="24" fillId="0" borderId="1" xfId="0" applyFont="1" applyBorder="1" applyProtection="1">
      <protection hidden="1"/>
    </xf>
    <xf numFmtId="0" fontId="27" fillId="0" borderId="7" xfId="0" applyFont="1" applyBorder="1" applyAlignment="1" applyProtection="1">
      <alignment horizontal="left"/>
      <protection hidden="1"/>
    </xf>
    <xf numFmtId="0" fontId="25" fillId="0" borderId="0" xfId="0" applyFont="1" applyAlignment="1" applyProtection="1">
      <alignment horizontal="left"/>
      <protection locked="0"/>
    </xf>
    <xf numFmtId="0" fontId="24" fillId="0" borderId="6" xfId="0" applyFont="1" applyBorder="1" applyProtection="1">
      <protection hidden="1"/>
    </xf>
    <xf numFmtId="0" fontId="24" fillId="0" borderId="7" xfId="0" applyFont="1" applyBorder="1" applyProtection="1">
      <protection hidden="1"/>
    </xf>
    <xf numFmtId="0" fontId="29" fillId="0" borderId="0" xfId="0" applyFont="1" applyProtection="1">
      <protection hidden="1"/>
    </xf>
    <xf numFmtId="0" fontId="24" fillId="0" borderId="5" xfId="0" applyFont="1" applyBorder="1" applyProtection="1">
      <protection hidden="1"/>
    </xf>
    <xf numFmtId="0" fontId="24" fillId="0" borderId="4" xfId="0" applyFont="1" applyBorder="1" applyProtection="1">
      <protection hidden="1"/>
    </xf>
    <xf numFmtId="0" fontId="28" fillId="0" borderId="4" xfId="0" applyFont="1" applyBorder="1" applyProtection="1">
      <protection hidden="1"/>
    </xf>
    <xf numFmtId="14" fontId="32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8" fillId="0" borderId="0" xfId="0" applyFont="1" applyAlignment="1" applyProtection="1">
      <alignment horizontal="right"/>
      <protection hidden="1"/>
    </xf>
    <xf numFmtId="0" fontId="24" fillId="0" borderId="2" xfId="0" applyFont="1" applyBorder="1" applyAlignment="1" applyProtection="1">
      <alignment horizontal="left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27" fillId="0" borderId="7" xfId="0" applyFont="1" applyBorder="1" applyAlignment="1" applyProtection="1">
      <alignment horizontal="left" vertical="center"/>
      <protection hidden="1"/>
    </xf>
    <xf numFmtId="14" fontId="25" fillId="0" borderId="0" xfId="0" applyNumberFormat="1" applyFont="1" applyAlignment="1" applyProtection="1">
      <alignment horizontal="left" vertical="center"/>
      <protection locked="0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vertical="center"/>
      <protection hidden="1"/>
    </xf>
    <xf numFmtId="0" fontId="25" fillId="0" borderId="14" xfId="0" applyFont="1" applyBorder="1" applyAlignment="1" applyProtection="1">
      <alignment horizontal="center" vertical="center"/>
      <protection locked="0"/>
    </xf>
    <xf numFmtId="0" fontId="25" fillId="0" borderId="9" xfId="0" applyFont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center" vertical="center"/>
      <protection locked="0"/>
    </xf>
    <xf numFmtId="164" fontId="25" fillId="0" borderId="14" xfId="0" applyNumberFormat="1" applyFont="1" applyBorder="1" applyAlignment="1">
      <alignment horizontal="center" wrapText="1"/>
    </xf>
    <xf numFmtId="0" fontId="25" fillId="0" borderId="9" xfId="0" applyFont="1" applyBorder="1"/>
    <xf numFmtId="0" fontId="25" fillId="0" borderId="10" xfId="0" applyFont="1" applyBorder="1"/>
    <xf numFmtId="0" fontId="24" fillId="0" borderId="3" xfId="0" applyFont="1" applyBorder="1" applyAlignment="1" applyProtection="1">
      <alignment horizontal="center" vertical="center" wrapText="1"/>
      <protection hidden="1"/>
    </xf>
    <xf numFmtId="0" fontId="24" fillId="0" borderId="4" xfId="0" applyFont="1" applyBorder="1" applyAlignment="1" applyProtection="1">
      <alignment horizontal="center" vertical="center" wrapText="1"/>
      <protection hidden="1"/>
    </xf>
    <xf numFmtId="0" fontId="24" fillId="0" borderId="5" xfId="0" applyFont="1" applyBorder="1" applyAlignment="1" applyProtection="1">
      <alignment horizontal="center" vertical="center" wrapText="1"/>
      <protection hidden="1"/>
    </xf>
    <xf numFmtId="0" fontId="24" fillId="0" borderId="6" xfId="0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7" xfId="0" applyFont="1" applyBorder="1" applyAlignment="1" applyProtection="1">
      <alignment horizontal="center" vertical="center" wrapText="1"/>
      <protection hidden="1"/>
    </xf>
    <xf numFmtId="0" fontId="24" fillId="0" borderId="1" xfId="0" applyFont="1" applyBorder="1" applyAlignment="1" applyProtection="1">
      <alignment horizontal="center" vertical="center" wrapText="1"/>
      <protection hidden="1"/>
    </xf>
    <xf numFmtId="0" fontId="24" fillId="0" borderId="2" xfId="0" applyFont="1" applyBorder="1" applyAlignment="1" applyProtection="1">
      <alignment horizontal="center" vertical="center" wrapText="1"/>
      <protection hidden="1"/>
    </xf>
    <xf numFmtId="0" fontId="24" fillId="0" borderId="8" xfId="0" applyFont="1" applyBorder="1" applyAlignment="1" applyProtection="1">
      <alignment horizontal="center" vertical="center" wrapText="1"/>
      <protection hidden="1"/>
    </xf>
    <xf numFmtId="0" fontId="31" fillId="0" borderId="3" xfId="0" applyFont="1" applyBorder="1" applyAlignment="1" applyProtection="1">
      <alignment horizontal="center" vertical="center"/>
      <protection hidden="1"/>
    </xf>
    <xf numFmtId="0" fontId="31" fillId="0" borderId="4" xfId="0" applyFont="1" applyBorder="1" applyAlignment="1" applyProtection="1">
      <alignment horizontal="center" vertical="center"/>
      <protection hidden="1"/>
    </xf>
    <xf numFmtId="0" fontId="31" fillId="0" borderId="5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5" fillId="0" borderId="0" xfId="0" applyFont="1" applyAlignment="1" applyProtection="1">
      <alignment horizontal="left" vertical="center"/>
      <protection locked="0"/>
    </xf>
    <xf numFmtId="0" fontId="34" fillId="0" borderId="6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7" xfId="0" applyFont="1" applyBorder="1" applyAlignment="1" applyProtection="1">
      <alignment horizontal="center" vertical="center" wrapText="1"/>
      <protection hidden="1"/>
    </xf>
    <xf numFmtId="0" fontId="32" fillId="0" borderId="6" xfId="0" applyFont="1" applyBorder="1" applyAlignment="1" applyProtection="1">
      <alignment horizontal="center" vertical="center" wrapText="1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29" fillId="0" borderId="9" xfId="0" applyFont="1" applyBorder="1" applyAlignment="1" applyProtection="1">
      <alignment horizontal="center" vertical="center"/>
      <protection hidden="1"/>
    </xf>
    <xf numFmtId="0" fontId="27" fillId="0" borderId="9" xfId="0" applyFont="1" applyBorder="1" applyAlignment="1" applyProtection="1">
      <alignment horizontal="center" vertical="center"/>
      <protection hidden="1"/>
    </xf>
    <xf numFmtId="14" fontId="25" fillId="0" borderId="0" xfId="0" applyNumberFormat="1" applyFont="1" applyAlignment="1" applyProtection="1">
      <alignment horizontal="left" vertical="center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25" fillId="0" borderId="25" xfId="0" applyFont="1" applyBorder="1" applyAlignment="1" applyProtection="1">
      <alignment horizontal="center" vertical="center" wrapText="1"/>
      <protection locked="0"/>
    </xf>
    <xf numFmtId="0" fontId="25" fillId="0" borderId="26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5" fillId="0" borderId="27" xfId="0" applyFont="1" applyBorder="1" applyAlignment="1" applyProtection="1">
      <alignment horizontal="center" vertical="center" wrapText="1"/>
      <protection locked="0"/>
    </xf>
    <xf numFmtId="0" fontId="25" fillId="0" borderId="17" xfId="0" applyFont="1" applyBorder="1" applyAlignment="1" applyProtection="1">
      <alignment horizontal="center" vertical="center" wrapText="1"/>
      <protection locked="0"/>
    </xf>
    <xf numFmtId="0" fontId="25" fillId="0" borderId="28" xfId="0" applyFont="1" applyBorder="1" applyAlignment="1" applyProtection="1">
      <alignment horizontal="center" vertical="center" wrapText="1"/>
      <protection locked="0"/>
    </xf>
    <xf numFmtId="0" fontId="25" fillId="0" borderId="29" xfId="0" applyFont="1" applyBorder="1" applyAlignment="1" applyProtection="1">
      <alignment horizontal="center" vertical="center"/>
      <protection locked="0"/>
    </xf>
    <xf numFmtId="0" fontId="25" fillId="0" borderId="25" xfId="0" applyFont="1" applyBorder="1" applyAlignment="1" applyProtection="1">
      <alignment horizontal="center" vertical="center"/>
      <protection locked="0"/>
    </xf>
    <xf numFmtId="0" fontId="25" fillId="0" borderId="6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5" fillId="0" borderId="30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25" fillId="0" borderId="0" xfId="0" applyFont="1" applyAlignment="1" applyProtection="1">
      <alignment horizontal="left"/>
      <protection locked="0"/>
    </xf>
    <xf numFmtId="164" fontId="32" fillId="0" borderId="31" xfId="0" applyNumberFormat="1" applyFont="1" applyBorder="1" applyAlignment="1">
      <alignment horizontal="center" vertical="center"/>
    </xf>
    <xf numFmtId="0" fontId="25" fillId="0" borderId="20" xfId="0" applyFont="1" applyBorder="1"/>
    <xf numFmtId="0" fontId="25" fillId="0" borderId="21" xfId="0" applyFont="1" applyBorder="1"/>
    <xf numFmtId="164" fontId="32" fillId="0" borderId="14" xfId="0" applyNumberFormat="1" applyFont="1" applyBorder="1" applyAlignment="1">
      <alignment horizontal="center" vertical="center"/>
    </xf>
    <xf numFmtId="0" fontId="32" fillId="0" borderId="0" xfId="0" applyFont="1" applyAlignment="1" applyProtection="1">
      <alignment horizontal="center" vertical="center"/>
      <protection hidden="1"/>
    </xf>
    <xf numFmtId="0" fontId="32" fillId="0" borderId="7" xfId="0" applyFont="1" applyBorder="1" applyAlignment="1" applyProtection="1">
      <alignment horizontal="center" vertical="center"/>
      <protection hidden="1"/>
    </xf>
    <xf numFmtId="0" fontId="35" fillId="0" borderId="2" xfId="0" applyFont="1" applyBorder="1" applyAlignment="1" applyProtection="1">
      <alignment horizontal="center" vertical="center"/>
      <protection hidden="1"/>
    </xf>
    <xf numFmtId="0" fontId="32" fillId="0" borderId="6" xfId="0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7" xfId="0" applyFont="1" applyBorder="1" applyAlignment="1" applyProtection="1">
      <alignment horizontal="center" vertical="center"/>
      <protection locked="0"/>
    </xf>
    <xf numFmtId="14" fontId="32" fillId="0" borderId="6" xfId="0" applyNumberFormat="1" applyFont="1" applyBorder="1" applyAlignment="1" applyProtection="1">
      <alignment horizontal="center" vertical="center"/>
      <protection locked="0"/>
    </xf>
    <xf numFmtId="14" fontId="32" fillId="0" borderId="0" xfId="0" applyNumberFormat="1" applyFont="1" applyAlignment="1" applyProtection="1">
      <alignment horizontal="center" vertical="center"/>
      <protection locked="0"/>
    </xf>
    <xf numFmtId="14" fontId="32" fillId="0" borderId="7" xfId="0" applyNumberFormat="1" applyFont="1" applyBorder="1" applyAlignment="1" applyProtection="1">
      <alignment horizontal="center" vertical="center"/>
      <protection locked="0"/>
    </xf>
    <xf numFmtId="0" fontId="35" fillId="0" borderId="8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left"/>
      <protection hidden="1"/>
    </xf>
    <xf numFmtId="0" fontId="25" fillId="0" borderId="15" xfId="0" applyFont="1" applyBorder="1" applyAlignment="1" applyProtection="1">
      <alignment horizontal="center" vertical="center"/>
      <protection hidden="1"/>
    </xf>
    <xf numFmtId="0" fontId="25" fillId="0" borderId="16" xfId="0" applyFont="1" applyBorder="1" applyAlignment="1" applyProtection="1">
      <alignment horizontal="center" vertical="center"/>
      <protection hidden="1"/>
    </xf>
    <xf numFmtId="0" fontId="25" fillId="0" borderId="17" xfId="0" applyFont="1" applyBorder="1" applyAlignment="1" applyProtection="1">
      <alignment horizontal="center"/>
      <protection locked="0"/>
    </xf>
    <xf numFmtId="0" fontId="25" fillId="0" borderId="36" xfId="0" applyFont="1" applyBorder="1" applyAlignment="1" applyProtection="1">
      <alignment horizontal="center"/>
      <protection locked="0"/>
    </xf>
    <xf numFmtId="0" fontId="32" fillId="0" borderId="18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25" fillId="0" borderId="14" xfId="0" applyFont="1" applyBorder="1" applyAlignment="1" applyProtection="1">
      <alignment horizontal="center"/>
      <protection locked="0"/>
    </xf>
    <xf numFmtId="0" fontId="25" fillId="0" borderId="9" xfId="0" applyFont="1" applyBorder="1" applyAlignment="1" applyProtection="1">
      <alignment horizontal="center"/>
      <protection locked="0"/>
    </xf>
    <xf numFmtId="0" fontId="25" fillId="0" borderId="10" xfId="0" applyFont="1" applyBorder="1" applyAlignment="1" applyProtection="1">
      <alignment horizontal="center"/>
      <protection locked="0"/>
    </xf>
    <xf numFmtId="164" fontId="25" fillId="0" borderId="30" xfId="0" applyNumberFormat="1" applyFont="1" applyBorder="1" applyAlignment="1">
      <alignment horizontal="center"/>
    </xf>
    <xf numFmtId="164" fontId="25" fillId="0" borderId="17" xfId="0" applyNumberFormat="1" applyFont="1" applyBorder="1" applyAlignment="1">
      <alignment horizontal="center"/>
    </xf>
    <xf numFmtId="164" fontId="25" fillId="0" borderId="36" xfId="0" applyNumberFormat="1" applyFont="1" applyBorder="1" applyAlignment="1">
      <alignment horizontal="center"/>
    </xf>
    <xf numFmtId="0" fontId="25" fillId="0" borderId="30" xfId="0" applyFont="1" applyBorder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32" fillId="0" borderId="1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8" xfId="0" applyFont="1" applyBorder="1"/>
    <xf numFmtId="0" fontId="32" fillId="0" borderId="3" xfId="0" applyFont="1" applyBorder="1" applyAlignment="1">
      <alignment horizontal="center" vertical="center"/>
    </xf>
    <xf numFmtId="0" fontId="25" fillId="0" borderId="4" xfId="0" applyFont="1" applyBorder="1"/>
    <xf numFmtId="0" fontId="25" fillId="0" borderId="5" xfId="0" applyFont="1" applyBorder="1"/>
    <xf numFmtId="0" fontId="25" fillId="0" borderId="6" xfId="0" applyFont="1" applyBorder="1" applyAlignment="1" applyProtection="1">
      <alignment horizontal="left" vertical="center" wrapText="1"/>
      <protection locked="0"/>
    </xf>
    <xf numFmtId="0" fontId="25" fillId="0" borderId="0" xfId="0" applyFont="1" applyAlignment="1" applyProtection="1">
      <alignment horizontal="left" vertical="center" wrapText="1"/>
      <protection locked="0"/>
    </xf>
    <xf numFmtId="0" fontId="25" fillId="0" borderId="7" xfId="0" applyFont="1" applyBorder="1" applyAlignment="1" applyProtection="1">
      <alignment horizontal="left" vertical="center" wrapText="1"/>
      <protection locked="0"/>
    </xf>
    <xf numFmtId="0" fontId="25" fillId="0" borderId="1" xfId="0" applyFont="1" applyBorder="1" applyAlignment="1" applyProtection="1">
      <alignment horizontal="left" vertical="center" wrapText="1"/>
      <protection locked="0"/>
    </xf>
    <xf numFmtId="0" fontId="25" fillId="0" borderId="2" xfId="0" applyFont="1" applyBorder="1" applyAlignment="1" applyProtection="1">
      <alignment horizontal="left" vertical="center" wrapText="1"/>
      <protection locked="0"/>
    </xf>
    <xf numFmtId="0" fontId="25" fillId="0" borderId="8" xfId="0" applyFont="1" applyBorder="1" applyAlignment="1" applyProtection="1">
      <alignment horizontal="left" vertical="center" wrapText="1"/>
      <protection locked="0"/>
    </xf>
    <xf numFmtId="0" fontId="26" fillId="0" borderId="6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6" fillId="0" borderId="7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/>
      <protection hidden="1"/>
    </xf>
    <xf numFmtId="0" fontId="26" fillId="0" borderId="8" xfId="0" applyFont="1" applyBorder="1" applyAlignment="1" applyProtection="1">
      <alignment horizontal="center" vertical="center"/>
      <protection hidden="1"/>
    </xf>
    <xf numFmtId="0" fontId="25" fillId="0" borderId="14" xfId="0" applyFont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 applyProtection="1">
      <alignment horizontal="center" vertical="center" wrapText="1"/>
      <protection locked="0"/>
    </xf>
    <xf numFmtId="0" fontId="24" fillId="0" borderId="9" xfId="0" applyFont="1" applyBorder="1" applyAlignment="1" applyProtection="1">
      <alignment horizontal="center" vertical="center" wrapText="1"/>
      <protection locked="0"/>
    </xf>
    <xf numFmtId="0" fontId="24" fillId="0" borderId="10" xfId="0" applyFont="1" applyBorder="1" applyAlignment="1" applyProtection="1">
      <alignment horizontal="center" vertical="center" wrapText="1"/>
      <protection locked="0"/>
    </xf>
    <xf numFmtId="0" fontId="29" fillId="0" borderId="6" xfId="0" applyFont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horizontal="center" vertical="center"/>
      <protection hidden="1"/>
    </xf>
    <xf numFmtId="0" fontId="29" fillId="0" borderId="2" xfId="0" applyFont="1" applyBorder="1" applyAlignment="1" applyProtection="1">
      <alignment horizontal="center" vertical="center"/>
      <protection hidden="1"/>
    </xf>
    <xf numFmtId="0" fontId="29" fillId="0" borderId="8" xfId="0" applyFont="1" applyBorder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 applyProtection="1">
      <alignment horizontal="center" vertical="center" wrapText="1"/>
      <protection locked="0"/>
    </xf>
    <xf numFmtId="0" fontId="24" fillId="0" borderId="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9" fillId="0" borderId="33" xfId="0" applyFont="1" applyBorder="1" applyAlignment="1" applyProtection="1">
      <alignment horizontal="center" vertical="center"/>
      <protection hidden="1"/>
    </xf>
    <xf numFmtId="0" fontId="29" fillId="0" borderId="34" xfId="0" applyFont="1" applyBorder="1" applyAlignment="1" applyProtection="1">
      <alignment horizontal="center" vertical="center"/>
      <protection hidden="1"/>
    </xf>
    <xf numFmtId="0" fontId="29" fillId="0" borderId="35" xfId="0" applyFont="1" applyBorder="1" applyAlignment="1" applyProtection="1">
      <alignment horizontal="center" vertical="center"/>
      <protection hidden="1"/>
    </xf>
    <xf numFmtId="0" fontId="32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25" fillId="0" borderId="3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horizontal="center" vertical="center"/>
      <protection locked="0"/>
    </xf>
    <xf numFmtId="0" fontId="25" fillId="0" borderId="5" xfId="0" applyFont="1" applyBorder="1" applyAlignment="1" applyProtection="1">
      <alignment horizontal="center" vertical="center"/>
      <protection locked="0"/>
    </xf>
    <xf numFmtId="0" fontId="25" fillId="0" borderId="7" xfId="0" applyFont="1" applyBorder="1" applyAlignment="1" applyProtection="1">
      <alignment horizontal="center" vertical="center"/>
      <protection locked="0"/>
    </xf>
    <xf numFmtId="0" fontId="25" fillId="0" borderId="37" xfId="0" applyFont="1" applyBorder="1" applyAlignment="1" applyProtection="1">
      <alignment horizontal="center" vertical="center"/>
      <protection locked="0"/>
    </xf>
    <xf numFmtId="0" fontId="25" fillId="0" borderId="38" xfId="0" applyFont="1" applyBorder="1" applyAlignment="1" applyProtection="1">
      <alignment horizontal="center" vertical="center"/>
      <protection locked="0"/>
    </xf>
    <xf numFmtId="0" fontId="25" fillId="0" borderId="39" xfId="0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hidden="1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5" xfId="1" applyFont="1" applyBorder="1" applyAlignment="1" applyProtection="1">
      <alignment horizontal="center" vertical="center"/>
      <protection hidden="1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0" borderId="0" xfId="1" applyFont="1" applyAlignment="1" applyProtection="1">
      <alignment horizontal="left"/>
      <protection locked="0"/>
    </xf>
    <xf numFmtId="164" fontId="7" fillId="0" borderId="31" xfId="1" applyNumberFormat="1" applyFont="1" applyBorder="1" applyAlignment="1">
      <alignment horizontal="center" vertical="center"/>
    </xf>
    <xf numFmtId="164" fontId="7" fillId="0" borderId="20" xfId="1" applyNumberFormat="1" applyFont="1" applyBorder="1" applyAlignment="1">
      <alignment horizontal="center" vertical="center"/>
    </xf>
    <xf numFmtId="164" fontId="7" fillId="0" borderId="21" xfId="1" applyNumberFormat="1" applyFont="1" applyBorder="1" applyAlignment="1">
      <alignment horizontal="center" vertical="center"/>
    </xf>
    <xf numFmtId="0" fontId="7" fillId="0" borderId="31" xfId="1" applyFont="1" applyBorder="1" applyAlignment="1" applyProtection="1">
      <alignment horizontal="center"/>
      <protection locked="0"/>
    </xf>
    <xf numFmtId="0" fontId="7" fillId="0" borderId="20" xfId="1" applyFont="1" applyBorder="1" applyAlignment="1" applyProtection="1">
      <alignment horizontal="center"/>
      <protection locked="0"/>
    </xf>
    <xf numFmtId="0" fontId="7" fillId="0" borderId="21" xfId="1" applyFont="1" applyBorder="1" applyAlignment="1" applyProtection="1">
      <alignment horizontal="center"/>
      <protection locked="0"/>
    </xf>
    <xf numFmtId="14" fontId="7" fillId="0" borderId="0" xfId="1" applyNumberFormat="1" applyFont="1" applyAlignment="1" applyProtection="1">
      <alignment horizontal="left" vertical="center"/>
      <protection locked="0"/>
    </xf>
    <xf numFmtId="164" fontId="7" fillId="0" borderId="14" xfId="1" applyNumberFormat="1" applyFont="1" applyBorder="1" applyAlignment="1">
      <alignment horizontal="center" vertical="center"/>
    </xf>
    <xf numFmtId="0" fontId="7" fillId="0" borderId="9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7" fillId="0" borderId="0" xfId="1" applyFont="1" applyAlignment="1" applyProtection="1">
      <alignment horizontal="left"/>
      <protection hidden="1"/>
    </xf>
    <xf numFmtId="0" fontId="10" fillId="0" borderId="6" xfId="1" applyFont="1" applyBorder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0" fontId="11" fillId="0" borderId="14" xfId="1" applyFont="1" applyBorder="1" applyAlignment="1" applyProtection="1">
      <alignment horizontal="center"/>
      <protection locked="0"/>
    </xf>
    <xf numFmtId="0" fontId="11" fillId="0" borderId="9" xfId="1" applyFont="1" applyBorder="1" applyAlignment="1" applyProtection="1">
      <alignment horizontal="center"/>
      <protection locked="0"/>
    </xf>
    <xf numFmtId="0" fontId="11" fillId="0" borderId="10" xfId="1" applyFont="1" applyBorder="1" applyAlignment="1" applyProtection="1">
      <alignment horizontal="center"/>
      <protection locked="0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2" fillId="0" borderId="33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5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6" fillId="0" borderId="1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164" fontId="6" fillId="0" borderId="31" xfId="1" applyNumberFormat="1" applyFont="1" applyBorder="1" applyAlignment="1">
      <alignment horizontal="center" vertical="center"/>
    </xf>
    <xf numFmtId="0" fontId="7" fillId="0" borderId="20" xfId="1" applyFont="1" applyBorder="1"/>
    <xf numFmtId="0" fontId="7" fillId="0" borderId="21" xfId="1" applyFont="1" applyBorder="1"/>
    <xf numFmtId="164" fontId="6" fillId="0" borderId="32" xfId="1" applyNumberFormat="1" applyFont="1" applyBorder="1" applyAlignment="1">
      <alignment horizontal="center" vertical="top"/>
    </xf>
    <xf numFmtId="0" fontId="7" fillId="0" borderId="23" xfId="1" applyFont="1" applyBorder="1" applyAlignment="1">
      <alignment vertical="top"/>
    </xf>
    <xf numFmtId="0" fontId="7" fillId="0" borderId="24" xfId="1" applyFont="1" applyBorder="1" applyAlignment="1">
      <alignment vertical="top"/>
    </xf>
    <xf numFmtId="164" fontId="6" fillId="0" borderId="14" xfId="1" applyNumberFormat="1" applyFont="1" applyBorder="1" applyAlignment="1">
      <alignment horizontal="center" vertical="center"/>
    </xf>
    <xf numFmtId="0" fontId="7" fillId="0" borderId="9" xfId="1" applyFont="1" applyBorder="1"/>
    <xf numFmtId="0" fontId="7" fillId="0" borderId="10" xfId="1" applyFont="1" applyBorder="1"/>
    <xf numFmtId="0" fontId="7" fillId="0" borderId="25" xfId="1" applyFont="1" applyBorder="1" applyAlignment="1" applyProtection="1">
      <alignment horizontal="center" vertical="center" wrapText="1"/>
      <protection locked="0"/>
    </xf>
    <xf numFmtId="0" fontId="7" fillId="0" borderId="26" xfId="1" applyFont="1" applyBorder="1" applyAlignment="1" applyProtection="1">
      <alignment horizontal="center" vertical="center" wrapText="1"/>
      <protection locked="0"/>
    </xf>
    <xf numFmtId="0" fontId="7" fillId="0" borderId="27" xfId="1" applyFont="1" applyBorder="1" applyAlignment="1" applyProtection="1">
      <alignment horizontal="center" vertical="center" wrapText="1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7" fillId="0" borderId="28" xfId="1" applyFont="1" applyBorder="1" applyAlignment="1" applyProtection="1">
      <alignment horizontal="center" vertical="center" wrapText="1"/>
      <protection locked="0"/>
    </xf>
    <xf numFmtId="0" fontId="7" fillId="0" borderId="29" xfId="1" applyFont="1" applyBorder="1" applyAlignment="1" applyProtection="1">
      <alignment horizontal="center" vertical="center"/>
      <protection locked="0"/>
    </xf>
    <xf numFmtId="0" fontId="7" fillId="0" borderId="25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30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/>
    <xf numFmtId="0" fontId="7" fillId="0" borderId="8" xfId="1" applyFont="1" applyBorder="1"/>
    <xf numFmtId="0" fontId="6" fillId="0" borderId="3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>
      <alignment horizontal="center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left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36" xfId="0" applyFont="1" applyBorder="1" applyAlignment="1" applyProtection="1">
      <alignment horizontal="center"/>
      <protection locked="0"/>
    </xf>
    <xf numFmtId="164" fontId="7" fillId="0" borderId="30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36" xfId="0" applyNumberFormat="1" applyFont="1" applyBorder="1" applyAlignment="1">
      <alignment horizontal="center" vertical="center"/>
    </xf>
    <xf numFmtId="0" fontId="7" fillId="0" borderId="30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22" fillId="0" borderId="3" xfId="1" applyFont="1" applyBorder="1" applyAlignment="1" applyProtection="1">
      <alignment horizontal="center" vertical="center" wrapText="1"/>
      <protection locked="0"/>
    </xf>
    <xf numFmtId="0" fontId="22" fillId="0" borderId="4" xfId="1" applyFont="1" applyBorder="1" applyAlignment="1" applyProtection="1">
      <alignment horizontal="center" vertical="center" wrapText="1"/>
      <protection locked="0"/>
    </xf>
    <xf numFmtId="0" fontId="22" fillId="0" borderId="5" xfId="1" applyFont="1" applyBorder="1" applyAlignment="1" applyProtection="1">
      <alignment horizontal="center" vertical="center" wrapText="1"/>
      <protection locked="0"/>
    </xf>
    <xf numFmtId="0" fontId="22" fillId="0" borderId="6" xfId="1" applyFont="1" applyBorder="1" applyAlignment="1" applyProtection="1">
      <alignment horizontal="center" vertical="center" wrapText="1"/>
      <protection locked="0"/>
    </xf>
    <xf numFmtId="0" fontId="22" fillId="0" borderId="0" xfId="1" applyFont="1" applyAlignment="1" applyProtection="1">
      <alignment horizontal="center" vertical="center" wrapText="1"/>
      <protection locked="0"/>
    </xf>
    <xf numFmtId="0" fontId="22" fillId="0" borderId="7" xfId="1" applyFont="1" applyBorder="1" applyAlignment="1" applyProtection="1">
      <alignment horizontal="center" vertical="center" wrapText="1"/>
      <protection locked="0"/>
    </xf>
    <xf numFmtId="0" fontId="22" fillId="0" borderId="1" xfId="1" applyFont="1" applyBorder="1" applyAlignment="1" applyProtection="1">
      <alignment horizontal="center" vertical="center" wrapText="1"/>
      <protection locked="0"/>
    </xf>
    <xf numFmtId="0" fontId="22" fillId="0" borderId="2" xfId="1" applyFont="1" applyBorder="1" applyAlignment="1" applyProtection="1">
      <alignment horizontal="center" vertical="center" wrapText="1"/>
      <protection locked="0"/>
    </xf>
    <xf numFmtId="0" fontId="22" fillId="0" borderId="8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left" vertical="center"/>
      <protection hidden="1"/>
    </xf>
    <xf numFmtId="0" fontId="12" fillId="0" borderId="0" xfId="1" applyFont="1" applyAlignment="1" applyProtection="1">
      <alignment horizontal="left" vertical="center"/>
      <protection locked="0"/>
    </xf>
    <xf numFmtId="0" fontId="21" fillId="0" borderId="4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21" fillId="0" borderId="6" xfId="1" applyFont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7" xfId="1" applyFont="1" applyBorder="1" applyAlignment="1" applyProtection="1">
      <alignment horizontal="center" vertical="center"/>
      <protection locked="0"/>
    </xf>
    <xf numFmtId="14" fontId="21" fillId="0" borderId="6" xfId="1" applyNumberFormat="1" applyFont="1" applyBorder="1" applyAlignment="1" applyProtection="1">
      <alignment horizontal="center" vertical="center"/>
      <protection locked="0"/>
    </xf>
    <xf numFmtId="14" fontId="21" fillId="0" borderId="0" xfId="1" applyNumberFormat="1" applyFont="1" applyAlignment="1" applyProtection="1">
      <alignment horizontal="center" vertical="center"/>
      <protection locked="0"/>
    </xf>
    <xf numFmtId="14" fontId="21" fillId="0" borderId="7" xfId="1" applyNumberFormat="1" applyFont="1" applyBorder="1" applyAlignment="1" applyProtection="1">
      <alignment horizontal="center" vertical="center"/>
      <protection locked="0"/>
    </xf>
    <xf numFmtId="0" fontId="23" fillId="0" borderId="2" xfId="1" applyFont="1" applyBorder="1" applyAlignment="1" applyProtection="1">
      <alignment horizontal="center" vertical="center"/>
      <protection hidden="1"/>
    </xf>
    <xf numFmtId="0" fontId="23" fillId="0" borderId="8" xfId="1" applyFont="1" applyBorder="1" applyAlignment="1" applyProtection="1">
      <alignment horizontal="center" vertical="center"/>
      <protection hidden="1"/>
    </xf>
    <xf numFmtId="0" fontId="14" fillId="0" borderId="3" xfId="1" applyFont="1" applyBorder="1" applyAlignment="1" applyProtection="1">
      <alignment horizontal="center" vertical="center" wrapText="1"/>
      <protection hidden="1"/>
    </xf>
    <xf numFmtId="0" fontId="14" fillId="0" borderId="4" xfId="1" applyFont="1" applyBorder="1" applyAlignment="1" applyProtection="1">
      <alignment horizontal="center" vertical="center" wrapText="1"/>
      <protection hidden="1"/>
    </xf>
    <xf numFmtId="0" fontId="14" fillId="0" borderId="5" xfId="1" applyFont="1" applyBorder="1" applyAlignment="1" applyProtection="1">
      <alignment horizontal="center" vertical="center" wrapText="1"/>
      <protection hidden="1"/>
    </xf>
    <xf numFmtId="0" fontId="14" fillId="0" borderId="6" xfId="1" applyFont="1" applyBorder="1" applyAlignment="1" applyProtection="1">
      <alignment horizontal="center" vertical="center" wrapText="1"/>
      <protection hidden="1"/>
    </xf>
    <xf numFmtId="0" fontId="14" fillId="0" borderId="0" xfId="1" applyFont="1" applyAlignment="1" applyProtection="1">
      <alignment horizontal="center" vertical="center" wrapText="1"/>
      <protection hidden="1"/>
    </xf>
    <xf numFmtId="0" fontId="14" fillId="0" borderId="7" xfId="1" applyFont="1" applyBorder="1" applyAlignment="1" applyProtection="1">
      <alignment horizontal="center" vertical="center" wrapText="1"/>
      <protection hidden="1"/>
    </xf>
    <xf numFmtId="0" fontId="14" fillId="0" borderId="1" xfId="1" applyFont="1" applyBorder="1" applyAlignment="1" applyProtection="1">
      <alignment horizontal="center" vertical="center" wrapText="1"/>
      <protection hidden="1"/>
    </xf>
    <xf numFmtId="0" fontId="14" fillId="0" borderId="2" xfId="1" applyFont="1" applyBorder="1" applyAlignment="1" applyProtection="1">
      <alignment horizontal="center" vertical="center" wrapText="1"/>
      <protection hidden="1"/>
    </xf>
    <xf numFmtId="0" fontId="14" fillId="0" borderId="8" xfId="1" applyFont="1" applyBorder="1" applyAlignment="1" applyProtection="1">
      <alignment horizontal="center" vertical="center" wrapText="1"/>
      <protection hidden="1"/>
    </xf>
    <xf numFmtId="0" fontId="20" fillId="0" borderId="3" xfId="1" applyFont="1" applyBorder="1" applyAlignment="1" applyProtection="1">
      <alignment horizontal="center" vertical="center"/>
      <protection hidden="1"/>
    </xf>
    <xf numFmtId="0" fontId="20" fillId="0" borderId="4" xfId="1" applyFont="1" applyBorder="1" applyAlignment="1" applyProtection="1">
      <alignment horizontal="center" vertical="center"/>
      <protection hidden="1"/>
    </xf>
    <xf numFmtId="0" fontId="20" fillId="0" borderId="5" xfId="1" applyFont="1" applyBorder="1" applyAlignment="1" applyProtection="1">
      <alignment horizontal="center" vertical="center"/>
      <protection hidden="1"/>
    </xf>
    <xf numFmtId="164" fontId="12" fillId="0" borderId="31" xfId="1" applyNumberFormat="1" applyFont="1" applyBorder="1" applyAlignment="1">
      <alignment horizontal="center" vertical="center"/>
    </xf>
    <xf numFmtId="164" fontId="12" fillId="0" borderId="20" xfId="1" applyNumberFormat="1" applyFont="1" applyBorder="1" applyAlignment="1">
      <alignment horizontal="center" vertical="center"/>
    </xf>
    <xf numFmtId="164" fontId="12" fillId="0" borderId="21" xfId="1" applyNumberFormat="1" applyFont="1" applyBorder="1" applyAlignment="1">
      <alignment horizontal="center" vertical="center"/>
    </xf>
    <xf numFmtId="0" fontId="12" fillId="0" borderId="31" xfId="1" applyFont="1" applyBorder="1" applyAlignment="1" applyProtection="1">
      <alignment horizontal="center"/>
      <protection locked="0"/>
    </xf>
    <xf numFmtId="0" fontId="12" fillId="0" borderId="20" xfId="1" applyFont="1" applyBorder="1" applyAlignment="1" applyProtection="1">
      <alignment horizontal="center"/>
      <protection locked="0"/>
    </xf>
    <xf numFmtId="0" fontId="12" fillId="0" borderId="21" xfId="1" applyFont="1" applyBorder="1" applyAlignment="1" applyProtection="1">
      <alignment horizontal="center"/>
      <protection locked="0"/>
    </xf>
    <xf numFmtId="14" fontId="12" fillId="0" borderId="0" xfId="1" applyNumberFormat="1" applyFont="1" applyAlignment="1" applyProtection="1">
      <alignment horizontal="left" vertical="center"/>
      <protection locked="0"/>
    </xf>
    <xf numFmtId="164" fontId="12" fillId="0" borderId="14" xfId="1" applyNumberFormat="1" applyFont="1" applyBorder="1" applyAlignment="1">
      <alignment horizontal="center" vertical="center"/>
    </xf>
    <xf numFmtId="0" fontId="12" fillId="0" borderId="9" xfId="1" applyFont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12" fillId="0" borderId="14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0" xfId="1" applyFont="1" applyBorder="1" applyAlignment="1" applyProtection="1">
      <alignment horizontal="center"/>
      <protection locked="0"/>
    </xf>
    <xf numFmtId="0" fontId="12" fillId="0" borderId="0" xfId="1" applyFont="1" applyAlignment="1" applyProtection="1">
      <alignment horizontal="left"/>
      <protection hidden="1"/>
    </xf>
    <xf numFmtId="0" fontId="12" fillId="0" borderId="3" xfId="1" applyFont="1" applyBorder="1" applyAlignment="1" applyProtection="1">
      <alignment horizontal="center" vertical="center"/>
      <protection locked="0"/>
    </xf>
    <xf numFmtId="0" fontId="12" fillId="0" borderId="4" xfId="1" applyFont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center" vertical="center"/>
      <protection locked="0"/>
    </xf>
    <xf numFmtId="0" fontId="12" fillId="0" borderId="1" xfId="1" applyFont="1" applyBorder="1" applyAlignment="1" applyProtection="1">
      <alignment horizontal="center" vertical="center"/>
      <protection locked="0"/>
    </xf>
    <xf numFmtId="0" fontId="12" fillId="0" borderId="2" xfId="1" applyFont="1" applyBorder="1" applyAlignment="1" applyProtection="1">
      <alignment horizontal="center" vertical="center"/>
      <protection locked="0"/>
    </xf>
    <xf numFmtId="0" fontId="12" fillId="0" borderId="8" xfId="1" applyFont="1" applyBorder="1" applyAlignment="1" applyProtection="1">
      <alignment horizontal="center" vertical="center"/>
      <protection locked="0"/>
    </xf>
    <xf numFmtId="0" fontId="22" fillId="0" borderId="6" xfId="1" applyFont="1" applyBorder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 wrapText="1"/>
      <protection hidden="1"/>
    </xf>
    <xf numFmtId="0" fontId="22" fillId="0" borderId="7" xfId="1" applyFont="1" applyBorder="1" applyAlignment="1" applyProtection="1">
      <alignment horizontal="center" vertical="center" wrapText="1"/>
      <protection hidden="1"/>
    </xf>
    <xf numFmtId="0" fontId="21" fillId="0" borderId="6" xfId="1" applyFont="1" applyBorder="1" applyAlignment="1" applyProtection="1">
      <alignment horizontal="center" vertical="center" wrapText="1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18" fillId="0" borderId="9" xfId="1" applyFont="1" applyBorder="1" applyAlignment="1" applyProtection="1">
      <alignment horizontal="center" vertical="center"/>
      <protection hidden="1"/>
    </xf>
    <xf numFmtId="0" fontId="16" fillId="0" borderId="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left"/>
      <protection locked="0"/>
    </xf>
    <xf numFmtId="0" fontId="21" fillId="0" borderId="0" xfId="1" applyFont="1" applyAlignment="1" applyProtection="1">
      <alignment horizontal="center" vertical="center"/>
      <protection hidden="1"/>
    </xf>
    <xf numFmtId="0" fontId="21" fillId="0" borderId="7" xfId="1" applyFont="1" applyBorder="1" applyAlignment="1" applyProtection="1">
      <alignment horizontal="center" vertical="center"/>
      <protection hidden="1"/>
    </xf>
    <xf numFmtId="0" fontId="12" fillId="0" borderId="6" xfId="1" applyFont="1" applyBorder="1" applyAlignment="1" applyProtection="1">
      <alignment horizontal="left" vertical="center" wrapText="1"/>
      <protection locked="0"/>
    </xf>
    <xf numFmtId="0" fontId="12" fillId="0" borderId="0" xfId="1" applyFont="1" applyAlignment="1" applyProtection="1">
      <alignment horizontal="left" vertical="center" wrapText="1"/>
      <protection locked="0"/>
    </xf>
    <xf numFmtId="0" fontId="12" fillId="0" borderId="7" xfId="1" applyFont="1" applyBorder="1" applyAlignment="1" applyProtection="1">
      <alignment horizontal="left" vertical="center" wrapText="1"/>
      <protection locked="0"/>
    </xf>
    <xf numFmtId="0" fontId="12" fillId="0" borderId="1" xfId="1" applyFont="1" applyBorder="1" applyAlignment="1" applyProtection="1">
      <alignment horizontal="left" vertical="center" wrapText="1"/>
      <protection locked="0"/>
    </xf>
    <xf numFmtId="0" fontId="12" fillId="0" borderId="2" xfId="1" applyFont="1" applyBorder="1" applyAlignment="1" applyProtection="1">
      <alignment horizontal="left" vertical="center" wrapText="1"/>
      <protection locked="0"/>
    </xf>
    <xf numFmtId="0" fontId="12" fillId="0" borderId="8" xfId="1" applyFont="1" applyBorder="1" applyAlignment="1" applyProtection="1">
      <alignment horizontal="left" vertical="center" wrapText="1"/>
      <protection locked="0"/>
    </xf>
    <xf numFmtId="0" fontId="15" fillId="0" borderId="6" xfId="1" applyFont="1" applyBorder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center" vertical="center"/>
      <protection hidden="1"/>
    </xf>
    <xf numFmtId="0" fontId="15" fillId="0" borderId="7" xfId="1" applyFont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horizontal="center" vertical="center"/>
      <protection hidden="1"/>
    </xf>
    <xf numFmtId="0" fontId="15" fillId="0" borderId="2" xfId="1" applyFont="1" applyBorder="1" applyAlignment="1" applyProtection="1">
      <alignment horizontal="center" vertical="center"/>
      <protection hidden="1"/>
    </xf>
    <xf numFmtId="0" fontId="15" fillId="0" borderId="8" xfId="1" applyFont="1" applyBorder="1" applyAlignment="1" applyProtection="1">
      <alignment horizontal="center" vertical="center"/>
      <protection hidden="1"/>
    </xf>
    <xf numFmtId="0" fontId="18" fillId="0" borderId="33" xfId="1" applyFont="1" applyBorder="1" applyAlignment="1" applyProtection="1">
      <alignment horizontal="center" vertical="center"/>
      <protection hidden="1"/>
    </xf>
    <xf numFmtId="0" fontId="18" fillId="0" borderId="34" xfId="1" applyFont="1" applyBorder="1" applyAlignment="1" applyProtection="1">
      <alignment horizontal="center" vertical="center"/>
      <protection hidden="1"/>
    </xf>
    <xf numFmtId="0" fontId="18" fillId="0" borderId="35" xfId="1" applyFont="1" applyBorder="1" applyAlignment="1" applyProtection="1">
      <alignment horizontal="center" vertical="center"/>
      <protection hidden="1"/>
    </xf>
    <xf numFmtId="0" fontId="18" fillId="0" borderId="6" xfId="1" applyFont="1" applyBorder="1" applyAlignment="1" applyProtection="1">
      <alignment horizontal="center" vertical="center"/>
      <protection hidden="1"/>
    </xf>
    <xf numFmtId="0" fontId="18" fillId="0" borderId="0" xfId="1" applyFont="1" applyAlignment="1" applyProtection="1">
      <alignment horizontal="center" vertical="center"/>
      <protection hidden="1"/>
    </xf>
    <xf numFmtId="0" fontId="18" fillId="0" borderId="7" xfId="1" applyFont="1" applyBorder="1" applyAlignment="1" applyProtection="1">
      <alignment horizontal="center" vertical="center"/>
      <protection hidden="1"/>
    </xf>
    <xf numFmtId="0" fontId="18" fillId="0" borderId="1" xfId="1" applyFont="1" applyBorder="1" applyAlignment="1" applyProtection="1">
      <alignment horizontal="center" vertical="center"/>
      <protection hidden="1"/>
    </xf>
    <xf numFmtId="0" fontId="18" fillId="0" borderId="2" xfId="1" applyFont="1" applyBorder="1" applyAlignment="1" applyProtection="1">
      <alignment horizontal="center" vertical="center"/>
      <protection hidden="1"/>
    </xf>
    <xf numFmtId="0" fontId="18" fillId="0" borderId="8" xfId="1" applyFont="1" applyBorder="1" applyAlignment="1" applyProtection="1">
      <alignment horizontal="center" vertical="center"/>
      <protection hidden="1"/>
    </xf>
    <xf numFmtId="0" fontId="21" fillId="0" borderId="18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21" fillId="0" borderId="21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1" fillId="0" borderId="23" xfId="1" applyFont="1" applyBorder="1" applyAlignment="1">
      <alignment horizontal="center" vertical="center"/>
    </xf>
    <xf numFmtId="0" fontId="21" fillId="0" borderId="24" xfId="1" applyFont="1" applyBorder="1" applyAlignment="1">
      <alignment horizontal="center" vertical="center"/>
    </xf>
    <xf numFmtId="0" fontId="12" fillId="0" borderId="0" xfId="1" applyFont="1" applyAlignment="1" applyProtection="1">
      <alignment horizontal="center"/>
      <protection locked="0"/>
    </xf>
    <xf numFmtId="0" fontId="21" fillId="0" borderId="1" xfId="1" applyFont="1" applyBorder="1" applyAlignment="1">
      <alignment horizontal="center" vertical="center"/>
    </xf>
    <xf numFmtId="0" fontId="12" fillId="0" borderId="2" xfId="1" applyFont="1" applyBorder="1"/>
    <xf numFmtId="0" fontId="12" fillId="0" borderId="8" xfId="1" applyFont="1" applyBorder="1"/>
    <xf numFmtId="0" fontId="21" fillId="0" borderId="3" xfId="1" applyFont="1" applyBorder="1" applyAlignment="1">
      <alignment horizontal="center" vertical="center"/>
    </xf>
    <xf numFmtId="0" fontId="12" fillId="0" borderId="4" xfId="1" applyFont="1" applyBorder="1"/>
    <xf numFmtId="0" fontId="12" fillId="0" borderId="5" xfId="1" applyFont="1" applyBorder="1"/>
    <xf numFmtId="0" fontId="12" fillId="0" borderId="15" xfId="1" applyFont="1" applyBorder="1" applyAlignment="1" applyProtection="1">
      <alignment horizontal="center" vertical="center"/>
      <protection hidden="1"/>
    </xf>
    <xf numFmtId="0" fontId="12" fillId="0" borderId="16" xfId="1" applyFont="1" applyBorder="1" applyAlignment="1" applyProtection="1">
      <alignment horizontal="center" vertical="center"/>
      <protection hidden="1"/>
    </xf>
    <xf numFmtId="0" fontId="12" fillId="0" borderId="4" xfId="1" applyFont="1" applyBorder="1" applyAlignment="1">
      <alignment horizontal="center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14" xfId="1" applyFont="1" applyBorder="1" applyAlignment="1" applyProtection="1">
      <alignment horizontal="center" vertical="center" wrapText="1"/>
      <protection locked="0"/>
    </xf>
    <xf numFmtId="0" fontId="12" fillId="0" borderId="9" xfId="1" applyFont="1" applyBorder="1" applyAlignment="1" applyProtection="1">
      <alignment horizontal="center" vertical="center" wrapText="1"/>
      <protection locked="0"/>
    </xf>
    <xf numFmtId="0" fontId="14" fillId="0" borderId="9" xfId="1" applyFont="1" applyBorder="1" applyAlignment="1" applyProtection="1">
      <alignment horizontal="center" vertical="center" wrapText="1"/>
      <protection locked="0"/>
    </xf>
    <xf numFmtId="0" fontId="14" fillId="0" borderId="10" xfId="1" applyFont="1" applyBorder="1" applyAlignment="1" applyProtection="1">
      <alignment horizontal="center" vertical="center" wrapText="1"/>
      <protection locked="0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4" fillId="0" borderId="4" xfId="1" applyFont="1" applyBorder="1" applyAlignment="1" applyProtection="1">
      <alignment horizontal="center" vertical="center" wrapText="1"/>
      <protection locked="0"/>
    </xf>
    <xf numFmtId="0" fontId="14" fillId="0" borderId="5" xfId="1" applyFont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7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4" fillId="0" borderId="2" xfId="1" applyFont="1" applyBorder="1" applyAlignment="1" applyProtection="1">
      <alignment horizontal="center" vertical="center" wrapText="1"/>
      <protection locked="0"/>
    </xf>
    <xf numFmtId="0" fontId="14" fillId="0" borderId="8" xfId="1" applyFont="1" applyBorder="1" applyAlignment="1" applyProtection="1">
      <alignment horizontal="center" vertical="center" wrapText="1"/>
      <protection locked="0"/>
    </xf>
    <xf numFmtId="164" fontId="21" fillId="0" borderId="31" xfId="1" applyNumberFormat="1" applyFont="1" applyBorder="1" applyAlignment="1">
      <alignment horizontal="center" vertical="center"/>
    </xf>
    <xf numFmtId="0" fontId="12" fillId="0" borderId="20" xfId="1" applyFont="1" applyBorder="1"/>
    <xf numFmtId="0" fontId="12" fillId="0" borderId="21" xfId="1" applyFont="1" applyBorder="1"/>
    <xf numFmtId="164" fontId="21" fillId="0" borderId="32" xfId="1" applyNumberFormat="1" applyFont="1" applyBorder="1" applyAlignment="1">
      <alignment horizontal="center" vertical="top"/>
    </xf>
    <xf numFmtId="0" fontId="12" fillId="0" borderId="23" xfId="1" applyFont="1" applyBorder="1" applyAlignment="1">
      <alignment vertical="top"/>
    </xf>
    <xf numFmtId="0" fontId="12" fillId="0" borderId="24" xfId="1" applyFont="1" applyBorder="1" applyAlignment="1">
      <alignment vertical="top"/>
    </xf>
    <xf numFmtId="164" fontId="21" fillId="0" borderId="14" xfId="1" applyNumberFormat="1" applyFont="1" applyBorder="1" applyAlignment="1">
      <alignment horizontal="center" vertical="center"/>
    </xf>
    <xf numFmtId="0" fontId="12" fillId="0" borderId="9" xfId="1" applyFont="1" applyBorder="1"/>
    <xf numFmtId="0" fontId="12" fillId="0" borderId="10" xfId="1" applyFont="1" applyBorder="1"/>
    <xf numFmtId="0" fontId="12" fillId="0" borderId="25" xfId="1" applyFont="1" applyBorder="1" applyAlignment="1" applyProtection="1">
      <alignment horizontal="center" vertical="center" wrapText="1"/>
      <protection locked="0"/>
    </xf>
    <xf numFmtId="0" fontId="12" fillId="0" borderId="26" xfId="1" applyFont="1" applyBorder="1" applyAlignment="1" applyProtection="1">
      <alignment horizontal="center" vertical="center" wrapText="1"/>
      <protection locked="0"/>
    </xf>
    <xf numFmtId="0" fontId="12" fillId="0" borderId="27" xfId="1" applyFont="1" applyBorder="1" applyAlignment="1" applyProtection="1">
      <alignment horizontal="center" vertical="center" wrapText="1"/>
      <protection locked="0"/>
    </xf>
    <xf numFmtId="0" fontId="12" fillId="0" borderId="17" xfId="1" applyFont="1" applyBorder="1" applyAlignment="1" applyProtection="1">
      <alignment horizontal="center" vertical="center" wrapText="1"/>
      <protection locked="0"/>
    </xf>
    <xf numFmtId="0" fontId="12" fillId="0" borderId="28" xfId="1" applyFont="1" applyBorder="1" applyAlignment="1" applyProtection="1">
      <alignment horizontal="center" vertical="center" wrapText="1"/>
      <protection locked="0"/>
    </xf>
    <xf numFmtId="0" fontId="12" fillId="0" borderId="29" xfId="1" applyFont="1" applyBorder="1" applyAlignment="1" applyProtection="1">
      <alignment horizontal="center" vertical="center"/>
      <protection locked="0"/>
    </xf>
    <xf numFmtId="0" fontId="12" fillId="0" borderId="25" xfId="1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30" xfId="1" applyFont="1" applyBorder="1" applyAlignment="1" applyProtection="1">
      <alignment horizontal="center" vertical="center"/>
      <protection locked="0"/>
    </xf>
    <xf numFmtId="0" fontId="12" fillId="0" borderId="17" xfId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32" fillId="0" borderId="15" xfId="0" applyFont="1" applyBorder="1" applyAlignment="1">
      <alignment horizontal="center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36" fillId="0" borderId="14" xfId="0" applyFont="1" applyBorder="1" applyAlignment="1" applyProtection="1">
      <alignment horizontal="center"/>
      <protection locked="0"/>
    </xf>
    <xf numFmtId="0" fontId="36" fillId="0" borderId="9" xfId="0" applyFont="1" applyBorder="1" applyAlignment="1" applyProtection="1">
      <alignment horizontal="center"/>
      <protection locked="0"/>
    </xf>
    <xf numFmtId="0" fontId="36" fillId="0" borderId="10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4F21158D-70DC-4A9F-898D-E1609E370EB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9C3A52C-1DBF-4256-ABF4-809EF60DD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A24440A-620C-45D8-AD5B-696DC2FB3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8AC7A75-FF51-418E-8CFE-2D69559E7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38100</xdr:rowOff>
    </xdr:from>
    <xdr:ext cx="1832610" cy="725553"/>
    <xdr:pic>
      <xdr:nvPicPr>
        <xdr:cNvPr id="3" name="Image 2">
          <a:extLst>
            <a:ext uri="{FF2B5EF4-FFF2-40B4-BE49-F238E27FC236}">
              <a16:creationId xmlns:a16="http://schemas.microsoft.com/office/drawing/2014/main" id="{CE0E665A-10BE-47CC-AEE2-3B64BA434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10900"/>
          <a:ext cx="1832610" cy="72555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D587341-F271-4A25-BF09-A13224E26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114300</xdr:colOff>
      <xdr:row>64</xdr:row>
      <xdr:rowOff>47626</xdr:rowOff>
    </xdr:from>
    <xdr:to>
      <xdr:col>25</xdr:col>
      <xdr:colOff>40005</xdr:colOff>
      <xdr:row>67</xdr:row>
      <xdr:rowOff>111002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BB55B73-03AD-468A-B286-AC3327D3F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13923646"/>
          <a:ext cx="1678305" cy="6577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1B2C264-87C2-4CAE-9D8E-EB4DF1032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54A0D91-D855-444C-95E5-D4DFBCBC7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47626</xdr:rowOff>
    </xdr:from>
    <xdr:ext cx="1687830" cy="661546"/>
    <xdr:pic>
      <xdr:nvPicPr>
        <xdr:cNvPr id="3" name="Image 2">
          <a:extLst>
            <a:ext uri="{FF2B5EF4-FFF2-40B4-BE49-F238E27FC236}">
              <a16:creationId xmlns:a16="http://schemas.microsoft.com/office/drawing/2014/main" id="{E6954CDC-98EB-4596-9F5E-FB9313A2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2331"/>
          <a:ext cx="1687830" cy="66154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114300</xdr:colOff>
      <xdr:row>64</xdr:row>
      <xdr:rowOff>47626</xdr:rowOff>
    </xdr:from>
    <xdr:to>
      <xdr:col>25</xdr:col>
      <xdr:colOff>40005</xdr:colOff>
      <xdr:row>67</xdr:row>
      <xdr:rowOff>111002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F89C580-08A6-3D99-67A0-43DC16312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0" y="14087476"/>
          <a:ext cx="1687830" cy="663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AD69-8820-433F-91C6-BD7EB5AB80A3}">
  <sheetPr>
    <pageSetUpPr fitToPage="1"/>
  </sheetPr>
  <dimension ref="A1:AA66"/>
  <sheetViews>
    <sheetView tabSelected="1" topLeftCell="A38" workbookViewId="0">
      <selection activeCell="M62" sqref="M62"/>
    </sheetView>
  </sheetViews>
  <sheetFormatPr baseColWidth="10" defaultColWidth="11.44140625" defaultRowHeight="12.75" customHeight="1" x14ac:dyDescent="0.25"/>
  <cols>
    <col min="1" max="1" width="5.109375" style="222" customWidth="1"/>
    <col min="2" max="26" width="5.109375" style="221" customWidth="1"/>
    <col min="27" max="27" width="11.44140625" style="221"/>
  </cols>
  <sheetData>
    <row r="1" spans="1:26" ht="12.75" customHeight="1" x14ac:dyDescent="0.25">
      <c r="A1" s="296"/>
      <c r="B1" s="297"/>
      <c r="C1" s="297"/>
      <c r="D1" s="297"/>
      <c r="E1" s="297"/>
      <c r="F1" s="298"/>
      <c r="G1" s="305" t="s">
        <v>0</v>
      </c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7"/>
      <c r="U1" s="318" t="s">
        <v>78</v>
      </c>
      <c r="V1" s="319"/>
      <c r="W1" s="319"/>
      <c r="X1" s="319"/>
      <c r="Y1" s="319"/>
      <c r="Z1" s="320"/>
    </row>
    <row r="2" spans="1:26" ht="12.75" customHeight="1" x14ac:dyDescent="0.25">
      <c r="A2" s="299"/>
      <c r="B2" s="300"/>
      <c r="C2" s="300"/>
      <c r="D2" s="300"/>
      <c r="E2" s="300"/>
      <c r="F2" s="301"/>
      <c r="G2" s="310" t="s">
        <v>83</v>
      </c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2"/>
      <c r="U2" s="321"/>
      <c r="V2" s="322"/>
      <c r="W2" s="322"/>
      <c r="X2" s="322"/>
      <c r="Y2" s="322"/>
      <c r="Z2" s="323"/>
    </row>
    <row r="3" spans="1:26" ht="12.75" customHeight="1" x14ac:dyDescent="0.25">
      <c r="A3" s="299"/>
      <c r="B3" s="300"/>
      <c r="C3" s="300"/>
      <c r="D3" s="300"/>
      <c r="E3" s="300"/>
      <c r="F3" s="301"/>
      <c r="G3" s="310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2"/>
      <c r="U3" s="321"/>
      <c r="V3" s="322"/>
      <c r="W3" s="322"/>
      <c r="X3" s="322"/>
      <c r="Y3" s="322"/>
      <c r="Z3" s="323"/>
    </row>
    <row r="4" spans="1:26" ht="12.75" customHeight="1" x14ac:dyDescent="0.25">
      <c r="A4" s="299"/>
      <c r="B4" s="300"/>
      <c r="C4" s="300"/>
      <c r="D4" s="300"/>
      <c r="E4" s="300"/>
      <c r="F4" s="301"/>
      <c r="G4" s="310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2"/>
      <c r="U4" s="321"/>
      <c r="V4" s="322"/>
      <c r="W4" s="322"/>
      <c r="X4" s="322"/>
      <c r="Y4" s="322"/>
      <c r="Z4" s="323"/>
    </row>
    <row r="5" spans="1:26" ht="12.75" customHeight="1" x14ac:dyDescent="0.25">
      <c r="A5" s="299"/>
      <c r="B5" s="300"/>
      <c r="C5" s="300"/>
      <c r="D5" s="300"/>
      <c r="E5" s="300"/>
      <c r="F5" s="301"/>
      <c r="G5" s="313" t="s">
        <v>82</v>
      </c>
      <c r="H5" s="314"/>
      <c r="I5" s="348">
        <v>7</v>
      </c>
      <c r="J5" s="348"/>
      <c r="K5" s="349"/>
      <c r="L5" s="351" t="s">
        <v>52</v>
      </c>
      <c r="M5" s="352"/>
      <c r="N5" s="352"/>
      <c r="O5" s="353"/>
      <c r="P5" s="354">
        <v>46078</v>
      </c>
      <c r="Q5" s="355"/>
      <c r="R5" s="355"/>
      <c r="S5" s="355"/>
      <c r="T5" s="356"/>
      <c r="U5" s="321"/>
      <c r="V5" s="322"/>
      <c r="W5" s="322"/>
      <c r="X5" s="322"/>
      <c r="Y5" s="322"/>
      <c r="Z5" s="323"/>
    </row>
    <row r="6" spans="1:26" ht="12.75" customHeight="1" x14ac:dyDescent="0.25">
      <c r="A6" s="302"/>
      <c r="B6" s="303"/>
      <c r="C6" s="303"/>
      <c r="D6" s="303"/>
      <c r="E6" s="303"/>
      <c r="F6" s="304"/>
      <c r="G6" s="289"/>
      <c r="H6" s="251"/>
      <c r="I6" s="350" t="s">
        <v>4</v>
      </c>
      <c r="J6" s="350"/>
      <c r="K6" s="350"/>
      <c r="L6" s="350" t="s">
        <v>5</v>
      </c>
      <c r="M6" s="350"/>
      <c r="N6" s="350"/>
      <c r="O6" s="350"/>
      <c r="P6" s="350" t="s">
        <v>6</v>
      </c>
      <c r="Q6" s="350"/>
      <c r="R6" s="350"/>
      <c r="S6" s="350"/>
      <c r="T6" s="357"/>
      <c r="U6" s="324"/>
      <c r="V6" s="325"/>
      <c r="W6" s="325"/>
      <c r="X6" s="325"/>
      <c r="Y6" s="325"/>
      <c r="Z6" s="326"/>
    </row>
    <row r="7" spans="1:26" ht="36.6" customHeight="1" x14ac:dyDescent="0.25">
      <c r="A7" s="315" t="s">
        <v>7</v>
      </c>
      <c r="B7" s="315"/>
      <c r="C7" s="315"/>
      <c r="D7" s="315"/>
      <c r="E7" s="315"/>
      <c r="F7" s="315"/>
      <c r="G7" s="316" t="s">
        <v>8</v>
      </c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</row>
    <row r="8" spans="1:26" ht="15.9" customHeight="1" x14ac:dyDescent="0.25">
      <c r="A8" s="267" t="s">
        <v>9</v>
      </c>
      <c r="B8" s="246" t="s">
        <v>10</v>
      </c>
      <c r="C8" s="243"/>
      <c r="D8" s="288"/>
      <c r="E8" s="288"/>
      <c r="F8" s="288"/>
      <c r="G8" s="288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61"/>
    </row>
    <row r="9" spans="1:26" ht="8.25" customHeight="1" x14ac:dyDescent="0.25">
      <c r="A9" s="255"/>
      <c r="D9" s="222"/>
      <c r="E9" s="222"/>
      <c r="F9" s="222"/>
      <c r="G9" s="222"/>
      <c r="Z9" s="254"/>
    </row>
    <row r="10" spans="1:26" ht="15.9" customHeight="1" x14ac:dyDescent="0.25">
      <c r="A10" s="255"/>
      <c r="B10" s="308" t="s">
        <v>11</v>
      </c>
      <c r="C10" s="308"/>
      <c r="D10" s="308"/>
      <c r="E10" s="308"/>
      <c r="F10" s="308"/>
      <c r="G10" s="308"/>
      <c r="H10" s="317" t="s">
        <v>69</v>
      </c>
      <c r="I10" s="317"/>
      <c r="J10" s="317"/>
      <c r="K10" s="317"/>
      <c r="L10" s="317"/>
      <c r="M10" s="317"/>
      <c r="N10" s="308" t="s">
        <v>13</v>
      </c>
      <c r="O10" s="308"/>
      <c r="P10" s="308"/>
      <c r="Q10" s="308"/>
      <c r="R10" s="308"/>
      <c r="S10" s="309" t="s">
        <v>98</v>
      </c>
      <c r="T10" s="309"/>
      <c r="U10" s="309"/>
      <c r="V10" s="309"/>
      <c r="W10" s="309"/>
      <c r="X10" s="309"/>
      <c r="Y10" s="309"/>
      <c r="Z10" s="286"/>
    </row>
    <row r="11" spans="1:26" ht="15.9" customHeight="1" x14ac:dyDescent="0.25">
      <c r="A11" s="255"/>
      <c r="B11" s="308" t="s">
        <v>15</v>
      </c>
      <c r="C11" s="308"/>
      <c r="D11" s="308"/>
      <c r="E11" s="308"/>
      <c r="F11" s="308"/>
      <c r="G11" s="308"/>
      <c r="H11" s="317" t="s">
        <v>99</v>
      </c>
      <c r="I11" s="317"/>
      <c r="J11" s="317"/>
      <c r="K11" s="317"/>
      <c r="L11" s="317"/>
      <c r="M11" s="317"/>
      <c r="N11" s="308" t="s">
        <v>16</v>
      </c>
      <c r="O11" s="308"/>
      <c r="P11" s="308"/>
      <c r="Q11" s="308"/>
      <c r="R11" s="308"/>
      <c r="S11" s="309" t="s">
        <v>80</v>
      </c>
      <c r="T11" s="309"/>
      <c r="U11" s="309"/>
      <c r="V11" s="309"/>
      <c r="W11" s="309"/>
      <c r="X11" s="309"/>
      <c r="Y11" s="309"/>
      <c r="Z11" s="286"/>
    </row>
    <row r="12" spans="1:26" ht="15.9" customHeight="1" x14ac:dyDescent="0.25">
      <c r="A12" s="255"/>
      <c r="B12" s="308" t="s">
        <v>18</v>
      </c>
      <c r="C12" s="308"/>
      <c r="D12" s="308"/>
      <c r="E12" s="308"/>
      <c r="F12" s="308"/>
      <c r="G12" s="308"/>
      <c r="H12" s="317" t="s">
        <v>84</v>
      </c>
      <c r="I12" s="317"/>
      <c r="J12" s="317"/>
      <c r="K12" s="317"/>
      <c r="L12" s="317"/>
      <c r="M12" s="317"/>
      <c r="N12" s="308" t="s">
        <v>20</v>
      </c>
      <c r="O12" s="308"/>
      <c r="P12" s="308"/>
      <c r="Q12" s="308"/>
      <c r="R12" s="308"/>
      <c r="S12" s="309" t="s">
        <v>21</v>
      </c>
      <c r="T12" s="309"/>
      <c r="U12" s="309"/>
      <c r="V12" s="309"/>
      <c r="W12" s="309"/>
      <c r="X12" s="309"/>
      <c r="Y12" s="309"/>
      <c r="Z12" s="286"/>
    </row>
    <row r="13" spans="1:26" ht="8.25" customHeight="1" x14ac:dyDescent="0.25">
      <c r="A13" s="285"/>
      <c r="B13" s="251"/>
      <c r="C13" s="251"/>
      <c r="D13" s="284"/>
      <c r="E13" s="284"/>
      <c r="F13" s="284"/>
      <c r="G13" s="284"/>
      <c r="H13" s="251"/>
      <c r="I13" s="251"/>
      <c r="J13" s="251"/>
      <c r="K13" s="251"/>
      <c r="L13" s="251"/>
      <c r="M13" s="251"/>
      <c r="N13" s="283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0"/>
    </row>
    <row r="14" spans="1:26" s="223" customFormat="1" ht="15" customHeight="1" x14ac:dyDescent="0.25">
      <c r="B14" s="281"/>
      <c r="C14" s="281"/>
      <c r="K14" s="282"/>
      <c r="L14" s="281"/>
      <c r="M14" s="280"/>
    </row>
    <row r="15" spans="1:26" s="223" customFormat="1" ht="15.6" customHeight="1" x14ac:dyDescent="0.25">
      <c r="A15" s="267" t="s">
        <v>22</v>
      </c>
      <c r="B15" s="279" t="s">
        <v>23</v>
      </c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7"/>
    </row>
    <row r="16" spans="1:26" s="223" customFormat="1" ht="15" customHeight="1" x14ac:dyDescent="0.25">
      <c r="A16" s="274"/>
      <c r="B16" s="276"/>
      <c r="Z16" s="275"/>
    </row>
    <row r="17" spans="1:26" s="223" customFormat="1" ht="15" customHeight="1" x14ac:dyDescent="0.25">
      <c r="A17" s="274"/>
      <c r="B17" s="358" t="s">
        <v>24</v>
      </c>
      <c r="C17" s="358"/>
      <c r="D17" s="358"/>
      <c r="E17" s="358"/>
      <c r="F17" s="358"/>
      <c r="G17" s="358"/>
      <c r="H17" s="358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272"/>
    </row>
    <row r="18" spans="1:26" s="223" customFormat="1" ht="15" customHeight="1" x14ac:dyDescent="0.25">
      <c r="A18" s="274"/>
      <c r="B18" s="358" t="s">
        <v>25</v>
      </c>
      <c r="C18" s="358"/>
      <c r="D18" s="358"/>
      <c r="E18" s="358"/>
      <c r="F18" s="358"/>
      <c r="G18" s="358"/>
      <c r="H18" s="358"/>
      <c r="I18" s="373" t="s">
        <v>26</v>
      </c>
      <c r="J18" s="373"/>
      <c r="K18" s="273">
        <v>80</v>
      </c>
      <c r="L18" s="273" t="s">
        <v>27</v>
      </c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2"/>
    </row>
    <row r="19" spans="1:26" s="223" customFormat="1" ht="13.2" customHeight="1" x14ac:dyDescent="0.25">
      <c r="A19" s="271"/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69"/>
    </row>
    <row r="20" spans="1:26" ht="12.75" customHeight="1" x14ac:dyDescent="0.25">
      <c r="D20" s="222"/>
      <c r="E20" s="222"/>
      <c r="F20" s="222"/>
      <c r="G20" s="222"/>
      <c r="N20" s="268"/>
    </row>
    <row r="21" spans="1:26" ht="15.9" customHeight="1" x14ac:dyDescent="0.25">
      <c r="A21" s="267" t="s">
        <v>28</v>
      </c>
      <c r="B21" s="266" t="s">
        <v>29</v>
      </c>
      <c r="C21" s="264"/>
      <c r="D21" s="265"/>
      <c r="E21" s="265"/>
      <c r="F21" s="265"/>
      <c r="G21" s="265"/>
      <c r="H21" s="264"/>
      <c r="I21" s="264"/>
      <c r="J21" s="258" t="s">
        <v>30</v>
      </c>
      <c r="K21" s="258"/>
      <c r="L21" s="263"/>
      <c r="M21" s="262"/>
      <c r="N21" s="262"/>
      <c r="O21" s="262"/>
      <c r="P21" s="262"/>
      <c r="Q21" s="258">
        <v>600</v>
      </c>
      <c r="R21" s="243"/>
      <c r="S21" s="243"/>
      <c r="T21" s="243"/>
      <c r="U21" s="243"/>
      <c r="V21" s="243"/>
      <c r="W21" s="243"/>
      <c r="X21" s="243"/>
      <c r="Y21" s="243"/>
      <c r="Z21" s="261"/>
    </row>
    <row r="22" spans="1:26" ht="12.75" customHeight="1" x14ac:dyDescent="0.25">
      <c r="A22" s="255"/>
      <c r="B22" s="260"/>
      <c r="K22" s="259"/>
      <c r="L22" s="259"/>
      <c r="M22" s="259"/>
      <c r="N22" s="259"/>
      <c r="O22" s="259"/>
      <c r="P22" s="259"/>
      <c r="Q22" s="259"/>
      <c r="Z22" s="254"/>
    </row>
    <row r="23" spans="1:26" ht="15.75" customHeight="1" x14ac:dyDescent="0.25">
      <c r="A23" s="255"/>
      <c r="B23" s="359" t="s">
        <v>31</v>
      </c>
      <c r="C23" s="339" t="s">
        <v>32</v>
      </c>
      <c r="D23" s="339"/>
      <c r="E23" s="339"/>
      <c r="F23" s="339"/>
      <c r="G23" s="340"/>
      <c r="H23" s="377" t="s">
        <v>33</v>
      </c>
      <c r="I23" s="378"/>
      <c r="J23" s="379"/>
      <c r="K23" s="339" t="s">
        <v>34</v>
      </c>
      <c r="L23" s="339"/>
      <c r="M23" s="339"/>
      <c r="N23" s="339"/>
      <c r="O23" s="339"/>
      <c r="P23" s="340"/>
      <c r="Z23" s="254"/>
    </row>
    <row r="24" spans="1:26" ht="15.75" customHeight="1" x14ac:dyDescent="0.25">
      <c r="A24" s="255"/>
      <c r="B24" s="360"/>
      <c r="C24" s="341"/>
      <c r="D24" s="341"/>
      <c r="E24" s="341"/>
      <c r="F24" s="341"/>
      <c r="G24" s="342"/>
      <c r="H24" s="374" t="s">
        <v>35</v>
      </c>
      <c r="I24" s="375"/>
      <c r="J24" s="376"/>
      <c r="K24" s="341"/>
      <c r="L24" s="341"/>
      <c r="M24" s="341"/>
      <c r="N24" s="341"/>
      <c r="O24" s="341"/>
      <c r="P24" s="342"/>
      <c r="Z24" s="254"/>
    </row>
    <row r="25" spans="1:26" ht="19.5" customHeight="1" x14ac:dyDescent="0.25">
      <c r="A25" s="255"/>
      <c r="B25" s="257">
        <v>1</v>
      </c>
      <c r="C25" s="852" t="s">
        <v>102</v>
      </c>
      <c r="D25" s="853"/>
      <c r="E25" s="853"/>
      <c r="F25" s="853"/>
      <c r="G25" s="854"/>
      <c r="H25" s="293">
        <v>88.2</v>
      </c>
      <c r="I25" s="294"/>
      <c r="J25" s="295"/>
      <c r="K25" s="571" t="s">
        <v>100</v>
      </c>
      <c r="L25" s="367"/>
      <c r="M25" s="367"/>
      <c r="N25" s="367"/>
      <c r="O25" s="367"/>
      <c r="P25" s="368"/>
      <c r="Z25" s="254"/>
    </row>
    <row r="26" spans="1:26" ht="19.5" customHeight="1" x14ac:dyDescent="0.25">
      <c r="A26" s="255"/>
      <c r="B26" s="257">
        <v>2</v>
      </c>
      <c r="C26" s="852">
        <v>176</v>
      </c>
      <c r="D26" s="853"/>
      <c r="E26" s="853"/>
      <c r="F26" s="853"/>
      <c r="G26" s="854"/>
      <c r="H26" s="293">
        <v>132.30000000000001</v>
      </c>
      <c r="I26" s="294"/>
      <c r="J26" s="295"/>
      <c r="K26" s="571" t="s">
        <v>101</v>
      </c>
      <c r="L26" s="367"/>
      <c r="M26" s="367"/>
      <c r="N26" s="367"/>
      <c r="O26" s="367"/>
      <c r="P26" s="368"/>
      <c r="Z26" s="254"/>
    </row>
    <row r="27" spans="1:26" ht="19.5" customHeight="1" x14ac:dyDescent="0.25">
      <c r="A27" s="255"/>
      <c r="B27" s="257">
        <v>3</v>
      </c>
      <c r="C27" s="852" t="s">
        <v>103</v>
      </c>
      <c r="D27" s="853"/>
      <c r="E27" s="853"/>
      <c r="F27" s="853"/>
      <c r="G27" s="854"/>
      <c r="H27" s="293">
        <v>81.8</v>
      </c>
      <c r="I27" s="294"/>
      <c r="J27" s="295"/>
      <c r="K27" s="571" t="s">
        <v>100</v>
      </c>
      <c r="L27" s="367"/>
      <c r="M27" s="367"/>
      <c r="N27" s="367"/>
      <c r="O27" s="367"/>
      <c r="P27" s="368"/>
      <c r="Z27" s="254"/>
    </row>
    <row r="28" spans="1:26" ht="19.5" customHeight="1" x14ac:dyDescent="0.25">
      <c r="A28" s="255"/>
      <c r="B28" s="257">
        <v>4</v>
      </c>
      <c r="C28" s="852" t="s">
        <v>104</v>
      </c>
      <c r="D28" s="853"/>
      <c r="E28" s="853"/>
      <c r="F28" s="853"/>
      <c r="G28" s="854"/>
      <c r="H28" s="293">
        <v>107.1</v>
      </c>
      <c r="I28" s="294"/>
      <c r="J28" s="295"/>
      <c r="K28" s="571" t="s">
        <v>101</v>
      </c>
      <c r="L28" s="367"/>
      <c r="M28" s="367"/>
      <c r="N28" s="367"/>
      <c r="O28" s="367"/>
      <c r="P28" s="368"/>
      <c r="Z28" s="254"/>
    </row>
    <row r="29" spans="1:26" ht="19.5" customHeight="1" x14ac:dyDescent="0.25">
      <c r="A29" s="255"/>
      <c r="B29" s="257">
        <v>5</v>
      </c>
      <c r="C29" s="852" t="s">
        <v>105</v>
      </c>
      <c r="D29" s="853"/>
      <c r="E29" s="853"/>
      <c r="F29" s="853"/>
      <c r="G29" s="854"/>
      <c r="H29" s="293">
        <v>145.19999999999999</v>
      </c>
      <c r="I29" s="294"/>
      <c r="J29" s="295"/>
      <c r="K29" s="571" t="s">
        <v>101</v>
      </c>
      <c r="L29" s="367"/>
      <c r="M29" s="367"/>
      <c r="N29" s="367"/>
      <c r="O29" s="367"/>
      <c r="P29" s="368"/>
      <c r="Z29" s="254"/>
    </row>
    <row r="30" spans="1:26" ht="19.5" customHeight="1" x14ac:dyDescent="0.25">
      <c r="A30" s="255"/>
      <c r="B30" s="257">
        <v>6</v>
      </c>
      <c r="C30" s="852" t="s">
        <v>106</v>
      </c>
      <c r="D30" s="853"/>
      <c r="E30" s="853"/>
      <c r="F30" s="853"/>
      <c r="G30" s="854"/>
      <c r="H30" s="293">
        <v>112.5</v>
      </c>
      <c r="I30" s="294"/>
      <c r="J30" s="295"/>
      <c r="K30" s="571" t="s">
        <v>100</v>
      </c>
      <c r="L30" s="367"/>
      <c r="M30" s="367"/>
      <c r="N30" s="367"/>
      <c r="O30" s="367"/>
      <c r="P30" s="368"/>
      <c r="Z30" s="254"/>
    </row>
    <row r="31" spans="1:26" ht="19.5" customHeight="1" x14ac:dyDescent="0.25">
      <c r="A31" s="255"/>
      <c r="B31" s="257">
        <v>7</v>
      </c>
      <c r="C31" s="852" t="s">
        <v>97</v>
      </c>
      <c r="D31" s="853"/>
      <c r="E31" s="853"/>
      <c r="F31" s="853"/>
      <c r="G31" s="854"/>
      <c r="H31" s="293">
        <v>109.8</v>
      </c>
      <c r="I31" s="294"/>
      <c r="J31" s="295"/>
      <c r="K31" s="571" t="s">
        <v>101</v>
      </c>
      <c r="L31" s="367"/>
      <c r="M31" s="367"/>
      <c r="N31" s="367"/>
      <c r="O31" s="367"/>
      <c r="P31" s="368"/>
      <c r="Z31" s="254"/>
    </row>
    <row r="32" spans="1:26" ht="19.5" customHeight="1" x14ac:dyDescent="0.3">
      <c r="A32" s="255"/>
      <c r="B32" s="257">
        <v>8</v>
      </c>
      <c r="C32" s="855" t="s">
        <v>96</v>
      </c>
      <c r="D32" s="856"/>
      <c r="E32" s="856"/>
      <c r="F32" s="856"/>
      <c r="G32" s="857"/>
      <c r="H32" s="293">
        <v>100</v>
      </c>
      <c r="I32" s="294"/>
      <c r="J32" s="295"/>
      <c r="K32" s="571" t="s">
        <v>100</v>
      </c>
      <c r="L32" s="367"/>
      <c r="M32" s="367"/>
      <c r="N32" s="367"/>
      <c r="O32" s="367"/>
      <c r="P32" s="368"/>
      <c r="Z32" s="254"/>
    </row>
    <row r="33" spans="1:26" ht="19.5" customHeight="1" x14ac:dyDescent="0.25">
      <c r="A33" s="255"/>
      <c r="B33" s="851"/>
      <c r="C33" s="366"/>
      <c r="D33" s="367"/>
      <c r="E33" s="367"/>
      <c r="F33" s="367"/>
      <c r="G33" s="368"/>
      <c r="H33" s="293"/>
      <c r="I33" s="294"/>
      <c r="J33" s="295"/>
      <c r="K33" s="366"/>
      <c r="L33" s="367"/>
      <c r="M33" s="367"/>
      <c r="N33" s="367"/>
      <c r="O33" s="367"/>
      <c r="P33" s="368"/>
      <c r="Z33" s="254"/>
    </row>
    <row r="34" spans="1:26" ht="19.5" customHeight="1" x14ac:dyDescent="0.25">
      <c r="A34" s="255"/>
      <c r="B34" s="851"/>
      <c r="C34" s="366"/>
      <c r="D34" s="367"/>
      <c r="E34" s="367"/>
      <c r="F34" s="367"/>
      <c r="G34" s="368"/>
      <c r="H34" s="293"/>
      <c r="I34" s="294"/>
      <c r="J34" s="295"/>
      <c r="K34" s="366"/>
      <c r="L34" s="367"/>
      <c r="M34" s="367"/>
      <c r="N34" s="367"/>
      <c r="O34" s="367"/>
      <c r="P34" s="368"/>
      <c r="Z34" s="254"/>
    </row>
    <row r="35" spans="1:26" ht="19.5" customHeight="1" x14ac:dyDescent="0.25">
      <c r="A35" s="255"/>
      <c r="B35" s="851"/>
      <c r="C35" s="366"/>
      <c r="D35" s="367"/>
      <c r="E35" s="367"/>
      <c r="F35" s="367"/>
      <c r="G35" s="368"/>
      <c r="H35" s="293"/>
      <c r="I35" s="294"/>
      <c r="J35" s="295"/>
      <c r="K35" s="366"/>
      <c r="L35" s="367"/>
      <c r="M35" s="367"/>
      <c r="N35" s="367"/>
      <c r="O35" s="367"/>
      <c r="P35" s="368"/>
      <c r="Z35" s="254"/>
    </row>
    <row r="36" spans="1:26" ht="19.5" customHeight="1" x14ac:dyDescent="0.25">
      <c r="A36" s="255"/>
      <c r="B36" s="851"/>
      <c r="C36" s="366"/>
      <c r="D36" s="367"/>
      <c r="E36" s="367"/>
      <c r="F36" s="367"/>
      <c r="G36" s="368"/>
      <c r="H36" s="293"/>
      <c r="I36" s="294"/>
      <c r="J36" s="295"/>
      <c r="K36" s="366"/>
      <c r="L36" s="367"/>
      <c r="M36" s="367"/>
      <c r="N36" s="367"/>
      <c r="O36" s="367"/>
      <c r="P36" s="368"/>
      <c r="Z36" s="254"/>
    </row>
    <row r="37" spans="1:26" ht="19.5" customHeight="1" x14ac:dyDescent="0.25">
      <c r="A37" s="255"/>
      <c r="B37" s="851"/>
      <c r="C37" s="366"/>
      <c r="D37" s="367"/>
      <c r="E37" s="367"/>
      <c r="F37" s="367"/>
      <c r="G37" s="368"/>
      <c r="H37" s="293"/>
      <c r="I37" s="294"/>
      <c r="J37" s="295"/>
      <c r="K37" s="366"/>
      <c r="L37" s="367"/>
      <c r="M37" s="367"/>
      <c r="N37" s="367"/>
      <c r="O37" s="367"/>
      <c r="P37" s="368"/>
      <c r="Z37" s="254"/>
    </row>
    <row r="38" spans="1:26" ht="19.5" customHeight="1" x14ac:dyDescent="0.25">
      <c r="A38" s="255"/>
      <c r="B38" s="851"/>
      <c r="C38" s="366"/>
      <c r="D38" s="367"/>
      <c r="E38" s="367"/>
      <c r="F38" s="367"/>
      <c r="G38" s="368"/>
      <c r="H38" s="293"/>
      <c r="I38" s="294"/>
      <c r="J38" s="295"/>
      <c r="K38" s="366"/>
      <c r="L38" s="367"/>
      <c r="M38" s="367"/>
      <c r="N38" s="367"/>
      <c r="O38" s="367"/>
      <c r="P38" s="368"/>
      <c r="Z38" s="254"/>
    </row>
    <row r="39" spans="1:26" ht="19.5" customHeight="1" x14ac:dyDescent="0.25">
      <c r="A39" s="255"/>
      <c r="B39" s="851"/>
      <c r="C39" s="366"/>
      <c r="D39" s="367"/>
      <c r="E39" s="367"/>
      <c r="F39" s="367"/>
      <c r="G39" s="368"/>
      <c r="H39" s="293"/>
      <c r="I39" s="294"/>
      <c r="J39" s="295"/>
      <c r="K39" s="366"/>
      <c r="L39" s="367"/>
      <c r="M39" s="367"/>
      <c r="N39" s="367"/>
      <c r="O39" s="367"/>
      <c r="P39" s="368"/>
      <c r="Z39" s="254"/>
    </row>
    <row r="40" spans="1:26" ht="19.5" customHeight="1" x14ac:dyDescent="0.25">
      <c r="A40" s="255"/>
      <c r="B40" s="851"/>
      <c r="C40" s="366"/>
      <c r="D40" s="367"/>
      <c r="E40" s="367"/>
      <c r="F40" s="367"/>
      <c r="G40" s="368"/>
      <c r="H40" s="293"/>
      <c r="I40" s="294"/>
      <c r="J40" s="295"/>
      <c r="K40" s="366"/>
      <c r="L40" s="367"/>
      <c r="M40" s="367"/>
      <c r="N40" s="367"/>
      <c r="O40" s="367"/>
      <c r="P40" s="368"/>
      <c r="Z40" s="254"/>
    </row>
    <row r="41" spans="1:26" ht="19.5" customHeight="1" x14ac:dyDescent="0.25">
      <c r="A41" s="255"/>
      <c r="B41" s="851"/>
      <c r="C41" s="366"/>
      <c r="D41" s="367"/>
      <c r="E41" s="367"/>
      <c r="F41" s="367"/>
      <c r="G41" s="368"/>
      <c r="H41" s="293"/>
      <c r="I41" s="294"/>
      <c r="J41" s="295"/>
      <c r="K41" s="366"/>
      <c r="L41" s="367"/>
      <c r="M41" s="367"/>
      <c r="N41" s="367"/>
      <c r="O41" s="367"/>
      <c r="P41" s="368"/>
      <c r="Z41" s="254"/>
    </row>
    <row r="42" spans="1:26" ht="19.5" customHeight="1" x14ac:dyDescent="0.25">
      <c r="A42" s="255"/>
      <c r="B42" s="851"/>
      <c r="C42" s="366"/>
      <c r="D42" s="367"/>
      <c r="E42" s="367"/>
      <c r="F42" s="367"/>
      <c r="G42" s="368"/>
      <c r="H42" s="293"/>
      <c r="I42" s="294"/>
      <c r="J42" s="295"/>
      <c r="K42" s="366"/>
      <c r="L42" s="367"/>
      <c r="M42" s="367"/>
      <c r="N42" s="367"/>
      <c r="O42" s="367"/>
      <c r="P42" s="368"/>
      <c r="Z42" s="254"/>
    </row>
    <row r="43" spans="1:26" ht="19.5" customHeight="1" x14ac:dyDescent="0.25">
      <c r="A43" s="255"/>
      <c r="B43" s="851"/>
      <c r="C43" s="366"/>
      <c r="D43" s="367"/>
      <c r="E43" s="367"/>
      <c r="F43" s="367"/>
      <c r="G43" s="368"/>
      <c r="H43" s="293"/>
      <c r="I43" s="294"/>
      <c r="J43" s="295"/>
      <c r="K43" s="366"/>
      <c r="L43" s="367"/>
      <c r="M43" s="367"/>
      <c r="N43" s="367"/>
      <c r="O43" s="367"/>
      <c r="P43" s="368"/>
      <c r="Z43" s="254"/>
    </row>
    <row r="44" spans="1:26" ht="19.5" customHeight="1" thickBot="1" x14ac:dyDescent="0.3">
      <c r="A44" s="255"/>
      <c r="B44" s="256"/>
      <c r="C44" s="361"/>
      <c r="D44" s="361"/>
      <c r="E44" s="361"/>
      <c r="F44" s="361"/>
      <c r="G44" s="362"/>
      <c r="H44" s="369"/>
      <c r="I44" s="370"/>
      <c r="J44" s="371"/>
      <c r="K44" s="372"/>
      <c r="L44" s="361"/>
      <c r="M44" s="361"/>
      <c r="N44" s="361"/>
      <c r="O44" s="361"/>
      <c r="P44" s="362"/>
      <c r="Z44" s="254"/>
    </row>
    <row r="45" spans="1:26" ht="15.75" customHeight="1" x14ac:dyDescent="0.25">
      <c r="A45" s="255"/>
      <c r="B45" s="419" t="s">
        <v>37</v>
      </c>
      <c r="C45" s="420"/>
      <c r="D45" s="420"/>
      <c r="E45" s="420"/>
      <c r="F45" s="420"/>
      <c r="G45" s="421"/>
      <c r="H45" s="347">
        <f>AVERAGE(H25:J44)</f>
        <v>109.61249999999998</v>
      </c>
      <c r="I45" s="294"/>
      <c r="J45" s="295"/>
      <c r="K45" s="333">
        <v>100</v>
      </c>
      <c r="L45" s="334"/>
      <c r="M45" s="327" t="s">
        <v>39</v>
      </c>
      <c r="N45" s="327"/>
      <c r="O45" s="327"/>
      <c r="P45" s="328"/>
      <c r="Z45" s="254"/>
    </row>
    <row r="46" spans="1:26" ht="15.75" customHeight="1" x14ac:dyDescent="0.25">
      <c r="A46" s="255"/>
      <c r="B46" s="363" t="s">
        <v>40</v>
      </c>
      <c r="C46" s="364"/>
      <c r="D46" s="364"/>
      <c r="E46" s="364"/>
      <c r="F46" s="364"/>
      <c r="G46" s="365"/>
      <c r="H46" s="347">
        <f>IF(COUNTIF(H25:J44,"*&lt;20*"),"&lt;20",MIN(H25:J44))</f>
        <v>81.8</v>
      </c>
      <c r="I46" s="294"/>
      <c r="J46" s="295"/>
      <c r="K46" s="335"/>
      <c r="L46" s="336"/>
      <c r="M46" s="329"/>
      <c r="N46" s="329"/>
      <c r="O46" s="329"/>
      <c r="P46" s="330"/>
      <c r="Z46" s="254"/>
    </row>
    <row r="47" spans="1:26" ht="15.75" customHeight="1" thickBot="1" x14ac:dyDescent="0.3">
      <c r="A47" s="255"/>
      <c r="B47" s="416" t="s">
        <v>41</v>
      </c>
      <c r="C47" s="417"/>
      <c r="D47" s="417"/>
      <c r="E47" s="417"/>
      <c r="F47" s="417"/>
      <c r="G47" s="418"/>
      <c r="H47" s="344">
        <f>IF(COUNTIF(H25:J44,"*&gt;250*"),"&gt;250",MAX(H25:J44))</f>
        <v>145.19999999999999</v>
      </c>
      <c r="I47" s="345"/>
      <c r="J47" s="346"/>
      <c r="K47" s="337"/>
      <c r="L47" s="338"/>
      <c r="M47" s="331"/>
      <c r="N47" s="331"/>
      <c r="O47" s="331"/>
      <c r="P47" s="332"/>
      <c r="Z47" s="254"/>
    </row>
    <row r="48" spans="1:26" ht="15.9" customHeight="1" x14ac:dyDescent="0.25">
      <c r="A48" s="253"/>
      <c r="B48" s="252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0"/>
    </row>
    <row r="49" spans="1:26" ht="12.75" customHeight="1" x14ac:dyDescent="0.25">
      <c r="A49" s="249"/>
      <c r="B49" s="248"/>
    </row>
    <row r="50" spans="1:26" s="223" customFormat="1" ht="15" customHeight="1" x14ac:dyDescent="0.25">
      <c r="A50" s="247" t="s">
        <v>42</v>
      </c>
      <c r="B50" s="246" t="s">
        <v>43</v>
      </c>
      <c r="C50" s="245"/>
      <c r="D50" s="245"/>
      <c r="E50" s="245"/>
      <c r="F50" s="244"/>
      <c r="G50" s="244"/>
      <c r="H50" s="244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2"/>
      <c r="V50" s="241"/>
      <c r="W50" s="241"/>
      <c r="X50" s="240"/>
      <c r="Y50" s="240"/>
      <c r="Z50" s="239"/>
    </row>
    <row r="51" spans="1:26" s="223" customFormat="1" ht="28.5" customHeight="1" x14ac:dyDescent="0.25">
      <c r="A51" s="413" t="s">
        <v>44</v>
      </c>
      <c r="B51" s="414"/>
      <c r="C51" s="414"/>
      <c r="D51" s="414"/>
      <c r="E51" s="414"/>
      <c r="F51" s="414"/>
      <c r="G51" s="414"/>
      <c r="H51" s="414"/>
      <c r="I51" s="414"/>
      <c r="J51" s="414"/>
      <c r="K51" s="414"/>
      <c r="L51" s="414"/>
      <c r="M51" s="414"/>
      <c r="N51" s="414"/>
      <c r="O51" s="414"/>
      <c r="P51" s="414"/>
      <c r="Q51" s="415"/>
      <c r="R51" s="386" t="s">
        <v>45</v>
      </c>
      <c r="S51" s="387"/>
      <c r="T51" s="388"/>
      <c r="U51" s="392" t="s">
        <v>63</v>
      </c>
      <c r="V51" s="393"/>
      <c r="W51" s="393"/>
      <c r="X51" s="394"/>
      <c r="Y51" s="394"/>
      <c r="Z51" s="395"/>
    </row>
    <row r="52" spans="1:26" s="223" customFormat="1" ht="15.6" customHeight="1" x14ac:dyDescent="0.25">
      <c r="A52" s="396" t="s">
        <v>62</v>
      </c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  <c r="Q52" s="398"/>
      <c r="R52" s="386" t="s">
        <v>46</v>
      </c>
      <c r="S52" s="387"/>
      <c r="T52" s="388"/>
      <c r="U52" s="402" t="s">
        <v>61</v>
      </c>
      <c r="V52" s="403"/>
      <c r="W52" s="403"/>
      <c r="X52" s="404"/>
      <c r="Y52" s="404"/>
      <c r="Z52" s="405"/>
    </row>
    <row r="53" spans="1:26" s="223" customFormat="1" ht="15.6" customHeight="1" x14ac:dyDescent="0.25">
      <c r="A53" s="399"/>
      <c r="B53" s="400"/>
      <c r="C53" s="400"/>
      <c r="D53" s="400"/>
      <c r="E53" s="400"/>
      <c r="F53" s="400"/>
      <c r="G53" s="400"/>
      <c r="H53" s="400"/>
      <c r="I53" s="400"/>
      <c r="J53" s="400"/>
      <c r="K53" s="400"/>
      <c r="L53" s="400"/>
      <c r="M53" s="400"/>
      <c r="N53" s="400"/>
      <c r="O53" s="400"/>
      <c r="P53" s="400"/>
      <c r="Q53" s="401"/>
      <c r="R53" s="386"/>
      <c r="S53" s="387"/>
      <c r="T53" s="388"/>
      <c r="U53" s="406"/>
      <c r="V53" s="329"/>
      <c r="W53" s="329"/>
      <c r="X53" s="407"/>
      <c r="Y53" s="407"/>
      <c r="Z53" s="408"/>
    </row>
    <row r="54" spans="1:26" s="223" customFormat="1" ht="15.6" customHeight="1" x14ac:dyDescent="0.25">
      <c r="A54" s="238" t="s">
        <v>48</v>
      </c>
      <c r="B54" s="237" t="s">
        <v>49</v>
      </c>
      <c r="C54" s="221"/>
      <c r="D54" s="221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5"/>
      <c r="R54" s="386"/>
      <c r="S54" s="387"/>
      <c r="T54" s="388"/>
      <c r="U54" s="409"/>
      <c r="V54" s="410"/>
      <c r="W54" s="410"/>
      <c r="X54" s="411"/>
      <c r="Y54" s="411"/>
      <c r="Z54" s="412"/>
    </row>
    <row r="55" spans="1:26" s="223" customFormat="1" ht="15.6" customHeight="1" x14ac:dyDescent="0.25">
      <c r="A55" s="380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2"/>
      <c r="R55" s="386" t="s">
        <v>50</v>
      </c>
      <c r="S55" s="387"/>
      <c r="T55" s="388"/>
      <c r="U55" s="234"/>
      <c r="V55" s="233"/>
      <c r="W55" s="233"/>
      <c r="X55" s="233"/>
      <c r="Y55" s="233"/>
      <c r="Z55" s="232"/>
    </row>
    <row r="56" spans="1:26" s="223" customFormat="1" ht="15.6" customHeight="1" x14ac:dyDescent="0.25">
      <c r="A56" s="380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2"/>
      <c r="R56" s="386"/>
      <c r="S56" s="387"/>
      <c r="T56" s="388"/>
      <c r="U56" s="231"/>
      <c r="V56" s="329"/>
      <c r="W56" s="329"/>
      <c r="X56" s="329"/>
      <c r="Y56" s="329"/>
      <c r="Z56" s="230"/>
    </row>
    <row r="57" spans="1:26" s="223" customFormat="1" ht="15.6" customHeight="1" x14ac:dyDescent="0.25">
      <c r="A57" s="380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2"/>
      <c r="R57" s="386"/>
      <c r="S57" s="387"/>
      <c r="T57" s="388"/>
      <c r="U57" s="231"/>
      <c r="V57" s="329"/>
      <c r="W57" s="329"/>
      <c r="X57" s="329"/>
      <c r="Y57" s="329"/>
      <c r="Z57" s="230"/>
    </row>
    <row r="58" spans="1:26" s="223" customFormat="1" ht="15.6" customHeight="1" x14ac:dyDescent="0.25">
      <c r="A58" s="383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5"/>
      <c r="R58" s="389"/>
      <c r="S58" s="390"/>
      <c r="T58" s="391"/>
      <c r="U58" s="229"/>
      <c r="V58" s="228"/>
      <c r="W58" s="228"/>
      <c r="X58" s="228"/>
      <c r="Y58" s="228"/>
      <c r="Z58" s="227"/>
    </row>
    <row r="59" spans="1:26" s="223" customFormat="1" ht="15" customHeight="1" x14ac:dyDescent="0.25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5"/>
      <c r="S59" s="225"/>
      <c r="T59" s="225"/>
      <c r="U59" s="224"/>
      <c r="V59" s="224"/>
      <c r="W59" s="224"/>
      <c r="X59" s="224"/>
      <c r="Y59" s="224"/>
      <c r="Z59" s="224"/>
    </row>
    <row r="61" spans="1:26" ht="12.75" customHeight="1" x14ac:dyDescent="0.25">
      <c r="A61" s="221"/>
    </row>
    <row r="62" spans="1:26" ht="12.75" customHeight="1" x14ac:dyDescent="0.25">
      <c r="A62" s="221"/>
    </row>
    <row r="63" spans="1:26" ht="12.75" customHeight="1" x14ac:dyDescent="0.25">
      <c r="A63" s="221"/>
    </row>
    <row r="64" spans="1:26" ht="12.75" customHeight="1" x14ac:dyDescent="0.25">
      <c r="A64" s="221"/>
    </row>
    <row r="65" spans="1:1" ht="12.75" customHeight="1" x14ac:dyDescent="0.25">
      <c r="A65" s="221"/>
    </row>
    <row r="66" spans="1:1" ht="12.75" customHeight="1" x14ac:dyDescent="0.25">
      <c r="A66" s="221"/>
    </row>
  </sheetData>
  <sheetProtection formatCells="0" formatColumns="0" formatRows="0" insertColumns="0" insertRows="0" insertHyperlinks="0" deleteColumns="0" deleteRows="0" selectLockedCells="1" sort="0" autoFilter="0" pivotTables="0"/>
  <mergeCells count="111">
    <mergeCell ref="C43:G43"/>
    <mergeCell ref="H43:J43"/>
    <mergeCell ref="K43:P43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A51:Q51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B47:G47"/>
    <mergeCell ref="B45:G45"/>
    <mergeCell ref="A55:Q58"/>
    <mergeCell ref="R55:T58"/>
    <mergeCell ref="V56:Y57"/>
    <mergeCell ref="R51:T51"/>
    <mergeCell ref="U51:Z51"/>
    <mergeCell ref="A52:Q53"/>
    <mergeCell ref="R52:T54"/>
    <mergeCell ref="U52:Z54"/>
    <mergeCell ref="H46:J46"/>
    <mergeCell ref="B17:H17"/>
    <mergeCell ref="B12:G12"/>
    <mergeCell ref="B11:G11"/>
    <mergeCell ref="N12:R12"/>
    <mergeCell ref="H12:M12"/>
    <mergeCell ref="B46:G46"/>
    <mergeCell ref="C36:G36"/>
    <mergeCell ref="H36:J36"/>
    <mergeCell ref="K36:P36"/>
    <mergeCell ref="U1:Z6"/>
    <mergeCell ref="K25:P25"/>
    <mergeCell ref="M45:P47"/>
    <mergeCell ref="K45:L47"/>
    <mergeCell ref="S12:Y12"/>
    <mergeCell ref="K23:P24"/>
    <mergeCell ref="I17:Y17"/>
    <mergeCell ref="S11:Y11"/>
    <mergeCell ref="H47:J47"/>
    <mergeCell ref="H45:J45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B18:H18"/>
    <mergeCell ref="B23:B24"/>
    <mergeCell ref="C23:G24"/>
    <mergeCell ref="C26:G26"/>
    <mergeCell ref="H26:J26"/>
    <mergeCell ref="K26:P26"/>
    <mergeCell ref="H11:M11"/>
    <mergeCell ref="N11:R11"/>
    <mergeCell ref="C44:G44"/>
    <mergeCell ref="H44:J44"/>
    <mergeCell ref="K44:P44"/>
    <mergeCell ref="I18:J18"/>
    <mergeCell ref="H25:J25"/>
    <mergeCell ref="C25:G25"/>
    <mergeCell ref="H24:J24"/>
    <mergeCell ref="H23:J23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2041-0911-42DA-8C69-4F564194164B}">
  <sheetPr>
    <pageSetUpPr fitToPage="1"/>
  </sheetPr>
  <dimension ref="A1:AA69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22" customWidth="1"/>
    <col min="2" max="26" width="5.109375" style="221" customWidth="1"/>
    <col min="27" max="27" width="11.44140625" style="221"/>
  </cols>
  <sheetData>
    <row r="1" spans="1:26" ht="12.75" customHeight="1" x14ac:dyDescent="0.25">
      <c r="A1" s="296"/>
      <c r="B1" s="297"/>
      <c r="C1" s="297"/>
      <c r="D1" s="297"/>
      <c r="E1" s="297"/>
      <c r="F1" s="298"/>
      <c r="G1" s="305" t="s">
        <v>0</v>
      </c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7"/>
      <c r="U1" s="318" t="s">
        <v>78</v>
      </c>
      <c r="V1" s="319"/>
      <c r="W1" s="319"/>
      <c r="X1" s="319"/>
      <c r="Y1" s="319"/>
      <c r="Z1" s="320"/>
    </row>
    <row r="2" spans="1:26" ht="12.75" customHeight="1" x14ac:dyDescent="0.25">
      <c r="A2" s="299"/>
      <c r="B2" s="300"/>
      <c r="C2" s="300"/>
      <c r="D2" s="300"/>
      <c r="E2" s="300"/>
      <c r="F2" s="301"/>
      <c r="G2" s="310" t="s">
        <v>83</v>
      </c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2"/>
      <c r="U2" s="321"/>
      <c r="V2" s="322"/>
      <c r="W2" s="322"/>
      <c r="X2" s="322"/>
      <c r="Y2" s="322"/>
      <c r="Z2" s="323"/>
    </row>
    <row r="3" spans="1:26" ht="12.75" customHeight="1" x14ac:dyDescent="0.25">
      <c r="A3" s="299"/>
      <c r="B3" s="300"/>
      <c r="C3" s="300"/>
      <c r="D3" s="300"/>
      <c r="E3" s="300"/>
      <c r="F3" s="301"/>
      <c r="G3" s="310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2"/>
      <c r="U3" s="321"/>
      <c r="V3" s="322"/>
      <c r="W3" s="322"/>
      <c r="X3" s="322"/>
      <c r="Y3" s="322"/>
      <c r="Z3" s="323"/>
    </row>
    <row r="4" spans="1:26" ht="12.75" customHeight="1" x14ac:dyDescent="0.25">
      <c r="A4" s="299"/>
      <c r="B4" s="300"/>
      <c r="C4" s="300"/>
      <c r="D4" s="300"/>
      <c r="E4" s="300"/>
      <c r="F4" s="301"/>
      <c r="G4" s="310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2"/>
      <c r="U4" s="321"/>
      <c r="V4" s="322"/>
      <c r="W4" s="322"/>
      <c r="X4" s="322"/>
      <c r="Y4" s="322"/>
      <c r="Z4" s="323"/>
    </row>
    <row r="5" spans="1:26" ht="12.75" customHeight="1" x14ac:dyDescent="0.25">
      <c r="A5" s="299"/>
      <c r="B5" s="300"/>
      <c r="C5" s="300"/>
      <c r="D5" s="300"/>
      <c r="E5" s="300"/>
      <c r="F5" s="301"/>
      <c r="G5" s="313" t="s">
        <v>82</v>
      </c>
      <c r="H5" s="314"/>
      <c r="I5" s="348">
        <v>6</v>
      </c>
      <c r="J5" s="348"/>
      <c r="K5" s="349"/>
      <c r="L5" s="351" t="s">
        <v>52</v>
      </c>
      <c r="M5" s="352"/>
      <c r="N5" s="352"/>
      <c r="O5" s="353"/>
      <c r="P5" s="354">
        <v>46077</v>
      </c>
      <c r="Q5" s="355"/>
      <c r="R5" s="355"/>
      <c r="S5" s="355"/>
      <c r="T5" s="356"/>
      <c r="U5" s="321"/>
      <c r="V5" s="322"/>
      <c r="W5" s="322"/>
      <c r="X5" s="322"/>
      <c r="Y5" s="322"/>
      <c r="Z5" s="323"/>
    </row>
    <row r="6" spans="1:26" ht="12.75" customHeight="1" x14ac:dyDescent="0.25">
      <c r="A6" s="302"/>
      <c r="B6" s="303"/>
      <c r="C6" s="303"/>
      <c r="D6" s="303"/>
      <c r="E6" s="303"/>
      <c r="F6" s="304"/>
      <c r="G6" s="289"/>
      <c r="H6" s="251"/>
      <c r="I6" s="350" t="s">
        <v>4</v>
      </c>
      <c r="J6" s="350"/>
      <c r="K6" s="350"/>
      <c r="L6" s="350" t="s">
        <v>5</v>
      </c>
      <c r="M6" s="350"/>
      <c r="N6" s="350"/>
      <c r="O6" s="350"/>
      <c r="P6" s="350" t="s">
        <v>6</v>
      </c>
      <c r="Q6" s="350"/>
      <c r="R6" s="350"/>
      <c r="S6" s="350"/>
      <c r="T6" s="357"/>
      <c r="U6" s="324"/>
      <c r="V6" s="325"/>
      <c r="W6" s="325"/>
      <c r="X6" s="325"/>
      <c r="Y6" s="325"/>
      <c r="Z6" s="326"/>
    </row>
    <row r="7" spans="1:26" ht="36.6" customHeight="1" x14ac:dyDescent="0.25">
      <c r="A7" s="315" t="s">
        <v>7</v>
      </c>
      <c r="B7" s="315"/>
      <c r="C7" s="315"/>
      <c r="D7" s="315"/>
      <c r="E7" s="315"/>
      <c r="F7" s="315"/>
      <c r="G7" s="316" t="s">
        <v>8</v>
      </c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</row>
    <row r="8" spans="1:26" ht="15.9" customHeight="1" x14ac:dyDescent="0.25">
      <c r="A8" s="267" t="s">
        <v>9</v>
      </c>
      <c r="B8" s="246" t="s">
        <v>10</v>
      </c>
      <c r="C8" s="243"/>
      <c r="D8" s="288"/>
      <c r="E8" s="288"/>
      <c r="F8" s="288"/>
      <c r="G8" s="288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61"/>
    </row>
    <row r="9" spans="1:26" ht="8.25" customHeight="1" x14ac:dyDescent="0.25">
      <c r="A9" s="255"/>
      <c r="D9" s="222"/>
      <c r="E9" s="222"/>
      <c r="F9" s="222"/>
      <c r="G9" s="222"/>
      <c r="Z9" s="254"/>
    </row>
    <row r="10" spans="1:26" ht="15.9" customHeight="1" x14ac:dyDescent="0.25">
      <c r="A10" s="255"/>
      <c r="B10" s="308" t="s">
        <v>11</v>
      </c>
      <c r="C10" s="308"/>
      <c r="D10" s="308"/>
      <c r="E10" s="308"/>
      <c r="F10" s="308"/>
      <c r="G10" s="308"/>
      <c r="H10" s="317" t="s">
        <v>77</v>
      </c>
      <c r="I10" s="317"/>
      <c r="J10" s="317"/>
      <c r="K10" s="317"/>
      <c r="L10" s="317"/>
      <c r="M10" s="317"/>
      <c r="N10" s="308" t="s">
        <v>13</v>
      </c>
      <c r="O10" s="308"/>
      <c r="P10" s="308"/>
      <c r="Q10" s="308"/>
      <c r="R10" s="308"/>
      <c r="S10" s="309" t="s">
        <v>81</v>
      </c>
      <c r="T10" s="309"/>
      <c r="U10" s="309"/>
      <c r="V10" s="309"/>
      <c r="W10" s="309"/>
      <c r="X10" s="309"/>
      <c r="Y10" s="309"/>
      <c r="Z10" s="286"/>
    </row>
    <row r="11" spans="1:26" ht="15.9" customHeight="1" x14ac:dyDescent="0.25">
      <c r="A11" s="255"/>
      <c r="B11" s="308" t="s">
        <v>15</v>
      </c>
      <c r="C11" s="308"/>
      <c r="D11" s="308"/>
      <c r="E11" s="308"/>
      <c r="F11" s="308"/>
      <c r="G11" s="308"/>
      <c r="H11" s="287" t="s">
        <v>94</v>
      </c>
      <c r="I11" s="287"/>
      <c r="J11" s="287"/>
      <c r="K11" s="287"/>
      <c r="L11" s="287"/>
      <c r="M11" s="287"/>
      <c r="N11" s="308" t="s">
        <v>16</v>
      </c>
      <c r="O11" s="308"/>
      <c r="P11" s="308"/>
      <c r="Q11" s="308"/>
      <c r="R11" s="308"/>
      <c r="S11" s="309" t="s">
        <v>80</v>
      </c>
      <c r="T11" s="309"/>
      <c r="U11" s="309"/>
      <c r="V11" s="309"/>
      <c r="W11" s="309"/>
      <c r="X11" s="309"/>
      <c r="Y11" s="309"/>
      <c r="Z11" s="286"/>
    </row>
    <row r="12" spans="1:26" ht="15.9" customHeight="1" x14ac:dyDescent="0.25">
      <c r="A12" s="255"/>
      <c r="B12" s="308" t="s">
        <v>18</v>
      </c>
      <c r="C12" s="308"/>
      <c r="D12" s="308"/>
      <c r="E12" s="308"/>
      <c r="F12" s="308"/>
      <c r="G12" s="308"/>
      <c r="H12" s="317" t="s">
        <v>84</v>
      </c>
      <c r="I12" s="317"/>
      <c r="J12" s="317"/>
      <c r="K12" s="317"/>
      <c r="L12" s="317"/>
      <c r="M12" s="317"/>
      <c r="N12" s="308" t="s">
        <v>20</v>
      </c>
      <c r="O12" s="308"/>
      <c r="P12" s="308"/>
      <c r="Q12" s="308"/>
      <c r="R12" s="308"/>
      <c r="S12" s="309" t="s">
        <v>21</v>
      </c>
      <c r="T12" s="309"/>
      <c r="U12" s="309"/>
      <c r="V12" s="309"/>
      <c r="W12" s="309"/>
      <c r="X12" s="309"/>
      <c r="Y12" s="309"/>
      <c r="Z12" s="286"/>
    </row>
    <row r="13" spans="1:26" ht="8.25" customHeight="1" x14ac:dyDescent="0.25">
      <c r="A13" s="285"/>
      <c r="B13" s="251"/>
      <c r="C13" s="251"/>
      <c r="D13" s="284"/>
      <c r="E13" s="284"/>
      <c r="F13" s="284"/>
      <c r="G13" s="284"/>
      <c r="H13" s="251"/>
      <c r="I13" s="251"/>
      <c r="J13" s="251"/>
      <c r="K13" s="251"/>
      <c r="L13" s="251"/>
      <c r="M13" s="251"/>
      <c r="N13" s="283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0"/>
    </row>
    <row r="14" spans="1:26" s="223" customFormat="1" ht="15" customHeight="1" x14ac:dyDescent="0.25">
      <c r="B14" s="281"/>
      <c r="C14" s="281"/>
      <c r="K14" s="282"/>
      <c r="L14" s="281"/>
      <c r="M14" s="280"/>
    </row>
    <row r="15" spans="1:26" s="223" customFormat="1" ht="15.6" customHeight="1" x14ac:dyDescent="0.25">
      <c r="A15" s="267" t="s">
        <v>22</v>
      </c>
      <c r="B15" s="279" t="s">
        <v>23</v>
      </c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7"/>
    </row>
    <row r="16" spans="1:26" s="223" customFormat="1" ht="15" customHeight="1" x14ac:dyDescent="0.25">
      <c r="A16" s="274"/>
      <c r="B16" s="276"/>
      <c r="Z16" s="275"/>
    </row>
    <row r="17" spans="1:26" s="223" customFormat="1" ht="15" customHeight="1" x14ac:dyDescent="0.25">
      <c r="A17" s="274"/>
      <c r="B17" s="358" t="s">
        <v>24</v>
      </c>
      <c r="C17" s="358"/>
      <c r="D17" s="358"/>
      <c r="E17" s="358"/>
      <c r="F17" s="358"/>
      <c r="G17" s="358"/>
      <c r="H17" s="358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272"/>
    </row>
    <row r="18" spans="1:26" s="223" customFormat="1" ht="15" customHeight="1" x14ac:dyDescent="0.25">
      <c r="A18" s="274"/>
      <c r="B18" s="358" t="s">
        <v>25</v>
      </c>
      <c r="C18" s="358"/>
      <c r="D18" s="358"/>
      <c r="E18" s="358"/>
      <c r="F18" s="358"/>
      <c r="G18" s="358"/>
      <c r="H18" s="358"/>
      <c r="I18" s="373" t="s">
        <v>26</v>
      </c>
      <c r="J18" s="373"/>
      <c r="K18" s="273">
        <v>80</v>
      </c>
      <c r="L18" s="273" t="s">
        <v>27</v>
      </c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2"/>
    </row>
    <row r="19" spans="1:26" s="223" customFormat="1" ht="13.2" customHeight="1" x14ac:dyDescent="0.25">
      <c r="A19" s="271"/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69"/>
    </row>
    <row r="20" spans="1:26" ht="12.75" customHeight="1" x14ac:dyDescent="0.25">
      <c r="D20" s="222"/>
      <c r="E20" s="222"/>
      <c r="F20" s="222"/>
      <c r="G20" s="222"/>
      <c r="N20" s="268"/>
    </row>
    <row r="21" spans="1:26" ht="15.9" customHeight="1" x14ac:dyDescent="0.25">
      <c r="A21" s="267" t="s">
        <v>28</v>
      </c>
      <c r="B21" s="266" t="s">
        <v>29</v>
      </c>
      <c r="C21" s="264"/>
      <c r="D21" s="265"/>
      <c r="E21" s="265"/>
      <c r="F21" s="265"/>
      <c r="G21" s="265"/>
      <c r="H21" s="264"/>
      <c r="I21" s="264"/>
      <c r="J21" s="258" t="s">
        <v>30</v>
      </c>
      <c r="K21" s="258"/>
      <c r="L21" s="263"/>
      <c r="M21" s="262"/>
      <c r="N21" s="262"/>
      <c r="O21" s="262"/>
      <c r="P21" s="262"/>
      <c r="Q21" s="258">
        <v>600</v>
      </c>
      <c r="R21" s="243"/>
      <c r="S21" s="243"/>
      <c r="T21" s="243"/>
      <c r="U21" s="243"/>
      <c r="V21" s="243"/>
      <c r="W21" s="243"/>
      <c r="X21" s="243"/>
      <c r="Y21" s="243"/>
      <c r="Z21" s="261"/>
    </row>
    <row r="22" spans="1:26" ht="12.75" customHeight="1" x14ac:dyDescent="0.25">
      <c r="A22" s="255"/>
      <c r="B22" s="260"/>
      <c r="K22" s="259"/>
      <c r="L22" s="259"/>
      <c r="M22" s="259"/>
      <c r="N22" s="259"/>
      <c r="O22" s="259"/>
      <c r="P22" s="259"/>
      <c r="Q22" s="259"/>
      <c r="Z22" s="254"/>
    </row>
    <row r="23" spans="1:26" ht="15.75" customHeight="1" x14ac:dyDescent="0.25">
      <c r="A23" s="255"/>
      <c r="B23" s="359" t="s">
        <v>31</v>
      </c>
      <c r="C23" s="339" t="s">
        <v>32</v>
      </c>
      <c r="D23" s="339"/>
      <c r="E23" s="339"/>
      <c r="F23" s="339"/>
      <c r="G23" s="340"/>
      <c r="H23" s="377" t="s">
        <v>33</v>
      </c>
      <c r="I23" s="378"/>
      <c r="J23" s="379"/>
      <c r="K23" s="339" t="s">
        <v>34</v>
      </c>
      <c r="L23" s="339"/>
      <c r="M23" s="339"/>
      <c r="N23" s="339"/>
      <c r="O23" s="339"/>
      <c r="P23" s="340"/>
      <c r="Z23" s="254"/>
    </row>
    <row r="24" spans="1:26" ht="15.75" customHeight="1" x14ac:dyDescent="0.25">
      <c r="A24" s="255"/>
      <c r="B24" s="360"/>
      <c r="C24" s="341"/>
      <c r="D24" s="341"/>
      <c r="E24" s="341"/>
      <c r="F24" s="341"/>
      <c r="G24" s="342"/>
      <c r="H24" s="374" t="s">
        <v>35</v>
      </c>
      <c r="I24" s="375"/>
      <c r="J24" s="376"/>
      <c r="K24" s="341"/>
      <c r="L24" s="341"/>
      <c r="M24" s="341"/>
      <c r="N24" s="341"/>
      <c r="O24" s="341"/>
      <c r="P24" s="342"/>
      <c r="Z24" s="254"/>
    </row>
    <row r="25" spans="1:26" ht="19.2" customHeight="1" x14ac:dyDescent="0.25">
      <c r="A25" s="255"/>
      <c r="B25" s="257">
        <v>1</v>
      </c>
      <c r="C25" s="290" t="s">
        <v>93</v>
      </c>
      <c r="D25" s="291"/>
      <c r="E25" s="291"/>
      <c r="F25" s="291"/>
      <c r="G25" s="292"/>
      <c r="H25" s="293">
        <v>85.3</v>
      </c>
      <c r="I25" s="294"/>
      <c r="J25" s="295"/>
      <c r="K25" s="422" t="s">
        <v>85</v>
      </c>
      <c r="L25" s="423"/>
      <c r="M25" s="423"/>
      <c r="N25" s="423"/>
      <c r="O25" s="423"/>
      <c r="P25" s="424"/>
      <c r="Z25" s="254"/>
    </row>
    <row r="26" spans="1:26" ht="19.5" customHeight="1" x14ac:dyDescent="0.25">
      <c r="A26" s="255"/>
      <c r="B26" s="257">
        <v>2</v>
      </c>
      <c r="C26" s="290" t="s">
        <v>95</v>
      </c>
      <c r="D26" s="291"/>
      <c r="E26" s="291"/>
      <c r="F26" s="291"/>
      <c r="G26" s="292"/>
      <c r="H26" s="293">
        <v>88.2</v>
      </c>
      <c r="I26" s="294"/>
      <c r="J26" s="295"/>
      <c r="K26" s="335"/>
      <c r="L26" s="336"/>
      <c r="M26" s="336"/>
      <c r="N26" s="336"/>
      <c r="O26" s="336"/>
      <c r="P26" s="425"/>
      <c r="Z26" s="254"/>
    </row>
    <row r="27" spans="1:26" ht="19.5" customHeight="1" x14ac:dyDescent="0.25">
      <c r="A27" s="255"/>
      <c r="B27" s="257">
        <v>3</v>
      </c>
      <c r="C27" s="290" t="s">
        <v>89</v>
      </c>
      <c r="D27" s="291"/>
      <c r="E27" s="291"/>
      <c r="F27" s="291"/>
      <c r="G27" s="292"/>
      <c r="H27" s="293">
        <v>150</v>
      </c>
      <c r="I27" s="294"/>
      <c r="J27" s="295"/>
      <c r="K27" s="335"/>
      <c r="L27" s="336"/>
      <c r="M27" s="336"/>
      <c r="N27" s="336"/>
      <c r="O27" s="336"/>
      <c r="P27" s="425"/>
      <c r="Z27" s="254"/>
    </row>
    <row r="28" spans="1:26" ht="19.5" customHeight="1" x14ac:dyDescent="0.25">
      <c r="A28" s="255"/>
      <c r="B28" s="257">
        <v>4</v>
      </c>
      <c r="C28" s="290" t="s">
        <v>88</v>
      </c>
      <c r="D28" s="291"/>
      <c r="E28" s="291"/>
      <c r="F28" s="291"/>
      <c r="G28" s="292"/>
      <c r="H28" s="293">
        <v>180</v>
      </c>
      <c r="I28" s="294"/>
      <c r="J28" s="295"/>
      <c r="K28" s="335"/>
      <c r="L28" s="336"/>
      <c r="M28" s="336"/>
      <c r="N28" s="336"/>
      <c r="O28" s="336"/>
      <c r="P28" s="425"/>
      <c r="Z28" s="254"/>
    </row>
    <row r="29" spans="1:26" ht="19.5" customHeight="1" x14ac:dyDescent="0.25">
      <c r="A29" s="255"/>
      <c r="B29" s="257">
        <v>5</v>
      </c>
      <c r="C29" s="290" t="s">
        <v>79</v>
      </c>
      <c r="D29" s="291"/>
      <c r="E29" s="291"/>
      <c r="F29" s="291"/>
      <c r="G29" s="292"/>
      <c r="H29" s="293">
        <v>109.8</v>
      </c>
      <c r="I29" s="294"/>
      <c r="J29" s="295"/>
      <c r="K29" s="426"/>
      <c r="L29" s="427"/>
      <c r="M29" s="427"/>
      <c r="N29" s="427"/>
      <c r="O29" s="427"/>
      <c r="P29" s="428"/>
      <c r="Z29" s="254"/>
    </row>
    <row r="30" spans="1:26" ht="19.5" customHeight="1" x14ac:dyDescent="0.25">
      <c r="A30" s="255"/>
      <c r="B30" s="257">
        <v>6</v>
      </c>
      <c r="C30" s="290" t="s">
        <v>90</v>
      </c>
      <c r="D30" s="291"/>
      <c r="E30" s="291"/>
      <c r="F30" s="291"/>
      <c r="G30" s="292"/>
      <c r="H30" s="293">
        <v>121.6</v>
      </c>
      <c r="I30" s="294"/>
      <c r="J30" s="295"/>
      <c r="K30" s="335" t="s">
        <v>86</v>
      </c>
      <c r="L30" s="336"/>
      <c r="M30" s="336"/>
      <c r="N30" s="336"/>
      <c r="O30" s="336"/>
      <c r="P30" s="425"/>
      <c r="Z30" s="254"/>
    </row>
    <row r="31" spans="1:26" ht="19.5" customHeight="1" x14ac:dyDescent="0.25">
      <c r="A31" s="255"/>
      <c r="B31" s="257">
        <v>7</v>
      </c>
      <c r="C31" s="290" t="s">
        <v>88</v>
      </c>
      <c r="D31" s="291"/>
      <c r="E31" s="291"/>
      <c r="F31" s="291"/>
      <c r="G31" s="292"/>
      <c r="H31" s="293">
        <v>112.5</v>
      </c>
      <c r="I31" s="294"/>
      <c r="J31" s="295"/>
      <c r="K31" s="335"/>
      <c r="L31" s="336"/>
      <c r="M31" s="336"/>
      <c r="N31" s="336"/>
      <c r="O31" s="336"/>
      <c r="P31" s="425"/>
      <c r="Z31" s="254"/>
    </row>
    <row r="32" spans="1:26" ht="19.5" customHeight="1" x14ac:dyDescent="0.25">
      <c r="A32" s="255"/>
      <c r="B32" s="257">
        <v>8</v>
      </c>
      <c r="C32" s="290" t="s">
        <v>91</v>
      </c>
      <c r="D32" s="291"/>
      <c r="E32" s="291"/>
      <c r="F32" s="291"/>
      <c r="G32" s="292"/>
      <c r="H32" s="293">
        <v>80.400000000000006</v>
      </c>
      <c r="I32" s="294"/>
      <c r="J32" s="295"/>
      <c r="K32" s="335"/>
      <c r="L32" s="336"/>
      <c r="M32" s="336"/>
      <c r="N32" s="336"/>
      <c r="O32" s="336"/>
      <c r="P32" s="425"/>
      <c r="Z32" s="254"/>
    </row>
    <row r="33" spans="1:26" ht="19.5" customHeight="1" x14ac:dyDescent="0.25">
      <c r="A33" s="255"/>
      <c r="B33" s="257">
        <v>9</v>
      </c>
      <c r="C33" s="290" t="s">
        <v>92</v>
      </c>
      <c r="D33" s="291"/>
      <c r="E33" s="291"/>
      <c r="F33" s="291"/>
      <c r="G33" s="292"/>
      <c r="H33" s="293">
        <v>88.2</v>
      </c>
      <c r="I33" s="294"/>
      <c r="J33" s="295"/>
      <c r="K33" s="335"/>
      <c r="L33" s="336"/>
      <c r="M33" s="336"/>
      <c r="N33" s="336"/>
      <c r="O33" s="336"/>
      <c r="P33" s="425"/>
      <c r="Z33" s="254"/>
    </row>
    <row r="34" spans="1:26" ht="19.5" customHeight="1" x14ac:dyDescent="0.25">
      <c r="A34" s="255"/>
      <c r="B34" s="257">
        <v>10</v>
      </c>
      <c r="C34" s="290" t="s">
        <v>87</v>
      </c>
      <c r="D34" s="291"/>
      <c r="E34" s="291"/>
      <c r="F34" s="291"/>
      <c r="G34" s="292"/>
      <c r="H34" s="293">
        <v>102.3</v>
      </c>
      <c r="I34" s="294"/>
      <c r="J34" s="295"/>
      <c r="K34" s="429"/>
      <c r="L34" s="430"/>
      <c r="M34" s="430"/>
      <c r="N34" s="430"/>
      <c r="O34" s="430"/>
      <c r="P34" s="431"/>
      <c r="Z34" s="254"/>
    </row>
    <row r="35" spans="1:26" ht="19.5" customHeight="1" x14ac:dyDescent="0.25">
      <c r="A35" s="255"/>
      <c r="B35" s="257"/>
      <c r="C35" s="366"/>
      <c r="D35" s="367"/>
      <c r="E35" s="367"/>
      <c r="F35" s="367"/>
      <c r="G35" s="368"/>
      <c r="H35" s="293"/>
      <c r="I35" s="294"/>
      <c r="J35" s="295"/>
      <c r="K35" s="366"/>
      <c r="L35" s="367"/>
      <c r="M35" s="367"/>
      <c r="N35" s="367"/>
      <c r="O35" s="367"/>
      <c r="P35" s="368"/>
      <c r="Z35" s="254"/>
    </row>
    <row r="36" spans="1:26" ht="19.5" customHeight="1" x14ac:dyDescent="0.25">
      <c r="A36" s="255"/>
      <c r="B36" s="257"/>
      <c r="C36" s="366"/>
      <c r="D36" s="367"/>
      <c r="E36" s="367"/>
      <c r="F36" s="367"/>
      <c r="G36" s="368"/>
      <c r="H36" s="293"/>
      <c r="I36" s="294"/>
      <c r="J36" s="295"/>
      <c r="K36" s="366"/>
      <c r="L36" s="367"/>
      <c r="M36" s="367"/>
      <c r="N36" s="367"/>
      <c r="O36" s="367"/>
      <c r="P36" s="368"/>
      <c r="Z36" s="254"/>
    </row>
    <row r="37" spans="1:26" ht="19.5" customHeight="1" x14ac:dyDescent="0.25">
      <c r="A37" s="255"/>
      <c r="B37" s="257"/>
      <c r="C37" s="366"/>
      <c r="D37" s="367"/>
      <c r="E37" s="367"/>
      <c r="F37" s="367"/>
      <c r="G37" s="368"/>
      <c r="H37" s="293"/>
      <c r="I37" s="294"/>
      <c r="J37" s="295"/>
      <c r="K37" s="366"/>
      <c r="L37" s="367"/>
      <c r="M37" s="367"/>
      <c r="N37" s="367"/>
      <c r="O37" s="367"/>
      <c r="P37" s="368"/>
      <c r="Z37" s="254"/>
    </row>
    <row r="38" spans="1:26" ht="19.5" customHeight="1" x14ac:dyDescent="0.25">
      <c r="A38" s="255"/>
      <c r="B38" s="257"/>
      <c r="C38" s="366"/>
      <c r="D38" s="367"/>
      <c r="E38" s="367"/>
      <c r="F38" s="367"/>
      <c r="G38" s="368"/>
      <c r="H38" s="293"/>
      <c r="I38" s="294"/>
      <c r="J38" s="295"/>
      <c r="K38" s="366"/>
      <c r="L38" s="367"/>
      <c r="M38" s="367"/>
      <c r="N38" s="367"/>
      <c r="O38" s="367"/>
      <c r="P38" s="368"/>
      <c r="Z38" s="254"/>
    </row>
    <row r="39" spans="1:26" ht="19.5" customHeight="1" x14ac:dyDescent="0.25">
      <c r="A39" s="255"/>
      <c r="B39" s="257"/>
      <c r="C39" s="366"/>
      <c r="D39" s="367"/>
      <c r="E39" s="367"/>
      <c r="F39" s="367"/>
      <c r="G39" s="368"/>
      <c r="H39" s="293"/>
      <c r="I39" s="294"/>
      <c r="J39" s="295"/>
      <c r="K39" s="366"/>
      <c r="L39" s="367"/>
      <c r="M39" s="367"/>
      <c r="N39" s="367"/>
      <c r="O39" s="367"/>
      <c r="P39" s="368"/>
      <c r="Z39" s="254"/>
    </row>
    <row r="40" spans="1:26" ht="19.5" customHeight="1" x14ac:dyDescent="0.25">
      <c r="A40" s="255"/>
      <c r="B40" s="257"/>
      <c r="C40" s="366"/>
      <c r="D40" s="367"/>
      <c r="E40" s="367"/>
      <c r="F40" s="367"/>
      <c r="G40" s="368"/>
      <c r="H40" s="293"/>
      <c r="I40" s="294"/>
      <c r="J40" s="295"/>
      <c r="K40" s="366"/>
      <c r="L40" s="367"/>
      <c r="M40" s="367"/>
      <c r="N40" s="367"/>
      <c r="O40" s="367"/>
      <c r="P40" s="368"/>
      <c r="Z40" s="254"/>
    </row>
    <row r="41" spans="1:26" ht="19.5" customHeight="1" x14ac:dyDescent="0.25">
      <c r="A41" s="255"/>
      <c r="B41" s="257"/>
      <c r="C41" s="366"/>
      <c r="D41" s="367"/>
      <c r="E41" s="367"/>
      <c r="F41" s="367"/>
      <c r="G41" s="368"/>
      <c r="H41" s="293"/>
      <c r="I41" s="294"/>
      <c r="J41" s="295"/>
      <c r="K41" s="366"/>
      <c r="L41" s="367"/>
      <c r="M41" s="367"/>
      <c r="N41" s="367"/>
      <c r="O41" s="367"/>
      <c r="P41" s="368"/>
      <c r="Z41" s="254"/>
    </row>
    <row r="42" spans="1:26" ht="19.5" customHeight="1" x14ac:dyDescent="0.25">
      <c r="A42" s="255"/>
      <c r="B42" s="257"/>
      <c r="C42" s="366"/>
      <c r="D42" s="367"/>
      <c r="E42" s="367"/>
      <c r="F42" s="367"/>
      <c r="G42" s="368"/>
      <c r="H42" s="293"/>
      <c r="I42" s="294"/>
      <c r="J42" s="295"/>
      <c r="K42" s="366"/>
      <c r="L42" s="367"/>
      <c r="M42" s="367"/>
      <c r="N42" s="367"/>
      <c r="O42" s="367"/>
      <c r="P42" s="368"/>
      <c r="Z42" s="254"/>
    </row>
    <row r="43" spans="1:26" ht="19.5" customHeight="1" x14ac:dyDescent="0.25">
      <c r="A43" s="255"/>
      <c r="B43" s="257"/>
      <c r="C43" s="366"/>
      <c r="D43" s="367"/>
      <c r="E43" s="367"/>
      <c r="F43" s="367"/>
      <c r="G43" s="368"/>
      <c r="H43" s="293"/>
      <c r="I43" s="294"/>
      <c r="J43" s="295"/>
      <c r="K43" s="366"/>
      <c r="L43" s="367"/>
      <c r="M43" s="367"/>
      <c r="N43" s="367"/>
      <c r="O43" s="367"/>
      <c r="P43" s="368"/>
      <c r="Z43" s="254"/>
    </row>
    <row r="44" spans="1:26" ht="19.5" customHeight="1" x14ac:dyDescent="0.25">
      <c r="A44" s="255"/>
      <c r="B44" s="257"/>
      <c r="C44" s="366"/>
      <c r="D44" s="367"/>
      <c r="E44" s="367"/>
      <c r="F44" s="367"/>
      <c r="G44" s="368"/>
      <c r="H44" s="293"/>
      <c r="I44" s="294"/>
      <c r="J44" s="295"/>
      <c r="K44" s="366"/>
      <c r="L44" s="367"/>
      <c r="M44" s="367"/>
      <c r="N44" s="367"/>
      <c r="O44" s="367"/>
      <c r="P44" s="368"/>
      <c r="Z44" s="254"/>
    </row>
    <row r="45" spans="1:26" ht="19.5" customHeight="1" x14ac:dyDescent="0.25">
      <c r="A45" s="255"/>
      <c r="B45" s="257"/>
      <c r="C45" s="366"/>
      <c r="D45" s="367"/>
      <c r="E45" s="367"/>
      <c r="F45" s="367"/>
      <c r="G45" s="368"/>
      <c r="H45" s="293"/>
      <c r="I45" s="294"/>
      <c r="J45" s="295"/>
      <c r="K45" s="366"/>
      <c r="L45" s="367"/>
      <c r="M45" s="367"/>
      <c r="N45" s="367"/>
      <c r="O45" s="367"/>
      <c r="P45" s="368"/>
      <c r="Z45" s="254"/>
    </row>
    <row r="46" spans="1:26" ht="19.5" customHeight="1" x14ac:dyDescent="0.25">
      <c r="A46" s="255"/>
      <c r="B46" s="257"/>
      <c r="C46" s="366"/>
      <c r="D46" s="367"/>
      <c r="E46" s="367"/>
      <c r="F46" s="367"/>
      <c r="G46" s="368"/>
      <c r="H46" s="293"/>
      <c r="I46" s="294"/>
      <c r="J46" s="295"/>
      <c r="K46" s="366"/>
      <c r="L46" s="367"/>
      <c r="M46" s="367"/>
      <c r="N46" s="367"/>
      <c r="O46" s="367"/>
      <c r="P46" s="368"/>
      <c r="Z46" s="254"/>
    </row>
    <row r="47" spans="1:26" ht="19.5" customHeight="1" thickBot="1" x14ac:dyDescent="0.3">
      <c r="A47" s="255"/>
      <c r="B47" s="256"/>
      <c r="C47" s="361"/>
      <c r="D47" s="361"/>
      <c r="E47" s="361"/>
      <c r="F47" s="361"/>
      <c r="G47" s="362"/>
      <c r="H47" s="369"/>
      <c r="I47" s="370"/>
      <c r="J47" s="371"/>
      <c r="K47" s="372"/>
      <c r="L47" s="361"/>
      <c r="M47" s="361"/>
      <c r="N47" s="361"/>
      <c r="O47" s="361"/>
      <c r="P47" s="362"/>
      <c r="Z47" s="254"/>
    </row>
    <row r="48" spans="1:26" ht="15.75" customHeight="1" x14ac:dyDescent="0.25">
      <c r="A48" s="255"/>
      <c r="B48" s="419" t="s">
        <v>37</v>
      </c>
      <c r="C48" s="420"/>
      <c r="D48" s="420"/>
      <c r="E48" s="420"/>
      <c r="F48" s="420"/>
      <c r="G48" s="421"/>
      <c r="H48" s="347">
        <f>AVERAGE(H26:J47)</f>
        <v>114.77777777777777</v>
      </c>
      <c r="I48" s="294"/>
      <c r="J48" s="295"/>
      <c r="K48" s="333">
        <v>100</v>
      </c>
      <c r="L48" s="334"/>
      <c r="M48" s="327" t="s">
        <v>39</v>
      </c>
      <c r="N48" s="327"/>
      <c r="O48" s="327"/>
      <c r="P48" s="328"/>
      <c r="Z48" s="254"/>
    </row>
    <row r="49" spans="1:26" ht="15.75" customHeight="1" x14ac:dyDescent="0.25">
      <c r="A49" s="255"/>
      <c r="B49" s="363" t="s">
        <v>40</v>
      </c>
      <c r="C49" s="364"/>
      <c r="D49" s="364"/>
      <c r="E49" s="364"/>
      <c r="F49" s="364"/>
      <c r="G49" s="365"/>
      <c r="H49" s="347">
        <f>IF(COUNTIF(H26:J47,"*&lt;20*"),"&lt;20",MIN(H26:J47))</f>
        <v>80.400000000000006</v>
      </c>
      <c r="I49" s="294"/>
      <c r="J49" s="295"/>
      <c r="K49" s="335"/>
      <c r="L49" s="336"/>
      <c r="M49" s="329"/>
      <c r="N49" s="329"/>
      <c r="O49" s="329"/>
      <c r="P49" s="330"/>
      <c r="Z49" s="254"/>
    </row>
    <row r="50" spans="1:26" ht="15.75" customHeight="1" thickBot="1" x14ac:dyDescent="0.3">
      <c r="A50" s="255"/>
      <c r="B50" s="416" t="s">
        <v>41</v>
      </c>
      <c r="C50" s="417"/>
      <c r="D50" s="417"/>
      <c r="E50" s="417"/>
      <c r="F50" s="417"/>
      <c r="G50" s="418"/>
      <c r="H50" s="344">
        <f>IF(COUNTIF(H26:J47,"*&gt;250*"),"&gt;250",MAX(H26:J47))</f>
        <v>180</v>
      </c>
      <c r="I50" s="345"/>
      <c r="J50" s="346"/>
      <c r="K50" s="337"/>
      <c r="L50" s="338"/>
      <c r="M50" s="331"/>
      <c r="N50" s="331"/>
      <c r="O50" s="331"/>
      <c r="P50" s="332"/>
      <c r="Z50" s="254"/>
    </row>
    <row r="51" spans="1:26" ht="15.9" customHeight="1" x14ac:dyDescent="0.25">
      <c r="A51" s="253"/>
      <c r="B51" s="252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0"/>
    </row>
    <row r="52" spans="1:26" ht="12.75" customHeight="1" x14ac:dyDescent="0.25">
      <c r="A52" s="249"/>
      <c r="B52" s="248"/>
    </row>
    <row r="53" spans="1:26" s="223" customFormat="1" ht="15" customHeight="1" x14ac:dyDescent="0.25">
      <c r="A53" s="247" t="s">
        <v>42</v>
      </c>
      <c r="B53" s="246" t="s">
        <v>43</v>
      </c>
      <c r="C53" s="245"/>
      <c r="D53" s="245"/>
      <c r="E53" s="245"/>
      <c r="F53" s="244"/>
      <c r="G53" s="244"/>
      <c r="H53" s="244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2"/>
      <c r="V53" s="241"/>
      <c r="W53" s="241"/>
      <c r="X53" s="240"/>
      <c r="Y53" s="240"/>
      <c r="Z53" s="239"/>
    </row>
    <row r="54" spans="1:26" s="223" customFormat="1" ht="28.5" customHeight="1" x14ac:dyDescent="0.25">
      <c r="A54" s="413" t="s">
        <v>44</v>
      </c>
      <c r="B54" s="414"/>
      <c r="C54" s="414"/>
      <c r="D54" s="414"/>
      <c r="E54" s="414"/>
      <c r="F54" s="414"/>
      <c r="G54" s="414"/>
      <c r="H54" s="414"/>
      <c r="I54" s="414"/>
      <c r="J54" s="414"/>
      <c r="K54" s="414"/>
      <c r="L54" s="414"/>
      <c r="M54" s="414"/>
      <c r="N54" s="414"/>
      <c r="O54" s="414"/>
      <c r="P54" s="414"/>
      <c r="Q54" s="415"/>
      <c r="R54" s="386" t="s">
        <v>45</v>
      </c>
      <c r="S54" s="387"/>
      <c r="T54" s="388"/>
      <c r="U54" s="392" t="s">
        <v>63</v>
      </c>
      <c r="V54" s="393"/>
      <c r="W54" s="393"/>
      <c r="X54" s="394"/>
      <c r="Y54" s="394"/>
      <c r="Z54" s="395"/>
    </row>
    <row r="55" spans="1:26" s="223" customFormat="1" ht="15.6" customHeight="1" x14ac:dyDescent="0.25">
      <c r="A55" s="396" t="s">
        <v>62</v>
      </c>
      <c r="B55" s="397"/>
      <c r="C55" s="397"/>
      <c r="D55" s="397"/>
      <c r="E55" s="397"/>
      <c r="F55" s="397"/>
      <c r="G55" s="397"/>
      <c r="H55" s="397"/>
      <c r="I55" s="397"/>
      <c r="J55" s="397"/>
      <c r="K55" s="397"/>
      <c r="L55" s="397"/>
      <c r="M55" s="397"/>
      <c r="N55" s="397"/>
      <c r="O55" s="397"/>
      <c r="P55" s="397"/>
      <c r="Q55" s="398"/>
      <c r="R55" s="386" t="s">
        <v>46</v>
      </c>
      <c r="S55" s="387"/>
      <c r="T55" s="388"/>
      <c r="U55" s="402" t="s">
        <v>61</v>
      </c>
      <c r="V55" s="403"/>
      <c r="W55" s="403"/>
      <c r="X55" s="404"/>
      <c r="Y55" s="404"/>
      <c r="Z55" s="405"/>
    </row>
    <row r="56" spans="1:26" s="223" customFormat="1" ht="15.6" customHeight="1" x14ac:dyDescent="0.25">
      <c r="A56" s="399"/>
      <c r="B56" s="400"/>
      <c r="C56" s="400"/>
      <c r="D56" s="400"/>
      <c r="E56" s="400"/>
      <c r="F56" s="400"/>
      <c r="G56" s="400"/>
      <c r="H56" s="400"/>
      <c r="I56" s="400"/>
      <c r="J56" s="400"/>
      <c r="K56" s="400"/>
      <c r="L56" s="400"/>
      <c r="M56" s="400"/>
      <c r="N56" s="400"/>
      <c r="O56" s="400"/>
      <c r="P56" s="400"/>
      <c r="Q56" s="401"/>
      <c r="R56" s="386"/>
      <c r="S56" s="387"/>
      <c r="T56" s="388"/>
      <c r="U56" s="406"/>
      <c r="V56" s="329"/>
      <c r="W56" s="329"/>
      <c r="X56" s="407"/>
      <c r="Y56" s="407"/>
      <c r="Z56" s="408"/>
    </row>
    <row r="57" spans="1:26" s="223" customFormat="1" ht="15.6" customHeight="1" x14ac:dyDescent="0.25">
      <c r="A57" s="238" t="s">
        <v>48</v>
      </c>
      <c r="B57" s="237" t="s">
        <v>49</v>
      </c>
      <c r="C57" s="221"/>
      <c r="D57" s="221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5"/>
      <c r="R57" s="386"/>
      <c r="S57" s="387"/>
      <c r="T57" s="388"/>
      <c r="U57" s="409"/>
      <c r="V57" s="410"/>
      <c r="W57" s="410"/>
      <c r="X57" s="411"/>
      <c r="Y57" s="411"/>
      <c r="Z57" s="412"/>
    </row>
    <row r="58" spans="1:26" s="223" customFormat="1" ht="15.6" customHeight="1" x14ac:dyDescent="0.25">
      <c r="A58" s="380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2"/>
      <c r="R58" s="386" t="s">
        <v>50</v>
      </c>
      <c r="S58" s="387"/>
      <c r="T58" s="388"/>
      <c r="U58" s="234"/>
      <c r="V58" s="233"/>
      <c r="W58" s="233"/>
      <c r="X58" s="233"/>
      <c r="Y58" s="233"/>
      <c r="Z58" s="232"/>
    </row>
    <row r="59" spans="1:26" s="223" customFormat="1" ht="15.6" customHeight="1" x14ac:dyDescent="0.25">
      <c r="A59" s="380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2"/>
      <c r="R59" s="386"/>
      <c r="S59" s="387"/>
      <c r="T59" s="388"/>
      <c r="U59" s="231"/>
      <c r="V59" s="329"/>
      <c r="W59" s="329"/>
      <c r="X59" s="329"/>
      <c r="Y59" s="329"/>
      <c r="Z59" s="230"/>
    </row>
    <row r="60" spans="1:26" s="223" customFormat="1" ht="15.6" customHeight="1" x14ac:dyDescent="0.25">
      <c r="A60" s="380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2"/>
      <c r="R60" s="386"/>
      <c r="S60" s="387"/>
      <c r="T60" s="388"/>
      <c r="U60" s="231"/>
      <c r="V60" s="329"/>
      <c r="W60" s="329"/>
      <c r="X60" s="329"/>
      <c r="Y60" s="329"/>
      <c r="Z60" s="230"/>
    </row>
    <row r="61" spans="1:26" s="223" customFormat="1" ht="15.6" customHeight="1" x14ac:dyDescent="0.25">
      <c r="A61" s="383"/>
      <c r="B61" s="384"/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5"/>
      <c r="R61" s="389"/>
      <c r="S61" s="390"/>
      <c r="T61" s="391"/>
      <c r="U61" s="229"/>
      <c r="V61" s="228"/>
      <c r="W61" s="228"/>
      <c r="X61" s="228"/>
      <c r="Y61" s="228"/>
      <c r="Z61" s="227"/>
    </row>
    <row r="62" spans="1:26" s="223" customFormat="1" ht="15" customHeight="1" x14ac:dyDescent="0.25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5"/>
      <c r="S62" s="225"/>
      <c r="T62" s="225"/>
      <c r="U62" s="224"/>
      <c r="V62" s="224"/>
      <c r="W62" s="224"/>
      <c r="X62" s="224"/>
      <c r="Y62" s="224"/>
      <c r="Z62" s="224"/>
    </row>
    <row r="64" spans="1:26" ht="12.75" customHeight="1" x14ac:dyDescent="0.25">
      <c r="A64" s="221"/>
    </row>
    <row r="65" spans="1:1" ht="12.75" customHeight="1" x14ac:dyDescent="0.25">
      <c r="A65" s="221"/>
    </row>
    <row r="66" spans="1:1" ht="12.75" customHeight="1" x14ac:dyDescent="0.25">
      <c r="A66" s="221"/>
    </row>
    <row r="67" spans="1:1" ht="12.75" customHeight="1" x14ac:dyDescent="0.25">
      <c r="A67" s="221"/>
    </row>
    <row r="68" spans="1:1" ht="12.75" customHeight="1" x14ac:dyDescent="0.25">
      <c r="A68" s="221"/>
    </row>
    <row r="69" spans="1:1" ht="12.75" customHeight="1" x14ac:dyDescent="0.25">
      <c r="A69" s="221"/>
    </row>
  </sheetData>
  <sheetProtection formatCells="0" formatColumns="0" formatRows="0" insertColumns="0" insertRows="0" insertHyperlinks="0" deleteColumns="0" deleteRows="0" selectLockedCells="1" sort="0" autoFilter="0" pivotTables="0"/>
  <mergeCells count="111">
    <mergeCell ref="K41:P41"/>
    <mergeCell ref="C42:G42"/>
    <mergeCell ref="H42:J42"/>
    <mergeCell ref="K42:P42"/>
    <mergeCell ref="C39:G39"/>
    <mergeCell ref="H39:J39"/>
    <mergeCell ref="K39:P39"/>
    <mergeCell ref="C40:G40"/>
    <mergeCell ref="C36:G36"/>
    <mergeCell ref="H36:J36"/>
    <mergeCell ref="K36:P36"/>
    <mergeCell ref="C37:G37"/>
    <mergeCell ref="H37:J37"/>
    <mergeCell ref="K37:P37"/>
    <mergeCell ref="B50:G50"/>
    <mergeCell ref="B48:G48"/>
    <mergeCell ref="K25:P29"/>
    <mergeCell ref="K30:P34"/>
    <mergeCell ref="C45:G45"/>
    <mergeCell ref="H45:J45"/>
    <mergeCell ref="K45:P45"/>
    <mergeCell ref="C46:G46"/>
    <mergeCell ref="H46:J46"/>
    <mergeCell ref="K46:P46"/>
    <mergeCell ref="C43:G43"/>
    <mergeCell ref="H43:J43"/>
    <mergeCell ref="K43:P43"/>
    <mergeCell ref="C44:G44"/>
    <mergeCell ref="H44:J44"/>
    <mergeCell ref="K44:P44"/>
    <mergeCell ref="C41:G41"/>
    <mergeCell ref="H41:J41"/>
    <mergeCell ref="A58:Q61"/>
    <mergeCell ref="R58:T61"/>
    <mergeCell ref="V59:Y60"/>
    <mergeCell ref="R54:T54"/>
    <mergeCell ref="U54:Z54"/>
    <mergeCell ref="A55:Q56"/>
    <mergeCell ref="R55:T57"/>
    <mergeCell ref="U55:Z57"/>
    <mergeCell ref="H49:J49"/>
    <mergeCell ref="A54:Q54"/>
    <mergeCell ref="B49:G49"/>
    <mergeCell ref="C38:G38"/>
    <mergeCell ref="H38:J38"/>
    <mergeCell ref="K38:P38"/>
    <mergeCell ref="H47:J47"/>
    <mergeCell ref="K47:P47"/>
    <mergeCell ref="I18:J18"/>
    <mergeCell ref="H26:J26"/>
    <mergeCell ref="C26:G26"/>
    <mergeCell ref="H24:J24"/>
    <mergeCell ref="H23:J23"/>
    <mergeCell ref="C28:G28"/>
    <mergeCell ref="H28:J28"/>
    <mergeCell ref="C29:G29"/>
    <mergeCell ref="H29:J29"/>
    <mergeCell ref="C30:G30"/>
    <mergeCell ref="H30:J30"/>
    <mergeCell ref="C31:G31"/>
    <mergeCell ref="H31:J31"/>
    <mergeCell ref="H40:J40"/>
    <mergeCell ref="K40:P40"/>
    <mergeCell ref="C35:G35"/>
    <mergeCell ref="H35:J35"/>
    <mergeCell ref="K35:P35"/>
    <mergeCell ref="M48:P50"/>
    <mergeCell ref="K48:L50"/>
    <mergeCell ref="S12:Y12"/>
    <mergeCell ref="K23:P24"/>
    <mergeCell ref="I17:Y17"/>
    <mergeCell ref="S11:Y11"/>
    <mergeCell ref="H50:J50"/>
    <mergeCell ref="H48:J48"/>
    <mergeCell ref="I5:K5"/>
    <mergeCell ref="I6:K6"/>
    <mergeCell ref="L5:O5"/>
    <mergeCell ref="P5:T5"/>
    <mergeCell ref="L6:O6"/>
    <mergeCell ref="P6:T6"/>
    <mergeCell ref="B18:H18"/>
    <mergeCell ref="B23:B24"/>
    <mergeCell ref="C23:G24"/>
    <mergeCell ref="C27:G27"/>
    <mergeCell ref="H27:J27"/>
    <mergeCell ref="C25:G25"/>
    <mergeCell ref="H25:J25"/>
    <mergeCell ref="N11:R11"/>
    <mergeCell ref="C47:G47"/>
    <mergeCell ref="B17:H17"/>
    <mergeCell ref="C32:G32"/>
    <mergeCell ref="H32:J32"/>
    <mergeCell ref="C33:G33"/>
    <mergeCell ref="H33:J33"/>
    <mergeCell ref="C34:G34"/>
    <mergeCell ref="H34:J3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B12:G12"/>
    <mergeCell ref="B11:G11"/>
    <mergeCell ref="N12:R12"/>
    <mergeCell ref="H12:M1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09FB-1D35-45BC-BC58-7A48EC7FFB37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47" customWidth="1"/>
    <col min="2" max="26" width="5.109375" style="146" customWidth="1"/>
    <col min="27" max="27" width="11.44140625" style="146"/>
    <col min="28" max="16384" width="11.44140625" style="73"/>
  </cols>
  <sheetData>
    <row r="1" spans="1:26" ht="12.75" customHeight="1" x14ac:dyDescent="0.25">
      <c r="A1" s="447"/>
      <c r="B1" s="448"/>
      <c r="C1" s="448"/>
      <c r="D1" s="448"/>
      <c r="E1" s="448"/>
      <c r="F1" s="449"/>
      <c r="G1" s="456" t="s">
        <v>0</v>
      </c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8"/>
      <c r="U1" s="318" t="s">
        <v>78</v>
      </c>
      <c r="V1" s="319"/>
      <c r="W1" s="319"/>
      <c r="X1" s="319"/>
      <c r="Y1" s="319"/>
      <c r="Z1" s="320"/>
    </row>
    <row r="2" spans="1:26" ht="12.75" customHeight="1" x14ac:dyDescent="0.25">
      <c r="A2" s="450"/>
      <c r="B2" s="451"/>
      <c r="C2" s="451"/>
      <c r="D2" s="451"/>
      <c r="E2" s="451"/>
      <c r="F2" s="452"/>
      <c r="G2" s="475" t="s">
        <v>1</v>
      </c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7"/>
      <c r="U2" s="321"/>
      <c r="V2" s="322"/>
      <c r="W2" s="322"/>
      <c r="X2" s="322"/>
      <c r="Y2" s="322"/>
      <c r="Z2" s="323"/>
    </row>
    <row r="3" spans="1:26" ht="12.75" customHeight="1" x14ac:dyDescent="0.25">
      <c r="A3" s="450"/>
      <c r="B3" s="451"/>
      <c r="C3" s="451"/>
      <c r="D3" s="451"/>
      <c r="E3" s="451"/>
      <c r="F3" s="452"/>
      <c r="G3" s="475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7"/>
      <c r="U3" s="321"/>
      <c r="V3" s="322"/>
      <c r="W3" s="322"/>
      <c r="X3" s="322"/>
      <c r="Y3" s="322"/>
      <c r="Z3" s="323"/>
    </row>
    <row r="4" spans="1:26" ht="12.75" customHeight="1" x14ac:dyDescent="0.25">
      <c r="A4" s="450"/>
      <c r="B4" s="451"/>
      <c r="C4" s="451"/>
      <c r="D4" s="451"/>
      <c r="E4" s="451"/>
      <c r="F4" s="452"/>
      <c r="G4" s="475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7"/>
      <c r="U4" s="321"/>
      <c r="V4" s="322"/>
      <c r="W4" s="322"/>
      <c r="X4" s="322"/>
      <c r="Y4" s="322"/>
      <c r="Z4" s="323"/>
    </row>
    <row r="5" spans="1:26" ht="12.75" customHeight="1" x14ac:dyDescent="0.25">
      <c r="A5" s="450"/>
      <c r="B5" s="451"/>
      <c r="C5" s="451"/>
      <c r="D5" s="451"/>
      <c r="E5" s="451"/>
      <c r="F5" s="452"/>
      <c r="G5" s="478" t="s">
        <v>2</v>
      </c>
      <c r="H5" s="479"/>
      <c r="I5" s="437">
        <v>5</v>
      </c>
      <c r="J5" s="437"/>
      <c r="K5" s="438"/>
      <c r="L5" s="440" t="s">
        <v>52</v>
      </c>
      <c r="M5" s="441"/>
      <c r="N5" s="441"/>
      <c r="O5" s="442"/>
      <c r="P5" s="443" t="s">
        <v>75</v>
      </c>
      <c r="Q5" s="444"/>
      <c r="R5" s="444"/>
      <c r="S5" s="444"/>
      <c r="T5" s="445"/>
      <c r="U5" s="321"/>
      <c r="V5" s="322"/>
      <c r="W5" s="322"/>
      <c r="X5" s="322"/>
      <c r="Y5" s="322"/>
      <c r="Z5" s="323"/>
    </row>
    <row r="6" spans="1:26" ht="12.75" customHeight="1" x14ac:dyDescent="0.25">
      <c r="A6" s="453"/>
      <c r="B6" s="454"/>
      <c r="C6" s="454"/>
      <c r="D6" s="454"/>
      <c r="E6" s="454"/>
      <c r="F6" s="455"/>
      <c r="G6" s="220"/>
      <c r="H6" s="176"/>
      <c r="I6" s="439" t="s">
        <v>4</v>
      </c>
      <c r="J6" s="439"/>
      <c r="K6" s="439"/>
      <c r="L6" s="439" t="s">
        <v>5</v>
      </c>
      <c r="M6" s="439"/>
      <c r="N6" s="439"/>
      <c r="O6" s="439"/>
      <c r="P6" s="439" t="s">
        <v>6</v>
      </c>
      <c r="Q6" s="439"/>
      <c r="R6" s="439"/>
      <c r="S6" s="439"/>
      <c r="T6" s="446"/>
      <c r="U6" s="324"/>
      <c r="V6" s="325"/>
      <c r="W6" s="325"/>
      <c r="X6" s="325"/>
      <c r="Y6" s="325"/>
      <c r="Z6" s="326"/>
    </row>
    <row r="7" spans="1:26" ht="36.6" customHeight="1" x14ac:dyDescent="0.25">
      <c r="A7" s="480" t="s">
        <v>7</v>
      </c>
      <c r="B7" s="480"/>
      <c r="C7" s="480"/>
      <c r="D7" s="480"/>
      <c r="E7" s="480"/>
      <c r="F7" s="480"/>
      <c r="G7" s="481" t="s">
        <v>8</v>
      </c>
      <c r="H7" s="481"/>
      <c r="I7" s="481"/>
      <c r="J7" s="481"/>
      <c r="K7" s="481"/>
      <c r="L7" s="481"/>
      <c r="M7" s="481"/>
      <c r="N7" s="481"/>
      <c r="O7" s="481"/>
      <c r="P7" s="481"/>
      <c r="Q7" s="481"/>
      <c r="R7" s="481"/>
      <c r="S7" s="481"/>
      <c r="T7" s="481"/>
      <c r="U7" s="481"/>
      <c r="V7" s="481"/>
      <c r="W7" s="481"/>
      <c r="X7" s="481"/>
      <c r="Y7" s="481"/>
      <c r="Z7" s="481"/>
    </row>
    <row r="8" spans="1:26" ht="15.9" customHeight="1" x14ac:dyDescent="0.25">
      <c r="A8" s="199" t="s">
        <v>9</v>
      </c>
      <c r="B8" s="171" t="s">
        <v>10</v>
      </c>
      <c r="C8" s="168"/>
      <c r="D8" s="219"/>
      <c r="E8" s="219"/>
      <c r="F8" s="219"/>
      <c r="G8" s="219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95"/>
    </row>
    <row r="9" spans="1:26" ht="8.25" customHeight="1" x14ac:dyDescent="0.25">
      <c r="A9" s="180"/>
      <c r="D9" s="147"/>
      <c r="E9" s="147"/>
      <c r="F9" s="147"/>
      <c r="G9" s="147"/>
      <c r="Z9" s="179"/>
    </row>
    <row r="10" spans="1:26" ht="15.9" customHeight="1" x14ac:dyDescent="0.25">
      <c r="A10" s="180"/>
      <c r="B10" s="432" t="s">
        <v>11</v>
      </c>
      <c r="C10" s="432"/>
      <c r="D10" s="432"/>
      <c r="E10" s="432"/>
      <c r="F10" s="432"/>
      <c r="G10" s="432"/>
      <c r="H10" s="470" t="s">
        <v>77</v>
      </c>
      <c r="I10" s="470"/>
      <c r="J10" s="470"/>
      <c r="K10" s="470"/>
      <c r="L10" s="470"/>
      <c r="M10" s="470"/>
      <c r="N10" s="432" t="s">
        <v>13</v>
      </c>
      <c r="O10" s="432"/>
      <c r="P10" s="432"/>
      <c r="Q10" s="432"/>
      <c r="R10" s="432"/>
      <c r="S10" s="436" t="s">
        <v>76</v>
      </c>
      <c r="T10" s="436"/>
      <c r="U10" s="436"/>
      <c r="V10" s="436"/>
      <c r="W10" s="436"/>
      <c r="X10" s="436"/>
      <c r="Y10" s="436"/>
      <c r="Z10" s="218"/>
    </row>
    <row r="11" spans="1:26" ht="15.9" customHeight="1" x14ac:dyDescent="0.25">
      <c r="A11" s="180"/>
      <c r="B11" s="432" t="s">
        <v>15</v>
      </c>
      <c r="C11" s="432"/>
      <c r="D11" s="432"/>
      <c r="E11" s="432"/>
      <c r="F11" s="432"/>
      <c r="G11" s="432"/>
      <c r="H11" s="470" t="s">
        <v>75</v>
      </c>
      <c r="I11" s="470"/>
      <c r="J11" s="470"/>
      <c r="K11" s="470"/>
      <c r="L11" s="470"/>
      <c r="M11" s="470"/>
      <c r="N11" s="432" t="s">
        <v>16</v>
      </c>
      <c r="O11" s="432"/>
      <c r="P11" s="432"/>
      <c r="Q11" s="432"/>
      <c r="R11" s="432"/>
      <c r="S11" s="436" t="s">
        <v>66</v>
      </c>
      <c r="T11" s="436"/>
      <c r="U11" s="436"/>
      <c r="V11" s="436"/>
      <c r="W11" s="436"/>
      <c r="X11" s="436"/>
      <c r="Y11" s="436"/>
      <c r="Z11" s="218"/>
    </row>
    <row r="12" spans="1:26" ht="15.9" customHeight="1" x14ac:dyDescent="0.25">
      <c r="A12" s="180"/>
      <c r="B12" s="432" t="s">
        <v>18</v>
      </c>
      <c r="C12" s="432"/>
      <c r="D12" s="432"/>
      <c r="E12" s="432"/>
      <c r="F12" s="432"/>
      <c r="G12" s="432"/>
      <c r="H12" s="470" t="s">
        <v>74</v>
      </c>
      <c r="I12" s="470"/>
      <c r="J12" s="470"/>
      <c r="K12" s="470"/>
      <c r="L12" s="470"/>
      <c r="M12" s="470"/>
      <c r="N12" s="432" t="s">
        <v>20</v>
      </c>
      <c r="O12" s="432"/>
      <c r="P12" s="432"/>
      <c r="Q12" s="432"/>
      <c r="R12" s="432"/>
      <c r="S12" s="436" t="s">
        <v>21</v>
      </c>
      <c r="T12" s="436"/>
      <c r="U12" s="436"/>
      <c r="V12" s="436"/>
      <c r="W12" s="436"/>
      <c r="X12" s="436"/>
      <c r="Y12" s="436"/>
      <c r="Z12" s="218"/>
    </row>
    <row r="13" spans="1:26" ht="8.25" customHeight="1" x14ac:dyDescent="0.25">
      <c r="A13" s="217"/>
      <c r="B13" s="176"/>
      <c r="C13" s="176"/>
      <c r="D13" s="216"/>
      <c r="E13" s="216"/>
      <c r="F13" s="216"/>
      <c r="G13" s="216"/>
      <c r="H13" s="176"/>
      <c r="I13" s="176"/>
      <c r="J13" s="176"/>
      <c r="K13" s="176"/>
      <c r="L13" s="176"/>
      <c r="M13" s="176"/>
      <c r="N13" s="215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5"/>
    </row>
    <row r="14" spans="1:26" s="148" customFormat="1" ht="15" customHeight="1" x14ac:dyDescent="0.25">
      <c r="B14" s="213"/>
      <c r="C14" s="213"/>
      <c r="K14" s="214"/>
      <c r="L14" s="213"/>
      <c r="M14" s="212"/>
    </row>
    <row r="15" spans="1:26" s="148" customFormat="1" ht="15.6" customHeight="1" x14ac:dyDescent="0.25">
      <c r="A15" s="199" t="s">
        <v>22</v>
      </c>
      <c r="B15" s="211" t="s">
        <v>23</v>
      </c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09"/>
    </row>
    <row r="16" spans="1:26" s="148" customFormat="1" ht="15" customHeight="1" x14ac:dyDescent="0.25">
      <c r="A16" s="206"/>
      <c r="B16" s="208"/>
      <c r="Z16" s="207"/>
    </row>
    <row r="17" spans="1:26" s="148" customFormat="1" ht="15" customHeight="1" x14ac:dyDescent="0.25">
      <c r="A17" s="206"/>
      <c r="B17" s="474" t="s">
        <v>24</v>
      </c>
      <c r="C17" s="474"/>
      <c r="D17" s="474"/>
      <c r="E17" s="474"/>
      <c r="F17" s="474"/>
      <c r="G17" s="474"/>
      <c r="H17" s="474"/>
      <c r="I17" s="463"/>
      <c r="J17" s="463"/>
      <c r="K17" s="463"/>
      <c r="L17" s="463"/>
      <c r="M17" s="463"/>
      <c r="N17" s="463"/>
      <c r="O17" s="463"/>
      <c r="P17" s="463"/>
      <c r="Q17" s="463"/>
      <c r="R17" s="463"/>
      <c r="S17" s="463"/>
      <c r="T17" s="463"/>
      <c r="U17" s="463"/>
      <c r="V17" s="463"/>
      <c r="W17" s="463"/>
      <c r="X17" s="463"/>
      <c r="Y17" s="463"/>
      <c r="Z17" s="204"/>
    </row>
    <row r="18" spans="1:26" s="148" customFormat="1" ht="15" customHeight="1" x14ac:dyDescent="0.25">
      <c r="A18" s="206"/>
      <c r="B18" s="474" t="s">
        <v>25</v>
      </c>
      <c r="C18" s="474"/>
      <c r="D18" s="474"/>
      <c r="E18" s="474"/>
      <c r="F18" s="474"/>
      <c r="G18" s="474"/>
      <c r="H18" s="474"/>
      <c r="I18" s="551" t="s">
        <v>26</v>
      </c>
      <c r="J18" s="551"/>
      <c r="K18" s="205">
        <v>80</v>
      </c>
      <c r="L18" s="205" t="s">
        <v>27</v>
      </c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4"/>
    </row>
    <row r="19" spans="1:26" s="148" customFormat="1" ht="13.2" customHeight="1" x14ac:dyDescent="0.25">
      <c r="A19" s="203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1"/>
    </row>
    <row r="20" spans="1:26" ht="12.75" customHeight="1" x14ac:dyDescent="0.25">
      <c r="D20" s="147"/>
      <c r="E20" s="147"/>
      <c r="F20" s="147"/>
      <c r="G20" s="147"/>
      <c r="N20" s="200"/>
    </row>
    <row r="21" spans="1:26" ht="15.9" customHeight="1" x14ac:dyDescent="0.25">
      <c r="A21" s="199" t="s">
        <v>28</v>
      </c>
      <c r="B21" s="198" t="s">
        <v>29</v>
      </c>
      <c r="C21" s="196"/>
      <c r="D21" s="197"/>
      <c r="E21" s="197"/>
      <c r="F21" s="197"/>
      <c r="G21" s="197"/>
      <c r="H21" s="196"/>
      <c r="I21" s="196"/>
      <c r="J21" s="560" t="s">
        <v>30</v>
      </c>
      <c r="K21" s="560"/>
      <c r="L21" s="560"/>
      <c r="M21" s="560"/>
      <c r="N21" s="560"/>
      <c r="O21" s="560"/>
      <c r="P21" s="560"/>
      <c r="Q21" s="193">
        <v>600</v>
      </c>
      <c r="R21" s="168"/>
      <c r="S21" s="168"/>
      <c r="T21" s="168"/>
      <c r="U21" s="168"/>
      <c r="V21" s="168"/>
      <c r="W21" s="168"/>
      <c r="X21" s="168"/>
      <c r="Y21" s="168"/>
      <c r="Z21" s="195"/>
    </row>
    <row r="22" spans="1:26" ht="12.75" customHeight="1" x14ac:dyDescent="0.25">
      <c r="A22" s="180"/>
      <c r="B22" s="194"/>
      <c r="Z22" s="179"/>
    </row>
    <row r="23" spans="1:26" ht="15.75" customHeight="1" x14ac:dyDescent="0.25">
      <c r="A23" s="180"/>
      <c r="B23" s="558" t="s">
        <v>31</v>
      </c>
      <c r="C23" s="459" t="s">
        <v>32</v>
      </c>
      <c r="D23" s="459"/>
      <c r="E23" s="459"/>
      <c r="F23" s="459"/>
      <c r="G23" s="460"/>
      <c r="H23" s="555" t="s">
        <v>33</v>
      </c>
      <c r="I23" s="556"/>
      <c r="J23" s="557"/>
      <c r="K23" s="459" t="s">
        <v>34</v>
      </c>
      <c r="L23" s="459"/>
      <c r="M23" s="459"/>
      <c r="N23" s="459"/>
      <c r="O23" s="459"/>
      <c r="P23" s="460"/>
      <c r="Z23" s="179"/>
    </row>
    <row r="24" spans="1:26" ht="15.75" customHeight="1" x14ac:dyDescent="0.25">
      <c r="A24" s="180"/>
      <c r="B24" s="559"/>
      <c r="C24" s="461"/>
      <c r="D24" s="461"/>
      <c r="E24" s="461"/>
      <c r="F24" s="461"/>
      <c r="G24" s="462"/>
      <c r="H24" s="552" t="s">
        <v>35</v>
      </c>
      <c r="I24" s="553"/>
      <c r="J24" s="554"/>
      <c r="K24" s="461"/>
      <c r="L24" s="461"/>
      <c r="M24" s="461"/>
      <c r="N24" s="461"/>
      <c r="O24" s="461"/>
      <c r="P24" s="462"/>
      <c r="Z24" s="179"/>
    </row>
    <row r="25" spans="1:26" ht="19.5" customHeight="1" x14ac:dyDescent="0.25">
      <c r="A25" s="180"/>
      <c r="B25" s="192">
        <v>1</v>
      </c>
      <c r="C25" s="482"/>
      <c r="D25" s="483"/>
      <c r="E25" s="483"/>
      <c r="F25" s="483"/>
      <c r="G25" s="484"/>
      <c r="H25" s="471">
        <v>168</v>
      </c>
      <c r="I25" s="472"/>
      <c r="J25" s="473"/>
      <c r="K25" s="433"/>
      <c r="L25" s="434"/>
      <c r="M25" s="434"/>
      <c r="N25" s="434"/>
      <c r="O25" s="434"/>
      <c r="P25" s="435"/>
      <c r="Z25" s="179"/>
    </row>
    <row r="26" spans="1:26" ht="19.5" customHeight="1" x14ac:dyDescent="0.25">
      <c r="A26" s="180"/>
      <c r="B26" s="192">
        <v>2</v>
      </c>
      <c r="C26" s="482"/>
      <c r="D26" s="483"/>
      <c r="E26" s="483"/>
      <c r="F26" s="483"/>
      <c r="G26" s="484"/>
      <c r="H26" s="471">
        <v>129</v>
      </c>
      <c r="I26" s="472"/>
      <c r="J26" s="473"/>
      <c r="K26" s="433"/>
      <c r="L26" s="434"/>
      <c r="M26" s="434"/>
      <c r="N26" s="434"/>
      <c r="O26" s="434"/>
      <c r="P26" s="435"/>
      <c r="Z26" s="179"/>
    </row>
    <row r="27" spans="1:26" ht="19.5" customHeight="1" x14ac:dyDescent="0.25">
      <c r="A27" s="180"/>
      <c r="B27" s="192">
        <v>3</v>
      </c>
      <c r="C27" s="482"/>
      <c r="D27" s="483"/>
      <c r="E27" s="483"/>
      <c r="F27" s="483"/>
      <c r="G27" s="484"/>
      <c r="H27" s="471">
        <v>122</v>
      </c>
      <c r="I27" s="472"/>
      <c r="J27" s="473"/>
      <c r="K27" s="433"/>
      <c r="L27" s="434"/>
      <c r="M27" s="434"/>
      <c r="N27" s="434"/>
      <c r="O27" s="434"/>
      <c r="P27" s="435"/>
      <c r="Z27" s="179"/>
    </row>
    <row r="28" spans="1:26" ht="19.5" customHeight="1" x14ac:dyDescent="0.25">
      <c r="A28" s="180"/>
      <c r="B28" s="192">
        <v>4</v>
      </c>
      <c r="C28" s="482"/>
      <c r="D28" s="483"/>
      <c r="E28" s="483"/>
      <c r="F28" s="483"/>
      <c r="G28" s="484"/>
      <c r="H28" s="471">
        <v>149</v>
      </c>
      <c r="I28" s="472"/>
      <c r="J28" s="473"/>
      <c r="K28" s="433"/>
      <c r="L28" s="434"/>
      <c r="M28" s="434"/>
      <c r="N28" s="434"/>
      <c r="O28" s="434"/>
      <c r="P28" s="435"/>
      <c r="Z28" s="179"/>
    </row>
    <row r="29" spans="1:26" ht="19.5" customHeight="1" x14ac:dyDescent="0.25">
      <c r="A29" s="180"/>
      <c r="B29" s="192">
        <v>5</v>
      </c>
      <c r="C29" s="482"/>
      <c r="D29" s="483"/>
      <c r="E29" s="483"/>
      <c r="F29" s="483"/>
      <c r="G29" s="484"/>
      <c r="H29" s="471">
        <v>134</v>
      </c>
      <c r="I29" s="472"/>
      <c r="J29" s="473"/>
      <c r="K29" s="433"/>
      <c r="L29" s="434"/>
      <c r="M29" s="434"/>
      <c r="N29" s="434"/>
      <c r="O29" s="434"/>
      <c r="P29" s="435"/>
      <c r="Z29" s="179"/>
    </row>
    <row r="30" spans="1:26" ht="19.5" customHeight="1" x14ac:dyDescent="0.25">
      <c r="A30" s="180"/>
      <c r="B30" s="192">
        <v>6</v>
      </c>
      <c r="C30" s="482"/>
      <c r="D30" s="483"/>
      <c r="E30" s="483"/>
      <c r="F30" s="483"/>
      <c r="G30" s="484"/>
      <c r="H30" s="471">
        <v>116</v>
      </c>
      <c r="I30" s="472"/>
      <c r="J30" s="473"/>
      <c r="K30" s="433"/>
      <c r="L30" s="434"/>
      <c r="M30" s="434"/>
      <c r="N30" s="434"/>
      <c r="O30" s="434"/>
      <c r="P30" s="435"/>
      <c r="Z30" s="179"/>
    </row>
    <row r="31" spans="1:26" ht="19.5" customHeight="1" x14ac:dyDescent="0.25">
      <c r="A31" s="180"/>
      <c r="B31" s="192">
        <v>7</v>
      </c>
      <c r="C31" s="482"/>
      <c r="D31" s="483"/>
      <c r="E31" s="483"/>
      <c r="F31" s="483"/>
      <c r="G31" s="484"/>
      <c r="H31" s="471">
        <v>171</v>
      </c>
      <c r="I31" s="472"/>
      <c r="J31" s="473"/>
      <c r="K31" s="433"/>
      <c r="L31" s="434"/>
      <c r="M31" s="434"/>
      <c r="N31" s="434"/>
      <c r="O31" s="434"/>
      <c r="P31" s="435"/>
      <c r="Z31" s="179"/>
    </row>
    <row r="32" spans="1:26" ht="19.5" customHeight="1" x14ac:dyDescent="0.25">
      <c r="A32" s="180"/>
      <c r="B32" s="192">
        <v>8</v>
      </c>
      <c r="C32" s="482"/>
      <c r="D32" s="483"/>
      <c r="E32" s="483"/>
      <c r="F32" s="483"/>
      <c r="G32" s="484"/>
      <c r="H32" s="471">
        <v>95</v>
      </c>
      <c r="I32" s="472"/>
      <c r="J32" s="473"/>
      <c r="K32" s="433"/>
      <c r="L32" s="434"/>
      <c r="M32" s="434"/>
      <c r="N32" s="434"/>
      <c r="O32" s="434"/>
      <c r="P32" s="435"/>
      <c r="Z32" s="179"/>
    </row>
    <row r="33" spans="1:26" ht="19.5" customHeight="1" x14ac:dyDescent="0.25">
      <c r="A33" s="180"/>
      <c r="B33" s="192">
        <v>9</v>
      </c>
      <c r="C33" s="482"/>
      <c r="D33" s="483"/>
      <c r="E33" s="483"/>
      <c r="F33" s="483"/>
      <c r="G33" s="484"/>
      <c r="H33" s="471">
        <v>147</v>
      </c>
      <c r="I33" s="472"/>
      <c r="J33" s="473"/>
      <c r="K33" s="433"/>
      <c r="L33" s="434"/>
      <c r="M33" s="434"/>
      <c r="N33" s="434"/>
      <c r="O33" s="434"/>
      <c r="P33" s="435"/>
      <c r="Z33" s="179"/>
    </row>
    <row r="34" spans="1:26" ht="19.2" customHeight="1" x14ac:dyDescent="0.25">
      <c r="A34" s="180"/>
      <c r="B34" s="192">
        <v>10</v>
      </c>
      <c r="C34" s="482"/>
      <c r="D34" s="483"/>
      <c r="E34" s="483"/>
      <c r="F34" s="483"/>
      <c r="G34" s="484"/>
      <c r="H34" s="471">
        <v>106</v>
      </c>
      <c r="I34" s="472"/>
      <c r="J34" s="473"/>
      <c r="K34" s="433"/>
      <c r="L34" s="434"/>
      <c r="M34" s="434"/>
      <c r="N34" s="434"/>
      <c r="O34" s="434"/>
      <c r="P34" s="435"/>
      <c r="Z34" s="179"/>
    </row>
    <row r="35" spans="1:26" ht="19.2" customHeight="1" x14ac:dyDescent="0.25">
      <c r="A35" s="180"/>
      <c r="B35" s="191"/>
      <c r="C35" s="190"/>
      <c r="D35" s="189"/>
      <c r="E35" s="189"/>
      <c r="F35" s="189"/>
      <c r="G35" s="188"/>
      <c r="H35" s="187"/>
      <c r="I35" s="186"/>
      <c r="J35" s="185"/>
      <c r="K35" s="184"/>
      <c r="L35" s="183"/>
      <c r="M35" s="183"/>
      <c r="N35" s="183"/>
      <c r="O35" s="183"/>
      <c r="P35" s="182"/>
      <c r="Z35" s="179"/>
    </row>
    <row r="36" spans="1:26" ht="19.2" customHeight="1" x14ac:dyDescent="0.25">
      <c r="A36" s="180"/>
      <c r="B36" s="191"/>
      <c r="C36" s="190"/>
      <c r="D36" s="189"/>
      <c r="E36" s="189"/>
      <c r="F36" s="189"/>
      <c r="G36" s="188"/>
      <c r="H36" s="187"/>
      <c r="I36" s="186"/>
      <c r="J36" s="185"/>
      <c r="K36" s="184"/>
      <c r="L36" s="183"/>
      <c r="M36" s="183"/>
      <c r="N36" s="183"/>
      <c r="O36" s="183"/>
      <c r="P36" s="182"/>
      <c r="Z36" s="179"/>
    </row>
    <row r="37" spans="1:26" ht="19.2" customHeight="1" x14ac:dyDescent="0.25">
      <c r="A37" s="180"/>
      <c r="B37" s="191"/>
      <c r="C37" s="190"/>
      <c r="D37" s="189"/>
      <c r="E37" s="189"/>
      <c r="F37" s="189"/>
      <c r="G37" s="188"/>
      <c r="H37" s="187"/>
      <c r="I37" s="186"/>
      <c r="J37" s="185"/>
      <c r="K37" s="184"/>
      <c r="L37" s="183"/>
      <c r="M37" s="183"/>
      <c r="N37" s="183"/>
      <c r="O37" s="183"/>
      <c r="P37" s="182"/>
      <c r="Z37" s="179"/>
    </row>
    <row r="38" spans="1:26" ht="19.2" customHeight="1" x14ac:dyDescent="0.25">
      <c r="A38" s="180"/>
      <c r="B38" s="191"/>
      <c r="C38" s="190"/>
      <c r="D38" s="189"/>
      <c r="E38" s="189"/>
      <c r="F38" s="189"/>
      <c r="G38" s="188"/>
      <c r="H38" s="187"/>
      <c r="I38" s="186"/>
      <c r="J38" s="185"/>
      <c r="K38" s="184"/>
      <c r="L38" s="183"/>
      <c r="M38" s="183"/>
      <c r="N38" s="183"/>
      <c r="O38" s="183"/>
      <c r="P38" s="182"/>
      <c r="Z38" s="179"/>
    </row>
    <row r="39" spans="1:26" ht="19.2" customHeight="1" x14ac:dyDescent="0.25">
      <c r="A39" s="180"/>
      <c r="B39" s="191"/>
      <c r="C39" s="190"/>
      <c r="D39" s="189"/>
      <c r="E39" s="189"/>
      <c r="F39" s="189"/>
      <c r="G39" s="188"/>
      <c r="H39" s="187"/>
      <c r="I39" s="186"/>
      <c r="J39" s="185"/>
      <c r="K39" s="184"/>
      <c r="L39" s="183"/>
      <c r="M39" s="183"/>
      <c r="N39" s="183"/>
      <c r="O39" s="183"/>
      <c r="P39" s="182"/>
      <c r="Z39" s="179"/>
    </row>
    <row r="40" spans="1:26" ht="19.2" customHeight="1" x14ac:dyDescent="0.25">
      <c r="A40" s="180"/>
      <c r="B40" s="191"/>
      <c r="C40" s="190"/>
      <c r="D40" s="189"/>
      <c r="E40" s="189"/>
      <c r="F40" s="189"/>
      <c r="G40" s="188"/>
      <c r="H40" s="187"/>
      <c r="I40" s="186"/>
      <c r="J40" s="185"/>
      <c r="K40" s="184"/>
      <c r="L40" s="183"/>
      <c r="M40" s="183"/>
      <c r="N40" s="183"/>
      <c r="O40" s="183"/>
      <c r="P40" s="182"/>
      <c r="Z40" s="179"/>
    </row>
    <row r="41" spans="1:26" ht="19.2" customHeight="1" x14ac:dyDescent="0.25">
      <c r="A41" s="180"/>
      <c r="B41" s="191"/>
      <c r="C41" s="190"/>
      <c r="D41" s="189"/>
      <c r="E41" s="189"/>
      <c r="F41" s="189"/>
      <c r="G41" s="188"/>
      <c r="H41" s="187"/>
      <c r="I41" s="186"/>
      <c r="J41" s="185"/>
      <c r="K41" s="184"/>
      <c r="L41" s="183"/>
      <c r="M41" s="183"/>
      <c r="N41" s="183"/>
      <c r="O41" s="183"/>
      <c r="P41" s="182"/>
      <c r="Z41" s="179"/>
    </row>
    <row r="42" spans="1:26" ht="19.2" customHeight="1" x14ac:dyDescent="0.25">
      <c r="A42" s="180"/>
      <c r="B42" s="191"/>
      <c r="C42" s="190"/>
      <c r="D42" s="189"/>
      <c r="E42" s="189"/>
      <c r="F42" s="189"/>
      <c r="G42" s="188"/>
      <c r="H42" s="187"/>
      <c r="I42" s="186"/>
      <c r="J42" s="185"/>
      <c r="K42" s="184"/>
      <c r="L42" s="183"/>
      <c r="M42" s="183"/>
      <c r="N42" s="183"/>
      <c r="O42" s="183"/>
      <c r="P42" s="182"/>
      <c r="Z42" s="179"/>
    </row>
    <row r="43" spans="1:26" ht="19.2" customHeight="1" x14ac:dyDescent="0.25">
      <c r="A43" s="180"/>
      <c r="B43" s="191"/>
      <c r="C43" s="190"/>
      <c r="D43" s="189"/>
      <c r="E43" s="189"/>
      <c r="F43" s="189"/>
      <c r="G43" s="188"/>
      <c r="H43" s="187"/>
      <c r="I43" s="186"/>
      <c r="J43" s="185"/>
      <c r="K43" s="184"/>
      <c r="L43" s="183"/>
      <c r="M43" s="183"/>
      <c r="N43" s="183"/>
      <c r="O43" s="183"/>
      <c r="P43" s="182"/>
      <c r="Z43" s="179"/>
    </row>
    <row r="44" spans="1:26" ht="19.2" customHeight="1" x14ac:dyDescent="0.25">
      <c r="A44" s="180"/>
      <c r="B44" s="191"/>
      <c r="C44" s="190"/>
      <c r="D44" s="189"/>
      <c r="E44" s="189"/>
      <c r="F44" s="189"/>
      <c r="G44" s="188"/>
      <c r="H44" s="187"/>
      <c r="I44" s="186"/>
      <c r="J44" s="185"/>
      <c r="K44" s="184"/>
      <c r="L44" s="183"/>
      <c r="M44" s="183"/>
      <c r="N44" s="183"/>
      <c r="O44" s="183"/>
      <c r="P44" s="182"/>
      <c r="Z44" s="179"/>
    </row>
    <row r="45" spans="1:26" ht="19.2" customHeight="1" x14ac:dyDescent="0.25">
      <c r="A45" s="180"/>
      <c r="B45" s="191"/>
      <c r="C45" s="190"/>
      <c r="D45" s="189"/>
      <c r="E45" s="189"/>
      <c r="F45" s="189"/>
      <c r="G45" s="188"/>
      <c r="H45" s="187"/>
      <c r="I45" s="186"/>
      <c r="J45" s="185"/>
      <c r="K45" s="184"/>
      <c r="L45" s="183"/>
      <c r="M45" s="183"/>
      <c r="N45" s="183"/>
      <c r="O45" s="183"/>
      <c r="P45" s="182"/>
      <c r="Z45" s="179"/>
    </row>
    <row r="46" spans="1:26" ht="19.2" customHeight="1" x14ac:dyDescent="0.25">
      <c r="A46" s="180"/>
      <c r="B46" s="191"/>
      <c r="C46" s="190"/>
      <c r="D46" s="189"/>
      <c r="E46" s="189"/>
      <c r="F46" s="189"/>
      <c r="G46" s="188"/>
      <c r="H46" s="187"/>
      <c r="I46" s="186"/>
      <c r="J46" s="185"/>
      <c r="K46" s="184"/>
      <c r="L46" s="183"/>
      <c r="M46" s="183"/>
      <c r="N46" s="183"/>
      <c r="O46" s="183"/>
      <c r="P46" s="182"/>
      <c r="Z46" s="179"/>
    </row>
    <row r="47" spans="1:26" ht="19.2" customHeight="1" x14ac:dyDescent="0.25">
      <c r="A47" s="180"/>
      <c r="B47" s="191"/>
      <c r="C47" s="190"/>
      <c r="D47" s="189"/>
      <c r="E47" s="189"/>
      <c r="F47" s="189"/>
      <c r="G47" s="188"/>
      <c r="H47" s="187"/>
      <c r="I47" s="186"/>
      <c r="J47" s="185"/>
      <c r="K47" s="184"/>
      <c r="L47" s="183"/>
      <c r="M47" s="183"/>
      <c r="N47" s="183"/>
      <c r="O47" s="183"/>
      <c r="P47" s="182"/>
      <c r="Z47" s="179"/>
    </row>
    <row r="48" spans="1:26" ht="19.2" customHeight="1" x14ac:dyDescent="0.25">
      <c r="A48" s="180"/>
      <c r="B48" s="191"/>
      <c r="C48" s="190"/>
      <c r="D48" s="189"/>
      <c r="E48" s="189"/>
      <c r="F48" s="189"/>
      <c r="G48" s="188"/>
      <c r="H48" s="187"/>
      <c r="I48" s="186"/>
      <c r="J48" s="185"/>
      <c r="K48" s="184"/>
      <c r="L48" s="183"/>
      <c r="M48" s="183"/>
      <c r="N48" s="183"/>
      <c r="O48" s="183"/>
      <c r="P48" s="182"/>
      <c r="Z48" s="179"/>
    </row>
    <row r="49" spans="1:26" ht="19.2" customHeight="1" x14ac:dyDescent="0.25">
      <c r="A49" s="180"/>
      <c r="B49" s="191"/>
      <c r="C49" s="190"/>
      <c r="D49" s="189"/>
      <c r="E49" s="189"/>
      <c r="F49" s="189"/>
      <c r="G49" s="188"/>
      <c r="H49" s="187"/>
      <c r="I49" s="186"/>
      <c r="J49" s="185"/>
      <c r="K49" s="184"/>
      <c r="L49" s="183"/>
      <c r="M49" s="183"/>
      <c r="N49" s="183"/>
      <c r="O49" s="183"/>
      <c r="P49" s="182"/>
      <c r="Z49" s="179"/>
    </row>
    <row r="50" spans="1:26" ht="19.2" customHeight="1" x14ac:dyDescent="0.25">
      <c r="A50" s="180"/>
      <c r="B50" s="191"/>
      <c r="C50" s="190"/>
      <c r="D50" s="189"/>
      <c r="E50" s="189"/>
      <c r="F50" s="189"/>
      <c r="G50" s="188"/>
      <c r="H50" s="187"/>
      <c r="I50" s="186"/>
      <c r="J50" s="185"/>
      <c r="K50" s="184"/>
      <c r="L50" s="183"/>
      <c r="M50" s="183"/>
      <c r="N50" s="183"/>
      <c r="O50" s="183"/>
      <c r="P50" s="182"/>
      <c r="Z50" s="179"/>
    </row>
    <row r="51" spans="1:26" ht="19.2" customHeight="1" x14ac:dyDescent="0.25">
      <c r="A51" s="180"/>
      <c r="B51" s="191"/>
      <c r="C51" s="190"/>
      <c r="D51" s="189"/>
      <c r="E51" s="189"/>
      <c r="F51" s="189"/>
      <c r="G51" s="188"/>
      <c r="H51" s="187"/>
      <c r="I51" s="186"/>
      <c r="J51" s="185"/>
      <c r="K51" s="184"/>
      <c r="L51" s="183"/>
      <c r="M51" s="183"/>
      <c r="N51" s="183"/>
      <c r="O51" s="183"/>
      <c r="P51" s="182"/>
      <c r="Z51" s="179"/>
    </row>
    <row r="52" spans="1:26" ht="19.5" customHeight="1" x14ac:dyDescent="0.25">
      <c r="A52" s="180"/>
      <c r="B52" s="191"/>
      <c r="C52" s="190"/>
      <c r="D52" s="189"/>
      <c r="E52" s="189"/>
      <c r="F52" s="189"/>
      <c r="G52" s="188"/>
      <c r="H52" s="187"/>
      <c r="I52" s="186"/>
      <c r="J52" s="185"/>
      <c r="K52" s="184"/>
      <c r="L52" s="183"/>
      <c r="M52" s="183"/>
      <c r="N52" s="183"/>
      <c r="O52" s="183"/>
      <c r="P52" s="182"/>
      <c r="Z52" s="179"/>
    </row>
    <row r="53" spans="1:26" ht="19.2" customHeight="1" x14ac:dyDescent="0.25">
      <c r="A53" s="180"/>
      <c r="B53" s="191"/>
      <c r="C53" s="190"/>
      <c r="D53" s="189"/>
      <c r="E53" s="189"/>
      <c r="F53" s="189"/>
      <c r="G53" s="188"/>
      <c r="H53" s="187"/>
      <c r="I53" s="186"/>
      <c r="J53" s="185"/>
      <c r="K53" s="184"/>
      <c r="L53" s="183"/>
      <c r="M53" s="183"/>
      <c r="N53" s="183"/>
      <c r="O53" s="183"/>
      <c r="P53" s="182"/>
      <c r="Z53" s="179"/>
    </row>
    <row r="54" spans="1:26" ht="19.5" customHeight="1" thickBot="1" x14ac:dyDescent="0.3">
      <c r="A54" s="180"/>
      <c r="B54" s="181"/>
      <c r="C54" s="467"/>
      <c r="D54" s="468"/>
      <c r="E54" s="468"/>
      <c r="F54" s="468"/>
      <c r="G54" s="469"/>
      <c r="H54" s="464"/>
      <c r="I54" s="465"/>
      <c r="J54" s="466"/>
      <c r="K54" s="467"/>
      <c r="L54" s="468"/>
      <c r="M54" s="468"/>
      <c r="N54" s="468"/>
      <c r="O54" s="468"/>
      <c r="P54" s="469"/>
      <c r="Z54" s="179"/>
    </row>
    <row r="55" spans="1:26" ht="15.75" customHeight="1" x14ac:dyDescent="0.25">
      <c r="A55" s="180"/>
      <c r="B55" s="512" t="s">
        <v>37</v>
      </c>
      <c r="C55" s="513"/>
      <c r="D55" s="513"/>
      <c r="E55" s="513"/>
      <c r="F55" s="513"/>
      <c r="G55" s="514"/>
      <c r="H55" s="534">
        <f>AVERAGE(H25:J54)</f>
        <v>133.69999999999999</v>
      </c>
      <c r="I55" s="535"/>
      <c r="J55" s="536"/>
      <c r="K55" s="545" t="s">
        <v>64</v>
      </c>
      <c r="L55" s="546"/>
      <c r="M55" s="540" t="s">
        <v>39</v>
      </c>
      <c r="N55" s="540"/>
      <c r="O55" s="540"/>
      <c r="P55" s="541"/>
      <c r="Z55" s="179"/>
    </row>
    <row r="56" spans="1:26" ht="15.75" customHeight="1" x14ac:dyDescent="0.25">
      <c r="A56" s="180"/>
      <c r="B56" s="506" t="s">
        <v>40</v>
      </c>
      <c r="C56" s="507"/>
      <c r="D56" s="507"/>
      <c r="E56" s="507"/>
      <c r="F56" s="507"/>
      <c r="G56" s="508"/>
      <c r="H56" s="537">
        <f>IF(COUNTIF(H25:J54,"*&lt;20*"),"&lt;20",MIN(H25:J54))</f>
        <v>95</v>
      </c>
      <c r="I56" s="538"/>
      <c r="J56" s="539"/>
      <c r="K56" s="547"/>
      <c r="L56" s="548"/>
      <c r="M56" s="524"/>
      <c r="N56" s="524"/>
      <c r="O56" s="524"/>
      <c r="P56" s="542"/>
      <c r="Z56" s="179"/>
    </row>
    <row r="57" spans="1:26" ht="15.75" customHeight="1" thickBot="1" x14ac:dyDescent="0.3">
      <c r="A57" s="180"/>
      <c r="B57" s="509" t="s">
        <v>41</v>
      </c>
      <c r="C57" s="510"/>
      <c r="D57" s="510"/>
      <c r="E57" s="510"/>
      <c r="F57" s="510"/>
      <c r="G57" s="511"/>
      <c r="H57" s="531">
        <f>IF(COUNTIF(H25:J54,"*&gt;250*"),"&gt;250",MAX(H25:J54))</f>
        <v>171</v>
      </c>
      <c r="I57" s="532"/>
      <c r="J57" s="533"/>
      <c r="K57" s="549"/>
      <c r="L57" s="550"/>
      <c r="M57" s="543"/>
      <c r="N57" s="543"/>
      <c r="O57" s="543"/>
      <c r="P57" s="544"/>
      <c r="Z57" s="179"/>
    </row>
    <row r="58" spans="1:26" ht="15.9" customHeight="1" x14ac:dyDescent="0.25">
      <c r="A58" s="178"/>
      <c r="B58" s="177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5"/>
    </row>
    <row r="59" spans="1:26" ht="12.75" customHeight="1" x14ac:dyDescent="0.25">
      <c r="A59" s="174"/>
      <c r="B59" s="173"/>
    </row>
    <row r="60" spans="1:26" s="148" customFormat="1" ht="15.6" customHeight="1" x14ac:dyDescent="0.25">
      <c r="A60" s="172" t="s">
        <v>42</v>
      </c>
      <c r="B60" s="171" t="s">
        <v>43</v>
      </c>
      <c r="C60" s="170"/>
      <c r="D60" s="170"/>
      <c r="E60" s="170"/>
      <c r="F60" s="169"/>
      <c r="G60" s="169"/>
      <c r="H60" s="169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7"/>
      <c r="V60" s="166"/>
      <c r="W60" s="166"/>
      <c r="X60" s="165"/>
      <c r="Y60" s="165"/>
      <c r="Z60" s="164"/>
    </row>
    <row r="61" spans="1:26" s="148" customFormat="1" ht="28.5" customHeight="1" x14ac:dyDescent="0.25">
      <c r="A61" s="497" t="s">
        <v>44</v>
      </c>
      <c r="B61" s="498"/>
      <c r="C61" s="498"/>
      <c r="D61" s="498"/>
      <c r="E61" s="498"/>
      <c r="F61" s="498"/>
      <c r="G61" s="498"/>
      <c r="H61" s="498"/>
      <c r="I61" s="498"/>
      <c r="J61" s="498"/>
      <c r="K61" s="498"/>
      <c r="L61" s="498"/>
      <c r="M61" s="498"/>
      <c r="N61" s="498"/>
      <c r="O61" s="498"/>
      <c r="P61" s="498"/>
      <c r="Q61" s="499"/>
      <c r="R61" s="491" t="s">
        <v>45</v>
      </c>
      <c r="S61" s="492"/>
      <c r="T61" s="493"/>
      <c r="U61" s="515" t="s">
        <v>12</v>
      </c>
      <c r="V61" s="516"/>
      <c r="W61" s="516"/>
      <c r="X61" s="517"/>
      <c r="Y61" s="517"/>
      <c r="Z61" s="518"/>
    </row>
    <row r="62" spans="1:26" s="148" customFormat="1" ht="15.6" customHeight="1" x14ac:dyDescent="0.25">
      <c r="A62" s="500" t="s">
        <v>62</v>
      </c>
      <c r="B62" s="501"/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1"/>
      <c r="N62" s="501"/>
      <c r="O62" s="501"/>
      <c r="P62" s="501"/>
      <c r="Q62" s="502"/>
      <c r="R62" s="491" t="s">
        <v>46</v>
      </c>
      <c r="S62" s="492"/>
      <c r="T62" s="493"/>
      <c r="U62" s="519" t="s">
        <v>73</v>
      </c>
      <c r="V62" s="520"/>
      <c r="W62" s="520"/>
      <c r="X62" s="521"/>
      <c r="Y62" s="521"/>
      <c r="Z62" s="522"/>
    </row>
    <row r="63" spans="1:26" s="148" customFormat="1" ht="15.6" customHeight="1" x14ac:dyDescent="0.25">
      <c r="A63" s="503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/>
      <c r="M63" s="504"/>
      <c r="N63" s="504"/>
      <c r="O63" s="504"/>
      <c r="P63" s="504"/>
      <c r="Q63" s="505"/>
      <c r="R63" s="491"/>
      <c r="S63" s="492"/>
      <c r="T63" s="493"/>
      <c r="U63" s="523"/>
      <c r="V63" s="524"/>
      <c r="W63" s="524"/>
      <c r="X63" s="525"/>
      <c r="Y63" s="525"/>
      <c r="Z63" s="526"/>
    </row>
    <row r="64" spans="1:26" s="148" customFormat="1" ht="15.6" customHeight="1" x14ac:dyDescent="0.25">
      <c r="A64" s="163" t="s">
        <v>48</v>
      </c>
      <c r="B64" s="162" t="s">
        <v>49</v>
      </c>
      <c r="C64" s="146"/>
      <c r="D64" s="146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0"/>
      <c r="R64" s="491"/>
      <c r="S64" s="492"/>
      <c r="T64" s="493"/>
      <c r="U64" s="527"/>
      <c r="V64" s="528"/>
      <c r="W64" s="528"/>
      <c r="X64" s="529"/>
      <c r="Y64" s="529"/>
      <c r="Z64" s="530"/>
    </row>
    <row r="65" spans="1:26" s="148" customFormat="1" ht="15.6" customHeight="1" x14ac:dyDescent="0.25">
      <c r="A65" s="485"/>
      <c r="B65" s="486"/>
      <c r="C65" s="486"/>
      <c r="D65" s="486"/>
      <c r="E65" s="486"/>
      <c r="F65" s="486"/>
      <c r="G65" s="486"/>
      <c r="H65" s="486"/>
      <c r="I65" s="486"/>
      <c r="J65" s="486"/>
      <c r="K65" s="486"/>
      <c r="L65" s="486"/>
      <c r="M65" s="486"/>
      <c r="N65" s="486"/>
      <c r="O65" s="486"/>
      <c r="P65" s="486"/>
      <c r="Q65" s="487"/>
      <c r="R65" s="491" t="s">
        <v>50</v>
      </c>
      <c r="S65" s="492"/>
      <c r="T65" s="493"/>
      <c r="U65" s="159"/>
      <c r="V65" s="158"/>
      <c r="W65" s="158"/>
      <c r="X65" s="158"/>
      <c r="Y65" s="158"/>
      <c r="Z65" s="157"/>
    </row>
    <row r="66" spans="1:26" s="148" customFormat="1" ht="15.6" customHeight="1" x14ac:dyDescent="0.25">
      <c r="A66" s="485"/>
      <c r="B66" s="486"/>
      <c r="C66" s="486"/>
      <c r="D66" s="486"/>
      <c r="E66" s="486"/>
      <c r="F66" s="486"/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7"/>
      <c r="R66" s="491"/>
      <c r="S66" s="492"/>
      <c r="T66" s="493"/>
      <c r="U66" s="156"/>
      <c r="V66" s="524"/>
      <c r="W66" s="524"/>
      <c r="X66" s="524"/>
      <c r="Y66" s="524"/>
      <c r="Z66" s="155"/>
    </row>
    <row r="67" spans="1:26" s="148" customFormat="1" ht="15.6" customHeight="1" x14ac:dyDescent="0.25">
      <c r="A67" s="485"/>
      <c r="B67" s="486"/>
      <c r="C67" s="486"/>
      <c r="D67" s="486"/>
      <c r="E67" s="486"/>
      <c r="F67" s="486"/>
      <c r="G67" s="486"/>
      <c r="H67" s="486"/>
      <c r="I67" s="486"/>
      <c r="J67" s="486"/>
      <c r="K67" s="486"/>
      <c r="L67" s="486"/>
      <c r="M67" s="486"/>
      <c r="N67" s="486"/>
      <c r="O67" s="486"/>
      <c r="P67" s="486"/>
      <c r="Q67" s="487"/>
      <c r="R67" s="491"/>
      <c r="S67" s="492"/>
      <c r="T67" s="493"/>
      <c r="U67" s="156"/>
      <c r="V67" s="524"/>
      <c r="W67" s="524"/>
      <c r="X67" s="524"/>
      <c r="Y67" s="524"/>
      <c r="Z67" s="155"/>
    </row>
    <row r="68" spans="1:26" s="148" customFormat="1" ht="15.6" customHeight="1" x14ac:dyDescent="0.25">
      <c r="A68" s="488"/>
      <c r="B68" s="489"/>
      <c r="C68" s="489"/>
      <c r="D68" s="489"/>
      <c r="E68" s="489"/>
      <c r="F68" s="489"/>
      <c r="G68" s="489"/>
      <c r="H68" s="489"/>
      <c r="I68" s="489"/>
      <c r="J68" s="489"/>
      <c r="K68" s="489"/>
      <c r="L68" s="489"/>
      <c r="M68" s="489"/>
      <c r="N68" s="489"/>
      <c r="O68" s="489"/>
      <c r="P68" s="489"/>
      <c r="Q68" s="490"/>
      <c r="R68" s="494"/>
      <c r="S68" s="495"/>
      <c r="T68" s="496"/>
      <c r="U68" s="154"/>
      <c r="V68" s="153"/>
      <c r="W68" s="153"/>
      <c r="X68" s="153"/>
      <c r="Y68" s="153"/>
      <c r="Z68" s="152"/>
    </row>
    <row r="69" spans="1:26" s="148" customFormat="1" ht="15" customHeight="1" x14ac:dyDescent="0.25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0"/>
      <c r="S69" s="150"/>
      <c r="T69" s="150"/>
      <c r="U69" s="149"/>
      <c r="V69" s="149"/>
      <c r="W69" s="149"/>
      <c r="X69" s="149"/>
      <c r="Y69" s="149"/>
      <c r="Z69" s="149"/>
    </row>
    <row r="71" spans="1:26" ht="12.75" customHeight="1" x14ac:dyDescent="0.25">
      <c r="A71" s="146"/>
    </row>
    <row r="72" spans="1:26" ht="12.75" customHeight="1" x14ac:dyDescent="0.25">
      <c r="A72" s="146"/>
    </row>
    <row r="73" spans="1:26" ht="12.75" customHeight="1" x14ac:dyDescent="0.25">
      <c r="A73" s="146"/>
    </row>
    <row r="74" spans="1:26" ht="12.75" customHeight="1" x14ac:dyDescent="0.25">
      <c r="A74" s="146"/>
    </row>
    <row r="75" spans="1:26" ht="12.75" customHeight="1" x14ac:dyDescent="0.25">
      <c r="A75" s="146"/>
    </row>
    <row r="76" spans="1:26" ht="12.75" customHeight="1" x14ac:dyDescent="0.25">
      <c r="A76" s="146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H34:J34"/>
    <mergeCell ref="K34:P34"/>
    <mergeCell ref="C32:G32"/>
    <mergeCell ref="H32:J32"/>
    <mergeCell ref="K32:P32"/>
    <mergeCell ref="C33:G33"/>
    <mergeCell ref="H33:J33"/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U61:Z61"/>
    <mergeCell ref="U62:Z64"/>
    <mergeCell ref="H57:J57"/>
    <mergeCell ref="H55:J55"/>
    <mergeCell ref="H56:J56"/>
    <mergeCell ref="M55:P57"/>
    <mergeCell ref="K55:L57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0:G30"/>
    <mergeCell ref="H30:J30"/>
    <mergeCell ref="K30:P30"/>
    <mergeCell ref="C31:G31"/>
    <mergeCell ref="N10:R10"/>
    <mergeCell ref="G2:T4"/>
    <mergeCell ref="G5:H5"/>
    <mergeCell ref="A7:F7"/>
    <mergeCell ref="G7:Z7"/>
    <mergeCell ref="H10:M10"/>
    <mergeCell ref="I17:Y17"/>
    <mergeCell ref="H54:J54"/>
    <mergeCell ref="K54:P54"/>
    <mergeCell ref="N12:R12"/>
    <mergeCell ref="H12:M12"/>
    <mergeCell ref="H31:J31"/>
    <mergeCell ref="K31:P31"/>
    <mergeCell ref="B17:H17"/>
    <mergeCell ref="B12:G12"/>
    <mergeCell ref="C26:G26"/>
    <mergeCell ref="H26:J26"/>
    <mergeCell ref="K26:P26"/>
    <mergeCell ref="C27:G27"/>
    <mergeCell ref="H27:J27"/>
    <mergeCell ref="K27:P27"/>
    <mergeCell ref="C34:G34"/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</mergeCells>
  <printOptions horizontalCentered="1"/>
  <pageMargins left="0.39370078740157" right="0.39370078740157" top="0.39370078740157" bottom="0.39370078740157" header="0" footer="0.19685039370078999"/>
  <pageSetup paperSize="9" scale="71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4DE1-527A-455F-BE1F-7E1B38B19529}">
  <sheetPr>
    <pageSetUpPr fitToPage="1"/>
  </sheetPr>
  <dimension ref="A1:AA76"/>
  <sheetViews>
    <sheetView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585"/>
      <c r="B1" s="586"/>
      <c r="C1" s="586"/>
      <c r="D1" s="586"/>
      <c r="E1" s="586"/>
      <c r="F1" s="587"/>
      <c r="G1" s="594" t="s">
        <v>0</v>
      </c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6"/>
      <c r="U1" s="562" t="s">
        <v>51</v>
      </c>
      <c r="V1" s="563"/>
      <c r="W1" s="563"/>
      <c r="X1" s="563"/>
      <c r="Y1" s="563"/>
      <c r="Z1" s="564"/>
    </row>
    <row r="2" spans="1:26" ht="12.75" customHeight="1" x14ac:dyDescent="0.25">
      <c r="A2" s="588"/>
      <c r="B2" s="589"/>
      <c r="C2" s="589"/>
      <c r="D2" s="589"/>
      <c r="E2" s="589"/>
      <c r="F2" s="590"/>
      <c r="G2" s="613" t="s">
        <v>1</v>
      </c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5"/>
      <c r="U2" s="565"/>
      <c r="V2" s="566"/>
      <c r="W2" s="566"/>
      <c r="X2" s="566"/>
      <c r="Y2" s="566"/>
      <c r="Z2" s="567"/>
    </row>
    <row r="3" spans="1:26" ht="12.75" customHeight="1" x14ac:dyDescent="0.25">
      <c r="A3" s="588"/>
      <c r="B3" s="589"/>
      <c r="C3" s="589"/>
      <c r="D3" s="589"/>
      <c r="E3" s="589"/>
      <c r="F3" s="590"/>
      <c r="G3" s="613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5"/>
      <c r="U3" s="565"/>
      <c r="V3" s="566"/>
      <c r="W3" s="566"/>
      <c r="X3" s="566"/>
      <c r="Y3" s="566"/>
      <c r="Z3" s="567"/>
    </row>
    <row r="4" spans="1:26" ht="12.75" customHeight="1" x14ac:dyDescent="0.25">
      <c r="A4" s="588"/>
      <c r="B4" s="589"/>
      <c r="C4" s="589"/>
      <c r="D4" s="589"/>
      <c r="E4" s="589"/>
      <c r="F4" s="590"/>
      <c r="G4" s="613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5"/>
      <c r="U4" s="565"/>
      <c r="V4" s="566"/>
      <c r="W4" s="566"/>
      <c r="X4" s="566"/>
      <c r="Y4" s="566"/>
      <c r="Z4" s="567"/>
    </row>
    <row r="5" spans="1:26" ht="12.75" customHeight="1" x14ac:dyDescent="0.25">
      <c r="A5" s="588"/>
      <c r="B5" s="589"/>
      <c r="C5" s="589"/>
      <c r="D5" s="589"/>
      <c r="E5" s="589"/>
      <c r="F5" s="590"/>
      <c r="G5" s="616" t="s">
        <v>2</v>
      </c>
      <c r="H5" s="617"/>
      <c r="I5" s="575">
        <v>4</v>
      </c>
      <c r="J5" s="575"/>
      <c r="K5" s="576"/>
      <c r="L5" s="578" t="s">
        <v>52</v>
      </c>
      <c r="M5" s="579"/>
      <c r="N5" s="579"/>
      <c r="O5" s="580"/>
      <c r="P5" s="581" t="s">
        <v>70</v>
      </c>
      <c r="Q5" s="582"/>
      <c r="R5" s="582"/>
      <c r="S5" s="582"/>
      <c r="T5" s="583"/>
      <c r="U5" s="565"/>
      <c r="V5" s="566"/>
      <c r="W5" s="566"/>
      <c r="X5" s="566"/>
      <c r="Y5" s="566"/>
      <c r="Z5" s="567"/>
    </row>
    <row r="6" spans="1:26" ht="12.75" customHeight="1" x14ac:dyDescent="0.25">
      <c r="A6" s="591"/>
      <c r="B6" s="592"/>
      <c r="C6" s="592"/>
      <c r="D6" s="592"/>
      <c r="E6" s="592"/>
      <c r="F6" s="593"/>
      <c r="G6" s="2"/>
      <c r="H6" s="3"/>
      <c r="I6" s="577" t="s">
        <v>4</v>
      </c>
      <c r="J6" s="577"/>
      <c r="K6" s="577"/>
      <c r="L6" s="577" t="s">
        <v>5</v>
      </c>
      <c r="M6" s="577"/>
      <c r="N6" s="577"/>
      <c r="O6" s="577"/>
      <c r="P6" s="577" t="s">
        <v>6</v>
      </c>
      <c r="Q6" s="577"/>
      <c r="R6" s="577"/>
      <c r="S6" s="577"/>
      <c r="T6" s="584"/>
      <c r="U6" s="568"/>
      <c r="V6" s="569"/>
      <c r="W6" s="569"/>
      <c r="X6" s="569"/>
      <c r="Y6" s="569"/>
      <c r="Z6" s="570"/>
    </row>
    <row r="7" spans="1:26" ht="36.6" customHeight="1" x14ac:dyDescent="0.25">
      <c r="A7" s="618" t="s">
        <v>7</v>
      </c>
      <c r="B7" s="618"/>
      <c r="C7" s="618"/>
      <c r="D7" s="618"/>
      <c r="E7" s="618"/>
      <c r="F7" s="618"/>
      <c r="G7" s="619" t="s">
        <v>8</v>
      </c>
      <c r="H7" s="619"/>
      <c r="I7" s="619"/>
      <c r="J7" s="619"/>
      <c r="K7" s="619"/>
      <c r="L7" s="619"/>
      <c r="M7" s="619"/>
      <c r="N7" s="619"/>
      <c r="O7" s="619"/>
      <c r="P7" s="619"/>
      <c r="Q7" s="619"/>
      <c r="R7" s="619"/>
      <c r="S7" s="619"/>
      <c r="T7" s="619"/>
      <c r="U7" s="619"/>
      <c r="V7" s="619"/>
      <c r="W7" s="619"/>
      <c r="X7" s="619"/>
      <c r="Y7" s="619"/>
      <c r="Z7" s="619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561" t="s">
        <v>11</v>
      </c>
      <c r="C10" s="561"/>
      <c r="D10" s="561"/>
      <c r="E10" s="561"/>
      <c r="F10" s="561"/>
      <c r="G10" s="561"/>
      <c r="H10" s="608" t="s">
        <v>12</v>
      </c>
      <c r="I10" s="608"/>
      <c r="J10" s="608"/>
      <c r="K10" s="608"/>
      <c r="L10" s="608"/>
      <c r="M10" s="608"/>
      <c r="N10" s="561" t="s">
        <v>13</v>
      </c>
      <c r="O10" s="561"/>
      <c r="P10" s="561"/>
      <c r="Q10" s="561"/>
      <c r="R10" s="561"/>
      <c r="S10" s="574" t="s">
        <v>71</v>
      </c>
      <c r="T10" s="574"/>
      <c r="U10" s="574"/>
      <c r="V10" s="574"/>
      <c r="W10" s="574"/>
      <c r="X10" s="574"/>
      <c r="Y10" s="574"/>
      <c r="Z10" s="12"/>
    </row>
    <row r="11" spans="1:26" ht="15.9" customHeight="1" x14ac:dyDescent="0.25">
      <c r="A11" s="9"/>
      <c r="B11" s="561" t="s">
        <v>15</v>
      </c>
      <c r="C11" s="561"/>
      <c r="D11" s="561"/>
      <c r="E11" s="561"/>
      <c r="F11" s="561"/>
      <c r="G11" s="561"/>
      <c r="H11" s="608" t="s">
        <v>70</v>
      </c>
      <c r="I11" s="608"/>
      <c r="J11" s="608"/>
      <c r="K11" s="608"/>
      <c r="L11" s="608"/>
      <c r="M11" s="608"/>
      <c r="N11" s="561" t="s">
        <v>16</v>
      </c>
      <c r="O11" s="561"/>
      <c r="P11" s="561"/>
      <c r="Q11" s="561"/>
      <c r="R11" s="561"/>
      <c r="S11" s="574" t="s">
        <v>17</v>
      </c>
      <c r="T11" s="574"/>
      <c r="U11" s="574"/>
      <c r="V11" s="574"/>
      <c r="W11" s="574"/>
      <c r="X11" s="574"/>
      <c r="Y11" s="574"/>
      <c r="Z11" s="12"/>
    </row>
    <row r="12" spans="1:26" ht="15.9" customHeight="1" x14ac:dyDescent="0.25">
      <c r="A12" s="9"/>
      <c r="B12" s="561" t="s">
        <v>18</v>
      </c>
      <c r="C12" s="561"/>
      <c r="D12" s="561"/>
      <c r="E12" s="561"/>
      <c r="F12" s="561"/>
      <c r="G12" s="561"/>
      <c r="H12" s="608" t="s">
        <v>72</v>
      </c>
      <c r="I12" s="608"/>
      <c r="J12" s="608"/>
      <c r="K12" s="608"/>
      <c r="L12" s="608"/>
      <c r="M12" s="608"/>
      <c r="N12" s="561" t="s">
        <v>20</v>
      </c>
      <c r="O12" s="561"/>
      <c r="P12" s="561"/>
      <c r="Q12" s="561"/>
      <c r="R12" s="561"/>
      <c r="S12" s="574" t="s">
        <v>57</v>
      </c>
      <c r="T12" s="574"/>
      <c r="U12" s="574"/>
      <c r="V12" s="574"/>
      <c r="W12" s="574"/>
      <c r="X12" s="574"/>
      <c r="Y12" s="574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12" t="s">
        <v>24</v>
      </c>
      <c r="C17" s="612"/>
      <c r="D17" s="612"/>
      <c r="E17" s="612"/>
      <c r="F17" s="612"/>
      <c r="G17" s="612"/>
      <c r="H17" s="612"/>
      <c r="I17" s="601"/>
      <c r="J17" s="601"/>
      <c r="K17" s="601"/>
      <c r="L17" s="601"/>
      <c r="M17" s="601"/>
      <c r="N17" s="601"/>
      <c r="O17" s="601"/>
      <c r="P17" s="601"/>
      <c r="Q17" s="601"/>
      <c r="R17" s="601"/>
      <c r="S17" s="601"/>
      <c r="T17" s="601"/>
      <c r="U17" s="601"/>
      <c r="V17" s="601"/>
      <c r="W17" s="601"/>
      <c r="X17" s="601"/>
      <c r="Y17" s="601"/>
      <c r="Z17" s="28"/>
    </row>
    <row r="18" spans="1:26" s="17" customFormat="1" ht="15" customHeight="1" x14ac:dyDescent="0.25">
      <c r="A18" s="24"/>
      <c r="B18" s="612" t="s">
        <v>25</v>
      </c>
      <c r="C18" s="612"/>
      <c r="D18" s="612"/>
      <c r="E18" s="612"/>
      <c r="F18" s="612"/>
      <c r="G18" s="612"/>
      <c r="H18" s="612"/>
      <c r="I18" s="686" t="s">
        <v>26</v>
      </c>
      <c r="J18" s="686"/>
      <c r="K18" s="27"/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695" t="s">
        <v>30</v>
      </c>
      <c r="K21" s="695"/>
      <c r="L21" s="695"/>
      <c r="M21" s="695"/>
      <c r="N21" s="695"/>
      <c r="O21" s="695"/>
      <c r="P21" s="695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693" t="s">
        <v>31</v>
      </c>
      <c r="C23" s="597" t="s">
        <v>32</v>
      </c>
      <c r="D23" s="597"/>
      <c r="E23" s="597"/>
      <c r="F23" s="597"/>
      <c r="G23" s="598"/>
      <c r="H23" s="690" t="s">
        <v>33</v>
      </c>
      <c r="I23" s="691"/>
      <c r="J23" s="692"/>
      <c r="K23" s="597" t="s">
        <v>34</v>
      </c>
      <c r="L23" s="597"/>
      <c r="M23" s="597"/>
      <c r="N23" s="597"/>
      <c r="O23" s="597"/>
      <c r="P23" s="598"/>
      <c r="Z23" s="11"/>
    </row>
    <row r="24" spans="1:26" ht="15.75" customHeight="1" x14ac:dyDescent="0.25">
      <c r="A24" s="9"/>
      <c r="B24" s="694"/>
      <c r="C24" s="599"/>
      <c r="D24" s="599"/>
      <c r="E24" s="599"/>
      <c r="F24" s="599"/>
      <c r="G24" s="600"/>
      <c r="H24" s="687" t="s">
        <v>35</v>
      </c>
      <c r="I24" s="688"/>
      <c r="J24" s="689"/>
      <c r="K24" s="599"/>
      <c r="L24" s="599"/>
      <c r="M24" s="599"/>
      <c r="N24" s="599"/>
      <c r="O24" s="599"/>
      <c r="P24" s="600"/>
      <c r="Z24" s="11"/>
    </row>
    <row r="25" spans="1:26" ht="19.5" customHeight="1" x14ac:dyDescent="0.25">
      <c r="A25" s="9"/>
      <c r="B25" s="45">
        <v>1</v>
      </c>
      <c r="C25" s="571"/>
      <c r="D25" s="572"/>
      <c r="E25" s="572"/>
      <c r="F25" s="572"/>
      <c r="G25" s="573"/>
      <c r="H25" s="609">
        <v>94</v>
      </c>
      <c r="I25" s="610"/>
      <c r="J25" s="611"/>
      <c r="K25" s="571"/>
      <c r="L25" s="572"/>
      <c r="M25" s="572"/>
      <c r="N25" s="572"/>
      <c r="O25" s="572"/>
      <c r="P25" s="573"/>
      <c r="Z25" s="11"/>
    </row>
    <row r="26" spans="1:26" ht="19.5" customHeight="1" x14ac:dyDescent="0.25">
      <c r="A26" s="9"/>
      <c r="B26" s="45">
        <v>2</v>
      </c>
      <c r="C26" s="571"/>
      <c r="D26" s="572"/>
      <c r="E26" s="572"/>
      <c r="F26" s="572"/>
      <c r="G26" s="573"/>
      <c r="H26" s="609">
        <v>119</v>
      </c>
      <c r="I26" s="610"/>
      <c r="J26" s="611"/>
      <c r="K26" s="571"/>
      <c r="L26" s="572"/>
      <c r="M26" s="572"/>
      <c r="N26" s="572"/>
      <c r="O26" s="572"/>
      <c r="P26" s="573"/>
      <c r="Z26" s="11"/>
    </row>
    <row r="27" spans="1:26" ht="19.5" customHeight="1" x14ac:dyDescent="0.25">
      <c r="A27" s="9"/>
      <c r="B27" s="45">
        <v>3</v>
      </c>
      <c r="C27" s="571"/>
      <c r="D27" s="572"/>
      <c r="E27" s="572"/>
      <c r="F27" s="572"/>
      <c r="G27" s="573"/>
      <c r="H27" s="609">
        <v>111</v>
      </c>
      <c r="I27" s="610"/>
      <c r="J27" s="611"/>
      <c r="K27" s="571"/>
      <c r="L27" s="572"/>
      <c r="M27" s="572"/>
      <c r="N27" s="572"/>
      <c r="O27" s="572"/>
      <c r="P27" s="573"/>
      <c r="Z27" s="11"/>
    </row>
    <row r="28" spans="1:26" ht="19.5" customHeight="1" x14ac:dyDescent="0.25">
      <c r="A28" s="9"/>
      <c r="B28" s="45">
        <v>4</v>
      </c>
      <c r="C28" s="571"/>
      <c r="D28" s="572"/>
      <c r="E28" s="572"/>
      <c r="F28" s="572"/>
      <c r="G28" s="573"/>
      <c r="H28" s="609">
        <v>45</v>
      </c>
      <c r="I28" s="610"/>
      <c r="J28" s="611"/>
      <c r="K28" s="571"/>
      <c r="L28" s="572"/>
      <c r="M28" s="572"/>
      <c r="N28" s="572"/>
      <c r="O28" s="572"/>
      <c r="P28" s="573"/>
      <c r="Z28" s="11"/>
    </row>
    <row r="29" spans="1:26" ht="19.5" customHeight="1" x14ac:dyDescent="0.25">
      <c r="A29" s="9"/>
      <c r="B29" s="45">
        <v>5</v>
      </c>
      <c r="C29" s="571"/>
      <c r="D29" s="572"/>
      <c r="E29" s="572"/>
      <c r="F29" s="572"/>
      <c r="G29" s="573"/>
      <c r="H29" s="609">
        <v>89</v>
      </c>
      <c r="I29" s="610"/>
      <c r="J29" s="611"/>
      <c r="K29" s="571"/>
      <c r="L29" s="572"/>
      <c r="M29" s="572"/>
      <c r="N29" s="572"/>
      <c r="O29" s="572"/>
      <c r="P29" s="573"/>
      <c r="Z29" s="11"/>
    </row>
    <row r="30" spans="1:26" ht="19.5" customHeight="1" x14ac:dyDescent="0.25">
      <c r="A30" s="9"/>
      <c r="B30" s="45">
        <v>6</v>
      </c>
      <c r="C30" s="571"/>
      <c r="D30" s="572"/>
      <c r="E30" s="572"/>
      <c r="F30" s="572"/>
      <c r="G30" s="573"/>
      <c r="H30" s="609">
        <v>71</v>
      </c>
      <c r="I30" s="610"/>
      <c r="J30" s="611"/>
      <c r="K30" s="571"/>
      <c r="L30" s="572"/>
      <c r="M30" s="572"/>
      <c r="N30" s="572"/>
      <c r="O30" s="572"/>
      <c r="P30" s="573"/>
      <c r="Z30" s="11"/>
    </row>
    <row r="31" spans="1:26" ht="19.5" customHeight="1" x14ac:dyDescent="0.25">
      <c r="A31" s="9"/>
      <c r="B31" s="45">
        <v>7</v>
      </c>
      <c r="C31" s="571"/>
      <c r="D31" s="572"/>
      <c r="E31" s="572"/>
      <c r="F31" s="572"/>
      <c r="G31" s="573"/>
      <c r="H31" s="609">
        <v>81</v>
      </c>
      <c r="I31" s="610"/>
      <c r="J31" s="611"/>
      <c r="K31" s="571"/>
      <c r="L31" s="572"/>
      <c r="M31" s="572"/>
      <c r="N31" s="572"/>
      <c r="O31" s="572"/>
      <c r="P31" s="573"/>
      <c r="Z31" s="11"/>
    </row>
    <row r="32" spans="1:26" ht="19.5" customHeight="1" x14ac:dyDescent="0.25">
      <c r="A32" s="9"/>
      <c r="B32" s="45">
        <v>8</v>
      </c>
      <c r="C32" s="571"/>
      <c r="D32" s="572"/>
      <c r="E32" s="572"/>
      <c r="F32" s="572"/>
      <c r="G32" s="573"/>
      <c r="H32" s="609">
        <v>86</v>
      </c>
      <c r="I32" s="610"/>
      <c r="J32" s="611"/>
      <c r="K32" s="571"/>
      <c r="L32" s="572"/>
      <c r="M32" s="572"/>
      <c r="N32" s="572"/>
      <c r="O32" s="572"/>
      <c r="P32" s="573"/>
      <c r="Z32" s="11"/>
    </row>
    <row r="33" spans="1:26" ht="19.5" customHeight="1" x14ac:dyDescent="0.25">
      <c r="A33" s="9"/>
      <c r="B33" s="45">
        <v>9</v>
      </c>
      <c r="C33" s="571"/>
      <c r="D33" s="572"/>
      <c r="E33" s="572"/>
      <c r="F33" s="572"/>
      <c r="G33" s="573"/>
      <c r="H33" s="609">
        <v>109</v>
      </c>
      <c r="I33" s="610"/>
      <c r="J33" s="611"/>
      <c r="K33" s="571"/>
      <c r="L33" s="572"/>
      <c r="M33" s="572"/>
      <c r="N33" s="572"/>
      <c r="O33" s="572"/>
      <c r="P33" s="573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thickBot="1" x14ac:dyDescent="0.3">
      <c r="A54" s="9"/>
      <c r="B54" s="46"/>
      <c r="C54" s="605"/>
      <c r="D54" s="606"/>
      <c r="E54" s="606"/>
      <c r="F54" s="606"/>
      <c r="G54" s="607"/>
      <c r="H54" s="602"/>
      <c r="I54" s="603"/>
      <c r="J54" s="604"/>
      <c r="K54" s="605"/>
      <c r="L54" s="606"/>
      <c r="M54" s="606"/>
      <c r="N54" s="606"/>
      <c r="O54" s="606"/>
      <c r="P54" s="607"/>
      <c r="Z54" s="11"/>
    </row>
    <row r="55" spans="1:26" ht="15.75" customHeight="1" x14ac:dyDescent="0.25">
      <c r="A55" s="9"/>
      <c r="B55" s="647" t="s">
        <v>37</v>
      </c>
      <c r="C55" s="648"/>
      <c r="D55" s="648"/>
      <c r="E55" s="648"/>
      <c r="F55" s="648"/>
      <c r="G55" s="649"/>
      <c r="H55" s="669">
        <f>AVERAGE(H25:J54)</f>
        <v>89.444444444444443</v>
      </c>
      <c r="I55" s="670"/>
      <c r="J55" s="671"/>
      <c r="K55" s="680"/>
      <c r="L55" s="681"/>
      <c r="M55" s="675" t="s">
        <v>39</v>
      </c>
      <c r="N55" s="675"/>
      <c r="O55" s="675"/>
      <c r="P55" s="676"/>
      <c r="Z55" s="11"/>
    </row>
    <row r="56" spans="1:26" ht="15.75" customHeight="1" x14ac:dyDescent="0.25">
      <c r="A56" s="9"/>
      <c r="B56" s="641" t="s">
        <v>40</v>
      </c>
      <c r="C56" s="642"/>
      <c r="D56" s="642"/>
      <c r="E56" s="642"/>
      <c r="F56" s="642"/>
      <c r="G56" s="643"/>
      <c r="H56" s="672">
        <f>IF(COUNTIF(H25:J54,"*&lt;20*"),"&lt;20",MIN(H25:J54))</f>
        <v>45</v>
      </c>
      <c r="I56" s="673"/>
      <c r="J56" s="674"/>
      <c r="K56" s="682"/>
      <c r="L56" s="683"/>
      <c r="M56" s="659"/>
      <c r="N56" s="659"/>
      <c r="O56" s="659"/>
      <c r="P56" s="677"/>
      <c r="Z56" s="11"/>
    </row>
    <row r="57" spans="1:26" ht="15.75" customHeight="1" thickBot="1" x14ac:dyDescent="0.3">
      <c r="A57" s="9"/>
      <c r="B57" s="644" t="s">
        <v>41</v>
      </c>
      <c r="C57" s="645"/>
      <c r="D57" s="645"/>
      <c r="E57" s="645"/>
      <c r="F57" s="645"/>
      <c r="G57" s="646"/>
      <c r="H57" s="666">
        <f>IF(COUNTIF(H25:J54,"*&gt;250*"),"&gt;250",MAX(H25:J54))</f>
        <v>119</v>
      </c>
      <c r="I57" s="667"/>
      <c r="J57" s="668"/>
      <c r="K57" s="684"/>
      <c r="L57" s="685"/>
      <c r="M57" s="678"/>
      <c r="N57" s="678"/>
      <c r="O57" s="678"/>
      <c r="P57" s="679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42</v>
      </c>
      <c r="B60" s="5" t="s">
        <v>43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632" t="s">
        <v>44</v>
      </c>
      <c r="B61" s="633"/>
      <c r="C61" s="633"/>
      <c r="D61" s="633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633"/>
      <c r="P61" s="633"/>
      <c r="Q61" s="634"/>
      <c r="R61" s="626" t="s">
        <v>45</v>
      </c>
      <c r="S61" s="627"/>
      <c r="T61" s="628"/>
      <c r="U61" s="650" t="s">
        <v>12</v>
      </c>
      <c r="V61" s="651"/>
      <c r="W61" s="651"/>
      <c r="X61" s="652"/>
      <c r="Y61" s="652"/>
      <c r="Z61" s="653"/>
    </row>
    <row r="62" spans="1:26" s="17" customFormat="1" ht="15.6" customHeight="1" x14ac:dyDescent="0.25">
      <c r="A62" s="635" t="s">
        <v>55</v>
      </c>
      <c r="B62" s="636"/>
      <c r="C62" s="636"/>
      <c r="D62" s="636"/>
      <c r="E62" s="636"/>
      <c r="F62" s="636"/>
      <c r="G62" s="636"/>
      <c r="H62" s="636"/>
      <c r="I62" s="636"/>
      <c r="J62" s="636"/>
      <c r="K62" s="636"/>
      <c r="L62" s="636"/>
      <c r="M62" s="636"/>
      <c r="N62" s="636"/>
      <c r="O62" s="636"/>
      <c r="P62" s="636"/>
      <c r="Q62" s="637"/>
      <c r="R62" s="626" t="s">
        <v>46</v>
      </c>
      <c r="S62" s="627"/>
      <c r="T62" s="628"/>
      <c r="U62" s="654" t="s">
        <v>47</v>
      </c>
      <c r="V62" s="655"/>
      <c r="W62" s="655"/>
      <c r="X62" s="656"/>
      <c r="Y62" s="656"/>
      <c r="Z62" s="657"/>
    </row>
    <row r="63" spans="1:26" s="17" customFormat="1" ht="15.6" customHeight="1" x14ac:dyDescent="0.25">
      <c r="A63" s="638"/>
      <c r="B63" s="639"/>
      <c r="C63" s="639"/>
      <c r="D63" s="639"/>
      <c r="E63" s="639"/>
      <c r="F63" s="639"/>
      <c r="G63" s="639"/>
      <c r="H63" s="639"/>
      <c r="I63" s="639"/>
      <c r="J63" s="639"/>
      <c r="K63" s="639"/>
      <c r="L63" s="639"/>
      <c r="M63" s="639"/>
      <c r="N63" s="639"/>
      <c r="O63" s="639"/>
      <c r="P63" s="639"/>
      <c r="Q63" s="640"/>
      <c r="R63" s="626"/>
      <c r="S63" s="627"/>
      <c r="T63" s="628"/>
      <c r="U63" s="658"/>
      <c r="V63" s="659"/>
      <c r="W63" s="659"/>
      <c r="X63" s="660"/>
      <c r="Y63" s="660"/>
      <c r="Z63" s="661"/>
    </row>
    <row r="64" spans="1:26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626"/>
      <c r="S64" s="627"/>
      <c r="T64" s="628"/>
      <c r="U64" s="662"/>
      <c r="V64" s="663"/>
      <c r="W64" s="663"/>
      <c r="X64" s="664"/>
      <c r="Y64" s="664"/>
      <c r="Z64" s="665"/>
    </row>
    <row r="65" spans="1:26" s="17" customFormat="1" ht="15.6" customHeight="1" x14ac:dyDescent="0.25">
      <c r="A65" s="620"/>
      <c r="B65" s="621"/>
      <c r="C65" s="621"/>
      <c r="D65" s="621"/>
      <c r="E65" s="621"/>
      <c r="F65" s="621"/>
      <c r="G65" s="621"/>
      <c r="H65" s="621"/>
      <c r="I65" s="621"/>
      <c r="J65" s="621"/>
      <c r="K65" s="621"/>
      <c r="L65" s="621"/>
      <c r="M65" s="621"/>
      <c r="N65" s="621"/>
      <c r="O65" s="621"/>
      <c r="P65" s="621"/>
      <c r="Q65" s="622"/>
      <c r="R65" s="626" t="s">
        <v>50</v>
      </c>
      <c r="S65" s="627"/>
      <c r="T65" s="628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620"/>
      <c r="B66" s="621"/>
      <c r="C66" s="621"/>
      <c r="D66" s="621"/>
      <c r="E66" s="621"/>
      <c r="F66" s="621"/>
      <c r="G66" s="621"/>
      <c r="H66" s="621"/>
      <c r="I66" s="621"/>
      <c r="J66" s="621"/>
      <c r="K66" s="621"/>
      <c r="L66" s="621"/>
      <c r="M66" s="621"/>
      <c r="N66" s="621"/>
      <c r="O66" s="621"/>
      <c r="P66" s="621"/>
      <c r="Q66" s="622"/>
      <c r="R66" s="626"/>
      <c r="S66" s="627"/>
      <c r="T66" s="628"/>
      <c r="U66" s="61"/>
      <c r="V66" s="659"/>
      <c r="W66" s="659"/>
      <c r="X66" s="659"/>
      <c r="Y66" s="659"/>
      <c r="Z66" s="62"/>
    </row>
    <row r="67" spans="1:26" s="17" customFormat="1" ht="15.6" customHeight="1" x14ac:dyDescent="0.25">
      <c r="A67" s="620"/>
      <c r="B67" s="621"/>
      <c r="C67" s="621"/>
      <c r="D67" s="621"/>
      <c r="E67" s="621"/>
      <c r="F67" s="621"/>
      <c r="G67" s="621"/>
      <c r="H67" s="621"/>
      <c r="I67" s="621"/>
      <c r="J67" s="621"/>
      <c r="K67" s="621"/>
      <c r="L67" s="621"/>
      <c r="M67" s="621"/>
      <c r="N67" s="621"/>
      <c r="O67" s="621"/>
      <c r="P67" s="621"/>
      <c r="Q67" s="622"/>
      <c r="R67" s="626"/>
      <c r="S67" s="627"/>
      <c r="T67" s="628"/>
      <c r="U67" s="61"/>
      <c r="V67" s="659"/>
      <c r="W67" s="659"/>
      <c r="X67" s="659"/>
      <c r="Y67" s="659"/>
      <c r="Z67" s="62"/>
    </row>
    <row r="68" spans="1:26" s="17" customFormat="1" ht="15.6" customHeight="1" x14ac:dyDescent="0.25">
      <c r="A68" s="623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5"/>
      <c r="R68" s="629"/>
      <c r="S68" s="630"/>
      <c r="T68" s="631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H32:J32"/>
    <mergeCell ref="K32:P32"/>
    <mergeCell ref="C33:G33"/>
    <mergeCell ref="H33:J33"/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U61:Z61"/>
    <mergeCell ref="U62:Z64"/>
    <mergeCell ref="H57:J57"/>
    <mergeCell ref="H55:J55"/>
    <mergeCell ref="H56:J56"/>
    <mergeCell ref="M55:P57"/>
    <mergeCell ref="K55:L57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0:G30"/>
    <mergeCell ref="H30:J30"/>
    <mergeCell ref="K30:P30"/>
    <mergeCell ref="C31:G31"/>
    <mergeCell ref="N10:R10"/>
    <mergeCell ref="G2:T4"/>
    <mergeCell ref="G5:H5"/>
    <mergeCell ref="A7:F7"/>
    <mergeCell ref="G7:Z7"/>
    <mergeCell ref="H10:M10"/>
    <mergeCell ref="I17:Y17"/>
    <mergeCell ref="H54:J54"/>
    <mergeCell ref="K54:P54"/>
    <mergeCell ref="N12:R12"/>
    <mergeCell ref="H12:M12"/>
    <mergeCell ref="H31:J31"/>
    <mergeCell ref="K31:P31"/>
    <mergeCell ref="B17:H17"/>
    <mergeCell ref="B12:G12"/>
    <mergeCell ref="C26:G26"/>
    <mergeCell ref="H26:J26"/>
    <mergeCell ref="K26:P26"/>
    <mergeCell ref="C27:G27"/>
    <mergeCell ref="H27:J27"/>
    <mergeCell ref="K27:P27"/>
    <mergeCell ref="C32:G32"/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8E11-591C-4DBB-9DCF-FDF9C304062F}">
  <sheetPr>
    <pageSetUpPr fitToPage="1"/>
  </sheetPr>
  <dimension ref="A1:AA68"/>
  <sheetViews>
    <sheetView workbookViewId="0">
      <selection activeCell="AB11" sqref="AB11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585"/>
      <c r="B1" s="586"/>
      <c r="C1" s="586"/>
      <c r="D1" s="586"/>
      <c r="E1" s="586"/>
      <c r="F1" s="587"/>
      <c r="G1" s="594" t="s">
        <v>0</v>
      </c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6"/>
      <c r="U1" s="703" t="s">
        <v>51</v>
      </c>
      <c r="V1" s="704"/>
      <c r="W1" s="704"/>
      <c r="X1" s="704"/>
      <c r="Y1" s="704"/>
      <c r="Z1" s="705"/>
    </row>
    <row r="2" spans="1:26" ht="12.75" customHeight="1" x14ac:dyDescent="0.25">
      <c r="A2" s="588"/>
      <c r="B2" s="589"/>
      <c r="C2" s="589"/>
      <c r="D2" s="589"/>
      <c r="E2" s="589"/>
      <c r="F2" s="590"/>
      <c r="G2" s="613" t="s">
        <v>1</v>
      </c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5"/>
      <c r="U2" s="706"/>
      <c r="V2" s="707"/>
      <c r="W2" s="707"/>
      <c r="X2" s="707"/>
      <c r="Y2" s="707"/>
      <c r="Z2" s="708"/>
    </row>
    <row r="3" spans="1:26" ht="12.75" customHeight="1" x14ac:dyDescent="0.25">
      <c r="A3" s="588"/>
      <c r="B3" s="589"/>
      <c r="C3" s="589"/>
      <c r="D3" s="589"/>
      <c r="E3" s="589"/>
      <c r="F3" s="590"/>
      <c r="G3" s="613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5"/>
      <c r="U3" s="706"/>
      <c r="V3" s="707"/>
      <c r="W3" s="707"/>
      <c r="X3" s="707"/>
      <c r="Y3" s="707"/>
      <c r="Z3" s="708"/>
    </row>
    <row r="4" spans="1:26" ht="12.75" customHeight="1" x14ac:dyDescent="0.25">
      <c r="A4" s="588"/>
      <c r="B4" s="589"/>
      <c r="C4" s="589"/>
      <c r="D4" s="589"/>
      <c r="E4" s="589"/>
      <c r="F4" s="590"/>
      <c r="G4" s="613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5"/>
      <c r="U4" s="706"/>
      <c r="V4" s="707"/>
      <c r="W4" s="707"/>
      <c r="X4" s="707"/>
      <c r="Y4" s="707"/>
      <c r="Z4" s="708"/>
    </row>
    <row r="5" spans="1:26" ht="12.75" customHeight="1" x14ac:dyDescent="0.25">
      <c r="A5" s="588"/>
      <c r="B5" s="589"/>
      <c r="C5" s="589"/>
      <c r="D5" s="589"/>
      <c r="E5" s="589"/>
      <c r="F5" s="590"/>
      <c r="G5" s="616" t="s">
        <v>2</v>
      </c>
      <c r="H5" s="617"/>
      <c r="I5" s="575">
        <v>3</v>
      </c>
      <c r="J5" s="575"/>
      <c r="K5" s="576"/>
      <c r="L5" s="578" t="s">
        <v>52</v>
      </c>
      <c r="M5" s="579"/>
      <c r="N5" s="579"/>
      <c r="O5" s="580"/>
      <c r="P5" s="581" t="s">
        <v>67</v>
      </c>
      <c r="Q5" s="582"/>
      <c r="R5" s="582"/>
      <c r="S5" s="582"/>
      <c r="T5" s="583"/>
      <c r="U5" s="706"/>
      <c r="V5" s="707"/>
      <c r="W5" s="707"/>
      <c r="X5" s="707"/>
      <c r="Y5" s="707"/>
      <c r="Z5" s="708"/>
    </row>
    <row r="6" spans="1:26" ht="12.75" customHeight="1" x14ac:dyDescent="0.25">
      <c r="A6" s="591"/>
      <c r="B6" s="592"/>
      <c r="C6" s="592"/>
      <c r="D6" s="592"/>
      <c r="E6" s="592"/>
      <c r="F6" s="593"/>
      <c r="G6" s="2"/>
      <c r="H6" s="3"/>
      <c r="I6" s="577" t="s">
        <v>4</v>
      </c>
      <c r="J6" s="577"/>
      <c r="K6" s="577"/>
      <c r="L6" s="577" t="s">
        <v>5</v>
      </c>
      <c r="M6" s="577"/>
      <c r="N6" s="577"/>
      <c r="O6" s="577"/>
      <c r="P6" s="577" t="s">
        <v>6</v>
      </c>
      <c r="Q6" s="577"/>
      <c r="R6" s="577"/>
      <c r="S6" s="577"/>
      <c r="T6" s="584"/>
      <c r="U6" s="709"/>
      <c r="V6" s="710"/>
      <c r="W6" s="710"/>
      <c r="X6" s="710"/>
      <c r="Y6" s="710"/>
      <c r="Z6" s="711"/>
    </row>
    <row r="7" spans="1:26" ht="36.6" customHeight="1" x14ac:dyDescent="0.25">
      <c r="A7" s="618" t="s">
        <v>7</v>
      </c>
      <c r="B7" s="618"/>
      <c r="C7" s="618"/>
      <c r="D7" s="618"/>
      <c r="E7" s="618"/>
      <c r="F7" s="618"/>
      <c r="G7" s="619" t="s">
        <v>8</v>
      </c>
      <c r="H7" s="619"/>
      <c r="I7" s="619"/>
      <c r="J7" s="619"/>
      <c r="K7" s="619"/>
      <c r="L7" s="619"/>
      <c r="M7" s="619"/>
      <c r="N7" s="619"/>
      <c r="O7" s="619"/>
      <c r="P7" s="619"/>
      <c r="Q7" s="619"/>
      <c r="R7" s="619"/>
      <c r="S7" s="619"/>
      <c r="T7" s="619"/>
      <c r="U7" s="619"/>
      <c r="V7" s="619"/>
      <c r="W7" s="619"/>
      <c r="X7" s="619"/>
      <c r="Y7" s="619"/>
      <c r="Z7" s="619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561" t="s">
        <v>11</v>
      </c>
      <c r="C10" s="561"/>
      <c r="D10" s="561"/>
      <c r="E10" s="561"/>
      <c r="F10" s="561"/>
      <c r="G10" s="561"/>
      <c r="H10" s="608" t="s">
        <v>69</v>
      </c>
      <c r="I10" s="608"/>
      <c r="J10" s="608"/>
      <c r="K10" s="608"/>
      <c r="L10" s="608"/>
      <c r="M10" s="608"/>
      <c r="N10" s="561" t="s">
        <v>13</v>
      </c>
      <c r="O10" s="561"/>
      <c r="P10" s="561"/>
      <c r="Q10" s="561"/>
      <c r="R10" s="561"/>
      <c r="S10" s="574" t="s">
        <v>68</v>
      </c>
      <c r="T10" s="574"/>
      <c r="U10" s="574"/>
      <c r="V10" s="574"/>
      <c r="W10" s="574"/>
      <c r="X10" s="574"/>
      <c r="Y10" s="574"/>
      <c r="Z10" s="12"/>
    </row>
    <row r="11" spans="1:26" ht="15.9" customHeight="1" x14ac:dyDescent="0.25">
      <c r="A11" s="9"/>
      <c r="B11" s="561" t="s">
        <v>15</v>
      </c>
      <c r="C11" s="561"/>
      <c r="D11" s="561"/>
      <c r="E11" s="561"/>
      <c r="F11" s="561"/>
      <c r="G11" s="561"/>
      <c r="H11" s="608" t="s">
        <v>67</v>
      </c>
      <c r="I11" s="608"/>
      <c r="J11" s="608"/>
      <c r="K11" s="608"/>
      <c r="L11" s="608"/>
      <c r="M11" s="608"/>
      <c r="N11" s="561" t="s">
        <v>16</v>
      </c>
      <c r="O11" s="561"/>
      <c r="P11" s="561"/>
      <c r="Q11" s="561"/>
      <c r="R11" s="561"/>
      <c r="S11" s="574" t="s">
        <v>66</v>
      </c>
      <c r="T11" s="574"/>
      <c r="U11" s="574"/>
      <c r="V11" s="574"/>
      <c r="W11" s="574"/>
      <c r="X11" s="574"/>
      <c r="Y11" s="574"/>
      <c r="Z11" s="12"/>
    </row>
    <row r="12" spans="1:26" ht="15.9" customHeight="1" x14ac:dyDescent="0.25">
      <c r="A12" s="9"/>
      <c r="B12" s="561" t="s">
        <v>18</v>
      </c>
      <c r="C12" s="561"/>
      <c r="D12" s="561"/>
      <c r="E12" s="561"/>
      <c r="F12" s="561"/>
      <c r="G12" s="561"/>
      <c r="H12" s="608" t="s">
        <v>65</v>
      </c>
      <c r="I12" s="608"/>
      <c r="J12" s="608"/>
      <c r="K12" s="608"/>
      <c r="L12" s="608"/>
      <c r="M12" s="608"/>
      <c r="N12" s="561" t="s">
        <v>20</v>
      </c>
      <c r="O12" s="561"/>
      <c r="P12" s="561"/>
      <c r="Q12" s="561"/>
      <c r="R12" s="561"/>
      <c r="S12" s="574" t="s">
        <v>57</v>
      </c>
      <c r="T12" s="574"/>
      <c r="U12" s="574"/>
      <c r="V12" s="574"/>
      <c r="W12" s="574"/>
      <c r="X12" s="574"/>
      <c r="Y12" s="574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12" t="s">
        <v>24</v>
      </c>
      <c r="C17" s="612"/>
      <c r="D17" s="612"/>
      <c r="E17" s="612"/>
      <c r="F17" s="612"/>
      <c r="G17" s="612"/>
      <c r="H17" s="612"/>
      <c r="I17" s="601"/>
      <c r="J17" s="601"/>
      <c r="K17" s="601"/>
      <c r="L17" s="601"/>
      <c r="M17" s="601"/>
      <c r="N17" s="601"/>
      <c r="O17" s="601"/>
      <c r="P17" s="601"/>
      <c r="Q17" s="601"/>
      <c r="R17" s="601"/>
      <c r="S17" s="601"/>
      <c r="T17" s="601"/>
      <c r="U17" s="601"/>
      <c r="V17" s="601"/>
      <c r="W17" s="601"/>
      <c r="X17" s="601"/>
      <c r="Y17" s="601"/>
      <c r="Z17" s="28"/>
    </row>
    <row r="18" spans="1:26" s="17" customFormat="1" ht="15" customHeight="1" x14ac:dyDescent="0.25">
      <c r="A18" s="24"/>
      <c r="B18" s="612" t="s">
        <v>25</v>
      </c>
      <c r="C18" s="612"/>
      <c r="D18" s="612"/>
      <c r="E18" s="612"/>
      <c r="F18" s="612"/>
      <c r="G18" s="612"/>
      <c r="H18" s="612"/>
      <c r="I18" s="686" t="s">
        <v>26</v>
      </c>
      <c r="J18" s="686"/>
      <c r="K18" s="27">
        <v>80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695" t="s">
        <v>30</v>
      </c>
      <c r="K21" s="695"/>
      <c r="L21" s="695"/>
      <c r="M21" s="695"/>
      <c r="N21" s="695"/>
      <c r="O21" s="695"/>
      <c r="P21" s="695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693" t="s">
        <v>31</v>
      </c>
      <c r="C23" s="597" t="s">
        <v>32</v>
      </c>
      <c r="D23" s="597"/>
      <c r="E23" s="597"/>
      <c r="F23" s="597"/>
      <c r="G23" s="598"/>
      <c r="H23" s="690" t="s">
        <v>33</v>
      </c>
      <c r="I23" s="691"/>
      <c r="J23" s="692"/>
      <c r="K23" s="597" t="s">
        <v>34</v>
      </c>
      <c r="L23" s="597"/>
      <c r="M23" s="597"/>
      <c r="N23" s="597"/>
      <c r="O23" s="597"/>
      <c r="P23" s="598"/>
      <c r="Z23" s="11"/>
    </row>
    <row r="24" spans="1:26" ht="15.75" customHeight="1" x14ac:dyDescent="0.25">
      <c r="A24" s="9"/>
      <c r="B24" s="694"/>
      <c r="C24" s="599"/>
      <c r="D24" s="599"/>
      <c r="E24" s="599"/>
      <c r="F24" s="599"/>
      <c r="G24" s="600"/>
      <c r="H24" s="687" t="s">
        <v>35</v>
      </c>
      <c r="I24" s="688"/>
      <c r="J24" s="689"/>
      <c r="K24" s="599"/>
      <c r="L24" s="599"/>
      <c r="M24" s="599"/>
      <c r="N24" s="599"/>
      <c r="O24" s="599"/>
      <c r="P24" s="600"/>
      <c r="Z24" s="11"/>
    </row>
    <row r="25" spans="1:26" ht="19.5" customHeight="1" x14ac:dyDescent="0.25">
      <c r="A25" s="9"/>
      <c r="B25" s="45">
        <v>1</v>
      </c>
      <c r="C25" s="571"/>
      <c r="D25" s="572"/>
      <c r="E25" s="572"/>
      <c r="F25" s="572"/>
      <c r="G25" s="573"/>
      <c r="H25" s="609">
        <v>137</v>
      </c>
      <c r="I25" s="610"/>
      <c r="J25" s="611"/>
      <c r="K25" s="571"/>
      <c r="L25" s="572"/>
      <c r="M25" s="572"/>
      <c r="N25" s="572"/>
      <c r="O25" s="572"/>
      <c r="P25" s="573"/>
      <c r="Z25" s="11"/>
    </row>
    <row r="26" spans="1:26" ht="19.5" customHeight="1" x14ac:dyDescent="0.25">
      <c r="A26" s="9"/>
      <c r="B26" s="45">
        <v>2</v>
      </c>
      <c r="C26" s="571"/>
      <c r="D26" s="572"/>
      <c r="E26" s="572"/>
      <c r="F26" s="572"/>
      <c r="G26" s="573"/>
      <c r="H26" s="609">
        <v>97</v>
      </c>
      <c r="I26" s="610"/>
      <c r="J26" s="611"/>
      <c r="K26" s="571"/>
      <c r="L26" s="572"/>
      <c r="M26" s="572"/>
      <c r="N26" s="572"/>
      <c r="O26" s="572"/>
      <c r="P26" s="573"/>
      <c r="Z26" s="11"/>
    </row>
    <row r="27" spans="1:26" ht="19.5" customHeight="1" x14ac:dyDescent="0.25">
      <c r="A27" s="9"/>
      <c r="B27" s="45">
        <v>3</v>
      </c>
      <c r="C27" s="571"/>
      <c r="D27" s="572"/>
      <c r="E27" s="572"/>
      <c r="F27" s="572"/>
      <c r="G27" s="573"/>
      <c r="H27" s="609">
        <v>89</v>
      </c>
      <c r="I27" s="610"/>
      <c r="J27" s="611"/>
      <c r="K27" s="571"/>
      <c r="L27" s="572"/>
      <c r="M27" s="572"/>
      <c r="N27" s="572"/>
      <c r="O27" s="572"/>
      <c r="P27" s="573"/>
      <c r="Z27" s="11"/>
    </row>
    <row r="28" spans="1:26" ht="19.5" customHeight="1" x14ac:dyDescent="0.25">
      <c r="A28" s="9"/>
      <c r="B28" s="45">
        <v>4</v>
      </c>
      <c r="C28" s="571"/>
      <c r="D28" s="572"/>
      <c r="E28" s="572"/>
      <c r="F28" s="572"/>
      <c r="G28" s="573"/>
      <c r="H28" s="609">
        <v>103</v>
      </c>
      <c r="I28" s="610"/>
      <c r="J28" s="611"/>
      <c r="K28" s="571"/>
      <c r="L28" s="572"/>
      <c r="M28" s="572"/>
      <c r="N28" s="572"/>
      <c r="O28" s="572"/>
      <c r="P28" s="573"/>
      <c r="Z28" s="11"/>
    </row>
    <row r="29" spans="1:26" ht="19.5" customHeight="1" x14ac:dyDescent="0.25">
      <c r="A29" s="9"/>
      <c r="B29" s="45">
        <v>5</v>
      </c>
      <c r="C29" s="571"/>
      <c r="D29" s="572"/>
      <c r="E29" s="572"/>
      <c r="F29" s="572"/>
      <c r="G29" s="573"/>
      <c r="H29" s="609">
        <v>84</v>
      </c>
      <c r="I29" s="610"/>
      <c r="J29" s="611"/>
      <c r="K29" s="571"/>
      <c r="L29" s="572"/>
      <c r="M29" s="572"/>
      <c r="N29" s="572"/>
      <c r="O29" s="572"/>
      <c r="P29" s="573"/>
      <c r="Z29" s="11"/>
    </row>
    <row r="30" spans="1:26" ht="19.5" customHeight="1" x14ac:dyDescent="0.25">
      <c r="A30" s="9"/>
      <c r="B30" s="45">
        <v>6</v>
      </c>
      <c r="C30" s="571"/>
      <c r="D30" s="572"/>
      <c r="E30" s="572"/>
      <c r="F30" s="572"/>
      <c r="G30" s="573"/>
      <c r="H30" s="609">
        <v>98</v>
      </c>
      <c r="I30" s="610"/>
      <c r="J30" s="611"/>
      <c r="K30" s="571"/>
      <c r="L30" s="572"/>
      <c r="M30" s="572"/>
      <c r="N30" s="572"/>
      <c r="O30" s="572"/>
      <c r="P30" s="573"/>
      <c r="Z30" s="11"/>
    </row>
    <row r="31" spans="1:26" ht="19.5" customHeight="1" x14ac:dyDescent="0.25">
      <c r="A31" s="9"/>
      <c r="B31" s="45">
        <v>7</v>
      </c>
      <c r="C31" s="571"/>
      <c r="D31" s="572"/>
      <c r="E31" s="572"/>
      <c r="F31" s="572"/>
      <c r="G31" s="573"/>
      <c r="H31" s="609">
        <v>116</v>
      </c>
      <c r="I31" s="610"/>
      <c r="J31" s="611"/>
      <c r="K31" s="571"/>
      <c r="L31" s="572"/>
      <c r="M31" s="572"/>
      <c r="N31" s="572"/>
      <c r="O31" s="572"/>
      <c r="P31" s="573"/>
      <c r="Z31" s="11"/>
    </row>
    <row r="32" spans="1:26" ht="19.5" customHeight="1" x14ac:dyDescent="0.25">
      <c r="A32" s="9"/>
      <c r="B32" s="45">
        <v>8</v>
      </c>
      <c r="C32" s="571"/>
      <c r="D32" s="572"/>
      <c r="E32" s="572"/>
      <c r="F32" s="572"/>
      <c r="G32" s="573"/>
      <c r="H32" s="609">
        <v>83</v>
      </c>
      <c r="I32" s="610"/>
      <c r="J32" s="611"/>
      <c r="K32" s="571"/>
      <c r="L32" s="572"/>
      <c r="M32" s="572"/>
      <c r="N32" s="572"/>
      <c r="O32" s="572"/>
      <c r="P32" s="573"/>
      <c r="Z32" s="11"/>
    </row>
    <row r="33" spans="1:26" ht="19.5" customHeight="1" x14ac:dyDescent="0.25">
      <c r="A33" s="9"/>
      <c r="B33" s="45">
        <v>9</v>
      </c>
      <c r="C33" s="571"/>
      <c r="D33" s="572"/>
      <c r="E33" s="572"/>
      <c r="F33" s="572"/>
      <c r="G33" s="573"/>
      <c r="H33" s="609">
        <v>111</v>
      </c>
      <c r="I33" s="610"/>
      <c r="J33" s="611"/>
      <c r="K33" s="571"/>
      <c r="L33" s="572"/>
      <c r="M33" s="572"/>
      <c r="N33" s="572"/>
      <c r="O33" s="572"/>
      <c r="P33" s="573"/>
      <c r="Z33" s="11"/>
    </row>
    <row r="34" spans="1:26" ht="19.5" customHeight="1" x14ac:dyDescent="0.25">
      <c r="A34" s="9"/>
      <c r="B34" s="45">
        <v>10</v>
      </c>
      <c r="C34" s="571"/>
      <c r="D34" s="572"/>
      <c r="E34" s="572"/>
      <c r="F34" s="572"/>
      <c r="G34" s="573"/>
      <c r="H34" s="609">
        <v>81</v>
      </c>
      <c r="I34" s="610"/>
      <c r="J34" s="611"/>
      <c r="K34" s="571"/>
      <c r="L34" s="572"/>
      <c r="M34" s="572"/>
      <c r="N34" s="572"/>
      <c r="O34" s="572"/>
      <c r="P34" s="573"/>
      <c r="Z34" s="11"/>
    </row>
    <row r="35" spans="1:26" ht="19.5" customHeight="1" x14ac:dyDescent="0.25">
      <c r="A35" s="9"/>
      <c r="B35" s="45">
        <v>11</v>
      </c>
      <c r="C35" s="571"/>
      <c r="D35" s="572"/>
      <c r="E35" s="572"/>
      <c r="F35" s="572"/>
      <c r="G35" s="573"/>
      <c r="H35" s="609">
        <v>80</v>
      </c>
      <c r="I35" s="610"/>
      <c r="J35" s="611"/>
      <c r="K35" s="571"/>
      <c r="L35" s="572"/>
      <c r="M35" s="572"/>
      <c r="N35" s="572"/>
      <c r="O35" s="572"/>
      <c r="P35" s="573"/>
      <c r="Z35" s="11"/>
    </row>
    <row r="36" spans="1:26" ht="19.5" customHeight="1" x14ac:dyDescent="0.25">
      <c r="A36" s="9"/>
      <c r="B36" s="45">
        <v>12</v>
      </c>
      <c r="C36" s="571"/>
      <c r="D36" s="572"/>
      <c r="E36" s="572"/>
      <c r="F36" s="572"/>
      <c r="G36" s="573"/>
      <c r="H36" s="609">
        <v>126</v>
      </c>
      <c r="I36" s="610"/>
      <c r="J36" s="611"/>
      <c r="K36" s="571"/>
      <c r="L36" s="572"/>
      <c r="M36" s="572"/>
      <c r="N36" s="572"/>
      <c r="O36" s="572"/>
      <c r="P36" s="573"/>
      <c r="Z36" s="11"/>
    </row>
    <row r="37" spans="1:26" ht="19.5" customHeight="1" x14ac:dyDescent="0.25">
      <c r="A37" s="9"/>
      <c r="B37" s="45">
        <v>13</v>
      </c>
      <c r="C37" s="571"/>
      <c r="D37" s="572"/>
      <c r="E37" s="572"/>
      <c r="F37" s="572"/>
      <c r="G37" s="573"/>
      <c r="H37" s="609">
        <v>90</v>
      </c>
      <c r="I37" s="610"/>
      <c r="J37" s="611"/>
      <c r="K37" s="571"/>
      <c r="L37" s="572"/>
      <c r="M37" s="572"/>
      <c r="N37" s="572"/>
      <c r="O37" s="572"/>
      <c r="P37" s="573"/>
      <c r="Z37" s="11"/>
    </row>
    <row r="38" spans="1:26" ht="19.5" customHeight="1" x14ac:dyDescent="0.25">
      <c r="A38" s="9"/>
      <c r="B38" s="45"/>
      <c r="C38" s="571"/>
      <c r="D38" s="572"/>
      <c r="E38" s="572"/>
      <c r="F38" s="572"/>
      <c r="G38" s="573"/>
      <c r="H38" s="609"/>
      <c r="I38" s="610"/>
      <c r="J38" s="611"/>
      <c r="K38" s="571"/>
      <c r="L38" s="572"/>
      <c r="M38" s="572"/>
      <c r="N38" s="572"/>
      <c r="O38" s="572"/>
      <c r="P38" s="573"/>
      <c r="Z38" s="11"/>
    </row>
    <row r="39" spans="1:26" ht="19.5" customHeight="1" x14ac:dyDescent="0.25">
      <c r="A39" s="9"/>
      <c r="B39" s="45"/>
      <c r="C39" s="571"/>
      <c r="D39" s="572"/>
      <c r="E39" s="572"/>
      <c r="F39" s="572"/>
      <c r="G39" s="573"/>
      <c r="H39" s="609"/>
      <c r="I39" s="610"/>
      <c r="J39" s="611"/>
      <c r="K39" s="571"/>
      <c r="L39" s="572"/>
      <c r="M39" s="572"/>
      <c r="N39" s="572"/>
      <c r="O39" s="572"/>
      <c r="P39" s="573"/>
      <c r="Z39" s="11"/>
    </row>
    <row r="40" spans="1:26" ht="19.5" customHeight="1" x14ac:dyDescent="0.25">
      <c r="A40" s="9"/>
      <c r="B40" s="45"/>
      <c r="C40" s="571"/>
      <c r="D40" s="572"/>
      <c r="E40" s="572"/>
      <c r="F40" s="572"/>
      <c r="G40" s="573"/>
      <c r="H40" s="609"/>
      <c r="I40" s="610"/>
      <c r="J40" s="611"/>
      <c r="K40" s="571"/>
      <c r="L40" s="572"/>
      <c r="M40" s="572"/>
      <c r="N40" s="572"/>
      <c r="O40" s="572"/>
      <c r="P40" s="573"/>
      <c r="Z40" s="11"/>
    </row>
    <row r="41" spans="1:26" ht="19.5" customHeight="1" x14ac:dyDescent="0.25">
      <c r="A41" s="9"/>
      <c r="B41" s="45"/>
      <c r="C41" s="571"/>
      <c r="D41" s="572"/>
      <c r="E41" s="572"/>
      <c r="F41" s="572"/>
      <c r="G41" s="573"/>
      <c r="H41" s="609"/>
      <c r="I41" s="610"/>
      <c r="J41" s="611"/>
      <c r="K41" s="571"/>
      <c r="L41" s="572"/>
      <c r="M41" s="572"/>
      <c r="N41" s="572"/>
      <c r="O41" s="572"/>
      <c r="P41" s="573"/>
      <c r="Z41" s="11"/>
    </row>
    <row r="42" spans="1:26" ht="19.5" customHeight="1" x14ac:dyDescent="0.25">
      <c r="A42" s="9"/>
      <c r="B42" s="45"/>
      <c r="C42" s="571"/>
      <c r="D42" s="572"/>
      <c r="E42" s="572"/>
      <c r="F42" s="572"/>
      <c r="G42" s="573"/>
      <c r="H42" s="609"/>
      <c r="I42" s="610"/>
      <c r="J42" s="611"/>
      <c r="K42" s="571"/>
      <c r="L42" s="572"/>
      <c r="M42" s="572"/>
      <c r="N42" s="572"/>
      <c r="O42" s="572"/>
      <c r="P42" s="573"/>
      <c r="Z42" s="11"/>
    </row>
    <row r="43" spans="1:26" ht="19.5" customHeight="1" x14ac:dyDescent="0.25">
      <c r="A43" s="9"/>
      <c r="B43" s="45"/>
      <c r="C43" s="571"/>
      <c r="D43" s="572"/>
      <c r="E43" s="572"/>
      <c r="F43" s="572"/>
      <c r="G43" s="573"/>
      <c r="H43" s="609"/>
      <c r="I43" s="610"/>
      <c r="J43" s="611"/>
      <c r="K43" s="571"/>
      <c r="L43" s="572"/>
      <c r="M43" s="572"/>
      <c r="N43" s="572"/>
      <c r="O43" s="572"/>
      <c r="P43" s="573"/>
      <c r="Z43" s="11"/>
    </row>
    <row r="44" spans="1:26" ht="19.5" customHeight="1" x14ac:dyDescent="0.25">
      <c r="A44" s="9"/>
      <c r="B44" s="45"/>
      <c r="C44" s="571"/>
      <c r="D44" s="572"/>
      <c r="E44" s="572"/>
      <c r="F44" s="572"/>
      <c r="G44" s="573"/>
      <c r="H44" s="609"/>
      <c r="I44" s="610"/>
      <c r="J44" s="611"/>
      <c r="K44" s="571"/>
      <c r="L44" s="572"/>
      <c r="M44" s="572"/>
      <c r="N44" s="572"/>
      <c r="O44" s="572"/>
      <c r="P44" s="573"/>
      <c r="Z44" s="11"/>
    </row>
    <row r="45" spans="1:26" ht="19.5" customHeight="1" x14ac:dyDescent="0.25">
      <c r="A45" s="9"/>
      <c r="B45" s="45"/>
      <c r="C45" s="571"/>
      <c r="D45" s="572"/>
      <c r="E45" s="572"/>
      <c r="F45" s="572"/>
      <c r="G45" s="573"/>
      <c r="H45" s="609"/>
      <c r="I45" s="610"/>
      <c r="J45" s="611"/>
      <c r="K45" s="571"/>
      <c r="L45" s="572"/>
      <c r="M45" s="572"/>
      <c r="N45" s="572"/>
      <c r="O45" s="572"/>
      <c r="P45" s="573"/>
      <c r="Z45" s="11"/>
    </row>
    <row r="46" spans="1:26" ht="19.5" customHeight="1" thickBot="1" x14ac:dyDescent="0.3">
      <c r="A46" s="9"/>
      <c r="B46" s="46"/>
      <c r="C46" s="696"/>
      <c r="D46" s="696"/>
      <c r="E46" s="696"/>
      <c r="F46" s="696"/>
      <c r="G46" s="697"/>
      <c r="H46" s="698"/>
      <c r="I46" s="699"/>
      <c r="J46" s="700"/>
      <c r="K46" s="701"/>
      <c r="L46" s="696"/>
      <c r="M46" s="696"/>
      <c r="N46" s="696"/>
      <c r="O46" s="696"/>
      <c r="P46" s="697"/>
      <c r="Z46" s="11"/>
    </row>
    <row r="47" spans="1:26" ht="15.75" customHeight="1" x14ac:dyDescent="0.25">
      <c r="A47" s="9"/>
      <c r="B47" s="647" t="s">
        <v>37</v>
      </c>
      <c r="C47" s="648"/>
      <c r="D47" s="648"/>
      <c r="E47" s="648"/>
      <c r="F47" s="648"/>
      <c r="G47" s="649"/>
      <c r="H47" s="669">
        <f>AVERAGE(H25:J46)</f>
        <v>99.615384615384613</v>
      </c>
      <c r="I47" s="670"/>
      <c r="J47" s="671"/>
      <c r="K47" s="680" t="s">
        <v>64</v>
      </c>
      <c r="L47" s="681"/>
      <c r="M47" s="675" t="s">
        <v>39</v>
      </c>
      <c r="N47" s="675"/>
      <c r="O47" s="675"/>
      <c r="P47" s="676"/>
      <c r="Z47" s="11"/>
    </row>
    <row r="48" spans="1:26" ht="15.75" customHeight="1" x14ac:dyDescent="0.25">
      <c r="A48" s="9"/>
      <c r="B48" s="641" t="s">
        <v>40</v>
      </c>
      <c r="C48" s="642"/>
      <c r="D48" s="642"/>
      <c r="E48" s="642"/>
      <c r="F48" s="642"/>
      <c r="G48" s="643"/>
      <c r="H48" s="672">
        <f>IF(COUNTIF(H25:J46,"*&lt;20*"),"&lt;20",MIN(H25:J46))</f>
        <v>80</v>
      </c>
      <c r="I48" s="673"/>
      <c r="J48" s="674"/>
      <c r="K48" s="682"/>
      <c r="L48" s="683"/>
      <c r="M48" s="659"/>
      <c r="N48" s="659"/>
      <c r="O48" s="659"/>
      <c r="P48" s="677"/>
      <c r="Z48" s="11"/>
    </row>
    <row r="49" spans="1:26" ht="15.75" customHeight="1" thickBot="1" x14ac:dyDescent="0.3">
      <c r="A49" s="9"/>
      <c r="B49" s="644" t="s">
        <v>41</v>
      </c>
      <c r="C49" s="645"/>
      <c r="D49" s="645"/>
      <c r="E49" s="645"/>
      <c r="F49" s="645"/>
      <c r="G49" s="646"/>
      <c r="H49" s="666">
        <f>IF(COUNTIF(H25:J46,"*&gt;250*"),"&gt;250",MAX(H25:J46))</f>
        <v>137</v>
      </c>
      <c r="I49" s="667"/>
      <c r="J49" s="668"/>
      <c r="K49" s="684"/>
      <c r="L49" s="685"/>
      <c r="M49" s="678"/>
      <c r="N49" s="678"/>
      <c r="O49" s="678"/>
      <c r="P49" s="679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42</v>
      </c>
      <c r="B52" s="5" t="s">
        <v>43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632" t="s">
        <v>44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4"/>
      <c r="R53" s="626" t="s">
        <v>45</v>
      </c>
      <c r="S53" s="627"/>
      <c r="T53" s="628"/>
      <c r="U53" s="702" t="s">
        <v>63</v>
      </c>
      <c r="V53" s="651"/>
      <c r="W53" s="651"/>
      <c r="X53" s="652"/>
      <c r="Y53" s="652"/>
      <c r="Z53" s="653"/>
    </row>
    <row r="54" spans="1:26" s="17" customFormat="1" ht="15.6" customHeight="1" x14ac:dyDescent="0.25">
      <c r="A54" s="635" t="s">
        <v>62</v>
      </c>
      <c r="B54" s="636"/>
      <c r="C54" s="636"/>
      <c r="D54" s="636"/>
      <c r="E54" s="636"/>
      <c r="F54" s="636"/>
      <c r="G54" s="636"/>
      <c r="H54" s="636"/>
      <c r="I54" s="636"/>
      <c r="J54" s="636"/>
      <c r="K54" s="636"/>
      <c r="L54" s="636"/>
      <c r="M54" s="636"/>
      <c r="N54" s="636"/>
      <c r="O54" s="636"/>
      <c r="P54" s="636"/>
      <c r="Q54" s="637"/>
      <c r="R54" s="626" t="s">
        <v>46</v>
      </c>
      <c r="S54" s="627"/>
      <c r="T54" s="628"/>
      <c r="U54" s="654" t="s">
        <v>61</v>
      </c>
      <c r="V54" s="655"/>
      <c r="W54" s="655"/>
      <c r="X54" s="656"/>
      <c r="Y54" s="656"/>
      <c r="Z54" s="657"/>
    </row>
    <row r="55" spans="1:26" s="17" customFormat="1" ht="15.6" customHeight="1" x14ac:dyDescent="0.25">
      <c r="A55" s="638"/>
      <c r="B55" s="639"/>
      <c r="C55" s="639"/>
      <c r="D55" s="639"/>
      <c r="E55" s="639"/>
      <c r="F55" s="639"/>
      <c r="G55" s="639"/>
      <c r="H55" s="639"/>
      <c r="I55" s="639"/>
      <c r="J55" s="639"/>
      <c r="K55" s="639"/>
      <c r="L55" s="639"/>
      <c r="M55" s="639"/>
      <c r="N55" s="639"/>
      <c r="O55" s="639"/>
      <c r="P55" s="639"/>
      <c r="Q55" s="640"/>
      <c r="R55" s="626"/>
      <c r="S55" s="627"/>
      <c r="T55" s="628"/>
      <c r="U55" s="658"/>
      <c r="V55" s="659"/>
      <c r="W55" s="659"/>
      <c r="X55" s="660"/>
      <c r="Y55" s="660"/>
      <c r="Z55" s="661"/>
    </row>
    <row r="56" spans="1:26" s="17" customFormat="1" ht="15.6" customHeight="1" x14ac:dyDescent="0.25">
      <c r="A56" s="55" t="s">
        <v>48</v>
      </c>
      <c r="B56" s="56" t="s">
        <v>49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626"/>
      <c r="S56" s="627"/>
      <c r="T56" s="628"/>
      <c r="U56" s="662"/>
      <c r="V56" s="663"/>
      <c r="W56" s="663"/>
      <c r="X56" s="664"/>
      <c r="Y56" s="664"/>
      <c r="Z56" s="665"/>
    </row>
    <row r="57" spans="1:26" s="17" customFormat="1" ht="15.6" customHeight="1" x14ac:dyDescent="0.25">
      <c r="A57" s="620"/>
      <c r="B57" s="621"/>
      <c r="C57" s="621"/>
      <c r="D57" s="621"/>
      <c r="E57" s="621"/>
      <c r="F57" s="621"/>
      <c r="G57" s="621"/>
      <c r="H57" s="621"/>
      <c r="I57" s="621"/>
      <c r="J57" s="621"/>
      <c r="K57" s="621"/>
      <c r="L57" s="621"/>
      <c r="M57" s="621"/>
      <c r="N57" s="621"/>
      <c r="O57" s="621"/>
      <c r="P57" s="621"/>
      <c r="Q57" s="622"/>
      <c r="R57" s="626" t="s">
        <v>50</v>
      </c>
      <c r="S57" s="627"/>
      <c r="T57" s="628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620"/>
      <c r="B58" s="621"/>
      <c r="C58" s="621"/>
      <c r="D58" s="621"/>
      <c r="E58" s="621"/>
      <c r="F58" s="621"/>
      <c r="G58" s="621"/>
      <c r="H58" s="621"/>
      <c r="I58" s="621"/>
      <c r="J58" s="621"/>
      <c r="K58" s="621"/>
      <c r="L58" s="621"/>
      <c r="M58" s="621"/>
      <c r="N58" s="621"/>
      <c r="O58" s="621"/>
      <c r="P58" s="621"/>
      <c r="Q58" s="622"/>
      <c r="R58" s="626"/>
      <c r="S58" s="627"/>
      <c r="T58" s="628"/>
      <c r="U58" s="61"/>
      <c r="V58" s="659"/>
      <c r="W58" s="659"/>
      <c r="X58" s="659"/>
      <c r="Y58" s="659"/>
      <c r="Z58" s="62"/>
    </row>
    <row r="59" spans="1:26" s="17" customFormat="1" ht="15.6" customHeight="1" x14ac:dyDescent="0.25">
      <c r="A59" s="620"/>
      <c r="B59" s="621"/>
      <c r="C59" s="621"/>
      <c r="D59" s="621"/>
      <c r="E59" s="621"/>
      <c r="F59" s="621"/>
      <c r="G59" s="621"/>
      <c r="H59" s="621"/>
      <c r="I59" s="621"/>
      <c r="J59" s="621"/>
      <c r="K59" s="621"/>
      <c r="L59" s="621"/>
      <c r="M59" s="621"/>
      <c r="N59" s="621"/>
      <c r="O59" s="621"/>
      <c r="P59" s="621"/>
      <c r="Q59" s="622"/>
      <c r="R59" s="626"/>
      <c r="S59" s="627"/>
      <c r="T59" s="628"/>
      <c r="U59" s="61"/>
      <c r="V59" s="659"/>
      <c r="W59" s="659"/>
      <c r="X59" s="659"/>
      <c r="Y59" s="659"/>
      <c r="Z59" s="62"/>
    </row>
    <row r="60" spans="1:26" s="17" customFormat="1" ht="15.6" customHeight="1" x14ac:dyDescent="0.25">
      <c r="A60" s="623"/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5"/>
      <c r="R60" s="629"/>
      <c r="S60" s="630"/>
      <c r="T60" s="631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8B41-D7FB-44B6-8C6E-5A3CC20EA10C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726"/>
      <c r="B1" s="727"/>
      <c r="C1" s="727"/>
      <c r="D1" s="727"/>
      <c r="E1" s="727"/>
      <c r="F1" s="728"/>
      <c r="G1" s="735" t="s">
        <v>0</v>
      </c>
      <c r="H1" s="736"/>
      <c r="I1" s="736"/>
      <c r="J1" s="736"/>
      <c r="K1" s="736"/>
      <c r="L1" s="736"/>
      <c r="M1" s="736"/>
      <c r="N1" s="736"/>
      <c r="O1" s="736"/>
      <c r="P1" s="736"/>
      <c r="Q1" s="736"/>
      <c r="R1" s="736"/>
      <c r="S1" s="736"/>
      <c r="T1" s="737"/>
      <c r="U1" s="703" t="s">
        <v>51</v>
      </c>
      <c r="V1" s="704"/>
      <c r="W1" s="704"/>
      <c r="X1" s="704"/>
      <c r="Y1" s="704"/>
      <c r="Z1" s="705"/>
    </row>
    <row r="2" spans="1:26" ht="12.75" customHeight="1" x14ac:dyDescent="0.25">
      <c r="A2" s="729"/>
      <c r="B2" s="730"/>
      <c r="C2" s="730"/>
      <c r="D2" s="730"/>
      <c r="E2" s="730"/>
      <c r="F2" s="731"/>
      <c r="G2" s="758" t="s">
        <v>1</v>
      </c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60"/>
      <c r="U2" s="706"/>
      <c r="V2" s="707"/>
      <c r="W2" s="707"/>
      <c r="X2" s="707"/>
      <c r="Y2" s="707"/>
      <c r="Z2" s="708"/>
    </row>
    <row r="3" spans="1:26" ht="12.75" customHeight="1" x14ac:dyDescent="0.25">
      <c r="A3" s="729"/>
      <c r="B3" s="730"/>
      <c r="C3" s="730"/>
      <c r="D3" s="730"/>
      <c r="E3" s="730"/>
      <c r="F3" s="731"/>
      <c r="G3" s="758"/>
      <c r="H3" s="759"/>
      <c r="I3" s="759"/>
      <c r="J3" s="759"/>
      <c r="K3" s="759"/>
      <c r="L3" s="759"/>
      <c r="M3" s="759"/>
      <c r="N3" s="759"/>
      <c r="O3" s="759"/>
      <c r="P3" s="759"/>
      <c r="Q3" s="759"/>
      <c r="R3" s="759"/>
      <c r="S3" s="759"/>
      <c r="T3" s="760"/>
      <c r="U3" s="706"/>
      <c r="V3" s="707"/>
      <c r="W3" s="707"/>
      <c r="X3" s="707"/>
      <c r="Y3" s="707"/>
      <c r="Z3" s="708"/>
    </row>
    <row r="4" spans="1:26" ht="12.75" customHeight="1" x14ac:dyDescent="0.25">
      <c r="A4" s="729"/>
      <c r="B4" s="730"/>
      <c r="C4" s="730"/>
      <c r="D4" s="730"/>
      <c r="E4" s="730"/>
      <c r="F4" s="731"/>
      <c r="G4" s="758"/>
      <c r="H4" s="759"/>
      <c r="I4" s="759"/>
      <c r="J4" s="759"/>
      <c r="K4" s="759"/>
      <c r="L4" s="759"/>
      <c r="M4" s="759"/>
      <c r="N4" s="759"/>
      <c r="O4" s="759"/>
      <c r="P4" s="759"/>
      <c r="Q4" s="759"/>
      <c r="R4" s="759"/>
      <c r="S4" s="759"/>
      <c r="T4" s="760"/>
      <c r="U4" s="706"/>
      <c r="V4" s="707"/>
      <c r="W4" s="707"/>
      <c r="X4" s="707"/>
      <c r="Y4" s="707"/>
      <c r="Z4" s="708"/>
    </row>
    <row r="5" spans="1:26" ht="12.75" customHeight="1" x14ac:dyDescent="0.25">
      <c r="A5" s="729"/>
      <c r="B5" s="730"/>
      <c r="C5" s="730"/>
      <c r="D5" s="730"/>
      <c r="E5" s="730"/>
      <c r="F5" s="731"/>
      <c r="G5" s="761" t="s">
        <v>2</v>
      </c>
      <c r="H5" s="762"/>
      <c r="I5" s="766">
        <v>2</v>
      </c>
      <c r="J5" s="766"/>
      <c r="K5" s="767"/>
      <c r="L5" s="718" t="s">
        <v>52</v>
      </c>
      <c r="M5" s="719"/>
      <c r="N5" s="719"/>
      <c r="O5" s="720"/>
      <c r="P5" s="721" t="s">
        <v>59</v>
      </c>
      <c r="Q5" s="722"/>
      <c r="R5" s="722"/>
      <c r="S5" s="722"/>
      <c r="T5" s="723"/>
      <c r="U5" s="706"/>
      <c r="V5" s="707"/>
      <c r="W5" s="707"/>
      <c r="X5" s="707"/>
      <c r="Y5" s="707"/>
      <c r="Z5" s="708"/>
    </row>
    <row r="6" spans="1:26" ht="12.75" customHeight="1" x14ac:dyDescent="0.25">
      <c r="A6" s="732"/>
      <c r="B6" s="733"/>
      <c r="C6" s="733"/>
      <c r="D6" s="733"/>
      <c r="E6" s="733"/>
      <c r="F6" s="734"/>
      <c r="G6" s="145"/>
      <c r="H6" s="104"/>
      <c r="I6" s="724" t="s">
        <v>4</v>
      </c>
      <c r="J6" s="724"/>
      <c r="K6" s="724"/>
      <c r="L6" s="724" t="s">
        <v>5</v>
      </c>
      <c r="M6" s="724"/>
      <c r="N6" s="724"/>
      <c r="O6" s="724"/>
      <c r="P6" s="724" t="s">
        <v>6</v>
      </c>
      <c r="Q6" s="724"/>
      <c r="R6" s="724"/>
      <c r="S6" s="724"/>
      <c r="T6" s="725"/>
      <c r="U6" s="709"/>
      <c r="V6" s="710"/>
      <c r="W6" s="710"/>
      <c r="X6" s="710"/>
      <c r="Y6" s="710"/>
      <c r="Z6" s="711"/>
    </row>
    <row r="7" spans="1:26" ht="36.6" customHeight="1" x14ac:dyDescent="0.25">
      <c r="A7" s="763" t="s">
        <v>7</v>
      </c>
      <c r="B7" s="763"/>
      <c r="C7" s="763"/>
      <c r="D7" s="763"/>
      <c r="E7" s="763"/>
      <c r="F7" s="763"/>
      <c r="G7" s="764" t="s">
        <v>8</v>
      </c>
      <c r="H7" s="764"/>
      <c r="I7" s="764"/>
      <c r="J7" s="764"/>
      <c r="K7" s="764"/>
      <c r="L7" s="764"/>
      <c r="M7" s="764"/>
      <c r="N7" s="764"/>
      <c r="O7" s="764"/>
      <c r="P7" s="764"/>
      <c r="Q7" s="764"/>
      <c r="R7" s="764"/>
      <c r="S7" s="764"/>
      <c r="T7" s="764"/>
      <c r="U7" s="764"/>
      <c r="V7" s="764"/>
      <c r="W7" s="764"/>
      <c r="X7" s="764"/>
      <c r="Y7" s="764"/>
      <c r="Z7" s="764"/>
    </row>
    <row r="8" spans="1:26" ht="15.9" customHeight="1" x14ac:dyDescent="0.25">
      <c r="A8" s="124" t="s">
        <v>9</v>
      </c>
      <c r="B8" s="99" t="s">
        <v>10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0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712" t="s">
        <v>11</v>
      </c>
      <c r="C10" s="712"/>
      <c r="D10" s="712"/>
      <c r="E10" s="712"/>
      <c r="F10" s="712"/>
      <c r="G10" s="712"/>
      <c r="H10" s="744" t="s">
        <v>12</v>
      </c>
      <c r="I10" s="744"/>
      <c r="J10" s="744"/>
      <c r="K10" s="744"/>
      <c r="L10" s="744"/>
      <c r="M10" s="744"/>
      <c r="N10" s="712" t="s">
        <v>13</v>
      </c>
      <c r="O10" s="712"/>
      <c r="P10" s="712"/>
      <c r="Q10" s="712"/>
      <c r="R10" s="712"/>
      <c r="S10" s="713" t="s">
        <v>14</v>
      </c>
      <c r="T10" s="713"/>
      <c r="U10" s="713"/>
      <c r="V10" s="713"/>
      <c r="W10" s="713"/>
      <c r="X10" s="713"/>
      <c r="Y10" s="713"/>
      <c r="Z10" s="143"/>
    </row>
    <row r="11" spans="1:26" ht="15.9" customHeight="1" x14ac:dyDescent="0.25">
      <c r="A11" s="108"/>
      <c r="B11" s="712" t="s">
        <v>15</v>
      </c>
      <c r="C11" s="712"/>
      <c r="D11" s="712"/>
      <c r="E11" s="712"/>
      <c r="F11" s="712"/>
      <c r="G11" s="712"/>
      <c r="H11" s="744" t="s">
        <v>59</v>
      </c>
      <c r="I11" s="744"/>
      <c r="J11" s="744"/>
      <c r="K11" s="744"/>
      <c r="L11" s="744"/>
      <c r="M11" s="744"/>
      <c r="N11" s="712" t="s">
        <v>16</v>
      </c>
      <c r="O11" s="712"/>
      <c r="P11" s="712"/>
      <c r="Q11" s="712"/>
      <c r="R11" s="712"/>
      <c r="S11" s="713" t="s">
        <v>17</v>
      </c>
      <c r="T11" s="713"/>
      <c r="U11" s="713"/>
      <c r="V11" s="713"/>
      <c r="W11" s="713"/>
      <c r="X11" s="713"/>
      <c r="Y11" s="713"/>
      <c r="Z11" s="143"/>
    </row>
    <row r="12" spans="1:26" ht="15.9" customHeight="1" x14ac:dyDescent="0.25">
      <c r="A12" s="108"/>
      <c r="B12" s="712" t="s">
        <v>18</v>
      </c>
      <c r="C12" s="712"/>
      <c r="D12" s="712"/>
      <c r="E12" s="712"/>
      <c r="F12" s="712"/>
      <c r="G12" s="712"/>
      <c r="H12" s="744" t="s">
        <v>58</v>
      </c>
      <c r="I12" s="744"/>
      <c r="J12" s="744"/>
      <c r="K12" s="744"/>
      <c r="L12" s="744"/>
      <c r="M12" s="744"/>
      <c r="N12" s="712" t="s">
        <v>20</v>
      </c>
      <c r="O12" s="712"/>
      <c r="P12" s="712"/>
      <c r="Q12" s="712"/>
      <c r="R12" s="712"/>
      <c r="S12" s="713" t="s">
        <v>57</v>
      </c>
      <c r="T12" s="713"/>
      <c r="U12" s="713"/>
      <c r="V12" s="713"/>
      <c r="W12" s="713"/>
      <c r="X12" s="713"/>
      <c r="Y12" s="713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751" t="s">
        <v>24</v>
      </c>
      <c r="C17" s="751"/>
      <c r="D17" s="751"/>
      <c r="E17" s="751"/>
      <c r="F17" s="751"/>
      <c r="G17" s="751"/>
      <c r="H17" s="751"/>
      <c r="I17" s="765"/>
      <c r="J17" s="765"/>
      <c r="K17" s="765"/>
      <c r="L17" s="765"/>
      <c r="M17" s="765"/>
      <c r="N17" s="765"/>
      <c r="O17" s="765"/>
      <c r="P17" s="765"/>
      <c r="Q17" s="765"/>
      <c r="R17" s="765"/>
      <c r="S17" s="765"/>
      <c r="T17" s="765"/>
      <c r="U17" s="765"/>
      <c r="V17" s="765"/>
      <c r="W17" s="765"/>
      <c r="X17" s="765"/>
      <c r="Y17" s="765"/>
      <c r="Z17" s="129"/>
    </row>
    <row r="18" spans="1:26" s="76" customFormat="1" ht="15" customHeight="1" x14ac:dyDescent="0.25">
      <c r="A18" s="131"/>
      <c r="B18" s="751" t="s">
        <v>25</v>
      </c>
      <c r="C18" s="751"/>
      <c r="D18" s="751"/>
      <c r="E18" s="751"/>
      <c r="F18" s="751"/>
      <c r="G18" s="751"/>
      <c r="H18" s="751"/>
      <c r="I18" s="798" t="s">
        <v>26</v>
      </c>
      <c r="J18" s="798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807" t="s">
        <v>30</v>
      </c>
      <c r="K21" s="807"/>
      <c r="L21" s="807"/>
      <c r="M21" s="807"/>
      <c r="N21" s="807"/>
      <c r="O21" s="807"/>
      <c r="P21" s="807"/>
      <c r="Q21" s="118">
        <v>600</v>
      </c>
      <c r="R21" s="96"/>
      <c r="S21" s="96"/>
      <c r="T21" s="96"/>
      <c r="U21" s="96"/>
      <c r="V21" s="96"/>
      <c r="W21" s="96"/>
      <c r="X21" s="96"/>
      <c r="Y21" s="96"/>
      <c r="Z21" s="120"/>
    </row>
    <row r="22" spans="1:26" ht="12.75" customHeight="1" x14ac:dyDescent="0.25">
      <c r="A22" s="108"/>
      <c r="B22" s="119"/>
      <c r="Z22" s="107"/>
    </row>
    <row r="23" spans="1:26" ht="15.75" customHeight="1" x14ac:dyDescent="0.25">
      <c r="A23" s="108"/>
      <c r="B23" s="805" t="s">
        <v>31</v>
      </c>
      <c r="C23" s="714" t="s">
        <v>32</v>
      </c>
      <c r="D23" s="714"/>
      <c r="E23" s="714"/>
      <c r="F23" s="714"/>
      <c r="G23" s="715"/>
      <c r="H23" s="802" t="s">
        <v>33</v>
      </c>
      <c r="I23" s="803"/>
      <c r="J23" s="804"/>
      <c r="K23" s="714" t="s">
        <v>34</v>
      </c>
      <c r="L23" s="714"/>
      <c r="M23" s="714"/>
      <c r="N23" s="714"/>
      <c r="O23" s="714"/>
      <c r="P23" s="715"/>
      <c r="Z23" s="107"/>
    </row>
    <row r="24" spans="1:26" ht="15.75" customHeight="1" x14ac:dyDescent="0.25">
      <c r="A24" s="108"/>
      <c r="B24" s="806"/>
      <c r="C24" s="716"/>
      <c r="D24" s="716"/>
      <c r="E24" s="716"/>
      <c r="F24" s="716"/>
      <c r="G24" s="717"/>
      <c r="H24" s="799" t="s">
        <v>35</v>
      </c>
      <c r="I24" s="800"/>
      <c r="J24" s="801"/>
      <c r="K24" s="716"/>
      <c r="L24" s="716"/>
      <c r="M24" s="716"/>
      <c r="N24" s="716"/>
      <c r="O24" s="716"/>
      <c r="P24" s="717"/>
      <c r="Z24" s="107"/>
    </row>
    <row r="25" spans="1:26" ht="19.5" customHeight="1" x14ac:dyDescent="0.25">
      <c r="A25" s="108"/>
      <c r="B25" s="117">
        <v>1</v>
      </c>
      <c r="C25" s="748"/>
      <c r="D25" s="749"/>
      <c r="E25" s="749"/>
      <c r="F25" s="749"/>
      <c r="G25" s="750"/>
      <c r="H25" s="745">
        <v>64</v>
      </c>
      <c r="I25" s="746"/>
      <c r="J25" s="747"/>
      <c r="K25" s="748"/>
      <c r="L25" s="749"/>
      <c r="M25" s="749"/>
      <c r="N25" s="749"/>
      <c r="O25" s="749"/>
      <c r="P25" s="750"/>
      <c r="Z25" s="107"/>
    </row>
    <row r="26" spans="1:26" ht="19.5" customHeight="1" x14ac:dyDescent="0.25">
      <c r="A26" s="108"/>
      <c r="B26" s="117">
        <v>2</v>
      </c>
      <c r="C26" s="748"/>
      <c r="D26" s="749"/>
      <c r="E26" s="749"/>
      <c r="F26" s="749"/>
      <c r="G26" s="750"/>
      <c r="H26" s="745">
        <v>67</v>
      </c>
      <c r="I26" s="746"/>
      <c r="J26" s="747"/>
      <c r="K26" s="748"/>
      <c r="L26" s="749"/>
      <c r="M26" s="749"/>
      <c r="N26" s="749"/>
      <c r="O26" s="749"/>
      <c r="P26" s="750"/>
      <c r="Z26" s="107"/>
    </row>
    <row r="27" spans="1:26" ht="19.5" customHeight="1" x14ac:dyDescent="0.25">
      <c r="A27" s="108"/>
      <c r="B27" s="117">
        <v>3</v>
      </c>
      <c r="C27" s="748"/>
      <c r="D27" s="749"/>
      <c r="E27" s="749"/>
      <c r="F27" s="749"/>
      <c r="G27" s="750"/>
      <c r="H27" s="745">
        <v>57</v>
      </c>
      <c r="I27" s="746"/>
      <c r="J27" s="747"/>
      <c r="K27" s="748"/>
      <c r="L27" s="749"/>
      <c r="M27" s="749"/>
      <c r="N27" s="749"/>
      <c r="O27" s="749"/>
      <c r="P27" s="750"/>
      <c r="Z27" s="107"/>
    </row>
    <row r="28" spans="1:26" ht="19.5" customHeight="1" x14ac:dyDescent="0.25">
      <c r="A28" s="108"/>
      <c r="B28" s="117">
        <v>4</v>
      </c>
      <c r="C28" s="748"/>
      <c r="D28" s="749"/>
      <c r="E28" s="749"/>
      <c r="F28" s="749"/>
      <c r="G28" s="750"/>
      <c r="H28" s="745">
        <v>52</v>
      </c>
      <c r="I28" s="746"/>
      <c r="J28" s="747"/>
      <c r="K28" s="748"/>
      <c r="L28" s="749"/>
      <c r="M28" s="749"/>
      <c r="N28" s="749"/>
      <c r="O28" s="749"/>
      <c r="P28" s="750"/>
      <c r="Z28" s="107"/>
    </row>
    <row r="29" spans="1:26" ht="19.5" customHeight="1" x14ac:dyDescent="0.25">
      <c r="A29" s="108"/>
      <c r="B29" s="117">
        <v>5</v>
      </c>
      <c r="C29" s="748"/>
      <c r="D29" s="749"/>
      <c r="E29" s="749"/>
      <c r="F29" s="749"/>
      <c r="G29" s="750"/>
      <c r="H29" s="745">
        <v>55</v>
      </c>
      <c r="I29" s="746"/>
      <c r="J29" s="747"/>
      <c r="K29" s="748"/>
      <c r="L29" s="749"/>
      <c r="M29" s="749"/>
      <c r="N29" s="749"/>
      <c r="O29" s="749"/>
      <c r="P29" s="750"/>
      <c r="Z29" s="107"/>
    </row>
    <row r="30" spans="1:26" ht="19.5" customHeight="1" x14ac:dyDescent="0.25">
      <c r="A30" s="108"/>
      <c r="B30" s="117">
        <v>6</v>
      </c>
      <c r="C30" s="748"/>
      <c r="D30" s="749"/>
      <c r="E30" s="749"/>
      <c r="F30" s="749"/>
      <c r="G30" s="750"/>
      <c r="H30" s="745">
        <v>28</v>
      </c>
      <c r="I30" s="746"/>
      <c r="J30" s="747"/>
      <c r="K30" s="748"/>
      <c r="L30" s="749"/>
      <c r="M30" s="749"/>
      <c r="N30" s="749"/>
      <c r="O30" s="749"/>
      <c r="P30" s="750"/>
      <c r="Z30" s="107"/>
    </row>
    <row r="31" spans="1:26" ht="19.5" customHeight="1" x14ac:dyDescent="0.25">
      <c r="A31" s="108"/>
      <c r="B31" s="117">
        <v>7</v>
      </c>
      <c r="C31" s="748"/>
      <c r="D31" s="749"/>
      <c r="E31" s="749"/>
      <c r="F31" s="749"/>
      <c r="G31" s="750"/>
      <c r="H31" s="745">
        <v>52</v>
      </c>
      <c r="I31" s="746"/>
      <c r="J31" s="747"/>
      <c r="K31" s="748"/>
      <c r="L31" s="749"/>
      <c r="M31" s="749"/>
      <c r="N31" s="749"/>
      <c r="O31" s="749"/>
      <c r="P31" s="750"/>
      <c r="Z31" s="107"/>
    </row>
    <row r="32" spans="1:26" ht="19.5" customHeight="1" x14ac:dyDescent="0.25">
      <c r="A32" s="108"/>
      <c r="B32" s="117">
        <v>8</v>
      </c>
      <c r="C32" s="748"/>
      <c r="D32" s="749"/>
      <c r="E32" s="749"/>
      <c r="F32" s="749"/>
      <c r="G32" s="750"/>
      <c r="H32" s="745">
        <v>33</v>
      </c>
      <c r="I32" s="746"/>
      <c r="J32" s="747"/>
      <c r="K32" s="748"/>
      <c r="L32" s="749"/>
      <c r="M32" s="749"/>
      <c r="N32" s="749"/>
      <c r="O32" s="749"/>
      <c r="P32" s="750"/>
      <c r="Z32" s="107"/>
    </row>
    <row r="33" spans="1:26" ht="19.5" customHeight="1" x14ac:dyDescent="0.25">
      <c r="A33" s="108"/>
      <c r="B33" s="117">
        <v>9</v>
      </c>
      <c r="C33" s="748"/>
      <c r="D33" s="749"/>
      <c r="E33" s="749"/>
      <c r="F33" s="749"/>
      <c r="G33" s="750"/>
      <c r="H33" s="745">
        <v>32</v>
      </c>
      <c r="I33" s="746"/>
      <c r="J33" s="747"/>
      <c r="K33" s="748"/>
      <c r="L33" s="749"/>
      <c r="M33" s="749"/>
      <c r="N33" s="749"/>
      <c r="O33" s="749"/>
      <c r="P33" s="750"/>
      <c r="Z33" s="107"/>
    </row>
    <row r="34" spans="1:26" ht="19.5" customHeight="1" x14ac:dyDescent="0.25">
      <c r="A34" s="108"/>
      <c r="B34" s="117">
        <v>10</v>
      </c>
      <c r="C34" s="748"/>
      <c r="D34" s="749"/>
      <c r="E34" s="749"/>
      <c r="F34" s="749"/>
      <c r="G34" s="750"/>
      <c r="H34" s="745">
        <v>109</v>
      </c>
      <c r="I34" s="746"/>
      <c r="J34" s="747"/>
      <c r="K34" s="752" t="s">
        <v>60</v>
      </c>
      <c r="L34" s="753"/>
      <c r="M34" s="753"/>
      <c r="N34" s="753"/>
      <c r="O34" s="753"/>
      <c r="P34" s="754"/>
      <c r="Z34" s="107"/>
    </row>
    <row r="35" spans="1:26" ht="19.5" customHeight="1" x14ac:dyDescent="0.25">
      <c r="A35" s="108"/>
      <c r="B35" s="117">
        <v>11</v>
      </c>
      <c r="C35" s="748"/>
      <c r="D35" s="749"/>
      <c r="E35" s="749"/>
      <c r="F35" s="749"/>
      <c r="G35" s="750"/>
      <c r="H35" s="745">
        <v>95</v>
      </c>
      <c r="I35" s="746"/>
      <c r="J35" s="747"/>
      <c r="K35" s="755"/>
      <c r="L35" s="756"/>
      <c r="M35" s="756"/>
      <c r="N35" s="756"/>
      <c r="O35" s="756"/>
      <c r="P35" s="757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741"/>
      <c r="D54" s="742"/>
      <c r="E54" s="742"/>
      <c r="F54" s="742"/>
      <c r="G54" s="743"/>
      <c r="H54" s="738"/>
      <c r="I54" s="739"/>
      <c r="J54" s="740"/>
      <c r="K54" s="741"/>
      <c r="L54" s="742"/>
      <c r="M54" s="742"/>
      <c r="N54" s="742"/>
      <c r="O54" s="742"/>
      <c r="P54" s="743"/>
      <c r="Z54" s="107"/>
    </row>
    <row r="55" spans="1:26" ht="15.75" customHeight="1" x14ac:dyDescent="0.25">
      <c r="A55" s="108"/>
      <c r="B55" s="795" t="s">
        <v>37</v>
      </c>
      <c r="C55" s="796"/>
      <c r="D55" s="796"/>
      <c r="E55" s="796"/>
      <c r="F55" s="796"/>
      <c r="G55" s="797"/>
      <c r="H55" s="827">
        <f>AVERAGE(H25:J54)</f>
        <v>58.545454545454547</v>
      </c>
      <c r="I55" s="828"/>
      <c r="J55" s="829"/>
      <c r="K55" s="838" t="s">
        <v>56</v>
      </c>
      <c r="L55" s="839"/>
      <c r="M55" s="833" t="s">
        <v>39</v>
      </c>
      <c r="N55" s="833"/>
      <c r="O55" s="833"/>
      <c r="P55" s="834"/>
      <c r="Z55" s="107"/>
    </row>
    <row r="56" spans="1:26" ht="15.75" customHeight="1" x14ac:dyDescent="0.25">
      <c r="A56" s="108"/>
      <c r="B56" s="789" t="s">
        <v>40</v>
      </c>
      <c r="C56" s="790"/>
      <c r="D56" s="790"/>
      <c r="E56" s="790"/>
      <c r="F56" s="790"/>
      <c r="G56" s="791"/>
      <c r="H56" s="830">
        <f>IF(COUNTIF(H25:J54,"*&lt;20*"),"&lt;20",MIN(H25:J54))</f>
        <v>28</v>
      </c>
      <c r="I56" s="831"/>
      <c r="J56" s="832"/>
      <c r="K56" s="840"/>
      <c r="L56" s="841"/>
      <c r="M56" s="808"/>
      <c r="N56" s="808"/>
      <c r="O56" s="808"/>
      <c r="P56" s="835"/>
      <c r="Z56" s="107"/>
    </row>
    <row r="57" spans="1:26" ht="15.75" customHeight="1" thickBot="1" x14ac:dyDescent="0.3">
      <c r="A57" s="108"/>
      <c r="B57" s="792" t="s">
        <v>41</v>
      </c>
      <c r="C57" s="793"/>
      <c r="D57" s="793"/>
      <c r="E57" s="793"/>
      <c r="F57" s="793"/>
      <c r="G57" s="794"/>
      <c r="H57" s="824">
        <f>IF(COUNTIF(H25:J54,"*&gt;250*"),"&gt;250",MAX(H25:J54))</f>
        <v>109</v>
      </c>
      <c r="I57" s="825"/>
      <c r="J57" s="826"/>
      <c r="K57" s="842"/>
      <c r="L57" s="843"/>
      <c r="M57" s="836"/>
      <c r="N57" s="836"/>
      <c r="O57" s="836"/>
      <c r="P57" s="837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780" t="s">
        <v>44</v>
      </c>
      <c r="B61" s="781"/>
      <c r="C61" s="781"/>
      <c r="D61" s="781"/>
      <c r="E61" s="781"/>
      <c r="F61" s="781"/>
      <c r="G61" s="781"/>
      <c r="H61" s="781"/>
      <c r="I61" s="781"/>
      <c r="J61" s="781"/>
      <c r="K61" s="781"/>
      <c r="L61" s="781"/>
      <c r="M61" s="781"/>
      <c r="N61" s="781"/>
      <c r="O61" s="781"/>
      <c r="P61" s="781"/>
      <c r="Q61" s="782"/>
      <c r="R61" s="774" t="s">
        <v>45</v>
      </c>
      <c r="S61" s="775"/>
      <c r="T61" s="776"/>
      <c r="U61" s="809" t="s">
        <v>12</v>
      </c>
      <c r="V61" s="810"/>
      <c r="W61" s="810"/>
      <c r="X61" s="811"/>
      <c r="Y61" s="811"/>
      <c r="Z61" s="812"/>
    </row>
    <row r="62" spans="1:26" s="76" customFormat="1" ht="15.6" customHeight="1" x14ac:dyDescent="0.25">
      <c r="A62" s="783" t="s">
        <v>55</v>
      </c>
      <c r="B62" s="784"/>
      <c r="C62" s="784"/>
      <c r="D62" s="784"/>
      <c r="E62" s="784"/>
      <c r="F62" s="784"/>
      <c r="G62" s="784"/>
      <c r="H62" s="784"/>
      <c r="I62" s="784"/>
      <c r="J62" s="784"/>
      <c r="K62" s="784"/>
      <c r="L62" s="784"/>
      <c r="M62" s="784"/>
      <c r="N62" s="784"/>
      <c r="O62" s="784"/>
      <c r="P62" s="784"/>
      <c r="Q62" s="785"/>
      <c r="R62" s="774" t="s">
        <v>46</v>
      </c>
      <c r="S62" s="775"/>
      <c r="T62" s="776"/>
      <c r="U62" s="813" t="s">
        <v>47</v>
      </c>
      <c r="V62" s="814"/>
      <c r="W62" s="814"/>
      <c r="X62" s="815"/>
      <c r="Y62" s="815"/>
      <c r="Z62" s="816"/>
    </row>
    <row r="63" spans="1:26" s="76" customFormat="1" ht="15.6" customHeight="1" x14ac:dyDescent="0.25">
      <c r="A63" s="786"/>
      <c r="B63" s="787"/>
      <c r="C63" s="787"/>
      <c r="D63" s="787"/>
      <c r="E63" s="787"/>
      <c r="F63" s="787"/>
      <c r="G63" s="787"/>
      <c r="H63" s="787"/>
      <c r="I63" s="787"/>
      <c r="J63" s="787"/>
      <c r="K63" s="787"/>
      <c r="L63" s="787"/>
      <c r="M63" s="787"/>
      <c r="N63" s="787"/>
      <c r="O63" s="787"/>
      <c r="P63" s="787"/>
      <c r="Q63" s="788"/>
      <c r="R63" s="774"/>
      <c r="S63" s="775"/>
      <c r="T63" s="776"/>
      <c r="U63" s="817"/>
      <c r="V63" s="808"/>
      <c r="W63" s="808"/>
      <c r="X63" s="818"/>
      <c r="Y63" s="818"/>
      <c r="Z63" s="819"/>
    </row>
    <row r="64" spans="1:26" s="76" customFormat="1" ht="15.6" customHeight="1" x14ac:dyDescent="0.25">
      <c r="A64" s="91" t="s">
        <v>48</v>
      </c>
      <c r="B64" s="90" t="s">
        <v>49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774"/>
      <c r="S64" s="775"/>
      <c r="T64" s="776"/>
      <c r="U64" s="820"/>
      <c r="V64" s="821"/>
      <c r="W64" s="821"/>
      <c r="X64" s="822"/>
      <c r="Y64" s="822"/>
      <c r="Z64" s="823"/>
    </row>
    <row r="65" spans="1:26" s="76" customFormat="1" ht="15.6" customHeight="1" x14ac:dyDescent="0.25">
      <c r="A65" s="768"/>
      <c r="B65" s="769"/>
      <c r="C65" s="769"/>
      <c r="D65" s="769"/>
      <c r="E65" s="769"/>
      <c r="F65" s="769"/>
      <c r="G65" s="769"/>
      <c r="H65" s="769"/>
      <c r="I65" s="769"/>
      <c r="J65" s="769"/>
      <c r="K65" s="769"/>
      <c r="L65" s="769"/>
      <c r="M65" s="769"/>
      <c r="N65" s="769"/>
      <c r="O65" s="769"/>
      <c r="P65" s="769"/>
      <c r="Q65" s="770"/>
      <c r="R65" s="774" t="s">
        <v>50</v>
      </c>
      <c r="S65" s="775"/>
      <c r="T65" s="776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768"/>
      <c r="B66" s="769"/>
      <c r="C66" s="769"/>
      <c r="D66" s="769"/>
      <c r="E66" s="769"/>
      <c r="F66" s="769"/>
      <c r="G66" s="769"/>
      <c r="H66" s="769"/>
      <c r="I66" s="769"/>
      <c r="J66" s="769"/>
      <c r="K66" s="769"/>
      <c r="L66" s="769"/>
      <c r="M66" s="769"/>
      <c r="N66" s="769"/>
      <c r="O66" s="769"/>
      <c r="P66" s="769"/>
      <c r="Q66" s="770"/>
      <c r="R66" s="774"/>
      <c r="S66" s="775"/>
      <c r="T66" s="776"/>
      <c r="U66" s="84"/>
      <c r="V66" s="808"/>
      <c r="W66" s="808"/>
      <c r="X66" s="808"/>
      <c r="Y66" s="808"/>
      <c r="Z66" s="83"/>
    </row>
    <row r="67" spans="1:26" s="76" customFormat="1" ht="15.6" customHeight="1" x14ac:dyDescent="0.25">
      <c r="A67" s="768"/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69"/>
      <c r="Q67" s="770"/>
      <c r="R67" s="774"/>
      <c r="S67" s="775"/>
      <c r="T67" s="776"/>
      <c r="U67" s="84"/>
      <c r="V67" s="808"/>
      <c r="W67" s="808"/>
      <c r="X67" s="808"/>
      <c r="Y67" s="808"/>
      <c r="Z67" s="83"/>
    </row>
    <row r="68" spans="1:26" s="76" customFormat="1" ht="15.6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2"/>
      <c r="Q68" s="773"/>
      <c r="R68" s="777"/>
      <c r="S68" s="778"/>
      <c r="T68" s="779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7">
    <mergeCell ref="C32:G32"/>
    <mergeCell ref="H32:J32"/>
    <mergeCell ref="K32:P32"/>
    <mergeCell ref="C33:G33"/>
    <mergeCell ref="H33:J33"/>
    <mergeCell ref="K33:P33"/>
    <mergeCell ref="V66:Y67"/>
    <mergeCell ref="U61:Z61"/>
    <mergeCell ref="U62:Z64"/>
    <mergeCell ref="H57:J57"/>
    <mergeCell ref="H55:J55"/>
    <mergeCell ref="H56:J56"/>
    <mergeCell ref="M55:P57"/>
    <mergeCell ref="K55:L57"/>
    <mergeCell ref="C34:G34"/>
    <mergeCell ref="H34:J34"/>
    <mergeCell ref="C35:G35"/>
    <mergeCell ref="H35:J3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H28:J28"/>
    <mergeCell ref="K28:P28"/>
    <mergeCell ref="C29:G29"/>
    <mergeCell ref="H29:J29"/>
    <mergeCell ref="K29:P29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0:G30"/>
    <mergeCell ref="H30:J30"/>
    <mergeCell ref="K30:P30"/>
    <mergeCell ref="C31:G31"/>
    <mergeCell ref="S10:Y10"/>
    <mergeCell ref="N10:R10"/>
    <mergeCell ref="G2:T4"/>
    <mergeCell ref="G5:H5"/>
    <mergeCell ref="A7:F7"/>
    <mergeCell ref="G7:Z7"/>
    <mergeCell ref="H10:M10"/>
    <mergeCell ref="I17:Y17"/>
    <mergeCell ref="B11:G11"/>
    <mergeCell ref="U1:Z6"/>
    <mergeCell ref="K25:P25"/>
    <mergeCell ref="S11:Y11"/>
    <mergeCell ref="I5:K5"/>
    <mergeCell ref="I6:K6"/>
    <mergeCell ref="H54:J54"/>
    <mergeCell ref="K54:P54"/>
    <mergeCell ref="N12:R12"/>
    <mergeCell ref="H12:M12"/>
    <mergeCell ref="H31:J31"/>
    <mergeCell ref="K31:P31"/>
    <mergeCell ref="B17:H17"/>
    <mergeCell ref="B12:G12"/>
    <mergeCell ref="C26:G26"/>
    <mergeCell ref="H26:J26"/>
    <mergeCell ref="K26:P26"/>
    <mergeCell ref="C27:G27"/>
    <mergeCell ref="H27:J27"/>
    <mergeCell ref="K27:P27"/>
    <mergeCell ref="C28:G28"/>
    <mergeCell ref="K34:P35"/>
    <mergeCell ref="B10:G10"/>
    <mergeCell ref="S12:Y12"/>
    <mergeCell ref="K23:P24"/>
    <mergeCell ref="L5:O5"/>
    <mergeCell ref="P5:T5"/>
    <mergeCell ref="L6:O6"/>
    <mergeCell ref="P6:T6"/>
    <mergeCell ref="A1:F6"/>
    <mergeCell ref="G1:T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opLeftCell="A50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585"/>
      <c r="B1" s="586"/>
      <c r="C1" s="586"/>
      <c r="D1" s="586"/>
      <c r="E1" s="586"/>
      <c r="F1" s="587"/>
      <c r="G1" s="594" t="s">
        <v>0</v>
      </c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6"/>
      <c r="U1" s="562" t="s">
        <v>51</v>
      </c>
      <c r="V1" s="563"/>
      <c r="W1" s="563"/>
      <c r="X1" s="563"/>
      <c r="Y1" s="563"/>
      <c r="Z1" s="564"/>
    </row>
    <row r="2" spans="1:26" ht="12.75" customHeight="1" x14ac:dyDescent="0.25">
      <c r="A2" s="588"/>
      <c r="B2" s="589"/>
      <c r="C2" s="589"/>
      <c r="D2" s="589"/>
      <c r="E2" s="589"/>
      <c r="F2" s="590"/>
      <c r="G2" s="613" t="s">
        <v>1</v>
      </c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5"/>
      <c r="U2" s="565"/>
      <c r="V2" s="566"/>
      <c r="W2" s="566"/>
      <c r="X2" s="566"/>
      <c r="Y2" s="566"/>
      <c r="Z2" s="567"/>
    </row>
    <row r="3" spans="1:26" ht="12.75" customHeight="1" x14ac:dyDescent="0.25">
      <c r="A3" s="588"/>
      <c r="B3" s="589"/>
      <c r="C3" s="589"/>
      <c r="D3" s="589"/>
      <c r="E3" s="589"/>
      <c r="F3" s="590"/>
      <c r="G3" s="613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5"/>
      <c r="U3" s="565"/>
      <c r="V3" s="566"/>
      <c r="W3" s="566"/>
      <c r="X3" s="566"/>
      <c r="Y3" s="566"/>
      <c r="Z3" s="567"/>
    </row>
    <row r="4" spans="1:26" ht="12.75" customHeight="1" x14ac:dyDescent="0.25">
      <c r="A4" s="588"/>
      <c r="B4" s="589"/>
      <c r="C4" s="589"/>
      <c r="D4" s="589"/>
      <c r="E4" s="589"/>
      <c r="F4" s="590"/>
      <c r="G4" s="613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5"/>
      <c r="U4" s="565"/>
      <c r="V4" s="566"/>
      <c r="W4" s="566"/>
      <c r="X4" s="566"/>
      <c r="Y4" s="566"/>
      <c r="Z4" s="567"/>
    </row>
    <row r="5" spans="1:26" ht="12.75" customHeight="1" x14ac:dyDescent="0.25">
      <c r="A5" s="588"/>
      <c r="B5" s="589"/>
      <c r="C5" s="589"/>
      <c r="D5" s="589"/>
      <c r="E5" s="589"/>
      <c r="F5" s="590"/>
      <c r="G5" s="616" t="s">
        <v>2</v>
      </c>
      <c r="H5" s="617"/>
      <c r="I5" s="575">
        <v>1</v>
      </c>
      <c r="J5" s="575"/>
      <c r="K5" s="576"/>
      <c r="L5" s="578" t="s">
        <v>52</v>
      </c>
      <c r="M5" s="579"/>
      <c r="N5" s="579"/>
      <c r="O5" s="580"/>
      <c r="P5" s="581" t="s">
        <v>3</v>
      </c>
      <c r="Q5" s="582"/>
      <c r="R5" s="582"/>
      <c r="S5" s="582"/>
      <c r="T5" s="583"/>
      <c r="U5" s="565"/>
      <c r="V5" s="566"/>
      <c r="W5" s="566"/>
      <c r="X5" s="566"/>
      <c r="Y5" s="566"/>
      <c r="Z5" s="567"/>
    </row>
    <row r="6" spans="1:26" ht="12.75" customHeight="1" x14ac:dyDescent="0.25">
      <c r="A6" s="591"/>
      <c r="B6" s="592"/>
      <c r="C6" s="592"/>
      <c r="D6" s="592"/>
      <c r="E6" s="592"/>
      <c r="F6" s="593"/>
      <c r="G6" s="2"/>
      <c r="H6" s="3"/>
      <c r="I6" s="577" t="s">
        <v>4</v>
      </c>
      <c r="J6" s="577"/>
      <c r="K6" s="577"/>
      <c r="L6" s="577" t="s">
        <v>5</v>
      </c>
      <c r="M6" s="577"/>
      <c r="N6" s="577"/>
      <c r="O6" s="577"/>
      <c r="P6" s="577" t="s">
        <v>6</v>
      </c>
      <c r="Q6" s="577"/>
      <c r="R6" s="577"/>
      <c r="S6" s="577"/>
      <c r="T6" s="584"/>
      <c r="U6" s="568"/>
      <c r="V6" s="569"/>
      <c r="W6" s="569"/>
      <c r="X6" s="569"/>
      <c r="Y6" s="569"/>
      <c r="Z6" s="570"/>
    </row>
    <row r="7" spans="1:26" ht="36.6" customHeight="1" x14ac:dyDescent="0.25">
      <c r="A7" s="618" t="s">
        <v>7</v>
      </c>
      <c r="B7" s="618"/>
      <c r="C7" s="618"/>
      <c r="D7" s="618"/>
      <c r="E7" s="618"/>
      <c r="F7" s="618"/>
      <c r="G7" s="619" t="s">
        <v>8</v>
      </c>
      <c r="H7" s="619"/>
      <c r="I7" s="619"/>
      <c r="J7" s="619"/>
      <c r="K7" s="619"/>
      <c r="L7" s="619"/>
      <c r="M7" s="619"/>
      <c r="N7" s="619"/>
      <c r="O7" s="619"/>
      <c r="P7" s="619"/>
      <c r="Q7" s="619"/>
      <c r="R7" s="619"/>
      <c r="S7" s="619"/>
      <c r="T7" s="619"/>
      <c r="U7" s="619"/>
      <c r="V7" s="619"/>
      <c r="W7" s="619"/>
      <c r="X7" s="619"/>
      <c r="Y7" s="619"/>
      <c r="Z7" s="619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561" t="s">
        <v>11</v>
      </c>
      <c r="C10" s="561"/>
      <c r="D10" s="561"/>
      <c r="E10" s="561"/>
      <c r="F10" s="561"/>
      <c r="G10" s="561"/>
      <c r="H10" s="608" t="s">
        <v>12</v>
      </c>
      <c r="I10" s="608"/>
      <c r="J10" s="608"/>
      <c r="K10" s="608"/>
      <c r="L10" s="608"/>
      <c r="M10" s="608"/>
      <c r="N10" s="561" t="s">
        <v>13</v>
      </c>
      <c r="O10" s="561"/>
      <c r="P10" s="561"/>
      <c r="Q10" s="561"/>
      <c r="R10" s="561"/>
      <c r="S10" s="574" t="s">
        <v>14</v>
      </c>
      <c r="T10" s="574"/>
      <c r="U10" s="574"/>
      <c r="V10" s="574"/>
      <c r="W10" s="574"/>
      <c r="X10" s="574"/>
      <c r="Y10" s="574"/>
      <c r="Z10" s="12"/>
    </row>
    <row r="11" spans="1:26" ht="15.9" customHeight="1" x14ac:dyDescent="0.25">
      <c r="A11" s="9"/>
      <c r="B11" s="561" t="s">
        <v>15</v>
      </c>
      <c r="C11" s="561"/>
      <c r="D11" s="561"/>
      <c r="E11" s="561"/>
      <c r="F11" s="561"/>
      <c r="G11" s="561"/>
      <c r="H11" s="608" t="s">
        <v>3</v>
      </c>
      <c r="I11" s="608"/>
      <c r="J11" s="608"/>
      <c r="K11" s="608"/>
      <c r="L11" s="608"/>
      <c r="M11" s="608"/>
      <c r="N11" s="561" t="s">
        <v>16</v>
      </c>
      <c r="O11" s="561"/>
      <c r="P11" s="561"/>
      <c r="Q11" s="561"/>
      <c r="R11" s="561"/>
      <c r="S11" s="574" t="s">
        <v>17</v>
      </c>
      <c r="T11" s="574"/>
      <c r="U11" s="574"/>
      <c r="V11" s="574"/>
      <c r="W11" s="574"/>
      <c r="X11" s="574"/>
      <c r="Y11" s="574"/>
      <c r="Z11" s="12"/>
    </row>
    <row r="12" spans="1:26" ht="15.9" customHeight="1" x14ac:dyDescent="0.25">
      <c r="A12" s="9"/>
      <c r="B12" s="561" t="s">
        <v>18</v>
      </c>
      <c r="C12" s="561"/>
      <c r="D12" s="561"/>
      <c r="E12" s="561"/>
      <c r="F12" s="561"/>
      <c r="G12" s="561"/>
      <c r="H12" s="608" t="s">
        <v>19</v>
      </c>
      <c r="I12" s="608"/>
      <c r="J12" s="608"/>
      <c r="K12" s="608"/>
      <c r="L12" s="608"/>
      <c r="M12" s="608"/>
      <c r="N12" s="561" t="s">
        <v>20</v>
      </c>
      <c r="O12" s="561"/>
      <c r="P12" s="561"/>
      <c r="Q12" s="561"/>
      <c r="R12" s="561"/>
      <c r="S12" s="574" t="s">
        <v>21</v>
      </c>
      <c r="T12" s="574"/>
      <c r="U12" s="574"/>
      <c r="V12" s="574"/>
      <c r="W12" s="574"/>
      <c r="X12" s="574"/>
      <c r="Y12" s="574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612" t="s">
        <v>24</v>
      </c>
      <c r="C17" s="612"/>
      <c r="D17" s="612"/>
      <c r="E17" s="612"/>
      <c r="F17" s="612"/>
      <c r="G17" s="612"/>
      <c r="H17" s="612"/>
      <c r="I17" s="601"/>
      <c r="J17" s="601"/>
      <c r="K17" s="601"/>
      <c r="L17" s="601"/>
      <c r="M17" s="601"/>
      <c r="N17" s="601"/>
      <c r="O17" s="601"/>
      <c r="P17" s="601"/>
      <c r="Q17" s="601"/>
      <c r="R17" s="601"/>
      <c r="S17" s="601"/>
      <c r="T17" s="601"/>
      <c r="U17" s="601"/>
      <c r="V17" s="601"/>
      <c r="W17" s="601"/>
      <c r="X17" s="601"/>
      <c r="Y17" s="601"/>
      <c r="Z17" s="28"/>
    </row>
    <row r="18" spans="1:26" s="17" customFormat="1" ht="15" customHeight="1" x14ac:dyDescent="0.25">
      <c r="A18" s="24"/>
      <c r="B18" s="612" t="s">
        <v>25</v>
      </c>
      <c r="C18" s="612"/>
      <c r="D18" s="612"/>
      <c r="E18" s="612"/>
      <c r="F18" s="612"/>
      <c r="G18" s="612"/>
      <c r="H18" s="612"/>
      <c r="I18" s="686" t="s">
        <v>26</v>
      </c>
      <c r="J18" s="686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695" t="s">
        <v>30</v>
      </c>
      <c r="K21" s="695"/>
      <c r="L21" s="695"/>
      <c r="M21" s="695"/>
      <c r="N21" s="695"/>
      <c r="O21" s="695"/>
      <c r="P21" s="695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693" t="s">
        <v>31</v>
      </c>
      <c r="C23" s="597" t="s">
        <v>32</v>
      </c>
      <c r="D23" s="597"/>
      <c r="E23" s="597"/>
      <c r="F23" s="597"/>
      <c r="G23" s="598"/>
      <c r="H23" s="690" t="s">
        <v>33</v>
      </c>
      <c r="I23" s="691"/>
      <c r="J23" s="692"/>
      <c r="K23" s="597" t="s">
        <v>34</v>
      </c>
      <c r="L23" s="597"/>
      <c r="M23" s="597"/>
      <c r="N23" s="597"/>
      <c r="O23" s="597"/>
      <c r="P23" s="598"/>
      <c r="Z23" s="11"/>
    </row>
    <row r="24" spans="1:26" ht="15.75" customHeight="1" x14ac:dyDescent="0.25">
      <c r="A24" s="9"/>
      <c r="B24" s="694"/>
      <c r="C24" s="599"/>
      <c r="D24" s="599"/>
      <c r="E24" s="599"/>
      <c r="F24" s="599"/>
      <c r="G24" s="600"/>
      <c r="H24" s="687" t="s">
        <v>35</v>
      </c>
      <c r="I24" s="688"/>
      <c r="J24" s="689"/>
      <c r="K24" s="599"/>
      <c r="L24" s="599"/>
      <c r="M24" s="599"/>
      <c r="N24" s="599"/>
      <c r="O24" s="599"/>
      <c r="P24" s="600"/>
      <c r="Z24" s="11"/>
    </row>
    <row r="25" spans="1:26" ht="19.5" customHeight="1" x14ac:dyDescent="0.25">
      <c r="A25" s="9"/>
      <c r="B25" s="45">
        <v>1</v>
      </c>
      <c r="C25" s="571"/>
      <c r="D25" s="572"/>
      <c r="E25" s="572"/>
      <c r="F25" s="572"/>
      <c r="G25" s="573"/>
      <c r="H25" s="609">
        <v>65</v>
      </c>
      <c r="I25" s="610"/>
      <c r="J25" s="611"/>
      <c r="K25" s="844" t="s">
        <v>53</v>
      </c>
      <c r="L25" s="845"/>
      <c r="M25" s="845"/>
      <c r="N25" s="845"/>
      <c r="O25" s="845"/>
      <c r="P25" s="846"/>
      <c r="Z25" s="11"/>
    </row>
    <row r="26" spans="1:26" ht="19.5" customHeight="1" x14ac:dyDescent="0.25">
      <c r="A26" s="9"/>
      <c r="B26" s="45">
        <v>2</v>
      </c>
      <c r="C26" s="571"/>
      <c r="D26" s="572"/>
      <c r="E26" s="572"/>
      <c r="F26" s="572"/>
      <c r="G26" s="573"/>
      <c r="H26" s="609">
        <v>50</v>
      </c>
      <c r="I26" s="610"/>
      <c r="J26" s="611"/>
      <c r="K26" s="682"/>
      <c r="L26" s="683"/>
      <c r="M26" s="683"/>
      <c r="N26" s="683"/>
      <c r="O26" s="683"/>
      <c r="P26" s="847"/>
      <c r="Z26" s="11"/>
    </row>
    <row r="27" spans="1:26" ht="19.5" customHeight="1" x14ac:dyDescent="0.25">
      <c r="A27" s="9"/>
      <c r="B27" s="45">
        <v>3</v>
      </c>
      <c r="C27" s="571"/>
      <c r="D27" s="572"/>
      <c r="E27" s="572"/>
      <c r="F27" s="572"/>
      <c r="G27" s="573"/>
      <c r="H27" s="609">
        <v>53</v>
      </c>
      <c r="I27" s="610"/>
      <c r="J27" s="611"/>
      <c r="K27" s="682"/>
      <c r="L27" s="683"/>
      <c r="M27" s="683"/>
      <c r="N27" s="683"/>
      <c r="O27" s="683"/>
      <c r="P27" s="847"/>
      <c r="Z27" s="11"/>
    </row>
    <row r="28" spans="1:26" ht="19.5" customHeight="1" x14ac:dyDescent="0.25">
      <c r="A28" s="9"/>
      <c r="B28" s="45">
        <v>4</v>
      </c>
      <c r="C28" s="571"/>
      <c r="D28" s="572"/>
      <c r="E28" s="572"/>
      <c r="F28" s="572"/>
      <c r="G28" s="573"/>
      <c r="H28" s="609" t="s">
        <v>36</v>
      </c>
      <c r="I28" s="610"/>
      <c r="J28" s="611"/>
      <c r="K28" s="848"/>
      <c r="L28" s="849"/>
      <c r="M28" s="849"/>
      <c r="N28" s="849"/>
      <c r="O28" s="849"/>
      <c r="P28" s="850"/>
      <c r="Z28" s="11"/>
    </row>
    <row r="29" spans="1:26" ht="19.5" customHeight="1" x14ac:dyDescent="0.25">
      <c r="A29" s="9"/>
      <c r="B29" s="45">
        <v>5</v>
      </c>
      <c r="C29" s="571"/>
      <c r="D29" s="572"/>
      <c r="E29" s="572"/>
      <c r="F29" s="572"/>
      <c r="G29" s="573"/>
      <c r="H29" s="609">
        <v>94</v>
      </c>
      <c r="I29" s="610"/>
      <c r="J29" s="611"/>
      <c r="K29" s="571"/>
      <c r="L29" s="572"/>
      <c r="M29" s="572"/>
      <c r="N29" s="572"/>
      <c r="O29" s="572"/>
      <c r="P29" s="573"/>
      <c r="Z29" s="11"/>
    </row>
    <row r="30" spans="1:26" ht="19.5" customHeight="1" x14ac:dyDescent="0.25">
      <c r="A30" s="9"/>
      <c r="B30" s="45">
        <v>6</v>
      </c>
      <c r="C30" s="571"/>
      <c r="D30" s="572"/>
      <c r="E30" s="572"/>
      <c r="F30" s="572"/>
      <c r="G30" s="573"/>
      <c r="H30" s="609">
        <v>92</v>
      </c>
      <c r="I30" s="610"/>
      <c r="J30" s="611"/>
      <c r="K30" s="571"/>
      <c r="L30" s="572"/>
      <c r="M30" s="572"/>
      <c r="N30" s="572"/>
      <c r="O30" s="572"/>
      <c r="P30" s="573"/>
      <c r="Z30" s="11"/>
    </row>
    <row r="31" spans="1:26" ht="19.5" customHeight="1" x14ac:dyDescent="0.25">
      <c r="A31" s="9"/>
      <c r="B31" s="45">
        <v>7</v>
      </c>
      <c r="C31" s="571"/>
      <c r="D31" s="572"/>
      <c r="E31" s="572"/>
      <c r="F31" s="572"/>
      <c r="G31" s="573"/>
      <c r="H31" s="609">
        <v>91</v>
      </c>
      <c r="I31" s="610"/>
      <c r="J31" s="611"/>
      <c r="K31" s="571"/>
      <c r="L31" s="572"/>
      <c r="M31" s="572"/>
      <c r="N31" s="572"/>
      <c r="O31" s="572"/>
      <c r="P31" s="573"/>
      <c r="Z31" s="11"/>
    </row>
    <row r="32" spans="1:26" ht="19.5" customHeight="1" x14ac:dyDescent="0.25">
      <c r="A32" s="9"/>
      <c r="B32" s="45">
        <v>8</v>
      </c>
      <c r="C32" s="571"/>
      <c r="D32" s="572"/>
      <c r="E32" s="572"/>
      <c r="F32" s="572"/>
      <c r="G32" s="573"/>
      <c r="H32" s="609">
        <v>126</v>
      </c>
      <c r="I32" s="610"/>
      <c r="J32" s="611"/>
      <c r="K32" s="571"/>
      <c r="L32" s="572"/>
      <c r="M32" s="572"/>
      <c r="N32" s="572"/>
      <c r="O32" s="572"/>
      <c r="P32" s="573"/>
      <c r="Z32" s="11"/>
    </row>
    <row r="33" spans="1:26" ht="19.5" customHeight="1" x14ac:dyDescent="0.25">
      <c r="A33" s="9"/>
      <c r="B33" s="45">
        <v>9</v>
      </c>
      <c r="C33" s="571"/>
      <c r="D33" s="572"/>
      <c r="E33" s="572"/>
      <c r="F33" s="572"/>
      <c r="G33" s="573"/>
      <c r="H33" s="609">
        <v>90</v>
      </c>
      <c r="I33" s="610"/>
      <c r="J33" s="611"/>
      <c r="K33" s="571"/>
      <c r="L33" s="572"/>
      <c r="M33" s="572"/>
      <c r="N33" s="572"/>
      <c r="O33" s="572"/>
      <c r="P33" s="573"/>
      <c r="Z33" s="11"/>
    </row>
    <row r="34" spans="1:26" ht="19.5" customHeight="1" x14ac:dyDescent="0.25">
      <c r="A34" s="9"/>
      <c r="B34" s="45">
        <v>10</v>
      </c>
      <c r="C34" s="571"/>
      <c r="D34" s="572"/>
      <c r="E34" s="572"/>
      <c r="F34" s="572"/>
      <c r="G34" s="573"/>
      <c r="H34" s="609">
        <v>86</v>
      </c>
      <c r="I34" s="610"/>
      <c r="J34" s="611"/>
      <c r="K34" s="571"/>
      <c r="L34" s="572"/>
      <c r="M34" s="572"/>
      <c r="N34" s="572"/>
      <c r="O34" s="572"/>
      <c r="P34" s="573"/>
      <c r="Z34" s="11"/>
    </row>
    <row r="35" spans="1:26" ht="19.5" customHeight="1" x14ac:dyDescent="0.25">
      <c r="A35" s="9"/>
      <c r="B35" s="45">
        <v>11</v>
      </c>
      <c r="C35" s="571"/>
      <c r="D35" s="572"/>
      <c r="E35" s="572"/>
      <c r="F35" s="572"/>
      <c r="G35" s="573"/>
      <c r="H35" s="609">
        <v>86</v>
      </c>
      <c r="I35" s="610"/>
      <c r="J35" s="611"/>
      <c r="K35" s="571"/>
      <c r="L35" s="572"/>
      <c r="M35" s="572"/>
      <c r="N35" s="572"/>
      <c r="O35" s="572"/>
      <c r="P35" s="573"/>
      <c r="Z35" s="11"/>
    </row>
    <row r="36" spans="1:26" ht="19.5" customHeight="1" x14ac:dyDescent="0.25">
      <c r="A36" s="9"/>
      <c r="B36" s="45">
        <v>12</v>
      </c>
      <c r="C36" s="571"/>
      <c r="D36" s="572"/>
      <c r="E36" s="572"/>
      <c r="F36" s="572"/>
      <c r="G36" s="573"/>
      <c r="H36" s="609">
        <v>83</v>
      </c>
      <c r="I36" s="610"/>
      <c r="J36" s="611"/>
      <c r="K36" s="571"/>
      <c r="L36" s="572"/>
      <c r="M36" s="572"/>
      <c r="N36" s="572"/>
      <c r="O36" s="572"/>
      <c r="P36" s="573"/>
      <c r="Z36" s="11"/>
    </row>
    <row r="37" spans="1:26" ht="19.5" customHeight="1" x14ac:dyDescent="0.25">
      <c r="A37" s="9"/>
      <c r="B37" s="45">
        <v>13</v>
      </c>
      <c r="C37" s="571"/>
      <c r="D37" s="572"/>
      <c r="E37" s="572"/>
      <c r="F37" s="572"/>
      <c r="G37" s="573"/>
      <c r="H37" s="609">
        <v>66</v>
      </c>
      <c r="I37" s="610"/>
      <c r="J37" s="611"/>
      <c r="K37" s="571"/>
      <c r="L37" s="572"/>
      <c r="M37" s="572"/>
      <c r="N37" s="572"/>
      <c r="O37" s="572"/>
      <c r="P37" s="573"/>
      <c r="Z37" s="11"/>
    </row>
    <row r="38" spans="1:26" ht="19.5" customHeight="1" x14ac:dyDescent="0.25">
      <c r="A38" s="9"/>
      <c r="B38" s="45">
        <v>14</v>
      </c>
      <c r="C38" s="571"/>
      <c r="D38" s="572"/>
      <c r="E38" s="572"/>
      <c r="F38" s="572"/>
      <c r="G38" s="573"/>
      <c r="H38" s="609">
        <v>61</v>
      </c>
      <c r="I38" s="610"/>
      <c r="J38" s="611"/>
      <c r="K38" s="571"/>
      <c r="L38" s="572"/>
      <c r="M38" s="572"/>
      <c r="N38" s="572"/>
      <c r="O38" s="572"/>
      <c r="P38" s="573"/>
      <c r="Z38" s="11"/>
    </row>
    <row r="39" spans="1:26" ht="19.5" customHeight="1" x14ac:dyDescent="0.25">
      <c r="A39" s="9"/>
      <c r="B39" s="45">
        <v>15</v>
      </c>
      <c r="C39" s="571"/>
      <c r="D39" s="572"/>
      <c r="E39" s="572"/>
      <c r="F39" s="572"/>
      <c r="G39" s="573"/>
      <c r="H39" s="609">
        <v>33</v>
      </c>
      <c r="I39" s="610"/>
      <c r="J39" s="611"/>
      <c r="K39" s="571" t="s">
        <v>53</v>
      </c>
      <c r="L39" s="572"/>
      <c r="M39" s="572"/>
      <c r="N39" s="572"/>
      <c r="O39" s="572"/>
      <c r="P39" s="573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605"/>
      <c r="D54" s="606"/>
      <c r="E54" s="606"/>
      <c r="F54" s="606"/>
      <c r="G54" s="607"/>
      <c r="H54" s="602"/>
      <c r="I54" s="603"/>
      <c r="J54" s="604"/>
      <c r="K54" s="605"/>
      <c r="L54" s="606"/>
      <c r="M54" s="606"/>
      <c r="N54" s="606"/>
      <c r="O54" s="606"/>
      <c r="P54" s="607"/>
      <c r="Z54" s="11"/>
    </row>
    <row r="55" spans="1:26" ht="15.75" customHeight="1" x14ac:dyDescent="0.25">
      <c r="A55" s="9"/>
      <c r="B55" s="647" t="s">
        <v>37</v>
      </c>
      <c r="C55" s="648"/>
      <c r="D55" s="648"/>
      <c r="E55" s="648"/>
      <c r="F55" s="648"/>
      <c r="G55" s="649"/>
      <c r="H55" s="669">
        <f>AVERAGE(H25:J54)</f>
        <v>76.857142857142861</v>
      </c>
      <c r="I55" s="670"/>
      <c r="J55" s="671"/>
      <c r="K55" s="680" t="s">
        <v>38</v>
      </c>
      <c r="L55" s="681"/>
      <c r="M55" s="675" t="s">
        <v>39</v>
      </c>
      <c r="N55" s="675"/>
      <c r="O55" s="675"/>
      <c r="P55" s="676"/>
      <c r="Z55" s="11"/>
    </row>
    <row r="56" spans="1:26" ht="15.75" customHeight="1" x14ac:dyDescent="0.25">
      <c r="A56" s="9"/>
      <c r="B56" s="641" t="s">
        <v>40</v>
      </c>
      <c r="C56" s="642"/>
      <c r="D56" s="642"/>
      <c r="E56" s="642"/>
      <c r="F56" s="642"/>
      <c r="G56" s="643"/>
      <c r="H56" s="672" t="str">
        <f>IF(COUNTIF(H25:J54,"*&lt;20*"),"&lt;20",MIN(H25:J54))</f>
        <v>&lt;20</v>
      </c>
      <c r="I56" s="673"/>
      <c r="J56" s="674"/>
      <c r="K56" s="682"/>
      <c r="L56" s="683"/>
      <c r="M56" s="659"/>
      <c r="N56" s="659"/>
      <c r="O56" s="659"/>
      <c r="P56" s="677"/>
      <c r="Z56" s="11"/>
    </row>
    <row r="57" spans="1:26" ht="15.75" customHeight="1" x14ac:dyDescent="0.25">
      <c r="A57" s="9"/>
      <c r="B57" s="644" t="s">
        <v>41</v>
      </c>
      <c r="C57" s="645"/>
      <c r="D57" s="645"/>
      <c r="E57" s="645"/>
      <c r="F57" s="645"/>
      <c r="G57" s="646"/>
      <c r="H57" s="666">
        <f>IF(COUNTIF(H25:J54,"*&gt;250*"),"&gt;250",MAX(H25:J54))</f>
        <v>126</v>
      </c>
      <c r="I57" s="667"/>
      <c r="J57" s="668"/>
      <c r="K57" s="684"/>
      <c r="L57" s="685"/>
      <c r="M57" s="678"/>
      <c r="N57" s="678"/>
      <c r="O57" s="678"/>
      <c r="P57" s="679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42</v>
      </c>
      <c r="B60" s="5" t="s">
        <v>43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632" t="s">
        <v>44</v>
      </c>
      <c r="B61" s="633"/>
      <c r="C61" s="633"/>
      <c r="D61" s="633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633"/>
      <c r="P61" s="633"/>
      <c r="Q61" s="634"/>
      <c r="R61" s="626" t="s">
        <v>45</v>
      </c>
      <c r="S61" s="627"/>
      <c r="T61" s="628"/>
      <c r="U61" s="650" t="s">
        <v>12</v>
      </c>
      <c r="V61" s="651"/>
      <c r="W61" s="651"/>
      <c r="X61" s="652"/>
      <c r="Y61" s="652"/>
      <c r="Z61" s="653"/>
    </row>
    <row r="62" spans="1:26" s="17" customFormat="1" ht="15.6" customHeight="1" x14ac:dyDescent="0.25">
      <c r="A62" s="635" t="s">
        <v>55</v>
      </c>
      <c r="B62" s="636"/>
      <c r="C62" s="636"/>
      <c r="D62" s="636"/>
      <c r="E62" s="636"/>
      <c r="F62" s="636"/>
      <c r="G62" s="636"/>
      <c r="H62" s="636"/>
      <c r="I62" s="636"/>
      <c r="J62" s="636"/>
      <c r="K62" s="636"/>
      <c r="L62" s="636"/>
      <c r="M62" s="636"/>
      <c r="N62" s="636"/>
      <c r="O62" s="636"/>
      <c r="P62" s="636"/>
      <c r="Q62" s="637"/>
      <c r="R62" s="626" t="s">
        <v>46</v>
      </c>
      <c r="S62" s="627"/>
      <c r="T62" s="628"/>
      <c r="U62" s="654" t="s">
        <v>47</v>
      </c>
      <c r="V62" s="655"/>
      <c r="W62" s="655"/>
      <c r="X62" s="656"/>
      <c r="Y62" s="656"/>
      <c r="Z62" s="657"/>
    </row>
    <row r="63" spans="1:26" s="17" customFormat="1" ht="15.6" customHeight="1" x14ac:dyDescent="0.25">
      <c r="A63" s="638"/>
      <c r="B63" s="639"/>
      <c r="C63" s="639"/>
      <c r="D63" s="639"/>
      <c r="E63" s="639"/>
      <c r="F63" s="639"/>
      <c r="G63" s="639"/>
      <c r="H63" s="639"/>
      <c r="I63" s="639"/>
      <c r="J63" s="639"/>
      <c r="K63" s="639"/>
      <c r="L63" s="639"/>
      <c r="M63" s="639"/>
      <c r="N63" s="639"/>
      <c r="O63" s="639"/>
      <c r="P63" s="639"/>
      <c r="Q63" s="640"/>
      <c r="R63" s="626"/>
      <c r="S63" s="627"/>
      <c r="T63" s="628"/>
      <c r="U63" s="658"/>
      <c r="V63" s="659"/>
      <c r="W63" s="659"/>
      <c r="X63" s="660"/>
      <c r="Y63" s="660"/>
      <c r="Z63" s="661"/>
    </row>
    <row r="64" spans="1:26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626"/>
      <c r="S64" s="627"/>
      <c r="T64" s="628"/>
      <c r="U64" s="662"/>
      <c r="V64" s="663"/>
      <c r="W64" s="663"/>
      <c r="X64" s="664"/>
      <c r="Y64" s="664"/>
      <c r="Z64" s="665"/>
    </row>
    <row r="65" spans="1:26" s="17" customFormat="1" ht="15.6" customHeight="1" x14ac:dyDescent="0.25">
      <c r="A65" s="620" t="s">
        <v>54</v>
      </c>
      <c r="B65" s="621"/>
      <c r="C65" s="621"/>
      <c r="D65" s="621"/>
      <c r="E65" s="621"/>
      <c r="F65" s="621"/>
      <c r="G65" s="621"/>
      <c r="H65" s="621"/>
      <c r="I65" s="621"/>
      <c r="J65" s="621"/>
      <c r="K65" s="621"/>
      <c r="L65" s="621"/>
      <c r="M65" s="621"/>
      <c r="N65" s="621"/>
      <c r="O65" s="621"/>
      <c r="P65" s="621"/>
      <c r="Q65" s="622"/>
      <c r="R65" s="626" t="s">
        <v>50</v>
      </c>
      <c r="S65" s="627"/>
      <c r="T65" s="628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620"/>
      <c r="B66" s="621"/>
      <c r="C66" s="621"/>
      <c r="D66" s="621"/>
      <c r="E66" s="621"/>
      <c r="F66" s="621"/>
      <c r="G66" s="621"/>
      <c r="H66" s="621"/>
      <c r="I66" s="621"/>
      <c r="J66" s="621"/>
      <c r="K66" s="621"/>
      <c r="L66" s="621"/>
      <c r="M66" s="621"/>
      <c r="N66" s="621"/>
      <c r="O66" s="621"/>
      <c r="P66" s="621"/>
      <c r="Q66" s="622"/>
      <c r="R66" s="626"/>
      <c r="S66" s="627"/>
      <c r="T66" s="628"/>
      <c r="U66" s="61"/>
      <c r="V66" s="659"/>
      <c r="W66" s="659"/>
      <c r="X66" s="659"/>
      <c r="Y66" s="659"/>
      <c r="Z66" s="62"/>
    </row>
    <row r="67" spans="1:26" s="17" customFormat="1" ht="15.6" customHeight="1" x14ac:dyDescent="0.25">
      <c r="A67" s="620"/>
      <c r="B67" s="621"/>
      <c r="C67" s="621"/>
      <c r="D67" s="621"/>
      <c r="E67" s="621"/>
      <c r="F67" s="621"/>
      <c r="G67" s="621"/>
      <c r="H67" s="621"/>
      <c r="I67" s="621"/>
      <c r="J67" s="621"/>
      <c r="K67" s="621"/>
      <c r="L67" s="621"/>
      <c r="M67" s="621"/>
      <c r="N67" s="621"/>
      <c r="O67" s="621"/>
      <c r="P67" s="621"/>
      <c r="Q67" s="622"/>
      <c r="R67" s="626"/>
      <c r="S67" s="627"/>
      <c r="T67" s="628"/>
      <c r="U67" s="61"/>
      <c r="V67" s="659"/>
      <c r="W67" s="659"/>
      <c r="X67" s="659"/>
      <c r="Y67" s="659"/>
      <c r="Z67" s="62"/>
    </row>
    <row r="68" spans="1:26" s="17" customFormat="1" ht="15.6" customHeight="1" x14ac:dyDescent="0.25">
      <c r="A68" s="623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5"/>
      <c r="R68" s="629"/>
      <c r="S68" s="630"/>
      <c r="T68" s="631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97">
    <mergeCell ref="C39:G39"/>
    <mergeCell ref="H39:J39"/>
    <mergeCell ref="K39:P39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K25:P28"/>
    <mergeCell ref="C30:G30"/>
    <mergeCell ref="H30:J30"/>
    <mergeCell ref="K30:P30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26:G26"/>
    <mergeCell ref="H26:J26"/>
    <mergeCell ref="C27:G27"/>
    <mergeCell ref="H27:J27"/>
    <mergeCell ref="C28:G28"/>
    <mergeCell ref="H28:J28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A1:F6"/>
    <mergeCell ref="G1:T1"/>
    <mergeCell ref="B10:G10"/>
    <mergeCell ref="S10:Y10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M55:P57"/>
    <mergeCell ref="K55:L57"/>
    <mergeCell ref="S12:Y12"/>
    <mergeCell ref="K23:P24"/>
    <mergeCell ref="I17:Y17"/>
    <mergeCell ref="N10:R1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7</vt:i4>
      </vt:variant>
    </vt:vector>
  </HeadingPairs>
  <TitlesOfParts>
    <vt:vector size="14" baseType="lpstr">
      <vt:lpstr>Nuit 24-250226 CdF B. Buyer</vt:lpstr>
      <vt:lpstr>Nuit 23-240226 CdF Rép. Buyer</vt:lpstr>
      <vt:lpstr>16-170226 CdF Rép. Buyer</vt:lpstr>
      <vt:lpstr>011025 Reconnaissance CdF exist</vt:lpstr>
      <vt:lpstr>020925 CDR </vt:lpstr>
      <vt:lpstr>030725 TPC</vt:lpstr>
      <vt:lpstr>020725 TPC</vt:lpstr>
      <vt:lpstr>'011025 Reconnaissance CdF exist'!Zone_d_impression</vt:lpstr>
      <vt:lpstr>'020725 TPC'!Zone_d_impression</vt:lpstr>
      <vt:lpstr>'020925 CDR '!Zone_d_impression</vt:lpstr>
      <vt:lpstr>'030725 TPC'!Zone_d_impression</vt:lpstr>
      <vt:lpstr>'16-170226 CdF Rép. Buyer'!Zone_d_impression</vt:lpstr>
      <vt:lpstr>'Nuit 23-240226 CdF Rép. Buyer'!Zone_d_impression</vt:lpstr>
      <vt:lpstr>'Nuit 24-250226 CdF B. Buyer'!Zone_d_impression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2026-02-25T15:36:34Z</cp:lastPrinted>
  <dcterms:created xsi:type="dcterms:W3CDTF">2004-11-13T18:13:05Z</dcterms:created>
  <dcterms:modified xsi:type="dcterms:W3CDTF">2026-02-25T15:37:09Z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