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O89C  Lissieu_Limonest - VL4\Essais de Laboratoire\Enrobés\"/>
    </mc:Choice>
  </mc:AlternateContent>
  <xr:revisionPtr revIDLastSave="0" documentId="13_ncr:1_{15A2E06A-56D7-4B7A-A8B2-66FF1DE49E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30325 Gir. Tuileries An. Int." sheetId="1" r:id="rId1"/>
  </sheets>
  <definedNames>
    <definedName name="_xlnm.Print_Area" localSheetId="0">'030325 Gir. Tuileries An. Int.'!$A$1:$Z$62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9" i="1" l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39" i="1"/>
  <c r="AD38" i="1"/>
  <c r="AD37" i="1"/>
  <c r="AD36" i="1"/>
  <c r="AD35" i="1"/>
  <c r="F27" i="1" l="1"/>
</calcChain>
</file>

<file path=xl/sharedStrings.xml><?xml version="1.0" encoding="utf-8"?>
<sst xmlns="http://schemas.openxmlformats.org/spreadsheetml/2006/main" count="73" uniqueCount="65">
  <si>
    <t>COMPTE RENDU D'ESSAIS</t>
  </si>
  <si>
    <t>MASSE VOLUMIQUE DES ENROBES
(NF EN 12697-6-A1)</t>
  </si>
  <si>
    <t>n°</t>
  </si>
  <si>
    <t>10/03/2025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</si>
  <si>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</si>
  <si>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</si>
  <si>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</si>
  <si>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</si>
  <si>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</si>
  <si>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</si>
  <si>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</si>
  <si>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Sylvain LHOPITAL</t>
  </si>
  <si>
    <t>03/03/2025</t>
  </si>
  <si>
    <t>Opérateur :</t>
  </si>
  <si>
    <t>Nature du produit :</t>
  </si>
  <si>
    <t>GB 0/14 Classe 3</t>
  </si>
  <si>
    <t>Date de(s) prélèvement(s) :</t>
  </si>
  <si>
    <t>Provenance :</t>
  </si>
  <si>
    <t>P2R Pusignan</t>
  </si>
  <si>
    <t>Date de(s) essai(s) :</t>
  </si>
  <si>
    <t>Couche :</t>
  </si>
  <si>
    <t>Fondation</t>
  </si>
  <si>
    <t>2/</t>
  </si>
  <si>
    <t>CRITERES DE CONFORMITE</t>
  </si>
  <si>
    <t>Source des critères :</t>
  </si>
  <si>
    <t>Définition des critères / objectifs :</t>
  </si>
  <si>
    <t>3/</t>
  </si>
  <si>
    <t>RESULTATS DES ESSAIS</t>
  </si>
  <si>
    <t>Température mesurée de l'eau :
(±1 - °C)</t>
  </si>
  <si>
    <t>°C</t>
  </si>
  <si>
    <t xml:space="preserve">Masse volumique de la paraffine: </t>
  </si>
  <si>
    <r>
      <t>kg/m</t>
    </r>
    <r>
      <rPr>
        <b/>
        <vertAlign val="superscript"/>
        <sz val="11"/>
        <color rgb="FF000000"/>
        <rFont val="Century Gothic"/>
        <family val="2"/>
      </rPr>
      <t>3</t>
    </r>
  </si>
  <si>
    <t>Masse volumique de l'eau :</t>
  </si>
  <si>
    <t>kg/m3</t>
  </si>
  <si>
    <t>MVR :</t>
  </si>
  <si>
    <t>Référence de l'éprouvette</t>
  </si>
  <si>
    <t>Masse séche
(g)</t>
  </si>
  <si>
    <t>Masse sèche paraffinée
(g)</t>
  </si>
  <si>
    <t>Masse dans l'eau
(g)</t>
  </si>
  <si>
    <r>
      <t>Masse volumique de l'éprouvette
(kg/m</t>
    </r>
    <r>
      <rPr>
        <b/>
        <vertAlign val="superscript"/>
        <sz val="11"/>
        <color rgb="FF000000"/>
        <rFont val="Century Gothic"/>
        <family val="2"/>
      </rPr>
      <t>3)</t>
    </r>
  </si>
  <si>
    <t>Compacité %</t>
  </si>
  <si>
    <t>% vides</t>
  </si>
  <si>
    <t>Hauteur de l'éprouvette (cm)</t>
  </si>
  <si>
    <t>Température mesurée au 1°C</t>
  </si>
  <si>
    <t>Facteur de correction K</t>
  </si>
  <si>
    <t>Facteur de correction à utiliser</t>
  </si>
  <si>
    <t>4/</t>
  </si>
  <si>
    <t>CONCLUSIONS</t>
  </si>
  <si>
    <t>Contrôle</t>
  </si>
  <si>
    <t>Nom</t>
  </si>
  <si>
    <t>Conforme</t>
  </si>
  <si>
    <t>Fonction</t>
  </si>
  <si>
    <t>Chef de section laboratoire</t>
  </si>
  <si>
    <t>5/</t>
  </si>
  <si>
    <t>COMMENTAIRES</t>
  </si>
  <si>
    <t>Visa</t>
  </si>
  <si>
    <t>RA O89C</t>
  </si>
  <si>
    <t>Lissieu Limonest
VL4</t>
  </si>
  <si>
    <t>Elargissement anneau intérieur - Giratoire des Tuileries</t>
  </si>
  <si>
    <t>Fondation/Base</t>
  </si>
  <si>
    <t>SC1 - Base</t>
  </si>
  <si>
    <t>SC1 - Fondation</t>
  </si>
  <si>
    <t>SC2 - Base</t>
  </si>
  <si>
    <t>SC3 - Base</t>
  </si>
  <si>
    <t>SC3 - Fondation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</si>
</sst>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0"/>
  </numFmts>
  <fonts count="16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11"/>
      <color rgb="FF000000"/>
      <name val="Calibri"/>
      <family val="2"/>
    </font>
    <font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b/>
      <vertAlign val="superscript"/>
      <sz val="11"/>
      <color rgb="FF000000"/>
      <name val="Century Gothic"/>
      <family val="2"/>
    </font>
    <font>
      <b/>
      <sz val="14"/>
      <name val="Century Gothic"/>
      <family val="2"/>
    </font>
    <font>
      <sz val="10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7" xfId="0" applyFont="1" applyBorder="1" applyProtection="1">
      <protection hidden="1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0" xfId="0" applyFont="1"/>
    <xf numFmtId="0" fontId="8" fillId="0" borderId="0" xfId="0" applyFont="1" applyAlignment="1">
      <alignment horizontal="right"/>
    </xf>
    <xf numFmtId="164" fontId="1" fillId="0" borderId="7" xfId="0" applyNumberFormat="1" applyFont="1" applyBorder="1" applyAlignment="1" applyProtection="1">
      <alignment vertical="center"/>
      <protection hidden="1"/>
    </xf>
    <xf numFmtId="164" fontId="1" fillId="0" borderId="0" xfId="0" applyNumberFormat="1" applyFont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164" fontId="1" fillId="0" borderId="8" xfId="0" applyNumberFormat="1" applyFont="1" applyBorder="1" applyAlignment="1" applyProtection="1">
      <alignment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8" fillId="0" borderId="2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7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9" fillId="0" borderId="0" xfId="0" applyFont="1"/>
    <xf numFmtId="0" fontId="6" fillId="0" borderId="3" xfId="0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10" fillId="0" borderId="4" xfId="0" applyFont="1" applyBorder="1" applyAlignment="1" applyProtection="1">
      <alignment vertical="center"/>
      <protection hidden="1"/>
    </xf>
    <xf numFmtId="0" fontId="10" fillId="0" borderId="4" xfId="0" applyFont="1" applyBorder="1" applyProtection="1">
      <protection hidden="1"/>
    </xf>
    <xf numFmtId="0" fontId="10" fillId="0" borderId="6" xfId="0" applyFont="1" applyBorder="1" applyProtection="1">
      <protection hidden="1"/>
    </xf>
    <xf numFmtId="0" fontId="6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10" fillId="0" borderId="2" xfId="0" applyFont="1" applyBorder="1" applyAlignment="1" applyProtection="1">
      <alignment horizontal="center" vertical="center"/>
      <protection hidden="1"/>
    </xf>
    <xf numFmtId="0" fontId="10" fillId="0" borderId="2" xfId="0" applyFont="1" applyBorder="1" applyAlignment="1" applyProtection="1">
      <alignment horizontal="left" vertical="center"/>
      <protection hidden="1"/>
    </xf>
    <xf numFmtId="0" fontId="10" fillId="0" borderId="3" xfId="0" applyFont="1" applyBorder="1" applyAlignment="1" applyProtection="1">
      <alignment vertical="center" wrapText="1"/>
      <protection locked="0"/>
    </xf>
    <xf numFmtId="0" fontId="10" fillId="0" borderId="4" xfId="0" applyFont="1" applyBorder="1" applyAlignment="1" applyProtection="1">
      <alignment vertical="center" wrapText="1"/>
      <protection locked="0"/>
    </xf>
    <xf numFmtId="0" fontId="10" fillId="0" borderId="5" xfId="0" applyFont="1" applyBorder="1" applyAlignment="1" applyProtection="1">
      <alignment vertical="center" wrapText="1"/>
      <protection locked="0"/>
    </xf>
    <xf numFmtId="0" fontId="10" fillId="0" borderId="6" xfId="0" applyFont="1" applyBorder="1" applyAlignment="1" applyProtection="1">
      <alignment vertical="center" wrapText="1"/>
      <protection locked="0"/>
    </xf>
    <xf numFmtId="0" fontId="10" fillId="0" borderId="7" xfId="0" applyFont="1" applyBorder="1" applyAlignment="1" applyProtection="1">
      <alignment vertical="center" wrapText="1"/>
      <protection locked="0"/>
    </xf>
    <xf numFmtId="165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14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6" xfId="0" applyFont="1" applyBorder="1" applyAlignment="1" applyProtection="1">
      <alignment horizontal="left"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0" fontId="10" fillId="0" borderId="7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10" fillId="0" borderId="2" xfId="0" applyFont="1" applyBorder="1" applyAlignment="1" applyProtection="1">
      <alignment horizontal="left" vertical="center" wrapText="1"/>
      <protection locked="0"/>
    </xf>
    <xf numFmtId="0" fontId="10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5" fillId="0" borderId="11" xfId="0" applyFont="1" applyBorder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center" vertical="center" wrapText="1"/>
      <protection hidden="1"/>
    </xf>
    <xf numFmtId="0" fontId="1" fillId="0" borderId="20" xfId="0" applyFont="1" applyBorder="1" applyAlignment="1" applyProtection="1">
      <alignment horizontal="center" vertical="center" wrapText="1"/>
      <protection hidden="1"/>
    </xf>
    <xf numFmtId="0" fontId="10" fillId="0" borderId="21" xfId="0" applyFont="1" applyBorder="1" applyAlignment="1" applyProtection="1">
      <alignment horizontal="center" vertical="center" wrapText="1"/>
      <protection locked="0"/>
    </xf>
    <xf numFmtId="0" fontId="10" fillId="0" borderId="11" xfId="0" applyFont="1" applyBorder="1" applyAlignment="1" applyProtection="1">
      <alignment horizontal="center" vertical="center" wrapText="1"/>
      <protection locked="0"/>
    </xf>
    <xf numFmtId="0" fontId="10" fillId="0" borderId="20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6" fillId="0" borderId="19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10" fillId="0" borderId="0" xfId="0" applyFont="1" applyAlignment="1" applyProtection="1">
      <alignment horizontal="left"/>
      <protection locked="0"/>
    </xf>
    <xf numFmtId="0" fontId="1" fillId="0" borderId="25" xfId="0" applyFont="1" applyBorder="1" applyAlignment="1">
      <alignment horizontal="center" vertical="center"/>
    </xf>
    <xf numFmtId="0" fontId="2" fillId="0" borderId="11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14" fontId="10" fillId="0" borderId="0" xfId="0" applyNumberFormat="1" applyFont="1" applyAlignment="1" applyProtection="1">
      <alignment horizontal="left" vertical="center"/>
      <protection locked="0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10" fillId="0" borderId="0" xfId="0" applyFont="1" applyAlignment="1" applyProtection="1">
      <alignment horizontal="left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4" fillId="0" borderId="30" xfId="0" applyFont="1" applyBorder="1" applyAlignment="1" applyProtection="1">
      <alignment horizontal="center" vertical="center" wrapText="1"/>
      <protection locked="0"/>
    </xf>
    <xf numFmtId="0" fontId="14" fillId="0" borderId="31" xfId="0" applyFont="1" applyBorder="1" applyAlignment="1" applyProtection="1">
      <alignment horizontal="center" vertical="center" wrapText="1"/>
      <protection locked="0"/>
    </xf>
    <xf numFmtId="0" fontId="14" fillId="0" borderId="32" xfId="0" applyFont="1" applyBorder="1" applyAlignment="1" applyProtection="1">
      <alignment horizontal="center" vertical="center" wrapText="1"/>
      <protection locked="0"/>
    </xf>
    <xf numFmtId="0" fontId="14" fillId="0" borderId="33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34" xfId="0" applyFont="1" applyBorder="1" applyAlignment="1" applyProtection="1">
      <alignment horizontal="center" vertical="center" wrapText="1"/>
      <protection locked="0"/>
    </xf>
    <xf numFmtId="0" fontId="14" fillId="0" borderId="35" xfId="0" applyFont="1" applyBorder="1" applyAlignment="1" applyProtection="1">
      <alignment horizontal="center" vertical="center" wrapText="1"/>
      <protection locked="0"/>
    </xf>
    <xf numFmtId="0" fontId="14" fillId="0" borderId="36" xfId="0" applyFont="1" applyBorder="1" applyAlignment="1" applyProtection="1">
      <alignment horizontal="center" vertical="center" wrapText="1"/>
      <protection locked="0"/>
    </xf>
    <xf numFmtId="0" fontId="14" fillId="0" borderId="37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166" fontId="6" fillId="0" borderId="0" xfId="0" applyNumberFormat="1" applyFont="1" applyAlignment="1" applyProtection="1">
      <alignment horizontal="center" vertical="center"/>
      <protection locked="0"/>
    </xf>
    <xf numFmtId="166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238124</xdr:colOff>
      <xdr:row>58</xdr:row>
      <xdr:rowOff>66674</xdr:rowOff>
    </xdr:from>
    <xdr:to>
      <xdr:col>25</xdr:col>
      <xdr:colOff>96830</xdr:colOff>
      <xdr:row>61</xdr:row>
      <xdr:rowOff>99059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1159EAF-8AA7-58BE-C5A4-D54DE624B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4" y="9934574"/>
          <a:ext cx="1609401" cy="641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69"/>
  <sheetViews>
    <sheetView tabSelected="1" topLeftCell="A16" workbookViewId="0">
      <selection activeCell="L53" sqref="L53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27" width="20" style="1" customWidth="1"/>
    <col min="28" max="28" width="28.109375" style="1" customWidth="1"/>
    <col min="29" max="29" width="22.88671875" style="1" customWidth="1"/>
    <col min="30" max="30" width="29.33203125" style="1" customWidth="1"/>
    <col min="31" max="31" width="11.44140625" style="1"/>
  </cols>
  <sheetData>
    <row r="1" spans="1:32" ht="12.75" customHeight="1" x14ac:dyDescent="0.25">
      <c r="A1" s="88"/>
      <c r="B1" s="91"/>
      <c r="C1" s="91"/>
      <c r="D1" s="91"/>
      <c r="E1" s="91"/>
      <c r="F1" s="116"/>
      <c r="G1" s="162" t="s">
        <v>0</v>
      </c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4"/>
      <c r="U1" s="165" t="s">
        <v>57</v>
      </c>
      <c r="V1" s="166"/>
      <c r="W1" s="166"/>
      <c r="X1" s="166"/>
      <c r="Y1" s="166"/>
      <c r="Z1" s="167"/>
    </row>
    <row r="2" spans="1:32" ht="12.75" customHeight="1" x14ac:dyDescent="0.3">
      <c r="A2" s="89"/>
      <c r="B2" s="92"/>
      <c r="C2" s="92"/>
      <c r="D2" s="92"/>
      <c r="E2" s="92"/>
      <c r="F2" s="117"/>
      <c r="G2" s="174" t="s">
        <v>1</v>
      </c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6"/>
      <c r="U2" s="168"/>
      <c r="V2" s="169"/>
      <c r="W2" s="169"/>
      <c r="X2" s="169"/>
      <c r="Y2" s="169"/>
      <c r="Z2" s="170"/>
      <c r="AA2" s="57"/>
      <c r="AB2" s="57"/>
    </row>
    <row r="3" spans="1:32" ht="12.75" customHeight="1" x14ac:dyDescent="0.3">
      <c r="A3" s="89"/>
      <c r="B3" s="92"/>
      <c r="C3" s="92"/>
      <c r="D3" s="92"/>
      <c r="E3" s="92"/>
      <c r="F3" s="117"/>
      <c r="G3" s="174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6"/>
      <c r="U3" s="168"/>
      <c r="V3" s="169"/>
      <c r="W3" s="169"/>
      <c r="X3" s="169"/>
      <c r="Y3" s="169"/>
      <c r="Z3" s="170"/>
      <c r="AA3" s="57"/>
      <c r="AB3" s="57"/>
    </row>
    <row r="4" spans="1:32" ht="12.75" customHeight="1" x14ac:dyDescent="0.3">
      <c r="A4" s="89"/>
      <c r="B4" s="92"/>
      <c r="C4" s="92"/>
      <c r="D4" s="92"/>
      <c r="E4" s="92"/>
      <c r="F4" s="117"/>
      <c r="G4" s="174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6"/>
      <c r="U4" s="168"/>
      <c r="V4" s="169"/>
      <c r="W4" s="169"/>
      <c r="X4" s="169"/>
      <c r="Y4" s="169"/>
      <c r="Z4" s="170"/>
      <c r="AA4" s="57"/>
      <c r="AB4" s="57"/>
    </row>
    <row r="5" spans="1:32" ht="12.75" customHeight="1" x14ac:dyDescent="0.3">
      <c r="A5" s="89"/>
      <c r="B5" s="92"/>
      <c r="C5" s="92"/>
      <c r="D5" s="92"/>
      <c r="E5" s="92"/>
      <c r="F5" s="117"/>
      <c r="G5" s="177"/>
      <c r="H5" s="178"/>
      <c r="I5" s="2" t="s">
        <v>2</v>
      </c>
      <c r="J5" s="179">
        <v>1</v>
      </c>
      <c r="K5" s="180"/>
      <c r="L5" s="181" t="s">
        <v>56</v>
      </c>
      <c r="M5" s="182"/>
      <c r="N5" s="182"/>
      <c r="O5" s="183"/>
      <c r="P5" s="184" t="s">
        <v>3</v>
      </c>
      <c r="Q5" s="185"/>
      <c r="R5" s="185"/>
      <c r="S5" s="185"/>
      <c r="T5" s="186"/>
      <c r="U5" s="168"/>
      <c r="V5" s="169"/>
      <c r="W5" s="169"/>
      <c r="X5" s="169"/>
      <c r="Y5" s="169"/>
      <c r="Z5" s="170"/>
      <c r="AA5" s="57"/>
      <c r="AB5" s="57"/>
    </row>
    <row r="6" spans="1:32" ht="12.75" customHeight="1" x14ac:dyDescent="0.25">
      <c r="A6" s="90"/>
      <c r="B6" s="93"/>
      <c r="C6" s="93"/>
      <c r="D6" s="93"/>
      <c r="E6" s="93"/>
      <c r="F6" s="118"/>
      <c r="G6" s="3"/>
      <c r="H6" s="4"/>
      <c r="I6" s="4"/>
      <c r="J6" s="187" t="s">
        <v>4</v>
      </c>
      <c r="K6" s="187"/>
      <c r="L6" s="187" t="s">
        <v>5</v>
      </c>
      <c r="M6" s="187"/>
      <c r="N6" s="187"/>
      <c r="O6" s="187"/>
      <c r="P6" s="187" t="s">
        <v>6</v>
      </c>
      <c r="Q6" s="187"/>
      <c r="R6" s="187"/>
      <c r="S6" s="187"/>
      <c r="T6" s="188"/>
      <c r="U6" s="171"/>
      <c r="V6" s="172"/>
      <c r="W6" s="172"/>
      <c r="X6" s="172"/>
      <c r="Y6" s="172"/>
      <c r="Z6" s="173"/>
    </row>
    <row r="7" spans="1:32" ht="36.6" customHeight="1" x14ac:dyDescent="0.25">
      <c r="A7" s="154" t="s">
        <v>7</v>
      </c>
      <c r="B7" s="154"/>
      <c r="C7" s="154"/>
      <c r="D7" s="154"/>
      <c r="E7" s="154"/>
      <c r="F7" s="154"/>
      <c r="G7" s="155" t="s">
        <v>8</v>
      </c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</row>
    <row r="8" spans="1:32" ht="15.9" customHeight="1" x14ac:dyDescent="0.3">
      <c r="A8" s="58" t="s">
        <v>9</v>
      </c>
      <c r="B8" s="59" t="s">
        <v>10</v>
      </c>
      <c r="C8" s="60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  <c r="AB8" s="57"/>
      <c r="AF8" s="57" t="s">
        <v>11</v>
      </c>
    </row>
    <row r="9" spans="1:32" ht="8.25" customHeight="1" x14ac:dyDescent="0.3">
      <c r="A9" s="10"/>
      <c r="D9" s="11"/>
      <c r="E9" s="11"/>
      <c r="F9" s="11"/>
      <c r="G9" s="11"/>
      <c r="Z9" s="12"/>
      <c r="AB9" s="57"/>
      <c r="AF9" s="57" t="s">
        <v>12</v>
      </c>
    </row>
    <row r="10" spans="1:32" ht="15.9" customHeight="1" x14ac:dyDescent="0.3">
      <c r="A10" s="10"/>
      <c r="B10" s="156" t="s">
        <v>13</v>
      </c>
      <c r="C10" s="156"/>
      <c r="D10" s="156"/>
      <c r="E10" s="156"/>
      <c r="F10" s="156"/>
      <c r="G10" s="156"/>
      <c r="H10" s="157" t="s">
        <v>11</v>
      </c>
      <c r="I10" s="157"/>
      <c r="J10" s="157"/>
      <c r="K10" s="157"/>
      <c r="L10" s="157"/>
      <c r="M10" s="157"/>
      <c r="N10" s="156" t="s">
        <v>14</v>
      </c>
      <c r="O10" s="156"/>
      <c r="P10" s="156"/>
      <c r="Q10" s="156"/>
      <c r="R10" s="156"/>
      <c r="S10" s="147" t="s">
        <v>15</v>
      </c>
      <c r="T10" s="147"/>
      <c r="U10" s="147"/>
      <c r="V10" s="147"/>
      <c r="W10" s="147"/>
      <c r="X10" s="147"/>
      <c r="Y10" s="147"/>
      <c r="Z10" s="13"/>
      <c r="AB10" s="57"/>
      <c r="AF10" s="57" t="s">
        <v>3</v>
      </c>
    </row>
    <row r="11" spans="1:32" ht="15.9" customHeight="1" x14ac:dyDescent="0.3">
      <c r="A11" s="10"/>
      <c r="B11" s="156" t="s">
        <v>16</v>
      </c>
      <c r="C11" s="156"/>
      <c r="D11" s="156"/>
      <c r="E11" s="156"/>
      <c r="F11" s="156"/>
      <c r="G11" s="156"/>
      <c r="H11" s="157" t="s">
        <v>12</v>
      </c>
      <c r="I11" s="157"/>
      <c r="J11" s="157"/>
      <c r="K11" s="157"/>
      <c r="L11" s="157"/>
      <c r="M11" s="157"/>
      <c r="N11" s="156" t="s">
        <v>17</v>
      </c>
      <c r="O11" s="156"/>
      <c r="P11" s="156"/>
      <c r="Q11" s="156"/>
      <c r="R11" s="156"/>
      <c r="S11" s="147" t="s">
        <v>18</v>
      </c>
      <c r="T11" s="147"/>
      <c r="U11" s="147"/>
      <c r="V11" s="147"/>
      <c r="W11" s="147"/>
      <c r="X11" s="147"/>
      <c r="Y11" s="147"/>
      <c r="Z11" s="13"/>
      <c r="AB11" s="57"/>
      <c r="AF11" s="57" t="s">
        <v>15</v>
      </c>
    </row>
    <row r="12" spans="1:32" ht="15.9" customHeight="1" x14ac:dyDescent="0.3">
      <c r="A12" s="10"/>
      <c r="B12" s="156" t="s">
        <v>19</v>
      </c>
      <c r="C12" s="156"/>
      <c r="D12" s="156"/>
      <c r="E12" s="156"/>
      <c r="F12" s="156"/>
      <c r="G12" s="156"/>
      <c r="H12" s="157" t="s">
        <v>3</v>
      </c>
      <c r="I12" s="157"/>
      <c r="J12" s="157"/>
      <c r="K12" s="157"/>
      <c r="L12" s="157"/>
      <c r="M12" s="157"/>
      <c r="N12" s="156" t="s">
        <v>20</v>
      </c>
      <c r="O12" s="156"/>
      <c r="P12" s="156"/>
      <c r="Q12" s="156"/>
      <c r="R12" s="156"/>
      <c r="S12" s="147" t="s">
        <v>59</v>
      </c>
      <c r="T12" s="147"/>
      <c r="U12" s="147"/>
      <c r="V12" s="147"/>
      <c r="W12" s="147"/>
      <c r="X12" s="147"/>
      <c r="Y12" s="147"/>
      <c r="Z12" s="13"/>
      <c r="AB12" s="57"/>
      <c r="AF12" s="57" t="s">
        <v>18</v>
      </c>
    </row>
    <row r="13" spans="1:32" ht="8.25" customHeight="1" x14ac:dyDescent="0.3">
      <c r="A13" s="14"/>
      <c r="B13" s="65"/>
      <c r="C13" s="65"/>
      <c r="D13" s="66"/>
      <c r="E13" s="66"/>
      <c r="F13" s="66"/>
      <c r="G13" s="66"/>
      <c r="H13" s="65"/>
      <c r="I13" s="65"/>
      <c r="J13" s="65"/>
      <c r="K13" s="65"/>
      <c r="L13" s="65"/>
      <c r="M13" s="65"/>
      <c r="N13" s="67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16"/>
      <c r="AB13" s="57"/>
      <c r="AF13" s="57" t="s">
        <v>21</v>
      </c>
    </row>
    <row r="14" spans="1:32" s="17" customFormat="1" ht="15" customHeight="1" x14ac:dyDescent="0.25">
      <c r="B14" s="18"/>
      <c r="C14" s="18"/>
      <c r="K14" s="19"/>
      <c r="L14" s="18"/>
      <c r="M14" s="20"/>
    </row>
    <row r="15" spans="1:32" s="17" customFormat="1" ht="16.2" customHeight="1" x14ac:dyDescent="0.25">
      <c r="A15" s="58" t="s">
        <v>22</v>
      </c>
      <c r="B15" s="59" t="s">
        <v>23</v>
      </c>
      <c r="C15" s="61"/>
      <c r="D15" s="61"/>
      <c r="E15" s="61"/>
      <c r="F15" s="61"/>
      <c r="G15" s="61"/>
      <c r="H15" s="6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2"/>
    </row>
    <row r="16" spans="1:32" s="17" customFormat="1" ht="13.8" customHeight="1" x14ac:dyDescent="0.25">
      <c r="A16" s="62"/>
      <c r="B16" s="63"/>
      <c r="C16" s="64"/>
      <c r="D16" s="64"/>
      <c r="E16" s="64"/>
      <c r="F16" s="64"/>
      <c r="G16" s="64"/>
      <c r="H16" s="64"/>
      <c r="Z16" s="23"/>
    </row>
    <row r="17" spans="1:32" s="17" customFormat="1" ht="15" customHeight="1" x14ac:dyDescent="0.25">
      <c r="A17" s="62"/>
      <c r="B17" s="161" t="s">
        <v>24</v>
      </c>
      <c r="C17" s="161"/>
      <c r="D17" s="161"/>
      <c r="E17" s="161"/>
      <c r="F17" s="161"/>
      <c r="G17" s="161"/>
      <c r="H17" s="161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24"/>
    </row>
    <row r="18" spans="1:32" s="17" customFormat="1" ht="15" customHeight="1" x14ac:dyDescent="0.25">
      <c r="A18" s="62"/>
      <c r="B18" s="161" t="s">
        <v>25</v>
      </c>
      <c r="C18" s="161"/>
      <c r="D18" s="161"/>
      <c r="E18" s="161"/>
      <c r="F18" s="161"/>
      <c r="G18" s="161"/>
      <c r="H18" s="161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24"/>
    </row>
    <row r="19" spans="1:32" s="17" customFormat="1" ht="13.2" customHeight="1" x14ac:dyDescent="0.25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7"/>
    </row>
    <row r="20" spans="1:32" ht="12.75" customHeight="1" x14ac:dyDescent="0.25">
      <c r="D20" s="11"/>
      <c r="E20" s="11"/>
      <c r="F20" s="11"/>
      <c r="G20" s="11"/>
      <c r="N20" s="28"/>
    </row>
    <row r="21" spans="1:32" ht="15.9" customHeight="1" x14ac:dyDescent="0.25">
      <c r="A21" s="5" t="s">
        <v>26</v>
      </c>
      <c r="B21" s="6" t="s">
        <v>27</v>
      </c>
      <c r="C21" s="29"/>
      <c r="D21" s="30"/>
      <c r="E21" s="30"/>
      <c r="F21" s="30"/>
      <c r="G21" s="30"/>
      <c r="H21" s="29"/>
      <c r="I21" s="29"/>
      <c r="J21" s="29"/>
      <c r="K21" s="29"/>
      <c r="L21" s="29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32" ht="12.75" customHeight="1" x14ac:dyDescent="0.25">
      <c r="A22" s="10"/>
      <c r="Z22" s="12"/>
    </row>
    <row r="23" spans="1:32" ht="12.75" customHeight="1" x14ac:dyDescent="0.25">
      <c r="A23" s="10"/>
      <c r="Z23" s="12"/>
    </row>
    <row r="24" spans="1:32" ht="12.75" customHeight="1" x14ac:dyDescent="0.25">
      <c r="A24" s="10"/>
      <c r="B24" s="131" t="s">
        <v>28</v>
      </c>
      <c r="C24" s="125"/>
      <c r="D24" s="125"/>
      <c r="E24" s="125"/>
      <c r="F24" s="125">
        <v>22</v>
      </c>
      <c r="G24" s="125"/>
      <c r="H24" s="125"/>
      <c r="I24" s="125"/>
      <c r="J24" s="119" t="s">
        <v>29</v>
      </c>
      <c r="K24" s="119"/>
      <c r="L24" s="120"/>
      <c r="O24" s="131" t="s">
        <v>30</v>
      </c>
      <c r="P24" s="132"/>
      <c r="Q24" s="132"/>
      <c r="R24" s="132"/>
      <c r="S24" s="125">
        <v>890</v>
      </c>
      <c r="T24" s="125"/>
      <c r="U24" s="125"/>
      <c r="V24" s="125"/>
      <c r="W24" s="119" t="s">
        <v>31</v>
      </c>
      <c r="X24" s="119"/>
      <c r="Y24" s="120"/>
      <c r="Z24" s="12"/>
      <c r="AA24"/>
    </row>
    <row r="25" spans="1:32" ht="12.75" customHeight="1" x14ac:dyDescent="0.25">
      <c r="A25" s="10"/>
      <c r="B25" s="138"/>
      <c r="C25" s="126"/>
      <c r="D25" s="126"/>
      <c r="E25" s="126"/>
      <c r="F25" s="126"/>
      <c r="G25" s="126"/>
      <c r="H25" s="126"/>
      <c r="I25" s="126"/>
      <c r="J25" s="121"/>
      <c r="K25" s="121"/>
      <c r="L25" s="122"/>
      <c r="O25" s="133"/>
      <c r="P25" s="134"/>
      <c r="Q25" s="134"/>
      <c r="R25" s="134"/>
      <c r="S25" s="126"/>
      <c r="T25" s="126"/>
      <c r="U25" s="126"/>
      <c r="V25" s="126"/>
      <c r="W25" s="121"/>
      <c r="X25" s="121"/>
      <c r="Y25" s="122"/>
      <c r="Z25" s="12"/>
      <c r="AA25"/>
    </row>
    <row r="26" spans="1:32" ht="12.75" customHeight="1" x14ac:dyDescent="0.25">
      <c r="A26" s="10"/>
      <c r="B26" s="139"/>
      <c r="C26" s="127"/>
      <c r="D26" s="127"/>
      <c r="E26" s="127"/>
      <c r="F26" s="127"/>
      <c r="G26" s="127"/>
      <c r="H26" s="127"/>
      <c r="I26" s="127"/>
      <c r="J26" s="123"/>
      <c r="K26" s="123"/>
      <c r="L26" s="124"/>
      <c r="O26" s="135"/>
      <c r="P26" s="136"/>
      <c r="Q26" s="136"/>
      <c r="R26" s="136"/>
      <c r="S26" s="127"/>
      <c r="T26" s="127"/>
      <c r="U26" s="127"/>
      <c r="V26" s="127"/>
      <c r="W26" s="123"/>
      <c r="X26" s="123"/>
      <c r="Y26" s="124"/>
      <c r="Z26" s="12"/>
      <c r="AA26"/>
    </row>
    <row r="27" spans="1:32" ht="12.75" customHeight="1" x14ac:dyDescent="0.25">
      <c r="A27" s="10"/>
      <c r="B27" s="131" t="s">
        <v>32</v>
      </c>
      <c r="C27" s="132"/>
      <c r="D27" s="132"/>
      <c r="E27" s="132"/>
      <c r="F27" s="128">
        <f>IF(F24&lt;&gt;"",(997.1*(SUM(AD35:AD69))),"")</f>
        <v>997.79796999999996</v>
      </c>
      <c r="G27" s="128"/>
      <c r="H27" s="128"/>
      <c r="I27" s="128"/>
      <c r="J27" s="119" t="s">
        <v>33</v>
      </c>
      <c r="K27" s="119"/>
      <c r="L27" s="120"/>
      <c r="O27" s="137" t="s">
        <v>34</v>
      </c>
      <c r="P27" s="125"/>
      <c r="Q27" s="125"/>
      <c r="R27" s="125"/>
      <c r="S27" s="125">
        <v>2480</v>
      </c>
      <c r="T27" s="125"/>
      <c r="U27" s="125"/>
      <c r="V27" s="125"/>
      <c r="W27" s="119" t="s">
        <v>33</v>
      </c>
      <c r="X27" s="119"/>
      <c r="Y27" s="120"/>
      <c r="Z27" s="12"/>
      <c r="AA27"/>
    </row>
    <row r="28" spans="1:32" ht="12.75" customHeight="1" x14ac:dyDescent="0.25">
      <c r="A28" s="10"/>
      <c r="B28" s="133"/>
      <c r="C28" s="134"/>
      <c r="D28" s="134"/>
      <c r="E28" s="134"/>
      <c r="F28" s="129"/>
      <c r="G28" s="129"/>
      <c r="H28" s="129"/>
      <c r="I28" s="129"/>
      <c r="J28" s="121"/>
      <c r="K28" s="121"/>
      <c r="L28" s="122"/>
      <c r="O28" s="138"/>
      <c r="P28" s="126"/>
      <c r="Q28" s="126"/>
      <c r="R28" s="126"/>
      <c r="S28" s="126"/>
      <c r="T28" s="126"/>
      <c r="U28" s="126"/>
      <c r="V28" s="126"/>
      <c r="W28" s="121"/>
      <c r="X28" s="121"/>
      <c r="Y28" s="122"/>
      <c r="Z28" s="12"/>
      <c r="AA28"/>
    </row>
    <row r="29" spans="1:32" ht="12.75" customHeight="1" x14ac:dyDescent="0.25">
      <c r="A29" s="10"/>
      <c r="B29" s="135"/>
      <c r="C29" s="136"/>
      <c r="D29" s="136"/>
      <c r="E29" s="136"/>
      <c r="F29" s="130"/>
      <c r="G29" s="130"/>
      <c r="H29" s="130"/>
      <c r="I29" s="130"/>
      <c r="J29" s="123"/>
      <c r="K29" s="123"/>
      <c r="L29" s="124"/>
      <c r="O29" s="139"/>
      <c r="P29" s="127"/>
      <c r="Q29" s="127"/>
      <c r="R29" s="127"/>
      <c r="S29" s="127"/>
      <c r="T29" s="127"/>
      <c r="U29" s="127"/>
      <c r="V29" s="127"/>
      <c r="W29" s="123"/>
      <c r="X29" s="123"/>
      <c r="Y29" s="124"/>
      <c r="Z29" s="12"/>
    </row>
    <row r="30" spans="1:32" ht="12.75" customHeight="1" x14ac:dyDescent="0.3">
      <c r="A30" s="10"/>
      <c r="B30" s="31"/>
      <c r="C30" s="32"/>
      <c r="D30" s="33"/>
      <c r="I30" s="34"/>
      <c r="J30" s="34"/>
      <c r="P30" s="32"/>
      <c r="Q30" s="32"/>
      <c r="R30" s="32"/>
      <c r="S30" s="32"/>
      <c r="T30" s="32"/>
      <c r="U30" s="32"/>
      <c r="V30" s="32"/>
      <c r="W30" s="33"/>
      <c r="Z30" s="12"/>
      <c r="AA30" s="57"/>
      <c r="AB30" s="57"/>
      <c r="AC30" s="57"/>
      <c r="AD30" s="57"/>
      <c r="AE30" s="57"/>
      <c r="AF30" s="57"/>
    </row>
    <row r="31" spans="1:32" ht="12.75" customHeight="1" x14ac:dyDescent="0.25">
      <c r="A31" s="10"/>
      <c r="B31" s="31"/>
      <c r="C31" s="32"/>
      <c r="D31" s="33"/>
      <c r="E31" s="34"/>
      <c r="F31" s="35"/>
      <c r="G31" s="32"/>
      <c r="H31" s="33"/>
      <c r="I31" s="34"/>
      <c r="J31" s="34"/>
      <c r="Z31" s="12"/>
    </row>
    <row r="32" spans="1:32" ht="19.5" customHeight="1" x14ac:dyDescent="0.25">
      <c r="A32" s="10"/>
      <c r="B32" s="158" t="s">
        <v>35</v>
      </c>
      <c r="C32" s="140"/>
      <c r="D32" s="140"/>
      <c r="E32" s="140" t="s">
        <v>36</v>
      </c>
      <c r="F32" s="140"/>
      <c r="G32" s="140"/>
      <c r="H32" s="140" t="s">
        <v>37</v>
      </c>
      <c r="I32" s="140"/>
      <c r="J32" s="140"/>
      <c r="K32" s="140" t="s">
        <v>38</v>
      </c>
      <c r="L32" s="140"/>
      <c r="M32" s="140"/>
      <c r="N32" s="140" t="s">
        <v>39</v>
      </c>
      <c r="O32" s="140"/>
      <c r="P32" s="140"/>
      <c r="Q32" s="140" t="s">
        <v>40</v>
      </c>
      <c r="R32" s="140"/>
      <c r="S32" s="140"/>
      <c r="T32" s="148" t="s">
        <v>41</v>
      </c>
      <c r="U32" s="148"/>
      <c r="V32" s="148"/>
      <c r="W32" s="140" t="s">
        <v>42</v>
      </c>
      <c r="X32" s="140"/>
      <c r="Y32" s="149"/>
      <c r="Z32" s="12"/>
      <c r="AB32" s="88" t="s">
        <v>43</v>
      </c>
      <c r="AC32" s="91" t="s">
        <v>44</v>
      </c>
      <c r="AD32" s="116" t="s">
        <v>45</v>
      </c>
    </row>
    <row r="33" spans="1:30" ht="19.5" customHeight="1" x14ac:dyDescent="0.25">
      <c r="A33" s="10"/>
      <c r="B33" s="159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26"/>
      <c r="U33" s="126"/>
      <c r="V33" s="126"/>
      <c r="W33" s="134"/>
      <c r="X33" s="134"/>
      <c r="Y33" s="150"/>
      <c r="Z33" s="12"/>
      <c r="AB33" s="89"/>
      <c r="AC33" s="92"/>
      <c r="AD33" s="117"/>
    </row>
    <row r="34" spans="1:30" ht="19.5" customHeight="1" x14ac:dyDescent="0.25">
      <c r="A34" s="10"/>
      <c r="B34" s="160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27"/>
      <c r="U34" s="127"/>
      <c r="V34" s="127"/>
      <c r="W34" s="136"/>
      <c r="X34" s="136"/>
      <c r="Y34" s="151"/>
      <c r="Z34" s="12"/>
      <c r="AB34" s="90"/>
      <c r="AC34" s="93"/>
      <c r="AD34" s="118"/>
    </row>
    <row r="35" spans="1:30" ht="25.5" customHeight="1" x14ac:dyDescent="0.25">
      <c r="A35" s="10"/>
      <c r="B35" s="76" t="s">
        <v>60</v>
      </c>
      <c r="C35" s="77"/>
      <c r="D35" s="77"/>
      <c r="E35" s="74">
        <v>1384.1</v>
      </c>
      <c r="F35" s="74"/>
      <c r="G35" s="74"/>
      <c r="H35" s="74">
        <v>1410</v>
      </c>
      <c r="I35" s="74"/>
      <c r="J35" s="74"/>
      <c r="K35" s="74">
        <v>792.8</v>
      </c>
      <c r="L35" s="74"/>
      <c r="M35" s="74"/>
      <c r="N35" s="73">
        <v>2348.1</v>
      </c>
      <c r="O35" s="73"/>
      <c r="P35" s="73"/>
      <c r="Q35" s="73">
        <v>94.7</v>
      </c>
      <c r="R35" s="73"/>
      <c r="S35" s="73"/>
      <c r="T35" s="73">
        <v>5.3</v>
      </c>
      <c r="U35" s="73"/>
      <c r="V35" s="73"/>
      <c r="W35" s="74">
        <v>5.8</v>
      </c>
      <c r="X35" s="74"/>
      <c r="Y35" s="75"/>
      <c r="Z35" s="12"/>
      <c r="AB35" s="10">
        <v>10</v>
      </c>
      <c r="AC35" s="11">
        <v>1.0026999999999999</v>
      </c>
      <c r="AD35" s="36" t="str">
        <f>IF($F$24=AB35,AC35,"")</f>
        <v/>
      </c>
    </row>
    <row r="36" spans="1:30" ht="25.5" customHeight="1" x14ac:dyDescent="0.25">
      <c r="A36" s="10"/>
      <c r="B36" s="76" t="s">
        <v>61</v>
      </c>
      <c r="C36" s="77"/>
      <c r="D36" s="77"/>
      <c r="E36" s="74">
        <v>2877.3</v>
      </c>
      <c r="F36" s="74"/>
      <c r="G36" s="74"/>
      <c r="H36" s="74">
        <v>2924.9</v>
      </c>
      <c r="I36" s="74"/>
      <c r="J36" s="74"/>
      <c r="K36" s="74">
        <v>1640.9</v>
      </c>
      <c r="L36" s="74"/>
      <c r="M36" s="74"/>
      <c r="N36" s="73">
        <v>2332.9</v>
      </c>
      <c r="O36" s="73"/>
      <c r="P36" s="73"/>
      <c r="Q36" s="73">
        <v>94.1</v>
      </c>
      <c r="R36" s="73"/>
      <c r="S36" s="73"/>
      <c r="T36" s="73">
        <v>5.9</v>
      </c>
      <c r="U36" s="73"/>
      <c r="V36" s="73"/>
      <c r="W36" s="74">
        <v>12.2</v>
      </c>
      <c r="X36" s="74"/>
      <c r="Y36" s="75"/>
      <c r="Z36" s="12"/>
      <c r="AB36" s="10">
        <v>10</v>
      </c>
      <c r="AC36" s="11">
        <v>1.0026999999999999</v>
      </c>
      <c r="AD36" s="36" t="str">
        <f>IF($F$24=AB35,AC35,"")</f>
        <v/>
      </c>
    </row>
    <row r="37" spans="1:30" ht="25.5" customHeight="1" x14ac:dyDescent="0.25">
      <c r="A37" s="10"/>
      <c r="B37" s="76" t="s">
        <v>62</v>
      </c>
      <c r="C37" s="77"/>
      <c r="D37" s="77"/>
      <c r="E37" s="74">
        <v>1159.9000000000001</v>
      </c>
      <c r="F37" s="74"/>
      <c r="G37" s="74"/>
      <c r="H37" s="74">
        <v>1187.2</v>
      </c>
      <c r="I37" s="74"/>
      <c r="J37" s="74"/>
      <c r="K37" s="74">
        <v>660.1</v>
      </c>
      <c r="L37" s="74"/>
      <c r="M37" s="74"/>
      <c r="N37" s="73">
        <v>2331</v>
      </c>
      <c r="O37" s="73"/>
      <c r="P37" s="73"/>
      <c r="Q37" s="73">
        <v>94</v>
      </c>
      <c r="R37" s="73"/>
      <c r="S37" s="73"/>
      <c r="T37" s="73">
        <v>6</v>
      </c>
      <c r="U37" s="73"/>
      <c r="V37" s="73"/>
      <c r="W37" s="74">
        <v>5.0999999999999996</v>
      </c>
      <c r="X37" s="74"/>
      <c r="Y37" s="75"/>
      <c r="Z37" s="12"/>
      <c r="AB37" s="10">
        <v>10</v>
      </c>
      <c r="AC37" s="11">
        <v>1.0026999999999999</v>
      </c>
      <c r="AD37" s="36" t="str">
        <f>IF($F$24=AB35,AC35,"")</f>
        <v/>
      </c>
    </row>
    <row r="38" spans="1:30" ht="25.5" customHeight="1" x14ac:dyDescent="0.25">
      <c r="A38" s="10"/>
      <c r="B38" s="76" t="s">
        <v>63</v>
      </c>
      <c r="C38" s="77"/>
      <c r="D38" s="77"/>
      <c r="E38" s="74">
        <v>2116.8000000000002</v>
      </c>
      <c r="F38" s="74"/>
      <c r="G38" s="74"/>
      <c r="H38" s="74">
        <v>2166.4</v>
      </c>
      <c r="I38" s="74"/>
      <c r="J38" s="74"/>
      <c r="K38" s="74">
        <v>1213.5999999999999</v>
      </c>
      <c r="L38" s="74"/>
      <c r="M38" s="74"/>
      <c r="N38" s="73">
        <v>2354.1999999999998</v>
      </c>
      <c r="O38" s="73"/>
      <c r="P38" s="73"/>
      <c r="Q38" s="73">
        <v>94.9</v>
      </c>
      <c r="R38" s="73"/>
      <c r="S38" s="73"/>
      <c r="T38" s="73">
        <v>5.0999999999999996</v>
      </c>
      <c r="U38" s="73"/>
      <c r="V38" s="73"/>
      <c r="W38" s="74">
        <v>9.1999999999999993</v>
      </c>
      <c r="X38" s="74"/>
      <c r="Y38" s="75"/>
      <c r="Z38" s="12"/>
      <c r="AB38" s="10">
        <v>10</v>
      </c>
      <c r="AC38" s="11">
        <v>1.0026999999999999</v>
      </c>
      <c r="AD38" s="36" t="str">
        <f>IF($F$24=AB35,AC35,"")</f>
        <v/>
      </c>
    </row>
    <row r="39" spans="1:30" ht="25.5" customHeight="1" x14ac:dyDescent="0.25">
      <c r="A39" s="10"/>
      <c r="B39" s="76" t="s">
        <v>64</v>
      </c>
      <c r="C39" s="77"/>
      <c r="D39" s="77"/>
      <c r="E39" s="74">
        <v>2561.5</v>
      </c>
      <c r="F39" s="74"/>
      <c r="G39" s="74"/>
      <c r="H39" s="74">
        <v>2626.2</v>
      </c>
      <c r="I39" s="74"/>
      <c r="J39" s="74"/>
      <c r="K39" s="74">
        <v>1474.3</v>
      </c>
      <c r="L39" s="74"/>
      <c r="M39" s="74"/>
      <c r="N39" s="73">
        <v>2367.9</v>
      </c>
      <c r="O39" s="73"/>
      <c r="P39" s="73"/>
      <c r="Q39" s="73">
        <v>95.5</v>
      </c>
      <c r="R39" s="73"/>
      <c r="S39" s="73"/>
      <c r="T39" s="73">
        <v>4.5</v>
      </c>
      <c r="U39" s="73"/>
      <c r="V39" s="73"/>
      <c r="W39" s="74">
        <v>10.9</v>
      </c>
      <c r="X39" s="74"/>
      <c r="Y39" s="75"/>
      <c r="Z39" s="12"/>
      <c r="AB39" s="10">
        <v>10</v>
      </c>
      <c r="AC39" s="11">
        <v>1.0026999999999999</v>
      </c>
      <c r="AD39" s="36" t="str">
        <f>IF($F$24=AB35,AC35,"")</f>
        <v/>
      </c>
    </row>
    <row r="40" spans="1:30" ht="25.5" customHeight="1" x14ac:dyDescent="0.25">
      <c r="A40" s="10"/>
      <c r="B40" s="76"/>
      <c r="C40" s="77"/>
      <c r="D40" s="77"/>
      <c r="E40" s="74"/>
      <c r="F40" s="74"/>
      <c r="G40" s="74"/>
      <c r="H40" s="74"/>
      <c r="I40" s="74"/>
      <c r="J40" s="74"/>
      <c r="K40" s="74"/>
      <c r="L40" s="74"/>
      <c r="M40" s="74"/>
      <c r="N40" s="73"/>
      <c r="O40" s="73"/>
      <c r="P40" s="73"/>
      <c r="Q40" s="73"/>
      <c r="R40" s="73"/>
      <c r="S40" s="73"/>
      <c r="T40" s="73"/>
      <c r="U40" s="73"/>
      <c r="V40" s="73"/>
      <c r="W40" s="74"/>
      <c r="X40" s="74"/>
      <c r="Y40" s="75"/>
      <c r="Z40" s="12"/>
      <c r="AB40" s="10"/>
      <c r="AC40" s="11"/>
      <c r="AD40" s="36"/>
    </row>
    <row r="41" spans="1:30" ht="25.5" customHeight="1" x14ac:dyDescent="0.25">
      <c r="A41" s="10"/>
      <c r="B41" s="76"/>
      <c r="C41" s="77"/>
      <c r="D41" s="77"/>
      <c r="E41" s="74"/>
      <c r="F41" s="74"/>
      <c r="G41" s="74"/>
      <c r="H41" s="74"/>
      <c r="I41" s="74"/>
      <c r="J41" s="74"/>
      <c r="K41" s="74"/>
      <c r="L41" s="74"/>
      <c r="M41" s="74"/>
      <c r="N41" s="73"/>
      <c r="O41" s="73"/>
      <c r="P41" s="73"/>
      <c r="Q41" s="73"/>
      <c r="R41" s="73"/>
      <c r="S41" s="73"/>
      <c r="T41" s="73"/>
      <c r="U41" s="73"/>
      <c r="V41" s="73"/>
      <c r="W41" s="74"/>
      <c r="X41" s="74"/>
      <c r="Y41" s="75"/>
      <c r="Z41" s="12"/>
      <c r="AB41" s="10"/>
      <c r="AC41" s="11"/>
      <c r="AD41" s="36"/>
    </row>
    <row r="42" spans="1:30" ht="25.5" customHeight="1" x14ac:dyDescent="0.25">
      <c r="A42" s="10"/>
      <c r="B42" s="76"/>
      <c r="C42" s="77"/>
      <c r="D42" s="77"/>
      <c r="E42" s="74"/>
      <c r="F42" s="74"/>
      <c r="G42" s="74"/>
      <c r="H42" s="74"/>
      <c r="I42" s="74"/>
      <c r="J42" s="74"/>
      <c r="K42" s="74"/>
      <c r="L42" s="74"/>
      <c r="M42" s="74"/>
      <c r="N42" s="73"/>
      <c r="O42" s="73"/>
      <c r="P42" s="73"/>
      <c r="Q42" s="73"/>
      <c r="R42" s="73"/>
      <c r="S42" s="73"/>
      <c r="T42" s="73"/>
      <c r="U42" s="73"/>
      <c r="V42" s="73"/>
      <c r="W42" s="74"/>
      <c r="X42" s="74"/>
      <c r="Y42" s="75"/>
      <c r="Z42" s="12"/>
      <c r="AB42" s="10"/>
      <c r="AC42" s="11"/>
      <c r="AD42" s="36"/>
    </row>
    <row r="43" spans="1:30" ht="25.5" customHeight="1" x14ac:dyDescent="0.25">
      <c r="A43" s="10"/>
      <c r="B43" s="76"/>
      <c r="C43" s="77"/>
      <c r="D43" s="77"/>
      <c r="E43" s="74"/>
      <c r="F43" s="74"/>
      <c r="G43" s="74"/>
      <c r="H43" s="74"/>
      <c r="I43" s="74"/>
      <c r="J43" s="74"/>
      <c r="K43" s="74"/>
      <c r="L43" s="74"/>
      <c r="M43" s="74"/>
      <c r="N43" s="73"/>
      <c r="O43" s="73"/>
      <c r="P43" s="73"/>
      <c r="Q43" s="73"/>
      <c r="R43" s="73"/>
      <c r="S43" s="73"/>
      <c r="T43" s="73"/>
      <c r="U43" s="73"/>
      <c r="V43" s="73"/>
      <c r="W43" s="74"/>
      <c r="X43" s="74"/>
      <c r="Y43" s="75"/>
      <c r="Z43" s="12"/>
      <c r="AB43" s="10"/>
      <c r="AC43" s="11"/>
      <c r="AD43" s="36"/>
    </row>
    <row r="44" spans="1:30" ht="25.5" customHeight="1" x14ac:dyDescent="0.25">
      <c r="A44" s="10"/>
      <c r="B44" s="76"/>
      <c r="C44" s="77"/>
      <c r="D44" s="77"/>
      <c r="E44" s="74"/>
      <c r="F44" s="74"/>
      <c r="G44" s="74"/>
      <c r="H44" s="74"/>
      <c r="I44" s="74"/>
      <c r="J44" s="74"/>
      <c r="K44" s="74"/>
      <c r="L44" s="74"/>
      <c r="M44" s="74"/>
      <c r="N44" s="73"/>
      <c r="O44" s="73"/>
      <c r="P44" s="73"/>
      <c r="Q44" s="73"/>
      <c r="R44" s="73"/>
      <c r="S44" s="73"/>
      <c r="T44" s="73"/>
      <c r="U44" s="73"/>
      <c r="V44" s="73"/>
      <c r="W44" s="74"/>
      <c r="X44" s="74"/>
      <c r="Y44" s="75"/>
      <c r="Z44" s="12"/>
      <c r="AB44" s="10"/>
      <c r="AC44" s="11"/>
      <c r="AD44" s="36"/>
    </row>
    <row r="45" spans="1:30" ht="25.5" customHeight="1" x14ac:dyDescent="0.25">
      <c r="A45" s="10"/>
      <c r="B45" s="76"/>
      <c r="C45" s="77"/>
      <c r="D45" s="77"/>
      <c r="E45" s="74"/>
      <c r="F45" s="74"/>
      <c r="G45" s="74"/>
      <c r="H45" s="74"/>
      <c r="I45" s="74"/>
      <c r="J45" s="74"/>
      <c r="K45" s="74"/>
      <c r="L45" s="74"/>
      <c r="M45" s="74"/>
      <c r="N45" s="73"/>
      <c r="O45" s="73"/>
      <c r="P45" s="73"/>
      <c r="Q45" s="73"/>
      <c r="R45" s="73"/>
      <c r="S45" s="73"/>
      <c r="T45" s="73"/>
      <c r="U45" s="73"/>
      <c r="V45" s="73"/>
      <c r="W45" s="74"/>
      <c r="X45" s="74"/>
      <c r="Y45" s="75"/>
      <c r="Z45" s="12"/>
      <c r="AB45" s="10"/>
      <c r="AC45" s="11"/>
      <c r="AD45" s="36"/>
    </row>
    <row r="46" spans="1:30" ht="25.5" customHeight="1" x14ac:dyDescent="0.25">
      <c r="A46" s="10"/>
      <c r="B46" s="76"/>
      <c r="C46" s="77"/>
      <c r="D46" s="77"/>
      <c r="E46" s="74"/>
      <c r="F46" s="74"/>
      <c r="G46" s="74"/>
      <c r="H46" s="74"/>
      <c r="I46" s="74"/>
      <c r="J46" s="74"/>
      <c r="K46" s="74"/>
      <c r="L46" s="74"/>
      <c r="M46" s="74"/>
      <c r="N46" s="73"/>
      <c r="O46" s="73"/>
      <c r="P46" s="73"/>
      <c r="Q46" s="73"/>
      <c r="R46" s="73"/>
      <c r="S46" s="73"/>
      <c r="T46" s="73"/>
      <c r="U46" s="73"/>
      <c r="V46" s="73"/>
      <c r="W46" s="74"/>
      <c r="X46" s="74"/>
      <c r="Y46" s="75"/>
      <c r="Z46" s="12"/>
      <c r="AB46" s="10"/>
      <c r="AC46" s="11"/>
      <c r="AD46" s="36"/>
    </row>
    <row r="47" spans="1:30" ht="25.5" customHeight="1" x14ac:dyDescent="0.25">
      <c r="A47" s="10"/>
      <c r="B47" s="76"/>
      <c r="C47" s="77"/>
      <c r="D47" s="77"/>
      <c r="E47" s="74"/>
      <c r="F47" s="74"/>
      <c r="G47" s="74"/>
      <c r="H47" s="74"/>
      <c r="I47" s="74"/>
      <c r="J47" s="74"/>
      <c r="K47" s="74"/>
      <c r="L47" s="74"/>
      <c r="M47" s="74"/>
      <c r="N47" s="73"/>
      <c r="O47" s="73"/>
      <c r="P47" s="73"/>
      <c r="Q47" s="73"/>
      <c r="R47" s="73"/>
      <c r="S47" s="73"/>
      <c r="T47" s="73"/>
      <c r="U47" s="73"/>
      <c r="V47" s="73"/>
      <c r="W47" s="74"/>
      <c r="X47" s="74"/>
      <c r="Y47" s="75"/>
      <c r="Z47" s="12"/>
      <c r="AB47" s="10"/>
      <c r="AC47" s="11"/>
      <c r="AD47" s="36"/>
    </row>
    <row r="48" spans="1:30" ht="25.5" customHeight="1" x14ac:dyDescent="0.25">
      <c r="A48" s="10"/>
      <c r="B48" s="76"/>
      <c r="C48" s="77"/>
      <c r="D48" s="77"/>
      <c r="E48" s="74"/>
      <c r="F48" s="74"/>
      <c r="G48" s="74"/>
      <c r="H48" s="74"/>
      <c r="I48" s="74"/>
      <c r="J48" s="74"/>
      <c r="K48" s="74"/>
      <c r="L48" s="74"/>
      <c r="M48" s="74"/>
      <c r="N48" s="73"/>
      <c r="O48" s="73"/>
      <c r="P48" s="73"/>
      <c r="Q48" s="73"/>
      <c r="R48" s="73"/>
      <c r="S48" s="73"/>
      <c r="T48" s="73"/>
      <c r="U48" s="73"/>
      <c r="V48" s="73"/>
      <c r="W48" s="74"/>
      <c r="X48" s="74"/>
      <c r="Y48" s="75"/>
      <c r="Z48" s="12"/>
      <c r="AB48" s="10"/>
      <c r="AC48" s="11"/>
      <c r="AD48" s="36"/>
    </row>
    <row r="49" spans="1:30" ht="25.5" customHeight="1" x14ac:dyDescent="0.25">
      <c r="A49" s="10"/>
      <c r="B49" s="76"/>
      <c r="C49" s="77"/>
      <c r="D49" s="77"/>
      <c r="E49" s="74"/>
      <c r="F49" s="74"/>
      <c r="G49" s="74"/>
      <c r="H49" s="74"/>
      <c r="I49" s="74"/>
      <c r="J49" s="74"/>
      <c r="K49" s="74"/>
      <c r="L49" s="74"/>
      <c r="M49" s="74"/>
      <c r="N49" s="73"/>
      <c r="O49" s="73"/>
      <c r="P49" s="73"/>
      <c r="Q49" s="73"/>
      <c r="R49" s="73"/>
      <c r="S49" s="73"/>
      <c r="T49" s="73"/>
      <c r="U49" s="73"/>
      <c r="V49" s="73"/>
      <c r="W49" s="74"/>
      <c r="X49" s="74"/>
      <c r="Y49" s="75"/>
      <c r="Z49" s="12"/>
      <c r="AB49" s="10"/>
      <c r="AC49" s="11"/>
      <c r="AD49" s="36"/>
    </row>
    <row r="50" spans="1:30" ht="25.5" customHeight="1" x14ac:dyDescent="0.25">
      <c r="A50" s="10"/>
      <c r="B50" s="102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53"/>
      <c r="Z50" s="12"/>
      <c r="AB50" s="10">
        <v>11</v>
      </c>
      <c r="AC50" s="11">
        <v>1.0025999999999999</v>
      </c>
      <c r="AD50" s="36" t="str">
        <f t="shared" ref="AD50:AD69" si="0">IF($F$24=AB50,AC50,"")</f>
        <v/>
      </c>
    </row>
    <row r="51" spans="1:30" ht="12.75" customHeight="1" x14ac:dyDescent="0.25"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2"/>
      <c r="O51" s="52"/>
      <c r="P51" s="52"/>
      <c r="Q51" s="53"/>
      <c r="R51" s="53"/>
      <c r="S51" s="53"/>
      <c r="T51" s="53"/>
      <c r="U51" s="53"/>
      <c r="V51" s="53"/>
      <c r="W51" s="51"/>
      <c r="X51" s="51"/>
      <c r="Y51" s="51"/>
      <c r="Z51" s="12"/>
      <c r="AB51" s="10">
        <v>12</v>
      </c>
      <c r="AC51" s="11">
        <v>1.0024999999999999</v>
      </c>
      <c r="AD51" s="36" t="str">
        <f t="shared" si="0"/>
        <v/>
      </c>
    </row>
    <row r="52" spans="1:30" ht="15.9" customHeight="1" x14ac:dyDescent="0.25">
      <c r="A52" s="41"/>
      <c r="B52" s="42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16"/>
      <c r="AB52" s="10">
        <v>13</v>
      </c>
      <c r="AC52" s="11">
        <v>1.0023</v>
      </c>
      <c r="AD52" s="36" t="str">
        <f t="shared" si="0"/>
        <v/>
      </c>
    </row>
    <row r="53" spans="1:30" ht="12.75" customHeight="1" x14ac:dyDescent="0.25">
      <c r="A53" s="43"/>
      <c r="B53" s="44"/>
      <c r="AB53" s="10">
        <v>14</v>
      </c>
      <c r="AC53" s="11">
        <v>1.0022</v>
      </c>
      <c r="AD53" s="36" t="str">
        <f t="shared" si="0"/>
        <v/>
      </c>
    </row>
    <row r="54" spans="1:30" s="17" customFormat="1" ht="15.6" customHeight="1" x14ac:dyDescent="0.3">
      <c r="A54" s="45" t="s">
        <v>46</v>
      </c>
      <c r="B54" s="46" t="s">
        <v>47</v>
      </c>
      <c r="C54" s="47"/>
      <c r="D54" s="47"/>
      <c r="E54" s="47"/>
      <c r="F54" s="48"/>
      <c r="G54" s="48"/>
      <c r="H54" s="48"/>
      <c r="I54" s="7"/>
      <c r="J54" s="7"/>
      <c r="K54" s="7"/>
      <c r="L54" s="7"/>
      <c r="M54" s="7"/>
      <c r="N54" s="7"/>
      <c r="O54" s="7"/>
      <c r="P54" s="7"/>
      <c r="Q54" s="48"/>
      <c r="R54" s="7"/>
      <c r="S54" s="7"/>
      <c r="T54" s="7"/>
      <c r="U54" s="141"/>
      <c r="V54" s="141"/>
      <c r="W54" s="141"/>
      <c r="X54" s="142"/>
      <c r="Y54" s="142"/>
      <c r="Z54" s="143"/>
      <c r="AA54" s="57"/>
      <c r="AB54" s="10">
        <v>15</v>
      </c>
      <c r="AC54" s="11">
        <v>1.0021</v>
      </c>
      <c r="AD54" s="36" t="str">
        <f t="shared" si="0"/>
        <v/>
      </c>
    </row>
    <row r="55" spans="1:30" s="17" customFormat="1" ht="25.8" customHeight="1" x14ac:dyDescent="0.3">
      <c r="A55" s="84" t="s">
        <v>48</v>
      </c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6"/>
      <c r="R55" s="110" t="s">
        <v>49</v>
      </c>
      <c r="S55" s="111"/>
      <c r="T55" s="112"/>
      <c r="U55" s="144" t="s">
        <v>11</v>
      </c>
      <c r="V55" s="145"/>
      <c r="W55" s="145"/>
      <c r="X55" s="145"/>
      <c r="Y55" s="145"/>
      <c r="Z55" s="146"/>
      <c r="AA55" s="57"/>
      <c r="AB55" s="10">
        <v>16</v>
      </c>
      <c r="AC55" s="11">
        <v>1.0019</v>
      </c>
      <c r="AD55" s="36" t="str">
        <f t="shared" si="0"/>
        <v/>
      </c>
    </row>
    <row r="56" spans="1:30" s="17" customFormat="1" ht="15.6" customHeight="1" x14ac:dyDescent="0.3">
      <c r="A56" s="78" t="s">
        <v>50</v>
      </c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80"/>
      <c r="R56" s="110" t="s">
        <v>51</v>
      </c>
      <c r="S56" s="111"/>
      <c r="T56" s="112"/>
      <c r="U56" s="94" t="s">
        <v>52</v>
      </c>
      <c r="V56" s="95"/>
      <c r="W56" s="95"/>
      <c r="X56" s="95"/>
      <c r="Y56" s="95"/>
      <c r="Z56" s="96"/>
      <c r="AA56" s="57"/>
      <c r="AB56" s="10">
        <v>17</v>
      </c>
      <c r="AC56" s="11">
        <v>1.0017</v>
      </c>
      <c r="AD56" s="36" t="str">
        <f t="shared" si="0"/>
        <v/>
      </c>
    </row>
    <row r="57" spans="1:30" s="17" customFormat="1" ht="15.6" customHeight="1" x14ac:dyDescent="0.3">
      <c r="A57" s="81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3"/>
      <c r="R57" s="110"/>
      <c r="S57" s="111"/>
      <c r="T57" s="112"/>
      <c r="U57" s="97"/>
      <c r="V57" s="87"/>
      <c r="W57" s="87"/>
      <c r="X57" s="87"/>
      <c r="Y57" s="87"/>
      <c r="Z57" s="98"/>
      <c r="AA57" s="57"/>
      <c r="AB57" s="10">
        <v>18</v>
      </c>
      <c r="AC57" s="11">
        <v>1.0016</v>
      </c>
      <c r="AD57" s="36" t="str">
        <f t="shared" si="0"/>
        <v/>
      </c>
    </row>
    <row r="58" spans="1:30" s="17" customFormat="1" ht="15.6" customHeight="1" x14ac:dyDescent="0.25">
      <c r="A58" s="38" t="s">
        <v>53</v>
      </c>
      <c r="B58" s="49" t="s">
        <v>54</v>
      </c>
      <c r="C58" s="1"/>
      <c r="D58" s="1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39"/>
      <c r="R58" s="110"/>
      <c r="S58" s="111"/>
      <c r="T58" s="112"/>
      <c r="U58" s="99"/>
      <c r="V58" s="100"/>
      <c r="W58" s="100"/>
      <c r="X58" s="100"/>
      <c r="Y58" s="100"/>
      <c r="Z58" s="101"/>
      <c r="AB58" s="10">
        <v>19</v>
      </c>
      <c r="AC58" s="11">
        <v>1.0014000000000001</v>
      </c>
      <c r="AD58" s="36" t="str">
        <f t="shared" si="0"/>
        <v/>
      </c>
    </row>
    <row r="59" spans="1:30" s="17" customFormat="1" ht="15.6" customHeight="1" x14ac:dyDescent="0.25">
      <c r="A59" s="104" t="s">
        <v>58</v>
      </c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6"/>
      <c r="R59" s="110" t="s">
        <v>55</v>
      </c>
      <c r="S59" s="111"/>
      <c r="T59" s="112"/>
      <c r="U59" s="68"/>
      <c r="V59" s="69"/>
      <c r="W59" s="69"/>
      <c r="X59" s="69"/>
      <c r="Y59" s="69"/>
      <c r="Z59" s="70"/>
      <c r="AB59" s="10">
        <v>20</v>
      </c>
      <c r="AC59" s="11">
        <v>1.0012000000000001</v>
      </c>
      <c r="AD59" s="36" t="str">
        <f t="shared" si="0"/>
        <v/>
      </c>
    </row>
    <row r="60" spans="1:30" s="17" customFormat="1" ht="15.6" customHeight="1" x14ac:dyDescent="0.25">
      <c r="A60" s="104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6"/>
      <c r="R60" s="110"/>
      <c r="S60" s="111"/>
      <c r="T60" s="112"/>
      <c r="U60" s="71"/>
      <c r="V60" s="87"/>
      <c r="W60" s="87"/>
      <c r="X60" s="87"/>
      <c r="Y60" s="87"/>
      <c r="Z60" s="72"/>
      <c r="AB60" s="10">
        <v>21</v>
      </c>
      <c r="AC60" s="37">
        <v>1.0009999999999999</v>
      </c>
      <c r="AD60" s="36" t="str">
        <f t="shared" si="0"/>
        <v/>
      </c>
    </row>
    <row r="61" spans="1:30" s="17" customFormat="1" ht="15.6" customHeight="1" x14ac:dyDescent="0.25">
      <c r="A61" s="104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6"/>
      <c r="R61" s="110"/>
      <c r="S61" s="111"/>
      <c r="T61" s="112"/>
      <c r="U61" s="71"/>
      <c r="V61" s="87"/>
      <c r="W61" s="87"/>
      <c r="X61" s="87"/>
      <c r="Y61" s="87"/>
      <c r="Z61" s="72"/>
      <c r="AB61" s="10">
        <v>22</v>
      </c>
      <c r="AC61" s="11">
        <v>1.0006999999999999</v>
      </c>
      <c r="AD61" s="36">
        <f t="shared" si="0"/>
        <v>1.0006999999999999</v>
      </c>
    </row>
    <row r="62" spans="1:30" s="17" customFormat="1" ht="15.6" customHeight="1" x14ac:dyDescent="0.25">
      <c r="A62" s="107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9"/>
      <c r="R62" s="113"/>
      <c r="S62" s="114"/>
      <c r="T62" s="115"/>
      <c r="U62" s="54"/>
      <c r="V62" s="55"/>
      <c r="W62" s="55"/>
      <c r="X62" s="55"/>
      <c r="Y62" s="55"/>
      <c r="Z62" s="56"/>
      <c r="AB62" s="10">
        <v>23</v>
      </c>
      <c r="AC62" s="11">
        <v>1.0004999999999999</v>
      </c>
      <c r="AD62" s="36" t="str">
        <f t="shared" si="0"/>
        <v/>
      </c>
    </row>
    <row r="63" spans="1:30" ht="12.75" customHeight="1" x14ac:dyDescent="0.25">
      <c r="AB63" s="10">
        <v>24</v>
      </c>
      <c r="AC63" s="11">
        <v>1.0003</v>
      </c>
      <c r="AD63" s="36" t="str">
        <f t="shared" si="0"/>
        <v/>
      </c>
    </row>
    <row r="64" spans="1:30" ht="12.75" customHeight="1" x14ac:dyDescent="0.25">
      <c r="AB64" s="10">
        <v>25</v>
      </c>
      <c r="AC64" s="37">
        <v>1</v>
      </c>
      <c r="AD64" s="36" t="str">
        <f t="shared" si="0"/>
        <v/>
      </c>
    </row>
    <row r="65" spans="28:30" ht="12.75" customHeight="1" x14ac:dyDescent="0.25">
      <c r="AB65" s="10">
        <v>26</v>
      </c>
      <c r="AC65" s="11">
        <v>0.99970000000000003</v>
      </c>
      <c r="AD65" s="36" t="str">
        <f t="shared" si="0"/>
        <v/>
      </c>
    </row>
    <row r="66" spans="28:30" ht="12.75" customHeight="1" x14ac:dyDescent="0.25">
      <c r="AB66" s="10">
        <v>27</v>
      </c>
      <c r="AC66" s="11">
        <v>0.99950000000000006</v>
      </c>
      <c r="AD66" s="36" t="str">
        <f t="shared" si="0"/>
        <v/>
      </c>
    </row>
    <row r="67" spans="28:30" ht="12.75" customHeight="1" x14ac:dyDescent="0.25">
      <c r="AB67" s="10">
        <v>28</v>
      </c>
      <c r="AC67" s="11">
        <v>0.99919999999999998</v>
      </c>
      <c r="AD67" s="36" t="str">
        <f t="shared" si="0"/>
        <v/>
      </c>
    </row>
    <row r="68" spans="28:30" ht="12.75" customHeight="1" x14ac:dyDescent="0.25">
      <c r="AB68" s="10">
        <v>29</v>
      </c>
      <c r="AC68" s="11">
        <v>0.99890000000000001</v>
      </c>
      <c r="AD68" s="36" t="str">
        <f t="shared" si="0"/>
        <v/>
      </c>
    </row>
    <row r="69" spans="28:30" ht="12.75" customHeight="1" x14ac:dyDescent="0.25">
      <c r="AB69" s="14">
        <v>30</v>
      </c>
      <c r="AC69" s="15">
        <v>0.99860000000000004</v>
      </c>
      <c r="AD69" s="40" t="str">
        <f t="shared" si="0"/>
        <v/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90"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A7:F7"/>
    <mergeCell ref="G7:Z7"/>
    <mergeCell ref="B10:G10"/>
    <mergeCell ref="H12:M12"/>
    <mergeCell ref="S11:Y11"/>
    <mergeCell ref="B12:G12"/>
    <mergeCell ref="B11:G11"/>
    <mergeCell ref="S10:Y10"/>
    <mergeCell ref="B35:D35"/>
    <mergeCell ref="N10:R10"/>
    <mergeCell ref="N11:R11"/>
    <mergeCell ref="N12:R12"/>
    <mergeCell ref="H10:M10"/>
    <mergeCell ref="H11:M11"/>
    <mergeCell ref="B32:D34"/>
    <mergeCell ref="B24:E26"/>
    <mergeCell ref="B27:E29"/>
    <mergeCell ref="B18:H18"/>
    <mergeCell ref="B17:H17"/>
    <mergeCell ref="E35:G35"/>
    <mergeCell ref="N35:P35"/>
    <mergeCell ref="S12:Y12"/>
    <mergeCell ref="T32:V34"/>
    <mergeCell ref="W32:Y34"/>
    <mergeCell ref="Q35:S35"/>
    <mergeCell ref="I17:Y17"/>
    <mergeCell ref="I18:Y18"/>
    <mergeCell ref="Q50:S50"/>
    <mergeCell ref="W50:Y50"/>
    <mergeCell ref="H50:J50"/>
    <mergeCell ref="K50:M50"/>
    <mergeCell ref="N50:P50"/>
    <mergeCell ref="Q36:S36"/>
    <mergeCell ref="T36:V36"/>
    <mergeCell ref="AD32:AD34"/>
    <mergeCell ref="J24:L26"/>
    <mergeCell ref="J27:L29"/>
    <mergeCell ref="F24:I26"/>
    <mergeCell ref="F27:I29"/>
    <mergeCell ref="S24:V26"/>
    <mergeCell ref="W24:Y26"/>
    <mergeCell ref="O24:R26"/>
    <mergeCell ref="O27:R29"/>
    <mergeCell ref="S27:V29"/>
    <mergeCell ref="W27:Y29"/>
    <mergeCell ref="E32:G34"/>
    <mergeCell ref="H32:J34"/>
    <mergeCell ref="K32:M34"/>
    <mergeCell ref="N32:P34"/>
    <mergeCell ref="Q32:S34"/>
    <mergeCell ref="A56:Q57"/>
    <mergeCell ref="A55:Q55"/>
    <mergeCell ref="V60:Y61"/>
    <mergeCell ref="AB32:AB34"/>
    <mergeCell ref="AC32:AC34"/>
    <mergeCell ref="U56:Z58"/>
    <mergeCell ref="T35:V35"/>
    <mergeCell ref="W35:Y35"/>
    <mergeCell ref="B50:D50"/>
    <mergeCell ref="E50:G50"/>
    <mergeCell ref="T50:V50"/>
    <mergeCell ref="A59:Q62"/>
    <mergeCell ref="R56:T58"/>
    <mergeCell ref="R59:T62"/>
    <mergeCell ref="H35:J35"/>
    <mergeCell ref="K35:M35"/>
    <mergeCell ref="R55:T55"/>
    <mergeCell ref="U54:Z54"/>
    <mergeCell ref="U55:Z55"/>
    <mergeCell ref="W36:Y36"/>
    <mergeCell ref="B37:D37"/>
    <mergeCell ref="E37:G37"/>
    <mergeCell ref="H37:J37"/>
    <mergeCell ref="K37:M37"/>
    <mergeCell ref="N37:P37"/>
    <mergeCell ref="Q37:S37"/>
    <mergeCell ref="T37:V37"/>
    <mergeCell ref="W37:Y37"/>
    <mergeCell ref="B36:D36"/>
    <mergeCell ref="E36:G36"/>
    <mergeCell ref="H36:J36"/>
    <mergeCell ref="K36:M36"/>
    <mergeCell ref="N36:P36"/>
    <mergeCell ref="Q38:S38"/>
    <mergeCell ref="T38:V38"/>
    <mergeCell ref="W38:Y38"/>
    <mergeCell ref="B39:D39"/>
    <mergeCell ref="E39:G39"/>
    <mergeCell ref="H39:J39"/>
    <mergeCell ref="K39:M39"/>
    <mergeCell ref="N39:P39"/>
    <mergeCell ref="Q39:S39"/>
    <mergeCell ref="T39:V39"/>
    <mergeCell ref="W39:Y39"/>
    <mergeCell ref="B38:D38"/>
    <mergeCell ref="E38:G38"/>
    <mergeCell ref="H38:J38"/>
    <mergeCell ref="K38:M38"/>
    <mergeCell ref="N38:P38"/>
    <mergeCell ref="Q40:S40"/>
    <mergeCell ref="T40:V40"/>
    <mergeCell ref="W40:Y40"/>
    <mergeCell ref="B41:D41"/>
    <mergeCell ref="E41:G41"/>
    <mergeCell ref="H41:J41"/>
    <mergeCell ref="K41:M41"/>
    <mergeCell ref="N41:P41"/>
    <mergeCell ref="Q41:S41"/>
    <mergeCell ref="T41:V41"/>
    <mergeCell ref="W41:Y41"/>
    <mergeCell ref="B40:D40"/>
    <mergeCell ref="E40:G40"/>
    <mergeCell ref="H40:J40"/>
    <mergeCell ref="K40:M40"/>
    <mergeCell ref="N40:P40"/>
    <mergeCell ref="Q42:S42"/>
    <mergeCell ref="T42:V42"/>
    <mergeCell ref="W42:Y42"/>
    <mergeCell ref="B43:D43"/>
    <mergeCell ref="E43:G43"/>
    <mergeCell ref="H43:J43"/>
    <mergeCell ref="K43:M43"/>
    <mergeCell ref="N43:P43"/>
    <mergeCell ref="Q43:S43"/>
    <mergeCell ref="T43:V43"/>
    <mergeCell ref="W43:Y43"/>
    <mergeCell ref="B42:D42"/>
    <mergeCell ref="E42:G42"/>
    <mergeCell ref="H42:J42"/>
    <mergeCell ref="K42:M42"/>
    <mergeCell ref="N42:P42"/>
    <mergeCell ref="Q44:S44"/>
    <mergeCell ref="T44:V44"/>
    <mergeCell ref="W44:Y44"/>
    <mergeCell ref="B45:D45"/>
    <mergeCell ref="E45:G45"/>
    <mergeCell ref="H45:J45"/>
    <mergeCell ref="K45:M45"/>
    <mergeCell ref="N45:P45"/>
    <mergeCell ref="Q45:S45"/>
    <mergeCell ref="T45:V45"/>
    <mergeCell ref="W45:Y45"/>
    <mergeCell ref="B44:D44"/>
    <mergeCell ref="E44:G44"/>
    <mergeCell ref="H44:J44"/>
    <mergeCell ref="K44:M44"/>
    <mergeCell ref="N44:P44"/>
    <mergeCell ref="Q46:S46"/>
    <mergeCell ref="T46:V46"/>
    <mergeCell ref="W46:Y46"/>
    <mergeCell ref="B47:D47"/>
    <mergeCell ref="E47:G47"/>
    <mergeCell ref="H47:J47"/>
    <mergeCell ref="K47:M47"/>
    <mergeCell ref="N47:P47"/>
    <mergeCell ref="Q47:S47"/>
    <mergeCell ref="T47:V47"/>
    <mergeCell ref="W47:Y47"/>
    <mergeCell ref="B46:D46"/>
    <mergeCell ref="E46:G46"/>
    <mergeCell ref="H46:J46"/>
    <mergeCell ref="K46:M46"/>
    <mergeCell ref="N46:P46"/>
    <mergeCell ref="Q48:S48"/>
    <mergeCell ref="T48:V48"/>
    <mergeCell ref="W48:Y48"/>
    <mergeCell ref="B49:D49"/>
    <mergeCell ref="E49:G49"/>
    <mergeCell ref="H49:J49"/>
    <mergeCell ref="K49:M49"/>
    <mergeCell ref="N49:P49"/>
    <mergeCell ref="Q49:S49"/>
    <mergeCell ref="T49:V49"/>
    <mergeCell ref="W49:Y49"/>
    <mergeCell ref="B48:D48"/>
    <mergeCell ref="E48:G48"/>
    <mergeCell ref="H48:J48"/>
    <mergeCell ref="K48:M48"/>
    <mergeCell ref="N48:P48"/>
  </mergeCells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030325 Gir. Tuileries An. Int.</vt:lpstr>
      <vt:lpstr>'030325 Gir. Tuileries An. Int.'!Zone_d_impression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LHOPITAL Sylvain</cp:lastModifiedBy>
  <cp:lastPrinted>2025-03-10T14:33:11Z</cp:lastPrinted>
  <dcterms:created xsi:type="dcterms:W3CDTF">2004-11-13T18:13:05Z</dcterms:created>
  <dcterms:modified xsi:type="dcterms:W3CDTF">2025-03-10T14:53:53Z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