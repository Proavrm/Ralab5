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Labo\St Priest\Chantiers 2025\69\RA O1IC  Rillieux - PPI métro VL7N\Essais de laboratoire\Enrobés\"/>
    </mc:Choice>
  </mc:AlternateContent>
  <xr:revisionPtr revIDLastSave="0" documentId="13_ncr:1_{46AAA350-53FB-4B46-A217-42C4BE3F1076}" xr6:coauthVersionLast="47" xr6:coauthVersionMax="47" xr10:uidLastSave="{00000000-0000-0000-0000-000000000000}"/>
  <bookViews>
    <workbookView xWindow="28680" yWindow="-120" windowWidth="29040" windowHeight="15720" xr2:uid="{002F1237-494A-4633-AD44-CDF2159C8F38}"/>
  </bookViews>
  <sheets>
    <sheet name="291025 BB 61 Mas Rillier Pi Cy" sheetId="20" r:id="rId1"/>
    <sheet name="15_161025 BBSG Mas Rillier Nati" sheetId="18" r:id="rId2"/>
    <sheet name="14_151025 GB Nations Croix (c)" sheetId="19" r:id="rId3"/>
    <sheet name="14_151025 GB Nations Croix" sheetId="16" r:id="rId4"/>
    <sheet name="13_141025 GB Mas Rillier (c)" sheetId="17" r:id="rId5"/>
    <sheet name="13_141025 GB Mas Rillier" sheetId="15" r:id="rId6"/>
    <sheet name="250825 BB 0-6 Ampère" sheetId="14" r:id="rId7"/>
    <sheet name="250825 BBSG Ampère" sheetId="13" r:id="rId8"/>
    <sheet name="250825 GB Ampère" sheetId="12" r:id="rId9"/>
    <sheet name="130625 BBSG Mas Rillier" sheetId="10" r:id="rId10"/>
    <sheet name="130625 GB Mas Rillier" sheetId="11" r:id="rId11"/>
    <sheet name="120625 BBdr Mas rillier" sheetId="9" r:id="rId12"/>
    <sheet name="120625 BB Mas rillier" sheetId="8" r:id="rId13"/>
    <sheet name="210325 BBSG Brosset" sheetId="7" r:id="rId14"/>
    <sheet name="210325 BB Brosset" sheetId="6" r:id="rId15"/>
    <sheet name="210325 GB Brosset" sheetId="5" r:id="rId16"/>
    <sheet name="060325 BB" sheetId="4" r:id="rId17"/>
  </sheets>
  <externalReferences>
    <externalReference r:id="rId18"/>
  </externalReferences>
  <definedNames>
    <definedName name="_xlnm.Print_Area" localSheetId="16">'060325 BB'!$A$1:$Z$76</definedName>
    <definedName name="_xlnm.Print_Area" localSheetId="12">'120625 BB Mas rillier'!$A$1:$Z$76</definedName>
    <definedName name="_xlnm.Print_Area" localSheetId="11">'120625 BBdr Mas rillier'!$A$1:$Z$76</definedName>
    <definedName name="_xlnm.Print_Area" localSheetId="5">'13_141025 GB Mas Rillier'!$A$1:$Z$76</definedName>
    <definedName name="_xlnm.Print_Area" localSheetId="4">'13_141025 GB Mas Rillier (c)'!$A$1:$Z$76</definedName>
    <definedName name="_xlnm.Print_Area" localSheetId="9">'130625 BBSG Mas Rillier'!$A$1:$Z$72</definedName>
    <definedName name="_xlnm.Print_Area" localSheetId="10">'130625 GB Mas Rillier'!$A$1:$Z$76</definedName>
    <definedName name="_xlnm.Print_Area" localSheetId="3">'14_151025 GB Nations Croix'!$A$1:$Z$76</definedName>
    <definedName name="_xlnm.Print_Area" localSheetId="2">'14_151025 GB Nations Croix (c)'!$A$1:$Z$76</definedName>
    <definedName name="_xlnm.Print_Area" localSheetId="1">'15_161025 BBSG Mas Rillier Nati'!$A$1:$Z$72</definedName>
    <definedName name="_xlnm.Print_Area" localSheetId="14">'210325 BB Brosset'!$A$1:$Z$76</definedName>
    <definedName name="_xlnm.Print_Area" localSheetId="13">'210325 BBSG Brosset'!$A$1:$Z$72</definedName>
    <definedName name="_xlnm.Print_Area" localSheetId="15">'210325 GB Brosset'!$A$1:$Z$76</definedName>
    <definedName name="_xlnm.Print_Area" localSheetId="6">'250825 BB 0-6 Ampère'!$A$1:$Z$72</definedName>
    <definedName name="_xlnm.Print_Area" localSheetId="7">'250825 BBSG Ampère'!$A$1:$Z$72</definedName>
    <definedName name="_xlnm.Print_Area" localSheetId="8">'250825 GB Ampère'!$A$1:$Z$76</definedName>
    <definedName name="_xlnm.Print_Area" localSheetId="0">'291025 BB 61 Mas Rillier Pi Cy'!$A$1:$Z$72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62" i="20" l="1"/>
  <c r="L62" i="20"/>
  <c r="J62" i="20"/>
  <c r="E62" i="20"/>
  <c r="W61" i="20"/>
  <c r="L61" i="20"/>
  <c r="J61" i="20"/>
  <c r="E61" i="20"/>
  <c r="AD60" i="20"/>
  <c r="AB60" i="20"/>
  <c r="AE60" i="20" s="1"/>
  <c r="Y60" i="20" s="1"/>
  <c r="W59" i="20"/>
  <c r="AB59" i="20" s="1"/>
  <c r="U59" i="20"/>
  <c r="T59" i="20"/>
  <c r="S59" i="20"/>
  <c r="M59" i="20"/>
  <c r="L59" i="20"/>
  <c r="K59" i="20"/>
  <c r="J59" i="20"/>
  <c r="I59" i="20"/>
  <c r="H59" i="20"/>
  <c r="G59" i="20"/>
  <c r="F59" i="20"/>
  <c r="E59" i="20"/>
  <c r="AD58" i="20"/>
  <c r="AE58" i="20" s="1"/>
  <c r="AD56" i="20"/>
  <c r="AE56" i="20" s="1"/>
  <c r="AB56" i="20"/>
  <c r="Y56" i="20"/>
  <c r="AD55" i="20"/>
  <c r="AB55" i="20"/>
  <c r="AE55" i="20" s="1"/>
  <c r="Y55" i="20"/>
  <c r="AD54" i="20"/>
  <c r="AB54" i="20"/>
  <c r="AE54" i="20" s="1"/>
  <c r="Y54" i="20"/>
  <c r="AD53" i="20"/>
  <c r="AE53" i="20" s="1"/>
  <c r="Y53" i="20" s="1"/>
  <c r="Y59" i="20" s="1"/>
  <c r="AB53" i="20"/>
  <c r="W64" i="19"/>
  <c r="L64" i="19"/>
  <c r="J64" i="19"/>
  <c r="E64" i="19"/>
  <c r="W63" i="19"/>
  <c r="L63" i="19"/>
  <c r="J63" i="19"/>
  <c r="E63" i="19"/>
  <c r="AE62" i="19"/>
  <c r="Y62" i="19" s="1"/>
  <c r="AD62" i="19"/>
  <c r="AB62" i="19"/>
  <c r="W61" i="19"/>
  <c r="AB61" i="19" s="1"/>
  <c r="U61" i="19"/>
  <c r="T61" i="19"/>
  <c r="S61" i="19"/>
  <c r="Q61" i="19"/>
  <c r="P61" i="19"/>
  <c r="O61" i="19"/>
  <c r="N61" i="19"/>
  <c r="M61" i="19"/>
  <c r="L61" i="19"/>
  <c r="K61" i="19"/>
  <c r="J61" i="19"/>
  <c r="I61" i="19"/>
  <c r="H61" i="19"/>
  <c r="G61" i="19"/>
  <c r="F61" i="19"/>
  <c r="E61" i="19"/>
  <c r="AD60" i="19"/>
  <c r="AE60" i="19" s="1"/>
  <c r="AD58" i="19"/>
  <c r="AB58" i="19"/>
  <c r="AE58" i="19" s="1"/>
  <c r="Y58" i="19"/>
  <c r="AD57" i="19"/>
  <c r="AB57" i="19"/>
  <c r="AE57" i="19" s="1"/>
  <c r="Y57" i="19"/>
  <c r="AD56" i="19"/>
  <c r="AB56" i="19"/>
  <c r="AD55" i="19"/>
  <c r="AB55" i="19"/>
  <c r="W62" i="18"/>
  <c r="L62" i="18"/>
  <c r="J62" i="18"/>
  <c r="E62" i="18"/>
  <c r="W61" i="18"/>
  <c r="L61" i="18"/>
  <c r="J61" i="18"/>
  <c r="E61" i="18"/>
  <c r="AD60" i="18"/>
  <c r="AB60" i="18"/>
  <c r="W59" i="18"/>
  <c r="AB59" i="18" s="1"/>
  <c r="U59" i="18"/>
  <c r="T59" i="18"/>
  <c r="S59" i="18"/>
  <c r="O59" i="18"/>
  <c r="N59" i="18"/>
  <c r="M59" i="18"/>
  <c r="L59" i="18"/>
  <c r="K59" i="18"/>
  <c r="J59" i="18"/>
  <c r="I59" i="18"/>
  <c r="H59" i="18"/>
  <c r="G59" i="18"/>
  <c r="F59" i="18"/>
  <c r="E59" i="18"/>
  <c r="AD58" i="18"/>
  <c r="AE58" i="18" s="1"/>
  <c r="AD56" i="18"/>
  <c r="AB56" i="18"/>
  <c r="Y56" i="18"/>
  <c r="AD55" i="18"/>
  <c r="AB55" i="18"/>
  <c r="Y55" i="18"/>
  <c r="AD54" i="18"/>
  <c r="AB54" i="18"/>
  <c r="AD53" i="18"/>
  <c r="AB53" i="18"/>
  <c r="W64" i="17"/>
  <c r="L64" i="17"/>
  <c r="J64" i="17"/>
  <c r="E64" i="17"/>
  <c r="W63" i="17"/>
  <c r="L63" i="17"/>
  <c r="J63" i="17"/>
  <c r="E63" i="17"/>
  <c r="AD62" i="17"/>
  <c r="AB62" i="17"/>
  <c r="W61" i="17"/>
  <c r="AB61" i="17" s="1"/>
  <c r="U61" i="17"/>
  <c r="T61" i="17"/>
  <c r="S61" i="17"/>
  <c r="Q61" i="17"/>
  <c r="P61" i="17"/>
  <c r="O61" i="17"/>
  <c r="N61" i="17"/>
  <c r="M61" i="17"/>
  <c r="L61" i="17"/>
  <c r="K61" i="17"/>
  <c r="J61" i="17"/>
  <c r="I61" i="17"/>
  <c r="H61" i="17"/>
  <c r="G61" i="17"/>
  <c r="F61" i="17"/>
  <c r="E61" i="17"/>
  <c r="AD60" i="17"/>
  <c r="AE60" i="17" s="1"/>
  <c r="AD58" i="17"/>
  <c r="AB58" i="17"/>
  <c r="Y58" i="17"/>
  <c r="AD57" i="17"/>
  <c r="AB57" i="17"/>
  <c r="Y57" i="17"/>
  <c r="AD56" i="17"/>
  <c r="AB56" i="17"/>
  <c r="AD55" i="17"/>
  <c r="AB55" i="17"/>
  <c r="W64" i="16"/>
  <c r="L64" i="16"/>
  <c r="J64" i="16"/>
  <c r="E64" i="16"/>
  <c r="W63" i="16"/>
  <c r="L63" i="16"/>
  <c r="J63" i="16"/>
  <c r="E63" i="16"/>
  <c r="AD62" i="16"/>
  <c r="AB62" i="16"/>
  <c r="W61" i="16"/>
  <c r="AB61" i="16" s="1"/>
  <c r="U61" i="16"/>
  <c r="T61" i="16"/>
  <c r="S61" i="16"/>
  <c r="Q61" i="16"/>
  <c r="P61" i="16"/>
  <c r="O61" i="16"/>
  <c r="N61" i="16"/>
  <c r="M61" i="16"/>
  <c r="L61" i="16"/>
  <c r="K61" i="16"/>
  <c r="J61" i="16"/>
  <c r="I61" i="16"/>
  <c r="H61" i="16"/>
  <c r="G61" i="16"/>
  <c r="F61" i="16"/>
  <c r="E61" i="16"/>
  <c r="AD60" i="16"/>
  <c r="AE60" i="16" s="1"/>
  <c r="AD58" i="16"/>
  <c r="AB58" i="16"/>
  <c r="Y58" i="16"/>
  <c r="AD57" i="16"/>
  <c r="AB57" i="16"/>
  <c r="Y57" i="16"/>
  <c r="AD56" i="16"/>
  <c r="AB56" i="16"/>
  <c r="AD55" i="16"/>
  <c r="AB55" i="16"/>
  <c r="W64" i="15"/>
  <c r="L64" i="15"/>
  <c r="J64" i="15"/>
  <c r="E64" i="15"/>
  <c r="W63" i="15"/>
  <c r="L63" i="15"/>
  <c r="J63" i="15"/>
  <c r="E63" i="15"/>
  <c r="AD62" i="15"/>
  <c r="AB62" i="15"/>
  <c r="W61" i="15"/>
  <c r="AB61" i="15" s="1"/>
  <c r="U61" i="15"/>
  <c r="T61" i="15"/>
  <c r="S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AD60" i="15"/>
  <c r="AE60" i="15" s="1"/>
  <c r="AD58" i="15"/>
  <c r="AB58" i="15"/>
  <c r="Y58" i="15"/>
  <c r="AD57" i="15"/>
  <c r="AB57" i="15"/>
  <c r="Y57" i="15"/>
  <c r="AD56" i="15"/>
  <c r="AB56" i="15"/>
  <c r="AD55" i="15"/>
  <c r="AB55" i="15"/>
  <c r="W62" i="14"/>
  <c r="L62" i="14"/>
  <c r="J62" i="14"/>
  <c r="E62" i="14"/>
  <c r="W61" i="14"/>
  <c r="L61" i="14"/>
  <c r="J61" i="14"/>
  <c r="E61" i="14"/>
  <c r="AD60" i="14"/>
  <c r="AB60" i="14"/>
  <c r="W59" i="14"/>
  <c r="AB59" i="14" s="1"/>
  <c r="U59" i="14"/>
  <c r="T59" i="14"/>
  <c r="S59" i="14"/>
  <c r="M59" i="14"/>
  <c r="L59" i="14"/>
  <c r="K59" i="14"/>
  <c r="J59" i="14"/>
  <c r="I59" i="14"/>
  <c r="H59" i="14"/>
  <c r="G59" i="14"/>
  <c r="F59" i="14"/>
  <c r="E59" i="14"/>
  <c r="AD58" i="14"/>
  <c r="AE58" i="14" s="1"/>
  <c r="AD56" i="14"/>
  <c r="AB56" i="14"/>
  <c r="Y56" i="14"/>
  <c r="AD55" i="14"/>
  <c r="AB55" i="14"/>
  <c r="Y55" i="14"/>
  <c r="AD54" i="14"/>
  <c r="AB54" i="14"/>
  <c r="Y54" i="14"/>
  <c r="AD53" i="14"/>
  <c r="AB53" i="14"/>
  <c r="W62" i="13"/>
  <c r="L62" i="13"/>
  <c r="J62" i="13"/>
  <c r="E62" i="13"/>
  <c r="W61" i="13"/>
  <c r="L61" i="13"/>
  <c r="J61" i="13"/>
  <c r="E61" i="13"/>
  <c r="AD60" i="13"/>
  <c r="AB60" i="13"/>
  <c r="W59" i="13"/>
  <c r="AB59" i="13" s="1"/>
  <c r="U59" i="13"/>
  <c r="T59" i="13"/>
  <c r="S59" i="13"/>
  <c r="O59" i="13"/>
  <c r="N59" i="13"/>
  <c r="M59" i="13"/>
  <c r="L59" i="13"/>
  <c r="K59" i="13"/>
  <c r="J59" i="13"/>
  <c r="I59" i="13"/>
  <c r="H59" i="13"/>
  <c r="G59" i="13"/>
  <c r="F59" i="13"/>
  <c r="E59" i="13"/>
  <c r="AD58" i="13"/>
  <c r="AE58" i="13" s="1"/>
  <c r="AD56" i="13"/>
  <c r="AB56" i="13"/>
  <c r="Y56" i="13"/>
  <c r="AD55" i="13"/>
  <c r="AB55" i="13"/>
  <c r="Y55" i="13"/>
  <c r="AD54" i="13"/>
  <c r="AB54" i="13"/>
  <c r="Y54" i="13"/>
  <c r="AD53" i="13"/>
  <c r="AB53" i="13"/>
  <c r="W64" i="12"/>
  <c r="L64" i="12"/>
  <c r="J64" i="12"/>
  <c r="E64" i="12"/>
  <c r="W63" i="12"/>
  <c r="L63" i="12"/>
  <c r="J63" i="12"/>
  <c r="E63" i="12"/>
  <c r="AD62" i="12"/>
  <c r="AB62" i="12"/>
  <c r="W61" i="12"/>
  <c r="AB61" i="12" s="1"/>
  <c r="U61" i="12"/>
  <c r="T61" i="12"/>
  <c r="S61" i="12"/>
  <c r="Q61" i="12"/>
  <c r="P61" i="12"/>
  <c r="O61" i="12"/>
  <c r="N61" i="12"/>
  <c r="M61" i="12"/>
  <c r="L61" i="12"/>
  <c r="K61" i="12"/>
  <c r="J61" i="12"/>
  <c r="I61" i="12"/>
  <c r="H61" i="12"/>
  <c r="G61" i="12"/>
  <c r="F61" i="12"/>
  <c r="E61" i="12"/>
  <c r="AD60" i="12"/>
  <c r="AE60" i="12" s="1"/>
  <c r="AD58" i="12"/>
  <c r="AB58" i="12"/>
  <c r="Y58" i="12"/>
  <c r="AD57" i="12"/>
  <c r="AB57" i="12"/>
  <c r="Y57" i="12"/>
  <c r="AD56" i="12"/>
  <c r="AB56" i="12"/>
  <c r="Y56" i="12"/>
  <c r="AD55" i="12"/>
  <c r="AB55" i="12"/>
  <c r="W64" i="11"/>
  <c r="L64" i="11"/>
  <c r="J64" i="11"/>
  <c r="E64" i="11"/>
  <c r="W63" i="11"/>
  <c r="L63" i="11"/>
  <c r="J63" i="11"/>
  <c r="E63" i="11"/>
  <c r="AD62" i="11"/>
  <c r="AB62" i="11"/>
  <c r="W61" i="11"/>
  <c r="AB61" i="11" s="1"/>
  <c r="U61" i="11"/>
  <c r="T61" i="11"/>
  <c r="S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AD60" i="11"/>
  <c r="AE60" i="11" s="1"/>
  <c r="AD58" i="11"/>
  <c r="AB58" i="11"/>
  <c r="Y58" i="11"/>
  <c r="AD57" i="11"/>
  <c r="AB57" i="11"/>
  <c r="Y57" i="11"/>
  <c r="AD56" i="11"/>
  <c r="AB56" i="11"/>
  <c r="Y56" i="11"/>
  <c r="AD55" i="11"/>
  <c r="AB55" i="11"/>
  <c r="W62" i="10"/>
  <c r="L62" i="10"/>
  <c r="J62" i="10"/>
  <c r="E62" i="10"/>
  <c r="W61" i="10"/>
  <c r="L61" i="10"/>
  <c r="J61" i="10"/>
  <c r="E61" i="10"/>
  <c r="AD60" i="10"/>
  <c r="AB60" i="10"/>
  <c r="W59" i="10"/>
  <c r="AB59" i="10" s="1"/>
  <c r="U59" i="10"/>
  <c r="T59" i="10"/>
  <c r="S59" i="10"/>
  <c r="O59" i="10"/>
  <c r="N59" i="10"/>
  <c r="M59" i="10"/>
  <c r="L59" i="10"/>
  <c r="K59" i="10"/>
  <c r="J59" i="10"/>
  <c r="I59" i="10"/>
  <c r="H59" i="10"/>
  <c r="G59" i="10"/>
  <c r="F59" i="10"/>
  <c r="E59" i="10"/>
  <c r="AD58" i="10"/>
  <c r="AE58" i="10" s="1"/>
  <c r="AD56" i="10"/>
  <c r="AB56" i="10"/>
  <c r="Y56" i="10"/>
  <c r="AD55" i="10"/>
  <c r="AB55" i="10"/>
  <c r="Y55" i="10"/>
  <c r="AD54" i="10"/>
  <c r="AB54" i="10"/>
  <c r="Y54" i="10"/>
  <c r="AD53" i="10"/>
  <c r="AB53" i="10"/>
  <c r="W64" i="9"/>
  <c r="L64" i="9"/>
  <c r="J64" i="9"/>
  <c r="E64" i="9"/>
  <c r="W63" i="9"/>
  <c r="J63" i="9"/>
  <c r="E63" i="9"/>
  <c r="AD62" i="9"/>
  <c r="AB62" i="9"/>
  <c r="AB61" i="9"/>
  <c r="U61" i="9"/>
  <c r="T61" i="9"/>
  <c r="S61" i="9"/>
  <c r="M61" i="9"/>
  <c r="L61" i="9"/>
  <c r="K61" i="9"/>
  <c r="J61" i="9"/>
  <c r="I61" i="9"/>
  <c r="H61" i="9"/>
  <c r="G61" i="9"/>
  <c r="F61" i="9"/>
  <c r="E61" i="9"/>
  <c r="AD60" i="9"/>
  <c r="AE60" i="9" s="1"/>
  <c r="AD58" i="9"/>
  <c r="AB58" i="9"/>
  <c r="Y58" i="9"/>
  <c r="AD57" i="9"/>
  <c r="AB57" i="9"/>
  <c r="Y57" i="9"/>
  <c r="AD56" i="9"/>
  <c r="AB56" i="9"/>
  <c r="Y56" i="9"/>
  <c r="AD55" i="9"/>
  <c r="AB55" i="9"/>
  <c r="W64" i="8"/>
  <c r="L64" i="8"/>
  <c r="J64" i="8"/>
  <c r="E64" i="8"/>
  <c r="W63" i="8"/>
  <c r="J63" i="8"/>
  <c r="E63" i="8"/>
  <c r="AD62" i="8"/>
  <c r="AB62" i="8"/>
  <c r="W61" i="8"/>
  <c r="AB61" i="8" s="1"/>
  <c r="U61" i="8"/>
  <c r="T61" i="8"/>
  <c r="S61" i="8"/>
  <c r="M61" i="8"/>
  <c r="L61" i="8"/>
  <c r="K61" i="8"/>
  <c r="J61" i="8"/>
  <c r="I61" i="8"/>
  <c r="H61" i="8"/>
  <c r="G61" i="8"/>
  <c r="F61" i="8"/>
  <c r="E61" i="8"/>
  <c r="AD60" i="8"/>
  <c r="AE60" i="8" s="1"/>
  <c r="AD58" i="8"/>
  <c r="AB58" i="8"/>
  <c r="Y58" i="8"/>
  <c r="AD57" i="8"/>
  <c r="AB57" i="8"/>
  <c r="Y57" i="8"/>
  <c r="AD56" i="8"/>
  <c r="AB56" i="8"/>
  <c r="Y56" i="8"/>
  <c r="AD55" i="8"/>
  <c r="AB55" i="8"/>
  <c r="W62" i="7"/>
  <c r="L62" i="7"/>
  <c r="J62" i="7"/>
  <c r="E62" i="7"/>
  <c r="W61" i="7"/>
  <c r="L61" i="7"/>
  <c r="J61" i="7"/>
  <c r="E61" i="7"/>
  <c r="AD60" i="7"/>
  <c r="AB60" i="7"/>
  <c r="W59" i="7"/>
  <c r="AB59" i="7" s="1"/>
  <c r="U59" i="7"/>
  <c r="T59" i="7"/>
  <c r="S59" i="7"/>
  <c r="R59" i="7"/>
  <c r="Q59" i="7"/>
  <c r="P59" i="7"/>
  <c r="O59" i="7"/>
  <c r="N59" i="7"/>
  <c r="M59" i="7"/>
  <c r="L59" i="7"/>
  <c r="K59" i="7"/>
  <c r="J59" i="7"/>
  <c r="I59" i="7"/>
  <c r="H59" i="7"/>
  <c r="G59" i="7"/>
  <c r="F59" i="7"/>
  <c r="E59" i="7"/>
  <c r="AD58" i="7"/>
  <c r="AE58" i="7" s="1"/>
  <c r="AD56" i="7"/>
  <c r="AB56" i="7"/>
  <c r="Y56" i="7"/>
  <c r="AD55" i="7"/>
  <c r="AB55" i="7"/>
  <c r="AD54" i="7"/>
  <c r="AB54" i="7"/>
  <c r="AD53" i="7"/>
  <c r="AB53" i="7"/>
  <c r="W64" i="6"/>
  <c r="L64" i="6"/>
  <c r="J64" i="6"/>
  <c r="E64" i="6"/>
  <c r="W63" i="6"/>
  <c r="J63" i="6"/>
  <c r="E63" i="6"/>
  <c r="AD62" i="6"/>
  <c r="AB62" i="6"/>
  <c r="W61" i="6"/>
  <c r="AB61" i="6" s="1"/>
  <c r="U61" i="6"/>
  <c r="T61" i="6"/>
  <c r="S61" i="6"/>
  <c r="Q61" i="6"/>
  <c r="P61" i="6"/>
  <c r="O61" i="6"/>
  <c r="N61" i="6"/>
  <c r="M61" i="6"/>
  <c r="L61" i="6"/>
  <c r="K61" i="6"/>
  <c r="J61" i="6"/>
  <c r="I61" i="6"/>
  <c r="H61" i="6"/>
  <c r="G61" i="6"/>
  <c r="F61" i="6"/>
  <c r="E61" i="6"/>
  <c r="AD60" i="6"/>
  <c r="AE60" i="6" s="1"/>
  <c r="AD58" i="6"/>
  <c r="AB58" i="6"/>
  <c r="Y58" i="6"/>
  <c r="AD57" i="6"/>
  <c r="AB57" i="6"/>
  <c r="Y57" i="6"/>
  <c r="AD56" i="6"/>
  <c r="AB56" i="6"/>
  <c r="Y56" i="6"/>
  <c r="AD55" i="6"/>
  <c r="AB55" i="6"/>
  <c r="W64" i="5"/>
  <c r="L64" i="5"/>
  <c r="J64" i="5"/>
  <c r="E64" i="5"/>
  <c r="W63" i="5"/>
  <c r="L63" i="5"/>
  <c r="J63" i="5"/>
  <c r="E63" i="5"/>
  <c r="AD62" i="5"/>
  <c r="AB62" i="5"/>
  <c r="W61" i="5"/>
  <c r="AB61" i="5" s="1"/>
  <c r="U61" i="5"/>
  <c r="T61" i="5"/>
  <c r="S61" i="5"/>
  <c r="Q61" i="5"/>
  <c r="P61" i="5"/>
  <c r="O61" i="5"/>
  <c r="N61" i="5"/>
  <c r="M61" i="5"/>
  <c r="L61" i="5"/>
  <c r="K61" i="5"/>
  <c r="J61" i="5"/>
  <c r="I61" i="5"/>
  <c r="H61" i="5"/>
  <c r="G61" i="5"/>
  <c r="F61" i="5"/>
  <c r="E61" i="5"/>
  <c r="AD60" i="5"/>
  <c r="AE60" i="5" s="1"/>
  <c r="AD58" i="5"/>
  <c r="AB58" i="5"/>
  <c r="Y58" i="5"/>
  <c r="AD57" i="5"/>
  <c r="AB57" i="5"/>
  <c r="Y57" i="5"/>
  <c r="AD56" i="5"/>
  <c r="AB56" i="5"/>
  <c r="Y56" i="5"/>
  <c r="AD55" i="5"/>
  <c r="AB55" i="5"/>
  <c r="K61" i="4"/>
  <c r="AD59" i="20" l="1"/>
  <c r="AE59" i="20" s="1"/>
  <c r="AE55" i="19"/>
  <c r="Y55" i="19" s="1"/>
  <c r="AD61" i="19"/>
  <c r="AE61" i="19" s="1"/>
  <c r="AE56" i="19"/>
  <c r="Y56" i="19" s="1"/>
  <c r="AE56" i="18"/>
  <c r="AE60" i="18"/>
  <c r="Y60" i="18" s="1"/>
  <c r="AE54" i="18"/>
  <c r="Y54" i="18" s="1"/>
  <c r="AD59" i="18"/>
  <c r="AE55" i="18"/>
  <c r="AE56" i="17"/>
  <c r="Y56" i="17" s="1"/>
  <c r="AE53" i="18"/>
  <c r="Y53" i="18" s="1"/>
  <c r="Y59" i="18" s="1"/>
  <c r="AE59" i="18"/>
  <c r="AE55" i="17"/>
  <c r="Y55" i="17" s="1"/>
  <c r="Y61" i="17" s="1"/>
  <c r="AE57" i="17"/>
  <c r="AE58" i="17"/>
  <c r="AE62" i="17"/>
  <c r="Y62" i="17" s="1"/>
  <c r="AD61" i="17"/>
  <c r="AE61" i="17" s="1"/>
  <c r="AE58" i="16"/>
  <c r="AE62" i="16"/>
  <c r="Y62" i="16" s="1"/>
  <c r="AE55" i="16"/>
  <c r="Y55" i="16" s="1"/>
  <c r="AD61" i="16"/>
  <c r="AE61" i="16" s="1"/>
  <c r="AE57" i="16"/>
  <c r="AE56" i="16"/>
  <c r="Y56" i="16" s="1"/>
  <c r="AE55" i="15"/>
  <c r="Y55" i="15" s="1"/>
  <c r="AE56" i="15"/>
  <c r="Y56" i="15" s="1"/>
  <c r="AE62" i="15"/>
  <c r="Y62" i="15" s="1"/>
  <c r="AD61" i="15"/>
  <c r="AE61" i="15" s="1"/>
  <c r="AE57" i="15"/>
  <c r="AE58" i="15"/>
  <c r="AE54" i="14"/>
  <c r="AE55" i="14"/>
  <c r="AE56" i="13"/>
  <c r="AE60" i="13"/>
  <c r="Y60" i="13" s="1"/>
  <c r="AE56" i="14"/>
  <c r="AE60" i="14"/>
  <c r="Y60" i="14" s="1"/>
  <c r="AD59" i="14"/>
  <c r="AE59" i="14" s="1"/>
  <c r="AE53" i="14"/>
  <c r="Y53" i="14" s="1"/>
  <c r="Y59" i="14" s="1"/>
  <c r="AE55" i="13"/>
  <c r="AD59" i="13"/>
  <c r="AE59" i="13" s="1"/>
  <c r="AE54" i="13"/>
  <c r="AE53" i="13"/>
  <c r="Y53" i="13" s="1"/>
  <c r="Y59" i="13" s="1"/>
  <c r="AE57" i="12"/>
  <c r="AE58" i="12"/>
  <c r="AE55" i="12"/>
  <c r="Y55" i="12" s="1"/>
  <c r="Y61" i="12" s="1"/>
  <c r="AE62" i="12"/>
  <c r="Y62" i="12" s="1"/>
  <c r="AE56" i="12"/>
  <c r="AD61" i="12"/>
  <c r="AE61" i="12" s="1"/>
  <c r="AE60" i="10"/>
  <c r="Y60" i="10" s="1"/>
  <c r="AE57" i="11"/>
  <c r="AE58" i="11"/>
  <c r="AE53" i="10"/>
  <c r="Y53" i="10" s="1"/>
  <c r="Y59" i="10" s="1"/>
  <c r="AE62" i="11"/>
  <c r="Y62" i="11" s="1"/>
  <c r="AE54" i="10"/>
  <c r="AE55" i="11"/>
  <c r="Y55" i="11" s="1"/>
  <c r="Y61" i="11" s="1"/>
  <c r="AE55" i="10"/>
  <c r="AE57" i="9"/>
  <c r="AE56" i="11"/>
  <c r="AE56" i="10"/>
  <c r="AD59" i="10"/>
  <c r="AE59" i="10" s="1"/>
  <c r="AD61" i="11"/>
  <c r="AE61" i="11" s="1"/>
  <c r="AE58" i="8"/>
  <c r="AE57" i="8"/>
  <c r="AE62" i="8"/>
  <c r="Y62" i="8" s="1"/>
  <c r="AE56" i="9"/>
  <c r="AE56" i="8"/>
  <c r="AD61" i="9"/>
  <c r="AE61" i="9" s="1"/>
  <c r="AE55" i="8"/>
  <c r="Y55" i="8" s="1"/>
  <c r="Y61" i="8" s="1"/>
  <c r="AE58" i="9"/>
  <c r="AE55" i="9"/>
  <c r="Y55" i="9" s="1"/>
  <c r="Y61" i="9" s="1"/>
  <c r="AE62" i="9"/>
  <c r="Y62" i="9" s="1"/>
  <c r="AD61" i="8"/>
  <c r="AE61" i="8" s="1"/>
  <c r="AE54" i="7"/>
  <c r="Y54" i="7" s="1"/>
  <c r="AE56" i="7"/>
  <c r="AE53" i="7"/>
  <c r="Y53" i="7" s="1"/>
  <c r="AE60" i="7"/>
  <c r="Y60" i="7" s="1"/>
  <c r="AD59" i="7"/>
  <c r="AE59" i="7" s="1"/>
  <c r="AE55" i="7"/>
  <c r="Y55" i="7" s="1"/>
  <c r="AE62" i="6"/>
  <c r="Y62" i="6" s="1"/>
  <c r="AE57" i="6"/>
  <c r="AE58" i="6"/>
  <c r="AE55" i="6"/>
  <c r="Y55" i="6" s="1"/>
  <c r="Y61" i="6" s="1"/>
  <c r="AD61" i="6"/>
  <c r="AE61" i="6" s="1"/>
  <c r="AE56" i="6"/>
  <c r="AE57" i="5"/>
  <c r="AE58" i="5"/>
  <c r="AE55" i="5"/>
  <c r="Y55" i="5" s="1"/>
  <c r="Y61" i="5" s="1"/>
  <c r="AE62" i="5"/>
  <c r="Y62" i="5" s="1"/>
  <c r="AD61" i="5"/>
  <c r="AE61" i="5" s="1"/>
  <c r="AE56" i="5"/>
  <c r="W64" i="4"/>
  <c r="L64" i="4"/>
  <c r="J64" i="4"/>
  <c r="E64" i="4"/>
  <c r="W63" i="4"/>
  <c r="J63" i="4"/>
  <c r="E63" i="4"/>
  <c r="AD62" i="4"/>
  <c r="AB62" i="4"/>
  <c r="W61" i="4"/>
  <c r="AB61" i="4" s="1"/>
  <c r="U61" i="4"/>
  <c r="T61" i="4"/>
  <c r="S61" i="4"/>
  <c r="Q61" i="4"/>
  <c r="P61" i="4"/>
  <c r="O61" i="4"/>
  <c r="N61" i="4"/>
  <c r="M61" i="4"/>
  <c r="L61" i="4"/>
  <c r="J61" i="4"/>
  <c r="I61" i="4"/>
  <c r="H61" i="4"/>
  <c r="G61" i="4"/>
  <c r="F61" i="4"/>
  <c r="E61" i="4"/>
  <c r="AD60" i="4"/>
  <c r="AE60" i="4" s="1"/>
  <c r="AD58" i="4"/>
  <c r="AB58" i="4"/>
  <c r="Y58" i="4"/>
  <c r="AD57" i="4"/>
  <c r="AB57" i="4"/>
  <c r="Y57" i="4"/>
  <c r="AD56" i="4"/>
  <c r="AB56" i="4"/>
  <c r="AD55" i="4"/>
  <c r="AB55" i="4"/>
  <c r="Y61" i="19" l="1"/>
  <c r="Y61" i="16"/>
  <c r="Y61" i="15"/>
  <c r="Y59" i="7"/>
  <c r="AE62" i="4"/>
  <c r="Y62" i="4" s="1"/>
  <c r="AE57" i="4"/>
  <c r="AD61" i="4"/>
  <c r="AE61" i="4" s="1"/>
  <c r="AE55" i="4"/>
  <c r="Y55" i="4" s="1"/>
  <c r="AE58" i="4"/>
  <c r="AE56" i="4"/>
  <c r="Y56" i="4" s="1"/>
  <c r="Y61" i="4" l="1"/>
</calcChain>
</file>

<file path=xl/sharedStrings.xml><?xml version="1.0" encoding="utf-8"?>
<sst xmlns="http://schemas.openxmlformats.org/spreadsheetml/2006/main" count="1098" uniqueCount="112">
  <si>
    <t>COMPTE RENDU D'ESSAIS</t>
  </si>
  <si>
    <t>CONTRÔLE DE FABRICATION DES ENROBES
 (NF EN 12697-1/ NF EN 12697-2)</t>
  </si>
  <si>
    <t>CFE</t>
  </si>
  <si>
    <t>n°</t>
  </si>
  <si>
    <t>Chrono</t>
  </si>
  <si>
    <t>N° d'affaire</t>
  </si>
  <si>
    <t>Date de rédaction</t>
  </si>
  <si>
    <t>Laboratoire :</t>
  </si>
  <si>
    <t>Région Rhône Alpes - 29-31 rue des Tâches - ZI Mi-Plaine - 69800 SAINT PRIEST</t>
  </si>
  <si>
    <t>1/</t>
  </si>
  <si>
    <t>RENSEIGNEMENTS GENERAUX</t>
  </si>
  <si>
    <t>Opérateur :</t>
  </si>
  <si>
    <t>Lieu de fabrication :</t>
  </si>
  <si>
    <t>P2R</t>
  </si>
  <si>
    <t>Date de l'essai :</t>
  </si>
  <si>
    <t>Destination du produit</t>
  </si>
  <si>
    <t>Date de mise en œuvre :</t>
  </si>
  <si>
    <t xml:space="preserve">Code formule : </t>
  </si>
  <si>
    <t>Appellation européenne :</t>
  </si>
  <si>
    <t>Couche de :</t>
  </si>
  <si>
    <t>Appellation française :</t>
  </si>
  <si>
    <t>Méthode d'essai :</t>
  </si>
  <si>
    <t>Extracteur automatique - NEBA</t>
  </si>
  <si>
    <t>2/</t>
  </si>
  <si>
    <t>CRITERES DE CONFORMITE</t>
  </si>
  <si>
    <t>Source des critères :</t>
  </si>
  <si>
    <t>Définition des critères / objectifs :</t>
  </si>
  <si>
    <t>RESULTATS DES ESSAIS</t>
  </si>
  <si>
    <t>MVR granulats:</t>
  </si>
  <si>
    <t>Analyse granulométrique</t>
  </si>
  <si>
    <t>température mesurée</t>
  </si>
  <si>
    <t>teneur en liant</t>
  </si>
  <si>
    <t>Module  richesse</t>
  </si>
  <si>
    <t>Teneur en liant ext</t>
  </si>
  <si>
    <t>surface spécifique</t>
  </si>
  <si>
    <t>module de richesse</t>
  </si>
  <si>
    <t xml:space="preserve">N° </t>
  </si>
  <si>
    <t>Heure</t>
  </si>
  <si>
    <t>Mini</t>
  </si>
  <si>
    <t>Moyenne</t>
  </si>
  <si>
    <t>Théorique</t>
  </si>
  <si>
    <t>Seuil maxi</t>
  </si>
  <si>
    <t>&gt; 3,4</t>
  </si>
  <si>
    <t>Seuil mini</t>
  </si>
  <si>
    <t>4/</t>
  </si>
  <si>
    <t>CONCLUSIONS</t>
  </si>
  <si>
    <t>Contrôle :</t>
  </si>
  <si>
    <t>Nom</t>
  </si>
  <si>
    <t>Conforme</t>
  </si>
  <si>
    <t>Fonction</t>
  </si>
  <si>
    <t>5/</t>
  </si>
  <si>
    <t>COMMENTAIRES</t>
  </si>
  <si>
    <t>Visa</t>
  </si>
  <si>
    <t xml:space="preserve">EB 14 ASSISE 35/50 </t>
  </si>
  <si>
    <t>GB 0/14 Cl3 30% AE</t>
  </si>
  <si>
    <t>Sylvain LHOPITAL</t>
  </si>
  <si>
    <t>Fondation</t>
  </si>
  <si>
    <t xml:space="preserve"> Sylvain LHOPITAL</t>
  </si>
  <si>
    <t>Chef de section laboratoire</t>
  </si>
  <si>
    <t>Rillieux la Pape
PPI Métropole
VL7N</t>
  </si>
  <si>
    <t>RA O1IC</t>
  </si>
  <si>
    <t>Rue Général Brosset</t>
  </si>
  <si>
    <t>08:08</t>
  </si>
  <si>
    <t>Trottoirs</t>
  </si>
  <si>
    <t xml:space="preserve">EB 6 ROUL 35/50 </t>
  </si>
  <si>
    <t>BB 0/6 Manuel</t>
  </si>
  <si>
    <t>Rue Général Brosset - Trottoirs</t>
  </si>
  <si>
    <t>Roulement</t>
  </si>
  <si>
    <t>RA O89C</t>
  </si>
  <si>
    <t>EB 10 ROUL 35/50</t>
  </si>
  <si>
    <t>BBSG 0/10 Classe 3</t>
  </si>
  <si>
    <t>3/</t>
  </si>
  <si>
    <t>Rue Général Brosset - Chaussée</t>
  </si>
  <si>
    <t>Chef de Section Laboratoire</t>
  </si>
  <si>
    <t>F. Montet</t>
  </si>
  <si>
    <t>Rue Mas Rillier Rillieux - Trottoirs</t>
  </si>
  <si>
    <t>F. MONTET</t>
  </si>
  <si>
    <t>Technicien de laboratoire</t>
  </si>
  <si>
    <t>BBDr 0/6 Classe 1</t>
  </si>
  <si>
    <t xml:space="preserve">BBDr 6 ROUL 35/50 </t>
  </si>
  <si>
    <t>10H40</t>
  </si>
  <si>
    <t>08:20</t>
  </si>
  <si>
    <t>Rue du Mas Rillier</t>
  </si>
  <si>
    <t>Fondation / Base</t>
  </si>
  <si>
    <t>10:55</t>
  </si>
  <si>
    <t>Rue Ampère</t>
  </si>
  <si>
    <t>Base</t>
  </si>
  <si>
    <t>08:55</t>
  </si>
  <si>
    <t>16:25</t>
  </si>
  <si>
    <t>EB 6 Roulement 50/70</t>
  </si>
  <si>
    <t>BB 0/6 manuel</t>
  </si>
  <si>
    <t>Rue Ampère piste cyclable</t>
  </si>
  <si>
    <t>13:15</t>
  </si>
  <si>
    <t>P2R Pusignan</t>
  </si>
  <si>
    <t>EB 14 ASSISE 50/70 - 30%AE</t>
  </si>
  <si>
    <t>GB 0/14 Classe 4</t>
  </si>
  <si>
    <t>00:40</t>
  </si>
  <si>
    <t>02:00</t>
  </si>
  <si>
    <t>route du Mas Rillier</t>
  </si>
  <si>
    <t>Non conforme</t>
  </si>
  <si>
    <t>Taux de bitume en dessous du seuil mini</t>
  </si>
  <si>
    <t>13-14/10/2025</t>
  </si>
  <si>
    <t>14-15/10/2025</t>
  </si>
  <si>
    <t>Av. des Nations / Ch. de la Croix</t>
  </si>
  <si>
    <t>00:00</t>
  </si>
  <si>
    <t>01:00</t>
  </si>
  <si>
    <t>15-16/10/2025</t>
  </si>
  <si>
    <t>Ch. de la Croix/Rte du Mas Rillier/Av. des Nations</t>
  </si>
  <si>
    <t>22:10</t>
  </si>
  <si>
    <t>23:30</t>
  </si>
  <si>
    <t>Rue du Mas Rillier Piste cyclable</t>
  </si>
  <si>
    <t>11H40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</si>
</sst>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1" x14ac:knownFonts="1">
    <font>
      <sz val="10"/>
      <name val="Arial"/>
    </font>
    <font>
      <sz val="10"/>
      <name val="Century Gothic"/>
      <family val="2"/>
    </font>
    <font>
      <b/>
      <sz val="10"/>
      <name val="Century Gothic"/>
      <family val="2"/>
    </font>
    <font>
      <b/>
      <sz val="14"/>
      <color rgb="FF000000"/>
      <name val="Century Gothic"/>
      <family val="2"/>
    </font>
    <font>
      <b/>
      <sz val="14"/>
      <name val="Century Gothic"/>
      <family val="2"/>
    </font>
    <font>
      <b/>
      <sz val="11"/>
      <name val="Century Gothic"/>
      <family val="2"/>
    </font>
    <font>
      <b/>
      <sz val="12"/>
      <name val="Century Gothic"/>
      <family val="2"/>
    </font>
    <font>
      <sz val="8"/>
      <name val="Century Gothic"/>
      <family val="2"/>
    </font>
    <font>
      <sz val="12"/>
      <name val="Century Gothic"/>
      <family val="2"/>
    </font>
    <font>
      <sz val="11"/>
      <name val="Century Gothic"/>
      <family val="2"/>
    </font>
    <font>
      <b/>
      <u/>
      <sz val="12"/>
      <name val="Century Gothic"/>
      <family val="2"/>
    </font>
    <font>
      <u/>
      <sz val="10"/>
      <name val="Century Gothic"/>
      <family val="2"/>
    </font>
    <font>
      <sz val="10"/>
      <name val="Arial"/>
      <family val="2"/>
    </font>
    <font>
      <b/>
      <sz val="8"/>
      <name val="Arial"/>
      <family val="2"/>
    </font>
    <font>
      <b/>
      <sz val="8"/>
      <color indexed="10"/>
      <name val="Arial"/>
      <family val="2"/>
    </font>
    <font>
      <b/>
      <sz val="10"/>
      <color indexed="10"/>
      <name val="Century Gothic"/>
      <family val="2"/>
    </font>
    <font>
      <b/>
      <sz val="8"/>
      <name val="Century Gothic"/>
      <family val="2"/>
    </font>
    <font>
      <sz val="10"/>
      <color rgb="FF000000"/>
      <name val="Century Gothic"/>
      <family val="2"/>
    </font>
    <font>
      <sz val="8"/>
      <color rgb="FF000000"/>
      <name val="Century Gothic"/>
      <family val="2"/>
    </font>
    <font>
      <sz val="8"/>
      <name val="Arial"/>
      <family val="2"/>
    </font>
    <font>
      <sz val="10"/>
      <color rgb="FF000000"/>
      <name val="Arial"/>
      <family val="2"/>
    </font>
    <font>
      <b/>
      <u/>
      <sz val="11"/>
      <name val="Century Gothic"/>
      <family val="2"/>
    </font>
    <font>
      <b/>
      <sz val="12"/>
      <color rgb="FF000000"/>
      <name val="Century Gothic"/>
      <family val="2"/>
    </font>
    <font>
      <sz val="11"/>
      <color rgb="FF000000"/>
      <name val="Century Gothic"/>
      <family val="2"/>
    </font>
    <font>
      <sz val="10"/>
      <color rgb="FF000000"/>
      <name val="Arial"/>
      <family val="2"/>
    </font>
    <font>
      <b/>
      <sz val="9"/>
      <color indexed="10"/>
      <name val="Century Gothic"/>
      <family val="2"/>
    </font>
    <font>
      <sz val="10"/>
      <color rgb="FF000000"/>
      <name val="Arial"/>
    </font>
    <font>
      <sz val="10"/>
      <color rgb="FF000000"/>
      <name val="Century Gothic"/>
    </font>
    <font>
      <sz val="8"/>
      <color rgb="FF000000"/>
      <name val="Century Gothic"/>
    </font>
    <font>
      <sz val="11"/>
      <color rgb="FF000000"/>
      <name val="Century Gothic"/>
    </font>
    <font>
      <sz val="9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</borders>
  <cellStyleXfs count="5">
    <xf numFmtId="0" fontId="0" fillId="0" borderId="0"/>
    <xf numFmtId="0" fontId="12" fillId="0" borderId="0"/>
    <xf numFmtId="0" fontId="20" fillId="0" borderId="0"/>
    <xf numFmtId="0" fontId="24" fillId="0" borderId="0"/>
    <xf numFmtId="0" fontId="26" fillId="0" borderId="0"/>
  </cellStyleXfs>
  <cellXfs count="583">
    <xf numFmtId="0" fontId="0" fillId="0" borderId="0" xfId="0"/>
    <xf numFmtId="0" fontId="4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>
      <alignment vertical="center"/>
    </xf>
    <xf numFmtId="0" fontId="1" fillId="0" borderId="0" xfId="0" applyFont="1" applyAlignment="1" applyProtection="1">
      <alignment horizontal="right" vertical="center"/>
      <protection hidden="1"/>
    </xf>
    <xf numFmtId="0" fontId="1" fillId="0" borderId="11" xfId="0" applyFont="1" applyBorder="1" applyAlignment="1" applyProtection="1">
      <alignment vertical="center"/>
      <protection hidden="1"/>
    </xf>
    <xf numFmtId="0" fontId="1" fillId="0" borderId="12" xfId="0" applyFont="1" applyBorder="1" applyAlignment="1" applyProtection="1">
      <alignment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>
      <alignment vertical="center"/>
    </xf>
    <xf numFmtId="0" fontId="6" fillId="0" borderId="1" xfId="0" applyFont="1" applyBorder="1" applyAlignment="1" applyProtection="1">
      <alignment horizontal="center" vertical="center"/>
      <protection hidden="1"/>
    </xf>
    <xf numFmtId="0" fontId="10" fillId="0" borderId="2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8" fillId="0" borderId="0" xfId="0" applyFont="1" applyAlignment="1" applyProtection="1">
      <alignment vertical="center"/>
      <protection locked="0"/>
    </xf>
    <xf numFmtId="0" fontId="1" fillId="0" borderId="7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9" fillId="0" borderId="8" xfId="0" applyFont="1" applyBorder="1" applyAlignment="1" applyProtection="1">
      <alignment horizontal="left" vertical="center"/>
      <protection hidden="1"/>
    </xf>
    <xf numFmtId="0" fontId="9" fillId="0" borderId="0" xfId="0" applyFont="1" applyAlignment="1" applyProtection="1">
      <alignment horizontal="left" vertical="center"/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1" fillId="0" borderId="7" xfId="0" applyFont="1" applyBorder="1" applyAlignment="1">
      <alignment horizontal="center" vertical="center"/>
    </xf>
    <xf numFmtId="0" fontId="8" fillId="0" borderId="8" xfId="0" applyFont="1" applyBorder="1" applyAlignment="1" applyProtection="1">
      <alignment vertical="center"/>
      <protection locked="0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0" xfId="0" applyFont="1" applyAlignment="1" applyProtection="1">
      <alignment vertical="center"/>
      <protection hidden="1"/>
    </xf>
    <xf numFmtId="0" fontId="1" fillId="0" borderId="13" xfId="0" applyFont="1" applyBorder="1" applyAlignment="1" applyProtection="1">
      <alignment vertical="center"/>
      <protection hidden="1"/>
    </xf>
    <xf numFmtId="0" fontId="6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0" xfId="0" applyFont="1" applyAlignment="1" applyProtection="1">
      <alignment horizontal="left"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0" borderId="8" xfId="0" applyFont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19" xfId="0" applyFont="1" applyBorder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7" xfId="0" applyFont="1" applyBorder="1" applyAlignment="1">
      <alignment vertical="center"/>
    </xf>
    <xf numFmtId="0" fontId="2" fillId="0" borderId="21" xfId="0" applyFont="1" applyBorder="1" applyAlignment="1">
      <alignment horizontal="center" vertical="center"/>
    </xf>
    <xf numFmtId="164" fontId="16" fillId="0" borderId="30" xfId="0" applyNumberFormat="1" applyFont="1" applyBorder="1" applyAlignment="1" applyProtection="1">
      <alignment horizontal="center" vertical="center"/>
      <protection locked="0"/>
    </xf>
    <xf numFmtId="0" fontId="16" fillId="0" borderId="31" xfId="0" applyFont="1" applyBorder="1" applyAlignment="1" applyProtection="1">
      <alignment horizontal="center" vertical="center"/>
      <protection locked="0"/>
    </xf>
    <xf numFmtId="0" fontId="16" fillId="0" borderId="29" xfId="0" applyFont="1" applyBorder="1" applyAlignment="1" applyProtection="1">
      <alignment horizontal="center" vertical="center"/>
      <protection locked="0"/>
    </xf>
    <xf numFmtId="0" fontId="2" fillId="0" borderId="37" xfId="0" applyFont="1" applyBorder="1" applyAlignment="1">
      <alignment horizontal="center" vertical="center"/>
    </xf>
    <xf numFmtId="2" fontId="1" fillId="0" borderId="0" xfId="0" applyNumberFormat="1" applyFont="1" applyAlignment="1" applyProtection="1">
      <alignment horizontal="center" vertical="center"/>
      <protection locked="0"/>
    </xf>
    <xf numFmtId="0" fontId="19" fillId="2" borderId="44" xfId="1" applyFont="1" applyFill="1" applyBorder="1" applyAlignment="1" applyProtection="1">
      <alignment horizontal="center" vertical="center"/>
      <protection hidden="1"/>
    </xf>
    <xf numFmtId="2" fontId="19" fillId="2" borderId="45" xfId="1" applyNumberFormat="1" applyFont="1" applyFill="1" applyBorder="1" applyAlignment="1" applyProtection="1">
      <alignment horizontal="center" vertical="center"/>
      <protection hidden="1"/>
    </xf>
    <xf numFmtId="2" fontId="1" fillId="0" borderId="0" xfId="0" applyNumberFormat="1" applyFont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165" fontId="1" fillId="0" borderId="49" xfId="0" applyNumberFormat="1" applyFont="1" applyBorder="1" applyAlignment="1">
      <alignment horizontal="center" vertical="center" wrapText="1"/>
    </xf>
    <xf numFmtId="165" fontId="1" fillId="0" borderId="43" xfId="0" applyNumberFormat="1" applyFont="1" applyBorder="1" applyAlignment="1" applyProtection="1">
      <alignment horizontal="center" vertical="center"/>
      <protection locked="0"/>
    </xf>
    <xf numFmtId="165" fontId="1" fillId="0" borderId="49" xfId="0" applyNumberFormat="1" applyFont="1" applyBorder="1" applyAlignment="1" applyProtection="1">
      <alignment horizontal="center" vertical="center"/>
      <protection locked="0"/>
    </xf>
    <xf numFmtId="1" fontId="1" fillId="0" borderId="49" xfId="0" applyNumberFormat="1" applyFont="1" applyBorder="1" applyAlignment="1" applyProtection="1">
      <alignment horizontal="center" vertical="center"/>
      <protection locked="0"/>
    </xf>
    <xf numFmtId="165" fontId="1" fillId="0" borderId="47" xfId="0" applyNumberFormat="1" applyFont="1" applyBorder="1" applyAlignment="1" applyProtection="1">
      <alignment horizontal="center" vertical="center"/>
      <protection locked="0"/>
    </xf>
    <xf numFmtId="0" fontId="2" fillId="0" borderId="50" xfId="0" applyFont="1" applyBorder="1" applyAlignment="1">
      <alignment horizontal="center" vertical="center"/>
    </xf>
    <xf numFmtId="165" fontId="1" fillId="0" borderId="53" xfId="0" applyNumberFormat="1" applyFont="1" applyBorder="1" applyAlignment="1">
      <alignment horizontal="center" vertical="center" wrapText="1"/>
    </xf>
    <xf numFmtId="165" fontId="1" fillId="0" borderId="52" xfId="0" applyNumberFormat="1" applyFont="1" applyBorder="1" applyAlignment="1" applyProtection="1">
      <alignment horizontal="center" vertical="center"/>
      <protection locked="0"/>
    </xf>
    <xf numFmtId="165" fontId="1" fillId="0" borderId="53" xfId="0" applyNumberFormat="1" applyFont="1" applyBorder="1" applyAlignment="1" applyProtection="1">
      <alignment horizontal="center" vertical="center"/>
      <protection locked="0"/>
    </xf>
    <xf numFmtId="1" fontId="1" fillId="0" borderId="53" xfId="0" applyNumberFormat="1" applyFont="1" applyBorder="1" applyAlignment="1" applyProtection="1">
      <alignment horizontal="center" vertical="center"/>
      <protection locked="0"/>
    </xf>
    <xf numFmtId="165" fontId="1" fillId="0" borderId="51" xfId="0" applyNumberFormat="1" applyFont="1" applyBorder="1" applyAlignment="1" applyProtection="1">
      <alignment horizontal="center" vertical="center"/>
      <protection locked="0"/>
    </xf>
    <xf numFmtId="165" fontId="7" fillId="0" borderId="0" xfId="0" applyNumberFormat="1" applyFont="1" applyAlignment="1">
      <alignment vertical="center"/>
    </xf>
    <xf numFmtId="1" fontId="7" fillId="0" borderId="0" xfId="0" applyNumberFormat="1" applyFont="1" applyAlignment="1">
      <alignment vertical="center"/>
    </xf>
    <xf numFmtId="165" fontId="7" fillId="0" borderId="33" xfId="0" applyNumberFormat="1" applyFont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19" fillId="2" borderId="56" xfId="1" applyFont="1" applyFill="1" applyBorder="1" applyAlignment="1" applyProtection="1">
      <alignment vertical="center"/>
      <protection locked="0"/>
    </xf>
    <xf numFmtId="0" fontId="19" fillId="2" borderId="0" xfId="1" applyFont="1" applyFill="1" applyAlignment="1" applyProtection="1">
      <alignment vertical="center"/>
      <protection locked="0"/>
    </xf>
    <xf numFmtId="165" fontId="16" fillId="0" borderId="57" xfId="0" applyNumberFormat="1" applyFont="1" applyBorder="1" applyAlignment="1">
      <alignment horizontal="center" vertical="center"/>
    </xf>
    <xf numFmtId="1" fontId="16" fillId="0" borderId="57" xfId="0" applyNumberFormat="1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165" fontId="2" fillId="0" borderId="61" xfId="0" applyNumberFormat="1" applyFont="1" applyBorder="1" applyAlignment="1">
      <alignment horizontal="center" vertical="center"/>
    </xf>
    <xf numFmtId="1" fontId="2" fillId="0" borderId="61" xfId="0" applyNumberFormat="1" applyFont="1" applyBorder="1" applyAlignment="1">
      <alignment horizontal="center" vertical="center"/>
    </xf>
    <xf numFmtId="165" fontId="2" fillId="0" borderId="40" xfId="0" applyNumberFormat="1" applyFont="1" applyBorder="1" applyAlignment="1">
      <alignment horizontal="center" vertical="center"/>
    </xf>
    <xf numFmtId="165" fontId="15" fillId="0" borderId="62" xfId="0" applyNumberFormat="1" applyFont="1" applyBorder="1" applyAlignment="1">
      <alignment horizontal="center" vertical="center"/>
    </xf>
    <xf numFmtId="1" fontId="15" fillId="0" borderId="62" xfId="0" applyNumberFormat="1" applyFont="1" applyBorder="1" applyAlignment="1">
      <alignment horizontal="center" vertical="center"/>
    </xf>
    <xf numFmtId="165" fontId="15" fillId="0" borderId="1" xfId="0" applyNumberFormat="1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19" fillId="2" borderId="42" xfId="1" applyFont="1" applyFill="1" applyBorder="1" applyAlignment="1" applyProtection="1">
      <alignment vertical="center"/>
      <protection hidden="1"/>
    </xf>
    <xf numFmtId="0" fontId="19" fillId="2" borderId="43" xfId="1" applyFont="1" applyFill="1" applyBorder="1" applyAlignment="1" applyProtection="1">
      <alignment vertical="center"/>
      <protection hidden="1"/>
    </xf>
    <xf numFmtId="165" fontId="1" fillId="0" borderId="64" xfId="0" applyNumberFormat="1" applyFont="1" applyBorder="1" applyAlignment="1" applyProtection="1">
      <alignment horizontal="center" vertical="center"/>
      <protection locked="0"/>
    </xf>
    <xf numFmtId="0" fontId="1" fillId="0" borderId="64" xfId="0" applyFont="1" applyBorder="1" applyAlignment="1" applyProtection="1">
      <alignment horizontal="center" vertical="center"/>
      <protection locked="0"/>
    </xf>
    <xf numFmtId="0" fontId="1" fillId="0" borderId="34" xfId="0" applyFont="1" applyBorder="1" applyAlignment="1" applyProtection="1">
      <alignment horizontal="center" vertical="center"/>
      <protection locked="0"/>
    </xf>
    <xf numFmtId="0" fontId="7" fillId="0" borderId="0" xfId="0" applyFont="1" applyAlignment="1">
      <alignment horizontal="center" vertical="center"/>
    </xf>
    <xf numFmtId="0" fontId="19" fillId="2" borderId="50" xfId="1" applyFont="1" applyFill="1" applyBorder="1" applyAlignment="1" applyProtection="1">
      <alignment vertical="center"/>
      <protection hidden="1"/>
    </xf>
    <xf numFmtId="0" fontId="19" fillId="2" borderId="52" xfId="1" applyFont="1" applyFill="1" applyBorder="1" applyAlignment="1" applyProtection="1">
      <alignment vertical="center"/>
      <protection hidden="1"/>
    </xf>
    <xf numFmtId="0" fontId="1" fillId="0" borderId="60" xfId="0" applyFont="1" applyBorder="1" applyAlignment="1">
      <alignment vertical="center"/>
    </xf>
    <xf numFmtId="0" fontId="6" fillId="0" borderId="65" xfId="0" applyFont="1" applyBorder="1" applyAlignment="1" applyProtection="1">
      <alignment horizontal="center" vertical="center"/>
      <protection hidden="1"/>
    </xf>
    <xf numFmtId="0" fontId="10" fillId="0" borderId="66" xfId="0" applyFont="1" applyBorder="1" applyAlignment="1" applyProtection="1">
      <alignment vertical="center"/>
      <protection hidden="1"/>
    </xf>
    <xf numFmtId="0" fontId="11" fillId="0" borderId="66" xfId="0" applyFont="1" applyBorder="1" applyAlignment="1" applyProtection="1">
      <alignment vertical="center"/>
      <protection hidden="1"/>
    </xf>
    <xf numFmtId="0" fontId="1" fillId="0" borderId="66" xfId="0" applyFont="1" applyBorder="1" applyAlignment="1" applyProtection="1">
      <alignment vertical="center"/>
      <protection hidden="1"/>
    </xf>
    <xf numFmtId="0" fontId="21" fillId="0" borderId="0" xfId="0" applyFont="1" applyAlignment="1" applyProtection="1">
      <alignment horizontal="center" vertical="center" wrapText="1"/>
      <protection hidden="1"/>
    </xf>
    <xf numFmtId="0" fontId="21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vertical="center" wrapText="1"/>
      <protection locked="0"/>
    </xf>
    <xf numFmtId="0" fontId="6" fillId="0" borderId="7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vertical="center"/>
      <protection hidden="1"/>
    </xf>
    <xf numFmtId="0" fontId="8" fillId="0" borderId="0" xfId="0" applyFont="1" applyAlignment="1" applyProtection="1">
      <alignment vertical="center"/>
      <protection hidden="1"/>
    </xf>
    <xf numFmtId="0" fontId="8" fillId="0" borderId="8" xfId="0" applyFont="1" applyBorder="1" applyAlignment="1" applyProtection="1">
      <alignment vertical="center"/>
      <protection hidden="1"/>
    </xf>
    <xf numFmtId="0" fontId="23" fillId="0" borderId="4" xfId="0" applyFont="1" applyBorder="1" applyAlignment="1" applyProtection="1">
      <alignment vertical="center"/>
      <protection locked="0"/>
    </xf>
    <xf numFmtId="0" fontId="23" fillId="0" borderId="5" xfId="0" applyFont="1" applyBorder="1" applyAlignment="1" applyProtection="1">
      <alignment vertical="center"/>
      <protection locked="0"/>
    </xf>
    <xf numFmtId="0" fontId="23" fillId="0" borderId="6" xfId="0" applyFont="1" applyBorder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23" fillId="0" borderId="9" xfId="0" applyFont="1" applyBorder="1" applyAlignment="1" applyProtection="1">
      <alignment vertical="center"/>
      <protection locked="0"/>
    </xf>
    <xf numFmtId="0" fontId="23" fillId="0" borderId="10" xfId="0" applyFont="1" applyBorder="1" applyAlignment="1" applyProtection="1">
      <alignment vertical="center"/>
      <protection locked="0"/>
    </xf>
    <xf numFmtId="0" fontId="23" fillId="0" borderId="14" xfId="0" applyFont="1" applyBorder="1" applyAlignment="1" applyProtection="1">
      <alignment vertical="center"/>
      <protection locked="0"/>
    </xf>
    <xf numFmtId="0" fontId="23" fillId="0" borderId="15" xfId="0" applyFont="1" applyBorder="1" applyAlignment="1" applyProtection="1">
      <alignment vertical="center"/>
      <protection locked="0"/>
    </xf>
    <xf numFmtId="0" fontId="23" fillId="0" borderId="16" xfId="0" applyFont="1" applyBorder="1" applyAlignment="1" applyProtection="1">
      <alignment vertical="center"/>
      <protection locked="0"/>
    </xf>
    <xf numFmtId="165" fontId="18" fillId="0" borderId="38" xfId="2" applyNumberFormat="1" applyFont="1" applyBorder="1" applyAlignment="1">
      <alignment horizontal="center" vertical="center" wrapText="1"/>
    </xf>
    <xf numFmtId="165" fontId="18" fillId="0" borderId="16" xfId="2" applyNumberFormat="1" applyFont="1" applyBorder="1" applyAlignment="1" applyProtection="1">
      <alignment horizontal="center" vertical="center"/>
      <protection locked="0"/>
    </xf>
    <xf numFmtId="165" fontId="18" fillId="0" borderId="38" xfId="2" applyNumberFormat="1" applyFont="1" applyBorder="1" applyAlignment="1" applyProtection="1">
      <alignment horizontal="center" vertical="center"/>
      <protection locked="0"/>
    </xf>
    <xf numFmtId="165" fontId="18" fillId="0" borderId="14" xfId="2" applyNumberFormat="1" applyFont="1" applyBorder="1" applyAlignment="1" applyProtection="1">
      <alignment horizontal="center" vertical="center"/>
      <protection locked="0"/>
    </xf>
    <xf numFmtId="1" fontId="18" fillId="0" borderId="38" xfId="2" applyNumberFormat="1" applyFont="1" applyBorder="1" applyAlignment="1" applyProtection="1">
      <alignment horizontal="center" vertical="center"/>
      <protection locked="0"/>
    </xf>
    <xf numFmtId="165" fontId="18" fillId="0" borderId="38" xfId="0" applyNumberFormat="1" applyFont="1" applyBorder="1" applyAlignment="1">
      <alignment horizontal="center" vertical="center" wrapText="1"/>
    </xf>
    <xf numFmtId="165" fontId="18" fillId="0" borderId="16" xfId="0" applyNumberFormat="1" applyFont="1" applyBorder="1" applyAlignment="1" applyProtection="1">
      <alignment horizontal="center" vertical="center"/>
      <protection locked="0"/>
    </xf>
    <xf numFmtId="165" fontId="18" fillId="0" borderId="38" xfId="0" applyNumberFormat="1" applyFont="1" applyBorder="1" applyAlignment="1" applyProtection="1">
      <alignment horizontal="center" vertical="center"/>
      <protection locked="0"/>
    </xf>
    <xf numFmtId="165" fontId="18" fillId="0" borderId="14" xfId="0" applyNumberFormat="1" applyFont="1" applyBorder="1" applyAlignment="1" applyProtection="1">
      <alignment horizontal="center" vertical="center"/>
      <protection locked="0"/>
    </xf>
    <xf numFmtId="0" fontId="4" fillId="0" borderId="0" xfId="1" applyFont="1" applyAlignment="1" applyProtection="1">
      <alignment horizontal="center" vertical="center" wrapText="1"/>
      <protection locked="0"/>
    </xf>
    <xf numFmtId="0" fontId="1" fillId="0" borderId="0" xfId="1" applyFont="1" applyAlignment="1">
      <alignment vertical="center"/>
    </xf>
    <xf numFmtId="0" fontId="1" fillId="0" borderId="0" xfId="1" applyFont="1" applyAlignment="1" applyProtection="1">
      <alignment horizontal="right" vertical="center"/>
      <protection hidden="1"/>
    </xf>
    <xf numFmtId="0" fontId="1" fillId="0" borderId="11" xfId="1" applyFont="1" applyBorder="1" applyAlignment="1" applyProtection="1">
      <alignment vertical="center"/>
      <protection hidden="1"/>
    </xf>
    <xf numFmtId="0" fontId="1" fillId="0" borderId="12" xfId="1" applyFont="1" applyBorder="1" applyAlignment="1" applyProtection="1">
      <alignment vertical="center"/>
      <protection hidden="1"/>
    </xf>
    <xf numFmtId="0" fontId="8" fillId="0" borderId="0" xfId="1" applyFont="1" applyAlignment="1" applyProtection="1">
      <alignment horizontal="center" vertical="center"/>
      <protection hidden="1"/>
    </xf>
    <xf numFmtId="0" fontId="9" fillId="0" borderId="0" xfId="1" applyFont="1" applyAlignment="1">
      <alignment vertical="center"/>
    </xf>
    <xf numFmtId="0" fontId="6" fillId="0" borderId="1" xfId="1" applyFont="1" applyBorder="1" applyAlignment="1" applyProtection="1">
      <alignment horizontal="center" vertical="center"/>
      <protection hidden="1"/>
    </xf>
    <xf numFmtId="0" fontId="10" fillId="0" borderId="2" xfId="1" applyFont="1" applyBorder="1" applyAlignment="1" applyProtection="1">
      <alignment vertical="center"/>
      <protection hidden="1"/>
    </xf>
    <xf numFmtId="0" fontId="1" fillId="0" borderId="2" xfId="1" applyFont="1" applyBorder="1" applyAlignment="1" applyProtection="1">
      <alignment vertical="center"/>
      <protection hidden="1"/>
    </xf>
    <xf numFmtId="0" fontId="1" fillId="0" borderId="2" xfId="1" applyFont="1" applyBorder="1" applyAlignment="1" applyProtection="1">
      <alignment horizontal="center" vertical="center"/>
      <protection hidden="1"/>
    </xf>
    <xf numFmtId="0" fontId="1" fillId="0" borderId="3" xfId="1" applyFont="1" applyBorder="1" applyAlignment="1" applyProtection="1">
      <alignment vertical="center"/>
      <protection hidden="1"/>
    </xf>
    <xf numFmtId="0" fontId="1" fillId="0" borderId="0" xfId="1" applyFont="1" applyAlignment="1" applyProtection="1">
      <alignment vertical="center"/>
      <protection hidden="1"/>
    </xf>
    <xf numFmtId="0" fontId="8" fillId="0" borderId="0" xfId="1" applyFont="1" applyAlignment="1" applyProtection="1">
      <alignment vertical="center"/>
      <protection locked="0"/>
    </xf>
    <xf numFmtId="0" fontId="1" fillId="0" borderId="7" xfId="1" applyFont="1" applyBorder="1" applyAlignment="1" applyProtection="1">
      <alignment vertical="center"/>
      <protection hidden="1"/>
    </xf>
    <xf numFmtId="0" fontId="1" fillId="0" borderId="0" xfId="1" applyFont="1" applyAlignment="1" applyProtection="1">
      <alignment horizontal="center" vertical="center"/>
      <protection hidden="1"/>
    </xf>
    <xf numFmtId="0" fontId="1" fillId="0" borderId="8" xfId="1" applyFont="1" applyBorder="1" applyAlignment="1" applyProtection="1">
      <alignment vertical="center"/>
      <protection hidden="1"/>
    </xf>
    <xf numFmtId="0" fontId="9" fillId="0" borderId="0" xfId="1" applyFont="1" applyAlignment="1" applyProtection="1">
      <alignment horizontal="left" vertical="center"/>
      <protection hidden="1"/>
    </xf>
    <xf numFmtId="0" fontId="9" fillId="0" borderId="8" xfId="1" applyFont="1" applyBorder="1" applyAlignment="1" applyProtection="1">
      <alignment horizontal="left" vertical="center"/>
      <protection hidden="1"/>
    </xf>
    <xf numFmtId="0" fontId="9" fillId="0" borderId="0" xfId="1" applyFont="1" applyAlignment="1" applyProtection="1">
      <alignment vertical="center"/>
      <protection hidden="1"/>
    </xf>
    <xf numFmtId="0" fontId="1" fillId="0" borderId="7" xfId="1" applyFont="1" applyBorder="1" applyAlignment="1">
      <alignment horizontal="center" vertical="center"/>
    </xf>
    <xf numFmtId="0" fontId="8" fillId="0" borderId="8" xfId="1" applyFont="1" applyBorder="1" applyAlignment="1" applyProtection="1">
      <alignment vertical="center"/>
      <protection locked="0"/>
    </xf>
    <xf numFmtId="0" fontId="1" fillId="0" borderId="11" xfId="1" applyFont="1" applyBorder="1" applyAlignment="1">
      <alignment horizontal="center" vertical="center"/>
    </xf>
    <xf numFmtId="0" fontId="1" fillId="0" borderId="12" xfId="1" applyFont="1" applyBorder="1" applyAlignment="1">
      <alignment horizontal="center" vertical="center"/>
    </xf>
    <xf numFmtId="0" fontId="1" fillId="0" borderId="12" xfId="1" applyFont="1" applyBorder="1" applyAlignment="1">
      <alignment vertical="center"/>
    </xf>
    <xf numFmtId="0" fontId="1" fillId="0" borderId="12" xfId="1" applyFont="1" applyBorder="1" applyAlignment="1">
      <alignment horizontal="left" vertical="center"/>
    </xf>
    <xf numFmtId="0" fontId="1" fillId="0" borderId="13" xfId="1" applyFont="1" applyBorder="1" applyAlignment="1">
      <alignment vertical="center"/>
    </xf>
    <xf numFmtId="0" fontId="1" fillId="0" borderId="0" xfId="1" applyFont="1" applyAlignment="1">
      <alignment horizontal="center" vertical="center"/>
    </xf>
    <xf numFmtId="0" fontId="1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0" fontId="6" fillId="0" borderId="0" xfId="1" applyFont="1" applyAlignment="1" applyProtection="1">
      <alignment vertical="center"/>
      <protection hidden="1"/>
    </xf>
    <xf numFmtId="0" fontId="9" fillId="0" borderId="0" xfId="1" applyFont="1" applyAlignment="1" applyProtection="1">
      <alignment horizontal="center" vertical="center"/>
      <protection locked="0"/>
    </xf>
    <xf numFmtId="0" fontId="1" fillId="0" borderId="13" xfId="1" applyFont="1" applyBorder="1" applyAlignment="1" applyProtection="1">
      <alignment vertical="center"/>
      <protection hidden="1"/>
    </xf>
    <xf numFmtId="0" fontId="6" fillId="0" borderId="1" xfId="1" applyFont="1" applyBorder="1" applyAlignment="1">
      <alignment horizontal="center" vertical="center"/>
    </xf>
    <xf numFmtId="0" fontId="10" fillId="0" borderId="2" xfId="1" applyFont="1" applyBorder="1" applyAlignment="1">
      <alignment vertical="center"/>
    </xf>
    <xf numFmtId="0" fontId="11" fillId="0" borderId="2" xfId="1" applyFont="1" applyBorder="1" applyAlignment="1">
      <alignment vertical="center"/>
    </xf>
    <xf numFmtId="0" fontId="11" fillId="0" borderId="2" xfId="1" applyFont="1" applyBorder="1" applyAlignment="1">
      <alignment horizontal="center" vertical="center"/>
    </xf>
    <xf numFmtId="0" fontId="1" fillId="0" borderId="2" xfId="1" applyFont="1" applyBorder="1" applyAlignment="1">
      <alignment vertical="center"/>
    </xf>
    <xf numFmtId="0" fontId="1" fillId="0" borderId="3" xfId="1" applyFont="1" applyBorder="1" applyAlignment="1">
      <alignment vertical="center"/>
    </xf>
    <xf numFmtId="0" fontId="1" fillId="0" borderId="0" xfId="1" applyFont="1" applyAlignment="1" applyProtection="1">
      <alignment horizontal="left" vertical="center"/>
      <protection locked="0"/>
    </xf>
    <xf numFmtId="0" fontId="1" fillId="0" borderId="0" xfId="1" applyFont="1" applyAlignment="1" applyProtection="1">
      <alignment vertical="center"/>
      <protection locked="0"/>
    </xf>
    <xf numFmtId="0" fontId="1" fillId="0" borderId="8" xfId="1" applyFont="1" applyBorder="1" applyAlignment="1">
      <alignment vertical="center"/>
    </xf>
    <xf numFmtId="0" fontId="1" fillId="0" borderId="0" xfId="1" applyFont="1" applyAlignment="1">
      <alignment horizontal="right" vertical="center"/>
    </xf>
    <xf numFmtId="0" fontId="1" fillId="0" borderId="19" xfId="1" applyFont="1" applyBorder="1" applyAlignment="1">
      <alignment vertical="center"/>
    </xf>
    <xf numFmtId="0" fontId="1" fillId="0" borderId="0" xfId="1" applyFont="1" applyAlignment="1">
      <alignment horizontal="center" vertical="center" wrapText="1"/>
    </xf>
    <xf numFmtId="0" fontId="2" fillId="0" borderId="21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 wrapText="1"/>
    </xf>
    <xf numFmtId="0" fontId="1" fillId="0" borderId="7" xfId="1" applyFont="1" applyBorder="1" applyAlignment="1">
      <alignment vertical="center"/>
    </xf>
    <xf numFmtId="164" fontId="16" fillId="0" borderId="30" xfId="1" applyNumberFormat="1" applyFont="1" applyBorder="1" applyAlignment="1" applyProtection="1">
      <alignment horizontal="center" vertical="center"/>
      <protection locked="0"/>
    </xf>
    <xf numFmtId="0" fontId="16" fillId="0" borderId="31" xfId="1" applyFont="1" applyBorder="1" applyAlignment="1" applyProtection="1">
      <alignment horizontal="center" vertical="center"/>
      <protection locked="0"/>
    </xf>
    <xf numFmtId="0" fontId="16" fillId="0" borderId="29" xfId="1" applyFont="1" applyBorder="1" applyAlignment="1" applyProtection="1">
      <alignment horizontal="center" vertical="center"/>
      <protection locked="0"/>
    </xf>
    <xf numFmtId="0" fontId="2" fillId="0" borderId="37" xfId="1" applyFont="1" applyBorder="1" applyAlignment="1">
      <alignment horizontal="center" vertical="center"/>
    </xf>
    <xf numFmtId="2" fontId="1" fillId="0" borderId="0" xfId="1" applyNumberFormat="1" applyFont="1" applyAlignment="1" applyProtection="1">
      <alignment horizontal="center" vertical="center"/>
      <protection locked="0"/>
    </xf>
    <xf numFmtId="2" fontId="1" fillId="0" borderId="0" xfId="1" applyNumberFormat="1" applyFont="1" applyAlignment="1">
      <alignment horizontal="center" vertical="center"/>
    </xf>
    <xf numFmtId="0" fontId="2" fillId="0" borderId="46" xfId="1" applyFont="1" applyBorder="1" applyAlignment="1">
      <alignment horizontal="center" vertical="center"/>
    </xf>
    <xf numFmtId="165" fontId="18" fillId="0" borderId="38" xfId="1" applyNumberFormat="1" applyFont="1" applyBorder="1" applyAlignment="1" applyProtection="1">
      <alignment horizontal="center" vertical="center"/>
      <protection locked="0"/>
    </xf>
    <xf numFmtId="165" fontId="18" fillId="0" borderId="14" xfId="1" applyNumberFormat="1" applyFont="1" applyBorder="1" applyAlignment="1" applyProtection="1">
      <alignment horizontal="center" vertical="center"/>
      <protection locked="0"/>
    </xf>
    <xf numFmtId="165" fontId="1" fillId="0" borderId="49" xfId="1" applyNumberFormat="1" applyFont="1" applyBorder="1" applyAlignment="1" applyProtection="1">
      <alignment horizontal="center" vertical="center"/>
      <protection locked="0"/>
    </xf>
    <xf numFmtId="165" fontId="1" fillId="0" borderId="47" xfId="1" applyNumberFormat="1" applyFont="1" applyBorder="1" applyAlignment="1" applyProtection="1">
      <alignment horizontal="center" vertical="center"/>
      <protection locked="0"/>
    </xf>
    <xf numFmtId="0" fontId="2" fillId="0" borderId="50" xfId="1" applyFont="1" applyBorder="1" applyAlignment="1">
      <alignment horizontal="center" vertical="center"/>
    </xf>
    <xf numFmtId="165" fontId="1" fillId="0" borderId="53" xfId="1" applyNumberFormat="1" applyFont="1" applyBorder="1" applyAlignment="1">
      <alignment horizontal="center" vertical="center" wrapText="1"/>
    </xf>
    <xf numFmtId="165" fontId="1" fillId="0" borderId="52" xfId="1" applyNumberFormat="1" applyFont="1" applyBorder="1" applyAlignment="1" applyProtection="1">
      <alignment horizontal="center" vertical="center"/>
      <protection locked="0"/>
    </xf>
    <xf numFmtId="165" fontId="1" fillId="0" borderId="53" xfId="1" applyNumberFormat="1" applyFont="1" applyBorder="1" applyAlignment="1" applyProtection="1">
      <alignment horizontal="center" vertical="center"/>
      <protection locked="0"/>
    </xf>
    <xf numFmtId="165" fontId="1" fillId="0" borderId="51" xfId="1" applyNumberFormat="1" applyFont="1" applyBorder="1" applyAlignment="1" applyProtection="1">
      <alignment horizontal="center" vertical="center"/>
      <protection locked="0"/>
    </xf>
    <xf numFmtId="165" fontId="7" fillId="0" borderId="0" xfId="1" applyNumberFormat="1" applyFont="1" applyAlignment="1">
      <alignment vertical="center"/>
    </xf>
    <xf numFmtId="165" fontId="7" fillId="0" borderId="33" xfId="1" applyNumberFormat="1" applyFont="1" applyBorder="1" applyAlignment="1">
      <alignment vertical="center"/>
    </xf>
    <xf numFmtId="0" fontId="1" fillId="0" borderId="33" xfId="1" applyFont="1" applyBorder="1" applyAlignment="1">
      <alignment vertical="center"/>
    </xf>
    <xf numFmtId="165" fontId="16" fillId="0" borderId="57" xfId="1" applyNumberFormat="1" applyFont="1" applyBorder="1" applyAlignment="1">
      <alignment horizontal="center" vertical="center"/>
    </xf>
    <xf numFmtId="0" fontId="1" fillId="0" borderId="23" xfId="1" applyFont="1" applyBorder="1" applyAlignment="1">
      <alignment horizontal="center" vertical="center"/>
    </xf>
    <xf numFmtId="0" fontId="1" fillId="0" borderId="26" xfId="1" applyFont="1" applyBorder="1" applyAlignment="1">
      <alignment horizontal="center" vertical="center"/>
    </xf>
    <xf numFmtId="165" fontId="2" fillId="0" borderId="61" xfId="1" applyNumberFormat="1" applyFont="1" applyBorder="1" applyAlignment="1">
      <alignment horizontal="center" vertical="center"/>
    </xf>
    <xf numFmtId="165" fontId="2" fillId="0" borderId="40" xfId="1" applyNumberFormat="1" applyFont="1" applyBorder="1" applyAlignment="1">
      <alignment horizontal="center" vertical="center"/>
    </xf>
    <xf numFmtId="165" fontId="25" fillId="0" borderId="62" xfId="1" applyNumberFormat="1" applyFont="1" applyBorder="1" applyAlignment="1">
      <alignment horizontal="center" vertical="center"/>
    </xf>
    <xf numFmtId="1" fontId="25" fillId="0" borderId="62" xfId="1" applyNumberFormat="1" applyFont="1" applyBorder="1" applyAlignment="1">
      <alignment horizontal="center" vertical="center"/>
    </xf>
    <xf numFmtId="165" fontId="25" fillId="0" borderId="1" xfId="1" applyNumberFormat="1" applyFont="1" applyBorder="1" applyAlignment="1">
      <alignment horizontal="center" vertical="center"/>
    </xf>
    <xf numFmtId="0" fontId="7" fillId="0" borderId="42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0" fontId="7" fillId="0" borderId="43" xfId="1" applyFont="1" applyBorder="1" applyAlignment="1">
      <alignment horizontal="center" vertical="center"/>
    </xf>
    <xf numFmtId="2" fontId="7" fillId="0" borderId="0" xfId="1" applyNumberFormat="1" applyFont="1" applyAlignment="1">
      <alignment horizontal="center" vertical="center"/>
    </xf>
    <xf numFmtId="165" fontId="1" fillId="0" borderId="64" xfId="1" applyNumberFormat="1" applyFont="1" applyBorder="1" applyAlignment="1" applyProtection="1">
      <alignment horizontal="center" vertical="center"/>
      <protection locked="0"/>
    </xf>
    <xf numFmtId="0" fontId="1" fillId="0" borderId="64" xfId="1" applyFont="1" applyBorder="1" applyAlignment="1" applyProtection="1">
      <alignment horizontal="center" vertical="center"/>
      <protection locked="0"/>
    </xf>
    <xf numFmtId="0" fontId="1" fillId="0" borderId="34" xfId="1" applyFont="1" applyBorder="1" applyAlignment="1" applyProtection="1">
      <alignment horizontal="center" vertical="center"/>
      <protection locked="0"/>
    </xf>
    <xf numFmtId="0" fontId="7" fillId="0" borderId="0" xfId="1" applyFont="1" applyAlignment="1">
      <alignment horizontal="center" vertical="center"/>
    </xf>
    <xf numFmtId="0" fontId="1" fillId="0" borderId="60" xfId="1" applyFont="1" applyBorder="1" applyAlignment="1">
      <alignment vertical="center"/>
    </xf>
    <xf numFmtId="0" fontId="6" fillId="0" borderId="65" xfId="1" applyFont="1" applyBorder="1" applyAlignment="1" applyProtection="1">
      <alignment horizontal="center" vertical="center"/>
      <protection hidden="1"/>
    </xf>
    <xf numFmtId="0" fontId="10" fillId="0" borderId="66" xfId="1" applyFont="1" applyBorder="1" applyAlignment="1" applyProtection="1">
      <alignment vertical="center"/>
      <protection hidden="1"/>
    </xf>
    <xf numFmtId="0" fontId="11" fillId="0" borderId="66" xfId="1" applyFont="1" applyBorder="1" applyAlignment="1" applyProtection="1">
      <alignment vertical="center"/>
      <protection hidden="1"/>
    </xf>
    <xf numFmtId="0" fontId="1" fillId="0" borderId="66" xfId="1" applyFont="1" applyBorder="1" applyAlignment="1" applyProtection="1">
      <alignment vertical="center"/>
      <protection hidden="1"/>
    </xf>
    <xf numFmtId="0" fontId="21" fillId="0" borderId="0" xfId="1" applyFont="1" applyAlignment="1" applyProtection="1">
      <alignment horizontal="center" vertical="center" wrapText="1"/>
      <protection hidden="1"/>
    </xf>
    <xf numFmtId="0" fontId="21" fillId="0" borderId="0" xfId="1" applyFont="1" applyAlignment="1">
      <alignment vertical="center" wrapText="1"/>
    </xf>
    <xf numFmtId="0" fontId="8" fillId="0" borderId="0" xfId="1" applyFont="1" applyAlignment="1">
      <alignment vertical="center"/>
    </xf>
    <xf numFmtId="0" fontId="9" fillId="0" borderId="0" xfId="1" applyFont="1" applyAlignment="1" applyProtection="1">
      <alignment vertical="center" wrapText="1"/>
      <protection locked="0"/>
    </xf>
    <xf numFmtId="0" fontId="6" fillId="0" borderId="7" xfId="1" applyFont="1" applyBorder="1" applyAlignment="1" applyProtection="1">
      <alignment horizontal="center" vertical="center"/>
      <protection hidden="1"/>
    </xf>
    <xf numFmtId="0" fontId="10" fillId="0" borderId="0" xfId="1" applyFont="1" applyAlignment="1" applyProtection="1">
      <alignment vertical="center"/>
      <protection hidden="1"/>
    </xf>
    <xf numFmtId="0" fontId="8" fillId="0" borderId="0" xfId="1" applyFont="1" applyAlignment="1" applyProtection="1">
      <alignment vertical="center"/>
      <protection hidden="1"/>
    </xf>
    <xf numFmtId="0" fontId="8" fillId="0" borderId="8" xfId="1" applyFont="1" applyBorder="1" applyAlignment="1" applyProtection="1">
      <alignment vertical="center"/>
      <protection hidden="1"/>
    </xf>
    <xf numFmtId="0" fontId="17" fillId="0" borderId="4" xfId="1" applyFont="1" applyBorder="1" applyAlignment="1" applyProtection="1">
      <alignment vertical="center"/>
      <protection locked="0"/>
    </xf>
    <xf numFmtId="0" fontId="17" fillId="0" borderId="5" xfId="1" applyFont="1" applyBorder="1" applyAlignment="1" applyProtection="1">
      <alignment vertical="center"/>
      <protection locked="0"/>
    </xf>
    <xf numFmtId="0" fontId="17" fillId="0" borderId="6" xfId="1" applyFont="1" applyBorder="1" applyAlignment="1" applyProtection="1">
      <alignment vertical="center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1" fillId="0" borderId="0" xfId="1" applyFont="1" applyAlignment="1" applyProtection="1">
      <alignment vertical="center" wrapText="1"/>
      <protection locked="0"/>
    </xf>
    <xf numFmtId="0" fontId="17" fillId="0" borderId="9" xfId="1" applyFont="1" applyBorder="1" applyAlignment="1" applyProtection="1">
      <alignment vertical="center"/>
      <protection locked="0"/>
    </xf>
    <xf numFmtId="0" fontId="17" fillId="0" borderId="10" xfId="1" applyFont="1" applyBorder="1" applyAlignment="1" applyProtection="1">
      <alignment vertical="center"/>
      <protection locked="0"/>
    </xf>
    <xf numFmtId="0" fontId="17" fillId="0" borderId="14" xfId="1" applyFont="1" applyBorder="1" applyAlignment="1" applyProtection="1">
      <alignment vertical="center"/>
      <protection locked="0"/>
    </xf>
    <xf numFmtId="0" fontId="17" fillId="0" borderId="15" xfId="1" applyFont="1" applyBorder="1" applyAlignment="1" applyProtection="1">
      <alignment vertical="center"/>
      <protection locked="0"/>
    </xf>
    <xf numFmtId="0" fontId="17" fillId="0" borderId="16" xfId="1" applyFont="1" applyBorder="1" applyAlignment="1" applyProtection="1">
      <alignment vertical="center"/>
      <protection locked="0"/>
    </xf>
    <xf numFmtId="0" fontId="17" fillId="0" borderId="5" xfId="1" applyFont="1" applyBorder="1" applyAlignment="1" applyProtection="1">
      <alignment vertical="center" wrapText="1"/>
      <protection locked="0"/>
    </xf>
    <xf numFmtId="1" fontId="18" fillId="0" borderId="38" xfId="0" applyNumberFormat="1" applyFont="1" applyBorder="1" applyAlignment="1" applyProtection="1">
      <alignment horizontal="center" vertical="center"/>
      <protection locked="0"/>
    </xf>
    <xf numFmtId="165" fontId="28" fillId="0" borderId="38" xfId="4" applyNumberFormat="1" applyFont="1" applyBorder="1" applyAlignment="1">
      <alignment horizontal="center" vertical="center" wrapText="1"/>
    </xf>
    <xf numFmtId="165" fontId="28" fillId="0" borderId="16" xfId="4" applyNumberFormat="1" applyFont="1" applyBorder="1" applyAlignment="1" applyProtection="1">
      <alignment horizontal="center" vertical="center"/>
      <protection locked="0"/>
    </xf>
    <xf numFmtId="165" fontId="28" fillId="0" borderId="38" xfId="4" applyNumberFormat="1" applyFont="1" applyBorder="1" applyAlignment="1" applyProtection="1">
      <alignment horizontal="center" vertical="center"/>
      <protection locked="0"/>
    </xf>
    <xf numFmtId="165" fontId="28" fillId="0" borderId="14" xfId="4" applyNumberFormat="1" applyFont="1" applyBorder="1" applyAlignment="1" applyProtection="1">
      <alignment horizontal="center" vertical="center"/>
      <protection locked="0"/>
    </xf>
    <xf numFmtId="1" fontId="28" fillId="0" borderId="38" xfId="4" applyNumberFormat="1" applyFont="1" applyBorder="1" applyAlignment="1" applyProtection="1">
      <alignment horizontal="center" vertical="center"/>
      <protection locked="0"/>
    </xf>
    <xf numFmtId="165" fontId="28" fillId="0" borderId="38" xfId="0" applyNumberFormat="1" applyFont="1" applyBorder="1" applyAlignment="1">
      <alignment horizontal="center" vertical="center" wrapText="1"/>
    </xf>
    <xf numFmtId="165" fontId="28" fillId="0" borderId="16" xfId="0" applyNumberFormat="1" applyFont="1" applyBorder="1" applyAlignment="1" applyProtection="1">
      <alignment horizontal="center" vertical="center"/>
      <protection locked="0"/>
    </xf>
    <xf numFmtId="165" fontId="28" fillId="0" borderId="38" xfId="0" applyNumberFormat="1" applyFont="1" applyBorder="1" applyAlignment="1" applyProtection="1">
      <alignment horizontal="center" vertical="center"/>
      <protection locked="0"/>
    </xf>
    <xf numFmtId="165" fontId="28" fillId="0" borderId="14" xfId="0" applyNumberFormat="1" applyFont="1" applyBorder="1" applyAlignment="1" applyProtection="1">
      <alignment horizontal="center" vertical="center"/>
      <protection locked="0"/>
    </xf>
    <xf numFmtId="1" fontId="28" fillId="0" borderId="38" xfId="0" applyNumberFormat="1" applyFont="1" applyBorder="1" applyAlignment="1" applyProtection="1">
      <alignment horizontal="center" vertical="center"/>
      <protection locked="0"/>
    </xf>
    <xf numFmtId="1" fontId="1" fillId="0" borderId="53" xfId="1" applyNumberFormat="1" applyFont="1" applyBorder="1" applyAlignment="1" applyProtection="1">
      <alignment horizontal="center" vertical="center"/>
      <protection locked="0"/>
    </xf>
    <xf numFmtId="1" fontId="7" fillId="0" borderId="0" xfId="1" applyNumberFormat="1" applyFont="1" applyAlignment="1">
      <alignment vertical="center"/>
    </xf>
    <xf numFmtId="1" fontId="16" fillId="0" borderId="57" xfId="1" applyNumberFormat="1" applyFont="1" applyBorder="1" applyAlignment="1">
      <alignment horizontal="center" vertical="center"/>
    </xf>
    <xf numFmtId="1" fontId="2" fillId="0" borderId="61" xfId="1" applyNumberFormat="1" applyFont="1" applyBorder="1" applyAlignment="1">
      <alignment horizontal="center" vertical="center"/>
    </xf>
    <xf numFmtId="1" fontId="1" fillId="0" borderId="49" xfId="1" applyNumberFormat="1" applyFont="1" applyBorder="1" applyAlignment="1" applyProtection="1">
      <alignment horizontal="center" vertical="center"/>
      <protection locked="0"/>
    </xf>
    <xf numFmtId="165" fontId="28" fillId="0" borderId="0" xfId="0" applyNumberFormat="1" applyFont="1" applyAlignment="1">
      <alignment horizontal="center" vertical="center" wrapText="1"/>
    </xf>
    <xf numFmtId="165" fontId="28" fillId="0" borderId="0" xfId="0" applyNumberFormat="1" applyFont="1" applyAlignment="1" applyProtection="1">
      <alignment horizontal="center" vertical="center"/>
      <protection locked="0"/>
    </xf>
    <xf numFmtId="165" fontId="1" fillId="0" borderId="0" xfId="0" applyNumberFormat="1" applyFont="1" applyAlignment="1">
      <alignment vertical="center"/>
    </xf>
    <xf numFmtId="0" fontId="9" fillId="0" borderId="7" xfId="1" applyFont="1" applyBorder="1" applyAlignment="1" applyProtection="1">
      <alignment horizontal="left" vertical="center" wrapText="1"/>
      <protection locked="0"/>
    </xf>
    <xf numFmtId="0" fontId="9" fillId="0" borderId="0" xfId="1" applyFont="1" applyAlignment="1" applyProtection="1">
      <alignment horizontal="left" vertical="center" wrapText="1"/>
      <protection locked="0"/>
    </xf>
    <xf numFmtId="0" fontId="9" fillId="0" borderId="8" xfId="1" applyFont="1" applyBorder="1" applyAlignment="1" applyProtection="1">
      <alignment horizontal="left" vertical="center" wrapText="1"/>
      <protection locked="0"/>
    </xf>
    <xf numFmtId="0" fontId="9" fillId="0" borderId="11" xfId="1" applyFont="1" applyBorder="1" applyAlignment="1" applyProtection="1">
      <alignment horizontal="left" vertical="center" wrapText="1"/>
      <protection locked="0"/>
    </xf>
    <xf numFmtId="0" fontId="9" fillId="0" borderId="12" xfId="1" applyFont="1" applyBorder="1" applyAlignment="1" applyProtection="1">
      <alignment horizontal="left" vertical="center" wrapText="1"/>
      <protection locked="0"/>
    </xf>
    <xf numFmtId="0" fontId="9" fillId="0" borderId="13" xfId="1" applyFont="1" applyBorder="1" applyAlignment="1" applyProtection="1">
      <alignment horizontal="left" vertical="center" wrapText="1"/>
      <protection locked="0"/>
    </xf>
    <xf numFmtId="0" fontId="21" fillId="0" borderId="7" xfId="1" applyFont="1" applyBorder="1" applyAlignment="1" applyProtection="1">
      <alignment horizontal="center" vertical="center"/>
      <protection hidden="1"/>
    </xf>
    <xf numFmtId="0" fontId="21" fillId="0" borderId="0" xfId="1" applyFont="1" applyAlignment="1" applyProtection="1">
      <alignment horizontal="center" vertical="center"/>
      <protection hidden="1"/>
    </xf>
    <xf numFmtId="0" fontId="21" fillId="0" borderId="8" xfId="1" applyFont="1" applyBorder="1" applyAlignment="1" applyProtection="1">
      <alignment horizontal="center" vertical="center"/>
      <protection hidden="1"/>
    </xf>
    <xf numFmtId="0" fontId="21" fillId="0" borderId="11" xfId="1" applyFont="1" applyBorder="1" applyAlignment="1" applyProtection="1">
      <alignment horizontal="center" vertical="center"/>
      <protection hidden="1"/>
    </xf>
    <xf numFmtId="0" fontId="21" fillId="0" borderId="12" xfId="1" applyFont="1" applyBorder="1" applyAlignment="1" applyProtection="1">
      <alignment horizontal="center" vertical="center"/>
      <protection hidden="1"/>
    </xf>
    <xf numFmtId="0" fontId="21" fillId="0" borderId="13" xfId="1" applyFont="1" applyBorder="1" applyAlignment="1" applyProtection="1">
      <alignment horizontal="center" vertical="center"/>
      <protection hidden="1"/>
    </xf>
    <xf numFmtId="0" fontId="23" fillId="0" borderId="0" xfId="1" applyFont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horizontal="left" vertical="center"/>
      <protection hidden="1"/>
    </xf>
    <xf numFmtId="0" fontId="30" fillId="0" borderId="8" xfId="0" applyFont="1" applyBorder="1" applyAlignment="1" applyProtection="1">
      <alignment horizontal="left" vertical="center"/>
      <protection hidden="1"/>
    </xf>
    <xf numFmtId="0" fontId="21" fillId="0" borderId="17" xfId="1" applyFont="1" applyBorder="1" applyAlignment="1" applyProtection="1">
      <alignment horizontal="center" vertical="center" wrapText="1"/>
      <protection hidden="1"/>
    </xf>
    <xf numFmtId="0" fontId="21" fillId="0" borderId="43" xfId="1" applyFont="1" applyBorder="1" applyAlignment="1" applyProtection="1">
      <alignment horizontal="center" vertical="center" wrapText="1"/>
      <protection hidden="1"/>
    </xf>
    <xf numFmtId="0" fontId="22" fillId="0" borderId="67" xfId="1" applyFont="1" applyBorder="1" applyAlignment="1" applyProtection="1">
      <alignment horizontal="center" vertical="center"/>
      <protection hidden="1"/>
    </xf>
    <xf numFmtId="0" fontId="22" fillId="0" borderId="68" xfId="1" applyFont="1" applyBorder="1" applyAlignment="1" applyProtection="1">
      <alignment horizontal="center" vertical="center"/>
      <protection hidden="1"/>
    </xf>
    <xf numFmtId="0" fontId="22" fillId="0" borderId="69" xfId="1" applyFont="1" applyBorder="1" applyAlignment="1" applyProtection="1">
      <alignment horizontal="center" vertical="center"/>
      <protection hidden="1"/>
    </xf>
    <xf numFmtId="0" fontId="23" fillId="0" borderId="70" xfId="0" applyFont="1" applyBorder="1" applyAlignment="1" applyProtection="1">
      <alignment horizontal="center" vertical="center" wrapText="1"/>
      <protection locked="0"/>
    </xf>
    <xf numFmtId="0" fontId="23" fillId="0" borderId="71" xfId="0" applyFont="1" applyBorder="1" applyAlignment="1" applyProtection="1">
      <alignment horizontal="center" vertical="center" wrapText="1"/>
      <protection locked="0"/>
    </xf>
    <xf numFmtId="0" fontId="17" fillId="0" borderId="71" xfId="0" applyFont="1" applyBorder="1" applyAlignment="1" applyProtection="1">
      <alignment horizontal="center" vertical="center" wrapText="1"/>
      <protection locked="0"/>
    </xf>
    <xf numFmtId="0" fontId="17" fillId="0" borderId="72" xfId="0" applyFont="1" applyBorder="1" applyAlignment="1" applyProtection="1">
      <alignment horizontal="center" vertical="center" wrapText="1"/>
      <protection locked="0"/>
    </xf>
    <xf numFmtId="0" fontId="22" fillId="0" borderId="14" xfId="1" applyFont="1" applyBorder="1" applyAlignment="1" applyProtection="1">
      <alignment horizontal="center" vertical="center"/>
      <protection hidden="1"/>
    </xf>
    <xf numFmtId="0" fontId="22" fillId="0" borderId="15" xfId="1" applyFont="1" applyBorder="1" applyAlignment="1" applyProtection="1">
      <alignment horizontal="center" vertical="center"/>
      <protection hidden="1"/>
    </xf>
    <xf numFmtId="0" fontId="22" fillId="0" borderId="16" xfId="1" applyFont="1" applyBorder="1" applyAlignment="1" applyProtection="1">
      <alignment horizontal="center" vertical="center"/>
      <protection hidden="1"/>
    </xf>
    <xf numFmtId="0" fontId="23" fillId="0" borderId="75" xfId="1" applyFont="1" applyBorder="1" applyAlignment="1" applyProtection="1">
      <alignment horizontal="center" vertical="center" wrapText="1"/>
      <protection locked="0"/>
    </xf>
    <xf numFmtId="0" fontId="23" fillId="0" borderId="5" xfId="1" applyFont="1" applyBorder="1" applyAlignment="1" applyProtection="1">
      <alignment horizontal="center" vertical="center" wrapText="1"/>
      <protection locked="0"/>
    </xf>
    <xf numFmtId="0" fontId="23" fillId="0" borderId="6" xfId="1" applyFont="1" applyBorder="1" applyAlignment="1" applyProtection="1">
      <alignment horizontal="center" vertical="center" wrapText="1"/>
      <protection locked="0"/>
    </xf>
    <xf numFmtId="0" fontId="23" fillId="0" borderId="73" xfId="1" applyFont="1" applyBorder="1" applyAlignment="1" applyProtection="1">
      <alignment horizontal="center" vertical="center" wrapText="1"/>
      <protection locked="0"/>
    </xf>
    <xf numFmtId="0" fontId="23" fillId="0" borderId="15" xfId="1" applyFont="1" applyBorder="1" applyAlignment="1" applyProtection="1">
      <alignment horizontal="center" vertical="center" wrapText="1"/>
      <protection locked="0"/>
    </xf>
    <xf numFmtId="0" fontId="23" fillId="0" borderId="16" xfId="1" applyFont="1" applyBorder="1" applyAlignment="1" applyProtection="1">
      <alignment horizontal="center" vertical="center" wrapText="1"/>
      <protection locked="0"/>
    </xf>
    <xf numFmtId="165" fontId="1" fillId="0" borderId="42" xfId="1" applyNumberFormat="1" applyFont="1" applyBorder="1" applyAlignment="1" applyProtection="1">
      <alignment horizontal="center" vertical="center"/>
      <protection locked="0"/>
    </xf>
    <xf numFmtId="165" fontId="1" fillId="0" borderId="43" xfId="1" applyNumberFormat="1" applyFont="1" applyBorder="1" applyAlignment="1" applyProtection="1">
      <alignment horizontal="center" vertical="center"/>
      <protection locked="0"/>
    </xf>
    <xf numFmtId="165" fontId="1" fillId="0" borderId="47" xfId="1" applyNumberFormat="1" applyFont="1" applyBorder="1" applyAlignment="1" applyProtection="1">
      <alignment horizontal="center" vertical="center"/>
      <protection locked="0"/>
    </xf>
    <xf numFmtId="0" fontId="1" fillId="0" borderId="47" xfId="1" applyFont="1" applyBorder="1" applyAlignment="1">
      <alignment horizontal="center" vertical="center"/>
    </xf>
    <xf numFmtId="0" fontId="1" fillId="0" borderId="48" xfId="1" applyFont="1" applyBorder="1" applyAlignment="1">
      <alignment horizontal="center" vertical="center"/>
    </xf>
    <xf numFmtId="0" fontId="1" fillId="0" borderId="51" xfId="1" applyFont="1" applyBorder="1" applyAlignment="1">
      <alignment horizontal="center" vertical="center"/>
    </xf>
    <xf numFmtId="0" fontId="1" fillId="0" borderId="52" xfId="1" applyFont="1" applyBorder="1" applyAlignment="1">
      <alignment horizontal="center" vertical="center"/>
    </xf>
    <xf numFmtId="165" fontId="1" fillId="0" borderId="50" xfId="1" applyNumberFormat="1" applyFont="1" applyBorder="1" applyAlignment="1" applyProtection="1">
      <alignment horizontal="center" vertical="center"/>
      <protection locked="0"/>
    </xf>
    <xf numFmtId="165" fontId="1" fillId="0" borderId="52" xfId="1" applyNumberFormat="1" applyFont="1" applyBorder="1" applyAlignment="1" applyProtection="1">
      <alignment horizontal="center" vertical="center"/>
      <protection locked="0"/>
    </xf>
    <xf numFmtId="2" fontId="1" fillId="0" borderId="54" xfId="1" applyNumberFormat="1" applyFont="1" applyBorder="1" applyAlignment="1" applyProtection="1">
      <alignment horizontal="center" vertical="center"/>
      <protection locked="0"/>
    </xf>
    <xf numFmtId="2" fontId="1" fillId="0" borderId="52" xfId="1" applyNumberFormat="1" applyFont="1" applyBorder="1" applyAlignment="1" applyProtection="1">
      <alignment horizontal="center" vertical="center"/>
      <protection locked="0"/>
    </xf>
    <xf numFmtId="2" fontId="1" fillId="0" borderId="51" xfId="1" applyNumberFormat="1" applyFont="1" applyBorder="1" applyAlignment="1" applyProtection="1">
      <alignment horizontal="center" vertical="center"/>
      <protection locked="0"/>
    </xf>
    <xf numFmtId="2" fontId="1" fillId="0" borderId="55" xfId="1" applyNumberFormat="1" applyFont="1" applyBorder="1" applyAlignment="1" applyProtection="1">
      <alignment horizontal="center" vertical="center"/>
      <protection locked="0"/>
    </xf>
    <xf numFmtId="0" fontId="9" fillId="0" borderId="0" xfId="1" applyFont="1" applyAlignment="1" applyProtection="1">
      <alignment horizontal="left" vertical="center"/>
      <protection hidden="1"/>
    </xf>
    <xf numFmtId="0" fontId="5" fillId="0" borderId="0" xfId="1" applyFont="1" applyAlignment="1" applyProtection="1">
      <alignment horizontal="center" vertical="center"/>
      <protection locked="0"/>
    </xf>
    <xf numFmtId="0" fontId="9" fillId="0" borderId="0" xfId="1" applyFont="1" applyAlignment="1" applyProtection="1">
      <alignment horizontal="center" vertical="center"/>
      <protection locked="0"/>
    </xf>
    <xf numFmtId="0" fontId="9" fillId="0" borderId="0" xfId="1" applyFont="1" applyAlignment="1" applyProtection="1">
      <alignment horizontal="center" vertical="center"/>
      <protection hidden="1"/>
    </xf>
    <xf numFmtId="14" fontId="23" fillId="0" borderId="0" xfId="1" applyNumberFormat="1" applyFont="1" applyAlignment="1" applyProtection="1">
      <alignment horizontal="left" vertical="center"/>
      <protection locked="0"/>
    </xf>
    <xf numFmtId="0" fontId="19" fillId="2" borderId="62" xfId="1" applyFont="1" applyFill="1" applyBorder="1" applyAlignment="1" applyProtection="1">
      <alignment horizontal="center" vertical="center"/>
      <protection hidden="1"/>
    </xf>
    <xf numFmtId="0" fontId="19" fillId="2" borderId="64" xfId="1" applyFont="1" applyFill="1" applyBorder="1" applyAlignment="1" applyProtection="1">
      <alignment horizontal="center" vertical="center"/>
      <protection hidden="1"/>
    </xf>
    <xf numFmtId="2" fontId="19" fillId="2" borderId="63" xfId="1" applyNumberFormat="1" applyFont="1" applyFill="1" applyBorder="1" applyAlignment="1" applyProtection="1">
      <alignment horizontal="center" vertical="center"/>
      <protection hidden="1"/>
    </xf>
    <xf numFmtId="2" fontId="19" fillId="2" borderId="36" xfId="1" applyNumberFormat="1" applyFont="1" applyFill="1" applyBorder="1" applyAlignment="1" applyProtection="1">
      <alignment horizontal="center" vertical="center"/>
      <protection hidden="1"/>
    </xf>
    <xf numFmtId="0" fontId="7" fillId="0" borderId="32" xfId="1" applyFont="1" applyBorder="1" applyAlignment="1">
      <alignment horizontal="center" vertical="center" wrapText="1"/>
    </xf>
    <xf numFmtId="0" fontId="7" fillId="0" borderId="33" xfId="1" applyFont="1" applyBorder="1" applyAlignment="1">
      <alignment horizontal="center" vertical="center" wrapText="1"/>
    </xf>
    <xf numFmtId="0" fontId="7" fillId="0" borderId="19" xfId="1" applyFont="1" applyBorder="1" applyAlignment="1">
      <alignment horizontal="center" vertical="center" wrapText="1"/>
    </xf>
    <xf numFmtId="0" fontId="1" fillId="0" borderId="50" xfId="1" applyFont="1" applyBorder="1" applyAlignment="1" applyProtection="1">
      <alignment horizontal="center" vertical="center"/>
      <protection locked="0"/>
    </xf>
    <xf numFmtId="0" fontId="1" fillId="0" borderId="52" xfId="1" applyFont="1" applyBorder="1" applyAlignment="1" applyProtection="1">
      <alignment horizontal="center" vertical="center"/>
      <protection locked="0"/>
    </xf>
    <xf numFmtId="165" fontId="1" fillId="0" borderId="51" xfId="1" applyNumberFormat="1" applyFont="1" applyBorder="1" applyAlignment="1" applyProtection="1">
      <alignment horizontal="center" vertical="center"/>
      <protection locked="0"/>
    </xf>
    <xf numFmtId="0" fontId="1" fillId="0" borderId="55" xfId="1" applyFont="1" applyBorder="1" applyAlignment="1">
      <alignment horizontal="center" vertical="center"/>
    </xf>
    <xf numFmtId="0" fontId="2" fillId="0" borderId="58" xfId="1" applyFont="1" applyBorder="1" applyAlignment="1">
      <alignment horizontal="center" vertical="center"/>
    </xf>
    <xf numFmtId="0" fontId="2" fillId="0" borderId="59" xfId="1" applyFont="1" applyBorder="1" applyAlignment="1">
      <alignment horizontal="center" vertical="center"/>
    </xf>
    <xf numFmtId="0" fontId="2" fillId="0" borderId="60" xfId="1" applyFont="1" applyBorder="1" applyAlignment="1">
      <alignment horizontal="center" vertical="center"/>
    </xf>
    <xf numFmtId="165" fontId="1" fillId="0" borderId="58" xfId="1" applyNumberFormat="1" applyFont="1" applyBorder="1" applyAlignment="1">
      <alignment horizontal="center" vertical="center"/>
    </xf>
    <xf numFmtId="165" fontId="1" fillId="0" borderId="59" xfId="1" applyNumberFormat="1" applyFont="1" applyBorder="1" applyAlignment="1">
      <alignment horizontal="center" vertical="center"/>
    </xf>
    <xf numFmtId="2" fontId="1" fillId="0" borderId="40" xfId="1" applyNumberFormat="1" applyFont="1" applyBorder="1" applyAlignment="1">
      <alignment horizontal="center" vertical="center"/>
    </xf>
    <xf numFmtId="2" fontId="1" fillId="0" borderId="59" xfId="1" applyNumberFormat="1" applyFont="1" applyBorder="1" applyAlignment="1">
      <alignment horizontal="center" vertical="center"/>
    </xf>
    <xf numFmtId="165" fontId="1" fillId="0" borderId="40" xfId="1" applyNumberFormat="1" applyFont="1" applyBorder="1" applyAlignment="1">
      <alignment horizontal="center" vertical="center"/>
    </xf>
    <xf numFmtId="165" fontId="1" fillId="0" borderId="41" xfId="1" applyNumberFormat="1" applyFont="1" applyBorder="1" applyAlignment="1">
      <alignment horizontal="center" vertical="center"/>
    </xf>
    <xf numFmtId="2" fontId="19" fillId="2" borderId="42" xfId="1" applyNumberFormat="1" applyFont="1" applyFill="1" applyBorder="1" applyAlignment="1" applyProtection="1">
      <alignment horizontal="center" vertical="center"/>
      <protection hidden="1"/>
    </xf>
    <xf numFmtId="2" fontId="19" fillId="2" borderId="43" xfId="1" applyNumberFormat="1" applyFont="1" applyFill="1" applyBorder="1" applyAlignment="1" applyProtection="1">
      <alignment horizontal="center" vertical="center"/>
      <protection hidden="1"/>
    </xf>
    <xf numFmtId="0" fontId="2" fillId="0" borderId="46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165" fontId="25" fillId="0" borderId="42" xfId="1" applyNumberFormat="1" applyFont="1" applyBorder="1" applyAlignment="1">
      <alignment horizontal="center" vertical="center"/>
    </xf>
    <xf numFmtId="165" fontId="25" fillId="0" borderId="43" xfId="1" applyNumberFormat="1" applyFont="1" applyBorder="1" applyAlignment="1">
      <alignment horizontal="center" vertical="center"/>
    </xf>
    <xf numFmtId="2" fontId="25" fillId="0" borderId="47" xfId="1" applyNumberFormat="1" applyFont="1" applyBorder="1" applyAlignment="1">
      <alignment horizontal="center" vertical="center"/>
    </xf>
    <xf numFmtId="2" fontId="25" fillId="0" borderId="43" xfId="1" applyNumberFormat="1" applyFont="1" applyBorder="1" applyAlignment="1">
      <alignment horizontal="center" vertical="center"/>
    </xf>
    <xf numFmtId="2" fontId="1" fillId="0" borderId="47" xfId="1" applyNumberFormat="1" applyFont="1" applyBorder="1" applyAlignment="1">
      <alignment horizontal="center" vertical="center"/>
    </xf>
    <xf numFmtId="2" fontId="1" fillId="0" borderId="48" xfId="1" applyNumberFormat="1" applyFont="1" applyBorder="1" applyAlignment="1">
      <alignment horizontal="center" vertical="center"/>
    </xf>
    <xf numFmtId="0" fontId="2" fillId="0" borderId="23" xfId="1" applyFont="1" applyBorder="1" applyAlignment="1">
      <alignment horizontal="center" vertical="center"/>
    </xf>
    <xf numFmtId="0" fontId="2" fillId="0" borderId="25" xfId="1" applyFont="1" applyBorder="1" applyAlignment="1">
      <alignment horizontal="center" vertical="center"/>
    </xf>
    <xf numFmtId="0" fontId="2" fillId="0" borderId="24" xfId="1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165" fontId="18" fillId="0" borderId="39" xfId="0" applyNumberFormat="1" applyFont="1" applyBorder="1" applyAlignment="1" applyProtection="1">
      <alignment horizontal="center" vertical="center"/>
      <protection locked="0"/>
    </xf>
    <xf numFmtId="165" fontId="18" fillId="0" borderId="16" xfId="0" applyNumberFormat="1" applyFont="1" applyBorder="1" applyAlignment="1" applyProtection="1">
      <alignment horizontal="center" vertical="center"/>
      <protection locked="0"/>
    </xf>
    <xf numFmtId="2" fontId="18" fillId="0" borderId="14" xfId="0" applyNumberFormat="1" applyFont="1" applyBorder="1" applyAlignment="1" applyProtection="1">
      <alignment horizontal="center" vertical="center"/>
      <protection locked="0"/>
    </xf>
    <xf numFmtId="2" fontId="18" fillId="0" borderId="16" xfId="0" applyNumberFormat="1" applyFont="1" applyBorder="1" applyAlignment="1" applyProtection="1">
      <alignment horizontal="center" vertical="center"/>
      <protection locked="0"/>
    </xf>
    <xf numFmtId="2" fontId="1" fillId="0" borderId="47" xfId="1" applyNumberFormat="1" applyFont="1" applyBorder="1" applyAlignment="1" applyProtection="1">
      <alignment horizontal="center" vertical="center"/>
      <protection locked="0"/>
    </xf>
    <xf numFmtId="2" fontId="1" fillId="0" borderId="48" xfId="1" applyNumberFormat="1" applyFont="1" applyBorder="1" applyAlignment="1" applyProtection="1">
      <alignment horizontal="center" vertical="center"/>
      <protection locked="0"/>
    </xf>
    <xf numFmtId="0" fontId="1" fillId="0" borderId="43" xfId="1" applyFont="1" applyBorder="1" applyAlignment="1">
      <alignment horizontal="center" vertical="center"/>
    </xf>
    <xf numFmtId="165" fontId="18" fillId="0" borderId="39" xfId="2" applyNumberFormat="1" applyFont="1" applyBorder="1" applyAlignment="1" applyProtection="1">
      <alignment horizontal="center" vertical="center"/>
      <protection locked="0"/>
    </xf>
    <xf numFmtId="165" fontId="18" fillId="0" borderId="16" xfId="2" applyNumberFormat="1" applyFont="1" applyBorder="1" applyAlignment="1" applyProtection="1">
      <alignment horizontal="center" vertical="center"/>
      <protection locked="0"/>
    </xf>
    <xf numFmtId="2" fontId="18" fillId="0" borderId="14" xfId="2" applyNumberFormat="1" applyFont="1" applyBorder="1" applyAlignment="1" applyProtection="1">
      <alignment horizontal="center" vertical="center"/>
      <protection locked="0"/>
    </xf>
    <xf numFmtId="2" fontId="18" fillId="0" borderId="16" xfId="2" applyNumberFormat="1" applyFont="1" applyBorder="1" applyAlignment="1" applyProtection="1">
      <alignment horizontal="center" vertical="center"/>
      <protection locked="0"/>
    </xf>
    <xf numFmtId="0" fontId="2" fillId="0" borderId="0" xfId="1" applyFont="1" applyAlignment="1">
      <alignment horizontal="center" vertical="center" wrapText="1"/>
    </xf>
    <xf numFmtId="0" fontId="2" fillId="0" borderId="29" xfId="1" applyFont="1" applyBorder="1" applyAlignment="1">
      <alignment horizontal="center" vertical="center"/>
    </xf>
    <xf numFmtId="0" fontId="2" fillId="0" borderId="30" xfId="1" applyFont="1" applyBorder="1" applyAlignment="1">
      <alignment horizontal="center" vertical="center"/>
    </xf>
    <xf numFmtId="2" fontId="1" fillId="0" borderId="40" xfId="1" applyNumberFormat="1" applyFont="1" applyBorder="1" applyAlignment="1" applyProtection="1">
      <alignment horizontal="center" vertical="center"/>
      <protection locked="0"/>
    </xf>
    <xf numFmtId="2" fontId="1" fillId="0" borderId="41" xfId="1" applyNumberFormat="1" applyFont="1" applyBorder="1" applyAlignment="1" applyProtection="1">
      <alignment horizontal="center" vertical="center"/>
      <protection locked="0"/>
    </xf>
    <xf numFmtId="0" fontId="1" fillId="0" borderId="0" xfId="1" applyFont="1" applyAlignment="1">
      <alignment horizontal="center" vertical="center" wrapText="1"/>
    </xf>
    <xf numFmtId="0" fontId="15" fillId="0" borderId="0" xfId="1" applyFont="1" applyAlignment="1">
      <alignment horizontal="center" vertical="center" wrapText="1"/>
    </xf>
    <xf numFmtId="0" fontId="2" fillId="0" borderId="21" xfId="1" applyFont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7" fillId="0" borderId="23" xfId="1" applyFont="1" applyBorder="1" applyAlignment="1">
      <alignment horizontal="center" vertical="center" wrapText="1"/>
    </xf>
    <xf numFmtId="0" fontId="7" fillId="0" borderId="24" xfId="1" applyFont="1" applyBorder="1" applyAlignment="1">
      <alignment horizontal="center" vertical="center" wrapText="1"/>
    </xf>
    <xf numFmtId="0" fontId="7" fillId="0" borderId="25" xfId="1" applyFont="1" applyBorder="1" applyAlignment="1">
      <alignment horizontal="center" vertical="center" wrapText="1"/>
    </xf>
    <xf numFmtId="0" fontId="7" fillId="0" borderId="26" xfId="1" applyFont="1" applyBorder="1" applyAlignment="1">
      <alignment horizontal="center" vertical="center" wrapText="1"/>
    </xf>
    <xf numFmtId="0" fontId="7" fillId="0" borderId="27" xfId="1" applyFont="1" applyBorder="1" applyAlignment="1">
      <alignment horizontal="center" vertical="center" wrapText="1"/>
    </xf>
    <xf numFmtId="0" fontId="7" fillId="0" borderId="34" xfId="1" applyFont="1" applyBorder="1" applyAlignment="1">
      <alignment horizontal="center" vertical="center" wrapText="1"/>
    </xf>
    <xf numFmtId="0" fontId="7" fillId="0" borderId="35" xfId="1" applyFont="1" applyBorder="1" applyAlignment="1">
      <alignment horizontal="center" vertical="center" wrapText="1"/>
    </xf>
    <xf numFmtId="0" fontId="13" fillId="2" borderId="23" xfId="1" applyFont="1" applyFill="1" applyBorder="1" applyAlignment="1" applyProtection="1">
      <alignment horizontal="center" vertical="center" wrapText="1"/>
      <protection locked="0"/>
    </xf>
    <xf numFmtId="0" fontId="13" fillId="2" borderId="27" xfId="1" applyFont="1" applyFill="1" applyBorder="1" applyAlignment="1" applyProtection="1">
      <alignment horizontal="center" vertical="center" wrapText="1"/>
      <protection locked="0"/>
    </xf>
    <xf numFmtId="0" fontId="13" fillId="2" borderId="32" xfId="1" applyFont="1" applyFill="1" applyBorder="1" applyAlignment="1" applyProtection="1">
      <alignment horizontal="center" vertical="center" wrapText="1"/>
      <protection locked="0"/>
    </xf>
    <xf numFmtId="0" fontId="13" fillId="2" borderId="35" xfId="1" applyFont="1" applyFill="1" applyBorder="1" applyAlignment="1" applyProtection="1">
      <alignment horizontal="center" vertical="center" wrapText="1"/>
      <protection locked="0"/>
    </xf>
    <xf numFmtId="0" fontId="13" fillId="2" borderId="24" xfId="1" applyFont="1" applyFill="1" applyBorder="1" applyAlignment="1" applyProtection="1">
      <alignment horizontal="center" vertical="center" wrapText="1"/>
      <protection locked="0"/>
    </xf>
    <xf numFmtId="0" fontId="13" fillId="0" borderId="19" xfId="1" applyFont="1" applyBorder="1" applyAlignment="1" applyProtection="1">
      <alignment vertical="center" wrapText="1"/>
      <protection locked="0"/>
    </xf>
    <xf numFmtId="0" fontId="13" fillId="2" borderId="28" xfId="1" applyFont="1" applyFill="1" applyBorder="1" applyAlignment="1" applyProtection="1">
      <alignment horizontal="center" vertical="center" wrapText="1"/>
      <protection locked="0"/>
    </xf>
    <xf numFmtId="0" fontId="13" fillId="2" borderId="36" xfId="1" applyFont="1" applyFill="1" applyBorder="1" applyAlignment="1" applyProtection="1">
      <alignment horizontal="center" vertical="center" wrapText="1"/>
      <protection locked="0"/>
    </xf>
    <xf numFmtId="0" fontId="2" fillId="0" borderId="0" xfId="1" applyFont="1" applyAlignment="1">
      <alignment vertical="center" wrapText="1"/>
    </xf>
    <xf numFmtId="0" fontId="13" fillId="2" borderId="18" xfId="1" applyFont="1" applyFill="1" applyBorder="1" applyAlignment="1" applyProtection="1">
      <alignment horizontal="center" vertical="center" wrapText="1"/>
      <protection locked="0"/>
    </xf>
    <xf numFmtId="0" fontId="13" fillId="2" borderId="20" xfId="1" applyFont="1" applyFill="1" applyBorder="1" applyAlignment="1" applyProtection="1">
      <alignment horizontal="center" vertical="center" wrapText="1"/>
      <protection locked="0"/>
    </xf>
    <xf numFmtId="0" fontId="14" fillId="2" borderId="18" xfId="1" applyFont="1" applyFill="1" applyBorder="1" applyAlignment="1" applyProtection="1">
      <alignment horizontal="center" vertical="center" wrapText="1"/>
      <protection locked="0"/>
    </xf>
    <xf numFmtId="0" fontId="14" fillId="2" borderId="20" xfId="1" applyFont="1" applyFill="1" applyBorder="1" applyAlignment="1" applyProtection="1">
      <alignment horizontal="center" vertical="center" wrapText="1"/>
      <protection locked="0"/>
    </xf>
    <xf numFmtId="0" fontId="23" fillId="0" borderId="0" xfId="1" applyFont="1" applyAlignment="1" applyProtection="1">
      <alignment horizontal="left" vertical="center"/>
      <protection hidden="1"/>
    </xf>
    <xf numFmtId="0" fontId="23" fillId="0" borderId="0" xfId="1" applyFont="1" applyAlignment="1" applyProtection="1">
      <alignment horizontal="left" vertical="center"/>
      <protection locked="0"/>
    </xf>
    <xf numFmtId="14" fontId="23" fillId="0" borderId="0" xfId="0" applyNumberFormat="1" applyFont="1" applyAlignment="1" applyProtection="1">
      <alignment horizontal="left" vertical="center"/>
      <protection locked="0"/>
    </xf>
    <xf numFmtId="0" fontId="9" fillId="0" borderId="0" xfId="0" applyFont="1" applyAlignment="1" applyProtection="1">
      <alignment horizontal="left" vertical="center"/>
      <protection hidden="1"/>
    </xf>
    <xf numFmtId="14" fontId="9" fillId="0" borderId="0" xfId="0" applyNumberFormat="1" applyFont="1" applyAlignment="1" applyProtection="1">
      <alignment horizontal="left" vertical="center"/>
      <protection locked="0"/>
    </xf>
    <xf numFmtId="0" fontId="9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left" vertical="center"/>
      <protection locked="0"/>
    </xf>
    <xf numFmtId="0" fontId="7" fillId="0" borderId="12" xfId="1" applyFont="1" applyBorder="1" applyAlignment="1" applyProtection="1">
      <alignment horizontal="center" vertical="center"/>
      <protection hidden="1"/>
    </xf>
    <xf numFmtId="0" fontId="7" fillId="0" borderId="13" xfId="1" applyFont="1" applyBorder="1" applyAlignment="1" applyProtection="1">
      <alignment horizontal="center" vertical="center"/>
      <protection hidden="1"/>
    </xf>
    <xf numFmtId="0" fontId="6" fillId="0" borderId="17" xfId="1" applyFont="1" applyBorder="1" applyAlignment="1" applyProtection="1">
      <alignment horizontal="center" vertical="center"/>
      <protection hidden="1"/>
    </xf>
    <xf numFmtId="0" fontId="8" fillId="0" borderId="17" xfId="1" applyFont="1" applyBorder="1" applyAlignment="1" applyProtection="1">
      <alignment horizontal="center" vertical="center"/>
      <protection hidden="1"/>
    </xf>
    <xf numFmtId="0" fontId="1" fillId="0" borderId="1" xfId="1" applyFont="1" applyBorder="1" applyAlignment="1" applyProtection="1">
      <alignment horizontal="center" vertical="center" wrapText="1"/>
      <protection hidden="1"/>
    </xf>
    <xf numFmtId="0" fontId="1" fillId="0" borderId="2" xfId="1" applyFont="1" applyBorder="1" applyAlignment="1" applyProtection="1">
      <alignment horizontal="center" vertical="center" wrapText="1"/>
      <protection hidden="1"/>
    </xf>
    <xf numFmtId="0" fontId="1" fillId="0" borderId="3" xfId="1" applyFont="1" applyBorder="1" applyAlignment="1" applyProtection="1">
      <alignment horizontal="center" vertical="center" wrapText="1"/>
      <protection hidden="1"/>
    </xf>
    <xf numFmtId="0" fontId="1" fillId="0" borderId="7" xfId="1" applyFont="1" applyBorder="1" applyAlignment="1" applyProtection="1">
      <alignment horizontal="center" vertical="center" wrapText="1"/>
      <protection hidden="1"/>
    </xf>
    <xf numFmtId="0" fontId="1" fillId="0" borderId="0" xfId="1" applyFont="1" applyAlignment="1" applyProtection="1">
      <alignment horizontal="center" vertical="center" wrapText="1"/>
      <protection hidden="1"/>
    </xf>
    <xf numFmtId="0" fontId="1" fillId="0" borderId="8" xfId="1" applyFont="1" applyBorder="1" applyAlignment="1" applyProtection="1">
      <alignment horizontal="center" vertical="center" wrapText="1"/>
      <protection hidden="1"/>
    </xf>
    <xf numFmtId="0" fontId="1" fillId="0" borderId="11" xfId="1" applyFont="1" applyBorder="1" applyAlignment="1" applyProtection="1">
      <alignment horizontal="center" vertical="center" wrapText="1"/>
      <protection hidden="1"/>
    </xf>
    <xf numFmtId="0" fontId="1" fillId="0" borderId="12" xfId="1" applyFont="1" applyBorder="1" applyAlignment="1" applyProtection="1">
      <alignment horizontal="center" vertical="center" wrapText="1"/>
      <protection hidden="1"/>
    </xf>
    <xf numFmtId="0" fontId="1" fillId="0" borderId="13" xfId="1" applyFont="1" applyBorder="1" applyAlignment="1" applyProtection="1">
      <alignment horizontal="center" vertical="center" wrapText="1"/>
      <protection hidden="1"/>
    </xf>
    <xf numFmtId="0" fontId="2" fillId="0" borderId="1" xfId="1" applyFont="1" applyBorder="1" applyAlignment="1" applyProtection="1">
      <alignment horizontal="center" vertical="center"/>
      <protection hidden="1"/>
    </xf>
    <xf numFmtId="0" fontId="2" fillId="0" borderId="2" xfId="1" applyFont="1" applyBorder="1" applyAlignment="1" applyProtection="1">
      <alignment horizontal="center" vertical="center"/>
      <protection hidden="1"/>
    </xf>
    <xf numFmtId="0" fontId="2" fillId="0" borderId="3" xfId="1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10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3" fillId="0" borderId="15" xfId="0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5" fillId="0" borderId="7" xfId="1" applyFont="1" applyBorder="1" applyAlignment="1" applyProtection="1">
      <alignment horizontal="center" vertical="center" wrapText="1"/>
      <protection hidden="1"/>
    </xf>
    <xf numFmtId="0" fontId="6" fillId="0" borderId="0" xfId="1" applyFont="1" applyAlignment="1" applyProtection="1">
      <alignment horizontal="center" vertical="center" wrapText="1"/>
      <protection hidden="1"/>
    </xf>
    <xf numFmtId="0" fontId="6" fillId="0" borderId="8" xfId="1" applyFont="1" applyBorder="1" applyAlignment="1" applyProtection="1">
      <alignment horizontal="center" vertical="center" wrapText="1"/>
      <protection hidden="1"/>
    </xf>
    <xf numFmtId="0" fontId="6" fillId="0" borderId="7" xfId="1" applyFont="1" applyBorder="1" applyAlignment="1" applyProtection="1">
      <alignment horizontal="center" vertical="center" wrapText="1"/>
      <protection hidden="1"/>
    </xf>
    <xf numFmtId="0" fontId="5" fillId="0" borderId="8" xfId="1" applyFont="1" applyBorder="1" applyAlignment="1" applyProtection="1">
      <alignment horizontal="center" vertical="center"/>
      <protection locked="0"/>
    </xf>
    <xf numFmtId="0" fontId="5" fillId="0" borderId="7" xfId="1" applyFont="1" applyBorder="1" applyAlignment="1" applyProtection="1">
      <alignment horizontal="center" vertical="center"/>
      <protection locked="0"/>
    </xf>
    <xf numFmtId="14" fontId="5" fillId="0" borderId="7" xfId="1" applyNumberFormat="1" applyFont="1" applyBorder="1" applyAlignment="1" applyProtection="1">
      <alignment horizontal="center" vertical="center"/>
      <protection locked="0"/>
    </xf>
    <xf numFmtId="14" fontId="5" fillId="0" borderId="0" xfId="1" applyNumberFormat="1" applyFont="1" applyAlignment="1" applyProtection="1">
      <alignment horizontal="center" vertical="center"/>
      <protection locked="0"/>
    </xf>
    <xf numFmtId="14" fontId="5" fillId="0" borderId="8" xfId="1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center"/>
      <protection hidden="1"/>
    </xf>
    <xf numFmtId="0" fontId="7" fillId="0" borderId="13" xfId="0" applyFont="1" applyBorder="1" applyAlignment="1" applyProtection="1">
      <alignment horizontal="center" vertical="center"/>
      <protection hidden="1"/>
    </xf>
    <xf numFmtId="0" fontId="6" fillId="0" borderId="17" xfId="0" applyFont="1" applyBorder="1" applyAlignment="1" applyProtection="1">
      <alignment horizontal="center" vertical="center"/>
      <protection hidden="1"/>
    </xf>
    <xf numFmtId="0" fontId="8" fillId="0" borderId="17" xfId="0" applyFont="1" applyBorder="1" applyAlignment="1" applyProtection="1">
      <alignment horizontal="center" vertical="center"/>
      <protection hidden="1"/>
    </xf>
    <xf numFmtId="14" fontId="29" fillId="0" borderId="0" xfId="0" applyNumberFormat="1" applyFont="1" applyAlignment="1" applyProtection="1">
      <alignment horizontal="left" vertical="center"/>
      <protection locked="0"/>
    </xf>
    <xf numFmtId="0" fontId="29" fillId="0" borderId="0" xfId="0" applyFont="1" applyAlignment="1" applyProtection="1">
      <alignment horizontal="left" vertical="center"/>
      <protection hidden="1"/>
    </xf>
    <xf numFmtId="0" fontId="29" fillId="0" borderId="0" xfId="0" applyFont="1" applyAlignment="1" applyProtection="1">
      <alignment horizontal="left" vertical="center"/>
      <protection locked="0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1" fillId="0" borderId="11" xfId="0" applyFont="1" applyBorder="1" applyAlignment="1" applyProtection="1">
      <alignment horizontal="center" vertical="center" wrapText="1"/>
      <protection hidden="1"/>
    </xf>
    <xf numFmtId="0" fontId="1" fillId="0" borderId="12" xfId="0" applyFont="1" applyBorder="1" applyAlignment="1" applyProtection="1">
      <alignment horizontal="center" vertical="center" wrapText="1"/>
      <protection hidden="1"/>
    </xf>
    <xf numFmtId="0" fontId="1" fillId="0" borderId="13" xfId="0" applyFont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6" fillId="0" borderId="8" xfId="0" applyFont="1" applyBorder="1" applyAlignment="1" applyProtection="1">
      <alignment horizontal="center" vertical="center" wrapText="1"/>
      <protection hidden="1"/>
    </xf>
    <xf numFmtId="0" fontId="6" fillId="0" borderId="7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8" xfId="0" applyNumberFormat="1" applyFont="1" applyBorder="1" applyAlignment="1" applyProtection="1">
      <alignment horizontal="center" vertical="center"/>
      <protection locked="0"/>
    </xf>
    <xf numFmtId="0" fontId="29" fillId="0" borderId="0" xfId="0" applyFont="1" applyAlignment="1">
      <alignment horizontal="left" vertical="center"/>
    </xf>
    <xf numFmtId="0" fontId="5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7" fillId="0" borderId="80" xfId="0" applyFont="1" applyBorder="1" applyAlignment="1">
      <alignment horizontal="center" vertical="center" wrapText="1"/>
    </xf>
    <xf numFmtId="0" fontId="27" fillId="0" borderId="83" xfId="0" applyFont="1" applyBorder="1" applyAlignment="1">
      <alignment horizontal="center" vertical="center" wrapText="1"/>
    </xf>
    <xf numFmtId="165" fontId="28" fillId="0" borderId="82" xfId="0" applyNumberFormat="1" applyFont="1" applyBorder="1" applyAlignment="1" applyProtection="1">
      <alignment horizontal="center" vertical="center"/>
      <protection locked="0"/>
    </xf>
    <xf numFmtId="165" fontId="28" fillId="0" borderId="83" xfId="0" applyNumberFormat="1" applyFont="1" applyBorder="1" applyAlignment="1" applyProtection="1">
      <alignment horizontal="center" vertical="center"/>
      <protection locked="0"/>
    </xf>
    <xf numFmtId="2" fontId="28" fillId="0" borderId="80" xfId="0" applyNumberFormat="1" applyFont="1" applyBorder="1" applyAlignment="1" applyProtection="1">
      <alignment horizontal="center" vertical="center"/>
      <protection locked="0"/>
    </xf>
    <xf numFmtId="2" fontId="28" fillId="0" borderId="81" xfId="0" applyNumberFormat="1" applyFont="1" applyBorder="1" applyAlignment="1" applyProtection="1">
      <alignment horizontal="center" vertical="center"/>
      <protection locked="0"/>
    </xf>
    <xf numFmtId="2" fontId="1" fillId="0" borderId="40" xfId="0" applyNumberFormat="1" applyFont="1" applyBorder="1" applyAlignment="1" applyProtection="1">
      <alignment horizontal="center" vertical="center"/>
      <protection locked="0"/>
    </xf>
    <xf numFmtId="2" fontId="1" fillId="0" borderId="41" xfId="0" applyNumberFormat="1" applyFont="1" applyBorder="1" applyAlignment="1" applyProtection="1">
      <alignment horizontal="center" vertical="center"/>
      <protection locked="0"/>
    </xf>
    <xf numFmtId="0" fontId="1" fillId="0" borderId="51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165" fontId="1" fillId="0" borderId="50" xfId="0" applyNumberFormat="1" applyFont="1" applyBorder="1" applyAlignment="1" applyProtection="1">
      <alignment horizontal="center" vertical="center"/>
      <protection locked="0"/>
    </xf>
    <xf numFmtId="165" fontId="1" fillId="0" borderId="52" xfId="0" applyNumberFormat="1" applyFont="1" applyBorder="1" applyAlignment="1" applyProtection="1">
      <alignment horizontal="center" vertical="center"/>
      <protection locked="0"/>
    </xf>
    <xf numFmtId="2" fontId="1" fillId="0" borderId="54" xfId="0" applyNumberFormat="1" applyFont="1" applyBorder="1" applyAlignment="1" applyProtection="1">
      <alignment horizontal="center" vertical="center"/>
      <protection locked="0"/>
    </xf>
    <xf numFmtId="2" fontId="1" fillId="0" borderId="52" xfId="0" applyNumberFormat="1" applyFont="1" applyBorder="1" applyAlignment="1" applyProtection="1">
      <alignment horizontal="center" vertical="center"/>
      <protection locked="0"/>
    </xf>
    <xf numFmtId="2" fontId="1" fillId="0" borderId="51" xfId="0" applyNumberFormat="1" applyFont="1" applyBorder="1" applyAlignment="1" applyProtection="1">
      <alignment horizontal="center" vertical="center"/>
      <protection locked="0"/>
    </xf>
    <xf numFmtId="2" fontId="1" fillId="0" borderId="55" xfId="0" applyNumberFormat="1" applyFont="1" applyBorder="1" applyAlignment="1" applyProtection="1">
      <alignment horizontal="center" vertical="center"/>
      <protection locked="0"/>
    </xf>
    <xf numFmtId="0" fontId="2" fillId="0" borderId="2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7" fillId="0" borderId="14" xfId="0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165" fontId="28" fillId="0" borderId="39" xfId="0" applyNumberFormat="1" applyFont="1" applyBorder="1" applyAlignment="1" applyProtection="1">
      <alignment horizontal="center" vertical="center"/>
      <protection locked="0"/>
    </xf>
    <xf numFmtId="165" fontId="28" fillId="0" borderId="16" xfId="0" applyNumberFormat="1" applyFont="1" applyBorder="1" applyAlignment="1" applyProtection="1">
      <alignment horizontal="center" vertical="center"/>
      <protection locked="0"/>
    </xf>
    <xf numFmtId="2" fontId="28" fillId="0" borderId="14" xfId="0" applyNumberFormat="1" applyFont="1" applyBorder="1" applyAlignment="1" applyProtection="1">
      <alignment horizontal="center" vertical="center"/>
      <protection locked="0"/>
    </xf>
    <xf numFmtId="2" fontId="28" fillId="0" borderId="16" xfId="0" applyNumberFormat="1" applyFont="1" applyBorder="1" applyAlignment="1" applyProtection="1">
      <alignment horizontal="center" vertical="center"/>
      <protection locked="0"/>
    </xf>
    <xf numFmtId="2" fontId="1" fillId="0" borderId="47" xfId="0" applyNumberFormat="1" applyFont="1" applyBorder="1" applyAlignment="1" applyProtection="1">
      <alignment horizontal="center" vertical="center"/>
      <protection locked="0"/>
    </xf>
    <xf numFmtId="2" fontId="1" fillId="0" borderId="48" xfId="0" applyNumberFormat="1" applyFont="1" applyBorder="1" applyAlignment="1" applyProtection="1">
      <alignment horizontal="center" vertical="center"/>
      <protection locked="0"/>
    </xf>
    <xf numFmtId="0" fontId="1" fillId="0" borderId="47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165" fontId="1" fillId="0" borderId="42" xfId="0" applyNumberFormat="1" applyFont="1" applyBorder="1" applyAlignment="1" applyProtection="1">
      <alignment horizontal="center" vertical="center"/>
      <protection locked="0"/>
    </xf>
    <xf numFmtId="165" fontId="1" fillId="0" borderId="43" xfId="0" applyNumberFormat="1" applyFont="1" applyBorder="1" applyAlignment="1" applyProtection="1">
      <alignment horizontal="center" vertical="center"/>
      <protection locked="0"/>
    </xf>
    <xf numFmtId="2" fontId="1" fillId="0" borderId="17" xfId="0" applyNumberFormat="1" applyFont="1" applyBorder="1" applyAlignment="1" applyProtection="1">
      <alignment horizontal="center" vertical="center"/>
      <protection locked="0"/>
    </xf>
    <xf numFmtId="2" fontId="1" fillId="0" borderId="43" xfId="0" applyNumberFormat="1" applyFont="1" applyBorder="1" applyAlignment="1" applyProtection="1">
      <alignment horizontal="center" vertical="center"/>
      <protection locked="0"/>
    </xf>
    <xf numFmtId="0" fontId="2" fillId="0" borderId="58" xfId="0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165" fontId="1" fillId="0" borderId="58" xfId="0" applyNumberFormat="1" applyFont="1" applyBorder="1" applyAlignment="1">
      <alignment horizontal="center" vertical="center"/>
    </xf>
    <xf numFmtId="165" fontId="1" fillId="0" borderId="59" xfId="0" applyNumberFormat="1" applyFont="1" applyBorder="1" applyAlignment="1">
      <alignment horizontal="center" vertical="center"/>
    </xf>
    <xf numFmtId="2" fontId="1" fillId="0" borderId="40" xfId="0" applyNumberFormat="1" applyFont="1" applyBorder="1" applyAlignment="1">
      <alignment horizontal="center" vertical="center"/>
    </xf>
    <xf numFmtId="2" fontId="1" fillId="0" borderId="59" xfId="0" applyNumberFormat="1" applyFont="1" applyBorder="1" applyAlignment="1">
      <alignment horizontal="center" vertical="center"/>
    </xf>
    <xf numFmtId="165" fontId="1" fillId="0" borderId="40" xfId="0" applyNumberFormat="1" applyFont="1" applyBorder="1" applyAlignment="1">
      <alignment horizontal="center" vertical="center"/>
    </xf>
    <xf numFmtId="165" fontId="1" fillId="0" borderId="41" xfId="0" applyNumberFormat="1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5" fontId="15" fillId="0" borderId="42" xfId="0" applyNumberFormat="1" applyFont="1" applyBorder="1" applyAlignment="1">
      <alignment horizontal="center" vertical="center"/>
    </xf>
    <xf numFmtId="165" fontId="15" fillId="0" borderId="43" xfId="0" applyNumberFormat="1" applyFont="1" applyBorder="1" applyAlignment="1">
      <alignment horizontal="center" vertical="center"/>
    </xf>
    <xf numFmtId="2" fontId="15" fillId="0" borderId="47" xfId="0" applyNumberFormat="1" applyFont="1" applyBorder="1" applyAlignment="1">
      <alignment horizontal="center" vertical="center"/>
    </xf>
    <xf numFmtId="2" fontId="15" fillId="0" borderId="43" xfId="0" applyNumberFormat="1" applyFont="1" applyBorder="1" applyAlignment="1">
      <alignment horizontal="center" vertical="center"/>
    </xf>
    <xf numFmtId="2" fontId="1" fillId="0" borderId="47" xfId="0" applyNumberFormat="1" applyFont="1" applyBorder="1" applyAlignment="1">
      <alignment horizontal="center" vertical="center"/>
    </xf>
    <xf numFmtId="2" fontId="1" fillId="0" borderId="48" xfId="0" applyNumberFormat="1" applyFont="1" applyBorder="1" applyAlignment="1">
      <alignment horizontal="center" vertical="center"/>
    </xf>
    <xf numFmtId="165" fontId="1" fillId="0" borderId="47" xfId="0" applyNumberFormat="1" applyFont="1" applyBorder="1" applyAlignment="1" applyProtection="1">
      <alignment horizontal="center" vertical="center"/>
      <protection locked="0"/>
    </xf>
    <xf numFmtId="0" fontId="1" fillId="0" borderId="48" xfId="0" applyFont="1" applyBorder="1" applyAlignment="1">
      <alignment horizontal="center" vertical="center"/>
    </xf>
    <xf numFmtId="0" fontId="1" fillId="0" borderId="50" xfId="0" applyFont="1" applyBorder="1" applyAlignment="1" applyProtection="1">
      <alignment horizontal="center" vertical="center"/>
      <protection locked="0"/>
    </xf>
    <xf numFmtId="0" fontId="1" fillId="0" borderId="52" xfId="0" applyFont="1" applyBorder="1" applyAlignment="1" applyProtection="1">
      <alignment horizontal="center" vertical="center"/>
      <protection locked="0"/>
    </xf>
    <xf numFmtId="165" fontId="1" fillId="0" borderId="51" xfId="0" applyNumberFormat="1" applyFont="1" applyBorder="1" applyAlignment="1" applyProtection="1">
      <alignment horizontal="center" vertical="center"/>
      <protection locked="0"/>
    </xf>
    <xf numFmtId="0" fontId="1" fillId="0" borderId="55" xfId="0" applyFont="1" applyBorder="1" applyAlignment="1">
      <alignment horizontal="center" vertical="center"/>
    </xf>
    <xf numFmtId="0" fontId="8" fillId="0" borderId="7" xfId="0" applyFont="1" applyBorder="1" applyAlignment="1" applyProtection="1">
      <alignment horizontal="left" vertical="center" wrapText="1"/>
      <protection locked="0"/>
    </xf>
    <xf numFmtId="0" fontId="8" fillId="0" borderId="0" xfId="0" applyFont="1" applyAlignment="1" applyProtection="1">
      <alignment horizontal="left" vertical="center" wrapText="1"/>
      <protection locked="0"/>
    </xf>
    <xf numFmtId="0" fontId="8" fillId="0" borderId="8" xfId="0" applyFont="1" applyBorder="1" applyAlignment="1" applyProtection="1">
      <alignment horizontal="left" vertical="center" wrapText="1"/>
      <protection locked="0"/>
    </xf>
    <xf numFmtId="0" fontId="8" fillId="0" borderId="11" xfId="0" applyFont="1" applyBorder="1" applyAlignment="1" applyProtection="1">
      <alignment horizontal="left" vertical="center" wrapText="1"/>
      <protection locked="0"/>
    </xf>
    <xf numFmtId="0" fontId="8" fillId="0" borderId="12" xfId="0" applyFont="1" applyBorder="1" applyAlignment="1" applyProtection="1">
      <alignment horizontal="left" vertical="center" wrapText="1"/>
      <protection locked="0"/>
    </xf>
    <xf numFmtId="0" fontId="8" fillId="0" borderId="13" xfId="0" applyFont="1" applyBorder="1" applyAlignment="1" applyProtection="1">
      <alignment horizontal="left" vertical="center" wrapText="1"/>
      <protection locked="0"/>
    </xf>
    <xf numFmtId="0" fontId="21" fillId="0" borderId="7" xfId="0" applyFont="1" applyBorder="1" applyAlignment="1" applyProtection="1">
      <alignment horizontal="center" vertical="center"/>
      <protection hidden="1"/>
    </xf>
    <xf numFmtId="0" fontId="21" fillId="0" borderId="0" xfId="0" applyFont="1" applyAlignment="1" applyProtection="1">
      <alignment horizontal="center" vertical="center"/>
      <protection hidden="1"/>
    </xf>
    <xf numFmtId="0" fontId="21" fillId="0" borderId="8" xfId="0" applyFont="1" applyBorder="1" applyAlignment="1" applyProtection="1">
      <alignment horizontal="center" vertical="center"/>
      <protection hidden="1"/>
    </xf>
    <xf numFmtId="0" fontId="21" fillId="0" borderId="11" xfId="0" applyFont="1" applyBorder="1" applyAlignment="1" applyProtection="1">
      <alignment horizontal="center" vertical="center"/>
      <protection hidden="1"/>
    </xf>
    <xf numFmtId="0" fontId="21" fillId="0" borderId="12" xfId="0" applyFont="1" applyBorder="1" applyAlignment="1" applyProtection="1">
      <alignment horizontal="center" vertical="center"/>
      <protection hidden="1"/>
    </xf>
    <xf numFmtId="0" fontId="21" fillId="0" borderId="13" xfId="0" applyFont="1" applyBorder="1" applyAlignment="1" applyProtection="1">
      <alignment horizontal="center" vertical="center"/>
      <protection hidden="1"/>
    </xf>
    <xf numFmtId="0" fontId="23" fillId="0" borderId="0" xfId="0" applyFont="1" applyAlignment="1" applyProtection="1">
      <alignment horizontal="center" vertical="center"/>
      <protection locked="0"/>
    </xf>
    <xf numFmtId="0" fontId="21" fillId="0" borderId="17" xfId="0" applyFont="1" applyBorder="1" applyAlignment="1" applyProtection="1">
      <alignment horizontal="center" vertical="center" wrapText="1"/>
      <protection hidden="1"/>
    </xf>
    <xf numFmtId="0" fontId="21" fillId="0" borderId="43" xfId="0" applyFont="1" applyBorder="1" applyAlignment="1" applyProtection="1">
      <alignment horizontal="center" vertical="center" wrapText="1"/>
      <protection hidden="1"/>
    </xf>
    <xf numFmtId="0" fontId="22" fillId="0" borderId="67" xfId="0" applyFont="1" applyBorder="1" applyAlignment="1" applyProtection="1">
      <alignment horizontal="center" vertical="center"/>
      <protection hidden="1"/>
    </xf>
    <xf numFmtId="0" fontId="22" fillId="0" borderId="68" xfId="0" applyFont="1" applyBorder="1" applyAlignment="1" applyProtection="1">
      <alignment horizontal="center" vertical="center"/>
      <protection hidden="1"/>
    </xf>
    <xf numFmtId="0" fontId="22" fillId="0" borderId="69" xfId="0" applyFont="1" applyBorder="1" applyAlignment="1" applyProtection="1">
      <alignment horizontal="center" vertical="center"/>
      <protection hidden="1"/>
    </xf>
    <xf numFmtId="0" fontId="22" fillId="0" borderId="9" xfId="0" applyFont="1" applyBorder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 vertical="center"/>
      <protection hidden="1"/>
    </xf>
    <xf numFmtId="0" fontId="22" fillId="0" borderId="10" xfId="0" applyFont="1" applyBorder="1" applyAlignment="1" applyProtection="1">
      <alignment horizontal="center" vertical="center"/>
      <protection hidden="1"/>
    </xf>
    <xf numFmtId="0" fontId="22" fillId="0" borderId="14" xfId="0" applyFont="1" applyBorder="1" applyAlignment="1" applyProtection="1">
      <alignment horizontal="center" vertical="center"/>
      <protection hidden="1"/>
    </xf>
    <xf numFmtId="0" fontId="22" fillId="0" borderId="15" xfId="0" applyFont="1" applyBorder="1" applyAlignment="1" applyProtection="1">
      <alignment horizontal="center" vertical="center"/>
      <protection hidden="1"/>
    </xf>
    <xf numFmtId="0" fontId="22" fillId="0" borderId="16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0" fontId="9" fillId="0" borderId="7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73" xfId="0" applyFont="1" applyBorder="1" applyAlignment="1" applyProtection="1">
      <alignment horizontal="center" vertical="center"/>
      <protection locked="0"/>
    </xf>
    <xf numFmtId="0" fontId="9" fillId="0" borderId="15" xfId="0" applyFont="1" applyBorder="1" applyAlignment="1" applyProtection="1">
      <alignment horizontal="center" vertical="center"/>
      <protection locked="0"/>
    </xf>
    <xf numFmtId="0" fontId="9" fillId="0" borderId="74" xfId="0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left" vertical="center"/>
      <protection hidden="1"/>
    </xf>
    <xf numFmtId="0" fontId="17" fillId="0" borderId="14" xfId="1" applyFont="1" applyBorder="1" applyAlignment="1">
      <alignment horizontal="center" vertical="center" wrapText="1"/>
    </xf>
    <xf numFmtId="0" fontId="17" fillId="0" borderId="16" xfId="1" applyFont="1" applyBorder="1" applyAlignment="1">
      <alignment horizontal="center" vertical="center" wrapText="1"/>
    </xf>
    <xf numFmtId="165" fontId="28" fillId="0" borderId="39" xfId="4" applyNumberFormat="1" applyFont="1" applyBorder="1" applyAlignment="1" applyProtection="1">
      <alignment horizontal="center" vertical="center"/>
      <protection locked="0"/>
    </xf>
    <xf numFmtId="165" fontId="28" fillId="0" borderId="16" xfId="4" applyNumberFormat="1" applyFont="1" applyBorder="1" applyAlignment="1" applyProtection="1">
      <alignment horizontal="center" vertical="center"/>
      <protection locked="0"/>
    </xf>
    <xf numFmtId="2" fontId="28" fillId="0" borderId="14" xfId="4" applyNumberFormat="1" applyFont="1" applyBorder="1" applyAlignment="1" applyProtection="1">
      <alignment horizontal="center" vertical="center"/>
      <protection locked="0"/>
    </xf>
    <xf numFmtId="2" fontId="28" fillId="0" borderId="16" xfId="4" applyNumberFormat="1" applyFont="1" applyBorder="1" applyAlignment="1" applyProtection="1">
      <alignment horizontal="center" vertical="center"/>
      <protection locked="0"/>
    </xf>
    <xf numFmtId="0" fontId="27" fillId="0" borderId="14" xfId="4" applyFont="1" applyBorder="1" applyAlignment="1">
      <alignment horizontal="center" vertical="center" wrapText="1"/>
    </xf>
    <xf numFmtId="0" fontId="27" fillId="0" borderId="16" xfId="4" applyFont="1" applyBorder="1" applyAlignment="1">
      <alignment horizontal="center" vertical="center" wrapText="1"/>
    </xf>
    <xf numFmtId="20" fontId="17" fillId="0" borderId="14" xfId="2" applyNumberFormat="1" applyFont="1" applyBorder="1" applyAlignment="1">
      <alignment horizontal="center" vertical="center" wrapText="1"/>
    </xf>
    <xf numFmtId="0" fontId="17" fillId="0" borderId="16" xfId="2" applyFont="1" applyBorder="1" applyAlignment="1">
      <alignment horizontal="center" vertical="center" wrapText="1"/>
    </xf>
    <xf numFmtId="2" fontId="1" fillId="0" borderId="79" xfId="0" applyNumberFormat="1" applyFont="1" applyBorder="1" applyAlignment="1" applyProtection="1">
      <alignment horizontal="center" vertical="center"/>
      <protection locked="0"/>
    </xf>
    <xf numFmtId="0" fontId="23" fillId="0" borderId="76" xfId="1" applyFont="1" applyBorder="1" applyAlignment="1" applyProtection="1">
      <alignment horizontal="center" vertical="center" wrapText="1"/>
      <protection locked="0"/>
    </xf>
    <xf numFmtId="0" fontId="23" fillId="0" borderId="77" xfId="1" applyFont="1" applyBorder="1" applyAlignment="1" applyProtection="1">
      <alignment horizontal="center" vertical="center" wrapText="1"/>
      <protection locked="0"/>
    </xf>
    <xf numFmtId="0" fontId="23" fillId="0" borderId="78" xfId="1" applyFont="1" applyBorder="1" applyAlignment="1" applyProtection="1">
      <alignment horizontal="center" vertical="center" wrapText="1"/>
      <protection locked="0"/>
    </xf>
    <xf numFmtId="0" fontId="17" fillId="0" borderId="14" xfId="2" applyFont="1" applyBorder="1" applyAlignment="1">
      <alignment horizontal="center" vertical="center" wrapText="1"/>
    </xf>
    <xf numFmtId="0" fontId="23" fillId="0" borderId="0" xfId="1" applyFont="1" applyAlignment="1">
      <alignment horizontal="left" vertical="center"/>
    </xf>
    <xf numFmtId="165" fontId="28" fillId="0" borderId="38" xfId="4" applyNumberFormat="1" applyFont="1" applyBorder="1" applyAlignment="1">
      <alignment horizontal="center" vertical="center" wrapText="1"/>
    </xf>
    <xf numFmtId="165" fontId="28" fillId="0" borderId="16" xfId="4" applyNumberFormat="1" applyFont="1" applyBorder="1" applyAlignment="1" applyProtection="1">
      <alignment horizontal="center" vertical="center"/>
      <protection locked="0"/>
    </xf>
    <xf numFmtId="165" fontId="28" fillId="0" borderId="38" xfId="4" applyNumberFormat="1" applyFont="1" applyBorder="1" applyAlignment="1" applyProtection="1">
      <alignment horizontal="center" vertical="center"/>
      <protection locked="0"/>
    </xf>
    <xf numFmtId="165" fontId="28" fillId="0" borderId="14" xfId="4" applyNumberFormat="1" applyFont="1" applyBorder="1" applyAlignment="1" applyProtection="1">
      <alignment horizontal="center" vertical="center"/>
      <protection locked="0"/>
    </xf>
  </cellXfs>
  <cellStyles count="5">
    <cellStyle name="Normal" xfId="0" builtinId="0"/>
    <cellStyle name="Normal 2" xfId="1" xr:uid="{74F159DF-DCB5-4BD9-ADA2-097B657A268F}"/>
    <cellStyle name="Normal 3" xfId="2" xr:uid="{BA435293-7BCD-42CC-BAA1-105F192DDCA2}"/>
    <cellStyle name="Normal 4" xfId="3" xr:uid="{687A964E-C138-4C0F-AB73-008AAA1B6F76}"/>
    <cellStyle name="Normal 5" xfId="4" xr:uid="{53AD79C0-5D4E-42C2-B0B8-DC358CF6F0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'291025 BB 61 Mas Rillier Pi Cy'!$E$52:$O$52</c:f>
              <c:numCache>
                <c:formatCode>0.000</c:formatCode>
                <c:ptCount val="11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</c:numCache>
            </c:numRef>
          </c:xVal>
          <c:yVal>
            <c:numRef>
              <c:f>'291025 BB 61 Mas Rillier Pi Cy'!$E$59:$W$59</c:f>
              <c:numCache>
                <c:formatCode>0.0</c:formatCode>
                <c:ptCount val="19"/>
                <c:pt idx="0">
                  <c:v>7.7</c:v>
                </c:pt>
                <c:pt idx="1">
                  <c:v>10.199999999999999</c:v>
                </c:pt>
                <c:pt idx="2">
                  <c:v>14.1</c:v>
                </c:pt>
                <c:pt idx="3">
                  <c:v>18.899999999999999</c:v>
                </c:pt>
                <c:pt idx="4">
                  <c:v>26</c:v>
                </c:pt>
                <c:pt idx="5">
                  <c:v>39</c:v>
                </c:pt>
                <c:pt idx="6">
                  <c:v>60.9</c:v>
                </c:pt>
                <c:pt idx="7">
                  <c:v>95.3</c:v>
                </c:pt>
                <c:pt idx="8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175</c:v>
                </c:pt>
                <c:pt idx="18" formatCode="0.00">
                  <c:v>5.66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FF7-4C5E-B78E-53F4A7B3907E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'291025 BB 61 Mas Rillier Pi Cy'!$E$52:$W$52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'291025 BB 61 Mas Rillier Pi Cy'!$E$60:$W$60</c:f>
              <c:numCache>
                <c:formatCode>0.0</c:formatCode>
                <c:ptCount val="19"/>
                <c:pt idx="0">
                  <c:v>8.1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27</c:v>
                </c:pt>
                <c:pt idx="5">
                  <c:v>39</c:v>
                </c:pt>
                <c:pt idx="6">
                  <c:v>59</c:v>
                </c:pt>
                <c:pt idx="7">
                  <c:v>93</c:v>
                </c:pt>
                <c:pt idx="8" formatCode="0">
                  <c:v>100</c:v>
                </c:pt>
                <c:pt idx="18" formatCode="0.00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FF7-4C5E-B78E-53F4A7B3907E}"/>
            </c:ext>
          </c:extLst>
        </c:ser>
        <c:ser>
          <c:idx val="3"/>
          <c:order val="2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'291025 BB 61 Mas Rillier Pi Cy'!$E$52:$W$52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'291025 BB 61 Mas Rillier Pi Cy'!$E$62:$W$62</c:f>
              <c:numCache>
                <c:formatCode>0.0</c:formatCode>
                <c:ptCount val="19"/>
                <c:pt idx="0">
                  <c:v>6.1</c:v>
                </c:pt>
                <c:pt idx="5">
                  <c:v>33</c:v>
                </c:pt>
                <c:pt idx="7">
                  <c:v>86</c:v>
                </c:pt>
                <c:pt idx="18">
                  <c:v>5.5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FF7-4C5E-B78E-53F4A7B3907E}"/>
            </c:ext>
          </c:extLst>
        </c:ser>
        <c:ser>
          <c:idx val="4"/>
          <c:order val="3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'291025 BB 61 Mas Rillier Pi Cy'!$E$52:$W$52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'291025 BB 61 Mas Rillier Pi Cy'!$E$61:$W$61</c:f>
              <c:numCache>
                <c:formatCode>0.0</c:formatCode>
                <c:ptCount val="19"/>
                <c:pt idx="0">
                  <c:v>10.1</c:v>
                </c:pt>
                <c:pt idx="5">
                  <c:v>45</c:v>
                </c:pt>
                <c:pt idx="7" formatCode="0">
                  <c:v>100</c:v>
                </c:pt>
                <c:pt idx="18">
                  <c:v>6.5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FF7-4C5E-B78E-53F4A7B390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'15_161025 BBSG Mas Rillier Nati'!$E$52:$O$52</c:f>
              <c:numCache>
                <c:formatCode>0.000</c:formatCode>
                <c:ptCount val="11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</c:numCache>
            </c:numRef>
          </c:xVal>
          <c:yVal>
            <c:numRef>
              <c:f>'15_161025 BBSG Mas Rillier Nati'!$E$59:$W$59</c:f>
              <c:numCache>
                <c:formatCode>0.0</c:formatCode>
                <c:ptCount val="19"/>
                <c:pt idx="0">
                  <c:v>7.3</c:v>
                </c:pt>
                <c:pt idx="1">
                  <c:v>9.4499999999999993</c:v>
                </c:pt>
                <c:pt idx="2">
                  <c:v>12.5</c:v>
                </c:pt>
                <c:pt idx="3">
                  <c:v>16.3</c:v>
                </c:pt>
                <c:pt idx="4">
                  <c:v>21.700000000000003</c:v>
                </c:pt>
                <c:pt idx="5">
                  <c:v>31.6</c:v>
                </c:pt>
                <c:pt idx="6">
                  <c:v>46.55</c:v>
                </c:pt>
                <c:pt idx="7">
                  <c:v>64.400000000000006</c:v>
                </c:pt>
                <c:pt idx="8">
                  <c:v>80.25</c:v>
                </c:pt>
                <c:pt idx="9">
                  <c:v>95.15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171</c:v>
                </c:pt>
                <c:pt idx="18" formatCode="0.00">
                  <c:v>5.33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6E-4A90-8310-491512B4D531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'15_161025 BBSG Mas Rillier Nati'!$E$52:$W$52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'15_161025 BBSG Mas Rillier Nati'!$E$60:$W$60</c:f>
              <c:numCache>
                <c:formatCode>0.0</c:formatCode>
                <c:ptCount val="19"/>
                <c:pt idx="0">
                  <c:v>6.5</c:v>
                </c:pt>
                <c:pt idx="1">
                  <c:v>8</c:v>
                </c:pt>
                <c:pt idx="2">
                  <c:v>11</c:v>
                </c:pt>
                <c:pt idx="3">
                  <c:v>16</c:v>
                </c:pt>
                <c:pt idx="4">
                  <c:v>21</c:v>
                </c:pt>
                <c:pt idx="5">
                  <c:v>30</c:v>
                </c:pt>
                <c:pt idx="6">
                  <c:v>44</c:v>
                </c:pt>
                <c:pt idx="7">
                  <c:v>60</c:v>
                </c:pt>
                <c:pt idx="8">
                  <c:v>76</c:v>
                </c:pt>
                <c:pt idx="9">
                  <c:v>95</c:v>
                </c:pt>
                <c:pt idx="10" formatCode="0">
                  <c:v>100</c:v>
                </c:pt>
                <c:pt idx="18" formatCode="0.00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6E-4A90-8310-491512B4D531}"/>
            </c:ext>
          </c:extLst>
        </c:ser>
        <c:ser>
          <c:idx val="2"/>
          <c:order val="2"/>
          <c:tx>
            <c:v>Valeur mini</c:v>
          </c:tx>
          <c:xVal>
            <c:numRef>
              <c:f>'[1]030325 GB Gir. Tuileries'!$E$52:$W$52</c:f>
              <c:numCache>
                <c:formatCode>General</c:formatCode>
                <c:ptCount val="19"/>
                <c:pt idx="0">
                  <c:v>6.3E-2</c:v>
                </c:pt>
                <c:pt idx="1">
                  <c:v>0.125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6.3</c:v>
                </c:pt>
                <c:pt idx="8">
                  <c:v>8</c:v>
                </c:pt>
                <c:pt idx="9">
                  <c:v>10</c:v>
                </c:pt>
                <c:pt idx="10">
                  <c:v>12.5</c:v>
                </c:pt>
                <c:pt idx="11">
                  <c:v>14</c:v>
                </c:pt>
                <c:pt idx="12">
                  <c:v>16</c:v>
                </c:pt>
                <c:pt idx="13">
                  <c:v>20</c:v>
                </c:pt>
              </c:numCache>
            </c:numRef>
          </c:xVal>
          <c:yVal>
            <c:numRef>
              <c:f>'[1]030325 GB Gir. Tuileries'!$E$58:$W$58</c:f>
              <c:numCache>
                <c:formatCode>General</c:formatCode>
                <c:ptCount val="19"/>
                <c:pt idx="8">
                  <c:v>10</c:v>
                </c:pt>
                <c:pt idx="9">
                  <c:v>10</c:v>
                </c:pt>
                <c:pt idx="12">
                  <c:v>50</c:v>
                </c:pt>
                <c:pt idx="14">
                  <c:v>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06E-4A90-8310-491512B4D531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'15_161025 BBSG Mas Rillier Nati'!$E$52:$W$52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'15_161025 BBSG Mas Rillier Nati'!$E$62:$W$62</c:f>
              <c:numCache>
                <c:formatCode>0.0</c:formatCode>
                <c:ptCount val="19"/>
                <c:pt idx="0">
                  <c:v>4.5</c:v>
                </c:pt>
                <c:pt idx="5">
                  <c:v>24</c:v>
                </c:pt>
                <c:pt idx="7">
                  <c:v>53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06E-4A90-8310-491512B4D531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'15_161025 BBSG Mas Rillier Nati'!$E$52:$W$52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'15_161025 BBSG Mas Rillier Nati'!$E$61:$W$61</c:f>
              <c:numCache>
                <c:formatCode>0.0</c:formatCode>
                <c:ptCount val="19"/>
                <c:pt idx="0">
                  <c:v>8.5</c:v>
                </c:pt>
                <c:pt idx="5">
                  <c:v>36</c:v>
                </c:pt>
                <c:pt idx="7">
                  <c:v>67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06E-4A90-8310-491512B4D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tx>
            <c:v>courbe moyennne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'14_151025 GB Nations Croix (c)'!$E$54:$W$54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'14_151025 GB Nations Croix (c)'!$E$61:$W$61</c:f>
              <c:numCache>
                <c:formatCode>0.0</c:formatCode>
                <c:ptCount val="19"/>
                <c:pt idx="0">
                  <c:v>7.5</c:v>
                </c:pt>
                <c:pt idx="1">
                  <c:v>9.75</c:v>
                </c:pt>
                <c:pt idx="2">
                  <c:v>12.8</c:v>
                </c:pt>
                <c:pt idx="3">
                  <c:v>16.100000000000001</c:v>
                </c:pt>
                <c:pt idx="4">
                  <c:v>21.25</c:v>
                </c:pt>
                <c:pt idx="5">
                  <c:v>30.3</c:v>
                </c:pt>
                <c:pt idx="6">
                  <c:v>42.05</c:v>
                </c:pt>
                <c:pt idx="7">
                  <c:v>50.95</c:v>
                </c:pt>
                <c:pt idx="8">
                  <c:v>62.45</c:v>
                </c:pt>
                <c:pt idx="9">
                  <c:v>75.55</c:v>
                </c:pt>
                <c:pt idx="10" formatCode="0">
                  <c:v>88.65</c:v>
                </c:pt>
                <c:pt idx="11" formatCode="0">
                  <c:v>94.95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166.5</c:v>
                </c:pt>
                <c:pt idx="18" formatCode="0.00">
                  <c:v>4.2949999999999999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22-4B89-AD0A-9B49D6000A7B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'14_151025 GB Nations Croix (c)'!$E$54:$W$54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'14_151025 GB Nations Croix (c)'!$E$62:$W$62</c:f>
              <c:numCache>
                <c:formatCode>0.0</c:formatCode>
                <c:ptCount val="19"/>
                <c:pt idx="0">
                  <c:v>7</c:v>
                </c:pt>
                <c:pt idx="1">
                  <c:v>9</c:v>
                </c:pt>
                <c:pt idx="2">
                  <c:v>12</c:v>
                </c:pt>
                <c:pt idx="3">
                  <c:v>17</c:v>
                </c:pt>
                <c:pt idx="4">
                  <c:v>22</c:v>
                </c:pt>
                <c:pt idx="5">
                  <c:v>32</c:v>
                </c:pt>
                <c:pt idx="6">
                  <c:v>44</c:v>
                </c:pt>
                <c:pt idx="7">
                  <c:v>51</c:v>
                </c:pt>
                <c:pt idx="8">
                  <c:v>61</c:v>
                </c:pt>
                <c:pt idx="9">
                  <c:v>75</c:v>
                </c:pt>
                <c:pt idx="10">
                  <c:v>92</c:v>
                </c:pt>
                <c:pt idx="11">
                  <c:v>98</c:v>
                </c:pt>
                <c:pt idx="12" formatCode="0">
                  <c:v>100</c:v>
                </c:pt>
                <c:pt idx="18" formatCode="0.00">
                  <c:v>4.5999999999999996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522-4B89-AD0A-9B49D6000A7B}"/>
            </c:ext>
          </c:extLst>
        </c:ser>
        <c:ser>
          <c:idx val="3"/>
          <c:order val="3"/>
          <c:tx>
            <c:v>Seuil mini</c:v>
          </c:tx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'14_151025 GB Nations Croix (c)'!$E$54:$W$54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'14_151025 GB Nations Croix (c)'!$E$64:$W$64</c:f>
              <c:numCache>
                <c:formatCode>0.0</c:formatCode>
                <c:ptCount val="19"/>
                <c:pt idx="0">
                  <c:v>5</c:v>
                </c:pt>
                <c:pt idx="5">
                  <c:v>26</c:v>
                </c:pt>
                <c:pt idx="7">
                  <c:v>44</c:v>
                </c:pt>
                <c:pt idx="18">
                  <c:v>4.0999999999999996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522-4B89-AD0A-9B49D6000A7B}"/>
            </c:ext>
          </c:extLst>
        </c:ser>
        <c:ser>
          <c:idx val="4"/>
          <c:order val="4"/>
          <c:tx>
            <c:v>Seuil maxi</c:v>
          </c:tx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'14_151025 GB Nations Croix (c)'!$E$54:$W$54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'14_151025 GB Nations Croix (c)'!$E$63:$W$63</c:f>
              <c:numCache>
                <c:formatCode>0.0</c:formatCode>
                <c:ptCount val="19"/>
                <c:pt idx="0">
                  <c:v>9</c:v>
                </c:pt>
                <c:pt idx="5">
                  <c:v>38</c:v>
                </c:pt>
                <c:pt idx="7">
                  <c:v>58</c:v>
                </c:pt>
                <c:pt idx="18">
                  <c:v>5.0999999999999996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522-4B89-AD0A-9B49D6000A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Valeur mini</c:v>
                </c:tx>
                <c:xVal>
                  <c:numLit>
                    <c:formatCode>General</c:formatCode>
                    <c:ptCount val="19"/>
                    <c:pt idx="0">
                      <c:v>6.3E-2</c:v>
                    </c:pt>
                    <c:pt idx="1">
                      <c:v>0.125</c:v>
                    </c:pt>
                    <c:pt idx="2">
                      <c:v>0.25</c:v>
                    </c:pt>
                    <c:pt idx="3">
                      <c:v>0.5</c:v>
                    </c:pt>
                    <c:pt idx="4">
                      <c:v>1</c:v>
                    </c:pt>
                    <c:pt idx="5">
                      <c:v>2</c:v>
                    </c:pt>
                    <c:pt idx="6">
                      <c:v>4</c:v>
                    </c:pt>
                    <c:pt idx="7">
                      <c:v>6.3</c:v>
                    </c:pt>
                    <c:pt idx="8">
                      <c:v>8</c:v>
                    </c:pt>
                    <c:pt idx="9">
                      <c:v>10</c:v>
                    </c:pt>
                    <c:pt idx="10">
                      <c:v>12.5</c:v>
                    </c:pt>
                    <c:pt idx="11">
                      <c:v>14</c:v>
                    </c:pt>
                    <c:pt idx="12">
                      <c:v>16</c:v>
                    </c:pt>
                    <c:pt idx="13">
                      <c:v>20</c:v>
                    </c:pt>
                  </c:numLit>
                </c:xVal>
                <c:yVal>
                  <c:numLit>
                    <c:formatCode>General</c:formatCode>
                    <c:ptCount val="19"/>
                    <c:pt idx="8">
                      <c:v>10</c:v>
                    </c:pt>
                    <c:pt idx="9">
                      <c:v>10</c:v>
                    </c:pt>
                    <c:pt idx="12">
                      <c:v>50</c:v>
                    </c:pt>
                    <c:pt idx="14">
                      <c:v>70</c:v>
                    </c:pt>
                  </c:numLit>
                </c:yVal>
                <c:smooth val="1"/>
                <c:extLst>
                  <c:ext xmlns:c16="http://schemas.microsoft.com/office/drawing/2014/chart" uri="{C3380CC4-5D6E-409C-BE32-E72D297353CC}">
                    <c16:uniqueId val="{00000004-F522-4B89-AD0A-9B49D6000A7B}"/>
                  </c:ext>
                </c:extLst>
              </c15:ser>
            </c15:filteredScatterSeries>
          </c:ext>
        </c:extLst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18149449831669373"/>
          <c:h val="0.2715546767416404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tx>
            <c:v>courbe moyennne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'14_151025 GB Nations Croix'!$E$54:$W$54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'14_151025 GB Nations Croix'!$E$61:$W$61</c:f>
              <c:numCache>
                <c:formatCode>0.0</c:formatCode>
                <c:ptCount val="19"/>
                <c:pt idx="0">
                  <c:v>7.35</c:v>
                </c:pt>
                <c:pt idx="1">
                  <c:v>9.4499999999999993</c:v>
                </c:pt>
                <c:pt idx="2">
                  <c:v>12.35</c:v>
                </c:pt>
                <c:pt idx="3">
                  <c:v>15.75</c:v>
                </c:pt>
                <c:pt idx="4">
                  <c:v>20.450000000000003</c:v>
                </c:pt>
                <c:pt idx="5">
                  <c:v>28.25</c:v>
                </c:pt>
                <c:pt idx="6">
                  <c:v>39.1</c:v>
                </c:pt>
                <c:pt idx="7">
                  <c:v>47.55</c:v>
                </c:pt>
                <c:pt idx="8">
                  <c:v>58.55</c:v>
                </c:pt>
                <c:pt idx="9">
                  <c:v>71.449999999999989</c:v>
                </c:pt>
                <c:pt idx="10" formatCode="0">
                  <c:v>87.55</c:v>
                </c:pt>
                <c:pt idx="11" formatCode="0">
                  <c:v>93.2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166.5</c:v>
                </c:pt>
                <c:pt idx="18" formatCode="0.00">
                  <c:v>4.125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AC-4390-B056-354A18FADCDC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'14_151025 GB Nations Croix'!$E$54:$W$54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'14_151025 GB Nations Croix'!$E$62:$W$62</c:f>
              <c:numCache>
                <c:formatCode>0.0</c:formatCode>
                <c:ptCount val="19"/>
                <c:pt idx="0">
                  <c:v>7</c:v>
                </c:pt>
                <c:pt idx="1">
                  <c:v>9</c:v>
                </c:pt>
                <c:pt idx="2">
                  <c:v>12</c:v>
                </c:pt>
                <c:pt idx="3">
                  <c:v>17</c:v>
                </c:pt>
                <c:pt idx="4">
                  <c:v>22</c:v>
                </c:pt>
                <c:pt idx="5">
                  <c:v>32</c:v>
                </c:pt>
                <c:pt idx="6">
                  <c:v>44</c:v>
                </c:pt>
                <c:pt idx="7">
                  <c:v>51</c:v>
                </c:pt>
                <c:pt idx="8">
                  <c:v>61</c:v>
                </c:pt>
                <c:pt idx="9">
                  <c:v>75</c:v>
                </c:pt>
                <c:pt idx="10">
                  <c:v>92</c:v>
                </c:pt>
                <c:pt idx="11">
                  <c:v>98</c:v>
                </c:pt>
                <c:pt idx="12" formatCode="0">
                  <c:v>100</c:v>
                </c:pt>
                <c:pt idx="18" formatCode="0.00">
                  <c:v>4.5999999999999996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4AC-4390-B056-354A18FADCDC}"/>
            </c:ext>
          </c:extLst>
        </c:ser>
        <c:ser>
          <c:idx val="3"/>
          <c:order val="3"/>
          <c:tx>
            <c:v>Seuil mini</c:v>
          </c:tx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'14_151025 GB Nations Croix'!$E$54:$W$54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'14_151025 GB Nations Croix'!$E$64:$W$64</c:f>
              <c:numCache>
                <c:formatCode>0.0</c:formatCode>
                <c:ptCount val="19"/>
                <c:pt idx="0">
                  <c:v>5</c:v>
                </c:pt>
                <c:pt idx="5">
                  <c:v>26</c:v>
                </c:pt>
                <c:pt idx="7">
                  <c:v>44</c:v>
                </c:pt>
                <c:pt idx="18">
                  <c:v>4.0999999999999996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4AC-4390-B056-354A18FADCDC}"/>
            </c:ext>
          </c:extLst>
        </c:ser>
        <c:ser>
          <c:idx val="4"/>
          <c:order val="4"/>
          <c:tx>
            <c:v>Seuil maxi</c:v>
          </c:tx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'14_151025 GB Nations Croix'!$E$54:$W$54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'14_151025 GB Nations Croix'!$E$63:$W$63</c:f>
              <c:numCache>
                <c:formatCode>0.0</c:formatCode>
                <c:ptCount val="19"/>
                <c:pt idx="0">
                  <c:v>9</c:v>
                </c:pt>
                <c:pt idx="5">
                  <c:v>38</c:v>
                </c:pt>
                <c:pt idx="7">
                  <c:v>58</c:v>
                </c:pt>
                <c:pt idx="18">
                  <c:v>5.0999999999999996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4AC-4390-B056-354A18FAD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Valeur mini</c:v>
                </c:tx>
                <c:xVal>
                  <c:numLit>
                    <c:formatCode>General</c:formatCode>
                    <c:ptCount val="19"/>
                    <c:pt idx="0">
                      <c:v>6.3E-2</c:v>
                    </c:pt>
                    <c:pt idx="1">
                      <c:v>0.125</c:v>
                    </c:pt>
                    <c:pt idx="2">
                      <c:v>0.25</c:v>
                    </c:pt>
                    <c:pt idx="3">
                      <c:v>0.5</c:v>
                    </c:pt>
                    <c:pt idx="4">
                      <c:v>1</c:v>
                    </c:pt>
                    <c:pt idx="5">
                      <c:v>2</c:v>
                    </c:pt>
                    <c:pt idx="6">
                      <c:v>4</c:v>
                    </c:pt>
                    <c:pt idx="7">
                      <c:v>6.3</c:v>
                    </c:pt>
                    <c:pt idx="8">
                      <c:v>8</c:v>
                    </c:pt>
                    <c:pt idx="9">
                      <c:v>10</c:v>
                    </c:pt>
                    <c:pt idx="10">
                      <c:v>12.5</c:v>
                    </c:pt>
                    <c:pt idx="11">
                      <c:v>14</c:v>
                    </c:pt>
                    <c:pt idx="12">
                      <c:v>16</c:v>
                    </c:pt>
                    <c:pt idx="13">
                      <c:v>20</c:v>
                    </c:pt>
                  </c:numLit>
                </c:xVal>
                <c:yVal>
                  <c:numLit>
                    <c:formatCode>General</c:formatCode>
                    <c:ptCount val="19"/>
                    <c:pt idx="8">
                      <c:v>10</c:v>
                    </c:pt>
                    <c:pt idx="9">
                      <c:v>10</c:v>
                    </c:pt>
                    <c:pt idx="12">
                      <c:v>50</c:v>
                    </c:pt>
                    <c:pt idx="14">
                      <c:v>70</c:v>
                    </c:pt>
                  </c:numLit>
                </c:yVal>
                <c:smooth val="1"/>
                <c:extLst>
                  <c:ext xmlns:c16="http://schemas.microsoft.com/office/drawing/2014/chart" uri="{C3380CC4-5D6E-409C-BE32-E72D297353CC}">
                    <c16:uniqueId val="{00000004-94AC-4390-B056-354A18FADCDC}"/>
                  </c:ext>
                </c:extLst>
              </c15:ser>
            </c15:filteredScatterSeries>
          </c:ext>
        </c:extLst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18149449831669373"/>
          <c:h val="0.2715546767416404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tx>
            <c:v>courbe moyennne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'13_141025 GB Mas Rillier (c)'!$E$54:$W$54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'13_141025 GB Mas Rillier (c)'!$E$61:$W$61</c:f>
              <c:numCache>
                <c:formatCode>0.0</c:formatCode>
                <c:ptCount val="19"/>
                <c:pt idx="0">
                  <c:v>7.3000000000000007</c:v>
                </c:pt>
                <c:pt idx="1">
                  <c:v>9.5500000000000007</c:v>
                </c:pt>
                <c:pt idx="2">
                  <c:v>12.5</c:v>
                </c:pt>
                <c:pt idx="3">
                  <c:v>16.25</c:v>
                </c:pt>
                <c:pt idx="4">
                  <c:v>21.35</c:v>
                </c:pt>
                <c:pt idx="5">
                  <c:v>29.7</c:v>
                </c:pt>
                <c:pt idx="6">
                  <c:v>40.549999999999997</c:v>
                </c:pt>
                <c:pt idx="7">
                  <c:v>49.400000000000006</c:v>
                </c:pt>
                <c:pt idx="8">
                  <c:v>60.65</c:v>
                </c:pt>
                <c:pt idx="9">
                  <c:v>74.25</c:v>
                </c:pt>
                <c:pt idx="10" formatCode="0">
                  <c:v>87.7</c:v>
                </c:pt>
                <c:pt idx="11" formatCode="0">
                  <c:v>94.449999999999989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8" formatCode="0.00">
                  <c:v>4.33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6F-4425-B816-6C9F5082E5F7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'13_141025 GB Mas Rillier (c)'!$E$54:$W$54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'13_141025 GB Mas Rillier (c)'!$E$62:$W$62</c:f>
              <c:numCache>
                <c:formatCode>0.0</c:formatCode>
                <c:ptCount val="19"/>
                <c:pt idx="0">
                  <c:v>7</c:v>
                </c:pt>
                <c:pt idx="1">
                  <c:v>9</c:v>
                </c:pt>
                <c:pt idx="2">
                  <c:v>12</c:v>
                </c:pt>
                <c:pt idx="3">
                  <c:v>17</c:v>
                </c:pt>
                <c:pt idx="4">
                  <c:v>22</c:v>
                </c:pt>
                <c:pt idx="5">
                  <c:v>32</c:v>
                </c:pt>
                <c:pt idx="6">
                  <c:v>44</c:v>
                </c:pt>
                <c:pt idx="7">
                  <c:v>51</c:v>
                </c:pt>
                <c:pt idx="8">
                  <c:v>61</c:v>
                </c:pt>
                <c:pt idx="9">
                  <c:v>75</c:v>
                </c:pt>
                <c:pt idx="10">
                  <c:v>92</c:v>
                </c:pt>
                <c:pt idx="11">
                  <c:v>98</c:v>
                </c:pt>
                <c:pt idx="12" formatCode="0">
                  <c:v>100</c:v>
                </c:pt>
                <c:pt idx="18" formatCode="0.00">
                  <c:v>4.5999999999999996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96F-4425-B816-6C9F5082E5F7}"/>
            </c:ext>
          </c:extLst>
        </c:ser>
        <c:ser>
          <c:idx val="3"/>
          <c:order val="3"/>
          <c:tx>
            <c:v>Seuil mini</c:v>
          </c:tx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'13_141025 GB Mas Rillier (c)'!$E$54:$W$54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'13_141025 GB Mas Rillier (c)'!$E$64:$W$64</c:f>
              <c:numCache>
                <c:formatCode>0.0</c:formatCode>
                <c:ptCount val="19"/>
                <c:pt idx="0">
                  <c:v>5</c:v>
                </c:pt>
                <c:pt idx="5">
                  <c:v>26</c:v>
                </c:pt>
                <c:pt idx="7">
                  <c:v>44</c:v>
                </c:pt>
                <c:pt idx="18">
                  <c:v>4.0999999999999996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96F-4425-B816-6C9F5082E5F7}"/>
            </c:ext>
          </c:extLst>
        </c:ser>
        <c:ser>
          <c:idx val="4"/>
          <c:order val="4"/>
          <c:tx>
            <c:v>Seuil maxi</c:v>
          </c:tx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'13_141025 GB Mas Rillier (c)'!$E$54:$W$54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'13_141025 GB Mas Rillier (c)'!$E$63:$W$63</c:f>
              <c:numCache>
                <c:formatCode>0.0</c:formatCode>
                <c:ptCount val="19"/>
                <c:pt idx="0">
                  <c:v>9</c:v>
                </c:pt>
                <c:pt idx="5">
                  <c:v>38</c:v>
                </c:pt>
                <c:pt idx="7">
                  <c:v>58</c:v>
                </c:pt>
                <c:pt idx="18">
                  <c:v>5.0999999999999996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96F-4425-B816-6C9F5082E5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Valeur mini</c:v>
                </c:tx>
                <c:xVal>
                  <c:numLit>
                    <c:formatCode>General</c:formatCode>
                    <c:ptCount val="19"/>
                    <c:pt idx="0">
                      <c:v>6.3E-2</c:v>
                    </c:pt>
                    <c:pt idx="1">
                      <c:v>0.125</c:v>
                    </c:pt>
                    <c:pt idx="2">
                      <c:v>0.25</c:v>
                    </c:pt>
                    <c:pt idx="3">
                      <c:v>0.5</c:v>
                    </c:pt>
                    <c:pt idx="4">
                      <c:v>1</c:v>
                    </c:pt>
                    <c:pt idx="5">
                      <c:v>2</c:v>
                    </c:pt>
                    <c:pt idx="6">
                      <c:v>4</c:v>
                    </c:pt>
                    <c:pt idx="7">
                      <c:v>6.3</c:v>
                    </c:pt>
                    <c:pt idx="8">
                      <c:v>8</c:v>
                    </c:pt>
                    <c:pt idx="9">
                      <c:v>10</c:v>
                    </c:pt>
                    <c:pt idx="10">
                      <c:v>12.5</c:v>
                    </c:pt>
                    <c:pt idx="11">
                      <c:v>14</c:v>
                    </c:pt>
                    <c:pt idx="12">
                      <c:v>16</c:v>
                    </c:pt>
                    <c:pt idx="13">
                      <c:v>20</c:v>
                    </c:pt>
                  </c:numLit>
                </c:xVal>
                <c:yVal>
                  <c:numLit>
                    <c:formatCode>General</c:formatCode>
                    <c:ptCount val="19"/>
                    <c:pt idx="8">
                      <c:v>10</c:v>
                    </c:pt>
                    <c:pt idx="9">
                      <c:v>10</c:v>
                    </c:pt>
                    <c:pt idx="12">
                      <c:v>50</c:v>
                    </c:pt>
                    <c:pt idx="14">
                      <c:v>70</c:v>
                    </c:pt>
                  </c:numLit>
                </c:yVal>
                <c:smooth val="1"/>
                <c:extLst>
                  <c:ext xmlns:c16="http://schemas.microsoft.com/office/drawing/2014/chart" uri="{C3380CC4-5D6E-409C-BE32-E72D297353CC}">
                    <c16:uniqueId val="{00000004-D96F-4425-B816-6C9F5082E5F7}"/>
                  </c:ext>
                </c:extLst>
              </c15:ser>
            </c15:filteredScatterSeries>
          </c:ext>
        </c:extLst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18149449831669373"/>
          <c:h val="0.2715546767416404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tx>
            <c:v>courbe moyennne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'13_141025 GB Mas Rillier'!$E$54:$W$54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'13_141025 GB Mas Rillier'!$E$61:$W$61</c:f>
              <c:numCache>
                <c:formatCode>0.0</c:formatCode>
                <c:ptCount val="19"/>
                <c:pt idx="0">
                  <c:v>7.15</c:v>
                </c:pt>
                <c:pt idx="1">
                  <c:v>9.3000000000000007</c:v>
                </c:pt>
                <c:pt idx="2">
                  <c:v>12.149999999999999</c:v>
                </c:pt>
                <c:pt idx="3">
                  <c:v>15.75</c:v>
                </c:pt>
                <c:pt idx="4">
                  <c:v>20.55</c:v>
                </c:pt>
                <c:pt idx="5">
                  <c:v>28.45</c:v>
                </c:pt>
                <c:pt idx="6">
                  <c:v>38.65</c:v>
                </c:pt>
                <c:pt idx="7">
                  <c:v>46.9</c:v>
                </c:pt>
                <c:pt idx="8">
                  <c:v>57.65</c:v>
                </c:pt>
                <c:pt idx="9">
                  <c:v>70.599999999999994</c:v>
                </c:pt>
                <c:pt idx="10" formatCode="0">
                  <c:v>86.4</c:v>
                </c:pt>
                <c:pt idx="11" formatCode="0">
                  <c:v>94.1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172</c:v>
                </c:pt>
                <c:pt idx="18" formatCode="0.00">
                  <c:v>4.03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5B-4BA8-9F3D-8F7684E43ABF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'13_141025 GB Mas Rillier'!$E$54:$W$54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'13_141025 GB Mas Rillier'!$E$62:$W$62</c:f>
              <c:numCache>
                <c:formatCode>0.0</c:formatCode>
                <c:ptCount val="19"/>
                <c:pt idx="0">
                  <c:v>7</c:v>
                </c:pt>
                <c:pt idx="1">
                  <c:v>9</c:v>
                </c:pt>
                <c:pt idx="2">
                  <c:v>12</c:v>
                </c:pt>
                <c:pt idx="3">
                  <c:v>17</c:v>
                </c:pt>
                <c:pt idx="4">
                  <c:v>22</c:v>
                </c:pt>
                <c:pt idx="5">
                  <c:v>32</c:v>
                </c:pt>
                <c:pt idx="6">
                  <c:v>44</c:v>
                </c:pt>
                <c:pt idx="7">
                  <c:v>51</c:v>
                </c:pt>
                <c:pt idx="8">
                  <c:v>61</c:v>
                </c:pt>
                <c:pt idx="9">
                  <c:v>75</c:v>
                </c:pt>
                <c:pt idx="10">
                  <c:v>92</c:v>
                </c:pt>
                <c:pt idx="11">
                  <c:v>98</c:v>
                </c:pt>
                <c:pt idx="12" formatCode="0">
                  <c:v>100</c:v>
                </c:pt>
                <c:pt idx="18" formatCode="0.00">
                  <c:v>4.5999999999999996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75B-4BA8-9F3D-8F7684E43ABF}"/>
            </c:ext>
          </c:extLst>
        </c:ser>
        <c:ser>
          <c:idx val="3"/>
          <c:order val="3"/>
          <c:tx>
            <c:v>Seuil mini</c:v>
          </c:tx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'13_141025 GB Mas Rillier'!$E$54:$W$54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'13_141025 GB Mas Rillier'!$E$64:$W$64</c:f>
              <c:numCache>
                <c:formatCode>0.0</c:formatCode>
                <c:ptCount val="19"/>
                <c:pt idx="0">
                  <c:v>5</c:v>
                </c:pt>
                <c:pt idx="5">
                  <c:v>26</c:v>
                </c:pt>
                <c:pt idx="7">
                  <c:v>44</c:v>
                </c:pt>
                <c:pt idx="18">
                  <c:v>4.0999999999999996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75B-4BA8-9F3D-8F7684E43ABF}"/>
            </c:ext>
          </c:extLst>
        </c:ser>
        <c:ser>
          <c:idx val="4"/>
          <c:order val="4"/>
          <c:tx>
            <c:v>Seuil maxi</c:v>
          </c:tx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'13_141025 GB Mas Rillier'!$E$54:$W$54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'13_141025 GB Mas Rillier'!$E$63:$W$63</c:f>
              <c:numCache>
                <c:formatCode>0.0</c:formatCode>
                <c:ptCount val="19"/>
                <c:pt idx="0">
                  <c:v>9</c:v>
                </c:pt>
                <c:pt idx="5">
                  <c:v>38</c:v>
                </c:pt>
                <c:pt idx="7">
                  <c:v>58</c:v>
                </c:pt>
                <c:pt idx="18">
                  <c:v>5.0999999999999996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75B-4BA8-9F3D-8F7684E43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Valeur mini</c:v>
                </c:tx>
                <c:xVal>
                  <c:numLit>
                    <c:formatCode>General</c:formatCode>
                    <c:ptCount val="19"/>
                    <c:pt idx="0">
                      <c:v>6.3E-2</c:v>
                    </c:pt>
                    <c:pt idx="1">
                      <c:v>0.125</c:v>
                    </c:pt>
                    <c:pt idx="2">
                      <c:v>0.25</c:v>
                    </c:pt>
                    <c:pt idx="3">
                      <c:v>0.5</c:v>
                    </c:pt>
                    <c:pt idx="4">
                      <c:v>1</c:v>
                    </c:pt>
                    <c:pt idx="5">
                      <c:v>2</c:v>
                    </c:pt>
                    <c:pt idx="6">
                      <c:v>4</c:v>
                    </c:pt>
                    <c:pt idx="7">
                      <c:v>6.3</c:v>
                    </c:pt>
                    <c:pt idx="8">
                      <c:v>8</c:v>
                    </c:pt>
                    <c:pt idx="9">
                      <c:v>10</c:v>
                    </c:pt>
                    <c:pt idx="10">
                      <c:v>12.5</c:v>
                    </c:pt>
                    <c:pt idx="11">
                      <c:v>14</c:v>
                    </c:pt>
                    <c:pt idx="12">
                      <c:v>16</c:v>
                    </c:pt>
                    <c:pt idx="13">
                      <c:v>20</c:v>
                    </c:pt>
                  </c:numLit>
                </c:xVal>
                <c:yVal>
                  <c:numLit>
                    <c:formatCode>General</c:formatCode>
                    <c:ptCount val="19"/>
                    <c:pt idx="8">
                      <c:v>10</c:v>
                    </c:pt>
                    <c:pt idx="9">
                      <c:v>10</c:v>
                    </c:pt>
                    <c:pt idx="12">
                      <c:v>50</c:v>
                    </c:pt>
                    <c:pt idx="14">
                      <c:v>70</c:v>
                    </c:pt>
                  </c:numLit>
                </c:yVal>
                <c:smooth val="1"/>
                <c:extLst>
                  <c:ext xmlns:c16="http://schemas.microsoft.com/office/drawing/2014/chart" uri="{C3380CC4-5D6E-409C-BE32-E72D297353CC}">
                    <c16:uniqueId val="{00000004-B75B-4BA8-9F3D-8F7684E43ABF}"/>
                  </c:ext>
                </c:extLst>
              </c15:ser>
            </c15:filteredScatterSeries>
          </c:ext>
        </c:extLst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18149449831669373"/>
          <c:h val="0.2715546767416404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'250825 BB 0-6 Ampère'!$E$52:$O$52</c:f>
              <c:numCache>
                <c:formatCode>0.000</c:formatCode>
                <c:ptCount val="11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</c:numCache>
            </c:numRef>
          </c:xVal>
          <c:yVal>
            <c:numRef>
              <c:f>'250825 BB 0-6 Ampère'!$E$59:$W$59</c:f>
              <c:numCache>
                <c:formatCode>0.0</c:formatCode>
                <c:ptCount val="19"/>
                <c:pt idx="0">
                  <c:v>8.6</c:v>
                </c:pt>
                <c:pt idx="1">
                  <c:v>11.3</c:v>
                </c:pt>
                <c:pt idx="2">
                  <c:v>15.3</c:v>
                </c:pt>
                <c:pt idx="3">
                  <c:v>20.2</c:v>
                </c:pt>
                <c:pt idx="4">
                  <c:v>27.1</c:v>
                </c:pt>
                <c:pt idx="5">
                  <c:v>39.1</c:v>
                </c:pt>
                <c:pt idx="6">
                  <c:v>60.5</c:v>
                </c:pt>
                <c:pt idx="7">
                  <c:v>95.5</c:v>
                </c:pt>
                <c:pt idx="8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168</c:v>
                </c:pt>
                <c:pt idx="18" formatCode="0.00">
                  <c:v>5.66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45-4A54-921E-416913E816A6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'250825 BB 0-6 Ampère'!$E$52:$W$52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'250825 BB 0-6 Ampère'!$E$60:$W$60</c:f>
              <c:numCache>
                <c:formatCode>0.0</c:formatCode>
                <c:ptCount val="19"/>
                <c:pt idx="0">
                  <c:v>8.1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27</c:v>
                </c:pt>
                <c:pt idx="5">
                  <c:v>39</c:v>
                </c:pt>
                <c:pt idx="6">
                  <c:v>59</c:v>
                </c:pt>
                <c:pt idx="7">
                  <c:v>93</c:v>
                </c:pt>
                <c:pt idx="8">
                  <c:v>100</c:v>
                </c:pt>
                <c:pt idx="18" formatCode="0.00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A45-4A54-921E-416913E816A6}"/>
            </c:ext>
          </c:extLst>
        </c:ser>
        <c:ser>
          <c:idx val="3"/>
          <c:order val="2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'250825 BB 0-6 Ampère'!$E$52:$W$52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'250825 BB 0-6 Ampère'!$E$62:$W$62</c:f>
              <c:numCache>
                <c:formatCode>0.0</c:formatCode>
                <c:ptCount val="19"/>
                <c:pt idx="0">
                  <c:v>6.1</c:v>
                </c:pt>
                <c:pt idx="5">
                  <c:v>33</c:v>
                </c:pt>
                <c:pt idx="7">
                  <c:v>86</c:v>
                </c:pt>
                <c:pt idx="18">
                  <c:v>5.5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A45-4A54-921E-416913E816A6}"/>
            </c:ext>
          </c:extLst>
        </c:ser>
        <c:ser>
          <c:idx val="4"/>
          <c:order val="3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'250825 BB 0-6 Ampère'!$E$52:$W$52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'250825 BB 0-6 Ampère'!$E$61:$W$61</c:f>
              <c:numCache>
                <c:formatCode>0.0</c:formatCode>
                <c:ptCount val="19"/>
                <c:pt idx="0">
                  <c:v>10.1</c:v>
                </c:pt>
                <c:pt idx="5">
                  <c:v>45</c:v>
                </c:pt>
                <c:pt idx="7" formatCode="0">
                  <c:v>100</c:v>
                </c:pt>
                <c:pt idx="18">
                  <c:v>6.5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A45-4A54-921E-416913E81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'250825 BBSG Ampère'!$E$52:$O$52</c:f>
              <c:numCache>
                <c:formatCode>0.000</c:formatCode>
                <c:ptCount val="11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</c:numCache>
            </c:numRef>
          </c:xVal>
          <c:yVal>
            <c:numRef>
              <c:f>'250825 BBSG Ampère'!$E$59:$W$59</c:f>
              <c:numCache>
                <c:formatCode>0.0</c:formatCode>
                <c:ptCount val="19"/>
                <c:pt idx="0">
                  <c:v>6.7</c:v>
                </c:pt>
                <c:pt idx="1">
                  <c:v>8.6999999999999993</c:v>
                </c:pt>
                <c:pt idx="2">
                  <c:v>11.4</c:v>
                </c:pt>
                <c:pt idx="3">
                  <c:v>14.8</c:v>
                </c:pt>
                <c:pt idx="4">
                  <c:v>19.600000000000001</c:v>
                </c:pt>
                <c:pt idx="5">
                  <c:v>28.3</c:v>
                </c:pt>
                <c:pt idx="6">
                  <c:v>42.5</c:v>
                </c:pt>
                <c:pt idx="7">
                  <c:v>60.8</c:v>
                </c:pt>
                <c:pt idx="8">
                  <c:v>78.7</c:v>
                </c:pt>
                <c:pt idx="9">
                  <c:v>95.8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170</c:v>
                </c:pt>
                <c:pt idx="18" formatCode="0.00">
                  <c:v>5.46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D6-4057-B259-7072544D4F3A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'250825 BBSG Ampère'!$E$52:$W$52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'250825 BBSG Ampère'!$E$60:$W$60</c:f>
              <c:numCache>
                <c:formatCode>0.0</c:formatCode>
                <c:ptCount val="19"/>
                <c:pt idx="0">
                  <c:v>6.5</c:v>
                </c:pt>
                <c:pt idx="1">
                  <c:v>8</c:v>
                </c:pt>
                <c:pt idx="2">
                  <c:v>11</c:v>
                </c:pt>
                <c:pt idx="3">
                  <c:v>16</c:v>
                </c:pt>
                <c:pt idx="4">
                  <c:v>21</c:v>
                </c:pt>
                <c:pt idx="5">
                  <c:v>30</c:v>
                </c:pt>
                <c:pt idx="6">
                  <c:v>44</c:v>
                </c:pt>
                <c:pt idx="7">
                  <c:v>60</c:v>
                </c:pt>
                <c:pt idx="8">
                  <c:v>76</c:v>
                </c:pt>
                <c:pt idx="9">
                  <c:v>95</c:v>
                </c:pt>
                <c:pt idx="10" formatCode="0">
                  <c:v>100</c:v>
                </c:pt>
                <c:pt idx="18" formatCode="0.00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BD6-4057-B259-7072544D4F3A}"/>
            </c:ext>
          </c:extLst>
        </c:ser>
        <c:ser>
          <c:idx val="2"/>
          <c:order val="2"/>
          <c:tx>
            <c:v>Valeur mini</c:v>
          </c:tx>
          <c:xVal>
            <c:numRef>
              <c:f>'[1]030325 GB Gir. Tuileries'!$E$52:$W$52</c:f>
              <c:numCache>
                <c:formatCode>General</c:formatCode>
                <c:ptCount val="19"/>
                <c:pt idx="0">
                  <c:v>6.3E-2</c:v>
                </c:pt>
                <c:pt idx="1">
                  <c:v>0.125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6.3</c:v>
                </c:pt>
                <c:pt idx="8">
                  <c:v>8</c:v>
                </c:pt>
                <c:pt idx="9">
                  <c:v>10</c:v>
                </c:pt>
                <c:pt idx="10">
                  <c:v>12.5</c:v>
                </c:pt>
                <c:pt idx="11">
                  <c:v>14</c:v>
                </c:pt>
                <c:pt idx="12">
                  <c:v>16</c:v>
                </c:pt>
                <c:pt idx="13">
                  <c:v>20</c:v>
                </c:pt>
              </c:numCache>
            </c:numRef>
          </c:xVal>
          <c:yVal>
            <c:numRef>
              <c:f>'[1]030325 GB Gir. Tuileries'!$E$58:$W$58</c:f>
              <c:numCache>
                <c:formatCode>General</c:formatCode>
                <c:ptCount val="19"/>
                <c:pt idx="8">
                  <c:v>10</c:v>
                </c:pt>
                <c:pt idx="9">
                  <c:v>10</c:v>
                </c:pt>
                <c:pt idx="12">
                  <c:v>50</c:v>
                </c:pt>
                <c:pt idx="14">
                  <c:v>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BD6-4057-B259-7072544D4F3A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'250825 BBSG Ampère'!$E$52:$W$52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'250825 BBSG Ampère'!$E$62:$W$62</c:f>
              <c:numCache>
                <c:formatCode>0.0</c:formatCode>
                <c:ptCount val="19"/>
                <c:pt idx="0">
                  <c:v>4.5</c:v>
                </c:pt>
                <c:pt idx="5">
                  <c:v>24</c:v>
                </c:pt>
                <c:pt idx="7">
                  <c:v>53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BD6-4057-B259-7072544D4F3A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'250825 BBSG Ampère'!$E$52:$W$52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'250825 BBSG Ampère'!$E$61:$W$61</c:f>
              <c:numCache>
                <c:formatCode>0.0</c:formatCode>
                <c:ptCount val="19"/>
                <c:pt idx="0">
                  <c:v>8.5</c:v>
                </c:pt>
                <c:pt idx="5">
                  <c:v>36</c:v>
                </c:pt>
                <c:pt idx="7">
                  <c:v>67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BD6-4057-B259-7072544D4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tx>
            <c:v>courbe moyennne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'250825 GB Ampère'!$E$54:$W$54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'250825 GB Ampère'!$E$61:$W$61</c:f>
              <c:numCache>
                <c:formatCode>0.0</c:formatCode>
                <c:ptCount val="19"/>
                <c:pt idx="0">
                  <c:v>7.9</c:v>
                </c:pt>
                <c:pt idx="1">
                  <c:v>10.1</c:v>
                </c:pt>
                <c:pt idx="2">
                  <c:v>13.4</c:v>
                </c:pt>
                <c:pt idx="3">
                  <c:v>17.5</c:v>
                </c:pt>
                <c:pt idx="4">
                  <c:v>23</c:v>
                </c:pt>
                <c:pt idx="5">
                  <c:v>32.5</c:v>
                </c:pt>
                <c:pt idx="6">
                  <c:v>47.4</c:v>
                </c:pt>
                <c:pt idx="7">
                  <c:v>61.5</c:v>
                </c:pt>
                <c:pt idx="8">
                  <c:v>71.5</c:v>
                </c:pt>
                <c:pt idx="9">
                  <c:v>81.5</c:v>
                </c:pt>
                <c:pt idx="10" formatCode="0">
                  <c:v>91.6</c:v>
                </c:pt>
                <c:pt idx="11" formatCode="0">
                  <c:v>95.5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173</c:v>
                </c:pt>
                <c:pt idx="18" formatCode="0.00">
                  <c:v>4.17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EF4-4E64-AC5B-3201D3FABD9A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'250825 GB Ampère'!$E$54:$W$54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'250825 GB Ampère'!$E$62:$W$62</c:f>
              <c:numCache>
                <c:formatCode>0.0</c:formatCode>
                <c:ptCount val="19"/>
                <c:pt idx="0">
                  <c:v>6.5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47</c:v>
                </c:pt>
                <c:pt idx="7">
                  <c:v>59</c:v>
                </c:pt>
                <c:pt idx="8">
                  <c:v>65</c:v>
                </c:pt>
                <c:pt idx="9">
                  <c:v>74</c:v>
                </c:pt>
                <c:pt idx="10">
                  <c:v>90</c:v>
                </c:pt>
                <c:pt idx="11">
                  <c:v>97</c:v>
                </c:pt>
                <c:pt idx="12" formatCode="0">
                  <c:v>100</c:v>
                </c:pt>
                <c:pt idx="18" formatCode="0.00">
                  <c:v>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EF4-4E64-AC5B-3201D3FABD9A}"/>
            </c:ext>
          </c:extLst>
        </c:ser>
        <c:ser>
          <c:idx val="3"/>
          <c:order val="3"/>
          <c:tx>
            <c:v>Seuil mini</c:v>
          </c:tx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'250825 GB Ampère'!$E$54:$W$54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'250825 GB Ampère'!$E$64:$W$64</c:f>
              <c:numCache>
                <c:formatCode>0.0</c:formatCode>
                <c:ptCount val="19"/>
                <c:pt idx="0">
                  <c:v>4.5</c:v>
                </c:pt>
                <c:pt idx="5">
                  <c:v>26</c:v>
                </c:pt>
                <c:pt idx="7">
                  <c:v>52</c:v>
                </c:pt>
                <c:pt idx="18">
                  <c:v>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EF4-4E64-AC5B-3201D3FABD9A}"/>
            </c:ext>
          </c:extLst>
        </c:ser>
        <c:ser>
          <c:idx val="4"/>
          <c:order val="4"/>
          <c:tx>
            <c:v>Seuil maxi</c:v>
          </c:tx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'250825 GB Ampère'!$E$54:$W$54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'250825 GB Ampère'!$E$63:$W$63</c:f>
              <c:numCache>
                <c:formatCode>0.0</c:formatCode>
                <c:ptCount val="19"/>
                <c:pt idx="0">
                  <c:v>8.5</c:v>
                </c:pt>
                <c:pt idx="5">
                  <c:v>38</c:v>
                </c:pt>
                <c:pt idx="7">
                  <c:v>66</c:v>
                </c:pt>
                <c:pt idx="18">
                  <c:v>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EF4-4E64-AC5B-3201D3FAB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Valeur mini</c:v>
                </c:tx>
                <c:xVal>
                  <c:numLit>
                    <c:formatCode>General</c:formatCode>
                    <c:ptCount val="19"/>
                    <c:pt idx="0">
                      <c:v>6.3E-2</c:v>
                    </c:pt>
                    <c:pt idx="1">
                      <c:v>0.125</c:v>
                    </c:pt>
                    <c:pt idx="2">
                      <c:v>0.25</c:v>
                    </c:pt>
                    <c:pt idx="3">
                      <c:v>0.5</c:v>
                    </c:pt>
                    <c:pt idx="4">
                      <c:v>1</c:v>
                    </c:pt>
                    <c:pt idx="5">
                      <c:v>2</c:v>
                    </c:pt>
                    <c:pt idx="6">
                      <c:v>4</c:v>
                    </c:pt>
                    <c:pt idx="7">
                      <c:v>6.3</c:v>
                    </c:pt>
                    <c:pt idx="8">
                      <c:v>8</c:v>
                    </c:pt>
                    <c:pt idx="9">
                      <c:v>10</c:v>
                    </c:pt>
                    <c:pt idx="10">
                      <c:v>12.5</c:v>
                    </c:pt>
                    <c:pt idx="11">
                      <c:v>14</c:v>
                    </c:pt>
                    <c:pt idx="12">
                      <c:v>16</c:v>
                    </c:pt>
                    <c:pt idx="13">
                      <c:v>20</c:v>
                    </c:pt>
                  </c:numLit>
                </c:xVal>
                <c:yVal>
                  <c:numLit>
                    <c:formatCode>General</c:formatCode>
                    <c:ptCount val="19"/>
                    <c:pt idx="8">
                      <c:v>10</c:v>
                    </c:pt>
                    <c:pt idx="9">
                      <c:v>10</c:v>
                    </c:pt>
                    <c:pt idx="12">
                      <c:v>50</c:v>
                    </c:pt>
                    <c:pt idx="14">
                      <c:v>70</c:v>
                    </c:pt>
                  </c:numLit>
                </c:yVal>
                <c:smooth val="1"/>
                <c:extLst>
                  <c:ext xmlns:c16="http://schemas.microsoft.com/office/drawing/2014/chart" uri="{C3380CC4-5D6E-409C-BE32-E72D297353CC}">
                    <c16:uniqueId val="{00000004-0EF4-4E64-AC5B-3201D3FABD9A}"/>
                  </c:ext>
                </c:extLst>
              </c15:ser>
            </c15:filteredScatterSeries>
          </c:ext>
        </c:extLst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18149449831669373"/>
          <c:h val="0.2715546767416404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'130625 BBSG Mas Rillier'!$E$52:$O$52</c:f>
              <c:numCache>
                <c:formatCode>0.000</c:formatCode>
                <c:ptCount val="11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</c:numCache>
            </c:numRef>
          </c:xVal>
          <c:yVal>
            <c:numRef>
              <c:f>'130625 BBSG Mas Rillier'!$E$59:$W$59</c:f>
              <c:numCache>
                <c:formatCode>0.0</c:formatCode>
                <c:ptCount val="19"/>
                <c:pt idx="0">
                  <c:v>6.5</c:v>
                </c:pt>
                <c:pt idx="1">
                  <c:v>8.4</c:v>
                </c:pt>
                <c:pt idx="2">
                  <c:v>11.2</c:v>
                </c:pt>
                <c:pt idx="3">
                  <c:v>14.9</c:v>
                </c:pt>
                <c:pt idx="4">
                  <c:v>20</c:v>
                </c:pt>
                <c:pt idx="5">
                  <c:v>28.5</c:v>
                </c:pt>
                <c:pt idx="6">
                  <c:v>42.6</c:v>
                </c:pt>
                <c:pt idx="7">
                  <c:v>61.2</c:v>
                </c:pt>
                <c:pt idx="8">
                  <c:v>79</c:v>
                </c:pt>
                <c:pt idx="9">
                  <c:v>94.6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172</c:v>
                </c:pt>
                <c:pt idx="18" formatCode="0.00">
                  <c:v>4.96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13F-45ED-9A5F-8DE420181A8F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'130625 BBSG Mas Rillier'!$E$52:$W$52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'130625 BBSG Mas Rillier'!$E$60:$W$60</c:f>
              <c:numCache>
                <c:formatCode>0.0</c:formatCode>
                <c:ptCount val="19"/>
                <c:pt idx="0">
                  <c:v>6.5</c:v>
                </c:pt>
                <c:pt idx="1">
                  <c:v>8</c:v>
                </c:pt>
                <c:pt idx="2">
                  <c:v>11</c:v>
                </c:pt>
                <c:pt idx="3">
                  <c:v>16</c:v>
                </c:pt>
                <c:pt idx="4">
                  <c:v>21</c:v>
                </c:pt>
                <c:pt idx="5">
                  <c:v>30</c:v>
                </c:pt>
                <c:pt idx="6">
                  <c:v>44</c:v>
                </c:pt>
                <c:pt idx="7">
                  <c:v>60</c:v>
                </c:pt>
                <c:pt idx="8">
                  <c:v>76</c:v>
                </c:pt>
                <c:pt idx="9">
                  <c:v>95</c:v>
                </c:pt>
                <c:pt idx="10" formatCode="0">
                  <c:v>100</c:v>
                </c:pt>
                <c:pt idx="18" formatCode="0.00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13F-45ED-9A5F-8DE420181A8F}"/>
            </c:ext>
          </c:extLst>
        </c:ser>
        <c:ser>
          <c:idx val="2"/>
          <c:order val="2"/>
          <c:tx>
            <c:v>Valeur mini</c:v>
          </c:tx>
          <c:xVal>
            <c:numRef>
              <c:f>'[1]030325 GB Gir. Tuileries'!$E$52:$W$52</c:f>
              <c:numCache>
                <c:formatCode>General</c:formatCode>
                <c:ptCount val="19"/>
                <c:pt idx="0">
                  <c:v>6.3E-2</c:v>
                </c:pt>
                <c:pt idx="1">
                  <c:v>0.125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6.3</c:v>
                </c:pt>
                <c:pt idx="8">
                  <c:v>8</c:v>
                </c:pt>
                <c:pt idx="9">
                  <c:v>10</c:v>
                </c:pt>
                <c:pt idx="10">
                  <c:v>12.5</c:v>
                </c:pt>
                <c:pt idx="11">
                  <c:v>14</c:v>
                </c:pt>
                <c:pt idx="12">
                  <c:v>16</c:v>
                </c:pt>
                <c:pt idx="13">
                  <c:v>20</c:v>
                </c:pt>
              </c:numCache>
            </c:numRef>
          </c:xVal>
          <c:yVal>
            <c:numRef>
              <c:f>'[1]030325 GB Gir. Tuileries'!$E$58:$W$58</c:f>
              <c:numCache>
                <c:formatCode>General</c:formatCode>
                <c:ptCount val="19"/>
                <c:pt idx="8">
                  <c:v>10</c:v>
                </c:pt>
                <c:pt idx="9">
                  <c:v>10</c:v>
                </c:pt>
                <c:pt idx="12">
                  <c:v>50</c:v>
                </c:pt>
                <c:pt idx="14">
                  <c:v>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13F-45ED-9A5F-8DE420181A8F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'130625 BBSG Mas Rillier'!$E$52:$W$52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'130625 BBSG Mas Rillier'!$E$62:$W$62</c:f>
              <c:numCache>
                <c:formatCode>0.0</c:formatCode>
                <c:ptCount val="19"/>
                <c:pt idx="0">
                  <c:v>4.5</c:v>
                </c:pt>
                <c:pt idx="5">
                  <c:v>24</c:v>
                </c:pt>
                <c:pt idx="7">
                  <c:v>53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13F-45ED-9A5F-8DE420181A8F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'130625 BBSG Mas Rillier'!$E$52:$W$52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'130625 BBSG Mas Rillier'!$E$61:$W$61</c:f>
              <c:numCache>
                <c:formatCode>0.0</c:formatCode>
                <c:ptCount val="19"/>
                <c:pt idx="0">
                  <c:v>8.5</c:v>
                </c:pt>
                <c:pt idx="5">
                  <c:v>36</c:v>
                </c:pt>
                <c:pt idx="7">
                  <c:v>67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13F-45ED-9A5F-8DE420181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tx>
            <c:v>courbe moyennne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'130625 GB Mas Rillier'!$E$54:$W$54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'130625 GB Mas Rillier'!$E$61:$W$61</c:f>
              <c:numCache>
                <c:formatCode>0.0</c:formatCode>
                <c:ptCount val="19"/>
                <c:pt idx="0">
                  <c:v>8.4</c:v>
                </c:pt>
                <c:pt idx="1">
                  <c:v>10.8</c:v>
                </c:pt>
                <c:pt idx="2">
                  <c:v>14</c:v>
                </c:pt>
                <c:pt idx="3">
                  <c:v>18</c:v>
                </c:pt>
                <c:pt idx="4">
                  <c:v>23.7</c:v>
                </c:pt>
                <c:pt idx="5">
                  <c:v>34</c:v>
                </c:pt>
                <c:pt idx="6">
                  <c:v>49.6</c:v>
                </c:pt>
                <c:pt idx="7">
                  <c:v>63.7</c:v>
                </c:pt>
                <c:pt idx="8">
                  <c:v>72.7</c:v>
                </c:pt>
                <c:pt idx="9">
                  <c:v>82.2</c:v>
                </c:pt>
                <c:pt idx="10" formatCode="0">
                  <c:v>90.2</c:v>
                </c:pt>
                <c:pt idx="11" formatCode="0">
                  <c:v>94.9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165</c:v>
                </c:pt>
                <c:pt idx="18" formatCode="0.00">
                  <c:v>4.37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2C-469A-B38D-5EFFBA449BFD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'130625 GB Mas Rillier'!$E$54:$W$54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'130625 GB Mas Rillier'!$E$62:$W$62</c:f>
              <c:numCache>
                <c:formatCode>0.0</c:formatCode>
                <c:ptCount val="19"/>
                <c:pt idx="0">
                  <c:v>6.5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47</c:v>
                </c:pt>
                <c:pt idx="7">
                  <c:v>59</c:v>
                </c:pt>
                <c:pt idx="8">
                  <c:v>65</c:v>
                </c:pt>
                <c:pt idx="9">
                  <c:v>74</c:v>
                </c:pt>
                <c:pt idx="10">
                  <c:v>90</c:v>
                </c:pt>
                <c:pt idx="11">
                  <c:v>97</c:v>
                </c:pt>
                <c:pt idx="12" formatCode="0">
                  <c:v>100</c:v>
                </c:pt>
                <c:pt idx="18" formatCode="0.00">
                  <c:v>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A2C-469A-B38D-5EFFBA449BFD}"/>
            </c:ext>
          </c:extLst>
        </c:ser>
        <c:ser>
          <c:idx val="3"/>
          <c:order val="3"/>
          <c:tx>
            <c:v>Seuil mini</c:v>
          </c:tx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'130625 GB Mas Rillier'!$E$54:$W$54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'130625 GB Mas Rillier'!$E$64:$W$64</c:f>
              <c:numCache>
                <c:formatCode>0.0</c:formatCode>
                <c:ptCount val="19"/>
                <c:pt idx="0">
                  <c:v>4.5</c:v>
                </c:pt>
                <c:pt idx="5">
                  <c:v>26</c:v>
                </c:pt>
                <c:pt idx="7">
                  <c:v>52</c:v>
                </c:pt>
                <c:pt idx="18">
                  <c:v>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A2C-469A-B38D-5EFFBA449BFD}"/>
            </c:ext>
          </c:extLst>
        </c:ser>
        <c:ser>
          <c:idx val="4"/>
          <c:order val="4"/>
          <c:tx>
            <c:v>Seuil maxi</c:v>
          </c:tx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'130625 GB Mas Rillier'!$E$54:$W$54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'130625 GB Mas Rillier'!$E$63:$W$63</c:f>
              <c:numCache>
                <c:formatCode>0.0</c:formatCode>
                <c:ptCount val="19"/>
                <c:pt idx="0">
                  <c:v>8.5</c:v>
                </c:pt>
                <c:pt idx="5">
                  <c:v>38</c:v>
                </c:pt>
                <c:pt idx="7">
                  <c:v>66</c:v>
                </c:pt>
                <c:pt idx="18">
                  <c:v>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A2C-469A-B38D-5EFFBA449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Valeur mini</c:v>
                </c:tx>
                <c:xVal>
                  <c:numLit>
                    <c:formatCode>General</c:formatCode>
                    <c:ptCount val="19"/>
                    <c:pt idx="0">
                      <c:v>6.3E-2</c:v>
                    </c:pt>
                    <c:pt idx="1">
                      <c:v>0.125</c:v>
                    </c:pt>
                    <c:pt idx="2">
                      <c:v>0.25</c:v>
                    </c:pt>
                    <c:pt idx="3">
                      <c:v>0.5</c:v>
                    </c:pt>
                    <c:pt idx="4">
                      <c:v>1</c:v>
                    </c:pt>
                    <c:pt idx="5">
                      <c:v>2</c:v>
                    </c:pt>
                    <c:pt idx="6">
                      <c:v>4</c:v>
                    </c:pt>
                    <c:pt idx="7">
                      <c:v>6.3</c:v>
                    </c:pt>
                    <c:pt idx="8">
                      <c:v>8</c:v>
                    </c:pt>
                    <c:pt idx="9">
                      <c:v>10</c:v>
                    </c:pt>
                    <c:pt idx="10">
                      <c:v>12.5</c:v>
                    </c:pt>
                    <c:pt idx="11">
                      <c:v>14</c:v>
                    </c:pt>
                    <c:pt idx="12">
                      <c:v>16</c:v>
                    </c:pt>
                    <c:pt idx="13">
                      <c:v>20</c:v>
                    </c:pt>
                  </c:numLit>
                </c:xVal>
                <c:yVal>
                  <c:numLit>
                    <c:formatCode>General</c:formatCode>
                    <c:ptCount val="19"/>
                    <c:pt idx="8">
                      <c:v>10</c:v>
                    </c:pt>
                    <c:pt idx="9">
                      <c:v>10</c:v>
                    </c:pt>
                    <c:pt idx="12">
                      <c:v>50</c:v>
                    </c:pt>
                    <c:pt idx="14">
                      <c:v>70</c:v>
                    </c:pt>
                  </c:numLit>
                </c:yVal>
                <c:smooth val="1"/>
                <c:extLst>
                  <c:ext xmlns:c16="http://schemas.microsoft.com/office/drawing/2014/chart" uri="{C3380CC4-5D6E-409C-BE32-E72D297353CC}">
                    <c16:uniqueId val="{00000004-CA2C-469A-B38D-5EFFBA449BFD}"/>
                  </c:ext>
                </c:extLst>
              </c15:ser>
            </c15:filteredScatterSeries>
          </c:ext>
        </c:extLst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18149449831669373"/>
          <c:h val="0.2715546767416404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'120625 BBdr Mas rillier'!$E$54:$O$54</c:f>
              <c:numCache>
                <c:formatCode>0.000</c:formatCode>
                <c:ptCount val="11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</c:numCache>
            </c:numRef>
          </c:xVal>
          <c:yVal>
            <c:numRef>
              <c:f>'120625 BBdr Mas rillier'!$E$61:$W$61</c:f>
              <c:numCache>
                <c:formatCode>0.0</c:formatCode>
                <c:ptCount val="19"/>
                <c:pt idx="0">
                  <c:v>5.4</c:v>
                </c:pt>
                <c:pt idx="1">
                  <c:v>6.9</c:v>
                </c:pt>
                <c:pt idx="2">
                  <c:v>8.6999999999999993</c:v>
                </c:pt>
                <c:pt idx="3">
                  <c:v>11.1</c:v>
                </c:pt>
                <c:pt idx="4">
                  <c:v>15.1</c:v>
                </c:pt>
                <c:pt idx="5">
                  <c:v>22.5</c:v>
                </c:pt>
                <c:pt idx="6">
                  <c:v>37.200000000000003</c:v>
                </c:pt>
                <c:pt idx="7">
                  <c:v>95.7</c:v>
                </c:pt>
                <c:pt idx="8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177</c:v>
                </c:pt>
                <c:pt idx="18" formatCode="0.00">
                  <c:v>4.54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EF-4F56-8309-4C8D20161007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'120625 BBdr Mas rillier'!$E$54:$W$54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'120625 BBdr Mas rillier'!$E$62:$W$62</c:f>
              <c:numCache>
                <c:formatCode>0.0</c:formatCode>
                <c:ptCount val="19"/>
                <c:pt idx="0">
                  <c:v>4.5999999999999996</c:v>
                </c:pt>
                <c:pt idx="1">
                  <c:v>6</c:v>
                </c:pt>
                <c:pt idx="2">
                  <c:v>7</c:v>
                </c:pt>
                <c:pt idx="3">
                  <c:v>10</c:v>
                </c:pt>
                <c:pt idx="4">
                  <c:v>14</c:v>
                </c:pt>
                <c:pt idx="5">
                  <c:v>19</c:v>
                </c:pt>
                <c:pt idx="6">
                  <c:v>28</c:v>
                </c:pt>
                <c:pt idx="7">
                  <c:v>91</c:v>
                </c:pt>
                <c:pt idx="8" formatCode="0">
                  <c:v>100</c:v>
                </c:pt>
                <c:pt idx="18" formatCode="0.00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BEF-4F56-8309-4C8D20161007}"/>
            </c:ext>
          </c:extLst>
        </c:ser>
        <c:ser>
          <c:idx val="3"/>
          <c:order val="3"/>
          <c:tx>
            <c:v>Seuil mini</c:v>
          </c:tx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'120625 BBdr Mas rillier'!$E$54:$W$54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'120625 BBdr Mas rillier'!$E$64:$W$64</c:f>
              <c:numCache>
                <c:formatCode>0.0</c:formatCode>
                <c:ptCount val="19"/>
                <c:pt idx="0">
                  <c:v>2.5999999999999996</c:v>
                </c:pt>
                <c:pt idx="5">
                  <c:v>13</c:v>
                </c:pt>
                <c:pt idx="7">
                  <c:v>84</c:v>
                </c:pt>
                <c:pt idx="18">
                  <c:v>4.4000000000000004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BEF-4F56-8309-4C8D20161007}"/>
            </c:ext>
          </c:extLst>
        </c:ser>
        <c:ser>
          <c:idx val="4"/>
          <c:order val="4"/>
          <c:tx>
            <c:v>Seuil maxi</c:v>
          </c:tx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'120625 BBdr Mas rillier'!$E$54:$W$54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'120625 BBdr Mas rillier'!$E$63:$W$63</c:f>
              <c:numCache>
                <c:formatCode>0.0</c:formatCode>
                <c:ptCount val="19"/>
                <c:pt idx="0">
                  <c:v>6.6</c:v>
                </c:pt>
                <c:pt idx="5">
                  <c:v>25</c:v>
                </c:pt>
                <c:pt idx="7" formatCode="0">
                  <c:v>100</c:v>
                </c:pt>
                <c:pt idx="18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BEF-4F56-8309-4C8D20161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Valeur mini</c:v>
                </c:tx>
                <c:xVal>
                  <c:numLit>
                    <c:formatCode>General</c:formatCode>
                    <c:ptCount val="19"/>
                    <c:pt idx="0">
                      <c:v>6.3E-2</c:v>
                    </c:pt>
                    <c:pt idx="1">
                      <c:v>0.125</c:v>
                    </c:pt>
                    <c:pt idx="2">
                      <c:v>0.25</c:v>
                    </c:pt>
                    <c:pt idx="3">
                      <c:v>0.5</c:v>
                    </c:pt>
                    <c:pt idx="4">
                      <c:v>1</c:v>
                    </c:pt>
                    <c:pt idx="5">
                      <c:v>2</c:v>
                    </c:pt>
                    <c:pt idx="6">
                      <c:v>4</c:v>
                    </c:pt>
                    <c:pt idx="7">
                      <c:v>6.3</c:v>
                    </c:pt>
                    <c:pt idx="8">
                      <c:v>8</c:v>
                    </c:pt>
                    <c:pt idx="9">
                      <c:v>10</c:v>
                    </c:pt>
                    <c:pt idx="10">
                      <c:v>12.5</c:v>
                    </c:pt>
                    <c:pt idx="11">
                      <c:v>14</c:v>
                    </c:pt>
                    <c:pt idx="12">
                      <c:v>16</c:v>
                    </c:pt>
                    <c:pt idx="13">
                      <c:v>20</c:v>
                    </c:pt>
                  </c:numLit>
                </c:xVal>
                <c:yVal>
                  <c:numLit>
                    <c:formatCode>General</c:formatCode>
                    <c:ptCount val="19"/>
                    <c:pt idx="8">
                      <c:v>10</c:v>
                    </c:pt>
                    <c:pt idx="9">
                      <c:v>10</c:v>
                    </c:pt>
                    <c:pt idx="12">
                      <c:v>50</c:v>
                    </c:pt>
                    <c:pt idx="14">
                      <c:v>70</c:v>
                    </c:pt>
                  </c:numLit>
                </c:yVal>
                <c:smooth val="1"/>
                <c:extLst>
                  <c:ext xmlns:c16="http://schemas.microsoft.com/office/drawing/2014/chart" uri="{C3380CC4-5D6E-409C-BE32-E72D297353CC}">
                    <c16:uniqueId val="{00000004-FBEF-4F56-8309-4C8D20161007}"/>
                  </c:ext>
                </c:extLst>
              </c15:ser>
            </c15:filteredScatterSeries>
          </c:ext>
        </c:extLst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18149449831669373"/>
          <c:h val="0.2715546767416404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'120625 BB Mas rillier'!$E$54:$O$54</c:f>
              <c:numCache>
                <c:formatCode>0.000</c:formatCode>
                <c:ptCount val="11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</c:numCache>
            </c:numRef>
          </c:xVal>
          <c:yVal>
            <c:numRef>
              <c:f>'120625 BB Mas rillier'!$E$61:$W$61</c:f>
              <c:numCache>
                <c:formatCode>0.0</c:formatCode>
                <c:ptCount val="19"/>
                <c:pt idx="0">
                  <c:v>8.8000000000000007</c:v>
                </c:pt>
                <c:pt idx="1">
                  <c:v>11.3</c:v>
                </c:pt>
                <c:pt idx="2">
                  <c:v>14.9</c:v>
                </c:pt>
                <c:pt idx="3">
                  <c:v>19.7</c:v>
                </c:pt>
                <c:pt idx="4">
                  <c:v>26.7</c:v>
                </c:pt>
                <c:pt idx="5">
                  <c:v>39.1</c:v>
                </c:pt>
                <c:pt idx="6">
                  <c:v>60.8</c:v>
                </c:pt>
                <c:pt idx="7">
                  <c:v>93.7</c:v>
                </c:pt>
                <c:pt idx="8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175</c:v>
                </c:pt>
                <c:pt idx="18" formatCode="0.00">
                  <c:v>5.67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AA-4AEC-925E-6B47C263DF55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'120625 BB Mas rillier'!$E$54:$W$54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'120625 BB Mas rillier'!$E$62:$W$62</c:f>
              <c:numCache>
                <c:formatCode>0.0</c:formatCode>
                <c:ptCount val="19"/>
                <c:pt idx="0">
                  <c:v>8.1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27</c:v>
                </c:pt>
                <c:pt idx="5">
                  <c:v>39</c:v>
                </c:pt>
                <c:pt idx="6">
                  <c:v>59</c:v>
                </c:pt>
                <c:pt idx="7">
                  <c:v>93</c:v>
                </c:pt>
                <c:pt idx="8" formatCode="0">
                  <c:v>100</c:v>
                </c:pt>
                <c:pt idx="18" formatCode="0.00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BAA-4AEC-925E-6B47C263DF55}"/>
            </c:ext>
          </c:extLst>
        </c:ser>
        <c:ser>
          <c:idx val="3"/>
          <c:order val="3"/>
          <c:tx>
            <c:v>Seuil mini</c:v>
          </c:tx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'120625 BB Mas rillier'!$E$54:$W$54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'120625 BB Mas rillier'!$E$64:$W$64</c:f>
              <c:numCache>
                <c:formatCode>0.0</c:formatCode>
                <c:ptCount val="19"/>
                <c:pt idx="0">
                  <c:v>6.1</c:v>
                </c:pt>
                <c:pt idx="5">
                  <c:v>33</c:v>
                </c:pt>
                <c:pt idx="7">
                  <c:v>86</c:v>
                </c:pt>
                <c:pt idx="18">
                  <c:v>5.5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BAA-4AEC-925E-6B47C263DF55}"/>
            </c:ext>
          </c:extLst>
        </c:ser>
        <c:ser>
          <c:idx val="4"/>
          <c:order val="4"/>
          <c:tx>
            <c:v>Seuil maxi</c:v>
          </c:tx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'120625 BB Mas rillier'!$E$54:$W$54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'120625 BB Mas rillier'!$E$63:$W$63</c:f>
              <c:numCache>
                <c:formatCode>0.0</c:formatCode>
                <c:ptCount val="19"/>
                <c:pt idx="0">
                  <c:v>10.1</c:v>
                </c:pt>
                <c:pt idx="5">
                  <c:v>45</c:v>
                </c:pt>
                <c:pt idx="7" formatCode="0">
                  <c:v>100</c:v>
                </c:pt>
                <c:pt idx="18">
                  <c:v>6.5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BAA-4AEC-925E-6B47C263D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Valeur mini</c:v>
                </c:tx>
                <c:xVal>
                  <c:numLit>
                    <c:formatCode>General</c:formatCode>
                    <c:ptCount val="19"/>
                    <c:pt idx="0">
                      <c:v>6.3E-2</c:v>
                    </c:pt>
                    <c:pt idx="1">
                      <c:v>0.125</c:v>
                    </c:pt>
                    <c:pt idx="2">
                      <c:v>0.25</c:v>
                    </c:pt>
                    <c:pt idx="3">
                      <c:v>0.5</c:v>
                    </c:pt>
                    <c:pt idx="4">
                      <c:v>1</c:v>
                    </c:pt>
                    <c:pt idx="5">
                      <c:v>2</c:v>
                    </c:pt>
                    <c:pt idx="6">
                      <c:v>4</c:v>
                    </c:pt>
                    <c:pt idx="7">
                      <c:v>6.3</c:v>
                    </c:pt>
                    <c:pt idx="8">
                      <c:v>8</c:v>
                    </c:pt>
                    <c:pt idx="9">
                      <c:v>10</c:v>
                    </c:pt>
                    <c:pt idx="10">
                      <c:v>12.5</c:v>
                    </c:pt>
                    <c:pt idx="11">
                      <c:v>14</c:v>
                    </c:pt>
                    <c:pt idx="12">
                      <c:v>16</c:v>
                    </c:pt>
                    <c:pt idx="13">
                      <c:v>20</c:v>
                    </c:pt>
                  </c:numLit>
                </c:xVal>
                <c:yVal>
                  <c:numLit>
                    <c:formatCode>General</c:formatCode>
                    <c:ptCount val="19"/>
                    <c:pt idx="8">
                      <c:v>10</c:v>
                    </c:pt>
                    <c:pt idx="9">
                      <c:v>10</c:v>
                    </c:pt>
                    <c:pt idx="12">
                      <c:v>50</c:v>
                    </c:pt>
                    <c:pt idx="14">
                      <c:v>70</c:v>
                    </c:pt>
                  </c:numLit>
                </c:yVal>
                <c:smooth val="1"/>
                <c:extLst>
                  <c:ext xmlns:c16="http://schemas.microsoft.com/office/drawing/2014/chart" uri="{C3380CC4-5D6E-409C-BE32-E72D297353CC}">
                    <c16:uniqueId val="{00000004-2BAA-4AEC-925E-6B47C263DF55}"/>
                  </c:ext>
                </c:extLst>
              </c15:ser>
            </c15:filteredScatterSeries>
          </c:ext>
        </c:extLst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18149449831669373"/>
          <c:h val="0.2715546767416404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'210325 BBSG Brosset'!$E$52:$O$52</c:f>
              <c:numCache>
                <c:formatCode>0.000</c:formatCode>
                <c:ptCount val="11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</c:numCache>
            </c:numRef>
          </c:xVal>
          <c:yVal>
            <c:numRef>
              <c:f>'210325 BBSG Brosset'!$E$59:$W$59</c:f>
              <c:numCache>
                <c:formatCode>0.0</c:formatCode>
                <c:ptCount val="19"/>
                <c:pt idx="0">
                  <c:v>6.5</c:v>
                </c:pt>
                <c:pt idx="1">
                  <c:v>8.4</c:v>
                </c:pt>
                <c:pt idx="2">
                  <c:v>11.1</c:v>
                </c:pt>
                <c:pt idx="3">
                  <c:v>15</c:v>
                </c:pt>
                <c:pt idx="4">
                  <c:v>20</c:v>
                </c:pt>
                <c:pt idx="5">
                  <c:v>28.3</c:v>
                </c:pt>
                <c:pt idx="6">
                  <c:v>41.5</c:v>
                </c:pt>
                <c:pt idx="7">
                  <c:v>57</c:v>
                </c:pt>
                <c:pt idx="8">
                  <c:v>74.099999999999994</c:v>
                </c:pt>
                <c:pt idx="9">
                  <c:v>93.8</c:v>
                </c:pt>
                <c:pt idx="10">
                  <c:v>100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8" formatCode="0.00">
                  <c:v>5.16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86-4ABE-BA1A-466210D6AC20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'210325 BBSG Brosset'!$E$52:$W$52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'210325 BBSG Brosset'!$E$60:$W$60</c:f>
              <c:numCache>
                <c:formatCode>0.0</c:formatCode>
                <c:ptCount val="19"/>
                <c:pt idx="0">
                  <c:v>6.5</c:v>
                </c:pt>
                <c:pt idx="1">
                  <c:v>8</c:v>
                </c:pt>
                <c:pt idx="2">
                  <c:v>11</c:v>
                </c:pt>
                <c:pt idx="3">
                  <c:v>16</c:v>
                </c:pt>
                <c:pt idx="4">
                  <c:v>21</c:v>
                </c:pt>
                <c:pt idx="5">
                  <c:v>30</c:v>
                </c:pt>
                <c:pt idx="6">
                  <c:v>44</c:v>
                </c:pt>
                <c:pt idx="7">
                  <c:v>60</c:v>
                </c:pt>
                <c:pt idx="8">
                  <c:v>76</c:v>
                </c:pt>
                <c:pt idx="9">
                  <c:v>95</c:v>
                </c:pt>
                <c:pt idx="10">
                  <c:v>100</c:v>
                </c:pt>
                <c:pt idx="18" formatCode="0.00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C86-4ABE-BA1A-466210D6AC20}"/>
            </c:ext>
          </c:extLst>
        </c:ser>
        <c:ser>
          <c:idx val="2"/>
          <c:order val="2"/>
          <c:tx>
            <c:v>Valeur mini</c:v>
          </c:tx>
          <c:xVal>
            <c:numRef>
              <c:f>'[1]030325 GB Gir. Tuileries'!$E$52:$W$52</c:f>
              <c:numCache>
                <c:formatCode>General</c:formatCode>
                <c:ptCount val="19"/>
                <c:pt idx="0">
                  <c:v>6.3E-2</c:v>
                </c:pt>
                <c:pt idx="1">
                  <c:v>0.125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6.3</c:v>
                </c:pt>
                <c:pt idx="8">
                  <c:v>8</c:v>
                </c:pt>
                <c:pt idx="9">
                  <c:v>10</c:v>
                </c:pt>
                <c:pt idx="10">
                  <c:v>12.5</c:v>
                </c:pt>
                <c:pt idx="11">
                  <c:v>14</c:v>
                </c:pt>
                <c:pt idx="12">
                  <c:v>16</c:v>
                </c:pt>
                <c:pt idx="13">
                  <c:v>20</c:v>
                </c:pt>
              </c:numCache>
            </c:numRef>
          </c:xVal>
          <c:yVal>
            <c:numRef>
              <c:f>'[1]030325 GB Gir. Tuileries'!$E$58:$W$58</c:f>
              <c:numCache>
                <c:formatCode>General</c:formatCode>
                <c:ptCount val="19"/>
                <c:pt idx="8">
                  <c:v>10</c:v>
                </c:pt>
                <c:pt idx="9">
                  <c:v>10</c:v>
                </c:pt>
                <c:pt idx="12">
                  <c:v>50</c:v>
                </c:pt>
                <c:pt idx="14">
                  <c:v>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C86-4ABE-BA1A-466210D6AC20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'210325 BBSG Brosset'!$E$52:$W$52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'210325 BBSG Brosset'!$E$62:$W$62</c:f>
              <c:numCache>
                <c:formatCode>0.0</c:formatCode>
                <c:ptCount val="19"/>
                <c:pt idx="0">
                  <c:v>4.5</c:v>
                </c:pt>
                <c:pt idx="5">
                  <c:v>24</c:v>
                </c:pt>
                <c:pt idx="7">
                  <c:v>53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C86-4ABE-BA1A-466210D6AC20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'210325 BBSG Brosset'!$E$52:$W$52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'210325 BBSG Brosset'!$E$61:$W$61</c:f>
              <c:numCache>
                <c:formatCode>0.0</c:formatCode>
                <c:ptCount val="19"/>
                <c:pt idx="0">
                  <c:v>8.5</c:v>
                </c:pt>
                <c:pt idx="5">
                  <c:v>36</c:v>
                </c:pt>
                <c:pt idx="7">
                  <c:v>67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C86-4ABE-BA1A-466210D6A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'210325 BB Brosset'!$E$54:$O$54</c:f>
              <c:numCache>
                <c:formatCode>0.000</c:formatCode>
                <c:ptCount val="11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</c:numCache>
            </c:numRef>
          </c:xVal>
          <c:yVal>
            <c:numRef>
              <c:f>'210325 BB Brosset'!$E$61:$W$61</c:f>
              <c:numCache>
                <c:formatCode>0.0</c:formatCode>
                <c:ptCount val="19"/>
                <c:pt idx="0">
                  <c:v>8.5</c:v>
                </c:pt>
                <c:pt idx="1">
                  <c:v>11.2</c:v>
                </c:pt>
                <c:pt idx="2">
                  <c:v>15</c:v>
                </c:pt>
                <c:pt idx="3">
                  <c:v>20</c:v>
                </c:pt>
                <c:pt idx="4">
                  <c:v>26.7</c:v>
                </c:pt>
                <c:pt idx="5">
                  <c:v>39.4</c:v>
                </c:pt>
                <c:pt idx="6">
                  <c:v>61</c:v>
                </c:pt>
                <c:pt idx="7">
                  <c:v>93.8</c:v>
                </c:pt>
                <c:pt idx="8">
                  <c:v>99.2</c:v>
                </c:pt>
                <c:pt idx="9">
                  <c:v>99.9</c:v>
                </c:pt>
                <c:pt idx="10" formatCode="0">
                  <c:v>100</c:v>
                </c:pt>
                <c:pt idx="11" formatCode="0">
                  <c:v>0</c:v>
                </c:pt>
                <c:pt idx="12" formatCode="0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8" formatCode="0.00">
                  <c:v>5.64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46-4F02-A3BD-28D319F9A83A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'210325 BB Brosset'!$E$54:$W$54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'210325 BB Brosset'!$E$62:$W$62</c:f>
              <c:numCache>
                <c:formatCode>0.0</c:formatCode>
                <c:ptCount val="19"/>
                <c:pt idx="0">
                  <c:v>7.9</c:v>
                </c:pt>
                <c:pt idx="1">
                  <c:v>10</c:v>
                </c:pt>
                <c:pt idx="2">
                  <c:v>14</c:v>
                </c:pt>
                <c:pt idx="3">
                  <c:v>20</c:v>
                </c:pt>
                <c:pt idx="4">
                  <c:v>27</c:v>
                </c:pt>
                <c:pt idx="5">
                  <c:v>39</c:v>
                </c:pt>
                <c:pt idx="6">
                  <c:v>60</c:v>
                </c:pt>
                <c:pt idx="7">
                  <c:v>97</c:v>
                </c:pt>
                <c:pt idx="8" formatCode="0">
                  <c:v>100</c:v>
                </c:pt>
                <c:pt idx="18" formatCode="0.00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846-4F02-A3BD-28D319F9A83A}"/>
            </c:ext>
          </c:extLst>
        </c:ser>
        <c:ser>
          <c:idx val="3"/>
          <c:order val="3"/>
          <c:tx>
            <c:v>Seuil mini</c:v>
          </c:tx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'210325 BB Brosset'!$E$54:$W$54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'210325 BB Brosset'!$E$64:$W$64</c:f>
              <c:numCache>
                <c:formatCode>0.0</c:formatCode>
                <c:ptCount val="19"/>
                <c:pt idx="0">
                  <c:v>5.9</c:v>
                </c:pt>
                <c:pt idx="5">
                  <c:v>33</c:v>
                </c:pt>
                <c:pt idx="7">
                  <c:v>90</c:v>
                </c:pt>
                <c:pt idx="18">
                  <c:v>5.5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846-4F02-A3BD-28D319F9A83A}"/>
            </c:ext>
          </c:extLst>
        </c:ser>
        <c:ser>
          <c:idx val="4"/>
          <c:order val="4"/>
          <c:tx>
            <c:v>Seuil maxi</c:v>
          </c:tx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'210325 BB Brosset'!$E$54:$W$54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'210325 BB Brosset'!$E$63:$W$63</c:f>
              <c:numCache>
                <c:formatCode>0.0</c:formatCode>
                <c:ptCount val="19"/>
                <c:pt idx="0">
                  <c:v>9.9</c:v>
                </c:pt>
                <c:pt idx="5">
                  <c:v>45</c:v>
                </c:pt>
                <c:pt idx="7">
                  <c:v>100</c:v>
                </c:pt>
                <c:pt idx="18">
                  <c:v>6.5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846-4F02-A3BD-28D319F9A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Valeur mini</c:v>
                </c:tx>
                <c:xVal>
                  <c:numLit>
                    <c:formatCode>General</c:formatCode>
                    <c:ptCount val="19"/>
                    <c:pt idx="0">
                      <c:v>6.3E-2</c:v>
                    </c:pt>
                    <c:pt idx="1">
                      <c:v>0.125</c:v>
                    </c:pt>
                    <c:pt idx="2">
                      <c:v>0.25</c:v>
                    </c:pt>
                    <c:pt idx="3">
                      <c:v>0.5</c:v>
                    </c:pt>
                    <c:pt idx="4">
                      <c:v>1</c:v>
                    </c:pt>
                    <c:pt idx="5">
                      <c:v>2</c:v>
                    </c:pt>
                    <c:pt idx="6">
                      <c:v>4</c:v>
                    </c:pt>
                    <c:pt idx="7">
                      <c:v>6.3</c:v>
                    </c:pt>
                    <c:pt idx="8">
                      <c:v>8</c:v>
                    </c:pt>
                    <c:pt idx="9">
                      <c:v>10</c:v>
                    </c:pt>
                    <c:pt idx="10">
                      <c:v>12.5</c:v>
                    </c:pt>
                    <c:pt idx="11">
                      <c:v>14</c:v>
                    </c:pt>
                    <c:pt idx="12">
                      <c:v>16</c:v>
                    </c:pt>
                    <c:pt idx="13">
                      <c:v>20</c:v>
                    </c:pt>
                  </c:numLit>
                </c:xVal>
                <c:yVal>
                  <c:numLit>
                    <c:formatCode>General</c:formatCode>
                    <c:ptCount val="19"/>
                    <c:pt idx="8">
                      <c:v>10</c:v>
                    </c:pt>
                    <c:pt idx="9">
                      <c:v>10</c:v>
                    </c:pt>
                    <c:pt idx="12">
                      <c:v>50</c:v>
                    </c:pt>
                    <c:pt idx="14">
                      <c:v>70</c:v>
                    </c:pt>
                  </c:numLit>
                </c:yVal>
                <c:smooth val="1"/>
                <c:extLst>
                  <c:ext xmlns:c16="http://schemas.microsoft.com/office/drawing/2014/chart" uri="{C3380CC4-5D6E-409C-BE32-E72D297353CC}">
                    <c16:uniqueId val="{00000004-8846-4F02-A3BD-28D319F9A83A}"/>
                  </c:ext>
                </c:extLst>
              </c15:ser>
            </c15:filteredScatterSeries>
          </c:ext>
        </c:extLst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18149449831669373"/>
          <c:h val="0.2715546767416404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tx>
            <c:v>courbe moyennne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'210325 GB Brosset'!$E$54:$W$54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'210325 GB Brosset'!$E$61:$W$61</c:f>
              <c:numCache>
                <c:formatCode>0.0</c:formatCode>
                <c:ptCount val="19"/>
                <c:pt idx="0">
                  <c:v>6.7</c:v>
                </c:pt>
                <c:pt idx="1">
                  <c:v>8.9</c:v>
                </c:pt>
                <c:pt idx="2">
                  <c:v>12.1</c:v>
                </c:pt>
                <c:pt idx="3">
                  <c:v>15.8</c:v>
                </c:pt>
                <c:pt idx="4">
                  <c:v>20.6</c:v>
                </c:pt>
                <c:pt idx="5">
                  <c:v>28</c:v>
                </c:pt>
                <c:pt idx="6">
                  <c:v>41.5</c:v>
                </c:pt>
                <c:pt idx="7">
                  <c:v>53.3</c:v>
                </c:pt>
                <c:pt idx="8">
                  <c:v>64.3</c:v>
                </c:pt>
                <c:pt idx="9">
                  <c:v>80</c:v>
                </c:pt>
                <c:pt idx="10" formatCode="0">
                  <c:v>88.4</c:v>
                </c:pt>
                <c:pt idx="11" formatCode="0">
                  <c:v>93.6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8" formatCode="0.00">
                  <c:v>3.98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65-498C-9099-101D309CB4A3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'210325 GB Brosset'!$E$54:$W$54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'210325 GB Brosset'!$E$62:$W$62</c:f>
              <c:numCache>
                <c:formatCode>0.0</c:formatCode>
                <c:ptCount val="19"/>
                <c:pt idx="0">
                  <c:v>6.5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47</c:v>
                </c:pt>
                <c:pt idx="7">
                  <c:v>59</c:v>
                </c:pt>
                <c:pt idx="8">
                  <c:v>65</c:v>
                </c:pt>
                <c:pt idx="9">
                  <c:v>74</c:v>
                </c:pt>
                <c:pt idx="10">
                  <c:v>90</c:v>
                </c:pt>
                <c:pt idx="11">
                  <c:v>97</c:v>
                </c:pt>
                <c:pt idx="12" formatCode="0">
                  <c:v>100</c:v>
                </c:pt>
                <c:pt idx="18" formatCode="0.00">
                  <c:v>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465-498C-9099-101D309CB4A3}"/>
            </c:ext>
          </c:extLst>
        </c:ser>
        <c:ser>
          <c:idx val="3"/>
          <c:order val="3"/>
          <c:tx>
            <c:v>Seuil mini</c:v>
          </c:tx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'210325 GB Brosset'!$E$54:$W$54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'210325 GB Brosset'!$E$64:$W$64</c:f>
              <c:numCache>
                <c:formatCode>0.0</c:formatCode>
                <c:ptCount val="19"/>
                <c:pt idx="0">
                  <c:v>4.5</c:v>
                </c:pt>
                <c:pt idx="5">
                  <c:v>26</c:v>
                </c:pt>
                <c:pt idx="7">
                  <c:v>52</c:v>
                </c:pt>
                <c:pt idx="18">
                  <c:v>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465-498C-9099-101D309CB4A3}"/>
            </c:ext>
          </c:extLst>
        </c:ser>
        <c:ser>
          <c:idx val="4"/>
          <c:order val="4"/>
          <c:tx>
            <c:v>Seuil maxi</c:v>
          </c:tx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'210325 GB Brosset'!$E$54:$W$54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'210325 GB Brosset'!$E$63:$W$63</c:f>
              <c:numCache>
                <c:formatCode>0.0</c:formatCode>
                <c:ptCount val="19"/>
                <c:pt idx="0">
                  <c:v>8.5</c:v>
                </c:pt>
                <c:pt idx="5">
                  <c:v>38</c:v>
                </c:pt>
                <c:pt idx="7">
                  <c:v>66</c:v>
                </c:pt>
                <c:pt idx="18">
                  <c:v>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465-498C-9099-101D309CB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Valeur mini</c:v>
                </c:tx>
                <c:xVal>
                  <c:numLit>
                    <c:formatCode>General</c:formatCode>
                    <c:ptCount val="19"/>
                    <c:pt idx="0">
                      <c:v>6.3E-2</c:v>
                    </c:pt>
                    <c:pt idx="1">
                      <c:v>0.125</c:v>
                    </c:pt>
                    <c:pt idx="2">
                      <c:v>0.25</c:v>
                    </c:pt>
                    <c:pt idx="3">
                      <c:v>0.5</c:v>
                    </c:pt>
                    <c:pt idx="4">
                      <c:v>1</c:v>
                    </c:pt>
                    <c:pt idx="5">
                      <c:v>2</c:v>
                    </c:pt>
                    <c:pt idx="6">
                      <c:v>4</c:v>
                    </c:pt>
                    <c:pt idx="7">
                      <c:v>6.3</c:v>
                    </c:pt>
                    <c:pt idx="8">
                      <c:v>8</c:v>
                    </c:pt>
                    <c:pt idx="9">
                      <c:v>10</c:v>
                    </c:pt>
                    <c:pt idx="10">
                      <c:v>12.5</c:v>
                    </c:pt>
                    <c:pt idx="11">
                      <c:v>14</c:v>
                    </c:pt>
                    <c:pt idx="12">
                      <c:v>16</c:v>
                    </c:pt>
                    <c:pt idx="13">
                      <c:v>20</c:v>
                    </c:pt>
                  </c:numLit>
                </c:xVal>
                <c:yVal>
                  <c:numLit>
                    <c:formatCode>General</c:formatCode>
                    <c:ptCount val="19"/>
                    <c:pt idx="8">
                      <c:v>10</c:v>
                    </c:pt>
                    <c:pt idx="9">
                      <c:v>10</c:v>
                    </c:pt>
                    <c:pt idx="12">
                      <c:v>50</c:v>
                    </c:pt>
                    <c:pt idx="14">
                      <c:v>70</c:v>
                    </c:pt>
                  </c:numLit>
                </c:yVal>
                <c:smooth val="1"/>
                <c:extLst>
                  <c:ext xmlns:c16="http://schemas.microsoft.com/office/drawing/2014/chart" uri="{C3380CC4-5D6E-409C-BE32-E72D297353CC}">
                    <c16:uniqueId val="{00000004-2465-498C-9099-101D309CB4A3}"/>
                  </c:ext>
                </c:extLst>
              </c15:ser>
            </c15:filteredScatterSeries>
          </c:ext>
        </c:extLst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18149449831669373"/>
          <c:h val="0.2715546767416404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'060325 BB'!$E$54:$N$54</c:f>
              <c:numCache>
                <c:formatCode>0.000</c:formatCode>
                <c:ptCount val="10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</c:numCache>
            </c:numRef>
          </c:xVal>
          <c:yVal>
            <c:numRef>
              <c:f>'060325 BB'!$E$61:$W$61</c:f>
              <c:numCache>
                <c:formatCode>0.0</c:formatCode>
                <c:ptCount val="19"/>
                <c:pt idx="0">
                  <c:v>8.5</c:v>
                </c:pt>
                <c:pt idx="1">
                  <c:v>11.2</c:v>
                </c:pt>
                <c:pt idx="2">
                  <c:v>15.2</c:v>
                </c:pt>
                <c:pt idx="3">
                  <c:v>20</c:v>
                </c:pt>
                <c:pt idx="4">
                  <c:v>26.7</c:v>
                </c:pt>
                <c:pt idx="5">
                  <c:v>38.1</c:v>
                </c:pt>
                <c:pt idx="6">
                  <c:v>58.4</c:v>
                </c:pt>
                <c:pt idx="7">
                  <c:v>93.4</c:v>
                </c:pt>
                <c:pt idx="8">
                  <c:v>99.2</c:v>
                </c:pt>
                <c:pt idx="9">
                  <c:v>100</c:v>
                </c:pt>
                <c:pt idx="10" formatCode="0">
                  <c:v>0</c:v>
                </c:pt>
                <c:pt idx="11" formatCode="0">
                  <c:v>0</c:v>
                </c:pt>
                <c:pt idx="12" formatCode="0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8" formatCode="0.00">
                  <c:v>6.03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1E-457B-8A13-DA7886A506C5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'060325 BB'!$E$54:$W$54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'060325 BB'!$E$62:$W$62</c:f>
              <c:numCache>
                <c:formatCode>0.0</c:formatCode>
                <c:ptCount val="19"/>
                <c:pt idx="0">
                  <c:v>7.9</c:v>
                </c:pt>
                <c:pt idx="1">
                  <c:v>10</c:v>
                </c:pt>
                <c:pt idx="2">
                  <c:v>14</c:v>
                </c:pt>
                <c:pt idx="3">
                  <c:v>20</c:v>
                </c:pt>
                <c:pt idx="4">
                  <c:v>27</c:v>
                </c:pt>
                <c:pt idx="5">
                  <c:v>39</c:v>
                </c:pt>
                <c:pt idx="6">
                  <c:v>60</c:v>
                </c:pt>
                <c:pt idx="7">
                  <c:v>97</c:v>
                </c:pt>
                <c:pt idx="8">
                  <c:v>100</c:v>
                </c:pt>
                <c:pt idx="18" formatCode="0.00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B1E-457B-8A13-DA7886A506C5}"/>
            </c:ext>
          </c:extLst>
        </c:ser>
        <c:ser>
          <c:idx val="3"/>
          <c:order val="3"/>
          <c:tx>
            <c:v>Seuil mini</c:v>
          </c:tx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'060325 BB'!$E$54:$W$54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'060325 BB'!$E$64:$W$64</c:f>
              <c:numCache>
                <c:formatCode>0.0</c:formatCode>
                <c:ptCount val="19"/>
                <c:pt idx="0">
                  <c:v>5.9</c:v>
                </c:pt>
                <c:pt idx="5">
                  <c:v>33</c:v>
                </c:pt>
                <c:pt idx="7">
                  <c:v>90</c:v>
                </c:pt>
                <c:pt idx="18">
                  <c:v>5.5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B1E-457B-8A13-DA7886A506C5}"/>
            </c:ext>
          </c:extLst>
        </c:ser>
        <c:ser>
          <c:idx val="4"/>
          <c:order val="4"/>
          <c:tx>
            <c:v>Seuil maxi</c:v>
          </c:tx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'060325 BB'!$E$54:$W$54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'060325 BB'!$E$63:$W$63</c:f>
              <c:numCache>
                <c:formatCode>0.0</c:formatCode>
                <c:ptCount val="19"/>
                <c:pt idx="0">
                  <c:v>9.9</c:v>
                </c:pt>
                <c:pt idx="5">
                  <c:v>45</c:v>
                </c:pt>
                <c:pt idx="7">
                  <c:v>100</c:v>
                </c:pt>
                <c:pt idx="18">
                  <c:v>6.5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B1E-457B-8A13-DA7886A50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Valeur mini</c:v>
                </c:tx>
                <c:xVal>
                  <c:numLit>
                    <c:formatCode>General</c:formatCode>
                    <c:ptCount val="19"/>
                    <c:pt idx="0">
                      <c:v>6.3E-2</c:v>
                    </c:pt>
                    <c:pt idx="1">
                      <c:v>0.125</c:v>
                    </c:pt>
                    <c:pt idx="2">
                      <c:v>0.25</c:v>
                    </c:pt>
                    <c:pt idx="3">
                      <c:v>0.5</c:v>
                    </c:pt>
                    <c:pt idx="4">
                      <c:v>1</c:v>
                    </c:pt>
                    <c:pt idx="5">
                      <c:v>2</c:v>
                    </c:pt>
                    <c:pt idx="6">
                      <c:v>4</c:v>
                    </c:pt>
                    <c:pt idx="7">
                      <c:v>6.3</c:v>
                    </c:pt>
                    <c:pt idx="8">
                      <c:v>8</c:v>
                    </c:pt>
                    <c:pt idx="9">
                      <c:v>10</c:v>
                    </c:pt>
                    <c:pt idx="10">
                      <c:v>12.5</c:v>
                    </c:pt>
                    <c:pt idx="11">
                      <c:v>14</c:v>
                    </c:pt>
                    <c:pt idx="12">
                      <c:v>16</c:v>
                    </c:pt>
                    <c:pt idx="13">
                      <c:v>20</c:v>
                    </c:pt>
                  </c:numLit>
                </c:xVal>
                <c:yVal>
                  <c:numLit>
                    <c:formatCode>General</c:formatCode>
                    <c:ptCount val="19"/>
                    <c:pt idx="8">
                      <c:v>10</c:v>
                    </c:pt>
                    <c:pt idx="9">
                      <c:v>10</c:v>
                    </c:pt>
                    <c:pt idx="12">
                      <c:v>50</c:v>
                    </c:pt>
                    <c:pt idx="14">
                      <c:v>70</c:v>
                    </c:pt>
                  </c:numLit>
                </c:yVal>
                <c:smooth val="1"/>
                <c:extLst>
                  <c:ext xmlns:c16="http://schemas.microsoft.com/office/drawing/2014/chart" uri="{C3380CC4-5D6E-409C-BE32-E72D297353CC}">
                    <c16:uniqueId val="{00000004-5B1E-457B-8A13-DA7886A506C5}"/>
                  </c:ext>
                </c:extLst>
              </c15:ser>
            </c15:filteredScatterSeries>
          </c:ext>
        </c:extLst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18149449831669373"/>
          <c:h val="0.2715546767416404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2.xml"/><Relationship Id="rId4" Type="http://schemas.openxmlformats.org/officeDocument/2006/relationships/image" Target="../media/image3.jp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3.xml"/><Relationship Id="rId4" Type="http://schemas.openxmlformats.org/officeDocument/2006/relationships/image" Target="../media/image3.jp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4.xml"/><Relationship Id="rId4" Type="http://schemas.openxmlformats.org/officeDocument/2006/relationships/image" Target="../media/image3.jp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5.xml"/><Relationship Id="rId4" Type="http://schemas.openxmlformats.org/officeDocument/2006/relationships/image" Target="../media/image3.jp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6.xml"/><Relationship Id="rId4" Type="http://schemas.openxmlformats.org/officeDocument/2006/relationships/image" Target="../media/image3.jp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14.xml"/><Relationship Id="rId4" Type="http://schemas.openxmlformats.org/officeDocument/2006/relationships/image" Target="../media/image3.jp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15.xml"/><Relationship Id="rId4" Type="http://schemas.openxmlformats.org/officeDocument/2006/relationships/image" Target="../media/image3.jp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16.xml"/><Relationship Id="rId4" Type="http://schemas.openxmlformats.org/officeDocument/2006/relationships/image" Target="../media/image3.jp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17.xml"/><Relationship Id="rId4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179070</xdr:rowOff>
    </xdr:from>
    <xdr:to>
      <xdr:col>25</xdr:col>
      <xdr:colOff>171450</xdr:colOff>
      <xdr:row>48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133291C-B354-43E1-BD72-7069672B94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64</xdr:row>
      <xdr:rowOff>0</xdr:rowOff>
    </xdr:from>
    <xdr:to>
      <xdr:col>24</xdr:col>
      <xdr:colOff>104775</xdr:colOff>
      <xdr:row>64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F0CF0613-0FEE-4EEF-9E6A-69B5CF258F45}"/>
            </a:ext>
          </a:extLst>
        </xdr:cNvPr>
        <xdr:cNvSpPr>
          <a:spLocks noChangeShapeType="1"/>
        </xdr:cNvSpPr>
      </xdr:nvSpPr>
      <xdr:spPr bwMode="auto">
        <a:xfrm>
          <a:off x="8561070" y="117348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43</xdr:row>
      <xdr:rowOff>66675</xdr:rowOff>
    </xdr:from>
    <xdr:to>
      <xdr:col>30</xdr:col>
      <xdr:colOff>171450</xdr:colOff>
      <xdr:row>46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F2484EF6-5249-418F-A0F9-96BB78A62A1C}"/>
            </a:ext>
          </a:extLst>
        </xdr:cNvPr>
        <xdr:cNvSpPr txBox="1">
          <a:spLocks noChangeArrowheads="1"/>
        </xdr:cNvSpPr>
      </xdr:nvSpPr>
      <xdr:spPr bwMode="auto">
        <a:xfrm>
          <a:off x="8789670" y="7456170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44</xdr:row>
      <xdr:rowOff>28576</xdr:rowOff>
    </xdr:from>
    <xdr:to>
      <xdr:col>30</xdr:col>
      <xdr:colOff>533400</xdr:colOff>
      <xdr:row>46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62656DBF-0CBF-49B1-ADBA-5CA9926B917E}"/>
            </a:ext>
          </a:extLst>
        </xdr:cNvPr>
        <xdr:cNvSpPr>
          <a:spLocks noChangeShapeType="1"/>
        </xdr:cNvSpPr>
      </xdr:nvSpPr>
      <xdr:spPr bwMode="auto">
        <a:xfrm>
          <a:off x="12037695" y="7579996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46</xdr:row>
      <xdr:rowOff>104775</xdr:rowOff>
    </xdr:from>
    <xdr:to>
      <xdr:col>25</xdr:col>
      <xdr:colOff>295275</xdr:colOff>
      <xdr:row>49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F4FFF642-969D-4F01-803B-53B8CA1E0C71}"/>
            </a:ext>
          </a:extLst>
        </xdr:cNvPr>
        <xdr:cNvSpPr>
          <a:spLocks noChangeShapeType="1"/>
        </xdr:cNvSpPr>
      </xdr:nvSpPr>
      <xdr:spPr bwMode="auto">
        <a:xfrm flipH="1">
          <a:off x="9088755" y="7980045"/>
          <a:ext cx="15240" cy="75057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038C38AD-B4F5-4040-9A92-566F01F96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64</xdr:row>
      <xdr:rowOff>152400</xdr:rowOff>
    </xdr:from>
    <xdr:to>
      <xdr:col>32</xdr:col>
      <xdr:colOff>400050</xdr:colOff>
      <xdr:row>65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7C7AEC81-0DD8-4446-ADE7-7B1CF053B0FF}"/>
            </a:ext>
          </a:extLst>
        </xdr:cNvPr>
        <xdr:cNvSpPr txBox="1">
          <a:spLocks noChangeArrowheads="1"/>
        </xdr:cNvSpPr>
      </xdr:nvSpPr>
      <xdr:spPr bwMode="auto">
        <a:xfrm>
          <a:off x="11344275" y="11887200"/>
          <a:ext cx="2472690" cy="2762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115</xdr:row>
      <xdr:rowOff>57150</xdr:rowOff>
    </xdr:from>
    <xdr:to>
      <xdr:col>41</xdr:col>
      <xdr:colOff>323850</xdr:colOff>
      <xdr:row>116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5AA68D2B-CEF7-4879-A921-C2B1785BED26}"/>
            </a:ext>
          </a:extLst>
        </xdr:cNvPr>
        <xdr:cNvSpPr>
          <a:spLocks noChangeShapeType="1"/>
        </xdr:cNvSpPr>
      </xdr:nvSpPr>
      <xdr:spPr bwMode="auto">
        <a:xfrm flipH="1">
          <a:off x="20770215" y="2061781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61</xdr:row>
      <xdr:rowOff>19049</xdr:rowOff>
    </xdr:from>
    <xdr:to>
      <xdr:col>29</xdr:col>
      <xdr:colOff>257175</xdr:colOff>
      <xdr:row>64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9B302B6F-1347-4667-9F5B-795DA1BD5FB5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405234"/>
          <a:ext cx="6772275" cy="5314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320040</xdr:colOff>
      <xdr:row>3</xdr:row>
      <xdr:rowOff>135255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7528ABAB-1AAD-43E0-B2BB-7FDE76AB5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0645" cy="3295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179070</xdr:rowOff>
    </xdr:from>
    <xdr:to>
      <xdr:col>25</xdr:col>
      <xdr:colOff>171450</xdr:colOff>
      <xdr:row>48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ACED22A-92E7-418C-B56E-D4DCEE4310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64</xdr:row>
      <xdr:rowOff>0</xdr:rowOff>
    </xdr:from>
    <xdr:to>
      <xdr:col>24</xdr:col>
      <xdr:colOff>104775</xdr:colOff>
      <xdr:row>64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51DB624A-C47E-404F-AC8A-7597B5322F18}"/>
            </a:ext>
          </a:extLst>
        </xdr:cNvPr>
        <xdr:cNvSpPr>
          <a:spLocks noChangeShapeType="1"/>
        </xdr:cNvSpPr>
      </xdr:nvSpPr>
      <xdr:spPr bwMode="auto">
        <a:xfrm>
          <a:off x="8561070" y="117348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43</xdr:row>
      <xdr:rowOff>66675</xdr:rowOff>
    </xdr:from>
    <xdr:to>
      <xdr:col>30</xdr:col>
      <xdr:colOff>171450</xdr:colOff>
      <xdr:row>46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D3C6F2D8-F292-4587-8AEE-0BDC708C34A9}"/>
            </a:ext>
          </a:extLst>
        </xdr:cNvPr>
        <xdr:cNvSpPr txBox="1">
          <a:spLocks noChangeArrowheads="1"/>
        </xdr:cNvSpPr>
      </xdr:nvSpPr>
      <xdr:spPr bwMode="auto">
        <a:xfrm>
          <a:off x="8789670" y="7456170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44</xdr:row>
      <xdr:rowOff>28576</xdr:rowOff>
    </xdr:from>
    <xdr:to>
      <xdr:col>30</xdr:col>
      <xdr:colOff>533400</xdr:colOff>
      <xdr:row>46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D8ED609D-1967-454C-A662-AB8A3BFC28B3}"/>
            </a:ext>
          </a:extLst>
        </xdr:cNvPr>
        <xdr:cNvSpPr>
          <a:spLocks noChangeShapeType="1"/>
        </xdr:cNvSpPr>
      </xdr:nvSpPr>
      <xdr:spPr bwMode="auto">
        <a:xfrm>
          <a:off x="12037695" y="7579996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46</xdr:row>
      <xdr:rowOff>104775</xdr:rowOff>
    </xdr:from>
    <xdr:to>
      <xdr:col>25</xdr:col>
      <xdr:colOff>295275</xdr:colOff>
      <xdr:row>49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C58F2C51-6480-4C36-ADE4-7774C551ED84}"/>
            </a:ext>
          </a:extLst>
        </xdr:cNvPr>
        <xdr:cNvSpPr>
          <a:spLocks noChangeShapeType="1"/>
        </xdr:cNvSpPr>
      </xdr:nvSpPr>
      <xdr:spPr bwMode="auto">
        <a:xfrm flipH="1">
          <a:off x="9088755" y="7980045"/>
          <a:ext cx="15240" cy="75057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8D1A99F6-85B2-4BF3-9F25-B6C187B00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64</xdr:row>
      <xdr:rowOff>152400</xdr:rowOff>
    </xdr:from>
    <xdr:to>
      <xdr:col>32</xdr:col>
      <xdr:colOff>400050</xdr:colOff>
      <xdr:row>65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38332F99-C32F-461A-80AA-0B7DE31F118B}"/>
            </a:ext>
          </a:extLst>
        </xdr:cNvPr>
        <xdr:cNvSpPr txBox="1">
          <a:spLocks noChangeArrowheads="1"/>
        </xdr:cNvSpPr>
      </xdr:nvSpPr>
      <xdr:spPr bwMode="auto">
        <a:xfrm>
          <a:off x="11344275" y="11887200"/>
          <a:ext cx="2472690" cy="2762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115</xdr:row>
      <xdr:rowOff>57150</xdr:rowOff>
    </xdr:from>
    <xdr:to>
      <xdr:col>41</xdr:col>
      <xdr:colOff>323850</xdr:colOff>
      <xdr:row>116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393BF773-6EF5-435D-BB11-695430201BC9}"/>
            </a:ext>
          </a:extLst>
        </xdr:cNvPr>
        <xdr:cNvSpPr>
          <a:spLocks noChangeShapeType="1"/>
        </xdr:cNvSpPr>
      </xdr:nvSpPr>
      <xdr:spPr bwMode="auto">
        <a:xfrm flipH="1">
          <a:off x="20770215" y="2061781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61</xdr:row>
      <xdr:rowOff>19049</xdr:rowOff>
    </xdr:from>
    <xdr:to>
      <xdr:col>29</xdr:col>
      <xdr:colOff>257175</xdr:colOff>
      <xdr:row>64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92C46C34-39D0-40FE-B07B-9367C9B8AB3D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405234"/>
          <a:ext cx="6772275" cy="5314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131445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4568A40B-BD5F-4270-AFD0-CC1DDC684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0645" cy="3295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161925</xdr:colOff>
      <xdr:row>68</xdr:row>
      <xdr:rowOff>76200</xdr:rowOff>
    </xdr:from>
    <xdr:to>
      <xdr:col>24</xdr:col>
      <xdr:colOff>349256</xdr:colOff>
      <xdr:row>71</xdr:row>
      <xdr:rowOff>102870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18C030D3-077B-FB6F-988F-E4ECD80C9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12877800"/>
          <a:ext cx="1597031" cy="6267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26</xdr:row>
      <xdr:rowOff>123825</xdr:rowOff>
    </xdr:from>
    <xdr:to>
      <xdr:col>25</xdr:col>
      <xdr:colOff>171450</xdr:colOff>
      <xdr:row>50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31E7EC1-CC09-41A9-B6A5-061FBEF62F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66</xdr:row>
      <xdr:rowOff>0</xdr:rowOff>
    </xdr:from>
    <xdr:to>
      <xdr:col>24</xdr:col>
      <xdr:colOff>104775</xdr:colOff>
      <xdr:row>66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DDAF4AE6-D47D-4DBC-A7F5-DF55E0C86F25}"/>
            </a:ext>
          </a:extLst>
        </xdr:cNvPr>
        <xdr:cNvSpPr>
          <a:spLocks noChangeShapeType="1"/>
        </xdr:cNvSpPr>
      </xdr:nvSpPr>
      <xdr:spPr bwMode="auto">
        <a:xfrm>
          <a:off x="8561070" y="114966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44</xdr:row>
      <xdr:rowOff>66675</xdr:rowOff>
    </xdr:from>
    <xdr:to>
      <xdr:col>30</xdr:col>
      <xdr:colOff>171450</xdr:colOff>
      <xdr:row>49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B79D1F47-077E-4D3F-B0BA-7D3A21AF4F93}"/>
            </a:ext>
          </a:extLst>
        </xdr:cNvPr>
        <xdr:cNvSpPr txBox="1">
          <a:spLocks noChangeArrowheads="1"/>
        </xdr:cNvSpPr>
      </xdr:nvSpPr>
      <xdr:spPr bwMode="auto">
        <a:xfrm>
          <a:off x="8789670" y="7370445"/>
          <a:ext cx="3236595" cy="8362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45</xdr:row>
      <xdr:rowOff>28576</xdr:rowOff>
    </xdr:from>
    <xdr:to>
      <xdr:col>30</xdr:col>
      <xdr:colOff>533400</xdr:colOff>
      <xdr:row>49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665818F0-1346-491F-B7D3-E3CD6F3EF431}"/>
            </a:ext>
          </a:extLst>
        </xdr:cNvPr>
        <xdr:cNvSpPr>
          <a:spLocks noChangeShapeType="1"/>
        </xdr:cNvSpPr>
      </xdr:nvSpPr>
      <xdr:spPr bwMode="auto">
        <a:xfrm>
          <a:off x="12037695" y="7494271"/>
          <a:ext cx="354330" cy="7086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49</xdr:row>
      <xdr:rowOff>104775</xdr:rowOff>
    </xdr:from>
    <xdr:to>
      <xdr:col>25</xdr:col>
      <xdr:colOff>295275</xdr:colOff>
      <xdr:row>51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C463E78F-C3BB-4421-9429-C03345B39A68}"/>
            </a:ext>
          </a:extLst>
        </xdr:cNvPr>
        <xdr:cNvSpPr>
          <a:spLocks noChangeShapeType="1"/>
        </xdr:cNvSpPr>
      </xdr:nvSpPr>
      <xdr:spPr bwMode="auto">
        <a:xfrm flipH="1">
          <a:off x="9088755" y="821817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B3E721ED-6084-4FB6-A0EF-CDB2E4301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66</xdr:row>
      <xdr:rowOff>152400</xdr:rowOff>
    </xdr:from>
    <xdr:to>
      <xdr:col>32</xdr:col>
      <xdr:colOff>400050</xdr:colOff>
      <xdr:row>67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E15A404A-324E-4991-BCA6-5254DF0553C5}"/>
            </a:ext>
          </a:extLst>
        </xdr:cNvPr>
        <xdr:cNvSpPr txBox="1">
          <a:spLocks noChangeArrowheads="1"/>
        </xdr:cNvSpPr>
      </xdr:nvSpPr>
      <xdr:spPr bwMode="auto">
        <a:xfrm>
          <a:off x="11344275" y="11649075"/>
          <a:ext cx="2472690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119</xdr:row>
      <xdr:rowOff>57150</xdr:rowOff>
    </xdr:from>
    <xdr:to>
      <xdr:col>41</xdr:col>
      <xdr:colOff>323850</xdr:colOff>
      <xdr:row>120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288899C0-C563-4BC9-816B-E94B87AD3BA2}"/>
            </a:ext>
          </a:extLst>
        </xdr:cNvPr>
        <xdr:cNvSpPr>
          <a:spLocks noChangeShapeType="1"/>
        </xdr:cNvSpPr>
      </xdr:nvSpPr>
      <xdr:spPr bwMode="auto">
        <a:xfrm flipH="1">
          <a:off x="20770215" y="2080831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63</xdr:row>
      <xdr:rowOff>19049</xdr:rowOff>
    </xdr:from>
    <xdr:to>
      <xdr:col>29</xdr:col>
      <xdr:colOff>257175</xdr:colOff>
      <xdr:row>66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23217FF0-79FE-4D17-9832-7E4939264F5D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167109"/>
          <a:ext cx="6772275" cy="6838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320040</xdr:colOff>
      <xdr:row>3</xdr:row>
      <xdr:rowOff>133350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35031B3D-4DC9-49D7-A9E0-F9B59EF13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445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95250</xdr:colOff>
      <xdr:row>72</xdr:row>
      <xdr:rowOff>47625</xdr:rowOff>
    </xdr:from>
    <xdr:to>
      <xdr:col>25</xdr:col>
      <xdr:colOff>129540</xdr:colOff>
      <xdr:row>75</xdr:row>
      <xdr:rowOff>154178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9F0369CC-E62A-4F30-B226-BCD104E4D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39940" y="13041630"/>
          <a:ext cx="1804035" cy="70472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26</xdr:row>
      <xdr:rowOff>123825</xdr:rowOff>
    </xdr:from>
    <xdr:to>
      <xdr:col>25</xdr:col>
      <xdr:colOff>171450</xdr:colOff>
      <xdr:row>50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86A7CF0-F8BB-4092-949B-F0C03700AB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66</xdr:row>
      <xdr:rowOff>0</xdr:rowOff>
    </xdr:from>
    <xdr:to>
      <xdr:col>24</xdr:col>
      <xdr:colOff>104775</xdr:colOff>
      <xdr:row>66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5DBCC113-C57B-4562-8A10-F11902CB0F63}"/>
            </a:ext>
          </a:extLst>
        </xdr:cNvPr>
        <xdr:cNvSpPr>
          <a:spLocks noChangeShapeType="1"/>
        </xdr:cNvSpPr>
      </xdr:nvSpPr>
      <xdr:spPr bwMode="auto">
        <a:xfrm>
          <a:off x="8561070" y="114966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44</xdr:row>
      <xdr:rowOff>66675</xdr:rowOff>
    </xdr:from>
    <xdr:to>
      <xdr:col>30</xdr:col>
      <xdr:colOff>171450</xdr:colOff>
      <xdr:row>49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22DD7A0F-E2ED-4864-8577-16934D5A460C}"/>
            </a:ext>
          </a:extLst>
        </xdr:cNvPr>
        <xdr:cNvSpPr txBox="1">
          <a:spLocks noChangeArrowheads="1"/>
        </xdr:cNvSpPr>
      </xdr:nvSpPr>
      <xdr:spPr bwMode="auto">
        <a:xfrm>
          <a:off x="8789670" y="7370445"/>
          <a:ext cx="3236595" cy="8362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45</xdr:row>
      <xdr:rowOff>28576</xdr:rowOff>
    </xdr:from>
    <xdr:to>
      <xdr:col>30</xdr:col>
      <xdr:colOff>533400</xdr:colOff>
      <xdr:row>49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6072F9CF-ABBB-4DCD-8822-95F7097D3B1E}"/>
            </a:ext>
          </a:extLst>
        </xdr:cNvPr>
        <xdr:cNvSpPr>
          <a:spLocks noChangeShapeType="1"/>
        </xdr:cNvSpPr>
      </xdr:nvSpPr>
      <xdr:spPr bwMode="auto">
        <a:xfrm>
          <a:off x="12037695" y="7494271"/>
          <a:ext cx="354330" cy="7086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49</xdr:row>
      <xdr:rowOff>104775</xdr:rowOff>
    </xdr:from>
    <xdr:to>
      <xdr:col>25</xdr:col>
      <xdr:colOff>295275</xdr:colOff>
      <xdr:row>51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F3D0E317-D98E-45CD-B100-40579EB6F30B}"/>
            </a:ext>
          </a:extLst>
        </xdr:cNvPr>
        <xdr:cNvSpPr>
          <a:spLocks noChangeShapeType="1"/>
        </xdr:cNvSpPr>
      </xdr:nvSpPr>
      <xdr:spPr bwMode="auto">
        <a:xfrm flipH="1">
          <a:off x="9088755" y="821817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41599790-B691-4C72-930B-962BEDD9E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66</xdr:row>
      <xdr:rowOff>152400</xdr:rowOff>
    </xdr:from>
    <xdr:to>
      <xdr:col>32</xdr:col>
      <xdr:colOff>400050</xdr:colOff>
      <xdr:row>67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DCFC75F9-4B93-47B0-9AAC-FAAEDBA6969F}"/>
            </a:ext>
          </a:extLst>
        </xdr:cNvPr>
        <xdr:cNvSpPr txBox="1">
          <a:spLocks noChangeArrowheads="1"/>
        </xdr:cNvSpPr>
      </xdr:nvSpPr>
      <xdr:spPr bwMode="auto">
        <a:xfrm>
          <a:off x="11344275" y="11649075"/>
          <a:ext cx="2472690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119</xdr:row>
      <xdr:rowOff>57150</xdr:rowOff>
    </xdr:from>
    <xdr:to>
      <xdr:col>41</xdr:col>
      <xdr:colOff>323850</xdr:colOff>
      <xdr:row>120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D3CB661B-C968-4A4D-A891-4D369B1CF711}"/>
            </a:ext>
          </a:extLst>
        </xdr:cNvPr>
        <xdr:cNvSpPr>
          <a:spLocks noChangeShapeType="1"/>
        </xdr:cNvSpPr>
      </xdr:nvSpPr>
      <xdr:spPr bwMode="auto">
        <a:xfrm flipH="1">
          <a:off x="20770215" y="2080831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63</xdr:row>
      <xdr:rowOff>19049</xdr:rowOff>
    </xdr:from>
    <xdr:to>
      <xdr:col>29</xdr:col>
      <xdr:colOff>257175</xdr:colOff>
      <xdr:row>66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FCCF2460-775F-4238-9620-FC57FBE7F0BE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167109"/>
          <a:ext cx="6772275" cy="6838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320040</xdr:colOff>
      <xdr:row>3</xdr:row>
      <xdr:rowOff>133350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B36D4B14-4AA0-4949-BF65-83E362579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445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95250</xdr:colOff>
      <xdr:row>72</xdr:row>
      <xdr:rowOff>47625</xdr:rowOff>
    </xdr:from>
    <xdr:to>
      <xdr:col>25</xdr:col>
      <xdr:colOff>129540</xdr:colOff>
      <xdr:row>75</xdr:row>
      <xdr:rowOff>154178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66BCF847-0BB7-4EB5-AB81-0A2F2F097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39940" y="13041630"/>
          <a:ext cx="1804035" cy="70472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26</xdr:row>
      <xdr:rowOff>123825</xdr:rowOff>
    </xdr:from>
    <xdr:to>
      <xdr:col>25</xdr:col>
      <xdr:colOff>171450</xdr:colOff>
      <xdr:row>50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D7ADE7D-6150-46D9-97DD-3B42B8D311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66</xdr:row>
      <xdr:rowOff>0</xdr:rowOff>
    </xdr:from>
    <xdr:to>
      <xdr:col>24</xdr:col>
      <xdr:colOff>104775</xdr:colOff>
      <xdr:row>66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6637F943-B071-429A-828B-46E72E10149C}"/>
            </a:ext>
          </a:extLst>
        </xdr:cNvPr>
        <xdr:cNvSpPr>
          <a:spLocks noChangeShapeType="1"/>
        </xdr:cNvSpPr>
      </xdr:nvSpPr>
      <xdr:spPr bwMode="auto">
        <a:xfrm>
          <a:off x="8561070" y="114966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44</xdr:row>
      <xdr:rowOff>66675</xdr:rowOff>
    </xdr:from>
    <xdr:to>
      <xdr:col>30</xdr:col>
      <xdr:colOff>171450</xdr:colOff>
      <xdr:row>49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43183EED-9445-4CDF-BE6F-22948565CA9F}"/>
            </a:ext>
          </a:extLst>
        </xdr:cNvPr>
        <xdr:cNvSpPr txBox="1">
          <a:spLocks noChangeArrowheads="1"/>
        </xdr:cNvSpPr>
      </xdr:nvSpPr>
      <xdr:spPr bwMode="auto">
        <a:xfrm>
          <a:off x="8789670" y="7370445"/>
          <a:ext cx="3236595" cy="8362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45</xdr:row>
      <xdr:rowOff>28576</xdr:rowOff>
    </xdr:from>
    <xdr:to>
      <xdr:col>30</xdr:col>
      <xdr:colOff>533400</xdr:colOff>
      <xdr:row>49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C31FE741-44D4-4728-BA52-C26B85500863}"/>
            </a:ext>
          </a:extLst>
        </xdr:cNvPr>
        <xdr:cNvSpPr>
          <a:spLocks noChangeShapeType="1"/>
        </xdr:cNvSpPr>
      </xdr:nvSpPr>
      <xdr:spPr bwMode="auto">
        <a:xfrm>
          <a:off x="12037695" y="7494271"/>
          <a:ext cx="354330" cy="7086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49</xdr:row>
      <xdr:rowOff>104775</xdr:rowOff>
    </xdr:from>
    <xdr:to>
      <xdr:col>25</xdr:col>
      <xdr:colOff>295275</xdr:colOff>
      <xdr:row>51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A86E1474-297D-482B-811F-95B18EBB7898}"/>
            </a:ext>
          </a:extLst>
        </xdr:cNvPr>
        <xdr:cNvSpPr>
          <a:spLocks noChangeShapeType="1"/>
        </xdr:cNvSpPr>
      </xdr:nvSpPr>
      <xdr:spPr bwMode="auto">
        <a:xfrm flipH="1">
          <a:off x="9088755" y="821817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94926F7B-2A63-4CC5-A840-82990CD7B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66</xdr:row>
      <xdr:rowOff>152400</xdr:rowOff>
    </xdr:from>
    <xdr:to>
      <xdr:col>32</xdr:col>
      <xdr:colOff>400050</xdr:colOff>
      <xdr:row>67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A591688D-D7FF-46FE-8DBF-3719DDD476CE}"/>
            </a:ext>
          </a:extLst>
        </xdr:cNvPr>
        <xdr:cNvSpPr txBox="1">
          <a:spLocks noChangeArrowheads="1"/>
        </xdr:cNvSpPr>
      </xdr:nvSpPr>
      <xdr:spPr bwMode="auto">
        <a:xfrm>
          <a:off x="11344275" y="11649075"/>
          <a:ext cx="2472690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119</xdr:row>
      <xdr:rowOff>57150</xdr:rowOff>
    </xdr:from>
    <xdr:to>
      <xdr:col>41</xdr:col>
      <xdr:colOff>323850</xdr:colOff>
      <xdr:row>120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1010C9E9-4B76-46FF-BC0B-3540C70A4DAD}"/>
            </a:ext>
          </a:extLst>
        </xdr:cNvPr>
        <xdr:cNvSpPr>
          <a:spLocks noChangeShapeType="1"/>
        </xdr:cNvSpPr>
      </xdr:nvSpPr>
      <xdr:spPr bwMode="auto">
        <a:xfrm flipH="1">
          <a:off x="20770215" y="2080831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63</xdr:row>
      <xdr:rowOff>19049</xdr:rowOff>
    </xdr:from>
    <xdr:to>
      <xdr:col>29</xdr:col>
      <xdr:colOff>257175</xdr:colOff>
      <xdr:row>66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F36A05FD-BD6C-4899-9481-E004050B709D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167109"/>
          <a:ext cx="6772275" cy="6838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320040</xdr:colOff>
      <xdr:row>3</xdr:row>
      <xdr:rowOff>133350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0178B1A4-0C5C-4E80-AC69-81F20308F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445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95250</xdr:colOff>
      <xdr:row>72</xdr:row>
      <xdr:rowOff>47625</xdr:rowOff>
    </xdr:from>
    <xdr:to>
      <xdr:col>25</xdr:col>
      <xdr:colOff>129540</xdr:colOff>
      <xdr:row>75</xdr:row>
      <xdr:rowOff>154178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38CEE7E3-304A-4EB1-A158-603F2B752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39940" y="13041630"/>
          <a:ext cx="1804035" cy="7047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26</xdr:row>
      <xdr:rowOff>123825</xdr:rowOff>
    </xdr:from>
    <xdr:to>
      <xdr:col>25</xdr:col>
      <xdr:colOff>171450</xdr:colOff>
      <xdr:row>50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C36FBBE-FCD8-4573-87B2-D12988BC97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66</xdr:row>
      <xdr:rowOff>0</xdr:rowOff>
    </xdr:from>
    <xdr:to>
      <xdr:col>24</xdr:col>
      <xdr:colOff>104775</xdr:colOff>
      <xdr:row>66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E583F18F-1903-4E12-8E35-CD6709208050}"/>
            </a:ext>
          </a:extLst>
        </xdr:cNvPr>
        <xdr:cNvSpPr>
          <a:spLocks noChangeShapeType="1"/>
        </xdr:cNvSpPr>
      </xdr:nvSpPr>
      <xdr:spPr bwMode="auto">
        <a:xfrm>
          <a:off x="8561070" y="114966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44</xdr:row>
      <xdr:rowOff>66675</xdr:rowOff>
    </xdr:from>
    <xdr:to>
      <xdr:col>30</xdr:col>
      <xdr:colOff>171450</xdr:colOff>
      <xdr:row>49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73C35517-DADF-404E-B424-AC1165ED02D7}"/>
            </a:ext>
          </a:extLst>
        </xdr:cNvPr>
        <xdr:cNvSpPr txBox="1">
          <a:spLocks noChangeArrowheads="1"/>
        </xdr:cNvSpPr>
      </xdr:nvSpPr>
      <xdr:spPr bwMode="auto">
        <a:xfrm>
          <a:off x="8789670" y="7370445"/>
          <a:ext cx="3236595" cy="8362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45</xdr:row>
      <xdr:rowOff>28576</xdr:rowOff>
    </xdr:from>
    <xdr:to>
      <xdr:col>30</xdr:col>
      <xdr:colOff>533400</xdr:colOff>
      <xdr:row>49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B927E8D4-F2BA-4D4A-AEBB-FC067EEED60A}"/>
            </a:ext>
          </a:extLst>
        </xdr:cNvPr>
        <xdr:cNvSpPr>
          <a:spLocks noChangeShapeType="1"/>
        </xdr:cNvSpPr>
      </xdr:nvSpPr>
      <xdr:spPr bwMode="auto">
        <a:xfrm>
          <a:off x="12037695" y="7494271"/>
          <a:ext cx="354330" cy="7086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49</xdr:row>
      <xdr:rowOff>104775</xdr:rowOff>
    </xdr:from>
    <xdr:to>
      <xdr:col>25</xdr:col>
      <xdr:colOff>295275</xdr:colOff>
      <xdr:row>51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FE2EE0DF-8FD1-4C90-A8EB-152574D6BC5C}"/>
            </a:ext>
          </a:extLst>
        </xdr:cNvPr>
        <xdr:cNvSpPr>
          <a:spLocks noChangeShapeType="1"/>
        </xdr:cNvSpPr>
      </xdr:nvSpPr>
      <xdr:spPr bwMode="auto">
        <a:xfrm flipH="1">
          <a:off x="9088755" y="821817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9CD2C53D-C709-4DCE-95C1-4A88CA01E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66</xdr:row>
      <xdr:rowOff>152400</xdr:rowOff>
    </xdr:from>
    <xdr:to>
      <xdr:col>32</xdr:col>
      <xdr:colOff>400050</xdr:colOff>
      <xdr:row>67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8376242E-2413-4B10-9CED-444A25B12CCF}"/>
            </a:ext>
          </a:extLst>
        </xdr:cNvPr>
        <xdr:cNvSpPr txBox="1">
          <a:spLocks noChangeArrowheads="1"/>
        </xdr:cNvSpPr>
      </xdr:nvSpPr>
      <xdr:spPr bwMode="auto">
        <a:xfrm>
          <a:off x="11344275" y="11649075"/>
          <a:ext cx="2472690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119</xdr:row>
      <xdr:rowOff>57150</xdr:rowOff>
    </xdr:from>
    <xdr:to>
      <xdr:col>41</xdr:col>
      <xdr:colOff>323850</xdr:colOff>
      <xdr:row>120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396E63FF-4ACF-4BFF-AA33-AC2991EBCE27}"/>
            </a:ext>
          </a:extLst>
        </xdr:cNvPr>
        <xdr:cNvSpPr>
          <a:spLocks noChangeShapeType="1"/>
        </xdr:cNvSpPr>
      </xdr:nvSpPr>
      <xdr:spPr bwMode="auto">
        <a:xfrm flipH="1">
          <a:off x="20770215" y="2080831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63</xdr:row>
      <xdr:rowOff>19049</xdr:rowOff>
    </xdr:from>
    <xdr:to>
      <xdr:col>29</xdr:col>
      <xdr:colOff>257175</xdr:colOff>
      <xdr:row>66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7D8BF4DE-C899-46D8-9AEC-EBC761405CC9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167109"/>
          <a:ext cx="6772275" cy="6838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320040</xdr:colOff>
      <xdr:row>3</xdr:row>
      <xdr:rowOff>133350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D5A9D618-E846-43BE-A7A4-76CE00421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445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95250</xdr:colOff>
      <xdr:row>72</xdr:row>
      <xdr:rowOff>47625</xdr:rowOff>
    </xdr:from>
    <xdr:to>
      <xdr:col>25</xdr:col>
      <xdr:colOff>129540</xdr:colOff>
      <xdr:row>75</xdr:row>
      <xdr:rowOff>154178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1CAB8471-7E07-479D-A5A9-DC42A9820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39940" y="13041630"/>
          <a:ext cx="1804035" cy="7047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179070</xdr:rowOff>
    </xdr:from>
    <xdr:to>
      <xdr:col>25</xdr:col>
      <xdr:colOff>171450</xdr:colOff>
      <xdr:row>48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F96F9F8-1BB7-411A-AE10-982B9644B7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64</xdr:row>
      <xdr:rowOff>0</xdr:rowOff>
    </xdr:from>
    <xdr:to>
      <xdr:col>24</xdr:col>
      <xdr:colOff>104775</xdr:colOff>
      <xdr:row>64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1B134706-A8A3-47E5-BF9A-447FDB5B2958}"/>
            </a:ext>
          </a:extLst>
        </xdr:cNvPr>
        <xdr:cNvSpPr>
          <a:spLocks noChangeShapeType="1"/>
        </xdr:cNvSpPr>
      </xdr:nvSpPr>
      <xdr:spPr bwMode="auto">
        <a:xfrm>
          <a:off x="8517255" y="116433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43</xdr:row>
      <xdr:rowOff>66675</xdr:rowOff>
    </xdr:from>
    <xdr:to>
      <xdr:col>30</xdr:col>
      <xdr:colOff>171450</xdr:colOff>
      <xdr:row>46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D47DEBA6-2687-4D49-8026-2EC0FB5E0BF3}"/>
            </a:ext>
          </a:extLst>
        </xdr:cNvPr>
        <xdr:cNvSpPr txBox="1">
          <a:spLocks noChangeArrowheads="1"/>
        </xdr:cNvSpPr>
      </xdr:nvSpPr>
      <xdr:spPr bwMode="auto">
        <a:xfrm>
          <a:off x="8745855" y="739711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44</xdr:row>
      <xdr:rowOff>28576</xdr:rowOff>
    </xdr:from>
    <xdr:to>
      <xdr:col>30</xdr:col>
      <xdr:colOff>533400</xdr:colOff>
      <xdr:row>46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33AB1CDC-668F-4C54-8075-73EBC218686D}"/>
            </a:ext>
          </a:extLst>
        </xdr:cNvPr>
        <xdr:cNvSpPr>
          <a:spLocks noChangeShapeType="1"/>
        </xdr:cNvSpPr>
      </xdr:nvSpPr>
      <xdr:spPr bwMode="auto">
        <a:xfrm>
          <a:off x="11999595" y="751903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46</xdr:row>
      <xdr:rowOff>104775</xdr:rowOff>
    </xdr:from>
    <xdr:to>
      <xdr:col>25</xdr:col>
      <xdr:colOff>295275</xdr:colOff>
      <xdr:row>49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96D3761D-B3BA-4E42-9333-4A02850D0D22}"/>
            </a:ext>
          </a:extLst>
        </xdr:cNvPr>
        <xdr:cNvSpPr>
          <a:spLocks noChangeShapeType="1"/>
        </xdr:cNvSpPr>
      </xdr:nvSpPr>
      <xdr:spPr bwMode="auto">
        <a:xfrm flipH="1">
          <a:off x="9039225" y="7915275"/>
          <a:ext cx="19050" cy="752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E1337B5A-8EAA-4A9D-93B9-174835332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64</xdr:row>
      <xdr:rowOff>152400</xdr:rowOff>
    </xdr:from>
    <xdr:to>
      <xdr:col>32</xdr:col>
      <xdr:colOff>400050</xdr:colOff>
      <xdr:row>65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FA4F2C27-52B8-47D3-8C2C-7621D739F914}"/>
            </a:ext>
          </a:extLst>
        </xdr:cNvPr>
        <xdr:cNvSpPr txBox="1">
          <a:spLocks noChangeArrowheads="1"/>
        </xdr:cNvSpPr>
      </xdr:nvSpPr>
      <xdr:spPr bwMode="auto">
        <a:xfrm>
          <a:off x="11300460" y="11795760"/>
          <a:ext cx="2487930" cy="2743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115</xdr:row>
      <xdr:rowOff>57150</xdr:rowOff>
    </xdr:from>
    <xdr:to>
      <xdr:col>41</xdr:col>
      <xdr:colOff>323850</xdr:colOff>
      <xdr:row>116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DE9435C0-B691-40B3-87E7-442C28DF8458}"/>
            </a:ext>
          </a:extLst>
        </xdr:cNvPr>
        <xdr:cNvSpPr>
          <a:spLocks noChangeShapeType="1"/>
        </xdr:cNvSpPr>
      </xdr:nvSpPr>
      <xdr:spPr bwMode="auto">
        <a:xfrm flipH="1">
          <a:off x="20775930" y="2044065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61</xdr:row>
      <xdr:rowOff>19049</xdr:rowOff>
    </xdr:from>
    <xdr:to>
      <xdr:col>29</xdr:col>
      <xdr:colOff>257175</xdr:colOff>
      <xdr:row>64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1CCB1336-040F-4F74-A9D5-9A0E8D490B94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1311889"/>
          <a:ext cx="6751320" cy="5314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131445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9D054B3E-B41E-4F44-BFE8-257121F92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6835" cy="318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179070</xdr:rowOff>
    </xdr:from>
    <xdr:to>
      <xdr:col>25</xdr:col>
      <xdr:colOff>171450</xdr:colOff>
      <xdr:row>48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F979E7D-54EC-4009-AD07-CB52639ADD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64</xdr:row>
      <xdr:rowOff>0</xdr:rowOff>
    </xdr:from>
    <xdr:to>
      <xdr:col>24</xdr:col>
      <xdr:colOff>104775</xdr:colOff>
      <xdr:row>64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DB631DAB-191B-4E10-AE6E-43DD6801AC20}"/>
            </a:ext>
          </a:extLst>
        </xdr:cNvPr>
        <xdr:cNvSpPr>
          <a:spLocks noChangeShapeType="1"/>
        </xdr:cNvSpPr>
      </xdr:nvSpPr>
      <xdr:spPr bwMode="auto">
        <a:xfrm>
          <a:off x="8517255" y="116433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43</xdr:row>
      <xdr:rowOff>66675</xdr:rowOff>
    </xdr:from>
    <xdr:to>
      <xdr:col>30</xdr:col>
      <xdr:colOff>171450</xdr:colOff>
      <xdr:row>46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A24A406E-0A96-4ECC-A001-E8C10B359230}"/>
            </a:ext>
          </a:extLst>
        </xdr:cNvPr>
        <xdr:cNvSpPr txBox="1">
          <a:spLocks noChangeArrowheads="1"/>
        </xdr:cNvSpPr>
      </xdr:nvSpPr>
      <xdr:spPr bwMode="auto">
        <a:xfrm>
          <a:off x="8745855" y="739711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44</xdr:row>
      <xdr:rowOff>28576</xdr:rowOff>
    </xdr:from>
    <xdr:to>
      <xdr:col>30</xdr:col>
      <xdr:colOff>533400</xdr:colOff>
      <xdr:row>46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9A3DFF1D-288C-4503-AD02-DDB972A46DC1}"/>
            </a:ext>
          </a:extLst>
        </xdr:cNvPr>
        <xdr:cNvSpPr>
          <a:spLocks noChangeShapeType="1"/>
        </xdr:cNvSpPr>
      </xdr:nvSpPr>
      <xdr:spPr bwMode="auto">
        <a:xfrm>
          <a:off x="11999595" y="751903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46</xdr:row>
      <xdr:rowOff>104775</xdr:rowOff>
    </xdr:from>
    <xdr:to>
      <xdr:col>25</xdr:col>
      <xdr:colOff>295275</xdr:colOff>
      <xdr:row>49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FFAB8144-72ED-4B97-8DEC-FD8F453362E4}"/>
            </a:ext>
          </a:extLst>
        </xdr:cNvPr>
        <xdr:cNvSpPr>
          <a:spLocks noChangeShapeType="1"/>
        </xdr:cNvSpPr>
      </xdr:nvSpPr>
      <xdr:spPr bwMode="auto">
        <a:xfrm flipH="1">
          <a:off x="9039225" y="7915275"/>
          <a:ext cx="19050" cy="752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954E2B91-7411-4118-A34A-786BEECFB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64</xdr:row>
      <xdr:rowOff>152400</xdr:rowOff>
    </xdr:from>
    <xdr:to>
      <xdr:col>32</xdr:col>
      <xdr:colOff>400050</xdr:colOff>
      <xdr:row>65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9615DD2A-B440-488F-8681-1BD2880EC197}"/>
            </a:ext>
          </a:extLst>
        </xdr:cNvPr>
        <xdr:cNvSpPr txBox="1">
          <a:spLocks noChangeArrowheads="1"/>
        </xdr:cNvSpPr>
      </xdr:nvSpPr>
      <xdr:spPr bwMode="auto">
        <a:xfrm>
          <a:off x="11300460" y="11795760"/>
          <a:ext cx="2487930" cy="2743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115</xdr:row>
      <xdr:rowOff>57150</xdr:rowOff>
    </xdr:from>
    <xdr:to>
      <xdr:col>41</xdr:col>
      <xdr:colOff>323850</xdr:colOff>
      <xdr:row>116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82300033-ADFF-4942-873F-C7501CD43984}"/>
            </a:ext>
          </a:extLst>
        </xdr:cNvPr>
        <xdr:cNvSpPr>
          <a:spLocks noChangeShapeType="1"/>
        </xdr:cNvSpPr>
      </xdr:nvSpPr>
      <xdr:spPr bwMode="auto">
        <a:xfrm flipH="1">
          <a:off x="20775930" y="2044065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61</xdr:row>
      <xdr:rowOff>19049</xdr:rowOff>
    </xdr:from>
    <xdr:to>
      <xdr:col>29</xdr:col>
      <xdr:colOff>257175</xdr:colOff>
      <xdr:row>64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8D9DAD59-BA4C-4C6F-803B-5E2395806DF4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1311889"/>
          <a:ext cx="6751320" cy="5314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131445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CB26A261-F7DF-4216-9D9D-17A5B0DBD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6835" cy="318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26</xdr:row>
      <xdr:rowOff>123825</xdr:rowOff>
    </xdr:from>
    <xdr:to>
      <xdr:col>25</xdr:col>
      <xdr:colOff>171450</xdr:colOff>
      <xdr:row>50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6EA1802-A75D-4F98-980E-1927918CE7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66</xdr:row>
      <xdr:rowOff>0</xdr:rowOff>
    </xdr:from>
    <xdr:to>
      <xdr:col>24</xdr:col>
      <xdr:colOff>104775</xdr:colOff>
      <xdr:row>66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D680D2B0-C83F-4268-B375-66604F83CF52}"/>
            </a:ext>
          </a:extLst>
        </xdr:cNvPr>
        <xdr:cNvSpPr>
          <a:spLocks noChangeShapeType="1"/>
        </xdr:cNvSpPr>
      </xdr:nvSpPr>
      <xdr:spPr bwMode="auto">
        <a:xfrm>
          <a:off x="8561070" y="114966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44</xdr:row>
      <xdr:rowOff>66675</xdr:rowOff>
    </xdr:from>
    <xdr:to>
      <xdr:col>30</xdr:col>
      <xdr:colOff>171450</xdr:colOff>
      <xdr:row>49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3BC51107-CCE9-47B9-98F1-B8E533F16D3A}"/>
            </a:ext>
          </a:extLst>
        </xdr:cNvPr>
        <xdr:cNvSpPr txBox="1">
          <a:spLocks noChangeArrowheads="1"/>
        </xdr:cNvSpPr>
      </xdr:nvSpPr>
      <xdr:spPr bwMode="auto">
        <a:xfrm>
          <a:off x="8789670" y="7370445"/>
          <a:ext cx="3236595" cy="8362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45</xdr:row>
      <xdr:rowOff>28576</xdr:rowOff>
    </xdr:from>
    <xdr:to>
      <xdr:col>30</xdr:col>
      <xdr:colOff>533400</xdr:colOff>
      <xdr:row>49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D6A9D1AA-8063-4360-AA63-285E7935221A}"/>
            </a:ext>
          </a:extLst>
        </xdr:cNvPr>
        <xdr:cNvSpPr>
          <a:spLocks noChangeShapeType="1"/>
        </xdr:cNvSpPr>
      </xdr:nvSpPr>
      <xdr:spPr bwMode="auto">
        <a:xfrm>
          <a:off x="12037695" y="7494271"/>
          <a:ext cx="354330" cy="7086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49</xdr:row>
      <xdr:rowOff>104775</xdr:rowOff>
    </xdr:from>
    <xdr:to>
      <xdr:col>25</xdr:col>
      <xdr:colOff>295275</xdr:colOff>
      <xdr:row>51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3CDD0794-31EC-405E-9E71-98CB92599BAC}"/>
            </a:ext>
          </a:extLst>
        </xdr:cNvPr>
        <xdr:cNvSpPr>
          <a:spLocks noChangeShapeType="1"/>
        </xdr:cNvSpPr>
      </xdr:nvSpPr>
      <xdr:spPr bwMode="auto">
        <a:xfrm flipH="1">
          <a:off x="9088755" y="821817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D4571F9B-D436-4FAE-8A05-FC4226EBE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66</xdr:row>
      <xdr:rowOff>152400</xdr:rowOff>
    </xdr:from>
    <xdr:to>
      <xdr:col>32</xdr:col>
      <xdr:colOff>400050</xdr:colOff>
      <xdr:row>67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7FE47337-2C2D-49FE-BF4B-7876F02D4147}"/>
            </a:ext>
          </a:extLst>
        </xdr:cNvPr>
        <xdr:cNvSpPr txBox="1">
          <a:spLocks noChangeArrowheads="1"/>
        </xdr:cNvSpPr>
      </xdr:nvSpPr>
      <xdr:spPr bwMode="auto">
        <a:xfrm>
          <a:off x="11344275" y="11649075"/>
          <a:ext cx="2472690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119</xdr:row>
      <xdr:rowOff>57150</xdr:rowOff>
    </xdr:from>
    <xdr:to>
      <xdr:col>41</xdr:col>
      <xdr:colOff>323850</xdr:colOff>
      <xdr:row>120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537FEB7E-CD64-42CE-8E49-9A43C2BE76D9}"/>
            </a:ext>
          </a:extLst>
        </xdr:cNvPr>
        <xdr:cNvSpPr>
          <a:spLocks noChangeShapeType="1"/>
        </xdr:cNvSpPr>
      </xdr:nvSpPr>
      <xdr:spPr bwMode="auto">
        <a:xfrm flipH="1">
          <a:off x="20770215" y="2080831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63</xdr:row>
      <xdr:rowOff>19049</xdr:rowOff>
    </xdr:from>
    <xdr:to>
      <xdr:col>29</xdr:col>
      <xdr:colOff>257175</xdr:colOff>
      <xdr:row>66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92C5E5C8-CC06-4815-9E55-B041BF8D87C6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167109"/>
          <a:ext cx="6772275" cy="6838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320040</xdr:colOff>
      <xdr:row>3</xdr:row>
      <xdr:rowOff>133350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DBB1325E-2E4C-437B-86D0-B6FDCC887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445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179070</xdr:rowOff>
    </xdr:from>
    <xdr:to>
      <xdr:col>25</xdr:col>
      <xdr:colOff>171450</xdr:colOff>
      <xdr:row>48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0779007-1E8D-433C-8983-B6718584E5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64</xdr:row>
      <xdr:rowOff>0</xdr:rowOff>
    </xdr:from>
    <xdr:to>
      <xdr:col>24</xdr:col>
      <xdr:colOff>104775</xdr:colOff>
      <xdr:row>64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C1345179-34DB-4D41-8E16-175DB8DB45D3}"/>
            </a:ext>
          </a:extLst>
        </xdr:cNvPr>
        <xdr:cNvSpPr>
          <a:spLocks noChangeShapeType="1"/>
        </xdr:cNvSpPr>
      </xdr:nvSpPr>
      <xdr:spPr bwMode="auto">
        <a:xfrm>
          <a:off x="8517255" y="116433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43</xdr:row>
      <xdr:rowOff>66675</xdr:rowOff>
    </xdr:from>
    <xdr:to>
      <xdr:col>30</xdr:col>
      <xdr:colOff>171450</xdr:colOff>
      <xdr:row>46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811D7135-ED6B-4968-9F38-6456E2B39157}"/>
            </a:ext>
          </a:extLst>
        </xdr:cNvPr>
        <xdr:cNvSpPr txBox="1">
          <a:spLocks noChangeArrowheads="1"/>
        </xdr:cNvSpPr>
      </xdr:nvSpPr>
      <xdr:spPr bwMode="auto">
        <a:xfrm>
          <a:off x="8745855" y="739711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44</xdr:row>
      <xdr:rowOff>28576</xdr:rowOff>
    </xdr:from>
    <xdr:to>
      <xdr:col>30</xdr:col>
      <xdr:colOff>533400</xdr:colOff>
      <xdr:row>46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CBC77A5C-D040-439A-AC9E-4622D4B07A9A}"/>
            </a:ext>
          </a:extLst>
        </xdr:cNvPr>
        <xdr:cNvSpPr>
          <a:spLocks noChangeShapeType="1"/>
        </xdr:cNvSpPr>
      </xdr:nvSpPr>
      <xdr:spPr bwMode="auto">
        <a:xfrm>
          <a:off x="11999595" y="751903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46</xdr:row>
      <xdr:rowOff>104775</xdr:rowOff>
    </xdr:from>
    <xdr:to>
      <xdr:col>25</xdr:col>
      <xdr:colOff>295275</xdr:colOff>
      <xdr:row>49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1A43B6EA-E6BD-4D2B-9B7C-EB881645228D}"/>
            </a:ext>
          </a:extLst>
        </xdr:cNvPr>
        <xdr:cNvSpPr>
          <a:spLocks noChangeShapeType="1"/>
        </xdr:cNvSpPr>
      </xdr:nvSpPr>
      <xdr:spPr bwMode="auto">
        <a:xfrm flipH="1">
          <a:off x="9039225" y="7915275"/>
          <a:ext cx="19050" cy="752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F780F32A-5FAB-4E6D-A8C0-DE290D382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64</xdr:row>
      <xdr:rowOff>152400</xdr:rowOff>
    </xdr:from>
    <xdr:to>
      <xdr:col>32</xdr:col>
      <xdr:colOff>400050</xdr:colOff>
      <xdr:row>65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1D0BE8B9-7D99-4B43-A579-F33CDA0642E1}"/>
            </a:ext>
          </a:extLst>
        </xdr:cNvPr>
        <xdr:cNvSpPr txBox="1">
          <a:spLocks noChangeArrowheads="1"/>
        </xdr:cNvSpPr>
      </xdr:nvSpPr>
      <xdr:spPr bwMode="auto">
        <a:xfrm>
          <a:off x="11300460" y="11795760"/>
          <a:ext cx="2487930" cy="2743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115</xdr:row>
      <xdr:rowOff>57150</xdr:rowOff>
    </xdr:from>
    <xdr:to>
      <xdr:col>41</xdr:col>
      <xdr:colOff>323850</xdr:colOff>
      <xdr:row>116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6ADA3886-0894-40AB-91D3-8C9699420A26}"/>
            </a:ext>
          </a:extLst>
        </xdr:cNvPr>
        <xdr:cNvSpPr>
          <a:spLocks noChangeShapeType="1"/>
        </xdr:cNvSpPr>
      </xdr:nvSpPr>
      <xdr:spPr bwMode="auto">
        <a:xfrm flipH="1">
          <a:off x="20775930" y="2044065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61</xdr:row>
      <xdr:rowOff>19049</xdr:rowOff>
    </xdr:from>
    <xdr:to>
      <xdr:col>29</xdr:col>
      <xdr:colOff>257175</xdr:colOff>
      <xdr:row>64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9EB73888-6604-4E10-896D-7EDA117D85AF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1311889"/>
          <a:ext cx="6751320" cy="5314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131445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17E358E6-536B-478D-BD7D-E341E445F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6835" cy="318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26</xdr:row>
      <xdr:rowOff>123825</xdr:rowOff>
    </xdr:from>
    <xdr:to>
      <xdr:col>25</xdr:col>
      <xdr:colOff>171450</xdr:colOff>
      <xdr:row>50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17710FE-9E05-46C5-81DF-196266FCC8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66</xdr:row>
      <xdr:rowOff>0</xdr:rowOff>
    </xdr:from>
    <xdr:to>
      <xdr:col>24</xdr:col>
      <xdr:colOff>104775</xdr:colOff>
      <xdr:row>66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C310FD4F-6E3E-42B0-8BF4-50E1E6D0C03D}"/>
            </a:ext>
          </a:extLst>
        </xdr:cNvPr>
        <xdr:cNvSpPr>
          <a:spLocks noChangeShapeType="1"/>
        </xdr:cNvSpPr>
      </xdr:nvSpPr>
      <xdr:spPr bwMode="auto">
        <a:xfrm>
          <a:off x="8517255" y="113919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44</xdr:row>
      <xdr:rowOff>66675</xdr:rowOff>
    </xdr:from>
    <xdr:to>
      <xdr:col>30</xdr:col>
      <xdr:colOff>171450</xdr:colOff>
      <xdr:row>49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B854F299-1C41-4368-9075-FA49A4908183}"/>
            </a:ext>
          </a:extLst>
        </xdr:cNvPr>
        <xdr:cNvSpPr txBox="1">
          <a:spLocks noChangeArrowheads="1"/>
        </xdr:cNvSpPr>
      </xdr:nvSpPr>
      <xdr:spPr bwMode="auto">
        <a:xfrm>
          <a:off x="8745855" y="7305675"/>
          <a:ext cx="3244215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45</xdr:row>
      <xdr:rowOff>28576</xdr:rowOff>
    </xdr:from>
    <xdr:to>
      <xdr:col>30</xdr:col>
      <xdr:colOff>533400</xdr:colOff>
      <xdr:row>49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2DB528E1-114B-437B-BE22-4FA1F5FDDCEB}"/>
            </a:ext>
          </a:extLst>
        </xdr:cNvPr>
        <xdr:cNvSpPr>
          <a:spLocks noChangeShapeType="1"/>
        </xdr:cNvSpPr>
      </xdr:nvSpPr>
      <xdr:spPr bwMode="auto">
        <a:xfrm>
          <a:off x="11999595" y="7427596"/>
          <a:ext cx="352425" cy="69723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49</xdr:row>
      <xdr:rowOff>104775</xdr:rowOff>
    </xdr:from>
    <xdr:to>
      <xdr:col>25</xdr:col>
      <xdr:colOff>295275</xdr:colOff>
      <xdr:row>51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E3A66613-B7E3-4B75-9A18-AC99C7DC6679}"/>
            </a:ext>
          </a:extLst>
        </xdr:cNvPr>
        <xdr:cNvSpPr>
          <a:spLocks noChangeShapeType="1"/>
        </xdr:cNvSpPr>
      </xdr:nvSpPr>
      <xdr:spPr bwMode="auto">
        <a:xfrm flipH="1">
          <a:off x="9039225" y="814387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9F4C87B5-05A5-471D-90F3-783F60C22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66</xdr:row>
      <xdr:rowOff>152400</xdr:rowOff>
    </xdr:from>
    <xdr:to>
      <xdr:col>32</xdr:col>
      <xdr:colOff>400050</xdr:colOff>
      <xdr:row>67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0B8B586B-78B2-44A9-A992-4CC0091881CC}"/>
            </a:ext>
          </a:extLst>
        </xdr:cNvPr>
        <xdr:cNvSpPr txBox="1">
          <a:spLocks noChangeArrowheads="1"/>
        </xdr:cNvSpPr>
      </xdr:nvSpPr>
      <xdr:spPr bwMode="auto">
        <a:xfrm>
          <a:off x="11300460" y="11544300"/>
          <a:ext cx="2487930" cy="5105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119</xdr:row>
      <xdr:rowOff>57150</xdr:rowOff>
    </xdr:from>
    <xdr:to>
      <xdr:col>41</xdr:col>
      <xdr:colOff>323850</xdr:colOff>
      <xdr:row>120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C21B90B2-38C1-4D50-9C28-DDA4CAB50233}"/>
            </a:ext>
          </a:extLst>
        </xdr:cNvPr>
        <xdr:cNvSpPr>
          <a:spLocks noChangeShapeType="1"/>
        </xdr:cNvSpPr>
      </xdr:nvSpPr>
      <xdr:spPr bwMode="auto">
        <a:xfrm flipH="1">
          <a:off x="20775930" y="2060829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63</xdr:row>
      <xdr:rowOff>19049</xdr:rowOff>
    </xdr:from>
    <xdr:to>
      <xdr:col>29</xdr:col>
      <xdr:colOff>257175</xdr:colOff>
      <xdr:row>66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6404864A-2D00-435F-B319-32A4DD0B1FA9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1060429"/>
          <a:ext cx="6751320" cy="6838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320040</xdr:colOff>
      <xdr:row>3</xdr:row>
      <xdr:rowOff>133350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D9555E3B-3FA4-46C8-BD15-60D10D090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3025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26</xdr:row>
      <xdr:rowOff>123825</xdr:rowOff>
    </xdr:from>
    <xdr:to>
      <xdr:col>25</xdr:col>
      <xdr:colOff>171450</xdr:colOff>
      <xdr:row>50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EAD359A-F1B3-411B-8AF1-06369AB559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66</xdr:row>
      <xdr:rowOff>0</xdr:rowOff>
    </xdr:from>
    <xdr:to>
      <xdr:col>24</xdr:col>
      <xdr:colOff>104775</xdr:colOff>
      <xdr:row>66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64EA0982-2305-4F16-BF2D-F95659CCF940}"/>
            </a:ext>
          </a:extLst>
        </xdr:cNvPr>
        <xdr:cNvSpPr>
          <a:spLocks noChangeShapeType="1"/>
        </xdr:cNvSpPr>
      </xdr:nvSpPr>
      <xdr:spPr bwMode="auto">
        <a:xfrm>
          <a:off x="8517255" y="113919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44</xdr:row>
      <xdr:rowOff>66675</xdr:rowOff>
    </xdr:from>
    <xdr:to>
      <xdr:col>30</xdr:col>
      <xdr:colOff>171450</xdr:colOff>
      <xdr:row>49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EDC21E91-6CA5-4EAD-9088-435D031920F8}"/>
            </a:ext>
          </a:extLst>
        </xdr:cNvPr>
        <xdr:cNvSpPr txBox="1">
          <a:spLocks noChangeArrowheads="1"/>
        </xdr:cNvSpPr>
      </xdr:nvSpPr>
      <xdr:spPr bwMode="auto">
        <a:xfrm>
          <a:off x="8745855" y="7305675"/>
          <a:ext cx="3244215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45</xdr:row>
      <xdr:rowOff>28576</xdr:rowOff>
    </xdr:from>
    <xdr:to>
      <xdr:col>30</xdr:col>
      <xdr:colOff>533400</xdr:colOff>
      <xdr:row>49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DC590256-256E-41DC-B6B4-ADAF302D0051}"/>
            </a:ext>
          </a:extLst>
        </xdr:cNvPr>
        <xdr:cNvSpPr>
          <a:spLocks noChangeShapeType="1"/>
        </xdr:cNvSpPr>
      </xdr:nvSpPr>
      <xdr:spPr bwMode="auto">
        <a:xfrm>
          <a:off x="11999595" y="7427596"/>
          <a:ext cx="352425" cy="69723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49</xdr:row>
      <xdr:rowOff>104775</xdr:rowOff>
    </xdr:from>
    <xdr:to>
      <xdr:col>25</xdr:col>
      <xdr:colOff>295275</xdr:colOff>
      <xdr:row>51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631461EC-4230-416E-9D35-B65B0AA9CB03}"/>
            </a:ext>
          </a:extLst>
        </xdr:cNvPr>
        <xdr:cNvSpPr>
          <a:spLocks noChangeShapeType="1"/>
        </xdr:cNvSpPr>
      </xdr:nvSpPr>
      <xdr:spPr bwMode="auto">
        <a:xfrm flipH="1">
          <a:off x="9039225" y="814387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553FBAC3-AF6B-4926-A3E1-F4FFDE0B7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66</xdr:row>
      <xdr:rowOff>152400</xdr:rowOff>
    </xdr:from>
    <xdr:to>
      <xdr:col>32</xdr:col>
      <xdr:colOff>400050</xdr:colOff>
      <xdr:row>67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90567A41-FCD4-4247-AF3C-D76A406E63B2}"/>
            </a:ext>
          </a:extLst>
        </xdr:cNvPr>
        <xdr:cNvSpPr txBox="1">
          <a:spLocks noChangeArrowheads="1"/>
        </xdr:cNvSpPr>
      </xdr:nvSpPr>
      <xdr:spPr bwMode="auto">
        <a:xfrm>
          <a:off x="11300460" y="11544300"/>
          <a:ext cx="2487930" cy="5105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119</xdr:row>
      <xdr:rowOff>57150</xdr:rowOff>
    </xdr:from>
    <xdr:to>
      <xdr:col>41</xdr:col>
      <xdr:colOff>323850</xdr:colOff>
      <xdr:row>120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D08B5949-D39C-41E3-B5D4-0B4F09C53685}"/>
            </a:ext>
          </a:extLst>
        </xdr:cNvPr>
        <xdr:cNvSpPr>
          <a:spLocks noChangeShapeType="1"/>
        </xdr:cNvSpPr>
      </xdr:nvSpPr>
      <xdr:spPr bwMode="auto">
        <a:xfrm flipH="1">
          <a:off x="20775930" y="2060829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63</xdr:row>
      <xdr:rowOff>19049</xdr:rowOff>
    </xdr:from>
    <xdr:to>
      <xdr:col>29</xdr:col>
      <xdr:colOff>257175</xdr:colOff>
      <xdr:row>66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ECC71B09-AF19-415A-82EC-395EA631E685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1060429"/>
          <a:ext cx="6751320" cy="6838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129540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8F6B40F5-7764-4AAF-B529-0162E2F01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6835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26</xdr:row>
      <xdr:rowOff>123825</xdr:rowOff>
    </xdr:from>
    <xdr:to>
      <xdr:col>25</xdr:col>
      <xdr:colOff>171450</xdr:colOff>
      <xdr:row>50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F096BC6-0A6F-4931-A4F1-BF97F59F32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66</xdr:row>
      <xdr:rowOff>0</xdr:rowOff>
    </xdr:from>
    <xdr:to>
      <xdr:col>24</xdr:col>
      <xdr:colOff>104775</xdr:colOff>
      <xdr:row>66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EA3B2453-5D18-43BB-A04F-4747CCFBA205}"/>
            </a:ext>
          </a:extLst>
        </xdr:cNvPr>
        <xdr:cNvSpPr>
          <a:spLocks noChangeShapeType="1"/>
        </xdr:cNvSpPr>
      </xdr:nvSpPr>
      <xdr:spPr bwMode="auto">
        <a:xfrm>
          <a:off x="8517255" y="113919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44</xdr:row>
      <xdr:rowOff>66675</xdr:rowOff>
    </xdr:from>
    <xdr:to>
      <xdr:col>30</xdr:col>
      <xdr:colOff>171450</xdr:colOff>
      <xdr:row>49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7FECAF36-D025-4E81-8894-034052A38D1E}"/>
            </a:ext>
          </a:extLst>
        </xdr:cNvPr>
        <xdr:cNvSpPr txBox="1">
          <a:spLocks noChangeArrowheads="1"/>
        </xdr:cNvSpPr>
      </xdr:nvSpPr>
      <xdr:spPr bwMode="auto">
        <a:xfrm>
          <a:off x="8745855" y="7305675"/>
          <a:ext cx="3244215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45</xdr:row>
      <xdr:rowOff>28576</xdr:rowOff>
    </xdr:from>
    <xdr:to>
      <xdr:col>30</xdr:col>
      <xdr:colOff>533400</xdr:colOff>
      <xdr:row>49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4F5DA935-759E-46EF-BBED-36DED81C3D1D}"/>
            </a:ext>
          </a:extLst>
        </xdr:cNvPr>
        <xdr:cNvSpPr>
          <a:spLocks noChangeShapeType="1"/>
        </xdr:cNvSpPr>
      </xdr:nvSpPr>
      <xdr:spPr bwMode="auto">
        <a:xfrm>
          <a:off x="11999595" y="7427596"/>
          <a:ext cx="352425" cy="69723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49</xdr:row>
      <xdr:rowOff>104775</xdr:rowOff>
    </xdr:from>
    <xdr:to>
      <xdr:col>25</xdr:col>
      <xdr:colOff>295275</xdr:colOff>
      <xdr:row>51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19908A9A-7671-4012-8AD0-D0A641AEBFEC}"/>
            </a:ext>
          </a:extLst>
        </xdr:cNvPr>
        <xdr:cNvSpPr>
          <a:spLocks noChangeShapeType="1"/>
        </xdr:cNvSpPr>
      </xdr:nvSpPr>
      <xdr:spPr bwMode="auto">
        <a:xfrm flipH="1">
          <a:off x="9039225" y="814387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7764E2DD-F4FE-487F-8D2C-8EAD7A7B4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66</xdr:row>
      <xdr:rowOff>152400</xdr:rowOff>
    </xdr:from>
    <xdr:to>
      <xdr:col>32</xdr:col>
      <xdr:colOff>400050</xdr:colOff>
      <xdr:row>67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D230D612-4D3B-4E9E-84A3-C8F992EF1F86}"/>
            </a:ext>
          </a:extLst>
        </xdr:cNvPr>
        <xdr:cNvSpPr txBox="1">
          <a:spLocks noChangeArrowheads="1"/>
        </xdr:cNvSpPr>
      </xdr:nvSpPr>
      <xdr:spPr bwMode="auto">
        <a:xfrm>
          <a:off x="11300460" y="11544300"/>
          <a:ext cx="2487930" cy="5105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119</xdr:row>
      <xdr:rowOff>57150</xdr:rowOff>
    </xdr:from>
    <xdr:to>
      <xdr:col>41</xdr:col>
      <xdr:colOff>323850</xdr:colOff>
      <xdr:row>120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813EB41B-9983-44F6-B8C0-BCC19CF5ED92}"/>
            </a:ext>
          </a:extLst>
        </xdr:cNvPr>
        <xdr:cNvSpPr>
          <a:spLocks noChangeShapeType="1"/>
        </xdr:cNvSpPr>
      </xdr:nvSpPr>
      <xdr:spPr bwMode="auto">
        <a:xfrm flipH="1">
          <a:off x="20775930" y="2060829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63</xdr:row>
      <xdr:rowOff>19049</xdr:rowOff>
    </xdr:from>
    <xdr:to>
      <xdr:col>29</xdr:col>
      <xdr:colOff>257175</xdr:colOff>
      <xdr:row>66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C4104B4D-030C-4EC7-8464-7CBF72BA891F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1060429"/>
          <a:ext cx="6751320" cy="6838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129540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942CC4F3-874B-4FEA-9208-0C7B112BF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6835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179070</xdr:rowOff>
    </xdr:from>
    <xdr:to>
      <xdr:col>25</xdr:col>
      <xdr:colOff>171450</xdr:colOff>
      <xdr:row>48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327541A-538E-4986-8E89-41510B9CC9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64</xdr:row>
      <xdr:rowOff>0</xdr:rowOff>
    </xdr:from>
    <xdr:to>
      <xdr:col>24</xdr:col>
      <xdr:colOff>104775</xdr:colOff>
      <xdr:row>64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594AEBA6-35DC-4EBE-A486-CCC1594C858F}"/>
            </a:ext>
          </a:extLst>
        </xdr:cNvPr>
        <xdr:cNvSpPr>
          <a:spLocks noChangeShapeType="1"/>
        </xdr:cNvSpPr>
      </xdr:nvSpPr>
      <xdr:spPr bwMode="auto">
        <a:xfrm>
          <a:off x="8561070" y="117348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43</xdr:row>
      <xdr:rowOff>66675</xdr:rowOff>
    </xdr:from>
    <xdr:to>
      <xdr:col>30</xdr:col>
      <xdr:colOff>171450</xdr:colOff>
      <xdr:row>46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11684754-14A8-4D55-940C-A9790D8DC21D}"/>
            </a:ext>
          </a:extLst>
        </xdr:cNvPr>
        <xdr:cNvSpPr txBox="1">
          <a:spLocks noChangeArrowheads="1"/>
        </xdr:cNvSpPr>
      </xdr:nvSpPr>
      <xdr:spPr bwMode="auto">
        <a:xfrm>
          <a:off x="8789670" y="7456170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44</xdr:row>
      <xdr:rowOff>28576</xdr:rowOff>
    </xdr:from>
    <xdr:to>
      <xdr:col>30</xdr:col>
      <xdr:colOff>533400</xdr:colOff>
      <xdr:row>46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36A49F2E-7EB2-492D-9D36-64563F8EA10B}"/>
            </a:ext>
          </a:extLst>
        </xdr:cNvPr>
        <xdr:cNvSpPr>
          <a:spLocks noChangeShapeType="1"/>
        </xdr:cNvSpPr>
      </xdr:nvSpPr>
      <xdr:spPr bwMode="auto">
        <a:xfrm>
          <a:off x="12037695" y="7579996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46</xdr:row>
      <xdr:rowOff>104775</xdr:rowOff>
    </xdr:from>
    <xdr:to>
      <xdr:col>25</xdr:col>
      <xdr:colOff>295275</xdr:colOff>
      <xdr:row>49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EAA333A5-0796-4E88-93A9-D9E5121571A5}"/>
            </a:ext>
          </a:extLst>
        </xdr:cNvPr>
        <xdr:cNvSpPr>
          <a:spLocks noChangeShapeType="1"/>
        </xdr:cNvSpPr>
      </xdr:nvSpPr>
      <xdr:spPr bwMode="auto">
        <a:xfrm flipH="1">
          <a:off x="9088755" y="7980045"/>
          <a:ext cx="15240" cy="75057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90160600-06F6-4C9E-B248-6D6431282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64</xdr:row>
      <xdr:rowOff>152400</xdr:rowOff>
    </xdr:from>
    <xdr:to>
      <xdr:col>32</xdr:col>
      <xdr:colOff>400050</xdr:colOff>
      <xdr:row>65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DA2552D0-C7EA-476B-8AED-659A7E768B88}"/>
            </a:ext>
          </a:extLst>
        </xdr:cNvPr>
        <xdr:cNvSpPr txBox="1">
          <a:spLocks noChangeArrowheads="1"/>
        </xdr:cNvSpPr>
      </xdr:nvSpPr>
      <xdr:spPr bwMode="auto">
        <a:xfrm>
          <a:off x="11344275" y="11887200"/>
          <a:ext cx="2472690" cy="2762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115</xdr:row>
      <xdr:rowOff>57150</xdr:rowOff>
    </xdr:from>
    <xdr:to>
      <xdr:col>41</xdr:col>
      <xdr:colOff>323850</xdr:colOff>
      <xdr:row>116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ECB62590-6C5C-476F-AA38-D5DCC7C81BD4}"/>
            </a:ext>
          </a:extLst>
        </xdr:cNvPr>
        <xdr:cNvSpPr>
          <a:spLocks noChangeShapeType="1"/>
        </xdr:cNvSpPr>
      </xdr:nvSpPr>
      <xdr:spPr bwMode="auto">
        <a:xfrm flipH="1">
          <a:off x="20770215" y="2061781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61</xdr:row>
      <xdr:rowOff>19049</xdr:rowOff>
    </xdr:from>
    <xdr:to>
      <xdr:col>29</xdr:col>
      <xdr:colOff>257175</xdr:colOff>
      <xdr:row>64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F3AA9FA3-6EB4-483B-B41C-FA5D5EEF5125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405234"/>
          <a:ext cx="6772275" cy="5314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131445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13F238D1-2AF6-40F2-AAAD-FC5844A1C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4455" cy="325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161925</xdr:colOff>
      <xdr:row>68</xdr:row>
      <xdr:rowOff>66675</xdr:rowOff>
    </xdr:from>
    <xdr:to>
      <xdr:col>25</xdr:col>
      <xdr:colOff>188595</xdr:colOff>
      <xdr:row>71</xdr:row>
      <xdr:rowOff>169580</xdr:rowOff>
    </xdr:to>
    <xdr:pic>
      <xdr:nvPicPr>
        <xdr:cNvPr id="14" name="Image 13">
          <a:extLst>
            <a:ext uri="{FF2B5EF4-FFF2-40B4-BE49-F238E27FC236}">
              <a16:creationId xmlns:a16="http://schemas.microsoft.com/office/drawing/2014/main" id="{E08AC0E3-6AA9-D27E-EAB4-44605D896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12868275"/>
          <a:ext cx="1788795" cy="702980"/>
        </a:xfrm>
        <a:prstGeom prst="rect">
          <a:avLst/>
        </a:prstGeom>
      </xdr:spPr>
    </xdr:pic>
    <xdr:clientData/>
  </xdr:twoCellAnchor>
  <xdr:twoCellAnchor>
    <xdr:from>
      <xdr:col>0</xdr:col>
      <xdr:colOff>85725</xdr:colOff>
      <xdr:row>68</xdr:row>
      <xdr:rowOff>47625</xdr:rowOff>
    </xdr:from>
    <xdr:to>
      <xdr:col>16</xdr:col>
      <xdr:colOff>304800</xdr:colOff>
      <xdr:row>71</xdr:row>
      <xdr:rowOff>133350</xdr:rowOff>
    </xdr:to>
    <xdr:sp macro="" textlink="">
      <xdr:nvSpPr>
        <xdr:cNvPr id="15" name="ZoneTexte 14">
          <a:extLst>
            <a:ext uri="{FF2B5EF4-FFF2-40B4-BE49-F238E27FC236}">
              <a16:creationId xmlns:a16="http://schemas.microsoft.com/office/drawing/2014/main" id="{24A0569C-B0DE-34C1-C4C7-A767A6F0A4BA}"/>
            </a:ext>
          </a:extLst>
        </xdr:cNvPr>
        <xdr:cNvSpPr txBox="1"/>
      </xdr:nvSpPr>
      <xdr:spPr>
        <a:xfrm>
          <a:off x="85725" y="12849225"/>
          <a:ext cx="5857875" cy="685800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>
              <a:solidFill>
                <a:srgbClr val="FF0000"/>
              </a:solidFill>
            </a:rPr>
            <a:t>Création à la demande de</a:t>
          </a:r>
          <a:r>
            <a:rPr lang="fr-FR" sz="1100" baseline="0">
              <a:solidFill>
                <a:srgbClr val="FF0000"/>
              </a:solidFill>
            </a:rPr>
            <a:t> B. HEYRAUD</a:t>
          </a:r>
        </a:p>
        <a:p>
          <a:r>
            <a:rPr lang="fr-FR" sz="1100" baseline="0">
              <a:solidFill>
                <a:srgbClr val="FF0000"/>
              </a:solidFill>
            </a:rPr>
            <a:t>Pas d'échantillon prélevé sur chantier</a:t>
          </a:r>
          <a:endParaRPr lang="fr-FR" sz="1100">
            <a:solidFill>
              <a:srgbClr val="FF0000"/>
            </a:solidFill>
          </a:endParaRPr>
        </a:p>
      </xdr:txBody>
    </xdr:sp>
    <xdr:clientData fPrintsWithSheet="0"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26</xdr:row>
      <xdr:rowOff>123825</xdr:rowOff>
    </xdr:from>
    <xdr:to>
      <xdr:col>25</xdr:col>
      <xdr:colOff>171450</xdr:colOff>
      <xdr:row>50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0083249-ED46-45BE-BF02-AD9069D4AB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66</xdr:row>
      <xdr:rowOff>0</xdr:rowOff>
    </xdr:from>
    <xdr:to>
      <xdr:col>24</xdr:col>
      <xdr:colOff>104775</xdr:colOff>
      <xdr:row>66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0B7ADDC0-87BF-4B21-AD97-0D894F2F4D76}"/>
            </a:ext>
          </a:extLst>
        </xdr:cNvPr>
        <xdr:cNvSpPr>
          <a:spLocks noChangeShapeType="1"/>
        </xdr:cNvSpPr>
      </xdr:nvSpPr>
      <xdr:spPr bwMode="auto">
        <a:xfrm>
          <a:off x="8561070" y="114966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44</xdr:row>
      <xdr:rowOff>66675</xdr:rowOff>
    </xdr:from>
    <xdr:to>
      <xdr:col>30</xdr:col>
      <xdr:colOff>171450</xdr:colOff>
      <xdr:row>49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6344DEBC-B3AD-4CA6-B572-CB4E5092285E}"/>
            </a:ext>
          </a:extLst>
        </xdr:cNvPr>
        <xdr:cNvSpPr txBox="1">
          <a:spLocks noChangeArrowheads="1"/>
        </xdr:cNvSpPr>
      </xdr:nvSpPr>
      <xdr:spPr bwMode="auto">
        <a:xfrm>
          <a:off x="8789670" y="7370445"/>
          <a:ext cx="3236595" cy="8362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45</xdr:row>
      <xdr:rowOff>28576</xdr:rowOff>
    </xdr:from>
    <xdr:to>
      <xdr:col>30</xdr:col>
      <xdr:colOff>533400</xdr:colOff>
      <xdr:row>49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3A2DDD48-5AD7-44D9-8510-CAC4BA8974CD}"/>
            </a:ext>
          </a:extLst>
        </xdr:cNvPr>
        <xdr:cNvSpPr>
          <a:spLocks noChangeShapeType="1"/>
        </xdr:cNvSpPr>
      </xdr:nvSpPr>
      <xdr:spPr bwMode="auto">
        <a:xfrm>
          <a:off x="12037695" y="7494271"/>
          <a:ext cx="354330" cy="7086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49</xdr:row>
      <xdr:rowOff>104775</xdr:rowOff>
    </xdr:from>
    <xdr:to>
      <xdr:col>25</xdr:col>
      <xdr:colOff>295275</xdr:colOff>
      <xdr:row>51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CE960E3A-40FD-4331-9480-C5AB038F74B8}"/>
            </a:ext>
          </a:extLst>
        </xdr:cNvPr>
        <xdr:cNvSpPr>
          <a:spLocks noChangeShapeType="1"/>
        </xdr:cNvSpPr>
      </xdr:nvSpPr>
      <xdr:spPr bwMode="auto">
        <a:xfrm flipH="1">
          <a:off x="9088755" y="821817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4826069E-6908-4C79-AE85-85A7E96FA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66</xdr:row>
      <xdr:rowOff>152400</xdr:rowOff>
    </xdr:from>
    <xdr:to>
      <xdr:col>32</xdr:col>
      <xdr:colOff>400050</xdr:colOff>
      <xdr:row>67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6B5D8375-F419-4E59-85F8-BD867DDAAAAF}"/>
            </a:ext>
          </a:extLst>
        </xdr:cNvPr>
        <xdr:cNvSpPr txBox="1">
          <a:spLocks noChangeArrowheads="1"/>
        </xdr:cNvSpPr>
      </xdr:nvSpPr>
      <xdr:spPr bwMode="auto">
        <a:xfrm>
          <a:off x="11344275" y="11649075"/>
          <a:ext cx="2472690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119</xdr:row>
      <xdr:rowOff>57150</xdr:rowOff>
    </xdr:from>
    <xdr:to>
      <xdr:col>41</xdr:col>
      <xdr:colOff>323850</xdr:colOff>
      <xdr:row>120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86AAF04F-68CD-4018-8B64-95B17A312C23}"/>
            </a:ext>
          </a:extLst>
        </xdr:cNvPr>
        <xdr:cNvSpPr>
          <a:spLocks noChangeShapeType="1"/>
        </xdr:cNvSpPr>
      </xdr:nvSpPr>
      <xdr:spPr bwMode="auto">
        <a:xfrm flipH="1">
          <a:off x="20770215" y="2080831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63</xdr:row>
      <xdr:rowOff>19049</xdr:rowOff>
    </xdr:from>
    <xdr:to>
      <xdr:col>29</xdr:col>
      <xdr:colOff>257175</xdr:colOff>
      <xdr:row>66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FCCDFC9F-2F89-4D44-941C-8ECF2EA59591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167109"/>
          <a:ext cx="6772275" cy="6838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129540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C236B3E4-2CB5-4634-9B7C-CE165AE08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445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95250</xdr:colOff>
      <xdr:row>72</xdr:row>
      <xdr:rowOff>47625</xdr:rowOff>
    </xdr:from>
    <xdr:to>
      <xdr:col>25</xdr:col>
      <xdr:colOff>133350</xdr:colOff>
      <xdr:row>75</xdr:row>
      <xdr:rowOff>154178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AC285AC7-E38B-43F5-8BBF-C28AEA281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39940" y="13041630"/>
          <a:ext cx="1804035" cy="70472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26</xdr:row>
      <xdr:rowOff>123825</xdr:rowOff>
    </xdr:from>
    <xdr:to>
      <xdr:col>25</xdr:col>
      <xdr:colOff>171450</xdr:colOff>
      <xdr:row>50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3EB25C2-5109-4A11-BF18-83A61BAFE4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66</xdr:row>
      <xdr:rowOff>0</xdr:rowOff>
    </xdr:from>
    <xdr:to>
      <xdr:col>24</xdr:col>
      <xdr:colOff>104775</xdr:colOff>
      <xdr:row>66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2A9FF08D-04E4-4DC1-AEC8-AC939A614BA4}"/>
            </a:ext>
          </a:extLst>
        </xdr:cNvPr>
        <xdr:cNvSpPr>
          <a:spLocks noChangeShapeType="1"/>
        </xdr:cNvSpPr>
      </xdr:nvSpPr>
      <xdr:spPr bwMode="auto">
        <a:xfrm>
          <a:off x="8561070" y="114966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44</xdr:row>
      <xdr:rowOff>66675</xdr:rowOff>
    </xdr:from>
    <xdr:to>
      <xdr:col>30</xdr:col>
      <xdr:colOff>171450</xdr:colOff>
      <xdr:row>49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6EF9CAEA-0894-4515-A0BD-2A8F4240908F}"/>
            </a:ext>
          </a:extLst>
        </xdr:cNvPr>
        <xdr:cNvSpPr txBox="1">
          <a:spLocks noChangeArrowheads="1"/>
        </xdr:cNvSpPr>
      </xdr:nvSpPr>
      <xdr:spPr bwMode="auto">
        <a:xfrm>
          <a:off x="8789670" y="7370445"/>
          <a:ext cx="3236595" cy="8362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45</xdr:row>
      <xdr:rowOff>28576</xdr:rowOff>
    </xdr:from>
    <xdr:to>
      <xdr:col>30</xdr:col>
      <xdr:colOff>533400</xdr:colOff>
      <xdr:row>49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F9B9C73F-7937-4D5C-AC27-EAC68AAF5C67}"/>
            </a:ext>
          </a:extLst>
        </xdr:cNvPr>
        <xdr:cNvSpPr>
          <a:spLocks noChangeShapeType="1"/>
        </xdr:cNvSpPr>
      </xdr:nvSpPr>
      <xdr:spPr bwMode="auto">
        <a:xfrm>
          <a:off x="12037695" y="7494271"/>
          <a:ext cx="354330" cy="7086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49</xdr:row>
      <xdr:rowOff>104775</xdr:rowOff>
    </xdr:from>
    <xdr:to>
      <xdr:col>25</xdr:col>
      <xdr:colOff>295275</xdr:colOff>
      <xdr:row>51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9A5D4A3D-3AC8-49E4-904D-E7EF1BF21935}"/>
            </a:ext>
          </a:extLst>
        </xdr:cNvPr>
        <xdr:cNvSpPr>
          <a:spLocks noChangeShapeType="1"/>
        </xdr:cNvSpPr>
      </xdr:nvSpPr>
      <xdr:spPr bwMode="auto">
        <a:xfrm flipH="1">
          <a:off x="9088755" y="821817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B6891E3F-D184-490A-B918-5A3BFC9DE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66</xdr:row>
      <xdr:rowOff>152400</xdr:rowOff>
    </xdr:from>
    <xdr:to>
      <xdr:col>32</xdr:col>
      <xdr:colOff>400050</xdr:colOff>
      <xdr:row>67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DFF77D2C-5D84-4505-B33E-38F5D773816A}"/>
            </a:ext>
          </a:extLst>
        </xdr:cNvPr>
        <xdr:cNvSpPr txBox="1">
          <a:spLocks noChangeArrowheads="1"/>
        </xdr:cNvSpPr>
      </xdr:nvSpPr>
      <xdr:spPr bwMode="auto">
        <a:xfrm>
          <a:off x="11344275" y="11649075"/>
          <a:ext cx="2472690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119</xdr:row>
      <xdr:rowOff>57150</xdr:rowOff>
    </xdr:from>
    <xdr:to>
      <xdr:col>41</xdr:col>
      <xdr:colOff>323850</xdr:colOff>
      <xdr:row>120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37545BA1-F3D1-4901-AB08-9E6EB4F3627E}"/>
            </a:ext>
          </a:extLst>
        </xdr:cNvPr>
        <xdr:cNvSpPr>
          <a:spLocks noChangeShapeType="1"/>
        </xdr:cNvSpPr>
      </xdr:nvSpPr>
      <xdr:spPr bwMode="auto">
        <a:xfrm flipH="1">
          <a:off x="20770215" y="2080831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63</xdr:row>
      <xdr:rowOff>19049</xdr:rowOff>
    </xdr:from>
    <xdr:to>
      <xdr:col>29</xdr:col>
      <xdr:colOff>257175</xdr:colOff>
      <xdr:row>66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A8F5304C-0E4B-48F4-8B33-A0961BECF4CB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167109"/>
          <a:ext cx="6772275" cy="6838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320040</xdr:colOff>
      <xdr:row>3</xdr:row>
      <xdr:rowOff>133350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9C541D6D-2E31-41F6-88F3-09735A4C7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445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95250</xdr:colOff>
      <xdr:row>72</xdr:row>
      <xdr:rowOff>47625</xdr:rowOff>
    </xdr:from>
    <xdr:to>
      <xdr:col>25</xdr:col>
      <xdr:colOff>129540</xdr:colOff>
      <xdr:row>75</xdr:row>
      <xdr:rowOff>154178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85862DAE-73EE-4742-83EE-58B63CFE9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39940" y="13041630"/>
          <a:ext cx="1804035" cy="70472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26</xdr:row>
      <xdr:rowOff>123825</xdr:rowOff>
    </xdr:from>
    <xdr:to>
      <xdr:col>25</xdr:col>
      <xdr:colOff>171450</xdr:colOff>
      <xdr:row>50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805ED98-4601-4E09-AE6C-9618376F34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66</xdr:row>
      <xdr:rowOff>0</xdr:rowOff>
    </xdr:from>
    <xdr:to>
      <xdr:col>24</xdr:col>
      <xdr:colOff>104775</xdr:colOff>
      <xdr:row>66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141BF187-1537-48A4-A194-549A0A21C4F9}"/>
            </a:ext>
          </a:extLst>
        </xdr:cNvPr>
        <xdr:cNvSpPr>
          <a:spLocks noChangeShapeType="1"/>
        </xdr:cNvSpPr>
      </xdr:nvSpPr>
      <xdr:spPr bwMode="auto">
        <a:xfrm>
          <a:off x="8561070" y="109442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44</xdr:row>
      <xdr:rowOff>66675</xdr:rowOff>
    </xdr:from>
    <xdr:to>
      <xdr:col>30</xdr:col>
      <xdr:colOff>171450</xdr:colOff>
      <xdr:row>49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8C42555F-5C1C-4E88-8DE0-5BC25EC40421}"/>
            </a:ext>
          </a:extLst>
        </xdr:cNvPr>
        <xdr:cNvSpPr txBox="1">
          <a:spLocks noChangeArrowheads="1"/>
        </xdr:cNvSpPr>
      </xdr:nvSpPr>
      <xdr:spPr bwMode="auto">
        <a:xfrm>
          <a:off x="8789670" y="71418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45</xdr:row>
      <xdr:rowOff>28576</xdr:rowOff>
    </xdr:from>
    <xdr:to>
      <xdr:col>30</xdr:col>
      <xdr:colOff>533400</xdr:colOff>
      <xdr:row>49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FA125F83-ABB7-4D9F-8F46-17F851C9FAE8}"/>
            </a:ext>
          </a:extLst>
        </xdr:cNvPr>
        <xdr:cNvSpPr>
          <a:spLocks noChangeShapeType="1"/>
        </xdr:cNvSpPr>
      </xdr:nvSpPr>
      <xdr:spPr bwMode="auto">
        <a:xfrm>
          <a:off x="12037695" y="72656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49</xdr:row>
      <xdr:rowOff>104775</xdr:rowOff>
    </xdr:from>
    <xdr:to>
      <xdr:col>25</xdr:col>
      <xdr:colOff>295275</xdr:colOff>
      <xdr:row>51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83F4DB31-B0C0-447F-AA09-43C79623ADEF}"/>
            </a:ext>
          </a:extLst>
        </xdr:cNvPr>
        <xdr:cNvSpPr>
          <a:spLocks noChangeShapeType="1"/>
        </xdr:cNvSpPr>
      </xdr:nvSpPr>
      <xdr:spPr bwMode="auto">
        <a:xfrm flipH="1">
          <a:off x="9088755" y="76657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E5F7BC8C-E63E-4C54-9099-4BB251D25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66</xdr:row>
      <xdr:rowOff>152400</xdr:rowOff>
    </xdr:from>
    <xdr:to>
      <xdr:col>32</xdr:col>
      <xdr:colOff>400050</xdr:colOff>
      <xdr:row>67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7F10D771-625A-4875-AB8B-C5C6343876FA}"/>
            </a:ext>
          </a:extLst>
        </xdr:cNvPr>
        <xdr:cNvSpPr txBox="1">
          <a:spLocks noChangeArrowheads="1"/>
        </xdr:cNvSpPr>
      </xdr:nvSpPr>
      <xdr:spPr bwMode="auto">
        <a:xfrm>
          <a:off x="11344275" y="11096625"/>
          <a:ext cx="2472690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119</xdr:row>
      <xdr:rowOff>57150</xdr:rowOff>
    </xdr:from>
    <xdr:to>
      <xdr:col>41</xdr:col>
      <xdr:colOff>323850</xdr:colOff>
      <xdr:row>120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F1E83B0F-339E-4598-81B4-3B6715C010C7}"/>
            </a:ext>
          </a:extLst>
        </xdr:cNvPr>
        <xdr:cNvSpPr>
          <a:spLocks noChangeShapeType="1"/>
        </xdr:cNvSpPr>
      </xdr:nvSpPr>
      <xdr:spPr bwMode="auto">
        <a:xfrm flipH="1">
          <a:off x="20770215" y="202558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63</xdr:row>
      <xdr:rowOff>19049</xdr:rowOff>
    </xdr:from>
    <xdr:to>
      <xdr:col>29</xdr:col>
      <xdr:colOff>257175</xdr:colOff>
      <xdr:row>66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39D1E050-ADBD-466E-B97F-FAB0A5B60F5A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0614659"/>
          <a:ext cx="6772275" cy="6838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129540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FCA38027-39AF-4F6D-9FAC-1C71DBB151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0645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95250</xdr:colOff>
      <xdr:row>72</xdr:row>
      <xdr:rowOff>47625</xdr:rowOff>
    </xdr:from>
    <xdr:to>
      <xdr:col>25</xdr:col>
      <xdr:colOff>133350</xdr:colOff>
      <xdr:row>75</xdr:row>
      <xdr:rowOff>154178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D375E1DC-FDEE-4DCF-8179-E0361E16B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39940" y="12489180"/>
          <a:ext cx="1800225" cy="7047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Labo\St%20Priest\Chantiers%202025\69\RA%20O89C%20%20Lissieu_Limonest%20-%20VL4\Essais%20de%20Laboratoire\Enrob&#233;s\Contr&#244;le%20Fabrication%20-%20Lissieu_Limonest%20VL4.xlsm" TargetMode="External"/><Relationship Id="rId1" Type="http://schemas.openxmlformats.org/officeDocument/2006/relationships/externalLinkPath" Target="/Labo/St%20Priest/Chantiers%202025/69/RA%20O89C%20%20Lissieu_Limonest%20-%20VL4/Essais%20de%20Laboratoire/Enrob&#233;s/Contr&#244;le%20Fabrication%20-%20Lissieu_Limonest%20VL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31025 GB RN6 Purge"/>
      <sheetName val="281025 GB RN6 Purge"/>
      <sheetName val="Nuit 8-91025 BBSG 110 voir RN6"/>
      <sheetName val="Nuit 7-81025 BBSG 110 voir RN6"/>
      <sheetName val="250925 BBSG Maison Carrée"/>
      <sheetName val="240925 BBSG intersection  (c)"/>
      <sheetName val="240925 BBSG intersection "/>
      <sheetName val="240925 GB Gir. Maison Carré"/>
      <sheetName val="230925 GB Gir. Maison Carré (c)"/>
      <sheetName val="230925 GB Gir. Maison Carrée"/>
      <sheetName val="22_230925 BBSG intersections "/>
      <sheetName val="150925 GB RN6 Purge"/>
      <sheetName val="150925 BBSG Pi Cycl"/>
      <sheetName val="050925 BBSG Pi Cycl"/>
      <sheetName val="050925 GB RN6 Purge"/>
      <sheetName val="210825 BBSG Pi Cycl"/>
      <sheetName val="280725 GB"/>
      <sheetName val="110625 GB"/>
      <sheetName val="100625 GB"/>
      <sheetName val="230525 GB"/>
      <sheetName val="240425 GB "/>
      <sheetName val="Nuit 01-020425 Bretelle 110"/>
      <sheetName val="Nuit 01-020425 120"/>
      <sheetName val="Nuit 01-020425 Piste cyclable"/>
      <sheetName val="010425 Racc. Gir. Tuileries"/>
      <sheetName val="310325 BBSG Gir. Tuileries"/>
      <sheetName val="120325 GB Gir. Tuileries"/>
      <sheetName val="060325 BBSG Gir. Tuileries"/>
      <sheetName val="060325 GB Gir. Tuileries"/>
      <sheetName val="030325 GB Gir. Tuileri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52">
          <cell r="E52">
            <v>6.3E-2</v>
          </cell>
          <cell r="F52">
            <v>0.125</v>
          </cell>
          <cell r="G52">
            <v>0.25</v>
          </cell>
          <cell r="H52">
            <v>0.5</v>
          </cell>
          <cell r="I52">
            <v>1</v>
          </cell>
          <cell r="J52">
            <v>2</v>
          </cell>
          <cell r="K52">
            <v>4</v>
          </cell>
          <cell r="L52">
            <v>6.3</v>
          </cell>
          <cell r="M52">
            <v>8</v>
          </cell>
          <cell r="N52">
            <v>10</v>
          </cell>
          <cell r="O52">
            <v>12.5</v>
          </cell>
          <cell r="P52">
            <v>14</v>
          </cell>
          <cell r="Q52">
            <v>16</v>
          </cell>
          <cell r="R52">
            <v>20</v>
          </cell>
          <cell r="S52"/>
          <cell r="T52"/>
          <cell r="U52"/>
          <cell r="V52"/>
          <cell r="W52"/>
        </row>
        <row r="58">
          <cell r="E58"/>
          <cell r="F58"/>
          <cell r="G58"/>
          <cell r="H58"/>
          <cell r="I58"/>
          <cell r="J58"/>
          <cell r="K58"/>
          <cell r="L58"/>
          <cell r="M58">
            <v>10</v>
          </cell>
          <cell r="N58">
            <v>10</v>
          </cell>
          <cell r="O58"/>
          <cell r="P58"/>
          <cell r="Q58">
            <v>50</v>
          </cell>
          <cell r="R58"/>
          <cell r="S58">
            <v>70</v>
          </cell>
          <cell r="T58"/>
          <cell r="U58"/>
          <cell r="V58"/>
          <cell r="W58"/>
        </row>
      </sheetData>
    </sheetDataSet>
  </externalBook>
</externalLink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56DA3-14C5-4C2A-8375-B3EC992EC515}">
  <sheetPr>
    <pageSetUpPr fitToPage="1"/>
  </sheetPr>
  <dimension ref="A1:AN73"/>
  <sheetViews>
    <sheetView tabSelected="1" topLeftCell="A40" zoomScaleNormal="100" workbookViewId="0">
      <selection activeCell="M53" sqref="M53:M60"/>
    </sheetView>
  </sheetViews>
  <sheetFormatPr baseColWidth="10" defaultColWidth="11.44140625" defaultRowHeight="12.75" customHeight="1" x14ac:dyDescent="0.25"/>
  <cols>
    <col min="1" max="2" width="5.109375" style="156" customWidth="1"/>
    <col min="3" max="27" width="5.109375" style="130" customWidth="1"/>
    <col min="28" max="41" width="11.44140625" style="130" customWidth="1"/>
    <col min="42" max="16384" width="11.44140625" style="130"/>
  </cols>
  <sheetData>
    <row r="1" spans="1:36" ht="12.6" customHeight="1" x14ac:dyDescent="0.25">
      <c r="A1" s="393"/>
      <c r="B1" s="394"/>
      <c r="C1" s="394"/>
      <c r="D1" s="394"/>
      <c r="E1" s="394"/>
      <c r="F1" s="395"/>
      <c r="G1" s="402" t="s">
        <v>0</v>
      </c>
      <c r="H1" s="403"/>
      <c r="I1" s="403"/>
      <c r="J1" s="403"/>
      <c r="K1" s="403"/>
      <c r="L1" s="403"/>
      <c r="M1" s="403"/>
      <c r="N1" s="403"/>
      <c r="O1" s="403"/>
      <c r="P1" s="403"/>
      <c r="Q1" s="403"/>
      <c r="R1" s="403"/>
      <c r="S1" s="403"/>
      <c r="T1" s="404"/>
      <c r="U1" s="405" t="s">
        <v>59</v>
      </c>
      <c r="V1" s="406"/>
      <c r="W1" s="406"/>
      <c r="X1" s="406"/>
      <c r="Y1" s="406"/>
      <c r="Z1" s="407"/>
      <c r="AA1" s="129"/>
    </row>
    <row r="2" spans="1:36" ht="12.6" customHeight="1" x14ac:dyDescent="0.25">
      <c r="A2" s="396"/>
      <c r="B2" s="397"/>
      <c r="C2" s="397"/>
      <c r="D2" s="397"/>
      <c r="E2" s="397"/>
      <c r="F2" s="398"/>
      <c r="G2" s="414" t="s">
        <v>1</v>
      </c>
      <c r="H2" s="415"/>
      <c r="I2" s="415"/>
      <c r="J2" s="415"/>
      <c r="K2" s="415"/>
      <c r="L2" s="415"/>
      <c r="M2" s="415"/>
      <c r="N2" s="415"/>
      <c r="O2" s="415"/>
      <c r="P2" s="415"/>
      <c r="Q2" s="415"/>
      <c r="R2" s="415"/>
      <c r="S2" s="415"/>
      <c r="T2" s="416"/>
      <c r="U2" s="408"/>
      <c r="V2" s="409"/>
      <c r="W2" s="409"/>
      <c r="X2" s="409"/>
      <c r="Y2" s="409"/>
      <c r="Z2" s="410"/>
      <c r="AA2" s="129"/>
    </row>
    <row r="3" spans="1:36" ht="12.6" customHeight="1" x14ac:dyDescent="0.25">
      <c r="A3" s="396"/>
      <c r="B3" s="397"/>
      <c r="C3" s="397"/>
      <c r="D3" s="397"/>
      <c r="E3" s="397"/>
      <c r="F3" s="398"/>
      <c r="G3" s="417"/>
      <c r="H3" s="415"/>
      <c r="I3" s="415"/>
      <c r="J3" s="415"/>
      <c r="K3" s="415"/>
      <c r="L3" s="415"/>
      <c r="M3" s="415"/>
      <c r="N3" s="415"/>
      <c r="O3" s="415"/>
      <c r="P3" s="415"/>
      <c r="Q3" s="415"/>
      <c r="R3" s="415"/>
      <c r="S3" s="415"/>
      <c r="T3" s="416"/>
      <c r="U3" s="408"/>
      <c r="V3" s="409"/>
      <c r="W3" s="409"/>
      <c r="X3" s="409"/>
      <c r="Y3" s="409"/>
      <c r="Z3" s="410"/>
      <c r="AA3" s="129"/>
    </row>
    <row r="4" spans="1:36" ht="12.6" customHeight="1" x14ac:dyDescent="0.25">
      <c r="A4" s="396"/>
      <c r="B4" s="397"/>
      <c r="C4" s="397"/>
      <c r="D4" s="397"/>
      <c r="E4" s="397"/>
      <c r="F4" s="398"/>
      <c r="G4" s="417"/>
      <c r="H4" s="415"/>
      <c r="I4" s="415"/>
      <c r="J4" s="415"/>
      <c r="K4" s="415"/>
      <c r="L4" s="415"/>
      <c r="M4" s="415"/>
      <c r="N4" s="415"/>
      <c r="O4" s="415"/>
      <c r="P4" s="415"/>
      <c r="Q4" s="415"/>
      <c r="R4" s="415"/>
      <c r="S4" s="415"/>
      <c r="T4" s="416"/>
      <c r="U4" s="408"/>
      <c r="V4" s="409"/>
      <c r="W4" s="409"/>
      <c r="X4" s="409"/>
      <c r="Y4" s="409"/>
      <c r="Z4" s="410"/>
      <c r="AA4" s="129"/>
    </row>
    <row r="5" spans="1:36" ht="12.6" customHeight="1" x14ac:dyDescent="0.25">
      <c r="A5" s="396"/>
      <c r="B5" s="397"/>
      <c r="C5" s="397"/>
      <c r="D5" s="397"/>
      <c r="E5" s="397"/>
      <c r="F5" s="398"/>
      <c r="G5" s="417" t="s">
        <v>2</v>
      </c>
      <c r="H5" s="415"/>
      <c r="I5" s="131" t="s">
        <v>3</v>
      </c>
      <c r="J5" s="302">
        <v>15</v>
      </c>
      <c r="K5" s="418"/>
      <c r="L5" s="419" t="s">
        <v>60</v>
      </c>
      <c r="M5" s="302"/>
      <c r="N5" s="302"/>
      <c r="O5" s="418"/>
      <c r="P5" s="420">
        <v>45959</v>
      </c>
      <c r="Q5" s="421"/>
      <c r="R5" s="421"/>
      <c r="S5" s="421"/>
      <c r="T5" s="422"/>
      <c r="U5" s="408"/>
      <c r="V5" s="409"/>
      <c r="W5" s="409"/>
      <c r="X5" s="409"/>
      <c r="Y5" s="409"/>
      <c r="Z5" s="410"/>
      <c r="AA5" s="129"/>
    </row>
    <row r="6" spans="1:36" ht="12.6" customHeight="1" x14ac:dyDescent="0.25">
      <c r="A6" s="399"/>
      <c r="B6" s="400"/>
      <c r="C6" s="400"/>
      <c r="D6" s="400"/>
      <c r="E6" s="400"/>
      <c r="F6" s="401"/>
      <c r="G6" s="132"/>
      <c r="H6" s="133"/>
      <c r="I6" s="133"/>
      <c r="J6" s="389" t="s">
        <v>4</v>
      </c>
      <c r="K6" s="389"/>
      <c r="L6" s="389" t="s">
        <v>5</v>
      </c>
      <c r="M6" s="389"/>
      <c r="N6" s="389"/>
      <c r="O6" s="389"/>
      <c r="P6" s="389" t="s">
        <v>6</v>
      </c>
      <c r="Q6" s="389"/>
      <c r="R6" s="389"/>
      <c r="S6" s="389"/>
      <c r="T6" s="390"/>
      <c r="U6" s="411"/>
      <c r="V6" s="412"/>
      <c r="W6" s="412"/>
      <c r="X6" s="412"/>
      <c r="Y6" s="412"/>
      <c r="Z6" s="413"/>
      <c r="AA6" s="129"/>
    </row>
    <row r="7" spans="1:36" ht="36.6" customHeight="1" x14ac:dyDescent="0.25">
      <c r="A7" s="391" t="s">
        <v>7</v>
      </c>
      <c r="B7" s="391"/>
      <c r="C7" s="391"/>
      <c r="D7" s="391"/>
      <c r="E7" s="391"/>
      <c r="F7" s="391"/>
      <c r="G7" s="392" t="s">
        <v>8</v>
      </c>
      <c r="H7" s="392"/>
      <c r="I7" s="392"/>
      <c r="J7" s="392"/>
      <c r="K7" s="392"/>
      <c r="L7" s="392"/>
      <c r="M7" s="392"/>
      <c r="N7" s="392"/>
      <c r="O7" s="392"/>
      <c r="P7" s="392"/>
      <c r="Q7" s="392"/>
      <c r="R7" s="392"/>
      <c r="S7" s="392"/>
      <c r="T7" s="392"/>
      <c r="U7" s="392"/>
      <c r="V7" s="392"/>
      <c r="W7" s="392"/>
      <c r="X7" s="392"/>
      <c r="Y7" s="392"/>
      <c r="Z7" s="392"/>
      <c r="AA7" s="134"/>
      <c r="AE7" s="135"/>
      <c r="AI7" s="135"/>
    </row>
    <row r="8" spans="1:36" ht="15.9" customHeight="1" x14ac:dyDescent="0.25">
      <c r="A8" s="136" t="s">
        <v>9</v>
      </c>
      <c r="B8" s="137" t="s">
        <v>10</v>
      </c>
      <c r="C8" s="138"/>
      <c r="D8" s="139"/>
      <c r="E8" s="139"/>
      <c r="F8" s="139"/>
      <c r="G8" s="139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40"/>
      <c r="AA8" s="141"/>
      <c r="AB8" s="142"/>
      <c r="AC8" s="142"/>
      <c r="AD8" s="142"/>
      <c r="AE8" s="135"/>
      <c r="AF8" s="142"/>
      <c r="AI8" s="135"/>
    </row>
    <row r="9" spans="1:36" ht="7.8" customHeight="1" x14ac:dyDescent="0.25">
      <c r="A9" s="143"/>
      <c r="B9" s="141"/>
      <c r="C9" s="141"/>
      <c r="D9" s="144"/>
      <c r="E9" s="144"/>
      <c r="F9" s="144"/>
      <c r="G9" s="144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5"/>
      <c r="AA9" s="141"/>
      <c r="AB9" s="142"/>
      <c r="AC9" s="142"/>
      <c r="AD9" s="142"/>
      <c r="AE9" s="135"/>
      <c r="AF9" s="142"/>
      <c r="AI9" s="135"/>
    </row>
    <row r="10" spans="1:36" ht="15.9" customHeight="1" x14ac:dyDescent="0.25">
      <c r="A10" s="143"/>
      <c r="B10" s="301" t="s">
        <v>11</v>
      </c>
      <c r="C10" s="301"/>
      <c r="D10" s="301"/>
      <c r="E10" s="301"/>
      <c r="F10" s="301"/>
      <c r="G10" s="384" t="s">
        <v>74</v>
      </c>
      <c r="H10" s="384"/>
      <c r="I10" s="384"/>
      <c r="J10" s="384"/>
      <c r="K10" s="384"/>
      <c r="L10" s="384"/>
      <c r="M10" s="385" t="s">
        <v>12</v>
      </c>
      <c r="N10" s="385"/>
      <c r="O10" s="385"/>
      <c r="P10" s="385"/>
      <c r="Q10" s="385"/>
      <c r="R10" s="385"/>
      <c r="S10" s="388" t="s">
        <v>13</v>
      </c>
      <c r="T10" s="388"/>
      <c r="U10" s="388"/>
      <c r="V10" s="388"/>
      <c r="W10" s="388"/>
      <c r="X10" s="388"/>
      <c r="Y10" s="388"/>
      <c r="Z10" s="147"/>
      <c r="AA10" s="146"/>
      <c r="AB10" s="142"/>
      <c r="AC10" s="142"/>
      <c r="AD10" s="142"/>
      <c r="AE10" s="148"/>
      <c r="AF10" s="148"/>
      <c r="AG10" s="148"/>
      <c r="AH10" s="148"/>
      <c r="AI10" s="148"/>
    </row>
    <row r="11" spans="1:36" ht="15.9" customHeight="1" x14ac:dyDescent="0.25">
      <c r="A11" s="143"/>
      <c r="B11" s="301" t="s">
        <v>14</v>
      </c>
      <c r="C11" s="301"/>
      <c r="D11" s="301"/>
      <c r="E11" s="301"/>
      <c r="F11" s="301"/>
      <c r="G11" s="384">
        <v>45959</v>
      </c>
      <c r="H11" s="384"/>
      <c r="I11" s="384"/>
      <c r="J11" s="384"/>
      <c r="K11" s="384"/>
      <c r="L11" s="384"/>
      <c r="M11" s="385" t="s">
        <v>15</v>
      </c>
      <c r="N11" s="385"/>
      <c r="O11" s="385"/>
      <c r="P11" s="385"/>
      <c r="Q11" s="385"/>
      <c r="R11" s="385"/>
      <c r="S11" s="562" t="s">
        <v>110</v>
      </c>
      <c r="T11" s="562"/>
      <c r="U11" s="562"/>
      <c r="V11" s="562"/>
      <c r="W11" s="562"/>
      <c r="X11" s="562"/>
      <c r="Y11" s="562"/>
      <c r="Z11" s="147"/>
      <c r="AA11" s="146"/>
      <c r="AB11" s="142"/>
      <c r="AC11" s="142"/>
      <c r="AD11" s="142"/>
      <c r="AE11" s="148"/>
      <c r="AF11" s="148"/>
      <c r="AG11" s="148"/>
      <c r="AH11" s="148"/>
      <c r="AI11" s="148"/>
    </row>
    <row r="12" spans="1:36" ht="15.9" customHeight="1" x14ac:dyDescent="0.25">
      <c r="A12" s="143"/>
      <c r="B12" s="301" t="s">
        <v>16</v>
      </c>
      <c r="C12" s="301"/>
      <c r="D12" s="301"/>
      <c r="E12" s="301"/>
      <c r="F12" s="301"/>
      <c r="G12" s="386">
        <v>45959</v>
      </c>
      <c r="H12" s="386"/>
      <c r="I12" s="386"/>
      <c r="J12" s="386"/>
      <c r="K12" s="386"/>
      <c r="L12" s="386"/>
      <c r="M12" s="387" t="s">
        <v>17</v>
      </c>
      <c r="N12" s="387"/>
      <c r="O12" s="387"/>
      <c r="P12" s="387"/>
      <c r="Q12" s="387"/>
      <c r="R12" s="387"/>
      <c r="S12" s="388">
        <v>61</v>
      </c>
      <c r="T12" s="388"/>
      <c r="U12" s="388"/>
      <c r="V12" s="388"/>
      <c r="W12" s="388"/>
      <c r="X12" s="388"/>
      <c r="Y12" s="388"/>
      <c r="Z12" s="147"/>
      <c r="AA12" s="146"/>
      <c r="AB12" s="142"/>
      <c r="AC12" s="142"/>
      <c r="AD12" s="142"/>
      <c r="AE12" s="135"/>
      <c r="AF12" s="142"/>
      <c r="AI12" s="135"/>
    </row>
    <row r="13" spans="1:36" ht="15.9" customHeight="1" x14ac:dyDescent="0.25">
      <c r="A13" s="143"/>
      <c r="B13" s="304" t="s">
        <v>18</v>
      </c>
      <c r="C13" s="304"/>
      <c r="D13" s="304"/>
      <c r="E13" s="304"/>
      <c r="F13" s="304"/>
      <c r="G13" s="305" t="s">
        <v>89</v>
      </c>
      <c r="H13" s="305"/>
      <c r="I13" s="305"/>
      <c r="J13" s="305"/>
      <c r="K13" s="305"/>
      <c r="L13" s="305"/>
      <c r="M13" s="382" t="s">
        <v>19</v>
      </c>
      <c r="N13" s="382"/>
      <c r="O13" s="382"/>
      <c r="P13" s="382"/>
      <c r="Q13" s="382"/>
      <c r="R13" s="382"/>
      <c r="S13" s="305" t="s">
        <v>67</v>
      </c>
      <c r="T13" s="305"/>
      <c r="U13" s="305"/>
      <c r="V13" s="305"/>
      <c r="W13" s="305"/>
      <c r="X13" s="305"/>
      <c r="Y13" s="305"/>
      <c r="Z13" s="147"/>
      <c r="AA13" s="146"/>
      <c r="AB13" s="142"/>
      <c r="AC13" s="142"/>
      <c r="AD13" s="142"/>
      <c r="AE13" s="148"/>
      <c r="AF13" s="148"/>
      <c r="AG13" s="148"/>
      <c r="AH13" s="148"/>
      <c r="AI13" s="148"/>
      <c r="AJ13" s="148"/>
    </row>
    <row r="14" spans="1:36" ht="15.9" customHeight="1" x14ac:dyDescent="0.25">
      <c r="A14" s="149"/>
      <c r="B14" s="301" t="s">
        <v>20</v>
      </c>
      <c r="C14" s="301"/>
      <c r="D14" s="301"/>
      <c r="E14" s="301"/>
      <c r="F14" s="301"/>
      <c r="G14" s="305" t="s">
        <v>90</v>
      </c>
      <c r="H14" s="305"/>
      <c r="I14" s="305"/>
      <c r="J14" s="305"/>
      <c r="K14" s="305"/>
      <c r="L14" s="305"/>
      <c r="M14" s="383" t="s">
        <v>21</v>
      </c>
      <c r="N14" s="383"/>
      <c r="O14" s="383"/>
      <c r="P14" s="383"/>
      <c r="Q14" s="383"/>
      <c r="R14" s="383"/>
      <c r="S14" s="383" t="s">
        <v>22</v>
      </c>
      <c r="T14" s="383"/>
      <c r="U14" s="383"/>
      <c r="V14" s="383"/>
      <c r="W14" s="383"/>
      <c r="X14" s="383"/>
      <c r="Y14" s="383"/>
      <c r="Z14" s="150"/>
      <c r="AA14" s="142"/>
      <c r="AB14" s="142"/>
      <c r="AC14" s="142"/>
      <c r="AD14" s="142"/>
      <c r="AE14" s="148"/>
      <c r="AF14" s="148"/>
      <c r="AG14" s="148"/>
      <c r="AH14" s="148"/>
      <c r="AI14" s="148"/>
      <c r="AJ14" s="148"/>
    </row>
    <row r="15" spans="1:36" ht="6" customHeight="1" x14ac:dyDescent="0.25">
      <c r="A15" s="151"/>
      <c r="B15" s="152"/>
      <c r="C15" s="153"/>
      <c r="D15" s="153"/>
      <c r="E15" s="153"/>
      <c r="F15" s="152"/>
      <c r="G15" s="152"/>
      <c r="H15" s="152"/>
      <c r="I15" s="152"/>
      <c r="J15" s="152"/>
      <c r="K15" s="152"/>
      <c r="L15" s="152"/>
      <c r="M15" s="152"/>
      <c r="N15" s="153"/>
      <c r="O15" s="153"/>
      <c r="P15" s="153"/>
      <c r="Q15" s="153"/>
      <c r="R15" s="153"/>
      <c r="S15" s="153"/>
      <c r="T15" s="154"/>
      <c r="U15" s="154"/>
      <c r="V15" s="153"/>
      <c r="W15" s="153"/>
      <c r="X15" s="153"/>
      <c r="Y15" s="153"/>
      <c r="Z15" s="155"/>
      <c r="AE15" s="148"/>
      <c r="AF15" s="148"/>
      <c r="AG15" s="148"/>
      <c r="AH15" s="148"/>
      <c r="AI15" s="148"/>
      <c r="AJ15" s="148"/>
    </row>
    <row r="16" spans="1:36" ht="6" customHeight="1" x14ac:dyDescent="0.25">
      <c r="F16" s="156"/>
      <c r="G16" s="156"/>
      <c r="H16" s="156"/>
      <c r="I16" s="156"/>
      <c r="J16" s="156"/>
      <c r="K16" s="156"/>
      <c r="L16" s="156"/>
      <c r="M16" s="156"/>
      <c r="T16" s="157"/>
      <c r="U16" s="157"/>
      <c r="AE16" s="148"/>
      <c r="AF16" s="148"/>
      <c r="AG16" s="148"/>
      <c r="AH16" s="148"/>
      <c r="AI16" s="148"/>
      <c r="AJ16" s="148"/>
    </row>
    <row r="17" spans="1:40" ht="15.9" customHeight="1" x14ac:dyDescent="0.25">
      <c r="A17" s="136" t="s">
        <v>23</v>
      </c>
      <c r="B17" s="137" t="s">
        <v>24</v>
      </c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40"/>
      <c r="AA17" s="141"/>
      <c r="AE17" s="158"/>
      <c r="AI17" s="158"/>
    </row>
    <row r="18" spans="1:40" ht="8.25" customHeight="1" x14ac:dyDescent="0.25">
      <c r="A18" s="143"/>
      <c r="B18" s="159"/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5"/>
      <c r="AA18" s="141"/>
      <c r="AE18" s="158"/>
      <c r="AI18" s="158"/>
    </row>
    <row r="19" spans="1:40" ht="15.9" customHeight="1" x14ac:dyDescent="0.25">
      <c r="A19" s="143"/>
      <c r="B19" s="301" t="s">
        <v>25</v>
      </c>
      <c r="C19" s="301"/>
      <c r="D19" s="301"/>
      <c r="E19" s="301"/>
      <c r="F19" s="301"/>
      <c r="G19" s="301"/>
      <c r="H19" s="301"/>
      <c r="I19" s="302"/>
      <c r="J19" s="302"/>
      <c r="K19" s="302"/>
      <c r="L19" s="302"/>
      <c r="M19" s="302"/>
      <c r="N19" s="302"/>
      <c r="O19" s="302"/>
      <c r="P19" s="302"/>
      <c r="Q19" s="302"/>
      <c r="R19" s="302"/>
      <c r="S19" s="302"/>
      <c r="T19" s="302"/>
      <c r="U19" s="302"/>
      <c r="V19" s="302"/>
      <c r="W19" s="302"/>
      <c r="X19" s="302"/>
      <c r="Y19" s="302"/>
      <c r="Z19" s="147"/>
      <c r="AA19" s="146"/>
      <c r="AE19" s="158"/>
      <c r="AI19" s="158"/>
    </row>
    <row r="20" spans="1:40" ht="15.9" customHeight="1" x14ac:dyDescent="0.25">
      <c r="A20" s="143"/>
      <c r="B20" s="301" t="s">
        <v>26</v>
      </c>
      <c r="C20" s="301"/>
      <c r="D20" s="301"/>
      <c r="E20" s="301"/>
      <c r="F20" s="301"/>
      <c r="G20" s="301"/>
      <c r="H20" s="301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  <c r="T20" s="303"/>
      <c r="U20" s="303"/>
      <c r="V20" s="303"/>
      <c r="W20" s="303"/>
      <c r="X20" s="303"/>
      <c r="Y20" s="303"/>
      <c r="Z20" s="147"/>
      <c r="AA20" s="146"/>
      <c r="AE20" s="158"/>
      <c r="AI20" s="158"/>
    </row>
    <row r="21" spans="1:40" ht="7.5" customHeight="1" x14ac:dyDescent="0.25">
      <c r="A21" s="132"/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61"/>
      <c r="AA21" s="141"/>
      <c r="AE21" s="158"/>
      <c r="AI21" s="158"/>
    </row>
    <row r="22" spans="1:40" ht="5.25" customHeight="1" x14ac:dyDescent="0.25">
      <c r="F22" s="156"/>
      <c r="G22" s="156"/>
      <c r="H22" s="156"/>
      <c r="I22" s="156"/>
      <c r="J22" s="156"/>
      <c r="K22" s="156"/>
      <c r="L22" s="156"/>
      <c r="M22" s="156"/>
      <c r="T22" s="157"/>
      <c r="U22" s="157"/>
      <c r="AE22" s="158"/>
      <c r="AI22" s="158"/>
      <c r="AM22" s="142"/>
      <c r="AN22" s="142"/>
    </row>
    <row r="23" spans="1:40" ht="15.9" customHeight="1" x14ac:dyDescent="0.25">
      <c r="A23" s="162" t="s">
        <v>71</v>
      </c>
      <c r="B23" s="163" t="s">
        <v>27</v>
      </c>
      <c r="C23" s="163"/>
      <c r="D23" s="164"/>
      <c r="E23" s="164"/>
      <c r="F23" s="165"/>
      <c r="G23" s="165"/>
      <c r="H23" s="165"/>
      <c r="I23" s="165"/>
      <c r="J23" s="165"/>
      <c r="K23" s="165"/>
      <c r="L23" s="165"/>
      <c r="M23" s="165"/>
      <c r="N23" s="164"/>
      <c r="O23" s="164"/>
      <c r="P23" s="164"/>
      <c r="Q23" s="164"/>
      <c r="R23" s="164"/>
      <c r="S23" s="166"/>
      <c r="T23" s="166"/>
      <c r="U23" s="166"/>
      <c r="V23" s="166"/>
      <c r="W23" s="166"/>
      <c r="X23" s="166"/>
      <c r="Y23" s="166"/>
      <c r="Z23" s="167"/>
      <c r="AM23" s="168"/>
      <c r="AN23" s="169"/>
    </row>
    <row r="24" spans="1:40" ht="9" customHeight="1" x14ac:dyDescent="0.25">
      <c r="A24" s="149"/>
      <c r="Z24" s="170"/>
    </row>
    <row r="25" spans="1:40" ht="33.6" customHeight="1" x14ac:dyDescent="0.25">
      <c r="A25" s="149"/>
      <c r="Z25" s="170"/>
    </row>
    <row r="26" spans="1:40" ht="12.75" customHeight="1" x14ac:dyDescent="0.25">
      <c r="A26" s="149"/>
      <c r="Z26" s="170"/>
    </row>
    <row r="27" spans="1:40" ht="12.75" customHeight="1" x14ac:dyDescent="0.25">
      <c r="A27" s="149"/>
      <c r="Z27" s="170"/>
    </row>
    <row r="28" spans="1:40" ht="12.75" customHeight="1" x14ac:dyDescent="0.25">
      <c r="A28" s="149"/>
      <c r="Z28" s="170"/>
    </row>
    <row r="29" spans="1:40" ht="12.75" customHeight="1" x14ac:dyDescent="0.25">
      <c r="A29" s="149"/>
      <c r="Z29" s="170"/>
    </row>
    <row r="30" spans="1:40" ht="12.75" customHeight="1" x14ac:dyDescent="0.25">
      <c r="A30" s="149"/>
      <c r="Z30" s="170"/>
    </row>
    <row r="31" spans="1:40" ht="12.75" customHeight="1" x14ac:dyDescent="0.25">
      <c r="A31" s="149"/>
      <c r="Z31" s="170"/>
    </row>
    <row r="32" spans="1:40" ht="12.75" customHeight="1" x14ac:dyDescent="0.25">
      <c r="A32" s="149"/>
      <c r="Z32" s="170"/>
    </row>
    <row r="33" spans="1:26" ht="12.75" customHeight="1" x14ac:dyDescent="0.25">
      <c r="A33" s="149"/>
      <c r="Z33" s="170"/>
    </row>
    <row r="34" spans="1:26" ht="12.75" customHeight="1" x14ac:dyDescent="0.25">
      <c r="A34" s="149"/>
      <c r="Z34" s="170"/>
    </row>
    <row r="35" spans="1:26" ht="12.75" customHeight="1" x14ac:dyDescent="0.25">
      <c r="A35" s="149"/>
      <c r="Z35" s="170"/>
    </row>
    <row r="36" spans="1:26" ht="12.75" customHeight="1" x14ac:dyDescent="0.25">
      <c r="A36" s="149"/>
      <c r="Z36" s="170"/>
    </row>
    <row r="37" spans="1:26" ht="12.75" customHeight="1" x14ac:dyDescent="0.25">
      <c r="A37" s="149"/>
      <c r="Z37" s="170"/>
    </row>
    <row r="38" spans="1:26" ht="12.75" customHeight="1" x14ac:dyDescent="0.25">
      <c r="A38" s="149"/>
      <c r="Z38" s="170"/>
    </row>
    <row r="39" spans="1:26" ht="12.75" customHeight="1" x14ac:dyDescent="0.25">
      <c r="A39" s="149"/>
      <c r="Z39" s="170"/>
    </row>
    <row r="40" spans="1:26" ht="12.75" customHeight="1" x14ac:dyDescent="0.25">
      <c r="A40" s="149"/>
      <c r="Z40" s="170"/>
    </row>
    <row r="41" spans="1:26" ht="12.75" customHeight="1" x14ac:dyDescent="0.25">
      <c r="A41" s="149"/>
      <c r="Z41" s="170"/>
    </row>
    <row r="42" spans="1:26" ht="12.75" customHeight="1" x14ac:dyDescent="0.25">
      <c r="A42" s="149"/>
      <c r="Z42" s="170"/>
    </row>
    <row r="43" spans="1:26" ht="12.75" customHeight="1" x14ac:dyDescent="0.25">
      <c r="A43" s="149"/>
      <c r="Z43" s="170"/>
    </row>
    <row r="44" spans="1:26" ht="12.75" customHeight="1" x14ac:dyDescent="0.25">
      <c r="A44" s="149"/>
      <c r="Z44" s="170"/>
    </row>
    <row r="45" spans="1:26" ht="12.75" customHeight="1" x14ac:dyDescent="0.25">
      <c r="A45" s="149"/>
      <c r="Z45" s="170"/>
    </row>
    <row r="46" spans="1:26" ht="12.75" customHeight="1" x14ac:dyDescent="0.25">
      <c r="A46" s="149"/>
      <c r="Z46" s="170"/>
    </row>
    <row r="47" spans="1:26" ht="9.75" customHeight="1" x14ac:dyDescent="0.25">
      <c r="A47" s="149"/>
      <c r="Z47" s="170"/>
    </row>
    <row r="48" spans="1:26" ht="37.799999999999997" customHeight="1" thickBot="1" x14ac:dyDescent="0.3">
      <c r="A48" s="149"/>
      <c r="Z48" s="170"/>
    </row>
    <row r="49" spans="1:34" ht="9.75" customHeight="1" x14ac:dyDescent="0.25">
      <c r="A49" s="149"/>
      <c r="Z49" s="170"/>
      <c r="AD49" s="378" t="s">
        <v>28</v>
      </c>
      <c r="AE49" s="380">
        <v>2.6760000000000002</v>
      </c>
      <c r="AF49" s="353"/>
      <c r="AG49" s="359"/>
      <c r="AH49" s="171"/>
    </row>
    <row r="50" spans="1:34" ht="12.75" customHeight="1" thickBot="1" x14ac:dyDescent="0.3">
      <c r="A50" s="149"/>
      <c r="Z50" s="172"/>
      <c r="AD50" s="379"/>
      <c r="AE50" s="381"/>
      <c r="AF50" s="358"/>
      <c r="AG50" s="359"/>
    </row>
    <row r="51" spans="1:34" ht="18.75" customHeight="1" thickBot="1" x14ac:dyDescent="0.3">
      <c r="A51" s="149"/>
      <c r="E51" s="360" t="s">
        <v>29</v>
      </c>
      <c r="F51" s="361"/>
      <c r="G51" s="361"/>
      <c r="H51" s="361"/>
      <c r="I51" s="361"/>
      <c r="J51" s="361"/>
      <c r="K51" s="361"/>
      <c r="L51" s="361"/>
      <c r="M51" s="361"/>
      <c r="N51" s="361"/>
      <c r="O51" s="361"/>
      <c r="P51" s="361"/>
      <c r="Q51" s="361"/>
      <c r="R51" s="361"/>
      <c r="S51" s="361"/>
      <c r="T51" s="361"/>
      <c r="U51" s="362" t="s">
        <v>30</v>
      </c>
      <c r="V51" s="363"/>
      <c r="W51" s="364" t="s">
        <v>31</v>
      </c>
      <c r="X51" s="363"/>
      <c r="Y51" s="365" t="s">
        <v>32</v>
      </c>
      <c r="Z51" s="366"/>
      <c r="AA51" s="175"/>
      <c r="AB51" s="369" t="s">
        <v>33</v>
      </c>
      <c r="AC51" s="370"/>
      <c r="AD51" s="373" t="s">
        <v>34</v>
      </c>
      <c r="AE51" s="375" t="s">
        <v>35</v>
      </c>
      <c r="AF51" s="353"/>
      <c r="AG51" s="353"/>
      <c r="AH51" s="173"/>
    </row>
    <row r="52" spans="1:34" ht="24.9" customHeight="1" thickBot="1" x14ac:dyDescent="0.3">
      <c r="A52" s="176"/>
      <c r="B52" s="174" t="s">
        <v>36</v>
      </c>
      <c r="C52" s="354" t="s">
        <v>37</v>
      </c>
      <c r="D52" s="355"/>
      <c r="E52" s="177">
        <v>6.3E-2</v>
      </c>
      <c r="F52" s="177">
        <v>0.125</v>
      </c>
      <c r="G52" s="178">
        <v>0.25</v>
      </c>
      <c r="H52" s="178">
        <v>0.5</v>
      </c>
      <c r="I52" s="178">
        <v>1</v>
      </c>
      <c r="J52" s="178">
        <v>2</v>
      </c>
      <c r="K52" s="178">
        <v>4</v>
      </c>
      <c r="L52" s="178">
        <v>6.3</v>
      </c>
      <c r="M52" s="178">
        <v>8</v>
      </c>
      <c r="N52" s="178">
        <v>10</v>
      </c>
      <c r="O52" s="178">
        <v>12.5</v>
      </c>
      <c r="P52" s="178">
        <v>14</v>
      </c>
      <c r="Q52" s="179">
        <v>16</v>
      </c>
      <c r="R52" s="179">
        <v>20</v>
      </c>
      <c r="S52" s="178"/>
      <c r="T52" s="179"/>
      <c r="U52" s="310"/>
      <c r="V52" s="312"/>
      <c r="W52" s="311"/>
      <c r="X52" s="312"/>
      <c r="Y52" s="367"/>
      <c r="Z52" s="368"/>
      <c r="AA52" s="175"/>
      <c r="AB52" s="371"/>
      <c r="AC52" s="372"/>
      <c r="AD52" s="374"/>
      <c r="AE52" s="376"/>
      <c r="AF52" s="377"/>
      <c r="AG52" s="353"/>
    </row>
    <row r="53" spans="1:34" ht="24.9" customHeight="1" x14ac:dyDescent="0.25">
      <c r="A53" s="176"/>
      <c r="B53" s="180">
        <v>1</v>
      </c>
      <c r="C53" s="569" t="s">
        <v>111</v>
      </c>
      <c r="D53" s="570"/>
      <c r="E53" s="579">
        <v>7.7</v>
      </c>
      <c r="F53" s="580">
        <v>10.199999999999999</v>
      </c>
      <c r="G53" s="581">
        <v>14.1</v>
      </c>
      <c r="H53" s="581">
        <v>18.899999999999999</v>
      </c>
      <c r="I53" s="581">
        <v>26</v>
      </c>
      <c r="J53" s="581">
        <v>39</v>
      </c>
      <c r="K53" s="581">
        <v>60.9</v>
      </c>
      <c r="L53" s="581">
        <v>95.3</v>
      </c>
      <c r="M53" s="241">
        <v>100</v>
      </c>
      <c r="N53" s="581"/>
      <c r="O53" s="581"/>
      <c r="P53" s="581"/>
      <c r="Q53" s="581"/>
      <c r="R53" s="581"/>
      <c r="S53" s="582"/>
      <c r="T53" s="582"/>
      <c r="U53" s="565">
        <v>175</v>
      </c>
      <c r="V53" s="566"/>
      <c r="W53" s="567">
        <v>5.66</v>
      </c>
      <c r="X53" s="568"/>
      <c r="Y53" s="356">
        <f>IF(W53&lt;&gt;0,AE53,"")</f>
        <v>3.6436484490465784</v>
      </c>
      <c r="Z53" s="357"/>
      <c r="AA53" s="181"/>
      <c r="AB53" s="326">
        <f>(100*W53)/(100-W53)</f>
        <v>5.9995760016959929</v>
      </c>
      <c r="AC53" s="327"/>
      <c r="AD53" s="53">
        <f>(0.25*(100-O53)+2.3*(O53-H53)+12*(H53-E53)+150*(E53))/100</f>
        <v>12.709300000000001</v>
      </c>
      <c r="AE53" s="54">
        <f>(AB53*$AE$49)/(2.65*(AD53)^(1/5))</f>
        <v>3.6436484490465784</v>
      </c>
      <c r="AF53" s="156"/>
      <c r="AG53" s="182"/>
    </row>
    <row r="54" spans="1:34" ht="24.9" customHeight="1" x14ac:dyDescent="0.25">
      <c r="A54" s="176"/>
      <c r="B54" s="183">
        <v>2</v>
      </c>
      <c r="C54" s="563"/>
      <c r="D54" s="564"/>
      <c r="E54" s="125"/>
      <c r="F54" s="126"/>
      <c r="G54" s="127"/>
      <c r="H54" s="127"/>
      <c r="I54" s="127"/>
      <c r="J54" s="127"/>
      <c r="K54" s="127"/>
      <c r="L54" s="127"/>
      <c r="M54" s="236"/>
      <c r="N54" s="127"/>
      <c r="O54" s="236"/>
      <c r="P54" s="184"/>
      <c r="Q54" s="184"/>
      <c r="R54" s="184"/>
      <c r="S54" s="185"/>
      <c r="T54" s="185"/>
      <c r="U54" s="342"/>
      <c r="V54" s="343"/>
      <c r="W54" s="344"/>
      <c r="X54" s="345"/>
      <c r="Y54" s="346" t="str">
        <f>IF(W54&lt;&gt;0,AE54,"")</f>
        <v/>
      </c>
      <c r="Z54" s="347"/>
      <c r="AA54" s="181"/>
      <c r="AB54" s="326">
        <f>(100*W54)/(100-W54)</f>
        <v>0</v>
      </c>
      <c r="AC54" s="327"/>
      <c r="AD54" s="53">
        <f t="shared" ref="AD54:AD60" si="0">(0.25*(100-O54)+2.3*(O54-H54)+12*(H54-E54)+150*(E54))/100</f>
        <v>0.25</v>
      </c>
      <c r="AE54" s="54">
        <f t="shared" ref="AE54:AE60" si="1">(AB54*$AE$49)/(2.65*(AD54)^(1/5))</f>
        <v>0</v>
      </c>
      <c r="AF54" s="156"/>
      <c r="AG54" s="182"/>
    </row>
    <row r="55" spans="1:34" ht="24.9" customHeight="1" x14ac:dyDescent="0.25">
      <c r="A55" s="176"/>
      <c r="B55" s="183">
        <v>3</v>
      </c>
      <c r="C55" s="291"/>
      <c r="D55" s="348"/>
      <c r="E55" s="120"/>
      <c r="F55" s="121"/>
      <c r="G55" s="122"/>
      <c r="H55" s="122"/>
      <c r="I55" s="122"/>
      <c r="J55" s="122"/>
      <c r="K55" s="122"/>
      <c r="L55" s="122"/>
      <c r="M55" s="124"/>
      <c r="N55" s="122"/>
      <c r="O55" s="124"/>
      <c r="P55" s="122"/>
      <c r="Q55" s="122"/>
      <c r="R55" s="122"/>
      <c r="S55" s="123"/>
      <c r="T55" s="123"/>
      <c r="U55" s="349"/>
      <c r="V55" s="350"/>
      <c r="W55" s="351"/>
      <c r="X55" s="352"/>
      <c r="Y55" s="346" t="str">
        <f t="shared" ref="Y55:Y56" si="2">IF(W55&lt;&gt;0,AE55,"")</f>
        <v/>
      </c>
      <c r="Z55" s="347"/>
      <c r="AA55" s="181"/>
      <c r="AB55" s="326">
        <f>(100*W55)/(100-W55)</f>
        <v>0</v>
      </c>
      <c r="AC55" s="327"/>
      <c r="AD55" s="53">
        <f t="shared" si="0"/>
        <v>0.25</v>
      </c>
      <c r="AE55" s="54">
        <f t="shared" si="1"/>
        <v>0</v>
      </c>
      <c r="AF55" s="156"/>
      <c r="AG55" s="182"/>
    </row>
    <row r="56" spans="1:34" ht="24.9" customHeight="1" thickBot="1" x14ac:dyDescent="0.3">
      <c r="A56" s="176"/>
      <c r="B56" s="188">
        <v>4</v>
      </c>
      <c r="C56" s="293"/>
      <c r="D56" s="294"/>
      <c r="E56" s="189"/>
      <c r="F56" s="190"/>
      <c r="G56" s="190"/>
      <c r="H56" s="191"/>
      <c r="I56" s="191"/>
      <c r="J56" s="191"/>
      <c r="K56" s="191"/>
      <c r="L56" s="191"/>
      <c r="M56" s="247"/>
      <c r="N56" s="191"/>
      <c r="O56" s="247"/>
      <c r="P56" s="191"/>
      <c r="Q56" s="191"/>
      <c r="R56" s="191"/>
      <c r="S56" s="191"/>
      <c r="T56" s="192"/>
      <c r="U56" s="295"/>
      <c r="V56" s="296"/>
      <c r="W56" s="297"/>
      <c r="X56" s="298"/>
      <c r="Y56" s="299" t="str">
        <f t="shared" si="2"/>
        <v/>
      </c>
      <c r="Z56" s="300"/>
      <c r="AA56" s="181"/>
      <c r="AB56" s="326">
        <f>(100*W56)/(100-W56)</f>
        <v>0</v>
      </c>
      <c r="AC56" s="327"/>
      <c r="AD56" s="53">
        <f t="shared" si="0"/>
        <v>0.25</v>
      </c>
      <c r="AE56" s="54">
        <f t="shared" si="1"/>
        <v>0</v>
      </c>
      <c r="AF56" s="156"/>
      <c r="AG56" s="182"/>
    </row>
    <row r="57" spans="1:34" ht="10.5" customHeight="1" thickBot="1" x14ac:dyDescent="0.3">
      <c r="A57" s="176"/>
      <c r="B57" s="130"/>
      <c r="E57" s="193"/>
      <c r="F57" s="193"/>
      <c r="G57" s="193"/>
      <c r="H57" s="193"/>
      <c r="I57" s="193"/>
      <c r="J57" s="193"/>
      <c r="K57" s="193"/>
      <c r="L57" s="193"/>
      <c r="M57" s="248"/>
      <c r="N57" s="193"/>
      <c r="O57" s="248"/>
      <c r="P57" s="193"/>
      <c r="Q57" s="193"/>
      <c r="R57" s="193"/>
      <c r="S57" s="193"/>
      <c r="T57" s="193"/>
      <c r="U57" s="193"/>
      <c r="V57" s="193"/>
      <c r="W57" s="194"/>
      <c r="Z57" s="195"/>
      <c r="AB57" s="72"/>
      <c r="AC57" s="73"/>
      <c r="AD57" s="53"/>
      <c r="AE57" s="54"/>
      <c r="AF57" s="156"/>
      <c r="AG57" s="182"/>
    </row>
    <row r="58" spans="1:34" ht="24.75" hidden="1" customHeight="1" x14ac:dyDescent="0.25">
      <c r="A58" s="176"/>
      <c r="B58" s="337" t="s">
        <v>38</v>
      </c>
      <c r="C58" s="338"/>
      <c r="D58" s="339"/>
      <c r="E58" s="196"/>
      <c r="F58" s="196"/>
      <c r="G58" s="196"/>
      <c r="H58" s="196"/>
      <c r="I58" s="196"/>
      <c r="J58" s="196"/>
      <c r="K58" s="196"/>
      <c r="L58" s="196"/>
      <c r="M58" s="249">
        <v>10</v>
      </c>
      <c r="N58" s="196">
        <v>10</v>
      </c>
      <c r="O58" s="249"/>
      <c r="P58" s="196"/>
      <c r="Q58" s="196">
        <v>50</v>
      </c>
      <c r="R58" s="196"/>
      <c r="S58" s="196">
        <v>70</v>
      </c>
      <c r="T58" s="196"/>
      <c r="U58" s="196"/>
      <c r="V58" s="196"/>
      <c r="W58" s="196"/>
      <c r="X58" s="197"/>
      <c r="Y58" s="198">
        <v>4.5</v>
      </c>
      <c r="Z58" s="198"/>
      <c r="AA58" s="156"/>
      <c r="AB58" s="72"/>
      <c r="AC58" s="73"/>
      <c r="AD58" s="53">
        <f t="shared" si="0"/>
        <v>0.25</v>
      </c>
      <c r="AE58" s="54">
        <f t="shared" si="1"/>
        <v>0</v>
      </c>
      <c r="AF58" s="156"/>
      <c r="AG58" s="182"/>
    </row>
    <row r="59" spans="1:34" ht="18.75" customHeight="1" x14ac:dyDescent="0.25">
      <c r="A59" s="176"/>
      <c r="B59" s="317" t="s">
        <v>39</v>
      </c>
      <c r="C59" s="318"/>
      <c r="D59" s="319"/>
      <c r="E59" s="199">
        <f t="shared" ref="E59:T59" si="3">IF(E53&lt;&gt;0,AVERAGE(E53:E56),"")</f>
        <v>7.7</v>
      </c>
      <c r="F59" s="199">
        <f t="shared" si="3"/>
        <v>10.199999999999999</v>
      </c>
      <c r="G59" s="199">
        <f t="shared" si="3"/>
        <v>14.1</v>
      </c>
      <c r="H59" s="199">
        <f t="shared" si="3"/>
        <v>18.899999999999999</v>
      </c>
      <c r="I59" s="199">
        <f t="shared" si="3"/>
        <v>26</v>
      </c>
      <c r="J59" s="199">
        <f t="shared" si="3"/>
        <v>39</v>
      </c>
      <c r="K59" s="199">
        <f t="shared" si="3"/>
        <v>60.9</v>
      </c>
      <c r="L59" s="199">
        <f t="shared" si="3"/>
        <v>95.3</v>
      </c>
      <c r="M59" s="250">
        <f t="shared" si="3"/>
        <v>100</v>
      </c>
      <c r="N59" s="199"/>
      <c r="O59" s="250"/>
      <c r="P59" s="199"/>
      <c r="Q59" s="199"/>
      <c r="R59" s="199"/>
      <c r="S59" s="199" t="str">
        <f t="shared" si="3"/>
        <v/>
      </c>
      <c r="T59" s="200" t="str">
        <f t="shared" si="3"/>
        <v/>
      </c>
      <c r="U59" s="320">
        <f>IF(U53&lt;&gt;0,AVERAGE(U53:V56),"")</f>
        <v>175</v>
      </c>
      <c r="V59" s="321"/>
      <c r="W59" s="322">
        <f>IF(W53&lt;&gt;0,AVERAGE(W53:X56),"")</f>
        <v>5.66</v>
      </c>
      <c r="X59" s="323"/>
      <c r="Y59" s="324">
        <f>IF(W53&lt;&gt;0,AVERAGE(Y53:Z56),"")</f>
        <v>3.6436484490465784</v>
      </c>
      <c r="Z59" s="325"/>
      <c r="AA59" s="182"/>
      <c r="AB59" s="326">
        <f>(100*W59)/(100-W59)</f>
        <v>5.9995760016959929</v>
      </c>
      <c r="AC59" s="327"/>
      <c r="AD59" s="53">
        <f t="shared" si="0"/>
        <v>12.709300000000001</v>
      </c>
      <c r="AE59" s="54">
        <f t="shared" si="1"/>
        <v>3.6436484490465784</v>
      </c>
      <c r="AF59" s="156"/>
      <c r="AG59" s="182"/>
    </row>
    <row r="60" spans="1:34" ht="21" customHeight="1" x14ac:dyDescent="0.25">
      <c r="A60" s="176"/>
      <c r="B60" s="328" t="s">
        <v>40</v>
      </c>
      <c r="C60" s="329"/>
      <c r="D60" s="330"/>
      <c r="E60" s="201">
        <v>8.1</v>
      </c>
      <c r="F60" s="201">
        <v>10</v>
      </c>
      <c r="G60" s="201">
        <v>15</v>
      </c>
      <c r="H60" s="201">
        <v>20</v>
      </c>
      <c r="I60" s="201">
        <v>27</v>
      </c>
      <c r="J60" s="201">
        <v>39</v>
      </c>
      <c r="K60" s="201">
        <v>59</v>
      </c>
      <c r="L60" s="201">
        <v>93</v>
      </c>
      <c r="M60" s="202">
        <v>100</v>
      </c>
      <c r="N60" s="201"/>
      <c r="O60" s="202"/>
      <c r="P60" s="201"/>
      <c r="Q60" s="202"/>
      <c r="R60" s="201"/>
      <c r="S60" s="201"/>
      <c r="T60" s="203"/>
      <c r="U60" s="331"/>
      <c r="V60" s="332"/>
      <c r="W60" s="333">
        <v>6</v>
      </c>
      <c r="X60" s="334"/>
      <c r="Y60" s="335">
        <f>AE60</f>
        <v>3.8375172843003278</v>
      </c>
      <c r="Z60" s="336"/>
      <c r="AA60" s="182"/>
      <c r="AB60" s="326">
        <f>(100*W60)/(100-W60)</f>
        <v>6.3829787234042552</v>
      </c>
      <c r="AC60" s="327"/>
      <c r="AD60" s="53">
        <f t="shared" si="0"/>
        <v>13.368</v>
      </c>
      <c r="AE60" s="54">
        <f t="shared" si="1"/>
        <v>3.8375172843003278</v>
      </c>
      <c r="AF60" s="156"/>
      <c r="AG60" s="182"/>
    </row>
    <row r="61" spans="1:34" ht="13.5" customHeight="1" x14ac:dyDescent="0.25">
      <c r="A61" s="176"/>
      <c r="B61" s="204"/>
      <c r="C61" s="205" t="s">
        <v>41</v>
      </c>
      <c r="D61" s="206"/>
      <c r="E61" s="186">
        <f>E60+2</f>
        <v>10.1</v>
      </c>
      <c r="F61" s="186"/>
      <c r="G61" s="186"/>
      <c r="H61" s="186"/>
      <c r="I61" s="186"/>
      <c r="J61" s="186">
        <f>J60+6</f>
        <v>45</v>
      </c>
      <c r="K61" s="186"/>
      <c r="L61" s="251">
        <f>L60+7</f>
        <v>100</v>
      </c>
      <c r="M61" s="186"/>
      <c r="N61" s="186"/>
      <c r="O61" s="186"/>
      <c r="P61" s="186"/>
      <c r="Q61" s="186"/>
      <c r="R61" s="186"/>
      <c r="S61" s="186"/>
      <c r="T61" s="187"/>
      <c r="U61" s="288"/>
      <c r="V61" s="289"/>
      <c r="W61" s="290">
        <f>W60+0.5</f>
        <v>6.5</v>
      </c>
      <c r="X61" s="289"/>
      <c r="Y61" s="291"/>
      <c r="Z61" s="292"/>
      <c r="AA61" s="207"/>
      <c r="AB61" s="88"/>
      <c r="AC61" s="89"/>
      <c r="AD61" s="306"/>
      <c r="AE61" s="308" t="s">
        <v>42</v>
      </c>
      <c r="AF61" s="156"/>
      <c r="AG61" s="182"/>
    </row>
    <row r="62" spans="1:34" ht="13.5" customHeight="1" thickBot="1" x14ac:dyDescent="0.3">
      <c r="A62" s="176"/>
      <c r="B62" s="310" t="s">
        <v>43</v>
      </c>
      <c r="C62" s="311"/>
      <c r="D62" s="312"/>
      <c r="E62" s="208">
        <f>E60-2</f>
        <v>6.1</v>
      </c>
      <c r="F62" s="208"/>
      <c r="G62" s="209"/>
      <c r="H62" s="209"/>
      <c r="I62" s="209"/>
      <c r="J62" s="208">
        <f>J60-6</f>
        <v>33</v>
      </c>
      <c r="K62" s="209"/>
      <c r="L62" s="208">
        <f>L60-7</f>
        <v>86</v>
      </c>
      <c r="M62" s="208"/>
      <c r="N62" s="209"/>
      <c r="O62" s="209"/>
      <c r="P62" s="209"/>
      <c r="Q62" s="208"/>
      <c r="R62" s="209"/>
      <c r="S62" s="209"/>
      <c r="T62" s="210"/>
      <c r="U62" s="313"/>
      <c r="V62" s="314"/>
      <c r="W62" s="315">
        <f>W60-0.5</f>
        <v>5.5</v>
      </c>
      <c r="X62" s="314"/>
      <c r="Y62" s="293"/>
      <c r="Z62" s="316"/>
      <c r="AA62" s="211"/>
      <c r="AB62" s="94"/>
      <c r="AC62" s="95"/>
      <c r="AD62" s="307"/>
      <c r="AE62" s="309"/>
      <c r="AF62" s="156"/>
      <c r="AG62" s="182"/>
    </row>
    <row r="63" spans="1:34" ht="6.75" customHeight="1" x14ac:dyDescent="0.25">
      <c r="A63" s="151"/>
      <c r="B63" s="152"/>
      <c r="C63" s="153"/>
      <c r="D63" s="153"/>
      <c r="E63" s="153"/>
      <c r="F63" s="153"/>
      <c r="G63" s="153"/>
      <c r="H63" s="153"/>
      <c r="I63" s="153"/>
      <c r="J63" s="153"/>
      <c r="K63" s="153"/>
      <c r="L63" s="153"/>
      <c r="M63" s="153"/>
      <c r="N63" s="153"/>
      <c r="O63" s="153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212"/>
    </row>
    <row r="64" spans="1:34" ht="8.25" customHeight="1" x14ac:dyDescent="0.25"/>
    <row r="65" spans="1:30" ht="15.6" customHeight="1" x14ac:dyDescent="0.25">
      <c r="A65" s="213" t="s">
        <v>44</v>
      </c>
      <c r="B65" s="214" t="s">
        <v>45</v>
      </c>
      <c r="C65" s="215"/>
      <c r="D65" s="215"/>
      <c r="E65" s="215"/>
      <c r="F65" s="216"/>
      <c r="G65" s="216"/>
      <c r="H65" s="216"/>
      <c r="I65" s="138"/>
      <c r="J65" s="138"/>
      <c r="K65" s="138"/>
      <c r="L65" s="138"/>
      <c r="M65" s="138"/>
      <c r="N65" s="138"/>
      <c r="O65" s="138"/>
      <c r="P65" s="138"/>
      <c r="Q65" s="216"/>
      <c r="R65" s="138"/>
      <c r="S65" s="138"/>
      <c r="T65" s="138"/>
      <c r="U65" s="270"/>
      <c r="V65" s="270"/>
      <c r="W65" s="270"/>
      <c r="X65" s="270"/>
      <c r="Y65" s="270"/>
      <c r="Z65" s="271"/>
      <c r="AA65" s="217"/>
      <c r="AB65" s="218"/>
      <c r="AC65" s="218"/>
      <c r="AD65" s="219"/>
    </row>
    <row r="66" spans="1:30" ht="26.4" customHeight="1" x14ac:dyDescent="0.25">
      <c r="A66" s="272" t="s">
        <v>46</v>
      </c>
      <c r="B66" s="273"/>
      <c r="C66" s="273"/>
      <c r="D66" s="273"/>
      <c r="E66" s="273"/>
      <c r="F66" s="273"/>
      <c r="G66" s="273"/>
      <c r="H66" s="273"/>
      <c r="I66" s="273"/>
      <c r="J66" s="273"/>
      <c r="K66" s="273"/>
      <c r="L66" s="273"/>
      <c r="M66" s="273"/>
      <c r="N66" s="273"/>
      <c r="O66" s="273"/>
      <c r="P66" s="273"/>
      <c r="Q66" s="274"/>
      <c r="R66" s="261" t="s">
        <v>47</v>
      </c>
      <c r="S66" s="262"/>
      <c r="T66" s="263"/>
      <c r="U66" s="275" t="s">
        <v>76</v>
      </c>
      <c r="V66" s="276"/>
      <c r="W66" s="276"/>
      <c r="X66" s="277"/>
      <c r="Y66" s="277"/>
      <c r="Z66" s="278"/>
      <c r="AA66" s="160"/>
      <c r="AB66" s="220"/>
      <c r="AC66" s="220"/>
      <c r="AD66" s="219"/>
    </row>
    <row r="67" spans="1:30" ht="26.4" customHeight="1" x14ac:dyDescent="0.25">
      <c r="A67" s="279" t="s">
        <v>48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0"/>
      <c r="N67" s="280"/>
      <c r="O67" s="280"/>
      <c r="P67" s="280"/>
      <c r="Q67" s="281"/>
      <c r="R67" s="261" t="s">
        <v>49</v>
      </c>
      <c r="S67" s="262"/>
      <c r="T67" s="263"/>
      <c r="U67" s="282" t="s">
        <v>77</v>
      </c>
      <c r="V67" s="283"/>
      <c r="W67" s="283"/>
      <c r="X67" s="283"/>
      <c r="Y67" s="283"/>
      <c r="Z67" s="284"/>
      <c r="AA67" s="160"/>
      <c r="AB67" s="220"/>
      <c r="AC67" s="220"/>
      <c r="AD67" s="219"/>
    </row>
    <row r="68" spans="1:30" ht="15.6" customHeight="1" x14ac:dyDescent="0.25">
      <c r="A68" s="221" t="s">
        <v>50</v>
      </c>
      <c r="B68" s="222" t="s">
        <v>51</v>
      </c>
      <c r="C68" s="141"/>
      <c r="D68" s="141"/>
      <c r="E68" s="223"/>
      <c r="F68" s="223"/>
      <c r="G68" s="223"/>
      <c r="H68" s="223"/>
      <c r="I68" s="223"/>
      <c r="J68" s="223"/>
      <c r="K68" s="223"/>
      <c r="L68" s="223"/>
      <c r="M68" s="223"/>
      <c r="N68" s="223"/>
      <c r="O68" s="223"/>
      <c r="P68" s="223"/>
      <c r="Q68" s="224"/>
      <c r="R68" s="261"/>
      <c r="S68" s="262"/>
      <c r="T68" s="263"/>
      <c r="U68" s="285"/>
      <c r="V68" s="286"/>
      <c r="W68" s="286"/>
      <c r="X68" s="286"/>
      <c r="Y68" s="286"/>
      <c r="Z68" s="287"/>
      <c r="AA68" s="160"/>
      <c r="AB68" s="220"/>
      <c r="AC68" s="220"/>
      <c r="AD68" s="219"/>
    </row>
    <row r="69" spans="1:30" ht="15.6" customHeight="1" x14ac:dyDescent="0.25">
      <c r="A69" s="255"/>
      <c r="B69" s="256"/>
      <c r="C69" s="256"/>
      <c r="D69" s="256"/>
      <c r="E69" s="256"/>
      <c r="F69" s="256"/>
      <c r="G69" s="256"/>
      <c r="H69" s="256"/>
      <c r="I69" s="256"/>
      <c r="J69" s="256"/>
      <c r="K69" s="256"/>
      <c r="L69" s="256"/>
      <c r="M69" s="256"/>
      <c r="N69" s="256"/>
      <c r="O69" s="256"/>
      <c r="P69" s="256"/>
      <c r="Q69" s="257"/>
      <c r="R69" s="261" t="s">
        <v>52</v>
      </c>
      <c r="S69" s="262"/>
      <c r="T69" s="263"/>
      <c r="U69" s="225"/>
      <c r="V69" s="226"/>
      <c r="W69" s="226"/>
      <c r="X69" s="226"/>
      <c r="Y69" s="226"/>
      <c r="Z69" s="227"/>
      <c r="AA69" s="228"/>
      <c r="AB69" s="229"/>
      <c r="AC69" s="229"/>
      <c r="AD69" s="219"/>
    </row>
    <row r="70" spans="1:30" ht="15.6" customHeight="1" x14ac:dyDescent="0.25">
      <c r="A70" s="255"/>
      <c r="B70" s="256"/>
      <c r="C70" s="256"/>
      <c r="D70" s="256"/>
      <c r="E70" s="256"/>
      <c r="F70" s="256"/>
      <c r="G70" s="256"/>
      <c r="H70" s="256"/>
      <c r="I70" s="256"/>
      <c r="J70" s="256"/>
      <c r="K70" s="256"/>
      <c r="L70" s="256"/>
      <c r="M70" s="256"/>
      <c r="N70" s="256"/>
      <c r="O70" s="256"/>
      <c r="P70" s="256"/>
      <c r="Q70" s="257"/>
      <c r="R70" s="261"/>
      <c r="S70" s="262"/>
      <c r="T70" s="263"/>
      <c r="U70" s="230"/>
      <c r="V70" s="267"/>
      <c r="W70" s="267"/>
      <c r="X70" s="267"/>
      <c r="Y70" s="267"/>
      <c r="Z70" s="231"/>
      <c r="AA70" s="228"/>
      <c r="AB70" s="229"/>
      <c r="AC70" s="229"/>
      <c r="AD70" s="219"/>
    </row>
    <row r="71" spans="1:30" ht="15.6" customHeight="1" x14ac:dyDescent="0.25">
      <c r="A71" s="255"/>
      <c r="B71" s="256"/>
      <c r="C71" s="256"/>
      <c r="D71" s="256"/>
      <c r="E71" s="256"/>
      <c r="F71" s="256"/>
      <c r="G71" s="256"/>
      <c r="H71" s="256"/>
      <c r="I71" s="256"/>
      <c r="J71" s="256"/>
      <c r="K71" s="256"/>
      <c r="L71" s="256"/>
      <c r="M71" s="256"/>
      <c r="N71" s="256"/>
      <c r="O71" s="256"/>
      <c r="P71" s="256"/>
      <c r="Q71" s="257"/>
      <c r="R71" s="261"/>
      <c r="S71" s="262"/>
      <c r="T71" s="263"/>
      <c r="U71" s="230"/>
      <c r="V71" s="267"/>
      <c r="W71" s="267"/>
      <c r="X71" s="267"/>
      <c r="Y71" s="267"/>
      <c r="Z71" s="231"/>
      <c r="AA71" s="228"/>
      <c r="AB71" s="229"/>
      <c r="AC71" s="229"/>
      <c r="AD71" s="219"/>
    </row>
    <row r="72" spans="1:30" ht="15.6" customHeight="1" x14ac:dyDescent="0.25">
      <c r="A72" s="258"/>
      <c r="B72" s="259"/>
      <c r="C72" s="259"/>
      <c r="D72" s="259"/>
      <c r="E72" s="259"/>
      <c r="F72" s="259"/>
      <c r="G72" s="259"/>
      <c r="H72" s="259"/>
      <c r="I72" s="259"/>
      <c r="J72" s="259"/>
      <c r="K72" s="259"/>
      <c r="L72" s="259"/>
      <c r="M72" s="259"/>
      <c r="N72" s="259"/>
      <c r="O72" s="259"/>
      <c r="P72" s="259"/>
      <c r="Q72" s="260"/>
      <c r="R72" s="264"/>
      <c r="S72" s="265"/>
      <c r="T72" s="266"/>
      <c r="U72" s="232"/>
      <c r="V72" s="233"/>
      <c r="W72" s="233"/>
      <c r="X72" s="233"/>
      <c r="Y72" s="233"/>
      <c r="Z72" s="234"/>
      <c r="AA72" s="228"/>
      <c r="AB72" s="229"/>
      <c r="AC72" s="229"/>
      <c r="AD72" s="219"/>
    </row>
    <row r="73" spans="1:30" ht="12.75" customHeight="1" x14ac:dyDescent="0.25">
      <c r="U73" s="235"/>
      <c r="V73" s="235"/>
      <c r="W73" s="235"/>
      <c r="X73" s="235"/>
      <c r="Y73" s="235"/>
      <c r="Z73" s="235"/>
    </row>
  </sheetData>
  <mergeCells count="101">
    <mergeCell ref="A69:Q72"/>
    <mergeCell ref="R69:T72"/>
    <mergeCell ref="V70:Y71"/>
    <mergeCell ref="U53:V53"/>
    <mergeCell ref="W53:X53"/>
    <mergeCell ref="U65:Z65"/>
    <mergeCell ref="A66:Q66"/>
    <mergeCell ref="R66:T66"/>
    <mergeCell ref="U66:Z66"/>
    <mergeCell ref="A67:Q67"/>
    <mergeCell ref="R67:T68"/>
    <mergeCell ref="U67:Z68"/>
    <mergeCell ref="U61:V61"/>
    <mergeCell ref="W61:X61"/>
    <mergeCell ref="Y61:Z61"/>
    <mergeCell ref="AD61:AD62"/>
    <mergeCell ref="AE61:AE62"/>
    <mergeCell ref="B62:D62"/>
    <mergeCell ref="U62:V62"/>
    <mergeCell ref="W62:X62"/>
    <mergeCell ref="Y62:Z62"/>
    <mergeCell ref="B59:D59"/>
    <mergeCell ref="U59:V59"/>
    <mergeCell ref="W59:X59"/>
    <mergeCell ref="Y59:Z59"/>
    <mergeCell ref="AB59:AC59"/>
    <mergeCell ref="B60:D60"/>
    <mergeCell ref="U60:V60"/>
    <mergeCell ref="W60:X60"/>
    <mergeCell ref="Y60:Z60"/>
    <mergeCell ref="AB60:AC60"/>
    <mergeCell ref="C56:D56"/>
    <mergeCell ref="U56:V56"/>
    <mergeCell ref="W56:X56"/>
    <mergeCell ref="Y56:Z56"/>
    <mergeCell ref="AB56:AC56"/>
    <mergeCell ref="B58:D58"/>
    <mergeCell ref="C54:D54"/>
    <mergeCell ref="U54:V54"/>
    <mergeCell ref="W54:X54"/>
    <mergeCell ref="Y54:Z54"/>
    <mergeCell ref="AB54:AC54"/>
    <mergeCell ref="C55:D55"/>
    <mergeCell ref="U55:V55"/>
    <mergeCell ref="W55:X55"/>
    <mergeCell ref="Y55:Z55"/>
    <mergeCell ref="AB55:AC55"/>
    <mergeCell ref="AG51:AG52"/>
    <mergeCell ref="C52:D52"/>
    <mergeCell ref="C53:D53"/>
    <mergeCell ref="Y53:Z53"/>
    <mergeCell ref="AB53:AC53"/>
    <mergeCell ref="AF49:AF50"/>
    <mergeCell ref="AG49:AG50"/>
    <mergeCell ref="E51:T51"/>
    <mergeCell ref="U51:V52"/>
    <mergeCell ref="W51:X52"/>
    <mergeCell ref="Y51:Z52"/>
    <mergeCell ref="AB51:AC52"/>
    <mergeCell ref="AD51:AD52"/>
    <mergeCell ref="AE51:AE52"/>
    <mergeCell ref="AF51:AF52"/>
    <mergeCell ref="B19:H19"/>
    <mergeCell ref="I19:Y19"/>
    <mergeCell ref="B20:H20"/>
    <mergeCell ref="I20:Y20"/>
    <mergeCell ref="AD49:AD50"/>
    <mergeCell ref="AE49:AE50"/>
    <mergeCell ref="B13:F13"/>
    <mergeCell ref="G13:L13"/>
    <mergeCell ref="M13:R13"/>
    <mergeCell ref="S13:Y13"/>
    <mergeCell ref="B14:F14"/>
    <mergeCell ref="G14:L14"/>
    <mergeCell ref="M14:R14"/>
    <mergeCell ref="S14:Y14"/>
    <mergeCell ref="B11:F11"/>
    <mergeCell ref="G11:L11"/>
    <mergeCell ref="M11:R11"/>
    <mergeCell ref="S11:Y11"/>
    <mergeCell ref="B12:F12"/>
    <mergeCell ref="G12:L12"/>
    <mergeCell ref="M12:R12"/>
    <mergeCell ref="S12:Y12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1D957-8A9C-4611-972C-6392E6C3442F}">
  <sheetPr>
    <pageSetUpPr fitToPage="1"/>
  </sheetPr>
  <dimension ref="A1:AN73"/>
  <sheetViews>
    <sheetView zoomScaleNormal="100" workbookViewId="0">
      <selection activeCell="AC78" sqref="AC78"/>
    </sheetView>
  </sheetViews>
  <sheetFormatPr baseColWidth="10" defaultColWidth="11.44140625" defaultRowHeight="12.75" customHeight="1" x14ac:dyDescent="0.25"/>
  <cols>
    <col min="1" max="2" width="5.109375" style="156" customWidth="1"/>
    <col min="3" max="27" width="5.109375" style="130" customWidth="1"/>
    <col min="28" max="41" width="11.44140625" style="130" customWidth="1"/>
    <col min="42" max="16384" width="11.44140625" style="130"/>
  </cols>
  <sheetData>
    <row r="1" spans="1:36" ht="12.6" customHeight="1" x14ac:dyDescent="0.25">
      <c r="A1" s="393"/>
      <c r="B1" s="394"/>
      <c r="C1" s="394"/>
      <c r="D1" s="394"/>
      <c r="E1" s="394"/>
      <c r="F1" s="395"/>
      <c r="G1" s="402" t="s">
        <v>0</v>
      </c>
      <c r="H1" s="403"/>
      <c r="I1" s="403"/>
      <c r="J1" s="403"/>
      <c r="K1" s="403"/>
      <c r="L1" s="403"/>
      <c r="M1" s="403"/>
      <c r="N1" s="403"/>
      <c r="O1" s="403"/>
      <c r="P1" s="403"/>
      <c r="Q1" s="403"/>
      <c r="R1" s="403"/>
      <c r="S1" s="403"/>
      <c r="T1" s="404"/>
      <c r="U1" s="405" t="s">
        <v>59</v>
      </c>
      <c r="V1" s="406"/>
      <c r="W1" s="406"/>
      <c r="X1" s="406"/>
      <c r="Y1" s="406"/>
      <c r="Z1" s="407"/>
      <c r="AA1" s="129"/>
    </row>
    <row r="2" spans="1:36" ht="12.6" customHeight="1" x14ac:dyDescent="0.25">
      <c r="A2" s="396"/>
      <c r="B2" s="397"/>
      <c r="C2" s="397"/>
      <c r="D2" s="397"/>
      <c r="E2" s="397"/>
      <c r="F2" s="398"/>
      <c r="G2" s="414" t="s">
        <v>1</v>
      </c>
      <c r="H2" s="415"/>
      <c r="I2" s="415"/>
      <c r="J2" s="415"/>
      <c r="K2" s="415"/>
      <c r="L2" s="415"/>
      <c r="M2" s="415"/>
      <c r="N2" s="415"/>
      <c r="O2" s="415"/>
      <c r="P2" s="415"/>
      <c r="Q2" s="415"/>
      <c r="R2" s="415"/>
      <c r="S2" s="415"/>
      <c r="T2" s="416"/>
      <c r="U2" s="408"/>
      <c r="V2" s="409"/>
      <c r="W2" s="409"/>
      <c r="X2" s="409"/>
      <c r="Y2" s="409"/>
      <c r="Z2" s="410"/>
      <c r="AA2" s="129"/>
    </row>
    <row r="3" spans="1:36" ht="12.6" customHeight="1" x14ac:dyDescent="0.25">
      <c r="A3" s="396"/>
      <c r="B3" s="397"/>
      <c r="C3" s="397"/>
      <c r="D3" s="397"/>
      <c r="E3" s="397"/>
      <c r="F3" s="398"/>
      <c r="G3" s="417"/>
      <c r="H3" s="415"/>
      <c r="I3" s="415"/>
      <c r="J3" s="415"/>
      <c r="K3" s="415"/>
      <c r="L3" s="415"/>
      <c r="M3" s="415"/>
      <c r="N3" s="415"/>
      <c r="O3" s="415"/>
      <c r="P3" s="415"/>
      <c r="Q3" s="415"/>
      <c r="R3" s="415"/>
      <c r="S3" s="415"/>
      <c r="T3" s="416"/>
      <c r="U3" s="408"/>
      <c r="V3" s="409"/>
      <c r="W3" s="409"/>
      <c r="X3" s="409"/>
      <c r="Y3" s="409"/>
      <c r="Z3" s="410"/>
      <c r="AA3" s="129"/>
    </row>
    <row r="4" spans="1:36" ht="12.6" customHeight="1" x14ac:dyDescent="0.25">
      <c r="A4" s="396"/>
      <c r="B4" s="397"/>
      <c r="C4" s="397"/>
      <c r="D4" s="397"/>
      <c r="E4" s="397"/>
      <c r="F4" s="398"/>
      <c r="G4" s="417"/>
      <c r="H4" s="415"/>
      <c r="I4" s="415"/>
      <c r="J4" s="415"/>
      <c r="K4" s="415"/>
      <c r="L4" s="415"/>
      <c r="M4" s="415"/>
      <c r="N4" s="415"/>
      <c r="O4" s="415"/>
      <c r="P4" s="415"/>
      <c r="Q4" s="415"/>
      <c r="R4" s="415"/>
      <c r="S4" s="415"/>
      <c r="T4" s="416"/>
      <c r="U4" s="408"/>
      <c r="V4" s="409"/>
      <c r="W4" s="409"/>
      <c r="X4" s="409"/>
      <c r="Y4" s="409"/>
      <c r="Z4" s="410"/>
      <c r="AA4" s="129"/>
    </row>
    <row r="5" spans="1:36" ht="12.6" customHeight="1" x14ac:dyDescent="0.25">
      <c r="A5" s="396"/>
      <c r="B5" s="397"/>
      <c r="C5" s="397"/>
      <c r="D5" s="397"/>
      <c r="E5" s="397"/>
      <c r="F5" s="398"/>
      <c r="G5" s="417" t="s">
        <v>2</v>
      </c>
      <c r="H5" s="415"/>
      <c r="I5" s="131" t="s">
        <v>3</v>
      </c>
      <c r="J5" s="302">
        <v>14</v>
      </c>
      <c r="K5" s="418"/>
      <c r="L5" s="419" t="s">
        <v>60</v>
      </c>
      <c r="M5" s="302"/>
      <c r="N5" s="302"/>
      <c r="O5" s="418"/>
      <c r="P5" s="420">
        <v>45946</v>
      </c>
      <c r="Q5" s="421"/>
      <c r="R5" s="421"/>
      <c r="S5" s="421"/>
      <c r="T5" s="422"/>
      <c r="U5" s="408"/>
      <c r="V5" s="409"/>
      <c r="W5" s="409"/>
      <c r="X5" s="409"/>
      <c r="Y5" s="409"/>
      <c r="Z5" s="410"/>
      <c r="AA5" s="129"/>
    </row>
    <row r="6" spans="1:36" ht="12.6" customHeight="1" x14ac:dyDescent="0.25">
      <c r="A6" s="399"/>
      <c r="B6" s="400"/>
      <c r="C6" s="400"/>
      <c r="D6" s="400"/>
      <c r="E6" s="400"/>
      <c r="F6" s="401"/>
      <c r="G6" s="132"/>
      <c r="H6" s="133"/>
      <c r="I6" s="133"/>
      <c r="J6" s="389" t="s">
        <v>4</v>
      </c>
      <c r="K6" s="389"/>
      <c r="L6" s="389" t="s">
        <v>5</v>
      </c>
      <c r="M6" s="389"/>
      <c r="N6" s="389"/>
      <c r="O6" s="389"/>
      <c r="P6" s="389" t="s">
        <v>6</v>
      </c>
      <c r="Q6" s="389"/>
      <c r="R6" s="389"/>
      <c r="S6" s="389"/>
      <c r="T6" s="390"/>
      <c r="U6" s="411"/>
      <c r="V6" s="412"/>
      <c r="W6" s="412"/>
      <c r="X6" s="412"/>
      <c r="Y6" s="412"/>
      <c r="Z6" s="413"/>
      <c r="AA6" s="129"/>
    </row>
    <row r="7" spans="1:36" ht="36.6" customHeight="1" x14ac:dyDescent="0.25">
      <c r="A7" s="391" t="s">
        <v>7</v>
      </c>
      <c r="B7" s="391"/>
      <c r="C7" s="391"/>
      <c r="D7" s="391"/>
      <c r="E7" s="391"/>
      <c r="F7" s="391"/>
      <c r="G7" s="392" t="s">
        <v>8</v>
      </c>
      <c r="H7" s="392"/>
      <c r="I7" s="392"/>
      <c r="J7" s="392"/>
      <c r="K7" s="392"/>
      <c r="L7" s="392"/>
      <c r="M7" s="392"/>
      <c r="N7" s="392"/>
      <c r="O7" s="392"/>
      <c r="P7" s="392"/>
      <c r="Q7" s="392"/>
      <c r="R7" s="392"/>
      <c r="S7" s="392"/>
      <c r="T7" s="392"/>
      <c r="U7" s="392"/>
      <c r="V7" s="392"/>
      <c r="W7" s="392"/>
      <c r="X7" s="392"/>
      <c r="Y7" s="392"/>
      <c r="Z7" s="392"/>
      <c r="AA7" s="134"/>
      <c r="AE7" s="135"/>
      <c r="AI7" s="135"/>
    </row>
    <row r="8" spans="1:36" ht="15.9" customHeight="1" x14ac:dyDescent="0.25">
      <c r="A8" s="136" t="s">
        <v>9</v>
      </c>
      <c r="B8" s="137" t="s">
        <v>10</v>
      </c>
      <c r="C8" s="138"/>
      <c r="D8" s="139"/>
      <c r="E8" s="139"/>
      <c r="F8" s="139"/>
      <c r="G8" s="139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40"/>
      <c r="AA8" s="141"/>
      <c r="AB8" s="142"/>
      <c r="AC8" s="142"/>
      <c r="AD8" s="142"/>
      <c r="AE8" s="135"/>
      <c r="AF8" s="142"/>
      <c r="AI8" s="135"/>
    </row>
    <row r="9" spans="1:36" ht="7.8" customHeight="1" x14ac:dyDescent="0.25">
      <c r="A9" s="143"/>
      <c r="B9" s="141"/>
      <c r="C9" s="141"/>
      <c r="D9" s="144"/>
      <c r="E9" s="144"/>
      <c r="F9" s="144"/>
      <c r="G9" s="144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5"/>
      <c r="AA9" s="141"/>
      <c r="AB9" s="142"/>
      <c r="AC9" s="142"/>
      <c r="AD9" s="142"/>
      <c r="AE9" s="135"/>
      <c r="AF9" s="142"/>
      <c r="AI9" s="135"/>
    </row>
    <row r="10" spans="1:36" ht="15.9" customHeight="1" x14ac:dyDescent="0.25">
      <c r="A10" s="143"/>
      <c r="B10" s="301" t="s">
        <v>11</v>
      </c>
      <c r="C10" s="301"/>
      <c r="D10" s="301"/>
      <c r="E10" s="301"/>
      <c r="F10" s="301"/>
      <c r="G10" s="384" t="s">
        <v>55</v>
      </c>
      <c r="H10" s="384"/>
      <c r="I10" s="384"/>
      <c r="J10" s="384"/>
      <c r="K10" s="384"/>
      <c r="L10" s="384"/>
      <c r="M10" s="385" t="s">
        <v>12</v>
      </c>
      <c r="N10" s="385"/>
      <c r="O10" s="385"/>
      <c r="P10" s="385"/>
      <c r="Q10" s="385"/>
      <c r="R10" s="385"/>
      <c r="S10" s="388" t="s">
        <v>13</v>
      </c>
      <c r="T10" s="388"/>
      <c r="U10" s="388"/>
      <c r="V10" s="388"/>
      <c r="W10" s="388"/>
      <c r="X10" s="388"/>
      <c r="Y10" s="388"/>
      <c r="Z10" s="147"/>
      <c r="AA10" s="146"/>
      <c r="AB10" s="142"/>
      <c r="AC10" s="142"/>
      <c r="AD10" s="142"/>
      <c r="AE10" s="148"/>
      <c r="AF10" s="148"/>
      <c r="AG10" s="148"/>
      <c r="AH10" s="148"/>
      <c r="AI10" s="148"/>
    </row>
    <row r="11" spans="1:36" ht="15.9" customHeight="1" x14ac:dyDescent="0.25">
      <c r="A11" s="143"/>
      <c r="B11" s="301" t="s">
        <v>14</v>
      </c>
      <c r="C11" s="301"/>
      <c r="D11" s="301"/>
      <c r="E11" s="301"/>
      <c r="F11" s="301"/>
      <c r="G11" s="384" t="s">
        <v>106</v>
      </c>
      <c r="H11" s="384"/>
      <c r="I11" s="384"/>
      <c r="J11" s="384"/>
      <c r="K11" s="384"/>
      <c r="L11" s="384"/>
      <c r="M11" s="385" t="s">
        <v>15</v>
      </c>
      <c r="N11" s="385"/>
      <c r="O11" s="385"/>
      <c r="P11" s="385"/>
      <c r="Q11" s="385"/>
      <c r="R11" s="385"/>
      <c r="S11" s="268" t="s">
        <v>107</v>
      </c>
      <c r="T11" s="268"/>
      <c r="U11" s="268"/>
      <c r="V11" s="268"/>
      <c r="W11" s="268"/>
      <c r="X11" s="268"/>
      <c r="Y11" s="268"/>
      <c r="Z11" s="269"/>
      <c r="AA11" s="146"/>
      <c r="AB11" s="142"/>
      <c r="AC11" s="142"/>
      <c r="AD11" s="142"/>
      <c r="AE11" s="148"/>
      <c r="AF11" s="148"/>
      <c r="AG11" s="148"/>
      <c r="AH11" s="148"/>
      <c r="AI11" s="148"/>
    </row>
    <row r="12" spans="1:36" ht="15.9" customHeight="1" x14ac:dyDescent="0.25">
      <c r="A12" s="143"/>
      <c r="B12" s="301" t="s">
        <v>16</v>
      </c>
      <c r="C12" s="301"/>
      <c r="D12" s="301"/>
      <c r="E12" s="301"/>
      <c r="F12" s="301"/>
      <c r="G12" s="386" t="s">
        <v>106</v>
      </c>
      <c r="H12" s="386"/>
      <c r="I12" s="386"/>
      <c r="J12" s="386"/>
      <c r="K12" s="386"/>
      <c r="L12" s="386"/>
      <c r="M12" s="387" t="s">
        <v>17</v>
      </c>
      <c r="N12" s="387"/>
      <c r="O12" s="387"/>
      <c r="P12" s="387"/>
      <c r="Q12" s="387"/>
      <c r="R12" s="387"/>
      <c r="S12" s="388">
        <v>110</v>
      </c>
      <c r="T12" s="388"/>
      <c r="U12" s="388"/>
      <c r="V12" s="388"/>
      <c r="W12" s="388"/>
      <c r="X12" s="388"/>
      <c r="Y12" s="388"/>
      <c r="Z12" s="147"/>
      <c r="AA12" s="146"/>
      <c r="AB12" s="142"/>
      <c r="AC12" s="142"/>
      <c r="AD12" s="142"/>
      <c r="AE12" s="135"/>
      <c r="AF12" s="142"/>
      <c r="AI12" s="135"/>
    </row>
    <row r="13" spans="1:36" ht="15.9" customHeight="1" x14ac:dyDescent="0.25">
      <c r="A13" s="143"/>
      <c r="B13" s="304" t="s">
        <v>18</v>
      </c>
      <c r="C13" s="304"/>
      <c r="D13" s="304"/>
      <c r="E13" s="304"/>
      <c r="F13" s="304"/>
      <c r="G13" s="305" t="s">
        <v>69</v>
      </c>
      <c r="H13" s="305"/>
      <c r="I13" s="305"/>
      <c r="J13" s="305"/>
      <c r="K13" s="305"/>
      <c r="L13" s="305"/>
      <c r="M13" s="382" t="s">
        <v>19</v>
      </c>
      <c r="N13" s="382"/>
      <c r="O13" s="382"/>
      <c r="P13" s="382"/>
      <c r="Q13" s="382"/>
      <c r="R13" s="382"/>
      <c r="S13" s="305" t="s">
        <v>67</v>
      </c>
      <c r="T13" s="305"/>
      <c r="U13" s="305"/>
      <c r="V13" s="305"/>
      <c r="W13" s="305"/>
      <c r="X13" s="305"/>
      <c r="Y13" s="305"/>
      <c r="Z13" s="147"/>
      <c r="AA13" s="146"/>
      <c r="AB13" s="142"/>
      <c r="AC13" s="142"/>
      <c r="AD13" s="142"/>
      <c r="AE13" s="148"/>
      <c r="AF13" s="148"/>
      <c r="AG13" s="148"/>
      <c r="AH13" s="148"/>
      <c r="AI13" s="148"/>
      <c r="AJ13" s="148"/>
    </row>
    <row r="14" spans="1:36" ht="15.9" customHeight="1" x14ac:dyDescent="0.25">
      <c r="A14" s="149"/>
      <c r="B14" s="301" t="s">
        <v>20</v>
      </c>
      <c r="C14" s="301"/>
      <c r="D14" s="301"/>
      <c r="E14" s="301"/>
      <c r="F14" s="301"/>
      <c r="G14" s="305" t="s">
        <v>70</v>
      </c>
      <c r="H14" s="305"/>
      <c r="I14" s="305"/>
      <c r="J14" s="305"/>
      <c r="K14" s="305"/>
      <c r="L14" s="305"/>
      <c r="M14" s="383" t="s">
        <v>21</v>
      </c>
      <c r="N14" s="383"/>
      <c r="O14" s="383"/>
      <c r="P14" s="383"/>
      <c r="Q14" s="383"/>
      <c r="R14" s="383"/>
      <c r="S14" s="383" t="s">
        <v>22</v>
      </c>
      <c r="T14" s="383"/>
      <c r="U14" s="383"/>
      <c r="V14" s="383"/>
      <c r="W14" s="383"/>
      <c r="X14" s="383"/>
      <c r="Y14" s="383"/>
      <c r="Z14" s="150"/>
      <c r="AA14" s="142"/>
      <c r="AB14" s="142"/>
      <c r="AC14" s="142"/>
      <c r="AD14" s="142"/>
      <c r="AE14" s="148"/>
      <c r="AF14" s="148"/>
      <c r="AG14" s="148"/>
      <c r="AH14" s="148"/>
      <c r="AI14" s="148"/>
      <c r="AJ14" s="148"/>
    </row>
    <row r="15" spans="1:36" ht="6" customHeight="1" x14ac:dyDescent="0.25">
      <c r="A15" s="151"/>
      <c r="B15" s="152"/>
      <c r="C15" s="153"/>
      <c r="D15" s="153"/>
      <c r="E15" s="153"/>
      <c r="F15" s="152"/>
      <c r="G15" s="152"/>
      <c r="H15" s="152"/>
      <c r="I15" s="152"/>
      <c r="J15" s="152"/>
      <c r="K15" s="152"/>
      <c r="L15" s="152"/>
      <c r="M15" s="152"/>
      <c r="N15" s="153"/>
      <c r="O15" s="153"/>
      <c r="P15" s="153"/>
      <c r="Q15" s="153"/>
      <c r="R15" s="153"/>
      <c r="S15" s="153"/>
      <c r="T15" s="154"/>
      <c r="U15" s="154"/>
      <c r="V15" s="153"/>
      <c r="W15" s="153"/>
      <c r="X15" s="153"/>
      <c r="Y15" s="153"/>
      <c r="Z15" s="155"/>
      <c r="AE15" s="148"/>
      <c r="AF15" s="148"/>
      <c r="AG15" s="148"/>
      <c r="AH15" s="148"/>
      <c r="AI15" s="148"/>
      <c r="AJ15" s="148"/>
    </row>
    <row r="16" spans="1:36" ht="6" customHeight="1" x14ac:dyDescent="0.25">
      <c r="F16" s="156"/>
      <c r="G16" s="156"/>
      <c r="H16" s="156"/>
      <c r="I16" s="156"/>
      <c r="J16" s="156"/>
      <c r="K16" s="156"/>
      <c r="L16" s="156"/>
      <c r="M16" s="156"/>
      <c r="T16" s="157"/>
      <c r="U16" s="157"/>
      <c r="AE16" s="148"/>
      <c r="AF16" s="148"/>
      <c r="AG16" s="148"/>
      <c r="AH16" s="148"/>
      <c r="AI16" s="148"/>
      <c r="AJ16" s="148"/>
    </row>
    <row r="17" spans="1:40" ht="15.9" customHeight="1" x14ac:dyDescent="0.25">
      <c r="A17" s="136" t="s">
        <v>23</v>
      </c>
      <c r="B17" s="137" t="s">
        <v>24</v>
      </c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40"/>
      <c r="AA17" s="141"/>
      <c r="AE17" s="158"/>
      <c r="AI17" s="158"/>
    </row>
    <row r="18" spans="1:40" ht="8.25" customHeight="1" x14ac:dyDescent="0.25">
      <c r="A18" s="143"/>
      <c r="B18" s="159"/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5"/>
      <c r="AA18" s="141"/>
      <c r="AE18" s="158"/>
      <c r="AI18" s="158"/>
    </row>
    <row r="19" spans="1:40" ht="15.9" customHeight="1" x14ac:dyDescent="0.25">
      <c r="A19" s="143"/>
      <c r="B19" s="301" t="s">
        <v>25</v>
      </c>
      <c r="C19" s="301"/>
      <c r="D19" s="301"/>
      <c r="E19" s="301"/>
      <c r="F19" s="301"/>
      <c r="G19" s="301"/>
      <c r="H19" s="301"/>
      <c r="I19" s="302"/>
      <c r="J19" s="302"/>
      <c r="K19" s="302"/>
      <c r="L19" s="302"/>
      <c r="M19" s="302"/>
      <c r="N19" s="302"/>
      <c r="O19" s="302"/>
      <c r="P19" s="302"/>
      <c r="Q19" s="302"/>
      <c r="R19" s="302"/>
      <c r="S19" s="302"/>
      <c r="T19" s="302"/>
      <c r="U19" s="302"/>
      <c r="V19" s="302"/>
      <c r="W19" s="302"/>
      <c r="X19" s="302"/>
      <c r="Y19" s="302"/>
      <c r="Z19" s="147"/>
      <c r="AA19" s="146"/>
      <c r="AE19" s="158"/>
      <c r="AI19" s="158"/>
    </row>
    <row r="20" spans="1:40" ht="15.9" customHeight="1" x14ac:dyDescent="0.25">
      <c r="A20" s="143"/>
      <c r="B20" s="301" t="s">
        <v>26</v>
      </c>
      <c r="C20" s="301"/>
      <c r="D20" s="301"/>
      <c r="E20" s="301"/>
      <c r="F20" s="301"/>
      <c r="G20" s="301"/>
      <c r="H20" s="301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  <c r="T20" s="303"/>
      <c r="U20" s="303"/>
      <c r="V20" s="303"/>
      <c r="W20" s="303"/>
      <c r="X20" s="303"/>
      <c r="Y20" s="303"/>
      <c r="Z20" s="147"/>
      <c r="AA20" s="146"/>
      <c r="AE20" s="158"/>
      <c r="AI20" s="158"/>
    </row>
    <row r="21" spans="1:40" ht="7.5" customHeight="1" x14ac:dyDescent="0.25">
      <c r="A21" s="132"/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61"/>
      <c r="AA21" s="141"/>
      <c r="AE21" s="158"/>
      <c r="AI21" s="158"/>
    </row>
    <row r="22" spans="1:40" ht="5.25" customHeight="1" x14ac:dyDescent="0.25">
      <c r="F22" s="156"/>
      <c r="G22" s="156"/>
      <c r="H22" s="156"/>
      <c r="I22" s="156"/>
      <c r="J22" s="156"/>
      <c r="K22" s="156"/>
      <c r="L22" s="156"/>
      <c r="M22" s="156"/>
      <c r="T22" s="157"/>
      <c r="U22" s="157"/>
      <c r="AE22" s="158"/>
      <c r="AI22" s="158"/>
      <c r="AM22" s="142"/>
      <c r="AN22" s="142"/>
    </row>
    <row r="23" spans="1:40" ht="15.9" customHeight="1" x14ac:dyDescent="0.25">
      <c r="A23" s="162" t="s">
        <v>71</v>
      </c>
      <c r="B23" s="163" t="s">
        <v>27</v>
      </c>
      <c r="C23" s="163"/>
      <c r="D23" s="164"/>
      <c r="E23" s="164"/>
      <c r="F23" s="165"/>
      <c r="G23" s="165"/>
      <c r="H23" s="165"/>
      <c r="I23" s="165"/>
      <c r="J23" s="165"/>
      <c r="K23" s="165"/>
      <c r="L23" s="165"/>
      <c r="M23" s="165"/>
      <c r="N23" s="164"/>
      <c r="O23" s="164"/>
      <c r="P23" s="164"/>
      <c r="Q23" s="164"/>
      <c r="R23" s="164"/>
      <c r="S23" s="166"/>
      <c r="T23" s="166"/>
      <c r="U23" s="166"/>
      <c r="V23" s="166"/>
      <c r="W23" s="166"/>
      <c r="X23" s="166"/>
      <c r="Y23" s="166"/>
      <c r="Z23" s="167"/>
      <c r="AM23" s="168"/>
      <c r="AN23" s="169"/>
    </row>
    <row r="24" spans="1:40" ht="9" customHeight="1" x14ac:dyDescent="0.25">
      <c r="A24" s="149"/>
      <c r="Z24" s="170"/>
    </row>
    <row r="25" spans="1:40" ht="33.6" customHeight="1" x14ac:dyDescent="0.25">
      <c r="A25" s="149"/>
      <c r="Z25" s="170"/>
    </row>
    <row r="26" spans="1:40" ht="12.75" customHeight="1" x14ac:dyDescent="0.25">
      <c r="A26" s="149"/>
      <c r="Z26" s="170"/>
    </row>
    <row r="27" spans="1:40" ht="12.75" customHeight="1" x14ac:dyDescent="0.25">
      <c r="A27" s="149"/>
      <c r="Z27" s="170"/>
    </row>
    <row r="28" spans="1:40" ht="12.75" customHeight="1" x14ac:dyDescent="0.25">
      <c r="A28" s="149"/>
      <c r="Z28" s="170"/>
    </row>
    <row r="29" spans="1:40" ht="12.75" customHeight="1" x14ac:dyDescent="0.25">
      <c r="A29" s="149"/>
      <c r="Z29" s="170"/>
    </row>
    <row r="30" spans="1:40" ht="12.75" customHeight="1" x14ac:dyDescent="0.25">
      <c r="A30" s="149"/>
      <c r="Z30" s="170"/>
    </row>
    <row r="31" spans="1:40" ht="12.75" customHeight="1" x14ac:dyDescent="0.25">
      <c r="A31" s="149"/>
      <c r="Z31" s="170"/>
    </row>
    <row r="32" spans="1:40" ht="12.75" customHeight="1" x14ac:dyDescent="0.25">
      <c r="A32" s="149"/>
      <c r="Z32" s="170"/>
    </row>
    <row r="33" spans="1:26" ht="12.75" customHeight="1" x14ac:dyDescent="0.25">
      <c r="A33" s="149"/>
      <c r="Z33" s="170"/>
    </row>
    <row r="34" spans="1:26" ht="12.75" customHeight="1" x14ac:dyDescent="0.25">
      <c r="A34" s="149"/>
      <c r="Z34" s="170"/>
    </row>
    <row r="35" spans="1:26" ht="12.75" customHeight="1" x14ac:dyDescent="0.25">
      <c r="A35" s="149"/>
      <c r="Z35" s="170"/>
    </row>
    <row r="36" spans="1:26" ht="12.75" customHeight="1" x14ac:dyDescent="0.25">
      <c r="A36" s="149"/>
      <c r="Z36" s="170"/>
    </row>
    <row r="37" spans="1:26" ht="12.75" customHeight="1" x14ac:dyDescent="0.25">
      <c r="A37" s="149"/>
      <c r="Z37" s="170"/>
    </row>
    <row r="38" spans="1:26" ht="12.75" customHeight="1" x14ac:dyDescent="0.25">
      <c r="A38" s="149"/>
      <c r="Z38" s="170"/>
    </row>
    <row r="39" spans="1:26" ht="12.75" customHeight="1" x14ac:dyDescent="0.25">
      <c r="A39" s="149"/>
      <c r="Z39" s="170"/>
    </row>
    <row r="40" spans="1:26" ht="12.75" customHeight="1" x14ac:dyDescent="0.25">
      <c r="A40" s="149"/>
      <c r="Z40" s="170"/>
    </row>
    <row r="41" spans="1:26" ht="12.75" customHeight="1" x14ac:dyDescent="0.25">
      <c r="A41" s="149"/>
      <c r="Z41" s="170"/>
    </row>
    <row r="42" spans="1:26" ht="12.75" customHeight="1" x14ac:dyDescent="0.25">
      <c r="A42" s="149"/>
      <c r="Z42" s="170"/>
    </row>
    <row r="43" spans="1:26" ht="12.75" customHeight="1" x14ac:dyDescent="0.25">
      <c r="A43" s="149"/>
      <c r="Z43" s="170"/>
    </row>
    <row r="44" spans="1:26" ht="12.75" customHeight="1" x14ac:dyDescent="0.25">
      <c r="A44" s="149"/>
      <c r="Z44" s="170"/>
    </row>
    <row r="45" spans="1:26" ht="12.75" customHeight="1" x14ac:dyDescent="0.25">
      <c r="A45" s="149"/>
      <c r="Z45" s="170"/>
    </row>
    <row r="46" spans="1:26" ht="12.75" customHeight="1" x14ac:dyDescent="0.25">
      <c r="A46" s="149"/>
      <c r="Z46" s="170"/>
    </row>
    <row r="47" spans="1:26" ht="9.75" customHeight="1" x14ac:dyDescent="0.25">
      <c r="A47" s="149"/>
      <c r="Z47" s="170"/>
    </row>
    <row r="48" spans="1:26" ht="37.799999999999997" customHeight="1" thickBot="1" x14ac:dyDescent="0.3">
      <c r="A48" s="149"/>
      <c r="Z48" s="170"/>
    </row>
    <row r="49" spans="1:34" ht="9.75" customHeight="1" x14ac:dyDescent="0.25">
      <c r="A49" s="149"/>
      <c r="Z49" s="170"/>
      <c r="AD49" s="378" t="s">
        <v>28</v>
      </c>
      <c r="AE49" s="380">
        <v>2.6469999999999998</v>
      </c>
      <c r="AF49" s="353"/>
      <c r="AG49" s="359"/>
      <c r="AH49" s="171"/>
    </row>
    <row r="50" spans="1:34" ht="12.75" customHeight="1" thickBot="1" x14ac:dyDescent="0.3">
      <c r="A50" s="149"/>
      <c r="Z50" s="172"/>
      <c r="AD50" s="379"/>
      <c r="AE50" s="381"/>
      <c r="AF50" s="358"/>
      <c r="AG50" s="359"/>
    </row>
    <row r="51" spans="1:34" ht="18.75" customHeight="1" thickBot="1" x14ac:dyDescent="0.3">
      <c r="A51" s="149"/>
      <c r="E51" s="360" t="s">
        <v>29</v>
      </c>
      <c r="F51" s="361"/>
      <c r="G51" s="361"/>
      <c r="H51" s="361"/>
      <c r="I51" s="361"/>
      <c r="J51" s="361"/>
      <c r="K51" s="361"/>
      <c r="L51" s="361"/>
      <c r="M51" s="361"/>
      <c r="N51" s="361"/>
      <c r="O51" s="361"/>
      <c r="P51" s="361"/>
      <c r="Q51" s="361"/>
      <c r="R51" s="361"/>
      <c r="S51" s="361"/>
      <c r="T51" s="361"/>
      <c r="U51" s="362" t="s">
        <v>30</v>
      </c>
      <c r="V51" s="363"/>
      <c r="W51" s="364" t="s">
        <v>31</v>
      </c>
      <c r="X51" s="363"/>
      <c r="Y51" s="365" t="s">
        <v>32</v>
      </c>
      <c r="Z51" s="366"/>
      <c r="AA51" s="175"/>
      <c r="AB51" s="369" t="s">
        <v>33</v>
      </c>
      <c r="AC51" s="370"/>
      <c r="AD51" s="373" t="s">
        <v>34</v>
      </c>
      <c r="AE51" s="375" t="s">
        <v>35</v>
      </c>
      <c r="AF51" s="353"/>
      <c r="AG51" s="353"/>
      <c r="AH51" s="173"/>
    </row>
    <row r="52" spans="1:34" ht="24.9" customHeight="1" thickBot="1" x14ac:dyDescent="0.3">
      <c r="A52" s="176"/>
      <c r="B52" s="174" t="s">
        <v>36</v>
      </c>
      <c r="C52" s="354" t="s">
        <v>37</v>
      </c>
      <c r="D52" s="355"/>
      <c r="E52" s="177">
        <v>6.3E-2</v>
      </c>
      <c r="F52" s="177">
        <v>0.125</v>
      </c>
      <c r="G52" s="178">
        <v>0.25</v>
      </c>
      <c r="H52" s="178">
        <v>0.5</v>
      </c>
      <c r="I52" s="178">
        <v>1</v>
      </c>
      <c r="J52" s="178">
        <v>2</v>
      </c>
      <c r="K52" s="178">
        <v>4</v>
      </c>
      <c r="L52" s="178">
        <v>6.3</v>
      </c>
      <c r="M52" s="178">
        <v>8</v>
      </c>
      <c r="N52" s="178">
        <v>10</v>
      </c>
      <c r="O52" s="178">
        <v>12.5</v>
      </c>
      <c r="P52" s="178">
        <v>14</v>
      </c>
      <c r="Q52" s="179">
        <v>16</v>
      </c>
      <c r="R52" s="179">
        <v>20</v>
      </c>
      <c r="S52" s="178"/>
      <c r="T52" s="179"/>
      <c r="U52" s="310"/>
      <c r="V52" s="312"/>
      <c r="W52" s="311"/>
      <c r="X52" s="312"/>
      <c r="Y52" s="367"/>
      <c r="Z52" s="368"/>
      <c r="AA52" s="175"/>
      <c r="AB52" s="371"/>
      <c r="AC52" s="372"/>
      <c r="AD52" s="374"/>
      <c r="AE52" s="376"/>
      <c r="AF52" s="377"/>
      <c r="AG52" s="353"/>
    </row>
    <row r="53" spans="1:34" ht="24.9" customHeight="1" x14ac:dyDescent="0.25">
      <c r="A53" s="176"/>
      <c r="B53" s="180">
        <v>1</v>
      </c>
      <c r="C53" s="340" t="s">
        <v>108</v>
      </c>
      <c r="D53" s="341"/>
      <c r="E53" s="125">
        <v>7.5</v>
      </c>
      <c r="F53" s="126">
        <v>9.8000000000000007</v>
      </c>
      <c r="G53" s="127">
        <v>12.9</v>
      </c>
      <c r="H53" s="127">
        <v>16.8</v>
      </c>
      <c r="I53" s="127">
        <v>22.3</v>
      </c>
      <c r="J53" s="127">
        <v>32.700000000000003</v>
      </c>
      <c r="K53" s="127">
        <v>48.6</v>
      </c>
      <c r="L53" s="127">
        <v>66.2</v>
      </c>
      <c r="M53" s="127">
        <v>82</v>
      </c>
      <c r="N53" s="127">
        <v>95.9</v>
      </c>
      <c r="O53" s="127">
        <v>100</v>
      </c>
      <c r="P53" s="127"/>
      <c r="Q53" s="127"/>
      <c r="R53" s="127"/>
      <c r="S53" s="128"/>
      <c r="T53" s="128"/>
      <c r="U53" s="342">
        <v>175</v>
      </c>
      <c r="V53" s="343"/>
      <c r="W53" s="344">
        <v>5.6</v>
      </c>
      <c r="X53" s="345"/>
      <c r="Y53" s="356">
        <f>IF(W53&lt;&gt;0,AE53,"")</f>
        <v>3.4816161773693257</v>
      </c>
      <c r="Z53" s="357"/>
      <c r="AA53" s="181"/>
      <c r="AB53" s="326">
        <f>(100*W53)/(100-W53)</f>
        <v>5.9322033898305078</v>
      </c>
      <c r="AC53" s="327"/>
      <c r="AD53" s="53">
        <f>(0.25*(100-O53)+2.3*(O53-H53)+12*(H53-E53)+150*(E53))/100</f>
        <v>14.2796</v>
      </c>
      <c r="AE53" s="54">
        <f>(AB53*$AE$49)/(2.65*(AD53)^(1/5))</f>
        <v>3.4816161773693257</v>
      </c>
      <c r="AF53" s="156"/>
      <c r="AG53" s="182"/>
    </row>
    <row r="54" spans="1:34" ht="24.9" customHeight="1" x14ac:dyDescent="0.25">
      <c r="A54" s="176"/>
      <c r="B54" s="183">
        <v>2</v>
      </c>
      <c r="C54" s="340" t="s">
        <v>109</v>
      </c>
      <c r="D54" s="341"/>
      <c r="E54" s="125">
        <v>7.1</v>
      </c>
      <c r="F54" s="126">
        <v>9.1</v>
      </c>
      <c r="G54" s="127">
        <v>12.1</v>
      </c>
      <c r="H54" s="127">
        <v>15.8</v>
      </c>
      <c r="I54" s="127">
        <v>21.1</v>
      </c>
      <c r="J54" s="127">
        <v>30.5</v>
      </c>
      <c r="K54" s="127">
        <v>44.5</v>
      </c>
      <c r="L54" s="127">
        <v>62.6</v>
      </c>
      <c r="M54" s="127">
        <v>78.5</v>
      </c>
      <c r="N54" s="127">
        <v>94.4</v>
      </c>
      <c r="O54" s="127">
        <v>100</v>
      </c>
      <c r="P54" s="127"/>
      <c r="Q54" s="127"/>
      <c r="R54" s="127"/>
      <c r="S54" s="128"/>
      <c r="T54" s="128"/>
      <c r="U54" s="342">
        <v>167</v>
      </c>
      <c r="V54" s="343"/>
      <c r="W54" s="344">
        <v>5.0599999999999996</v>
      </c>
      <c r="X54" s="345"/>
      <c r="Y54" s="346">
        <f>IF(W54&lt;&gt;0,AE54,"")</f>
        <v>3.1572310275434154</v>
      </c>
      <c r="Z54" s="347"/>
      <c r="AA54" s="181"/>
      <c r="AB54" s="326">
        <f>(100*W54)/(100-W54)</f>
        <v>5.3296819043606485</v>
      </c>
      <c r="AC54" s="327"/>
      <c r="AD54" s="53">
        <f t="shared" ref="AD54:AD60" si="0">(0.25*(100-O54)+2.3*(O54-H54)+12*(H54-E54)+150*(E54))/100</f>
        <v>13.630599999999999</v>
      </c>
      <c r="AE54" s="54">
        <f t="shared" ref="AE54:AE60" si="1">(AB54*$AE$49)/(2.65*(AD54)^(1/5))</f>
        <v>3.1572310275434154</v>
      </c>
      <c r="AF54" s="156"/>
      <c r="AG54" s="182"/>
    </row>
    <row r="55" spans="1:34" ht="24.9" customHeight="1" x14ac:dyDescent="0.25">
      <c r="A55" s="176"/>
      <c r="B55" s="183">
        <v>3</v>
      </c>
      <c r="C55" s="291"/>
      <c r="D55" s="348"/>
      <c r="E55" s="120"/>
      <c r="F55" s="121"/>
      <c r="G55" s="122"/>
      <c r="H55" s="122"/>
      <c r="I55" s="122"/>
      <c r="J55" s="122"/>
      <c r="K55" s="122"/>
      <c r="L55" s="122"/>
      <c r="M55" s="122"/>
      <c r="N55" s="122"/>
      <c r="O55" s="124"/>
      <c r="P55" s="122"/>
      <c r="Q55" s="122"/>
      <c r="R55" s="122"/>
      <c r="S55" s="123"/>
      <c r="T55" s="123"/>
      <c r="U55" s="349"/>
      <c r="V55" s="350"/>
      <c r="W55" s="351"/>
      <c r="X55" s="352"/>
      <c r="Y55" s="346" t="str">
        <f t="shared" ref="Y55:Y56" si="2">IF(W55&lt;&gt;0,AE55,"")</f>
        <v/>
      </c>
      <c r="Z55" s="347"/>
      <c r="AA55" s="181"/>
      <c r="AB55" s="326">
        <f>(100*W55)/(100-W55)</f>
        <v>0</v>
      </c>
      <c r="AC55" s="327"/>
      <c r="AD55" s="53">
        <f t="shared" si="0"/>
        <v>0.25</v>
      </c>
      <c r="AE55" s="54">
        <f t="shared" si="1"/>
        <v>0</v>
      </c>
      <c r="AF55" s="156"/>
      <c r="AG55" s="182"/>
    </row>
    <row r="56" spans="1:34" ht="24.9" customHeight="1" thickBot="1" x14ac:dyDescent="0.3">
      <c r="A56" s="176"/>
      <c r="B56" s="188">
        <v>4</v>
      </c>
      <c r="C56" s="293"/>
      <c r="D56" s="294"/>
      <c r="E56" s="189"/>
      <c r="F56" s="190"/>
      <c r="G56" s="190"/>
      <c r="H56" s="191"/>
      <c r="I56" s="191"/>
      <c r="J56" s="191"/>
      <c r="K56" s="191"/>
      <c r="L56" s="191"/>
      <c r="M56" s="191"/>
      <c r="N56" s="191"/>
      <c r="O56" s="247"/>
      <c r="P56" s="191"/>
      <c r="Q56" s="191"/>
      <c r="R56" s="191"/>
      <c r="S56" s="191"/>
      <c r="T56" s="192"/>
      <c r="U56" s="295"/>
      <c r="V56" s="296"/>
      <c r="W56" s="297"/>
      <c r="X56" s="298"/>
      <c r="Y56" s="299" t="str">
        <f t="shared" si="2"/>
        <v/>
      </c>
      <c r="Z56" s="300"/>
      <c r="AA56" s="181"/>
      <c r="AB56" s="326">
        <f>(100*W56)/(100-W56)</f>
        <v>0</v>
      </c>
      <c r="AC56" s="327"/>
      <c r="AD56" s="53">
        <f t="shared" si="0"/>
        <v>0.25</v>
      </c>
      <c r="AE56" s="54">
        <f t="shared" si="1"/>
        <v>0</v>
      </c>
      <c r="AF56" s="156"/>
      <c r="AG56" s="182"/>
    </row>
    <row r="57" spans="1:34" ht="10.5" customHeight="1" thickBot="1" x14ac:dyDescent="0.3">
      <c r="A57" s="176"/>
      <c r="B57" s="130"/>
      <c r="E57" s="193"/>
      <c r="F57" s="193"/>
      <c r="G57" s="193"/>
      <c r="H57" s="193"/>
      <c r="I57" s="193"/>
      <c r="J57" s="193"/>
      <c r="K57" s="193"/>
      <c r="L57" s="193"/>
      <c r="M57" s="193"/>
      <c r="N57" s="193"/>
      <c r="O57" s="248"/>
      <c r="P57" s="193"/>
      <c r="Q57" s="193"/>
      <c r="R57" s="193"/>
      <c r="S57" s="193"/>
      <c r="T57" s="193"/>
      <c r="U57" s="193"/>
      <c r="V57" s="193"/>
      <c r="W57" s="194"/>
      <c r="Z57" s="195"/>
      <c r="AB57" s="72"/>
      <c r="AC57" s="73"/>
      <c r="AD57" s="53"/>
      <c r="AE57" s="54"/>
      <c r="AF57" s="156"/>
      <c r="AG57" s="182"/>
    </row>
    <row r="58" spans="1:34" ht="24.75" hidden="1" customHeight="1" x14ac:dyDescent="0.25">
      <c r="A58" s="176"/>
      <c r="B58" s="337" t="s">
        <v>38</v>
      </c>
      <c r="C58" s="338"/>
      <c r="D58" s="339"/>
      <c r="E58" s="196"/>
      <c r="F58" s="196"/>
      <c r="G58" s="196"/>
      <c r="H58" s="196"/>
      <c r="I58" s="196"/>
      <c r="J58" s="196"/>
      <c r="K58" s="196"/>
      <c r="L58" s="196"/>
      <c r="M58" s="196">
        <v>10</v>
      </c>
      <c r="N58" s="196">
        <v>10</v>
      </c>
      <c r="O58" s="249"/>
      <c r="P58" s="196"/>
      <c r="Q58" s="196">
        <v>50</v>
      </c>
      <c r="R58" s="196"/>
      <c r="S58" s="196">
        <v>70</v>
      </c>
      <c r="T58" s="196"/>
      <c r="U58" s="196"/>
      <c r="V58" s="196"/>
      <c r="W58" s="196"/>
      <c r="X58" s="197"/>
      <c r="Y58" s="198">
        <v>4.5</v>
      </c>
      <c r="Z58" s="198"/>
      <c r="AA58" s="156"/>
      <c r="AB58" s="72"/>
      <c r="AC58" s="73"/>
      <c r="AD58" s="53">
        <f t="shared" si="0"/>
        <v>0.25</v>
      </c>
      <c r="AE58" s="54">
        <f t="shared" si="1"/>
        <v>0</v>
      </c>
      <c r="AF58" s="156"/>
      <c r="AG58" s="182"/>
    </row>
    <row r="59" spans="1:34" ht="18.75" customHeight="1" x14ac:dyDescent="0.25">
      <c r="A59" s="176"/>
      <c r="B59" s="317" t="s">
        <v>39</v>
      </c>
      <c r="C59" s="318"/>
      <c r="D59" s="319"/>
      <c r="E59" s="199">
        <f t="shared" ref="E59:T59" si="3">IF(E53&lt;&gt;0,AVERAGE(E53:E56),"")</f>
        <v>7.3</v>
      </c>
      <c r="F59" s="199">
        <f t="shared" si="3"/>
        <v>9.4499999999999993</v>
      </c>
      <c r="G59" s="199">
        <f t="shared" si="3"/>
        <v>12.5</v>
      </c>
      <c r="H59" s="199">
        <f t="shared" si="3"/>
        <v>16.3</v>
      </c>
      <c r="I59" s="199">
        <f t="shared" si="3"/>
        <v>21.700000000000003</v>
      </c>
      <c r="J59" s="199">
        <f t="shared" si="3"/>
        <v>31.6</v>
      </c>
      <c r="K59" s="199">
        <f t="shared" si="3"/>
        <v>46.55</v>
      </c>
      <c r="L59" s="199">
        <f t="shared" si="3"/>
        <v>64.400000000000006</v>
      </c>
      <c r="M59" s="199">
        <f t="shared" si="3"/>
        <v>80.25</v>
      </c>
      <c r="N59" s="199">
        <f t="shared" si="3"/>
        <v>95.15</v>
      </c>
      <c r="O59" s="250">
        <f t="shared" si="3"/>
        <v>100</v>
      </c>
      <c r="P59" s="199"/>
      <c r="Q59" s="199"/>
      <c r="R59" s="199"/>
      <c r="S59" s="199" t="str">
        <f t="shared" si="3"/>
        <v/>
      </c>
      <c r="T59" s="200" t="str">
        <f t="shared" si="3"/>
        <v/>
      </c>
      <c r="U59" s="320">
        <f>IF(U53&lt;&gt;0,AVERAGE(U53:V56),"")</f>
        <v>171</v>
      </c>
      <c r="V59" s="321"/>
      <c r="W59" s="322">
        <f>IF(W53&lt;&gt;0,AVERAGE(W53:X56),"")</f>
        <v>5.33</v>
      </c>
      <c r="X59" s="323"/>
      <c r="Y59" s="324">
        <f>IF(W53&lt;&gt;0,AVERAGE(Y53:Z56),"")</f>
        <v>3.3194236024563706</v>
      </c>
      <c r="Z59" s="325"/>
      <c r="AA59" s="182"/>
      <c r="AB59" s="326">
        <f>(100*W59)/(100-W59)</f>
        <v>5.6300834477659238</v>
      </c>
      <c r="AC59" s="327"/>
      <c r="AD59" s="53">
        <f t="shared" si="0"/>
        <v>13.9551</v>
      </c>
      <c r="AE59" s="54">
        <f t="shared" si="1"/>
        <v>3.3195277893909236</v>
      </c>
      <c r="AF59" s="156"/>
      <c r="AG59" s="182"/>
    </row>
    <row r="60" spans="1:34" ht="21" customHeight="1" x14ac:dyDescent="0.25">
      <c r="A60" s="176"/>
      <c r="B60" s="328" t="s">
        <v>40</v>
      </c>
      <c r="C60" s="329"/>
      <c r="D60" s="330"/>
      <c r="E60" s="201">
        <v>6.5</v>
      </c>
      <c r="F60" s="201">
        <v>8</v>
      </c>
      <c r="G60" s="201">
        <v>11</v>
      </c>
      <c r="H60" s="201">
        <v>16</v>
      </c>
      <c r="I60" s="201">
        <v>21</v>
      </c>
      <c r="J60" s="201">
        <v>30</v>
      </c>
      <c r="K60" s="201">
        <v>44</v>
      </c>
      <c r="L60" s="201">
        <v>60</v>
      </c>
      <c r="M60" s="201">
        <v>76</v>
      </c>
      <c r="N60" s="201">
        <v>95</v>
      </c>
      <c r="O60" s="202">
        <v>100</v>
      </c>
      <c r="P60" s="201"/>
      <c r="Q60" s="202"/>
      <c r="R60" s="201"/>
      <c r="S60" s="201"/>
      <c r="T60" s="203"/>
      <c r="U60" s="331"/>
      <c r="V60" s="332"/>
      <c r="W60" s="333">
        <v>5.4</v>
      </c>
      <c r="X60" s="334"/>
      <c r="Y60" s="335">
        <f>AE60</f>
        <v>3.4230996041984052</v>
      </c>
      <c r="Z60" s="336"/>
      <c r="AA60" s="182"/>
      <c r="AB60" s="326">
        <f>(100*W60)/(100-W60)</f>
        <v>5.7082452431289648</v>
      </c>
      <c r="AC60" s="327"/>
      <c r="AD60" s="53">
        <f t="shared" si="0"/>
        <v>12.822000000000001</v>
      </c>
      <c r="AE60" s="54">
        <f t="shared" si="1"/>
        <v>3.4230996041984052</v>
      </c>
      <c r="AF60" s="156"/>
      <c r="AG60" s="182"/>
    </row>
    <row r="61" spans="1:34" ht="13.5" customHeight="1" x14ac:dyDescent="0.25">
      <c r="A61" s="176"/>
      <c r="B61" s="204"/>
      <c r="C61" s="205" t="s">
        <v>41</v>
      </c>
      <c r="D61" s="206"/>
      <c r="E61" s="186">
        <f>E60+2</f>
        <v>8.5</v>
      </c>
      <c r="F61" s="186"/>
      <c r="G61" s="186"/>
      <c r="H61" s="186"/>
      <c r="I61" s="186"/>
      <c r="J61" s="186">
        <f>J60+6</f>
        <v>36</v>
      </c>
      <c r="K61" s="186"/>
      <c r="L61" s="186">
        <f>L60+7</f>
        <v>67</v>
      </c>
      <c r="M61" s="186"/>
      <c r="N61" s="186"/>
      <c r="O61" s="186"/>
      <c r="P61" s="186"/>
      <c r="Q61" s="186"/>
      <c r="R61" s="186"/>
      <c r="S61" s="186"/>
      <c r="T61" s="187"/>
      <c r="U61" s="288"/>
      <c r="V61" s="289"/>
      <c r="W61" s="290">
        <f>W60+0.5</f>
        <v>5.9</v>
      </c>
      <c r="X61" s="289"/>
      <c r="Y61" s="291"/>
      <c r="Z61" s="292"/>
      <c r="AA61" s="207"/>
      <c r="AB61" s="88"/>
      <c r="AC61" s="89"/>
      <c r="AD61" s="306"/>
      <c r="AE61" s="308" t="s">
        <v>42</v>
      </c>
      <c r="AF61" s="156"/>
      <c r="AG61" s="182"/>
    </row>
    <row r="62" spans="1:34" ht="13.5" customHeight="1" thickBot="1" x14ac:dyDescent="0.3">
      <c r="A62" s="176"/>
      <c r="B62" s="310" t="s">
        <v>43</v>
      </c>
      <c r="C62" s="311"/>
      <c r="D62" s="312"/>
      <c r="E62" s="208">
        <f>E60-2</f>
        <v>4.5</v>
      </c>
      <c r="F62" s="208"/>
      <c r="G62" s="209"/>
      <c r="H62" s="209"/>
      <c r="I62" s="209"/>
      <c r="J62" s="208">
        <f>J60-6</f>
        <v>24</v>
      </c>
      <c r="K62" s="209"/>
      <c r="L62" s="208">
        <f>L60-7</f>
        <v>53</v>
      </c>
      <c r="M62" s="208"/>
      <c r="N62" s="209"/>
      <c r="O62" s="209"/>
      <c r="P62" s="209"/>
      <c r="Q62" s="208"/>
      <c r="R62" s="209"/>
      <c r="S62" s="209"/>
      <c r="T62" s="210"/>
      <c r="U62" s="313"/>
      <c r="V62" s="314"/>
      <c r="W62" s="315">
        <f>W60-0.5</f>
        <v>4.9000000000000004</v>
      </c>
      <c r="X62" s="314"/>
      <c r="Y62" s="293"/>
      <c r="Z62" s="316"/>
      <c r="AA62" s="211"/>
      <c r="AB62" s="94"/>
      <c r="AC62" s="95"/>
      <c r="AD62" s="307"/>
      <c r="AE62" s="309"/>
      <c r="AF62" s="156"/>
      <c r="AG62" s="182"/>
    </row>
    <row r="63" spans="1:34" ht="6.75" customHeight="1" x14ac:dyDescent="0.25">
      <c r="A63" s="151"/>
      <c r="B63" s="152"/>
      <c r="C63" s="153"/>
      <c r="D63" s="153"/>
      <c r="E63" s="153"/>
      <c r="F63" s="153"/>
      <c r="G63" s="153"/>
      <c r="H63" s="153"/>
      <c r="I63" s="153"/>
      <c r="J63" s="153"/>
      <c r="K63" s="153"/>
      <c r="L63" s="153"/>
      <c r="M63" s="153"/>
      <c r="N63" s="153"/>
      <c r="O63" s="153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212"/>
    </row>
    <row r="64" spans="1:34" ht="8.25" customHeight="1" x14ac:dyDescent="0.25"/>
    <row r="65" spans="1:30" ht="15.6" customHeight="1" x14ac:dyDescent="0.25">
      <c r="A65" s="213" t="s">
        <v>44</v>
      </c>
      <c r="B65" s="214" t="s">
        <v>45</v>
      </c>
      <c r="C65" s="215"/>
      <c r="D65" s="215"/>
      <c r="E65" s="215"/>
      <c r="F65" s="216"/>
      <c r="G65" s="216"/>
      <c r="H65" s="216"/>
      <c r="I65" s="138"/>
      <c r="J65" s="138"/>
      <c r="K65" s="138"/>
      <c r="L65" s="138"/>
      <c r="M65" s="138"/>
      <c r="N65" s="138"/>
      <c r="O65" s="138"/>
      <c r="P65" s="138"/>
      <c r="Q65" s="216"/>
      <c r="R65" s="138"/>
      <c r="S65" s="138"/>
      <c r="T65" s="138"/>
      <c r="U65" s="270"/>
      <c r="V65" s="270"/>
      <c r="W65" s="270"/>
      <c r="X65" s="270"/>
      <c r="Y65" s="270"/>
      <c r="Z65" s="271"/>
      <c r="AA65" s="217"/>
      <c r="AB65" s="218"/>
      <c r="AC65" s="218"/>
      <c r="AD65" s="219"/>
    </row>
    <row r="66" spans="1:30" ht="26.4" customHeight="1" x14ac:dyDescent="0.25">
      <c r="A66" s="272" t="s">
        <v>46</v>
      </c>
      <c r="B66" s="273"/>
      <c r="C66" s="273"/>
      <c r="D66" s="273"/>
      <c r="E66" s="273"/>
      <c r="F66" s="273"/>
      <c r="G66" s="273"/>
      <c r="H66" s="273"/>
      <c r="I66" s="273"/>
      <c r="J66" s="273"/>
      <c r="K66" s="273"/>
      <c r="L66" s="273"/>
      <c r="M66" s="273"/>
      <c r="N66" s="273"/>
      <c r="O66" s="273"/>
      <c r="P66" s="273"/>
      <c r="Q66" s="274"/>
      <c r="R66" s="261" t="s">
        <v>47</v>
      </c>
      <c r="S66" s="262"/>
      <c r="T66" s="263"/>
      <c r="U66" s="275" t="s">
        <v>55</v>
      </c>
      <c r="V66" s="276"/>
      <c r="W66" s="276"/>
      <c r="X66" s="277"/>
      <c r="Y66" s="277"/>
      <c r="Z66" s="278"/>
      <c r="AA66" s="160"/>
      <c r="AB66" s="220"/>
      <c r="AC66" s="220"/>
      <c r="AD66" s="219"/>
    </row>
    <row r="67" spans="1:30" ht="26.4" customHeight="1" x14ac:dyDescent="0.25">
      <c r="A67" s="279" t="s">
        <v>48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0"/>
      <c r="N67" s="280"/>
      <c r="O67" s="280"/>
      <c r="P67" s="280"/>
      <c r="Q67" s="281"/>
      <c r="R67" s="261" t="s">
        <v>49</v>
      </c>
      <c r="S67" s="262"/>
      <c r="T67" s="263"/>
      <c r="U67" s="282" t="s">
        <v>58</v>
      </c>
      <c r="V67" s="283"/>
      <c r="W67" s="283"/>
      <c r="X67" s="283"/>
      <c r="Y67" s="283"/>
      <c r="Z67" s="284"/>
      <c r="AA67" s="160"/>
      <c r="AB67" s="220"/>
      <c r="AC67" s="220"/>
      <c r="AD67" s="219"/>
    </row>
    <row r="68" spans="1:30" ht="15.6" customHeight="1" x14ac:dyDescent="0.25">
      <c r="A68" s="221" t="s">
        <v>50</v>
      </c>
      <c r="B68" s="222" t="s">
        <v>51</v>
      </c>
      <c r="C68" s="141"/>
      <c r="D68" s="141"/>
      <c r="E68" s="223"/>
      <c r="F68" s="223"/>
      <c r="G68" s="223"/>
      <c r="H68" s="223"/>
      <c r="I68" s="223"/>
      <c r="J68" s="223"/>
      <c r="K68" s="223"/>
      <c r="L68" s="223"/>
      <c r="M68" s="223"/>
      <c r="N68" s="223"/>
      <c r="O68" s="223"/>
      <c r="P68" s="223"/>
      <c r="Q68" s="224"/>
      <c r="R68" s="261"/>
      <c r="S68" s="262"/>
      <c r="T68" s="263"/>
      <c r="U68" s="285"/>
      <c r="V68" s="286"/>
      <c r="W68" s="286"/>
      <c r="X68" s="286"/>
      <c r="Y68" s="286"/>
      <c r="Z68" s="287"/>
      <c r="AA68" s="160"/>
      <c r="AB68" s="220"/>
      <c r="AC68" s="220"/>
      <c r="AD68" s="219"/>
    </row>
    <row r="69" spans="1:30" ht="15.6" customHeight="1" x14ac:dyDescent="0.25">
      <c r="A69" s="255"/>
      <c r="B69" s="256"/>
      <c r="C69" s="256"/>
      <c r="D69" s="256"/>
      <c r="E69" s="256"/>
      <c r="F69" s="256"/>
      <c r="G69" s="256"/>
      <c r="H69" s="256"/>
      <c r="I69" s="256"/>
      <c r="J69" s="256"/>
      <c r="K69" s="256"/>
      <c r="L69" s="256"/>
      <c r="M69" s="256"/>
      <c r="N69" s="256"/>
      <c r="O69" s="256"/>
      <c r="P69" s="256"/>
      <c r="Q69" s="257"/>
      <c r="R69" s="261" t="s">
        <v>52</v>
      </c>
      <c r="S69" s="262"/>
      <c r="T69" s="263"/>
      <c r="U69" s="225"/>
      <c r="V69" s="226"/>
      <c r="W69" s="226"/>
      <c r="X69" s="226"/>
      <c r="Y69" s="226"/>
      <c r="Z69" s="227"/>
      <c r="AA69" s="228"/>
      <c r="AB69" s="229"/>
      <c r="AC69" s="229"/>
      <c r="AD69" s="219"/>
    </row>
    <row r="70" spans="1:30" ht="15.6" customHeight="1" x14ac:dyDescent="0.25">
      <c r="A70" s="255"/>
      <c r="B70" s="256"/>
      <c r="C70" s="256"/>
      <c r="D70" s="256"/>
      <c r="E70" s="256"/>
      <c r="F70" s="256"/>
      <c r="G70" s="256"/>
      <c r="H70" s="256"/>
      <c r="I70" s="256"/>
      <c r="J70" s="256"/>
      <c r="K70" s="256"/>
      <c r="L70" s="256"/>
      <c r="M70" s="256"/>
      <c r="N70" s="256"/>
      <c r="O70" s="256"/>
      <c r="P70" s="256"/>
      <c r="Q70" s="257"/>
      <c r="R70" s="261"/>
      <c r="S70" s="262"/>
      <c r="T70" s="263"/>
      <c r="U70" s="230"/>
      <c r="V70" s="267"/>
      <c r="W70" s="267"/>
      <c r="X70" s="267"/>
      <c r="Y70" s="267"/>
      <c r="Z70" s="231"/>
      <c r="AA70" s="228"/>
      <c r="AB70" s="229"/>
      <c r="AC70" s="229"/>
      <c r="AD70" s="219"/>
    </row>
    <row r="71" spans="1:30" ht="15.6" customHeight="1" x14ac:dyDescent="0.25">
      <c r="A71" s="255"/>
      <c r="B71" s="256"/>
      <c r="C71" s="256"/>
      <c r="D71" s="256"/>
      <c r="E71" s="256"/>
      <c r="F71" s="256"/>
      <c r="G71" s="256"/>
      <c r="H71" s="256"/>
      <c r="I71" s="256"/>
      <c r="J71" s="256"/>
      <c r="K71" s="256"/>
      <c r="L71" s="256"/>
      <c r="M71" s="256"/>
      <c r="N71" s="256"/>
      <c r="O71" s="256"/>
      <c r="P71" s="256"/>
      <c r="Q71" s="257"/>
      <c r="R71" s="261"/>
      <c r="S71" s="262"/>
      <c r="T71" s="263"/>
      <c r="U71" s="230"/>
      <c r="V71" s="267"/>
      <c r="W71" s="267"/>
      <c r="X71" s="267"/>
      <c r="Y71" s="267"/>
      <c r="Z71" s="231"/>
      <c r="AA71" s="228"/>
      <c r="AB71" s="229"/>
      <c r="AC71" s="229"/>
      <c r="AD71" s="219"/>
    </row>
    <row r="72" spans="1:30" ht="15.6" customHeight="1" x14ac:dyDescent="0.25">
      <c r="A72" s="258"/>
      <c r="B72" s="259"/>
      <c r="C72" s="259"/>
      <c r="D72" s="259"/>
      <c r="E72" s="259"/>
      <c r="F72" s="259"/>
      <c r="G72" s="259"/>
      <c r="H72" s="259"/>
      <c r="I72" s="259"/>
      <c r="J72" s="259"/>
      <c r="K72" s="259"/>
      <c r="L72" s="259"/>
      <c r="M72" s="259"/>
      <c r="N72" s="259"/>
      <c r="O72" s="259"/>
      <c r="P72" s="259"/>
      <c r="Q72" s="260"/>
      <c r="R72" s="264"/>
      <c r="S72" s="265"/>
      <c r="T72" s="266"/>
      <c r="U72" s="232"/>
      <c r="V72" s="233"/>
      <c r="W72" s="233"/>
      <c r="X72" s="233"/>
      <c r="Y72" s="233"/>
      <c r="Z72" s="234"/>
      <c r="AA72" s="228"/>
      <c r="AB72" s="229"/>
      <c r="AC72" s="229"/>
      <c r="AD72" s="219"/>
    </row>
    <row r="73" spans="1:30" ht="12.75" customHeight="1" x14ac:dyDescent="0.25">
      <c r="U73" s="235"/>
      <c r="V73" s="235"/>
      <c r="W73" s="235"/>
      <c r="X73" s="235"/>
      <c r="Y73" s="235"/>
      <c r="Z73" s="235"/>
    </row>
  </sheetData>
  <mergeCells count="101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M13:R13"/>
    <mergeCell ref="S13:Y13"/>
    <mergeCell ref="B14:F14"/>
    <mergeCell ref="G14:L14"/>
    <mergeCell ref="M14:R14"/>
    <mergeCell ref="S14:Y14"/>
    <mergeCell ref="B11:F11"/>
    <mergeCell ref="G11:L11"/>
    <mergeCell ref="M11:R11"/>
    <mergeCell ref="B12:F12"/>
    <mergeCell ref="G12:L12"/>
    <mergeCell ref="M12:R12"/>
    <mergeCell ref="S12:Y12"/>
    <mergeCell ref="AG51:AG52"/>
    <mergeCell ref="C52:D52"/>
    <mergeCell ref="C53:D53"/>
    <mergeCell ref="U53:V53"/>
    <mergeCell ref="W53:X53"/>
    <mergeCell ref="Y53:Z53"/>
    <mergeCell ref="AB53:AC53"/>
    <mergeCell ref="AF49:AF50"/>
    <mergeCell ref="AG49:AG50"/>
    <mergeCell ref="E51:T51"/>
    <mergeCell ref="U51:V52"/>
    <mergeCell ref="W51:X52"/>
    <mergeCell ref="Y51:Z52"/>
    <mergeCell ref="AB51:AC52"/>
    <mergeCell ref="AD51:AD52"/>
    <mergeCell ref="AE51:AE52"/>
    <mergeCell ref="AF51:AF52"/>
    <mergeCell ref="AD49:AD50"/>
    <mergeCell ref="AE49:AE50"/>
    <mergeCell ref="AB56:AC56"/>
    <mergeCell ref="B58:D58"/>
    <mergeCell ref="C54:D54"/>
    <mergeCell ref="U54:V54"/>
    <mergeCell ref="W54:X54"/>
    <mergeCell ref="Y54:Z54"/>
    <mergeCell ref="AB54:AC54"/>
    <mergeCell ref="C55:D55"/>
    <mergeCell ref="U55:V55"/>
    <mergeCell ref="W55:X55"/>
    <mergeCell ref="Y55:Z55"/>
    <mergeCell ref="AB55:AC55"/>
    <mergeCell ref="AD61:AD62"/>
    <mergeCell ref="AE61:AE62"/>
    <mergeCell ref="B62:D62"/>
    <mergeCell ref="U62:V62"/>
    <mergeCell ref="W62:X62"/>
    <mergeCell ref="Y62:Z62"/>
    <mergeCell ref="B59:D59"/>
    <mergeCell ref="U59:V59"/>
    <mergeCell ref="W59:X59"/>
    <mergeCell ref="Y59:Z59"/>
    <mergeCell ref="AB59:AC59"/>
    <mergeCell ref="B60:D60"/>
    <mergeCell ref="U60:V60"/>
    <mergeCell ref="W60:X60"/>
    <mergeCell ref="Y60:Z60"/>
    <mergeCell ref="AB60:AC60"/>
    <mergeCell ref="A69:Q72"/>
    <mergeCell ref="R69:T72"/>
    <mergeCell ref="V70:Y71"/>
    <mergeCell ref="S11:Z11"/>
    <mergeCell ref="U65:Z65"/>
    <mergeCell ref="A66:Q66"/>
    <mergeCell ref="R66:T66"/>
    <mergeCell ref="U66:Z66"/>
    <mergeCell ref="A67:Q67"/>
    <mergeCell ref="R67:T68"/>
    <mergeCell ref="U67:Z68"/>
    <mergeCell ref="U61:V61"/>
    <mergeCell ref="W61:X61"/>
    <mergeCell ref="Y61:Z61"/>
    <mergeCell ref="C56:D56"/>
    <mergeCell ref="U56:V56"/>
    <mergeCell ref="W56:X56"/>
    <mergeCell ref="Y56:Z56"/>
    <mergeCell ref="B19:H19"/>
    <mergeCell ref="I19:Y19"/>
    <mergeCell ref="B20:H20"/>
    <mergeCell ref="I20:Y20"/>
    <mergeCell ref="B13:F13"/>
    <mergeCell ref="G13:L13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71370-D29B-4FF5-9C66-1ED0FDC87AE7}">
  <sheetPr>
    <pageSetUpPr fitToPage="1"/>
  </sheetPr>
  <dimension ref="A1:AN76"/>
  <sheetViews>
    <sheetView topLeftCell="A23" zoomScaleNormal="100" workbookViewId="0">
      <selection activeCell="AB70" sqref="AB70"/>
    </sheetView>
  </sheetViews>
  <sheetFormatPr baseColWidth="10" defaultColWidth="11.44140625" defaultRowHeight="12.75" customHeight="1" x14ac:dyDescent="0.25"/>
  <cols>
    <col min="1" max="2" width="5.109375" style="28" customWidth="1"/>
    <col min="3" max="27" width="5.109375" style="2" customWidth="1"/>
    <col min="28" max="41" width="11.44140625" style="2" customWidth="1"/>
    <col min="42" max="16384" width="11.44140625" style="2"/>
  </cols>
  <sheetData>
    <row r="1" spans="1:36" ht="12.75" customHeight="1" x14ac:dyDescent="0.25">
      <c r="A1" s="430"/>
      <c r="B1" s="431"/>
      <c r="C1" s="431"/>
      <c r="D1" s="431"/>
      <c r="E1" s="431"/>
      <c r="F1" s="432"/>
      <c r="G1" s="439" t="s">
        <v>0</v>
      </c>
      <c r="H1" s="440"/>
      <c r="I1" s="440"/>
      <c r="J1" s="440"/>
      <c r="K1" s="440"/>
      <c r="L1" s="440"/>
      <c r="M1" s="440"/>
      <c r="N1" s="440"/>
      <c r="O1" s="440"/>
      <c r="P1" s="440"/>
      <c r="Q1" s="440"/>
      <c r="R1" s="440"/>
      <c r="S1" s="440"/>
      <c r="T1" s="441"/>
      <c r="U1" s="405" t="s">
        <v>59</v>
      </c>
      <c r="V1" s="406"/>
      <c r="W1" s="406"/>
      <c r="X1" s="406"/>
      <c r="Y1" s="406"/>
      <c r="Z1" s="407"/>
      <c r="AA1" s="1"/>
    </row>
    <row r="2" spans="1:36" ht="12.75" customHeight="1" x14ac:dyDescent="0.25">
      <c r="A2" s="433"/>
      <c r="B2" s="434"/>
      <c r="C2" s="434"/>
      <c r="D2" s="434"/>
      <c r="E2" s="434"/>
      <c r="F2" s="435"/>
      <c r="G2" s="442" t="s">
        <v>1</v>
      </c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4"/>
      <c r="U2" s="408"/>
      <c r="V2" s="409"/>
      <c r="W2" s="409"/>
      <c r="X2" s="409"/>
      <c r="Y2" s="409"/>
      <c r="Z2" s="410"/>
      <c r="AA2" s="1"/>
    </row>
    <row r="3" spans="1:36" ht="12.75" customHeight="1" x14ac:dyDescent="0.25">
      <c r="A3" s="433"/>
      <c r="B3" s="434"/>
      <c r="C3" s="434"/>
      <c r="D3" s="434"/>
      <c r="E3" s="434"/>
      <c r="F3" s="435"/>
      <c r="G3" s="445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4"/>
      <c r="U3" s="408"/>
      <c r="V3" s="409"/>
      <c r="W3" s="409"/>
      <c r="X3" s="409"/>
      <c r="Y3" s="409"/>
      <c r="Z3" s="410"/>
      <c r="AA3" s="1"/>
    </row>
    <row r="4" spans="1:36" ht="12.75" customHeight="1" x14ac:dyDescent="0.25">
      <c r="A4" s="433"/>
      <c r="B4" s="434"/>
      <c r="C4" s="434"/>
      <c r="D4" s="434"/>
      <c r="E4" s="434"/>
      <c r="F4" s="435"/>
      <c r="G4" s="445"/>
      <c r="H4" s="443"/>
      <c r="I4" s="443"/>
      <c r="J4" s="443"/>
      <c r="K4" s="443"/>
      <c r="L4" s="443"/>
      <c r="M4" s="443"/>
      <c r="N4" s="443"/>
      <c r="O4" s="443"/>
      <c r="P4" s="443"/>
      <c r="Q4" s="443"/>
      <c r="R4" s="443"/>
      <c r="S4" s="443"/>
      <c r="T4" s="444"/>
      <c r="U4" s="408"/>
      <c r="V4" s="409"/>
      <c r="W4" s="409"/>
      <c r="X4" s="409"/>
      <c r="Y4" s="409"/>
      <c r="Z4" s="410"/>
      <c r="AA4" s="1"/>
    </row>
    <row r="5" spans="1:36" ht="12.75" customHeight="1" x14ac:dyDescent="0.25">
      <c r="A5" s="433"/>
      <c r="B5" s="434"/>
      <c r="C5" s="434"/>
      <c r="D5" s="434"/>
      <c r="E5" s="434"/>
      <c r="F5" s="435"/>
      <c r="G5" s="445" t="s">
        <v>2</v>
      </c>
      <c r="H5" s="443"/>
      <c r="I5" s="3" t="s">
        <v>3</v>
      </c>
      <c r="J5" s="446">
        <v>13</v>
      </c>
      <c r="K5" s="447"/>
      <c r="L5" s="448" t="s">
        <v>60</v>
      </c>
      <c r="M5" s="446"/>
      <c r="N5" s="446"/>
      <c r="O5" s="447"/>
      <c r="P5" s="449">
        <v>45945</v>
      </c>
      <c r="Q5" s="450"/>
      <c r="R5" s="450"/>
      <c r="S5" s="450"/>
      <c r="T5" s="451"/>
      <c r="U5" s="408"/>
      <c r="V5" s="409"/>
      <c r="W5" s="409"/>
      <c r="X5" s="409"/>
      <c r="Y5" s="409"/>
      <c r="Z5" s="410"/>
      <c r="AA5" s="1"/>
    </row>
    <row r="6" spans="1:36" ht="12.75" customHeight="1" x14ac:dyDescent="0.25">
      <c r="A6" s="436"/>
      <c r="B6" s="437"/>
      <c r="C6" s="437"/>
      <c r="D6" s="437"/>
      <c r="E6" s="437"/>
      <c r="F6" s="438"/>
      <c r="G6" s="4"/>
      <c r="H6" s="5"/>
      <c r="I6" s="5"/>
      <c r="J6" s="423" t="s">
        <v>4</v>
      </c>
      <c r="K6" s="423"/>
      <c r="L6" s="423" t="s">
        <v>5</v>
      </c>
      <c r="M6" s="423"/>
      <c r="N6" s="423"/>
      <c r="O6" s="423"/>
      <c r="P6" s="423" t="s">
        <v>6</v>
      </c>
      <c r="Q6" s="423"/>
      <c r="R6" s="423"/>
      <c r="S6" s="423"/>
      <c r="T6" s="424"/>
      <c r="U6" s="411"/>
      <c r="V6" s="412"/>
      <c r="W6" s="412"/>
      <c r="X6" s="412"/>
      <c r="Y6" s="412"/>
      <c r="Z6" s="413"/>
      <c r="AA6" s="1"/>
    </row>
    <row r="7" spans="1:36" ht="37.5" customHeight="1" x14ac:dyDescent="0.25">
      <c r="A7" s="425" t="s">
        <v>7</v>
      </c>
      <c r="B7" s="425"/>
      <c r="C7" s="425"/>
      <c r="D7" s="425"/>
      <c r="E7" s="425"/>
      <c r="F7" s="425"/>
      <c r="G7" s="426" t="s">
        <v>8</v>
      </c>
      <c r="H7" s="426"/>
      <c r="I7" s="426"/>
      <c r="J7" s="426"/>
      <c r="K7" s="426"/>
      <c r="L7" s="426"/>
      <c r="M7" s="426"/>
      <c r="N7" s="426"/>
      <c r="O7" s="426"/>
      <c r="P7" s="426"/>
      <c r="Q7" s="426"/>
      <c r="R7" s="426"/>
      <c r="S7" s="426"/>
      <c r="T7" s="426"/>
      <c r="U7" s="426"/>
      <c r="V7" s="426"/>
      <c r="W7" s="426"/>
      <c r="X7" s="426"/>
      <c r="Y7" s="426"/>
      <c r="Z7" s="426"/>
      <c r="AA7" s="6"/>
      <c r="AE7" s="7"/>
      <c r="AI7" s="7"/>
    </row>
    <row r="8" spans="1:36" ht="15.9" customHeight="1" x14ac:dyDescent="0.25">
      <c r="A8" s="8" t="s">
        <v>9</v>
      </c>
      <c r="B8" s="9" t="s">
        <v>10</v>
      </c>
      <c r="C8" s="10"/>
      <c r="D8" s="11"/>
      <c r="E8" s="11"/>
      <c r="F8" s="11"/>
      <c r="G8" s="11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2"/>
      <c r="AA8" s="13"/>
      <c r="AB8" s="14"/>
      <c r="AC8" s="14"/>
      <c r="AD8" s="14"/>
      <c r="AE8" s="7"/>
      <c r="AF8" s="14"/>
      <c r="AI8" s="7"/>
    </row>
    <row r="9" spans="1:36" ht="15.9" customHeight="1" x14ac:dyDescent="0.25">
      <c r="A9" s="15"/>
      <c r="B9" s="13"/>
      <c r="C9" s="13"/>
      <c r="D9" s="16"/>
      <c r="E9" s="16"/>
      <c r="F9" s="16"/>
      <c r="G9" s="16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7"/>
      <c r="AA9" s="13"/>
      <c r="AB9" s="14"/>
      <c r="AC9" s="14"/>
      <c r="AD9" s="14"/>
      <c r="AE9" s="7"/>
      <c r="AF9" s="14"/>
      <c r="AI9" s="7"/>
    </row>
    <row r="10" spans="1:36" ht="15.9" customHeight="1" x14ac:dyDescent="0.25">
      <c r="A10" s="15"/>
      <c r="B10" s="385" t="s">
        <v>11</v>
      </c>
      <c r="C10" s="385"/>
      <c r="D10" s="385"/>
      <c r="E10" s="385"/>
      <c r="F10" s="385"/>
      <c r="G10" s="427" t="s">
        <v>55</v>
      </c>
      <c r="H10" s="427"/>
      <c r="I10" s="427"/>
      <c r="J10" s="427"/>
      <c r="K10" s="427"/>
      <c r="L10" s="427"/>
      <c r="M10" s="428" t="s">
        <v>12</v>
      </c>
      <c r="N10" s="428"/>
      <c r="O10" s="428"/>
      <c r="P10" s="428"/>
      <c r="Q10" s="428"/>
      <c r="R10" s="428"/>
      <c r="S10" s="429" t="s">
        <v>93</v>
      </c>
      <c r="T10" s="429"/>
      <c r="U10" s="429"/>
      <c r="V10" s="429"/>
      <c r="W10" s="429"/>
      <c r="X10" s="429"/>
      <c r="Y10" s="429"/>
      <c r="Z10" s="18"/>
      <c r="AA10" s="19"/>
      <c r="AB10" s="14"/>
      <c r="AC10" s="14"/>
      <c r="AD10" s="14"/>
      <c r="AE10" s="385"/>
      <c r="AF10" s="385"/>
      <c r="AG10" s="385"/>
      <c r="AH10" s="385"/>
      <c r="AI10" s="385"/>
    </row>
    <row r="11" spans="1:36" ht="15.9" customHeight="1" x14ac:dyDescent="0.25">
      <c r="A11" s="15"/>
      <c r="B11" s="385" t="s">
        <v>14</v>
      </c>
      <c r="C11" s="385"/>
      <c r="D11" s="385"/>
      <c r="E11" s="385"/>
      <c r="F11" s="385"/>
      <c r="G11" s="427">
        <v>45945</v>
      </c>
      <c r="H11" s="427"/>
      <c r="I11" s="427"/>
      <c r="J11" s="427"/>
      <c r="K11" s="427"/>
      <c r="L11" s="427"/>
      <c r="M11" s="428" t="s">
        <v>15</v>
      </c>
      <c r="N11" s="428"/>
      <c r="O11" s="428"/>
      <c r="P11" s="428"/>
      <c r="Q11" s="428"/>
      <c r="R11" s="428"/>
      <c r="S11" s="429" t="s">
        <v>103</v>
      </c>
      <c r="T11" s="429"/>
      <c r="U11" s="429"/>
      <c r="V11" s="429"/>
      <c r="W11" s="429"/>
      <c r="X11" s="429"/>
      <c r="Y11" s="429"/>
      <c r="Z11" s="18"/>
      <c r="AA11" s="19"/>
      <c r="AB11" s="14"/>
      <c r="AC11" s="14"/>
      <c r="AD11" s="14"/>
      <c r="AE11" s="385"/>
      <c r="AF11" s="385"/>
      <c r="AG11" s="385"/>
      <c r="AH11" s="385"/>
      <c r="AI11" s="385"/>
    </row>
    <row r="12" spans="1:36" ht="15.9" customHeight="1" x14ac:dyDescent="0.25">
      <c r="A12" s="15"/>
      <c r="B12" s="385" t="s">
        <v>16</v>
      </c>
      <c r="C12" s="385"/>
      <c r="D12" s="385"/>
      <c r="E12" s="385"/>
      <c r="F12" s="385"/>
      <c r="G12" s="427" t="s">
        <v>102</v>
      </c>
      <c r="H12" s="427"/>
      <c r="I12" s="427"/>
      <c r="J12" s="427"/>
      <c r="K12" s="427"/>
      <c r="L12" s="427"/>
      <c r="M12" s="452" t="s">
        <v>17</v>
      </c>
      <c r="N12" s="452"/>
      <c r="O12" s="452"/>
      <c r="P12" s="452"/>
      <c r="Q12" s="452"/>
      <c r="R12" s="452"/>
      <c r="S12" s="429">
        <v>160</v>
      </c>
      <c r="T12" s="429"/>
      <c r="U12" s="429"/>
      <c r="V12" s="429"/>
      <c r="W12" s="429"/>
      <c r="X12" s="429"/>
      <c r="Y12" s="429"/>
      <c r="Z12" s="18"/>
      <c r="AA12" s="19"/>
      <c r="AB12" s="14"/>
      <c r="AC12" s="14"/>
      <c r="AD12" s="14"/>
      <c r="AE12" s="7"/>
      <c r="AF12" s="14"/>
      <c r="AI12" s="7"/>
    </row>
    <row r="13" spans="1:36" ht="15.9" customHeight="1" x14ac:dyDescent="0.25">
      <c r="A13" s="15"/>
      <c r="B13" s="20" t="s">
        <v>18</v>
      </c>
      <c r="C13" s="20"/>
      <c r="D13" s="20"/>
      <c r="E13" s="20"/>
      <c r="F13" s="20"/>
      <c r="G13" s="427" t="s">
        <v>94</v>
      </c>
      <c r="H13" s="427"/>
      <c r="I13" s="427"/>
      <c r="J13" s="427"/>
      <c r="K13" s="427"/>
      <c r="L13" s="427"/>
      <c r="M13" s="428" t="s">
        <v>19</v>
      </c>
      <c r="N13" s="428"/>
      <c r="O13" s="428"/>
      <c r="P13" s="428"/>
      <c r="Q13" s="428"/>
      <c r="R13" s="428"/>
      <c r="S13" s="427" t="s">
        <v>56</v>
      </c>
      <c r="T13" s="427"/>
      <c r="U13" s="427"/>
      <c r="V13" s="427"/>
      <c r="W13" s="427"/>
      <c r="X13" s="427"/>
      <c r="Y13" s="427"/>
      <c r="Z13" s="18"/>
      <c r="AA13" s="19"/>
      <c r="AB13" s="14"/>
      <c r="AC13" s="14"/>
      <c r="AD13" s="14"/>
      <c r="AE13" s="385"/>
      <c r="AF13" s="385"/>
      <c r="AG13" s="385"/>
      <c r="AH13" s="385"/>
      <c r="AI13" s="385"/>
      <c r="AJ13" s="385"/>
    </row>
    <row r="14" spans="1:36" ht="15.9" customHeight="1" x14ac:dyDescent="0.25">
      <c r="A14" s="21"/>
      <c r="B14" s="385" t="s">
        <v>20</v>
      </c>
      <c r="C14" s="385"/>
      <c r="D14" s="385"/>
      <c r="E14" s="385"/>
      <c r="F14" s="385"/>
      <c r="G14" s="427" t="s">
        <v>95</v>
      </c>
      <c r="H14" s="427"/>
      <c r="I14" s="427"/>
      <c r="J14" s="427"/>
      <c r="K14" s="427"/>
      <c r="L14" s="427"/>
      <c r="M14" s="429" t="s">
        <v>21</v>
      </c>
      <c r="N14" s="429"/>
      <c r="O14" s="429"/>
      <c r="P14" s="429"/>
      <c r="Q14" s="429"/>
      <c r="R14" s="429"/>
      <c r="S14" s="429" t="s">
        <v>22</v>
      </c>
      <c r="T14" s="429"/>
      <c r="U14" s="429"/>
      <c r="V14" s="429"/>
      <c r="W14" s="429"/>
      <c r="X14" s="429"/>
      <c r="Y14" s="429"/>
      <c r="Z14" s="22"/>
      <c r="AA14" s="14"/>
      <c r="AB14" s="14"/>
      <c r="AC14" s="14"/>
      <c r="AD14" s="14"/>
      <c r="AE14" s="385"/>
      <c r="AF14" s="385"/>
      <c r="AG14" s="385"/>
      <c r="AH14" s="385"/>
      <c r="AI14" s="385"/>
      <c r="AJ14" s="385"/>
    </row>
    <row r="15" spans="1:36" ht="6" customHeight="1" x14ac:dyDescent="0.25">
      <c r="A15" s="23"/>
      <c r="B15" s="24"/>
      <c r="C15" s="25"/>
      <c r="D15" s="25"/>
      <c r="E15" s="25"/>
      <c r="F15" s="24"/>
      <c r="G15" s="24"/>
      <c r="H15" s="24"/>
      <c r="I15" s="24"/>
      <c r="J15" s="24"/>
      <c r="K15" s="24"/>
      <c r="L15" s="24"/>
      <c r="M15" s="24"/>
      <c r="N15" s="25"/>
      <c r="O15" s="25"/>
      <c r="P15" s="25"/>
      <c r="Q15" s="25"/>
      <c r="R15" s="25"/>
      <c r="S15" s="25"/>
      <c r="T15" s="26"/>
      <c r="U15" s="26"/>
      <c r="V15" s="25"/>
      <c r="W15" s="25"/>
      <c r="X15" s="25"/>
      <c r="Y15" s="25"/>
      <c r="Z15" s="27"/>
      <c r="AE15" s="385"/>
      <c r="AF15" s="385"/>
      <c r="AG15" s="385"/>
      <c r="AH15" s="385"/>
      <c r="AI15" s="385"/>
      <c r="AJ15" s="385"/>
    </row>
    <row r="16" spans="1:36" ht="6" customHeight="1" x14ac:dyDescent="0.25">
      <c r="F16" s="28"/>
      <c r="G16" s="28"/>
      <c r="H16" s="28"/>
      <c r="I16" s="28"/>
      <c r="J16" s="28"/>
      <c r="K16" s="28"/>
      <c r="L16" s="28"/>
      <c r="M16" s="28"/>
      <c r="T16" s="29"/>
      <c r="U16" s="29"/>
      <c r="AE16" s="385"/>
      <c r="AF16" s="385"/>
      <c r="AG16" s="385"/>
      <c r="AH16" s="385"/>
      <c r="AI16" s="385"/>
      <c r="AJ16" s="385"/>
    </row>
    <row r="17" spans="1:40" ht="15.9" customHeight="1" x14ac:dyDescent="0.25">
      <c r="A17" s="8" t="s">
        <v>23</v>
      </c>
      <c r="B17" s="9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2"/>
      <c r="AA17" s="13"/>
      <c r="AE17" s="30"/>
      <c r="AI17" s="30"/>
    </row>
    <row r="18" spans="1:40" ht="8.25" customHeight="1" x14ac:dyDescent="0.25">
      <c r="A18" s="15"/>
      <c r="B18" s="31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7"/>
      <c r="AA18" s="13"/>
      <c r="AE18" s="30"/>
      <c r="AI18" s="30"/>
    </row>
    <row r="19" spans="1:40" ht="15.9" customHeight="1" x14ac:dyDescent="0.25">
      <c r="A19" s="15"/>
      <c r="B19" s="385" t="s">
        <v>25</v>
      </c>
      <c r="C19" s="385"/>
      <c r="D19" s="385"/>
      <c r="E19" s="385"/>
      <c r="F19" s="385"/>
      <c r="G19" s="385"/>
      <c r="H19" s="385"/>
      <c r="I19" s="453"/>
      <c r="J19" s="453"/>
      <c r="K19" s="453"/>
      <c r="L19" s="453"/>
      <c r="M19" s="453"/>
      <c r="N19" s="453"/>
      <c r="O19" s="453"/>
      <c r="P19" s="453"/>
      <c r="Q19" s="453"/>
      <c r="R19" s="453"/>
      <c r="S19" s="453"/>
      <c r="T19" s="453"/>
      <c r="U19" s="453"/>
      <c r="V19" s="453"/>
      <c r="W19" s="453"/>
      <c r="X19" s="453"/>
      <c r="Y19" s="453"/>
      <c r="Z19" s="18"/>
      <c r="AA19" s="19"/>
      <c r="AE19" s="30"/>
      <c r="AI19" s="30"/>
    </row>
    <row r="20" spans="1:40" ht="15.9" customHeight="1" x14ac:dyDescent="0.25">
      <c r="A20" s="15"/>
      <c r="B20" s="385" t="s">
        <v>26</v>
      </c>
      <c r="C20" s="385"/>
      <c r="D20" s="385"/>
      <c r="E20" s="385"/>
      <c r="F20" s="385"/>
      <c r="G20" s="385"/>
      <c r="H20" s="385"/>
      <c r="I20" s="454"/>
      <c r="J20" s="454"/>
      <c r="K20" s="454"/>
      <c r="L20" s="454"/>
      <c r="M20" s="454"/>
      <c r="N20" s="454"/>
      <c r="O20" s="454"/>
      <c r="P20" s="454"/>
      <c r="Q20" s="454"/>
      <c r="R20" s="454"/>
      <c r="S20" s="454"/>
      <c r="T20" s="454"/>
      <c r="U20" s="454"/>
      <c r="V20" s="454"/>
      <c r="W20" s="454"/>
      <c r="X20" s="454"/>
      <c r="Y20" s="454"/>
      <c r="Z20" s="18"/>
      <c r="AA20" s="19"/>
      <c r="AE20" s="30"/>
      <c r="AI20" s="30"/>
    </row>
    <row r="21" spans="1:40" ht="7.5" customHeight="1" x14ac:dyDescent="0.2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32"/>
      <c r="AA21" s="13"/>
      <c r="AE21" s="30"/>
      <c r="AI21" s="30"/>
    </row>
    <row r="22" spans="1:40" ht="5.25" customHeight="1" x14ac:dyDescent="0.25">
      <c r="F22" s="28"/>
      <c r="G22" s="28"/>
      <c r="H22" s="28"/>
      <c r="I22" s="28"/>
      <c r="J22" s="28"/>
      <c r="K22" s="28"/>
      <c r="L22" s="28"/>
      <c r="M22" s="28"/>
      <c r="T22" s="29"/>
      <c r="U22" s="29"/>
      <c r="AE22" s="30"/>
      <c r="AI22" s="30"/>
      <c r="AM22" s="14"/>
      <c r="AN22" s="14"/>
    </row>
    <row r="23" spans="1:40" ht="15.9" customHeight="1" x14ac:dyDescent="0.25">
      <c r="A23" s="33" t="s">
        <v>23</v>
      </c>
      <c r="B23" s="34" t="s">
        <v>27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39"/>
      <c r="AN23" s="40"/>
    </row>
    <row r="24" spans="1:40" ht="9" customHeight="1" x14ac:dyDescent="0.25">
      <c r="A24" s="21"/>
      <c r="Z24" s="41"/>
    </row>
    <row r="25" spans="1:40" ht="9" customHeight="1" x14ac:dyDescent="0.25">
      <c r="A25" s="21"/>
      <c r="Z25" s="41"/>
    </row>
    <row r="26" spans="1:40" ht="9" customHeight="1" x14ac:dyDescent="0.25">
      <c r="A26" s="21"/>
      <c r="Z26" s="41"/>
    </row>
    <row r="27" spans="1:40" ht="12.75" customHeight="1" x14ac:dyDescent="0.25">
      <c r="A27" s="21"/>
      <c r="Z27" s="41"/>
    </row>
    <row r="28" spans="1:40" ht="12.75" customHeight="1" x14ac:dyDescent="0.25">
      <c r="A28" s="21"/>
      <c r="Z28" s="41"/>
    </row>
    <row r="29" spans="1:40" ht="12.75" customHeight="1" x14ac:dyDescent="0.25">
      <c r="A29" s="21"/>
      <c r="Z29" s="41"/>
    </row>
    <row r="30" spans="1:40" ht="12.75" customHeight="1" x14ac:dyDescent="0.25">
      <c r="A30" s="21"/>
      <c r="Z30" s="41"/>
    </row>
    <row r="31" spans="1:40" ht="12.75" customHeight="1" x14ac:dyDescent="0.25">
      <c r="A31" s="21"/>
      <c r="Z31" s="41"/>
    </row>
    <row r="32" spans="1:40" ht="12.75" customHeight="1" x14ac:dyDescent="0.25">
      <c r="A32" s="21"/>
      <c r="Z32" s="41"/>
      <c r="AB32" s="252"/>
      <c r="AC32" s="253"/>
      <c r="AD32" s="253"/>
      <c r="AE32" s="253"/>
      <c r="AF32" s="253"/>
      <c r="AG32" s="253"/>
      <c r="AH32" s="253"/>
      <c r="AI32" s="253"/>
      <c r="AJ32" s="253"/>
      <c r="AK32" s="253"/>
      <c r="AL32" s="253"/>
      <c r="AM32" s="253"/>
      <c r="AN32" s="253"/>
    </row>
    <row r="33" spans="1:40" ht="12.75" customHeight="1" x14ac:dyDescent="0.25">
      <c r="A33" s="21"/>
      <c r="Z33" s="41"/>
      <c r="AB33" s="252"/>
      <c r="AC33" s="253"/>
      <c r="AD33" s="253"/>
      <c r="AE33" s="253"/>
      <c r="AF33" s="253"/>
      <c r="AG33" s="253"/>
      <c r="AH33" s="253"/>
      <c r="AI33" s="253"/>
      <c r="AJ33" s="253"/>
      <c r="AK33" s="253"/>
      <c r="AL33" s="253"/>
      <c r="AM33" s="253"/>
      <c r="AN33" s="253"/>
    </row>
    <row r="34" spans="1:40" ht="12.75" customHeight="1" x14ac:dyDescent="0.25">
      <c r="A34" s="21"/>
      <c r="Z34" s="41"/>
    </row>
    <row r="35" spans="1:40" ht="12.75" customHeight="1" x14ac:dyDescent="0.25">
      <c r="A35" s="21"/>
      <c r="Z35" s="41"/>
      <c r="AB35" s="254"/>
      <c r="AC35" s="254"/>
      <c r="AD35" s="254"/>
      <c r="AE35" s="254"/>
      <c r="AF35" s="254"/>
      <c r="AG35" s="254"/>
      <c r="AH35" s="254"/>
      <c r="AI35" s="254"/>
      <c r="AJ35" s="254"/>
      <c r="AK35" s="254"/>
      <c r="AL35" s="254"/>
      <c r="AM35" s="254"/>
      <c r="AN35" s="254"/>
    </row>
    <row r="36" spans="1:40" ht="12.75" customHeight="1" x14ac:dyDescent="0.25">
      <c r="A36" s="21"/>
      <c r="Z36" s="41"/>
    </row>
    <row r="37" spans="1:40" ht="12.75" customHeight="1" x14ac:dyDescent="0.25">
      <c r="A37" s="21"/>
      <c r="Z37" s="41"/>
    </row>
    <row r="38" spans="1:40" ht="12.75" customHeight="1" x14ac:dyDescent="0.25">
      <c r="A38" s="21"/>
      <c r="Z38" s="41"/>
    </row>
    <row r="39" spans="1:40" ht="12.75" customHeight="1" x14ac:dyDescent="0.25">
      <c r="A39" s="21"/>
      <c r="Z39" s="41"/>
    </row>
    <row r="40" spans="1:40" ht="12.75" customHeight="1" x14ac:dyDescent="0.25">
      <c r="A40" s="21"/>
      <c r="Z40" s="41"/>
    </row>
    <row r="41" spans="1:40" ht="12.75" customHeight="1" x14ac:dyDescent="0.25">
      <c r="A41" s="21"/>
      <c r="Z41" s="41"/>
    </row>
    <row r="42" spans="1:40" ht="12.75" customHeight="1" x14ac:dyDescent="0.25">
      <c r="A42" s="21"/>
      <c r="Z42" s="41"/>
    </row>
    <row r="43" spans="1:40" ht="12.75" customHeight="1" x14ac:dyDescent="0.25">
      <c r="A43" s="21"/>
      <c r="Z43" s="41"/>
    </row>
    <row r="44" spans="1:40" ht="12.75" customHeight="1" x14ac:dyDescent="0.25">
      <c r="A44" s="21"/>
      <c r="Z44" s="41"/>
    </row>
    <row r="45" spans="1:40" ht="12.75" customHeight="1" x14ac:dyDescent="0.25">
      <c r="A45" s="21"/>
      <c r="Z45" s="41"/>
    </row>
    <row r="46" spans="1:40" ht="12.75" customHeight="1" x14ac:dyDescent="0.25">
      <c r="A46" s="21"/>
      <c r="Z46" s="41"/>
    </row>
    <row r="47" spans="1:40" ht="12.75" customHeight="1" x14ac:dyDescent="0.25">
      <c r="A47" s="21"/>
      <c r="Z47" s="41"/>
    </row>
    <row r="48" spans="1:40" ht="12.75" customHeight="1" x14ac:dyDescent="0.25">
      <c r="A48" s="21"/>
      <c r="Z48" s="41"/>
    </row>
    <row r="49" spans="1:34" ht="12.75" customHeight="1" x14ac:dyDescent="0.25">
      <c r="A49" s="21"/>
      <c r="Z49" s="41"/>
    </row>
    <row r="50" spans="1:34" ht="9.75" customHeight="1" thickBot="1" x14ac:dyDescent="0.3">
      <c r="A50" s="21"/>
      <c r="Z50" s="41"/>
    </row>
    <row r="51" spans="1:34" ht="9.75" customHeight="1" x14ac:dyDescent="0.25">
      <c r="A51" s="21"/>
      <c r="Z51" s="41"/>
      <c r="AD51" s="378" t="s">
        <v>28</v>
      </c>
      <c r="AE51" s="380">
        <v>2.649</v>
      </c>
      <c r="AF51" s="455"/>
      <c r="AG51" s="457"/>
      <c r="AH51" s="42"/>
    </row>
    <row r="52" spans="1:34" ht="12.75" customHeight="1" thickBot="1" x14ac:dyDescent="0.3">
      <c r="A52" s="21"/>
      <c r="Z52" s="43"/>
      <c r="AD52" s="379"/>
      <c r="AE52" s="381"/>
      <c r="AF52" s="456"/>
      <c r="AG52" s="457"/>
    </row>
    <row r="53" spans="1:34" ht="18.75" customHeight="1" thickBot="1" x14ac:dyDescent="0.3">
      <c r="A53" s="21"/>
      <c r="E53" s="458" t="s">
        <v>29</v>
      </c>
      <c r="F53" s="459"/>
      <c r="G53" s="459"/>
      <c r="H53" s="459"/>
      <c r="I53" s="459"/>
      <c r="J53" s="459"/>
      <c r="K53" s="459"/>
      <c r="L53" s="459"/>
      <c r="M53" s="459"/>
      <c r="N53" s="459"/>
      <c r="O53" s="459"/>
      <c r="P53" s="459"/>
      <c r="Q53" s="459"/>
      <c r="R53" s="459"/>
      <c r="S53" s="459"/>
      <c r="T53" s="459"/>
      <c r="U53" s="460" t="s">
        <v>30</v>
      </c>
      <c r="V53" s="461"/>
      <c r="W53" s="464" t="s">
        <v>31</v>
      </c>
      <c r="X53" s="461"/>
      <c r="Y53" s="466" t="s">
        <v>32</v>
      </c>
      <c r="Z53" s="467"/>
      <c r="AA53" s="44"/>
      <c r="AB53" s="369" t="s">
        <v>33</v>
      </c>
      <c r="AC53" s="370"/>
      <c r="AD53" s="373" t="s">
        <v>34</v>
      </c>
      <c r="AE53" s="375" t="s">
        <v>35</v>
      </c>
      <c r="AF53" s="455"/>
      <c r="AG53" s="455"/>
      <c r="AH53" s="45"/>
    </row>
    <row r="54" spans="1:34" ht="24.9" customHeight="1" thickBot="1" x14ac:dyDescent="0.3">
      <c r="A54" s="46"/>
      <c r="B54" s="47" t="s">
        <v>36</v>
      </c>
      <c r="C54" s="471" t="s">
        <v>37</v>
      </c>
      <c r="D54" s="472"/>
      <c r="E54" s="48">
        <v>6.3E-2</v>
      </c>
      <c r="F54" s="48">
        <v>0.125</v>
      </c>
      <c r="G54" s="49">
        <v>0.25</v>
      </c>
      <c r="H54" s="49">
        <v>0.5</v>
      </c>
      <c r="I54" s="49">
        <v>1</v>
      </c>
      <c r="J54" s="49">
        <v>2</v>
      </c>
      <c r="K54" s="49">
        <v>4</v>
      </c>
      <c r="L54" s="49">
        <v>6.3</v>
      </c>
      <c r="M54" s="49">
        <v>8</v>
      </c>
      <c r="N54" s="49">
        <v>10</v>
      </c>
      <c r="O54" s="49">
        <v>12.5</v>
      </c>
      <c r="P54" s="49">
        <v>14</v>
      </c>
      <c r="Q54" s="50">
        <v>16</v>
      </c>
      <c r="R54" s="50">
        <v>20</v>
      </c>
      <c r="S54" s="49"/>
      <c r="T54" s="50"/>
      <c r="U54" s="462"/>
      <c r="V54" s="463"/>
      <c r="W54" s="465"/>
      <c r="X54" s="463"/>
      <c r="Y54" s="468"/>
      <c r="Z54" s="469"/>
      <c r="AA54" s="44"/>
      <c r="AB54" s="371"/>
      <c r="AC54" s="372"/>
      <c r="AD54" s="374"/>
      <c r="AE54" s="376"/>
      <c r="AF54" s="470"/>
      <c r="AG54" s="455"/>
    </row>
    <row r="55" spans="1:34" ht="24.9" customHeight="1" x14ac:dyDescent="0.25">
      <c r="A55" s="46"/>
      <c r="B55" s="51">
        <v>1</v>
      </c>
      <c r="C55" s="473" t="s">
        <v>104</v>
      </c>
      <c r="D55" s="474"/>
      <c r="E55" s="242">
        <v>7.7</v>
      </c>
      <c r="F55" s="243">
        <v>9.9</v>
      </c>
      <c r="G55" s="244">
        <v>13.1</v>
      </c>
      <c r="H55" s="244">
        <v>16.899999999999999</v>
      </c>
      <c r="I55" s="244">
        <v>22.1</v>
      </c>
      <c r="J55" s="244">
        <v>31.5</v>
      </c>
      <c r="K55" s="244">
        <v>44.2</v>
      </c>
      <c r="L55" s="244">
        <v>53.3</v>
      </c>
      <c r="M55" s="244">
        <v>64.2</v>
      </c>
      <c r="N55" s="244">
        <v>76.8</v>
      </c>
      <c r="O55" s="244">
        <v>89.6</v>
      </c>
      <c r="P55" s="244">
        <v>95.4</v>
      </c>
      <c r="Q55" s="244">
        <v>100</v>
      </c>
      <c r="R55" s="244"/>
      <c r="S55" s="245"/>
      <c r="T55" s="245"/>
      <c r="U55" s="475">
        <v>168</v>
      </c>
      <c r="V55" s="476"/>
      <c r="W55" s="477">
        <v>4.43</v>
      </c>
      <c r="X55" s="478"/>
      <c r="Y55" s="479">
        <f>IF(W55&lt;&gt;0,AE55,"")</f>
        <v>2.7197885068938712</v>
      </c>
      <c r="Z55" s="480"/>
      <c r="AA55" s="52"/>
      <c r="AB55" s="326">
        <f>(100*W55)/(100-W55)</f>
        <v>4.6353458198179345</v>
      </c>
      <c r="AC55" s="327"/>
      <c r="AD55" s="53">
        <f>(0.25*(100-O55)+2.3*(O55-H55)+12*(H55-E55)+150*(E55))/100</f>
        <v>14.3521</v>
      </c>
      <c r="AE55" s="54">
        <f>(AB55*$AE$51)/(2.65*(AD55)^(1/5))</f>
        <v>2.7197885068938712</v>
      </c>
      <c r="AF55" s="28"/>
      <c r="AG55" s="55"/>
    </row>
    <row r="56" spans="1:34" ht="24.9" customHeight="1" x14ac:dyDescent="0.25">
      <c r="A56" s="46"/>
      <c r="B56" s="56">
        <v>2</v>
      </c>
      <c r="C56" s="492" t="s">
        <v>105</v>
      </c>
      <c r="D56" s="493"/>
      <c r="E56" s="242">
        <v>7.3</v>
      </c>
      <c r="F56" s="243">
        <v>9.6</v>
      </c>
      <c r="G56" s="244">
        <v>12.5</v>
      </c>
      <c r="H56" s="244">
        <v>15.3</v>
      </c>
      <c r="I56" s="244">
        <v>20.399999999999999</v>
      </c>
      <c r="J56" s="244">
        <v>29.1</v>
      </c>
      <c r="K56" s="244">
        <v>39.9</v>
      </c>
      <c r="L56" s="244">
        <v>48.6</v>
      </c>
      <c r="M56" s="244">
        <v>60.7</v>
      </c>
      <c r="N56" s="244">
        <v>74.3</v>
      </c>
      <c r="O56" s="244">
        <v>87.7</v>
      </c>
      <c r="P56" s="244">
        <v>94.5</v>
      </c>
      <c r="Q56" s="244">
        <v>100</v>
      </c>
      <c r="R56" s="244"/>
      <c r="S56" s="245"/>
      <c r="T56" s="245"/>
      <c r="U56" s="494">
        <v>165</v>
      </c>
      <c r="V56" s="495"/>
      <c r="W56" s="496">
        <v>4.16</v>
      </c>
      <c r="X56" s="497"/>
      <c r="Y56" s="498">
        <f>IF(W56&lt;&gt;0,AE56,"")</f>
        <v>2.5741676953812997</v>
      </c>
      <c r="Z56" s="499"/>
      <c r="AA56" s="52"/>
      <c r="AB56" s="326">
        <f>(100*W56)/(100-W56)</f>
        <v>4.3405676126878125</v>
      </c>
      <c r="AC56" s="327"/>
      <c r="AD56" s="53">
        <f t="shared" ref="AD56:AD62" si="0">(0.25*(100-O56)+2.3*(O56-H56)+12*(H56-E56)+150*(E56))/100</f>
        <v>13.60595</v>
      </c>
      <c r="AE56" s="54">
        <f t="shared" ref="AE56:AE62" si="1">(AB56*$AE$51)/(2.65*(AD56)^(1/5))</f>
        <v>2.5741676953812997</v>
      </c>
      <c r="AF56" s="28"/>
      <c r="AG56" s="55"/>
    </row>
    <row r="57" spans="1:34" ht="24.9" customHeight="1" x14ac:dyDescent="0.25">
      <c r="A57" s="46"/>
      <c r="B57" s="56">
        <v>3</v>
      </c>
      <c r="C57" s="500"/>
      <c r="D57" s="501"/>
      <c r="E57" s="57"/>
      <c r="F57" s="58"/>
      <c r="G57" s="58"/>
      <c r="H57" s="59"/>
      <c r="I57" s="59"/>
      <c r="J57" s="59"/>
      <c r="K57" s="59"/>
      <c r="L57" s="59"/>
      <c r="M57" s="59"/>
      <c r="N57" s="59"/>
      <c r="O57" s="60"/>
      <c r="P57" s="59"/>
      <c r="Q57" s="60"/>
      <c r="R57" s="59"/>
      <c r="S57" s="59"/>
      <c r="T57" s="61"/>
      <c r="U57" s="502"/>
      <c r="V57" s="503"/>
      <c r="W57" s="504"/>
      <c r="X57" s="505"/>
      <c r="Y57" s="498" t="str">
        <f t="shared" ref="Y57:Y58" si="2">IF(W57&lt;&gt;0,AE57,"")</f>
        <v/>
      </c>
      <c r="Z57" s="499"/>
      <c r="AA57" s="52"/>
      <c r="AB57" s="326">
        <f>(100*W57)/(100-W57)</f>
        <v>0</v>
      </c>
      <c r="AC57" s="327"/>
      <c r="AD57" s="53">
        <f t="shared" si="0"/>
        <v>0.25</v>
      </c>
      <c r="AE57" s="54">
        <f t="shared" si="1"/>
        <v>0</v>
      </c>
      <c r="AF57" s="28"/>
      <c r="AG57" s="55"/>
    </row>
    <row r="58" spans="1:34" ht="24.9" customHeight="1" thickBot="1" x14ac:dyDescent="0.3">
      <c r="A58" s="46"/>
      <c r="B58" s="62">
        <v>4</v>
      </c>
      <c r="C58" s="481"/>
      <c r="D58" s="482"/>
      <c r="E58" s="63"/>
      <c r="F58" s="64"/>
      <c r="G58" s="64"/>
      <c r="H58" s="65"/>
      <c r="I58" s="65"/>
      <c r="J58" s="65"/>
      <c r="K58" s="65"/>
      <c r="L58" s="65"/>
      <c r="M58" s="65"/>
      <c r="N58" s="65"/>
      <c r="O58" s="66"/>
      <c r="P58" s="65"/>
      <c r="Q58" s="66"/>
      <c r="R58" s="65"/>
      <c r="S58" s="65"/>
      <c r="T58" s="67"/>
      <c r="U58" s="483"/>
      <c r="V58" s="484"/>
      <c r="W58" s="485"/>
      <c r="X58" s="486"/>
      <c r="Y58" s="487" t="str">
        <f t="shared" si="2"/>
        <v/>
      </c>
      <c r="Z58" s="488"/>
      <c r="AA58" s="52"/>
      <c r="AB58" s="326">
        <f>(100*W58)/(100-W58)</f>
        <v>0</v>
      </c>
      <c r="AC58" s="327"/>
      <c r="AD58" s="53">
        <f t="shared" si="0"/>
        <v>0.25</v>
      </c>
      <c r="AE58" s="54">
        <f t="shared" si="1"/>
        <v>0</v>
      </c>
      <c r="AF58" s="28"/>
      <c r="AG58" s="55"/>
    </row>
    <row r="59" spans="1:34" ht="10.5" customHeight="1" thickBot="1" x14ac:dyDescent="0.3">
      <c r="A59" s="46"/>
      <c r="B59" s="2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9"/>
      <c r="P59" s="68"/>
      <c r="Q59" s="69"/>
      <c r="R59" s="68"/>
      <c r="S59" s="68"/>
      <c r="T59" s="68"/>
      <c r="U59" s="68"/>
      <c r="V59" s="68"/>
      <c r="W59" s="70"/>
      <c r="Z59" s="71"/>
      <c r="AB59" s="72"/>
      <c r="AC59" s="73"/>
      <c r="AD59" s="53"/>
      <c r="AE59" s="54"/>
      <c r="AF59" s="28"/>
      <c r="AG59" s="55"/>
    </row>
    <row r="60" spans="1:34" ht="24.75" hidden="1" customHeight="1" x14ac:dyDescent="0.25">
      <c r="A60" s="46"/>
      <c r="B60" s="489" t="s">
        <v>38</v>
      </c>
      <c r="C60" s="490"/>
      <c r="D60" s="491"/>
      <c r="E60" s="74"/>
      <c r="F60" s="74"/>
      <c r="G60" s="74"/>
      <c r="H60" s="74"/>
      <c r="I60" s="74"/>
      <c r="J60" s="74"/>
      <c r="K60" s="74"/>
      <c r="L60" s="74"/>
      <c r="M60" s="74">
        <v>10</v>
      </c>
      <c r="N60" s="74">
        <v>10</v>
      </c>
      <c r="O60" s="75"/>
      <c r="P60" s="74"/>
      <c r="Q60" s="75">
        <v>50</v>
      </c>
      <c r="R60" s="74"/>
      <c r="S60" s="74">
        <v>70</v>
      </c>
      <c r="T60" s="74"/>
      <c r="U60" s="74"/>
      <c r="V60" s="74"/>
      <c r="W60" s="74"/>
      <c r="X60" s="76"/>
      <c r="Y60" s="77">
        <v>4.5</v>
      </c>
      <c r="Z60" s="77"/>
      <c r="AA60" s="28"/>
      <c r="AB60" s="72"/>
      <c r="AC60" s="73"/>
      <c r="AD60" s="53">
        <f t="shared" si="0"/>
        <v>0.25</v>
      </c>
      <c r="AE60" s="54">
        <f t="shared" si="1"/>
        <v>0</v>
      </c>
      <c r="AF60" s="28"/>
      <c r="AG60" s="55"/>
    </row>
    <row r="61" spans="1:34" ht="18.75" customHeight="1" x14ac:dyDescent="0.25">
      <c r="A61" s="46"/>
      <c r="B61" s="506" t="s">
        <v>39</v>
      </c>
      <c r="C61" s="507"/>
      <c r="D61" s="508"/>
      <c r="E61" s="78">
        <f>IF(E55&lt;&gt;0,AVERAGE(E55:E58),"")</f>
        <v>7.5</v>
      </c>
      <c r="F61" s="78">
        <f t="shared" ref="F61:L61" si="3">IF(F55&lt;&gt;0,AVERAGE(F55:F58),"")</f>
        <v>9.75</v>
      </c>
      <c r="G61" s="78">
        <f t="shared" si="3"/>
        <v>12.8</v>
      </c>
      <c r="H61" s="78">
        <f t="shared" si="3"/>
        <v>16.100000000000001</v>
      </c>
      <c r="I61" s="78">
        <f t="shared" si="3"/>
        <v>21.25</v>
      </c>
      <c r="J61" s="78">
        <f t="shared" si="3"/>
        <v>30.3</v>
      </c>
      <c r="K61" s="78">
        <f t="shared" si="3"/>
        <v>42.05</v>
      </c>
      <c r="L61" s="78">
        <f t="shared" si="3"/>
        <v>50.95</v>
      </c>
      <c r="M61" s="78">
        <f>IF(M55&lt;&gt;0,AVERAGE(M55:M58),"")</f>
        <v>62.45</v>
      </c>
      <c r="N61" s="78">
        <f>IF(N55&lt;&gt;0,AVERAGE(N55:N58),"")</f>
        <v>75.55</v>
      </c>
      <c r="O61" s="79">
        <f>IF(O55&lt;&gt;0,AVERAGE(O55:O58),"")</f>
        <v>88.65</v>
      </c>
      <c r="P61" s="79">
        <f t="shared" ref="P61:Q61" si="4">IF(P55&lt;&gt;0,AVERAGE(P55:P58),"")</f>
        <v>94.95</v>
      </c>
      <c r="Q61" s="79">
        <f t="shared" si="4"/>
        <v>100</v>
      </c>
      <c r="R61" s="78"/>
      <c r="S61" s="78" t="str">
        <f t="shared" ref="S61:T61" si="5">IF(S55&lt;&gt;0,AVERAGE(S55:S58),"")</f>
        <v/>
      </c>
      <c r="T61" s="80" t="str">
        <f t="shared" si="5"/>
        <v/>
      </c>
      <c r="U61" s="509">
        <f>IF(U55&lt;&gt;0,AVERAGE(U55:V58),"")</f>
        <v>166.5</v>
      </c>
      <c r="V61" s="510"/>
      <c r="W61" s="511">
        <f>IF(W55&lt;&gt;0,AVERAGE(W55:X58),"")</f>
        <v>4.2949999999999999</v>
      </c>
      <c r="X61" s="512"/>
      <c r="Y61" s="513">
        <f>IF(W55&lt;&gt;0,AVERAGE(Y55:Z58),"")</f>
        <v>2.6469781011375852</v>
      </c>
      <c r="Z61" s="514"/>
      <c r="AA61" s="55"/>
      <c r="AB61" s="326">
        <f>(100*W61)/(100-W61)</f>
        <v>4.4877488114518576</v>
      </c>
      <c r="AC61" s="327"/>
      <c r="AD61" s="53">
        <f t="shared" si="0"/>
        <v>13.979025000000002</v>
      </c>
      <c r="AE61" s="54">
        <f t="shared" si="1"/>
        <v>2.6470932988550091</v>
      </c>
      <c r="AF61" s="28"/>
      <c r="AG61" s="55"/>
    </row>
    <row r="62" spans="1:34" ht="21" customHeight="1" x14ac:dyDescent="0.25">
      <c r="A62" s="46"/>
      <c r="B62" s="515" t="s">
        <v>40</v>
      </c>
      <c r="C62" s="516"/>
      <c r="D62" s="517"/>
      <c r="E62" s="81">
        <v>7</v>
      </c>
      <c r="F62" s="81">
        <v>9</v>
      </c>
      <c r="G62" s="81">
        <v>12</v>
      </c>
      <c r="H62" s="81">
        <v>17</v>
      </c>
      <c r="I62" s="81">
        <v>22</v>
      </c>
      <c r="J62" s="81">
        <v>32</v>
      </c>
      <c r="K62" s="81">
        <v>44</v>
      </c>
      <c r="L62" s="81">
        <v>51</v>
      </c>
      <c r="M62" s="81">
        <v>61</v>
      </c>
      <c r="N62" s="81">
        <v>75</v>
      </c>
      <c r="O62" s="81">
        <v>92</v>
      </c>
      <c r="P62" s="81">
        <v>98</v>
      </c>
      <c r="Q62" s="82">
        <v>100</v>
      </c>
      <c r="R62" s="81"/>
      <c r="S62" s="81"/>
      <c r="T62" s="83"/>
      <c r="U62" s="518"/>
      <c r="V62" s="519"/>
      <c r="W62" s="520">
        <v>4.5999999999999996</v>
      </c>
      <c r="X62" s="521"/>
      <c r="Y62" s="522">
        <f>AE62</f>
        <v>2.8663774597736555</v>
      </c>
      <c r="Z62" s="523"/>
      <c r="AA62" s="55"/>
      <c r="AB62" s="326">
        <f>(100*W62)/(100-W62)</f>
        <v>4.8218029350104814</v>
      </c>
      <c r="AC62" s="327"/>
      <c r="AD62" s="53">
        <f t="shared" si="0"/>
        <v>13.445</v>
      </c>
      <c r="AE62" s="54">
        <f t="shared" si="1"/>
        <v>2.8663774597736555</v>
      </c>
      <c r="AF62" s="28"/>
      <c r="AG62" s="55"/>
    </row>
    <row r="63" spans="1:34" ht="13.5" customHeight="1" x14ac:dyDescent="0.25">
      <c r="A63" s="46"/>
      <c r="B63" s="84"/>
      <c r="C63" s="85" t="s">
        <v>41</v>
      </c>
      <c r="D63" s="86"/>
      <c r="E63" s="59">
        <f>E62+2</f>
        <v>9</v>
      </c>
      <c r="F63" s="59"/>
      <c r="G63" s="59"/>
      <c r="H63" s="59"/>
      <c r="I63" s="59"/>
      <c r="J63" s="59">
        <f>J62+6</f>
        <v>38</v>
      </c>
      <c r="K63" s="59"/>
      <c r="L63" s="59">
        <f>L62+7</f>
        <v>58</v>
      </c>
      <c r="M63" s="59"/>
      <c r="N63" s="59"/>
      <c r="O63" s="59"/>
      <c r="P63" s="59"/>
      <c r="Q63" s="60"/>
      <c r="R63" s="59"/>
      <c r="S63" s="59"/>
      <c r="T63" s="61"/>
      <c r="U63" s="502"/>
      <c r="V63" s="503"/>
      <c r="W63" s="524">
        <f>W62+0.5</f>
        <v>5.0999999999999996</v>
      </c>
      <c r="X63" s="503"/>
      <c r="Y63" s="500"/>
      <c r="Z63" s="525"/>
      <c r="AA63" s="87"/>
      <c r="AB63" s="88"/>
      <c r="AC63" s="89"/>
      <c r="AD63" s="306"/>
      <c r="AE63" s="308" t="s">
        <v>42</v>
      </c>
      <c r="AF63" s="28"/>
      <c r="AG63" s="55"/>
    </row>
    <row r="64" spans="1:34" ht="13.5" customHeight="1" thickBot="1" x14ac:dyDescent="0.3">
      <c r="A64" s="46"/>
      <c r="B64" s="462" t="s">
        <v>43</v>
      </c>
      <c r="C64" s="465"/>
      <c r="D64" s="463"/>
      <c r="E64" s="90">
        <f>E62-2</f>
        <v>5</v>
      </c>
      <c r="F64" s="90"/>
      <c r="G64" s="91"/>
      <c r="H64" s="91"/>
      <c r="I64" s="91"/>
      <c r="J64" s="90">
        <f>J62-6</f>
        <v>26</v>
      </c>
      <c r="K64" s="91"/>
      <c r="L64" s="90">
        <f>L62-7</f>
        <v>44</v>
      </c>
      <c r="M64" s="90"/>
      <c r="N64" s="91"/>
      <c r="O64" s="91"/>
      <c r="P64" s="91"/>
      <c r="Q64" s="90"/>
      <c r="R64" s="91"/>
      <c r="S64" s="91"/>
      <c r="T64" s="92"/>
      <c r="U64" s="526"/>
      <c r="V64" s="527"/>
      <c r="W64" s="528">
        <f>W62-0.5</f>
        <v>4.0999999999999996</v>
      </c>
      <c r="X64" s="527"/>
      <c r="Y64" s="481"/>
      <c r="Z64" s="529"/>
      <c r="AA64" s="93"/>
      <c r="AB64" s="94"/>
      <c r="AC64" s="95"/>
      <c r="AD64" s="307"/>
      <c r="AE64" s="309"/>
      <c r="AF64" s="28"/>
      <c r="AG64" s="55"/>
    </row>
    <row r="65" spans="1:30" ht="6.75" customHeight="1" x14ac:dyDescent="0.25">
      <c r="A65" s="23"/>
      <c r="B65" s="24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96"/>
    </row>
    <row r="66" spans="1:30" ht="8.25" customHeight="1" x14ac:dyDescent="0.25"/>
    <row r="67" spans="1:30" ht="34.5" customHeight="1" x14ac:dyDescent="0.25">
      <c r="A67" s="97" t="s">
        <v>44</v>
      </c>
      <c r="B67" s="98" t="s">
        <v>45</v>
      </c>
      <c r="C67" s="99"/>
      <c r="D67" s="99"/>
      <c r="E67" s="99"/>
      <c r="F67" s="100"/>
      <c r="G67" s="100"/>
      <c r="H67" s="100"/>
      <c r="I67" s="10"/>
      <c r="J67" s="10"/>
      <c r="K67" s="10"/>
      <c r="L67" s="10"/>
      <c r="M67" s="10"/>
      <c r="N67" s="10"/>
      <c r="O67" s="10"/>
      <c r="P67" s="10"/>
      <c r="Q67" s="100"/>
      <c r="R67" s="10"/>
      <c r="S67" s="10"/>
      <c r="T67" s="10"/>
      <c r="U67" s="543"/>
      <c r="V67" s="543"/>
      <c r="W67" s="543"/>
      <c r="X67" s="543"/>
      <c r="Y67" s="543"/>
      <c r="Z67" s="544"/>
      <c r="AA67" s="101"/>
      <c r="AB67" s="102"/>
      <c r="AC67" s="102"/>
      <c r="AD67" s="103"/>
    </row>
    <row r="68" spans="1:30" ht="27" customHeight="1" x14ac:dyDescent="0.25">
      <c r="A68" s="545" t="s">
        <v>46</v>
      </c>
      <c r="B68" s="546"/>
      <c r="C68" s="546"/>
      <c r="D68" s="546"/>
      <c r="E68" s="546"/>
      <c r="F68" s="546"/>
      <c r="G68" s="546"/>
      <c r="H68" s="546"/>
      <c r="I68" s="546"/>
      <c r="J68" s="546"/>
      <c r="K68" s="546"/>
      <c r="L68" s="546"/>
      <c r="M68" s="546"/>
      <c r="N68" s="546"/>
      <c r="O68" s="546"/>
      <c r="P68" s="546"/>
      <c r="Q68" s="547"/>
      <c r="R68" s="536" t="s">
        <v>47</v>
      </c>
      <c r="S68" s="537"/>
      <c r="T68" s="538"/>
      <c r="U68" s="275" t="s">
        <v>57</v>
      </c>
      <c r="V68" s="276"/>
      <c r="W68" s="276"/>
      <c r="X68" s="277"/>
      <c r="Y68" s="277"/>
      <c r="Z68" s="278"/>
      <c r="AA68" s="104"/>
      <c r="AB68" s="105"/>
      <c r="AC68" s="105"/>
      <c r="AD68" s="103"/>
    </row>
    <row r="69" spans="1:30" ht="15.75" customHeight="1" x14ac:dyDescent="0.25">
      <c r="A69" s="548" t="s">
        <v>48</v>
      </c>
      <c r="B69" s="549"/>
      <c r="C69" s="549"/>
      <c r="D69" s="549"/>
      <c r="E69" s="549"/>
      <c r="F69" s="549"/>
      <c r="G69" s="549"/>
      <c r="H69" s="549"/>
      <c r="I69" s="549"/>
      <c r="J69" s="549"/>
      <c r="K69" s="549"/>
      <c r="L69" s="549"/>
      <c r="M69" s="549"/>
      <c r="N69" s="549"/>
      <c r="O69" s="549"/>
      <c r="P69" s="549"/>
      <c r="Q69" s="550"/>
      <c r="R69" s="536" t="s">
        <v>49</v>
      </c>
      <c r="S69" s="537"/>
      <c r="T69" s="538"/>
      <c r="U69" s="554" t="s">
        <v>58</v>
      </c>
      <c r="V69" s="555"/>
      <c r="W69" s="555"/>
      <c r="X69" s="555"/>
      <c r="Y69" s="555"/>
      <c r="Z69" s="556"/>
      <c r="AA69" s="104"/>
      <c r="AB69" s="105"/>
      <c r="AC69" s="105"/>
      <c r="AD69" s="103"/>
    </row>
    <row r="70" spans="1:30" ht="9" customHeight="1" x14ac:dyDescent="0.25">
      <c r="A70" s="548"/>
      <c r="B70" s="549"/>
      <c r="C70" s="549"/>
      <c r="D70" s="549"/>
      <c r="E70" s="549"/>
      <c r="F70" s="549"/>
      <c r="G70" s="549"/>
      <c r="H70" s="549"/>
      <c r="I70" s="549"/>
      <c r="J70" s="549"/>
      <c r="K70" s="549"/>
      <c r="L70" s="549"/>
      <c r="M70" s="549"/>
      <c r="N70" s="549"/>
      <c r="O70" s="549"/>
      <c r="P70" s="549"/>
      <c r="Q70" s="550"/>
      <c r="R70" s="536"/>
      <c r="S70" s="537"/>
      <c r="T70" s="538"/>
      <c r="U70" s="557"/>
      <c r="V70" s="454"/>
      <c r="W70" s="454"/>
      <c r="X70" s="454"/>
      <c r="Y70" s="454"/>
      <c r="Z70" s="558"/>
      <c r="AA70" s="104"/>
      <c r="AB70" s="105"/>
      <c r="AC70" s="105"/>
      <c r="AD70" s="103"/>
    </row>
    <row r="71" spans="1:30" ht="15.9" customHeight="1" x14ac:dyDescent="0.25">
      <c r="A71" s="551"/>
      <c r="B71" s="552"/>
      <c r="C71" s="552"/>
      <c r="D71" s="552"/>
      <c r="E71" s="552"/>
      <c r="F71" s="552"/>
      <c r="G71" s="552"/>
      <c r="H71" s="552"/>
      <c r="I71" s="552"/>
      <c r="J71" s="552"/>
      <c r="K71" s="552"/>
      <c r="L71" s="552"/>
      <c r="M71" s="552"/>
      <c r="N71" s="552"/>
      <c r="O71" s="552"/>
      <c r="P71" s="552"/>
      <c r="Q71" s="553"/>
      <c r="R71" s="536"/>
      <c r="S71" s="537"/>
      <c r="T71" s="538"/>
      <c r="U71" s="557"/>
      <c r="V71" s="454"/>
      <c r="W71" s="454"/>
      <c r="X71" s="454"/>
      <c r="Y71" s="454"/>
      <c r="Z71" s="558"/>
      <c r="AA71" s="104"/>
      <c r="AB71" s="105"/>
      <c r="AC71" s="105"/>
      <c r="AD71" s="103"/>
    </row>
    <row r="72" spans="1:30" ht="15.9" customHeight="1" x14ac:dyDescent="0.25">
      <c r="A72" s="106" t="s">
        <v>50</v>
      </c>
      <c r="B72" s="107" t="s">
        <v>51</v>
      </c>
      <c r="C72" s="13"/>
      <c r="D72" s="13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9"/>
      <c r="R72" s="536"/>
      <c r="S72" s="537"/>
      <c r="T72" s="538"/>
      <c r="U72" s="559"/>
      <c r="V72" s="560"/>
      <c r="W72" s="560"/>
      <c r="X72" s="560"/>
      <c r="Y72" s="560"/>
      <c r="Z72" s="561"/>
      <c r="AA72" s="104"/>
      <c r="AB72" s="105"/>
      <c r="AC72" s="105"/>
      <c r="AD72" s="103"/>
    </row>
    <row r="73" spans="1:30" ht="15.75" customHeight="1" x14ac:dyDescent="0.25">
      <c r="A73" s="530"/>
      <c r="B73" s="531"/>
      <c r="C73" s="531"/>
      <c r="D73" s="531"/>
      <c r="E73" s="531"/>
      <c r="F73" s="531"/>
      <c r="G73" s="531"/>
      <c r="H73" s="531"/>
      <c r="I73" s="531"/>
      <c r="J73" s="531"/>
      <c r="K73" s="531"/>
      <c r="L73" s="531"/>
      <c r="M73" s="531"/>
      <c r="N73" s="531"/>
      <c r="O73" s="531"/>
      <c r="P73" s="531"/>
      <c r="Q73" s="532"/>
      <c r="R73" s="536" t="s">
        <v>52</v>
      </c>
      <c r="S73" s="537"/>
      <c r="T73" s="538"/>
      <c r="U73" s="110"/>
      <c r="V73" s="111"/>
      <c r="W73" s="111"/>
      <c r="X73" s="111"/>
      <c r="Y73" s="111"/>
      <c r="Z73" s="112"/>
      <c r="AA73" s="113"/>
      <c r="AB73" s="114"/>
      <c r="AC73" s="114"/>
      <c r="AD73" s="103"/>
    </row>
    <row r="74" spans="1:30" ht="15.9" customHeight="1" x14ac:dyDescent="0.25">
      <c r="A74" s="530"/>
      <c r="B74" s="531"/>
      <c r="C74" s="531"/>
      <c r="D74" s="531"/>
      <c r="E74" s="531"/>
      <c r="F74" s="531"/>
      <c r="G74" s="531"/>
      <c r="H74" s="531"/>
      <c r="I74" s="531"/>
      <c r="J74" s="531"/>
      <c r="K74" s="531"/>
      <c r="L74" s="531"/>
      <c r="M74" s="531"/>
      <c r="N74" s="531"/>
      <c r="O74" s="531"/>
      <c r="P74" s="531"/>
      <c r="Q74" s="532"/>
      <c r="R74" s="536"/>
      <c r="S74" s="537"/>
      <c r="T74" s="538"/>
      <c r="U74" s="115"/>
      <c r="V74" s="542"/>
      <c r="W74" s="542"/>
      <c r="X74" s="542"/>
      <c r="Y74" s="542"/>
      <c r="Z74" s="116"/>
      <c r="AA74" s="113"/>
      <c r="AB74" s="114"/>
      <c r="AC74" s="114"/>
      <c r="AD74" s="103"/>
    </row>
    <row r="75" spans="1:30" ht="15.9" customHeight="1" x14ac:dyDescent="0.25">
      <c r="A75" s="530"/>
      <c r="B75" s="531"/>
      <c r="C75" s="531"/>
      <c r="D75" s="531"/>
      <c r="E75" s="531"/>
      <c r="F75" s="531"/>
      <c r="G75" s="531"/>
      <c r="H75" s="531"/>
      <c r="I75" s="531"/>
      <c r="J75" s="531"/>
      <c r="K75" s="531"/>
      <c r="L75" s="531"/>
      <c r="M75" s="531"/>
      <c r="N75" s="531"/>
      <c r="O75" s="531"/>
      <c r="P75" s="531"/>
      <c r="Q75" s="532"/>
      <c r="R75" s="536"/>
      <c r="S75" s="537"/>
      <c r="T75" s="538"/>
      <c r="U75" s="115"/>
      <c r="V75" s="542"/>
      <c r="W75" s="542"/>
      <c r="X75" s="542"/>
      <c r="Y75" s="542"/>
      <c r="Z75" s="116"/>
      <c r="AA75" s="113"/>
      <c r="AB75" s="114"/>
      <c r="AC75" s="114"/>
      <c r="AD75" s="103"/>
    </row>
    <row r="76" spans="1:30" ht="15.75" customHeight="1" x14ac:dyDescent="0.25">
      <c r="A76" s="533"/>
      <c r="B76" s="534"/>
      <c r="C76" s="534"/>
      <c r="D76" s="534"/>
      <c r="E76" s="534"/>
      <c r="F76" s="534"/>
      <c r="G76" s="534"/>
      <c r="H76" s="534"/>
      <c r="I76" s="534"/>
      <c r="J76" s="534"/>
      <c r="K76" s="534"/>
      <c r="L76" s="534"/>
      <c r="M76" s="534"/>
      <c r="N76" s="534"/>
      <c r="O76" s="534"/>
      <c r="P76" s="534"/>
      <c r="Q76" s="535"/>
      <c r="R76" s="539"/>
      <c r="S76" s="540"/>
      <c r="T76" s="541"/>
      <c r="U76" s="117"/>
      <c r="V76" s="118"/>
      <c r="W76" s="118"/>
      <c r="X76" s="118"/>
      <c r="Y76" s="118"/>
      <c r="Z76" s="119"/>
      <c r="AA76" s="113"/>
      <c r="AB76" s="114"/>
      <c r="AC76" s="114"/>
      <c r="AD76" s="103"/>
    </row>
  </sheetData>
  <mergeCells count="106">
    <mergeCell ref="A73:Q76"/>
    <mergeCell ref="R73:T76"/>
    <mergeCell ref="V74:Y75"/>
    <mergeCell ref="U67:Z67"/>
    <mergeCell ref="A68:Q68"/>
    <mergeCell ref="R68:T68"/>
    <mergeCell ref="U68:Z68"/>
    <mergeCell ref="A69:Q71"/>
    <mergeCell ref="R69:T72"/>
    <mergeCell ref="U69:Z72"/>
    <mergeCell ref="U63:V63"/>
    <mergeCell ref="W63:X63"/>
    <mergeCell ref="Y63:Z63"/>
    <mergeCell ref="AD63:AD64"/>
    <mergeCell ref="AE63:AE64"/>
    <mergeCell ref="B64:D64"/>
    <mergeCell ref="U64:V64"/>
    <mergeCell ref="W64:X64"/>
    <mergeCell ref="Y64:Z64"/>
    <mergeCell ref="B61:D61"/>
    <mergeCell ref="U61:V61"/>
    <mergeCell ref="W61:X61"/>
    <mergeCell ref="Y61:Z61"/>
    <mergeCell ref="AB61:AC61"/>
    <mergeCell ref="B62:D62"/>
    <mergeCell ref="U62:V62"/>
    <mergeCell ref="W62:X62"/>
    <mergeCell ref="Y62:Z62"/>
    <mergeCell ref="AB62:AC62"/>
    <mergeCell ref="B60:D60"/>
    <mergeCell ref="C56:D56"/>
    <mergeCell ref="U56:V56"/>
    <mergeCell ref="W56:X56"/>
    <mergeCell ref="Y56:Z56"/>
    <mergeCell ref="AB56:AC56"/>
    <mergeCell ref="C57:D57"/>
    <mergeCell ref="U57:V57"/>
    <mergeCell ref="W57:X57"/>
    <mergeCell ref="Y57:Z57"/>
    <mergeCell ref="AB57:AC57"/>
    <mergeCell ref="C54:D54"/>
    <mergeCell ref="C55:D55"/>
    <mergeCell ref="U55:V55"/>
    <mergeCell ref="W55:X55"/>
    <mergeCell ref="Y55:Z55"/>
    <mergeCell ref="AB55:AC55"/>
    <mergeCell ref="C58:D58"/>
    <mergeCell ref="U58:V58"/>
    <mergeCell ref="W58:X58"/>
    <mergeCell ref="Y58:Z58"/>
    <mergeCell ref="AB58:AC58"/>
    <mergeCell ref="AD51:AD52"/>
    <mergeCell ref="AE51:AE52"/>
    <mergeCell ref="AF51:AF52"/>
    <mergeCell ref="AG51:AG52"/>
    <mergeCell ref="E53:T53"/>
    <mergeCell ref="U53:V54"/>
    <mergeCell ref="W53:X54"/>
    <mergeCell ref="Y53:Z54"/>
    <mergeCell ref="AB53:AC54"/>
    <mergeCell ref="AD53:AD54"/>
    <mergeCell ref="AE53:AE54"/>
    <mergeCell ref="AF53:AF54"/>
    <mergeCell ref="AG53:AG54"/>
    <mergeCell ref="AE15:AJ15"/>
    <mergeCell ref="AE16:AJ16"/>
    <mergeCell ref="B19:H19"/>
    <mergeCell ref="I19:Y19"/>
    <mergeCell ref="B20:H20"/>
    <mergeCell ref="I20:Y20"/>
    <mergeCell ref="AE13:AJ13"/>
    <mergeCell ref="B14:F14"/>
    <mergeCell ref="G14:L14"/>
    <mergeCell ref="M14:R14"/>
    <mergeCell ref="S14:Y14"/>
    <mergeCell ref="AE14:AJ14"/>
    <mergeCell ref="B12:F12"/>
    <mergeCell ref="G12:L12"/>
    <mergeCell ref="M12:R12"/>
    <mergeCell ref="S12:Y12"/>
    <mergeCell ref="G13:L13"/>
    <mergeCell ref="M13:R13"/>
    <mergeCell ref="S13:Y13"/>
    <mergeCell ref="AE10:AI10"/>
    <mergeCell ref="B11:F11"/>
    <mergeCell ref="G11:L11"/>
    <mergeCell ref="M11:R11"/>
    <mergeCell ref="S11:Y11"/>
    <mergeCell ref="AE11:AI11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49DFE-A3E9-41A8-AC8E-374D6E3E7BEA}">
  <sheetPr>
    <pageSetUpPr fitToPage="1"/>
  </sheetPr>
  <dimension ref="A1:AN76"/>
  <sheetViews>
    <sheetView zoomScaleNormal="100" workbookViewId="0">
      <selection activeCell="W56" sqref="W56:X56"/>
    </sheetView>
  </sheetViews>
  <sheetFormatPr baseColWidth="10" defaultColWidth="11.44140625" defaultRowHeight="12.75" customHeight="1" x14ac:dyDescent="0.25"/>
  <cols>
    <col min="1" max="2" width="5.109375" style="28" customWidth="1"/>
    <col min="3" max="27" width="5.109375" style="2" customWidth="1"/>
    <col min="28" max="41" width="11.44140625" style="2" customWidth="1"/>
    <col min="42" max="16384" width="11.44140625" style="2"/>
  </cols>
  <sheetData>
    <row r="1" spans="1:36" ht="12.75" customHeight="1" x14ac:dyDescent="0.25">
      <c r="A1" s="430"/>
      <c r="B1" s="431"/>
      <c r="C1" s="431"/>
      <c r="D1" s="431"/>
      <c r="E1" s="431"/>
      <c r="F1" s="432"/>
      <c r="G1" s="439" t="s">
        <v>0</v>
      </c>
      <c r="H1" s="440"/>
      <c r="I1" s="440"/>
      <c r="J1" s="440"/>
      <c r="K1" s="440"/>
      <c r="L1" s="440"/>
      <c r="M1" s="440"/>
      <c r="N1" s="440"/>
      <c r="O1" s="440"/>
      <c r="P1" s="440"/>
      <c r="Q1" s="440"/>
      <c r="R1" s="440"/>
      <c r="S1" s="440"/>
      <c r="T1" s="441"/>
      <c r="U1" s="405" t="s">
        <v>59</v>
      </c>
      <c r="V1" s="406"/>
      <c r="W1" s="406"/>
      <c r="X1" s="406"/>
      <c r="Y1" s="406"/>
      <c r="Z1" s="407"/>
      <c r="AA1" s="1"/>
    </row>
    <row r="2" spans="1:36" ht="12.75" customHeight="1" x14ac:dyDescent="0.25">
      <c r="A2" s="433"/>
      <c r="B2" s="434"/>
      <c r="C2" s="434"/>
      <c r="D2" s="434"/>
      <c r="E2" s="434"/>
      <c r="F2" s="435"/>
      <c r="G2" s="442" t="s">
        <v>1</v>
      </c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4"/>
      <c r="U2" s="408"/>
      <c r="V2" s="409"/>
      <c r="W2" s="409"/>
      <c r="X2" s="409"/>
      <c r="Y2" s="409"/>
      <c r="Z2" s="410"/>
      <c r="AA2" s="1"/>
    </row>
    <row r="3" spans="1:36" ht="12.75" customHeight="1" x14ac:dyDescent="0.25">
      <c r="A3" s="433"/>
      <c r="B3" s="434"/>
      <c r="C3" s="434"/>
      <c r="D3" s="434"/>
      <c r="E3" s="434"/>
      <c r="F3" s="435"/>
      <c r="G3" s="445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4"/>
      <c r="U3" s="408"/>
      <c r="V3" s="409"/>
      <c r="W3" s="409"/>
      <c r="X3" s="409"/>
      <c r="Y3" s="409"/>
      <c r="Z3" s="410"/>
      <c r="AA3" s="1"/>
    </row>
    <row r="4" spans="1:36" ht="12.75" customHeight="1" x14ac:dyDescent="0.25">
      <c r="A4" s="433"/>
      <c r="B4" s="434"/>
      <c r="C4" s="434"/>
      <c r="D4" s="434"/>
      <c r="E4" s="434"/>
      <c r="F4" s="435"/>
      <c r="G4" s="445"/>
      <c r="H4" s="443"/>
      <c r="I4" s="443"/>
      <c r="J4" s="443"/>
      <c r="K4" s="443"/>
      <c r="L4" s="443"/>
      <c r="M4" s="443"/>
      <c r="N4" s="443"/>
      <c r="O4" s="443"/>
      <c r="P4" s="443"/>
      <c r="Q4" s="443"/>
      <c r="R4" s="443"/>
      <c r="S4" s="443"/>
      <c r="T4" s="444"/>
      <c r="U4" s="408"/>
      <c r="V4" s="409"/>
      <c r="W4" s="409"/>
      <c r="X4" s="409"/>
      <c r="Y4" s="409"/>
      <c r="Z4" s="410"/>
      <c r="AA4" s="1"/>
    </row>
    <row r="5" spans="1:36" ht="12.75" customHeight="1" x14ac:dyDescent="0.25">
      <c r="A5" s="433"/>
      <c r="B5" s="434"/>
      <c r="C5" s="434"/>
      <c r="D5" s="434"/>
      <c r="E5" s="434"/>
      <c r="F5" s="435"/>
      <c r="G5" s="445" t="s">
        <v>2</v>
      </c>
      <c r="H5" s="443"/>
      <c r="I5" s="3" t="s">
        <v>3</v>
      </c>
      <c r="J5" s="446">
        <v>13</v>
      </c>
      <c r="K5" s="447"/>
      <c r="L5" s="448" t="s">
        <v>60</v>
      </c>
      <c r="M5" s="446"/>
      <c r="N5" s="446"/>
      <c r="O5" s="447"/>
      <c r="P5" s="449">
        <v>45945</v>
      </c>
      <c r="Q5" s="450"/>
      <c r="R5" s="450"/>
      <c r="S5" s="450"/>
      <c r="T5" s="451"/>
      <c r="U5" s="408"/>
      <c r="V5" s="409"/>
      <c r="W5" s="409"/>
      <c r="X5" s="409"/>
      <c r="Y5" s="409"/>
      <c r="Z5" s="410"/>
      <c r="AA5" s="1"/>
    </row>
    <row r="6" spans="1:36" ht="12.75" customHeight="1" x14ac:dyDescent="0.25">
      <c r="A6" s="436"/>
      <c r="B6" s="437"/>
      <c r="C6" s="437"/>
      <c r="D6" s="437"/>
      <c r="E6" s="437"/>
      <c r="F6" s="438"/>
      <c r="G6" s="4"/>
      <c r="H6" s="5"/>
      <c r="I6" s="5"/>
      <c r="J6" s="423" t="s">
        <v>4</v>
      </c>
      <c r="K6" s="423"/>
      <c r="L6" s="423" t="s">
        <v>5</v>
      </c>
      <c r="M6" s="423"/>
      <c r="N6" s="423"/>
      <c r="O6" s="423"/>
      <c r="P6" s="423" t="s">
        <v>6</v>
      </c>
      <c r="Q6" s="423"/>
      <c r="R6" s="423"/>
      <c r="S6" s="423"/>
      <c r="T6" s="424"/>
      <c r="U6" s="411"/>
      <c r="V6" s="412"/>
      <c r="W6" s="412"/>
      <c r="X6" s="412"/>
      <c r="Y6" s="412"/>
      <c r="Z6" s="413"/>
      <c r="AA6" s="1"/>
    </row>
    <row r="7" spans="1:36" ht="37.5" customHeight="1" x14ac:dyDescent="0.25">
      <c r="A7" s="425" t="s">
        <v>7</v>
      </c>
      <c r="B7" s="425"/>
      <c r="C7" s="425"/>
      <c r="D7" s="425"/>
      <c r="E7" s="425"/>
      <c r="F7" s="425"/>
      <c r="G7" s="426" t="s">
        <v>8</v>
      </c>
      <c r="H7" s="426"/>
      <c r="I7" s="426"/>
      <c r="J7" s="426"/>
      <c r="K7" s="426"/>
      <c r="L7" s="426"/>
      <c r="M7" s="426"/>
      <c r="N7" s="426"/>
      <c r="O7" s="426"/>
      <c r="P7" s="426"/>
      <c r="Q7" s="426"/>
      <c r="R7" s="426"/>
      <c r="S7" s="426"/>
      <c r="T7" s="426"/>
      <c r="U7" s="426"/>
      <c r="V7" s="426"/>
      <c r="W7" s="426"/>
      <c r="X7" s="426"/>
      <c r="Y7" s="426"/>
      <c r="Z7" s="426"/>
      <c r="AA7" s="6"/>
      <c r="AE7" s="7"/>
      <c r="AI7" s="7"/>
    </row>
    <row r="8" spans="1:36" ht="15.9" customHeight="1" x14ac:dyDescent="0.25">
      <c r="A8" s="8" t="s">
        <v>9</v>
      </c>
      <c r="B8" s="9" t="s">
        <v>10</v>
      </c>
      <c r="C8" s="10"/>
      <c r="D8" s="11"/>
      <c r="E8" s="11"/>
      <c r="F8" s="11"/>
      <c r="G8" s="11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2"/>
      <c r="AA8" s="13"/>
      <c r="AB8" s="14"/>
      <c r="AC8" s="14"/>
      <c r="AD8" s="14"/>
      <c r="AE8" s="7"/>
      <c r="AF8" s="14"/>
      <c r="AI8" s="7"/>
    </row>
    <row r="9" spans="1:36" ht="15.9" customHeight="1" x14ac:dyDescent="0.25">
      <c r="A9" s="15"/>
      <c r="B9" s="13"/>
      <c r="C9" s="13"/>
      <c r="D9" s="16"/>
      <c r="E9" s="16"/>
      <c r="F9" s="16"/>
      <c r="G9" s="16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7"/>
      <c r="AA9" s="13"/>
      <c r="AB9" s="14"/>
      <c r="AC9" s="14"/>
      <c r="AD9" s="14"/>
      <c r="AE9" s="7"/>
      <c r="AF9" s="14"/>
      <c r="AI9" s="7"/>
    </row>
    <row r="10" spans="1:36" ht="15.9" customHeight="1" x14ac:dyDescent="0.25">
      <c r="A10" s="15"/>
      <c r="B10" s="385" t="s">
        <v>11</v>
      </c>
      <c r="C10" s="385"/>
      <c r="D10" s="385"/>
      <c r="E10" s="385"/>
      <c r="F10" s="385"/>
      <c r="G10" s="427" t="s">
        <v>55</v>
      </c>
      <c r="H10" s="427"/>
      <c r="I10" s="427"/>
      <c r="J10" s="427"/>
      <c r="K10" s="427"/>
      <c r="L10" s="427"/>
      <c r="M10" s="428" t="s">
        <v>12</v>
      </c>
      <c r="N10" s="428"/>
      <c r="O10" s="428"/>
      <c r="P10" s="428"/>
      <c r="Q10" s="428"/>
      <c r="R10" s="428"/>
      <c r="S10" s="429" t="s">
        <v>93</v>
      </c>
      <c r="T10" s="429"/>
      <c r="U10" s="429"/>
      <c r="V10" s="429"/>
      <c r="W10" s="429"/>
      <c r="X10" s="429"/>
      <c r="Y10" s="429"/>
      <c r="Z10" s="18"/>
      <c r="AA10" s="19"/>
      <c r="AB10" s="14"/>
      <c r="AC10" s="14"/>
      <c r="AD10" s="14"/>
      <c r="AE10" s="385"/>
      <c r="AF10" s="385"/>
      <c r="AG10" s="385"/>
      <c r="AH10" s="385"/>
      <c r="AI10" s="385"/>
    </row>
    <row r="11" spans="1:36" ht="15.9" customHeight="1" x14ac:dyDescent="0.25">
      <c r="A11" s="15"/>
      <c r="B11" s="385" t="s">
        <v>14</v>
      </c>
      <c r="C11" s="385"/>
      <c r="D11" s="385"/>
      <c r="E11" s="385"/>
      <c r="F11" s="385"/>
      <c r="G11" s="427">
        <v>45945</v>
      </c>
      <c r="H11" s="427"/>
      <c r="I11" s="427"/>
      <c r="J11" s="427"/>
      <c r="K11" s="427"/>
      <c r="L11" s="427"/>
      <c r="M11" s="428" t="s">
        <v>15</v>
      </c>
      <c r="N11" s="428"/>
      <c r="O11" s="428"/>
      <c r="P11" s="428"/>
      <c r="Q11" s="428"/>
      <c r="R11" s="428"/>
      <c r="S11" s="429" t="s">
        <v>103</v>
      </c>
      <c r="T11" s="429"/>
      <c r="U11" s="429"/>
      <c r="V11" s="429"/>
      <c r="W11" s="429"/>
      <c r="X11" s="429"/>
      <c r="Y11" s="429"/>
      <c r="Z11" s="18"/>
      <c r="AA11" s="19"/>
      <c r="AB11" s="14"/>
      <c r="AC11" s="14"/>
      <c r="AD11" s="14"/>
      <c r="AE11" s="385"/>
      <c r="AF11" s="385"/>
      <c r="AG11" s="385"/>
      <c r="AH11" s="385"/>
      <c r="AI11" s="385"/>
    </row>
    <row r="12" spans="1:36" ht="15.9" customHeight="1" x14ac:dyDescent="0.25">
      <c r="A12" s="15"/>
      <c r="B12" s="385" t="s">
        <v>16</v>
      </c>
      <c r="C12" s="385"/>
      <c r="D12" s="385"/>
      <c r="E12" s="385"/>
      <c r="F12" s="385"/>
      <c r="G12" s="427" t="s">
        <v>102</v>
      </c>
      <c r="H12" s="427"/>
      <c r="I12" s="427"/>
      <c r="J12" s="427"/>
      <c r="K12" s="427"/>
      <c r="L12" s="427"/>
      <c r="M12" s="452" t="s">
        <v>17</v>
      </c>
      <c r="N12" s="452"/>
      <c r="O12" s="452"/>
      <c r="P12" s="452"/>
      <c r="Q12" s="452"/>
      <c r="R12" s="452"/>
      <c r="S12" s="429">
        <v>160</v>
      </c>
      <c r="T12" s="429"/>
      <c r="U12" s="429"/>
      <c r="V12" s="429"/>
      <c r="W12" s="429"/>
      <c r="X12" s="429"/>
      <c r="Y12" s="429"/>
      <c r="Z12" s="18"/>
      <c r="AA12" s="19"/>
      <c r="AB12" s="14"/>
      <c r="AC12" s="14"/>
      <c r="AD12" s="14"/>
      <c r="AE12" s="7"/>
      <c r="AF12" s="14"/>
      <c r="AI12" s="7"/>
    </row>
    <row r="13" spans="1:36" ht="15.9" customHeight="1" x14ac:dyDescent="0.25">
      <c r="A13" s="15"/>
      <c r="B13" s="20" t="s">
        <v>18</v>
      </c>
      <c r="C13" s="20"/>
      <c r="D13" s="20"/>
      <c r="E13" s="20"/>
      <c r="F13" s="20"/>
      <c r="G13" s="427" t="s">
        <v>94</v>
      </c>
      <c r="H13" s="427"/>
      <c r="I13" s="427"/>
      <c r="J13" s="427"/>
      <c r="K13" s="427"/>
      <c r="L13" s="427"/>
      <c r="M13" s="428" t="s">
        <v>19</v>
      </c>
      <c r="N13" s="428"/>
      <c r="O13" s="428"/>
      <c r="P13" s="428"/>
      <c r="Q13" s="428"/>
      <c r="R13" s="428"/>
      <c r="S13" s="427" t="s">
        <v>56</v>
      </c>
      <c r="T13" s="427"/>
      <c r="U13" s="427"/>
      <c r="V13" s="427"/>
      <c r="W13" s="427"/>
      <c r="X13" s="427"/>
      <c r="Y13" s="427"/>
      <c r="Z13" s="18"/>
      <c r="AA13" s="19"/>
      <c r="AB13" s="14"/>
      <c r="AC13" s="14"/>
      <c r="AD13" s="14"/>
      <c r="AE13" s="385"/>
      <c r="AF13" s="385"/>
      <c r="AG13" s="385"/>
      <c r="AH13" s="385"/>
      <c r="AI13" s="385"/>
      <c r="AJ13" s="385"/>
    </row>
    <row r="14" spans="1:36" ht="15.9" customHeight="1" x14ac:dyDescent="0.25">
      <c r="A14" s="21"/>
      <c r="B14" s="385" t="s">
        <v>20</v>
      </c>
      <c r="C14" s="385"/>
      <c r="D14" s="385"/>
      <c r="E14" s="385"/>
      <c r="F14" s="385"/>
      <c r="G14" s="427" t="s">
        <v>95</v>
      </c>
      <c r="H14" s="427"/>
      <c r="I14" s="427"/>
      <c r="J14" s="427"/>
      <c r="K14" s="427"/>
      <c r="L14" s="427"/>
      <c r="M14" s="429" t="s">
        <v>21</v>
      </c>
      <c r="N14" s="429"/>
      <c r="O14" s="429"/>
      <c r="P14" s="429"/>
      <c r="Q14" s="429"/>
      <c r="R14" s="429"/>
      <c r="S14" s="429" t="s">
        <v>22</v>
      </c>
      <c r="T14" s="429"/>
      <c r="U14" s="429"/>
      <c r="V14" s="429"/>
      <c r="W14" s="429"/>
      <c r="X14" s="429"/>
      <c r="Y14" s="429"/>
      <c r="Z14" s="22"/>
      <c r="AA14" s="14"/>
      <c r="AB14" s="14"/>
      <c r="AC14" s="14"/>
      <c r="AD14" s="14"/>
      <c r="AE14" s="385"/>
      <c r="AF14" s="385"/>
      <c r="AG14" s="385"/>
      <c r="AH14" s="385"/>
      <c r="AI14" s="385"/>
      <c r="AJ14" s="385"/>
    </row>
    <row r="15" spans="1:36" ht="6" customHeight="1" x14ac:dyDescent="0.25">
      <c r="A15" s="23"/>
      <c r="B15" s="24"/>
      <c r="C15" s="25"/>
      <c r="D15" s="25"/>
      <c r="E15" s="25"/>
      <c r="F15" s="24"/>
      <c r="G15" s="24"/>
      <c r="H15" s="24"/>
      <c r="I15" s="24"/>
      <c r="J15" s="24"/>
      <c r="K15" s="24"/>
      <c r="L15" s="24"/>
      <c r="M15" s="24"/>
      <c r="N15" s="25"/>
      <c r="O15" s="25"/>
      <c r="P15" s="25"/>
      <c r="Q15" s="25"/>
      <c r="R15" s="25"/>
      <c r="S15" s="25"/>
      <c r="T15" s="26"/>
      <c r="U15" s="26"/>
      <c r="V15" s="25"/>
      <c r="W15" s="25"/>
      <c r="X15" s="25"/>
      <c r="Y15" s="25"/>
      <c r="Z15" s="27"/>
      <c r="AE15" s="385"/>
      <c r="AF15" s="385"/>
      <c r="AG15" s="385"/>
      <c r="AH15" s="385"/>
      <c r="AI15" s="385"/>
      <c r="AJ15" s="385"/>
    </row>
    <row r="16" spans="1:36" ht="6" customHeight="1" x14ac:dyDescent="0.25">
      <c r="F16" s="28"/>
      <c r="G16" s="28"/>
      <c r="H16" s="28"/>
      <c r="I16" s="28"/>
      <c r="J16" s="28"/>
      <c r="K16" s="28"/>
      <c r="L16" s="28"/>
      <c r="M16" s="28"/>
      <c r="T16" s="29"/>
      <c r="U16" s="29"/>
      <c r="AE16" s="385"/>
      <c r="AF16" s="385"/>
      <c r="AG16" s="385"/>
      <c r="AH16" s="385"/>
      <c r="AI16" s="385"/>
      <c r="AJ16" s="385"/>
    </row>
    <row r="17" spans="1:40" ht="15.9" customHeight="1" x14ac:dyDescent="0.25">
      <c r="A17" s="8" t="s">
        <v>23</v>
      </c>
      <c r="B17" s="9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2"/>
      <c r="AA17" s="13"/>
      <c r="AE17" s="30"/>
      <c r="AI17" s="30"/>
    </row>
    <row r="18" spans="1:40" ht="8.25" customHeight="1" x14ac:dyDescent="0.25">
      <c r="A18" s="15"/>
      <c r="B18" s="31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7"/>
      <c r="AA18" s="13"/>
      <c r="AE18" s="30"/>
      <c r="AI18" s="30"/>
    </row>
    <row r="19" spans="1:40" ht="15.9" customHeight="1" x14ac:dyDescent="0.25">
      <c r="A19" s="15"/>
      <c r="B19" s="385" t="s">
        <v>25</v>
      </c>
      <c r="C19" s="385"/>
      <c r="D19" s="385"/>
      <c r="E19" s="385"/>
      <c r="F19" s="385"/>
      <c r="G19" s="385"/>
      <c r="H19" s="385"/>
      <c r="I19" s="453"/>
      <c r="J19" s="453"/>
      <c r="K19" s="453"/>
      <c r="L19" s="453"/>
      <c r="M19" s="453"/>
      <c r="N19" s="453"/>
      <c r="O19" s="453"/>
      <c r="P19" s="453"/>
      <c r="Q19" s="453"/>
      <c r="R19" s="453"/>
      <c r="S19" s="453"/>
      <c r="T19" s="453"/>
      <c r="U19" s="453"/>
      <c r="V19" s="453"/>
      <c r="W19" s="453"/>
      <c r="X19" s="453"/>
      <c r="Y19" s="453"/>
      <c r="Z19" s="18"/>
      <c r="AA19" s="19"/>
      <c r="AE19" s="30"/>
      <c r="AI19" s="30"/>
    </row>
    <row r="20" spans="1:40" ht="15.9" customHeight="1" x14ac:dyDescent="0.25">
      <c r="A20" s="15"/>
      <c r="B20" s="385" t="s">
        <v>26</v>
      </c>
      <c r="C20" s="385"/>
      <c r="D20" s="385"/>
      <c r="E20" s="385"/>
      <c r="F20" s="385"/>
      <c r="G20" s="385"/>
      <c r="H20" s="385"/>
      <c r="I20" s="454"/>
      <c r="J20" s="454"/>
      <c r="K20" s="454"/>
      <c r="L20" s="454"/>
      <c r="M20" s="454"/>
      <c r="N20" s="454"/>
      <c r="O20" s="454"/>
      <c r="P20" s="454"/>
      <c r="Q20" s="454"/>
      <c r="R20" s="454"/>
      <c r="S20" s="454"/>
      <c r="T20" s="454"/>
      <c r="U20" s="454"/>
      <c r="V20" s="454"/>
      <c r="W20" s="454"/>
      <c r="X20" s="454"/>
      <c r="Y20" s="454"/>
      <c r="Z20" s="18"/>
      <c r="AA20" s="19"/>
      <c r="AE20" s="30"/>
      <c r="AI20" s="30"/>
    </row>
    <row r="21" spans="1:40" ht="7.5" customHeight="1" x14ac:dyDescent="0.2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32"/>
      <c r="AA21" s="13"/>
      <c r="AE21" s="30"/>
      <c r="AI21" s="30"/>
    </row>
    <row r="22" spans="1:40" ht="5.25" customHeight="1" x14ac:dyDescent="0.25">
      <c r="F22" s="28"/>
      <c r="G22" s="28"/>
      <c r="H22" s="28"/>
      <c r="I22" s="28"/>
      <c r="J22" s="28"/>
      <c r="K22" s="28"/>
      <c r="L22" s="28"/>
      <c r="M22" s="28"/>
      <c r="T22" s="29"/>
      <c r="U22" s="29"/>
      <c r="AE22" s="30"/>
      <c r="AI22" s="30"/>
      <c r="AM22" s="14"/>
      <c r="AN22" s="14"/>
    </row>
    <row r="23" spans="1:40" ht="15.9" customHeight="1" x14ac:dyDescent="0.25">
      <c r="A23" s="33" t="s">
        <v>23</v>
      </c>
      <c r="B23" s="34" t="s">
        <v>27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39"/>
      <c r="AN23" s="40"/>
    </row>
    <row r="24" spans="1:40" ht="9" customHeight="1" x14ac:dyDescent="0.25">
      <c r="A24" s="21"/>
      <c r="Z24" s="41"/>
    </row>
    <row r="25" spans="1:40" ht="9" customHeight="1" x14ac:dyDescent="0.25">
      <c r="A25" s="21"/>
      <c r="Z25" s="41"/>
    </row>
    <row r="26" spans="1:40" ht="9" customHeight="1" x14ac:dyDescent="0.25">
      <c r="A26" s="21"/>
      <c r="Z26" s="41"/>
    </row>
    <row r="27" spans="1:40" ht="12.75" customHeight="1" x14ac:dyDescent="0.25">
      <c r="A27" s="21"/>
      <c r="Z27" s="41"/>
    </row>
    <row r="28" spans="1:40" ht="12.75" customHeight="1" x14ac:dyDescent="0.25">
      <c r="A28" s="21"/>
      <c r="Z28" s="41"/>
    </row>
    <row r="29" spans="1:40" ht="12.75" customHeight="1" x14ac:dyDescent="0.25">
      <c r="A29" s="21"/>
      <c r="Z29" s="41"/>
    </row>
    <row r="30" spans="1:40" ht="12.75" customHeight="1" x14ac:dyDescent="0.25">
      <c r="A30" s="21"/>
      <c r="Z30" s="41"/>
    </row>
    <row r="31" spans="1:40" ht="12.75" customHeight="1" x14ac:dyDescent="0.25">
      <c r="A31" s="21"/>
      <c r="Z31" s="41"/>
    </row>
    <row r="32" spans="1:40" ht="12.75" customHeight="1" x14ac:dyDescent="0.25">
      <c r="A32" s="21"/>
      <c r="Z32" s="41"/>
    </row>
    <row r="33" spans="1:26" ht="12.75" customHeight="1" x14ac:dyDescent="0.25">
      <c r="A33" s="21"/>
      <c r="Z33" s="41"/>
    </row>
    <row r="34" spans="1:26" ht="12.75" customHeight="1" x14ac:dyDescent="0.25">
      <c r="A34" s="21"/>
      <c r="Z34" s="41"/>
    </row>
    <row r="35" spans="1:26" ht="12.75" customHeight="1" x14ac:dyDescent="0.25">
      <c r="A35" s="21"/>
      <c r="Z35" s="41"/>
    </row>
    <row r="36" spans="1:26" ht="12.75" customHeight="1" x14ac:dyDescent="0.25">
      <c r="A36" s="21"/>
      <c r="Z36" s="41"/>
    </row>
    <row r="37" spans="1:26" ht="12.75" customHeight="1" x14ac:dyDescent="0.25">
      <c r="A37" s="21"/>
      <c r="Z37" s="41"/>
    </row>
    <row r="38" spans="1:26" ht="12.75" customHeight="1" x14ac:dyDescent="0.25">
      <c r="A38" s="21"/>
      <c r="Z38" s="41"/>
    </row>
    <row r="39" spans="1:26" ht="12.75" customHeight="1" x14ac:dyDescent="0.25">
      <c r="A39" s="21"/>
      <c r="Z39" s="41"/>
    </row>
    <row r="40" spans="1:26" ht="12.75" customHeight="1" x14ac:dyDescent="0.25">
      <c r="A40" s="21"/>
      <c r="Z40" s="41"/>
    </row>
    <row r="41" spans="1:26" ht="12.75" customHeight="1" x14ac:dyDescent="0.25">
      <c r="A41" s="21"/>
      <c r="Z41" s="41"/>
    </row>
    <row r="42" spans="1:26" ht="12.75" customHeight="1" x14ac:dyDescent="0.25">
      <c r="A42" s="21"/>
      <c r="Z42" s="41"/>
    </row>
    <row r="43" spans="1:26" ht="12.75" customHeight="1" x14ac:dyDescent="0.25">
      <c r="A43" s="21"/>
      <c r="Z43" s="41"/>
    </row>
    <row r="44" spans="1:26" ht="12.75" customHeight="1" x14ac:dyDescent="0.25">
      <c r="A44" s="21"/>
      <c r="Z44" s="41"/>
    </row>
    <row r="45" spans="1:26" ht="12.75" customHeight="1" x14ac:dyDescent="0.25">
      <c r="A45" s="21"/>
      <c r="Z45" s="41"/>
    </row>
    <row r="46" spans="1:26" ht="12.75" customHeight="1" x14ac:dyDescent="0.25">
      <c r="A46" s="21"/>
      <c r="Z46" s="41"/>
    </row>
    <row r="47" spans="1:26" ht="12.75" customHeight="1" x14ac:dyDescent="0.25">
      <c r="A47" s="21"/>
      <c r="Z47" s="41"/>
    </row>
    <row r="48" spans="1:26" ht="12.75" customHeight="1" x14ac:dyDescent="0.25">
      <c r="A48" s="21"/>
      <c r="Z48" s="41"/>
    </row>
    <row r="49" spans="1:34" ht="12.75" customHeight="1" x14ac:dyDescent="0.25">
      <c r="A49" s="21"/>
      <c r="Z49" s="41"/>
    </row>
    <row r="50" spans="1:34" ht="9.75" customHeight="1" thickBot="1" x14ac:dyDescent="0.3">
      <c r="A50" s="21"/>
      <c r="Z50" s="41"/>
    </row>
    <row r="51" spans="1:34" ht="9.75" customHeight="1" x14ac:dyDescent="0.25">
      <c r="A51" s="21"/>
      <c r="Z51" s="41"/>
      <c r="AD51" s="378" t="s">
        <v>28</v>
      </c>
      <c r="AE51" s="380">
        <v>2.649</v>
      </c>
      <c r="AF51" s="455"/>
      <c r="AG51" s="457"/>
      <c r="AH51" s="42"/>
    </row>
    <row r="52" spans="1:34" ht="12.75" customHeight="1" thickBot="1" x14ac:dyDescent="0.3">
      <c r="A52" s="21"/>
      <c r="Z52" s="43"/>
      <c r="AD52" s="379"/>
      <c r="AE52" s="381"/>
      <c r="AF52" s="456"/>
      <c r="AG52" s="457"/>
    </row>
    <row r="53" spans="1:34" ht="18.75" customHeight="1" thickBot="1" x14ac:dyDescent="0.3">
      <c r="A53" s="21"/>
      <c r="E53" s="458" t="s">
        <v>29</v>
      </c>
      <c r="F53" s="459"/>
      <c r="G53" s="459"/>
      <c r="H53" s="459"/>
      <c r="I53" s="459"/>
      <c r="J53" s="459"/>
      <c r="K53" s="459"/>
      <c r="L53" s="459"/>
      <c r="M53" s="459"/>
      <c r="N53" s="459"/>
      <c r="O53" s="459"/>
      <c r="P53" s="459"/>
      <c r="Q53" s="459"/>
      <c r="R53" s="459"/>
      <c r="S53" s="459"/>
      <c r="T53" s="459"/>
      <c r="U53" s="460" t="s">
        <v>30</v>
      </c>
      <c r="V53" s="461"/>
      <c r="W53" s="464" t="s">
        <v>31</v>
      </c>
      <c r="X53" s="461"/>
      <c r="Y53" s="466" t="s">
        <v>32</v>
      </c>
      <c r="Z53" s="467"/>
      <c r="AA53" s="44"/>
      <c r="AB53" s="369" t="s">
        <v>33</v>
      </c>
      <c r="AC53" s="370"/>
      <c r="AD53" s="373" t="s">
        <v>34</v>
      </c>
      <c r="AE53" s="375" t="s">
        <v>35</v>
      </c>
      <c r="AF53" s="455"/>
      <c r="AG53" s="455"/>
      <c r="AH53" s="45"/>
    </row>
    <row r="54" spans="1:34" ht="24.9" customHeight="1" thickBot="1" x14ac:dyDescent="0.3">
      <c r="A54" s="46"/>
      <c r="B54" s="47" t="s">
        <v>36</v>
      </c>
      <c r="C54" s="471" t="s">
        <v>37</v>
      </c>
      <c r="D54" s="472"/>
      <c r="E54" s="48">
        <v>6.3E-2</v>
      </c>
      <c r="F54" s="48">
        <v>0.125</v>
      </c>
      <c r="G54" s="49">
        <v>0.25</v>
      </c>
      <c r="H54" s="49">
        <v>0.5</v>
      </c>
      <c r="I54" s="49">
        <v>1</v>
      </c>
      <c r="J54" s="49">
        <v>2</v>
      </c>
      <c r="K54" s="49">
        <v>4</v>
      </c>
      <c r="L54" s="49">
        <v>6.3</v>
      </c>
      <c r="M54" s="49">
        <v>8</v>
      </c>
      <c r="N54" s="49">
        <v>10</v>
      </c>
      <c r="O54" s="49">
        <v>12.5</v>
      </c>
      <c r="P54" s="49">
        <v>14</v>
      </c>
      <c r="Q54" s="50">
        <v>16</v>
      </c>
      <c r="R54" s="50">
        <v>20</v>
      </c>
      <c r="S54" s="49"/>
      <c r="T54" s="50"/>
      <c r="U54" s="462"/>
      <c r="V54" s="463"/>
      <c r="W54" s="465"/>
      <c r="X54" s="463"/>
      <c r="Y54" s="468"/>
      <c r="Z54" s="469"/>
      <c r="AA54" s="44"/>
      <c r="AB54" s="371"/>
      <c r="AC54" s="372"/>
      <c r="AD54" s="374"/>
      <c r="AE54" s="376"/>
      <c r="AF54" s="470"/>
      <c r="AG54" s="455"/>
    </row>
    <row r="55" spans="1:34" ht="24.9" customHeight="1" x14ac:dyDescent="0.25">
      <c r="A55" s="46"/>
      <c r="B55" s="51">
        <v>1</v>
      </c>
      <c r="C55" s="473" t="s">
        <v>104</v>
      </c>
      <c r="D55" s="474"/>
      <c r="E55" s="242">
        <v>7.7</v>
      </c>
      <c r="F55" s="243">
        <v>9.9</v>
      </c>
      <c r="G55" s="244">
        <v>13.1</v>
      </c>
      <c r="H55" s="244">
        <v>16.899999999999999</v>
      </c>
      <c r="I55" s="244">
        <v>22.1</v>
      </c>
      <c r="J55" s="244">
        <v>31.5</v>
      </c>
      <c r="K55" s="244">
        <v>44.2</v>
      </c>
      <c r="L55" s="244">
        <v>53.3</v>
      </c>
      <c r="M55" s="244">
        <v>64.2</v>
      </c>
      <c r="N55" s="244">
        <v>76.8</v>
      </c>
      <c r="O55" s="244">
        <v>89.6</v>
      </c>
      <c r="P55" s="244">
        <v>95.4</v>
      </c>
      <c r="Q55" s="244">
        <v>100</v>
      </c>
      <c r="R55" s="244"/>
      <c r="S55" s="245"/>
      <c r="T55" s="245"/>
      <c r="U55" s="475">
        <v>168</v>
      </c>
      <c r="V55" s="476"/>
      <c r="W55" s="477">
        <v>4.43</v>
      </c>
      <c r="X55" s="478"/>
      <c r="Y55" s="479">
        <f>IF(W55&lt;&gt;0,AE55,"")</f>
        <v>2.7197885068938712</v>
      </c>
      <c r="Z55" s="480"/>
      <c r="AA55" s="52"/>
      <c r="AB55" s="326">
        <f>(100*W55)/(100-W55)</f>
        <v>4.6353458198179345</v>
      </c>
      <c r="AC55" s="327"/>
      <c r="AD55" s="53">
        <f>(0.25*(100-O55)+2.3*(O55-H55)+12*(H55-E55)+150*(E55))/100</f>
        <v>14.3521</v>
      </c>
      <c r="AE55" s="54">
        <f>(AB55*$AE$51)/(2.65*(AD55)^(1/5))</f>
        <v>2.7197885068938712</v>
      </c>
      <c r="AF55" s="28"/>
      <c r="AG55" s="55"/>
    </row>
    <row r="56" spans="1:34" ht="24.9" customHeight="1" x14ac:dyDescent="0.25">
      <c r="A56" s="46"/>
      <c r="B56" s="56">
        <v>2</v>
      </c>
      <c r="C56" s="492" t="s">
        <v>105</v>
      </c>
      <c r="D56" s="493"/>
      <c r="E56" s="242">
        <v>7</v>
      </c>
      <c r="F56" s="243">
        <v>9</v>
      </c>
      <c r="G56" s="244">
        <v>11.6</v>
      </c>
      <c r="H56" s="244">
        <v>14.6</v>
      </c>
      <c r="I56" s="244">
        <v>18.8</v>
      </c>
      <c r="J56" s="244">
        <v>25</v>
      </c>
      <c r="K56" s="244">
        <v>34</v>
      </c>
      <c r="L56" s="244">
        <v>41.8</v>
      </c>
      <c r="M56" s="244">
        <v>52.9</v>
      </c>
      <c r="N56" s="244">
        <v>66.099999999999994</v>
      </c>
      <c r="O56" s="244">
        <v>85.5</v>
      </c>
      <c r="P56" s="244">
        <v>91</v>
      </c>
      <c r="Q56" s="244">
        <v>100</v>
      </c>
      <c r="R56" s="244"/>
      <c r="S56" s="245"/>
      <c r="T56" s="245"/>
      <c r="U56" s="494">
        <v>165</v>
      </c>
      <c r="V56" s="495"/>
      <c r="W56" s="496">
        <v>3.82</v>
      </c>
      <c r="X56" s="497"/>
      <c r="Y56" s="498">
        <f>IF(W56&lt;&gt;0,AE56,"")</f>
        <v>2.3741059619278451</v>
      </c>
      <c r="Z56" s="499"/>
      <c r="AA56" s="52"/>
      <c r="AB56" s="326">
        <f>(100*W56)/(100-W56)</f>
        <v>3.9717196922437092</v>
      </c>
      <c r="AC56" s="327"/>
      <c r="AD56" s="53">
        <f t="shared" ref="AD56:AD62" si="0">(0.25*(100-O56)+2.3*(O56-H56)+12*(H56-E56)+150*(E56))/100</f>
        <v>13.078949999999999</v>
      </c>
      <c r="AE56" s="54">
        <f t="shared" ref="AE56:AE62" si="1">(AB56*$AE$51)/(2.65*(AD56)^(1/5))</f>
        <v>2.3741059619278451</v>
      </c>
      <c r="AF56" s="28"/>
      <c r="AG56" s="55"/>
    </row>
    <row r="57" spans="1:34" ht="24.9" customHeight="1" x14ac:dyDescent="0.25">
      <c r="A57" s="46"/>
      <c r="B57" s="56">
        <v>3</v>
      </c>
      <c r="C57" s="500"/>
      <c r="D57" s="501"/>
      <c r="E57" s="57"/>
      <c r="F57" s="58"/>
      <c r="G57" s="58"/>
      <c r="H57" s="59"/>
      <c r="I57" s="59"/>
      <c r="J57" s="59"/>
      <c r="K57" s="59"/>
      <c r="L57" s="59"/>
      <c r="M57" s="59"/>
      <c r="N57" s="59"/>
      <c r="O57" s="60"/>
      <c r="P57" s="59"/>
      <c r="Q57" s="60"/>
      <c r="R57" s="59"/>
      <c r="S57" s="59"/>
      <c r="T57" s="61"/>
      <c r="U57" s="502"/>
      <c r="V57" s="503"/>
      <c r="W57" s="504"/>
      <c r="X57" s="505"/>
      <c r="Y57" s="498" t="str">
        <f t="shared" ref="Y57:Y58" si="2">IF(W57&lt;&gt;0,AE57,"")</f>
        <v/>
      </c>
      <c r="Z57" s="499"/>
      <c r="AA57" s="52"/>
      <c r="AB57" s="326">
        <f>(100*W57)/(100-W57)</f>
        <v>0</v>
      </c>
      <c r="AC57" s="327"/>
      <c r="AD57" s="53">
        <f t="shared" si="0"/>
        <v>0.25</v>
      </c>
      <c r="AE57" s="54">
        <f t="shared" si="1"/>
        <v>0</v>
      </c>
      <c r="AF57" s="28"/>
      <c r="AG57" s="55"/>
    </row>
    <row r="58" spans="1:34" ht="24.9" customHeight="1" thickBot="1" x14ac:dyDescent="0.3">
      <c r="A58" s="46"/>
      <c r="B58" s="62">
        <v>4</v>
      </c>
      <c r="C58" s="481"/>
      <c r="D58" s="482"/>
      <c r="E58" s="63"/>
      <c r="F58" s="64"/>
      <c r="G58" s="64"/>
      <c r="H58" s="65"/>
      <c r="I58" s="65"/>
      <c r="J58" s="65"/>
      <c r="K58" s="65"/>
      <c r="L58" s="65"/>
      <c r="M58" s="65"/>
      <c r="N58" s="65"/>
      <c r="O58" s="66"/>
      <c r="P58" s="65"/>
      <c r="Q58" s="66"/>
      <c r="R58" s="65"/>
      <c r="S58" s="65"/>
      <c r="T58" s="67"/>
      <c r="U58" s="483"/>
      <c r="V58" s="484"/>
      <c r="W58" s="485"/>
      <c r="X58" s="486"/>
      <c r="Y58" s="487" t="str">
        <f t="shared" si="2"/>
        <v/>
      </c>
      <c r="Z58" s="488"/>
      <c r="AA58" s="52"/>
      <c r="AB58" s="326">
        <f>(100*W58)/(100-W58)</f>
        <v>0</v>
      </c>
      <c r="AC58" s="327"/>
      <c r="AD58" s="53">
        <f t="shared" si="0"/>
        <v>0.25</v>
      </c>
      <c r="AE58" s="54">
        <f t="shared" si="1"/>
        <v>0</v>
      </c>
      <c r="AF58" s="28"/>
      <c r="AG58" s="55"/>
    </row>
    <row r="59" spans="1:34" ht="10.5" customHeight="1" thickBot="1" x14ac:dyDescent="0.3">
      <c r="A59" s="46"/>
      <c r="B59" s="2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9"/>
      <c r="P59" s="68"/>
      <c r="Q59" s="69"/>
      <c r="R59" s="68"/>
      <c r="S59" s="68"/>
      <c r="T59" s="68"/>
      <c r="U59" s="68"/>
      <c r="V59" s="68"/>
      <c r="W59" s="70"/>
      <c r="Z59" s="71"/>
      <c r="AB59" s="72"/>
      <c r="AC59" s="73"/>
      <c r="AD59" s="53"/>
      <c r="AE59" s="54"/>
      <c r="AF59" s="28"/>
      <c r="AG59" s="55"/>
    </row>
    <row r="60" spans="1:34" ht="24.75" hidden="1" customHeight="1" x14ac:dyDescent="0.25">
      <c r="A60" s="46"/>
      <c r="B60" s="489" t="s">
        <v>38</v>
      </c>
      <c r="C60" s="490"/>
      <c r="D60" s="491"/>
      <c r="E60" s="74"/>
      <c r="F60" s="74"/>
      <c r="G60" s="74"/>
      <c r="H60" s="74"/>
      <c r="I60" s="74"/>
      <c r="J60" s="74"/>
      <c r="K60" s="74"/>
      <c r="L60" s="74"/>
      <c r="M60" s="74">
        <v>10</v>
      </c>
      <c r="N60" s="74">
        <v>10</v>
      </c>
      <c r="O60" s="75"/>
      <c r="P60" s="74"/>
      <c r="Q60" s="75">
        <v>50</v>
      </c>
      <c r="R60" s="74"/>
      <c r="S60" s="74">
        <v>70</v>
      </c>
      <c r="T60" s="74"/>
      <c r="U60" s="74"/>
      <c r="V60" s="74"/>
      <c r="W60" s="74"/>
      <c r="X60" s="76"/>
      <c r="Y60" s="77">
        <v>4.5</v>
      </c>
      <c r="Z60" s="77"/>
      <c r="AA60" s="28"/>
      <c r="AB60" s="72"/>
      <c r="AC60" s="73"/>
      <c r="AD60" s="53">
        <f t="shared" si="0"/>
        <v>0.25</v>
      </c>
      <c r="AE60" s="54">
        <f t="shared" si="1"/>
        <v>0</v>
      </c>
      <c r="AF60" s="28"/>
      <c r="AG60" s="55"/>
    </row>
    <row r="61" spans="1:34" ht="18.75" customHeight="1" x14ac:dyDescent="0.25">
      <c r="A61" s="46"/>
      <c r="B61" s="506" t="s">
        <v>39</v>
      </c>
      <c r="C61" s="507"/>
      <c r="D61" s="508"/>
      <c r="E61" s="78">
        <f>IF(E55&lt;&gt;0,AVERAGE(E55:E58),"")</f>
        <v>7.35</v>
      </c>
      <c r="F61" s="78">
        <f t="shared" ref="F61:L61" si="3">IF(F55&lt;&gt;0,AVERAGE(F55:F58),"")</f>
        <v>9.4499999999999993</v>
      </c>
      <c r="G61" s="78">
        <f t="shared" si="3"/>
        <v>12.35</v>
      </c>
      <c r="H61" s="78">
        <f t="shared" si="3"/>
        <v>15.75</v>
      </c>
      <c r="I61" s="78">
        <f t="shared" si="3"/>
        <v>20.450000000000003</v>
      </c>
      <c r="J61" s="78">
        <f t="shared" si="3"/>
        <v>28.25</v>
      </c>
      <c r="K61" s="78">
        <f t="shared" si="3"/>
        <v>39.1</v>
      </c>
      <c r="L61" s="78">
        <f t="shared" si="3"/>
        <v>47.55</v>
      </c>
      <c r="M61" s="78">
        <f>IF(M55&lt;&gt;0,AVERAGE(M55:M58),"")</f>
        <v>58.55</v>
      </c>
      <c r="N61" s="78">
        <f>IF(N55&lt;&gt;0,AVERAGE(N55:N58),"")</f>
        <v>71.449999999999989</v>
      </c>
      <c r="O61" s="79">
        <f>IF(O55&lt;&gt;0,AVERAGE(O55:O58),"")</f>
        <v>87.55</v>
      </c>
      <c r="P61" s="79">
        <f t="shared" ref="P61:Q61" si="4">IF(P55&lt;&gt;0,AVERAGE(P55:P58),"")</f>
        <v>93.2</v>
      </c>
      <c r="Q61" s="79">
        <f t="shared" si="4"/>
        <v>100</v>
      </c>
      <c r="R61" s="78"/>
      <c r="S61" s="78" t="str">
        <f t="shared" ref="S61:T61" si="5">IF(S55&lt;&gt;0,AVERAGE(S55:S58),"")</f>
        <v/>
      </c>
      <c r="T61" s="80" t="str">
        <f t="shared" si="5"/>
        <v/>
      </c>
      <c r="U61" s="509">
        <f>IF(U55&lt;&gt;0,AVERAGE(U55:V58),"")</f>
        <v>166.5</v>
      </c>
      <c r="V61" s="510"/>
      <c r="W61" s="511">
        <f>IF(W55&lt;&gt;0,AVERAGE(W55:X58),"")</f>
        <v>4.125</v>
      </c>
      <c r="X61" s="512"/>
      <c r="Y61" s="513">
        <f>IF(W55&lt;&gt;0,AVERAGE(Y55:Z58),"")</f>
        <v>2.5469472344108581</v>
      </c>
      <c r="Z61" s="514"/>
      <c r="AA61" s="55"/>
      <c r="AB61" s="326">
        <f>(100*W61)/(100-W61)</f>
        <v>4.3024771838331164</v>
      </c>
      <c r="AC61" s="327"/>
      <c r="AD61" s="53">
        <f t="shared" si="0"/>
        <v>13.715525</v>
      </c>
      <c r="AE61" s="54">
        <f t="shared" si="1"/>
        <v>2.5474881533417522</v>
      </c>
      <c r="AF61" s="28"/>
      <c r="AG61" s="55"/>
    </row>
    <row r="62" spans="1:34" ht="21" customHeight="1" x14ac:dyDescent="0.25">
      <c r="A62" s="46"/>
      <c r="B62" s="515" t="s">
        <v>40</v>
      </c>
      <c r="C62" s="516"/>
      <c r="D62" s="517"/>
      <c r="E62" s="81">
        <v>7</v>
      </c>
      <c r="F62" s="81">
        <v>9</v>
      </c>
      <c r="G62" s="81">
        <v>12</v>
      </c>
      <c r="H62" s="81">
        <v>17</v>
      </c>
      <c r="I62" s="81">
        <v>22</v>
      </c>
      <c r="J62" s="81">
        <v>32</v>
      </c>
      <c r="K62" s="81">
        <v>44</v>
      </c>
      <c r="L62" s="81">
        <v>51</v>
      </c>
      <c r="M62" s="81">
        <v>61</v>
      </c>
      <c r="N62" s="81">
        <v>75</v>
      </c>
      <c r="O62" s="81">
        <v>92</v>
      </c>
      <c r="P62" s="81">
        <v>98</v>
      </c>
      <c r="Q62" s="82">
        <v>100</v>
      </c>
      <c r="R62" s="81"/>
      <c r="S62" s="81"/>
      <c r="T62" s="83"/>
      <c r="U62" s="518"/>
      <c r="V62" s="519"/>
      <c r="W62" s="520">
        <v>4.5999999999999996</v>
      </c>
      <c r="X62" s="521"/>
      <c r="Y62" s="522">
        <f>AE62</f>
        <v>2.8663774597736555</v>
      </c>
      <c r="Z62" s="523"/>
      <c r="AA62" s="55"/>
      <c r="AB62" s="326">
        <f>(100*W62)/(100-W62)</f>
        <v>4.8218029350104814</v>
      </c>
      <c r="AC62" s="327"/>
      <c r="AD62" s="53">
        <f t="shared" si="0"/>
        <v>13.445</v>
      </c>
      <c r="AE62" s="54">
        <f t="shared" si="1"/>
        <v>2.8663774597736555</v>
      </c>
      <c r="AF62" s="28"/>
      <c r="AG62" s="55"/>
    </row>
    <row r="63" spans="1:34" ht="13.5" customHeight="1" x14ac:dyDescent="0.25">
      <c r="A63" s="46"/>
      <c r="B63" s="84"/>
      <c r="C63" s="85" t="s">
        <v>41</v>
      </c>
      <c r="D63" s="86"/>
      <c r="E63" s="59">
        <f>E62+2</f>
        <v>9</v>
      </c>
      <c r="F63" s="59"/>
      <c r="G63" s="59"/>
      <c r="H63" s="59"/>
      <c r="I63" s="59"/>
      <c r="J63" s="59">
        <f>J62+6</f>
        <v>38</v>
      </c>
      <c r="K63" s="59"/>
      <c r="L63" s="59">
        <f>L62+7</f>
        <v>58</v>
      </c>
      <c r="M63" s="59"/>
      <c r="N63" s="59"/>
      <c r="O63" s="59"/>
      <c r="P63" s="59"/>
      <c r="Q63" s="60"/>
      <c r="R63" s="59"/>
      <c r="S63" s="59"/>
      <c r="T63" s="61"/>
      <c r="U63" s="502"/>
      <c r="V63" s="503"/>
      <c r="W63" s="524">
        <f>W62+0.5</f>
        <v>5.0999999999999996</v>
      </c>
      <c r="X63" s="503"/>
      <c r="Y63" s="500"/>
      <c r="Z63" s="525"/>
      <c r="AA63" s="87"/>
      <c r="AB63" s="88"/>
      <c r="AC63" s="89"/>
      <c r="AD63" s="306"/>
      <c r="AE63" s="308" t="s">
        <v>42</v>
      </c>
      <c r="AF63" s="28"/>
      <c r="AG63" s="55"/>
    </row>
    <row r="64" spans="1:34" ht="13.5" customHeight="1" thickBot="1" x14ac:dyDescent="0.3">
      <c r="A64" s="46"/>
      <c r="B64" s="462" t="s">
        <v>43</v>
      </c>
      <c r="C64" s="465"/>
      <c r="D64" s="463"/>
      <c r="E64" s="90">
        <f>E62-2</f>
        <v>5</v>
      </c>
      <c r="F64" s="90"/>
      <c r="G64" s="91"/>
      <c r="H64" s="91"/>
      <c r="I64" s="91"/>
      <c r="J64" s="90">
        <f>J62-6</f>
        <v>26</v>
      </c>
      <c r="K64" s="91"/>
      <c r="L64" s="90">
        <f>L62-7</f>
        <v>44</v>
      </c>
      <c r="M64" s="90"/>
      <c r="N64" s="91"/>
      <c r="O64" s="91"/>
      <c r="P64" s="91"/>
      <c r="Q64" s="90"/>
      <c r="R64" s="91"/>
      <c r="S64" s="91"/>
      <c r="T64" s="92"/>
      <c r="U64" s="526"/>
      <c r="V64" s="527"/>
      <c r="W64" s="528">
        <f>W62-0.5</f>
        <v>4.0999999999999996</v>
      </c>
      <c r="X64" s="527"/>
      <c r="Y64" s="481"/>
      <c r="Z64" s="529"/>
      <c r="AA64" s="93"/>
      <c r="AB64" s="94"/>
      <c r="AC64" s="95"/>
      <c r="AD64" s="307"/>
      <c r="AE64" s="309"/>
      <c r="AF64" s="28"/>
      <c r="AG64" s="55"/>
    </row>
    <row r="65" spans="1:30" ht="6.75" customHeight="1" x14ac:dyDescent="0.25">
      <c r="A65" s="23"/>
      <c r="B65" s="24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96"/>
    </row>
    <row r="66" spans="1:30" ht="8.25" customHeight="1" x14ac:dyDescent="0.25"/>
    <row r="67" spans="1:30" ht="34.5" customHeight="1" x14ac:dyDescent="0.25">
      <c r="A67" s="97" t="s">
        <v>44</v>
      </c>
      <c r="B67" s="98" t="s">
        <v>45</v>
      </c>
      <c r="C67" s="99"/>
      <c r="D67" s="99"/>
      <c r="E67" s="99"/>
      <c r="F67" s="100"/>
      <c r="G67" s="100"/>
      <c r="H67" s="100"/>
      <c r="I67" s="10"/>
      <c r="J67" s="10"/>
      <c r="K67" s="10"/>
      <c r="L67" s="10"/>
      <c r="M67" s="10"/>
      <c r="N67" s="10"/>
      <c r="O67" s="10"/>
      <c r="P67" s="10"/>
      <c r="Q67" s="100"/>
      <c r="R67" s="10"/>
      <c r="S67" s="10"/>
      <c r="T67" s="10"/>
      <c r="U67" s="543"/>
      <c r="V67" s="543"/>
      <c r="W67" s="543"/>
      <c r="X67" s="543"/>
      <c r="Y67" s="543"/>
      <c r="Z67" s="544"/>
      <c r="AA67" s="101"/>
      <c r="AB67" s="102"/>
      <c r="AC67" s="102"/>
      <c r="AD67" s="103"/>
    </row>
    <row r="68" spans="1:30" ht="27" customHeight="1" x14ac:dyDescent="0.25">
      <c r="A68" s="545" t="s">
        <v>46</v>
      </c>
      <c r="B68" s="546"/>
      <c r="C68" s="546"/>
      <c r="D68" s="546"/>
      <c r="E68" s="546"/>
      <c r="F68" s="546"/>
      <c r="G68" s="546"/>
      <c r="H68" s="546"/>
      <c r="I68" s="546"/>
      <c r="J68" s="546"/>
      <c r="K68" s="546"/>
      <c r="L68" s="546"/>
      <c r="M68" s="546"/>
      <c r="N68" s="546"/>
      <c r="O68" s="546"/>
      <c r="P68" s="546"/>
      <c r="Q68" s="547"/>
      <c r="R68" s="536" t="s">
        <v>47</v>
      </c>
      <c r="S68" s="537"/>
      <c r="T68" s="538"/>
      <c r="U68" s="275" t="s">
        <v>57</v>
      </c>
      <c r="V68" s="276"/>
      <c r="W68" s="276"/>
      <c r="X68" s="277"/>
      <c r="Y68" s="277"/>
      <c r="Z68" s="278"/>
      <c r="AA68" s="104"/>
      <c r="AB68" s="105"/>
      <c r="AC68" s="105"/>
      <c r="AD68" s="103"/>
    </row>
    <row r="69" spans="1:30" ht="15.75" customHeight="1" x14ac:dyDescent="0.25">
      <c r="A69" s="548" t="s">
        <v>99</v>
      </c>
      <c r="B69" s="549"/>
      <c r="C69" s="549"/>
      <c r="D69" s="549"/>
      <c r="E69" s="549"/>
      <c r="F69" s="549"/>
      <c r="G69" s="549"/>
      <c r="H69" s="549"/>
      <c r="I69" s="549"/>
      <c r="J69" s="549"/>
      <c r="K69" s="549"/>
      <c r="L69" s="549"/>
      <c r="M69" s="549"/>
      <c r="N69" s="549"/>
      <c r="O69" s="549"/>
      <c r="P69" s="549"/>
      <c r="Q69" s="550"/>
      <c r="R69" s="536" t="s">
        <v>49</v>
      </c>
      <c r="S69" s="537"/>
      <c r="T69" s="538"/>
      <c r="U69" s="554" t="s">
        <v>58</v>
      </c>
      <c r="V69" s="555"/>
      <c r="W69" s="555"/>
      <c r="X69" s="555"/>
      <c r="Y69" s="555"/>
      <c r="Z69" s="556"/>
      <c r="AA69" s="104"/>
      <c r="AB69" s="105"/>
      <c r="AC69" s="105"/>
      <c r="AD69" s="103"/>
    </row>
    <row r="70" spans="1:30" ht="9" customHeight="1" x14ac:dyDescent="0.25">
      <c r="A70" s="548"/>
      <c r="B70" s="549"/>
      <c r="C70" s="549"/>
      <c r="D70" s="549"/>
      <c r="E70" s="549"/>
      <c r="F70" s="549"/>
      <c r="G70" s="549"/>
      <c r="H70" s="549"/>
      <c r="I70" s="549"/>
      <c r="J70" s="549"/>
      <c r="K70" s="549"/>
      <c r="L70" s="549"/>
      <c r="M70" s="549"/>
      <c r="N70" s="549"/>
      <c r="O70" s="549"/>
      <c r="P70" s="549"/>
      <c r="Q70" s="550"/>
      <c r="R70" s="536"/>
      <c r="S70" s="537"/>
      <c r="T70" s="538"/>
      <c r="U70" s="557"/>
      <c r="V70" s="454"/>
      <c r="W70" s="454"/>
      <c r="X70" s="454"/>
      <c r="Y70" s="454"/>
      <c r="Z70" s="558"/>
      <c r="AA70" s="104"/>
      <c r="AB70" s="105"/>
      <c r="AC70" s="105"/>
      <c r="AD70" s="103"/>
    </row>
    <row r="71" spans="1:30" ht="15.9" customHeight="1" x14ac:dyDescent="0.25">
      <c r="A71" s="551"/>
      <c r="B71" s="552"/>
      <c r="C71" s="552"/>
      <c r="D71" s="552"/>
      <c r="E71" s="552"/>
      <c r="F71" s="552"/>
      <c r="G71" s="552"/>
      <c r="H71" s="552"/>
      <c r="I71" s="552"/>
      <c r="J71" s="552"/>
      <c r="K71" s="552"/>
      <c r="L71" s="552"/>
      <c r="M71" s="552"/>
      <c r="N71" s="552"/>
      <c r="O71" s="552"/>
      <c r="P71" s="552"/>
      <c r="Q71" s="553"/>
      <c r="R71" s="536"/>
      <c r="S71" s="537"/>
      <c r="T71" s="538"/>
      <c r="U71" s="557"/>
      <c r="V71" s="454"/>
      <c r="W71" s="454"/>
      <c r="X71" s="454"/>
      <c r="Y71" s="454"/>
      <c r="Z71" s="558"/>
      <c r="AA71" s="104"/>
      <c r="AB71" s="105"/>
      <c r="AC71" s="105"/>
      <c r="AD71" s="103"/>
    </row>
    <row r="72" spans="1:30" ht="15.9" customHeight="1" x14ac:dyDescent="0.25">
      <c r="A72" s="106" t="s">
        <v>50</v>
      </c>
      <c r="B72" s="107" t="s">
        <v>51</v>
      </c>
      <c r="C72" s="13"/>
      <c r="D72" s="13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9"/>
      <c r="R72" s="536"/>
      <c r="S72" s="537"/>
      <c r="T72" s="538"/>
      <c r="U72" s="559"/>
      <c r="V72" s="560"/>
      <c r="W72" s="560"/>
      <c r="X72" s="560"/>
      <c r="Y72" s="560"/>
      <c r="Z72" s="561"/>
      <c r="AA72" s="104"/>
      <c r="AB72" s="105"/>
      <c r="AC72" s="105"/>
      <c r="AD72" s="103"/>
    </row>
    <row r="73" spans="1:30" ht="15.75" customHeight="1" x14ac:dyDescent="0.25">
      <c r="A73" s="530" t="s">
        <v>100</v>
      </c>
      <c r="B73" s="531"/>
      <c r="C73" s="531"/>
      <c r="D73" s="531"/>
      <c r="E73" s="531"/>
      <c r="F73" s="531"/>
      <c r="G73" s="531"/>
      <c r="H73" s="531"/>
      <c r="I73" s="531"/>
      <c r="J73" s="531"/>
      <c r="K73" s="531"/>
      <c r="L73" s="531"/>
      <c r="M73" s="531"/>
      <c r="N73" s="531"/>
      <c r="O73" s="531"/>
      <c r="P73" s="531"/>
      <c r="Q73" s="532"/>
      <c r="R73" s="536" t="s">
        <v>52</v>
      </c>
      <c r="S73" s="537"/>
      <c r="T73" s="538"/>
      <c r="U73" s="110"/>
      <c r="V73" s="111"/>
      <c r="W73" s="111"/>
      <c r="X73" s="111"/>
      <c r="Y73" s="111"/>
      <c r="Z73" s="112"/>
      <c r="AA73" s="113"/>
      <c r="AB73" s="114"/>
      <c r="AC73" s="114"/>
      <c r="AD73" s="103"/>
    </row>
    <row r="74" spans="1:30" ht="15.9" customHeight="1" x14ac:dyDescent="0.25">
      <c r="A74" s="530"/>
      <c r="B74" s="531"/>
      <c r="C74" s="531"/>
      <c r="D74" s="531"/>
      <c r="E74" s="531"/>
      <c r="F74" s="531"/>
      <c r="G74" s="531"/>
      <c r="H74" s="531"/>
      <c r="I74" s="531"/>
      <c r="J74" s="531"/>
      <c r="K74" s="531"/>
      <c r="L74" s="531"/>
      <c r="M74" s="531"/>
      <c r="N74" s="531"/>
      <c r="O74" s="531"/>
      <c r="P74" s="531"/>
      <c r="Q74" s="532"/>
      <c r="R74" s="536"/>
      <c r="S74" s="537"/>
      <c r="T74" s="538"/>
      <c r="U74" s="115"/>
      <c r="V74" s="542"/>
      <c r="W74" s="542"/>
      <c r="X74" s="542"/>
      <c r="Y74" s="542"/>
      <c r="Z74" s="116"/>
      <c r="AA74" s="113"/>
      <c r="AB74" s="114"/>
      <c r="AC74" s="114"/>
      <c r="AD74" s="103"/>
    </row>
    <row r="75" spans="1:30" ht="15.9" customHeight="1" x14ac:dyDescent="0.25">
      <c r="A75" s="530"/>
      <c r="B75" s="531"/>
      <c r="C75" s="531"/>
      <c r="D75" s="531"/>
      <c r="E75" s="531"/>
      <c r="F75" s="531"/>
      <c r="G75" s="531"/>
      <c r="H75" s="531"/>
      <c r="I75" s="531"/>
      <c r="J75" s="531"/>
      <c r="K75" s="531"/>
      <c r="L75" s="531"/>
      <c r="M75" s="531"/>
      <c r="N75" s="531"/>
      <c r="O75" s="531"/>
      <c r="P75" s="531"/>
      <c r="Q75" s="532"/>
      <c r="R75" s="536"/>
      <c r="S75" s="537"/>
      <c r="T75" s="538"/>
      <c r="U75" s="115"/>
      <c r="V75" s="542"/>
      <c r="W75" s="542"/>
      <c r="X75" s="542"/>
      <c r="Y75" s="542"/>
      <c r="Z75" s="116"/>
      <c r="AA75" s="113"/>
      <c r="AB75" s="114"/>
      <c r="AC75" s="114"/>
      <c r="AD75" s="103"/>
    </row>
    <row r="76" spans="1:30" ht="15.75" customHeight="1" x14ac:dyDescent="0.25">
      <c r="A76" s="533"/>
      <c r="B76" s="534"/>
      <c r="C76" s="534"/>
      <c r="D76" s="534"/>
      <c r="E76" s="534"/>
      <c r="F76" s="534"/>
      <c r="G76" s="534"/>
      <c r="H76" s="534"/>
      <c r="I76" s="534"/>
      <c r="J76" s="534"/>
      <c r="K76" s="534"/>
      <c r="L76" s="534"/>
      <c r="M76" s="534"/>
      <c r="N76" s="534"/>
      <c r="O76" s="534"/>
      <c r="P76" s="534"/>
      <c r="Q76" s="535"/>
      <c r="R76" s="539"/>
      <c r="S76" s="540"/>
      <c r="T76" s="541"/>
      <c r="U76" s="117"/>
      <c r="V76" s="118"/>
      <c r="W76" s="118"/>
      <c r="X76" s="118"/>
      <c r="Y76" s="118"/>
      <c r="Z76" s="119"/>
      <c r="AA76" s="113"/>
      <c r="AB76" s="114"/>
      <c r="AC76" s="114"/>
      <c r="AD76" s="103"/>
    </row>
  </sheetData>
  <mergeCells count="106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2:F12"/>
    <mergeCell ref="G12:L12"/>
    <mergeCell ref="M12:R12"/>
    <mergeCell ref="S12:Y12"/>
    <mergeCell ref="G13:L13"/>
    <mergeCell ref="M13:R13"/>
    <mergeCell ref="S13:Y13"/>
    <mergeCell ref="AE10:AI10"/>
    <mergeCell ref="B11:F11"/>
    <mergeCell ref="G11:L11"/>
    <mergeCell ref="M11:R11"/>
    <mergeCell ref="S11:Y11"/>
    <mergeCell ref="AE11:AI11"/>
    <mergeCell ref="AE15:AJ15"/>
    <mergeCell ref="AE16:AJ16"/>
    <mergeCell ref="B19:H19"/>
    <mergeCell ref="I19:Y19"/>
    <mergeCell ref="B20:H20"/>
    <mergeCell ref="I20:Y20"/>
    <mergeCell ref="AE13:AJ13"/>
    <mergeCell ref="B14:F14"/>
    <mergeCell ref="G14:L14"/>
    <mergeCell ref="M14:R14"/>
    <mergeCell ref="S14:Y14"/>
    <mergeCell ref="AE14:AJ14"/>
    <mergeCell ref="AD51:AD52"/>
    <mergeCell ref="AE51:AE52"/>
    <mergeCell ref="AF51:AF52"/>
    <mergeCell ref="AG51:AG52"/>
    <mergeCell ref="E53:T53"/>
    <mergeCell ref="U53:V54"/>
    <mergeCell ref="W53:X54"/>
    <mergeCell ref="Y53:Z54"/>
    <mergeCell ref="AB53:AC54"/>
    <mergeCell ref="AD53:AD54"/>
    <mergeCell ref="AE53:AE54"/>
    <mergeCell ref="AF53:AF54"/>
    <mergeCell ref="AG53:AG54"/>
    <mergeCell ref="C54:D54"/>
    <mergeCell ref="C55:D55"/>
    <mergeCell ref="U55:V55"/>
    <mergeCell ref="W55:X55"/>
    <mergeCell ref="Y55:Z55"/>
    <mergeCell ref="AB55:AC55"/>
    <mergeCell ref="C58:D58"/>
    <mergeCell ref="U58:V58"/>
    <mergeCell ref="W58:X58"/>
    <mergeCell ref="Y58:Z58"/>
    <mergeCell ref="AB58:AC58"/>
    <mergeCell ref="B60:D60"/>
    <mergeCell ref="C56:D56"/>
    <mergeCell ref="U56:V56"/>
    <mergeCell ref="W56:X56"/>
    <mergeCell ref="Y56:Z56"/>
    <mergeCell ref="AB56:AC56"/>
    <mergeCell ref="C57:D57"/>
    <mergeCell ref="U57:V57"/>
    <mergeCell ref="W57:X57"/>
    <mergeCell ref="Y57:Z57"/>
    <mergeCell ref="AB57:AC57"/>
    <mergeCell ref="B61:D61"/>
    <mergeCell ref="U61:V61"/>
    <mergeCell ref="W61:X61"/>
    <mergeCell ref="Y61:Z61"/>
    <mergeCell ref="AB61:AC61"/>
    <mergeCell ref="B62:D62"/>
    <mergeCell ref="U62:V62"/>
    <mergeCell ref="W62:X62"/>
    <mergeCell ref="Y62:Z62"/>
    <mergeCell ref="AB62:AC62"/>
    <mergeCell ref="U63:V63"/>
    <mergeCell ref="W63:X63"/>
    <mergeCell ref="Y63:Z63"/>
    <mergeCell ref="AD63:AD64"/>
    <mergeCell ref="AE63:AE64"/>
    <mergeCell ref="B64:D64"/>
    <mergeCell ref="U64:V64"/>
    <mergeCell ref="W64:X64"/>
    <mergeCell ref="Y64:Z64"/>
    <mergeCell ref="A73:Q76"/>
    <mergeCell ref="R73:T76"/>
    <mergeCell ref="V74:Y75"/>
    <mergeCell ref="U67:Z67"/>
    <mergeCell ref="A68:Q68"/>
    <mergeCell ref="R68:T68"/>
    <mergeCell ref="U68:Z68"/>
    <mergeCell ref="A69:Q71"/>
    <mergeCell ref="R69:T72"/>
    <mergeCell ref="U69:Z72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79C75-4297-43F2-8328-5F9AA5838884}">
  <sheetPr>
    <pageSetUpPr fitToPage="1"/>
  </sheetPr>
  <dimension ref="A1:AN76"/>
  <sheetViews>
    <sheetView topLeftCell="A41" zoomScaleNormal="100" workbookViewId="0">
      <selection activeCell="AG62" sqref="AG62"/>
    </sheetView>
  </sheetViews>
  <sheetFormatPr baseColWidth="10" defaultColWidth="11.44140625" defaultRowHeight="12.75" customHeight="1" x14ac:dyDescent="0.25"/>
  <cols>
    <col min="1" max="2" width="5.109375" style="28" customWidth="1"/>
    <col min="3" max="27" width="5.109375" style="2" customWidth="1"/>
    <col min="28" max="41" width="11.44140625" style="2" customWidth="1"/>
    <col min="42" max="16384" width="11.44140625" style="2"/>
  </cols>
  <sheetData>
    <row r="1" spans="1:36" ht="12.75" customHeight="1" x14ac:dyDescent="0.25">
      <c r="A1" s="430"/>
      <c r="B1" s="431"/>
      <c r="C1" s="431"/>
      <c r="D1" s="431"/>
      <c r="E1" s="431"/>
      <c r="F1" s="432"/>
      <c r="G1" s="439" t="s">
        <v>0</v>
      </c>
      <c r="H1" s="440"/>
      <c r="I1" s="440"/>
      <c r="J1" s="440"/>
      <c r="K1" s="440"/>
      <c r="L1" s="440"/>
      <c r="M1" s="440"/>
      <c r="N1" s="440"/>
      <c r="O1" s="440"/>
      <c r="P1" s="440"/>
      <c r="Q1" s="440"/>
      <c r="R1" s="440"/>
      <c r="S1" s="440"/>
      <c r="T1" s="441"/>
      <c r="U1" s="405" t="s">
        <v>59</v>
      </c>
      <c r="V1" s="406"/>
      <c r="W1" s="406"/>
      <c r="X1" s="406"/>
      <c r="Y1" s="406"/>
      <c r="Z1" s="407"/>
      <c r="AA1" s="1"/>
    </row>
    <row r="2" spans="1:36" ht="12.75" customHeight="1" x14ac:dyDescent="0.25">
      <c r="A2" s="433"/>
      <c r="B2" s="434"/>
      <c r="C2" s="434"/>
      <c r="D2" s="434"/>
      <c r="E2" s="434"/>
      <c r="F2" s="435"/>
      <c r="G2" s="442" t="s">
        <v>1</v>
      </c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4"/>
      <c r="U2" s="408"/>
      <c r="V2" s="409"/>
      <c r="W2" s="409"/>
      <c r="X2" s="409"/>
      <c r="Y2" s="409"/>
      <c r="Z2" s="410"/>
      <c r="AA2" s="1"/>
    </row>
    <row r="3" spans="1:36" ht="12.75" customHeight="1" x14ac:dyDescent="0.25">
      <c r="A3" s="433"/>
      <c r="B3" s="434"/>
      <c r="C3" s="434"/>
      <c r="D3" s="434"/>
      <c r="E3" s="434"/>
      <c r="F3" s="435"/>
      <c r="G3" s="445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4"/>
      <c r="U3" s="408"/>
      <c r="V3" s="409"/>
      <c r="W3" s="409"/>
      <c r="X3" s="409"/>
      <c r="Y3" s="409"/>
      <c r="Z3" s="410"/>
      <c r="AA3" s="1"/>
    </row>
    <row r="4" spans="1:36" ht="12.75" customHeight="1" x14ac:dyDescent="0.25">
      <c r="A4" s="433"/>
      <c r="B4" s="434"/>
      <c r="C4" s="434"/>
      <c r="D4" s="434"/>
      <c r="E4" s="434"/>
      <c r="F4" s="435"/>
      <c r="G4" s="445"/>
      <c r="H4" s="443"/>
      <c r="I4" s="443"/>
      <c r="J4" s="443"/>
      <c r="K4" s="443"/>
      <c r="L4" s="443"/>
      <c r="M4" s="443"/>
      <c r="N4" s="443"/>
      <c r="O4" s="443"/>
      <c r="P4" s="443"/>
      <c r="Q4" s="443"/>
      <c r="R4" s="443"/>
      <c r="S4" s="443"/>
      <c r="T4" s="444"/>
      <c r="U4" s="408"/>
      <c r="V4" s="409"/>
      <c r="W4" s="409"/>
      <c r="X4" s="409"/>
      <c r="Y4" s="409"/>
      <c r="Z4" s="410"/>
      <c r="AA4" s="1"/>
    </row>
    <row r="5" spans="1:36" ht="12.75" customHeight="1" x14ac:dyDescent="0.25">
      <c r="A5" s="433"/>
      <c r="B5" s="434"/>
      <c r="C5" s="434"/>
      <c r="D5" s="434"/>
      <c r="E5" s="434"/>
      <c r="F5" s="435"/>
      <c r="G5" s="445" t="s">
        <v>2</v>
      </c>
      <c r="H5" s="443"/>
      <c r="I5" s="3" t="s">
        <v>3</v>
      </c>
      <c r="J5" s="446">
        <v>12</v>
      </c>
      <c r="K5" s="447"/>
      <c r="L5" s="448" t="s">
        <v>60</v>
      </c>
      <c r="M5" s="446"/>
      <c r="N5" s="446"/>
      <c r="O5" s="447"/>
      <c r="P5" s="449">
        <v>45944</v>
      </c>
      <c r="Q5" s="450"/>
      <c r="R5" s="450"/>
      <c r="S5" s="450"/>
      <c r="T5" s="451"/>
      <c r="U5" s="408"/>
      <c r="V5" s="409"/>
      <c r="W5" s="409"/>
      <c r="X5" s="409"/>
      <c r="Y5" s="409"/>
      <c r="Z5" s="410"/>
      <c r="AA5" s="1"/>
    </row>
    <row r="6" spans="1:36" ht="12.75" customHeight="1" x14ac:dyDescent="0.25">
      <c r="A6" s="436"/>
      <c r="B6" s="437"/>
      <c r="C6" s="437"/>
      <c r="D6" s="437"/>
      <c r="E6" s="437"/>
      <c r="F6" s="438"/>
      <c r="G6" s="4"/>
      <c r="H6" s="5"/>
      <c r="I6" s="5"/>
      <c r="J6" s="423" t="s">
        <v>4</v>
      </c>
      <c r="K6" s="423"/>
      <c r="L6" s="423" t="s">
        <v>5</v>
      </c>
      <c r="M6" s="423"/>
      <c r="N6" s="423"/>
      <c r="O6" s="423"/>
      <c r="P6" s="423" t="s">
        <v>6</v>
      </c>
      <c r="Q6" s="423"/>
      <c r="R6" s="423"/>
      <c r="S6" s="423"/>
      <c r="T6" s="424"/>
      <c r="U6" s="411"/>
      <c r="V6" s="412"/>
      <c r="W6" s="412"/>
      <c r="X6" s="412"/>
      <c r="Y6" s="412"/>
      <c r="Z6" s="413"/>
      <c r="AA6" s="1"/>
    </row>
    <row r="7" spans="1:36" ht="37.5" customHeight="1" x14ac:dyDescent="0.25">
      <c r="A7" s="425" t="s">
        <v>7</v>
      </c>
      <c r="B7" s="425"/>
      <c r="C7" s="425"/>
      <c r="D7" s="425"/>
      <c r="E7" s="425"/>
      <c r="F7" s="425"/>
      <c r="G7" s="426" t="s">
        <v>8</v>
      </c>
      <c r="H7" s="426"/>
      <c r="I7" s="426"/>
      <c r="J7" s="426"/>
      <c r="K7" s="426"/>
      <c r="L7" s="426"/>
      <c r="M7" s="426"/>
      <c r="N7" s="426"/>
      <c r="O7" s="426"/>
      <c r="P7" s="426"/>
      <c r="Q7" s="426"/>
      <c r="R7" s="426"/>
      <c r="S7" s="426"/>
      <c r="T7" s="426"/>
      <c r="U7" s="426"/>
      <c r="V7" s="426"/>
      <c r="W7" s="426"/>
      <c r="X7" s="426"/>
      <c r="Y7" s="426"/>
      <c r="Z7" s="426"/>
      <c r="AA7" s="6"/>
      <c r="AE7" s="7"/>
      <c r="AI7" s="7"/>
    </row>
    <row r="8" spans="1:36" ht="15.9" customHeight="1" x14ac:dyDescent="0.25">
      <c r="A8" s="8" t="s">
        <v>9</v>
      </c>
      <c r="B8" s="9" t="s">
        <v>10</v>
      </c>
      <c r="C8" s="10"/>
      <c r="D8" s="11"/>
      <c r="E8" s="11"/>
      <c r="F8" s="11"/>
      <c r="G8" s="11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2"/>
      <c r="AA8" s="13"/>
      <c r="AB8" s="14"/>
      <c r="AC8" s="14"/>
      <c r="AD8" s="14"/>
      <c r="AE8" s="7"/>
      <c r="AF8" s="14"/>
      <c r="AI8" s="7"/>
    </row>
    <row r="9" spans="1:36" ht="15.9" customHeight="1" x14ac:dyDescent="0.25">
      <c r="A9" s="15"/>
      <c r="B9" s="13"/>
      <c r="C9" s="13"/>
      <c r="D9" s="16"/>
      <c r="E9" s="16"/>
      <c r="F9" s="16"/>
      <c r="G9" s="16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7"/>
      <c r="AA9" s="13"/>
      <c r="AB9" s="14"/>
      <c r="AC9" s="14"/>
      <c r="AD9" s="14"/>
      <c r="AE9" s="7"/>
      <c r="AF9" s="14"/>
      <c r="AI9" s="7"/>
    </row>
    <row r="10" spans="1:36" ht="15.9" customHeight="1" x14ac:dyDescent="0.25">
      <c r="A10" s="15"/>
      <c r="B10" s="385" t="s">
        <v>11</v>
      </c>
      <c r="C10" s="385"/>
      <c r="D10" s="385"/>
      <c r="E10" s="385"/>
      <c r="F10" s="385"/>
      <c r="G10" s="427" t="s">
        <v>55</v>
      </c>
      <c r="H10" s="427"/>
      <c r="I10" s="427"/>
      <c r="J10" s="427"/>
      <c r="K10" s="427"/>
      <c r="L10" s="427"/>
      <c r="M10" s="428" t="s">
        <v>12</v>
      </c>
      <c r="N10" s="428"/>
      <c r="O10" s="428"/>
      <c r="P10" s="428"/>
      <c r="Q10" s="428"/>
      <c r="R10" s="428"/>
      <c r="S10" s="429" t="s">
        <v>93</v>
      </c>
      <c r="T10" s="429"/>
      <c r="U10" s="429"/>
      <c r="V10" s="429"/>
      <c r="W10" s="429"/>
      <c r="X10" s="429"/>
      <c r="Y10" s="429"/>
      <c r="Z10" s="18"/>
      <c r="AA10" s="19"/>
      <c r="AB10" s="14"/>
      <c r="AC10" s="14"/>
      <c r="AD10" s="14"/>
      <c r="AE10" s="385"/>
      <c r="AF10" s="385"/>
      <c r="AG10" s="385"/>
      <c r="AH10" s="385"/>
      <c r="AI10" s="385"/>
    </row>
    <row r="11" spans="1:36" ht="15.9" customHeight="1" x14ac:dyDescent="0.25">
      <c r="A11" s="15"/>
      <c r="B11" s="385" t="s">
        <v>14</v>
      </c>
      <c r="C11" s="385"/>
      <c r="D11" s="385"/>
      <c r="E11" s="385"/>
      <c r="F11" s="385"/>
      <c r="G11" s="427">
        <v>45944</v>
      </c>
      <c r="H11" s="427"/>
      <c r="I11" s="427"/>
      <c r="J11" s="427"/>
      <c r="K11" s="427"/>
      <c r="L11" s="427"/>
      <c r="M11" s="428" t="s">
        <v>15</v>
      </c>
      <c r="N11" s="428"/>
      <c r="O11" s="428"/>
      <c r="P11" s="428"/>
      <c r="Q11" s="428"/>
      <c r="R11" s="428"/>
      <c r="S11" s="429" t="s">
        <v>98</v>
      </c>
      <c r="T11" s="429"/>
      <c r="U11" s="429"/>
      <c r="V11" s="429"/>
      <c r="W11" s="429"/>
      <c r="X11" s="429"/>
      <c r="Y11" s="429"/>
      <c r="Z11" s="18"/>
      <c r="AA11" s="19"/>
      <c r="AB11" s="14"/>
      <c r="AC11" s="14"/>
      <c r="AD11" s="14"/>
      <c r="AE11" s="385"/>
      <c r="AF11" s="385"/>
      <c r="AG11" s="385"/>
      <c r="AH11" s="385"/>
      <c r="AI11" s="385"/>
    </row>
    <row r="12" spans="1:36" ht="15.9" customHeight="1" x14ac:dyDescent="0.25">
      <c r="A12" s="15"/>
      <c r="B12" s="385" t="s">
        <v>16</v>
      </c>
      <c r="C12" s="385"/>
      <c r="D12" s="385"/>
      <c r="E12" s="385"/>
      <c r="F12" s="385"/>
      <c r="G12" s="427" t="s">
        <v>101</v>
      </c>
      <c r="H12" s="427"/>
      <c r="I12" s="427"/>
      <c r="J12" s="427"/>
      <c r="K12" s="427"/>
      <c r="L12" s="427"/>
      <c r="M12" s="452" t="s">
        <v>17</v>
      </c>
      <c r="N12" s="452"/>
      <c r="O12" s="452"/>
      <c r="P12" s="452"/>
      <c r="Q12" s="452"/>
      <c r="R12" s="452"/>
      <c r="S12" s="429">
        <v>160</v>
      </c>
      <c r="T12" s="429"/>
      <c r="U12" s="429"/>
      <c r="V12" s="429"/>
      <c r="W12" s="429"/>
      <c r="X12" s="429"/>
      <c r="Y12" s="429"/>
      <c r="Z12" s="18"/>
      <c r="AA12" s="19"/>
      <c r="AB12" s="14"/>
      <c r="AC12" s="14"/>
      <c r="AD12" s="14"/>
      <c r="AE12" s="7"/>
      <c r="AF12" s="14"/>
      <c r="AI12" s="7"/>
    </row>
    <row r="13" spans="1:36" ht="15.9" customHeight="1" x14ac:dyDescent="0.25">
      <c r="A13" s="15"/>
      <c r="B13" s="20" t="s">
        <v>18</v>
      </c>
      <c r="C13" s="20"/>
      <c r="D13" s="20"/>
      <c r="E13" s="20"/>
      <c r="F13" s="20"/>
      <c r="G13" s="427" t="s">
        <v>94</v>
      </c>
      <c r="H13" s="427"/>
      <c r="I13" s="427"/>
      <c r="J13" s="427"/>
      <c r="K13" s="427"/>
      <c r="L13" s="427"/>
      <c r="M13" s="428" t="s">
        <v>19</v>
      </c>
      <c r="N13" s="428"/>
      <c r="O13" s="428"/>
      <c r="P13" s="428"/>
      <c r="Q13" s="428"/>
      <c r="R13" s="428"/>
      <c r="S13" s="427" t="s">
        <v>56</v>
      </c>
      <c r="T13" s="427"/>
      <c r="U13" s="427"/>
      <c r="V13" s="427"/>
      <c r="W13" s="427"/>
      <c r="X13" s="427"/>
      <c r="Y13" s="427"/>
      <c r="Z13" s="18"/>
      <c r="AA13" s="19"/>
      <c r="AB13" s="14"/>
      <c r="AC13" s="14"/>
      <c r="AD13" s="14"/>
      <c r="AE13" s="385"/>
      <c r="AF13" s="385"/>
      <c r="AG13" s="385"/>
      <c r="AH13" s="385"/>
      <c r="AI13" s="385"/>
      <c r="AJ13" s="385"/>
    </row>
    <row r="14" spans="1:36" ht="15.9" customHeight="1" x14ac:dyDescent="0.25">
      <c r="A14" s="21"/>
      <c r="B14" s="385" t="s">
        <v>20</v>
      </c>
      <c r="C14" s="385"/>
      <c r="D14" s="385"/>
      <c r="E14" s="385"/>
      <c r="F14" s="385"/>
      <c r="G14" s="427" t="s">
        <v>95</v>
      </c>
      <c r="H14" s="427"/>
      <c r="I14" s="427"/>
      <c r="J14" s="427"/>
      <c r="K14" s="427"/>
      <c r="L14" s="427"/>
      <c r="M14" s="429" t="s">
        <v>21</v>
      </c>
      <c r="N14" s="429"/>
      <c r="O14" s="429"/>
      <c r="P14" s="429"/>
      <c r="Q14" s="429"/>
      <c r="R14" s="429"/>
      <c r="S14" s="429" t="s">
        <v>22</v>
      </c>
      <c r="T14" s="429"/>
      <c r="U14" s="429"/>
      <c r="V14" s="429"/>
      <c r="W14" s="429"/>
      <c r="X14" s="429"/>
      <c r="Y14" s="429"/>
      <c r="Z14" s="22"/>
      <c r="AA14" s="14"/>
      <c r="AB14" s="14"/>
      <c r="AC14" s="14"/>
      <c r="AD14" s="14"/>
      <c r="AE14" s="385"/>
      <c r="AF14" s="385"/>
      <c r="AG14" s="385"/>
      <c r="AH14" s="385"/>
      <c r="AI14" s="385"/>
      <c r="AJ14" s="385"/>
    </row>
    <row r="15" spans="1:36" ht="6" customHeight="1" x14ac:dyDescent="0.25">
      <c r="A15" s="23"/>
      <c r="B15" s="24"/>
      <c r="C15" s="25"/>
      <c r="D15" s="25"/>
      <c r="E15" s="25"/>
      <c r="F15" s="24"/>
      <c r="G15" s="24"/>
      <c r="H15" s="24"/>
      <c r="I15" s="24"/>
      <c r="J15" s="24"/>
      <c r="K15" s="24"/>
      <c r="L15" s="24"/>
      <c r="M15" s="24"/>
      <c r="N15" s="25"/>
      <c r="O15" s="25"/>
      <c r="P15" s="25"/>
      <c r="Q15" s="25"/>
      <c r="R15" s="25"/>
      <c r="S15" s="25"/>
      <c r="T15" s="26"/>
      <c r="U15" s="26"/>
      <c r="V15" s="25"/>
      <c r="W15" s="25"/>
      <c r="X15" s="25"/>
      <c r="Y15" s="25"/>
      <c r="Z15" s="27"/>
      <c r="AE15" s="385"/>
      <c r="AF15" s="385"/>
      <c r="AG15" s="385"/>
      <c r="AH15" s="385"/>
      <c r="AI15" s="385"/>
      <c r="AJ15" s="385"/>
    </row>
    <row r="16" spans="1:36" ht="6" customHeight="1" x14ac:dyDescent="0.25">
      <c r="F16" s="28"/>
      <c r="G16" s="28"/>
      <c r="H16" s="28"/>
      <c r="I16" s="28"/>
      <c r="J16" s="28"/>
      <c r="K16" s="28"/>
      <c r="L16" s="28"/>
      <c r="M16" s="28"/>
      <c r="T16" s="29"/>
      <c r="U16" s="29"/>
      <c r="AE16" s="385"/>
      <c r="AF16" s="385"/>
      <c r="AG16" s="385"/>
      <c r="AH16" s="385"/>
      <c r="AI16" s="385"/>
      <c r="AJ16" s="385"/>
    </row>
    <row r="17" spans="1:40" ht="15.9" customHeight="1" x14ac:dyDescent="0.25">
      <c r="A17" s="8" t="s">
        <v>23</v>
      </c>
      <c r="B17" s="9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2"/>
      <c r="AA17" s="13"/>
      <c r="AE17" s="30"/>
      <c r="AI17" s="30"/>
    </row>
    <row r="18" spans="1:40" ht="8.25" customHeight="1" x14ac:dyDescent="0.25">
      <c r="A18" s="15"/>
      <c r="B18" s="31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7"/>
      <c r="AA18" s="13"/>
      <c r="AE18" s="30"/>
      <c r="AI18" s="30"/>
    </row>
    <row r="19" spans="1:40" ht="15.9" customHeight="1" x14ac:dyDescent="0.25">
      <c r="A19" s="15"/>
      <c r="B19" s="385" t="s">
        <v>25</v>
      </c>
      <c r="C19" s="385"/>
      <c r="D19" s="385"/>
      <c r="E19" s="385"/>
      <c r="F19" s="385"/>
      <c r="G19" s="385"/>
      <c r="H19" s="385"/>
      <c r="I19" s="453"/>
      <c r="J19" s="453"/>
      <c r="K19" s="453"/>
      <c r="L19" s="453"/>
      <c r="M19" s="453"/>
      <c r="N19" s="453"/>
      <c r="O19" s="453"/>
      <c r="P19" s="453"/>
      <c r="Q19" s="453"/>
      <c r="R19" s="453"/>
      <c r="S19" s="453"/>
      <c r="T19" s="453"/>
      <c r="U19" s="453"/>
      <c r="V19" s="453"/>
      <c r="W19" s="453"/>
      <c r="X19" s="453"/>
      <c r="Y19" s="453"/>
      <c r="Z19" s="18"/>
      <c r="AA19" s="19"/>
      <c r="AE19" s="30"/>
      <c r="AI19" s="30"/>
    </row>
    <row r="20" spans="1:40" ht="15.9" customHeight="1" x14ac:dyDescent="0.25">
      <c r="A20" s="15"/>
      <c r="B20" s="385" t="s">
        <v>26</v>
      </c>
      <c r="C20" s="385"/>
      <c r="D20" s="385"/>
      <c r="E20" s="385"/>
      <c r="F20" s="385"/>
      <c r="G20" s="385"/>
      <c r="H20" s="385"/>
      <c r="I20" s="454"/>
      <c r="J20" s="454"/>
      <c r="K20" s="454"/>
      <c r="L20" s="454"/>
      <c r="M20" s="454"/>
      <c r="N20" s="454"/>
      <c r="O20" s="454"/>
      <c r="P20" s="454"/>
      <c r="Q20" s="454"/>
      <c r="R20" s="454"/>
      <c r="S20" s="454"/>
      <c r="T20" s="454"/>
      <c r="U20" s="454"/>
      <c r="V20" s="454"/>
      <c r="W20" s="454"/>
      <c r="X20" s="454"/>
      <c r="Y20" s="454"/>
      <c r="Z20" s="18"/>
      <c r="AA20" s="19"/>
      <c r="AE20" s="30"/>
      <c r="AI20" s="30"/>
    </row>
    <row r="21" spans="1:40" ht="7.5" customHeight="1" x14ac:dyDescent="0.2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32"/>
      <c r="AA21" s="13"/>
      <c r="AE21" s="30"/>
      <c r="AI21" s="30"/>
    </row>
    <row r="22" spans="1:40" ht="5.25" customHeight="1" x14ac:dyDescent="0.25">
      <c r="F22" s="28"/>
      <c r="G22" s="28"/>
      <c r="H22" s="28"/>
      <c r="I22" s="28"/>
      <c r="J22" s="28"/>
      <c r="K22" s="28"/>
      <c r="L22" s="28"/>
      <c r="M22" s="28"/>
      <c r="T22" s="29"/>
      <c r="U22" s="29"/>
      <c r="AE22" s="30"/>
      <c r="AI22" s="30"/>
      <c r="AM22" s="14"/>
      <c r="AN22" s="14"/>
    </row>
    <row r="23" spans="1:40" ht="15.9" customHeight="1" x14ac:dyDescent="0.25">
      <c r="A23" s="33" t="s">
        <v>23</v>
      </c>
      <c r="B23" s="34" t="s">
        <v>27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39"/>
      <c r="AN23" s="40"/>
    </row>
    <row r="24" spans="1:40" ht="9" customHeight="1" x14ac:dyDescent="0.25">
      <c r="A24" s="21"/>
      <c r="Z24" s="41"/>
    </row>
    <row r="25" spans="1:40" ht="9" customHeight="1" x14ac:dyDescent="0.25">
      <c r="A25" s="21"/>
      <c r="Z25" s="41"/>
    </row>
    <row r="26" spans="1:40" ht="9" customHeight="1" x14ac:dyDescent="0.25">
      <c r="A26" s="21"/>
      <c r="Z26" s="41"/>
    </row>
    <row r="27" spans="1:40" ht="12.75" customHeight="1" x14ac:dyDescent="0.25">
      <c r="A27" s="21"/>
      <c r="Z27" s="41"/>
    </row>
    <row r="28" spans="1:40" ht="12.75" customHeight="1" x14ac:dyDescent="0.25">
      <c r="A28" s="21"/>
      <c r="Z28" s="41"/>
    </row>
    <row r="29" spans="1:40" ht="12.75" customHeight="1" x14ac:dyDescent="0.25">
      <c r="A29" s="21"/>
      <c r="Z29" s="41"/>
    </row>
    <row r="30" spans="1:40" ht="12.75" customHeight="1" x14ac:dyDescent="0.25">
      <c r="A30" s="21"/>
      <c r="Z30" s="41"/>
    </row>
    <row r="31" spans="1:40" ht="12.75" customHeight="1" x14ac:dyDescent="0.25">
      <c r="A31" s="21"/>
      <c r="Z31" s="41"/>
    </row>
    <row r="32" spans="1:40" ht="12.75" customHeight="1" x14ac:dyDescent="0.25">
      <c r="A32" s="21"/>
      <c r="Z32" s="41"/>
    </row>
    <row r="33" spans="1:26" ht="12.75" customHeight="1" x14ac:dyDescent="0.25">
      <c r="A33" s="21"/>
      <c r="Z33" s="41"/>
    </row>
    <row r="34" spans="1:26" ht="12.75" customHeight="1" x14ac:dyDescent="0.25">
      <c r="A34" s="21"/>
      <c r="Z34" s="41"/>
    </row>
    <row r="35" spans="1:26" ht="12.75" customHeight="1" x14ac:dyDescent="0.25">
      <c r="A35" s="21"/>
      <c r="Z35" s="41"/>
    </row>
    <row r="36" spans="1:26" ht="12.75" customHeight="1" x14ac:dyDescent="0.25">
      <c r="A36" s="21"/>
      <c r="Z36" s="41"/>
    </row>
    <row r="37" spans="1:26" ht="12.75" customHeight="1" x14ac:dyDescent="0.25">
      <c r="A37" s="21"/>
      <c r="Z37" s="41"/>
    </row>
    <row r="38" spans="1:26" ht="12.75" customHeight="1" x14ac:dyDescent="0.25">
      <c r="A38" s="21"/>
      <c r="Z38" s="41"/>
    </row>
    <row r="39" spans="1:26" ht="12.75" customHeight="1" x14ac:dyDescent="0.25">
      <c r="A39" s="21"/>
      <c r="Z39" s="41"/>
    </row>
    <row r="40" spans="1:26" ht="12.75" customHeight="1" x14ac:dyDescent="0.25">
      <c r="A40" s="21"/>
      <c r="Z40" s="41"/>
    </row>
    <row r="41" spans="1:26" ht="12.75" customHeight="1" x14ac:dyDescent="0.25">
      <c r="A41" s="21"/>
      <c r="Z41" s="41"/>
    </row>
    <row r="42" spans="1:26" ht="12.75" customHeight="1" x14ac:dyDescent="0.25">
      <c r="A42" s="21"/>
      <c r="Z42" s="41"/>
    </row>
    <row r="43" spans="1:26" ht="12.75" customHeight="1" x14ac:dyDescent="0.25">
      <c r="A43" s="21"/>
      <c r="Z43" s="41"/>
    </row>
    <row r="44" spans="1:26" ht="12.75" customHeight="1" x14ac:dyDescent="0.25">
      <c r="A44" s="21"/>
      <c r="Z44" s="41"/>
    </row>
    <row r="45" spans="1:26" ht="12.75" customHeight="1" x14ac:dyDescent="0.25">
      <c r="A45" s="21"/>
      <c r="Z45" s="41"/>
    </row>
    <row r="46" spans="1:26" ht="12.75" customHeight="1" x14ac:dyDescent="0.25">
      <c r="A46" s="21"/>
      <c r="Z46" s="41"/>
    </row>
    <row r="47" spans="1:26" ht="12.75" customHeight="1" x14ac:dyDescent="0.25">
      <c r="A47" s="21"/>
      <c r="Z47" s="41"/>
    </row>
    <row r="48" spans="1:26" ht="12.75" customHeight="1" x14ac:dyDescent="0.25">
      <c r="A48" s="21"/>
      <c r="Z48" s="41"/>
    </row>
    <row r="49" spans="1:34" ht="12.75" customHeight="1" x14ac:dyDescent="0.25">
      <c r="A49" s="21"/>
      <c r="Z49" s="41"/>
    </row>
    <row r="50" spans="1:34" ht="9.75" customHeight="1" thickBot="1" x14ac:dyDescent="0.3">
      <c r="A50" s="21"/>
      <c r="Z50" s="41"/>
    </row>
    <row r="51" spans="1:34" ht="9.75" customHeight="1" x14ac:dyDescent="0.25">
      <c r="A51" s="21"/>
      <c r="Z51" s="41"/>
      <c r="AD51" s="378" t="s">
        <v>28</v>
      </c>
      <c r="AE51" s="380">
        <v>2.649</v>
      </c>
      <c r="AF51" s="455"/>
      <c r="AG51" s="457"/>
      <c r="AH51" s="42"/>
    </row>
    <row r="52" spans="1:34" ht="12.75" customHeight="1" thickBot="1" x14ac:dyDescent="0.3">
      <c r="A52" s="21"/>
      <c r="Z52" s="43"/>
      <c r="AD52" s="379"/>
      <c r="AE52" s="381"/>
      <c r="AF52" s="456"/>
      <c r="AG52" s="457"/>
    </row>
    <row r="53" spans="1:34" ht="18.75" customHeight="1" thickBot="1" x14ac:dyDescent="0.3">
      <c r="A53" s="21"/>
      <c r="E53" s="458" t="s">
        <v>29</v>
      </c>
      <c r="F53" s="459"/>
      <c r="G53" s="459"/>
      <c r="H53" s="459"/>
      <c r="I53" s="459"/>
      <c r="J53" s="459"/>
      <c r="K53" s="459"/>
      <c r="L53" s="459"/>
      <c r="M53" s="459"/>
      <c r="N53" s="459"/>
      <c r="O53" s="459"/>
      <c r="P53" s="459"/>
      <c r="Q53" s="459"/>
      <c r="R53" s="459"/>
      <c r="S53" s="459"/>
      <c r="T53" s="459"/>
      <c r="U53" s="460" t="s">
        <v>30</v>
      </c>
      <c r="V53" s="461"/>
      <c r="W53" s="464" t="s">
        <v>31</v>
      </c>
      <c r="X53" s="461"/>
      <c r="Y53" s="466" t="s">
        <v>32</v>
      </c>
      <c r="Z53" s="467"/>
      <c r="AA53" s="44"/>
      <c r="AB53" s="369" t="s">
        <v>33</v>
      </c>
      <c r="AC53" s="370"/>
      <c r="AD53" s="373" t="s">
        <v>34</v>
      </c>
      <c r="AE53" s="375" t="s">
        <v>35</v>
      </c>
      <c r="AF53" s="455"/>
      <c r="AG53" s="455"/>
      <c r="AH53" s="45"/>
    </row>
    <row r="54" spans="1:34" ht="24.9" customHeight="1" thickBot="1" x14ac:dyDescent="0.3">
      <c r="A54" s="46"/>
      <c r="B54" s="47" t="s">
        <v>36</v>
      </c>
      <c r="C54" s="471" t="s">
        <v>37</v>
      </c>
      <c r="D54" s="472"/>
      <c r="E54" s="48">
        <v>6.3E-2</v>
      </c>
      <c r="F54" s="48">
        <v>0.125</v>
      </c>
      <c r="G54" s="49">
        <v>0.25</v>
      </c>
      <c r="H54" s="49">
        <v>0.5</v>
      </c>
      <c r="I54" s="49">
        <v>1</v>
      </c>
      <c r="J54" s="49">
        <v>2</v>
      </c>
      <c r="K54" s="49">
        <v>4</v>
      </c>
      <c r="L54" s="49">
        <v>6.3</v>
      </c>
      <c r="M54" s="49">
        <v>8</v>
      </c>
      <c r="N54" s="49">
        <v>10</v>
      </c>
      <c r="O54" s="49">
        <v>12.5</v>
      </c>
      <c r="P54" s="49">
        <v>14</v>
      </c>
      <c r="Q54" s="50">
        <v>16</v>
      </c>
      <c r="R54" s="50">
        <v>20</v>
      </c>
      <c r="S54" s="49"/>
      <c r="T54" s="50"/>
      <c r="U54" s="462"/>
      <c r="V54" s="463"/>
      <c r="W54" s="465"/>
      <c r="X54" s="463"/>
      <c r="Y54" s="468"/>
      <c r="Z54" s="469"/>
      <c r="AA54" s="44"/>
      <c r="AB54" s="371"/>
      <c r="AC54" s="372"/>
      <c r="AD54" s="374"/>
      <c r="AE54" s="376"/>
      <c r="AF54" s="470"/>
      <c r="AG54" s="455"/>
    </row>
    <row r="55" spans="1:34" ht="24.9" customHeight="1" x14ac:dyDescent="0.25">
      <c r="A55" s="46"/>
      <c r="B55" s="51">
        <v>1</v>
      </c>
      <c r="C55" s="492" t="s">
        <v>96</v>
      </c>
      <c r="D55" s="493"/>
      <c r="E55" s="242">
        <v>7.4</v>
      </c>
      <c r="F55" s="243">
        <v>9.6999999999999993</v>
      </c>
      <c r="G55" s="244">
        <v>12.8</v>
      </c>
      <c r="H55" s="244">
        <v>16.8</v>
      </c>
      <c r="I55" s="244">
        <v>22.2</v>
      </c>
      <c r="J55" s="244">
        <v>31.4</v>
      </c>
      <c r="K55" s="244">
        <v>42.9</v>
      </c>
      <c r="L55" s="244">
        <v>52.2</v>
      </c>
      <c r="M55" s="244">
        <v>63.4</v>
      </c>
      <c r="N55" s="244">
        <v>76.7</v>
      </c>
      <c r="O55" s="244">
        <v>87.4</v>
      </c>
      <c r="P55" s="244">
        <v>95.3</v>
      </c>
      <c r="Q55" s="244">
        <v>100</v>
      </c>
      <c r="R55" s="244"/>
      <c r="S55" s="245"/>
      <c r="T55" s="245"/>
      <c r="U55" s="494"/>
      <c r="V55" s="495"/>
      <c r="W55" s="496">
        <v>4.5</v>
      </c>
      <c r="X55" s="497"/>
      <c r="Y55" s="479">
        <f>IF(W55&lt;&gt;0,AE55,"")</f>
        <v>2.7832145420286336</v>
      </c>
      <c r="Z55" s="480"/>
      <c r="AA55" s="52"/>
      <c r="AB55" s="326">
        <f>(100*W55)/(100-W55)</f>
        <v>4.7120418848167542</v>
      </c>
      <c r="AC55" s="327"/>
      <c r="AD55" s="53">
        <f>(0.25*(100-O55)+2.3*(O55-H55)+12*(H55-E55)+150*(E55))/100</f>
        <v>13.883299999999998</v>
      </c>
      <c r="AE55" s="54">
        <f>(AB55*$AE$51)/(2.65*(AD55)^(1/5))</f>
        <v>2.7832145420286336</v>
      </c>
      <c r="AF55" s="28"/>
      <c r="AG55" s="55"/>
    </row>
    <row r="56" spans="1:34" ht="24.9" customHeight="1" x14ac:dyDescent="0.25">
      <c r="A56" s="46"/>
      <c r="B56" s="56">
        <v>2</v>
      </c>
      <c r="C56" s="492" t="s">
        <v>97</v>
      </c>
      <c r="D56" s="493"/>
      <c r="E56" s="242">
        <v>7.2</v>
      </c>
      <c r="F56" s="243">
        <v>9.4</v>
      </c>
      <c r="G56" s="244">
        <v>12.2</v>
      </c>
      <c r="H56" s="244">
        <v>15.7</v>
      </c>
      <c r="I56" s="244">
        <v>20.5</v>
      </c>
      <c r="J56" s="244">
        <v>28</v>
      </c>
      <c r="K56" s="244">
        <v>38.200000000000003</v>
      </c>
      <c r="L56" s="244">
        <v>46.6</v>
      </c>
      <c r="M56" s="244">
        <v>57.9</v>
      </c>
      <c r="N56" s="244">
        <v>71.8</v>
      </c>
      <c r="O56" s="244">
        <v>88</v>
      </c>
      <c r="P56" s="244">
        <v>93.6</v>
      </c>
      <c r="Q56" s="244">
        <v>100</v>
      </c>
      <c r="R56" s="244"/>
      <c r="S56" s="245"/>
      <c r="T56" s="245"/>
      <c r="U56" s="494"/>
      <c r="V56" s="495"/>
      <c r="W56" s="496">
        <v>4.16</v>
      </c>
      <c r="X56" s="497"/>
      <c r="Y56" s="498">
        <f>IF(W56&lt;&gt;0,AE56,"")</f>
        <v>2.5777031210021697</v>
      </c>
      <c r="Z56" s="499"/>
      <c r="AA56" s="52"/>
      <c r="AB56" s="326">
        <f>(100*W56)/(100-W56)</f>
        <v>4.3405676126878125</v>
      </c>
      <c r="AC56" s="327"/>
      <c r="AD56" s="53">
        <f t="shared" ref="AD56:AD62" si="0">(0.25*(100-O56)+2.3*(O56-H56)+12*(H56-E56)+150*(E56))/100</f>
        <v>13.5129</v>
      </c>
      <c r="AE56" s="54">
        <f t="shared" ref="AE56:AE62" si="1">(AB56*$AE$51)/(2.65*(AD56)^(1/5))</f>
        <v>2.5777031210021697</v>
      </c>
      <c r="AF56" s="28"/>
      <c r="AG56" s="55"/>
    </row>
    <row r="57" spans="1:34" ht="24.9" customHeight="1" x14ac:dyDescent="0.25">
      <c r="A57" s="46"/>
      <c r="B57" s="56">
        <v>3</v>
      </c>
      <c r="C57" s="500"/>
      <c r="D57" s="501"/>
      <c r="E57" s="57"/>
      <c r="F57" s="58"/>
      <c r="G57" s="58"/>
      <c r="H57" s="59"/>
      <c r="I57" s="59"/>
      <c r="J57" s="59"/>
      <c r="K57" s="59"/>
      <c r="L57" s="59"/>
      <c r="M57" s="59"/>
      <c r="N57" s="59"/>
      <c r="O57" s="60"/>
      <c r="P57" s="59"/>
      <c r="Q57" s="60"/>
      <c r="R57" s="59"/>
      <c r="S57" s="59"/>
      <c r="T57" s="61"/>
      <c r="U57" s="502"/>
      <c r="V57" s="503"/>
      <c r="W57" s="504"/>
      <c r="X57" s="505"/>
      <c r="Y57" s="498" t="str">
        <f t="shared" ref="Y57:Y58" si="2">IF(W57&lt;&gt;0,AE57,"")</f>
        <v/>
      </c>
      <c r="Z57" s="499"/>
      <c r="AA57" s="52"/>
      <c r="AB57" s="326">
        <f>(100*W57)/(100-W57)</f>
        <v>0</v>
      </c>
      <c r="AC57" s="327"/>
      <c r="AD57" s="53">
        <f t="shared" si="0"/>
        <v>0.25</v>
      </c>
      <c r="AE57" s="54">
        <f t="shared" si="1"/>
        <v>0</v>
      </c>
      <c r="AF57" s="28"/>
      <c r="AG57" s="55"/>
    </row>
    <row r="58" spans="1:34" ht="24.9" customHeight="1" thickBot="1" x14ac:dyDescent="0.3">
      <c r="A58" s="46"/>
      <c r="B58" s="62">
        <v>4</v>
      </c>
      <c r="C58" s="481"/>
      <c r="D58" s="482"/>
      <c r="E58" s="63"/>
      <c r="F58" s="64"/>
      <c r="G58" s="64"/>
      <c r="H58" s="65"/>
      <c r="I58" s="65"/>
      <c r="J58" s="65"/>
      <c r="K58" s="65"/>
      <c r="L58" s="65"/>
      <c r="M58" s="65"/>
      <c r="N58" s="65"/>
      <c r="O58" s="66"/>
      <c r="P58" s="65"/>
      <c r="Q58" s="66"/>
      <c r="R58" s="65"/>
      <c r="S58" s="65"/>
      <c r="T58" s="67"/>
      <c r="U58" s="483"/>
      <c r="V58" s="484"/>
      <c r="W58" s="485"/>
      <c r="X58" s="486"/>
      <c r="Y58" s="487" t="str">
        <f t="shared" si="2"/>
        <v/>
      </c>
      <c r="Z58" s="488"/>
      <c r="AA58" s="52"/>
      <c r="AB58" s="326">
        <f>(100*W58)/(100-W58)</f>
        <v>0</v>
      </c>
      <c r="AC58" s="327"/>
      <c r="AD58" s="53">
        <f t="shared" si="0"/>
        <v>0.25</v>
      </c>
      <c r="AE58" s="54">
        <f t="shared" si="1"/>
        <v>0</v>
      </c>
      <c r="AF58" s="28"/>
      <c r="AG58" s="55"/>
    </row>
    <row r="59" spans="1:34" ht="10.5" customHeight="1" thickBot="1" x14ac:dyDescent="0.3">
      <c r="A59" s="46"/>
      <c r="B59" s="2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9"/>
      <c r="P59" s="68"/>
      <c r="Q59" s="69"/>
      <c r="R59" s="68"/>
      <c r="S59" s="68"/>
      <c r="T59" s="68"/>
      <c r="U59" s="68"/>
      <c r="V59" s="68"/>
      <c r="W59" s="70"/>
      <c r="Z59" s="71"/>
      <c r="AB59" s="72"/>
      <c r="AC59" s="73"/>
      <c r="AD59" s="53"/>
      <c r="AE59" s="54"/>
      <c r="AF59" s="28"/>
      <c r="AG59" s="55"/>
    </row>
    <row r="60" spans="1:34" ht="24.75" hidden="1" customHeight="1" x14ac:dyDescent="0.25">
      <c r="A60" s="46"/>
      <c r="B60" s="489" t="s">
        <v>38</v>
      </c>
      <c r="C60" s="490"/>
      <c r="D60" s="491"/>
      <c r="E60" s="74"/>
      <c r="F60" s="74"/>
      <c r="G60" s="74"/>
      <c r="H60" s="74"/>
      <c r="I60" s="74"/>
      <c r="J60" s="74"/>
      <c r="K60" s="74"/>
      <c r="L60" s="74"/>
      <c r="M60" s="74">
        <v>10</v>
      </c>
      <c r="N60" s="74">
        <v>10</v>
      </c>
      <c r="O60" s="75"/>
      <c r="P60" s="74"/>
      <c r="Q60" s="75">
        <v>50</v>
      </c>
      <c r="R60" s="74"/>
      <c r="S60" s="74">
        <v>70</v>
      </c>
      <c r="T60" s="74"/>
      <c r="U60" s="74"/>
      <c r="V60" s="74"/>
      <c r="W60" s="74"/>
      <c r="X60" s="76"/>
      <c r="Y60" s="77">
        <v>4.5</v>
      </c>
      <c r="Z60" s="77"/>
      <c r="AA60" s="28"/>
      <c r="AB60" s="72"/>
      <c r="AC60" s="73"/>
      <c r="AD60" s="53">
        <f t="shared" si="0"/>
        <v>0.25</v>
      </c>
      <c r="AE60" s="54">
        <f t="shared" si="1"/>
        <v>0</v>
      </c>
      <c r="AF60" s="28"/>
      <c r="AG60" s="55"/>
    </row>
    <row r="61" spans="1:34" ht="18.75" customHeight="1" x14ac:dyDescent="0.25">
      <c r="A61" s="46"/>
      <c r="B61" s="506" t="s">
        <v>39</v>
      </c>
      <c r="C61" s="507"/>
      <c r="D61" s="508"/>
      <c r="E61" s="78">
        <f>IF(E55&lt;&gt;0,AVERAGE(E55:E58),"")</f>
        <v>7.3000000000000007</v>
      </c>
      <c r="F61" s="78">
        <f t="shared" ref="F61:L61" si="3">IF(F55&lt;&gt;0,AVERAGE(F55:F58),"")</f>
        <v>9.5500000000000007</v>
      </c>
      <c r="G61" s="78">
        <f t="shared" si="3"/>
        <v>12.5</v>
      </c>
      <c r="H61" s="78">
        <f t="shared" si="3"/>
        <v>16.25</v>
      </c>
      <c r="I61" s="78">
        <f t="shared" si="3"/>
        <v>21.35</v>
      </c>
      <c r="J61" s="78">
        <f t="shared" si="3"/>
        <v>29.7</v>
      </c>
      <c r="K61" s="78">
        <f t="shared" si="3"/>
        <v>40.549999999999997</v>
      </c>
      <c r="L61" s="78">
        <f t="shared" si="3"/>
        <v>49.400000000000006</v>
      </c>
      <c r="M61" s="78">
        <f>IF(M55&lt;&gt;0,AVERAGE(M55:M58),"")</f>
        <v>60.65</v>
      </c>
      <c r="N61" s="78">
        <f>IF(N55&lt;&gt;0,AVERAGE(N55:N58),"")</f>
        <v>74.25</v>
      </c>
      <c r="O61" s="79">
        <f>IF(O55&lt;&gt;0,AVERAGE(O55:O58),"")</f>
        <v>87.7</v>
      </c>
      <c r="P61" s="79">
        <f t="shared" ref="P61:Q61" si="4">IF(P55&lt;&gt;0,AVERAGE(P55:P58),"")</f>
        <v>94.449999999999989</v>
      </c>
      <c r="Q61" s="79">
        <f t="shared" si="4"/>
        <v>100</v>
      </c>
      <c r="R61" s="78"/>
      <c r="S61" s="78" t="str">
        <f t="shared" ref="S61:T61" si="5">IF(S55&lt;&gt;0,AVERAGE(S55:S58),"")</f>
        <v/>
      </c>
      <c r="T61" s="80" t="str">
        <f t="shared" si="5"/>
        <v/>
      </c>
      <c r="U61" s="509" t="str">
        <f>IF(U55&lt;&gt;0,AVERAGE(U55:V58),"")</f>
        <v/>
      </c>
      <c r="V61" s="510"/>
      <c r="W61" s="511">
        <f>IF(W55&lt;&gt;0,AVERAGE(W55:X58),"")</f>
        <v>4.33</v>
      </c>
      <c r="X61" s="512"/>
      <c r="Y61" s="513">
        <f>IF(W55&lt;&gt;0,AVERAGE(Y55:Z58),"")</f>
        <v>2.6804588315154017</v>
      </c>
      <c r="Z61" s="514"/>
      <c r="AA61" s="55"/>
      <c r="AB61" s="326">
        <f>(100*W61)/(100-W61)</f>
        <v>4.5259747047141214</v>
      </c>
      <c r="AC61" s="327"/>
      <c r="AD61" s="53">
        <f t="shared" si="0"/>
        <v>13.6981</v>
      </c>
      <c r="AE61" s="54">
        <f t="shared" si="1"/>
        <v>2.6805020288759995</v>
      </c>
      <c r="AF61" s="28"/>
      <c r="AG61" s="55"/>
    </row>
    <row r="62" spans="1:34" ht="21" customHeight="1" x14ac:dyDescent="0.25">
      <c r="A62" s="46"/>
      <c r="B62" s="515" t="s">
        <v>40</v>
      </c>
      <c r="C62" s="516"/>
      <c r="D62" s="517"/>
      <c r="E62" s="81">
        <v>7</v>
      </c>
      <c r="F62" s="81">
        <v>9</v>
      </c>
      <c r="G62" s="81">
        <v>12</v>
      </c>
      <c r="H62" s="81">
        <v>17</v>
      </c>
      <c r="I62" s="81">
        <v>22</v>
      </c>
      <c r="J62" s="81">
        <v>32</v>
      </c>
      <c r="K62" s="81">
        <v>44</v>
      </c>
      <c r="L62" s="81">
        <v>51</v>
      </c>
      <c r="M62" s="81">
        <v>61</v>
      </c>
      <c r="N62" s="81">
        <v>75</v>
      </c>
      <c r="O62" s="81">
        <v>92</v>
      </c>
      <c r="P62" s="81">
        <v>98</v>
      </c>
      <c r="Q62" s="82">
        <v>100</v>
      </c>
      <c r="R62" s="81"/>
      <c r="S62" s="81"/>
      <c r="T62" s="83"/>
      <c r="U62" s="518"/>
      <c r="V62" s="519"/>
      <c r="W62" s="520">
        <v>4.5999999999999996</v>
      </c>
      <c r="X62" s="521"/>
      <c r="Y62" s="522">
        <f>AE62</f>
        <v>2.8663774597736555</v>
      </c>
      <c r="Z62" s="523"/>
      <c r="AA62" s="55"/>
      <c r="AB62" s="326">
        <f>(100*W62)/(100-W62)</f>
        <v>4.8218029350104814</v>
      </c>
      <c r="AC62" s="327"/>
      <c r="AD62" s="53">
        <f t="shared" si="0"/>
        <v>13.445</v>
      </c>
      <c r="AE62" s="54">
        <f t="shared" si="1"/>
        <v>2.8663774597736555</v>
      </c>
      <c r="AF62" s="28"/>
      <c r="AG62" s="55"/>
    </row>
    <row r="63" spans="1:34" ht="13.5" customHeight="1" x14ac:dyDescent="0.25">
      <c r="A63" s="46"/>
      <c r="B63" s="84"/>
      <c r="C63" s="85" t="s">
        <v>41</v>
      </c>
      <c r="D63" s="86"/>
      <c r="E63" s="59">
        <f>E62+2</f>
        <v>9</v>
      </c>
      <c r="F63" s="59"/>
      <c r="G63" s="59"/>
      <c r="H63" s="59"/>
      <c r="I63" s="59"/>
      <c r="J63" s="59">
        <f>J62+6</f>
        <v>38</v>
      </c>
      <c r="K63" s="59"/>
      <c r="L63" s="59">
        <f>L62+7</f>
        <v>58</v>
      </c>
      <c r="M63" s="59"/>
      <c r="N63" s="59"/>
      <c r="O63" s="59"/>
      <c r="P63" s="59"/>
      <c r="Q63" s="60"/>
      <c r="R63" s="59"/>
      <c r="S63" s="59"/>
      <c r="T63" s="61"/>
      <c r="U63" s="502"/>
      <c r="V63" s="503"/>
      <c r="W63" s="524">
        <f>W62+0.5</f>
        <v>5.0999999999999996</v>
      </c>
      <c r="X63" s="503"/>
      <c r="Y63" s="500"/>
      <c r="Z63" s="525"/>
      <c r="AA63" s="87"/>
      <c r="AB63" s="88"/>
      <c r="AC63" s="89"/>
      <c r="AD63" s="306"/>
      <c r="AE63" s="308" t="s">
        <v>42</v>
      </c>
      <c r="AF63" s="28"/>
      <c r="AG63" s="55"/>
    </row>
    <row r="64" spans="1:34" ht="13.5" customHeight="1" thickBot="1" x14ac:dyDescent="0.3">
      <c r="A64" s="46"/>
      <c r="B64" s="462" t="s">
        <v>43</v>
      </c>
      <c r="C64" s="465"/>
      <c r="D64" s="463"/>
      <c r="E64" s="90">
        <f>E62-2</f>
        <v>5</v>
      </c>
      <c r="F64" s="90"/>
      <c r="G64" s="91"/>
      <c r="H64" s="91"/>
      <c r="I64" s="91"/>
      <c r="J64" s="90">
        <f>J62-6</f>
        <v>26</v>
      </c>
      <c r="K64" s="91"/>
      <c r="L64" s="90">
        <f>L62-7</f>
        <v>44</v>
      </c>
      <c r="M64" s="90"/>
      <c r="N64" s="91"/>
      <c r="O64" s="91"/>
      <c r="P64" s="91"/>
      <c r="Q64" s="90"/>
      <c r="R64" s="91"/>
      <c r="S64" s="91"/>
      <c r="T64" s="92"/>
      <c r="U64" s="526"/>
      <c r="V64" s="527"/>
      <c r="W64" s="528">
        <f>W62-0.5</f>
        <v>4.0999999999999996</v>
      </c>
      <c r="X64" s="527"/>
      <c r="Y64" s="481"/>
      <c r="Z64" s="529"/>
      <c r="AA64" s="93"/>
      <c r="AB64" s="94"/>
      <c r="AC64" s="95"/>
      <c r="AD64" s="307"/>
      <c r="AE64" s="309"/>
      <c r="AF64" s="28"/>
      <c r="AG64" s="55"/>
    </row>
    <row r="65" spans="1:30" ht="6.75" customHeight="1" x14ac:dyDescent="0.25">
      <c r="A65" s="23"/>
      <c r="B65" s="24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96"/>
    </row>
    <row r="66" spans="1:30" ht="8.25" customHeight="1" x14ac:dyDescent="0.25"/>
    <row r="67" spans="1:30" ht="34.5" customHeight="1" x14ac:dyDescent="0.25">
      <c r="A67" s="97" t="s">
        <v>44</v>
      </c>
      <c r="B67" s="98" t="s">
        <v>45</v>
      </c>
      <c r="C67" s="99"/>
      <c r="D67" s="99"/>
      <c r="E67" s="99"/>
      <c r="F67" s="100"/>
      <c r="G67" s="100"/>
      <c r="H67" s="100"/>
      <c r="I67" s="10"/>
      <c r="J67" s="10"/>
      <c r="K67" s="10"/>
      <c r="L67" s="10"/>
      <c r="M67" s="10"/>
      <c r="N67" s="10"/>
      <c r="O67" s="10"/>
      <c r="P67" s="10"/>
      <c r="Q67" s="100"/>
      <c r="R67" s="10"/>
      <c r="S67" s="10"/>
      <c r="T67" s="10"/>
      <c r="U67" s="543"/>
      <c r="V67" s="543"/>
      <c r="W67" s="543"/>
      <c r="X67" s="543"/>
      <c r="Y67" s="543"/>
      <c r="Z67" s="544"/>
      <c r="AA67" s="101"/>
      <c r="AB67" s="102"/>
      <c r="AC67" s="102"/>
      <c r="AD67" s="103"/>
    </row>
    <row r="68" spans="1:30" ht="27" customHeight="1" x14ac:dyDescent="0.25">
      <c r="A68" s="545" t="s">
        <v>46</v>
      </c>
      <c r="B68" s="546"/>
      <c r="C68" s="546"/>
      <c r="D68" s="546"/>
      <c r="E68" s="546"/>
      <c r="F68" s="546"/>
      <c r="G68" s="546"/>
      <c r="H68" s="546"/>
      <c r="I68" s="546"/>
      <c r="J68" s="546"/>
      <c r="K68" s="546"/>
      <c r="L68" s="546"/>
      <c r="M68" s="546"/>
      <c r="N68" s="546"/>
      <c r="O68" s="546"/>
      <c r="P68" s="546"/>
      <c r="Q68" s="547"/>
      <c r="R68" s="536" t="s">
        <v>47</v>
      </c>
      <c r="S68" s="537"/>
      <c r="T68" s="538"/>
      <c r="U68" s="275" t="s">
        <v>57</v>
      </c>
      <c r="V68" s="276"/>
      <c r="W68" s="276"/>
      <c r="X68" s="277"/>
      <c r="Y68" s="277"/>
      <c r="Z68" s="278"/>
      <c r="AA68" s="104"/>
      <c r="AB68" s="105"/>
      <c r="AC68" s="105"/>
      <c r="AD68" s="103"/>
    </row>
    <row r="69" spans="1:30" ht="15.75" customHeight="1" x14ac:dyDescent="0.25">
      <c r="A69" s="548" t="s">
        <v>48</v>
      </c>
      <c r="B69" s="549"/>
      <c r="C69" s="549"/>
      <c r="D69" s="549"/>
      <c r="E69" s="549"/>
      <c r="F69" s="549"/>
      <c r="G69" s="549"/>
      <c r="H69" s="549"/>
      <c r="I69" s="549"/>
      <c r="J69" s="549"/>
      <c r="K69" s="549"/>
      <c r="L69" s="549"/>
      <c r="M69" s="549"/>
      <c r="N69" s="549"/>
      <c r="O69" s="549"/>
      <c r="P69" s="549"/>
      <c r="Q69" s="550"/>
      <c r="R69" s="536" t="s">
        <v>49</v>
      </c>
      <c r="S69" s="537"/>
      <c r="T69" s="538"/>
      <c r="U69" s="554" t="s">
        <v>58</v>
      </c>
      <c r="V69" s="555"/>
      <c r="W69" s="555"/>
      <c r="X69" s="555"/>
      <c r="Y69" s="555"/>
      <c r="Z69" s="556"/>
      <c r="AA69" s="104"/>
      <c r="AB69" s="105"/>
      <c r="AC69" s="105"/>
      <c r="AD69" s="103"/>
    </row>
    <row r="70" spans="1:30" ht="9" customHeight="1" x14ac:dyDescent="0.25">
      <c r="A70" s="548"/>
      <c r="B70" s="549"/>
      <c r="C70" s="549"/>
      <c r="D70" s="549"/>
      <c r="E70" s="549"/>
      <c r="F70" s="549"/>
      <c r="G70" s="549"/>
      <c r="H70" s="549"/>
      <c r="I70" s="549"/>
      <c r="J70" s="549"/>
      <c r="K70" s="549"/>
      <c r="L70" s="549"/>
      <c r="M70" s="549"/>
      <c r="N70" s="549"/>
      <c r="O70" s="549"/>
      <c r="P70" s="549"/>
      <c r="Q70" s="550"/>
      <c r="R70" s="536"/>
      <c r="S70" s="537"/>
      <c r="T70" s="538"/>
      <c r="U70" s="557"/>
      <c r="V70" s="454"/>
      <c r="W70" s="454"/>
      <c r="X70" s="454"/>
      <c r="Y70" s="454"/>
      <c r="Z70" s="558"/>
      <c r="AA70" s="104"/>
      <c r="AB70" s="105"/>
      <c r="AC70" s="105"/>
      <c r="AD70" s="103"/>
    </row>
    <row r="71" spans="1:30" ht="15.9" customHeight="1" x14ac:dyDescent="0.25">
      <c r="A71" s="551"/>
      <c r="B71" s="552"/>
      <c r="C71" s="552"/>
      <c r="D71" s="552"/>
      <c r="E71" s="552"/>
      <c r="F71" s="552"/>
      <c r="G71" s="552"/>
      <c r="H71" s="552"/>
      <c r="I71" s="552"/>
      <c r="J71" s="552"/>
      <c r="K71" s="552"/>
      <c r="L71" s="552"/>
      <c r="M71" s="552"/>
      <c r="N71" s="552"/>
      <c r="O71" s="552"/>
      <c r="P71" s="552"/>
      <c r="Q71" s="553"/>
      <c r="R71" s="536"/>
      <c r="S71" s="537"/>
      <c r="T71" s="538"/>
      <c r="U71" s="557"/>
      <c r="V71" s="454"/>
      <c r="W71" s="454"/>
      <c r="X71" s="454"/>
      <c r="Y71" s="454"/>
      <c r="Z71" s="558"/>
      <c r="AA71" s="104"/>
      <c r="AB71" s="105"/>
      <c r="AC71" s="105"/>
      <c r="AD71" s="103"/>
    </row>
    <row r="72" spans="1:30" ht="15.9" customHeight="1" x14ac:dyDescent="0.25">
      <c r="A72" s="106" t="s">
        <v>50</v>
      </c>
      <c r="B72" s="107" t="s">
        <v>51</v>
      </c>
      <c r="C72" s="13"/>
      <c r="D72" s="13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9"/>
      <c r="R72" s="536"/>
      <c r="S72" s="537"/>
      <c r="T72" s="538"/>
      <c r="U72" s="559"/>
      <c r="V72" s="560"/>
      <c r="W72" s="560"/>
      <c r="X72" s="560"/>
      <c r="Y72" s="560"/>
      <c r="Z72" s="561"/>
      <c r="AA72" s="104"/>
      <c r="AB72" s="105"/>
      <c r="AC72" s="105"/>
      <c r="AD72" s="103"/>
    </row>
    <row r="73" spans="1:30" ht="15.75" customHeight="1" x14ac:dyDescent="0.25">
      <c r="A73" s="530"/>
      <c r="B73" s="531"/>
      <c r="C73" s="531"/>
      <c r="D73" s="531"/>
      <c r="E73" s="531"/>
      <c r="F73" s="531"/>
      <c r="G73" s="531"/>
      <c r="H73" s="531"/>
      <c r="I73" s="531"/>
      <c r="J73" s="531"/>
      <c r="K73" s="531"/>
      <c r="L73" s="531"/>
      <c r="M73" s="531"/>
      <c r="N73" s="531"/>
      <c r="O73" s="531"/>
      <c r="P73" s="531"/>
      <c r="Q73" s="532"/>
      <c r="R73" s="536" t="s">
        <v>52</v>
      </c>
      <c r="S73" s="537"/>
      <c r="T73" s="538"/>
      <c r="U73" s="110"/>
      <c r="V73" s="111"/>
      <c r="W73" s="111"/>
      <c r="X73" s="111"/>
      <c r="Y73" s="111"/>
      <c r="Z73" s="112"/>
      <c r="AA73" s="113"/>
      <c r="AB73" s="114"/>
      <c r="AC73" s="114"/>
      <c r="AD73" s="103"/>
    </row>
    <row r="74" spans="1:30" ht="15.9" customHeight="1" x14ac:dyDescent="0.25">
      <c r="A74" s="530"/>
      <c r="B74" s="531"/>
      <c r="C74" s="531"/>
      <c r="D74" s="531"/>
      <c r="E74" s="531"/>
      <c r="F74" s="531"/>
      <c r="G74" s="531"/>
      <c r="H74" s="531"/>
      <c r="I74" s="531"/>
      <c r="J74" s="531"/>
      <c r="K74" s="531"/>
      <c r="L74" s="531"/>
      <c r="M74" s="531"/>
      <c r="N74" s="531"/>
      <c r="O74" s="531"/>
      <c r="P74" s="531"/>
      <c r="Q74" s="532"/>
      <c r="R74" s="536"/>
      <c r="S74" s="537"/>
      <c r="T74" s="538"/>
      <c r="U74" s="115"/>
      <c r="V74" s="542"/>
      <c r="W74" s="542"/>
      <c r="X74" s="542"/>
      <c r="Y74" s="542"/>
      <c r="Z74" s="116"/>
      <c r="AA74" s="113"/>
      <c r="AB74" s="114"/>
      <c r="AC74" s="114"/>
      <c r="AD74" s="103"/>
    </row>
    <row r="75" spans="1:30" ht="15.9" customHeight="1" x14ac:dyDescent="0.25">
      <c r="A75" s="530"/>
      <c r="B75" s="531"/>
      <c r="C75" s="531"/>
      <c r="D75" s="531"/>
      <c r="E75" s="531"/>
      <c r="F75" s="531"/>
      <c r="G75" s="531"/>
      <c r="H75" s="531"/>
      <c r="I75" s="531"/>
      <c r="J75" s="531"/>
      <c r="K75" s="531"/>
      <c r="L75" s="531"/>
      <c r="M75" s="531"/>
      <c r="N75" s="531"/>
      <c r="O75" s="531"/>
      <c r="P75" s="531"/>
      <c r="Q75" s="532"/>
      <c r="R75" s="536"/>
      <c r="S75" s="537"/>
      <c r="T75" s="538"/>
      <c r="U75" s="115"/>
      <c r="V75" s="542"/>
      <c r="W75" s="542"/>
      <c r="X75" s="542"/>
      <c r="Y75" s="542"/>
      <c r="Z75" s="116"/>
      <c r="AA75" s="113"/>
      <c r="AB75" s="114"/>
      <c r="AC75" s="114"/>
      <c r="AD75" s="103"/>
    </row>
    <row r="76" spans="1:30" ht="15.75" customHeight="1" x14ac:dyDescent="0.25">
      <c r="A76" s="533"/>
      <c r="B76" s="534"/>
      <c r="C76" s="534"/>
      <c r="D76" s="534"/>
      <c r="E76" s="534"/>
      <c r="F76" s="534"/>
      <c r="G76" s="534"/>
      <c r="H76" s="534"/>
      <c r="I76" s="534"/>
      <c r="J76" s="534"/>
      <c r="K76" s="534"/>
      <c r="L76" s="534"/>
      <c r="M76" s="534"/>
      <c r="N76" s="534"/>
      <c r="O76" s="534"/>
      <c r="P76" s="534"/>
      <c r="Q76" s="535"/>
      <c r="R76" s="539"/>
      <c r="S76" s="540"/>
      <c r="T76" s="541"/>
      <c r="U76" s="117"/>
      <c r="V76" s="118"/>
      <c r="W76" s="118"/>
      <c r="X76" s="118"/>
      <c r="Y76" s="118"/>
      <c r="Z76" s="119"/>
      <c r="AA76" s="113"/>
      <c r="AB76" s="114"/>
      <c r="AC76" s="114"/>
      <c r="AD76" s="103"/>
    </row>
  </sheetData>
  <mergeCells count="106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2:F12"/>
    <mergeCell ref="G12:L12"/>
    <mergeCell ref="M12:R12"/>
    <mergeCell ref="S12:Y12"/>
    <mergeCell ref="G13:L13"/>
    <mergeCell ref="M13:R13"/>
    <mergeCell ref="S13:Y13"/>
    <mergeCell ref="AE10:AI10"/>
    <mergeCell ref="B11:F11"/>
    <mergeCell ref="G11:L11"/>
    <mergeCell ref="M11:R11"/>
    <mergeCell ref="S11:Y11"/>
    <mergeCell ref="AE11:AI11"/>
    <mergeCell ref="AE15:AJ15"/>
    <mergeCell ref="AE16:AJ16"/>
    <mergeCell ref="B19:H19"/>
    <mergeCell ref="I19:Y19"/>
    <mergeCell ref="B20:H20"/>
    <mergeCell ref="I20:Y20"/>
    <mergeCell ref="AE13:AJ13"/>
    <mergeCell ref="B14:F14"/>
    <mergeCell ref="G14:L14"/>
    <mergeCell ref="M14:R14"/>
    <mergeCell ref="S14:Y14"/>
    <mergeCell ref="AE14:AJ14"/>
    <mergeCell ref="AD51:AD52"/>
    <mergeCell ref="AE51:AE52"/>
    <mergeCell ref="AF51:AF52"/>
    <mergeCell ref="AG51:AG52"/>
    <mergeCell ref="E53:T53"/>
    <mergeCell ref="U53:V54"/>
    <mergeCell ref="W53:X54"/>
    <mergeCell ref="Y53:Z54"/>
    <mergeCell ref="AB53:AC54"/>
    <mergeCell ref="AD53:AD54"/>
    <mergeCell ref="AE53:AE54"/>
    <mergeCell ref="AF53:AF54"/>
    <mergeCell ref="AG53:AG54"/>
    <mergeCell ref="C54:D54"/>
    <mergeCell ref="C55:D55"/>
    <mergeCell ref="U55:V55"/>
    <mergeCell ref="W55:X55"/>
    <mergeCell ref="Y55:Z55"/>
    <mergeCell ref="AB55:AC55"/>
    <mergeCell ref="C58:D58"/>
    <mergeCell ref="U58:V58"/>
    <mergeCell ref="W58:X58"/>
    <mergeCell ref="Y58:Z58"/>
    <mergeCell ref="AB58:AC58"/>
    <mergeCell ref="B60:D60"/>
    <mergeCell ref="C56:D56"/>
    <mergeCell ref="U56:V56"/>
    <mergeCell ref="W56:X56"/>
    <mergeCell ref="Y56:Z56"/>
    <mergeCell ref="AB56:AC56"/>
    <mergeCell ref="C57:D57"/>
    <mergeCell ref="U57:V57"/>
    <mergeCell ref="W57:X57"/>
    <mergeCell ref="Y57:Z57"/>
    <mergeCell ref="AB57:AC57"/>
    <mergeCell ref="B61:D61"/>
    <mergeCell ref="U61:V61"/>
    <mergeCell ref="W61:X61"/>
    <mergeCell ref="Y61:Z61"/>
    <mergeCell ref="AB61:AC61"/>
    <mergeCell ref="B62:D62"/>
    <mergeCell ref="U62:V62"/>
    <mergeCell ref="W62:X62"/>
    <mergeCell ref="Y62:Z62"/>
    <mergeCell ref="AB62:AC62"/>
    <mergeCell ref="U63:V63"/>
    <mergeCell ref="W63:X63"/>
    <mergeCell ref="Y63:Z63"/>
    <mergeCell ref="AD63:AD64"/>
    <mergeCell ref="AE63:AE64"/>
    <mergeCell ref="B64:D64"/>
    <mergeCell ref="U64:V64"/>
    <mergeCell ref="W64:X64"/>
    <mergeCell ref="Y64:Z64"/>
    <mergeCell ref="A73:Q76"/>
    <mergeCell ref="R73:T76"/>
    <mergeCell ref="V74:Y75"/>
    <mergeCell ref="U67:Z67"/>
    <mergeCell ref="A68:Q68"/>
    <mergeCell ref="R68:T68"/>
    <mergeCell ref="U68:Z68"/>
    <mergeCell ref="A69:Q71"/>
    <mergeCell ref="R69:T72"/>
    <mergeCell ref="U69:Z72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D5A6F-E046-47C1-9550-C8D793E76D2A}">
  <sheetPr>
    <pageSetUpPr fitToPage="1"/>
  </sheetPr>
  <dimension ref="A1:AN76"/>
  <sheetViews>
    <sheetView topLeftCell="A51" zoomScaleNormal="100" workbookViewId="0">
      <selection activeCell="C55" sqref="C55:D56"/>
    </sheetView>
  </sheetViews>
  <sheetFormatPr baseColWidth="10" defaultColWidth="11.44140625" defaultRowHeight="12.75" customHeight="1" x14ac:dyDescent="0.25"/>
  <cols>
    <col min="1" max="2" width="5.109375" style="28" customWidth="1"/>
    <col min="3" max="27" width="5.109375" style="2" customWidth="1"/>
    <col min="28" max="41" width="11.44140625" style="2" customWidth="1"/>
    <col min="42" max="16384" width="11.44140625" style="2"/>
  </cols>
  <sheetData>
    <row r="1" spans="1:36" ht="12.75" customHeight="1" x14ac:dyDescent="0.25">
      <c r="A1" s="430"/>
      <c r="B1" s="431"/>
      <c r="C1" s="431"/>
      <c r="D1" s="431"/>
      <c r="E1" s="431"/>
      <c r="F1" s="432"/>
      <c r="G1" s="439" t="s">
        <v>0</v>
      </c>
      <c r="H1" s="440"/>
      <c r="I1" s="440"/>
      <c r="J1" s="440"/>
      <c r="K1" s="440"/>
      <c r="L1" s="440"/>
      <c r="M1" s="440"/>
      <c r="N1" s="440"/>
      <c r="O1" s="440"/>
      <c r="P1" s="440"/>
      <c r="Q1" s="440"/>
      <c r="R1" s="440"/>
      <c r="S1" s="440"/>
      <c r="T1" s="441"/>
      <c r="U1" s="405" t="s">
        <v>59</v>
      </c>
      <c r="V1" s="406"/>
      <c r="W1" s="406"/>
      <c r="X1" s="406"/>
      <c r="Y1" s="406"/>
      <c r="Z1" s="407"/>
      <c r="AA1" s="1"/>
    </row>
    <row r="2" spans="1:36" ht="12.75" customHeight="1" x14ac:dyDescent="0.25">
      <c r="A2" s="433"/>
      <c r="B2" s="434"/>
      <c r="C2" s="434"/>
      <c r="D2" s="434"/>
      <c r="E2" s="434"/>
      <c r="F2" s="435"/>
      <c r="G2" s="442" t="s">
        <v>1</v>
      </c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4"/>
      <c r="U2" s="408"/>
      <c r="V2" s="409"/>
      <c r="W2" s="409"/>
      <c r="X2" s="409"/>
      <c r="Y2" s="409"/>
      <c r="Z2" s="410"/>
      <c r="AA2" s="1"/>
    </row>
    <row r="3" spans="1:36" ht="12.75" customHeight="1" x14ac:dyDescent="0.25">
      <c r="A3" s="433"/>
      <c r="B3" s="434"/>
      <c r="C3" s="434"/>
      <c r="D3" s="434"/>
      <c r="E3" s="434"/>
      <c r="F3" s="435"/>
      <c r="G3" s="445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4"/>
      <c r="U3" s="408"/>
      <c r="V3" s="409"/>
      <c r="W3" s="409"/>
      <c r="X3" s="409"/>
      <c r="Y3" s="409"/>
      <c r="Z3" s="410"/>
      <c r="AA3" s="1"/>
    </row>
    <row r="4" spans="1:36" ht="12.75" customHeight="1" x14ac:dyDescent="0.25">
      <c r="A4" s="433"/>
      <c r="B4" s="434"/>
      <c r="C4" s="434"/>
      <c r="D4" s="434"/>
      <c r="E4" s="434"/>
      <c r="F4" s="435"/>
      <c r="G4" s="445"/>
      <c r="H4" s="443"/>
      <c r="I4" s="443"/>
      <c r="J4" s="443"/>
      <c r="K4" s="443"/>
      <c r="L4" s="443"/>
      <c r="M4" s="443"/>
      <c r="N4" s="443"/>
      <c r="O4" s="443"/>
      <c r="P4" s="443"/>
      <c r="Q4" s="443"/>
      <c r="R4" s="443"/>
      <c r="S4" s="443"/>
      <c r="T4" s="444"/>
      <c r="U4" s="408"/>
      <c r="V4" s="409"/>
      <c r="W4" s="409"/>
      <c r="X4" s="409"/>
      <c r="Y4" s="409"/>
      <c r="Z4" s="410"/>
      <c r="AA4" s="1"/>
    </row>
    <row r="5" spans="1:36" ht="12.75" customHeight="1" x14ac:dyDescent="0.25">
      <c r="A5" s="433"/>
      <c r="B5" s="434"/>
      <c r="C5" s="434"/>
      <c r="D5" s="434"/>
      <c r="E5" s="434"/>
      <c r="F5" s="435"/>
      <c r="G5" s="445" t="s">
        <v>2</v>
      </c>
      <c r="H5" s="443"/>
      <c r="I5" s="3" t="s">
        <v>3</v>
      </c>
      <c r="J5" s="446">
        <v>12</v>
      </c>
      <c r="K5" s="447"/>
      <c r="L5" s="448" t="s">
        <v>60</v>
      </c>
      <c r="M5" s="446"/>
      <c r="N5" s="446"/>
      <c r="O5" s="447"/>
      <c r="P5" s="449">
        <v>45944</v>
      </c>
      <c r="Q5" s="450"/>
      <c r="R5" s="450"/>
      <c r="S5" s="450"/>
      <c r="T5" s="451"/>
      <c r="U5" s="408"/>
      <c r="V5" s="409"/>
      <c r="W5" s="409"/>
      <c r="X5" s="409"/>
      <c r="Y5" s="409"/>
      <c r="Z5" s="410"/>
      <c r="AA5" s="1"/>
    </row>
    <row r="6" spans="1:36" ht="12.75" customHeight="1" x14ac:dyDescent="0.25">
      <c r="A6" s="436"/>
      <c r="B6" s="437"/>
      <c r="C6" s="437"/>
      <c r="D6" s="437"/>
      <c r="E6" s="437"/>
      <c r="F6" s="438"/>
      <c r="G6" s="4"/>
      <c r="H6" s="5"/>
      <c r="I6" s="5"/>
      <c r="J6" s="423" t="s">
        <v>4</v>
      </c>
      <c r="K6" s="423"/>
      <c r="L6" s="423" t="s">
        <v>5</v>
      </c>
      <c r="M6" s="423"/>
      <c r="N6" s="423"/>
      <c r="O6" s="423"/>
      <c r="P6" s="423" t="s">
        <v>6</v>
      </c>
      <c r="Q6" s="423"/>
      <c r="R6" s="423"/>
      <c r="S6" s="423"/>
      <c r="T6" s="424"/>
      <c r="U6" s="411"/>
      <c r="V6" s="412"/>
      <c r="W6" s="412"/>
      <c r="X6" s="412"/>
      <c r="Y6" s="412"/>
      <c r="Z6" s="413"/>
      <c r="AA6" s="1"/>
    </row>
    <row r="7" spans="1:36" ht="37.5" customHeight="1" x14ac:dyDescent="0.25">
      <c r="A7" s="425" t="s">
        <v>7</v>
      </c>
      <c r="B7" s="425"/>
      <c r="C7" s="425"/>
      <c r="D7" s="425"/>
      <c r="E7" s="425"/>
      <c r="F7" s="425"/>
      <c r="G7" s="426" t="s">
        <v>8</v>
      </c>
      <c r="H7" s="426"/>
      <c r="I7" s="426"/>
      <c r="J7" s="426"/>
      <c r="K7" s="426"/>
      <c r="L7" s="426"/>
      <c r="M7" s="426"/>
      <c r="N7" s="426"/>
      <c r="O7" s="426"/>
      <c r="P7" s="426"/>
      <c r="Q7" s="426"/>
      <c r="R7" s="426"/>
      <c r="S7" s="426"/>
      <c r="T7" s="426"/>
      <c r="U7" s="426"/>
      <c r="V7" s="426"/>
      <c r="W7" s="426"/>
      <c r="X7" s="426"/>
      <c r="Y7" s="426"/>
      <c r="Z7" s="426"/>
      <c r="AA7" s="6"/>
      <c r="AE7" s="7"/>
      <c r="AI7" s="7"/>
    </row>
    <row r="8" spans="1:36" ht="15.9" customHeight="1" x14ac:dyDescent="0.25">
      <c r="A8" s="8" t="s">
        <v>9</v>
      </c>
      <c r="B8" s="9" t="s">
        <v>10</v>
      </c>
      <c r="C8" s="10"/>
      <c r="D8" s="11"/>
      <c r="E8" s="11"/>
      <c r="F8" s="11"/>
      <c r="G8" s="11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2"/>
      <c r="AA8" s="13"/>
      <c r="AB8" s="14"/>
      <c r="AC8" s="14"/>
      <c r="AD8" s="14"/>
      <c r="AE8" s="7"/>
      <c r="AF8" s="14"/>
      <c r="AI8" s="7"/>
    </row>
    <row r="9" spans="1:36" ht="15.9" customHeight="1" x14ac:dyDescent="0.25">
      <c r="A9" s="15"/>
      <c r="B9" s="13"/>
      <c r="C9" s="13"/>
      <c r="D9" s="16"/>
      <c r="E9" s="16"/>
      <c r="F9" s="16"/>
      <c r="G9" s="16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7"/>
      <c r="AA9" s="13"/>
      <c r="AB9" s="14"/>
      <c r="AC9" s="14"/>
      <c r="AD9" s="14"/>
      <c r="AE9" s="7"/>
      <c r="AF9" s="14"/>
      <c r="AI9" s="7"/>
    </row>
    <row r="10" spans="1:36" ht="15.9" customHeight="1" x14ac:dyDescent="0.25">
      <c r="A10" s="15"/>
      <c r="B10" s="385" t="s">
        <v>11</v>
      </c>
      <c r="C10" s="385"/>
      <c r="D10" s="385"/>
      <c r="E10" s="385"/>
      <c r="F10" s="385"/>
      <c r="G10" s="427" t="s">
        <v>55</v>
      </c>
      <c r="H10" s="427"/>
      <c r="I10" s="427"/>
      <c r="J10" s="427"/>
      <c r="K10" s="427"/>
      <c r="L10" s="427"/>
      <c r="M10" s="428" t="s">
        <v>12</v>
      </c>
      <c r="N10" s="428"/>
      <c r="O10" s="428"/>
      <c r="P10" s="428"/>
      <c r="Q10" s="428"/>
      <c r="R10" s="428"/>
      <c r="S10" s="429" t="s">
        <v>93</v>
      </c>
      <c r="T10" s="429"/>
      <c r="U10" s="429"/>
      <c r="V10" s="429"/>
      <c r="W10" s="429"/>
      <c r="X10" s="429"/>
      <c r="Y10" s="429"/>
      <c r="Z10" s="18"/>
      <c r="AA10" s="19"/>
      <c r="AB10" s="14"/>
      <c r="AC10" s="14"/>
      <c r="AD10" s="14"/>
      <c r="AE10" s="385"/>
      <c r="AF10" s="385"/>
      <c r="AG10" s="385"/>
      <c r="AH10" s="385"/>
      <c r="AI10" s="385"/>
    </row>
    <row r="11" spans="1:36" ht="15.9" customHeight="1" x14ac:dyDescent="0.25">
      <c r="A11" s="15"/>
      <c r="B11" s="385" t="s">
        <v>14</v>
      </c>
      <c r="C11" s="385"/>
      <c r="D11" s="385"/>
      <c r="E11" s="385"/>
      <c r="F11" s="385"/>
      <c r="G11" s="427">
        <v>45944</v>
      </c>
      <c r="H11" s="427"/>
      <c r="I11" s="427"/>
      <c r="J11" s="427"/>
      <c r="K11" s="427"/>
      <c r="L11" s="427"/>
      <c r="M11" s="428" t="s">
        <v>15</v>
      </c>
      <c r="N11" s="428"/>
      <c r="O11" s="428"/>
      <c r="P11" s="428"/>
      <c r="Q11" s="428"/>
      <c r="R11" s="428"/>
      <c r="S11" s="429" t="s">
        <v>98</v>
      </c>
      <c r="T11" s="429"/>
      <c r="U11" s="429"/>
      <c r="V11" s="429"/>
      <c r="W11" s="429"/>
      <c r="X11" s="429"/>
      <c r="Y11" s="429"/>
      <c r="Z11" s="18"/>
      <c r="AA11" s="19"/>
      <c r="AB11" s="14"/>
      <c r="AC11" s="14"/>
      <c r="AD11" s="14"/>
      <c r="AE11" s="385"/>
      <c r="AF11" s="385"/>
      <c r="AG11" s="385"/>
      <c r="AH11" s="385"/>
      <c r="AI11" s="385"/>
    </row>
    <row r="12" spans="1:36" ht="15.9" customHeight="1" x14ac:dyDescent="0.25">
      <c r="A12" s="15"/>
      <c r="B12" s="385" t="s">
        <v>16</v>
      </c>
      <c r="C12" s="385"/>
      <c r="D12" s="385"/>
      <c r="E12" s="385"/>
      <c r="F12" s="385"/>
      <c r="G12" s="427" t="s">
        <v>101</v>
      </c>
      <c r="H12" s="427"/>
      <c r="I12" s="427"/>
      <c r="J12" s="427"/>
      <c r="K12" s="427"/>
      <c r="L12" s="427"/>
      <c r="M12" s="452" t="s">
        <v>17</v>
      </c>
      <c r="N12" s="452"/>
      <c r="O12" s="452"/>
      <c r="P12" s="452"/>
      <c r="Q12" s="452"/>
      <c r="R12" s="452"/>
      <c r="S12" s="429">
        <v>160</v>
      </c>
      <c r="T12" s="429"/>
      <c r="U12" s="429"/>
      <c r="V12" s="429"/>
      <c r="W12" s="429"/>
      <c r="X12" s="429"/>
      <c r="Y12" s="429"/>
      <c r="Z12" s="18"/>
      <c r="AA12" s="19"/>
      <c r="AB12" s="14"/>
      <c r="AC12" s="14"/>
      <c r="AD12" s="14"/>
      <c r="AE12" s="7"/>
      <c r="AF12" s="14"/>
      <c r="AI12" s="7"/>
    </row>
    <row r="13" spans="1:36" ht="15.9" customHeight="1" x14ac:dyDescent="0.25">
      <c r="A13" s="15"/>
      <c r="B13" s="20" t="s">
        <v>18</v>
      </c>
      <c r="C13" s="20"/>
      <c r="D13" s="20"/>
      <c r="E13" s="20"/>
      <c r="F13" s="20"/>
      <c r="G13" s="427" t="s">
        <v>94</v>
      </c>
      <c r="H13" s="427"/>
      <c r="I13" s="427"/>
      <c r="J13" s="427"/>
      <c r="K13" s="427"/>
      <c r="L13" s="427"/>
      <c r="M13" s="428" t="s">
        <v>19</v>
      </c>
      <c r="N13" s="428"/>
      <c r="O13" s="428"/>
      <c r="P13" s="428"/>
      <c r="Q13" s="428"/>
      <c r="R13" s="428"/>
      <c r="S13" s="427" t="s">
        <v>56</v>
      </c>
      <c r="T13" s="427"/>
      <c r="U13" s="427"/>
      <c r="V13" s="427"/>
      <c r="W13" s="427"/>
      <c r="X13" s="427"/>
      <c r="Y13" s="427"/>
      <c r="Z13" s="18"/>
      <c r="AA13" s="19"/>
      <c r="AB13" s="14"/>
      <c r="AC13" s="14"/>
      <c r="AD13" s="14"/>
      <c r="AE13" s="385"/>
      <c r="AF13" s="385"/>
      <c r="AG13" s="385"/>
      <c r="AH13" s="385"/>
      <c r="AI13" s="385"/>
      <c r="AJ13" s="385"/>
    </row>
    <row r="14" spans="1:36" ht="15.9" customHeight="1" x14ac:dyDescent="0.25">
      <c r="A14" s="21"/>
      <c r="B14" s="385" t="s">
        <v>20</v>
      </c>
      <c r="C14" s="385"/>
      <c r="D14" s="385"/>
      <c r="E14" s="385"/>
      <c r="F14" s="385"/>
      <c r="G14" s="427" t="s">
        <v>95</v>
      </c>
      <c r="H14" s="427"/>
      <c r="I14" s="427"/>
      <c r="J14" s="427"/>
      <c r="K14" s="427"/>
      <c r="L14" s="427"/>
      <c r="M14" s="429" t="s">
        <v>21</v>
      </c>
      <c r="N14" s="429"/>
      <c r="O14" s="429"/>
      <c r="P14" s="429"/>
      <c r="Q14" s="429"/>
      <c r="R14" s="429"/>
      <c r="S14" s="429" t="s">
        <v>22</v>
      </c>
      <c r="T14" s="429"/>
      <c r="U14" s="429"/>
      <c r="V14" s="429"/>
      <c r="W14" s="429"/>
      <c r="X14" s="429"/>
      <c r="Y14" s="429"/>
      <c r="Z14" s="22"/>
      <c r="AA14" s="14"/>
      <c r="AB14" s="14"/>
      <c r="AC14" s="14"/>
      <c r="AD14" s="14"/>
      <c r="AE14" s="385"/>
      <c r="AF14" s="385"/>
      <c r="AG14" s="385"/>
      <c r="AH14" s="385"/>
      <c r="AI14" s="385"/>
      <c r="AJ14" s="385"/>
    </row>
    <row r="15" spans="1:36" ht="6" customHeight="1" x14ac:dyDescent="0.25">
      <c r="A15" s="23"/>
      <c r="B15" s="24"/>
      <c r="C15" s="25"/>
      <c r="D15" s="25"/>
      <c r="E15" s="25"/>
      <c r="F15" s="24"/>
      <c r="G15" s="24"/>
      <c r="H15" s="24"/>
      <c r="I15" s="24"/>
      <c r="J15" s="24"/>
      <c r="K15" s="24"/>
      <c r="L15" s="24"/>
      <c r="M15" s="24"/>
      <c r="N15" s="25"/>
      <c r="O15" s="25"/>
      <c r="P15" s="25"/>
      <c r="Q15" s="25"/>
      <c r="R15" s="25"/>
      <c r="S15" s="25"/>
      <c r="T15" s="26"/>
      <c r="U15" s="26"/>
      <c r="V15" s="25"/>
      <c r="W15" s="25"/>
      <c r="X15" s="25"/>
      <c r="Y15" s="25"/>
      <c r="Z15" s="27"/>
      <c r="AE15" s="385"/>
      <c r="AF15" s="385"/>
      <c r="AG15" s="385"/>
      <c r="AH15" s="385"/>
      <c r="AI15" s="385"/>
      <c r="AJ15" s="385"/>
    </row>
    <row r="16" spans="1:36" ht="6" customHeight="1" x14ac:dyDescent="0.25">
      <c r="F16" s="28"/>
      <c r="G16" s="28"/>
      <c r="H16" s="28"/>
      <c r="I16" s="28"/>
      <c r="J16" s="28"/>
      <c r="K16" s="28"/>
      <c r="L16" s="28"/>
      <c r="M16" s="28"/>
      <c r="T16" s="29"/>
      <c r="U16" s="29"/>
      <c r="AE16" s="385"/>
      <c r="AF16" s="385"/>
      <c r="AG16" s="385"/>
      <c r="AH16" s="385"/>
      <c r="AI16" s="385"/>
      <c r="AJ16" s="385"/>
    </row>
    <row r="17" spans="1:40" ht="15.9" customHeight="1" x14ac:dyDescent="0.25">
      <c r="A17" s="8" t="s">
        <v>23</v>
      </c>
      <c r="B17" s="9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2"/>
      <c r="AA17" s="13"/>
      <c r="AE17" s="30"/>
      <c r="AI17" s="30"/>
    </row>
    <row r="18" spans="1:40" ht="8.25" customHeight="1" x14ac:dyDescent="0.25">
      <c r="A18" s="15"/>
      <c r="B18" s="31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7"/>
      <c r="AA18" s="13"/>
      <c r="AE18" s="30"/>
      <c r="AI18" s="30"/>
    </row>
    <row r="19" spans="1:40" ht="15.9" customHeight="1" x14ac:dyDescent="0.25">
      <c r="A19" s="15"/>
      <c r="B19" s="385" t="s">
        <v>25</v>
      </c>
      <c r="C19" s="385"/>
      <c r="D19" s="385"/>
      <c r="E19" s="385"/>
      <c r="F19" s="385"/>
      <c r="G19" s="385"/>
      <c r="H19" s="385"/>
      <c r="I19" s="453"/>
      <c r="J19" s="453"/>
      <c r="K19" s="453"/>
      <c r="L19" s="453"/>
      <c r="M19" s="453"/>
      <c r="N19" s="453"/>
      <c r="O19" s="453"/>
      <c r="P19" s="453"/>
      <c r="Q19" s="453"/>
      <c r="R19" s="453"/>
      <c r="S19" s="453"/>
      <c r="T19" s="453"/>
      <c r="U19" s="453"/>
      <c r="V19" s="453"/>
      <c r="W19" s="453"/>
      <c r="X19" s="453"/>
      <c r="Y19" s="453"/>
      <c r="Z19" s="18"/>
      <c r="AA19" s="19"/>
      <c r="AE19" s="30"/>
      <c r="AI19" s="30"/>
    </row>
    <row r="20" spans="1:40" ht="15.9" customHeight="1" x14ac:dyDescent="0.25">
      <c r="A20" s="15"/>
      <c r="B20" s="385" t="s">
        <v>26</v>
      </c>
      <c r="C20" s="385"/>
      <c r="D20" s="385"/>
      <c r="E20" s="385"/>
      <c r="F20" s="385"/>
      <c r="G20" s="385"/>
      <c r="H20" s="385"/>
      <c r="I20" s="454"/>
      <c r="J20" s="454"/>
      <c r="K20" s="454"/>
      <c r="L20" s="454"/>
      <c r="M20" s="454"/>
      <c r="N20" s="454"/>
      <c r="O20" s="454"/>
      <c r="P20" s="454"/>
      <c r="Q20" s="454"/>
      <c r="R20" s="454"/>
      <c r="S20" s="454"/>
      <c r="T20" s="454"/>
      <c r="U20" s="454"/>
      <c r="V20" s="454"/>
      <c r="W20" s="454"/>
      <c r="X20" s="454"/>
      <c r="Y20" s="454"/>
      <c r="Z20" s="18"/>
      <c r="AA20" s="19"/>
      <c r="AE20" s="30"/>
      <c r="AI20" s="30"/>
    </row>
    <row r="21" spans="1:40" ht="7.5" customHeight="1" x14ac:dyDescent="0.2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32"/>
      <c r="AA21" s="13"/>
      <c r="AE21" s="30"/>
      <c r="AI21" s="30"/>
    </row>
    <row r="22" spans="1:40" ht="5.25" customHeight="1" x14ac:dyDescent="0.25">
      <c r="F22" s="28"/>
      <c r="G22" s="28"/>
      <c r="H22" s="28"/>
      <c r="I22" s="28"/>
      <c r="J22" s="28"/>
      <c r="K22" s="28"/>
      <c r="L22" s="28"/>
      <c r="M22" s="28"/>
      <c r="T22" s="29"/>
      <c r="U22" s="29"/>
      <c r="AE22" s="30"/>
      <c r="AI22" s="30"/>
      <c r="AM22" s="14"/>
      <c r="AN22" s="14"/>
    </row>
    <row r="23" spans="1:40" ht="15.9" customHeight="1" x14ac:dyDescent="0.25">
      <c r="A23" s="33" t="s">
        <v>23</v>
      </c>
      <c r="B23" s="34" t="s">
        <v>27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39"/>
      <c r="AN23" s="40"/>
    </row>
    <row r="24" spans="1:40" ht="9" customHeight="1" x14ac:dyDescent="0.25">
      <c r="A24" s="21"/>
      <c r="Z24" s="41"/>
    </row>
    <row r="25" spans="1:40" ht="9" customHeight="1" x14ac:dyDescent="0.25">
      <c r="A25" s="21"/>
      <c r="Z25" s="41"/>
    </row>
    <row r="26" spans="1:40" ht="9" customHeight="1" x14ac:dyDescent="0.25">
      <c r="A26" s="21"/>
      <c r="Z26" s="41"/>
    </row>
    <row r="27" spans="1:40" ht="12.75" customHeight="1" x14ac:dyDescent="0.25">
      <c r="A27" s="21"/>
      <c r="Z27" s="41"/>
    </row>
    <row r="28" spans="1:40" ht="12.75" customHeight="1" x14ac:dyDescent="0.25">
      <c r="A28" s="21"/>
      <c r="Z28" s="41"/>
    </row>
    <row r="29" spans="1:40" ht="12.75" customHeight="1" x14ac:dyDescent="0.25">
      <c r="A29" s="21"/>
      <c r="Z29" s="41"/>
    </row>
    <row r="30" spans="1:40" ht="12.75" customHeight="1" x14ac:dyDescent="0.25">
      <c r="A30" s="21"/>
      <c r="Z30" s="41"/>
    </row>
    <row r="31" spans="1:40" ht="12.75" customHeight="1" x14ac:dyDescent="0.25">
      <c r="A31" s="21"/>
      <c r="Z31" s="41"/>
    </row>
    <row r="32" spans="1:40" ht="12.75" customHeight="1" x14ac:dyDescent="0.25">
      <c r="A32" s="21"/>
      <c r="Z32" s="41"/>
    </row>
    <row r="33" spans="1:26" ht="12.75" customHeight="1" x14ac:dyDescent="0.25">
      <c r="A33" s="21"/>
      <c r="Z33" s="41"/>
    </row>
    <row r="34" spans="1:26" ht="12.75" customHeight="1" x14ac:dyDescent="0.25">
      <c r="A34" s="21"/>
      <c r="Z34" s="41"/>
    </row>
    <row r="35" spans="1:26" ht="12.75" customHeight="1" x14ac:dyDescent="0.25">
      <c r="A35" s="21"/>
      <c r="Z35" s="41"/>
    </row>
    <row r="36" spans="1:26" ht="12.75" customHeight="1" x14ac:dyDescent="0.25">
      <c r="A36" s="21"/>
      <c r="Z36" s="41"/>
    </row>
    <row r="37" spans="1:26" ht="12.75" customHeight="1" x14ac:dyDescent="0.25">
      <c r="A37" s="21"/>
      <c r="Z37" s="41"/>
    </row>
    <row r="38" spans="1:26" ht="12.75" customHeight="1" x14ac:dyDescent="0.25">
      <c r="A38" s="21"/>
      <c r="Z38" s="41"/>
    </row>
    <row r="39" spans="1:26" ht="12.75" customHeight="1" x14ac:dyDescent="0.25">
      <c r="A39" s="21"/>
      <c r="Z39" s="41"/>
    </row>
    <row r="40" spans="1:26" ht="12.75" customHeight="1" x14ac:dyDescent="0.25">
      <c r="A40" s="21"/>
      <c r="Z40" s="41"/>
    </row>
    <row r="41" spans="1:26" ht="12.75" customHeight="1" x14ac:dyDescent="0.25">
      <c r="A41" s="21"/>
      <c r="Z41" s="41"/>
    </row>
    <row r="42" spans="1:26" ht="12.75" customHeight="1" x14ac:dyDescent="0.25">
      <c r="A42" s="21"/>
      <c r="Z42" s="41"/>
    </row>
    <row r="43" spans="1:26" ht="12.75" customHeight="1" x14ac:dyDescent="0.25">
      <c r="A43" s="21"/>
      <c r="Z43" s="41"/>
    </row>
    <row r="44" spans="1:26" ht="12.75" customHeight="1" x14ac:dyDescent="0.25">
      <c r="A44" s="21"/>
      <c r="Z44" s="41"/>
    </row>
    <row r="45" spans="1:26" ht="12.75" customHeight="1" x14ac:dyDescent="0.25">
      <c r="A45" s="21"/>
      <c r="Z45" s="41"/>
    </row>
    <row r="46" spans="1:26" ht="12.75" customHeight="1" x14ac:dyDescent="0.25">
      <c r="A46" s="21"/>
      <c r="Z46" s="41"/>
    </row>
    <row r="47" spans="1:26" ht="12.75" customHeight="1" x14ac:dyDescent="0.25">
      <c r="A47" s="21"/>
      <c r="Z47" s="41"/>
    </row>
    <row r="48" spans="1:26" ht="12.75" customHeight="1" x14ac:dyDescent="0.25">
      <c r="A48" s="21"/>
      <c r="Z48" s="41"/>
    </row>
    <row r="49" spans="1:34" ht="12.75" customHeight="1" x14ac:dyDescent="0.25">
      <c r="A49" s="21"/>
      <c r="Z49" s="41"/>
    </row>
    <row r="50" spans="1:34" ht="9.75" customHeight="1" thickBot="1" x14ac:dyDescent="0.3">
      <c r="A50" s="21"/>
      <c r="Z50" s="41"/>
    </row>
    <row r="51" spans="1:34" ht="9.75" customHeight="1" x14ac:dyDescent="0.25">
      <c r="A51" s="21"/>
      <c r="Z51" s="41"/>
      <c r="AD51" s="378" t="s">
        <v>28</v>
      </c>
      <c r="AE51" s="380">
        <v>2.649</v>
      </c>
      <c r="AF51" s="455"/>
      <c r="AG51" s="457"/>
      <c r="AH51" s="42"/>
    </row>
    <row r="52" spans="1:34" ht="12.75" customHeight="1" thickBot="1" x14ac:dyDescent="0.3">
      <c r="A52" s="21"/>
      <c r="Z52" s="43"/>
      <c r="AD52" s="379"/>
      <c r="AE52" s="381"/>
      <c r="AF52" s="456"/>
      <c r="AG52" s="457"/>
    </row>
    <row r="53" spans="1:34" ht="18.75" customHeight="1" thickBot="1" x14ac:dyDescent="0.3">
      <c r="A53" s="21"/>
      <c r="E53" s="458" t="s">
        <v>29</v>
      </c>
      <c r="F53" s="459"/>
      <c r="G53" s="459"/>
      <c r="H53" s="459"/>
      <c r="I53" s="459"/>
      <c r="J53" s="459"/>
      <c r="K53" s="459"/>
      <c r="L53" s="459"/>
      <c r="M53" s="459"/>
      <c r="N53" s="459"/>
      <c r="O53" s="459"/>
      <c r="P53" s="459"/>
      <c r="Q53" s="459"/>
      <c r="R53" s="459"/>
      <c r="S53" s="459"/>
      <c r="T53" s="459"/>
      <c r="U53" s="460" t="s">
        <v>30</v>
      </c>
      <c r="V53" s="461"/>
      <c r="W53" s="464" t="s">
        <v>31</v>
      </c>
      <c r="X53" s="461"/>
      <c r="Y53" s="466" t="s">
        <v>32</v>
      </c>
      <c r="Z53" s="467"/>
      <c r="AA53" s="44"/>
      <c r="AB53" s="369" t="s">
        <v>33</v>
      </c>
      <c r="AC53" s="370"/>
      <c r="AD53" s="373" t="s">
        <v>34</v>
      </c>
      <c r="AE53" s="375" t="s">
        <v>35</v>
      </c>
      <c r="AF53" s="455"/>
      <c r="AG53" s="455"/>
      <c r="AH53" s="45"/>
    </row>
    <row r="54" spans="1:34" ht="24.9" customHeight="1" thickBot="1" x14ac:dyDescent="0.3">
      <c r="A54" s="46"/>
      <c r="B54" s="47" t="s">
        <v>36</v>
      </c>
      <c r="C54" s="471" t="s">
        <v>37</v>
      </c>
      <c r="D54" s="472"/>
      <c r="E54" s="48">
        <v>6.3E-2</v>
      </c>
      <c r="F54" s="48">
        <v>0.125</v>
      </c>
      <c r="G54" s="49">
        <v>0.25</v>
      </c>
      <c r="H54" s="49">
        <v>0.5</v>
      </c>
      <c r="I54" s="49">
        <v>1</v>
      </c>
      <c r="J54" s="49">
        <v>2</v>
      </c>
      <c r="K54" s="49">
        <v>4</v>
      </c>
      <c r="L54" s="49">
        <v>6.3</v>
      </c>
      <c r="M54" s="49">
        <v>8</v>
      </c>
      <c r="N54" s="49">
        <v>10</v>
      </c>
      <c r="O54" s="49">
        <v>12.5</v>
      </c>
      <c r="P54" s="49">
        <v>14</v>
      </c>
      <c r="Q54" s="50">
        <v>16</v>
      </c>
      <c r="R54" s="50">
        <v>20</v>
      </c>
      <c r="S54" s="49"/>
      <c r="T54" s="50"/>
      <c r="U54" s="462"/>
      <c r="V54" s="463"/>
      <c r="W54" s="465"/>
      <c r="X54" s="463"/>
      <c r="Y54" s="468"/>
      <c r="Z54" s="469"/>
      <c r="AA54" s="44"/>
      <c r="AB54" s="371"/>
      <c r="AC54" s="372"/>
      <c r="AD54" s="374"/>
      <c r="AE54" s="376"/>
      <c r="AF54" s="470"/>
      <c r="AG54" s="455"/>
    </row>
    <row r="55" spans="1:34" ht="24.9" customHeight="1" x14ac:dyDescent="0.25">
      <c r="A55" s="46"/>
      <c r="B55" s="51">
        <v>1</v>
      </c>
      <c r="C55" s="492" t="s">
        <v>96</v>
      </c>
      <c r="D55" s="493"/>
      <c r="E55" s="242">
        <v>6.8</v>
      </c>
      <c r="F55" s="243">
        <v>8.9</v>
      </c>
      <c r="G55" s="244">
        <v>11.6</v>
      </c>
      <c r="H55" s="244">
        <v>15.1</v>
      </c>
      <c r="I55" s="244">
        <v>19.600000000000001</v>
      </c>
      <c r="J55" s="244">
        <v>26.9</v>
      </c>
      <c r="K55" s="244">
        <v>36.5</v>
      </c>
      <c r="L55" s="244">
        <v>44.4</v>
      </c>
      <c r="M55" s="244">
        <v>55.8</v>
      </c>
      <c r="N55" s="244">
        <v>69.5</v>
      </c>
      <c r="O55" s="244">
        <v>85.6</v>
      </c>
      <c r="P55" s="244">
        <v>94</v>
      </c>
      <c r="Q55" s="244">
        <v>100</v>
      </c>
      <c r="R55" s="244"/>
      <c r="S55" s="245"/>
      <c r="T55" s="245"/>
      <c r="U55" s="494">
        <v>173</v>
      </c>
      <c r="V55" s="495"/>
      <c r="W55" s="496">
        <v>4.03</v>
      </c>
      <c r="X55" s="497"/>
      <c r="Y55" s="479">
        <f>IF(W55&lt;&gt;0,AE55,"")</f>
        <v>2.5188444884900059</v>
      </c>
      <c r="Z55" s="480"/>
      <c r="AA55" s="52"/>
      <c r="AB55" s="326">
        <f>(100*W55)/(100-W55)</f>
        <v>4.1992289257059499</v>
      </c>
      <c r="AC55" s="327"/>
      <c r="AD55" s="53">
        <f>(0.25*(100-O55)+2.3*(O55-H55)+12*(H55-E55)+150*(E55))/100</f>
        <v>12.853499999999999</v>
      </c>
      <c r="AE55" s="54">
        <f>(AB55*$AE$51)/(2.65*(AD55)^(1/5))</f>
        <v>2.5188444884900059</v>
      </c>
      <c r="AF55" s="28"/>
      <c r="AG55" s="55"/>
    </row>
    <row r="56" spans="1:34" ht="24.9" customHeight="1" x14ac:dyDescent="0.25">
      <c r="A56" s="46"/>
      <c r="B56" s="56">
        <v>2</v>
      </c>
      <c r="C56" s="492" t="s">
        <v>97</v>
      </c>
      <c r="D56" s="493"/>
      <c r="E56" s="242">
        <v>7.5</v>
      </c>
      <c r="F56" s="243">
        <v>9.6999999999999993</v>
      </c>
      <c r="G56" s="244">
        <v>12.7</v>
      </c>
      <c r="H56" s="244">
        <v>16.399999999999999</v>
      </c>
      <c r="I56" s="244">
        <v>21.5</v>
      </c>
      <c r="J56" s="244">
        <v>30</v>
      </c>
      <c r="K56" s="244">
        <v>40.799999999999997</v>
      </c>
      <c r="L56" s="244">
        <v>49.4</v>
      </c>
      <c r="M56" s="244">
        <v>59.5</v>
      </c>
      <c r="N56" s="244">
        <v>71.7</v>
      </c>
      <c r="O56" s="244">
        <v>87.2</v>
      </c>
      <c r="P56" s="244">
        <v>94.2</v>
      </c>
      <c r="Q56" s="244">
        <v>100</v>
      </c>
      <c r="R56" s="244"/>
      <c r="S56" s="245"/>
      <c r="T56" s="245"/>
      <c r="U56" s="494">
        <v>171</v>
      </c>
      <c r="V56" s="495"/>
      <c r="W56" s="496">
        <v>4.03</v>
      </c>
      <c r="X56" s="497"/>
      <c r="Y56" s="498">
        <f>IF(W56&lt;&gt;0,AE56,"")</f>
        <v>2.4769323364506164</v>
      </c>
      <c r="Z56" s="499"/>
      <c r="AA56" s="52"/>
      <c r="AB56" s="326">
        <f>(100*W56)/(100-W56)</f>
        <v>4.1992289257059499</v>
      </c>
      <c r="AC56" s="327"/>
      <c r="AD56" s="53">
        <f t="shared" ref="AD56:AD62" si="0">(0.25*(100-O56)+2.3*(O56-H56)+12*(H56-E56)+150*(E56))/100</f>
        <v>13.978399999999999</v>
      </c>
      <c r="AE56" s="54">
        <f t="shared" ref="AE56:AE62" si="1">(AB56*$AE$51)/(2.65*(AD56)^(1/5))</f>
        <v>2.4769323364506164</v>
      </c>
      <c r="AF56" s="28"/>
      <c r="AG56" s="55"/>
    </row>
    <row r="57" spans="1:34" ht="24.9" customHeight="1" x14ac:dyDescent="0.25">
      <c r="A57" s="46"/>
      <c r="B57" s="56">
        <v>3</v>
      </c>
      <c r="C57" s="500"/>
      <c r="D57" s="501"/>
      <c r="E57" s="57"/>
      <c r="F57" s="58"/>
      <c r="G57" s="58"/>
      <c r="H57" s="59"/>
      <c r="I57" s="59"/>
      <c r="J57" s="59"/>
      <c r="K57" s="59"/>
      <c r="L57" s="59"/>
      <c r="M57" s="59"/>
      <c r="N57" s="59"/>
      <c r="O57" s="60"/>
      <c r="P57" s="59"/>
      <c r="Q57" s="60"/>
      <c r="R57" s="59"/>
      <c r="S57" s="59"/>
      <c r="T57" s="61"/>
      <c r="U57" s="502"/>
      <c r="V57" s="503"/>
      <c r="W57" s="504"/>
      <c r="X57" s="505"/>
      <c r="Y57" s="498" t="str">
        <f t="shared" ref="Y57:Y58" si="2">IF(W57&lt;&gt;0,AE57,"")</f>
        <v/>
      </c>
      <c r="Z57" s="499"/>
      <c r="AA57" s="52"/>
      <c r="AB57" s="326">
        <f>(100*W57)/(100-W57)</f>
        <v>0</v>
      </c>
      <c r="AC57" s="327"/>
      <c r="AD57" s="53">
        <f t="shared" si="0"/>
        <v>0.25</v>
      </c>
      <c r="AE57" s="54">
        <f t="shared" si="1"/>
        <v>0</v>
      </c>
      <c r="AF57" s="28"/>
      <c r="AG57" s="55"/>
    </row>
    <row r="58" spans="1:34" ht="24.9" customHeight="1" thickBot="1" x14ac:dyDescent="0.3">
      <c r="A58" s="46"/>
      <c r="B58" s="62">
        <v>4</v>
      </c>
      <c r="C58" s="481"/>
      <c r="D58" s="482"/>
      <c r="E58" s="63"/>
      <c r="F58" s="64"/>
      <c r="G58" s="64"/>
      <c r="H58" s="65"/>
      <c r="I58" s="65"/>
      <c r="J58" s="65"/>
      <c r="K58" s="65"/>
      <c r="L58" s="65"/>
      <c r="M58" s="65"/>
      <c r="N58" s="65"/>
      <c r="O58" s="66"/>
      <c r="P58" s="65"/>
      <c r="Q58" s="66"/>
      <c r="R58" s="65"/>
      <c r="S58" s="65"/>
      <c r="T58" s="67"/>
      <c r="U58" s="483"/>
      <c r="V58" s="484"/>
      <c r="W58" s="485"/>
      <c r="X58" s="486"/>
      <c r="Y58" s="487" t="str">
        <f t="shared" si="2"/>
        <v/>
      </c>
      <c r="Z58" s="488"/>
      <c r="AA58" s="52"/>
      <c r="AB58" s="326">
        <f>(100*W58)/(100-W58)</f>
        <v>0</v>
      </c>
      <c r="AC58" s="327"/>
      <c r="AD58" s="53">
        <f t="shared" si="0"/>
        <v>0.25</v>
      </c>
      <c r="AE58" s="54">
        <f t="shared" si="1"/>
        <v>0</v>
      </c>
      <c r="AF58" s="28"/>
      <c r="AG58" s="55"/>
    </row>
    <row r="59" spans="1:34" ht="10.5" customHeight="1" thickBot="1" x14ac:dyDescent="0.3">
      <c r="A59" s="46"/>
      <c r="B59" s="2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9"/>
      <c r="P59" s="68"/>
      <c r="Q59" s="69"/>
      <c r="R59" s="68"/>
      <c r="S59" s="68"/>
      <c r="T59" s="68"/>
      <c r="U59" s="68"/>
      <c r="V59" s="68"/>
      <c r="W59" s="70"/>
      <c r="Z59" s="71"/>
      <c r="AB59" s="72"/>
      <c r="AC59" s="73"/>
      <c r="AD59" s="53"/>
      <c r="AE59" s="54"/>
      <c r="AF59" s="28"/>
      <c r="AG59" s="55"/>
    </row>
    <row r="60" spans="1:34" ht="24.75" hidden="1" customHeight="1" x14ac:dyDescent="0.25">
      <c r="A60" s="46"/>
      <c r="B60" s="489" t="s">
        <v>38</v>
      </c>
      <c r="C60" s="490"/>
      <c r="D60" s="491"/>
      <c r="E60" s="74"/>
      <c r="F60" s="74"/>
      <c r="G60" s="74"/>
      <c r="H60" s="74"/>
      <c r="I60" s="74"/>
      <c r="J60" s="74"/>
      <c r="K60" s="74"/>
      <c r="L60" s="74"/>
      <c r="M60" s="74">
        <v>10</v>
      </c>
      <c r="N60" s="74">
        <v>10</v>
      </c>
      <c r="O60" s="75"/>
      <c r="P60" s="74"/>
      <c r="Q60" s="75">
        <v>50</v>
      </c>
      <c r="R60" s="74"/>
      <c r="S60" s="74">
        <v>70</v>
      </c>
      <c r="T60" s="74"/>
      <c r="U60" s="74"/>
      <c r="V60" s="74"/>
      <c r="W60" s="74"/>
      <c r="X60" s="76"/>
      <c r="Y60" s="77">
        <v>4.5</v>
      </c>
      <c r="Z60" s="77"/>
      <c r="AA60" s="28"/>
      <c r="AB60" s="72"/>
      <c r="AC60" s="73"/>
      <c r="AD60" s="53">
        <f t="shared" si="0"/>
        <v>0.25</v>
      </c>
      <c r="AE60" s="54">
        <f t="shared" si="1"/>
        <v>0</v>
      </c>
      <c r="AF60" s="28"/>
      <c r="AG60" s="55"/>
    </row>
    <row r="61" spans="1:34" ht="18.75" customHeight="1" x14ac:dyDescent="0.25">
      <c r="A61" s="46"/>
      <c r="B61" s="506" t="s">
        <v>39</v>
      </c>
      <c r="C61" s="507"/>
      <c r="D61" s="508"/>
      <c r="E61" s="78">
        <f>IF(E55&lt;&gt;0,AVERAGE(E55:E58),"")</f>
        <v>7.15</v>
      </c>
      <c r="F61" s="78">
        <f t="shared" ref="F61:L61" si="3">IF(F55&lt;&gt;0,AVERAGE(F55:F58),"")</f>
        <v>9.3000000000000007</v>
      </c>
      <c r="G61" s="78">
        <f t="shared" si="3"/>
        <v>12.149999999999999</v>
      </c>
      <c r="H61" s="78">
        <f t="shared" si="3"/>
        <v>15.75</v>
      </c>
      <c r="I61" s="78">
        <f t="shared" si="3"/>
        <v>20.55</v>
      </c>
      <c r="J61" s="78">
        <f t="shared" si="3"/>
        <v>28.45</v>
      </c>
      <c r="K61" s="78">
        <f t="shared" si="3"/>
        <v>38.65</v>
      </c>
      <c r="L61" s="78">
        <f t="shared" si="3"/>
        <v>46.9</v>
      </c>
      <c r="M61" s="78">
        <f>IF(M55&lt;&gt;0,AVERAGE(M55:M58),"")</f>
        <v>57.65</v>
      </c>
      <c r="N61" s="78">
        <f>IF(N55&lt;&gt;0,AVERAGE(N55:N58),"")</f>
        <v>70.599999999999994</v>
      </c>
      <c r="O61" s="79">
        <f>IF(O55&lt;&gt;0,AVERAGE(O55:O58),"")</f>
        <v>86.4</v>
      </c>
      <c r="P61" s="79">
        <f t="shared" ref="P61:Q61" si="4">IF(P55&lt;&gt;0,AVERAGE(P55:P58),"")</f>
        <v>94.1</v>
      </c>
      <c r="Q61" s="79">
        <f t="shared" si="4"/>
        <v>100</v>
      </c>
      <c r="R61" s="78"/>
      <c r="S61" s="78" t="str">
        <f t="shared" ref="S61:T61" si="5">IF(S55&lt;&gt;0,AVERAGE(S55:S58),"")</f>
        <v/>
      </c>
      <c r="T61" s="80" t="str">
        <f t="shared" si="5"/>
        <v/>
      </c>
      <c r="U61" s="509">
        <f>IF(U55&lt;&gt;0,AVERAGE(U55:V58),"")</f>
        <v>172</v>
      </c>
      <c r="V61" s="510"/>
      <c r="W61" s="511">
        <f>IF(W55&lt;&gt;0,AVERAGE(W55:X58),"")</f>
        <v>4.03</v>
      </c>
      <c r="X61" s="512"/>
      <c r="Y61" s="513">
        <f>IF(W55&lt;&gt;0,AVERAGE(Y55:Z58),"")</f>
        <v>2.4978884124703109</v>
      </c>
      <c r="Z61" s="514"/>
      <c r="AA61" s="55"/>
      <c r="AB61" s="326">
        <f>(100*W61)/(100-W61)</f>
        <v>4.1992289257059499</v>
      </c>
      <c r="AC61" s="327"/>
      <c r="AD61" s="53">
        <f t="shared" si="0"/>
        <v>13.41595</v>
      </c>
      <c r="AE61" s="54">
        <f t="shared" si="1"/>
        <v>2.4973611392246977</v>
      </c>
      <c r="AF61" s="28"/>
      <c r="AG61" s="55"/>
    </row>
    <row r="62" spans="1:34" ht="21" customHeight="1" x14ac:dyDescent="0.25">
      <c r="A62" s="46"/>
      <c r="B62" s="515" t="s">
        <v>40</v>
      </c>
      <c r="C62" s="516"/>
      <c r="D62" s="517"/>
      <c r="E62" s="81">
        <v>7</v>
      </c>
      <c r="F62" s="81">
        <v>9</v>
      </c>
      <c r="G62" s="81">
        <v>12</v>
      </c>
      <c r="H62" s="81">
        <v>17</v>
      </c>
      <c r="I62" s="81">
        <v>22</v>
      </c>
      <c r="J62" s="81">
        <v>32</v>
      </c>
      <c r="K62" s="81">
        <v>44</v>
      </c>
      <c r="L62" s="81">
        <v>51</v>
      </c>
      <c r="M62" s="81">
        <v>61</v>
      </c>
      <c r="N62" s="81">
        <v>75</v>
      </c>
      <c r="O62" s="81">
        <v>92</v>
      </c>
      <c r="P62" s="81">
        <v>98</v>
      </c>
      <c r="Q62" s="82">
        <v>100</v>
      </c>
      <c r="R62" s="81"/>
      <c r="S62" s="81"/>
      <c r="T62" s="83"/>
      <c r="U62" s="518"/>
      <c r="V62" s="519"/>
      <c r="W62" s="520">
        <v>4.5999999999999996</v>
      </c>
      <c r="X62" s="521"/>
      <c r="Y62" s="522">
        <f>AE62</f>
        <v>2.8663774597736555</v>
      </c>
      <c r="Z62" s="523"/>
      <c r="AA62" s="55"/>
      <c r="AB62" s="326">
        <f>(100*W62)/(100-W62)</f>
        <v>4.8218029350104814</v>
      </c>
      <c r="AC62" s="327"/>
      <c r="AD62" s="53">
        <f t="shared" si="0"/>
        <v>13.445</v>
      </c>
      <c r="AE62" s="54">
        <f t="shared" si="1"/>
        <v>2.8663774597736555</v>
      </c>
      <c r="AF62" s="28"/>
      <c r="AG62" s="55"/>
    </row>
    <row r="63" spans="1:34" ht="13.5" customHeight="1" x14ac:dyDescent="0.25">
      <c r="A63" s="46"/>
      <c r="B63" s="84"/>
      <c r="C63" s="85" t="s">
        <v>41</v>
      </c>
      <c r="D63" s="86"/>
      <c r="E63" s="59">
        <f>E62+2</f>
        <v>9</v>
      </c>
      <c r="F63" s="59"/>
      <c r="G63" s="59"/>
      <c r="H63" s="59"/>
      <c r="I63" s="59"/>
      <c r="J63" s="59">
        <f>J62+6</f>
        <v>38</v>
      </c>
      <c r="K63" s="59"/>
      <c r="L63" s="59">
        <f>L62+7</f>
        <v>58</v>
      </c>
      <c r="M63" s="59"/>
      <c r="N63" s="59"/>
      <c r="O63" s="59"/>
      <c r="P63" s="59"/>
      <c r="Q63" s="60"/>
      <c r="R63" s="59"/>
      <c r="S63" s="59"/>
      <c r="T63" s="61"/>
      <c r="U63" s="502"/>
      <c r="V63" s="503"/>
      <c r="W63" s="524">
        <f>W62+0.5</f>
        <v>5.0999999999999996</v>
      </c>
      <c r="X63" s="503"/>
      <c r="Y63" s="500"/>
      <c r="Z63" s="525"/>
      <c r="AA63" s="87"/>
      <c r="AB63" s="88"/>
      <c r="AC63" s="89"/>
      <c r="AD63" s="306"/>
      <c r="AE63" s="308" t="s">
        <v>42</v>
      </c>
      <c r="AF63" s="28"/>
      <c r="AG63" s="55"/>
    </row>
    <row r="64" spans="1:34" ht="13.5" customHeight="1" thickBot="1" x14ac:dyDescent="0.3">
      <c r="A64" s="46"/>
      <c r="B64" s="462" t="s">
        <v>43</v>
      </c>
      <c r="C64" s="465"/>
      <c r="D64" s="463"/>
      <c r="E64" s="90">
        <f>E62-2</f>
        <v>5</v>
      </c>
      <c r="F64" s="90"/>
      <c r="G64" s="91"/>
      <c r="H64" s="91"/>
      <c r="I64" s="91"/>
      <c r="J64" s="90">
        <f>J62-6</f>
        <v>26</v>
      </c>
      <c r="K64" s="91"/>
      <c r="L64" s="90">
        <f>L62-7</f>
        <v>44</v>
      </c>
      <c r="M64" s="90"/>
      <c r="N64" s="91"/>
      <c r="O64" s="91"/>
      <c r="P64" s="91"/>
      <c r="Q64" s="90"/>
      <c r="R64" s="91"/>
      <c r="S64" s="91"/>
      <c r="T64" s="92"/>
      <c r="U64" s="526"/>
      <c r="V64" s="527"/>
      <c r="W64" s="528">
        <f>W62-0.5</f>
        <v>4.0999999999999996</v>
      </c>
      <c r="X64" s="527"/>
      <c r="Y64" s="481"/>
      <c r="Z64" s="529"/>
      <c r="AA64" s="93"/>
      <c r="AB64" s="94"/>
      <c r="AC64" s="95"/>
      <c r="AD64" s="307"/>
      <c r="AE64" s="309"/>
      <c r="AF64" s="28"/>
      <c r="AG64" s="55"/>
    </row>
    <row r="65" spans="1:30" ht="6.75" customHeight="1" x14ac:dyDescent="0.25">
      <c r="A65" s="23"/>
      <c r="B65" s="24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96"/>
    </row>
    <row r="66" spans="1:30" ht="8.25" customHeight="1" x14ac:dyDescent="0.25"/>
    <row r="67" spans="1:30" ht="34.5" customHeight="1" x14ac:dyDescent="0.25">
      <c r="A67" s="97" t="s">
        <v>44</v>
      </c>
      <c r="B67" s="98" t="s">
        <v>45</v>
      </c>
      <c r="C67" s="99"/>
      <c r="D67" s="99"/>
      <c r="E67" s="99"/>
      <c r="F67" s="100"/>
      <c r="G67" s="100"/>
      <c r="H67" s="100"/>
      <c r="I67" s="10"/>
      <c r="J67" s="10"/>
      <c r="K67" s="10"/>
      <c r="L67" s="10"/>
      <c r="M67" s="10"/>
      <c r="N67" s="10"/>
      <c r="O67" s="10"/>
      <c r="P67" s="10"/>
      <c r="Q67" s="100"/>
      <c r="R67" s="10"/>
      <c r="S67" s="10"/>
      <c r="T67" s="10"/>
      <c r="U67" s="543"/>
      <c r="V67" s="543"/>
      <c r="W67" s="543"/>
      <c r="X67" s="543"/>
      <c r="Y67" s="543"/>
      <c r="Z67" s="544"/>
      <c r="AA67" s="101"/>
      <c r="AB67" s="102"/>
      <c r="AC67" s="102"/>
      <c r="AD67" s="103"/>
    </row>
    <row r="68" spans="1:30" ht="27" customHeight="1" x14ac:dyDescent="0.25">
      <c r="A68" s="545" t="s">
        <v>46</v>
      </c>
      <c r="B68" s="546"/>
      <c r="C68" s="546"/>
      <c r="D68" s="546"/>
      <c r="E68" s="546"/>
      <c r="F68" s="546"/>
      <c r="G68" s="546"/>
      <c r="H68" s="546"/>
      <c r="I68" s="546"/>
      <c r="J68" s="546"/>
      <c r="K68" s="546"/>
      <c r="L68" s="546"/>
      <c r="M68" s="546"/>
      <c r="N68" s="546"/>
      <c r="O68" s="546"/>
      <c r="P68" s="546"/>
      <c r="Q68" s="547"/>
      <c r="R68" s="536" t="s">
        <v>47</v>
      </c>
      <c r="S68" s="537"/>
      <c r="T68" s="538"/>
      <c r="U68" s="275" t="s">
        <v>57</v>
      </c>
      <c r="V68" s="276"/>
      <c r="W68" s="276"/>
      <c r="X68" s="277"/>
      <c r="Y68" s="277"/>
      <c r="Z68" s="278"/>
      <c r="AA68" s="104"/>
      <c r="AB68" s="105"/>
      <c r="AC68" s="105"/>
      <c r="AD68" s="103"/>
    </row>
    <row r="69" spans="1:30" ht="15.75" customHeight="1" x14ac:dyDescent="0.25">
      <c r="A69" s="548" t="s">
        <v>99</v>
      </c>
      <c r="B69" s="549"/>
      <c r="C69" s="549"/>
      <c r="D69" s="549"/>
      <c r="E69" s="549"/>
      <c r="F69" s="549"/>
      <c r="G69" s="549"/>
      <c r="H69" s="549"/>
      <c r="I69" s="549"/>
      <c r="J69" s="549"/>
      <c r="K69" s="549"/>
      <c r="L69" s="549"/>
      <c r="M69" s="549"/>
      <c r="N69" s="549"/>
      <c r="O69" s="549"/>
      <c r="P69" s="549"/>
      <c r="Q69" s="550"/>
      <c r="R69" s="536" t="s">
        <v>49</v>
      </c>
      <c r="S69" s="537"/>
      <c r="T69" s="538"/>
      <c r="U69" s="554" t="s">
        <v>58</v>
      </c>
      <c r="V69" s="555"/>
      <c r="W69" s="555"/>
      <c r="X69" s="555"/>
      <c r="Y69" s="555"/>
      <c r="Z69" s="556"/>
      <c r="AA69" s="104"/>
      <c r="AB69" s="105"/>
      <c r="AC69" s="105"/>
      <c r="AD69" s="103"/>
    </row>
    <row r="70" spans="1:30" ht="9" customHeight="1" x14ac:dyDescent="0.25">
      <c r="A70" s="548"/>
      <c r="B70" s="549"/>
      <c r="C70" s="549"/>
      <c r="D70" s="549"/>
      <c r="E70" s="549"/>
      <c r="F70" s="549"/>
      <c r="G70" s="549"/>
      <c r="H70" s="549"/>
      <c r="I70" s="549"/>
      <c r="J70" s="549"/>
      <c r="K70" s="549"/>
      <c r="L70" s="549"/>
      <c r="M70" s="549"/>
      <c r="N70" s="549"/>
      <c r="O70" s="549"/>
      <c r="P70" s="549"/>
      <c r="Q70" s="550"/>
      <c r="R70" s="536"/>
      <c r="S70" s="537"/>
      <c r="T70" s="538"/>
      <c r="U70" s="557"/>
      <c r="V70" s="454"/>
      <c r="W70" s="454"/>
      <c r="X70" s="454"/>
      <c r="Y70" s="454"/>
      <c r="Z70" s="558"/>
      <c r="AA70" s="104"/>
      <c r="AB70" s="105"/>
      <c r="AC70" s="105"/>
      <c r="AD70" s="103"/>
    </row>
    <row r="71" spans="1:30" ht="15.9" customHeight="1" x14ac:dyDescent="0.25">
      <c r="A71" s="551"/>
      <c r="B71" s="552"/>
      <c r="C71" s="552"/>
      <c r="D71" s="552"/>
      <c r="E71" s="552"/>
      <c r="F71" s="552"/>
      <c r="G71" s="552"/>
      <c r="H71" s="552"/>
      <c r="I71" s="552"/>
      <c r="J71" s="552"/>
      <c r="K71" s="552"/>
      <c r="L71" s="552"/>
      <c r="M71" s="552"/>
      <c r="N71" s="552"/>
      <c r="O71" s="552"/>
      <c r="P71" s="552"/>
      <c r="Q71" s="553"/>
      <c r="R71" s="536"/>
      <c r="S71" s="537"/>
      <c r="T71" s="538"/>
      <c r="U71" s="557"/>
      <c r="V71" s="454"/>
      <c r="W71" s="454"/>
      <c r="X71" s="454"/>
      <c r="Y71" s="454"/>
      <c r="Z71" s="558"/>
      <c r="AA71" s="104"/>
      <c r="AB71" s="105"/>
      <c r="AC71" s="105"/>
      <c r="AD71" s="103"/>
    </row>
    <row r="72" spans="1:30" ht="15.9" customHeight="1" x14ac:dyDescent="0.25">
      <c r="A72" s="106" t="s">
        <v>50</v>
      </c>
      <c r="B72" s="107" t="s">
        <v>51</v>
      </c>
      <c r="C72" s="13"/>
      <c r="D72" s="13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9"/>
      <c r="R72" s="536"/>
      <c r="S72" s="537"/>
      <c r="T72" s="538"/>
      <c r="U72" s="559"/>
      <c r="V72" s="560"/>
      <c r="W72" s="560"/>
      <c r="X72" s="560"/>
      <c r="Y72" s="560"/>
      <c r="Z72" s="561"/>
      <c r="AA72" s="104"/>
      <c r="AB72" s="105"/>
      <c r="AC72" s="105"/>
      <c r="AD72" s="103"/>
    </row>
    <row r="73" spans="1:30" ht="15.75" customHeight="1" x14ac:dyDescent="0.25">
      <c r="A73" s="530" t="s">
        <v>100</v>
      </c>
      <c r="B73" s="531"/>
      <c r="C73" s="531"/>
      <c r="D73" s="531"/>
      <c r="E73" s="531"/>
      <c r="F73" s="531"/>
      <c r="G73" s="531"/>
      <c r="H73" s="531"/>
      <c r="I73" s="531"/>
      <c r="J73" s="531"/>
      <c r="K73" s="531"/>
      <c r="L73" s="531"/>
      <c r="M73" s="531"/>
      <c r="N73" s="531"/>
      <c r="O73" s="531"/>
      <c r="P73" s="531"/>
      <c r="Q73" s="532"/>
      <c r="R73" s="536" t="s">
        <v>52</v>
      </c>
      <c r="S73" s="537"/>
      <c r="T73" s="538"/>
      <c r="U73" s="110"/>
      <c r="V73" s="111"/>
      <c r="W73" s="111"/>
      <c r="X73" s="111"/>
      <c r="Y73" s="111"/>
      <c r="Z73" s="112"/>
      <c r="AA73" s="113"/>
      <c r="AB73" s="114"/>
      <c r="AC73" s="114"/>
      <c r="AD73" s="103"/>
    </row>
    <row r="74" spans="1:30" ht="15.9" customHeight="1" x14ac:dyDescent="0.25">
      <c r="A74" s="530"/>
      <c r="B74" s="531"/>
      <c r="C74" s="531"/>
      <c r="D74" s="531"/>
      <c r="E74" s="531"/>
      <c r="F74" s="531"/>
      <c r="G74" s="531"/>
      <c r="H74" s="531"/>
      <c r="I74" s="531"/>
      <c r="J74" s="531"/>
      <c r="K74" s="531"/>
      <c r="L74" s="531"/>
      <c r="M74" s="531"/>
      <c r="N74" s="531"/>
      <c r="O74" s="531"/>
      <c r="P74" s="531"/>
      <c r="Q74" s="532"/>
      <c r="R74" s="536"/>
      <c r="S74" s="537"/>
      <c r="T74" s="538"/>
      <c r="U74" s="115"/>
      <c r="V74" s="542"/>
      <c r="W74" s="542"/>
      <c r="X74" s="542"/>
      <c r="Y74" s="542"/>
      <c r="Z74" s="116"/>
      <c r="AA74" s="113"/>
      <c r="AB74" s="114"/>
      <c r="AC74" s="114"/>
      <c r="AD74" s="103"/>
    </row>
    <row r="75" spans="1:30" ht="15.9" customHeight="1" x14ac:dyDescent="0.25">
      <c r="A75" s="530"/>
      <c r="B75" s="531"/>
      <c r="C75" s="531"/>
      <c r="D75" s="531"/>
      <c r="E75" s="531"/>
      <c r="F75" s="531"/>
      <c r="G75" s="531"/>
      <c r="H75" s="531"/>
      <c r="I75" s="531"/>
      <c r="J75" s="531"/>
      <c r="K75" s="531"/>
      <c r="L75" s="531"/>
      <c r="M75" s="531"/>
      <c r="N75" s="531"/>
      <c r="O75" s="531"/>
      <c r="P75" s="531"/>
      <c r="Q75" s="532"/>
      <c r="R75" s="536"/>
      <c r="S75" s="537"/>
      <c r="T75" s="538"/>
      <c r="U75" s="115"/>
      <c r="V75" s="542"/>
      <c r="W75" s="542"/>
      <c r="X75" s="542"/>
      <c r="Y75" s="542"/>
      <c r="Z75" s="116"/>
      <c r="AA75" s="113"/>
      <c r="AB75" s="114"/>
      <c r="AC75" s="114"/>
      <c r="AD75" s="103"/>
    </row>
    <row r="76" spans="1:30" ht="15.75" customHeight="1" x14ac:dyDescent="0.25">
      <c r="A76" s="533"/>
      <c r="B76" s="534"/>
      <c r="C76" s="534"/>
      <c r="D76" s="534"/>
      <c r="E76" s="534"/>
      <c r="F76" s="534"/>
      <c r="G76" s="534"/>
      <c r="H76" s="534"/>
      <c r="I76" s="534"/>
      <c r="J76" s="534"/>
      <c r="K76" s="534"/>
      <c r="L76" s="534"/>
      <c r="M76" s="534"/>
      <c r="N76" s="534"/>
      <c r="O76" s="534"/>
      <c r="P76" s="534"/>
      <c r="Q76" s="535"/>
      <c r="R76" s="539"/>
      <c r="S76" s="540"/>
      <c r="T76" s="541"/>
      <c r="U76" s="117"/>
      <c r="V76" s="118"/>
      <c r="W76" s="118"/>
      <c r="X76" s="118"/>
      <c r="Y76" s="118"/>
      <c r="Z76" s="119"/>
      <c r="AA76" s="113"/>
      <c r="AB76" s="114"/>
      <c r="AC76" s="114"/>
      <c r="AD76" s="103"/>
    </row>
  </sheetData>
  <mergeCells count="106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2:F12"/>
    <mergeCell ref="G12:L12"/>
    <mergeCell ref="M12:R12"/>
    <mergeCell ref="S12:Y12"/>
    <mergeCell ref="G13:L13"/>
    <mergeCell ref="M13:R13"/>
    <mergeCell ref="S13:Y13"/>
    <mergeCell ref="AE10:AI10"/>
    <mergeCell ref="B11:F11"/>
    <mergeCell ref="G11:L11"/>
    <mergeCell ref="M11:R11"/>
    <mergeCell ref="S11:Y11"/>
    <mergeCell ref="AE11:AI11"/>
    <mergeCell ref="AE15:AJ15"/>
    <mergeCell ref="AE16:AJ16"/>
    <mergeCell ref="B19:H19"/>
    <mergeCell ref="I19:Y19"/>
    <mergeCell ref="B20:H20"/>
    <mergeCell ref="I20:Y20"/>
    <mergeCell ref="AE13:AJ13"/>
    <mergeCell ref="B14:F14"/>
    <mergeCell ref="G14:L14"/>
    <mergeCell ref="M14:R14"/>
    <mergeCell ref="S14:Y14"/>
    <mergeCell ref="AE14:AJ14"/>
    <mergeCell ref="AD51:AD52"/>
    <mergeCell ref="AE51:AE52"/>
    <mergeCell ref="AF51:AF52"/>
    <mergeCell ref="AG51:AG52"/>
    <mergeCell ref="E53:T53"/>
    <mergeCell ref="U53:V54"/>
    <mergeCell ref="W53:X54"/>
    <mergeCell ref="Y53:Z54"/>
    <mergeCell ref="AB53:AC54"/>
    <mergeCell ref="AD53:AD54"/>
    <mergeCell ref="AE53:AE54"/>
    <mergeCell ref="AF53:AF54"/>
    <mergeCell ref="AG53:AG54"/>
    <mergeCell ref="C54:D54"/>
    <mergeCell ref="C55:D55"/>
    <mergeCell ref="U55:V55"/>
    <mergeCell ref="W55:X55"/>
    <mergeCell ref="Y55:Z55"/>
    <mergeCell ref="AB55:AC55"/>
    <mergeCell ref="C58:D58"/>
    <mergeCell ref="U58:V58"/>
    <mergeCell ref="W58:X58"/>
    <mergeCell ref="Y58:Z58"/>
    <mergeCell ref="AB58:AC58"/>
    <mergeCell ref="B60:D60"/>
    <mergeCell ref="C56:D56"/>
    <mergeCell ref="U56:V56"/>
    <mergeCell ref="W56:X56"/>
    <mergeCell ref="Y56:Z56"/>
    <mergeCell ref="AB56:AC56"/>
    <mergeCell ref="C57:D57"/>
    <mergeCell ref="U57:V57"/>
    <mergeCell ref="W57:X57"/>
    <mergeCell ref="Y57:Z57"/>
    <mergeCell ref="AB57:AC57"/>
    <mergeCell ref="B61:D61"/>
    <mergeCell ref="U61:V61"/>
    <mergeCell ref="W61:X61"/>
    <mergeCell ref="Y61:Z61"/>
    <mergeCell ref="AB61:AC61"/>
    <mergeCell ref="B62:D62"/>
    <mergeCell ref="U62:V62"/>
    <mergeCell ref="W62:X62"/>
    <mergeCell ref="Y62:Z62"/>
    <mergeCell ref="AB62:AC62"/>
    <mergeCell ref="U63:V63"/>
    <mergeCell ref="W63:X63"/>
    <mergeCell ref="Y63:Z63"/>
    <mergeCell ref="AD63:AD64"/>
    <mergeCell ref="AE63:AE64"/>
    <mergeCell ref="B64:D64"/>
    <mergeCell ref="U64:V64"/>
    <mergeCell ref="W64:X64"/>
    <mergeCell ref="Y64:Z64"/>
    <mergeCell ref="A73:Q76"/>
    <mergeCell ref="R73:T76"/>
    <mergeCell ref="V74:Y75"/>
    <mergeCell ref="U67:Z67"/>
    <mergeCell ref="A68:Q68"/>
    <mergeCell ref="R68:T68"/>
    <mergeCell ref="U68:Z68"/>
    <mergeCell ref="A69:Q71"/>
    <mergeCell ref="R69:T72"/>
    <mergeCell ref="U69:Z72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A1F41-5D56-4301-AD55-75053B7AA84C}">
  <sheetPr>
    <pageSetUpPr fitToPage="1"/>
  </sheetPr>
  <dimension ref="A1:AN73"/>
  <sheetViews>
    <sheetView zoomScaleNormal="100" workbookViewId="0">
      <selection activeCell="AC37" sqref="AC37"/>
    </sheetView>
  </sheetViews>
  <sheetFormatPr baseColWidth="10" defaultColWidth="11.44140625" defaultRowHeight="12.75" customHeight="1" x14ac:dyDescent="0.25"/>
  <cols>
    <col min="1" max="2" width="5.109375" style="156" customWidth="1"/>
    <col min="3" max="27" width="5.109375" style="130" customWidth="1"/>
    <col min="28" max="41" width="11.44140625" style="130" customWidth="1"/>
    <col min="42" max="16384" width="11.44140625" style="130"/>
  </cols>
  <sheetData>
    <row r="1" spans="1:36" ht="12.6" customHeight="1" x14ac:dyDescent="0.25">
      <c r="A1" s="393"/>
      <c r="B1" s="394"/>
      <c r="C1" s="394"/>
      <c r="D1" s="394"/>
      <c r="E1" s="394"/>
      <c r="F1" s="395"/>
      <c r="G1" s="402" t="s">
        <v>0</v>
      </c>
      <c r="H1" s="403"/>
      <c r="I1" s="403"/>
      <c r="J1" s="403"/>
      <c r="K1" s="403"/>
      <c r="L1" s="403"/>
      <c r="M1" s="403"/>
      <c r="N1" s="403"/>
      <c r="O1" s="403"/>
      <c r="P1" s="403"/>
      <c r="Q1" s="403"/>
      <c r="R1" s="403"/>
      <c r="S1" s="403"/>
      <c r="T1" s="404"/>
      <c r="U1" s="405" t="s">
        <v>59</v>
      </c>
      <c r="V1" s="406"/>
      <c r="W1" s="406"/>
      <c r="X1" s="406"/>
      <c r="Y1" s="406"/>
      <c r="Z1" s="407"/>
      <c r="AA1" s="129"/>
    </row>
    <row r="2" spans="1:36" ht="12.6" customHeight="1" x14ac:dyDescent="0.25">
      <c r="A2" s="396"/>
      <c r="B2" s="397"/>
      <c r="C2" s="397"/>
      <c r="D2" s="397"/>
      <c r="E2" s="397"/>
      <c r="F2" s="398"/>
      <c r="G2" s="414" t="s">
        <v>1</v>
      </c>
      <c r="H2" s="415"/>
      <c r="I2" s="415"/>
      <c r="J2" s="415"/>
      <c r="K2" s="415"/>
      <c r="L2" s="415"/>
      <c r="M2" s="415"/>
      <c r="N2" s="415"/>
      <c r="O2" s="415"/>
      <c r="P2" s="415"/>
      <c r="Q2" s="415"/>
      <c r="R2" s="415"/>
      <c r="S2" s="415"/>
      <c r="T2" s="416"/>
      <c r="U2" s="408"/>
      <c r="V2" s="409"/>
      <c r="W2" s="409"/>
      <c r="X2" s="409"/>
      <c r="Y2" s="409"/>
      <c r="Z2" s="410"/>
      <c r="AA2" s="129"/>
    </row>
    <row r="3" spans="1:36" ht="12.6" customHeight="1" x14ac:dyDescent="0.25">
      <c r="A3" s="396"/>
      <c r="B3" s="397"/>
      <c r="C3" s="397"/>
      <c r="D3" s="397"/>
      <c r="E3" s="397"/>
      <c r="F3" s="398"/>
      <c r="G3" s="417"/>
      <c r="H3" s="415"/>
      <c r="I3" s="415"/>
      <c r="J3" s="415"/>
      <c r="K3" s="415"/>
      <c r="L3" s="415"/>
      <c r="M3" s="415"/>
      <c r="N3" s="415"/>
      <c r="O3" s="415"/>
      <c r="P3" s="415"/>
      <c r="Q3" s="415"/>
      <c r="R3" s="415"/>
      <c r="S3" s="415"/>
      <c r="T3" s="416"/>
      <c r="U3" s="408"/>
      <c r="V3" s="409"/>
      <c r="W3" s="409"/>
      <c r="X3" s="409"/>
      <c r="Y3" s="409"/>
      <c r="Z3" s="410"/>
      <c r="AA3" s="129"/>
    </row>
    <row r="4" spans="1:36" ht="12.6" customHeight="1" x14ac:dyDescent="0.25">
      <c r="A4" s="396"/>
      <c r="B4" s="397"/>
      <c r="C4" s="397"/>
      <c r="D4" s="397"/>
      <c r="E4" s="397"/>
      <c r="F4" s="398"/>
      <c r="G4" s="417"/>
      <c r="H4" s="415"/>
      <c r="I4" s="415"/>
      <c r="J4" s="415"/>
      <c r="K4" s="415"/>
      <c r="L4" s="415"/>
      <c r="M4" s="415"/>
      <c r="N4" s="415"/>
      <c r="O4" s="415"/>
      <c r="P4" s="415"/>
      <c r="Q4" s="415"/>
      <c r="R4" s="415"/>
      <c r="S4" s="415"/>
      <c r="T4" s="416"/>
      <c r="U4" s="408"/>
      <c r="V4" s="409"/>
      <c r="W4" s="409"/>
      <c r="X4" s="409"/>
      <c r="Y4" s="409"/>
      <c r="Z4" s="410"/>
      <c r="AA4" s="129"/>
    </row>
    <row r="5" spans="1:36" ht="12.6" customHeight="1" x14ac:dyDescent="0.25">
      <c r="A5" s="396"/>
      <c r="B5" s="397"/>
      <c r="C5" s="397"/>
      <c r="D5" s="397"/>
      <c r="E5" s="397"/>
      <c r="F5" s="398"/>
      <c r="G5" s="417" t="s">
        <v>2</v>
      </c>
      <c r="H5" s="415"/>
      <c r="I5" s="131" t="s">
        <v>3</v>
      </c>
      <c r="J5" s="302">
        <v>11</v>
      </c>
      <c r="K5" s="418"/>
      <c r="L5" s="419" t="s">
        <v>60</v>
      </c>
      <c r="M5" s="302"/>
      <c r="N5" s="302"/>
      <c r="O5" s="418"/>
      <c r="P5" s="420">
        <v>45895</v>
      </c>
      <c r="Q5" s="421"/>
      <c r="R5" s="421"/>
      <c r="S5" s="421"/>
      <c r="T5" s="422"/>
      <c r="U5" s="408"/>
      <c r="V5" s="409"/>
      <c r="W5" s="409"/>
      <c r="X5" s="409"/>
      <c r="Y5" s="409"/>
      <c r="Z5" s="410"/>
      <c r="AA5" s="129"/>
    </row>
    <row r="6" spans="1:36" ht="12.6" customHeight="1" x14ac:dyDescent="0.25">
      <c r="A6" s="399"/>
      <c r="B6" s="400"/>
      <c r="C6" s="400"/>
      <c r="D6" s="400"/>
      <c r="E6" s="400"/>
      <c r="F6" s="401"/>
      <c r="G6" s="132"/>
      <c r="H6" s="133"/>
      <c r="I6" s="133"/>
      <c r="J6" s="389" t="s">
        <v>4</v>
      </c>
      <c r="K6" s="389"/>
      <c r="L6" s="389" t="s">
        <v>5</v>
      </c>
      <c r="M6" s="389"/>
      <c r="N6" s="389"/>
      <c r="O6" s="389"/>
      <c r="P6" s="389" t="s">
        <v>6</v>
      </c>
      <c r="Q6" s="389"/>
      <c r="R6" s="389"/>
      <c r="S6" s="389"/>
      <c r="T6" s="390"/>
      <c r="U6" s="411"/>
      <c r="V6" s="412"/>
      <c r="W6" s="412"/>
      <c r="X6" s="412"/>
      <c r="Y6" s="412"/>
      <c r="Z6" s="413"/>
      <c r="AA6" s="129"/>
    </row>
    <row r="7" spans="1:36" ht="36.6" customHeight="1" x14ac:dyDescent="0.25">
      <c r="A7" s="391" t="s">
        <v>7</v>
      </c>
      <c r="B7" s="391"/>
      <c r="C7" s="391"/>
      <c r="D7" s="391"/>
      <c r="E7" s="391"/>
      <c r="F7" s="391"/>
      <c r="G7" s="392" t="s">
        <v>8</v>
      </c>
      <c r="H7" s="392"/>
      <c r="I7" s="392"/>
      <c r="J7" s="392"/>
      <c r="K7" s="392"/>
      <c r="L7" s="392"/>
      <c r="M7" s="392"/>
      <c r="N7" s="392"/>
      <c r="O7" s="392"/>
      <c r="P7" s="392"/>
      <c r="Q7" s="392"/>
      <c r="R7" s="392"/>
      <c r="S7" s="392"/>
      <c r="T7" s="392"/>
      <c r="U7" s="392"/>
      <c r="V7" s="392"/>
      <c r="W7" s="392"/>
      <c r="X7" s="392"/>
      <c r="Y7" s="392"/>
      <c r="Z7" s="392"/>
      <c r="AA7" s="134"/>
      <c r="AE7" s="135"/>
      <c r="AI7" s="135"/>
    </row>
    <row r="8" spans="1:36" ht="15.9" customHeight="1" x14ac:dyDescent="0.25">
      <c r="A8" s="136" t="s">
        <v>9</v>
      </c>
      <c r="B8" s="137" t="s">
        <v>10</v>
      </c>
      <c r="C8" s="138"/>
      <c r="D8" s="139"/>
      <c r="E8" s="139"/>
      <c r="F8" s="139"/>
      <c r="G8" s="139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40"/>
      <c r="AA8" s="141"/>
      <c r="AB8" s="142"/>
      <c r="AC8" s="142"/>
      <c r="AD8" s="142"/>
      <c r="AE8" s="135"/>
      <c r="AF8" s="142"/>
      <c r="AI8" s="135"/>
    </row>
    <row r="9" spans="1:36" ht="7.8" customHeight="1" x14ac:dyDescent="0.25">
      <c r="A9" s="143"/>
      <c r="B9" s="141"/>
      <c r="C9" s="141"/>
      <c r="D9" s="144"/>
      <c r="E9" s="144"/>
      <c r="F9" s="144"/>
      <c r="G9" s="144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5"/>
      <c r="AA9" s="141"/>
      <c r="AB9" s="142"/>
      <c r="AC9" s="142"/>
      <c r="AD9" s="142"/>
      <c r="AE9" s="135"/>
      <c r="AF9" s="142"/>
      <c r="AI9" s="135"/>
    </row>
    <row r="10" spans="1:36" ht="15.9" customHeight="1" x14ac:dyDescent="0.25">
      <c r="A10" s="143"/>
      <c r="B10" s="301" t="s">
        <v>11</v>
      </c>
      <c r="C10" s="301"/>
      <c r="D10" s="301"/>
      <c r="E10" s="301"/>
      <c r="F10" s="301"/>
      <c r="G10" s="384" t="s">
        <v>74</v>
      </c>
      <c r="H10" s="384"/>
      <c r="I10" s="384"/>
      <c r="J10" s="384"/>
      <c r="K10" s="384"/>
      <c r="L10" s="384"/>
      <c r="M10" s="385" t="s">
        <v>12</v>
      </c>
      <c r="N10" s="385"/>
      <c r="O10" s="385"/>
      <c r="P10" s="385"/>
      <c r="Q10" s="385"/>
      <c r="R10" s="385"/>
      <c r="S10" s="388" t="s">
        <v>13</v>
      </c>
      <c r="T10" s="388"/>
      <c r="U10" s="388"/>
      <c r="V10" s="388"/>
      <c r="W10" s="388"/>
      <c r="X10" s="388"/>
      <c r="Y10" s="388"/>
      <c r="Z10" s="147"/>
      <c r="AA10" s="146"/>
      <c r="AB10" s="142"/>
      <c r="AC10" s="142"/>
      <c r="AD10" s="142"/>
      <c r="AE10" s="148"/>
      <c r="AF10" s="148"/>
      <c r="AG10" s="148"/>
      <c r="AH10" s="148"/>
      <c r="AI10" s="148"/>
    </row>
    <row r="11" spans="1:36" ht="15.9" customHeight="1" x14ac:dyDescent="0.25">
      <c r="A11" s="143"/>
      <c r="B11" s="301" t="s">
        <v>14</v>
      </c>
      <c r="C11" s="301"/>
      <c r="D11" s="301"/>
      <c r="E11" s="301"/>
      <c r="F11" s="301"/>
      <c r="G11" s="384">
        <v>45895</v>
      </c>
      <c r="H11" s="384"/>
      <c r="I11" s="384"/>
      <c r="J11" s="384"/>
      <c r="K11" s="384"/>
      <c r="L11" s="384"/>
      <c r="M11" s="385" t="s">
        <v>15</v>
      </c>
      <c r="N11" s="385"/>
      <c r="O11" s="385"/>
      <c r="P11" s="385"/>
      <c r="Q11" s="385"/>
      <c r="R11" s="385"/>
      <c r="S11" s="562" t="s">
        <v>91</v>
      </c>
      <c r="T11" s="562"/>
      <c r="U11" s="562"/>
      <c r="V11" s="562"/>
      <c r="W11" s="562"/>
      <c r="X11" s="562"/>
      <c r="Y11" s="562"/>
      <c r="Z11" s="147"/>
      <c r="AA11" s="146"/>
      <c r="AB11" s="142"/>
      <c r="AC11" s="142"/>
      <c r="AD11" s="142"/>
      <c r="AE11" s="148"/>
      <c r="AF11" s="148"/>
      <c r="AG11" s="148"/>
      <c r="AH11" s="148"/>
      <c r="AI11" s="148"/>
    </row>
    <row r="12" spans="1:36" ht="15.9" customHeight="1" x14ac:dyDescent="0.25">
      <c r="A12" s="143"/>
      <c r="B12" s="301" t="s">
        <v>16</v>
      </c>
      <c r="C12" s="301"/>
      <c r="D12" s="301"/>
      <c r="E12" s="301"/>
      <c r="F12" s="301"/>
      <c r="G12" s="386">
        <v>45894</v>
      </c>
      <c r="H12" s="386"/>
      <c r="I12" s="386"/>
      <c r="J12" s="386"/>
      <c r="K12" s="386"/>
      <c r="L12" s="386"/>
      <c r="M12" s="387" t="s">
        <v>17</v>
      </c>
      <c r="N12" s="387"/>
      <c r="O12" s="387"/>
      <c r="P12" s="387"/>
      <c r="Q12" s="387"/>
      <c r="R12" s="387"/>
      <c r="S12" s="388">
        <v>61</v>
      </c>
      <c r="T12" s="388"/>
      <c r="U12" s="388"/>
      <c r="V12" s="388"/>
      <c r="W12" s="388"/>
      <c r="X12" s="388"/>
      <c r="Y12" s="388"/>
      <c r="Z12" s="147"/>
      <c r="AA12" s="146"/>
      <c r="AB12" s="142"/>
      <c r="AC12" s="142"/>
      <c r="AD12" s="142"/>
      <c r="AE12" s="135"/>
      <c r="AF12" s="142"/>
      <c r="AI12" s="135"/>
    </row>
    <row r="13" spans="1:36" ht="15.9" customHeight="1" x14ac:dyDescent="0.25">
      <c r="A13" s="143"/>
      <c r="B13" s="304" t="s">
        <v>18</v>
      </c>
      <c r="C13" s="304"/>
      <c r="D13" s="304"/>
      <c r="E13" s="304"/>
      <c r="F13" s="304"/>
      <c r="G13" s="305" t="s">
        <v>89</v>
      </c>
      <c r="H13" s="305"/>
      <c r="I13" s="305"/>
      <c r="J13" s="305"/>
      <c r="K13" s="305"/>
      <c r="L13" s="305"/>
      <c r="M13" s="382" t="s">
        <v>19</v>
      </c>
      <c r="N13" s="382"/>
      <c r="O13" s="382"/>
      <c r="P13" s="382"/>
      <c r="Q13" s="382"/>
      <c r="R13" s="382"/>
      <c r="S13" s="305" t="s">
        <v>67</v>
      </c>
      <c r="T13" s="305"/>
      <c r="U13" s="305"/>
      <c r="V13" s="305"/>
      <c r="W13" s="305"/>
      <c r="X13" s="305"/>
      <c r="Y13" s="305"/>
      <c r="Z13" s="147"/>
      <c r="AA13" s="146"/>
      <c r="AB13" s="142"/>
      <c r="AC13" s="142"/>
      <c r="AD13" s="142"/>
      <c r="AE13" s="148"/>
      <c r="AF13" s="148"/>
      <c r="AG13" s="148"/>
      <c r="AH13" s="148"/>
      <c r="AI13" s="148"/>
      <c r="AJ13" s="148"/>
    </row>
    <row r="14" spans="1:36" ht="15.9" customHeight="1" x14ac:dyDescent="0.25">
      <c r="A14" s="149"/>
      <c r="B14" s="301" t="s">
        <v>20</v>
      </c>
      <c r="C14" s="301"/>
      <c r="D14" s="301"/>
      <c r="E14" s="301"/>
      <c r="F14" s="301"/>
      <c r="G14" s="305" t="s">
        <v>90</v>
      </c>
      <c r="H14" s="305"/>
      <c r="I14" s="305"/>
      <c r="J14" s="305"/>
      <c r="K14" s="305"/>
      <c r="L14" s="305"/>
      <c r="M14" s="383" t="s">
        <v>21</v>
      </c>
      <c r="N14" s="383"/>
      <c r="O14" s="383"/>
      <c r="P14" s="383"/>
      <c r="Q14" s="383"/>
      <c r="R14" s="383"/>
      <c r="S14" s="383" t="s">
        <v>22</v>
      </c>
      <c r="T14" s="383"/>
      <c r="U14" s="383"/>
      <c r="V14" s="383"/>
      <c r="W14" s="383"/>
      <c r="X14" s="383"/>
      <c r="Y14" s="383"/>
      <c r="Z14" s="150"/>
      <c r="AA14" s="142"/>
      <c r="AB14" s="142"/>
      <c r="AC14" s="142"/>
      <c r="AD14" s="142"/>
      <c r="AE14" s="148"/>
      <c r="AF14" s="148"/>
      <c r="AG14" s="148"/>
      <c r="AH14" s="148"/>
      <c r="AI14" s="148"/>
      <c r="AJ14" s="148"/>
    </row>
    <row r="15" spans="1:36" ht="6" customHeight="1" x14ac:dyDescent="0.25">
      <c r="A15" s="151"/>
      <c r="B15" s="152"/>
      <c r="C15" s="153"/>
      <c r="D15" s="153"/>
      <c r="E15" s="153"/>
      <c r="F15" s="152"/>
      <c r="G15" s="152"/>
      <c r="H15" s="152"/>
      <c r="I15" s="152"/>
      <c r="J15" s="152"/>
      <c r="K15" s="152"/>
      <c r="L15" s="152"/>
      <c r="M15" s="152"/>
      <c r="N15" s="153"/>
      <c r="O15" s="153"/>
      <c r="P15" s="153"/>
      <c r="Q15" s="153"/>
      <c r="R15" s="153"/>
      <c r="S15" s="153"/>
      <c r="T15" s="154"/>
      <c r="U15" s="154"/>
      <c r="V15" s="153"/>
      <c r="W15" s="153"/>
      <c r="X15" s="153"/>
      <c r="Y15" s="153"/>
      <c r="Z15" s="155"/>
      <c r="AE15" s="148"/>
      <c r="AF15" s="148"/>
      <c r="AG15" s="148"/>
      <c r="AH15" s="148"/>
      <c r="AI15" s="148"/>
      <c r="AJ15" s="148"/>
    </row>
    <row r="16" spans="1:36" ht="6" customHeight="1" x14ac:dyDescent="0.25">
      <c r="F16" s="156"/>
      <c r="G16" s="156"/>
      <c r="H16" s="156"/>
      <c r="I16" s="156"/>
      <c r="J16" s="156"/>
      <c r="K16" s="156"/>
      <c r="L16" s="156"/>
      <c r="M16" s="156"/>
      <c r="T16" s="157"/>
      <c r="U16" s="157"/>
      <c r="AE16" s="148"/>
      <c r="AF16" s="148"/>
      <c r="AG16" s="148"/>
      <c r="AH16" s="148"/>
      <c r="AI16" s="148"/>
      <c r="AJ16" s="148"/>
    </row>
    <row r="17" spans="1:40" ht="15.9" customHeight="1" x14ac:dyDescent="0.25">
      <c r="A17" s="136" t="s">
        <v>23</v>
      </c>
      <c r="B17" s="137" t="s">
        <v>24</v>
      </c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40"/>
      <c r="AA17" s="141"/>
      <c r="AE17" s="158"/>
      <c r="AI17" s="158"/>
    </row>
    <row r="18" spans="1:40" ht="8.25" customHeight="1" x14ac:dyDescent="0.25">
      <c r="A18" s="143"/>
      <c r="B18" s="159"/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5"/>
      <c r="AA18" s="141"/>
      <c r="AE18" s="158"/>
      <c r="AI18" s="158"/>
    </row>
    <row r="19" spans="1:40" ht="15.9" customHeight="1" x14ac:dyDescent="0.25">
      <c r="A19" s="143"/>
      <c r="B19" s="301" t="s">
        <v>25</v>
      </c>
      <c r="C19" s="301"/>
      <c r="D19" s="301"/>
      <c r="E19" s="301"/>
      <c r="F19" s="301"/>
      <c r="G19" s="301"/>
      <c r="H19" s="301"/>
      <c r="I19" s="302"/>
      <c r="J19" s="302"/>
      <c r="K19" s="302"/>
      <c r="L19" s="302"/>
      <c r="M19" s="302"/>
      <c r="N19" s="302"/>
      <c r="O19" s="302"/>
      <c r="P19" s="302"/>
      <c r="Q19" s="302"/>
      <c r="R19" s="302"/>
      <c r="S19" s="302"/>
      <c r="T19" s="302"/>
      <c r="U19" s="302"/>
      <c r="V19" s="302"/>
      <c r="W19" s="302"/>
      <c r="X19" s="302"/>
      <c r="Y19" s="302"/>
      <c r="Z19" s="147"/>
      <c r="AA19" s="146"/>
      <c r="AE19" s="158"/>
      <c r="AI19" s="158"/>
    </row>
    <row r="20" spans="1:40" ht="15.9" customHeight="1" x14ac:dyDescent="0.25">
      <c r="A20" s="143"/>
      <c r="B20" s="301" t="s">
        <v>26</v>
      </c>
      <c r="C20" s="301"/>
      <c r="D20" s="301"/>
      <c r="E20" s="301"/>
      <c r="F20" s="301"/>
      <c r="G20" s="301"/>
      <c r="H20" s="301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  <c r="T20" s="303"/>
      <c r="U20" s="303"/>
      <c r="V20" s="303"/>
      <c r="W20" s="303"/>
      <c r="X20" s="303"/>
      <c r="Y20" s="303"/>
      <c r="Z20" s="147"/>
      <c r="AA20" s="146"/>
      <c r="AE20" s="158"/>
      <c r="AI20" s="158"/>
    </row>
    <row r="21" spans="1:40" ht="7.5" customHeight="1" x14ac:dyDescent="0.25">
      <c r="A21" s="132"/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61"/>
      <c r="AA21" s="141"/>
      <c r="AE21" s="158"/>
      <c r="AI21" s="158"/>
    </row>
    <row r="22" spans="1:40" ht="5.25" customHeight="1" x14ac:dyDescent="0.25">
      <c r="F22" s="156"/>
      <c r="G22" s="156"/>
      <c r="H22" s="156"/>
      <c r="I22" s="156"/>
      <c r="J22" s="156"/>
      <c r="K22" s="156"/>
      <c r="L22" s="156"/>
      <c r="M22" s="156"/>
      <c r="T22" s="157"/>
      <c r="U22" s="157"/>
      <c r="AE22" s="158"/>
      <c r="AI22" s="158"/>
      <c r="AM22" s="142"/>
      <c r="AN22" s="142"/>
    </row>
    <row r="23" spans="1:40" ht="15.9" customHeight="1" x14ac:dyDescent="0.25">
      <c r="A23" s="162" t="s">
        <v>71</v>
      </c>
      <c r="B23" s="163" t="s">
        <v>27</v>
      </c>
      <c r="C23" s="163"/>
      <c r="D23" s="164"/>
      <c r="E23" s="164"/>
      <c r="F23" s="165"/>
      <c r="G23" s="165"/>
      <c r="H23" s="165"/>
      <c r="I23" s="165"/>
      <c r="J23" s="165"/>
      <c r="K23" s="165"/>
      <c r="L23" s="165"/>
      <c r="M23" s="165"/>
      <c r="N23" s="164"/>
      <c r="O23" s="164"/>
      <c r="P23" s="164"/>
      <c r="Q23" s="164"/>
      <c r="R23" s="164"/>
      <c r="S23" s="166"/>
      <c r="T23" s="166"/>
      <c r="U23" s="166"/>
      <c r="V23" s="166"/>
      <c r="W23" s="166"/>
      <c r="X23" s="166"/>
      <c r="Y23" s="166"/>
      <c r="Z23" s="167"/>
      <c r="AM23" s="168"/>
      <c r="AN23" s="169"/>
    </row>
    <row r="24" spans="1:40" ht="9" customHeight="1" x14ac:dyDescent="0.25">
      <c r="A24" s="149"/>
      <c r="Z24" s="170"/>
    </row>
    <row r="25" spans="1:40" ht="33.6" customHeight="1" x14ac:dyDescent="0.25">
      <c r="A25" s="149"/>
      <c r="Z25" s="170"/>
    </row>
    <row r="26" spans="1:40" ht="12.75" customHeight="1" x14ac:dyDescent="0.25">
      <c r="A26" s="149"/>
      <c r="Z26" s="170"/>
    </row>
    <row r="27" spans="1:40" ht="12.75" customHeight="1" x14ac:dyDescent="0.25">
      <c r="A27" s="149"/>
      <c r="Z27" s="170"/>
    </row>
    <row r="28" spans="1:40" ht="12.75" customHeight="1" x14ac:dyDescent="0.25">
      <c r="A28" s="149"/>
      <c r="Z28" s="170"/>
    </row>
    <row r="29" spans="1:40" ht="12.75" customHeight="1" x14ac:dyDescent="0.25">
      <c r="A29" s="149"/>
      <c r="Z29" s="170"/>
    </row>
    <row r="30" spans="1:40" ht="12.75" customHeight="1" x14ac:dyDescent="0.25">
      <c r="A30" s="149"/>
      <c r="Z30" s="170"/>
    </row>
    <row r="31" spans="1:40" ht="12.75" customHeight="1" x14ac:dyDescent="0.25">
      <c r="A31" s="149"/>
      <c r="Z31" s="170"/>
    </row>
    <row r="32" spans="1:40" ht="12.75" customHeight="1" x14ac:dyDescent="0.25">
      <c r="A32" s="149"/>
      <c r="Z32" s="170"/>
    </row>
    <row r="33" spans="1:26" ht="12.75" customHeight="1" x14ac:dyDescent="0.25">
      <c r="A33" s="149"/>
      <c r="Z33" s="170"/>
    </row>
    <row r="34" spans="1:26" ht="12.75" customHeight="1" x14ac:dyDescent="0.25">
      <c r="A34" s="149"/>
      <c r="Z34" s="170"/>
    </row>
    <row r="35" spans="1:26" ht="12.75" customHeight="1" x14ac:dyDescent="0.25">
      <c r="A35" s="149"/>
      <c r="Z35" s="170"/>
    </row>
    <row r="36" spans="1:26" ht="12.75" customHeight="1" x14ac:dyDescent="0.25">
      <c r="A36" s="149"/>
      <c r="Z36" s="170"/>
    </row>
    <row r="37" spans="1:26" ht="12.75" customHeight="1" x14ac:dyDescent="0.25">
      <c r="A37" s="149"/>
      <c r="Z37" s="170"/>
    </row>
    <row r="38" spans="1:26" ht="12.75" customHeight="1" x14ac:dyDescent="0.25">
      <c r="A38" s="149"/>
      <c r="Z38" s="170"/>
    </row>
    <row r="39" spans="1:26" ht="12.75" customHeight="1" x14ac:dyDescent="0.25">
      <c r="A39" s="149"/>
      <c r="Z39" s="170"/>
    </row>
    <row r="40" spans="1:26" ht="12.75" customHeight="1" x14ac:dyDescent="0.25">
      <c r="A40" s="149"/>
      <c r="Z40" s="170"/>
    </row>
    <row r="41" spans="1:26" ht="12.75" customHeight="1" x14ac:dyDescent="0.25">
      <c r="A41" s="149"/>
      <c r="Z41" s="170"/>
    </row>
    <row r="42" spans="1:26" ht="12.75" customHeight="1" x14ac:dyDescent="0.25">
      <c r="A42" s="149"/>
      <c r="Z42" s="170"/>
    </row>
    <row r="43" spans="1:26" ht="12.75" customHeight="1" x14ac:dyDescent="0.25">
      <c r="A43" s="149"/>
      <c r="Z43" s="170"/>
    </row>
    <row r="44" spans="1:26" ht="12.75" customHeight="1" x14ac:dyDescent="0.25">
      <c r="A44" s="149"/>
      <c r="Z44" s="170"/>
    </row>
    <row r="45" spans="1:26" ht="12.75" customHeight="1" x14ac:dyDescent="0.25">
      <c r="A45" s="149"/>
      <c r="Z45" s="170"/>
    </row>
    <row r="46" spans="1:26" ht="12.75" customHeight="1" x14ac:dyDescent="0.25">
      <c r="A46" s="149"/>
      <c r="Z46" s="170"/>
    </row>
    <row r="47" spans="1:26" ht="9.75" customHeight="1" x14ac:dyDescent="0.25">
      <c r="A47" s="149"/>
      <c r="Z47" s="170"/>
    </row>
    <row r="48" spans="1:26" ht="37.799999999999997" customHeight="1" thickBot="1" x14ac:dyDescent="0.3">
      <c r="A48" s="149"/>
      <c r="Z48" s="170"/>
    </row>
    <row r="49" spans="1:34" ht="9.75" customHeight="1" x14ac:dyDescent="0.25">
      <c r="A49" s="149"/>
      <c r="Z49" s="170"/>
      <c r="AD49" s="378" t="s">
        <v>28</v>
      </c>
      <c r="AE49" s="380">
        <v>2.6760000000000002</v>
      </c>
      <c r="AF49" s="353"/>
      <c r="AG49" s="359"/>
      <c r="AH49" s="171"/>
    </row>
    <row r="50" spans="1:34" ht="12.75" customHeight="1" thickBot="1" x14ac:dyDescent="0.3">
      <c r="A50" s="149"/>
      <c r="Z50" s="172"/>
      <c r="AD50" s="379"/>
      <c r="AE50" s="381"/>
      <c r="AF50" s="358"/>
      <c r="AG50" s="359"/>
    </row>
    <row r="51" spans="1:34" ht="18.75" customHeight="1" thickBot="1" x14ac:dyDescent="0.3">
      <c r="A51" s="149"/>
      <c r="E51" s="360" t="s">
        <v>29</v>
      </c>
      <c r="F51" s="361"/>
      <c r="G51" s="361"/>
      <c r="H51" s="361"/>
      <c r="I51" s="361"/>
      <c r="J51" s="361"/>
      <c r="K51" s="361"/>
      <c r="L51" s="361"/>
      <c r="M51" s="361"/>
      <c r="N51" s="361"/>
      <c r="O51" s="361"/>
      <c r="P51" s="361"/>
      <c r="Q51" s="361"/>
      <c r="R51" s="361"/>
      <c r="S51" s="361"/>
      <c r="T51" s="361"/>
      <c r="U51" s="362" t="s">
        <v>30</v>
      </c>
      <c r="V51" s="363"/>
      <c r="W51" s="364" t="s">
        <v>31</v>
      </c>
      <c r="X51" s="363"/>
      <c r="Y51" s="365" t="s">
        <v>32</v>
      </c>
      <c r="Z51" s="366"/>
      <c r="AA51" s="175"/>
      <c r="AB51" s="369" t="s">
        <v>33</v>
      </c>
      <c r="AC51" s="370"/>
      <c r="AD51" s="373" t="s">
        <v>34</v>
      </c>
      <c r="AE51" s="375" t="s">
        <v>35</v>
      </c>
      <c r="AF51" s="353"/>
      <c r="AG51" s="353"/>
      <c r="AH51" s="173"/>
    </row>
    <row r="52" spans="1:34" ht="24.9" customHeight="1" thickBot="1" x14ac:dyDescent="0.3">
      <c r="A52" s="176"/>
      <c r="B52" s="174" t="s">
        <v>36</v>
      </c>
      <c r="C52" s="354" t="s">
        <v>37</v>
      </c>
      <c r="D52" s="355"/>
      <c r="E52" s="177">
        <v>6.3E-2</v>
      </c>
      <c r="F52" s="177">
        <v>0.125</v>
      </c>
      <c r="G52" s="178">
        <v>0.25</v>
      </c>
      <c r="H52" s="178">
        <v>0.5</v>
      </c>
      <c r="I52" s="178">
        <v>1</v>
      </c>
      <c r="J52" s="178">
        <v>2</v>
      </c>
      <c r="K52" s="178">
        <v>4</v>
      </c>
      <c r="L52" s="178">
        <v>6.3</v>
      </c>
      <c r="M52" s="178">
        <v>8</v>
      </c>
      <c r="N52" s="178">
        <v>10</v>
      </c>
      <c r="O52" s="178">
        <v>12.5</v>
      </c>
      <c r="P52" s="178">
        <v>14</v>
      </c>
      <c r="Q52" s="179">
        <v>16</v>
      </c>
      <c r="R52" s="179">
        <v>20</v>
      </c>
      <c r="S52" s="178"/>
      <c r="T52" s="179"/>
      <c r="U52" s="310"/>
      <c r="V52" s="312"/>
      <c r="W52" s="311"/>
      <c r="X52" s="312"/>
      <c r="Y52" s="367"/>
      <c r="Z52" s="368"/>
      <c r="AA52" s="175"/>
      <c r="AB52" s="371"/>
      <c r="AC52" s="372"/>
      <c r="AD52" s="374"/>
      <c r="AE52" s="376"/>
      <c r="AF52" s="377"/>
      <c r="AG52" s="353"/>
    </row>
    <row r="53" spans="1:34" ht="24.9" customHeight="1" x14ac:dyDescent="0.25">
      <c r="A53" s="176"/>
      <c r="B53" s="180">
        <v>1</v>
      </c>
      <c r="C53" s="569" t="s">
        <v>92</v>
      </c>
      <c r="D53" s="570"/>
      <c r="E53" s="237">
        <v>8.6</v>
      </c>
      <c r="F53" s="238">
        <v>11.3</v>
      </c>
      <c r="G53" s="239">
        <v>15.3</v>
      </c>
      <c r="H53" s="239">
        <v>20.2</v>
      </c>
      <c r="I53" s="239">
        <v>27.1</v>
      </c>
      <c r="J53" s="239">
        <v>39.1</v>
      </c>
      <c r="K53" s="239">
        <v>60.5</v>
      </c>
      <c r="L53" s="239">
        <v>95.5</v>
      </c>
      <c r="M53" s="239">
        <v>100</v>
      </c>
      <c r="N53" s="239"/>
      <c r="O53" s="239"/>
      <c r="P53" s="239"/>
      <c r="Q53" s="239"/>
      <c r="R53" s="239"/>
      <c r="S53" s="240"/>
      <c r="T53" s="240"/>
      <c r="U53" s="565">
        <v>168</v>
      </c>
      <c r="V53" s="566"/>
      <c r="W53" s="567">
        <v>5.66</v>
      </c>
      <c r="X53" s="568"/>
      <c r="Y53" s="356">
        <f>IF(W53&lt;&gt;0,AE53,"")</f>
        <v>3.5699020830468751</v>
      </c>
      <c r="Z53" s="357"/>
      <c r="AA53" s="181"/>
      <c r="AB53" s="326">
        <f>(100*W53)/(100-W53)</f>
        <v>5.9995760016959929</v>
      </c>
      <c r="AC53" s="327"/>
      <c r="AD53" s="53">
        <f>(0.25*(100-O53)+2.3*(O53-H53)+12*(H53-E53)+150*(E53))/100</f>
        <v>14.077400000000001</v>
      </c>
      <c r="AE53" s="54">
        <f>(AB53*$AE$49)/(2.65*(AD53)^(1/5))</f>
        <v>3.5699020830468751</v>
      </c>
      <c r="AF53" s="156"/>
      <c r="AG53" s="182"/>
    </row>
    <row r="54" spans="1:34" ht="24.9" customHeight="1" x14ac:dyDescent="0.25">
      <c r="A54" s="176"/>
      <c r="B54" s="183">
        <v>2</v>
      </c>
      <c r="C54" s="563"/>
      <c r="D54" s="564"/>
      <c r="E54" s="125"/>
      <c r="F54" s="126"/>
      <c r="G54" s="127"/>
      <c r="H54" s="127"/>
      <c r="I54" s="127"/>
      <c r="J54" s="127"/>
      <c r="K54" s="127"/>
      <c r="L54" s="127"/>
      <c r="M54" s="127"/>
      <c r="N54" s="127"/>
      <c r="O54" s="236"/>
      <c r="P54" s="184"/>
      <c r="Q54" s="184"/>
      <c r="R54" s="184"/>
      <c r="S54" s="185"/>
      <c r="T54" s="185"/>
      <c r="U54" s="342"/>
      <c r="V54" s="343"/>
      <c r="W54" s="344"/>
      <c r="X54" s="345"/>
      <c r="Y54" s="346" t="str">
        <f>IF(W54&lt;&gt;0,AE54,"")</f>
        <v/>
      </c>
      <c r="Z54" s="347"/>
      <c r="AA54" s="181"/>
      <c r="AB54" s="326">
        <f>(100*W54)/(100-W54)</f>
        <v>0</v>
      </c>
      <c r="AC54" s="327"/>
      <c r="AD54" s="53">
        <f t="shared" ref="AD54:AD60" si="0">(0.25*(100-O54)+2.3*(O54-H54)+12*(H54-E54)+150*(E54))/100</f>
        <v>0.25</v>
      </c>
      <c r="AE54" s="54">
        <f t="shared" ref="AE54:AE60" si="1">(AB54*$AE$49)/(2.65*(AD54)^(1/5))</f>
        <v>0</v>
      </c>
      <c r="AF54" s="156"/>
      <c r="AG54" s="182"/>
    </row>
    <row r="55" spans="1:34" ht="24.9" customHeight="1" x14ac:dyDescent="0.25">
      <c r="A55" s="176"/>
      <c r="B55" s="183">
        <v>3</v>
      </c>
      <c r="C55" s="291"/>
      <c r="D55" s="348"/>
      <c r="E55" s="120"/>
      <c r="F55" s="121"/>
      <c r="G55" s="122"/>
      <c r="H55" s="122"/>
      <c r="I55" s="122"/>
      <c r="J55" s="122"/>
      <c r="K55" s="122"/>
      <c r="L55" s="122"/>
      <c r="M55" s="122"/>
      <c r="N55" s="122"/>
      <c r="O55" s="124"/>
      <c r="P55" s="122"/>
      <c r="Q55" s="122"/>
      <c r="R55" s="122"/>
      <c r="S55" s="123"/>
      <c r="T55" s="123"/>
      <c r="U55" s="349"/>
      <c r="V55" s="350"/>
      <c r="W55" s="351"/>
      <c r="X55" s="352"/>
      <c r="Y55" s="346" t="str">
        <f t="shared" ref="Y55:Y56" si="2">IF(W55&lt;&gt;0,AE55,"")</f>
        <v/>
      </c>
      <c r="Z55" s="347"/>
      <c r="AA55" s="181"/>
      <c r="AB55" s="326">
        <f>(100*W55)/(100-W55)</f>
        <v>0</v>
      </c>
      <c r="AC55" s="327"/>
      <c r="AD55" s="53">
        <f t="shared" si="0"/>
        <v>0.25</v>
      </c>
      <c r="AE55" s="54">
        <f t="shared" si="1"/>
        <v>0</v>
      </c>
      <c r="AF55" s="156"/>
      <c r="AG55" s="182"/>
    </row>
    <row r="56" spans="1:34" ht="24.9" customHeight="1" thickBot="1" x14ac:dyDescent="0.3">
      <c r="A56" s="176"/>
      <c r="B56" s="188">
        <v>4</v>
      </c>
      <c r="C56" s="293"/>
      <c r="D56" s="294"/>
      <c r="E56" s="189"/>
      <c r="F56" s="190"/>
      <c r="G56" s="190"/>
      <c r="H56" s="191"/>
      <c r="I56" s="191"/>
      <c r="J56" s="191"/>
      <c r="K56" s="191"/>
      <c r="L56" s="191"/>
      <c r="M56" s="191"/>
      <c r="N56" s="191"/>
      <c r="O56" s="247"/>
      <c r="P56" s="191"/>
      <c r="Q56" s="191"/>
      <c r="R56" s="191"/>
      <c r="S56" s="191"/>
      <c r="T56" s="192"/>
      <c r="U56" s="295"/>
      <c r="V56" s="296"/>
      <c r="W56" s="297"/>
      <c r="X56" s="298"/>
      <c r="Y56" s="299" t="str">
        <f t="shared" si="2"/>
        <v/>
      </c>
      <c r="Z56" s="300"/>
      <c r="AA56" s="181"/>
      <c r="AB56" s="326">
        <f>(100*W56)/(100-W56)</f>
        <v>0</v>
      </c>
      <c r="AC56" s="327"/>
      <c r="AD56" s="53">
        <f t="shared" si="0"/>
        <v>0.25</v>
      </c>
      <c r="AE56" s="54">
        <f t="shared" si="1"/>
        <v>0</v>
      </c>
      <c r="AF56" s="156"/>
      <c r="AG56" s="182"/>
    </row>
    <row r="57" spans="1:34" ht="10.5" customHeight="1" thickBot="1" x14ac:dyDescent="0.3">
      <c r="A57" s="176"/>
      <c r="B57" s="130"/>
      <c r="E57" s="193"/>
      <c r="F57" s="193"/>
      <c r="G57" s="193"/>
      <c r="H57" s="193"/>
      <c r="I57" s="193"/>
      <c r="J57" s="193"/>
      <c r="K57" s="193"/>
      <c r="L57" s="193"/>
      <c r="M57" s="193"/>
      <c r="N57" s="193"/>
      <c r="O57" s="248"/>
      <c r="P57" s="193"/>
      <c r="Q57" s="193"/>
      <c r="R57" s="193"/>
      <c r="S57" s="193"/>
      <c r="T57" s="193"/>
      <c r="U57" s="193"/>
      <c r="V57" s="193"/>
      <c r="W57" s="194"/>
      <c r="Z57" s="195"/>
      <c r="AB57" s="72"/>
      <c r="AC57" s="73"/>
      <c r="AD57" s="53"/>
      <c r="AE57" s="54"/>
      <c r="AF57" s="156"/>
      <c r="AG57" s="182"/>
    </row>
    <row r="58" spans="1:34" ht="24.75" hidden="1" customHeight="1" x14ac:dyDescent="0.25">
      <c r="A58" s="176"/>
      <c r="B58" s="337" t="s">
        <v>38</v>
      </c>
      <c r="C58" s="338"/>
      <c r="D58" s="339"/>
      <c r="E58" s="196"/>
      <c r="F58" s="196"/>
      <c r="G58" s="196"/>
      <c r="H58" s="196"/>
      <c r="I58" s="196"/>
      <c r="J58" s="196"/>
      <c r="K58" s="196"/>
      <c r="L58" s="196"/>
      <c r="M58" s="196">
        <v>10</v>
      </c>
      <c r="N58" s="196">
        <v>10</v>
      </c>
      <c r="O58" s="249"/>
      <c r="P58" s="196"/>
      <c r="Q58" s="196">
        <v>50</v>
      </c>
      <c r="R58" s="196"/>
      <c r="S58" s="196">
        <v>70</v>
      </c>
      <c r="T58" s="196"/>
      <c r="U58" s="196"/>
      <c r="V58" s="196"/>
      <c r="W58" s="196"/>
      <c r="X58" s="197"/>
      <c r="Y58" s="198">
        <v>4.5</v>
      </c>
      <c r="Z58" s="198"/>
      <c r="AA58" s="156"/>
      <c r="AB58" s="72"/>
      <c r="AC58" s="73"/>
      <c r="AD58" s="53">
        <f t="shared" si="0"/>
        <v>0.25</v>
      </c>
      <c r="AE58" s="54">
        <f t="shared" si="1"/>
        <v>0</v>
      </c>
      <c r="AF58" s="156"/>
      <c r="AG58" s="182"/>
    </row>
    <row r="59" spans="1:34" ht="18.75" customHeight="1" x14ac:dyDescent="0.25">
      <c r="A59" s="176"/>
      <c r="B59" s="317" t="s">
        <v>39</v>
      </c>
      <c r="C59" s="318"/>
      <c r="D59" s="319"/>
      <c r="E59" s="199">
        <f t="shared" ref="E59:T59" si="3">IF(E53&lt;&gt;0,AVERAGE(E53:E56),"")</f>
        <v>8.6</v>
      </c>
      <c r="F59" s="199">
        <f t="shared" si="3"/>
        <v>11.3</v>
      </c>
      <c r="G59" s="199">
        <f t="shared" si="3"/>
        <v>15.3</v>
      </c>
      <c r="H59" s="199">
        <f t="shared" si="3"/>
        <v>20.2</v>
      </c>
      <c r="I59" s="199">
        <f t="shared" si="3"/>
        <v>27.1</v>
      </c>
      <c r="J59" s="199">
        <f t="shared" si="3"/>
        <v>39.1</v>
      </c>
      <c r="K59" s="199">
        <f t="shared" si="3"/>
        <v>60.5</v>
      </c>
      <c r="L59" s="199">
        <f t="shared" si="3"/>
        <v>95.5</v>
      </c>
      <c r="M59" s="250">
        <f t="shared" si="3"/>
        <v>100</v>
      </c>
      <c r="N59" s="199"/>
      <c r="O59" s="250"/>
      <c r="P59" s="199"/>
      <c r="Q59" s="199"/>
      <c r="R59" s="199"/>
      <c r="S59" s="199" t="str">
        <f t="shared" si="3"/>
        <v/>
      </c>
      <c r="T59" s="200" t="str">
        <f t="shared" si="3"/>
        <v/>
      </c>
      <c r="U59" s="320">
        <f>IF(U53&lt;&gt;0,AVERAGE(U53:V56),"")</f>
        <v>168</v>
      </c>
      <c r="V59" s="321"/>
      <c r="W59" s="322">
        <f>IF(W53&lt;&gt;0,AVERAGE(W53:X56),"")</f>
        <v>5.66</v>
      </c>
      <c r="X59" s="323"/>
      <c r="Y59" s="324">
        <f>IF(W53&lt;&gt;0,AVERAGE(Y53:Z56),"")</f>
        <v>3.5699020830468751</v>
      </c>
      <c r="Z59" s="325"/>
      <c r="AA59" s="182"/>
      <c r="AB59" s="326">
        <f>(100*W59)/(100-W59)</f>
        <v>5.9995760016959929</v>
      </c>
      <c r="AC59" s="327"/>
      <c r="AD59" s="53">
        <f t="shared" si="0"/>
        <v>14.077400000000001</v>
      </c>
      <c r="AE59" s="54">
        <f t="shared" si="1"/>
        <v>3.5699020830468751</v>
      </c>
      <c r="AF59" s="156"/>
      <c r="AG59" s="182"/>
    </row>
    <row r="60" spans="1:34" ht="21" customHeight="1" x14ac:dyDescent="0.25">
      <c r="A60" s="176"/>
      <c r="B60" s="328" t="s">
        <v>40</v>
      </c>
      <c r="C60" s="329"/>
      <c r="D60" s="330"/>
      <c r="E60" s="201">
        <v>8.1</v>
      </c>
      <c r="F60" s="201">
        <v>10</v>
      </c>
      <c r="G60" s="201">
        <v>15</v>
      </c>
      <c r="H60" s="201">
        <v>20</v>
      </c>
      <c r="I60" s="201">
        <v>27</v>
      </c>
      <c r="J60" s="201">
        <v>39</v>
      </c>
      <c r="K60" s="201">
        <v>59</v>
      </c>
      <c r="L60" s="201">
        <v>93</v>
      </c>
      <c r="M60" s="201">
        <v>100</v>
      </c>
      <c r="N60" s="201"/>
      <c r="O60" s="202"/>
      <c r="P60" s="201"/>
      <c r="Q60" s="202"/>
      <c r="R60" s="201"/>
      <c r="S60" s="201"/>
      <c r="T60" s="203"/>
      <c r="U60" s="331"/>
      <c r="V60" s="332"/>
      <c r="W60" s="333">
        <v>6</v>
      </c>
      <c r="X60" s="334"/>
      <c r="Y60" s="335">
        <f>AE60</f>
        <v>3.8375172843003278</v>
      </c>
      <c r="Z60" s="336"/>
      <c r="AA60" s="182"/>
      <c r="AB60" s="326">
        <f>(100*W60)/(100-W60)</f>
        <v>6.3829787234042552</v>
      </c>
      <c r="AC60" s="327"/>
      <c r="AD60" s="53">
        <f t="shared" si="0"/>
        <v>13.368</v>
      </c>
      <c r="AE60" s="54">
        <f t="shared" si="1"/>
        <v>3.8375172843003278</v>
      </c>
      <c r="AF60" s="156"/>
      <c r="AG60" s="182"/>
    </row>
    <row r="61" spans="1:34" ht="13.5" customHeight="1" x14ac:dyDescent="0.25">
      <c r="A61" s="176"/>
      <c r="B61" s="204"/>
      <c r="C61" s="205" t="s">
        <v>41</v>
      </c>
      <c r="D61" s="206"/>
      <c r="E61" s="186">
        <f>E60+2</f>
        <v>10.1</v>
      </c>
      <c r="F61" s="186"/>
      <c r="G61" s="186"/>
      <c r="H61" s="186"/>
      <c r="I61" s="186"/>
      <c r="J61" s="186">
        <f>J60+6</f>
        <v>45</v>
      </c>
      <c r="K61" s="186"/>
      <c r="L61" s="251">
        <f>L60+7</f>
        <v>100</v>
      </c>
      <c r="M61" s="186"/>
      <c r="N61" s="186"/>
      <c r="O61" s="186"/>
      <c r="P61" s="186"/>
      <c r="Q61" s="186"/>
      <c r="R61" s="186"/>
      <c r="S61" s="186"/>
      <c r="T61" s="187"/>
      <c r="U61" s="288"/>
      <c r="V61" s="289"/>
      <c r="W61" s="290">
        <f>W60+0.5</f>
        <v>6.5</v>
      </c>
      <c r="X61" s="289"/>
      <c r="Y61" s="291"/>
      <c r="Z61" s="292"/>
      <c r="AA61" s="207"/>
      <c r="AB61" s="88"/>
      <c r="AC61" s="89"/>
      <c r="AD61" s="306"/>
      <c r="AE61" s="308" t="s">
        <v>42</v>
      </c>
      <c r="AF61" s="156"/>
      <c r="AG61" s="182"/>
    </row>
    <row r="62" spans="1:34" ht="13.5" customHeight="1" thickBot="1" x14ac:dyDescent="0.3">
      <c r="A62" s="176"/>
      <c r="B62" s="310" t="s">
        <v>43</v>
      </c>
      <c r="C62" s="311"/>
      <c r="D62" s="312"/>
      <c r="E62" s="208">
        <f>E60-2</f>
        <v>6.1</v>
      </c>
      <c r="F62" s="208"/>
      <c r="G62" s="209"/>
      <c r="H62" s="209"/>
      <c r="I62" s="209"/>
      <c r="J62" s="208">
        <f>J60-6</f>
        <v>33</v>
      </c>
      <c r="K62" s="209"/>
      <c r="L62" s="208">
        <f>L60-7</f>
        <v>86</v>
      </c>
      <c r="M62" s="208"/>
      <c r="N62" s="209"/>
      <c r="O62" s="209"/>
      <c r="P62" s="209"/>
      <c r="Q62" s="208"/>
      <c r="R62" s="209"/>
      <c r="S62" s="209"/>
      <c r="T62" s="210"/>
      <c r="U62" s="313"/>
      <c r="V62" s="314"/>
      <c r="W62" s="315">
        <f>W60-0.5</f>
        <v>5.5</v>
      </c>
      <c r="X62" s="314"/>
      <c r="Y62" s="293"/>
      <c r="Z62" s="316"/>
      <c r="AA62" s="211"/>
      <c r="AB62" s="94"/>
      <c r="AC62" s="95"/>
      <c r="AD62" s="307"/>
      <c r="AE62" s="309"/>
      <c r="AF62" s="156"/>
      <c r="AG62" s="182"/>
    </row>
    <row r="63" spans="1:34" ht="6.75" customHeight="1" x14ac:dyDescent="0.25">
      <c r="A63" s="151"/>
      <c r="B63" s="152"/>
      <c r="C63" s="153"/>
      <c r="D63" s="153"/>
      <c r="E63" s="153"/>
      <c r="F63" s="153"/>
      <c r="G63" s="153"/>
      <c r="H63" s="153"/>
      <c r="I63" s="153"/>
      <c r="J63" s="153"/>
      <c r="K63" s="153"/>
      <c r="L63" s="153"/>
      <c r="M63" s="153"/>
      <c r="N63" s="153"/>
      <c r="O63" s="153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212"/>
    </row>
    <row r="64" spans="1:34" ht="8.25" customHeight="1" x14ac:dyDescent="0.25"/>
    <row r="65" spans="1:30" ht="15.6" customHeight="1" x14ac:dyDescent="0.25">
      <c r="A65" s="213" t="s">
        <v>44</v>
      </c>
      <c r="B65" s="214" t="s">
        <v>45</v>
      </c>
      <c r="C65" s="215"/>
      <c r="D65" s="215"/>
      <c r="E65" s="215"/>
      <c r="F65" s="216"/>
      <c r="G65" s="216"/>
      <c r="H65" s="216"/>
      <c r="I65" s="138"/>
      <c r="J65" s="138"/>
      <c r="K65" s="138"/>
      <c r="L65" s="138"/>
      <c r="M65" s="138"/>
      <c r="N65" s="138"/>
      <c r="O65" s="138"/>
      <c r="P65" s="138"/>
      <c r="Q65" s="216"/>
      <c r="R65" s="138"/>
      <c r="S65" s="138"/>
      <c r="T65" s="138"/>
      <c r="U65" s="270"/>
      <c r="V65" s="270"/>
      <c r="W65" s="270"/>
      <c r="X65" s="270"/>
      <c r="Y65" s="270"/>
      <c r="Z65" s="271"/>
      <c r="AA65" s="217"/>
      <c r="AB65" s="218"/>
      <c r="AC65" s="218"/>
      <c r="AD65" s="219"/>
    </row>
    <row r="66" spans="1:30" ht="26.4" customHeight="1" x14ac:dyDescent="0.25">
      <c r="A66" s="272" t="s">
        <v>46</v>
      </c>
      <c r="B66" s="273"/>
      <c r="C66" s="273"/>
      <c r="D66" s="273"/>
      <c r="E66" s="273"/>
      <c r="F66" s="273"/>
      <c r="G66" s="273"/>
      <c r="H66" s="273"/>
      <c r="I66" s="273"/>
      <c r="J66" s="273"/>
      <c r="K66" s="273"/>
      <c r="L66" s="273"/>
      <c r="M66" s="273"/>
      <c r="N66" s="273"/>
      <c r="O66" s="273"/>
      <c r="P66" s="273"/>
      <c r="Q66" s="274"/>
      <c r="R66" s="261" t="s">
        <v>47</v>
      </c>
      <c r="S66" s="262"/>
      <c r="T66" s="263"/>
      <c r="U66" s="275" t="s">
        <v>76</v>
      </c>
      <c r="V66" s="276"/>
      <c r="W66" s="276"/>
      <c r="X66" s="277"/>
      <c r="Y66" s="277"/>
      <c r="Z66" s="278"/>
      <c r="AA66" s="160"/>
      <c r="AB66" s="220"/>
      <c r="AC66" s="220"/>
      <c r="AD66" s="219"/>
    </row>
    <row r="67" spans="1:30" ht="26.4" customHeight="1" x14ac:dyDescent="0.25">
      <c r="A67" s="279" t="s">
        <v>48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0"/>
      <c r="N67" s="280"/>
      <c r="O67" s="280"/>
      <c r="P67" s="280"/>
      <c r="Q67" s="281"/>
      <c r="R67" s="261" t="s">
        <v>49</v>
      </c>
      <c r="S67" s="262"/>
      <c r="T67" s="263"/>
      <c r="U67" s="282" t="s">
        <v>77</v>
      </c>
      <c r="V67" s="283"/>
      <c r="W67" s="283"/>
      <c r="X67" s="283"/>
      <c r="Y67" s="283"/>
      <c r="Z67" s="284"/>
      <c r="AA67" s="160"/>
      <c r="AB67" s="220"/>
      <c r="AC67" s="220"/>
      <c r="AD67" s="219"/>
    </row>
    <row r="68" spans="1:30" ht="15.6" customHeight="1" x14ac:dyDescent="0.25">
      <c r="A68" s="221" t="s">
        <v>50</v>
      </c>
      <c r="B68" s="222" t="s">
        <v>51</v>
      </c>
      <c r="C68" s="141"/>
      <c r="D68" s="141"/>
      <c r="E68" s="223"/>
      <c r="F68" s="223"/>
      <c r="G68" s="223"/>
      <c r="H68" s="223"/>
      <c r="I68" s="223"/>
      <c r="J68" s="223"/>
      <c r="K68" s="223"/>
      <c r="L68" s="223"/>
      <c r="M68" s="223"/>
      <c r="N68" s="223"/>
      <c r="O68" s="223"/>
      <c r="P68" s="223"/>
      <c r="Q68" s="224"/>
      <c r="R68" s="261"/>
      <c r="S68" s="262"/>
      <c r="T68" s="263"/>
      <c r="U68" s="285"/>
      <c r="V68" s="286"/>
      <c r="W68" s="286"/>
      <c r="X68" s="286"/>
      <c r="Y68" s="286"/>
      <c r="Z68" s="287"/>
      <c r="AA68" s="160"/>
      <c r="AB68" s="220"/>
      <c r="AC68" s="220"/>
      <c r="AD68" s="219"/>
    </row>
    <row r="69" spans="1:30" ht="15.6" customHeight="1" x14ac:dyDescent="0.25">
      <c r="A69" s="255"/>
      <c r="B69" s="256"/>
      <c r="C69" s="256"/>
      <c r="D69" s="256"/>
      <c r="E69" s="256"/>
      <c r="F69" s="256"/>
      <c r="G69" s="256"/>
      <c r="H69" s="256"/>
      <c r="I69" s="256"/>
      <c r="J69" s="256"/>
      <c r="K69" s="256"/>
      <c r="L69" s="256"/>
      <c r="M69" s="256"/>
      <c r="N69" s="256"/>
      <c r="O69" s="256"/>
      <c r="P69" s="256"/>
      <c r="Q69" s="257"/>
      <c r="R69" s="261" t="s">
        <v>52</v>
      </c>
      <c r="S69" s="262"/>
      <c r="T69" s="263"/>
      <c r="U69" s="225"/>
      <c r="V69" s="226"/>
      <c r="W69" s="226"/>
      <c r="X69" s="226"/>
      <c r="Y69" s="226"/>
      <c r="Z69" s="227"/>
      <c r="AA69" s="228"/>
      <c r="AB69" s="229"/>
      <c r="AC69" s="229"/>
      <c r="AD69" s="219"/>
    </row>
    <row r="70" spans="1:30" ht="15.6" customHeight="1" x14ac:dyDescent="0.25">
      <c r="A70" s="255"/>
      <c r="B70" s="256"/>
      <c r="C70" s="256"/>
      <c r="D70" s="256"/>
      <c r="E70" s="256"/>
      <c r="F70" s="256"/>
      <c r="G70" s="256"/>
      <c r="H70" s="256"/>
      <c r="I70" s="256"/>
      <c r="J70" s="256"/>
      <c r="K70" s="256"/>
      <c r="L70" s="256"/>
      <c r="M70" s="256"/>
      <c r="N70" s="256"/>
      <c r="O70" s="256"/>
      <c r="P70" s="256"/>
      <c r="Q70" s="257"/>
      <c r="R70" s="261"/>
      <c r="S70" s="262"/>
      <c r="T70" s="263"/>
      <c r="U70" s="230"/>
      <c r="V70" s="267"/>
      <c r="W70" s="267"/>
      <c r="X70" s="267"/>
      <c r="Y70" s="267"/>
      <c r="Z70" s="231"/>
      <c r="AA70" s="228"/>
      <c r="AB70" s="229"/>
      <c r="AC70" s="229"/>
      <c r="AD70" s="219"/>
    </row>
    <row r="71" spans="1:30" ht="15.6" customHeight="1" x14ac:dyDescent="0.25">
      <c r="A71" s="255"/>
      <c r="B71" s="256"/>
      <c r="C71" s="256"/>
      <c r="D71" s="256"/>
      <c r="E71" s="256"/>
      <c r="F71" s="256"/>
      <c r="G71" s="256"/>
      <c r="H71" s="256"/>
      <c r="I71" s="256"/>
      <c r="J71" s="256"/>
      <c r="K71" s="256"/>
      <c r="L71" s="256"/>
      <c r="M71" s="256"/>
      <c r="N71" s="256"/>
      <c r="O71" s="256"/>
      <c r="P71" s="256"/>
      <c r="Q71" s="257"/>
      <c r="R71" s="261"/>
      <c r="S71" s="262"/>
      <c r="T71" s="263"/>
      <c r="U71" s="230"/>
      <c r="V71" s="267"/>
      <c r="W71" s="267"/>
      <c r="X71" s="267"/>
      <c r="Y71" s="267"/>
      <c r="Z71" s="231"/>
      <c r="AA71" s="228"/>
      <c r="AB71" s="229"/>
      <c r="AC71" s="229"/>
      <c r="AD71" s="219"/>
    </row>
    <row r="72" spans="1:30" ht="15.6" customHeight="1" x14ac:dyDescent="0.25">
      <c r="A72" s="258"/>
      <c r="B72" s="259"/>
      <c r="C72" s="259"/>
      <c r="D72" s="259"/>
      <c r="E72" s="259"/>
      <c r="F72" s="259"/>
      <c r="G72" s="259"/>
      <c r="H72" s="259"/>
      <c r="I72" s="259"/>
      <c r="J72" s="259"/>
      <c r="K72" s="259"/>
      <c r="L72" s="259"/>
      <c r="M72" s="259"/>
      <c r="N72" s="259"/>
      <c r="O72" s="259"/>
      <c r="P72" s="259"/>
      <c r="Q72" s="260"/>
      <c r="R72" s="264"/>
      <c r="S72" s="265"/>
      <c r="T72" s="266"/>
      <c r="U72" s="232"/>
      <c r="V72" s="233"/>
      <c r="W72" s="233"/>
      <c r="X72" s="233"/>
      <c r="Y72" s="233"/>
      <c r="Z72" s="234"/>
      <c r="AA72" s="228"/>
      <c r="AB72" s="229"/>
      <c r="AC72" s="229"/>
      <c r="AD72" s="219"/>
    </row>
    <row r="73" spans="1:30" ht="12.75" customHeight="1" x14ac:dyDescent="0.25">
      <c r="U73" s="235"/>
      <c r="V73" s="235"/>
      <c r="W73" s="235"/>
      <c r="X73" s="235"/>
      <c r="Y73" s="235"/>
      <c r="Z73" s="235"/>
    </row>
  </sheetData>
  <mergeCells count="101">
    <mergeCell ref="A69:Q72"/>
    <mergeCell ref="R69:T72"/>
    <mergeCell ref="V70:Y71"/>
    <mergeCell ref="U53:V53"/>
    <mergeCell ref="W53:X53"/>
    <mergeCell ref="C53:D53"/>
    <mergeCell ref="U65:Z65"/>
    <mergeCell ref="A66:Q66"/>
    <mergeCell ref="R66:T66"/>
    <mergeCell ref="U66:Z66"/>
    <mergeCell ref="A67:Q67"/>
    <mergeCell ref="R67:T68"/>
    <mergeCell ref="U67:Z68"/>
    <mergeCell ref="U61:V61"/>
    <mergeCell ref="W61:X61"/>
    <mergeCell ref="Y61:Z61"/>
    <mergeCell ref="C56:D56"/>
    <mergeCell ref="U56:V56"/>
    <mergeCell ref="W56:X56"/>
    <mergeCell ref="Y56:Z56"/>
    <mergeCell ref="Y53:Z53"/>
    <mergeCell ref="AD61:AD62"/>
    <mergeCell ref="AE61:AE62"/>
    <mergeCell ref="B62:D62"/>
    <mergeCell ref="U62:V62"/>
    <mergeCell ref="W62:X62"/>
    <mergeCell ref="Y62:Z62"/>
    <mergeCell ref="B59:D59"/>
    <mergeCell ref="U59:V59"/>
    <mergeCell ref="W59:X59"/>
    <mergeCell ref="Y59:Z59"/>
    <mergeCell ref="AB59:AC59"/>
    <mergeCell ref="B60:D60"/>
    <mergeCell ref="U60:V60"/>
    <mergeCell ref="W60:X60"/>
    <mergeCell ref="Y60:Z60"/>
    <mergeCell ref="AB60:AC60"/>
    <mergeCell ref="AB56:AC56"/>
    <mergeCell ref="B58:D58"/>
    <mergeCell ref="C54:D54"/>
    <mergeCell ref="U54:V54"/>
    <mergeCell ref="W54:X54"/>
    <mergeCell ref="Y54:Z54"/>
    <mergeCell ref="AB54:AC54"/>
    <mergeCell ref="C55:D55"/>
    <mergeCell ref="U55:V55"/>
    <mergeCell ref="W55:X55"/>
    <mergeCell ref="Y55:Z55"/>
    <mergeCell ref="AB55:AC55"/>
    <mergeCell ref="AB53:AC53"/>
    <mergeCell ref="AF49:AF50"/>
    <mergeCell ref="AG49:AG50"/>
    <mergeCell ref="E51:T51"/>
    <mergeCell ref="U51:V52"/>
    <mergeCell ref="W51:X52"/>
    <mergeCell ref="Y51:Z52"/>
    <mergeCell ref="AB51:AC52"/>
    <mergeCell ref="AD51:AD52"/>
    <mergeCell ref="AE51:AE52"/>
    <mergeCell ref="AF51:AF52"/>
    <mergeCell ref="B11:F11"/>
    <mergeCell ref="G11:L11"/>
    <mergeCell ref="M11:R11"/>
    <mergeCell ref="S11:Y11"/>
    <mergeCell ref="B12:F12"/>
    <mergeCell ref="G12:L12"/>
    <mergeCell ref="M12:R12"/>
    <mergeCell ref="S12:Y12"/>
    <mergeCell ref="AG51:AG52"/>
    <mergeCell ref="C52:D52"/>
    <mergeCell ref="B19:H19"/>
    <mergeCell ref="I19:Y19"/>
    <mergeCell ref="B20:H20"/>
    <mergeCell ref="I20:Y20"/>
    <mergeCell ref="AD49:AD50"/>
    <mergeCell ref="AE49:AE50"/>
    <mergeCell ref="B13:F13"/>
    <mergeCell ref="G13:L13"/>
    <mergeCell ref="M13:R13"/>
    <mergeCell ref="S13:Y13"/>
    <mergeCell ref="B14:F14"/>
    <mergeCell ref="G14:L14"/>
    <mergeCell ref="M14:R14"/>
    <mergeCell ref="S14:Y14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0BB9C-815A-4662-B2E8-AE456F63C080}">
  <sheetPr>
    <pageSetUpPr fitToPage="1"/>
  </sheetPr>
  <dimension ref="A1:AN73"/>
  <sheetViews>
    <sheetView zoomScaleNormal="100" workbookViewId="0">
      <selection activeCell="C53" sqref="C53:X53"/>
    </sheetView>
  </sheetViews>
  <sheetFormatPr baseColWidth="10" defaultColWidth="11.44140625" defaultRowHeight="12.75" customHeight="1" x14ac:dyDescent="0.25"/>
  <cols>
    <col min="1" max="2" width="5.109375" style="156" customWidth="1"/>
    <col min="3" max="27" width="5.109375" style="130" customWidth="1"/>
    <col min="28" max="41" width="11.44140625" style="130" customWidth="1"/>
    <col min="42" max="16384" width="11.44140625" style="130"/>
  </cols>
  <sheetData>
    <row r="1" spans="1:36" ht="12.6" customHeight="1" x14ac:dyDescent="0.25">
      <c r="A1" s="393"/>
      <c r="B1" s="394"/>
      <c r="C1" s="394"/>
      <c r="D1" s="394"/>
      <c r="E1" s="394"/>
      <c r="F1" s="395"/>
      <c r="G1" s="402" t="s">
        <v>0</v>
      </c>
      <c r="H1" s="403"/>
      <c r="I1" s="403"/>
      <c r="J1" s="403"/>
      <c r="K1" s="403"/>
      <c r="L1" s="403"/>
      <c r="M1" s="403"/>
      <c r="N1" s="403"/>
      <c r="O1" s="403"/>
      <c r="P1" s="403"/>
      <c r="Q1" s="403"/>
      <c r="R1" s="403"/>
      <c r="S1" s="403"/>
      <c r="T1" s="404"/>
      <c r="U1" s="405" t="s">
        <v>59</v>
      </c>
      <c r="V1" s="406"/>
      <c r="W1" s="406"/>
      <c r="X1" s="406"/>
      <c r="Y1" s="406"/>
      <c r="Z1" s="407"/>
      <c r="AA1" s="129"/>
    </row>
    <row r="2" spans="1:36" ht="12.6" customHeight="1" x14ac:dyDescent="0.25">
      <c r="A2" s="396"/>
      <c r="B2" s="397"/>
      <c r="C2" s="397"/>
      <c r="D2" s="397"/>
      <c r="E2" s="397"/>
      <c r="F2" s="398"/>
      <c r="G2" s="414" t="s">
        <v>1</v>
      </c>
      <c r="H2" s="415"/>
      <c r="I2" s="415"/>
      <c r="J2" s="415"/>
      <c r="K2" s="415"/>
      <c r="L2" s="415"/>
      <c r="M2" s="415"/>
      <c r="N2" s="415"/>
      <c r="O2" s="415"/>
      <c r="P2" s="415"/>
      <c r="Q2" s="415"/>
      <c r="R2" s="415"/>
      <c r="S2" s="415"/>
      <c r="T2" s="416"/>
      <c r="U2" s="408"/>
      <c r="V2" s="409"/>
      <c r="W2" s="409"/>
      <c r="X2" s="409"/>
      <c r="Y2" s="409"/>
      <c r="Z2" s="410"/>
      <c r="AA2" s="129"/>
    </row>
    <row r="3" spans="1:36" ht="12.6" customHeight="1" x14ac:dyDescent="0.25">
      <c r="A3" s="396"/>
      <c r="B3" s="397"/>
      <c r="C3" s="397"/>
      <c r="D3" s="397"/>
      <c r="E3" s="397"/>
      <c r="F3" s="398"/>
      <c r="G3" s="417"/>
      <c r="H3" s="415"/>
      <c r="I3" s="415"/>
      <c r="J3" s="415"/>
      <c r="K3" s="415"/>
      <c r="L3" s="415"/>
      <c r="M3" s="415"/>
      <c r="N3" s="415"/>
      <c r="O3" s="415"/>
      <c r="P3" s="415"/>
      <c r="Q3" s="415"/>
      <c r="R3" s="415"/>
      <c r="S3" s="415"/>
      <c r="T3" s="416"/>
      <c r="U3" s="408"/>
      <c r="V3" s="409"/>
      <c r="W3" s="409"/>
      <c r="X3" s="409"/>
      <c r="Y3" s="409"/>
      <c r="Z3" s="410"/>
      <c r="AA3" s="129"/>
    </row>
    <row r="4" spans="1:36" ht="12.6" customHeight="1" x14ac:dyDescent="0.25">
      <c r="A4" s="396"/>
      <c r="B4" s="397"/>
      <c r="C4" s="397"/>
      <c r="D4" s="397"/>
      <c r="E4" s="397"/>
      <c r="F4" s="398"/>
      <c r="G4" s="417"/>
      <c r="H4" s="415"/>
      <c r="I4" s="415"/>
      <c r="J4" s="415"/>
      <c r="K4" s="415"/>
      <c r="L4" s="415"/>
      <c r="M4" s="415"/>
      <c r="N4" s="415"/>
      <c r="O4" s="415"/>
      <c r="P4" s="415"/>
      <c r="Q4" s="415"/>
      <c r="R4" s="415"/>
      <c r="S4" s="415"/>
      <c r="T4" s="416"/>
      <c r="U4" s="408"/>
      <c r="V4" s="409"/>
      <c r="W4" s="409"/>
      <c r="X4" s="409"/>
      <c r="Y4" s="409"/>
      <c r="Z4" s="410"/>
      <c r="AA4" s="129"/>
    </row>
    <row r="5" spans="1:36" ht="12.6" customHeight="1" x14ac:dyDescent="0.25">
      <c r="A5" s="396"/>
      <c r="B5" s="397"/>
      <c r="C5" s="397"/>
      <c r="D5" s="397"/>
      <c r="E5" s="397"/>
      <c r="F5" s="398"/>
      <c r="G5" s="417" t="s">
        <v>2</v>
      </c>
      <c r="H5" s="415"/>
      <c r="I5" s="131" t="s">
        <v>3</v>
      </c>
      <c r="J5" s="302">
        <v>10</v>
      </c>
      <c r="K5" s="418"/>
      <c r="L5" s="419" t="s">
        <v>60</v>
      </c>
      <c r="M5" s="302"/>
      <c r="N5" s="302"/>
      <c r="O5" s="418"/>
      <c r="P5" s="420">
        <v>45895</v>
      </c>
      <c r="Q5" s="421"/>
      <c r="R5" s="421"/>
      <c r="S5" s="421"/>
      <c r="T5" s="422"/>
      <c r="U5" s="408"/>
      <c r="V5" s="409"/>
      <c r="W5" s="409"/>
      <c r="X5" s="409"/>
      <c r="Y5" s="409"/>
      <c r="Z5" s="410"/>
      <c r="AA5" s="129"/>
    </row>
    <row r="6" spans="1:36" ht="12.6" customHeight="1" x14ac:dyDescent="0.25">
      <c r="A6" s="399"/>
      <c r="B6" s="400"/>
      <c r="C6" s="400"/>
      <c r="D6" s="400"/>
      <c r="E6" s="400"/>
      <c r="F6" s="401"/>
      <c r="G6" s="132"/>
      <c r="H6" s="133"/>
      <c r="I6" s="133"/>
      <c r="J6" s="389" t="s">
        <v>4</v>
      </c>
      <c r="K6" s="389"/>
      <c r="L6" s="389" t="s">
        <v>5</v>
      </c>
      <c r="M6" s="389"/>
      <c r="N6" s="389"/>
      <c r="O6" s="389"/>
      <c r="P6" s="389" t="s">
        <v>6</v>
      </c>
      <c r="Q6" s="389"/>
      <c r="R6" s="389"/>
      <c r="S6" s="389"/>
      <c r="T6" s="390"/>
      <c r="U6" s="411"/>
      <c r="V6" s="412"/>
      <c r="W6" s="412"/>
      <c r="X6" s="412"/>
      <c r="Y6" s="412"/>
      <c r="Z6" s="413"/>
      <c r="AA6" s="129"/>
    </row>
    <row r="7" spans="1:36" ht="36.6" customHeight="1" x14ac:dyDescent="0.25">
      <c r="A7" s="391" t="s">
        <v>7</v>
      </c>
      <c r="B7" s="391"/>
      <c r="C7" s="391"/>
      <c r="D7" s="391"/>
      <c r="E7" s="391"/>
      <c r="F7" s="391"/>
      <c r="G7" s="392" t="s">
        <v>8</v>
      </c>
      <c r="H7" s="392"/>
      <c r="I7" s="392"/>
      <c r="J7" s="392"/>
      <c r="K7" s="392"/>
      <c r="L7" s="392"/>
      <c r="M7" s="392"/>
      <c r="N7" s="392"/>
      <c r="O7" s="392"/>
      <c r="P7" s="392"/>
      <c r="Q7" s="392"/>
      <c r="R7" s="392"/>
      <c r="S7" s="392"/>
      <c r="T7" s="392"/>
      <c r="U7" s="392"/>
      <c r="V7" s="392"/>
      <c r="W7" s="392"/>
      <c r="X7" s="392"/>
      <c r="Y7" s="392"/>
      <c r="Z7" s="392"/>
      <c r="AA7" s="134"/>
      <c r="AE7" s="135"/>
      <c r="AI7" s="135"/>
    </row>
    <row r="8" spans="1:36" ht="15.9" customHeight="1" x14ac:dyDescent="0.25">
      <c r="A8" s="136" t="s">
        <v>9</v>
      </c>
      <c r="B8" s="137" t="s">
        <v>10</v>
      </c>
      <c r="C8" s="138"/>
      <c r="D8" s="139"/>
      <c r="E8" s="139"/>
      <c r="F8" s="139"/>
      <c r="G8" s="139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40"/>
      <c r="AA8" s="141"/>
      <c r="AB8" s="142"/>
      <c r="AC8" s="142"/>
      <c r="AD8" s="142"/>
      <c r="AE8" s="135"/>
      <c r="AF8" s="142"/>
      <c r="AI8" s="135"/>
    </row>
    <row r="9" spans="1:36" ht="7.8" customHeight="1" x14ac:dyDescent="0.25">
      <c r="A9" s="143"/>
      <c r="B9" s="141"/>
      <c r="C9" s="141"/>
      <c r="D9" s="144"/>
      <c r="E9" s="144"/>
      <c r="F9" s="144"/>
      <c r="G9" s="144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5"/>
      <c r="AA9" s="141"/>
      <c r="AB9" s="142"/>
      <c r="AC9" s="142"/>
      <c r="AD9" s="142"/>
      <c r="AE9" s="135"/>
      <c r="AF9" s="142"/>
      <c r="AI9" s="135"/>
    </row>
    <row r="10" spans="1:36" ht="15.9" customHeight="1" x14ac:dyDescent="0.25">
      <c r="A10" s="143"/>
      <c r="B10" s="301" t="s">
        <v>11</v>
      </c>
      <c r="C10" s="301"/>
      <c r="D10" s="301"/>
      <c r="E10" s="301"/>
      <c r="F10" s="301"/>
      <c r="G10" s="384" t="s">
        <v>74</v>
      </c>
      <c r="H10" s="384"/>
      <c r="I10" s="384"/>
      <c r="J10" s="384"/>
      <c r="K10" s="384"/>
      <c r="L10" s="384"/>
      <c r="M10" s="385" t="s">
        <v>12</v>
      </c>
      <c r="N10" s="385"/>
      <c r="O10" s="385"/>
      <c r="P10" s="385"/>
      <c r="Q10" s="385"/>
      <c r="R10" s="385"/>
      <c r="S10" s="388" t="s">
        <v>13</v>
      </c>
      <c r="T10" s="388"/>
      <c r="U10" s="388"/>
      <c r="V10" s="388"/>
      <c r="W10" s="388"/>
      <c r="X10" s="388"/>
      <c r="Y10" s="388"/>
      <c r="Z10" s="147"/>
      <c r="AA10" s="146"/>
      <c r="AB10" s="142"/>
      <c r="AC10" s="142"/>
      <c r="AD10" s="142"/>
      <c r="AE10" s="148"/>
      <c r="AF10" s="148"/>
      <c r="AG10" s="148"/>
      <c r="AH10" s="148"/>
      <c r="AI10" s="148"/>
    </row>
    <row r="11" spans="1:36" ht="15.9" customHeight="1" x14ac:dyDescent="0.25">
      <c r="A11" s="143"/>
      <c r="B11" s="301" t="s">
        <v>14</v>
      </c>
      <c r="C11" s="301"/>
      <c r="D11" s="301"/>
      <c r="E11" s="301"/>
      <c r="F11" s="301"/>
      <c r="G11" s="384">
        <v>45895</v>
      </c>
      <c r="H11" s="384"/>
      <c r="I11" s="384"/>
      <c r="J11" s="384"/>
      <c r="K11" s="384"/>
      <c r="L11" s="384"/>
      <c r="M11" s="385" t="s">
        <v>15</v>
      </c>
      <c r="N11" s="385"/>
      <c r="O11" s="385"/>
      <c r="P11" s="385"/>
      <c r="Q11" s="385"/>
      <c r="R11" s="385"/>
      <c r="S11" s="562" t="s">
        <v>85</v>
      </c>
      <c r="T11" s="562"/>
      <c r="U11" s="562"/>
      <c r="V11" s="562"/>
      <c r="W11" s="562"/>
      <c r="X11" s="562"/>
      <c r="Y11" s="562"/>
      <c r="Z11" s="147"/>
      <c r="AA11" s="146"/>
      <c r="AB11" s="142"/>
      <c r="AC11" s="142"/>
      <c r="AD11" s="142"/>
      <c r="AE11" s="148"/>
      <c r="AF11" s="148"/>
      <c r="AG11" s="148"/>
      <c r="AH11" s="148"/>
      <c r="AI11" s="148"/>
    </row>
    <row r="12" spans="1:36" ht="15.9" customHeight="1" x14ac:dyDescent="0.25">
      <c r="A12" s="143"/>
      <c r="B12" s="301" t="s">
        <v>16</v>
      </c>
      <c r="C12" s="301"/>
      <c r="D12" s="301"/>
      <c r="E12" s="301"/>
      <c r="F12" s="301"/>
      <c r="G12" s="386">
        <v>45894</v>
      </c>
      <c r="H12" s="386"/>
      <c r="I12" s="386"/>
      <c r="J12" s="386"/>
      <c r="K12" s="386"/>
      <c r="L12" s="386"/>
      <c r="M12" s="387" t="s">
        <v>17</v>
      </c>
      <c r="N12" s="387"/>
      <c r="O12" s="387"/>
      <c r="P12" s="387"/>
      <c r="Q12" s="387"/>
      <c r="R12" s="387"/>
      <c r="S12" s="388">
        <v>110</v>
      </c>
      <c r="T12" s="388"/>
      <c r="U12" s="388"/>
      <c r="V12" s="388"/>
      <c r="W12" s="388"/>
      <c r="X12" s="388"/>
      <c r="Y12" s="388"/>
      <c r="Z12" s="147"/>
      <c r="AA12" s="146"/>
      <c r="AB12" s="142"/>
      <c r="AC12" s="142"/>
      <c r="AD12" s="142"/>
      <c r="AE12" s="135"/>
      <c r="AF12" s="142"/>
      <c r="AI12" s="135"/>
    </row>
    <row r="13" spans="1:36" ht="15.9" customHeight="1" x14ac:dyDescent="0.25">
      <c r="A13" s="143"/>
      <c r="B13" s="304" t="s">
        <v>18</v>
      </c>
      <c r="C13" s="304"/>
      <c r="D13" s="304"/>
      <c r="E13" s="304"/>
      <c r="F13" s="304"/>
      <c r="G13" s="305" t="s">
        <v>69</v>
      </c>
      <c r="H13" s="305"/>
      <c r="I13" s="305"/>
      <c r="J13" s="305"/>
      <c r="K13" s="305"/>
      <c r="L13" s="305"/>
      <c r="M13" s="382" t="s">
        <v>19</v>
      </c>
      <c r="N13" s="382"/>
      <c r="O13" s="382"/>
      <c r="P13" s="382"/>
      <c r="Q13" s="382"/>
      <c r="R13" s="382"/>
      <c r="S13" s="305" t="s">
        <v>67</v>
      </c>
      <c r="T13" s="305"/>
      <c r="U13" s="305"/>
      <c r="V13" s="305"/>
      <c r="W13" s="305"/>
      <c r="X13" s="305"/>
      <c r="Y13" s="305"/>
      <c r="Z13" s="147"/>
      <c r="AA13" s="146"/>
      <c r="AB13" s="142"/>
      <c r="AC13" s="142"/>
      <c r="AD13" s="142"/>
      <c r="AE13" s="148"/>
      <c r="AF13" s="148"/>
      <c r="AG13" s="148"/>
      <c r="AH13" s="148"/>
      <c r="AI13" s="148"/>
      <c r="AJ13" s="148"/>
    </row>
    <row r="14" spans="1:36" ht="15.9" customHeight="1" x14ac:dyDescent="0.25">
      <c r="A14" s="149"/>
      <c r="B14" s="301" t="s">
        <v>20</v>
      </c>
      <c r="C14" s="301"/>
      <c r="D14" s="301"/>
      <c r="E14" s="301"/>
      <c r="F14" s="301"/>
      <c r="G14" s="305" t="s">
        <v>70</v>
      </c>
      <c r="H14" s="305"/>
      <c r="I14" s="305"/>
      <c r="J14" s="305"/>
      <c r="K14" s="305"/>
      <c r="L14" s="305"/>
      <c r="M14" s="383" t="s">
        <v>21</v>
      </c>
      <c r="N14" s="383"/>
      <c r="O14" s="383"/>
      <c r="P14" s="383"/>
      <c r="Q14" s="383"/>
      <c r="R14" s="383"/>
      <c r="S14" s="383" t="s">
        <v>22</v>
      </c>
      <c r="T14" s="383"/>
      <c r="U14" s="383"/>
      <c r="V14" s="383"/>
      <c r="W14" s="383"/>
      <c r="X14" s="383"/>
      <c r="Y14" s="383"/>
      <c r="Z14" s="150"/>
      <c r="AA14" s="142"/>
      <c r="AB14" s="142"/>
      <c r="AC14" s="142"/>
      <c r="AD14" s="142"/>
      <c r="AE14" s="148"/>
      <c r="AF14" s="148"/>
      <c r="AG14" s="148"/>
      <c r="AH14" s="148"/>
      <c r="AI14" s="148"/>
      <c r="AJ14" s="148"/>
    </row>
    <row r="15" spans="1:36" ht="6" customHeight="1" x14ac:dyDescent="0.25">
      <c r="A15" s="151"/>
      <c r="B15" s="152"/>
      <c r="C15" s="153"/>
      <c r="D15" s="153"/>
      <c r="E15" s="153"/>
      <c r="F15" s="152"/>
      <c r="G15" s="152"/>
      <c r="H15" s="152"/>
      <c r="I15" s="152"/>
      <c r="J15" s="152"/>
      <c r="K15" s="152"/>
      <c r="L15" s="152"/>
      <c r="M15" s="152"/>
      <c r="N15" s="153"/>
      <c r="O15" s="153"/>
      <c r="P15" s="153"/>
      <c r="Q15" s="153"/>
      <c r="R15" s="153"/>
      <c r="S15" s="153"/>
      <c r="T15" s="154"/>
      <c r="U15" s="154"/>
      <c r="V15" s="153"/>
      <c r="W15" s="153"/>
      <c r="X15" s="153"/>
      <c r="Y15" s="153"/>
      <c r="Z15" s="155"/>
      <c r="AE15" s="148"/>
      <c r="AF15" s="148"/>
      <c r="AG15" s="148"/>
      <c r="AH15" s="148"/>
      <c r="AI15" s="148"/>
      <c r="AJ15" s="148"/>
    </row>
    <row r="16" spans="1:36" ht="6" customHeight="1" x14ac:dyDescent="0.25">
      <c r="F16" s="156"/>
      <c r="G16" s="156"/>
      <c r="H16" s="156"/>
      <c r="I16" s="156"/>
      <c r="J16" s="156"/>
      <c r="K16" s="156"/>
      <c r="L16" s="156"/>
      <c r="M16" s="156"/>
      <c r="T16" s="157"/>
      <c r="U16" s="157"/>
      <c r="AE16" s="148"/>
      <c r="AF16" s="148"/>
      <c r="AG16" s="148"/>
      <c r="AH16" s="148"/>
      <c r="AI16" s="148"/>
      <c r="AJ16" s="148"/>
    </row>
    <row r="17" spans="1:40" ht="15.9" customHeight="1" x14ac:dyDescent="0.25">
      <c r="A17" s="136" t="s">
        <v>23</v>
      </c>
      <c r="B17" s="137" t="s">
        <v>24</v>
      </c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40"/>
      <c r="AA17" s="141"/>
      <c r="AE17" s="158"/>
      <c r="AI17" s="158"/>
    </row>
    <row r="18" spans="1:40" ht="8.25" customHeight="1" x14ac:dyDescent="0.25">
      <c r="A18" s="143"/>
      <c r="B18" s="159"/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5"/>
      <c r="AA18" s="141"/>
      <c r="AE18" s="158"/>
      <c r="AI18" s="158"/>
    </row>
    <row r="19" spans="1:40" ht="15.9" customHeight="1" x14ac:dyDescent="0.25">
      <c r="A19" s="143"/>
      <c r="B19" s="301" t="s">
        <v>25</v>
      </c>
      <c r="C19" s="301"/>
      <c r="D19" s="301"/>
      <c r="E19" s="301"/>
      <c r="F19" s="301"/>
      <c r="G19" s="301"/>
      <c r="H19" s="301"/>
      <c r="I19" s="302"/>
      <c r="J19" s="302"/>
      <c r="K19" s="302"/>
      <c r="L19" s="302"/>
      <c r="M19" s="302"/>
      <c r="N19" s="302"/>
      <c r="O19" s="302"/>
      <c r="P19" s="302"/>
      <c r="Q19" s="302"/>
      <c r="R19" s="302"/>
      <c r="S19" s="302"/>
      <c r="T19" s="302"/>
      <c r="U19" s="302"/>
      <c r="V19" s="302"/>
      <c r="W19" s="302"/>
      <c r="X19" s="302"/>
      <c r="Y19" s="302"/>
      <c r="Z19" s="147"/>
      <c r="AA19" s="146"/>
      <c r="AE19" s="158"/>
      <c r="AI19" s="158"/>
    </row>
    <row r="20" spans="1:40" ht="15.9" customHeight="1" x14ac:dyDescent="0.25">
      <c r="A20" s="143"/>
      <c r="B20" s="301" t="s">
        <v>26</v>
      </c>
      <c r="C20" s="301"/>
      <c r="D20" s="301"/>
      <c r="E20" s="301"/>
      <c r="F20" s="301"/>
      <c r="G20" s="301"/>
      <c r="H20" s="301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  <c r="T20" s="303"/>
      <c r="U20" s="303"/>
      <c r="V20" s="303"/>
      <c r="W20" s="303"/>
      <c r="X20" s="303"/>
      <c r="Y20" s="303"/>
      <c r="Z20" s="147"/>
      <c r="AA20" s="146"/>
      <c r="AE20" s="158"/>
      <c r="AI20" s="158"/>
    </row>
    <row r="21" spans="1:40" ht="7.5" customHeight="1" x14ac:dyDescent="0.25">
      <c r="A21" s="132"/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61"/>
      <c r="AA21" s="141"/>
      <c r="AE21" s="158"/>
      <c r="AI21" s="158"/>
    </row>
    <row r="22" spans="1:40" ht="5.25" customHeight="1" x14ac:dyDescent="0.25">
      <c r="F22" s="156"/>
      <c r="G22" s="156"/>
      <c r="H22" s="156"/>
      <c r="I22" s="156"/>
      <c r="J22" s="156"/>
      <c r="K22" s="156"/>
      <c r="L22" s="156"/>
      <c r="M22" s="156"/>
      <c r="T22" s="157"/>
      <c r="U22" s="157"/>
      <c r="AE22" s="158"/>
      <c r="AI22" s="158"/>
      <c r="AM22" s="142"/>
      <c r="AN22" s="142"/>
    </row>
    <row r="23" spans="1:40" ht="15.9" customHeight="1" x14ac:dyDescent="0.25">
      <c r="A23" s="162" t="s">
        <v>71</v>
      </c>
      <c r="B23" s="163" t="s">
        <v>27</v>
      </c>
      <c r="C23" s="163"/>
      <c r="D23" s="164"/>
      <c r="E23" s="164"/>
      <c r="F23" s="165"/>
      <c r="G23" s="165"/>
      <c r="H23" s="165"/>
      <c r="I23" s="165"/>
      <c r="J23" s="165"/>
      <c r="K23" s="165"/>
      <c r="L23" s="165"/>
      <c r="M23" s="165"/>
      <c r="N23" s="164"/>
      <c r="O23" s="164"/>
      <c r="P23" s="164"/>
      <c r="Q23" s="164"/>
      <c r="R23" s="164"/>
      <c r="S23" s="166"/>
      <c r="T23" s="166"/>
      <c r="U23" s="166"/>
      <c r="V23" s="166"/>
      <c r="W23" s="166"/>
      <c r="X23" s="166"/>
      <c r="Y23" s="166"/>
      <c r="Z23" s="167"/>
      <c r="AM23" s="168"/>
      <c r="AN23" s="169"/>
    </row>
    <row r="24" spans="1:40" ht="9" customHeight="1" x14ac:dyDescent="0.25">
      <c r="A24" s="149"/>
      <c r="Z24" s="170"/>
    </row>
    <row r="25" spans="1:40" ht="33.6" customHeight="1" x14ac:dyDescent="0.25">
      <c r="A25" s="149"/>
      <c r="Z25" s="170"/>
    </row>
    <row r="26" spans="1:40" ht="12.75" customHeight="1" x14ac:dyDescent="0.25">
      <c r="A26" s="149"/>
      <c r="Z26" s="170"/>
    </row>
    <row r="27" spans="1:40" ht="12.75" customHeight="1" x14ac:dyDescent="0.25">
      <c r="A27" s="149"/>
      <c r="Z27" s="170"/>
    </row>
    <row r="28" spans="1:40" ht="12.75" customHeight="1" x14ac:dyDescent="0.25">
      <c r="A28" s="149"/>
      <c r="Z28" s="170"/>
    </row>
    <row r="29" spans="1:40" ht="12.75" customHeight="1" x14ac:dyDescent="0.25">
      <c r="A29" s="149"/>
      <c r="Z29" s="170"/>
    </row>
    <row r="30" spans="1:40" ht="12.75" customHeight="1" x14ac:dyDescent="0.25">
      <c r="A30" s="149"/>
      <c r="Z30" s="170"/>
    </row>
    <row r="31" spans="1:40" ht="12.75" customHeight="1" x14ac:dyDescent="0.25">
      <c r="A31" s="149"/>
      <c r="Z31" s="170"/>
    </row>
    <row r="32" spans="1:40" ht="12.75" customHeight="1" x14ac:dyDescent="0.25">
      <c r="A32" s="149"/>
      <c r="Z32" s="170"/>
    </row>
    <row r="33" spans="1:26" ht="12.75" customHeight="1" x14ac:dyDescent="0.25">
      <c r="A33" s="149"/>
      <c r="Z33" s="170"/>
    </row>
    <row r="34" spans="1:26" ht="12.75" customHeight="1" x14ac:dyDescent="0.25">
      <c r="A34" s="149"/>
      <c r="Z34" s="170"/>
    </row>
    <row r="35" spans="1:26" ht="12.75" customHeight="1" x14ac:dyDescent="0.25">
      <c r="A35" s="149"/>
      <c r="Z35" s="170"/>
    </row>
    <row r="36" spans="1:26" ht="12.75" customHeight="1" x14ac:dyDescent="0.25">
      <c r="A36" s="149"/>
      <c r="Z36" s="170"/>
    </row>
    <row r="37" spans="1:26" ht="12.75" customHeight="1" x14ac:dyDescent="0.25">
      <c r="A37" s="149"/>
      <c r="Z37" s="170"/>
    </row>
    <row r="38" spans="1:26" ht="12.75" customHeight="1" x14ac:dyDescent="0.25">
      <c r="A38" s="149"/>
      <c r="Z38" s="170"/>
    </row>
    <row r="39" spans="1:26" ht="12.75" customHeight="1" x14ac:dyDescent="0.25">
      <c r="A39" s="149"/>
      <c r="Z39" s="170"/>
    </row>
    <row r="40" spans="1:26" ht="12.75" customHeight="1" x14ac:dyDescent="0.25">
      <c r="A40" s="149"/>
      <c r="Z40" s="170"/>
    </row>
    <row r="41" spans="1:26" ht="12.75" customHeight="1" x14ac:dyDescent="0.25">
      <c r="A41" s="149"/>
      <c r="Z41" s="170"/>
    </row>
    <row r="42" spans="1:26" ht="12.75" customHeight="1" x14ac:dyDescent="0.25">
      <c r="A42" s="149"/>
      <c r="Z42" s="170"/>
    </row>
    <row r="43" spans="1:26" ht="12.75" customHeight="1" x14ac:dyDescent="0.25">
      <c r="A43" s="149"/>
      <c r="Z43" s="170"/>
    </row>
    <row r="44" spans="1:26" ht="12.75" customHeight="1" x14ac:dyDescent="0.25">
      <c r="A44" s="149"/>
      <c r="Z44" s="170"/>
    </row>
    <row r="45" spans="1:26" ht="12.75" customHeight="1" x14ac:dyDescent="0.25">
      <c r="A45" s="149"/>
      <c r="Z45" s="170"/>
    </row>
    <row r="46" spans="1:26" ht="12.75" customHeight="1" x14ac:dyDescent="0.25">
      <c r="A46" s="149"/>
      <c r="Z46" s="170"/>
    </row>
    <row r="47" spans="1:26" ht="9.75" customHeight="1" x14ac:dyDescent="0.25">
      <c r="A47" s="149"/>
      <c r="Z47" s="170"/>
    </row>
    <row r="48" spans="1:26" ht="37.799999999999997" customHeight="1" thickBot="1" x14ac:dyDescent="0.3">
      <c r="A48" s="149"/>
      <c r="Z48" s="170"/>
    </row>
    <row r="49" spans="1:34" ht="9.75" customHeight="1" x14ac:dyDescent="0.25">
      <c r="A49" s="149"/>
      <c r="Z49" s="170"/>
      <c r="AD49" s="378" t="s">
        <v>28</v>
      </c>
      <c r="AE49" s="380">
        <v>2.6469999999999998</v>
      </c>
      <c r="AF49" s="353"/>
      <c r="AG49" s="359"/>
      <c r="AH49" s="171"/>
    </row>
    <row r="50" spans="1:34" ht="12.75" customHeight="1" thickBot="1" x14ac:dyDescent="0.3">
      <c r="A50" s="149"/>
      <c r="Z50" s="172"/>
      <c r="AD50" s="379"/>
      <c r="AE50" s="381"/>
      <c r="AF50" s="358"/>
      <c r="AG50" s="359"/>
    </row>
    <row r="51" spans="1:34" ht="18.75" customHeight="1" thickBot="1" x14ac:dyDescent="0.3">
      <c r="A51" s="149"/>
      <c r="E51" s="360" t="s">
        <v>29</v>
      </c>
      <c r="F51" s="361"/>
      <c r="G51" s="361"/>
      <c r="H51" s="361"/>
      <c r="I51" s="361"/>
      <c r="J51" s="361"/>
      <c r="K51" s="361"/>
      <c r="L51" s="361"/>
      <c r="M51" s="361"/>
      <c r="N51" s="361"/>
      <c r="O51" s="361"/>
      <c r="P51" s="361"/>
      <c r="Q51" s="361"/>
      <c r="R51" s="361"/>
      <c r="S51" s="361"/>
      <c r="T51" s="361"/>
      <c r="U51" s="362" t="s">
        <v>30</v>
      </c>
      <c r="V51" s="363"/>
      <c r="W51" s="364" t="s">
        <v>31</v>
      </c>
      <c r="X51" s="363"/>
      <c r="Y51" s="365" t="s">
        <v>32</v>
      </c>
      <c r="Z51" s="366"/>
      <c r="AA51" s="175"/>
      <c r="AB51" s="369" t="s">
        <v>33</v>
      </c>
      <c r="AC51" s="370"/>
      <c r="AD51" s="373" t="s">
        <v>34</v>
      </c>
      <c r="AE51" s="375" t="s">
        <v>35</v>
      </c>
      <c r="AF51" s="353"/>
      <c r="AG51" s="353"/>
      <c r="AH51" s="173"/>
    </row>
    <row r="52" spans="1:34" ht="24.9" customHeight="1" thickBot="1" x14ac:dyDescent="0.3">
      <c r="A52" s="176"/>
      <c r="B52" s="174" t="s">
        <v>36</v>
      </c>
      <c r="C52" s="354" t="s">
        <v>37</v>
      </c>
      <c r="D52" s="355"/>
      <c r="E52" s="177">
        <v>6.3E-2</v>
      </c>
      <c r="F52" s="177">
        <v>0.125</v>
      </c>
      <c r="G52" s="178">
        <v>0.25</v>
      </c>
      <c r="H52" s="178">
        <v>0.5</v>
      </c>
      <c r="I52" s="178">
        <v>1</v>
      </c>
      <c r="J52" s="178">
        <v>2</v>
      </c>
      <c r="K52" s="178">
        <v>4</v>
      </c>
      <c r="L52" s="178">
        <v>6.3</v>
      </c>
      <c r="M52" s="178">
        <v>8</v>
      </c>
      <c r="N52" s="178">
        <v>10</v>
      </c>
      <c r="O52" s="178">
        <v>12.5</v>
      </c>
      <c r="P52" s="178">
        <v>14</v>
      </c>
      <c r="Q52" s="179">
        <v>16</v>
      </c>
      <c r="R52" s="179">
        <v>20</v>
      </c>
      <c r="S52" s="178"/>
      <c r="T52" s="179"/>
      <c r="U52" s="310"/>
      <c r="V52" s="312"/>
      <c r="W52" s="311"/>
      <c r="X52" s="312"/>
      <c r="Y52" s="367"/>
      <c r="Z52" s="368"/>
      <c r="AA52" s="175"/>
      <c r="AB52" s="371"/>
      <c r="AC52" s="372"/>
      <c r="AD52" s="374"/>
      <c r="AE52" s="376"/>
      <c r="AF52" s="377"/>
      <c r="AG52" s="353"/>
    </row>
    <row r="53" spans="1:34" ht="24.9" customHeight="1" x14ac:dyDescent="0.25">
      <c r="A53" s="176"/>
      <c r="B53" s="180">
        <v>1</v>
      </c>
      <c r="C53" s="569" t="s">
        <v>88</v>
      </c>
      <c r="D53" s="570"/>
      <c r="E53" s="237">
        <v>6.7</v>
      </c>
      <c r="F53" s="238">
        <v>8.6999999999999993</v>
      </c>
      <c r="G53" s="239">
        <v>11.4</v>
      </c>
      <c r="H53" s="239">
        <v>14.8</v>
      </c>
      <c r="I53" s="239">
        <v>19.600000000000001</v>
      </c>
      <c r="J53" s="239">
        <v>28.3</v>
      </c>
      <c r="K53" s="239">
        <v>42.5</v>
      </c>
      <c r="L53" s="239">
        <v>60.8</v>
      </c>
      <c r="M53" s="239">
        <v>78.7</v>
      </c>
      <c r="N53" s="239">
        <v>95.8</v>
      </c>
      <c r="O53" s="239">
        <v>100</v>
      </c>
      <c r="P53" s="239"/>
      <c r="Q53" s="239"/>
      <c r="R53" s="239"/>
      <c r="S53" s="240"/>
      <c r="T53" s="240"/>
      <c r="U53" s="565">
        <v>170</v>
      </c>
      <c r="V53" s="566"/>
      <c r="W53" s="567">
        <v>5.46</v>
      </c>
      <c r="X53" s="568"/>
      <c r="Y53" s="356">
        <f>IF(W53&lt;&gt;0,AE53,"")</f>
        <v>3.4547726075314924</v>
      </c>
      <c r="Z53" s="357"/>
      <c r="AA53" s="181"/>
      <c r="AB53" s="326">
        <f>(100*W53)/(100-W53)</f>
        <v>5.7753331922995557</v>
      </c>
      <c r="AC53" s="327"/>
      <c r="AD53" s="53">
        <f>(0.25*(100-O53)+2.3*(O53-H53)+12*(H53-E53)+150*(E53))/100</f>
        <v>12.981599999999998</v>
      </c>
      <c r="AE53" s="54">
        <f>(AB53*$AE$49)/(2.65*(AD53)^(1/5))</f>
        <v>3.4547726075314924</v>
      </c>
      <c r="AF53" s="156"/>
      <c r="AG53" s="182"/>
    </row>
    <row r="54" spans="1:34" ht="24.9" customHeight="1" x14ac:dyDescent="0.25">
      <c r="A54" s="176"/>
      <c r="B54" s="183">
        <v>2</v>
      </c>
      <c r="C54" s="563"/>
      <c r="D54" s="564"/>
      <c r="E54" s="125"/>
      <c r="F54" s="126"/>
      <c r="G54" s="127"/>
      <c r="H54" s="127"/>
      <c r="I54" s="127"/>
      <c r="J54" s="127"/>
      <c r="K54" s="127"/>
      <c r="L54" s="127"/>
      <c r="M54" s="127"/>
      <c r="N54" s="127"/>
      <c r="O54" s="236"/>
      <c r="P54" s="184"/>
      <c r="Q54" s="184"/>
      <c r="R54" s="184"/>
      <c r="S54" s="185"/>
      <c r="T54" s="185"/>
      <c r="U54" s="342"/>
      <c r="V54" s="343"/>
      <c r="W54" s="344"/>
      <c r="X54" s="345"/>
      <c r="Y54" s="346" t="str">
        <f>IF(W54&lt;&gt;0,AE54,"")</f>
        <v/>
      </c>
      <c r="Z54" s="347"/>
      <c r="AA54" s="181"/>
      <c r="AB54" s="326">
        <f>(100*W54)/(100-W54)</f>
        <v>0</v>
      </c>
      <c r="AC54" s="327"/>
      <c r="AD54" s="53">
        <f t="shared" ref="AD54:AD60" si="0">(0.25*(100-O54)+2.3*(O54-H54)+12*(H54-E54)+150*(E54))/100</f>
        <v>0.25</v>
      </c>
      <c r="AE54" s="54">
        <f t="shared" ref="AE54:AE60" si="1">(AB54*$AE$49)/(2.65*(AD54)^(1/5))</f>
        <v>0</v>
      </c>
      <c r="AF54" s="156"/>
      <c r="AG54" s="182"/>
    </row>
    <row r="55" spans="1:34" ht="24.9" customHeight="1" x14ac:dyDescent="0.25">
      <c r="A55" s="176"/>
      <c r="B55" s="183">
        <v>3</v>
      </c>
      <c r="C55" s="291"/>
      <c r="D55" s="348"/>
      <c r="E55" s="120"/>
      <c r="F55" s="121"/>
      <c r="G55" s="122"/>
      <c r="H55" s="122"/>
      <c r="I55" s="122"/>
      <c r="J55" s="122"/>
      <c r="K55" s="122"/>
      <c r="L55" s="122"/>
      <c r="M55" s="122"/>
      <c r="N55" s="122"/>
      <c r="O55" s="124"/>
      <c r="P55" s="122"/>
      <c r="Q55" s="122"/>
      <c r="R55" s="122"/>
      <c r="S55" s="123"/>
      <c r="T55" s="123"/>
      <c r="U55" s="349"/>
      <c r="V55" s="350"/>
      <c r="W55" s="351"/>
      <c r="X55" s="352"/>
      <c r="Y55" s="346" t="str">
        <f t="shared" ref="Y55:Y56" si="2">IF(W55&lt;&gt;0,AE55,"")</f>
        <v/>
      </c>
      <c r="Z55" s="347"/>
      <c r="AA55" s="181"/>
      <c r="AB55" s="326">
        <f>(100*W55)/(100-W55)</f>
        <v>0</v>
      </c>
      <c r="AC55" s="327"/>
      <c r="AD55" s="53">
        <f t="shared" si="0"/>
        <v>0.25</v>
      </c>
      <c r="AE55" s="54">
        <f t="shared" si="1"/>
        <v>0</v>
      </c>
      <c r="AF55" s="156"/>
      <c r="AG55" s="182"/>
    </row>
    <row r="56" spans="1:34" ht="24.9" customHeight="1" thickBot="1" x14ac:dyDescent="0.3">
      <c r="A56" s="176"/>
      <c r="B56" s="188">
        <v>4</v>
      </c>
      <c r="C56" s="293"/>
      <c r="D56" s="294"/>
      <c r="E56" s="189"/>
      <c r="F56" s="190"/>
      <c r="G56" s="190"/>
      <c r="H56" s="191"/>
      <c r="I56" s="191"/>
      <c r="J56" s="191"/>
      <c r="K56" s="191"/>
      <c r="L56" s="191"/>
      <c r="M56" s="191"/>
      <c r="N56" s="191"/>
      <c r="O56" s="247"/>
      <c r="P56" s="191"/>
      <c r="Q56" s="191"/>
      <c r="R56" s="191"/>
      <c r="S56" s="191"/>
      <c r="T56" s="192"/>
      <c r="U56" s="295"/>
      <c r="V56" s="296"/>
      <c r="W56" s="297"/>
      <c r="X56" s="298"/>
      <c r="Y56" s="299" t="str">
        <f t="shared" si="2"/>
        <v/>
      </c>
      <c r="Z56" s="300"/>
      <c r="AA56" s="181"/>
      <c r="AB56" s="326">
        <f>(100*W56)/(100-W56)</f>
        <v>0</v>
      </c>
      <c r="AC56" s="327"/>
      <c r="AD56" s="53">
        <f t="shared" si="0"/>
        <v>0.25</v>
      </c>
      <c r="AE56" s="54">
        <f t="shared" si="1"/>
        <v>0</v>
      </c>
      <c r="AF56" s="156"/>
      <c r="AG56" s="182"/>
    </row>
    <row r="57" spans="1:34" ht="10.5" customHeight="1" thickBot="1" x14ac:dyDescent="0.3">
      <c r="A57" s="176"/>
      <c r="B57" s="130"/>
      <c r="E57" s="193"/>
      <c r="F57" s="193"/>
      <c r="G57" s="193"/>
      <c r="H57" s="193"/>
      <c r="I57" s="193"/>
      <c r="J57" s="193"/>
      <c r="K57" s="193"/>
      <c r="L57" s="193"/>
      <c r="M57" s="193"/>
      <c r="N57" s="193"/>
      <c r="O57" s="248"/>
      <c r="P57" s="193"/>
      <c r="Q57" s="193"/>
      <c r="R57" s="193"/>
      <c r="S57" s="193"/>
      <c r="T57" s="193"/>
      <c r="U57" s="193"/>
      <c r="V57" s="193"/>
      <c r="W57" s="194"/>
      <c r="Z57" s="195"/>
      <c r="AB57" s="72"/>
      <c r="AC57" s="73"/>
      <c r="AD57" s="53"/>
      <c r="AE57" s="54"/>
      <c r="AF57" s="156"/>
      <c r="AG57" s="182"/>
    </row>
    <row r="58" spans="1:34" ht="24.75" hidden="1" customHeight="1" x14ac:dyDescent="0.25">
      <c r="A58" s="176"/>
      <c r="B58" s="337" t="s">
        <v>38</v>
      </c>
      <c r="C58" s="338"/>
      <c r="D58" s="339"/>
      <c r="E58" s="196"/>
      <c r="F58" s="196"/>
      <c r="G58" s="196"/>
      <c r="H58" s="196"/>
      <c r="I58" s="196"/>
      <c r="J58" s="196"/>
      <c r="K58" s="196"/>
      <c r="L58" s="196"/>
      <c r="M58" s="196">
        <v>10</v>
      </c>
      <c r="N58" s="196">
        <v>10</v>
      </c>
      <c r="O58" s="249"/>
      <c r="P58" s="196"/>
      <c r="Q58" s="196">
        <v>50</v>
      </c>
      <c r="R58" s="196"/>
      <c r="S58" s="196">
        <v>70</v>
      </c>
      <c r="T58" s="196"/>
      <c r="U58" s="196"/>
      <c r="V58" s="196"/>
      <c r="W58" s="196"/>
      <c r="X58" s="197"/>
      <c r="Y58" s="198">
        <v>4.5</v>
      </c>
      <c r="Z58" s="198"/>
      <c r="AA58" s="156"/>
      <c r="AB58" s="72"/>
      <c r="AC58" s="73"/>
      <c r="AD58" s="53">
        <f t="shared" si="0"/>
        <v>0.25</v>
      </c>
      <c r="AE58" s="54">
        <f t="shared" si="1"/>
        <v>0</v>
      </c>
      <c r="AF58" s="156"/>
      <c r="AG58" s="182"/>
    </row>
    <row r="59" spans="1:34" ht="18.75" customHeight="1" x14ac:dyDescent="0.25">
      <c r="A59" s="176"/>
      <c r="B59" s="317" t="s">
        <v>39</v>
      </c>
      <c r="C59" s="318"/>
      <c r="D59" s="319"/>
      <c r="E59" s="199">
        <f t="shared" ref="E59:T59" si="3">IF(E53&lt;&gt;0,AVERAGE(E53:E56),"")</f>
        <v>6.7</v>
      </c>
      <c r="F59" s="199">
        <f t="shared" si="3"/>
        <v>8.6999999999999993</v>
      </c>
      <c r="G59" s="199">
        <f t="shared" si="3"/>
        <v>11.4</v>
      </c>
      <c r="H59" s="199">
        <f t="shared" si="3"/>
        <v>14.8</v>
      </c>
      <c r="I59" s="199">
        <f t="shared" si="3"/>
        <v>19.600000000000001</v>
      </c>
      <c r="J59" s="199">
        <f t="shared" si="3"/>
        <v>28.3</v>
      </c>
      <c r="K59" s="199">
        <f t="shared" si="3"/>
        <v>42.5</v>
      </c>
      <c r="L59" s="199">
        <f t="shared" si="3"/>
        <v>60.8</v>
      </c>
      <c r="M59" s="199">
        <f t="shared" si="3"/>
        <v>78.7</v>
      </c>
      <c r="N59" s="199">
        <f t="shared" si="3"/>
        <v>95.8</v>
      </c>
      <c r="O59" s="250">
        <f t="shared" si="3"/>
        <v>100</v>
      </c>
      <c r="P59" s="199"/>
      <c r="Q59" s="199"/>
      <c r="R59" s="199"/>
      <c r="S59" s="199" t="str">
        <f t="shared" si="3"/>
        <v/>
      </c>
      <c r="T59" s="200" t="str">
        <f t="shared" si="3"/>
        <v/>
      </c>
      <c r="U59" s="320">
        <f>IF(U53&lt;&gt;0,AVERAGE(U53:V56),"")</f>
        <v>170</v>
      </c>
      <c r="V59" s="321"/>
      <c r="W59" s="322">
        <f>IF(W53&lt;&gt;0,AVERAGE(W53:X56),"")</f>
        <v>5.46</v>
      </c>
      <c r="X59" s="323"/>
      <c r="Y59" s="324">
        <f>IF(W53&lt;&gt;0,AVERAGE(Y53:Z56),"")</f>
        <v>3.4547726075314924</v>
      </c>
      <c r="Z59" s="325"/>
      <c r="AA59" s="182"/>
      <c r="AB59" s="326">
        <f>(100*W59)/(100-W59)</f>
        <v>5.7753331922995557</v>
      </c>
      <c r="AC59" s="327"/>
      <c r="AD59" s="53">
        <f t="shared" si="0"/>
        <v>12.981599999999998</v>
      </c>
      <c r="AE59" s="54">
        <f t="shared" si="1"/>
        <v>3.4547726075314924</v>
      </c>
      <c r="AF59" s="156"/>
      <c r="AG59" s="182"/>
    </row>
    <row r="60" spans="1:34" ht="21" customHeight="1" x14ac:dyDescent="0.25">
      <c r="A60" s="176"/>
      <c r="B60" s="328" t="s">
        <v>40</v>
      </c>
      <c r="C60" s="329"/>
      <c r="D60" s="330"/>
      <c r="E60" s="201">
        <v>6.5</v>
      </c>
      <c r="F60" s="201">
        <v>8</v>
      </c>
      <c r="G60" s="201">
        <v>11</v>
      </c>
      <c r="H60" s="201">
        <v>16</v>
      </c>
      <c r="I60" s="201">
        <v>21</v>
      </c>
      <c r="J60" s="201">
        <v>30</v>
      </c>
      <c r="K60" s="201">
        <v>44</v>
      </c>
      <c r="L60" s="201">
        <v>60</v>
      </c>
      <c r="M60" s="201">
        <v>76</v>
      </c>
      <c r="N60" s="201">
        <v>95</v>
      </c>
      <c r="O60" s="202">
        <v>100</v>
      </c>
      <c r="P60" s="201"/>
      <c r="Q60" s="202"/>
      <c r="R60" s="201"/>
      <c r="S60" s="201"/>
      <c r="T60" s="203"/>
      <c r="U60" s="331"/>
      <c r="V60" s="332"/>
      <c r="W60" s="333">
        <v>5.4</v>
      </c>
      <c r="X60" s="334"/>
      <c r="Y60" s="335">
        <f>AE60</f>
        <v>3.4230996041984052</v>
      </c>
      <c r="Z60" s="336"/>
      <c r="AA60" s="182"/>
      <c r="AB60" s="326">
        <f>(100*W60)/(100-W60)</f>
        <v>5.7082452431289648</v>
      </c>
      <c r="AC60" s="327"/>
      <c r="AD60" s="53">
        <f t="shared" si="0"/>
        <v>12.822000000000001</v>
      </c>
      <c r="AE60" s="54">
        <f t="shared" si="1"/>
        <v>3.4230996041984052</v>
      </c>
      <c r="AF60" s="156"/>
      <c r="AG60" s="182"/>
    </row>
    <row r="61" spans="1:34" ht="13.5" customHeight="1" x14ac:dyDescent="0.25">
      <c r="A61" s="176"/>
      <c r="B61" s="204"/>
      <c r="C61" s="205" t="s">
        <v>41</v>
      </c>
      <c r="D61" s="206"/>
      <c r="E61" s="186">
        <f>E60+2</f>
        <v>8.5</v>
      </c>
      <c r="F61" s="186"/>
      <c r="G61" s="186"/>
      <c r="H61" s="186"/>
      <c r="I61" s="186"/>
      <c r="J61" s="186">
        <f>J60+6</f>
        <v>36</v>
      </c>
      <c r="K61" s="186"/>
      <c r="L61" s="186">
        <f>L60+7</f>
        <v>67</v>
      </c>
      <c r="M61" s="186"/>
      <c r="N61" s="186"/>
      <c r="O61" s="186"/>
      <c r="P61" s="186"/>
      <c r="Q61" s="186"/>
      <c r="R61" s="186"/>
      <c r="S61" s="186"/>
      <c r="T61" s="187"/>
      <c r="U61" s="288"/>
      <c r="V61" s="289"/>
      <c r="W61" s="290">
        <f>W60+0.5</f>
        <v>5.9</v>
      </c>
      <c r="X61" s="289"/>
      <c r="Y61" s="291"/>
      <c r="Z61" s="292"/>
      <c r="AA61" s="207"/>
      <c r="AB61" s="88"/>
      <c r="AC61" s="89"/>
      <c r="AD61" s="306"/>
      <c r="AE61" s="308" t="s">
        <v>42</v>
      </c>
      <c r="AF61" s="156"/>
      <c r="AG61" s="182"/>
    </row>
    <row r="62" spans="1:34" ht="13.5" customHeight="1" thickBot="1" x14ac:dyDescent="0.3">
      <c r="A62" s="176"/>
      <c r="B62" s="310" t="s">
        <v>43</v>
      </c>
      <c r="C62" s="311"/>
      <c r="D62" s="312"/>
      <c r="E62" s="208">
        <f>E60-2</f>
        <v>4.5</v>
      </c>
      <c r="F62" s="208"/>
      <c r="G62" s="209"/>
      <c r="H62" s="209"/>
      <c r="I62" s="209"/>
      <c r="J62" s="208">
        <f>J60-6</f>
        <v>24</v>
      </c>
      <c r="K62" s="209"/>
      <c r="L62" s="208">
        <f>L60-7</f>
        <v>53</v>
      </c>
      <c r="M62" s="208"/>
      <c r="N62" s="209"/>
      <c r="O62" s="209"/>
      <c r="P62" s="209"/>
      <c r="Q62" s="208"/>
      <c r="R62" s="209"/>
      <c r="S62" s="209"/>
      <c r="T62" s="210"/>
      <c r="U62" s="313"/>
      <c r="V62" s="314"/>
      <c r="W62" s="315">
        <f>W60-0.5</f>
        <v>4.9000000000000004</v>
      </c>
      <c r="X62" s="314"/>
      <c r="Y62" s="293"/>
      <c r="Z62" s="316"/>
      <c r="AA62" s="211"/>
      <c r="AB62" s="94"/>
      <c r="AC62" s="95"/>
      <c r="AD62" s="307"/>
      <c r="AE62" s="309"/>
      <c r="AF62" s="156"/>
      <c r="AG62" s="182"/>
    </row>
    <row r="63" spans="1:34" ht="6.75" customHeight="1" x14ac:dyDescent="0.25">
      <c r="A63" s="151"/>
      <c r="B63" s="152"/>
      <c r="C63" s="153"/>
      <c r="D63" s="153"/>
      <c r="E63" s="153"/>
      <c r="F63" s="153"/>
      <c r="G63" s="153"/>
      <c r="H63" s="153"/>
      <c r="I63" s="153"/>
      <c r="J63" s="153"/>
      <c r="K63" s="153"/>
      <c r="L63" s="153"/>
      <c r="M63" s="153"/>
      <c r="N63" s="153"/>
      <c r="O63" s="153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212"/>
    </row>
    <row r="64" spans="1:34" ht="8.25" customHeight="1" x14ac:dyDescent="0.25"/>
    <row r="65" spans="1:30" ht="15.6" customHeight="1" x14ac:dyDescent="0.25">
      <c r="A65" s="213" t="s">
        <v>44</v>
      </c>
      <c r="B65" s="214" t="s">
        <v>45</v>
      </c>
      <c r="C65" s="215"/>
      <c r="D65" s="215"/>
      <c r="E65" s="215"/>
      <c r="F65" s="216"/>
      <c r="G65" s="216"/>
      <c r="H65" s="216"/>
      <c r="I65" s="138"/>
      <c r="J65" s="138"/>
      <c r="K65" s="138"/>
      <c r="L65" s="138"/>
      <c r="M65" s="138"/>
      <c r="N65" s="138"/>
      <c r="O65" s="138"/>
      <c r="P65" s="138"/>
      <c r="Q65" s="216"/>
      <c r="R65" s="138"/>
      <c r="S65" s="138"/>
      <c r="T65" s="138"/>
      <c r="U65" s="270"/>
      <c r="V65" s="270"/>
      <c r="W65" s="270"/>
      <c r="X65" s="270"/>
      <c r="Y65" s="270"/>
      <c r="Z65" s="271"/>
      <c r="AA65" s="217"/>
      <c r="AB65" s="218"/>
      <c r="AC65" s="218"/>
      <c r="AD65" s="219"/>
    </row>
    <row r="66" spans="1:30" ht="26.4" customHeight="1" x14ac:dyDescent="0.25">
      <c r="A66" s="272" t="s">
        <v>46</v>
      </c>
      <c r="B66" s="273"/>
      <c r="C66" s="273"/>
      <c r="D66" s="273"/>
      <c r="E66" s="273"/>
      <c r="F66" s="273"/>
      <c r="G66" s="273"/>
      <c r="H66" s="273"/>
      <c r="I66" s="273"/>
      <c r="J66" s="273"/>
      <c r="K66" s="273"/>
      <c r="L66" s="273"/>
      <c r="M66" s="273"/>
      <c r="N66" s="273"/>
      <c r="O66" s="273"/>
      <c r="P66" s="273"/>
      <c r="Q66" s="274"/>
      <c r="R66" s="261" t="s">
        <v>47</v>
      </c>
      <c r="S66" s="262"/>
      <c r="T66" s="263"/>
      <c r="U66" s="275" t="s">
        <v>76</v>
      </c>
      <c r="V66" s="276"/>
      <c r="W66" s="276"/>
      <c r="X66" s="277"/>
      <c r="Y66" s="277"/>
      <c r="Z66" s="278"/>
      <c r="AA66" s="160"/>
      <c r="AB66" s="220"/>
      <c r="AC66" s="220"/>
      <c r="AD66" s="219"/>
    </row>
    <row r="67" spans="1:30" ht="26.4" customHeight="1" x14ac:dyDescent="0.25">
      <c r="A67" s="279" t="s">
        <v>48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0"/>
      <c r="N67" s="280"/>
      <c r="O67" s="280"/>
      <c r="P67" s="280"/>
      <c r="Q67" s="281"/>
      <c r="R67" s="261" t="s">
        <v>49</v>
      </c>
      <c r="S67" s="262"/>
      <c r="T67" s="263"/>
      <c r="U67" s="282" t="s">
        <v>77</v>
      </c>
      <c r="V67" s="283"/>
      <c r="W67" s="283"/>
      <c r="X67" s="283"/>
      <c r="Y67" s="283"/>
      <c r="Z67" s="284"/>
      <c r="AA67" s="160"/>
      <c r="AB67" s="220"/>
      <c r="AC67" s="220"/>
      <c r="AD67" s="219"/>
    </row>
    <row r="68" spans="1:30" ht="15.6" customHeight="1" x14ac:dyDescent="0.25">
      <c r="A68" s="221" t="s">
        <v>50</v>
      </c>
      <c r="B68" s="222" t="s">
        <v>51</v>
      </c>
      <c r="C68" s="141"/>
      <c r="D68" s="141"/>
      <c r="E68" s="223"/>
      <c r="F68" s="223"/>
      <c r="G68" s="223"/>
      <c r="H68" s="223"/>
      <c r="I68" s="223"/>
      <c r="J68" s="223"/>
      <c r="K68" s="223"/>
      <c r="L68" s="223"/>
      <c r="M68" s="223"/>
      <c r="N68" s="223"/>
      <c r="O68" s="223"/>
      <c r="P68" s="223"/>
      <c r="Q68" s="224"/>
      <c r="R68" s="261"/>
      <c r="S68" s="262"/>
      <c r="T68" s="263"/>
      <c r="U68" s="285"/>
      <c r="V68" s="286"/>
      <c r="W68" s="286"/>
      <c r="X68" s="286"/>
      <c r="Y68" s="286"/>
      <c r="Z68" s="287"/>
      <c r="AA68" s="160"/>
      <c r="AB68" s="220"/>
      <c r="AC68" s="220"/>
      <c r="AD68" s="219"/>
    </row>
    <row r="69" spans="1:30" ht="15.6" customHeight="1" x14ac:dyDescent="0.25">
      <c r="A69" s="255"/>
      <c r="B69" s="256"/>
      <c r="C69" s="256"/>
      <c r="D69" s="256"/>
      <c r="E69" s="256"/>
      <c r="F69" s="256"/>
      <c r="G69" s="256"/>
      <c r="H69" s="256"/>
      <c r="I69" s="256"/>
      <c r="J69" s="256"/>
      <c r="K69" s="256"/>
      <c r="L69" s="256"/>
      <c r="M69" s="256"/>
      <c r="N69" s="256"/>
      <c r="O69" s="256"/>
      <c r="P69" s="256"/>
      <c r="Q69" s="257"/>
      <c r="R69" s="261" t="s">
        <v>52</v>
      </c>
      <c r="S69" s="262"/>
      <c r="T69" s="263"/>
      <c r="U69" s="225"/>
      <c r="V69" s="226"/>
      <c r="W69" s="226"/>
      <c r="X69" s="226"/>
      <c r="Y69" s="226"/>
      <c r="Z69" s="227"/>
      <c r="AA69" s="228"/>
      <c r="AB69" s="229"/>
      <c r="AC69" s="229"/>
      <c r="AD69" s="219"/>
    </row>
    <row r="70" spans="1:30" ht="15.6" customHeight="1" x14ac:dyDescent="0.25">
      <c r="A70" s="255"/>
      <c r="B70" s="256"/>
      <c r="C70" s="256"/>
      <c r="D70" s="256"/>
      <c r="E70" s="256"/>
      <c r="F70" s="256"/>
      <c r="G70" s="256"/>
      <c r="H70" s="256"/>
      <c r="I70" s="256"/>
      <c r="J70" s="256"/>
      <c r="K70" s="256"/>
      <c r="L70" s="256"/>
      <c r="M70" s="256"/>
      <c r="N70" s="256"/>
      <c r="O70" s="256"/>
      <c r="P70" s="256"/>
      <c r="Q70" s="257"/>
      <c r="R70" s="261"/>
      <c r="S70" s="262"/>
      <c r="T70" s="263"/>
      <c r="U70" s="230"/>
      <c r="V70" s="267"/>
      <c r="W70" s="267"/>
      <c r="X70" s="267"/>
      <c r="Y70" s="267"/>
      <c r="Z70" s="231"/>
      <c r="AA70" s="228"/>
      <c r="AB70" s="229"/>
      <c r="AC70" s="229"/>
      <c r="AD70" s="219"/>
    </row>
    <row r="71" spans="1:30" ht="15.6" customHeight="1" x14ac:dyDescent="0.25">
      <c r="A71" s="255"/>
      <c r="B71" s="256"/>
      <c r="C71" s="256"/>
      <c r="D71" s="256"/>
      <c r="E71" s="256"/>
      <c r="F71" s="256"/>
      <c r="G71" s="256"/>
      <c r="H71" s="256"/>
      <c r="I71" s="256"/>
      <c r="J71" s="256"/>
      <c r="K71" s="256"/>
      <c r="L71" s="256"/>
      <c r="M71" s="256"/>
      <c r="N71" s="256"/>
      <c r="O71" s="256"/>
      <c r="P71" s="256"/>
      <c r="Q71" s="257"/>
      <c r="R71" s="261"/>
      <c r="S71" s="262"/>
      <c r="T71" s="263"/>
      <c r="U71" s="230"/>
      <c r="V71" s="267"/>
      <c r="W71" s="267"/>
      <c r="X71" s="267"/>
      <c r="Y71" s="267"/>
      <c r="Z71" s="231"/>
      <c r="AA71" s="228"/>
      <c r="AB71" s="229"/>
      <c r="AC71" s="229"/>
      <c r="AD71" s="219"/>
    </row>
    <row r="72" spans="1:30" ht="15.6" customHeight="1" x14ac:dyDescent="0.25">
      <c r="A72" s="258"/>
      <c r="B72" s="259"/>
      <c r="C72" s="259"/>
      <c r="D72" s="259"/>
      <c r="E72" s="259"/>
      <c r="F72" s="259"/>
      <c r="G72" s="259"/>
      <c r="H72" s="259"/>
      <c r="I72" s="259"/>
      <c r="J72" s="259"/>
      <c r="K72" s="259"/>
      <c r="L72" s="259"/>
      <c r="M72" s="259"/>
      <c r="N72" s="259"/>
      <c r="O72" s="259"/>
      <c r="P72" s="259"/>
      <c r="Q72" s="260"/>
      <c r="R72" s="264"/>
      <c r="S72" s="265"/>
      <c r="T72" s="266"/>
      <c r="U72" s="232"/>
      <c r="V72" s="233"/>
      <c r="W72" s="233"/>
      <c r="X72" s="233"/>
      <c r="Y72" s="233"/>
      <c r="Z72" s="234"/>
      <c r="AA72" s="228"/>
      <c r="AB72" s="229"/>
      <c r="AC72" s="229"/>
      <c r="AD72" s="219"/>
    </row>
    <row r="73" spans="1:30" ht="12.75" customHeight="1" x14ac:dyDescent="0.25">
      <c r="U73" s="235"/>
      <c r="V73" s="235"/>
      <c r="W73" s="235"/>
      <c r="X73" s="235"/>
      <c r="Y73" s="235"/>
      <c r="Z73" s="235"/>
    </row>
  </sheetData>
  <mergeCells count="101">
    <mergeCell ref="A69:Q72"/>
    <mergeCell ref="R69:T72"/>
    <mergeCell ref="V70:Y71"/>
    <mergeCell ref="U53:V53"/>
    <mergeCell ref="W53:X53"/>
    <mergeCell ref="C53:D53"/>
    <mergeCell ref="U65:Z65"/>
    <mergeCell ref="A66:Q66"/>
    <mergeCell ref="R66:T66"/>
    <mergeCell ref="U66:Z66"/>
    <mergeCell ref="A67:Q67"/>
    <mergeCell ref="R67:T68"/>
    <mergeCell ref="U67:Z68"/>
    <mergeCell ref="U61:V61"/>
    <mergeCell ref="W61:X61"/>
    <mergeCell ref="Y61:Z61"/>
    <mergeCell ref="C56:D56"/>
    <mergeCell ref="U56:V56"/>
    <mergeCell ref="W56:X56"/>
    <mergeCell ref="Y56:Z56"/>
    <mergeCell ref="Y53:Z53"/>
    <mergeCell ref="AD61:AD62"/>
    <mergeCell ref="AE61:AE62"/>
    <mergeCell ref="B62:D62"/>
    <mergeCell ref="U62:V62"/>
    <mergeCell ref="W62:X62"/>
    <mergeCell ref="Y62:Z62"/>
    <mergeCell ref="B59:D59"/>
    <mergeCell ref="U59:V59"/>
    <mergeCell ref="W59:X59"/>
    <mergeCell ref="Y59:Z59"/>
    <mergeCell ref="AB59:AC59"/>
    <mergeCell ref="B60:D60"/>
    <mergeCell ref="U60:V60"/>
    <mergeCell ref="W60:X60"/>
    <mergeCell ref="Y60:Z60"/>
    <mergeCell ref="AB60:AC60"/>
    <mergeCell ref="AB56:AC56"/>
    <mergeCell ref="B58:D58"/>
    <mergeCell ref="C54:D54"/>
    <mergeCell ref="U54:V54"/>
    <mergeCell ref="W54:X54"/>
    <mergeCell ref="Y54:Z54"/>
    <mergeCell ref="AB54:AC54"/>
    <mergeCell ref="C55:D55"/>
    <mergeCell ref="U55:V55"/>
    <mergeCell ref="W55:X55"/>
    <mergeCell ref="Y55:Z55"/>
    <mergeCell ref="AB55:AC55"/>
    <mergeCell ref="AB53:AC53"/>
    <mergeCell ref="AF49:AF50"/>
    <mergeCell ref="AG49:AG50"/>
    <mergeCell ref="E51:T51"/>
    <mergeCell ref="U51:V52"/>
    <mergeCell ref="W51:X52"/>
    <mergeCell ref="Y51:Z52"/>
    <mergeCell ref="AB51:AC52"/>
    <mergeCell ref="AD51:AD52"/>
    <mergeCell ref="AE51:AE52"/>
    <mergeCell ref="AF51:AF52"/>
    <mergeCell ref="B11:F11"/>
    <mergeCell ref="G11:L11"/>
    <mergeCell ref="M11:R11"/>
    <mergeCell ref="S11:Y11"/>
    <mergeCell ref="B12:F12"/>
    <mergeCell ref="G12:L12"/>
    <mergeCell ref="M12:R12"/>
    <mergeCell ref="S12:Y12"/>
    <mergeCell ref="AG51:AG52"/>
    <mergeCell ref="C52:D52"/>
    <mergeCell ref="B19:H19"/>
    <mergeCell ref="I19:Y19"/>
    <mergeCell ref="B20:H20"/>
    <mergeCell ref="I20:Y20"/>
    <mergeCell ref="AD49:AD50"/>
    <mergeCell ref="AE49:AE50"/>
    <mergeCell ref="B13:F13"/>
    <mergeCell ref="G13:L13"/>
    <mergeCell ref="M13:R13"/>
    <mergeCell ref="S13:Y13"/>
    <mergeCell ref="B14:F14"/>
    <mergeCell ref="G14:L14"/>
    <mergeCell ref="M14:R14"/>
    <mergeCell ref="S14:Y14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FF85A-B567-4865-882E-F21B007C9F08}">
  <sheetPr>
    <pageSetUpPr fitToPage="1"/>
  </sheetPr>
  <dimension ref="A1:AN76"/>
  <sheetViews>
    <sheetView zoomScaleNormal="100" workbookViewId="0">
      <selection activeCell="C55" sqref="C55:X55"/>
    </sheetView>
  </sheetViews>
  <sheetFormatPr baseColWidth="10" defaultColWidth="11.44140625" defaultRowHeight="12.75" customHeight="1" x14ac:dyDescent="0.25"/>
  <cols>
    <col min="1" max="2" width="5.109375" style="28" customWidth="1"/>
    <col min="3" max="27" width="5.109375" style="2" customWidth="1"/>
    <col min="28" max="41" width="11.44140625" style="2" customWidth="1"/>
    <col min="42" max="16384" width="11.44140625" style="2"/>
  </cols>
  <sheetData>
    <row r="1" spans="1:36" ht="12.75" customHeight="1" x14ac:dyDescent="0.25">
      <c r="A1" s="430"/>
      <c r="B1" s="431"/>
      <c r="C1" s="431"/>
      <c r="D1" s="431"/>
      <c r="E1" s="431"/>
      <c r="F1" s="432"/>
      <c r="G1" s="439" t="s">
        <v>0</v>
      </c>
      <c r="H1" s="440"/>
      <c r="I1" s="440"/>
      <c r="J1" s="440"/>
      <c r="K1" s="440"/>
      <c r="L1" s="440"/>
      <c r="M1" s="440"/>
      <c r="N1" s="440"/>
      <c r="O1" s="440"/>
      <c r="P1" s="440"/>
      <c r="Q1" s="440"/>
      <c r="R1" s="440"/>
      <c r="S1" s="440"/>
      <c r="T1" s="441"/>
      <c r="U1" s="405" t="s">
        <v>59</v>
      </c>
      <c r="V1" s="406"/>
      <c r="W1" s="406"/>
      <c r="X1" s="406"/>
      <c r="Y1" s="406"/>
      <c r="Z1" s="407"/>
      <c r="AA1" s="1"/>
    </row>
    <row r="2" spans="1:36" ht="12.75" customHeight="1" x14ac:dyDescent="0.25">
      <c r="A2" s="433"/>
      <c r="B2" s="434"/>
      <c r="C2" s="434"/>
      <c r="D2" s="434"/>
      <c r="E2" s="434"/>
      <c r="F2" s="435"/>
      <c r="G2" s="442" t="s">
        <v>1</v>
      </c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4"/>
      <c r="U2" s="408"/>
      <c r="V2" s="409"/>
      <c r="W2" s="409"/>
      <c r="X2" s="409"/>
      <c r="Y2" s="409"/>
      <c r="Z2" s="410"/>
      <c r="AA2" s="1"/>
    </row>
    <row r="3" spans="1:36" ht="12.75" customHeight="1" x14ac:dyDescent="0.25">
      <c r="A3" s="433"/>
      <c r="B3" s="434"/>
      <c r="C3" s="434"/>
      <c r="D3" s="434"/>
      <c r="E3" s="434"/>
      <c r="F3" s="435"/>
      <c r="G3" s="445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4"/>
      <c r="U3" s="408"/>
      <c r="V3" s="409"/>
      <c r="W3" s="409"/>
      <c r="X3" s="409"/>
      <c r="Y3" s="409"/>
      <c r="Z3" s="410"/>
      <c r="AA3" s="1"/>
    </row>
    <row r="4" spans="1:36" ht="12.75" customHeight="1" x14ac:dyDescent="0.25">
      <c r="A4" s="433"/>
      <c r="B4" s="434"/>
      <c r="C4" s="434"/>
      <c r="D4" s="434"/>
      <c r="E4" s="434"/>
      <c r="F4" s="435"/>
      <c r="G4" s="445"/>
      <c r="H4" s="443"/>
      <c r="I4" s="443"/>
      <c r="J4" s="443"/>
      <c r="K4" s="443"/>
      <c r="L4" s="443"/>
      <c r="M4" s="443"/>
      <c r="N4" s="443"/>
      <c r="O4" s="443"/>
      <c r="P4" s="443"/>
      <c r="Q4" s="443"/>
      <c r="R4" s="443"/>
      <c r="S4" s="443"/>
      <c r="T4" s="444"/>
      <c r="U4" s="408"/>
      <c r="V4" s="409"/>
      <c r="W4" s="409"/>
      <c r="X4" s="409"/>
      <c r="Y4" s="409"/>
      <c r="Z4" s="410"/>
      <c r="AA4" s="1"/>
    </row>
    <row r="5" spans="1:36" ht="12.75" customHeight="1" x14ac:dyDescent="0.25">
      <c r="A5" s="433"/>
      <c r="B5" s="434"/>
      <c r="C5" s="434"/>
      <c r="D5" s="434"/>
      <c r="E5" s="434"/>
      <c r="F5" s="435"/>
      <c r="G5" s="445" t="s">
        <v>2</v>
      </c>
      <c r="H5" s="443"/>
      <c r="I5" s="3" t="s">
        <v>3</v>
      </c>
      <c r="J5" s="446">
        <v>9</v>
      </c>
      <c r="K5" s="447"/>
      <c r="L5" s="448" t="s">
        <v>60</v>
      </c>
      <c r="M5" s="446"/>
      <c r="N5" s="446"/>
      <c r="O5" s="447"/>
      <c r="P5" s="449">
        <v>45894</v>
      </c>
      <c r="Q5" s="450"/>
      <c r="R5" s="450"/>
      <c r="S5" s="450"/>
      <c r="T5" s="451"/>
      <c r="U5" s="408"/>
      <c r="V5" s="409"/>
      <c r="W5" s="409"/>
      <c r="X5" s="409"/>
      <c r="Y5" s="409"/>
      <c r="Z5" s="410"/>
      <c r="AA5" s="1"/>
    </row>
    <row r="6" spans="1:36" ht="12.75" customHeight="1" x14ac:dyDescent="0.25">
      <c r="A6" s="436"/>
      <c r="B6" s="437"/>
      <c r="C6" s="437"/>
      <c r="D6" s="437"/>
      <c r="E6" s="437"/>
      <c r="F6" s="438"/>
      <c r="G6" s="4"/>
      <c r="H6" s="5"/>
      <c r="I6" s="5"/>
      <c r="J6" s="423" t="s">
        <v>4</v>
      </c>
      <c r="K6" s="423"/>
      <c r="L6" s="423" t="s">
        <v>5</v>
      </c>
      <c r="M6" s="423"/>
      <c r="N6" s="423"/>
      <c r="O6" s="423"/>
      <c r="P6" s="423" t="s">
        <v>6</v>
      </c>
      <c r="Q6" s="423"/>
      <c r="R6" s="423"/>
      <c r="S6" s="423"/>
      <c r="T6" s="424"/>
      <c r="U6" s="411"/>
      <c r="V6" s="412"/>
      <c r="W6" s="412"/>
      <c r="X6" s="412"/>
      <c r="Y6" s="412"/>
      <c r="Z6" s="413"/>
      <c r="AA6" s="1"/>
    </row>
    <row r="7" spans="1:36" ht="37.5" customHeight="1" x14ac:dyDescent="0.25">
      <c r="A7" s="425" t="s">
        <v>7</v>
      </c>
      <c r="B7" s="425"/>
      <c r="C7" s="425"/>
      <c r="D7" s="425"/>
      <c r="E7" s="425"/>
      <c r="F7" s="425"/>
      <c r="G7" s="426" t="s">
        <v>8</v>
      </c>
      <c r="H7" s="426"/>
      <c r="I7" s="426"/>
      <c r="J7" s="426"/>
      <c r="K7" s="426"/>
      <c r="L7" s="426"/>
      <c r="M7" s="426"/>
      <c r="N7" s="426"/>
      <c r="O7" s="426"/>
      <c r="P7" s="426"/>
      <c r="Q7" s="426"/>
      <c r="R7" s="426"/>
      <c r="S7" s="426"/>
      <c r="T7" s="426"/>
      <c r="U7" s="426"/>
      <c r="V7" s="426"/>
      <c r="W7" s="426"/>
      <c r="X7" s="426"/>
      <c r="Y7" s="426"/>
      <c r="Z7" s="426"/>
      <c r="AA7" s="6"/>
      <c r="AE7" s="7"/>
      <c r="AI7" s="7"/>
    </row>
    <row r="8" spans="1:36" ht="15.9" customHeight="1" x14ac:dyDescent="0.25">
      <c r="A8" s="8" t="s">
        <v>9</v>
      </c>
      <c r="B8" s="9" t="s">
        <v>10</v>
      </c>
      <c r="C8" s="10"/>
      <c r="D8" s="11"/>
      <c r="E8" s="11"/>
      <c r="F8" s="11"/>
      <c r="G8" s="11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2"/>
      <c r="AA8" s="13"/>
      <c r="AB8" s="14"/>
      <c r="AC8" s="14"/>
      <c r="AD8" s="14"/>
      <c r="AE8" s="7"/>
      <c r="AF8" s="14"/>
      <c r="AI8" s="7"/>
    </row>
    <row r="9" spans="1:36" ht="15.9" customHeight="1" x14ac:dyDescent="0.25">
      <c r="A9" s="15"/>
      <c r="B9" s="13"/>
      <c r="C9" s="13"/>
      <c r="D9" s="16"/>
      <c r="E9" s="16"/>
      <c r="F9" s="16"/>
      <c r="G9" s="16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7"/>
      <c r="AA9" s="13"/>
      <c r="AB9" s="14"/>
      <c r="AC9" s="14"/>
      <c r="AD9" s="14"/>
      <c r="AE9" s="7"/>
      <c r="AF9" s="14"/>
      <c r="AI9" s="7"/>
    </row>
    <row r="10" spans="1:36" ht="15.9" customHeight="1" x14ac:dyDescent="0.25">
      <c r="A10" s="15"/>
      <c r="B10" s="385" t="s">
        <v>11</v>
      </c>
      <c r="C10" s="385"/>
      <c r="D10" s="385"/>
      <c r="E10" s="385"/>
      <c r="F10" s="385"/>
      <c r="G10" s="384" t="s">
        <v>74</v>
      </c>
      <c r="H10" s="384"/>
      <c r="I10" s="384"/>
      <c r="J10" s="384"/>
      <c r="K10" s="384"/>
      <c r="L10" s="384"/>
      <c r="M10" s="385" t="s">
        <v>12</v>
      </c>
      <c r="N10" s="385"/>
      <c r="O10" s="385"/>
      <c r="P10" s="385"/>
      <c r="Q10" s="385"/>
      <c r="R10" s="385"/>
      <c r="S10" s="388" t="s">
        <v>13</v>
      </c>
      <c r="T10" s="388"/>
      <c r="U10" s="388"/>
      <c r="V10" s="388"/>
      <c r="W10" s="388"/>
      <c r="X10" s="388"/>
      <c r="Y10" s="388"/>
      <c r="Z10" s="18"/>
      <c r="AA10" s="19"/>
      <c r="AB10" s="14"/>
      <c r="AC10" s="14"/>
      <c r="AD10" s="14"/>
      <c r="AE10" s="385"/>
      <c r="AF10" s="385"/>
      <c r="AG10" s="385"/>
      <c r="AH10" s="385"/>
      <c r="AI10" s="385"/>
    </row>
    <row r="11" spans="1:36" ht="15.9" customHeight="1" x14ac:dyDescent="0.25">
      <c r="A11" s="15"/>
      <c r="B11" s="385" t="s">
        <v>14</v>
      </c>
      <c r="C11" s="385"/>
      <c r="D11" s="385"/>
      <c r="E11" s="385"/>
      <c r="F11" s="385"/>
      <c r="G11" s="384">
        <v>45894</v>
      </c>
      <c r="H11" s="384"/>
      <c r="I11" s="384"/>
      <c r="J11" s="384"/>
      <c r="K11" s="384"/>
      <c r="L11" s="384"/>
      <c r="M11" s="385" t="s">
        <v>15</v>
      </c>
      <c r="N11" s="385"/>
      <c r="O11" s="385"/>
      <c r="P11" s="385"/>
      <c r="Q11" s="385"/>
      <c r="R11" s="385"/>
      <c r="S11" s="562" t="s">
        <v>85</v>
      </c>
      <c r="T11" s="562"/>
      <c r="U11" s="562"/>
      <c r="V11" s="562"/>
      <c r="W11" s="562"/>
      <c r="X11" s="562"/>
      <c r="Y11" s="562"/>
      <c r="Z11" s="18"/>
      <c r="AA11" s="19"/>
      <c r="AB11" s="14"/>
      <c r="AC11" s="14"/>
      <c r="AD11" s="14"/>
      <c r="AE11" s="385"/>
      <c r="AF11" s="385"/>
      <c r="AG11" s="385"/>
      <c r="AH11" s="385"/>
      <c r="AI11" s="385"/>
    </row>
    <row r="12" spans="1:36" ht="15.9" customHeight="1" x14ac:dyDescent="0.25">
      <c r="A12" s="15"/>
      <c r="B12" s="385" t="s">
        <v>16</v>
      </c>
      <c r="C12" s="385"/>
      <c r="D12" s="385"/>
      <c r="E12" s="385"/>
      <c r="F12" s="385"/>
      <c r="G12" s="386">
        <v>45894</v>
      </c>
      <c r="H12" s="386"/>
      <c r="I12" s="386"/>
      <c r="J12" s="386"/>
      <c r="K12" s="386"/>
      <c r="L12" s="386"/>
      <c r="M12" s="387" t="s">
        <v>17</v>
      </c>
      <c r="N12" s="387"/>
      <c r="O12" s="387"/>
      <c r="P12" s="387"/>
      <c r="Q12" s="387"/>
      <c r="R12" s="387"/>
      <c r="S12" s="388">
        <v>157</v>
      </c>
      <c r="T12" s="388"/>
      <c r="U12" s="388"/>
      <c r="V12" s="388"/>
      <c r="W12" s="388"/>
      <c r="X12" s="388"/>
      <c r="Y12" s="388"/>
      <c r="Z12" s="18"/>
      <c r="AA12" s="19"/>
      <c r="AB12" s="14"/>
      <c r="AC12" s="14"/>
      <c r="AD12" s="14"/>
      <c r="AE12" s="7"/>
      <c r="AF12" s="14"/>
      <c r="AI12" s="7"/>
    </row>
    <row r="13" spans="1:36" ht="15.9" customHeight="1" x14ac:dyDescent="0.25">
      <c r="A13" s="15"/>
      <c r="B13" s="20" t="s">
        <v>18</v>
      </c>
      <c r="C13" s="20"/>
      <c r="D13" s="20"/>
      <c r="E13" s="20"/>
      <c r="F13" s="20"/>
      <c r="G13" s="386" t="s">
        <v>53</v>
      </c>
      <c r="H13" s="386"/>
      <c r="I13" s="386"/>
      <c r="J13" s="386"/>
      <c r="K13" s="386"/>
      <c r="L13" s="386"/>
      <c r="M13" s="385" t="s">
        <v>19</v>
      </c>
      <c r="N13" s="385"/>
      <c r="O13" s="385"/>
      <c r="P13" s="385"/>
      <c r="Q13" s="385"/>
      <c r="R13" s="385"/>
      <c r="S13" s="386" t="s">
        <v>86</v>
      </c>
      <c r="T13" s="386"/>
      <c r="U13" s="386"/>
      <c r="V13" s="386"/>
      <c r="W13" s="386"/>
      <c r="X13" s="386"/>
      <c r="Y13" s="386"/>
      <c r="Z13" s="18"/>
      <c r="AA13" s="19"/>
      <c r="AB13" s="14"/>
      <c r="AC13" s="14"/>
      <c r="AD13" s="14"/>
      <c r="AE13" s="385"/>
      <c r="AF13" s="385"/>
      <c r="AG13" s="385"/>
      <c r="AH13" s="385"/>
      <c r="AI13" s="385"/>
      <c r="AJ13" s="385"/>
    </row>
    <row r="14" spans="1:36" ht="15.9" customHeight="1" x14ac:dyDescent="0.25">
      <c r="A14" s="21"/>
      <c r="B14" s="385" t="s">
        <v>20</v>
      </c>
      <c r="C14" s="385"/>
      <c r="D14" s="385"/>
      <c r="E14" s="385"/>
      <c r="F14" s="385"/>
      <c r="G14" s="386" t="s">
        <v>54</v>
      </c>
      <c r="H14" s="386"/>
      <c r="I14" s="386"/>
      <c r="J14" s="386"/>
      <c r="K14" s="386"/>
      <c r="L14" s="386"/>
      <c r="M14" s="388" t="s">
        <v>21</v>
      </c>
      <c r="N14" s="388"/>
      <c r="O14" s="388"/>
      <c r="P14" s="388"/>
      <c r="Q14" s="388"/>
      <c r="R14" s="388"/>
      <c r="S14" s="388" t="s">
        <v>22</v>
      </c>
      <c r="T14" s="388"/>
      <c r="U14" s="388"/>
      <c r="V14" s="388"/>
      <c r="W14" s="388"/>
      <c r="X14" s="388"/>
      <c r="Y14" s="388"/>
      <c r="Z14" s="22"/>
      <c r="AA14" s="14"/>
      <c r="AB14" s="14"/>
      <c r="AC14" s="14"/>
      <c r="AD14" s="14"/>
      <c r="AE14" s="385"/>
      <c r="AF14" s="385"/>
      <c r="AG14" s="385"/>
      <c r="AH14" s="385"/>
      <c r="AI14" s="385"/>
      <c r="AJ14" s="385"/>
    </row>
    <row r="15" spans="1:36" ht="6" customHeight="1" x14ac:dyDescent="0.25">
      <c r="A15" s="23"/>
      <c r="B15" s="24"/>
      <c r="C15" s="25"/>
      <c r="D15" s="25"/>
      <c r="E15" s="25"/>
      <c r="F15" s="24"/>
      <c r="G15" s="24"/>
      <c r="H15" s="24"/>
      <c r="I15" s="24"/>
      <c r="J15" s="24"/>
      <c r="K15" s="24"/>
      <c r="L15" s="24"/>
      <c r="M15" s="24"/>
      <c r="N15" s="25"/>
      <c r="O15" s="25"/>
      <c r="P15" s="25"/>
      <c r="Q15" s="25"/>
      <c r="R15" s="25"/>
      <c r="S15" s="25"/>
      <c r="T15" s="26"/>
      <c r="U15" s="26"/>
      <c r="V15" s="25"/>
      <c r="W15" s="25"/>
      <c r="X15" s="25"/>
      <c r="Y15" s="25"/>
      <c r="Z15" s="27"/>
      <c r="AE15" s="385"/>
      <c r="AF15" s="385"/>
      <c r="AG15" s="385"/>
      <c r="AH15" s="385"/>
      <c r="AI15" s="385"/>
      <c r="AJ15" s="385"/>
    </row>
    <row r="16" spans="1:36" ht="6" customHeight="1" x14ac:dyDescent="0.25">
      <c r="F16" s="28"/>
      <c r="G16" s="28"/>
      <c r="H16" s="28"/>
      <c r="I16" s="28"/>
      <c r="J16" s="28"/>
      <c r="K16" s="28"/>
      <c r="L16" s="28"/>
      <c r="M16" s="28"/>
      <c r="T16" s="29"/>
      <c r="U16" s="29"/>
      <c r="AE16" s="385"/>
      <c r="AF16" s="385"/>
      <c r="AG16" s="385"/>
      <c r="AH16" s="385"/>
      <c r="AI16" s="385"/>
      <c r="AJ16" s="385"/>
    </row>
    <row r="17" spans="1:40" ht="15.9" customHeight="1" x14ac:dyDescent="0.25">
      <c r="A17" s="8" t="s">
        <v>23</v>
      </c>
      <c r="B17" s="9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2"/>
      <c r="AA17" s="13"/>
      <c r="AE17" s="30"/>
      <c r="AI17" s="30"/>
    </row>
    <row r="18" spans="1:40" ht="8.25" customHeight="1" x14ac:dyDescent="0.25">
      <c r="A18" s="15"/>
      <c r="B18" s="31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7"/>
      <c r="AA18" s="13"/>
      <c r="AE18" s="30"/>
      <c r="AI18" s="30"/>
    </row>
    <row r="19" spans="1:40" ht="15.9" customHeight="1" x14ac:dyDescent="0.25">
      <c r="A19" s="15"/>
      <c r="B19" s="385" t="s">
        <v>25</v>
      </c>
      <c r="C19" s="385"/>
      <c r="D19" s="385"/>
      <c r="E19" s="385"/>
      <c r="F19" s="385"/>
      <c r="G19" s="385"/>
      <c r="H19" s="385"/>
      <c r="I19" s="453"/>
      <c r="J19" s="453"/>
      <c r="K19" s="453"/>
      <c r="L19" s="453"/>
      <c r="M19" s="453"/>
      <c r="N19" s="453"/>
      <c r="O19" s="453"/>
      <c r="P19" s="453"/>
      <c r="Q19" s="453"/>
      <c r="R19" s="453"/>
      <c r="S19" s="453"/>
      <c r="T19" s="453"/>
      <c r="U19" s="453"/>
      <c r="V19" s="453"/>
      <c r="W19" s="453"/>
      <c r="X19" s="453"/>
      <c r="Y19" s="453"/>
      <c r="Z19" s="18"/>
      <c r="AA19" s="19"/>
      <c r="AE19" s="30"/>
      <c r="AI19" s="30"/>
    </row>
    <row r="20" spans="1:40" ht="15.9" customHeight="1" x14ac:dyDescent="0.25">
      <c r="A20" s="15"/>
      <c r="B20" s="385" t="s">
        <v>26</v>
      </c>
      <c r="C20" s="385"/>
      <c r="D20" s="385"/>
      <c r="E20" s="385"/>
      <c r="F20" s="385"/>
      <c r="G20" s="385"/>
      <c r="H20" s="385"/>
      <c r="I20" s="454"/>
      <c r="J20" s="454"/>
      <c r="K20" s="454"/>
      <c r="L20" s="454"/>
      <c r="M20" s="454"/>
      <c r="N20" s="454"/>
      <c r="O20" s="454"/>
      <c r="P20" s="454"/>
      <c r="Q20" s="454"/>
      <c r="R20" s="454"/>
      <c r="S20" s="454"/>
      <c r="T20" s="454"/>
      <c r="U20" s="454"/>
      <c r="V20" s="454"/>
      <c r="W20" s="454"/>
      <c r="X20" s="454"/>
      <c r="Y20" s="454"/>
      <c r="Z20" s="18"/>
      <c r="AA20" s="19"/>
      <c r="AE20" s="30"/>
      <c r="AI20" s="30"/>
    </row>
    <row r="21" spans="1:40" ht="7.5" customHeight="1" x14ac:dyDescent="0.2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32"/>
      <c r="AA21" s="13"/>
      <c r="AE21" s="30"/>
      <c r="AI21" s="30"/>
    </row>
    <row r="22" spans="1:40" ht="5.25" customHeight="1" x14ac:dyDescent="0.25">
      <c r="F22" s="28"/>
      <c r="G22" s="28"/>
      <c r="H22" s="28"/>
      <c r="I22" s="28"/>
      <c r="J22" s="28"/>
      <c r="K22" s="28"/>
      <c r="L22" s="28"/>
      <c r="M22" s="28"/>
      <c r="T22" s="29"/>
      <c r="U22" s="29"/>
      <c r="AE22" s="30"/>
      <c r="AI22" s="30"/>
      <c r="AM22" s="14"/>
      <c r="AN22" s="14"/>
    </row>
    <row r="23" spans="1:40" ht="15.9" customHeight="1" x14ac:dyDescent="0.25">
      <c r="A23" s="33" t="s">
        <v>23</v>
      </c>
      <c r="B23" s="34" t="s">
        <v>27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39"/>
      <c r="AN23" s="40"/>
    </row>
    <row r="24" spans="1:40" ht="9" customHeight="1" x14ac:dyDescent="0.25">
      <c r="A24" s="21"/>
      <c r="Z24" s="41"/>
    </row>
    <row r="25" spans="1:40" ht="9" customHeight="1" x14ac:dyDescent="0.25">
      <c r="A25" s="21"/>
      <c r="Z25" s="41"/>
    </row>
    <row r="26" spans="1:40" ht="9" customHeight="1" x14ac:dyDescent="0.25">
      <c r="A26" s="21"/>
      <c r="Z26" s="41"/>
    </row>
    <row r="27" spans="1:40" ht="12.75" customHeight="1" x14ac:dyDescent="0.25">
      <c r="A27" s="21"/>
      <c r="Z27" s="41"/>
    </row>
    <row r="28" spans="1:40" ht="12.75" customHeight="1" x14ac:dyDescent="0.25">
      <c r="A28" s="21"/>
      <c r="Z28" s="41"/>
    </row>
    <row r="29" spans="1:40" ht="12.75" customHeight="1" x14ac:dyDescent="0.25">
      <c r="A29" s="21"/>
      <c r="Z29" s="41"/>
    </row>
    <row r="30" spans="1:40" ht="12.75" customHeight="1" x14ac:dyDescent="0.25">
      <c r="A30" s="21"/>
      <c r="Z30" s="41"/>
    </row>
    <row r="31" spans="1:40" ht="12.75" customHeight="1" x14ac:dyDescent="0.25">
      <c r="A31" s="21"/>
      <c r="Z31" s="41"/>
    </row>
    <row r="32" spans="1:40" ht="12.75" customHeight="1" x14ac:dyDescent="0.25">
      <c r="A32" s="21"/>
      <c r="Z32" s="41"/>
    </row>
    <row r="33" spans="1:26" ht="12.75" customHeight="1" x14ac:dyDescent="0.25">
      <c r="A33" s="21"/>
      <c r="Z33" s="41"/>
    </row>
    <row r="34" spans="1:26" ht="12.75" customHeight="1" x14ac:dyDescent="0.25">
      <c r="A34" s="21"/>
      <c r="Z34" s="41"/>
    </row>
    <row r="35" spans="1:26" ht="12.75" customHeight="1" x14ac:dyDescent="0.25">
      <c r="A35" s="21"/>
      <c r="Z35" s="41"/>
    </row>
    <row r="36" spans="1:26" ht="12.75" customHeight="1" x14ac:dyDescent="0.25">
      <c r="A36" s="21"/>
      <c r="Z36" s="41"/>
    </row>
    <row r="37" spans="1:26" ht="12.75" customHeight="1" x14ac:dyDescent="0.25">
      <c r="A37" s="21"/>
      <c r="Z37" s="41"/>
    </row>
    <row r="38" spans="1:26" ht="12.75" customHeight="1" x14ac:dyDescent="0.25">
      <c r="A38" s="21"/>
      <c r="Z38" s="41"/>
    </row>
    <row r="39" spans="1:26" ht="12.75" customHeight="1" x14ac:dyDescent="0.25">
      <c r="A39" s="21"/>
      <c r="Z39" s="41"/>
    </row>
    <row r="40" spans="1:26" ht="12.75" customHeight="1" x14ac:dyDescent="0.25">
      <c r="A40" s="21"/>
      <c r="Z40" s="41"/>
    </row>
    <row r="41" spans="1:26" ht="12.75" customHeight="1" x14ac:dyDescent="0.25">
      <c r="A41" s="21"/>
      <c r="Z41" s="41"/>
    </row>
    <row r="42" spans="1:26" ht="12.75" customHeight="1" x14ac:dyDescent="0.25">
      <c r="A42" s="21"/>
      <c r="Z42" s="41"/>
    </row>
    <row r="43" spans="1:26" ht="12.75" customHeight="1" x14ac:dyDescent="0.25">
      <c r="A43" s="21"/>
      <c r="Z43" s="41"/>
    </row>
    <row r="44" spans="1:26" ht="12.75" customHeight="1" x14ac:dyDescent="0.25">
      <c r="A44" s="21"/>
      <c r="Z44" s="41"/>
    </row>
    <row r="45" spans="1:26" ht="12.75" customHeight="1" x14ac:dyDescent="0.25">
      <c r="A45" s="21"/>
      <c r="Z45" s="41"/>
    </row>
    <row r="46" spans="1:26" ht="12.75" customHeight="1" x14ac:dyDescent="0.25">
      <c r="A46" s="21"/>
      <c r="Z46" s="41"/>
    </row>
    <row r="47" spans="1:26" ht="12.75" customHeight="1" x14ac:dyDescent="0.25">
      <c r="A47" s="21"/>
      <c r="Z47" s="41"/>
    </row>
    <row r="48" spans="1:26" ht="12.75" customHeight="1" x14ac:dyDescent="0.25">
      <c r="A48" s="21"/>
      <c r="Z48" s="41"/>
    </row>
    <row r="49" spans="1:34" ht="12.75" customHeight="1" x14ac:dyDescent="0.25">
      <c r="A49" s="21"/>
      <c r="Z49" s="41"/>
    </row>
    <row r="50" spans="1:34" ht="9.75" customHeight="1" thickBot="1" x14ac:dyDescent="0.3">
      <c r="A50" s="21"/>
      <c r="Z50" s="41"/>
    </row>
    <row r="51" spans="1:34" ht="9.75" customHeight="1" x14ac:dyDescent="0.25">
      <c r="A51" s="21"/>
      <c r="Z51" s="41"/>
      <c r="AD51" s="378" t="s">
        <v>28</v>
      </c>
      <c r="AE51" s="380">
        <v>2.68</v>
      </c>
      <c r="AF51" s="455"/>
      <c r="AG51" s="457"/>
      <c r="AH51" s="42"/>
    </row>
    <row r="52" spans="1:34" ht="12.75" customHeight="1" thickBot="1" x14ac:dyDescent="0.3">
      <c r="A52" s="21"/>
      <c r="Z52" s="43"/>
      <c r="AD52" s="379"/>
      <c r="AE52" s="381"/>
      <c r="AF52" s="456"/>
      <c r="AG52" s="457"/>
    </row>
    <row r="53" spans="1:34" ht="18.75" customHeight="1" thickBot="1" x14ac:dyDescent="0.3">
      <c r="A53" s="21"/>
      <c r="E53" s="458" t="s">
        <v>29</v>
      </c>
      <c r="F53" s="459"/>
      <c r="G53" s="459"/>
      <c r="H53" s="459"/>
      <c r="I53" s="459"/>
      <c r="J53" s="459"/>
      <c r="K53" s="459"/>
      <c r="L53" s="459"/>
      <c r="M53" s="459"/>
      <c r="N53" s="459"/>
      <c r="O53" s="459"/>
      <c r="P53" s="459"/>
      <c r="Q53" s="459"/>
      <c r="R53" s="459"/>
      <c r="S53" s="459"/>
      <c r="T53" s="459"/>
      <c r="U53" s="460" t="s">
        <v>30</v>
      </c>
      <c r="V53" s="461"/>
      <c r="W53" s="464" t="s">
        <v>31</v>
      </c>
      <c r="X53" s="461"/>
      <c r="Y53" s="466" t="s">
        <v>32</v>
      </c>
      <c r="Z53" s="467"/>
      <c r="AA53" s="44"/>
      <c r="AB53" s="369" t="s">
        <v>33</v>
      </c>
      <c r="AC53" s="370"/>
      <c r="AD53" s="373" t="s">
        <v>34</v>
      </c>
      <c r="AE53" s="375" t="s">
        <v>35</v>
      </c>
      <c r="AF53" s="455"/>
      <c r="AG53" s="455"/>
      <c r="AH53" s="45"/>
    </row>
    <row r="54" spans="1:34" ht="24.9" customHeight="1" thickBot="1" x14ac:dyDescent="0.3">
      <c r="A54" s="46"/>
      <c r="B54" s="47" t="s">
        <v>36</v>
      </c>
      <c r="C54" s="471" t="s">
        <v>37</v>
      </c>
      <c r="D54" s="472"/>
      <c r="E54" s="48">
        <v>6.3E-2</v>
      </c>
      <c r="F54" s="48">
        <v>0.125</v>
      </c>
      <c r="G54" s="49">
        <v>0.25</v>
      </c>
      <c r="H54" s="49">
        <v>0.5</v>
      </c>
      <c r="I54" s="49">
        <v>1</v>
      </c>
      <c r="J54" s="49">
        <v>2</v>
      </c>
      <c r="K54" s="49">
        <v>4</v>
      </c>
      <c r="L54" s="49">
        <v>6.3</v>
      </c>
      <c r="M54" s="49">
        <v>8</v>
      </c>
      <c r="N54" s="49">
        <v>10</v>
      </c>
      <c r="O54" s="49">
        <v>12.5</v>
      </c>
      <c r="P54" s="49">
        <v>14</v>
      </c>
      <c r="Q54" s="50">
        <v>16</v>
      </c>
      <c r="R54" s="50">
        <v>20</v>
      </c>
      <c r="S54" s="49"/>
      <c r="T54" s="50"/>
      <c r="U54" s="462"/>
      <c r="V54" s="463"/>
      <c r="W54" s="465"/>
      <c r="X54" s="463"/>
      <c r="Y54" s="468"/>
      <c r="Z54" s="469"/>
      <c r="AA54" s="44"/>
      <c r="AB54" s="371"/>
      <c r="AC54" s="372"/>
      <c r="AD54" s="374"/>
      <c r="AE54" s="376"/>
      <c r="AF54" s="470"/>
      <c r="AG54" s="455"/>
    </row>
    <row r="55" spans="1:34" ht="24.9" customHeight="1" x14ac:dyDescent="0.25">
      <c r="A55" s="46"/>
      <c r="B55" s="51">
        <v>1</v>
      </c>
      <c r="C55" s="492" t="s">
        <v>87</v>
      </c>
      <c r="D55" s="493"/>
      <c r="E55" s="242">
        <v>7.9</v>
      </c>
      <c r="F55" s="243">
        <v>10.1</v>
      </c>
      <c r="G55" s="244">
        <v>13.4</v>
      </c>
      <c r="H55" s="244">
        <v>17.5</v>
      </c>
      <c r="I55" s="244">
        <v>23</v>
      </c>
      <c r="J55" s="244">
        <v>32.5</v>
      </c>
      <c r="K55" s="244">
        <v>47.4</v>
      </c>
      <c r="L55" s="244">
        <v>61.5</v>
      </c>
      <c r="M55" s="244">
        <v>71.5</v>
      </c>
      <c r="N55" s="244">
        <v>81.5</v>
      </c>
      <c r="O55" s="244">
        <v>91.6</v>
      </c>
      <c r="P55" s="244">
        <v>95.5</v>
      </c>
      <c r="Q55" s="244">
        <v>100</v>
      </c>
      <c r="R55" s="244"/>
      <c r="S55" s="245"/>
      <c r="T55" s="245"/>
      <c r="U55" s="494">
        <v>173</v>
      </c>
      <c r="V55" s="495"/>
      <c r="W55" s="496">
        <v>4.17</v>
      </c>
      <c r="X55" s="497"/>
      <c r="Y55" s="479">
        <f>IF(W55&lt;&gt;0,AE55,"")</f>
        <v>2.5697972509417095</v>
      </c>
      <c r="Z55" s="480"/>
      <c r="AA55" s="52"/>
      <c r="AB55" s="326">
        <f>(100*W55)/(100-W55)</f>
        <v>4.351455702807054</v>
      </c>
      <c r="AC55" s="327"/>
      <c r="AD55" s="53">
        <f>(0.25*(100-O55)+2.3*(O55-H55)+12*(H55-E55)+150*(E55))/100</f>
        <v>14.7273</v>
      </c>
      <c r="AE55" s="54">
        <f>(AB55*$AE$51)/(2.65*(AD55)^(1/5))</f>
        <v>2.5697972509417095</v>
      </c>
      <c r="AF55" s="28"/>
      <c r="AG55" s="55"/>
    </row>
    <row r="56" spans="1:34" ht="24.9" customHeight="1" x14ac:dyDescent="0.25">
      <c r="A56" s="46"/>
      <c r="B56" s="56">
        <v>2</v>
      </c>
      <c r="C56" s="571"/>
      <c r="D56" s="572"/>
      <c r="E56" s="120"/>
      <c r="F56" s="121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4"/>
      <c r="R56" s="122"/>
      <c r="S56" s="123"/>
      <c r="T56" s="123"/>
      <c r="U56" s="349"/>
      <c r="V56" s="350"/>
      <c r="W56" s="351"/>
      <c r="X56" s="352"/>
      <c r="Y56" s="498" t="str">
        <f>IF(W56&lt;&gt;0,AE56,"")</f>
        <v/>
      </c>
      <c r="Z56" s="499"/>
      <c r="AA56" s="52"/>
      <c r="AB56" s="326">
        <f>(100*W56)/(100-W56)</f>
        <v>0</v>
      </c>
      <c r="AC56" s="327"/>
      <c r="AD56" s="53">
        <f t="shared" ref="AD56:AD62" si="0">(0.25*(100-O56)+2.3*(O56-H56)+12*(H56-E56)+150*(E56))/100</f>
        <v>0.25</v>
      </c>
      <c r="AE56" s="54">
        <f t="shared" ref="AE56:AE62" si="1">(AB56*$AE$51)/(2.65*(AD56)^(1/5))</f>
        <v>0</v>
      </c>
      <c r="AF56" s="28"/>
      <c r="AG56" s="55"/>
    </row>
    <row r="57" spans="1:34" ht="24.9" customHeight="1" x14ac:dyDescent="0.25">
      <c r="A57" s="46"/>
      <c r="B57" s="56">
        <v>3</v>
      </c>
      <c r="C57" s="500"/>
      <c r="D57" s="501"/>
      <c r="E57" s="57"/>
      <c r="F57" s="58"/>
      <c r="G57" s="58"/>
      <c r="H57" s="59"/>
      <c r="I57" s="59"/>
      <c r="J57" s="59"/>
      <c r="K57" s="59"/>
      <c r="L57" s="59"/>
      <c r="M57" s="59"/>
      <c r="N57" s="59"/>
      <c r="O57" s="60"/>
      <c r="P57" s="59"/>
      <c r="Q57" s="60"/>
      <c r="R57" s="59"/>
      <c r="S57" s="59"/>
      <c r="T57" s="61"/>
      <c r="U57" s="502"/>
      <c r="V57" s="503"/>
      <c r="W57" s="504"/>
      <c r="X57" s="505"/>
      <c r="Y57" s="498" t="str">
        <f t="shared" ref="Y57:Y58" si="2">IF(W57&lt;&gt;0,AE57,"")</f>
        <v/>
      </c>
      <c r="Z57" s="499"/>
      <c r="AA57" s="52"/>
      <c r="AB57" s="326">
        <f>(100*W57)/(100-W57)</f>
        <v>0</v>
      </c>
      <c r="AC57" s="327"/>
      <c r="AD57" s="53">
        <f t="shared" si="0"/>
        <v>0.25</v>
      </c>
      <c r="AE57" s="54">
        <f t="shared" si="1"/>
        <v>0</v>
      </c>
      <c r="AF57" s="28"/>
      <c r="AG57" s="55"/>
    </row>
    <row r="58" spans="1:34" ht="24.9" customHeight="1" thickBot="1" x14ac:dyDescent="0.3">
      <c r="A58" s="46"/>
      <c r="B58" s="62">
        <v>4</v>
      </c>
      <c r="C58" s="481"/>
      <c r="D58" s="482"/>
      <c r="E58" s="63"/>
      <c r="F58" s="64"/>
      <c r="G58" s="64"/>
      <c r="H58" s="65"/>
      <c r="I58" s="65"/>
      <c r="J58" s="65"/>
      <c r="K58" s="65"/>
      <c r="L58" s="65"/>
      <c r="M58" s="65"/>
      <c r="N58" s="65"/>
      <c r="O58" s="66"/>
      <c r="P58" s="65"/>
      <c r="Q58" s="66"/>
      <c r="R58" s="65"/>
      <c r="S58" s="65"/>
      <c r="T58" s="67"/>
      <c r="U58" s="483"/>
      <c r="V58" s="484"/>
      <c r="W58" s="485"/>
      <c r="X58" s="486"/>
      <c r="Y58" s="487" t="str">
        <f t="shared" si="2"/>
        <v/>
      </c>
      <c r="Z58" s="488"/>
      <c r="AA58" s="52"/>
      <c r="AB58" s="326">
        <f>(100*W58)/(100-W58)</f>
        <v>0</v>
      </c>
      <c r="AC58" s="327"/>
      <c r="AD58" s="53">
        <f t="shared" si="0"/>
        <v>0.25</v>
      </c>
      <c r="AE58" s="54">
        <f t="shared" si="1"/>
        <v>0</v>
      </c>
      <c r="AF58" s="28"/>
      <c r="AG58" s="55"/>
    </row>
    <row r="59" spans="1:34" ht="10.5" customHeight="1" thickBot="1" x14ac:dyDescent="0.3">
      <c r="A59" s="46"/>
      <c r="B59" s="2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9"/>
      <c r="P59" s="68"/>
      <c r="Q59" s="69"/>
      <c r="R59" s="68"/>
      <c r="S59" s="68"/>
      <c r="T59" s="68"/>
      <c r="U59" s="68"/>
      <c r="V59" s="68"/>
      <c r="W59" s="70"/>
      <c r="Z59" s="71"/>
      <c r="AB59" s="72"/>
      <c r="AC59" s="73"/>
      <c r="AD59" s="53"/>
      <c r="AE59" s="54"/>
      <c r="AF59" s="28"/>
      <c r="AG59" s="55"/>
    </row>
    <row r="60" spans="1:34" ht="24.75" hidden="1" customHeight="1" x14ac:dyDescent="0.25">
      <c r="A60" s="46"/>
      <c r="B60" s="489" t="s">
        <v>38</v>
      </c>
      <c r="C60" s="490"/>
      <c r="D60" s="491"/>
      <c r="E60" s="74"/>
      <c r="F60" s="74"/>
      <c r="G60" s="74"/>
      <c r="H60" s="74"/>
      <c r="I60" s="74"/>
      <c r="J60" s="74"/>
      <c r="K60" s="74"/>
      <c r="L60" s="74"/>
      <c r="M60" s="74">
        <v>10</v>
      </c>
      <c r="N60" s="74">
        <v>10</v>
      </c>
      <c r="O60" s="75"/>
      <c r="P60" s="74"/>
      <c r="Q60" s="75">
        <v>50</v>
      </c>
      <c r="R60" s="74"/>
      <c r="S60" s="74">
        <v>70</v>
      </c>
      <c r="T60" s="74"/>
      <c r="U60" s="74"/>
      <c r="V60" s="74"/>
      <c r="W60" s="74"/>
      <c r="X60" s="76"/>
      <c r="Y60" s="77">
        <v>4.5</v>
      </c>
      <c r="Z60" s="77"/>
      <c r="AA60" s="28"/>
      <c r="AB60" s="72"/>
      <c r="AC60" s="73"/>
      <c r="AD60" s="53">
        <f t="shared" si="0"/>
        <v>0.25</v>
      </c>
      <c r="AE60" s="54">
        <f t="shared" si="1"/>
        <v>0</v>
      </c>
      <c r="AF60" s="28"/>
      <c r="AG60" s="55"/>
    </row>
    <row r="61" spans="1:34" ht="18.75" customHeight="1" x14ac:dyDescent="0.25">
      <c r="A61" s="46"/>
      <c r="B61" s="506" t="s">
        <v>39</v>
      </c>
      <c r="C61" s="507"/>
      <c r="D61" s="508"/>
      <c r="E61" s="78">
        <f>IF(E55&lt;&gt;0,AVERAGE(E55:E58),"")</f>
        <v>7.9</v>
      </c>
      <c r="F61" s="78">
        <f t="shared" ref="F61:L61" si="3">IF(F55&lt;&gt;0,AVERAGE(F55:F58),"")</f>
        <v>10.1</v>
      </c>
      <c r="G61" s="78">
        <f t="shared" si="3"/>
        <v>13.4</v>
      </c>
      <c r="H61" s="78">
        <f t="shared" si="3"/>
        <v>17.5</v>
      </c>
      <c r="I61" s="78">
        <f t="shared" si="3"/>
        <v>23</v>
      </c>
      <c r="J61" s="78">
        <f t="shared" si="3"/>
        <v>32.5</v>
      </c>
      <c r="K61" s="78">
        <f t="shared" si="3"/>
        <v>47.4</v>
      </c>
      <c r="L61" s="78">
        <f t="shared" si="3"/>
        <v>61.5</v>
      </c>
      <c r="M61" s="78">
        <f>IF(M55&lt;&gt;0,AVERAGE(M55:M58),"")</f>
        <v>71.5</v>
      </c>
      <c r="N61" s="78">
        <f>IF(N55&lt;&gt;0,AVERAGE(N55:N58),"")</f>
        <v>81.5</v>
      </c>
      <c r="O61" s="79">
        <f>IF(O55&lt;&gt;0,AVERAGE(O55:O58),"")</f>
        <v>91.6</v>
      </c>
      <c r="P61" s="79">
        <f t="shared" ref="P61:Q61" si="4">IF(P55&lt;&gt;0,AVERAGE(P55:P58),"")</f>
        <v>95.5</v>
      </c>
      <c r="Q61" s="79">
        <f t="shared" si="4"/>
        <v>100</v>
      </c>
      <c r="R61" s="78"/>
      <c r="S61" s="78" t="str">
        <f t="shared" ref="S61:T61" si="5">IF(S55&lt;&gt;0,AVERAGE(S55:S58),"")</f>
        <v/>
      </c>
      <c r="T61" s="80" t="str">
        <f t="shared" si="5"/>
        <v/>
      </c>
      <c r="U61" s="509">
        <f>IF(U55&lt;&gt;0,AVERAGE(U55:V58),"")</f>
        <v>173</v>
      </c>
      <c r="V61" s="510"/>
      <c r="W61" s="511">
        <f>IF(W55&lt;&gt;0,AVERAGE(W55:X58),"")</f>
        <v>4.17</v>
      </c>
      <c r="X61" s="512"/>
      <c r="Y61" s="513">
        <f>IF(W55&lt;&gt;0,AVERAGE(Y55:Z58),"")</f>
        <v>2.5697972509417095</v>
      </c>
      <c r="Z61" s="514"/>
      <c r="AA61" s="55"/>
      <c r="AB61" s="326">
        <f>(100*W61)/(100-W61)</f>
        <v>4.351455702807054</v>
      </c>
      <c r="AC61" s="327"/>
      <c r="AD61" s="53">
        <f t="shared" si="0"/>
        <v>14.7273</v>
      </c>
      <c r="AE61" s="54">
        <f t="shared" si="1"/>
        <v>2.5697972509417095</v>
      </c>
      <c r="AF61" s="28"/>
      <c r="AG61" s="55"/>
    </row>
    <row r="62" spans="1:34" ht="21" customHeight="1" x14ac:dyDescent="0.25">
      <c r="A62" s="46"/>
      <c r="B62" s="515" t="s">
        <v>40</v>
      </c>
      <c r="C62" s="516"/>
      <c r="D62" s="517"/>
      <c r="E62" s="81">
        <v>6.5</v>
      </c>
      <c r="F62" s="81">
        <v>9</v>
      </c>
      <c r="G62" s="81">
        <v>12</v>
      </c>
      <c r="H62" s="81">
        <v>16</v>
      </c>
      <c r="I62" s="81">
        <v>22</v>
      </c>
      <c r="J62" s="81">
        <v>32</v>
      </c>
      <c r="K62" s="81">
        <v>47</v>
      </c>
      <c r="L62" s="81">
        <v>59</v>
      </c>
      <c r="M62" s="81">
        <v>65</v>
      </c>
      <c r="N62" s="81">
        <v>74</v>
      </c>
      <c r="O62" s="81">
        <v>90</v>
      </c>
      <c r="P62" s="81">
        <v>97</v>
      </c>
      <c r="Q62" s="82">
        <v>100</v>
      </c>
      <c r="R62" s="81"/>
      <c r="S62" s="81"/>
      <c r="T62" s="83"/>
      <c r="U62" s="518"/>
      <c r="V62" s="519"/>
      <c r="W62" s="520">
        <v>4.3</v>
      </c>
      <c r="X62" s="521"/>
      <c r="Y62" s="522">
        <f>AE62</f>
        <v>2.7368703035010422</v>
      </c>
      <c r="Z62" s="523"/>
      <c r="AA62" s="55"/>
      <c r="AB62" s="326">
        <f>(100*W62)/(100-W62)</f>
        <v>4.4932079414838038</v>
      </c>
      <c r="AC62" s="327"/>
      <c r="AD62" s="53">
        <f t="shared" si="0"/>
        <v>12.617000000000001</v>
      </c>
      <c r="AE62" s="54">
        <f t="shared" si="1"/>
        <v>2.7368703035010422</v>
      </c>
      <c r="AF62" s="28"/>
      <c r="AG62" s="55"/>
    </row>
    <row r="63" spans="1:34" ht="13.5" customHeight="1" x14ac:dyDescent="0.25">
      <c r="A63" s="46"/>
      <c r="B63" s="84"/>
      <c r="C63" s="85" t="s">
        <v>41</v>
      </c>
      <c r="D63" s="86"/>
      <c r="E63" s="59">
        <f>E62+2</f>
        <v>8.5</v>
      </c>
      <c r="F63" s="59"/>
      <c r="G63" s="59"/>
      <c r="H63" s="59"/>
      <c r="I63" s="59"/>
      <c r="J63" s="59">
        <f>J62+6</f>
        <v>38</v>
      </c>
      <c r="K63" s="59"/>
      <c r="L63" s="59">
        <f>L62+7</f>
        <v>66</v>
      </c>
      <c r="M63" s="59"/>
      <c r="N63" s="59"/>
      <c r="O63" s="59"/>
      <c r="P63" s="59"/>
      <c r="Q63" s="60"/>
      <c r="R63" s="59"/>
      <c r="S63" s="59"/>
      <c r="T63" s="61"/>
      <c r="U63" s="502"/>
      <c r="V63" s="503"/>
      <c r="W63" s="524">
        <f>W62+0.5</f>
        <v>4.8</v>
      </c>
      <c r="X63" s="503"/>
      <c r="Y63" s="500"/>
      <c r="Z63" s="525"/>
      <c r="AA63" s="87"/>
      <c r="AB63" s="88"/>
      <c r="AC63" s="89"/>
      <c r="AD63" s="306"/>
      <c r="AE63" s="308" t="s">
        <v>42</v>
      </c>
      <c r="AF63" s="28"/>
      <c r="AG63" s="55"/>
    </row>
    <row r="64" spans="1:34" ht="13.5" customHeight="1" thickBot="1" x14ac:dyDescent="0.3">
      <c r="A64" s="46"/>
      <c r="B64" s="462" t="s">
        <v>43</v>
      </c>
      <c r="C64" s="465"/>
      <c r="D64" s="463"/>
      <c r="E64" s="90">
        <f>E62-2</f>
        <v>4.5</v>
      </c>
      <c r="F64" s="90"/>
      <c r="G64" s="91"/>
      <c r="H64" s="91"/>
      <c r="I64" s="91"/>
      <c r="J64" s="90">
        <f>J62-6</f>
        <v>26</v>
      </c>
      <c r="K64" s="91"/>
      <c r="L64" s="90">
        <f>L62-7</f>
        <v>52</v>
      </c>
      <c r="M64" s="90"/>
      <c r="N64" s="91"/>
      <c r="O64" s="91"/>
      <c r="P64" s="91"/>
      <c r="Q64" s="90"/>
      <c r="R64" s="91"/>
      <c r="S64" s="91"/>
      <c r="T64" s="92"/>
      <c r="U64" s="526"/>
      <c r="V64" s="527"/>
      <c r="W64" s="528">
        <f>W62-0.5</f>
        <v>3.8</v>
      </c>
      <c r="X64" s="527"/>
      <c r="Y64" s="481"/>
      <c r="Z64" s="529"/>
      <c r="AA64" s="93"/>
      <c r="AB64" s="94"/>
      <c r="AC64" s="95"/>
      <c r="AD64" s="307"/>
      <c r="AE64" s="309"/>
      <c r="AF64" s="28"/>
      <c r="AG64" s="55"/>
    </row>
    <row r="65" spans="1:30" ht="6.75" customHeight="1" x14ac:dyDescent="0.25">
      <c r="A65" s="23"/>
      <c r="B65" s="24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96"/>
    </row>
    <row r="66" spans="1:30" ht="8.25" customHeight="1" x14ac:dyDescent="0.25"/>
    <row r="67" spans="1:30" ht="34.5" customHeight="1" x14ac:dyDescent="0.25">
      <c r="A67" s="97" t="s">
        <v>44</v>
      </c>
      <c r="B67" s="98" t="s">
        <v>45</v>
      </c>
      <c r="C67" s="99"/>
      <c r="D67" s="99"/>
      <c r="E67" s="99"/>
      <c r="F67" s="100"/>
      <c r="G67" s="100"/>
      <c r="H67" s="100"/>
      <c r="I67" s="10"/>
      <c r="J67" s="10"/>
      <c r="K67" s="10"/>
      <c r="L67" s="10"/>
      <c r="M67" s="10"/>
      <c r="N67" s="10"/>
      <c r="O67" s="10"/>
      <c r="P67" s="10"/>
      <c r="Q67" s="100"/>
      <c r="R67" s="10"/>
      <c r="S67" s="10"/>
      <c r="T67" s="10"/>
      <c r="U67" s="543"/>
      <c r="V67" s="543"/>
      <c r="W67" s="543"/>
      <c r="X67" s="543"/>
      <c r="Y67" s="543"/>
      <c r="Z67" s="544"/>
      <c r="AA67" s="101"/>
      <c r="AB67" s="102"/>
      <c r="AC67" s="102"/>
      <c r="AD67" s="103"/>
    </row>
    <row r="68" spans="1:30" ht="27" customHeight="1" x14ac:dyDescent="0.25">
      <c r="A68" s="545" t="s">
        <v>46</v>
      </c>
      <c r="B68" s="546"/>
      <c r="C68" s="546"/>
      <c r="D68" s="546"/>
      <c r="E68" s="546"/>
      <c r="F68" s="546"/>
      <c r="G68" s="546"/>
      <c r="H68" s="546"/>
      <c r="I68" s="546"/>
      <c r="J68" s="546"/>
      <c r="K68" s="546"/>
      <c r="L68" s="546"/>
      <c r="M68" s="546"/>
      <c r="N68" s="546"/>
      <c r="O68" s="546"/>
      <c r="P68" s="546"/>
      <c r="Q68" s="547"/>
      <c r="R68" s="536" t="s">
        <v>47</v>
      </c>
      <c r="S68" s="537"/>
      <c r="T68" s="538"/>
      <c r="U68" s="275" t="s">
        <v>76</v>
      </c>
      <c r="V68" s="276"/>
      <c r="W68" s="276"/>
      <c r="X68" s="277"/>
      <c r="Y68" s="277"/>
      <c r="Z68" s="278"/>
      <c r="AA68" s="104"/>
      <c r="AB68" s="105"/>
      <c r="AC68" s="105"/>
      <c r="AD68" s="103"/>
    </row>
    <row r="69" spans="1:30" ht="15.75" customHeight="1" x14ac:dyDescent="0.25">
      <c r="A69" s="548" t="s">
        <v>48</v>
      </c>
      <c r="B69" s="549"/>
      <c r="C69" s="549"/>
      <c r="D69" s="549"/>
      <c r="E69" s="549"/>
      <c r="F69" s="549"/>
      <c r="G69" s="549"/>
      <c r="H69" s="549"/>
      <c r="I69" s="549"/>
      <c r="J69" s="549"/>
      <c r="K69" s="549"/>
      <c r="L69" s="549"/>
      <c r="M69" s="549"/>
      <c r="N69" s="549"/>
      <c r="O69" s="549"/>
      <c r="P69" s="549"/>
      <c r="Q69" s="550"/>
      <c r="R69" s="536" t="s">
        <v>49</v>
      </c>
      <c r="S69" s="537"/>
      <c r="T69" s="538"/>
      <c r="U69" s="554" t="s">
        <v>77</v>
      </c>
      <c r="V69" s="555"/>
      <c r="W69" s="555"/>
      <c r="X69" s="555"/>
      <c r="Y69" s="555"/>
      <c r="Z69" s="556"/>
      <c r="AA69" s="104"/>
      <c r="AB69" s="105"/>
      <c r="AC69" s="105"/>
      <c r="AD69" s="103"/>
    </row>
    <row r="70" spans="1:30" ht="9" customHeight="1" x14ac:dyDescent="0.25">
      <c r="A70" s="548"/>
      <c r="B70" s="549"/>
      <c r="C70" s="549"/>
      <c r="D70" s="549"/>
      <c r="E70" s="549"/>
      <c r="F70" s="549"/>
      <c r="G70" s="549"/>
      <c r="H70" s="549"/>
      <c r="I70" s="549"/>
      <c r="J70" s="549"/>
      <c r="K70" s="549"/>
      <c r="L70" s="549"/>
      <c r="M70" s="549"/>
      <c r="N70" s="549"/>
      <c r="O70" s="549"/>
      <c r="P70" s="549"/>
      <c r="Q70" s="550"/>
      <c r="R70" s="536"/>
      <c r="S70" s="537"/>
      <c r="T70" s="538"/>
      <c r="U70" s="557"/>
      <c r="V70" s="454"/>
      <c r="W70" s="454"/>
      <c r="X70" s="454"/>
      <c r="Y70" s="454"/>
      <c r="Z70" s="558"/>
      <c r="AA70" s="104"/>
      <c r="AB70" s="105"/>
      <c r="AC70" s="105"/>
      <c r="AD70" s="103"/>
    </row>
    <row r="71" spans="1:30" ht="15.9" customHeight="1" x14ac:dyDescent="0.25">
      <c r="A71" s="551"/>
      <c r="B71" s="552"/>
      <c r="C71" s="552"/>
      <c r="D71" s="552"/>
      <c r="E71" s="552"/>
      <c r="F71" s="552"/>
      <c r="G71" s="552"/>
      <c r="H71" s="552"/>
      <c r="I71" s="552"/>
      <c r="J71" s="552"/>
      <c r="K71" s="552"/>
      <c r="L71" s="552"/>
      <c r="M71" s="552"/>
      <c r="N71" s="552"/>
      <c r="O71" s="552"/>
      <c r="P71" s="552"/>
      <c r="Q71" s="553"/>
      <c r="R71" s="536"/>
      <c r="S71" s="537"/>
      <c r="T71" s="538"/>
      <c r="U71" s="557"/>
      <c r="V71" s="454"/>
      <c r="W71" s="454"/>
      <c r="X71" s="454"/>
      <c r="Y71" s="454"/>
      <c r="Z71" s="558"/>
      <c r="AA71" s="104"/>
      <c r="AB71" s="105"/>
      <c r="AC71" s="105"/>
      <c r="AD71" s="103"/>
    </row>
    <row r="72" spans="1:30" ht="15.9" customHeight="1" x14ac:dyDescent="0.25">
      <c r="A72" s="106" t="s">
        <v>50</v>
      </c>
      <c r="B72" s="107" t="s">
        <v>51</v>
      </c>
      <c r="C72" s="13"/>
      <c r="D72" s="13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9"/>
      <c r="R72" s="536"/>
      <c r="S72" s="537"/>
      <c r="T72" s="538"/>
      <c r="U72" s="559"/>
      <c r="V72" s="560"/>
      <c r="W72" s="560"/>
      <c r="X72" s="560"/>
      <c r="Y72" s="560"/>
      <c r="Z72" s="561"/>
      <c r="AA72" s="104"/>
      <c r="AB72" s="105"/>
      <c r="AC72" s="105"/>
      <c r="AD72" s="103"/>
    </row>
    <row r="73" spans="1:30" ht="15.75" customHeight="1" x14ac:dyDescent="0.25">
      <c r="A73" s="530"/>
      <c r="B73" s="531"/>
      <c r="C73" s="531"/>
      <c r="D73" s="531"/>
      <c r="E73" s="531"/>
      <c r="F73" s="531"/>
      <c r="G73" s="531"/>
      <c r="H73" s="531"/>
      <c r="I73" s="531"/>
      <c r="J73" s="531"/>
      <c r="K73" s="531"/>
      <c r="L73" s="531"/>
      <c r="M73" s="531"/>
      <c r="N73" s="531"/>
      <c r="O73" s="531"/>
      <c r="P73" s="531"/>
      <c r="Q73" s="532"/>
      <c r="R73" s="536" t="s">
        <v>52</v>
      </c>
      <c r="S73" s="537"/>
      <c r="T73" s="538"/>
      <c r="U73" s="110"/>
      <c r="V73" s="111"/>
      <c r="W73" s="111"/>
      <c r="X73" s="111"/>
      <c r="Y73" s="111"/>
      <c r="Z73" s="112"/>
      <c r="AA73" s="113"/>
      <c r="AB73" s="114"/>
      <c r="AC73" s="114"/>
      <c r="AD73" s="103"/>
    </row>
    <row r="74" spans="1:30" ht="15.9" customHeight="1" x14ac:dyDescent="0.25">
      <c r="A74" s="530"/>
      <c r="B74" s="531"/>
      <c r="C74" s="531"/>
      <c r="D74" s="531"/>
      <c r="E74" s="531"/>
      <c r="F74" s="531"/>
      <c r="G74" s="531"/>
      <c r="H74" s="531"/>
      <c r="I74" s="531"/>
      <c r="J74" s="531"/>
      <c r="K74" s="531"/>
      <c r="L74" s="531"/>
      <c r="M74" s="531"/>
      <c r="N74" s="531"/>
      <c r="O74" s="531"/>
      <c r="P74" s="531"/>
      <c r="Q74" s="532"/>
      <c r="R74" s="536"/>
      <c r="S74" s="537"/>
      <c r="T74" s="538"/>
      <c r="U74" s="115"/>
      <c r="V74" s="542"/>
      <c r="W74" s="542"/>
      <c r="X74" s="542"/>
      <c r="Y74" s="542"/>
      <c r="Z74" s="116"/>
      <c r="AA74" s="113"/>
      <c r="AB74" s="114"/>
      <c r="AC74" s="114"/>
      <c r="AD74" s="103"/>
    </row>
    <row r="75" spans="1:30" ht="15.9" customHeight="1" x14ac:dyDescent="0.25">
      <c r="A75" s="530"/>
      <c r="B75" s="531"/>
      <c r="C75" s="531"/>
      <c r="D75" s="531"/>
      <c r="E75" s="531"/>
      <c r="F75" s="531"/>
      <c r="G75" s="531"/>
      <c r="H75" s="531"/>
      <c r="I75" s="531"/>
      <c r="J75" s="531"/>
      <c r="K75" s="531"/>
      <c r="L75" s="531"/>
      <c r="M75" s="531"/>
      <c r="N75" s="531"/>
      <c r="O75" s="531"/>
      <c r="P75" s="531"/>
      <c r="Q75" s="532"/>
      <c r="R75" s="536"/>
      <c r="S75" s="537"/>
      <c r="T75" s="538"/>
      <c r="U75" s="115"/>
      <c r="V75" s="542"/>
      <c r="W75" s="542"/>
      <c r="X75" s="542"/>
      <c r="Y75" s="542"/>
      <c r="Z75" s="116"/>
      <c r="AA75" s="113"/>
      <c r="AB75" s="114"/>
      <c r="AC75" s="114"/>
      <c r="AD75" s="103"/>
    </row>
    <row r="76" spans="1:30" ht="15.75" customHeight="1" x14ac:dyDescent="0.25">
      <c r="A76" s="533"/>
      <c r="B76" s="534"/>
      <c r="C76" s="534"/>
      <c r="D76" s="534"/>
      <c r="E76" s="534"/>
      <c r="F76" s="534"/>
      <c r="G76" s="534"/>
      <c r="H76" s="534"/>
      <c r="I76" s="534"/>
      <c r="J76" s="534"/>
      <c r="K76" s="534"/>
      <c r="L76" s="534"/>
      <c r="M76" s="534"/>
      <c r="N76" s="534"/>
      <c r="O76" s="534"/>
      <c r="P76" s="534"/>
      <c r="Q76" s="535"/>
      <c r="R76" s="539"/>
      <c r="S76" s="540"/>
      <c r="T76" s="541"/>
      <c r="U76" s="117"/>
      <c r="V76" s="118"/>
      <c r="W76" s="118"/>
      <c r="X76" s="118"/>
      <c r="Y76" s="118"/>
      <c r="Z76" s="119"/>
      <c r="AA76" s="113"/>
      <c r="AB76" s="114"/>
      <c r="AC76" s="114"/>
      <c r="AD76" s="103"/>
    </row>
  </sheetData>
  <mergeCells count="106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2:F12"/>
    <mergeCell ref="G12:L12"/>
    <mergeCell ref="M12:R12"/>
    <mergeCell ref="S12:Y12"/>
    <mergeCell ref="G13:L13"/>
    <mergeCell ref="M13:R13"/>
    <mergeCell ref="S13:Y13"/>
    <mergeCell ref="AE10:AI10"/>
    <mergeCell ref="B11:F11"/>
    <mergeCell ref="G11:L11"/>
    <mergeCell ref="M11:R11"/>
    <mergeCell ref="S11:Y11"/>
    <mergeCell ref="AE11:AI11"/>
    <mergeCell ref="AE15:AJ15"/>
    <mergeCell ref="AE16:AJ16"/>
    <mergeCell ref="B19:H19"/>
    <mergeCell ref="I19:Y19"/>
    <mergeCell ref="B20:H20"/>
    <mergeCell ref="I20:Y20"/>
    <mergeCell ref="AE13:AJ13"/>
    <mergeCell ref="B14:F14"/>
    <mergeCell ref="G14:L14"/>
    <mergeCell ref="M14:R14"/>
    <mergeCell ref="S14:Y14"/>
    <mergeCell ref="AE14:AJ14"/>
    <mergeCell ref="AD51:AD52"/>
    <mergeCell ref="AE51:AE52"/>
    <mergeCell ref="AF51:AF52"/>
    <mergeCell ref="AG51:AG52"/>
    <mergeCell ref="E53:T53"/>
    <mergeCell ref="U53:V54"/>
    <mergeCell ref="W53:X54"/>
    <mergeCell ref="Y53:Z54"/>
    <mergeCell ref="AB53:AC54"/>
    <mergeCell ref="AD53:AD54"/>
    <mergeCell ref="AE53:AE54"/>
    <mergeCell ref="AF53:AF54"/>
    <mergeCell ref="AG53:AG54"/>
    <mergeCell ref="C54:D54"/>
    <mergeCell ref="C55:D55"/>
    <mergeCell ref="U55:V55"/>
    <mergeCell ref="W55:X55"/>
    <mergeCell ref="Y55:Z55"/>
    <mergeCell ref="AB55:AC55"/>
    <mergeCell ref="C58:D58"/>
    <mergeCell ref="U58:V58"/>
    <mergeCell ref="W58:X58"/>
    <mergeCell ref="Y58:Z58"/>
    <mergeCell ref="AB58:AC58"/>
    <mergeCell ref="B60:D60"/>
    <mergeCell ref="C56:D56"/>
    <mergeCell ref="U56:V56"/>
    <mergeCell ref="W56:X56"/>
    <mergeCell ref="Y56:Z56"/>
    <mergeCell ref="AB56:AC56"/>
    <mergeCell ref="C57:D57"/>
    <mergeCell ref="U57:V57"/>
    <mergeCell ref="W57:X57"/>
    <mergeCell ref="Y57:Z57"/>
    <mergeCell ref="AB57:AC57"/>
    <mergeCell ref="B61:D61"/>
    <mergeCell ref="U61:V61"/>
    <mergeCell ref="W61:X61"/>
    <mergeCell ref="Y61:Z61"/>
    <mergeCell ref="AB61:AC61"/>
    <mergeCell ref="B62:D62"/>
    <mergeCell ref="U62:V62"/>
    <mergeCell ref="W62:X62"/>
    <mergeCell ref="Y62:Z62"/>
    <mergeCell ref="AB62:AC62"/>
    <mergeCell ref="U63:V63"/>
    <mergeCell ref="W63:X63"/>
    <mergeCell ref="Y63:Z63"/>
    <mergeCell ref="AD63:AD64"/>
    <mergeCell ref="AE63:AE64"/>
    <mergeCell ref="B64:D64"/>
    <mergeCell ref="U64:V64"/>
    <mergeCell ref="W64:X64"/>
    <mergeCell ref="Y64:Z64"/>
    <mergeCell ref="A73:Q76"/>
    <mergeCell ref="R73:T76"/>
    <mergeCell ref="V74:Y75"/>
    <mergeCell ref="U67:Z67"/>
    <mergeCell ref="A68:Q68"/>
    <mergeCell ref="R68:T68"/>
    <mergeCell ref="U68:Z68"/>
    <mergeCell ref="A69:Q71"/>
    <mergeCell ref="R69:T72"/>
    <mergeCell ref="U69:Z72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1B908-581A-4187-ADD1-7EC14DB5BFDF}">
  <sheetPr>
    <pageSetUpPr fitToPage="1"/>
  </sheetPr>
  <dimension ref="A1:AN73"/>
  <sheetViews>
    <sheetView zoomScaleNormal="100" workbookViewId="0">
      <selection activeCell="R55" sqref="R55"/>
    </sheetView>
  </sheetViews>
  <sheetFormatPr baseColWidth="10" defaultColWidth="11.44140625" defaultRowHeight="12.75" customHeight="1" x14ac:dyDescent="0.25"/>
  <cols>
    <col min="1" max="2" width="5.109375" style="156" customWidth="1"/>
    <col min="3" max="27" width="5.109375" style="130" customWidth="1"/>
    <col min="28" max="41" width="11.44140625" style="130" customWidth="1"/>
    <col min="42" max="16384" width="11.44140625" style="130"/>
  </cols>
  <sheetData>
    <row r="1" spans="1:36" ht="12.6" customHeight="1" x14ac:dyDescent="0.25">
      <c r="A1" s="393"/>
      <c r="B1" s="394"/>
      <c r="C1" s="394"/>
      <c r="D1" s="394"/>
      <c r="E1" s="394"/>
      <c r="F1" s="395"/>
      <c r="G1" s="402" t="s">
        <v>0</v>
      </c>
      <c r="H1" s="403"/>
      <c r="I1" s="403"/>
      <c r="J1" s="403"/>
      <c r="K1" s="403"/>
      <c r="L1" s="403"/>
      <c r="M1" s="403"/>
      <c r="N1" s="403"/>
      <c r="O1" s="403"/>
      <c r="P1" s="403"/>
      <c r="Q1" s="403"/>
      <c r="R1" s="403"/>
      <c r="S1" s="403"/>
      <c r="T1" s="404"/>
      <c r="U1" s="405" t="s">
        <v>59</v>
      </c>
      <c r="V1" s="406"/>
      <c r="W1" s="406"/>
      <c r="X1" s="406"/>
      <c r="Y1" s="406"/>
      <c r="Z1" s="407"/>
      <c r="AA1" s="129"/>
    </row>
    <row r="2" spans="1:36" ht="12.6" customHeight="1" x14ac:dyDescent="0.25">
      <c r="A2" s="396"/>
      <c r="B2" s="397"/>
      <c r="C2" s="397"/>
      <c r="D2" s="397"/>
      <c r="E2" s="397"/>
      <c r="F2" s="398"/>
      <c r="G2" s="414" t="s">
        <v>1</v>
      </c>
      <c r="H2" s="415"/>
      <c r="I2" s="415"/>
      <c r="J2" s="415"/>
      <c r="K2" s="415"/>
      <c r="L2" s="415"/>
      <c r="M2" s="415"/>
      <c r="N2" s="415"/>
      <c r="O2" s="415"/>
      <c r="P2" s="415"/>
      <c r="Q2" s="415"/>
      <c r="R2" s="415"/>
      <c r="S2" s="415"/>
      <c r="T2" s="416"/>
      <c r="U2" s="408"/>
      <c r="V2" s="409"/>
      <c r="W2" s="409"/>
      <c r="X2" s="409"/>
      <c r="Y2" s="409"/>
      <c r="Z2" s="410"/>
      <c r="AA2" s="129"/>
    </row>
    <row r="3" spans="1:36" ht="12.6" customHeight="1" x14ac:dyDescent="0.25">
      <c r="A3" s="396"/>
      <c r="B3" s="397"/>
      <c r="C3" s="397"/>
      <c r="D3" s="397"/>
      <c r="E3" s="397"/>
      <c r="F3" s="398"/>
      <c r="G3" s="417"/>
      <c r="H3" s="415"/>
      <c r="I3" s="415"/>
      <c r="J3" s="415"/>
      <c r="K3" s="415"/>
      <c r="L3" s="415"/>
      <c r="M3" s="415"/>
      <c r="N3" s="415"/>
      <c r="O3" s="415"/>
      <c r="P3" s="415"/>
      <c r="Q3" s="415"/>
      <c r="R3" s="415"/>
      <c r="S3" s="415"/>
      <c r="T3" s="416"/>
      <c r="U3" s="408"/>
      <c r="V3" s="409"/>
      <c r="W3" s="409"/>
      <c r="X3" s="409"/>
      <c r="Y3" s="409"/>
      <c r="Z3" s="410"/>
      <c r="AA3" s="129"/>
    </row>
    <row r="4" spans="1:36" ht="12.6" customHeight="1" x14ac:dyDescent="0.25">
      <c r="A4" s="396"/>
      <c r="B4" s="397"/>
      <c r="C4" s="397"/>
      <c r="D4" s="397"/>
      <c r="E4" s="397"/>
      <c r="F4" s="398"/>
      <c r="G4" s="417"/>
      <c r="H4" s="415"/>
      <c r="I4" s="415"/>
      <c r="J4" s="415"/>
      <c r="K4" s="415"/>
      <c r="L4" s="415"/>
      <c r="M4" s="415"/>
      <c r="N4" s="415"/>
      <c r="O4" s="415"/>
      <c r="P4" s="415"/>
      <c r="Q4" s="415"/>
      <c r="R4" s="415"/>
      <c r="S4" s="415"/>
      <c r="T4" s="416"/>
      <c r="U4" s="408"/>
      <c r="V4" s="409"/>
      <c r="W4" s="409"/>
      <c r="X4" s="409"/>
      <c r="Y4" s="409"/>
      <c r="Z4" s="410"/>
      <c r="AA4" s="129"/>
    </row>
    <row r="5" spans="1:36" ht="12.6" customHeight="1" x14ac:dyDescent="0.25">
      <c r="A5" s="396"/>
      <c r="B5" s="397"/>
      <c r="C5" s="397"/>
      <c r="D5" s="397"/>
      <c r="E5" s="397"/>
      <c r="F5" s="398"/>
      <c r="G5" s="417" t="s">
        <v>2</v>
      </c>
      <c r="H5" s="415"/>
      <c r="I5" s="131" t="s">
        <v>3</v>
      </c>
      <c r="J5" s="302">
        <v>8</v>
      </c>
      <c r="K5" s="418"/>
      <c r="L5" s="419" t="s">
        <v>60</v>
      </c>
      <c r="M5" s="302"/>
      <c r="N5" s="302"/>
      <c r="O5" s="418"/>
      <c r="P5" s="420">
        <v>45824</v>
      </c>
      <c r="Q5" s="421"/>
      <c r="R5" s="421"/>
      <c r="S5" s="421"/>
      <c r="T5" s="422"/>
      <c r="U5" s="408"/>
      <c r="V5" s="409"/>
      <c r="W5" s="409"/>
      <c r="X5" s="409"/>
      <c r="Y5" s="409"/>
      <c r="Z5" s="410"/>
      <c r="AA5" s="129"/>
    </row>
    <row r="6" spans="1:36" ht="12.6" customHeight="1" x14ac:dyDescent="0.25">
      <c r="A6" s="399"/>
      <c r="B6" s="400"/>
      <c r="C6" s="400"/>
      <c r="D6" s="400"/>
      <c r="E6" s="400"/>
      <c r="F6" s="401"/>
      <c r="G6" s="132"/>
      <c r="H6" s="133"/>
      <c r="I6" s="133"/>
      <c r="J6" s="389" t="s">
        <v>4</v>
      </c>
      <c r="K6" s="389"/>
      <c r="L6" s="389" t="s">
        <v>5</v>
      </c>
      <c r="M6" s="389"/>
      <c r="N6" s="389"/>
      <c r="O6" s="389"/>
      <c r="P6" s="389" t="s">
        <v>6</v>
      </c>
      <c r="Q6" s="389"/>
      <c r="R6" s="389"/>
      <c r="S6" s="389"/>
      <c r="T6" s="390"/>
      <c r="U6" s="411"/>
      <c r="V6" s="412"/>
      <c r="W6" s="412"/>
      <c r="X6" s="412"/>
      <c r="Y6" s="412"/>
      <c r="Z6" s="413"/>
      <c r="AA6" s="129"/>
    </row>
    <row r="7" spans="1:36" ht="36.6" customHeight="1" x14ac:dyDescent="0.25">
      <c r="A7" s="391" t="s">
        <v>7</v>
      </c>
      <c r="B7" s="391"/>
      <c r="C7" s="391"/>
      <c r="D7" s="391"/>
      <c r="E7" s="391"/>
      <c r="F7" s="391"/>
      <c r="G7" s="392" t="s">
        <v>8</v>
      </c>
      <c r="H7" s="392"/>
      <c r="I7" s="392"/>
      <c r="J7" s="392"/>
      <c r="K7" s="392"/>
      <c r="L7" s="392"/>
      <c r="M7" s="392"/>
      <c r="N7" s="392"/>
      <c r="O7" s="392"/>
      <c r="P7" s="392"/>
      <c r="Q7" s="392"/>
      <c r="R7" s="392"/>
      <c r="S7" s="392"/>
      <c r="T7" s="392"/>
      <c r="U7" s="392"/>
      <c r="V7" s="392"/>
      <c r="W7" s="392"/>
      <c r="X7" s="392"/>
      <c r="Y7" s="392"/>
      <c r="Z7" s="392"/>
      <c r="AA7" s="134"/>
      <c r="AE7" s="135"/>
      <c r="AI7" s="135"/>
    </row>
    <row r="8" spans="1:36" ht="15.9" customHeight="1" x14ac:dyDescent="0.25">
      <c r="A8" s="136" t="s">
        <v>9</v>
      </c>
      <c r="B8" s="137" t="s">
        <v>10</v>
      </c>
      <c r="C8" s="138"/>
      <c r="D8" s="139"/>
      <c r="E8" s="139"/>
      <c r="F8" s="139"/>
      <c r="G8" s="139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40"/>
      <c r="AA8" s="141"/>
      <c r="AB8" s="142"/>
      <c r="AC8" s="142"/>
      <c r="AD8" s="142"/>
      <c r="AE8" s="135"/>
      <c r="AF8" s="142"/>
      <c r="AI8" s="135"/>
    </row>
    <row r="9" spans="1:36" ht="7.8" customHeight="1" x14ac:dyDescent="0.25">
      <c r="A9" s="143"/>
      <c r="B9" s="141"/>
      <c r="C9" s="141"/>
      <c r="D9" s="144"/>
      <c r="E9" s="144"/>
      <c r="F9" s="144"/>
      <c r="G9" s="144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5"/>
      <c r="AA9" s="141"/>
      <c r="AB9" s="142"/>
      <c r="AC9" s="142"/>
      <c r="AD9" s="142"/>
      <c r="AE9" s="135"/>
      <c r="AF9" s="142"/>
      <c r="AI9" s="135"/>
    </row>
    <row r="10" spans="1:36" ht="15.9" customHeight="1" x14ac:dyDescent="0.25">
      <c r="A10" s="143"/>
      <c r="B10" s="301" t="s">
        <v>11</v>
      </c>
      <c r="C10" s="301"/>
      <c r="D10" s="301"/>
      <c r="E10" s="301"/>
      <c r="F10" s="301"/>
      <c r="G10" s="384" t="s">
        <v>74</v>
      </c>
      <c r="H10" s="384"/>
      <c r="I10" s="384"/>
      <c r="J10" s="384"/>
      <c r="K10" s="384"/>
      <c r="L10" s="384"/>
      <c r="M10" s="385" t="s">
        <v>12</v>
      </c>
      <c r="N10" s="385"/>
      <c r="O10" s="385"/>
      <c r="P10" s="385"/>
      <c r="Q10" s="385"/>
      <c r="R10" s="385"/>
      <c r="S10" s="388" t="s">
        <v>13</v>
      </c>
      <c r="T10" s="388"/>
      <c r="U10" s="388"/>
      <c r="V10" s="388"/>
      <c r="W10" s="388"/>
      <c r="X10" s="388"/>
      <c r="Y10" s="388"/>
      <c r="Z10" s="147"/>
      <c r="AA10" s="146"/>
      <c r="AB10" s="142"/>
      <c r="AC10" s="142"/>
      <c r="AD10" s="142"/>
      <c r="AE10" s="148"/>
      <c r="AF10" s="148"/>
      <c r="AG10" s="148"/>
      <c r="AH10" s="148"/>
      <c r="AI10" s="148"/>
    </row>
    <row r="11" spans="1:36" ht="15.9" customHeight="1" x14ac:dyDescent="0.25">
      <c r="A11" s="143"/>
      <c r="B11" s="301" t="s">
        <v>14</v>
      </c>
      <c r="C11" s="301"/>
      <c r="D11" s="301"/>
      <c r="E11" s="301"/>
      <c r="F11" s="301"/>
      <c r="G11" s="384">
        <v>45824</v>
      </c>
      <c r="H11" s="384"/>
      <c r="I11" s="384"/>
      <c r="J11" s="384"/>
      <c r="K11" s="384"/>
      <c r="L11" s="384"/>
      <c r="M11" s="385" t="s">
        <v>15</v>
      </c>
      <c r="N11" s="385"/>
      <c r="O11" s="385"/>
      <c r="P11" s="385"/>
      <c r="Q11" s="385"/>
      <c r="R11" s="385"/>
      <c r="S11" s="562" t="s">
        <v>82</v>
      </c>
      <c r="T11" s="562"/>
      <c r="U11" s="562"/>
      <c r="V11" s="562"/>
      <c r="W11" s="562"/>
      <c r="X11" s="562"/>
      <c r="Y11" s="562"/>
      <c r="Z11" s="147"/>
      <c r="AA11" s="146"/>
      <c r="AB11" s="142"/>
      <c r="AC11" s="142"/>
      <c r="AD11" s="142"/>
      <c r="AE11" s="148"/>
      <c r="AF11" s="148"/>
      <c r="AG11" s="148"/>
      <c r="AH11" s="148"/>
      <c r="AI11" s="148"/>
    </row>
    <row r="12" spans="1:36" ht="15.9" customHeight="1" x14ac:dyDescent="0.25">
      <c r="A12" s="143"/>
      <c r="B12" s="301" t="s">
        <v>16</v>
      </c>
      <c r="C12" s="301"/>
      <c r="D12" s="301"/>
      <c r="E12" s="301"/>
      <c r="F12" s="301"/>
      <c r="G12" s="386">
        <v>45824</v>
      </c>
      <c r="H12" s="386"/>
      <c r="I12" s="386"/>
      <c r="J12" s="386"/>
      <c r="K12" s="386"/>
      <c r="L12" s="386"/>
      <c r="M12" s="387" t="s">
        <v>17</v>
      </c>
      <c r="N12" s="387"/>
      <c r="O12" s="387"/>
      <c r="P12" s="387"/>
      <c r="Q12" s="387"/>
      <c r="R12" s="387"/>
      <c r="S12" s="388">
        <v>110</v>
      </c>
      <c r="T12" s="388"/>
      <c r="U12" s="388"/>
      <c r="V12" s="388"/>
      <c r="W12" s="388"/>
      <c r="X12" s="388"/>
      <c r="Y12" s="388"/>
      <c r="Z12" s="147"/>
      <c r="AA12" s="146"/>
      <c r="AB12" s="142"/>
      <c r="AC12" s="142"/>
      <c r="AD12" s="142"/>
      <c r="AE12" s="135"/>
      <c r="AF12" s="142"/>
      <c r="AI12" s="135"/>
    </row>
    <row r="13" spans="1:36" ht="15.9" customHeight="1" x14ac:dyDescent="0.25">
      <c r="A13" s="143"/>
      <c r="B13" s="304" t="s">
        <v>18</v>
      </c>
      <c r="C13" s="304"/>
      <c r="D13" s="304"/>
      <c r="E13" s="304"/>
      <c r="F13" s="304"/>
      <c r="G13" s="305" t="s">
        <v>69</v>
      </c>
      <c r="H13" s="305"/>
      <c r="I13" s="305"/>
      <c r="J13" s="305"/>
      <c r="K13" s="305"/>
      <c r="L13" s="305"/>
      <c r="M13" s="382" t="s">
        <v>19</v>
      </c>
      <c r="N13" s="382"/>
      <c r="O13" s="382"/>
      <c r="P13" s="382"/>
      <c r="Q13" s="382"/>
      <c r="R13" s="382"/>
      <c r="S13" s="305" t="s">
        <v>67</v>
      </c>
      <c r="T13" s="305"/>
      <c r="U13" s="305"/>
      <c r="V13" s="305"/>
      <c r="W13" s="305"/>
      <c r="X13" s="305"/>
      <c r="Y13" s="305"/>
      <c r="Z13" s="147"/>
      <c r="AA13" s="146"/>
      <c r="AB13" s="142"/>
      <c r="AC13" s="142"/>
      <c r="AD13" s="142"/>
      <c r="AE13" s="148"/>
      <c r="AF13" s="148"/>
      <c r="AG13" s="148"/>
      <c r="AH13" s="148"/>
      <c r="AI13" s="148"/>
      <c r="AJ13" s="148"/>
    </row>
    <row r="14" spans="1:36" ht="15.9" customHeight="1" x14ac:dyDescent="0.25">
      <c r="A14" s="149"/>
      <c r="B14" s="301" t="s">
        <v>20</v>
      </c>
      <c r="C14" s="301"/>
      <c r="D14" s="301"/>
      <c r="E14" s="301"/>
      <c r="F14" s="301"/>
      <c r="G14" s="305" t="s">
        <v>70</v>
      </c>
      <c r="H14" s="305"/>
      <c r="I14" s="305"/>
      <c r="J14" s="305"/>
      <c r="K14" s="305"/>
      <c r="L14" s="305"/>
      <c r="M14" s="383" t="s">
        <v>21</v>
      </c>
      <c r="N14" s="383"/>
      <c r="O14" s="383"/>
      <c r="P14" s="383"/>
      <c r="Q14" s="383"/>
      <c r="R14" s="383"/>
      <c r="S14" s="383" t="s">
        <v>22</v>
      </c>
      <c r="T14" s="383"/>
      <c r="U14" s="383"/>
      <c r="V14" s="383"/>
      <c r="W14" s="383"/>
      <c r="X14" s="383"/>
      <c r="Y14" s="383"/>
      <c r="Z14" s="150"/>
      <c r="AA14" s="142"/>
      <c r="AB14" s="142"/>
      <c r="AC14" s="142"/>
      <c r="AD14" s="142"/>
      <c r="AE14" s="148"/>
      <c r="AF14" s="148"/>
      <c r="AG14" s="148"/>
      <c r="AH14" s="148"/>
      <c r="AI14" s="148"/>
      <c r="AJ14" s="148"/>
    </row>
    <row r="15" spans="1:36" ht="6" customHeight="1" x14ac:dyDescent="0.25">
      <c r="A15" s="151"/>
      <c r="B15" s="152"/>
      <c r="C15" s="153"/>
      <c r="D15" s="153"/>
      <c r="E15" s="153"/>
      <c r="F15" s="152"/>
      <c r="G15" s="152"/>
      <c r="H15" s="152"/>
      <c r="I15" s="152"/>
      <c r="J15" s="152"/>
      <c r="K15" s="152"/>
      <c r="L15" s="152"/>
      <c r="M15" s="152"/>
      <c r="N15" s="153"/>
      <c r="O15" s="153"/>
      <c r="P15" s="153"/>
      <c r="Q15" s="153"/>
      <c r="R15" s="153"/>
      <c r="S15" s="153"/>
      <c r="T15" s="154"/>
      <c r="U15" s="154"/>
      <c r="V15" s="153"/>
      <c r="W15" s="153"/>
      <c r="X15" s="153"/>
      <c r="Y15" s="153"/>
      <c r="Z15" s="155"/>
      <c r="AE15" s="148"/>
      <c r="AF15" s="148"/>
      <c r="AG15" s="148"/>
      <c r="AH15" s="148"/>
      <c r="AI15" s="148"/>
      <c r="AJ15" s="148"/>
    </row>
    <row r="16" spans="1:36" ht="6" customHeight="1" x14ac:dyDescent="0.25">
      <c r="F16" s="156"/>
      <c r="G16" s="156"/>
      <c r="H16" s="156"/>
      <c r="I16" s="156"/>
      <c r="J16" s="156"/>
      <c r="K16" s="156"/>
      <c r="L16" s="156"/>
      <c r="M16" s="156"/>
      <c r="T16" s="157"/>
      <c r="U16" s="157"/>
      <c r="AE16" s="148"/>
      <c r="AF16" s="148"/>
      <c r="AG16" s="148"/>
      <c r="AH16" s="148"/>
      <c r="AI16" s="148"/>
      <c r="AJ16" s="148"/>
    </row>
    <row r="17" spans="1:40" ht="15.9" customHeight="1" x14ac:dyDescent="0.25">
      <c r="A17" s="136" t="s">
        <v>23</v>
      </c>
      <c r="B17" s="137" t="s">
        <v>24</v>
      </c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40"/>
      <c r="AA17" s="141"/>
      <c r="AE17" s="158"/>
      <c r="AI17" s="158"/>
    </row>
    <row r="18" spans="1:40" ht="8.25" customHeight="1" x14ac:dyDescent="0.25">
      <c r="A18" s="143"/>
      <c r="B18" s="159"/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5"/>
      <c r="AA18" s="141"/>
      <c r="AE18" s="158"/>
      <c r="AI18" s="158"/>
    </row>
    <row r="19" spans="1:40" ht="15.9" customHeight="1" x14ac:dyDescent="0.25">
      <c r="A19" s="143"/>
      <c r="B19" s="301" t="s">
        <v>25</v>
      </c>
      <c r="C19" s="301"/>
      <c r="D19" s="301"/>
      <c r="E19" s="301"/>
      <c r="F19" s="301"/>
      <c r="G19" s="301"/>
      <c r="H19" s="301"/>
      <c r="I19" s="302"/>
      <c r="J19" s="302"/>
      <c r="K19" s="302"/>
      <c r="L19" s="302"/>
      <c r="M19" s="302"/>
      <c r="N19" s="302"/>
      <c r="O19" s="302"/>
      <c r="P19" s="302"/>
      <c r="Q19" s="302"/>
      <c r="R19" s="302"/>
      <c r="S19" s="302"/>
      <c r="T19" s="302"/>
      <c r="U19" s="302"/>
      <c r="V19" s="302"/>
      <c r="W19" s="302"/>
      <c r="X19" s="302"/>
      <c r="Y19" s="302"/>
      <c r="Z19" s="147"/>
      <c r="AA19" s="146"/>
      <c r="AE19" s="158"/>
      <c r="AI19" s="158"/>
    </row>
    <row r="20" spans="1:40" ht="15.9" customHeight="1" x14ac:dyDescent="0.25">
      <c r="A20" s="143"/>
      <c r="B20" s="301" t="s">
        <v>26</v>
      </c>
      <c r="C20" s="301"/>
      <c r="D20" s="301"/>
      <c r="E20" s="301"/>
      <c r="F20" s="301"/>
      <c r="G20" s="301"/>
      <c r="H20" s="301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  <c r="T20" s="303"/>
      <c r="U20" s="303"/>
      <c r="V20" s="303"/>
      <c r="W20" s="303"/>
      <c r="X20" s="303"/>
      <c r="Y20" s="303"/>
      <c r="Z20" s="147"/>
      <c r="AA20" s="146"/>
      <c r="AE20" s="158"/>
      <c r="AI20" s="158"/>
    </row>
    <row r="21" spans="1:40" ht="7.5" customHeight="1" x14ac:dyDescent="0.25">
      <c r="A21" s="132"/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61"/>
      <c r="AA21" s="141"/>
      <c r="AE21" s="158"/>
      <c r="AI21" s="158"/>
    </row>
    <row r="22" spans="1:40" ht="5.25" customHeight="1" x14ac:dyDescent="0.25">
      <c r="F22" s="156"/>
      <c r="G22" s="156"/>
      <c r="H22" s="156"/>
      <c r="I22" s="156"/>
      <c r="J22" s="156"/>
      <c r="K22" s="156"/>
      <c r="L22" s="156"/>
      <c r="M22" s="156"/>
      <c r="T22" s="157"/>
      <c r="U22" s="157"/>
      <c r="AE22" s="158"/>
      <c r="AI22" s="158"/>
      <c r="AM22" s="142"/>
      <c r="AN22" s="142"/>
    </row>
    <row r="23" spans="1:40" ht="15.9" customHeight="1" x14ac:dyDescent="0.25">
      <c r="A23" s="162" t="s">
        <v>71</v>
      </c>
      <c r="B23" s="163" t="s">
        <v>27</v>
      </c>
      <c r="C23" s="163"/>
      <c r="D23" s="164"/>
      <c r="E23" s="164"/>
      <c r="F23" s="165"/>
      <c r="G23" s="165"/>
      <c r="H23" s="165"/>
      <c r="I23" s="165"/>
      <c r="J23" s="165"/>
      <c r="K23" s="165"/>
      <c r="L23" s="165"/>
      <c r="M23" s="165"/>
      <c r="N23" s="164"/>
      <c r="O23" s="164"/>
      <c r="P23" s="164"/>
      <c r="Q23" s="164"/>
      <c r="R23" s="164"/>
      <c r="S23" s="166"/>
      <c r="T23" s="166"/>
      <c r="U23" s="166"/>
      <c r="V23" s="166"/>
      <c r="W23" s="166"/>
      <c r="X23" s="166"/>
      <c r="Y23" s="166"/>
      <c r="Z23" s="167"/>
      <c r="AM23" s="168"/>
      <c r="AN23" s="169"/>
    </row>
    <row r="24" spans="1:40" ht="9" customHeight="1" x14ac:dyDescent="0.25">
      <c r="A24" s="149"/>
      <c r="Z24" s="170"/>
    </row>
    <row r="25" spans="1:40" ht="33.6" customHeight="1" x14ac:dyDescent="0.25">
      <c r="A25" s="149"/>
      <c r="Z25" s="170"/>
    </row>
    <row r="26" spans="1:40" ht="12.75" customHeight="1" x14ac:dyDescent="0.25">
      <c r="A26" s="149"/>
      <c r="Z26" s="170"/>
    </row>
    <row r="27" spans="1:40" ht="12.75" customHeight="1" x14ac:dyDescent="0.25">
      <c r="A27" s="149"/>
      <c r="Z27" s="170"/>
    </row>
    <row r="28" spans="1:40" ht="12.75" customHeight="1" x14ac:dyDescent="0.25">
      <c r="A28" s="149"/>
      <c r="Z28" s="170"/>
    </row>
    <row r="29" spans="1:40" ht="12.75" customHeight="1" x14ac:dyDescent="0.25">
      <c r="A29" s="149"/>
      <c r="Z29" s="170"/>
    </row>
    <row r="30" spans="1:40" ht="12.75" customHeight="1" x14ac:dyDescent="0.25">
      <c r="A30" s="149"/>
      <c r="Z30" s="170"/>
    </row>
    <row r="31" spans="1:40" ht="12.75" customHeight="1" x14ac:dyDescent="0.25">
      <c r="A31" s="149"/>
      <c r="Z31" s="170"/>
    </row>
    <row r="32" spans="1:40" ht="12.75" customHeight="1" x14ac:dyDescent="0.25">
      <c r="A32" s="149"/>
      <c r="Z32" s="170"/>
    </row>
    <row r="33" spans="1:26" ht="12.75" customHeight="1" x14ac:dyDescent="0.25">
      <c r="A33" s="149"/>
      <c r="Z33" s="170"/>
    </row>
    <row r="34" spans="1:26" ht="12.75" customHeight="1" x14ac:dyDescent="0.25">
      <c r="A34" s="149"/>
      <c r="Z34" s="170"/>
    </row>
    <row r="35" spans="1:26" ht="12.75" customHeight="1" x14ac:dyDescent="0.25">
      <c r="A35" s="149"/>
      <c r="Z35" s="170"/>
    </row>
    <row r="36" spans="1:26" ht="12.75" customHeight="1" x14ac:dyDescent="0.25">
      <c r="A36" s="149"/>
      <c r="Z36" s="170"/>
    </row>
    <row r="37" spans="1:26" ht="12.75" customHeight="1" x14ac:dyDescent="0.25">
      <c r="A37" s="149"/>
      <c r="Z37" s="170"/>
    </row>
    <row r="38" spans="1:26" ht="12.75" customHeight="1" x14ac:dyDescent="0.25">
      <c r="A38" s="149"/>
      <c r="Z38" s="170"/>
    </row>
    <row r="39" spans="1:26" ht="12.75" customHeight="1" x14ac:dyDescent="0.25">
      <c r="A39" s="149"/>
      <c r="Z39" s="170"/>
    </row>
    <row r="40" spans="1:26" ht="12.75" customHeight="1" x14ac:dyDescent="0.25">
      <c r="A40" s="149"/>
      <c r="Z40" s="170"/>
    </row>
    <row r="41" spans="1:26" ht="12.75" customHeight="1" x14ac:dyDescent="0.25">
      <c r="A41" s="149"/>
      <c r="Z41" s="170"/>
    </row>
    <row r="42" spans="1:26" ht="12.75" customHeight="1" x14ac:dyDescent="0.25">
      <c r="A42" s="149"/>
      <c r="Z42" s="170"/>
    </row>
    <row r="43" spans="1:26" ht="12.75" customHeight="1" x14ac:dyDescent="0.25">
      <c r="A43" s="149"/>
      <c r="Z43" s="170"/>
    </row>
    <row r="44" spans="1:26" ht="12.75" customHeight="1" x14ac:dyDescent="0.25">
      <c r="A44" s="149"/>
      <c r="Z44" s="170"/>
    </row>
    <row r="45" spans="1:26" ht="12.75" customHeight="1" x14ac:dyDescent="0.25">
      <c r="A45" s="149"/>
      <c r="Z45" s="170"/>
    </row>
    <row r="46" spans="1:26" ht="12.75" customHeight="1" x14ac:dyDescent="0.25">
      <c r="A46" s="149"/>
      <c r="Z46" s="170"/>
    </row>
    <row r="47" spans="1:26" ht="9.75" customHeight="1" x14ac:dyDescent="0.25">
      <c r="A47" s="149"/>
      <c r="Z47" s="170"/>
    </row>
    <row r="48" spans="1:26" ht="37.799999999999997" customHeight="1" thickBot="1" x14ac:dyDescent="0.3">
      <c r="A48" s="149"/>
      <c r="Z48" s="170"/>
    </row>
    <row r="49" spans="1:34" ht="9.75" customHeight="1" x14ac:dyDescent="0.25">
      <c r="A49" s="149"/>
      <c r="Z49" s="170"/>
      <c r="AD49" s="378" t="s">
        <v>28</v>
      </c>
      <c r="AE49" s="380">
        <v>2.6469999999999998</v>
      </c>
      <c r="AF49" s="353"/>
      <c r="AG49" s="359"/>
      <c r="AH49" s="171"/>
    </row>
    <row r="50" spans="1:34" ht="12.75" customHeight="1" thickBot="1" x14ac:dyDescent="0.3">
      <c r="A50" s="149"/>
      <c r="Z50" s="172"/>
      <c r="AD50" s="379"/>
      <c r="AE50" s="381"/>
      <c r="AF50" s="358"/>
      <c r="AG50" s="359"/>
    </row>
    <row r="51" spans="1:34" ht="18.75" customHeight="1" thickBot="1" x14ac:dyDescent="0.3">
      <c r="A51" s="149"/>
      <c r="E51" s="360" t="s">
        <v>29</v>
      </c>
      <c r="F51" s="361"/>
      <c r="G51" s="361"/>
      <c r="H51" s="361"/>
      <c r="I51" s="361"/>
      <c r="J51" s="361"/>
      <c r="K51" s="361"/>
      <c r="L51" s="361"/>
      <c r="M51" s="361"/>
      <c r="N51" s="361"/>
      <c r="O51" s="361"/>
      <c r="P51" s="361"/>
      <c r="Q51" s="361"/>
      <c r="R51" s="361"/>
      <c r="S51" s="361"/>
      <c r="T51" s="361"/>
      <c r="U51" s="362" t="s">
        <v>30</v>
      </c>
      <c r="V51" s="363"/>
      <c r="W51" s="364" t="s">
        <v>31</v>
      </c>
      <c r="X51" s="363"/>
      <c r="Y51" s="365" t="s">
        <v>32</v>
      </c>
      <c r="Z51" s="366"/>
      <c r="AA51" s="175"/>
      <c r="AB51" s="369" t="s">
        <v>33</v>
      </c>
      <c r="AC51" s="370"/>
      <c r="AD51" s="373" t="s">
        <v>34</v>
      </c>
      <c r="AE51" s="375" t="s">
        <v>35</v>
      </c>
      <c r="AF51" s="353"/>
      <c r="AG51" s="353"/>
      <c r="AH51" s="173"/>
    </row>
    <row r="52" spans="1:34" ht="24.9" customHeight="1" thickBot="1" x14ac:dyDescent="0.3">
      <c r="A52" s="176"/>
      <c r="B52" s="174" t="s">
        <v>36</v>
      </c>
      <c r="C52" s="354" t="s">
        <v>37</v>
      </c>
      <c r="D52" s="355"/>
      <c r="E52" s="177">
        <v>6.3E-2</v>
      </c>
      <c r="F52" s="177">
        <v>0.125</v>
      </c>
      <c r="G52" s="178">
        <v>0.25</v>
      </c>
      <c r="H52" s="178">
        <v>0.5</v>
      </c>
      <c r="I52" s="178">
        <v>1</v>
      </c>
      <c r="J52" s="178">
        <v>2</v>
      </c>
      <c r="K52" s="178">
        <v>4</v>
      </c>
      <c r="L52" s="178">
        <v>6.3</v>
      </c>
      <c r="M52" s="178">
        <v>8</v>
      </c>
      <c r="N52" s="178">
        <v>10</v>
      </c>
      <c r="O52" s="178">
        <v>12.5</v>
      </c>
      <c r="P52" s="178">
        <v>14</v>
      </c>
      <c r="Q52" s="179">
        <v>16</v>
      </c>
      <c r="R52" s="179">
        <v>20</v>
      </c>
      <c r="S52" s="178"/>
      <c r="T52" s="179"/>
      <c r="U52" s="310"/>
      <c r="V52" s="312"/>
      <c r="W52" s="311"/>
      <c r="X52" s="312"/>
      <c r="Y52" s="367"/>
      <c r="Z52" s="368"/>
      <c r="AA52" s="175"/>
      <c r="AB52" s="371"/>
      <c r="AC52" s="372"/>
      <c r="AD52" s="374"/>
      <c r="AE52" s="376"/>
      <c r="AF52" s="377"/>
      <c r="AG52" s="353"/>
    </row>
    <row r="53" spans="1:34" ht="24.9" customHeight="1" x14ac:dyDescent="0.25">
      <c r="A53" s="176"/>
      <c r="B53" s="180">
        <v>1</v>
      </c>
      <c r="C53" s="569" t="s">
        <v>84</v>
      </c>
      <c r="D53" s="570"/>
      <c r="E53" s="237">
        <v>6.5</v>
      </c>
      <c r="F53" s="238">
        <v>8.4</v>
      </c>
      <c r="G53" s="239">
        <v>11.2</v>
      </c>
      <c r="H53" s="239">
        <v>14.9</v>
      </c>
      <c r="I53" s="239">
        <v>20</v>
      </c>
      <c r="J53" s="239">
        <v>28.5</v>
      </c>
      <c r="K53" s="239">
        <v>42.6</v>
      </c>
      <c r="L53" s="239">
        <v>61.2</v>
      </c>
      <c r="M53" s="239">
        <v>79</v>
      </c>
      <c r="N53" s="239">
        <v>94.6</v>
      </c>
      <c r="O53" s="241">
        <v>100</v>
      </c>
      <c r="P53" s="239"/>
      <c r="Q53" s="239"/>
      <c r="R53" s="239"/>
      <c r="S53" s="240"/>
      <c r="T53" s="240"/>
      <c r="U53" s="565">
        <v>172</v>
      </c>
      <c r="V53" s="566"/>
      <c r="W53" s="567">
        <v>4.96</v>
      </c>
      <c r="X53" s="568"/>
      <c r="Y53" s="356">
        <f>IF(W53&lt;&gt;0,AE53,"")</f>
        <v>3.134858870860683</v>
      </c>
      <c r="Z53" s="357"/>
      <c r="AA53" s="181"/>
      <c r="AB53" s="326">
        <f>(100*W53)/(100-W53)</f>
        <v>5.2188552188552189</v>
      </c>
      <c r="AC53" s="327"/>
      <c r="AD53" s="53">
        <f>(0.25*(100-O53)+2.3*(O53-H53)+12*(H53-E53)+150*(E53))/100</f>
        <v>12.715299999999999</v>
      </c>
      <c r="AE53" s="54">
        <f>(AB53*$AE$49)/(2.65*(AD53)^(1/5))</f>
        <v>3.134858870860683</v>
      </c>
      <c r="AF53" s="156"/>
      <c r="AG53" s="182"/>
    </row>
    <row r="54" spans="1:34" ht="24.9" customHeight="1" x14ac:dyDescent="0.25">
      <c r="A54" s="176"/>
      <c r="B54" s="183">
        <v>2</v>
      </c>
      <c r="C54" s="563"/>
      <c r="D54" s="564"/>
      <c r="E54" s="125"/>
      <c r="F54" s="126"/>
      <c r="G54" s="127"/>
      <c r="H54" s="127"/>
      <c r="I54" s="127"/>
      <c r="J54" s="127"/>
      <c r="K54" s="127"/>
      <c r="L54" s="127"/>
      <c r="M54" s="127"/>
      <c r="N54" s="127"/>
      <c r="O54" s="236"/>
      <c r="P54" s="184"/>
      <c r="Q54" s="184"/>
      <c r="R54" s="184"/>
      <c r="S54" s="185"/>
      <c r="T54" s="185"/>
      <c r="U54" s="342"/>
      <c r="V54" s="343"/>
      <c r="W54" s="344"/>
      <c r="X54" s="345"/>
      <c r="Y54" s="346" t="str">
        <f>IF(W54&lt;&gt;0,AE54,"")</f>
        <v/>
      </c>
      <c r="Z54" s="347"/>
      <c r="AA54" s="181"/>
      <c r="AB54" s="326">
        <f>(100*W54)/(100-W54)</f>
        <v>0</v>
      </c>
      <c r="AC54" s="327"/>
      <c r="AD54" s="53">
        <f t="shared" ref="AD54:AD60" si="0">(0.25*(100-O54)+2.3*(O54-H54)+12*(H54-E54)+150*(E54))/100</f>
        <v>0.25</v>
      </c>
      <c r="AE54" s="54">
        <f t="shared" ref="AE54:AE60" si="1">(AB54*$AE$49)/(2.65*(AD54)^(1/5))</f>
        <v>0</v>
      </c>
      <c r="AF54" s="156"/>
      <c r="AG54" s="182"/>
    </row>
    <row r="55" spans="1:34" ht="24.9" customHeight="1" x14ac:dyDescent="0.25">
      <c r="A55" s="176"/>
      <c r="B55" s="183">
        <v>3</v>
      </c>
      <c r="C55" s="291"/>
      <c r="D55" s="348"/>
      <c r="E55" s="120"/>
      <c r="F55" s="121"/>
      <c r="G55" s="122"/>
      <c r="H55" s="122"/>
      <c r="I55" s="122"/>
      <c r="J55" s="122"/>
      <c r="K55" s="122"/>
      <c r="L55" s="122"/>
      <c r="M55" s="122"/>
      <c r="N55" s="122"/>
      <c r="O55" s="124"/>
      <c r="P55" s="122"/>
      <c r="Q55" s="122"/>
      <c r="R55" s="122"/>
      <c r="S55" s="123"/>
      <c r="T55" s="123"/>
      <c r="U55" s="349"/>
      <c r="V55" s="350"/>
      <c r="W55" s="351"/>
      <c r="X55" s="352"/>
      <c r="Y55" s="346" t="str">
        <f t="shared" ref="Y55:Y56" si="2">IF(W55&lt;&gt;0,AE55,"")</f>
        <v/>
      </c>
      <c r="Z55" s="347"/>
      <c r="AA55" s="181"/>
      <c r="AB55" s="326">
        <f>(100*W55)/(100-W55)</f>
        <v>0</v>
      </c>
      <c r="AC55" s="327"/>
      <c r="AD55" s="53">
        <f t="shared" si="0"/>
        <v>0.25</v>
      </c>
      <c r="AE55" s="54">
        <f t="shared" si="1"/>
        <v>0</v>
      </c>
      <c r="AF55" s="156"/>
      <c r="AG55" s="182"/>
    </row>
    <row r="56" spans="1:34" ht="24.9" customHeight="1" thickBot="1" x14ac:dyDescent="0.3">
      <c r="A56" s="176"/>
      <c r="B56" s="188">
        <v>4</v>
      </c>
      <c r="C56" s="293"/>
      <c r="D56" s="294"/>
      <c r="E56" s="189"/>
      <c r="F56" s="190"/>
      <c r="G56" s="190"/>
      <c r="H56" s="191"/>
      <c r="I56" s="191"/>
      <c r="J56" s="191"/>
      <c r="K56" s="191"/>
      <c r="L56" s="191"/>
      <c r="M56" s="191"/>
      <c r="N56" s="191"/>
      <c r="O56" s="247"/>
      <c r="P56" s="191"/>
      <c r="Q56" s="191"/>
      <c r="R56" s="191"/>
      <c r="S56" s="191"/>
      <c r="T56" s="192"/>
      <c r="U56" s="295"/>
      <c r="V56" s="296"/>
      <c r="W56" s="297"/>
      <c r="X56" s="298"/>
      <c r="Y56" s="299" t="str">
        <f t="shared" si="2"/>
        <v/>
      </c>
      <c r="Z56" s="300"/>
      <c r="AA56" s="181"/>
      <c r="AB56" s="326">
        <f>(100*W56)/(100-W56)</f>
        <v>0</v>
      </c>
      <c r="AC56" s="327"/>
      <c r="AD56" s="53">
        <f t="shared" si="0"/>
        <v>0.25</v>
      </c>
      <c r="AE56" s="54">
        <f t="shared" si="1"/>
        <v>0</v>
      </c>
      <c r="AF56" s="156"/>
      <c r="AG56" s="182"/>
    </row>
    <row r="57" spans="1:34" ht="10.5" customHeight="1" thickBot="1" x14ac:dyDescent="0.3">
      <c r="A57" s="176"/>
      <c r="B57" s="130"/>
      <c r="E57" s="193"/>
      <c r="F57" s="193"/>
      <c r="G57" s="193"/>
      <c r="H57" s="193"/>
      <c r="I57" s="193"/>
      <c r="J57" s="193"/>
      <c r="K57" s="193"/>
      <c r="L57" s="193"/>
      <c r="M57" s="193"/>
      <c r="N57" s="193"/>
      <c r="O57" s="248"/>
      <c r="P57" s="193"/>
      <c r="Q57" s="193"/>
      <c r="R57" s="193"/>
      <c r="S57" s="193"/>
      <c r="T57" s="193"/>
      <c r="U57" s="193"/>
      <c r="V57" s="193"/>
      <c r="W57" s="194"/>
      <c r="Z57" s="195"/>
      <c r="AB57" s="72"/>
      <c r="AC57" s="73"/>
      <c r="AD57" s="53"/>
      <c r="AE57" s="54"/>
      <c r="AF57" s="156"/>
      <c r="AG57" s="182"/>
    </row>
    <row r="58" spans="1:34" ht="24.75" hidden="1" customHeight="1" x14ac:dyDescent="0.25">
      <c r="A58" s="176"/>
      <c r="B58" s="337" t="s">
        <v>38</v>
      </c>
      <c r="C58" s="338"/>
      <c r="D58" s="339"/>
      <c r="E58" s="196"/>
      <c r="F58" s="196"/>
      <c r="G58" s="196"/>
      <c r="H58" s="196"/>
      <c r="I58" s="196"/>
      <c r="J58" s="196"/>
      <c r="K58" s="196"/>
      <c r="L58" s="196"/>
      <c r="M58" s="196">
        <v>10</v>
      </c>
      <c r="N58" s="196">
        <v>10</v>
      </c>
      <c r="O58" s="249"/>
      <c r="P58" s="196"/>
      <c r="Q58" s="196">
        <v>50</v>
      </c>
      <c r="R58" s="196"/>
      <c r="S58" s="196">
        <v>70</v>
      </c>
      <c r="T58" s="196"/>
      <c r="U58" s="196"/>
      <c r="V58" s="196"/>
      <c r="W58" s="196"/>
      <c r="X58" s="197"/>
      <c r="Y58" s="198">
        <v>4.5</v>
      </c>
      <c r="Z58" s="198"/>
      <c r="AA58" s="156"/>
      <c r="AB58" s="72"/>
      <c r="AC58" s="73"/>
      <c r="AD58" s="53">
        <f t="shared" si="0"/>
        <v>0.25</v>
      </c>
      <c r="AE58" s="54">
        <f t="shared" si="1"/>
        <v>0</v>
      </c>
      <c r="AF58" s="156"/>
      <c r="AG58" s="182"/>
    </row>
    <row r="59" spans="1:34" ht="18.75" customHeight="1" x14ac:dyDescent="0.25">
      <c r="A59" s="176"/>
      <c r="B59" s="317" t="s">
        <v>39</v>
      </c>
      <c r="C59" s="318"/>
      <c r="D59" s="319"/>
      <c r="E59" s="199">
        <f t="shared" ref="E59:T59" si="3">IF(E53&lt;&gt;0,AVERAGE(E53:E56),"")</f>
        <v>6.5</v>
      </c>
      <c r="F59" s="199">
        <f t="shared" si="3"/>
        <v>8.4</v>
      </c>
      <c r="G59" s="199">
        <f t="shared" si="3"/>
        <v>11.2</v>
      </c>
      <c r="H59" s="199">
        <f t="shared" si="3"/>
        <v>14.9</v>
      </c>
      <c r="I59" s="199">
        <f t="shared" si="3"/>
        <v>20</v>
      </c>
      <c r="J59" s="199">
        <f t="shared" si="3"/>
        <v>28.5</v>
      </c>
      <c r="K59" s="199">
        <f t="shared" si="3"/>
        <v>42.6</v>
      </c>
      <c r="L59" s="199">
        <f t="shared" si="3"/>
        <v>61.2</v>
      </c>
      <c r="M59" s="199">
        <f t="shared" si="3"/>
        <v>79</v>
      </c>
      <c r="N59" s="199">
        <f t="shared" si="3"/>
        <v>94.6</v>
      </c>
      <c r="O59" s="250">
        <f t="shared" si="3"/>
        <v>100</v>
      </c>
      <c r="P59" s="199"/>
      <c r="Q59" s="199"/>
      <c r="R59" s="199"/>
      <c r="S59" s="199" t="str">
        <f t="shared" si="3"/>
        <v/>
      </c>
      <c r="T59" s="200" t="str">
        <f t="shared" si="3"/>
        <v/>
      </c>
      <c r="U59" s="320">
        <f>IF(U53&lt;&gt;0,AVERAGE(U53:V56),"")</f>
        <v>172</v>
      </c>
      <c r="V59" s="321"/>
      <c r="W59" s="322">
        <f>IF(W53&lt;&gt;0,AVERAGE(W53:X56),"")</f>
        <v>4.96</v>
      </c>
      <c r="X59" s="323"/>
      <c r="Y59" s="324">
        <f>IF(W53&lt;&gt;0,AVERAGE(Y53:Z56),"")</f>
        <v>3.134858870860683</v>
      </c>
      <c r="Z59" s="325"/>
      <c r="AA59" s="182"/>
      <c r="AB59" s="326">
        <f>(100*W59)/(100-W59)</f>
        <v>5.2188552188552189</v>
      </c>
      <c r="AC59" s="327"/>
      <c r="AD59" s="53">
        <f t="shared" si="0"/>
        <v>12.715299999999999</v>
      </c>
      <c r="AE59" s="54">
        <f t="shared" si="1"/>
        <v>3.134858870860683</v>
      </c>
      <c r="AF59" s="156"/>
      <c r="AG59" s="182"/>
    </row>
    <row r="60" spans="1:34" ht="21" customHeight="1" x14ac:dyDescent="0.25">
      <c r="A60" s="176"/>
      <c r="B60" s="328" t="s">
        <v>40</v>
      </c>
      <c r="C60" s="329"/>
      <c r="D60" s="330"/>
      <c r="E60" s="201">
        <v>6.5</v>
      </c>
      <c r="F60" s="201">
        <v>8</v>
      </c>
      <c r="G60" s="201">
        <v>11</v>
      </c>
      <c r="H60" s="201">
        <v>16</v>
      </c>
      <c r="I60" s="201">
        <v>21</v>
      </c>
      <c r="J60" s="201">
        <v>30</v>
      </c>
      <c r="K60" s="201">
        <v>44</v>
      </c>
      <c r="L60" s="201">
        <v>60</v>
      </c>
      <c r="M60" s="201">
        <v>76</v>
      </c>
      <c r="N60" s="201">
        <v>95</v>
      </c>
      <c r="O60" s="202">
        <v>100</v>
      </c>
      <c r="P60" s="201"/>
      <c r="Q60" s="202"/>
      <c r="R60" s="201"/>
      <c r="S60" s="201"/>
      <c r="T60" s="203"/>
      <c r="U60" s="331"/>
      <c r="V60" s="332"/>
      <c r="W60" s="333">
        <v>5.4</v>
      </c>
      <c r="X60" s="334"/>
      <c r="Y60" s="335">
        <f>AE60</f>
        <v>3.4230996041984052</v>
      </c>
      <c r="Z60" s="336"/>
      <c r="AA60" s="182"/>
      <c r="AB60" s="326">
        <f>(100*W60)/(100-W60)</f>
        <v>5.7082452431289648</v>
      </c>
      <c r="AC60" s="327"/>
      <c r="AD60" s="53">
        <f t="shared" si="0"/>
        <v>12.822000000000001</v>
      </c>
      <c r="AE60" s="54">
        <f t="shared" si="1"/>
        <v>3.4230996041984052</v>
      </c>
      <c r="AF60" s="156"/>
      <c r="AG60" s="182"/>
    </row>
    <row r="61" spans="1:34" ht="13.5" customHeight="1" x14ac:dyDescent="0.25">
      <c r="A61" s="176"/>
      <c r="B61" s="204"/>
      <c r="C61" s="205" t="s">
        <v>41</v>
      </c>
      <c r="D61" s="206"/>
      <c r="E61" s="186">
        <f>E60+2</f>
        <v>8.5</v>
      </c>
      <c r="F61" s="186"/>
      <c r="G61" s="186"/>
      <c r="H61" s="186"/>
      <c r="I61" s="186"/>
      <c r="J61" s="186">
        <f>J60+6</f>
        <v>36</v>
      </c>
      <c r="K61" s="186"/>
      <c r="L61" s="186">
        <f>L60+7</f>
        <v>67</v>
      </c>
      <c r="M61" s="186"/>
      <c r="N61" s="186"/>
      <c r="O61" s="186"/>
      <c r="P61" s="186"/>
      <c r="Q61" s="186"/>
      <c r="R61" s="186"/>
      <c r="S61" s="186"/>
      <c r="T61" s="187"/>
      <c r="U61" s="288"/>
      <c r="V61" s="289"/>
      <c r="W61" s="290">
        <f>W60+0.5</f>
        <v>5.9</v>
      </c>
      <c r="X61" s="289"/>
      <c r="Y61" s="291"/>
      <c r="Z61" s="292"/>
      <c r="AA61" s="207"/>
      <c r="AB61" s="88"/>
      <c r="AC61" s="89"/>
      <c r="AD61" s="306"/>
      <c r="AE61" s="308" t="s">
        <v>42</v>
      </c>
      <c r="AF61" s="156"/>
      <c r="AG61" s="182"/>
    </row>
    <row r="62" spans="1:34" ht="13.5" customHeight="1" thickBot="1" x14ac:dyDescent="0.3">
      <c r="A62" s="176"/>
      <c r="B62" s="310" t="s">
        <v>43</v>
      </c>
      <c r="C62" s="311"/>
      <c r="D62" s="312"/>
      <c r="E62" s="208">
        <f>E60-2</f>
        <v>4.5</v>
      </c>
      <c r="F62" s="208"/>
      <c r="G62" s="209"/>
      <c r="H62" s="209"/>
      <c r="I62" s="209"/>
      <c r="J62" s="208">
        <f>J60-6</f>
        <v>24</v>
      </c>
      <c r="K62" s="209"/>
      <c r="L62" s="208">
        <f>L60-7</f>
        <v>53</v>
      </c>
      <c r="M62" s="208"/>
      <c r="N62" s="209"/>
      <c r="O62" s="209"/>
      <c r="P62" s="209"/>
      <c r="Q62" s="208"/>
      <c r="R62" s="209"/>
      <c r="S62" s="209"/>
      <c r="T62" s="210"/>
      <c r="U62" s="313"/>
      <c r="V62" s="314"/>
      <c r="W62" s="315">
        <f>W60-0.5</f>
        <v>4.9000000000000004</v>
      </c>
      <c r="X62" s="314"/>
      <c r="Y62" s="293"/>
      <c r="Z62" s="316"/>
      <c r="AA62" s="211"/>
      <c r="AB62" s="94"/>
      <c r="AC62" s="95"/>
      <c r="AD62" s="307"/>
      <c r="AE62" s="309"/>
      <c r="AF62" s="156"/>
      <c r="AG62" s="182"/>
    </row>
    <row r="63" spans="1:34" ht="6.75" customHeight="1" x14ac:dyDescent="0.25">
      <c r="A63" s="151"/>
      <c r="B63" s="152"/>
      <c r="C63" s="153"/>
      <c r="D63" s="153"/>
      <c r="E63" s="153"/>
      <c r="F63" s="153"/>
      <c r="G63" s="153"/>
      <c r="H63" s="153"/>
      <c r="I63" s="153"/>
      <c r="J63" s="153"/>
      <c r="K63" s="153"/>
      <c r="L63" s="153"/>
      <c r="M63" s="153"/>
      <c r="N63" s="153"/>
      <c r="O63" s="153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212"/>
    </row>
    <row r="64" spans="1:34" ht="8.25" customHeight="1" x14ac:dyDescent="0.25"/>
    <row r="65" spans="1:30" ht="15.6" customHeight="1" x14ac:dyDescent="0.25">
      <c r="A65" s="213" t="s">
        <v>44</v>
      </c>
      <c r="B65" s="214" t="s">
        <v>45</v>
      </c>
      <c r="C65" s="215"/>
      <c r="D65" s="215"/>
      <c r="E65" s="215"/>
      <c r="F65" s="216"/>
      <c r="G65" s="216"/>
      <c r="H65" s="216"/>
      <c r="I65" s="138"/>
      <c r="J65" s="138"/>
      <c r="K65" s="138"/>
      <c r="L65" s="138"/>
      <c r="M65" s="138"/>
      <c r="N65" s="138"/>
      <c r="O65" s="138"/>
      <c r="P65" s="138"/>
      <c r="Q65" s="216"/>
      <c r="R65" s="138"/>
      <c r="S65" s="138"/>
      <c r="T65" s="138"/>
      <c r="U65" s="270"/>
      <c r="V65" s="270"/>
      <c r="W65" s="270"/>
      <c r="X65" s="270"/>
      <c r="Y65" s="270"/>
      <c r="Z65" s="271"/>
      <c r="AA65" s="217"/>
      <c r="AB65" s="218"/>
      <c r="AC65" s="218"/>
      <c r="AD65" s="219"/>
    </row>
    <row r="66" spans="1:30" ht="26.4" customHeight="1" x14ac:dyDescent="0.25">
      <c r="A66" s="272" t="s">
        <v>46</v>
      </c>
      <c r="B66" s="273"/>
      <c r="C66" s="273"/>
      <c r="D66" s="273"/>
      <c r="E66" s="273"/>
      <c r="F66" s="273"/>
      <c r="G66" s="273"/>
      <c r="H66" s="273"/>
      <c r="I66" s="273"/>
      <c r="J66" s="273"/>
      <c r="K66" s="273"/>
      <c r="L66" s="273"/>
      <c r="M66" s="273"/>
      <c r="N66" s="273"/>
      <c r="O66" s="273"/>
      <c r="P66" s="273"/>
      <c r="Q66" s="274"/>
      <c r="R66" s="261" t="s">
        <v>47</v>
      </c>
      <c r="S66" s="262"/>
      <c r="T66" s="263"/>
      <c r="U66" s="275" t="s">
        <v>76</v>
      </c>
      <c r="V66" s="276"/>
      <c r="W66" s="276"/>
      <c r="X66" s="277"/>
      <c r="Y66" s="277"/>
      <c r="Z66" s="278"/>
      <c r="AA66" s="160"/>
      <c r="AB66" s="220"/>
      <c r="AC66" s="220"/>
      <c r="AD66" s="219"/>
    </row>
    <row r="67" spans="1:30" ht="26.4" customHeight="1" x14ac:dyDescent="0.25">
      <c r="A67" s="279" t="s">
        <v>48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0"/>
      <c r="N67" s="280"/>
      <c r="O67" s="280"/>
      <c r="P67" s="280"/>
      <c r="Q67" s="281"/>
      <c r="R67" s="261" t="s">
        <v>49</v>
      </c>
      <c r="S67" s="262"/>
      <c r="T67" s="263"/>
      <c r="U67" s="282" t="s">
        <v>77</v>
      </c>
      <c r="V67" s="283"/>
      <c r="W67" s="283"/>
      <c r="X67" s="283"/>
      <c r="Y67" s="283"/>
      <c r="Z67" s="284"/>
      <c r="AA67" s="160"/>
      <c r="AB67" s="220"/>
      <c r="AC67" s="220"/>
      <c r="AD67" s="219"/>
    </row>
    <row r="68" spans="1:30" ht="15.6" customHeight="1" x14ac:dyDescent="0.25">
      <c r="A68" s="221" t="s">
        <v>50</v>
      </c>
      <c r="B68" s="222" t="s">
        <v>51</v>
      </c>
      <c r="C68" s="141"/>
      <c r="D68" s="141"/>
      <c r="E68" s="223"/>
      <c r="F68" s="223"/>
      <c r="G68" s="223"/>
      <c r="H68" s="223"/>
      <c r="I68" s="223"/>
      <c r="J68" s="223"/>
      <c r="K68" s="223"/>
      <c r="L68" s="223"/>
      <c r="M68" s="223"/>
      <c r="N68" s="223"/>
      <c r="O68" s="223"/>
      <c r="P68" s="223"/>
      <c r="Q68" s="224"/>
      <c r="R68" s="261"/>
      <c r="S68" s="262"/>
      <c r="T68" s="263"/>
      <c r="U68" s="285"/>
      <c r="V68" s="286"/>
      <c r="W68" s="286"/>
      <c r="X68" s="286"/>
      <c r="Y68" s="286"/>
      <c r="Z68" s="287"/>
      <c r="AA68" s="160"/>
      <c r="AB68" s="220"/>
      <c r="AC68" s="220"/>
      <c r="AD68" s="219"/>
    </row>
    <row r="69" spans="1:30" ht="15.6" customHeight="1" x14ac:dyDescent="0.25">
      <c r="A69" s="255"/>
      <c r="B69" s="256"/>
      <c r="C69" s="256"/>
      <c r="D69" s="256"/>
      <c r="E69" s="256"/>
      <c r="F69" s="256"/>
      <c r="G69" s="256"/>
      <c r="H69" s="256"/>
      <c r="I69" s="256"/>
      <c r="J69" s="256"/>
      <c r="K69" s="256"/>
      <c r="L69" s="256"/>
      <c r="M69" s="256"/>
      <c r="N69" s="256"/>
      <c r="O69" s="256"/>
      <c r="P69" s="256"/>
      <c r="Q69" s="257"/>
      <c r="R69" s="261" t="s">
        <v>52</v>
      </c>
      <c r="S69" s="262"/>
      <c r="T69" s="263"/>
      <c r="U69" s="225"/>
      <c r="V69" s="226"/>
      <c r="W69" s="226"/>
      <c r="X69" s="226"/>
      <c r="Y69" s="226"/>
      <c r="Z69" s="227"/>
      <c r="AA69" s="228"/>
      <c r="AB69" s="229"/>
      <c r="AC69" s="229"/>
      <c r="AD69" s="219"/>
    </row>
    <row r="70" spans="1:30" ht="15.6" customHeight="1" x14ac:dyDescent="0.25">
      <c r="A70" s="255"/>
      <c r="B70" s="256"/>
      <c r="C70" s="256"/>
      <c r="D70" s="256"/>
      <c r="E70" s="256"/>
      <c r="F70" s="256"/>
      <c r="G70" s="256"/>
      <c r="H70" s="256"/>
      <c r="I70" s="256"/>
      <c r="J70" s="256"/>
      <c r="K70" s="256"/>
      <c r="L70" s="256"/>
      <c r="M70" s="256"/>
      <c r="N70" s="256"/>
      <c r="O70" s="256"/>
      <c r="P70" s="256"/>
      <c r="Q70" s="257"/>
      <c r="R70" s="261"/>
      <c r="S70" s="262"/>
      <c r="T70" s="263"/>
      <c r="U70" s="230"/>
      <c r="V70" s="267"/>
      <c r="W70" s="267"/>
      <c r="X70" s="267"/>
      <c r="Y70" s="267"/>
      <c r="Z70" s="231"/>
      <c r="AA70" s="228"/>
      <c r="AB70" s="229"/>
      <c r="AC70" s="229"/>
      <c r="AD70" s="219"/>
    </row>
    <row r="71" spans="1:30" ht="15.6" customHeight="1" x14ac:dyDescent="0.25">
      <c r="A71" s="255"/>
      <c r="B71" s="256"/>
      <c r="C71" s="256"/>
      <c r="D71" s="256"/>
      <c r="E71" s="256"/>
      <c r="F71" s="256"/>
      <c r="G71" s="256"/>
      <c r="H71" s="256"/>
      <c r="I71" s="256"/>
      <c r="J71" s="256"/>
      <c r="K71" s="256"/>
      <c r="L71" s="256"/>
      <c r="M71" s="256"/>
      <c r="N71" s="256"/>
      <c r="O71" s="256"/>
      <c r="P71" s="256"/>
      <c r="Q71" s="257"/>
      <c r="R71" s="261"/>
      <c r="S71" s="262"/>
      <c r="T71" s="263"/>
      <c r="U71" s="230"/>
      <c r="V71" s="267"/>
      <c r="W71" s="267"/>
      <c r="X71" s="267"/>
      <c r="Y71" s="267"/>
      <c r="Z71" s="231"/>
      <c r="AA71" s="228"/>
      <c r="AB71" s="229"/>
      <c r="AC71" s="229"/>
      <c r="AD71" s="219"/>
    </row>
    <row r="72" spans="1:30" ht="15.6" customHeight="1" x14ac:dyDescent="0.25">
      <c r="A72" s="258"/>
      <c r="B72" s="259"/>
      <c r="C72" s="259"/>
      <c r="D72" s="259"/>
      <c r="E72" s="259"/>
      <c r="F72" s="259"/>
      <c r="G72" s="259"/>
      <c r="H72" s="259"/>
      <c r="I72" s="259"/>
      <c r="J72" s="259"/>
      <c r="K72" s="259"/>
      <c r="L72" s="259"/>
      <c r="M72" s="259"/>
      <c r="N72" s="259"/>
      <c r="O72" s="259"/>
      <c r="P72" s="259"/>
      <c r="Q72" s="260"/>
      <c r="R72" s="264"/>
      <c r="S72" s="265"/>
      <c r="T72" s="266"/>
      <c r="U72" s="232"/>
      <c r="V72" s="233"/>
      <c r="W72" s="233"/>
      <c r="X72" s="233"/>
      <c r="Y72" s="233"/>
      <c r="Z72" s="234"/>
      <c r="AA72" s="228"/>
      <c r="AB72" s="229"/>
      <c r="AC72" s="229"/>
      <c r="AD72" s="219"/>
    </row>
    <row r="73" spans="1:30" ht="12.75" customHeight="1" x14ac:dyDescent="0.25">
      <c r="U73" s="235"/>
      <c r="V73" s="235"/>
      <c r="W73" s="235"/>
      <c r="X73" s="235"/>
      <c r="Y73" s="235"/>
      <c r="Z73" s="235"/>
    </row>
  </sheetData>
  <mergeCells count="101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1:F11"/>
    <mergeCell ref="G11:L11"/>
    <mergeCell ref="M11:R11"/>
    <mergeCell ref="S11:Y11"/>
    <mergeCell ref="B12:F12"/>
    <mergeCell ref="G12:L12"/>
    <mergeCell ref="M12:R12"/>
    <mergeCell ref="S12:Y12"/>
    <mergeCell ref="AG51:AG52"/>
    <mergeCell ref="C52:D52"/>
    <mergeCell ref="B19:H19"/>
    <mergeCell ref="I19:Y19"/>
    <mergeCell ref="B20:H20"/>
    <mergeCell ref="I20:Y20"/>
    <mergeCell ref="AD49:AD50"/>
    <mergeCell ref="AE49:AE50"/>
    <mergeCell ref="B13:F13"/>
    <mergeCell ref="G13:L13"/>
    <mergeCell ref="M13:R13"/>
    <mergeCell ref="S13:Y13"/>
    <mergeCell ref="B14:F14"/>
    <mergeCell ref="G14:L14"/>
    <mergeCell ref="M14:R14"/>
    <mergeCell ref="S14:Y14"/>
    <mergeCell ref="Y53:Z53"/>
    <mergeCell ref="AB53:AC53"/>
    <mergeCell ref="U53:V53"/>
    <mergeCell ref="W53:X53"/>
    <mergeCell ref="C53:D53"/>
    <mergeCell ref="AF49:AF50"/>
    <mergeCell ref="AG49:AG50"/>
    <mergeCell ref="E51:T51"/>
    <mergeCell ref="U51:V52"/>
    <mergeCell ref="W51:X52"/>
    <mergeCell ref="Y51:Z52"/>
    <mergeCell ref="AB51:AC52"/>
    <mergeCell ref="AD51:AD52"/>
    <mergeCell ref="AE51:AE52"/>
    <mergeCell ref="AF51:AF52"/>
    <mergeCell ref="C56:D56"/>
    <mergeCell ref="U56:V56"/>
    <mergeCell ref="W56:X56"/>
    <mergeCell ref="Y56:Z56"/>
    <mergeCell ref="AB56:AC56"/>
    <mergeCell ref="B58:D58"/>
    <mergeCell ref="C54:D54"/>
    <mergeCell ref="U54:V54"/>
    <mergeCell ref="W54:X54"/>
    <mergeCell ref="Y54:Z54"/>
    <mergeCell ref="AB54:AC54"/>
    <mergeCell ref="C55:D55"/>
    <mergeCell ref="U55:V55"/>
    <mergeCell ref="W55:X55"/>
    <mergeCell ref="Y55:Z55"/>
    <mergeCell ref="AB55:AC55"/>
    <mergeCell ref="B59:D59"/>
    <mergeCell ref="U59:V59"/>
    <mergeCell ref="W59:X59"/>
    <mergeCell ref="Y59:Z59"/>
    <mergeCell ref="AB59:AC59"/>
    <mergeCell ref="B60:D60"/>
    <mergeCell ref="U60:V60"/>
    <mergeCell ref="W60:X60"/>
    <mergeCell ref="Y60:Z60"/>
    <mergeCell ref="AB60:AC60"/>
    <mergeCell ref="U61:V61"/>
    <mergeCell ref="W61:X61"/>
    <mergeCell ref="Y61:Z61"/>
    <mergeCell ref="AD61:AD62"/>
    <mergeCell ref="AE61:AE62"/>
    <mergeCell ref="B62:D62"/>
    <mergeCell ref="U62:V62"/>
    <mergeCell ref="W62:X62"/>
    <mergeCell ref="Y62:Z62"/>
    <mergeCell ref="A69:Q72"/>
    <mergeCell ref="R69:T72"/>
    <mergeCell ref="V70:Y71"/>
    <mergeCell ref="U65:Z65"/>
    <mergeCell ref="A66:Q66"/>
    <mergeCell ref="R66:T66"/>
    <mergeCell ref="U66:Z66"/>
    <mergeCell ref="A67:Q67"/>
    <mergeCell ref="R67:T68"/>
    <mergeCell ref="U67:Z68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6D388-1654-4782-AE71-439A63072C0C}">
  <sheetPr>
    <pageSetUpPr fitToPage="1"/>
  </sheetPr>
  <dimension ref="A1:AN76"/>
  <sheetViews>
    <sheetView zoomScaleNormal="100" workbookViewId="0">
      <selection activeCell="AE40" sqref="AE40"/>
    </sheetView>
  </sheetViews>
  <sheetFormatPr baseColWidth="10" defaultColWidth="11.44140625" defaultRowHeight="12.75" customHeight="1" x14ac:dyDescent="0.25"/>
  <cols>
    <col min="1" max="2" width="5.109375" style="28" customWidth="1"/>
    <col min="3" max="27" width="5.109375" style="2" customWidth="1"/>
    <col min="28" max="41" width="11.44140625" style="2" customWidth="1"/>
    <col min="42" max="16384" width="11.44140625" style="2"/>
  </cols>
  <sheetData>
    <row r="1" spans="1:36" ht="12.75" customHeight="1" x14ac:dyDescent="0.25">
      <c r="A1" s="430"/>
      <c r="B1" s="431"/>
      <c r="C1" s="431"/>
      <c r="D1" s="431"/>
      <c r="E1" s="431"/>
      <c r="F1" s="432"/>
      <c r="G1" s="439" t="s">
        <v>0</v>
      </c>
      <c r="H1" s="440"/>
      <c r="I1" s="440"/>
      <c r="J1" s="440"/>
      <c r="K1" s="440"/>
      <c r="L1" s="440"/>
      <c r="M1" s="440"/>
      <c r="N1" s="440"/>
      <c r="O1" s="440"/>
      <c r="P1" s="440"/>
      <c r="Q1" s="440"/>
      <c r="R1" s="440"/>
      <c r="S1" s="440"/>
      <c r="T1" s="441"/>
      <c r="U1" s="405" t="s">
        <v>59</v>
      </c>
      <c r="V1" s="406"/>
      <c r="W1" s="406"/>
      <c r="X1" s="406"/>
      <c r="Y1" s="406"/>
      <c r="Z1" s="407"/>
      <c r="AA1" s="1"/>
    </row>
    <row r="2" spans="1:36" ht="12.75" customHeight="1" x14ac:dyDescent="0.25">
      <c r="A2" s="433"/>
      <c r="B2" s="434"/>
      <c r="C2" s="434"/>
      <c r="D2" s="434"/>
      <c r="E2" s="434"/>
      <c r="F2" s="435"/>
      <c r="G2" s="442" t="s">
        <v>1</v>
      </c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4"/>
      <c r="U2" s="408"/>
      <c r="V2" s="409"/>
      <c r="W2" s="409"/>
      <c r="X2" s="409"/>
      <c r="Y2" s="409"/>
      <c r="Z2" s="410"/>
      <c r="AA2" s="1"/>
    </row>
    <row r="3" spans="1:36" ht="12.75" customHeight="1" x14ac:dyDescent="0.25">
      <c r="A3" s="433"/>
      <c r="B3" s="434"/>
      <c r="C3" s="434"/>
      <c r="D3" s="434"/>
      <c r="E3" s="434"/>
      <c r="F3" s="435"/>
      <c r="G3" s="445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4"/>
      <c r="U3" s="408"/>
      <c r="V3" s="409"/>
      <c r="W3" s="409"/>
      <c r="X3" s="409"/>
      <c r="Y3" s="409"/>
      <c r="Z3" s="410"/>
      <c r="AA3" s="1"/>
    </row>
    <row r="4" spans="1:36" ht="12.75" customHeight="1" x14ac:dyDescent="0.25">
      <c r="A4" s="433"/>
      <c r="B4" s="434"/>
      <c r="C4" s="434"/>
      <c r="D4" s="434"/>
      <c r="E4" s="434"/>
      <c r="F4" s="435"/>
      <c r="G4" s="445"/>
      <c r="H4" s="443"/>
      <c r="I4" s="443"/>
      <c r="J4" s="443"/>
      <c r="K4" s="443"/>
      <c r="L4" s="443"/>
      <c r="M4" s="443"/>
      <c r="N4" s="443"/>
      <c r="O4" s="443"/>
      <c r="P4" s="443"/>
      <c r="Q4" s="443"/>
      <c r="R4" s="443"/>
      <c r="S4" s="443"/>
      <c r="T4" s="444"/>
      <c r="U4" s="408"/>
      <c r="V4" s="409"/>
      <c r="W4" s="409"/>
      <c r="X4" s="409"/>
      <c r="Y4" s="409"/>
      <c r="Z4" s="410"/>
      <c r="AA4" s="1"/>
    </row>
    <row r="5" spans="1:36" ht="12.75" customHeight="1" x14ac:dyDescent="0.25">
      <c r="A5" s="433"/>
      <c r="B5" s="434"/>
      <c r="C5" s="434"/>
      <c r="D5" s="434"/>
      <c r="E5" s="434"/>
      <c r="F5" s="435"/>
      <c r="G5" s="445" t="s">
        <v>2</v>
      </c>
      <c r="H5" s="443"/>
      <c r="I5" s="3" t="s">
        <v>3</v>
      </c>
      <c r="J5" s="446">
        <v>7</v>
      </c>
      <c r="K5" s="447"/>
      <c r="L5" s="448" t="s">
        <v>60</v>
      </c>
      <c r="M5" s="446"/>
      <c r="N5" s="446"/>
      <c r="O5" s="447"/>
      <c r="P5" s="449">
        <v>45824</v>
      </c>
      <c r="Q5" s="450"/>
      <c r="R5" s="450"/>
      <c r="S5" s="450"/>
      <c r="T5" s="451"/>
      <c r="U5" s="408"/>
      <c r="V5" s="409"/>
      <c r="W5" s="409"/>
      <c r="X5" s="409"/>
      <c r="Y5" s="409"/>
      <c r="Z5" s="410"/>
      <c r="AA5" s="1"/>
    </row>
    <row r="6" spans="1:36" ht="12.75" customHeight="1" x14ac:dyDescent="0.25">
      <c r="A6" s="436"/>
      <c r="B6" s="437"/>
      <c r="C6" s="437"/>
      <c r="D6" s="437"/>
      <c r="E6" s="437"/>
      <c r="F6" s="438"/>
      <c r="G6" s="4"/>
      <c r="H6" s="5"/>
      <c r="I6" s="5"/>
      <c r="J6" s="423" t="s">
        <v>4</v>
      </c>
      <c r="K6" s="423"/>
      <c r="L6" s="423" t="s">
        <v>5</v>
      </c>
      <c r="M6" s="423"/>
      <c r="N6" s="423"/>
      <c r="O6" s="423"/>
      <c r="P6" s="423" t="s">
        <v>6</v>
      </c>
      <c r="Q6" s="423"/>
      <c r="R6" s="423"/>
      <c r="S6" s="423"/>
      <c r="T6" s="424"/>
      <c r="U6" s="411"/>
      <c r="V6" s="412"/>
      <c r="W6" s="412"/>
      <c r="X6" s="412"/>
      <c r="Y6" s="412"/>
      <c r="Z6" s="413"/>
      <c r="AA6" s="1"/>
    </row>
    <row r="7" spans="1:36" ht="37.5" customHeight="1" x14ac:dyDescent="0.25">
      <c r="A7" s="425" t="s">
        <v>7</v>
      </c>
      <c r="B7" s="425"/>
      <c r="C7" s="425"/>
      <c r="D7" s="425"/>
      <c r="E7" s="425"/>
      <c r="F7" s="425"/>
      <c r="G7" s="426" t="s">
        <v>8</v>
      </c>
      <c r="H7" s="426"/>
      <c r="I7" s="426"/>
      <c r="J7" s="426"/>
      <c r="K7" s="426"/>
      <c r="L7" s="426"/>
      <c r="M7" s="426"/>
      <c r="N7" s="426"/>
      <c r="O7" s="426"/>
      <c r="P7" s="426"/>
      <c r="Q7" s="426"/>
      <c r="R7" s="426"/>
      <c r="S7" s="426"/>
      <c r="T7" s="426"/>
      <c r="U7" s="426"/>
      <c r="V7" s="426"/>
      <c r="W7" s="426"/>
      <c r="X7" s="426"/>
      <c r="Y7" s="426"/>
      <c r="Z7" s="426"/>
      <c r="AA7" s="6"/>
      <c r="AE7" s="7"/>
      <c r="AI7" s="7"/>
    </row>
    <row r="8" spans="1:36" ht="15.9" customHeight="1" x14ac:dyDescent="0.25">
      <c r="A8" s="8" t="s">
        <v>9</v>
      </c>
      <c r="B8" s="9" t="s">
        <v>10</v>
      </c>
      <c r="C8" s="10"/>
      <c r="D8" s="11"/>
      <c r="E8" s="11"/>
      <c r="F8" s="11"/>
      <c r="G8" s="11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2"/>
      <c r="AA8" s="13"/>
      <c r="AB8" s="14"/>
      <c r="AC8" s="14"/>
      <c r="AD8" s="14"/>
      <c r="AE8" s="7"/>
      <c r="AF8" s="14"/>
      <c r="AI8" s="7"/>
    </row>
    <row r="9" spans="1:36" ht="15.9" customHeight="1" x14ac:dyDescent="0.25">
      <c r="A9" s="15"/>
      <c r="B9" s="13"/>
      <c r="C9" s="13"/>
      <c r="D9" s="16"/>
      <c r="E9" s="16"/>
      <c r="F9" s="16"/>
      <c r="G9" s="16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7"/>
      <c r="AA9" s="13"/>
      <c r="AB9" s="14"/>
      <c r="AC9" s="14"/>
      <c r="AD9" s="14"/>
      <c r="AE9" s="7"/>
      <c r="AF9" s="14"/>
      <c r="AI9" s="7"/>
    </row>
    <row r="10" spans="1:36" ht="15.9" customHeight="1" x14ac:dyDescent="0.25">
      <c r="A10" s="15"/>
      <c r="B10" s="385" t="s">
        <v>11</v>
      </c>
      <c r="C10" s="385"/>
      <c r="D10" s="385"/>
      <c r="E10" s="385"/>
      <c r="F10" s="385"/>
      <c r="G10" s="384" t="s">
        <v>74</v>
      </c>
      <c r="H10" s="384"/>
      <c r="I10" s="384"/>
      <c r="J10" s="384"/>
      <c r="K10" s="384"/>
      <c r="L10" s="384"/>
      <c r="M10" s="385" t="s">
        <v>12</v>
      </c>
      <c r="N10" s="385"/>
      <c r="O10" s="385"/>
      <c r="P10" s="385"/>
      <c r="Q10" s="385"/>
      <c r="R10" s="385"/>
      <c r="S10" s="388" t="s">
        <v>13</v>
      </c>
      <c r="T10" s="388"/>
      <c r="U10" s="388"/>
      <c r="V10" s="388"/>
      <c r="W10" s="388"/>
      <c r="X10" s="388"/>
      <c r="Y10" s="388"/>
      <c r="Z10" s="18"/>
      <c r="AA10" s="19"/>
      <c r="AB10" s="14"/>
      <c r="AC10" s="14"/>
      <c r="AD10" s="14"/>
      <c r="AE10" s="385"/>
      <c r="AF10" s="385"/>
      <c r="AG10" s="385"/>
      <c r="AH10" s="385"/>
      <c r="AI10" s="385"/>
    </row>
    <row r="11" spans="1:36" ht="15.9" customHeight="1" x14ac:dyDescent="0.25">
      <c r="A11" s="15"/>
      <c r="B11" s="385" t="s">
        <v>14</v>
      </c>
      <c r="C11" s="385"/>
      <c r="D11" s="385"/>
      <c r="E11" s="385"/>
      <c r="F11" s="385"/>
      <c r="G11" s="384">
        <v>45824</v>
      </c>
      <c r="H11" s="384"/>
      <c r="I11" s="384"/>
      <c r="J11" s="384"/>
      <c r="K11" s="384"/>
      <c r="L11" s="384"/>
      <c r="M11" s="385" t="s">
        <v>15</v>
      </c>
      <c r="N11" s="385"/>
      <c r="O11" s="385"/>
      <c r="P11" s="385"/>
      <c r="Q11" s="385"/>
      <c r="R11" s="385"/>
      <c r="S11" s="562" t="s">
        <v>82</v>
      </c>
      <c r="T11" s="562"/>
      <c r="U11" s="562"/>
      <c r="V11" s="562"/>
      <c r="W11" s="562"/>
      <c r="X11" s="562"/>
      <c r="Y11" s="562"/>
      <c r="Z11" s="18"/>
      <c r="AA11" s="19"/>
      <c r="AB11" s="14"/>
      <c r="AC11" s="14"/>
      <c r="AD11" s="14"/>
      <c r="AE11" s="385"/>
      <c r="AF11" s="385"/>
      <c r="AG11" s="385"/>
      <c r="AH11" s="385"/>
      <c r="AI11" s="385"/>
    </row>
    <row r="12" spans="1:36" ht="15.9" customHeight="1" x14ac:dyDescent="0.25">
      <c r="A12" s="15"/>
      <c r="B12" s="385" t="s">
        <v>16</v>
      </c>
      <c r="C12" s="385"/>
      <c r="D12" s="385"/>
      <c r="E12" s="385"/>
      <c r="F12" s="385"/>
      <c r="G12" s="386">
        <v>45824</v>
      </c>
      <c r="H12" s="386"/>
      <c r="I12" s="386"/>
      <c r="J12" s="386"/>
      <c r="K12" s="386"/>
      <c r="L12" s="386"/>
      <c r="M12" s="387" t="s">
        <v>17</v>
      </c>
      <c r="N12" s="387"/>
      <c r="O12" s="387"/>
      <c r="P12" s="387"/>
      <c r="Q12" s="387"/>
      <c r="R12" s="387"/>
      <c r="S12" s="388">
        <v>157</v>
      </c>
      <c r="T12" s="388"/>
      <c r="U12" s="388"/>
      <c r="V12" s="388"/>
      <c r="W12" s="388"/>
      <c r="X12" s="388"/>
      <c r="Y12" s="388"/>
      <c r="Z12" s="18"/>
      <c r="AA12" s="19"/>
      <c r="AB12" s="14"/>
      <c r="AC12" s="14"/>
      <c r="AD12" s="14"/>
      <c r="AE12" s="7"/>
      <c r="AF12" s="14"/>
      <c r="AI12" s="7"/>
    </row>
    <row r="13" spans="1:36" ht="15.9" customHeight="1" x14ac:dyDescent="0.25">
      <c r="A13" s="15"/>
      <c r="B13" s="20" t="s">
        <v>18</v>
      </c>
      <c r="C13" s="20"/>
      <c r="D13" s="20"/>
      <c r="E13" s="20"/>
      <c r="F13" s="20"/>
      <c r="G13" s="386" t="s">
        <v>53</v>
      </c>
      <c r="H13" s="386"/>
      <c r="I13" s="386"/>
      <c r="J13" s="386"/>
      <c r="K13" s="386"/>
      <c r="L13" s="386"/>
      <c r="M13" s="385" t="s">
        <v>19</v>
      </c>
      <c r="N13" s="385"/>
      <c r="O13" s="385"/>
      <c r="P13" s="385"/>
      <c r="Q13" s="385"/>
      <c r="R13" s="385"/>
      <c r="S13" s="386" t="s">
        <v>83</v>
      </c>
      <c r="T13" s="386"/>
      <c r="U13" s="386"/>
      <c r="V13" s="386"/>
      <c r="W13" s="386"/>
      <c r="X13" s="386"/>
      <c r="Y13" s="386"/>
      <c r="Z13" s="18"/>
      <c r="AA13" s="19"/>
      <c r="AB13" s="14"/>
      <c r="AC13" s="14"/>
      <c r="AD13" s="14"/>
      <c r="AE13" s="385"/>
      <c r="AF13" s="385"/>
      <c r="AG13" s="385"/>
      <c r="AH13" s="385"/>
      <c r="AI13" s="385"/>
      <c r="AJ13" s="385"/>
    </row>
    <row r="14" spans="1:36" ht="15.9" customHeight="1" x14ac:dyDescent="0.25">
      <c r="A14" s="21"/>
      <c r="B14" s="385" t="s">
        <v>20</v>
      </c>
      <c r="C14" s="385"/>
      <c r="D14" s="385"/>
      <c r="E14" s="385"/>
      <c r="F14" s="385"/>
      <c r="G14" s="386" t="s">
        <v>54</v>
      </c>
      <c r="H14" s="386"/>
      <c r="I14" s="386"/>
      <c r="J14" s="386"/>
      <c r="K14" s="386"/>
      <c r="L14" s="386"/>
      <c r="M14" s="388" t="s">
        <v>21</v>
      </c>
      <c r="N14" s="388"/>
      <c r="O14" s="388"/>
      <c r="P14" s="388"/>
      <c r="Q14" s="388"/>
      <c r="R14" s="388"/>
      <c r="S14" s="388" t="s">
        <v>22</v>
      </c>
      <c r="T14" s="388"/>
      <c r="U14" s="388"/>
      <c r="V14" s="388"/>
      <c r="W14" s="388"/>
      <c r="X14" s="388"/>
      <c r="Y14" s="388"/>
      <c r="Z14" s="22"/>
      <c r="AA14" s="14"/>
      <c r="AB14" s="14"/>
      <c r="AC14" s="14"/>
      <c r="AD14" s="14"/>
      <c r="AE14" s="385"/>
      <c r="AF14" s="385"/>
      <c r="AG14" s="385"/>
      <c r="AH14" s="385"/>
      <c r="AI14" s="385"/>
      <c r="AJ14" s="385"/>
    </row>
    <row r="15" spans="1:36" ht="6" customHeight="1" x14ac:dyDescent="0.25">
      <c r="A15" s="23"/>
      <c r="B15" s="24"/>
      <c r="C15" s="25"/>
      <c r="D15" s="25"/>
      <c r="E15" s="25"/>
      <c r="F15" s="24"/>
      <c r="G15" s="24"/>
      <c r="H15" s="24"/>
      <c r="I15" s="24"/>
      <c r="J15" s="24"/>
      <c r="K15" s="24"/>
      <c r="L15" s="24"/>
      <c r="M15" s="24"/>
      <c r="N15" s="25"/>
      <c r="O15" s="25"/>
      <c r="P15" s="25"/>
      <c r="Q15" s="25"/>
      <c r="R15" s="25"/>
      <c r="S15" s="25"/>
      <c r="T15" s="26"/>
      <c r="U15" s="26"/>
      <c r="V15" s="25"/>
      <c r="W15" s="25"/>
      <c r="X15" s="25"/>
      <c r="Y15" s="25"/>
      <c r="Z15" s="27"/>
      <c r="AE15" s="385"/>
      <c r="AF15" s="385"/>
      <c r="AG15" s="385"/>
      <c r="AH15" s="385"/>
      <c r="AI15" s="385"/>
      <c r="AJ15" s="385"/>
    </row>
    <row r="16" spans="1:36" ht="6" customHeight="1" x14ac:dyDescent="0.25">
      <c r="F16" s="28"/>
      <c r="G16" s="28"/>
      <c r="H16" s="28"/>
      <c r="I16" s="28"/>
      <c r="J16" s="28"/>
      <c r="K16" s="28"/>
      <c r="L16" s="28"/>
      <c r="M16" s="28"/>
      <c r="T16" s="29"/>
      <c r="U16" s="29"/>
      <c r="AE16" s="385"/>
      <c r="AF16" s="385"/>
      <c r="AG16" s="385"/>
      <c r="AH16" s="385"/>
      <c r="AI16" s="385"/>
      <c r="AJ16" s="385"/>
    </row>
    <row r="17" spans="1:40" ht="15.9" customHeight="1" x14ac:dyDescent="0.25">
      <c r="A17" s="8" t="s">
        <v>23</v>
      </c>
      <c r="B17" s="9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2"/>
      <c r="AA17" s="13"/>
      <c r="AE17" s="30"/>
      <c r="AI17" s="30"/>
    </row>
    <row r="18" spans="1:40" ht="8.25" customHeight="1" x14ac:dyDescent="0.25">
      <c r="A18" s="15"/>
      <c r="B18" s="31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7"/>
      <c r="AA18" s="13"/>
      <c r="AE18" s="30"/>
      <c r="AI18" s="30"/>
    </row>
    <row r="19" spans="1:40" ht="15.9" customHeight="1" x14ac:dyDescent="0.25">
      <c r="A19" s="15"/>
      <c r="B19" s="385" t="s">
        <v>25</v>
      </c>
      <c r="C19" s="385"/>
      <c r="D19" s="385"/>
      <c r="E19" s="385"/>
      <c r="F19" s="385"/>
      <c r="G19" s="385"/>
      <c r="H19" s="385"/>
      <c r="I19" s="453"/>
      <c r="J19" s="453"/>
      <c r="K19" s="453"/>
      <c r="L19" s="453"/>
      <c r="M19" s="453"/>
      <c r="N19" s="453"/>
      <c r="O19" s="453"/>
      <c r="P19" s="453"/>
      <c r="Q19" s="453"/>
      <c r="R19" s="453"/>
      <c r="S19" s="453"/>
      <c r="T19" s="453"/>
      <c r="U19" s="453"/>
      <c r="V19" s="453"/>
      <c r="W19" s="453"/>
      <c r="X19" s="453"/>
      <c r="Y19" s="453"/>
      <c r="Z19" s="18"/>
      <c r="AA19" s="19"/>
      <c r="AE19" s="30"/>
      <c r="AI19" s="30"/>
    </row>
    <row r="20" spans="1:40" ht="15.9" customHeight="1" x14ac:dyDescent="0.25">
      <c r="A20" s="15"/>
      <c r="B20" s="385" t="s">
        <v>26</v>
      </c>
      <c r="C20" s="385"/>
      <c r="D20" s="385"/>
      <c r="E20" s="385"/>
      <c r="F20" s="385"/>
      <c r="G20" s="385"/>
      <c r="H20" s="385"/>
      <c r="I20" s="454"/>
      <c r="J20" s="454"/>
      <c r="K20" s="454"/>
      <c r="L20" s="454"/>
      <c r="M20" s="454"/>
      <c r="N20" s="454"/>
      <c r="O20" s="454"/>
      <c r="P20" s="454"/>
      <c r="Q20" s="454"/>
      <c r="R20" s="454"/>
      <c r="S20" s="454"/>
      <c r="T20" s="454"/>
      <c r="U20" s="454"/>
      <c r="V20" s="454"/>
      <c r="W20" s="454"/>
      <c r="X20" s="454"/>
      <c r="Y20" s="454"/>
      <c r="Z20" s="18"/>
      <c r="AA20" s="19"/>
      <c r="AE20" s="30"/>
      <c r="AI20" s="30"/>
    </row>
    <row r="21" spans="1:40" ht="7.5" customHeight="1" x14ac:dyDescent="0.2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32"/>
      <c r="AA21" s="13"/>
      <c r="AE21" s="30"/>
      <c r="AI21" s="30"/>
    </row>
    <row r="22" spans="1:40" ht="5.25" customHeight="1" x14ac:dyDescent="0.25">
      <c r="F22" s="28"/>
      <c r="G22" s="28"/>
      <c r="H22" s="28"/>
      <c r="I22" s="28"/>
      <c r="J22" s="28"/>
      <c r="K22" s="28"/>
      <c r="L22" s="28"/>
      <c r="M22" s="28"/>
      <c r="T22" s="29"/>
      <c r="U22" s="29"/>
      <c r="AE22" s="30"/>
      <c r="AI22" s="30"/>
      <c r="AM22" s="14"/>
      <c r="AN22" s="14"/>
    </row>
    <row r="23" spans="1:40" ht="15.9" customHeight="1" x14ac:dyDescent="0.25">
      <c r="A23" s="33" t="s">
        <v>23</v>
      </c>
      <c r="B23" s="34" t="s">
        <v>27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39"/>
      <c r="AN23" s="40"/>
    </row>
    <row r="24" spans="1:40" ht="9" customHeight="1" x14ac:dyDescent="0.25">
      <c r="A24" s="21"/>
      <c r="Z24" s="41"/>
    </row>
    <row r="25" spans="1:40" ht="9" customHeight="1" x14ac:dyDescent="0.25">
      <c r="A25" s="21"/>
      <c r="Z25" s="41"/>
    </row>
    <row r="26" spans="1:40" ht="9" customHeight="1" x14ac:dyDescent="0.25">
      <c r="A26" s="21"/>
      <c r="Z26" s="41"/>
    </row>
    <row r="27" spans="1:40" ht="12.75" customHeight="1" x14ac:dyDescent="0.25">
      <c r="A27" s="21"/>
      <c r="Z27" s="41"/>
    </row>
    <row r="28" spans="1:40" ht="12.75" customHeight="1" x14ac:dyDescent="0.25">
      <c r="A28" s="21"/>
      <c r="Z28" s="41"/>
    </row>
    <row r="29" spans="1:40" ht="12.75" customHeight="1" x14ac:dyDescent="0.25">
      <c r="A29" s="21"/>
      <c r="Z29" s="41"/>
    </row>
    <row r="30" spans="1:40" ht="12.75" customHeight="1" x14ac:dyDescent="0.25">
      <c r="A30" s="21"/>
      <c r="Z30" s="41"/>
    </row>
    <row r="31" spans="1:40" ht="12.75" customHeight="1" x14ac:dyDescent="0.25">
      <c r="A31" s="21"/>
      <c r="Z31" s="41"/>
    </row>
    <row r="32" spans="1:40" ht="12.75" customHeight="1" x14ac:dyDescent="0.25">
      <c r="A32" s="21"/>
      <c r="Z32" s="41"/>
    </row>
    <row r="33" spans="1:26" ht="12.75" customHeight="1" x14ac:dyDescent="0.25">
      <c r="A33" s="21"/>
      <c r="Z33" s="41"/>
    </row>
    <row r="34" spans="1:26" ht="12.75" customHeight="1" x14ac:dyDescent="0.25">
      <c r="A34" s="21"/>
      <c r="Z34" s="41"/>
    </row>
    <row r="35" spans="1:26" ht="12.75" customHeight="1" x14ac:dyDescent="0.25">
      <c r="A35" s="21"/>
      <c r="Z35" s="41"/>
    </row>
    <row r="36" spans="1:26" ht="12.75" customHeight="1" x14ac:dyDescent="0.25">
      <c r="A36" s="21"/>
      <c r="Z36" s="41"/>
    </row>
    <row r="37" spans="1:26" ht="12.75" customHeight="1" x14ac:dyDescent="0.25">
      <c r="A37" s="21"/>
      <c r="Z37" s="41"/>
    </row>
    <row r="38" spans="1:26" ht="12.75" customHeight="1" x14ac:dyDescent="0.25">
      <c r="A38" s="21"/>
      <c r="Z38" s="41"/>
    </row>
    <row r="39" spans="1:26" ht="12.75" customHeight="1" x14ac:dyDescent="0.25">
      <c r="A39" s="21"/>
      <c r="Z39" s="41"/>
    </row>
    <row r="40" spans="1:26" ht="12.75" customHeight="1" x14ac:dyDescent="0.25">
      <c r="A40" s="21"/>
      <c r="Z40" s="41"/>
    </row>
    <row r="41" spans="1:26" ht="12.75" customHeight="1" x14ac:dyDescent="0.25">
      <c r="A41" s="21"/>
      <c r="Z41" s="41"/>
    </row>
    <row r="42" spans="1:26" ht="12.75" customHeight="1" x14ac:dyDescent="0.25">
      <c r="A42" s="21"/>
      <c r="Z42" s="41"/>
    </row>
    <row r="43" spans="1:26" ht="12.75" customHeight="1" x14ac:dyDescent="0.25">
      <c r="A43" s="21"/>
      <c r="Z43" s="41"/>
    </row>
    <row r="44" spans="1:26" ht="12.75" customHeight="1" x14ac:dyDescent="0.25">
      <c r="A44" s="21"/>
      <c r="Z44" s="41"/>
    </row>
    <row r="45" spans="1:26" ht="12.75" customHeight="1" x14ac:dyDescent="0.25">
      <c r="A45" s="21"/>
      <c r="Z45" s="41"/>
    </row>
    <row r="46" spans="1:26" ht="12.75" customHeight="1" x14ac:dyDescent="0.25">
      <c r="A46" s="21"/>
      <c r="Z46" s="41"/>
    </row>
    <row r="47" spans="1:26" ht="12.75" customHeight="1" x14ac:dyDescent="0.25">
      <c r="A47" s="21"/>
      <c r="Z47" s="41"/>
    </row>
    <row r="48" spans="1:26" ht="12.75" customHeight="1" x14ac:dyDescent="0.25">
      <c r="A48" s="21"/>
      <c r="Z48" s="41"/>
    </row>
    <row r="49" spans="1:34" ht="12.75" customHeight="1" x14ac:dyDescent="0.25">
      <c r="A49" s="21"/>
      <c r="Z49" s="41"/>
    </row>
    <row r="50" spans="1:34" ht="9.75" customHeight="1" thickBot="1" x14ac:dyDescent="0.3">
      <c r="A50" s="21"/>
      <c r="Z50" s="41"/>
    </row>
    <row r="51" spans="1:34" ht="9.75" customHeight="1" x14ac:dyDescent="0.25">
      <c r="A51" s="21"/>
      <c r="Z51" s="41"/>
      <c r="AD51" s="378" t="s">
        <v>28</v>
      </c>
      <c r="AE51" s="380">
        <v>2.68</v>
      </c>
      <c r="AF51" s="455"/>
      <c r="AG51" s="457"/>
      <c r="AH51" s="42"/>
    </row>
    <row r="52" spans="1:34" ht="12.75" customHeight="1" thickBot="1" x14ac:dyDescent="0.3">
      <c r="A52" s="21"/>
      <c r="Z52" s="43"/>
      <c r="AD52" s="379"/>
      <c r="AE52" s="381"/>
      <c r="AF52" s="456"/>
      <c r="AG52" s="457"/>
    </row>
    <row r="53" spans="1:34" ht="18.75" customHeight="1" thickBot="1" x14ac:dyDescent="0.3">
      <c r="A53" s="21"/>
      <c r="E53" s="458" t="s">
        <v>29</v>
      </c>
      <c r="F53" s="459"/>
      <c r="G53" s="459"/>
      <c r="H53" s="459"/>
      <c r="I53" s="459"/>
      <c r="J53" s="459"/>
      <c r="K53" s="459"/>
      <c r="L53" s="459"/>
      <c r="M53" s="459"/>
      <c r="N53" s="459"/>
      <c r="O53" s="459"/>
      <c r="P53" s="459"/>
      <c r="Q53" s="459"/>
      <c r="R53" s="459"/>
      <c r="S53" s="459"/>
      <c r="T53" s="459"/>
      <c r="U53" s="460" t="s">
        <v>30</v>
      </c>
      <c r="V53" s="461"/>
      <c r="W53" s="464" t="s">
        <v>31</v>
      </c>
      <c r="X53" s="461"/>
      <c r="Y53" s="466" t="s">
        <v>32</v>
      </c>
      <c r="Z53" s="467"/>
      <c r="AA53" s="44"/>
      <c r="AB53" s="369" t="s">
        <v>33</v>
      </c>
      <c r="AC53" s="370"/>
      <c r="AD53" s="373" t="s">
        <v>34</v>
      </c>
      <c r="AE53" s="375" t="s">
        <v>35</v>
      </c>
      <c r="AF53" s="455"/>
      <c r="AG53" s="455"/>
      <c r="AH53" s="45"/>
    </row>
    <row r="54" spans="1:34" ht="24.9" customHeight="1" thickBot="1" x14ac:dyDescent="0.3">
      <c r="A54" s="46"/>
      <c r="B54" s="47" t="s">
        <v>36</v>
      </c>
      <c r="C54" s="471" t="s">
        <v>37</v>
      </c>
      <c r="D54" s="472"/>
      <c r="E54" s="48">
        <v>6.3E-2</v>
      </c>
      <c r="F54" s="48">
        <v>0.125</v>
      </c>
      <c r="G54" s="49">
        <v>0.25</v>
      </c>
      <c r="H54" s="49">
        <v>0.5</v>
      </c>
      <c r="I54" s="49">
        <v>1</v>
      </c>
      <c r="J54" s="49">
        <v>2</v>
      </c>
      <c r="K54" s="49">
        <v>4</v>
      </c>
      <c r="L54" s="49">
        <v>6.3</v>
      </c>
      <c r="M54" s="49">
        <v>8</v>
      </c>
      <c r="N54" s="49">
        <v>10</v>
      </c>
      <c r="O54" s="49">
        <v>12.5</v>
      </c>
      <c r="P54" s="49">
        <v>14</v>
      </c>
      <c r="Q54" s="50">
        <v>16</v>
      </c>
      <c r="R54" s="50">
        <v>20</v>
      </c>
      <c r="S54" s="49"/>
      <c r="T54" s="50"/>
      <c r="U54" s="462"/>
      <c r="V54" s="463"/>
      <c r="W54" s="465"/>
      <c r="X54" s="463"/>
      <c r="Y54" s="468"/>
      <c r="Z54" s="469"/>
      <c r="AA54" s="44"/>
      <c r="AB54" s="371"/>
      <c r="AC54" s="372"/>
      <c r="AD54" s="374"/>
      <c r="AE54" s="376"/>
      <c r="AF54" s="470"/>
      <c r="AG54" s="455"/>
    </row>
    <row r="55" spans="1:34" ht="24.9" customHeight="1" x14ac:dyDescent="0.25">
      <c r="A55" s="46"/>
      <c r="B55" s="51">
        <v>1</v>
      </c>
      <c r="C55" s="569" t="s">
        <v>81</v>
      </c>
      <c r="D55" s="570"/>
      <c r="E55" s="237">
        <v>8.4</v>
      </c>
      <c r="F55" s="238">
        <v>10.8</v>
      </c>
      <c r="G55" s="239">
        <v>14</v>
      </c>
      <c r="H55" s="239">
        <v>18</v>
      </c>
      <c r="I55" s="239">
        <v>23.7</v>
      </c>
      <c r="J55" s="239">
        <v>34</v>
      </c>
      <c r="K55" s="239">
        <v>49.6</v>
      </c>
      <c r="L55" s="239">
        <v>63.7</v>
      </c>
      <c r="M55" s="239">
        <v>72.7</v>
      </c>
      <c r="N55" s="239">
        <v>82.2</v>
      </c>
      <c r="O55" s="239">
        <v>90.2</v>
      </c>
      <c r="P55" s="239">
        <v>94.9</v>
      </c>
      <c r="Q55" s="241">
        <v>100</v>
      </c>
      <c r="R55" s="239"/>
      <c r="S55" s="240"/>
      <c r="T55" s="240"/>
      <c r="U55" s="565">
        <v>165</v>
      </c>
      <c r="V55" s="566"/>
      <c r="W55" s="567">
        <v>4.37</v>
      </c>
      <c r="X55" s="568"/>
      <c r="Y55" s="479">
        <f>IF(W55&lt;&gt;0,AE55,"")</f>
        <v>2.6733945464814886</v>
      </c>
      <c r="Z55" s="480"/>
      <c r="AA55" s="52"/>
      <c r="AB55" s="326">
        <f>(100*W55)/(100-W55)</f>
        <v>4.5696957021855065</v>
      </c>
      <c r="AC55" s="327"/>
      <c r="AD55" s="53">
        <f>(0.25*(100-O55)+2.3*(O55-H55)+12*(H55-E55)+150*(E55))/100</f>
        <v>15.437100000000001</v>
      </c>
      <c r="AE55" s="54">
        <f>(AB55*$AE$51)/(2.65*(AD55)^(1/5))</f>
        <v>2.6733945464814886</v>
      </c>
      <c r="AF55" s="28"/>
      <c r="AG55" s="55"/>
    </row>
    <row r="56" spans="1:34" ht="24.9" customHeight="1" x14ac:dyDescent="0.25">
      <c r="A56" s="46"/>
      <c r="B56" s="56">
        <v>2</v>
      </c>
      <c r="C56" s="571"/>
      <c r="D56" s="572"/>
      <c r="E56" s="120"/>
      <c r="F56" s="121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4"/>
      <c r="R56" s="122"/>
      <c r="S56" s="123"/>
      <c r="T56" s="123"/>
      <c r="U56" s="349"/>
      <c r="V56" s="350"/>
      <c r="W56" s="351"/>
      <c r="X56" s="352"/>
      <c r="Y56" s="498" t="str">
        <f>IF(W56&lt;&gt;0,AE56,"")</f>
        <v/>
      </c>
      <c r="Z56" s="499"/>
      <c r="AA56" s="52"/>
      <c r="AB56" s="326">
        <f>(100*W56)/(100-W56)</f>
        <v>0</v>
      </c>
      <c r="AC56" s="327"/>
      <c r="AD56" s="53">
        <f t="shared" ref="AD56:AD62" si="0">(0.25*(100-O56)+2.3*(O56-H56)+12*(H56-E56)+150*(E56))/100</f>
        <v>0.25</v>
      </c>
      <c r="AE56" s="54">
        <f t="shared" ref="AE56:AE62" si="1">(AB56*$AE$51)/(2.65*(AD56)^(1/5))</f>
        <v>0</v>
      </c>
      <c r="AF56" s="28"/>
      <c r="AG56" s="55"/>
    </row>
    <row r="57" spans="1:34" ht="24.9" customHeight="1" x14ac:dyDescent="0.25">
      <c r="A57" s="46"/>
      <c r="B57" s="56">
        <v>3</v>
      </c>
      <c r="C57" s="500"/>
      <c r="D57" s="501"/>
      <c r="E57" s="57"/>
      <c r="F57" s="58"/>
      <c r="G57" s="58"/>
      <c r="H57" s="59"/>
      <c r="I57" s="59"/>
      <c r="J57" s="59"/>
      <c r="K57" s="59"/>
      <c r="L57" s="59"/>
      <c r="M57" s="59"/>
      <c r="N57" s="59"/>
      <c r="O57" s="60"/>
      <c r="P57" s="59"/>
      <c r="Q57" s="60"/>
      <c r="R57" s="59"/>
      <c r="S57" s="59"/>
      <c r="T57" s="61"/>
      <c r="U57" s="502"/>
      <c r="V57" s="503"/>
      <c r="W57" s="504"/>
      <c r="X57" s="505"/>
      <c r="Y57" s="498" t="str">
        <f t="shared" ref="Y57:Y58" si="2">IF(W57&lt;&gt;0,AE57,"")</f>
        <v/>
      </c>
      <c r="Z57" s="499"/>
      <c r="AA57" s="52"/>
      <c r="AB57" s="326">
        <f>(100*W57)/(100-W57)</f>
        <v>0</v>
      </c>
      <c r="AC57" s="327"/>
      <c r="AD57" s="53">
        <f t="shared" si="0"/>
        <v>0.25</v>
      </c>
      <c r="AE57" s="54">
        <f t="shared" si="1"/>
        <v>0</v>
      </c>
      <c r="AF57" s="28"/>
      <c r="AG57" s="55"/>
    </row>
    <row r="58" spans="1:34" ht="24.9" customHeight="1" thickBot="1" x14ac:dyDescent="0.3">
      <c r="A58" s="46"/>
      <c r="B58" s="62">
        <v>4</v>
      </c>
      <c r="C58" s="481"/>
      <c r="D58" s="482"/>
      <c r="E58" s="63"/>
      <c r="F58" s="64"/>
      <c r="G58" s="64"/>
      <c r="H58" s="65"/>
      <c r="I58" s="65"/>
      <c r="J58" s="65"/>
      <c r="K58" s="65"/>
      <c r="L58" s="65"/>
      <c r="M58" s="65"/>
      <c r="N58" s="65"/>
      <c r="O58" s="66"/>
      <c r="P58" s="65"/>
      <c r="Q58" s="66"/>
      <c r="R58" s="65"/>
      <c r="S58" s="65"/>
      <c r="T58" s="67"/>
      <c r="U58" s="483"/>
      <c r="V58" s="484"/>
      <c r="W58" s="485"/>
      <c r="X58" s="486"/>
      <c r="Y58" s="487" t="str">
        <f t="shared" si="2"/>
        <v/>
      </c>
      <c r="Z58" s="488"/>
      <c r="AA58" s="52"/>
      <c r="AB58" s="326">
        <f>(100*W58)/(100-W58)</f>
        <v>0</v>
      </c>
      <c r="AC58" s="327"/>
      <c r="AD58" s="53">
        <f t="shared" si="0"/>
        <v>0.25</v>
      </c>
      <c r="AE58" s="54">
        <f t="shared" si="1"/>
        <v>0</v>
      </c>
      <c r="AF58" s="28"/>
      <c r="AG58" s="55"/>
    </row>
    <row r="59" spans="1:34" ht="10.5" customHeight="1" thickBot="1" x14ac:dyDescent="0.3">
      <c r="A59" s="46"/>
      <c r="B59" s="2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9"/>
      <c r="P59" s="68"/>
      <c r="Q59" s="69"/>
      <c r="R59" s="68"/>
      <c r="S59" s="68"/>
      <c r="T59" s="68"/>
      <c r="U59" s="68"/>
      <c r="V59" s="68"/>
      <c r="W59" s="70"/>
      <c r="Z59" s="71"/>
      <c r="AB59" s="72"/>
      <c r="AC59" s="73"/>
      <c r="AD59" s="53"/>
      <c r="AE59" s="54"/>
      <c r="AF59" s="28"/>
      <c r="AG59" s="55"/>
    </row>
    <row r="60" spans="1:34" ht="24.75" hidden="1" customHeight="1" x14ac:dyDescent="0.25">
      <c r="A60" s="46"/>
      <c r="B60" s="489" t="s">
        <v>38</v>
      </c>
      <c r="C60" s="490"/>
      <c r="D60" s="491"/>
      <c r="E60" s="74"/>
      <c r="F60" s="74"/>
      <c r="G60" s="74"/>
      <c r="H60" s="74"/>
      <c r="I60" s="74"/>
      <c r="J60" s="74"/>
      <c r="K60" s="74"/>
      <c r="L60" s="74"/>
      <c r="M60" s="74">
        <v>10</v>
      </c>
      <c r="N60" s="74">
        <v>10</v>
      </c>
      <c r="O60" s="75"/>
      <c r="P60" s="74"/>
      <c r="Q60" s="75">
        <v>50</v>
      </c>
      <c r="R60" s="74"/>
      <c r="S60" s="74">
        <v>70</v>
      </c>
      <c r="T60" s="74"/>
      <c r="U60" s="74"/>
      <c r="V60" s="74"/>
      <c r="W60" s="74"/>
      <c r="X60" s="76"/>
      <c r="Y60" s="77">
        <v>4.5</v>
      </c>
      <c r="Z60" s="77"/>
      <c r="AA60" s="28"/>
      <c r="AB60" s="72"/>
      <c r="AC60" s="73"/>
      <c r="AD60" s="53">
        <f t="shared" si="0"/>
        <v>0.25</v>
      </c>
      <c r="AE60" s="54">
        <f t="shared" si="1"/>
        <v>0</v>
      </c>
      <c r="AF60" s="28"/>
      <c r="AG60" s="55"/>
    </row>
    <row r="61" spans="1:34" ht="18.75" customHeight="1" x14ac:dyDescent="0.25">
      <c r="A61" s="46"/>
      <c r="B61" s="506" t="s">
        <v>39</v>
      </c>
      <c r="C61" s="507"/>
      <c r="D61" s="508"/>
      <c r="E61" s="78">
        <f>IF(E55&lt;&gt;0,AVERAGE(E55:E58),"")</f>
        <v>8.4</v>
      </c>
      <c r="F61" s="78">
        <f t="shared" ref="F61:L61" si="3">IF(F55&lt;&gt;0,AVERAGE(F55:F58),"")</f>
        <v>10.8</v>
      </c>
      <c r="G61" s="78">
        <f t="shared" si="3"/>
        <v>14</v>
      </c>
      <c r="H61" s="78">
        <f t="shared" si="3"/>
        <v>18</v>
      </c>
      <c r="I61" s="78">
        <f t="shared" si="3"/>
        <v>23.7</v>
      </c>
      <c r="J61" s="78">
        <f t="shared" si="3"/>
        <v>34</v>
      </c>
      <c r="K61" s="78">
        <f t="shared" si="3"/>
        <v>49.6</v>
      </c>
      <c r="L61" s="78">
        <f t="shared" si="3"/>
        <v>63.7</v>
      </c>
      <c r="M61" s="78">
        <f>IF(M55&lt;&gt;0,AVERAGE(M55:M58),"")</f>
        <v>72.7</v>
      </c>
      <c r="N61" s="78">
        <f>IF(N55&lt;&gt;0,AVERAGE(N55:N58),"")</f>
        <v>82.2</v>
      </c>
      <c r="O61" s="79">
        <f>IF(O55&lt;&gt;0,AVERAGE(O55:O58),"")</f>
        <v>90.2</v>
      </c>
      <c r="P61" s="79">
        <f t="shared" ref="P61:Q61" si="4">IF(P55&lt;&gt;0,AVERAGE(P55:P58),"")</f>
        <v>94.9</v>
      </c>
      <c r="Q61" s="79">
        <f t="shared" si="4"/>
        <v>100</v>
      </c>
      <c r="R61" s="78"/>
      <c r="S61" s="78" t="str">
        <f t="shared" ref="S61:T61" si="5">IF(S55&lt;&gt;0,AVERAGE(S55:S58),"")</f>
        <v/>
      </c>
      <c r="T61" s="80" t="str">
        <f t="shared" si="5"/>
        <v/>
      </c>
      <c r="U61" s="509">
        <f>IF(U55&lt;&gt;0,AVERAGE(U55:V58),"")</f>
        <v>165</v>
      </c>
      <c r="V61" s="510"/>
      <c r="W61" s="511">
        <f>IF(W55&lt;&gt;0,AVERAGE(W55:X58),"")</f>
        <v>4.37</v>
      </c>
      <c r="X61" s="512"/>
      <c r="Y61" s="513">
        <f>IF(W55&lt;&gt;0,AVERAGE(Y55:Z58),"")</f>
        <v>2.6733945464814886</v>
      </c>
      <c r="Z61" s="514"/>
      <c r="AA61" s="55"/>
      <c r="AB61" s="326">
        <f>(100*W61)/(100-W61)</f>
        <v>4.5696957021855065</v>
      </c>
      <c r="AC61" s="327"/>
      <c r="AD61" s="53">
        <f t="shared" si="0"/>
        <v>15.437100000000001</v>
      </c>
      <c r="AE61" s="54">
        <f t="shared" si="1"/>
        <v>2.6733945464814886</v>
      </c>
      <c r="AF61" s="28"/>
      <c r="AG61" s="55"/>
    </row>
    <row r="62" spans="1:34" ht="21" customHeight="1" x14ac:dyDescent="0.25">
      <c r="A62" s="46"/>
      <c r="B62" s="515" t="s">
        <v>40</v>
      </c>
      <c r="C62" s="516"/>
      <c r="D62" s="517"/>
      <c r="E62" s="81">
        <v>6.5</v>
      </c>
      <c r="F62" s="81">
        <v>9</v>
      </c>
      <c r="G62" s="81">
        <v>12</v>
      </c>
      <c r="H62" s="81">
        <v>16</v>
      </c>
      <c r="I62" s="81">
        <v>22</v>
      </c>
      <c r="J62" s="81">
        <v>32</v>
      </c>
      <c r="K62" s="81">
        <v>47</v>
      </c>
      <c r="L62" s="81">
        <v>59</v>
      </c>
      <c r="M62" s="81">
        <v>65</v>
      </c>
      <c r="N62" s="81">
        <v>74</v>
      </c>
      <c r="O62" s="81">
        <v>90</v>
      </c>
      <c r="P62" s="81">
        <v>97</v>
      </c>
      <c r="Q62" s="82">
        <v>100</v>
      </c>
      <c r="R62" s="81"/>
      <c r="S62" s="81"/>
      <c r="T62" s="83"/>
      <c r="U62" s="518"/>
      <c r="V62" s="519"/>
      <c r="W62" s="520">
        <v>4.3</v>
      </c>
      <c r="X62" s="521"/>
      <c r="Y62" s="522">
        <f>AE62</f>
        <v>2.7368703035010422</v>
      </c>
      <c r="Z62" s="523"/>
      <c r="AA62" s="55"/>
      <c r="AB62" s="326">
        <f>(100*W62)/(100-W62)</f>
        <v>4.4932079414838038</v>
      </c>
      <c r="AC62" s="327"/>
      <c r="AD62" s="53">
        <f t="shared" si="0"/>
        <v>12.617000000000001</v>
      </c>
      <c r="AE62" s="54">
        <f t="shared" si="1"/>
        <v>2.7368703035010422</v>
      </c>
      <c r="AF62" s="28"/>
      <c r="AG62" s="55"/>
    </row>
    <row r="63" spans="1:34" ht="13.5" customHeight="1" x14ac:dyDescent="0.25">
      <c r="A63" s="46"/>
      <c r="B63" s="84"/>
      <c r="C63" s="85" t="s">
        <v>41</v>
      </c>
      <c r="D63" s="86"/>
      <c r="E63" s="59">
        <f>E62+2</f>
        <v>8.5</v>
      </c>
      <c r="F63" s="59"/>
      <c r="G63" s="59"/>
      <c r="H63" s="59"/>
      <c r="I63" s="59"/>
      <c r="J63" s="59">
        <f>J62+6</f>
        <v>38</v>
      </c>
      <c r="K63" s="59"/>
      <c r="L63" s="59">
        <f>L62+7</f>
        <v>66</v>
      </c>
      <c r="M63" s="59"/>
      <c r="N63" s="59"/>
      <c r="O63" s="59"/>
      <c r="P63" s="59"/>
      <c r="Q63" s="60"/>
      <c r="R63" s="59"/>
      <c r="S63" s="59"/>
      <c r="T63" s="61"/>
      <c r="U63" s="502"/>
      <c r="V63" s="503"/>
      <c r="W63" s="524">
        <f>W62+0.5</f>
        <v>4.8</v>
      </c>
      <c r="X63" s="503"/>
      <c r="Y63" s="500"/>
      <c r="Z63" s="525"/>
      <c r="AA63" s="87"/>
      <c r="AB63" s="88"/>
      <c r="AC63" s="89"/>
      <c r="AD63" s="306"/>
      <c r="AE63" s="308" t="s">
        <v>42</v>
      </c>
      <c r="AF63" s="28"/>
      <c r="AG63" s="55"/>
    </row>
    <row r="64" spans="1:34" ht="13.5" customHeight="1" thickBot="1" x14ac:dyDescent="0.3">
      <c r="A64" s="46"/>
      <c r="B64" s="462" t="s">
        <v>43</v>
      </c>
      <c r="C64" s="465"/>
      <c r="D64" s="463"/>
      <c r="E64" s="90">
        <f>E62-2</f>
        <v>4.5</v>
      </c>
      <c r="F64" s="90"/>
      <c r="G64" s="91"/>
      <c r="H64" s="91"/>
      <c r="I64" s="91"/>
      <c r="J64" s="90">
        <f>J62-6</f>
        <v>26</v>
      </c>
      <c r="K64" s="91"/>
      <c r="L64" s="90">
        <f>L62-7</f>
        <v>52</v>
      </c>
      <c r="M64" s="90"/>
      <c r="N64" s="91"/>
      <c r="O64" s="91"/>
      <c r="P64" s="91"/>
      <c r="Q64" s="90"/>
      <c r="R64" s="91"/>
      <c r="S64" s="91"/>
      <c r="T64" s="92"/>
      <c r="U64" s="526"/>
      <c r="V64" s="527"/>
      <c r="W64" s="528">
        <f>W62-0.5</f>
        <v>3.8</v>
      </c>
      <c r="X64" s="527"/>
      <c r="Y64" s="481"/>
      <c r="Z64" s="529"/>
      <c r="AA64" s="93"/>
      <c r="AB64" s="94"/>
      <c r="AC64" s="95"/>
      <c r="AD64" s="307"/>
      <c r="AE64" s="309"/>
      <c r="AF64" s="28"/>
      <c r="AG64" s="55"/>
    </row>
    <row r="65" spans="1:30" ht="6.75" customHeight="1" x14ac:dyDescent="0.25">
      <c r="A65" s="23"/>
      <c r="B65" s="24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96"/>
    </row>
    <row r="66" spans="1:30" ht="8.25" customHeight="1" x14ac:dyDescent="0.25"/>
    <row r="67" spans="1:30" ht="34.5" customHeight="1" x14ac:dyDescent="0.25">
      <c r="A67" s="97" t="s">
        <v>44</v>
      </c>
      <c r="B67" s="98" t="s">
        <v>45</v>
      </c>
      <c r="C67" s="99"/>
      <c r="D67" s="99"/>
      <c r="E67" s="99"/>
      <c r="F67" s="100"/>
      <c r="G67" s="100"/>
      <c r="H67" s="100"/>
      <c r="I67" s="10"/>
      <c r="J67" s="10"/>
      <c r="K67" s="10"/>
      <c r="L67" s="10"/>
      <c r="M67" s="10"/>
      <c r="N67" s="10"/>
      <c r="O67" s="10"/>
      <c r="P67" s="10"/>
      <c r="Q67" s="100"/>
      <c r="R67" s="10"/>
      <c r="S67" s="10"/>
      <c r="T67" s="10"/>
      <c r="U67" s="543"/>
      <c r="V67" s="543"/>
      <c r="W67" s="543"/>
      <c r="X67" s="543"/>
      <c r="Y67" s="543"/>
      <c r="Z67" s="544"/>
      <c r="AA67" s="101"/>
      <c r="AB67" s="102"/>
      <c r="AC67" s="102"/>
      <c r="AD67" s="103"/>
    </row>
    <row r="68" spans="1:30" ht="27" customHeight="1" x14ac:dyDescent="0.25">
      <c r="A68" s="545" t="s">
        <v>46</v>
      </c>
      <c r="B68" s="546"/>
      <c r="C68" s="546"/>
      <c r="D68" s="546"/>
      <c r="E68" s="546"/>
      <c r="F68" s="546"/>
      <c r="G68" s="546"/>
      <c r="H68" s="546"/>
      <c r="I68" s="546"/>
      <c r="J68" s="546"/>
      <c r="K68" s="546"/>
      <c r="L68" s="546"/>
      <c r="M68" s="546"/>
      <c r="N68" s="546"/>
      <c r="O68" s="546"/>
      <c r="P68" s="546"/>
      <c r="Q68" s="547"/>
      <c r="R68" s="536" t="s">
        <v>47</v>
      </c>
      <c r="S68" s="537"/>
      <c r="T68" s="538"/>
      <c r="U68" s="275" t="s">
        <v>76</v>
      </c>
      <c r="V68" s="276"/>
      <c r="W68" s="276"/>
      <c r="X68" s="277"/>
      <c r="Y68" s="277"/>
      <c r="Z68" s="278"/>
      <c r="AA68" s="104"/>
      <c r="AB68" s="105"/>
      <c r="AC68" s="105"/>
      <c r="AD68" s="103"/>
    </row>
    <row r="69" spans="1:30" ht="15.75" customHeight="1" x14ac:dyDescent="0.25">
      <c r="A69" s="548" t="s">
        <v>48</v>
      </c>
      <c r="B69" s="549"/>
      <c r="C69" s="549"/>
      <c r="D69" s="549"/>
      <c r="E69" s="549"/>
      <c r="F69" s="549"/>
      <c r="G69" s="549"/>
      <c r="H69" s="549"/>
      <c r="I69" s="549"/>
      <c r="J69" s="549"/>
      <c r="K69" s="549"/>
      <c r="L69" s="549"/>
      <c r="M69" s="549"/>
      <c r="N69" s="549"/>
      <c r="O69" s="549"/>
      <c r="P69" s="549"/>
      <c r="Q69" s="550"/>
      <c r="R69" s="536" t="s">
        <v>49</v>
      </c>
      <c r="S69" s="537"/>
      <c r="T69" s="538"/>
      <c r="U69" s="554" t="s">
        <v>77</v>
      </c>
      <c r="V69" s="555"/>
      <c r="W69" s="555"/>
      <c r="X69" s="555"/>
      <c r="Y69" s="555"/>
      <c r="Z69" s="556"/>
      <c r="AA69" s="104"/>
      <c r="AB69" s="105"/>
      <c r="AC69" s="105"/>
      <c r="AD69" s="103"/>
    </row>
    <row r="70" spans="1:30" ht="9" customHeight="1" x14ac:dyDescent="0.25">
      <c r="A70" s="548"/>
      <c r="B70" s="549"/>
      <c r="C70" s="549"/>
      <c r="D70" s="549"/>
      <c r="E70" s="549"/>
      <c r="F70" s="549"/>
      <c r="G70" s="549"/>
      <c r="H70" s="549"/>
      <c r="I70" s="549"/>
      <c r="J70" s="549"/>
      <c r="K70" s="549"/>
      <c r="L70" s="549"/>
      <c r="M70" s="549"/>
      <c r="N70" s="549"/>
      <c r="O70" s="549"/>
      <c r="P70" s="549"/>
      <c r="Q70" s="550"/>
      <c r="R70" s="536"/>
      <c r="S70" s="537"/>
      <c r="T70" s="538"/>
      <c r="U70" s="557"/>
      <c r="V70" s="454"/>
      <c r="W70" s="454"/>
      <c r="X70" s="454"/>
      <c r="Y70" s="454"/>
      <c r="Z70" s="558"/>
      <c r="AA70" s="104"/>
      <c r="AB70" s="105"/>
      <c r="AC70" s="105"/>
      <c r="AD70" s="103"/>
    </row>
    <row r="71" spans="1:30" ht="15.9" customHeight="1" x14ac:dyDescent="0.25">
      <c r="A71" s="551"/>
      <c r="B71" s="552"/>
      <c r="C71" s="552"/>
      <c r="D71" s="552"/>
      <c r="E71" s="552"/>
      <c r="F71" s="552"/>
      <c r="G71" s="552"/>
      <c r="H71" s="552"/>
      <c r="I71" s="552"/>
      <c r="J71" s="552"/>
      <c r="K71" s="552"/>
      <c r="L71" s="552"/>
      <c r="M71" s="552"/>
      <c r="N71" s="552"/>
      <c r="O71" s="552"/>
      <c r="P71" s="552"/>
      <c r="Q71" s="553"/>
      <c r="R71" s="536"/>
      <c r="S71" s="537"/>
      <c r="T71" s="538"/>
      <c r="U71" s="557"/>
      <c r="V71" s="454"/>
      <c r="W71" s="454"/>
      <c r="X71" s="454"/>
      <c r="Y71" s="454"/>
      <c r="Z71" s="558"/>
      <c r="AA71" s="104"/>
      <c r="AB71" s="105"/>
      <c r="AC71" s="105"/>
      <c r="AD71" s="103"/>
    </row>
    <row r="72" spans="1:30" ht="15.9" customHeight="1" x14ac:dyDescent="0.25">
      <c r="A72" s="106" t="s">
        <v>50</v>
      </c>
      <c r="B72" s="107" t="s">
        <v>51</v>
      </c>
      <c r="C72" s="13"/>
      <c r="D72" s="13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9"/>
      <c r="R72" s="536"/>
      <c r="S72" s="537"/>
      <c r="T72" s="538"/>
      <c r="U72" s="559"/>
      <c r="V72" s="560"/>
      <c r="W72" s="560"/>
      <c r="X72" s="560"/>
      <c r="Y72" s="560"/>
      <c r="Z72" s="561"/>
      <c r="AA72" s="104"/>
      <c r="AB72" s="105"/>
      <c r="AC72" s="105"/>
      <c r="AD72" s="103"/>
    </row>
    <row r="73" spans="1:30" ht="15.75" customHeight="1" x14ac:dyDescent="0.25">
      <c r="A73" s="530"/>
      <c r="B73" s="531"/>
      <c r="C73" s="531"/>
      <c r="D73" s="531"/>
      <c r="E73" s="531"/>
      <c r="F73" s="531"/>
      <c r="G73" s="531"/>
      <c r="H73" s="531"/>
      <c r="I73" s="531"/>
      <c r="J73" s="531"/>
      <c r="K73" s="531"/>
      <c r="L73" s="531"/>
      <c r="M73" s="531"/>
      <c r="N73" s="531"/>
      <c r="O73" s="531"/>
      <c r="P73" s="531"/>
      <c r="Q73" s="532"/>
      <c r="R73" s="536" t="s">
        <v>52</v>
      </c>
      <c r="S73" s="537"/>
      <c r="T73" s="538"/>
      <c r="U73" s="110"/>
      <c r="V73" s="111"/>
      <c r="W73" s="111"/>
      <c r="X73" s="111"/>
      <c r="Y73" s="111"/>
      <c r="Z73" s="112"/>
      <c r="AA73" s="113"/>
      <c r="AB73" s="114"/>
      <c r="AC73" s="114"/>
      <c r="AD73" s="103"/>
    </row>
    <row r="74" spans="1:30" ht="15.9" customHeight="1" x14ac:dyDescent="0.25">
      <c r="A74" s="530"/>
      <c r="B74" s="531"/>
      <c r="C74" s="531"/>
      <c r="D74" s="531"/>
      <c r="E74" s="531"/>
      <c r="F74" s="531"/>
      <c r="G74" s="531"/>
      <c r="H74" s="531"/>
      <c r="I74" s="531"/>
      <c r="J74" s="531"/>
      <c r="K74" s="531"/>
      <c r="L74" s="531"/>
      <c r="M74" s="531"/>
      <c r="N74" s="531"/>
      <c r="O74" s="531"/>
      <c r="P74" s="531"/>
      <c r="Q74" s="532"/>
      <c r="R74" s="536"/>
      <c r="S74" s="537"/>
      <c r="T74" s="538"/>
      <c r="U74" s="115"/>
      <c r="V74" s="542"/>
      <c r="W74" s="542"/>
      <c r="X74" s="542"/>
      <c r="Y74" s="542"/>
      <c r="Z74" s="116"/>
      <c r="AA74" s="113"/>
      <c r="AB74" s="114"/>
      <c r="AC74" s="114"/>
      <c r="AD74" s="103"/>
    </row>
    <row r="75" spans="1:30" ht="15.9" customHeight="1" x14ac:dyDescent="0.25">
      <c r="A75" s="530"/>
      <c r="B75" s="531"/>
      <c r="C75" s="531"/>
      <c r="D75" s="531"/>
      <c r="E75" s="531"/>
      <c r="F75" s="531"/>
      <c r="G75" s="531"/>
      <c r="H75" s="531"/>
      <c r="I75" s="531"/>
      <c r="J75" s="531"/>
      <c r="K75" s="531"/>
      <c r="L75" s="531"/>
      <c r="M75" s="531"/>
      <c r="N75" s="531"/>
      <c r="O75" s="531"/>
      <c r="P75" s="531"/>
      <c r="Q75" s="532"/>
      <c r="R75" s="536"/>
      <c r="S75" s="537"/>
      <c r="T75" s="538"/>
      <c r="U75" s="115"/>
      <c r="V75" s="542"/>
      <c r="W75" s="542"/>
      <c r="X75" s="542"/>
      <c r="Y75" s="542"/>
      <c r="Z75" s="116"/>
      <c r="AA75" s="113"/>
      <c r="AB75" s="114"/>
      <c r="AC75" s="114"/>
      <c r="AD75" s="103"/>
    </row>
    <row r="76" spans="1:30" ht="15.75" customHeight="1" x14ac:dyDescent="0.25">
      <c r="A76" s="533"/>
      <c r="B76" s="534"/>
      <c r="C76" s="534"/>
      <c r="D76" s="534"/>
      <c r="E76" s="534"/>
      <c r="F76" s="534"/>
      <c r="G76" s="534"/>
      <c r="H76" s="534"/>
      <c r="I76" s="534"/>
      <c r="J76" s="534"/>
      <c r="K76" s="534"/>
      <c r="L76" s="534"/>
      <c r="M76" s="534"/>
      <c r="N76" s="534"/>
      <c r="O76" s="534"/>
      <c r="P76" s="534"/>
      <c r="Q76" s="535"/>
      <c r="R76" s="539"/>
      <c r="S76" s="540"/>
      <c r="T76" s="541"/>
      <c r="U76" s="117"/>
      <c r="V76" s="118"/>
      <c r="W76" s="118"/>
      <c r="X76" s="118"/>
      <c r="Y76" s="118"/>
      <c r="Z76" s="119"/>
      <c r="AA76" s="113"/>
      <c r="AB76" s="114"/>
      <c r="AC76" s="114"/>
      <c r="AD76" s="103"/>
    </row>
  </sheetData>
  <mergeCells count="106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2:F12"/>
    <mergeCell ref="G12:L12"/>
    <mergeCell ref="M12:R12"/>
    <mergeCell ref="S12:Y12"/>
    <mergeCell ref="G13:L13"/>
    <mergeCell ref="M13:R13"/>
    <mergeCell ref="S13:Y13"/>
    <mergeCell ref="AE10:AI10"/>
    <mergeCell ref="B11:F11"/>
    <mergeCell ref="G11:L11"/>
    <mergeCell ref="M11:R11"/>
    <mergeCell ref="S11:Y11"/>
    <mergeCell ref="AE11:AI11"/>
    <mergeCell ref="AE15:AJ15"/>
    <mergeCell ref="AE16:AJ16"/>
    <mergeCell ref="B19:H19"/>
    <mergeCell ref="I19:Y19"/>
    <mergeCell ref="B20:H20"/>
    <mergeCell ref="I20:Y20"/>
    <mergeCell ref="AE13:AJ13"/>
    <mergeCell ref="B14:F14"/>
    <mergeCell ref="G14:L14"/>
    <mergeCell ref="M14:R14"/>
    <mergeCell ref="S14:Y14"/>
    <mergeCell ref="AE14:AJ14"/>
    <mergeCell ref="AE53:AE54"/>
    <mergeCell ref="AF53:AF54"/>
    <mergeCell ref="AG53:AG54"/>
    <mergeCell ref="C54:D54"/>
    <mergeCell ref="Y55:Z55"/>
    <mergeCell ref="AB55:AC55"/>
    <mergeCell ref="AD51:AD52"/>
    <mergeCell ref="AE51:AE52"/>
    <mergeCell ref="AF51:AF52"/>
    <mergeCell ref="AG51:AG52"/>
    <mergeCell ref="E53:T53"/>
    <mergeCell ref="U53:V54"/>
    <mergeCell ref="W53:X54"/>
    <mergeCell ref="Y53:Z54"/>
    <mergeCell ref="AB53:AC54"/>
    <mergeCell ref="AD53:AD54"/>
    <mergeCell ref="AB58:AC58"/>
    <mergeCell ref="B60:D60"/>
    <mergeCell ref="C56:D56"/>
    <mergeCell ref="U56:V56"/>
    <mergeCell ref="W56:X56"/>
    <mergeCell ref="Y56:Z56"/>
    <mergeCell ref="AB56:AC56"/>
    <mergeCell ref="C57:D57"/>
    <mergeCell ref="U57:V57"/>
    <mergeCell ref="W57:X57"/>
    <mergeCell ref="Y57:Z57"/>
    <mergeCell ref="AB57:AC57"/>
    <mergeCell ref="AD63:AD64"/>
    <mergeCell ref="AE63:AE64"/>
    <mergeCell ref="B64:D64"/>
    <mergeCell ref="U64:V64"/>
    <mergeCell ref="W64:X64"/>
    <mergeCell ref="Y64:Z64"/>
    <mergeCell ref="B61:D61"/>
    <mergeCell ref="U61:V61"/>
    <mergeCell ref="W61:X61"/>
    <mergeCell ref="Y61:Z61"/>
    <mergeCell ref="AB61:AC61"/>
    <mergeCell ref="B62:D62"/>
    <mergeCell ref="U62:V62"/>
    <mergeCell ref="W62:X62"/>
    <mergeCell ref="Y62:Z62"/>
    <mergeCell ref="AB62:AC62"/>
    <mergeCell ref="A73:Q76"/>
    <mergeCell ref="R73:T76"/>
    <mergeCell ref="V74:Y75"/>
    <mergeCell ref="U55:V55"/>
    <mergeCell ref="W55:X55"/>
    <mergeCell ref="C55:D55"/>
    <mergeCell ref="U67:Z67"/>
    <mergeCell ref="A68:Q68"/>
    <mergeCell ref="R68:T68"/>
    <mergeCell ref="U68:Z68"/>
    <mergeCell ref="A69:Q71"/>
    <mergeCell ref="R69:T72"/>
    <mergeCell ref="U69:Z72"/>
    <mergeCell ref="U63:V63"/>
    <mergeCell ref="W63:X63"/>
    <mergeCell ref="Y63:Z63"/>
    <mergeCell ref="C58:D58"/>
    <mergeCell ref="U58:V58"/>
    <mergeCell ref="W58:X58"/>
    <mergeCell ref="Y58:Z58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0EBE3-5023-437E-80F4-20196EA6F3A1}">
  <sheetPr>
    <pageSetUpPr fitToPage="1"/>
  </sheetPr>
  <dimension ref="A1:AN76"/>
  <sheetViews>
    <sheetView topLeftCell="A61" zoomScaleNormal="100" workbookViewId="0">
      <selection activeCell="V74" sqref="V74:Y75"/>
    </sheetView>
  </sheetViews>
  <sheetFormatPr baseColWidth="10" defaultColWidth="11.44140625" defaultRowHeight="12.75" customHeight="1" x14ac:dyDescent="0.25"/>
  <cols>
    <col min="1" max="2" width="5.109375" style="28" customWidth="1"/>
    <col min="3" max="27" width="5.109375" style="2" customWidth="1"/>
    <col min="28" max="41" width="11.44140625" style="2" customWidth="1"/>
    <col min="42" max="16384" width="11.44140625" style="2"/>
  </cols>
  <sheetData>
    <row r="1" spans="1:36" ht="12.75" customHeight="1" x14ac:dyDescent="0.25">
      <c r="A1" s="430"/>
      <c r="B1" s="431"/>
      <c r="C1" s="431"/>
      <c r="D1" s="431"/>
      <c r="E1" s="431"/>
      <c r="F1" s="432"/>
      <c r="G1" s="439" t="s">
        <v>0</v>
      </c>
      <c r="H1" s="440"/>
      <c r="I1" s="440"/>
      <c r="J1" s="440"/>
      <c r="K1" s="440"/>
      <c r="L1" s="440"/>
      <c r="M1" s="440"/>
      <c r="N1" s="440"/>
      <c r="O1" s="440"/>
      <c r="P1" s="440"/>
      <c r="Q1" s="440"/>
      <c r="R1" s="440"/>
      <c r="S1" s="440"/>
      <c r="T1" s="441"/>
      <c r="U1" s="405" t="s">
        <v>59</v>
      </c>
      <c r="V1" s="406"/>
      <c r="W1" s="406"/>
      <c r="X1" s="406"/>
      <c r="Y1" s="406"/>
      <c r="Z1" s="407"/>
      <c r="AA1" s="1"/>
    </row>
    <row r="2" spans="1:36" ht="12.75" customHeight="1" x14ac:dyDescent="0.25">
      <c r="A2" s="433"/>
      <c r="B2" s="434"/>
      <c r="C2" s="434"/>
      <c r="D2" s="434"/>
      <c r="E2" s="434"/>
      <c r="F2" s="435"/>
      <c r="G2" s="442" t="s">
        <v>1</v>
      </c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4"/>
      <c r="U2" s="408"/>
      <c r="V2" s="409"/>
      <c r="W2" s="409"/>
      <c r="X2" s="409"/>
      <c r="Y2" s="409"/>
      <c r="Z2" s="410"/>
      <c r="AA2" s="1"/>
    </row>
    <row r="3" spans="1:36" ht="12.75" customHeight="1" x14ac:dyDescent="0.25">
      <c r="A3" s="433"/>
      <c r="B3" s="434"/>
      <c r="C3" s="434"/>
      <c r="D3" s="434"/>
      <c r="E3" s="434"/>
      <c r="F3" s="435"/>
      <c r="G3" s="445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4"/>
      <c r="U3" s="408"/>
      <c r="V3" s="409"/>
      <c r="W3" s="409"/>
      <c r="X3" s="409"/>
      <c r="Y3" s="409"/>
      <c r="Z3" s="410"/>
      <c r="AA3" s="1"/>
    </row>
    <row r="4" spans="1:36" ht="12.75" customHeight="1" x14ac:dyDescent="0.25">
      <c r="A4" s="433"/>
      <c r="B4" s="434"/>
      <c r="C4" s="434"/>
      <c r="D4" s="434"/>
      <c r="E4" s="434"/>
      <c r="F4" s="435"/>
      <c r="G4" s="445"/>
      <c r="H4" s="443"/>
      <c r="I4" s="443"/>
      <c r="J4" s="443"/>
      <c r="K4" s="443"/>
      <c r="L4" s="443"/>
      <c r="M4" s="443"/>
      <c r="N4" s="443"/>
      <c r="O4" s="443"/>
      <c r="P4" s="443"/>
      <c r="Q4" s="443"/>
      <c r="R4" s="443"/>
      <c r="S4" s="443"/>
      <c r="T4" s="444"/>
      <c r="U4" s="408"/>
      <c r="V4" s="409"/>
      <c r="W4" s="409"/>
      <c r="X4" s="409"/>
      <c r="Y4" s="409"/>
      <c r="Z4" s="410"/>
      <c r="AA4" s="1"/>
    </row>
    <row r="5" spans="1:36" ht="12.75" customHeight="1" x14ac:dyDescent="0.25">
      <c r="A5" s="433"/>
      <c r="B5" s="434"/>
      <c r="C5" s="434"/>
      <c r="D5" s="434"/>
      <c r="E5" s="434"/>
      <c r="F5" s="435"/>
      <c r="G5" s="445" t="s">
        <v>2</v>
      </c>
      <c r="H5" s="443"/>
      <c r="I5" s="3" t="s">
        <v>3</v>
      </c>
      <c r="J5" s="446">
        <v>6</v>
      </c>
      <c r="K5" s="447"/>
      <c r="L5" s="448" t="s">
        <v>60</v>
      </c>
      <c r="M5" s="446"/>
      <c r="N5" s="446"/>
      <c r="O5" s="447"/>
      <c r="P5" s="449">
        <v>45820</v>
      </c>
      <c r="Q5" s="450"/>
      <c r="R5" s="450"/>
      <c r="S5" s="450"/>
      <c r="T5" s="451"/>
      <c r="U5" s="408"/>
      <c r="V5" s="409"/>
      <c r="W5" s="409"/>
      <c r="X5" s="409"/>
      <c r="Y5" s="409"/>
      <c r="Z5" s="410"/>
      <c r="AA5" s="1"/>
    </row>
    <row r="6" spans="1:36" ht="12.75" customHeight="1" x14ac:dyDescent="0.25">
      <c r="A6" s="436"/>
      <c r="B6" s="437"/>
      <c r="C6" s="437"/>
      <c r="D6" s="437"/>
      <c r="E6" s="437"/>
      <c r="F6" s="438"/>
      <c r="G6" s="4"/>
      <c r="H6" s="5"/>
      <c r="I6" s="5"/>
      <c r="J6" s="423" t="s">
        <v>4</v>
      </c>
      <c r="K6" s="423"/>
      <c r="L6" s="423" t="s">
        <v>5</v>
      </c>
      <c r="M6" s="423"/>
      <c r="N6" s="423"/>
      <c r="O6" s="423"/>
      <c r="P6" s="423" t="s">
        <v>6</v>
      </c>
      <c r="Q6" s="423"/>
      <c r="R6" s="423"/>
      <c r="S6" s="423"/>
      <c r="T6" s="424"/>
      <c r="U6" s="411"/>
      <c r="V6" s="412"/>
      <c r="W6" s="412"/>
      <c r="X6" s="412"/>
      <c r="Y6" s="412"/>
      <c r="Z6" s="413"/>
      <c r="AA6" s="1"/>
    </row>
    <row r="7" spans="1:36" ht="37.5" customHeight="1" x14ac:dyDescent="0.25">
      <c r="A7" s="425" t="s">
        <v>7</v>
      </c>
      <c r="B7" s="425"/>
      <c r="C7" s="425"/>
      <c r="D7" s="425"/>
      <c r="E7" s="425"/>
      <c r="F7" s="425"/>
      <c r="G7" s="426" t="s">
        <v>8</v>
      </c>
      <c r="H7" s="426"/>
      <c r="I7" s="426"/>
      <c r="J7" s="426"/>
      <c r="K7" s="426"/>
      <c r="L7" s="426"/>
      <c r="M7" s="426"/>
      <c r="N7" s="426"/>
      <c r="O7" s="426"/>
      <c r="P7" s="426"/>
      <c r="Q7" s="426"/>
      <c r="R7" s="426"/>
      <c r="S7" s="426"/>
      <c r="T7" s="426"/>
      <c r="U7" s="426"/>
      <c r="V7" s="426"/>
      <c r="W7" s="426"/>
      <c r="X7" s="426"/>
      <c r="Y7" s="426"/>
      <c r="Z7" s="426"/>
      <c r="AA7" s="6"/>
      <c r="AE7" s="7"/>
      <c r="AI7" s="7"/>
    </row>
    <row r="8" spans="1:36" ht="15.9" customHeight="1" x14ac:dyDescent="0.25">
      <c r="A8" s="8" t="s">
        <v>9</v>
      </c>
      <c r="B8" s="9" t="s">
        <v>10</v>
      </c>
      <c r="C8" s="10"/>
      <c r="D8" s="11"/>
      <c r="E8" s="11"/>
      <c r="F8" s="11"/>
      <c r="G8" s="11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2"/>
      <c r="AA8" s="13"/>
      <c r="AB8" s="14"/>
      <c r="AC8" s="14"/>
      <c r="AD8" s="14"/>
      <c r="AE8" s="7"/>
      <c r="AF8" s="14"/>
      <c r="AI8" s="7"/>
    </row>
    <row r="9" spans="1:36" ht="15.9" customHeight="1" x14ac:dyDescent="0.25">
      <c r="A9" s="15"/>
      <c r="B9" s="13"/>
      <c r="C9" s="13"/>
      <c r="D9" s="16"/>
      <c r="E9" s="16"/>
      <c r="F9" s="16"/>
      <c r="G9" s="16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7"/>
      <c r="AA9" s="13"/>
      <c r="AB9" s="14"/>
      <c r="AC9" s="14"/>
      <c r="AD9" s="14"/>
      <c r="AE9" s="7"/>
      <c r="AF9" s="14"/>
      <c r="AI9" s="7"/>
    </row>
    <row r="10" spans="1:36" ht="15.9" customHeight="1" x14ac:dyDescent="0.25">
      <c r="A10" s="15"/>
      <c r="B10" s="385" t="s">
        <v>11</v>
      </c>
      <c r="C10" s="385"/>
      <c r="D10" s="385"/>
      <c r="E10" s="385"/>
      <c r="F10" s="385"/>
      <c r="G10" s="384" t="s">
        <v>74</v>
      </c>
      <c r="H10" s="384"/>
      <c r="I10" s="384"/>
      <c r="J10" s="384"/>
      <c r="K10" s="384"/>
      <c r="L10" s="384"/>
      <c r="M10" s="385" t="s">
        <v>12</v>
      </c>
      <c r="N10" s="385"/>
      <c r="O10" s="385"/>
      <c r="P10" s="385"/>
      <c r="Q10" s="385"/>
      <c r="R10" s="385"/>
      <c r="S10" s="388" t="s">
        <v>13</v>
      </c>
      <c r="T10" s="388"/>
      <c r="U10" s="388"/>
      <c r="V10" s="388"/>
      <c r="W10" s="388"/>
      <c r="X10" s="388"/>
      <c r="Y10" s="388"/>
      <c r="Z10" s="18"/>
      <c r="AA10" s="19"/>
      <c r="AB10" s="14"/>
      <c r="AC10" s="14"/>
      <c r="AD10" s="14"/>
      <c r="AE10" s="385"/>
      <c r="AF10" s="385"/>
      <c r="AG10" s="385"/>
      <c r="AH10" s="385"/>
      <c r="AI10" s="385"/>
    </row>
    <row r="11" spans="1:36" ht="15.9" customHeight="1" x14ac:dyDescent="0.25">
      <c r="A11" s="15"/>
      <c r="B11" s="385" t="s">
        <v>14</v>
      </c>
      <c r="C11" s="385"/>
      <c r="D11" s="385"/>
      <c r="E11" s="385"/>
      <c r="F11" s="385"/>
      <c r="G11" s="384">
        <v>45820</v>
      </c>
      <c r="H11" s="384"/>
      <c r="I11" s="384"/>
      <c r="J11" s="384"/>
      <c r="K11" s="384"/>
      <c r="L11" s="384"/>
      <c r="M11" s="385" t="s">
        <v>15</v>
      </c>
      <c r="N11" s="385"/>
      <c r="O11" s="385"/>
      <c r="P11" s="385"/>
      <c r="Q11" s="385"/>
      <c r="R11" s="385"/>
      <c r="S11" s="562" t="s">
        <v>75</v>
      </c>
      <c r="T11" s="562"/>
      <c r="U11" s="562"/>
      <c r="V11" s="562"/>
      <c r="W11" s="562"/>
      <c r="X11" s="562"/>
      <c r="Y11" s="562"/>
      <c r="Z11" s="18"/>
      <c r="AA11" s="19"/>
      <c r="AB11" s="14"/>
      <c r="AC11" s="14"/>
      <c r="AD11" s="14"/>
      <c r="AE11" s="385"/>
      <c r="AF11" s="385"/>
      <c r="AG11" s="385"/>
      <c r="AH11" s="385"/>
      <c r="AI11" s="385"/>
    </row>
    <row r="12" spans="1:36" ht="15.9" customHeight="1" x14ac:dyDescent="0.25">
      <c r="A12" s="15"/>
      <c r="B12" s="385" t="s">
        <v>16</v>
      </c>
      <c r="C12" s="385"/>
      <c r="D12" s="385"/>
      <c r="E12" s="385"/>
      <c r="F12" s="385"/>
      <c r="G12" s="386">
        <v>45820</v>
      </c>
      <c r="H12" s="386"/>
      <c r="I12" s="386"/>
      <c r="J12" s="386"/>
      <c r="K12" s="386"/>
      <c r="L12" s="386"/>
      <c r="M12" s="387" t="s">
        <v>17</v>
      </c>
      <c r="N12" s="387"/>
      <c r="O12" s="387"/>
      <c r="P12" s="387"/>
      <c r="Q12" s="387"/>
      <c r="R12" s="387"/>
      <c r="S12" s="388">
        <v>65</v>
      </c>
      <c r="T12" s="388"/>
      <c r="U12" s="388"/>
      <c r="V12" s="388"/>
      <c r="W12" s="388"/>
      <c r="X12" s="388"/>
      <c r="Y12" s="388"/>
      <c r="Z12" s="18"/>
      <c r="AA12" s="19"/>
      <c r="AB12" s="14"/>
      <c r="AC12" s="14"/>
      <c r="AD12" s="14"/>
      <c r="AE12" s="7"/>
      <c r="AF12" s="14"/>
      <c r="AI12" s="7"/>
    </row>
    <row r="13" spans="1:36" ht="15.9" customHeight="1" x14ac:dyDescent="0.25">
      <c r="A13" s="15"/>
      <c r="B13" s="20" t="s">
        <v>18</v>
      </c>
      <c r="C13" s="20"/>
      <c r="D13" s="20"/>
      <c r="E13" s="20"/>
      <c r="F13" s="20"/>
      <c r="G13" s="386" t="s">
        <v>79</v>
      </c>
      <c r="H13" s="386"/>
      <c r="I13" s="386"/>
      <c r="J13" s="386"/>
      <c r="K13" s="386"/>
      <c r="L13" s="386"/>
      <c r="M13" s="385" t="s">
        <v>19</v>
      </c>
      <c r="N13" s="385"/>
      <c r="O13" s="385"/>
      <c r="P13" s="385"/>
      <c r="Q13" s="385"/>
      <c r="R13" s="385"/>
      <c r="S13" s="386" t="s">
        <v>67</v>
      </c>
      <c r="T13" s="386"/>
      <c r="U13" s="386"/>
      <c r="V13" s="386"/>
      <c r="W13" s="386"/>
      <c r="X13" s="386"/>
      <c r="Y13" s="386"/>
      <c r="Z13" s="18"/>
      <c r="AA13" s="19"/>
      <c r="AB13" s="14"/>
      <c r="AC13" s="14"/>
      <c r="AD13" s="14"/>
      <c r="AE13" s="385"/>
      <c r="AF13" s="385"/>
      <c r="AG13" s="385"/>
      <c r="AH13" s="385"/>
      <c r="AI13" s="385"/>
      <c r="AJ13" s="385"/>
    </row>
    <row r="14" spans="1:36" ht="15.9" customHeight="1" x14ac:dyDescent="0.25">
      <c r="A14" s="21"/>
      <c r="B14" s="385" t="s">
        <v>20</v>
      </c>
      <c r="C14" s="385"/>
      <c r="D14" s="385"/>
      <c r="E14" s="385"/>
      <c r="F14" s="385"/>
      <c r="G14" s="386" t="s">
        <v>78</v>
      </c>
      <c r="H14" s="386"/>
      <c r="I14" s="386"/>
      <c r="J14" s="386"/>
      <c r="K14" s="386"/>
      <c r="L14" s="386"/>
      <c r="M14" s="388" t="s">
        <v>21</v>
      </c>
      <c r="N14" s="388"/>
      <c r="O14" s="388"/>
      <c r="P14" s="388"/>
      <c r="Q14" s="388"/>
      <c r="R14" s="388"/>
      <c r="S14" s="388" t="s">
        <v>22</v>
      </c>
      <c r="T14" s="388"/>
      <c r="U14" s="388"/>
      <c r="V14" s="388"/>
      <c r="W14" s="388"/>
      <c r="X14" s="388"/>
      <c r="Y14" s="388"/>
      <c r="Z14" s="22"/>
      <c r="AA14" s="14"/>
      <c r="AB14" s="14"/>
      <c r="AC14" s="14"/>
      <c r="AD14" s="14"/>
      <c r="AE14" s="385"/>
      <c r="AF14" s="385"/>
      <c r="AG14" s="385"/>
      <c r="AH14" s="385"/>
      <c r="AI14" s="385"/>
      <c r="AJ14" s="385"/>
    </row>
    <row r="15" spans="1:36" ht="6" customHeight="1" x14ac:dyDescent="0.25">
      <c r="A15" s="23"/>
      <c r="B15" s="24"/>
      <c r="C15" s="25"/>
      <c r="D15" s="25"/>
      <c r="E15" s="25"/>
      <c r="F15" s="24"/>
      <c r="G15" s="24"/>
      <c r="H15" s="24"/>
      <c r="I15" s="24"/>
      <c r="J15" s="24"/>
      <c r="K15" s="24"/>
      <c r="L15" s="24"/>
      <c r="M15" s="24"/>
      <c r="N15" s="25"/>
      <c r="O15" s="25"/>
      <c r="P15" s="25"/>
      <c r="Q15" s="25"/>
      <c r="R15" s="25"/>
      <c r="S15" s="25"/>
      <c r="T15" s="26"/>
      <c r="U15" s="26"/>
      <c r="V15" s="25"/>
      <c r="W15" s="25"/>
      <c r="X15" s="25"/>
      <c r="Y15" s="25"/>
      <c r="Z15" s="27"/>
      <c r="AE15" s="385"/>
      <c r="AF15" s="385"/>
      <c r="AG15" s="385"/>
      <c r="AH15" s="385"/>
      <c r="AI15" s="385"/>
      <c r="AJ15" s="385"/>
    </row>
    <row r="16" spans="1:36" ht="6" customHeight="1" x14ac:dyDescent="0.25">
      <c r="F16" s="28"/>
      <c r="G16" s="28"/>
      <c r="H16" s="28"/>
      <c r="I16" s="28"/>
      <c r="J16" s="28"/>
      <c r="K16" s="28"/>
      <c r="L16" s="28"/>
      <c r="M16" s="28"/>
      <c r="T16" s="29"/>
      <c r="U16" s="29"/>
      <c r="AE16" s="385"/>
      <c r="AF16" s="385"/>
      <c r="AG16" s="385"/>
      <c r="AH16" s="385"/>
      <c r="AI16" s="385"/>
      <c r="AJ16" s="385"/>
    </row>
    <row r="17" spans="1:40" ht="15.9" customHeight="1" x14ac:dyDescent="0.25">
      <c r="A17" s="8" t="s">
        <v>23</v>
      </c>
      <c r="B17" s="9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2"/>
      <c r="AA17" s="13"/>
      <c r="AE17" s="30"/>
      <c r="AI17" s="30"/>
    </row>
    <row r="18" spans="1:40" ht="8.25" customHeight="1" x14ac:dyDescent="0.25">
      <c r="A18" s="15"/>
      <c r="B18" s="31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7"/>
      <c r="AA18" s="13"/>
      <c r="AE18" s="30"/>
      <c r="AI18" s="30"/>
    </row>
    <row r="19" spans="1:40" ht="15.9" customHeight="1" x14ac:dyDescent="0.25">
      <c r="A19" s="15"/>
      <c r="B19" s="385" t="s">
        <v>25</v>
      </c>
      <c r="C19" s="385"/>
      <c r="D19" s="385"/>
      <c r="E19" s="385"/>
      <c r="F19" s="385"/>
      <c r="G19" s="385"/>
      <c r="H19" s="385"/>
      <c r="I19" s="453"/>
      <c r="J19" s="453"/>
      <c r="K19" s="453"/>
      <c r="L19" s="453"/>
      <c r="M19" s="453"/>
      <c r="N19" s="453"/>
      <c r="O19" s="453"/>
      <c r="P19" s="453"/>
      <c r="Q19" s="453"/>
      <c r="R19" s="453"/>
      <c r="S19" s="453"/>
      <c r="T19" s="453"/>
      <c r="U19" s="453"/>
      <c r="V19" s="453"/>
      <c r="W19" s="453"/>
      <c r="X19" s="453"/>
      <c r="Y19" s="453"/>
      <c r="Z19" s="18"/>
      <c r="AA19" s="19"/>
      <c r="AE19" s="30"/>
      <c r="AI19" s="30"/>
    </row>
    <row r="20" spans="1:40" ht="15.9" customHeight="1" x14ac:dyDescent="0.25">
      <c r="A20" s="15"/>
      <c r="B20" s="385" t="s">
        <v>26</v>
      </c>
      <c r="C20" s="385"/>
      <c r="D20" s="385"/>
      <c r="E20" s="385"/>
      <c r="F20" s="385"/>
      <c r="G20" s="385"/>
      <c r="H20" s="385"/>
      <c r="I20" s="454"/>
      <c r="J20" s="454"/>
      <c r="K20" s="454"/>
      <c r="L20" s="454"/>
      <c r="M20" s="454"/>
      <c r="N20" s="454"/>
      <c r="O20" s="454"/>
      <c r="P20" s="454"/>
      <c r="Q20" s="454"/>
      <c r="R20" s="454"/>
      <c r="S20" s="454"/>
      <c r="T20" s="454"/>
      <c r="U20" s="454"/>
      <c r="V20" s="454"/>
      <c r="W20" s="454"/>
      <c r="X20" s="454"/>
      <c r="Y20" s="454"/>
      <c r="Z20" s="18"/>
      <c r="AA20" s="19"/>
      <c r="AE20" s="30"/>
      <c r="AI20" s="30"/>
    </row>
    <row r="21" spans="1:40" ht="7.5" customHeight="1" x14ac:dyDescent="0.2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32"/>
      <c r="AA21" s="13"/>
      <c r="AE21" s="30"/>
      <c r="AI21" s="30"/>
    </row>
    <row r="22" spans="1:40" ht="5.25" customHeight="1" x14ac:dyDescent="0.25">
      <c r="F22" s="28"/>
      <c r="G22" s="28"/>
      <c r="H22" s="28"/>
      <c r="I22" s="28"/>
      <c r="J22" s="28"/>
      <c r="K22" s="28"/>
      <c r="L22" s="28"/>
      <c r="M22" s="28"/>
      <c r="T22" s="29"/>
      <c r="U22" s="29"/>
      <c r="AE22" s="30"/>
      <c r="AI22" s="30"/>
      <c r="AM22" s="14"/>
      <c r="AN22" s="14"/>
    </row>
    <row r="23" spans="1:40" ht="15.9" customHeight="1" x14ac:dyDescent="0.25">
      <c r="A23" s="33" t="s">
        <v>23</v>
      </c>
      <c r="B23" s="34" t="s">
        <v>27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39"/>
      <c r="AN23" s="40"/>
    </row>
    <row r="24" spans="1:40" ht="9" customHeight="1" x14ac:dyDescent="0.25">
      <c r="A24" s="21"/>
      <c r="Z24" s="41"/>
    </row>
    <row r="25" spans="1:40" ht="9" customHeight="1" x14ac:dyDescent="0.25">
      <c r="A25" s="21"/>
      <c r="Z25" s="41"/>
    </row>
    <row r="26" spans="1:40" ht="9" customHeight="1" x14ac:dyDescent="0.25">
      <c r="A26" s="21"/>
      <c r="Z26" s="41"/>
    </row>
    <row r="27" spans="1:40" ht="12.75" customHeight="1" x14ac:dyDescent="0.25">
      <c r="A27" s="21"/>
      <c r="Z27" s="41"/>
    </row>
    <row r="28" spans="1:40" ht="12.75" customHeight="1" x14ac:dyDescent="0.25">
      <c r="A28" s="21"/>
      <c r="Z28" s="41"/>
    </row>
    <row r="29" spans="1:40" ht="12.75" customHeight="1" x14ac:dyDescent="0.25">
      <c r="A29" s="21"/>
      <c r="Z29" s="41"/>
    </row>
    <row r="30" spans="1:40" ht="12.75" customHeight="1" x14ac:dyDescent="0.25">
      <c r="A30" s="21"/>
      <c r="Z30" s="41"/>
    </row>
    <row r="31" spans="1:40" ht="12.75" customHeight="1" x14ac:dyDescent="0.25">
      <c r="A31" s="21"/>
      <c r="Z31" s="41"/>
    </row>
    <row r="32" spans="1:40" ht="12.75" customHeight="1" x14ac:dyDescent="0.25">
      <c r="A32" s="21"/>
      <c r="Z32" s="41"/>
    </row>
    <row r="33" spans="1:26" ht="12.75" customHeight="1" x14ac:dyDescent="0.25">
      <c r="A33" s="21"/>
      <c r="Z33" s="41"/>
    </row>
    <row r="34" spans="1:26" ht="12.75" customHeight="1" x14ac:dyDescent="0.25">
      <c r="A34" s="21"/>
      <c r="Z34" s="41"/>
    </row>
    <row r="35" spans="1:26" ht="12.75" customHeight="1" x14ac:dyDescent="0.25">
      <c r="A35" s="21"/>
      <c r="Z35" s="41"/>
    </row>
    <row r="36" spans="1:26" ht="12.75" customHeight="1" x14ac:dyDescent="0.25">
      <c r="A36" s="21"/>
      <c r="Z36" s="41"/>
    </row>
    <row r="37" spans="1:26" ht="12.75" customHeight="1" x14ac:dyDescent="0.25">
      <c r="A37" s="21"/>
      <c r="Z37" s="41"/>
    </row>
    <row r="38" spans="1:26" ht="12.75" customHeight="1" x14ac:dyDescent="0.25">
      <c r="A38" s="21"/>
      <c r="Z38" s="41"/>
    </row>
    <row r="39" spans="1:26" ht="12.75" customHeight="1" x14ac:dyDescent="0.25">
      <c r="A39" s="21"/>
      <c r="Z39" s="41"/>
    </row>
    <row r="40" spans="1:26" ht="12.75" customHeight="1" x14ac:dyDescent="0.25">
      <c r="A40" s="21"/>
      <c r="Z40" s="41"/>
    </row>
    <row r="41" spans="1:26" ht="12.75" customHeight="1" x14ac:dyDescent="0.25">
      <c r="A41" s="21"/>
      <c r="Z41" s="41"/>
    </row>
    <row r="42" spans="1:26" ht="12.75" customHeight="1" x14ac:dyDescent="0.25">
      <c r="A42" s="21"/>
      <c r="Z42" s="41"/>
    </row>
    <row r="43" spans="1:26" ht="12.75" customHeight="1" x14ac:dyDescent="0.25">
      <c r="A43" s="21"/>
      <c r="Z43" s="41"/>
    </row>
    <row r="44" spans="1:26" ht="12.75" customHeight="1" x14ac:dyDescent="0.25">
      <c r="A44" s="21"/>
      <c r="Z44" s="41"/>
    </row>
    <row r="45" spans="1:26" ht="12.75" customHeight="1" x14ac:dyDescent="0.25">
      <c r="A45" s="21"/>
      <c r="Z45" s="41"/>
    </row>
    <row r="46" spans="1:26" ht="12.75" customHeight="1" x14ac:dyDescent="0.25">
      <c r="A46" s="21"/>
      <c r="Z46" s="41"/>
    </row>
    <row r="47" spans="1:26" ht="12.75" customHeight="1" x14ac:dyDescent="0.25">
      <c r="A47" s="21"/>
      <c r="Z47" s="41"/>
    </row>
    <row r="48" spans="1:26" ht="12.75" customHeight="1" x14ac:dyDescent="0.25">
      <c r="A48" s="21"/>
      <c r="Z48" s="41"/>
    </row>
    <row r="49" spans="1:34" ht="12.75" customHeight="1" x14ac:dyDescent="0.25">
      <c r="A49" s="21"/>
      <c r="Z49" s="41"/>
    </row>
    <row r="50" spans="1:34" ht="9.75" customHeight="1" thickBot="1" x14ac:dyDescent="0.3">
      <c r="A50" s="21"/>
      <c r="Z50" s="41"/>
    </row>
    <row r="51" spans="1:34" ht="9.75" customHeight="1" x14ac:dyDescent="0.25">
      <c r="A51" s="21"/>
      <c r="Z51" s="41"/>
      <c r="AD51" s="378" t="s">
        <v>28</v>
      </c>
      <c r="AE51" s="380">
        <v>2.74</v>
      </c>
      <c r="AF51" s="455"/>
      <c r="AG51" s="457"/>
      <c r="AH51" s="42"/>
    </row>
    <row r="52" spans="1:34" ht="12.75" customHeight="1" thickBot="1" x14ac:dyDescent="0.3">
      <c r="A52" s="21"/>
      <c r="Z52" s="43"/>
      <c r="AD52" s="379"/>
      <c r="AE52" s="381"/>
      <c r="AF52" s="456"/>
      <c r="AG52" s="457"/>
    </row>
    <row r="53" spans="1:34" ht="18.75" customHeight="1" thickBot="1" x14ac:dyDescent="0.3">
      <c r="A53" s="21"/>
      <c r="E53" s="458" t="s">
        <v>29</v>
      </c>
      <c r="F53" s="459"/>
      <c r="G53" s="459"/>
      <c r="H53" s="459"/>
      <c r="I53" s="459"/>
      <c r="J53" s="459"/>
      <c r="K53" s="459"/>
      <c r="L53" s="459"/>
      <c r="M53" s="459"/>
      <c r="N53" s="459"/>
      <c r="O53" s="459"/>
      <c r="P53" s="459"/>
      <c r="Q53" s="459"/>
      <c r="R53" s="459"/>
      <c r="S53" s="459"/>
      <c r="T53" s="459"/>
      <c r="U53" s="460" t="s">
        <v>30</v>
      </c>
      <c r="V53" s="461"/>
      <c r="W53" s="464" t="s">
        <v>31</v>
      </c>
      <c r="X53" s="461"/>
      <c r="Y53" s="466" t="s">
        <v>32</v>
      </c>
      <c r="Z53" s="467"/>
      <c r="AA53" s="44"/>
      <c r="AB53" s="369" t="s">
        <v>33</v>
      </c>
      <c r="AC53" s="370"/>
      <c r="AD53" s="373" t="s">
        <v>34</v>
      </c>
      <c r="AE53" s="375" t="s">
        <v>35</v>
      </c>
      <c r="AF53" s="455"/>
      <c r="AG53" s="455"/>
      <c r="AH53" s="45"/>
    </row>
    <row r="54" spans="1:34" ht="24.9" customHeight="1" thickBot="1" x14ac:dyDescent="0.3">
      <c r="A54" s="46"/>
      <c r="B54" s="47" t="s">
        <v>36</v>
      </c>
      <c r="C54" s="471" t="s">
        <v>37</v>
      </c>
      <c r="D54" s="472"/>
      <c r="E54" s="48">
        <v>6.3E-2</v>
      </c>
      <c r="F54" s="48">
        <v>0.125</v>
      </c>
      <c r="G54" s="49">
        <v>0.25</v>
      </c>
      <c r="H54" s="49">
        <v>0.5</v>
      </c>
      <c r="I54" s="49">
        <v>1</v>
      </c>
      <c r="J54" s="49">
        <v>2</v>
      </c>
      <c r="K54" s="49">
        <v>4</v>
      </c>
      <c r="L54" s="49">
        <v>6.3</v>
      </c>
      <c r="M54" s="49">
        <v>8</v>
      </c>
      <c r="N54" s="49">
        <v>10</v>
      </c>
      <c r="O54" s="49">
        <v>12.5</v>
      </c>
      <c r="P54" s="49">
        <v>14</v>
      </c>
      <c r="Q54" s="50">
        <v>16</v>
      </c>
      <c r="R54" s="50">
        <v>20</v>
      </c>
      <c r="S54" s="49"/>
      <c r="T54" s="50"/>
      <c r="U54" s="462"/>
      <c r="V54" s="463"/>
      <c r="W54" s="465"/>
      <c r="X54" s="463"/>
      <c r="Y54" s="468"/>
      <c r="Z54" s="469"/>
      <c r="AA54" s="44"/>
      <c r="AB54" s="371"/>
      <c r="AC54" s="372"/>
      <c r="AD54" s="374"/>
      <c r="AE54" s="376"/>
      <c r="AF54" s="470"/>
      <c r="AG54" s="455"/>
    </row>
    <row r="55" spans="1:34" ht="24.9" customHeight="1" x14ac:dyDescent="0.25">
      <c r="A55" s="46"/>
      <c r="B55" s="51">
        <v>1</v>
      </c>
      <c r="C55" s="340" t="s">
        <v>80</v>
      </c>
      <c r="D55" s="341"/>
      <c r="E55" s="242">
        <v>5.4</v>
      </c>
      <c r="F55" s="243">
        <v>6.9</v>
      </c>
      <c r="G55" s="244">
        <v>8.6999999999999993</v>
      </c>
      <c r="H55" s="244">
        <v>11.1</v>
      </c>
      <c r="I55" s="244">
        <v>15.1</v>
      </c>
      <c r="J55" s="244">
        <v>22.5</v>
      </c>
      <c r="K55" s="244">
        <v>37.200000000000003</v>
      </c>
      <c r="L55" s="244">
        <v>95.7</v>
      </c>
      <c r="M55" s="246">
        <v>100</v>
      </c>
      <c r="N55" s="244"/>
      <c r="O55" s="244"/>
      <c r="P55" s="244"/>
      <c r="Q55" s="244"/>
      <c r="R55" s="244"/>
      <c r="S55" s="245"/>
      <c r="T55" s="245"/>
      <c r="U55" s="494">
        <v>177</v>
      </c>
      <c r="V55" s="495"/>
      <c r="W55" s="496">
        <v>4.62</v>
      </c>
      <c r="X55" s="497"/>
      <c r="Y55" s="573">
        <f>IF(W55&lt;&gt;0,AE55,"")</f>
        <v>3.2434208542524687</v>
      </c>
      <c r="Z55" s="480"/>
      <c r="AA55" s="52"/>
      <c r="AB55" s="326">
        <f>(100*W55)/(100-W55)</f>
        <v>4.843782763682114</v>
      </c>
      <c r="AC55" s="327"/>
      <c r="AD55" s="53">
        <f>(0.25*(100-O55)+2.3*(O55-H55)+12*(H55-E55)+150*(E55))/100</f>
        <v>8.7787000000000006</v>
      </c>
      <c r="AE55" s="54">
        <f>(AB55*$AE$51)/(2.65*(AD55)^(1/5))</f>
        <v>3.2434208542524687</v>
      </c>
      <c r="AF55" s="28"/>
      <c r="AG55" s="55"/>
    </row>
    <row r="56" spans="1:34" ht="24.9" customHeight="1" x14ac:dyDescent="0.25">
      <c r="A56" s="46"/>
      <c r="B56" s="56">
        <v>2</v>
      </c>
      <c r="C56" s="571"/>
      <c r="D56" s="572"/>
      <c r="E56" s="120"/>
      <c r="F56" s="121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4"/>
      <c r="R56" s="122"/>
      <c r="S56" s="123"/>
      <c r="T56" s="123"/>
      <c r="U56" s="349"/>
      <c r="V56" s="350"/>
      <c r="W56" s="351"/>
      <c r="X56" s="352"/>
      <c r="Y56" s="498" t="str">
        <f>IF(W56&lt;&gt;0,AE56,"")</f>
        <v/>
      </c>
      <c r="Z56" s="499"/>
      <c r="AA56" s="52"/>
      <c r="AB56" s="326">
        <f>(100*W56)/(100-W56)</f>
        <v>0</v>
      </c>
      <c r="AC56" s="327"/>
      <c r="AD56" s="53">
        <f t="shared" ref="AD56:AD62" si="0">(0.25*(100-O56)+2.3*(O56-H56)+12*(H56-E56)+150*(E56))/100</f>
        <v>0.25</v>
      </c>
      <c r="AE56" s="54">
        <f t="shared" ref="AE56:AE62" si="1">(AB56*$AE$51)/(2.65*(AD56)^(1/5))</f>
        <v>0</v>
      </c>
      <c r="AF56" s="28"/>
      <c r="AG56" s="55"/>
    </row>
    <row r="57" spans="1:34" ht="24.9" customHeight="1" x14ac:dyDescent="0.25">
      <c r="A57" s="46"/>
      <c r="B57" s="56">
        <v>3</v>
      </c>
      <c r="C57" s="500"/>
      <c r="D57" s="501"/>
      <c r="E57" s="57"/>
      <c r="F57" s="58"/>
      <c r="G57" s="58"/>
      <c r="H57" s="59"/>
      <c r="I57" s="59"/>
      <c r="J57" s="59"/>
      <c r="K57" s="59"/>
      <c r="L57" s="59"/>
      <c r="M57" s="59"/>
      <c r="N57" s="59"/>
      <c r="O57" s="60"/>
      <c r="P57" s="59"/>
      <c r="Q57" s="60"/>
      <c r="R57" s="59"/>
      <c r="S57" s="59"/>
      <c r="T57" s="61"/>
      <c r="U57" s="502"/>
      <c r="V57" s="503"/>
      <c r="W57" s="504"/>
      <c r="X57" s="505"/>
      <c r="Y57" s="498" t="str">
        <f t="shared" ref="Y57:Y58" si="2">IF(W57&lt;&gt;0,AE57,"")</f>
        <v/>
      </c>
      <c r="Z57" s="499"/>
      <c r="AA57" s="52"/>
      <c r="AB57" s="326">
        <f>(100*W57)/(100-W57)</f>
        <v>0</v>
      </c>
      <c r="AC57" s="327"/>
      <c r="AD57" s="53">
        <f t="shared" si="0"/>
        <v>0.25</v>
      </c>
      <c r="AE57" s="54">
        <f t="shared" si="1"/>
        <v>0</v>
      </c>
      <c r="AF57" s="28"/>
      <c r="AG57" s="55"/>
    </row>
    <row r="58" spans="1:34" ht="24.9" customHeight="1" thickBot="1" x14ac:dyDescent="0.3">
      <c r="A58" s="46"/>
      <c r="B58" s="62">
        <v>4</v>
      </c>
      <c r="C58" s="481"/>
      <c r="D58" s="482"/>
      <c r="E58" s="63"/>
      <c r="F58" s="64"/>
      <c r="G58" s="64"/>
      <c r="H58" s="65"/>
      <c r="I58" s="65"/>
      <c r="J58" s="65"/>
      <c r="K58" s="65"/>
      <c r="L58" s="65"/>
      <c r="M58" s="65"/>
      <c r="N58" s="65"/>
      <c r="O58" s="66"/>
      <c r="P58" s="65"/>
      <c r="Q58" s="66"/>
      <c r="R58" s="65"/>
      <c r="S58" s="65"/>
      <c r="T58" s="67"/>
      <c r="U58" s="483"/>
      <c r="V58" s="484"/>
      <c r="W58" s="485"/>
      <c r="X58" s="486"/>
      <c r="Y58" s="487" t="str">
        <f t="shared" si="2"/>
        <v/>
      </c>
      <c r="Z58" s="488"/>
      <c r="AA58" s="52"/>
      <c r="AB58" s="326">
        <f>(100*W58)/(100-W58)</f>
        <v>0</v>
      </c>
      <c r="AC58" s="327"/>
      <c r="AD58" s="53">
        <f t="shared" si="0"/>
        <v>0.25</v>
      </c>
      <c r="AE58" s="54">
        <f t="shared" si="1"/>
        <v>0</v>
      </c>
      <c r="AF58" s="28"/>
      <c r="AG58" s="55"/>
    </row>
    <row r="59" spans="1:34" ht="10.5" customHeight="1" thickBot="1" x14ac:dyDescent="0.3">
      <c r="A59" s="46"/>
      <c r="B59" s="2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9"/>
      <c r="P59" s="68"/>
      <c r="Q59" s="69"/>
      <c r="R59" s="68"/>
      <c r="S59" s="68"/>
      <c r="T59" s="68"/>
      <c r="U59" s="68"/>
      <c r="V59" s="68"/>
      <c r="W59" s="70"/>
      <c r="Z59" s="71"/>
      <c r="AB59" s="72"/>
      <c r="AC59" s="73"/>
      <c r="AD59" s="53"/>
      <c r="AE59" s="54"/>
      <c r="AF59" s="28"/>
      <c r="AG59" s="55"/>
    </row>
    <row r="60" spans="1:34" ht="24.75" hidden="1" customHeight="1" x14ac:dyDescent="0.25">
      <c r="A60" s="46"/>
      <c r="B60" s="489" t="s">
        <v>38</v>
      </c>
      <c r="C60" s="490"/>
      <c r="D60" s="491"/>
      <c r="E60" s="74"/>
      <c r="F60" s="74"/>
      <c r="G60" s="74"/>
      <c r="H60" s="74"/>
      <c r="I60" s="74"/>
      <c r="J60" s="74"/>
      <c r="K60" s="74"/>
      <c r="L60" s="74"/>
      <c r="M60" s="74">
        <v>10</v>
      </c>
      <c r="N60" s="74">
        <v>10</v>
      </c>
      <c r="O60" s="75"/>
      <c r="P60" s="74"/>
      <c r="Q60" s="75">
        <v>50</v>
      </c>
      <c r="R60" s="74"/>
      <c r="S60" s="74">
        <v>70</v>
      </c>
      <c r="T60" s="74"/>
      <c r="U60" s="74"/>
      <c r="V60" s="74"/>
      <c r="W60" s="74"/>
      <c r="X60" s="76"/>
      <c r="Y60" s="77">
        <v>4.5</v>
      </c>
      <c r="Z60" s="77"/>
      <c r="AA60" s="28"/>
      <c r="AB60" s="72"/>
      <c r="AC60" s="73"/>
      <c r="AD60" s="53">
        <f t="shared" si="0"/>
        <v>0.25</v>
      </c>
      <c r="AE60" s="54">
        <f t="shared" si="1"/>
        <v>0</v>
      </c>
      <c r="AF60" s="28"/>
      <c r="AG60" s="55"/>
    </row>
    <row r="61" spans="1:34" ht="18.75" customHeight="1" x14ac:dyDescent="0.25">
      <c r="A61" s="46"/>
      <c r="B61" s="506" t="s">
        <v>39</v>
      </c>
      <c r="C61" s="507"/>
      <c r="D61" s="508"/>
      <c r="E61" s="78">
        <f>IF(E55&lt;&gt;0,AVERAGE(E55:E58),"")</f>
        <v>5.4</v>
      </c>
      <c r="F61" s="78">
        <f t="shared" ref="F61:L61" si="3">IF(F55&lt;&gt;0,AVERAGE(F55:F58),"")</f>
        <v>6.9</v>
      </c>
      <c r="G61" s="78">
        <f t="shared" si="3"/>
        <v>8.6999999999999993</v>
      </c>
      <c r="H61" s="78">
        <f t="shared" si="3"/>
        <v>11.1</v>
      </c>
      <c r="I61" s="78">
        <f t="shared" si="3"/>
        <v>15.1</v>
      </c>
      <c r="J61" s="78">
        <f t="shared" si="3"/>
        <v>22.5</v>
      </c>
      <c r="K61" s="78">
        <f t="shared" si="3"/>
        <v>37.200000000000003</v>
      </c>
      <c r="L61" s="78">
        <f t="shared" si="3"/>
        <v>95.7</v>
      </c>
      <c r="M61" s="79">
        <f>IF(M55&lt;&gt;0,AVERAGE(M55:M58),"")</f>
        <v>100</v>
      </c>
      <c r="N61" s="78"/>
      <c r="O61" s="79"/>
      <c r="P61" s="79"/>
      <c r="Q61" s="79"/>
      <c r="R61" s="78"/>
      <c r="S61" s="78" t="str">
        <f t="shared" ref="S61:T61" si="4">IF(S55&lt;&gt;0,AVERAGE(S55:S58),"")</f>
        <v/>
      </c>
      <c r="T61" s="80" t="str">
        <f t="shared" si="4"/>
        <v/>
      </c>
      <c r="U61" s="509">
        <f>IF(U55&lt;&gt;0,AVERAGE(U55:V58),"")</f>
        <v>177</v>
      </c>
      <c r="V61" s="510"/>
      <c r="W61" s="511">
        <v>4.54</v>
      </c>
      <c r="X61" s="512"/>
      <c r="Y61" s="513">
        <f>IF(W55&lt;&gt;0,AVERAGE(Y55:Z58),"")</f>
        <v>3.2434208542524687</v>
      </c>
      <c r="Z61" s="514"/>
      <c r="AA61" s="55"/>
      <c r="AB61" s="326">
        <f>(100*W61)/(100-W61)</f>
        <v>4.7559187094070818</v>
      </c>
      <c r="AC61" s="327"/>
      <c r="AD61" s="53">
        <f t="shared" si="0"/>
        <v>8.7787000000000006</v>
      </c>
      <c r="AE61" s="54">
        <f t="shared" si="1"/>
        <v>3.1845866496899631</v>
      </c>
      <c r="AF61" s="28"/>
      <c r="AG61" s="55"/>
    </row>
    <row r="62" spans="1:34" ht="21" customHeight="1" x14ac:dyDescent="0.25">
      <c r="A62" s="46"/>
      <c r="B62" s="515" t="s">
        <v>40</v>
      </c>
      <c r="C62" s="516"/>
      <c r="D62" s="517"/>
      <c r="E62" s="81">
        <v>4.5999999999999996</v>
      </c>
      <c r="F62" s="81">
        <v>6</v>
      </c>
      <c r="G62" s="81">
        <v>7</v>
      </c>
      <c r="H62" s="81">
        <v>10</v>
      </c>
      <c r="I62" s="81">
        <v>14</v>
      </c>
      <c r="J62" s="81">
        <v>19</v>
      </c>
      <c r="K62" s="81">
        <v>28</v>
      </c>
      <c r="L62" s="81">
        <v>91</v>
      </c>
      <c r="M62" s="82">
        <v>100</v>
      </c>
      <c r="N62" s="81"/>
      <c r="O62" s="81"/>
      <c r="P62" s="81"/>
      <c r="Q62" s="82"/>
      <c r="R62" s="81"/>
      <c r="S62" s="81"/>
      <c r="T62" s="83"/>
      <c r="U62" s="518"/>
      <c r="V62" s="519"/>
      <c r="W62" s="520">
        <v>4.9000000000000004</v>
      </c>
      <c r="X62" s="521"/>
      <c r="Y62" s="522">
        <f>AE62</f>
        <v>3.5540540420828122</v>
      </c>
      <c r="Z62" s="523"/>
      <c r="AA62" s="55"/>
      <c r="AB62" s="326">
        <f>(100*W62)/(100-W62)</f>
        <v>5.152471083070453</v>
      </c>
      <c r="AC62" s="327"/>
      <c r="AD62" s="53">
        <f t="shared" si="0"/>
        <v>7.5679999999999996</v>
      </c>
      <c r="AE62" s="54">
        <f t="shared" si="1"/>
        <v>3.5540540420828122</v>
      </c>
      <c r="AF62" s="28"/>
      <c r="AG62" s="55"/>
    </row>
    <row r="63" spans="1:34" ht="13.5" customHeight="1" x14ac:dyDescent="0.25">
      <c r="A63" s="46"/>
      <c r="B63" s="84"/>
      <c r="C63" s="85" t="s">
        <v>41</v>
      </c>
      <c r="D63" s="86"/>
      <c r="E63" s="59">
        <f>E62+2</f>
        <v>6.6</v>
      </c>
      <c r="F63" s="59"/>
      <c r="G63" s="59"/>
      <c r="H63" s="59"/>
      <c r="I63" s="59"/>
      <c r="J63" s="59">
        <f>J62+6</f>
        <v>25</v>
      </c>
      <c r="K63" s="59"/>
      <c r="L63" s="60">
        <v>100</v>
      </c>
      <c r="M63" s="59"/>
      <c r="N63" s="59"/>
      <c r="O63" s="59"/>
      <c r="P63" s="59"/>
      <c r="Q63" s="60"/>
      <c r="R63" s="59"/>
      <c r="S63" s="59"/>
      <c r="T63" s="61"/>
      <c r="U63" s="502"/>
      <c r="V63" s="503"/>
      <c r="W63" s="524">
        <f>W62+0.5</f>
        <v>5.4</v>
      </c>
      <c r="X63" s="503"/>
      <c r="Y63" s="500"/>
      <c r="Z63" s="525"/>
      <c r="AA63" s="87"/>
      <c r="AB63" s="88"/>
      <c r="AC63" s="89"/>
      <c r="AD63" s="306"/>
      <c r="AE63" s="308" t="s">
        <v>42</v>
      </c>
      <c r="AF63" s="28"/>
      <c r="AG63" s="55"/>
    </row>
    <row r="64" spans="1:34" ht="13.5" customHeight="1" thickBot="1" x14ac:dyDescent="0.3">
      <c r="A64" s="46"/>
      <c r="B64" s="462" t="s">
        <v>43</v>
      </c>
      <c r="C64" s="465"/>
      <c r="D64" s="463"/>
      <c r="E64" s="90">
        <f>E62-2</f>
        <v>2.5999999999999996</v>
      </c>
      <c r="F64" s="90"/>
      <c r="G64" s="91"/>
      <c r="H64" s="91"/>
      <c r="I64" s="91"/>
      <c r="J64" s="90">
        <f>J62-6</f>
        <v>13</v>
      </c>
      <c r="K64" s="91"/>
      <c r="L64" s="90">
        <f>L62-7</f>
        <v>84</v>
      </c>
      <c r="M64" s="90"/>
      <c r="N64" s="91"/>
      <c r="O64" s="91"/>
      <c r="P64" s="91"/>
      <c r="Q64" s="90"/>
      <c r="R64" s="91"/>
      <c r="S64" s="91"/>
      <c r="T64" s="92"/>
      <c r="U64" s="526"/>
      <c r="V64" s="527"/>
      <c r="W64" s="528">
        <f>W62-0.5</f>
        <v>4.4000000000000004</v>
      </c>
      <c r="X64" s="527"/>
      <c r="Y64" s="481"/>
      <c r="Z64" s="529"/>
      <c r="AA64" s="93"/>
      <c r="AB64" s="94"/>
      <c r="AC64" s="95"/>
      <c r="AD64" s="307"/>
      <c r="AE64" s="309"/>
      <c r="AF64" s="28"/>
      <c r="AG64" s="55"/>
    </row>
    <row r="65" spans="1:30" ht="6.75" customHeight="1" x14ac:dyDescent="0.25">
      <c r="A65" s="23"/>
      <c r="B65" s="24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96"/>
    </row>
    <row r="66" spans="1:30" ht="8.25" customHeight="1" x14ac:dyDescent="0.25"/>
    <row r="67" spans="1:30" ht="34.5" customHeight="1" x14ac:dyDescent="0.25">
      <c r="A67" s="97" t="s">
        <v>44</v>
      </c>
      <c r="B67" s="98" t="s">
        <v>45</v>
      </c>
      <c r="C67" s="99"/>
      <c r="D67" s="99"/>
      <c r="E67" s="99"/>
      <c r="F67" s="100"/>
      <c r="G67" s="100"/>
      <c r="H67" s="100"/>
      <c r="I67" s="10"/>
      <c r="J67" s="10"/>
      <c r="K67" s="10"/>
      <c r="L67" s="10"/>
      <c r="M67" s="10"/>
      <c r="N67" s="10"/>
      <c r="O67" s="10"/>
      <c r="P67" s="10"/>
      <c r="Q67" s="100"/>
      <c r="R67" s="10"/>
      <c r="S67" s="10"/>
      <c r="T67" s="10"/>
      <c r="U67" s="543"/>
      <c r="V67" s="543"/>
      <c r="W67" s="543"/>
      <c r="X67" s="543"/>
      <c r="Y67" s="543"/>
      <c r="Z67" s="544"/>
      <c r="AA67" s="101"/>
      <c r="AB67" s="102"/>
      <c r="AC67" s="102"/>
      <c r="AD67" s="103"/>
    </row>
    <row r="68" spans="1:30" ht="27" customHeight="1" x14ac:dyDescent="0.25">
      <c r="A68" s="545" t="s">
        <v>46</v>
      </c>
      <c r="B68" s="546"/>
      <c r="C68" s="546"/>
      <c r="D68" s="546"/>
      <c r="E68" s="546"/>
      <c r="F68" s="546"/>
      <c r="G68" s="546"/>
      <c r="H68" s="546"/>
      <c r="I68" s="546"/>
      <c r="J68" s="546"/>
      <c r="K68" s="546"/>
      <c r="L68" s="546"/>
      <c r="M68" s="546"/>
      <c r="N68" s="546"/>
      <c r="O68" s="546"/>
      <c r="P68" s="546"/>
      <c r="Q68" s="547"/>
      <c r="R68" s="536" t="s">
        <v>47</v>
      </c>
      <c r="S68" s="537"/>
      <c r="T68" s="538"/>
      <c r="U68" s="275" t="s">
        <v>76</v>
      </c>
      <c r="V68" s="276"/>
      <c r="W68" s="276"/>
      <c r="X68" s="277"/>
      <c r="Y68" s="277"/>
      <c r="Z68" s="278"/>
      <c r="AA68" s="104"/>
      <c r="AB68" s="105"/>
      <c r="AC68" s="105"/>
      <c r="AD68" s="103"/>
    </row>
    <row r="69" spans="1:30" ht="15.75" customHeight="1" x14ac:dyDescent="0.25">
      <c r="A69" s="548" t="s">
        <v>48</v>
      </c>
      <c r="B69" s="549"/>
      <c r="C69" s="549"/>
      <c r="D69" s="549"/>
      <c r="E69" s="549"/>
      <c r="F69" s="549"/>
      <c r="G69" s="549"/>
      <c r="H69" s="549"/>
      <c r="I69" s="549"/>
      <c r="J69" s="549"/>
      <c r="K69" s="549"/>
      <c r="L69" s="549"/>
      <c r="M69" s="549"/>
      <c r="N69" s="549"/>
      <c r="O69" s="549"/>
      <c r="P69" s="549"/>
      <c r="Q69" s="550"/>
      <c r="R69" s="536" t="s">
        <v>49</v>
      </c>
      <c r="S69" s="537"/>
      <c r="T69" s="538"/>
      <c r="U69" s="554" t="s">
        <v>77</v>
      </c>
      <c r="V69" s="555"/>
      <c r="W69" s="555"/>
      <c r="X69" s="555"/>
      <c r="Y69" s="555"/>
      <c r="Z69" s="556"/>
      <c r="AA69" s="104"/>
      <c r="AB69" s="105"/>
      <c r="AC69" s="105"/>
      <c r="AD69" s="103"/>
    </row>
    <row r="70" spans="1:30" ht="9" customHeight="1" x14ac:dyDescent="0.25">
      <c r="A70" s="548"/>
      <c r="B70" s="549"/>
      <c r="C70" s="549"/>
      <c r="D70" s="549"/>
      <c r="E70" s="549"/>
      <c r="F70" s="549"/>
      <c r="G70" s="549"/>
      <c r="H70" s="549"/>
      <c r="I70" s="549"/>
      <c r="J70" s="549"/>
      <c r="K70" s="549"/>
      <c r="L70" s="549"/>
      <c r="M70" s="549"/>
      <c r="N70" s="549"/>
      <c r="O70" s="549"/>
      <c r="P70" s="549"/>
      <c r="Q70" s="550"/>
      <c r="R70" s="536"/>
      <c r="S70" s="537"/>
      <c r="T70" s="538"/>
      <c r="U70" s="557"/>
      <c r="V70" s="454"/>
      <c r="W70" s="454"/>
      <c r="X70" s="454"/>
      <c r="Y70" s="454"/>
      <c r="Z70" s="558"/>
      <c r="AA70" s="104"/>
      <c r="AB70" s="105"/>
      <c r="AC70" s="105"/>
      <c r="AD70" s="103"/>
    </row>
    <row r="71" spans="1:30" ht="15.9" customHeight="1" x14ac:dyDescent="0.25">
      <c r="A71" s="551"/>
      <c r="B71" s="552"/>
      <c r="C71" s="552"/>
      <c r="D71" s="552"/>
      <c r="E71" s="552"/>
      <c r="F71" s="552"/>
      <c r="G71" s="552"/>
      <c r="H71" s="552"/>
      <c r="I71" s="552"/>
      <c r="J71" s="552"/>
      <c r="K71" s="552"/>
      <c r="L71" s="552"/>
      <c r="M71" s="552"/>
      <c r="N71" s="552"/>
      <c r="O71" s="552"/>
      <c r="P71" s="552"/>
      <c r="Q71" s="553"/>
      <c r="R71" s="536"/>
      <c r="S71" s="537"/>
      <c r="T71" s="538"/>
      <c r="U71" s="557"/>
      <c r="V71" s="454"/>
      <c r="W71" s="454"/>
      <c r="X71" s="454"/>
      <c r="Y71" s="454"/>
      <c r="Z71" s="558"/>
      <c r="AA71" s="104"/>
      <c r="AB71" s="105"/>
      <c r="AC71" s="105"/>
      <c r="AD71" s="103"/>
    </row>
    <row r="72" spans="1:30" ht="15.9" customHeight="1" x14ac:dyDescent="0.25">
      <c r="A72" s="106" t="s">
        <v>50</v>
      </c>
      <c r="B72" s="107" t="s">
        <v>51</v>
      </c>
      <c r="C72" s="13"/>
      <c r="D72" s="13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9"/>
      <c r="R72" s="536"/>
      <c r="S72" s="537"/>
      <c r="T72" s="538"/>
      <c r="U72" s="559"/>
      <c r="V72" s="560"/>
      <c r="W72" s="560"/>
      <c r="X72" s="560"/>
      <c r="Y72" s="560"/>
      <c r="Z72" s="561"/>
      <c r="AA72" s="104"/>
      <c r="AB72" s="105"/>
      <c r="AC72" s="105"/>
      <c r="AD72" s="103"/>
    </row>
    <row r="73" spans="1:30" ht="15.75" customHeight="1" x14ac:dyDescent="0.25">
      <c r="A73" s="530"/>
      <c r="B73" s="531"/>
      <c r="C73" s="531"/>
      <c r="D73" s="531"/>
      <c r="E73" s="531"/>
      <c r="F73" s="531"/>
      <c r="G73" s="531"/>
      <c r="H73" s="531"/>
      <c r="I73" s="531"/>
      <c r="J73" s="531"/>
      <c r="K73" s="531"/>
      <c r="L73" s="531"/>
      <c r="M73" s="531"/>
      <c r="N73" s="531"/>
      <c r="O73" s="531"/>
      <c r="P73" s="531"/>
      <c r="Q73" s="532"/>
      <c r="R73" s="536" t="s">
        <v>52</v>
      </c>
      <c r="S73" s="537"/>
      <c r="T73" s="538"/>
      <c r="U73" s="110"/>
      <c r="V73" s="111"/>
      <c r="W73" s="111"/>
      <c r="X73" s="111"/>
      <c r="Y73" s="111"/>
      <c r="Z73" s="112"/>
      <c r="AA73" s="113"/>
      <c r="AB73" s="114"/>
      <c r="AC73" s="114"/>
      <c r="AD73" s="103"/>
    </row>
    <row r="74" spans="1:30" ht="15.9" customHeight="1" x14ac:dyDescent="0.25">
      <c r="A74" s="530"/>
      <c r="B74" s="531"/>
      <c r="C74" s="531"/>
      <c r="D74" s="531"/>
      <c r="E74" s="531"/>
      <c r="F74" s="531"/>
      <c r="G74" s="531"/>
      <c r="H74" s="531"/>
      <c r="I74" s="531"/>
      <c r="J74" s="531"/>
      <c r="K74" s="531"/>
      <c r="L74" s="531"/>
      <c r="M74" s="531"/>
      <c r="N74" s="531"/>
      <c r="O74" s="531"/>
      <c r="P74" s="531"/>
      <c r="Q74" s="532"/>
      <c r="R74" s="536"/>
      <c r="S74" s="537"/>
      <c r="T74" s="538"/>
      <c r="U74" s="115"/>
      <c r="V74" s="542"/>
      <c r="W74" s="542"/>
      <c r="X74" s="542"/>
      <c r="Y74" s="542"/>
      <c r="Z74" s="116"/>
      <c r="AA74" s="113"/>
      <c r="AB74" s="114"/>
      <c r="AC74" s="114"/>
      <c r="AD74" s="103"/>
    </row>
    <row r="75" spans="1:30" ht="15.9" customHeight="1" x14ac:dyDescent="0.25">
      <c r="A75" s="530"/>
      <c r="B75" s="531"/>
      <c r="C75" s="531"/>
      <c r="D75" s="531"/>
      <c r="E75" s="531"/>
      <c r="F75" s="531"/>
      <c r="G75" s="531"/>
      <c r="H75" s="531"/>
      <c r="I75" s="531"/>
      <c r="J75" s="531"/>
      <c r="K75" s="531"/>
      <c r="L75" s="531"/>
      <c r="M75" s="531"/>
      <c r="N75" s="531"/>
      <c r="O75" s="531"/>
      <c r="P75" s="531"/>
      <c r="Q75" s="532"/>
      <c r="R75" s="536"/>
      <c r="S75" s="537"/>
      <c r="T75" s="538"/>
      <c r="U75" s="115"/>
      <c r="V75" s="542"/>
      <c r="W75" s="542"/>
      <c r="X75" s="542"/>
      <c r="Y75" s="542"/>
      <c r="Z75" s="116"/>
      <c r="AA75" s="113"/>
      <c r="AB75" s="114"/>
      <c r="AC75" s="114"/>
      <c r="AD75" s="103"/>
    </row>
    <row r="76" spans="1:30" ht="15.75" customHeight="1" x14ac:dyDescent="0.25">
      <c r="A76" s="533"/>
      <c r="B76" s="534"/>
      <c r="C76" s="534"/>
      <c r="D76" s="534"/>
      <c r="E76" s="534"/>
      <c r="F76" s="534"/>
      <c r="G76" s="534"/>
      <c r="H76" s="534"/>
      <c r="I76" s="534"/>
      <c r="J76" s="534"/>
      <c r="K76" s="534"/>
      <c r="L76" s="534"/>
      <c r="M76" s="534"/>
      <c r="N76" s="534"/>
      <c r="O76" s="534"/>
      <c r="P76" s="534"/>
      <c r="Q76" s="535"/>
      <c r="R76" s="539"/>
      <c r="S76" s="540"/>
      <c r="T76" s="541"/>
      <c r="U76" s="117"/>
      <c r="V76" s="118"/>
      <c r="W76" s="118"/>
      <c r="X76" s="118"/>
      <c r="Y76" s="118"/>
      <c r="Z76" s="119"/>
      <c r="AA76" s="113"/>
      <c r="AB76" s="114"/>
      <c r="AC76" s="114"/>
      <c r="AD76" s="103"/>
    </row>
  </sheetData>
  <mergeCells count="106">
    <mergeCell ref="A73:Q76"/>
    <mergeCell ref="R73:T76"/>
    <mergeCell ref="V74:Y75"/>
    <mergeCell ref="U67:Z67"/>
    <mergeCell ref="A68:Q68"/>
    <mergeCell ref="R68:T68"/>
    <mergeCell ref="U68:Z68"/>
    <mergeCell ref="A69:Q71"/>
    <mergeCell ref="R69:T72"/>
    <mergeCell ref="U69:Z72"/>
    <mergeCell ref="U63:V63"/>
    <mergeCell ref="W63:X63"/>
    <mergeCell ref="Y63:Z63"/>
    <mergeCell ref="AD63:AD64"/>
    <mergeCell ref="AE63:AE64"/>
    <mergeCell ref="B64:D64"/>
    <mergeCell ref="U64:V64"/>
    <mergeCell ref="W64:X64"/>
    <mergeCell ref="Y64:Z64"/>
    <mergeCell ref="B61:D61"/>
    <mergeCell ref="U61:V61"/>
    <mergeCell ref="W61:X61"/>
    <mergeCell ref="Y61:Z61"/>
    <mergeCell ref="AB61:AC61"/>
    <mergeCell ref="B62:D62"/>
    <mergeCell ref="U62:V62"/>
    <mergeCell ref="W62:X62"/>
    <mergeCell ref="Y62:Z62"/>
    <mergeCell ref="AB62:AC62"/>
    <mergeCell ref="B60:D60"/>
    <mergeCell ref="C56:D56"/>
    <mergeCell ref="U56:V56"/>
    <mergeCell ref="W56:X56"/>
    <mergeCell ref="Y56:Z56"/>
    <mergeCell ref="AB56:AC56"/>
    <mergeCell ref="C57:D57"/>
    <mergeCell ref="U57:V57"/>
    <mergeCell ref="W57:X57"/>
    <mergeCell ref="Y57:Z57"/>
    <mergeCell ref="AB57:AC57"/>
    <mergeCell ref="C54:D54"/>
    <mergeCell ref="C55:D55"/>
    <mergeCell ref="U55:V55"/>
    <mergeCell ref="W55:X55"/>
    <mergeCell ref="Y55:Z55"/>
    <mergeCell ref="AB55:AC55"/>
    <mergeCell ref="C58:D58"/>
    <mergeCell ref="U58:V58"/>
    <mergeCell ref="W58:X58"/>
    <mergeCell ref="Y58:Z58"/>
    <mergeCell ref="AB58:AC58"/>
    <mergeCell ref="AD51:AD52"/>
    <mergeCell ref="AE51:AE52"/>
    <mergeCell ref="AF51:AF52"/>
    <mergeCell ref="AG51:AG52"/>
    <mergeCell ref="E53:T53"/>
    <mergeCell ref="U53:V54"/>
    <mergeCell ref="W53:X54"/>
    <mergeCell ref="Y53:Z54"/>
    <mergeCell ref="AB53:AC54"/>
    <mergeCell ref="AD53:AD54"/>
    <mergeCell ref="AE53:AE54"/>
    <mergeCell ref="AF53:AF54"/>
    <mergeCell ref="AG53:AG54"/>
    <mergeCell ref="AE15:AJ15"/>
    <mergeCell ref="AE16:AJ16"/>
    <mergeCell ref="B19:H19"/>
    <mergeCell ref="I19:Y19"/>
    <mergeCell ref="B20:H20"/>
    <mergeCell ref="I20:Y20"/>
    <mergeCell ref="AE13:AJ13"/>
    <mergeCell ref="B14:F14"/>
    <mergeCell ref="G14:L14"/>
    <mergeCell ref="M14:R14"/>
    <mergeCell ref="S14:Y14"/>
    <mergeCell ref="AE14:AJ14"/>
    <mergeCell ref="B12:F12"/>
    <mergeCell ref="G12:L12"/>
    <mergeCell ref="M12:R12"/>
    <mergeCell ref="S12:Y12"/>
    <mergeCell ref="G13:L13"/>
    <mergeCell ref="M13:R13"/>
    <mergeCell ref="S13:Y13"/>
    <mergeCell ref="AE10:AI10"/>
    <mergeCell ref="B11:F11"/>
    <mergeCell ref="G11:L11"/>
    <mergeCell ref="M11:R11"/>
    <mergeCell ref="S11:Y11"/>
    <mergeCell ref="AE11:AI11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1A742-F581-4F42-B710-1BF250429249}">
  <sheetPr>
    <pageSetUpPr fitToPage="1"/>
  </sheetPr>
  <dimension ref="A1:AN76"/>
  <sheetViews>
    <sheetView topLeftCell="A6" zoomScaleNormal="100" workbookViewId="0">
      <selection activeCell="M62" sqref="M62"/>
    </sheetView>
  </sheetViews>
  <sheetFormatPr baseColWidth="10" defaultColWidth="11.44140625" defaultRowHeight="12.75" customHeight="1" x14ac:dyDescent="0.25"/>
  <cols>
    <col min="1" max="2" width="5.109375" style="28" customWidth="1"/>
    <col min="3" max="27" width="5.109375" style="2" customWidth="1"/>
    <col min="28" max="41" width="11.44140625" style="2" customWidth="1"/>
    <col min="42" max="16384" width="11.44140625" style="2"/>
  </cols>
  <sheetData>
    <row r="1" spans="1:36" ht="12.75" customHeight="1" x14ac:dyDescent="0.25">
      <c r="A1" s="430"/>
      <c r="B1" s="431"/>
      <c r="C1" s="431"/>
      <c r="D1" s="431"/>
      <c r="E1" s="431"/>
      <c r="F1" s="432"/>
      <c r="G1" s="439" t="s">
        <v>0</v>
      </c>
      <c r="H1" s="440"/>
      <c r="I1" s="440"/>
      <c r="J1" s="440"/>
      <c r="K1" s="440"/>
      <c r="L1" s="440"/>
      <c r="M1" s="440"/>
      <c r="N1" s="440"/>
      <c r="O1" s="440"/>
      <c r="P1" s="440"/>
      <c r="Q1" s="440"/>
      <c r="R1" s="440"/>
      <c r="S1" s="440"/>
      <c r="T1" s="441"/>
      <c r="U1" s="405" t="s">
        <v>59</v>
      </c>
      <c r="V1" s="406"/>
      <c r="W1" s="406"/>
      <c r="X1" s="406"/>
      <c r="Y1" s="406"/>
      <c r="Z1" s="407"/>
      <c r="AA1" s="1"/>
    </row>
    <row r="2" spans="1:36" ht="12.75" customHeight="1" x14ac:dyDescent="0.25">
      <c r="A2" s="433"/>
      <c r="B2" s="434"/>
      <c r="C2" s="434"/>
      <c r="D2" s="434"/>
      <c r="E2" s="434"/>
      <c r="F2" s="435"/>
      <c r="G2" s="442" t="s">
        <v>1</v>
      </c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4"/>
      <c r="U2" s="408"/>
      <c r="V2" s="409"/>
      <c r="W2" s="409"/>
      <c r="X2" s="409"/>
      <c r="Y2" s="409"/>
      <c r="Z2" s="410"/>
      <c r="AA2" s="1"/>
    </row>
    <row r="3" spans="1:36" ht="12.75" customHeight="1" x14ac:dyDescent="0.25">
      <c r="A3" s="433"/>
      <c r="B3" s="434"/>
      <c r="C3" s="434"/>
      <c r="D3" s="434"/>
      <c r="E3" s="434"/>
      <c r="F3" s="435"/>
      <c r="G3" s="445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4"/>
      <c r="U3" s="408"/>
      <c r="V3" s="409"/>
      <c r="W3" s="409"/>
      <c r="X3" s="409"/>
      <c r="Y3" s="409"/>
      <c r="Z3" s="410"/>
      <c r="AA3" s="1"/>
    </row>
    <row r="4" spans="1:36" ht="12.75" customHeight="1" x14ac:dyDescent="0.25">
      <c r="A4" s="433"/>
      <c r="B4" s="434"/>
      <c r="C4" s="434"/>
      <c r="D4" s="434"/>
      <c r="E4" s="434"/>
      <c r="F4" s="435"/>
      <c r="G4" s="445"/>
      <c r="H4" s="443"/>
      <c r="I4" s="443"/>
      <c r="J4" s="443"/>
      <c r="K4" s="443"/>
      <c r="L4" s="443"/>
      <c r="M4" s="443"/>
      <c r="N4" s="443"/>
      <c r="O4" s="443"/>
      <c r="P4" s="443"/>
      <c r="Q4" s="443"/>
      <c r="R4" s="443"/>
      <c r="S4" s="443"/>
      <c r="T4" s="444"/>
      <c r="U4" s="408"/>
      <c r="V4" s="409"/>
      <c r="W4" s="409"/>
      <c r="X4" s="409"/>
      <c r="Y4" s="409"/>
      <c r="Z4" s="410"/>
      <c r="AA4" s="1"/>
    </row>
    <row r="5" spans="1:36" ht="12.75" customHeight="1" x14ac:dyDescent="0.25">
      <c r="A5" s="433"/>
      <c r="B5" s="434"/>
      <c r="C5" s="434"/>
      <c r="D5" s="434"/>
      <c r="E5" s="434"/>
      <c r="F5" s="435"/>
      <c r="G5" s="445" t="s">
        <v>2</v>
      </c>
      <c r="H5" s="443"/>
      <c r="I5" s="3" t="s">
        <v>3</v>
      </c>
      <c r="J5" s="446">
        <v>5</v>
      </c>
      <c r="K5" s="447"/>
      <c r="L5" s="448" t="s">
        <v>60</v>
      </c>
      <c r="M5" s="446"/>
      <c r="N5" s="446"/>
      <c r="O5" s="447"/>
      <c r="P5" s="449">
        <v>45820</v>
      </c>
      <c r="Q5" s="450"/>
      <c r="R5" s="450"/>
      <c r="S5" s="450"/>
      <c r="T5" s="451"/>
      <c r="U5" s="408"/>
      <c r="V5" s="409"/>
      <c r="W5" s="409"/>
      <c r="X5" s="409"/>
      <c r="Y5" s="409"/>
      <c r="Z5" s="410"/>
      <c r="AA5" s="1"/>
    </row>
    <row r="6" spans="1:36" ht="12.75" customHeight="1" x14ac:dyDescent="0.25">
      <c r="A6" s="436"/>
      <c r="B6" s="437"/>
      <c r="C6" s="437"/>
      <c r="D6" s="437"/>
      <c r="E6" s="437"/>
      <c r="F6" s="438"/>
      <c r="G6" s="4"/>
      <c r="H6" s="5"/>
      <c r="I6" s="5"/>
      <c r="J6" s="423" t="s">
        <v>4</v>
      </c>
      <c r="K6" s="423"/>
      <c r="L6" s="423" t="s">
        <v>5</v>
      </c>
      <c r="M6" s="423"/>
      <c r="N6" s="423"/>
      <c r="O6" s="423"/>
      <c r="P6" s="423" t="s">
        <v>6</v>
      </c>
      <c r="Q6" s="423"/>
      <c r="R6" s="423"/>
      <c r="S6" s="423"/>
      <c r="T6" s="424"/>
      <c r="U6" s="411"/>
      <c r="V6" s="412"/>
      <c r="W6" s="412"/>
      <c r="X6" s="412"/>
      <c r="Y6" s="412"/>
      <c r="Z6" s="413"/>
      <c r="AA6" s="1"/>
    </row>
    <row r="7" spans="1:36" ht="37.5" customHeight="1" x14ac:dyDescent="0.25">
      <c r="A7" s="425" t="s">
        <v>7</v>
      </c>
      <c r="B7" s="425"/>
      <c r="C7" s="425"/>
      <c r="D7" s="425"/>
      <c r="E7" s="425"/>
      <c r="F7" s="425"/>
      <c r="G7" s="426" t="s">
        <v>8</v>
      </c>
      <c r="H7" s="426"/>
      <c r="I7" s="426"/>
      <c r="J7" s="426"/>
      <c r="K7" s="426"/>
      <c r="L7" s="426"/>
      <c r="M7" s="426"/>
      <c r="N7" s="426"/>
      <c r="O7" s="426"/>
      <c r="P7" s="426"/>
      <c r="Q7" s="426"/>
      <c r="R7" s="426"/>
      <c r="S7" s="426"/>
      <c r="T7" s="426"/>
      <c r="U7" s="426"/>
      <c r="V7" s="426"/>
      <c r="W7" s="426"/>
      <c r="X7" s="426"/>
      <c r="Y7" s="426"/>
      <c r="Z7" s="426"/>
      <c r="AA7" s="6"/>
      <c r="AE7" s="7"/>
      <c r="AI7" s="7"/>
    </row>
    <row r="8" spans="1:36" ht="15.9" customHeight="1" x14ac:dyDescent="0.25">
      <c r="A8" s="8" t="s">
        <v>9</v>
      </c>
      <c r="B8" s="9" t="s">
        <v>10</v>
      </c>
      <c r="C8" s="10"/>
      <c r="D8" s="11"/>
      <c r="E8" s="11"/>
      <c r="F8" s="11"/>
      <c r="G8" s="11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2"/>
      <c r="AA8" s="13"/>
      <c r="AB8" s="14"/>
      <c r="AC8" s="14"/>
      <c r="AD8" s="14"/>
      <c r="AE8" s="7"/>
      <c r="AF8" s="14"/>
      <c r="AI8" s="7"/>
    </row>
    <row r="9" spans="1:36" ht="15.9" customHeight="1" x14ac:dyDescent="0.25">
      <c r="A9" s="15"/>
      <c r="B9" s="13"/>
      <c r="C9" s="13"/>
      <c r="D9" s="16"/>
      <c r="E9" s="16"/>
      <c r="F9" s="16"/>
      <c r="G9" s="16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7"/>
      <c r="AA9" s="13"/>
      <c r="AB9" s="14"/>
      <c r="AC9" s="14"/>
      <c r="AD9" s="14"/>
      <c r="AE9" s="7"/>
      <c r="AF9" s="14"/>
      <c r="AI9" s="7"/>
    </row>
    <row r="10" spans="1:36" ht="15.9" customHeight="1" x14ac:dyDescent="0.25">
      <c r="A10" s="15"/>
      <c r="B10" s="385" t="s">
        <v>11</v>
      </c>
      <c r="C10" s="385"/>
      <c r="D10" s="385"/>
      <c r="E10" s="385"/>
      <c r="F10" s="385"/>
      <c r="G10" s="384" t="s">
        <v>74</v>
      </c>
      <c r="H10" s="384"/>
      <c r="I10" s="384"/>
      <c r="J10" s="384"/>
      <c r="K10" s="384"/>
      <c r="L10" s="384"/>
      <c r="M10" s="385" t="s">
        <v>12</v>
      </c>
      <c r="N10" s="385"/>
      <c r="O10" s="385"/>
      <c r="P10" s="385"/>
      <c r="Q10" s="385"/>
      <c r="R10" s="385"/>
      <c r="S10" s="388" t="s">
        <v>13</v>
      </c>
      <c r="T10" s="388"/>
      <c r="U10" s="388"/>
      <c r="V10" s="388"/>
      <c r="W10" s="388"/>
      <c r="X10" s="388"/>
      <c r="Y10" s="388"/>
      <c r="Z10" s="18"/>
      <c r="AA10" s="19"/>
      <c r="AB10" s="14"/>
      <c r="AC10" s="14"/>
      <c r="AD10" s="14"/>
      <c r="AE10" s="385"/>
      <c r="AF10" s="385"/>
      <c r="AG10" s="385"/>
      <c r="AH10" s="385"/>
      <c r="AI10" s="385"/>
    </row>
    <row r="11" spans="1:36" ht="15.9" customHeight="1" x14ac:dyDescent="0.25">
      <c r="A11" s="15"/>
      <c r="B11" s="385" t="s">
        <v>14</v>
      </c>
      <c r="C11" s="385"/>
      <c r="D11" s="385"/>
      <c r="E11" s="385"/>
      <c r="F11" s="385"/>
      <c r="G11" s="384">
        <v>45820</v>
      </c>
      <c r="H11" s="384"/>
      <c r="I11" s="384"/>
      <c r="J11" s="384"/>
      <c r="K11" s="384"/>
      <c r="L11" s="384"/>
      <c r="M11" s="385" t="s">
        <v>15</v>
      </c>
      <c r="N11" s="385"/>
      <c r="O11" s="385"/>
      <c r="P11" s="385"/>
      <c r="Q11" s="385"/>
      <c r="R11" s="385"/>
      <c r="S11" s="562" t="s">
        <v>75</v>
      </c>
      <c r="T11" s="562"/>
      <c r="U11" s="562"/>
      <c r="V11" s="562"/>
      <c r="W11" s="562"/>
      <c r="X11" s="562"/>
      <c r="Y11" s="562"/>
      <c r="Z11" s="18"/>
      <c r="AA11" s="19"/>
      <c r="AB11" s="14"/>
      <c r="AC11" s="14"/>
      <c r="AD11" s="14"/>
      <c r="AE11" s="385"/>
      <c r="AF11" s="385"/>
      <c r="AG11" s="385"/>
      <c r="AH11" s="385"/>
      <c r="AI11" s="385"/>
    </row>
    <row r="12" spans="1:36" ht="15.9" customHeight="1" x14ac:dyDescent="0.25">
      <c r="A12" s="15"/>
      <c r="B12" s="385" t="s">
        <v>16</v>
      </c>
      <c r="C12" s="385"/>
      <c r="D12" s="385"/>
      <c r="E12" s="385"/>
      <c r="F12" s="385"/>
      <c r="G12" s="386">
        <v>45820</v>
      </c>
      <c r="H12" s="386"/>
      <c r="I12" s="386"/>
      <c r="J12" s="386"/>
      <c r="K12" s="386"/>
      <c r="L12" s="386"/>
      <c r="M12" s="387" t="s">
        <v>17</v>
      </c>
      <c r="N12" s="387"/>
      <c r="O12" s="387"/>
      <c r="P12" s="387"/>
      <c r="Q12" s="387"/>
      <c r="R12" s="387"/>
      <c r="S12" s="388">
        <v>61</v>
      </c>
      <c r="T12" s="388"/>
      <c r="U12" s="388"/>
      <c r="V12" s="388"/>
      <c r="W12" s="388"/>
      <c r="X12" s="388"/>
      <c r="Y12" s="388"/>
      <c r="Z12" s="18"/>
      <c r="AA12" s="19"/>
      <c r="AB12" s="14"/>
      <c r="AC12" s="14"/>
      <c r="AD12" s="14"/>
      <c r="AE12" s="7"/>
      <c r="AF12" s="14"/>
      <c r="AI12" s="7"/>
    </row>
    <row r="13" spans="1:36" ht="15.9" customHeight="1" x14ac:dyDescent="0.25">
      <c r="A13" s="15"/>
      <c r="B13" s="20" t="s">
        <v>18</v>
      </c>
      <c r="C13" s="20"/>
      <c r="D13" s="20"/>
      <c r="E13" s="20"/>
      <c r="F13" s="20"/>
      <c r="G13" s="386" t="s">
        <v>64</v>
      </c>
      <c r="H13" s="386"/>
      <c r="I13" s="386"/>
      <c r="J13" s="386"/>
      <c r="K13" s="386"/>
      <c r="L13" s="386"/>
      <c r="M13" s="385" t="s">
        <v>19</v>
      </c>
      <c r="N13" s="385"/>
      <c r="O13" s="385"/>
      <c r="P13" s="385"/>
      <c r="Q13" s="385"/>
      <c r="R13" s="385"/>
      <c r="S13" s="386" t="s">
        <v>67</v>
      </c>
      <c r="T13" s="386"/>
      <c r="U13" s="386"/>
      <c r="V13" s="386"/>
      <c r="W13" s="386"/>
      <c r="X13" s="386"/>
      <c r="Y13" s="386"/>
      <c r="Z13" s="18"/>
      <c r="AA13" s="19"/>
      <c r="AB13" s="14"/>
      <c r="AC13" s="14"/>
      <c r="AD13" s="14"/>
      <c r="AE13" s="385"/>
      <c r="AF13" s="385"/>
      <c r="AG13" s="385"/>
      <c r="AH13" s="385"/>
      <c r="AI13" s="385"/>
      <c r="AJ13" s="385"/>
    </row>
    <row r="14" spans="1:36" ht="15.9" customHeight="1" x14ac:dyDescent="0.25">
      <c r="A14" s="21"/>
      <c r="B14" s="385" t="s">
        <v>20</v>
      </c>
      <c r="C14" s="385"/>
      <c r="D14" s="385"/>
      <c r="E14" s="385"/>
      <c r="F14" s="385"/>
      <c r="G14" s="386" t="s">
        <v>65</v>
      </c>
      <c r="H14" s="386"/>
      <c r="I14" s="386"/>
      <c r="J14" s="386"/>
      <c r="K14" s="386"/>
      <c r="L14" s="386"/>
      <c r="M14" s="388" t="s">
        <v>21</v>
      </c>
      <c r="N14" s="388"/>
      <c r="O14" s="388"/>
      <c r="P14" s="388"/>
      <c r="Q14" s="388"/>
      <c r="R14" s="388"/>
      <c r="S14" s="388" t="s">
        <v>22</v>
      </c>
      <c r="T14" s="388"/>
      <c r="U14" s="388"/>
      <c r="V14" s="388"/>
      <c r="W14" s="388"/>
      <c r="X14" s="388"/>
      <c r="Y14" s="388"/>
      <c r="Z14" s="22"/>
      <c r="AA14" s="14"/>
      <c r="AB14" s="14"/>
      <c r="AC14" s="14"/>
      <c r="AD14" s="14"/>
      <c r="AE14" s="385"/>
      <c r="AF14" s="385"/>
      <c r="AG14" s="385"/>
      <c r="AH14" s="385"/>
      <c r="AI14" s="385"/>
      <c r="AJ14" s="385"/>
    </row>
    <row r="15" spans="1:36" ht="6" customHeight="1" x14ac:dyDescent="0.25">
      <c r="A15" s="23"/>
      <c r="B15" s="24"/>
      <c r="C15" s="25"/>
      <c r="D15" s="25"/>
      <c r="E15" s="25"/>
      <c r="F15" s="24"/>
      <c r="G15" s="24"/>
      <c r="H15" s="24"/>
      <c r="I15" s="24"/>
      <c r="J15" s="24"/>
      <c r="K15" s="24"/>
      <c r="L15" s="24"/>
      <c r="M15" s="24"/>
      <c r="N15" s="25"/>
      <c r="O15" s="25"/>
      <c r="P15" s="25"/>
      <c r="Q15" s="25"/>
      <c r="R15" s="25"/>
      <c r="S15" s="25"/>
      <c r="T15" s="26"/>
      <c r="U15" s="26"/>
      <c r="V15" s="25"/>
      <c r="W15" s="25"/>
      <c r="X15" s="25"/>
      <c r="Y15" s="25"/>
      <c r="Z15" s="27"/>
      <c r="AE15" s="385"/>
      <c r="AF15" s="385"/>
      <c r="AG15" s="385"/>
      <c r="AH15" s="385"/>
      <c r="AI15" s="385"/>
      <c r="AJ15" s="385"/>
    </row>
    <row r="16" spans="1:36" ht="6" customHeight="1" x14ac:dyDescent="0.25">
      <c r="F16" s="28"/>
      <c r="G16" s="28"/>
      <c r="H16" s="28"/>
      <c r="I16" s="28"/>
      <c r="J16" s="28"/>
      <c r="K16" s="28"/>
      <c r="L16" s="28"/>
      <c r="M16" s="28"/>
      <c r="T16" s="29"/>
      <c r="U16" s="29"/>
      <c r="AE16" s="385"/>
      <c r="AF16" s="385"/>
      <c r="AG16" s="385"/>
      <c r="AH16" s="385"/>
      <c r="AI16" s="385"/>
      <c r="AJ16" s="385"/>
    </row>
    <row r="17" spans="1:40" ht="15.9" customHeight="1" x14ac:dyDescent="0.25">
      <c r="A17" s="8" t="s">
        <v>23</v>
      </c>
      <c r="B17" s="9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2"/>
      <c r="AA17" s="13"/>
      <c r="AE17" s="30"/>
      <c r="AI17" s="30"/>
    </row>
    <row r="18" spans="1:40" ht="8.25" customHeight="1" x14ac:dyDescent="0.25">
      <c r="A18" s="15"/>
      <c r="B18" s="31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7"/>
      <c r="AA18" s="13"/>
      <c r="AE18" s="30"/>
      <c r="AI18" s="30"/>
    </row>
    <row r="19" spans="1:40" ht="15.9" customHeight="1" x14ac:dyDescent="0.25">
      <c r="A19" s="15"/>
      <c r="B19" s="385" t="s">
        <v>25</v>
      </c>
      <c r="C19" s="385"/>
      <c r="D19" s="385"/>
      <c r="E19" s="385"/>
      <c r="F19" s="385"/>
      <c r="G19" s="385"/>
      <c r="H19" s="385"/>
      <c r="I19" s="453"/>
      <c r="J19" s="453"/>
      <c r="K19" s="453"/>
      <c r="L19" s="453"/>
      <c r="M19" s="453"/>
      <c r="N19" s="453"/>
      <c r="O19" s="453"/>
      <c r="P19" s="453"/>
      <c r="Q19" s="453"/>
      <c r="R19" s="453"/>
      <c r="S19" s="453"/>
      <c r="T19" s="453"/>
      <c r="U19" s="453"/>
      <c r="V19" s="453"/>
      <c r="W19" s="453"/>
      <c r="X19" s="453"/>
      <c r="Y19" s="453"/>
      <c r="Z19" s="18"/>
      <c r="AA19" s="19"/>
      <c r="AE19" s="30"/>
      <c r="AI19" s="30"/>
    </row>
    <row r="20" spans="1:40" ht="15.9" customHeight="1" x14ac:dyDescent="0.25">
      <c r="A20" s="15"/>
      <c r="B20" s="385" t="s">
        <v>26</v>
      </c>
      <c r="C20" s="385"/>
      <c r="D20" s="385"/>
      <c r="E20" s="385"/>
      <c r="F20" s="385"/>
      <c r="G20" s="385"/>
      <c r="H20" s="385"/>
      <c r="I20" s="454"/>
      <c r="J20" s="454"/>
      <c r="K20" s="454"/>
      <c r="L20" s="454"/>
      <c r="M20" s="454"/>
      <c r="N20" s="454"/>
      <c r="O20" s="454"/>
      <c r="P20" s="454"/>
      <c r="Q20" s="454"/>
      <c r="R20" s="454"/>
      <c r="S20" s="454"/>
      <c r="T20" s="454"/>
      <c r="U20" s="454"/>
      <c r="V20" s="454"/>
      <c r="W20" s="454"/>
      <c r="X20" s="454"/>
      <c r="Y20" s="454"/>
      <c r="Z20" s="18"/>
      <c r="AA20" s="19"/>
      <c r="AE20" s="30"/>
      <c r="AI20" s="30"/>
    </row>
    <row r="21" spans="1:40" ht="7.5" customHeight="1" x14ac:dyDescent="0.2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32"/>
      <c r="AA21" s="13"/>
      <c r="AE21" s="30"/>
      <c r="AI21" s="30"/>
    </row>
    <row r="22" spans="1:40" ht="5.25" customHeight="1" x14ac:dyDescent="0.25">
      <c r="F22" s="28"/>
      <c r="G22" s="28"/>
      <c r="H22" s="28"/>
      <c r="I22" s="28"/>
      <c r="J22" s="28"/>
      <c r="K22" s="28"/>
      <c r="L22" s="28"/>
      <c r="M22" s="28"/>
      <c r="T22" s="29"/>
      <c r="U22" s="29"/>
      <c r="AE22" s="30"/>
      <c r="AI22" s="30"/>
      <c r="AM22" s="14"/>
      <c r="AN22" s="14"/>
    </row>
    <row r="23" spans="1:40" ht="15.9" customHeight="1" x14ac:dyDescent="0.25">
      <c r="A23" s="33" t="s">
        <v>23</v>
      </c>
      <c r="B23" s="34" t="s">
        <v>27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39"/>
      <c r="AN23" s="40"/>
    </row>
    <row r="24" spans="1:40" ht="9" customHeight="1" x14ac:dyDescent="0.25">
      <c r="A24" s="21"/>
      <c r="Z24" s="41"/>
    </row>
    <row r="25" spans="1:40" ht="9" customHeight="1" x14ac:dyDescent="0.25">
      <c r="A25" s="21"/>
      <c r="Z25" s="41"/>
    </row>
    <row r="26" spans="1:40" ht="9" customHeight="1" x14ac:dyDescent="0.25">
      <c r="A26" s="21"/>
      <c r="Z26" s="41"/>
    </row>
    <row r="27" spans="1:40" ht="12.75" customHeight="1" x14ac:dyDescent="0.25">
      <c r="A27" s="21"/>
      <c r="Z27" s="41"/>
    </row>
    <row r="28" spans="1:40" ht="12.75" customHeight="1" x14ac:dyDescent="0.25">
      <c r="A28" s="21"/>
      <c r="Z28" s="41"/>
    </row>
    <row r="29" spans="1:40" ht="12.75" customHeight="1" x14ac:dyDescent="0.25">
      <c r="A29" s="21"/>
      <c r="Z29" s="41"/>
    </row>
    <row r="30" spans="1:40" ht="12.75" customHeight="1" x14ac:dyDescent="0.25">
      <c r="A30" s="21"/>
      <c r="Z30" s="41"/>
    </row>
    <row r="31" spans="1:40" ht="12.75" customHeight="1" x14ac:dyDescent="0.25">
      <c r="A31" s="21"/>
      <c r="Z31" s="41"/>
    </row>
    <row r="32" spans="1:40" ht="12.75" customHeight="1" x14ac:dyDescent="0.25">
      <c r="A32" s="21"/>
      <c r="Z32" s="41"/>
    </row>
    <row r="33" spans="1:26" ht="12.75" customHeight="1" x14ac:dyDescent="0.25">
      <c r="A33" s="21"/>
      <c r="Z33" s="41"/>
    </row>
    <row r="34" spans="1:26" ht="12.75" customHeight="1" x14ac:dyDescent="0.25">
      <c r="A34" s="21"/>
      <c r="Z34" s="41"/>
    </row>
    <row r="35" spans="1:26" ht="12.75" customHeight="1" x14ac:dyDescent="0.25">
      <c r="A35" s="21"/>
      <c r="Z35" s="41"/>
    </row>
    <row r="36" spans="1:26" ht="12.75" customHeight="1" x14ac:dyDescent="0.25">
      <c r="A36" s="21"/>
      <c r="Z36" s="41"/>
    </row>
    <row r="37" spans="1:26" ht="12.75" customHeight="1" x14ac:dyDescent="0.25">
      <c r="A37" s="21"/>
      <c r="Z37" s="41"/>
    </row>
    <row r="38" spans="1:26" ht="12.75" customHeight="1" x14ac:dyDescent="0.25">
      <c r="A38" s="21"/>
      <c r="Z38" s="41"/>
    </row>
    <row r="39" spans="1:26" ht="12.75" customHeight="1" x14ac:dyDescent="0.25">
      <c r="A39" s="21"/>
      <c r="Z39" s="41"/>
    </row>
    <row r="40" spans="1:26" ht="12.75" customHeight="1" x14ac:dyDescent="0.25">
      <c r="A40" s="21"/>
      <c r="Z40" s="41"/>
    </row>
    <row r="41" spans="1:26" ht="12.75" customHeight="1" x14ac:dyDescent="0.25">
      <c r="A41" s="21"/>
      <c r="Z41" s="41"/>
    </row>
    <row r="42" spans="1:26" ht="12.75" customHeight="1" x14ac:dyDescent="0.25">
      <c r="A42" s="21"/>
      <c r="Z42" s="41"/>
    </row>
    <row r="43" spans="1:26" ht="12.75" customHeight="1" x14ac:dyDescent="0.25">
      <c r="A43" s="21"/>
      <c r="Z43" s="41"/>
    </row>
    <row r="44" spans="1:26" ht="12.75" customHeight="1" x14ac:dyDescent="0.25">
      <c r="A44" s="21"/>
      <c r="Z44" s="41"/>
    </row>
    <row r="45" spans="1:26" ht="12.75" customHeight="1" x14ac:dyDescent="0.25">
      <c r="A45" s="21"/>
      <c r="Z45" s="41"/>
    </row>
    <row r="46" spans="1:26" ht="12.75" customHeight="1" x14ac:dyDescent="0.25">
      <c r="A46" s="21"/>
      <c r="Z46" s="41"/>
    </row>
    <row r="47" spans="1:26" ht="12.75" customHeight="1" x14ac:dyDescent="0.25">
      <c r="A47" s="21"/>
      <c r="Z47" s="41"/>
    </row>
    <row r="48" spans="1:26" ht="12.75" customHeight="1" x14ac:dyDescent="0.25">
      <c r="A48" s="21"/>
      <c r="Z48" s="41"/>
    </row>
    <row r="49" spans="1:34" ht="12.75" customHeight="1" x14ac:dyDescent="0.25">
      <c r="A49" s="21"/>
      <c r="Z49" s="41"/>
    </row>
    <row r="50" spans="1:34" ht="9.75" customHeight="1" thickBot="1" x14ac:dyDescent="0.3">
      <c r="A50" s="21"/>
      <c r="Z50" s="41"/>
    </row>
    <row r="51" spans="1:34" ht="9.75" customHeight="1" x14ac:dyDescent="0.25">
      <c r="A51" s="21"/>
      <c r="Z51" s="41"/>
      <c r="AD51" s="378" t="s">
        <v>28</v>
      </c>
      <c r="AE51" s="380">
        <v>2.68</v>
      </c>
      <c r="AF51" s="455"/>
      <c r="AG51" s="457"/>
      <c r="AH51" s="42"/>
    </row>
    <row r="52" spans="1:34" ht="12.75" customHeight="1" thickBot="1" x14ac:dyDescent="0.3">
      <c r="A52" s="21"/>
      <c r="Z52" s="43"/>
      <c r="AD52" s="379"/>
      <c r="AE52" s="381"/>
      <c r="AF52" s="456"/>
      <c r="AG52" s="457"/>
    </row>
    <row r="53" spans="1:34" ht="18.75" customHeight="1" thickBot="1" x14ac:dyDescent="0.3">
      <c r="A53" s="21"/>
      <c r="E53" s="458" t="s">
        <v>29</v>
      </c>
      <c r="F53" s="459"/>
      <c r="G53" s="459"/>
      <c r="H53" s="459"/>
      <c r="I53" s="459"/>
      <c r="J53" s="459"/>
      <c r="K53" s="459"/>
      <c r="L53" s="459"/>
      <c r="M53" s="459"/>
      <c r="N53" s="459"/>
      <c r="O53" s="459"/>
      <c r="P53" s="459"/>
      <c r="Q53" s="459"/>
      <c r="R53" s="459"/>
      <c r="S53" s="459"/>
      <c r="T53" s="459"/>
      <c r="U53" s="460" t="s">
        <v>30</v>
      </c>
      <c r="V53" s="461"/>
      <c r="W53" s="464" t="s">
        <v>31</v>
      </c>
      <c r="X53" s="461"/>
      <c r="Y53" s="466" t="s">
        <v>32</v>
      </c>
      <c r="Z53" s="467"/>
      <c r="AA53" s="44"/>
      <c r="AB53" s="369" t="s">
        <v>33</v>
      </c>
      <c r="AC53" s="370"/>
      <c r="AD53" s="373" t="s">
        <v>34</v>
      </c>
      <c r="AE53" s="375" t="s">
        <v>35</v>
      </c>
      <c r="AF53" s="455"/>
      <c r="AG53" s="455"/>
      <c r="AH53" s="45"/>
    </row>
    <row r="54" spans="1:34" ht="24.9" customHeight="1" thickBot="1" x14ac:dyDescent="0.3">
      <c r="A54" s="46"/>
      <c r="B54" s="47" t="s">
        <v>36</v>
      </c>
      <c r="C54" s="471" t="s">
        <v>37</v>
      </c>
      <c r="D54" s="472"/>
      <c r="E54" s="48">
        <v>6.3E-2</v>
      </c>
      <c r="F54" s="48">
        <v>0.125</v>
      </c>
      <c r="G54" s="49">
        <v>0.25</v>
      </c>
      <c r="H54" s="49">
        <v>0.5</v>
      </c>
      <c r="I54" s="49">
        <v>1</v>
      </c>
      <c r="J54" s="49">
        <v>2</v>
      </c>
      <c r="K54" s="49">
        <v>4</v>
      </c>
      <c r="L54" s="49">
        <v>6.3</v>
      </c>
      <c r="M54" s="49">
        <v>8</v>
      </c>
      <c r="N54" s="49">
        <v>10</v>
      </c>
      <c r="O54" s="49">
        <v>12.5</v>
      </c>
      <c r="P54" s="49">
        <v>14</v>
      </c>
      <c r="Q54" s="50">
        <v>16</v>
      </c>
      <c r="R54" s="50">
        <v>20</v>
      </c>
      <c r="S54" s="49"/>
      <c r="T54" s="50"/>
      <c r="U54" s="462"/>
      <c r="V54" s="463"/>
      <c r="W54" s="465"/>
      <c r="X54" s="463"/>
      <c r="Y54" s="468"/>
      <c r="Z54" s="469"/>
      <c r="AA54" s="44"/>
      <c r="AB54" s="371"/>
      <c r="AC54" s="372"/>
      <c r="AD54" s="374"/>
      <c r="AE54" s="376"/>
      <c r="AF54" s="470"/>
      <c r="AG54" s="455"/>
    </row>
    <row r="55" spans="1:34" ht="24.9" customHeight="1" x14ac:dyDescent="0.25">
      <c r="A55" s="46"/>
      <c r="B55" s="51">
        <v>1</v>
      </c>
      <c r="C55" s="569" t="s">
        <v>81</v>
      </c>
      <c r="D55" s="570"/>
      <c r="E55" s="237">
        <v>8.8000000000000007</v>
      </c>
      <c r="F55" s="238">
        <v>11.3</v>
      </c>
      <c r="G55" s="239">
        <v>14.9</v>
      </c>
      <c r="H55" s="239">
        <v>19.7</v>
      </c>
      <c r="I55" s="239">
        <v>26.7</v>
      </c>
      <c r="J55" s="239">
        <v>39.1</v>
      </c>
      <c r="K55" s="239">
        <v>60.8</v>
      </c>
      <c r="L55" s="239">
        <v>93.7</v>
      </c>
      <c r="M55" s="241">
        <v>100</v>
      </c>
      <c r="N55" s="239"/>
      <c r="O55" s="239"/>
      <c r="P55" s="239"/>
      <c r="Q55" s="239"/>
      <c r="R55" s="239"/>
      <c r="S55" s="240"/>
      <c r="T55" s="240"/>
      <c r="U55" s="565">
        <v>175</v>
      </c>
      <c r="V55" s="566"/>
      <c r="W55" s="567">
        <v>5.67</v>
      </c>
      <c r="X55" s="568"/>
      <c r="Y55" s="479">
        <f>IF(W55&lt;&gt;0,AE55,"")</f>
        <v>3.5704682812492932</v>
      </c>
      <c r="Z55" s="480"/>
      <c r="AA55" s="52"/>
      <c r="AB55" s="326">
        <f>(100*W55)/(100-W55)</f>
        <v>6.0108131029365</v>
      </c>
      <c r="AC55" s="327"/>
      <c r="AD55" s="53">
        <f>(0.25*(100-O55)+2.3*(O55-H55)+12*(H55-E55)+150*(E55))/100</f>
        <v>14.3049</v>
      </c>
      <c r="AE55" s="54">
        <f>(AB55*$AE$51)/(2.65*(AD55)^(1/5))</f>
        <v>3.5704682812492932</v>
      </c>
      <c r="AF55" s="28"/>
      <c r="AG55" s="55"/>
    </row>
    <row r="56" spans="1:34" ht="24.9" customHeight="1" x14ac:dyDescent="0.25">
      <c r="A56" s="46"/>
      <c r="B56" s="56">
        <v>2</v>
      </c>
      <c r="C56" s="571"/>
      <c r="D56" s="572"/>
      <c r="E56" s="120"/>
      <c r="F56" s="121"/>
      <c r="G56" s="122"/>
      <c r="H56" s="122"/>
      <c r="I56" s="122"/>
      <c r="J56" s="122"/>
      <c r="K56" s="122"/>
      <c r="L56" s="122"/>
      <c r="M56" s="124"/>
      <c r="N56" s="122"/>
      <c r="O56" s="122"/>
      <c r="P56" s="122"/>
      <c r="Q56" s="124"/>
      <c r="R56" s="122"/>
      <c r="S56" s="123"/>
      <c r="T56" s="123"/>
      <c r="U56" s="349"/>
      <c r="V56" s="350"/>
      <c r="W56" s="351"/>
      <c r="X56" s="352"/>
      <c r="Y56" s="498" t="str">
        <f>IF(W56&lt;&gt;0,AE56,"")</f>
        <v/>
      </c>
      <c r="Z56" s="499"/>
      <c r="AA56" s="52"/>
      <c r="AB56" s="326">
        <f>(100*W56)/(100-W56)</f>
        <v>0</v>
      </c>
      <c r="AC56" s="327"/>
      <c r="AD56" s="53">
        <f t="shared" ref="AD56:AD62" si="0">(0.25*(100-O56)+2.3*(O56-H56)+12*(H56-E56)+150*(E56))/100</f>
        <v>0.25</v>
      </c>
      <c r="AE56" s="54">
        <f t="shared" ref="AE56:AE62" si="1">(AB56*$AE$51)/(2.65*(AD56)^(1/5))</f>
        <v>0</v>
      </c>
      <c r="AF56" s="28"/>
      <c r="AG56" s="55"/>
    </row>
    <row r="57" spans="1:34" ht="24.9" customHeight="1" x14ac:dyDescent="0.25">
      <c r="A57" s="46"/>
      <c r="B57" s="56">
        <v>3</v>
      </c>
      <c r="C57" s="500"/>
      <c r="D57" s="501"/>
      <c r="E57" s="57"/>
      <c r="F57" s="58"/>
      <c r="G57" s="58"/>
      <c r="H57" s="59"/>
      <c r="I57" s="59"/>
      <c r="J57" s="59"/>
      <c r="K57" s="59"/>
      <c r="L57" s="59"/>
      <c r="M57" s="60"/>
      <c r="N57" s="59"/>
      <c r="O57" s="60"/>
      <c r="P57" s="59"/>
      <c r="Q57" s="60"/>
      <c r="R57" s="59"/>
      <c r="S57" s="59"/>
      <c r="T57" s="61"/>
      <c r="U57" s="502"/>
      <c r="V57" s="503"/>
      <c r="W57" s="504"/>
      <c r="X57" s="505"/>
      <c r="Y57" s="498" t="str">
        <f t="shared" ref="Y57:Y58" si="2">IF(W57&lt;&gt;0,AE57,"")</f>
        <v/>
      </c>
      <c r="Z57" s="499"/>
      <c r="AA57" s="52"/>
      <c r="AB57" s="326">
        <f>(100*W57)/(100-W57)</f>
        <v>0</v>
      </c>
      <c r="AC57" s="327"/>
      <c r="AD57" s="53">
        <f t="shared" si="0"/>
        <v>0.25</v>
      </c>
      <c r="AE57" s="54">
        <f t="shared" si="1"/>
        <v>0</v>
      </c>
      <c r="AF57" s="28"/>
      <c r="AG57" s="55"/>
    </row>
    <row r="58" spans="1:34" ht="24.9" customHeight="1" thickBot="1" x14ac:dyDescent="0.3">
      <c r="A58" s="46"/>
      <c r="B58" s="62">
        <v>4</v>
      </c>
      <c r="C58" s="481"/>
      <c r="D58" s="482"/>
      <c r="E58" s="63"/>
      <c r="F58" s="64"/>
      <c r="G58" s="64"/>
      <c r="H58" s="65"/>
      <c r="I58" s="65"/>
      <c r="J58" s="65"/>
      <c r="K58" s="65"/>
      <c r="L58" s="65"/>
      <c r="M58" s="66"/>
      <c r="N58" s="65"/>
      <c r="O58" s="66"/>
      <c r="P58" s="65"/>
      <c r="Q58" s="66"/>
      <c r="R58" s="65"/>
      <c r="S58" s="65"/>
      <c r="T58" s="67"/>
      <c r="U58" s="483"/>
      <c r="V58" s="484"/>
      <c r="W58" s="485"/>
      <c r="X58" s="486"/>
      <c r="Y58" s="487" t="str">
        <f t="shared" si="2"/>
        <v/>
      </c>
      <c r="Z58" s="488"/>
      <c r="AA58" s="52"/>
      <c r="AB58" s="326">
        <f>(100*W58)/(100-W58)</f>
        <v>0</v>
      </c>
      <c r="AC58" s="327"/>
      <c r="AD58" s="53">
        <f t="shared" si="0"/>
        <v>0.25</v>
      </c>
      <c r="AE58" s="54">
        <f t="shared" si="1"/>
        <v>0</v>
      </c>
      <c r="AF58" s="28"/>
      <c r="AG58" s="55"/>
    </row>
    <row r="59" spans="1:34" ht="10.5" customHeight="1" thickBot="1" x14ac:dyDescent="0.3">
      <c r="A59" s="46"/>
      <c r="B59" s="2"/>
      <c r="E59" s="68"/>
      <c r="F59" s="68"/>
      <c r="G59" s="68"/>
      <c r="H59" s="68"/>
      <c r="I59" s="68"/>
      <c r="J59" s="68"/>
      <c r="K59" s="68"/>
      <c r="L59" s="68"/>
      <c r="M59" s="69"/>
      <c r="N59" s="68"/>
      <c r="O59" s="69"/>
      <c r="P59" s="68"/>
      <c r="Q59" s="69"/>
      <c r="R59" s="68"/>
      <c r="S59" s="68"/>
      <c r="T59" s="68"/>
      <c r="U59" s="68"/>
      <c r="V59" s="68"/>
      <c r="W59" s="70"/>
      <c r="Z59" s="71"/>
      <c r="AB59" s="72"/>
      <c r="AC59" s="73"/>
      <c r="AD59" s="53"/>
      <c r="AE59" s="54"/>
      <c r="AF59" s="28"/>
      <c r="AG59" s="55"/>
    </row>
    <row r="60" spans="1:34" ht="24.75" hidden="1" customHeight="1" x14ac:dyDescent="0.25">
      <c r="A60" s="46"/>
      <c r="B60" s="489" t="s">
        <v>38</v>
      </c>
      <c r="C60" s="490"/>
      <c r="D60" s="491"/>
      <c r="E60" s="74"/>
      <c r="F60" s="74"/>
      <c r="G60" s="74"/>
      <c r="H60" s="74"/>
      <c r="I60" s="74"/>
      <c r="J60" s="74"/>
      <c r="K60" s="74"/>
      <c r="L60" s="74"/>
      <c r="M60" s="75">
        <v>10</v>
      </c>
      <c r="N60" s="74">
        <v>10</v>
      </c>
      <c r="O60" s="75"/>
      <c r="P60" s="74"/>
      <c r="Q60" s="75">
        <v>50</v>
      </c>
      <c r="R60" s="74"/>
      <c r="S60" s="74">
        <v>70</v>
      </c>
      <c r="T60" s="74"/>
      <c r="U60" s="74"/>
      <c r="V60" s="74"/>
      <c r="W60" s="74"/>
      <c r="X60" s="76"/>
      <c r="Y60" s="77">
        <v>4.5</v>
      </c>
      <c r="Z60" s="77"/>
      <c r="AA60" s="28"/>
      <c r="AB60" s="72"/>
      <c r="AC60" s="73"/>
      <c r="AD60" s="53">
        <f t="shared" si="0"/>
        <v>0.25</v>
      </c>
      <c r="AE60" s="54">
        <f t="shared" si="1"/>
        <v>0</v>
      </c>
      <c r="AF60" s="28"/>
      <c r="AG60" s="55"/>
    </row>
    <row r="61" spans="1:34" ht="18.75" customHeight="1" x14ac:dyDescent="0.25">
      <c r="A61" s="46"/>
      <c r="B61" s="506" t="s">
        <v>39</v>
      </c>
      <c r="C61" s="507"/>
      <c r="D61" s="508"/>
      <c r="E61" s="78">
        <f>IF(E55&lt;&gt;0,AVERAGE(E55:E58),"")</f>
        <v>8.8000000000000007</v>
      </c>
      <c r="F61" s="78">
        <f t="shared" ref="F61:L61" si="3">IF(F55&lt;&gt;0,AVERAGE(F55:F58),"")</f>
        <v>11.3</v>
      </c>
      <c r="G61" s="78">
        <f t="shared" si="3"/>
        <v>14.9</v>
      </c>
      <c r="H61" s="78">
        <f t="shared" si="3"/>
        <v>19.7</v>
      </c>
      <c r="I61" s="78">
        <f t="shared" si="3"/>
        <v>26.7</v>
      </c>
      <c r="J61" s="78">
        <f t="shared" si="3"/>
        <v>39.1</v>
      </c>
      <c r="K61" s="78">
        <f t="shared" si="3"/>
        <v>60.8</v>
      </c>
      <c r="L61" s="78">
        <f t="shared" si="3"/>
        <v>93.7</v>
      </c>
      <c r="M61" s="79">
        <f>IF(M55&lt;&gt;0,AVERAGE(M55:M58),"")</f>
        <v>100</v>
      </c>
      <c r="N61" s="78"/>
      <c r="O61" s="79"/>
      <c r="P61" s="79"/>
      <c r="Q61" s="79"/>
      <c r="R61" s="78"/>
      <c r="S61" s="78" t="str">
        <f t="shared" ref="S61:T61" si="4">IF(S55&lt;&gt;0,AVERAGE(S55:S58),"")</f>
        <v/>
      </c>
      <c r="T61" s="80" t="str">
        <f t="shared" si="4"/>
        <v/>
      </c>
      <c r="U61" s="509">
        <f>IF(U55&lt;&gt;0,AVERAGE(U55:V58),"")</f>
        <v>175</v>
      </c>
      <c r="V61" s="510"/>
      <c r="W61" s="511">
        <f>IF(W55&lt;&gt;0,AVERAGE(W55:X58),"")</f>
        <v>5.67</v>
      </c>
      <c r="X61" s="512"/>
      <c r="Y61" s="513">
        <f>IF(W55&lt;&gt;0,AVERAGE(Y55:Z58),"")</f>
        <v>3.5704682812492932</v>
      </c>
      <c r="Z61" s="514"/>
      <c r="AA61" s="55"/>
      <c r="AB61" s="326">
        <f>(100*W61)/(100-W61)</f>
        <v>6.0108131029365</v>
      </c>
      <c r="AC61" s="327"/>
      <c r="AD61" s="53">
        <f t="shared" si="0"/>
        <v>14.3049</v>
      </c>
      <c r="AE61" s="54">
        <f t="shared" si="1"/>
        <v>3.5704682812492932</v>
      </c>
      <c r="AF61" s="28"/>
      <c r="AG61" s="55"/>
    </row>
    <row r="62" spans="1:34" ht="21" customHeight="1" x14ac:dyDescent="0.25">
      <c r="A62" s="46"/>
      <c r="B62" s="515" t="s">
        <v>40</v>
      </c>
      <c r="C62" s="516"/>
      <c r="D62" s="517"/>
      <c r="E62" s="81">
        <v>8.1</v>
      </c>
      <c r="F62" s="81">
        <v>10</v>
      </c>
      <c r="G62" s="81">
        <v>15</v>
      </c>
      <c r="H62" s="81">
        <v>20</v>
      </c>
      <c r="I62" s="81">
        <v>27</v>
      </c>
      <c r="J62" s="81">
        <v>39</v>
      </c>
      <c r="K62" s="81">
        <v>59</v>
      </c>
      <c r="L62" s="81">
        <v>93</v>
      </c>
      <c r="M62" s="82">
        <v>100</v>
      </c>
      <c r="N62" s="81"/>
      <c r="O62" s="81"/>
      <c r="P62" s="81"/>
      <c r="Q62" s="82"/>
      <c r="R62" s="81"/>
      <c r="S62" s="81"/>
      <c r="T62" s="83"/>
      <c r="U62" s="518"/>
      <c r="V62" s="519"/>
      <c r="W62" s="520">
        <v>6</v>
      </c>
      <c r="X62" s="521"/>
      <c r="Y62" s="522">
        <f>AE62</f>
        <v>3.8432534835294767</v>
      </c>
      <c r="Z62" s="523"/>
      <c r="AA62" s="55"/>
      <c r="AB62" s="326">
        <f>(100*W62)/(100-W62)</f>
        <v>6.3829787234042552</v>
      </c>
      <c r="AC62" s="327"/>
      <c r="AD62" s="53">
        <f t="shared" si="0"/>
        <v>13.368</v>
      </c>
      <c r="AE62" s="54">
        <f t="shared" si="1"/>
        <v>3.8432534835294767</v>
      </c>
      <c r="AF62" s="28"/>
      <c r="AG62" s="55"/>
    </row>
    <row r="63" spans="1:34" ht="13.5" customHeight="1" x14ac:dyDescent="0.25">
      <c r="A63" s="46"/>
      <c r="B63" s="84"/>
      <c r="C63" s="85" t="s">
        <v>41</v>
      </c>
      <c r="D63" s="86"/>
      <c r="E63" s="59">
        <f>E62+2</f>
        <v>10.1</v>
      </c>
      <c r="F63" s="59"/>
      <c r="G63" s="59"/>
      <c r="H63" s="59"/>
      <c r="I63" s="59"/>
      <c r="J63" s="59">
        <f>J62+6</f>
        <v>45</v>
      </c>
      <c r="K63" s="59"/>
      <c r="L63" s="60">
        <v>100</v>
      </c>
      <c r="M63" s="59"/>
      <c r="N63" s="59"/>
      <c r="O63" s="59"/>
      <c r="P63" s="59"/>
      <c r="Q63" s="60"/>
      <c r="R63" s="59"/>
      <c r="S63" s="59"/>
      <c r="T63" s="61"/>
      <c r="U63" s="502"/>
      <c r="V63" s="503"/>
      <c r="W63" s="524">
        <f>W62+0.5</f>
        <v>6.5</v>
      </c>
      <c r="X63" s="503"/>
      <c r="Y63" s="500"/>
      <c r="Z63" s="525"/>
      <c r="AA63" s="87"/>
      <c r="AB63" s="88"/>
      <c r="AC63" s="89"/>
      <c r="AD63" s="306"/>
      <c r="AE63" s="308" t="s">
        <v>42</v>
      </c>
      <c r="AF63" s="28"/>
      <c r="AG63" s="55"/>
    </row>
    <row r="64" spans="1:34" ht="13.5" customHeight="1" thickBot="1" x14ac:dyDescent="0.3">
      <c r="A64" s="46"/>
      <c r="B64" s="462" t="s">
        <v>43</v>
      </c>
      <c r="C64" s="465"/>
      <c r="D64" s="463"/>
      <c r="E64" s="90">
        <f>E62-2</f>
        <v>6.1</v>
      </c>
      <c r="F64" s="90"/>
      <c r="G64" s="91"/>
      <c r="H64" s="91"/>
      <c r="I64" s="91"/>
      <c r="J64" s="90">
        <f>J62-6</f>
        <v>33</v>
      </c>
      <c r="K64" s="91"/>
      <c r="L64" s="90">
        <f>L62-7</f>
        <v>86</v>
      </c>
      <c r="M64" s="90"/>
      <c r="N64" s="91"/>
      <c r="O64" s="91"/>
      <c r="P64" s="91"/>
      <c r="Q64" s="90"/>
      <c r="R64" s="91"/>
      <c r="S64" s="91"/>
      <c r="T64" s="92"/>
      <c r="U64" s="526"/>
      <c r="V64" s="527"/>
      <c r="W64" s="528">
        <f>W62-0.5</f>
        <v>5.5</v>
      </c>
      <c r="X64" s="527"/>
      <c r="Y64" s="481"/>
      <c r="Z64" s="529"/>
      <c r="AA64" s="93"/>
      <c r="AB64" s="94"/>
      <c r="AC64" s="95"/>
      <c r="AD64" s="307"/>
      <c r="AE64" s="309"/>
      <c r="AF64" s="28"/>
      <c r="AG64" s="55"/>
    </row>
    <row r="65" spans="1:30" ht="6.75" customHeight="1" x14ac:dyDescent="0.25">
      <c r="A65" s="23"/>
      <c r="B65" s="24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96"/>
    </row>
    <row r="66" spans="1:30" ht="8.25" customHeight="1" x14ac:dyDescent="0.25"/>
    <row r="67" spans="1:30" ht="34.5" customHeight="1" x14ac:dyDescent="0.25">
      <c r="A67" s="97" t="s">
        <v>44</v>
      </c>
      <c r="B67" s="98" t="s">
        <v>45</v>
      </c>
      <c r="C67" s="99"/>
      <c r="D67" s="99"/>
      <c r="E67" s="99"/>
      <c r="F67" s="100"/>
      <c r="G67" s="100"/>
      <c r="H67" s="100"/>
      <c r="I67" s="10"/>
      <c r="J67" s="10"/>
      <c r="K67" s="10"/>
      <c r="L67" s="10"/>
      <c r="M67" s="10"/>
      <c r="N67" s="10"/>
      <c r="O67" s="10"/>
      <c r="P67" s="10"/>
      <c r="Q67" s="100"/>
      <c r="R67" s="10"/>
      <c r="S67" s="10"/>
      <c r="T67" s="10"/>
      <c r="U67" s="543"/>
      <c r="V67" s="543"/>
      <c r="W67" s="543"/>
      <c r="X67" s="543"/>
      <c r="Y67" s="543"/>
      <c r="Z67" s="544"/>
      <c r="AA67" s="101"/>
      <c r="AB67" s="102"/>
      <c r="AC67" s="102"/>
      <c r="AD67" s="103"/>
    </row>
    <row r="68" spans="1:30" ht="27" customHeight="1" x14ac:dyDescent="0.25">
      <c r="A68" s="545" t="s">
        <v>46</v>
      </c>
      <c r="B68" s="546"/>
      <c r="C68" s="546"/>
      <c r="D68" s="546"/>
      <c r="E68" s="546"/>
      <c r="F68" s="546"/>
      <c r="G68" s="546"/>
      <c r="H68" s="546"/>
      <c r="I68" s="546"/>
      <c r="J68" s="546"/>
      <c r="K68" s="546"/>
      <c r="L68" s="546"/>
      <c r="M68" s="546"/>
      <c r="N68" s="546"/>
      <c r="O68" s="546"/>
      <c r="P68" s="546"/>
      <c r="Q68" s="547"/>
      <c r="R68" s="536" t="s">
        <v>47</v>
      </c>
      <c r="S68" s="537"/>
      <c r="T68" s="538"/>
      <c r="U68" s="275" t="s">
        <v>76</v>
      </c>
      <c r="V68" s="276"/>
      <c r="W68" s="276"/>
      <c r="X68" s="277"/>
      <c r="Y68" s="277"/>
      <c r="Z68" s="278"/>
      <c r="AA68" s="104"/>
      <c r="AB68" s="105"/>
      <c r="AC68" s="105"/>
      <c r="AD68" s="103"/>
    </row>
    <row r="69" spans="1:30" ht="15.75" customHeight="1" x14ac:dyDescent="0.25">
      <c r="A69" s="548" t="s">
        <v>48</v>
      </c>
      <c r="B69" s="549"/>
      <c r="C69" s="549"/>
      <c r="D69" s="549"/>
      <c r="E69" s="549"/>
      <c r="F69" s="549"/>
      <c r="G69" s="549"/>
      <c r="H69" s="549"/>
      <c r="I69" s="549"/>
      <c r="J69" s="549"/>
      <c r="K69" s="549"/>
      <c r="L69" s="549"/>
      <c r="M69" s="549"/>
      <c r="N69" s="549"/>
      <c r="O69" s="549"/>
      <c r="P69" s="549"/>
      <c r="Q69" s="550"/>
      <c r="R69" s="536" t="s">
        <v>49</v>
      </c>
      <c r="S69" s="537"/>
      <c r="T69" s="538"/>
      <c r="U69" s="554" t="s">
        <v>77</v>
      </c>
      <c r="V69" s="555"/>
      <c r="W69" s="555"/>
      <c r="X69" s="555"/>
      <c r="Y69" s="555"/>
      <c r="Z69" s="556"/>
      <c r="AA69" s="104"/>
      <c r="AB69" s="105"/>
      <c r="AC69" s="105"/>
      <c r="AD69" s="103"/>
    </row>
    <row r="70" spans="1:30" ht="9" customHeight="1" x14ac:dyDescent="0.25">
      <c r="A70" s="548"/>
      <c r="B70" s="549"/>
      <c r="C70" s="549"/>
      <c r="D70" s="549"/>
      <c r="E70" s="549"/>
      <c r="F70" s="549"/>
      <c r="G70" s="549"/>
      <c r="H70" s="549"/>
      <c r="I70" s="549"/>
      <c r="J70" s="549"/>
      <c r="K70" s="549"/>
      <c r="L70" s="549"/>
      <c r="M70" s="549"/>
      <c r="N70" s="549"/>
      <c r="O70" s="549"/>
      <c r="P70" s="549"/>
      <c r="Q70" s="550"/>
      <c r="R70" s="536"/>
      <c r="S70" s="537"/>
      <c r="T70" s="538"/>
      <c r="U70" s="557"/>
      <c r="V70" s="454"/>
      <c r="W70" s="454"/>
      <c r="X70" s="454"/>
      <c r="Y70" s="454"/>
      <c r="Z70" s="558"/>
      <c r="AA70" s="104"/>
      <c r="AB70" s="105"/>
      <c r="AC70" s="105"/>
      <c r="AD70" s="103"/>
    </row>
    <row r="71" spans="1:30" ht="15.9" customHeight="1" x14ac:dyDescent="0.25">
      <c r="A71" s="551"/>
      <c r="B71" s="552"/>
      <c r="C71" s="552"/>
      <c r="D71" s="552"/>
      <c r="E71" s="552"/>
      <c r="F71" s="552"/>
      <c r="G71" s="552"/>
      <c r="H71" s="552"/>
      <c r="I71" s="552"/>
      <c r="J71" s="552"/>
      <c r="K71" s="552"/>
      <c r="L71" s="552"/>
      <c r="M71" s="552"/>
      <c r="N71" s="552"/>
      <c r="O71" s="552"/>
      <c r="P71" s="552"/>
      <c r="Q71" s="553"/>
      <c r="R71" s="536"/>
      <c r="S71" s="537"/>
      <c r="T71" s="538"/>
      <c r="U71" s="557"/>
      <c r="V71" s="454"/>
      <c r="W71" s="454"/>
      <c r="X71" s="454"/>
      <c r="Y71" s="454"/>
      <c r="Z71" s="558"/>
      <c r="AA71" s="104"/>
      <c r="AB71" s="105"/>
      <c r="AC71" s="105"/>
      <c r="AD71" s="103"/>
    </row>
    <row r="72" spans="1:30" ht="15.9" customHeight="1" x14ac:dyDescent="0.25">
      <c r="A72" s="106" t="s">
        <v>50</v>
      </c>
      <c r="B72" s="107" t="s">
        <v>51</v>
      </c>
      <c r="C72" s="13"/>
      <c r="D72" s="13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9"/>
      <c r="R72" s="536"/>
      <c r="S72" s="537"/>
      <c r="T72" s="538"/>
      <c r="U72" s="559"/>
      <c r="V72" s="560"/>
      <c r="W72" s="560"/>
      <c r="X72" s="560"/>
      <c r="Y72" s="560"/>
      <c r="Z72" s="561"/>
      <c r="AA72" s="104"/>
      <c r="AB72" s="105"/>
      <c r="AC72" s="105"/>
      <c r="AD72" s="103"/>
    </row>
    <row r="73" spans="1:30" ht="15.75" customHeight="1" x14ac:dyDescent="0.25">
      <c r="A73" s="530"/>
      <c r="B73" s="531"/>
      <c r="C73" s="531"/>
      <c r="D73" s="531"/>
      <c r="E73" s="531"/>
      <c r="F73" s="531"/>
      <c r="G73" s="531"/>
      <c r="H73" s="531"/>
      <c r="I73" s="531"/>
      <c r="J73" s="531"/>
      <c r="K73" s="531"/>
      <c r="L73" s="531"/>
      <c r="M73" s="531"/>
      <c r="N73" s="531"/>
      <c r="O73" s="531"/>
      <c r="P73" s="531"/>
      <c r="Q73" s="532"/>
      <c r="R73" s="536" t="s">
        <v>52</v>
      </c>
      <c r="S73" s="537"/>
      <c r="T73" s="538"/>
      <c r="U73" s="110"/>
      <c r="V73" s="111"/>
      <c r="W73" s="111"/>
      <c r="X73" s="111"/>
      <c r="Y73" s="111"/>
      <c r="Z73" s="112"/>
      <c r="AA73" s="113"/>
      <c r="AB73" s="114"/>
      <c r="AC73" s="114"/>
      <c r="AD73" s="103"/>
    </row>
    <row r="74" spans="1:30" ht="15.9" customHeight="1" x14ac:dyDescent="0.25">
      <c r="A74" s="530"/>
      <c r="B74" s="531"/>
      <c r="C74" s="531"/>
      <c r="D74" s="531"/>
      <c r="E74" s="531"/>
      <c r="F74" s="531"/>
      <c r="G74" s="531"/>
      <c r="H74" s="531"/>
      <c r="I74" s="531"/>
      <c r="J74" s="531"/>
      <c r="K74" s="531"/>
      <c r="L74" s="531"/>
      <c r="M74" s="531"/>
      <c r="N74" s="531"/>
      <c r="O74" s="531"/>
      <c r="P74" s="531"/>
      <c r="Q74" s="532"/>
      <c r="R74" s="536"/>
      <c r="S74" s="537"/>
      <c r="T74" s="538"/>
      <c r="U74" s="115"/>
      <c r="V74" s="542"/>
      <c r="W74" s="542"/>
      <c r="X74" s="542"/>
      <c r="Y74" s="542"/>
      <c r="Z74" s="116"/>
      <c r="AA74" s="113"/>
      <c r="AB74" s="114"/>
      <c r="AC74" s="114"/>
      <c r="AD74" s="103"/>
    </row>
    <row r="75" spans="1:30" ht="15.9" customHeight="1" x14ac:dyDescent="0.25">
      <c r="A75" s="530"/>
      <c r="B75" s="531"/>
      <c r="C75" s="531"/>
      <c r="D75" s="531"/>
      <c r="E75" s="531"/>
      <c r="F75" s="531"/>
      <c r="G75" s="531"/>
      <c r="H75" s="531"/>
      <c r="I75" s="531"/>
      <c r="J75" s="531"/>
      <c r="K75" s="531"/>
      <c r="L75" s="531"/>
      <c r="M75" s="531"/>
      <c r="N75" s="531"/>
      <c r="O75" s="531"/>
      <c r="P75" s="531"/>
      <c r="Q75" s="532"/>
      <c r="R75" s="536"/>
      <c r="S75" s="537"/>
      <c r="T75" s="538"/>
      <c r="U75" s="115"/>
      <c r="V75" s="542"/>
      <c r="W75" s="542"/>
      <c r="X75" s="542"/>
      <c r="Y75" s="542"/>
      <c r="Z75" s="116"/>
      <c r="AA75" s="113"/>
      <c r="AB75" s="114"/>
      <c r="AC75" s="114"/>
      <c r="AD75" s="103"/>
    </row>
    <row r="76" spans="1:30" ht="15.75" customHeight="1" x14ac:dyDescent="0.25">
      <c r="A76" s="533"/>
      <c r="B76" s="534"/>
      <c r="C76" s="534"/>
      <c r="D76" s="534"/>
      <c r="E76" s="534"/>
      <c r="F76" s="534"/>
      <c r="G76" s="534"/>
      <c r="H76" s="534"/>
      <c r="I76" s="534"/>
      <c r="J76" s="534"/>
      <c r="K76" s="534"/>
      <c r="L76" s="534"/>
      <c r="M76" s="534"/>
      <c r="N76" s="534"/>
      <c r="O76" s="534"/>
      <c r="P76" s="534"/>
      <c r="Q76" s="535"/>
      <c r="R76" s="539"/>
      <c r="S76" s="540"/>
      <c r="T76" s="541"/>
      <c r="U76" s="117"/>
      <c r="V76" s="118"/>
      <c r="W76" s="118"/>
      <c r="X76" s="118"/>
      <c r="Y76" s="118"/>
      <c r="Z76" s="119"/>
      <c r="AA76" s="113"/>
      <c r="AB76" s="114"/>
      <c r="AC76" s="114"/>
      <c r="AD76" s="103"/>
    </row>
  </sheetData>
  <mergeCells count="106">
    <mergeCell ref="A73:Q76"/>
    <mergeCell ref="R73:T76"/>
    <mergeCell ref="V74:Y75"/>
    <mergeCell ref="U55:V55"/>
    <mergeCell ref="W55:X55"/>
    <mergeCell ref="C55:D55"/>
    <mergeCell ref="U67:Z67"/>
    <mergeCell ref="A68:Q68"/>
    <mergeCell ref="R68:T68"/>
    <mergeCell ref="U68:Z68"/>
    <mergeCell ref="A69:Q71"/>
    <mergeCell ref="R69:T72"/>
    <mergeCell ref="U69:Z72"/>
    <mergeCell ref="U63:V63"/>
    <mergeCell ref="W63:X63"/>
    <mergeCell ref="Y63:Z63"/>
    <mergeCell ref="C58:D58"/>
    <mergeCell ref="U58:V58"/>
    <mergeCell ref="W58:X58"/>
    <mergeCell ref="Y58:Z58"/>
    <mergeCell ref="AD63:AD64"/>
    <mergeCell ref="AE63:AE64"/>
    <mergeCell ref="B64:D64"/>
    <mergeCell ref="U64:V64"/>
    <mergeCell ref="W64:X64"/>
    <mergeCell ref="Y64:Z64"/>
    <mergeCell ref="B61:D61"/>
    <mergeCell ref="U61:V61"/>
    <mergeCell ref="W61:X61"/>
    <mergeCell ref="Y61:Z61"/>
    <mergeCell ref="AB61:AC61"/>
    <mergeCell ref="B62:D62"/>
    <mergeCell ref="U62:V62"/>
    <mergeCell ref="W62:X62"/>
    <mergeCell ref="Y62:Z62"/>
    <mergeCell ref="AB62:AC62"/>
    <mergeCell ref="AB58:AC58"/>
    <mergeCell ref="B60:D60"/>
    <mergeCell ref="C56:D56"/>
    <mergeCell ref="U56:V56"/>
    <mergeCell ref="W56:X56"/>
    <mergeCell ref="Y56:Z56"/>
    <mergeCell ref="AB56:AC56"/>
    <mergeCell ref="C57:D57"/>
    <mergeCell ref="U57:V57"/>
    <mergeCell ref="W57:X57"/>
    <mergeCell ref="Y57:Z57"/>
    <mergeCell ref="AB57:AC57"/>
    <mergeCell ref="AE53:AE54"/>
    <mergeCell ref="AF53:AF54"/>
    <mergeCell ref="AG53:AG54"/>
    <mergeCell ref="C54:D54"/>
    <mergeCell ref="Y55:Z55"/>
    <mergeCell ref="AB55:AC55"/>
    <mergeCell ref="AD51:AD52"/>
    <mergeCell ref="AE51:AE52"/>
    <mergeCell ref="AF51:AF52"/>
    <mergeCell ref="AG51:AG52"/>
    <mergeCell ref="E53:T53"/>
    <mergeCell ref="U53:V54"/>
    <mergeCell ref="W53:X54"/>
    <mergeCell ref="Y53:Z54"/>
    <mergeCell ref="AB53:AC54"/>
    <mergeCell ref="AD53:AD54"/>
    <mergeCell ref="AE15:AJ15"/>
    <mergeCell ref="AE16:AJ16"/>
    <mergeCell ref="B19:H19"/>
    <mergeCell ref="I19:Y19"/>
    <mergeCell ref="B20:H20"/>
    <mergeCell ref="I20:Y20"/>
    <mergeCell ref="AE13:AJ13"/>
    <mergeCell ref="B14:F14"/>
    <mergeCell ref="G14:L14"/>
    <mergeCell ref="M14:R14"/>
    <mergeCell ref="S14:Y14"/>
    <mergeCell ref="AE14:AJ14"/>
    <mergeCell ref="B12:F12"/>
    <mergeCell ref="G12:L12"/>
    <mergeCell ref="M12:R12"/>
    <mergeCell ref="S12:Y12"/>
    <mergeCell ref="G13:L13"/>
    <mergeCell ref="M13:R13"/>
    <mergeCell ref="S13:Y13"/>
    <mergeCell ref="AE10:AI10"/>
    <mergeCell ref="B11:F11"/>
    <mergeCell ref="G11:L11"/>
    <mergeCell ref="M11:R11"/>
    <mergeCell ref="S11:Y11"/>
    <mergeCell ref="AE11:AI11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28A90-95A8-400F-A059-6FDF90504B51}">
  <sheetPr>
    <pageSetUpPr fitToPage="1"/>
  </sheetPr>
  <dimension ref="A1:AN73"/>
  <sheetViews>
    <sheetView zoomScaleNormal="100" workbookViewId="0">
      <selection activeCell="I19" sqref="I19:Y19"/>
    </sheetView>
  </sheetViews>
  <sheetFormatPr baseColWidth="10" defaultColWidth="11.44140625" defaultRowHeight="12.75" customHeight="1" x14ac:dyDescent="0.25"/>
  <cols>
    <col min="1" max="2" width="5.109375" style="156" customWidth="1"/>
    <col min="3" max="27" width="5.109375" style="130" customWidth="1"/>
    <col min="28" max="41" width="11.44140625" style="130" customWidth="1"/>
    <col min="42" max="16384" width="11.44140625" style="130"/>
  </cols>
  <sheetData>
    <row r="1" spans="1:36" ht="12.6" customHeight="1" x14ac:dyDescent="0.25">
      <c r="A1" s="393"/>
      <c r="B1" s="394"/>
      <c r="C1" s="394"/>
      <c r="D1" s="394"/>
      <c r="E1" s="394"/>
      <c r="F1" s="395"/>
      <c r="G1" s="402" t="s">
        <v>0</v>
      </c>
      <c r="H1" s="403"/>
      <c r="I1" s="403"/>
      <c r="J1" s="403"/>
      <c r="K1" s="403"/>
      <c r="L1" s="403"/>
      <c r="M1" s="403"/>
      <c r="N1" s="403"/>
      <c r="O1" s="403"/>
      <c r="P1" s="403"/>
      <c r="Q1" s="403"/>
      <c r="R1" s="403"/>
      <c r="S1" s="403"/>
      <c r="T1" s="404"/>
      <c r="U1" s="405" t="s">
        <v>59</v>
      </c>
      <c r="V1" s="406"/>
      <c r="W1" s="406"/>
      <c r="X1" s="406"/>
      <c r="Y1" s="406"/>
      <c r="Z1" s="407"/>
      <c r="AA1" s="129"/>
    </row>
    <row r="2" spans="1:36" ht="12.6" customHeight="1" x14ac:dyDescent="0.25">
      <c r="A2" s="396"/>
      <c r="B2" s="397"/>
      <c r="C2" s="397"/>
      <c r="D2" s="397"/>
      <c r="E2" s="397"/>
      <c r="F2" s="398"/>
      <c r="G2" s="414" t="s">
        <v>1</v>
      </c>
      <c r="H2" s="415"/>
      <c r="I2" s="415"/>
      <c r="J2" s="415"/>
      <c r="K2" s="415"/>
      <c r="L2" s="415"/>
      <c r="M2" s="415"/>
      <c r="N2" s="415"/>
      <c r="O2" s="415"/>
      <c r="P2" s="415"/>
      <c r="Q2" s="415"/>
      <c r="R2" s="415"/>
      <c r="S2" s="415"/>
      <c r="T2" s="416"/>
      <c r="U2" s="408"/>
      <c r="V2" s="409"/>
      <c r="W2" s="409"/>
      <c r="X2" s="409"/>
      <c r="Y2" s="409"/>
      <c r="Z2" s="410"/>
      <c r="AA2" s="129"/>
    </row>
    <row r="3" spans="1:36" ht="12.6" customHeight="1" x14ac:dyDescent="0.25">
      <c r="A3" s="396"/>
      <c r="B3" s="397"/>
      <c r="C3" s="397"/>
      <c r="D3" s="397"/>
      <c r="E3" s="397"/>
      <c r="F3" s="398"/>
      <c r="G3" s="417"/>
      <c r="H3" s="415"/>
      <c r="I3" s="415"/>
      <c r="J3" s="415"/>
      <c r="K3" s="415"/>
      <c r="L3" s="415"/>
      <c r="M3" s="415"/>
      <c r="N3" s="415"/>
      <c r="O3" s="415"/>
      <c r="P3" s="415"/>
      <c r="Q3" s="415"/>
      <c r="R3" s="415"/>
      <c r="S3" s="415"/>
      <c r="T3" s="416"/>
      <c r="U3" s="408"/>
      <c r="V3" s="409"/>
      <c r="W3" s="409"/>
      <c r="X3" s="409"/>
      <c r="Y3" s="409"/>
      <c r="Z3" s="410"/>
      <c r="AA3" s="129"/>
    </row>
    <row r="4" spans="1:36" ht="12.6" customHeight="1" x14ac:dyDescent="0.25">
      <c r="A4" s="396"/>
      <c r="B4" s="397"/>
      <c r="C4" s="397"/>
      <c r="D4" s="397"/>
      <c r="E4" s="397"/>
      <c r="F4" s="398"/>
      <c r="G4" s="417"/>
      <c r="H4" s="415"/>
      <c r="I4" s="415"/>
      <c r="J4" s="415"/>
      <c r="K4" s="415"/>
      <c r="L4" s="415"/>
      <c r="M4" s="415"/>
      <c r="N4" s="415"/>
      <c r="O4" s="415"/>
      <c r="P4" s="415"/>
      <c r="Q4" s="415"/>
      <c r="R4" s="415"/>
      <c r="S4" s="415"/>
      <c r="T4" s="416"/>
      <c r="U4" s="408"/>
      <c r="V4" s="409"/>
      <c r="W4" s="409"/>
      <c r="X4" s="409"/>
      <c r="Y4" s="409"/>
      <c r="Z4" s="410"/>
      <c r="AA4" s="129"/>
    </row>
    <row r="5" spans="1:36" ht="12.6" customHeight="1" x14ac:dyDescent="0.25">
      <c r="A5" s="396"/>
      <c r="B5" s="397"/>
      <c r="C5" s="397"/>
      <c r="D5" s="397"/>
      <c r="E5" s="397"/>
      <c r="F5" s="398"/>
      <c r="G5" s="417" t="s">
        <v>2</v>
      </c>
      <c r="H5" s="415"/>
      <c r="I5" s="131" t="s">
        <v>3</v>
      </c>
      <c r="J5" s="302">
        <v>4</v>
      </c>
      <c r="K5" s="418"/>
      <c r="L5" s="419" t="s">
        <v>68</v>
      </c>
      <c r="M5" s="302"/>
      <c r="N5" s="302"/>
      <c r="O5" s="418"/>
      <c r="P5" s="420">
        <v>45742</v>
      </c>
      <c r="Q5" s="421"/>
      <c r="R5" s="421"/>
      <c r="S5" s="421"/>
      <c r="T5" s="422"/>
      <c r="U5" s="408"/>
      <c r="V5" s="409"/>
      <c r="W5" s="409"/>
      <c r="X5" s="409"/>
      <c r="Y5" s="409"/>
      <c r="Z5" s="410"/>
      <c r="AA5" s="129"/>
    </row>
    <row r="6" spans="1:36" ht="12.6" customHeight="1" x14ac:dyDescent="0.25">
      <c r="A6" s="399"/>
      <c r="B6" s="400"/>
      <c r="C6" s="400"/>
      <c r="D6" s="400"/>
      <c r="E6" s="400"/>
      <c r="F6" s="401"/>
      <c r="G6" s="132"/>
      <c r="H6" s="133"/>
      <c r="I6" s="133"/>
      <c r="J6" s="389" t="s">
        <v>4</v>
      </c>
      <c r="K6" s="389"/>
      <c r="L6" s="389" t="s">
        <v>5</v>
      </c>
      <c r="M6" s="389"/>
      <c r="N6" s="389"/>
      <c r="O6" s="389"/>
      <c r="P6" s="389" t="s">
        <v>6</v>
      </c>
      <c r="Q6" s="389"/>
      <c r="R6" s="389"/>
      <c r="S6" s="389"/>
      <c r="T6" s="390"/>
      <c r="U6" s="411"/>
      <c r="V6" s="412"/>
      <c r="W6" s="412"/>
      <c r="X6" s="412"/>
      <c r="Y6" s="412"/>
      <c r="Z6" s="413"/>
      <c r="AA6" s="129"/>
    </row>
    <row r="7" spans="1:36" ht="36.6" customHeight="1" x14ac:dyDescent="0.25">
      <c r="A7" s="391" t="s">
        <v>7</v>
      </c>
      <c r="B7" s="391"/>
      <c r="C7" s="391"/>
      <c r="D7" s="391"/>
      <c r="E7" s="391"/>
      <c r="F7" s="391"/>
      <c r="G7" s="392" t="s">
        <v>8</v>
      </c>
      <c r="H7" s="392"/>
      <c r="I7" s="392"/>
      <c r="J7" s="392"/>
      <c r="K7" s="392"/>
      <c r="L7" s="392"/>
      <c r="M7" s="392"/>
      <c r="N7" s="392"/>
      <c r="O7" s="392"/>
      <c r="P7" s="392"/>
      <c r="Q7" s="392"/>
      <c r="R7" s="392"/>
      <c r="S7" s="392"/>
      <c r="T7" s="392"/>
      <c r="U7" s="392"/>
      <c r="V7" s="392"/>
      <c r="W7" s="392"/>
      <c r="X7" s="392"/>
      <c r="Y7" s="392"/>
      <c r="Z7" s="392"/>
      <c r="AA7" s="134"/>
      <c r="AE7" s="135"/>
      <c r="AI7" s="135"/>
    </row>
    <row r="8" spans="1:36" ht="15.9" customHeight="1" x14ac:dyDescent="0.25">
      <c r="A8" s="136" t="s">
        <v>9</v>
      </c>
      <c r="B8" s="137" t="s">
        <v>10</v>
      </c>
      <c r="C8" s="138"/>
      <c r="D8" s="139"/>
      <c r="E8" s="139"/>
      <c r="F8" s="139"/>
      <c r="G8" s="139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40"/>
      <c r="AA8" s="141"/>
      <c r="AB8" s="142"/>
      <c r="AC8" s="142"/>
      <c r="AD8" s="142"/>
      <c r="AE8" s="135"/>
      <c r="AF8" s="142"/>
      <c r="AI8" s="135"/>
    </row>
    <row r="9" spans="1:36" ht="7.8" customHeight="1" x14ac:dyDescent="0.25">
      <c r="A9" s="143"/>
      <c r="B9" s="141"/>
      <c r="C9" s="141"/>
      <c r="D9" s="144"/>
      <c r="E9" s="144"/>
      <c r="F9" s="144"/>
      <c r="G9" s="144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5"/>
      <c r="AA9" s="141"/>
      <c r="AB9" s="142"/>
      <c r="AC9" s="142"/>
      <c r="AD9" s="142"/>
      <c r="AE9" s="135"/>
      <c r="AF9" s="142"/>
      <c r="AI9" s="135"/>
    </row>
    <row r="10" spans="1:36" ht="15.9" customHeight="1" x14ac:dyDescent="0.25">
      <c r="A10" s="143"/>
      <c r="B10" s="301" t="s">
        <v>11</v>
      </c>
      <c r="C10" s="301"/>
      <c r="D10" s="301"/>
      <c r="E10" s="301"/>
      <c r="F10" s="301"/>
      <c r="G10" s="384" t="s">
        <v>55</v>
      </c>
      <c r="H10" s="384"/>
      <c r="I10" s="384"/>
      <c r="J10" s="384"/>
      <c r="K10" s="384"/>
      <c r="L10" s="384"/>
      <c r="M10" s="382" t="s">
        <v>12</v>
      </c>
      <c r="N10" s="382"/>
      <c r="O10" s="382"/>
      <c r="P10" s="382"/>
      <c r="Q10" s="382"/>
      <c r="R10" s="382"/>
      <c r="S10" s="388" t="s">
        <v>13</v>
      </c>
      <c r="T10" s="388"/>
      <c r="U10" s="388"/>
      <c r="V10" s="388"/>
      <c r="W10" s="388"/>
      <c r="X10" s="388"/>
      <c r="Y10" s="388"/>
      <c r="Z10" s="147"/>
      <c r="AA10" s="146"/>
      <c r="AB10" s="142"/>
      <c r="AC10" s="142"/>
      <c r="AD10" s="142"/>
      <c r="AE10" s="148"/>
      <c r="AF10" s="148"/>
      <c r="AG10" s="148"/>
      <c r="AH10" s="148"/>
      <c r="AI10" s="148"/>
    </row>
    <row r="11" spans="1:36" ht="15.9" customHeight="1" x14ac:dyDescent="0.25">
      <c r="A11" s="143"/>
      <c r="B11" s="301" t="s">
        <v>14</v>
      </c>
      <c r="C11" s="301"/>
      <c r="D11" s="301"/>
      <c r="E11" s="301"/>
      <c r="F11" s="301"/>
      <c r="G11" s="384">
        <v>45742</v>
      </c>
      <c r="H11" s="384"/>
      <c r="I11" s="384"/>
      <c r="J11" s="384"/>
      <c r="K11" s="384"/>
      <c r="L11" s="384"/>
      <c r="M11" s="382" t="s">
        <v>15</v>
      </c>
      <c r="N11" s="382"/>
      <c r="O11" s="382"/>
      <c r="P11" s="382"/>
      <c r="Q11" s="382"/>
      <c r="R11" s="382"/>
      <c r="S11" s="562" t="s">
        <v>72</v>
      </c>
      <c r="T11" s="562"/>
      <c r="U11" s="562"/>
      <c r="V11" s="562"/>
      <c r="W11" s="562"/>
      <c r="X11" s="562"/>
      <c r="Y11" s="562"/>
      <c r="Z11" s="147"/>
      <c r="AA11" s="146"/>
      <c r="AB11" s="142"/>
      <c r="AC11" s="142"/>
      <c r="AD11" s="142"/>
      <c r="AE11" s="148"/>
      <c r="AF11" s="148"/>
      <c r="AG11" s="148"/>
      <c r="AH11" s="148"/>
      <c r="AI11" s="148"/>
    </row>
    <row r="12" spans="1:36" ht="15.9" customHeight="1" x14ac:dyDescent="0.25">
      <c r="A12" s="143"/>
      <c r="B12" s="301" t="s">
        <v>16</v>
      </c>
      <c r="C12" s="301"/>
      <c r="D12" s="301"/>
      <c r="E12" s="301"/>
      <c r="F12" s="301"/>
      <c r="G12" s="386">
        <v>45737</v>
      </c>
      <c r="H12" s="386"/>
      <c r="I12" s="386"/>
      <c r="J12" s="386"/>
      <c r="K12" s="386"/>
      <c r="L12" s="386"/>
      <c r="M12" s="578" t="s">
        <v>17</v>
      </c>
      <c r="N12" s="578"/>
      <c r="O12" s="578"/>
      <c r="P12" s="578"/>
      <c r="Q12" s="578"/>
      <c r="R12" s="578"/>
      <c r="S12" s="383">
        <v>110</v>
      </c>
      <c r="T12" s="383"/>
      <c r="U12" s="383"/>
      <c r="V12" s="383"/>
      <c r="W12" s="383"/>
      <c r="X12" s="383"/>
      <c r="Y12" s="383"/>
      <c r="Z12" s="147"/>
      <c r="AA12" s="146"/>
      <c r="AB12" s="142"/>
      <c r="AC12" s="142"/>
      <c r="AD12" s="142"/>
      <c r="AE12" s="135"/>
      <c r="AF12" s="142"/>
      <c r="AI12" s="135"/>
    </row>
    <row r="13" spans="1:36" ht="15.9" customHeight="1" x14ac:dyDescent="0.25">
      <c r="A13" s="143"/>
      <c r="B13" s="304" t="s">
        <v>18</v>
      </c>
      <c r="C13" s="304"/>
      <c r="D13" s="304"/>
      <c r="E13" s="304"/>
      <c r="F13" s="304"/>
      <c r="G13" s="305" t="s">
        <v>69</v>
      </c>
      <c r="H13" s="305"/>
      <c r="I13" s="305"/>
      <c r="J13" s="305"/>
      <c r="K13" s="305"/>
      <c r="L13" s="305"/>
      <c r="M13" s="382" t="s">
        <v>19</v>
      </c>
      <c r="N13" s="382"/>
      <c r="O13" s="382"/>
      <c r="P13" s="382"/>
      <c r="Q13" s="382"/>
      <c r="R13" s="382"/>
      <c r="S13" s="305" t="s">
        <v>67</v>
      </c>
      <c r="T13" s="305"/>
      <c r="U13" s="305"/>
      <c r="V13" s="305"/>
      <c r="W13" s="305"/>
      <c r="X13" s="305"/>
      <c r="Y13" s="305"/>
      <c r="Z13" s="147"/>
      <c r="AA13" s="146"/>
      <c r="AB13" s="142"/>
      <c r="AC13" s="142"/>
      <c r="AD13" s="142"/>
      <c r="AE13" s="148"/>
      <c r="AF13" s="148"/>
      <c r="AG13" s="148"/>
      <c r="AH13" s="148"/>
      <c r="AI13" s="148"/>
      <c r="AJ13" s="148"/>
    </row>
    <row r="14" spans="1:36" ht="15.9" customHeight="1" x14ac:dyDescent="0.25">
      <c r="A14" s="149"/>
      <c r="B14" s="301" t="s">
        <v>20</v>
      </c>
      <c r="C14" s="301"/>
      <c r="D14" s="301"/>
      <c r="E14" s="301"/>
      <c r="F14" s="301"/>
      <c r="G14" s="305" t="s">
        <v>70</v>
      </c>
      <c r="H14" s="305"/>
      <c r="I14" s="305"/>
      <c r="J14" s="305"/>
      <c r="K14" s="305"/>
      <c r="L14" s="305"/>
      <c r="M14" s="383" t="s">
        <v>21</v>
      </c>
      <c r="N14" s="383"/>
      <c r="O14" s="383"/>
      <c r="P14" s="383"/>
      <c r="Q14" s="383"/>
      <c r="R14" s="383"/>
      <c r="S14" s="383" t="s">
        <v>22</v>
      </c>
      <c r="T14" s="383"/>
      <c r="U14" s="383"/>
      <c r="V14" s="383"/>
      <c r="W14" s="383"/>
      <c r="X14" s="383"/>
      <c r="Y14" s="383"/>
      <c r="Z14" s="150"/>
      <c r="AA14" s="142"/>
      <c r="AB14" s="142"/>
      <c r="AC14" s="142"/>
      <c r="AD14" s="142"/>
      <c r="AE14" s="148"/>
      <c r="AF14" s="148"/>
      <c r="AG14" s="148"/>
      <c r="AH14" s="148"/>
      <c r="AI14" s="148"/>
      <c r="AJ14" s="148"/>
    </row>
    <row r="15" spans="1:36" ht="6" customHeight="1" x14ac:dyDescent="0.25">
      <c r="A15" s="151"/>
      <c r="B15" s="152"/>
      <c r="C15" s="153"/>
      <c r="D15" s="153"/>
      <c r="E15" s="153"/>
      <c r="F15" s="152"/>
      <c r="G15" s="152"/>
      <c r="H15" s="152"/>
      <c r="I15" s="152"/>
      <c r="J15" s="152"/>
      <c r="K15" s="152"/>
      <c r="L15" s="152"/>
      <c r="M15" s="152"/>
      <c r="N15" s="153"/>
      <c r="O15" s="153"/>
      <c r="P15" s="153"/>
      <c r="Q15" s="153"/>
      <c r="R15" s="153"/>
      <c r="S15" s="153"/>
      <c r="T15" s="154"/>
      <c r="U15" s="154"/>
      <c r="V15" s="153"/>
      <c r="W15" s="153"/>
      <c r="X15" s="153"/>
      <c r="Y15" s="153"/>
      <c r="Z15" s="155"/>
      <c r="AE15" s="148"/>
      <c r="AF15" s="148"/>
      <c r="AG15" s="148"/>
      <c r="AH15" s="148"/>
      <c r="AI15" s="148"/>
      <c r="AJ15" s="148"/>
    </row>
    <row r="16" spans="1:36" ht="6" customHeight="1" x14ac:dyDescent="0.25">
      <c r="F16" s="156"/>
      <c r="G16" s="156"/>
      <c r="H16" s="156"/>
      <c r="I16" s="156"/>
      <c r="J16" s="156"/>
      <c r="K16" s="156"/>
      <c r="L16" s="156"/>
      <c r="M16" s="156"/>
      <c r="T16" s="157"/>
      <c r="U16" s="157"/>
      <c r="AE16" s="148"/>
      <c r="AF16" s="148"/>
      <c r="AG16" s="148"/>
      <c r="AH16" s="148"/>
      <c r="AI16" s="148"/>
      <c r="AJ16" s="148"/>
    </row>
    <row r="17" spans="1:40" ht="15.9" customHeight="1" x14ac:dyDescent="0.25">
      <c r="A17" s="136" t="s">
        <v>23</v>
      </c>
      <c r="B17" s="137" t="s">
        <v>24</v>
      </c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40"/>
      <c r="AA17" s="141"/>
      <c r="AE17" s="158"/>
      <c r="AI17" s="158"/>
    </row>
    <row r="18" spans="1:40" ht="8.25" customHeight="1" x14ac:dyDescent="0.25">
      <c r="A18" s="143"/>
      <c r="B18" s="159"/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5"/>
      <c r="AA18" s="141"/>
      <c r="AE18" s="158"/>
      <c r="AI18" s="158"/>
    </row>
    <row r="19" spans="1:40" ht="15.9" customHeight="1" x14ac:dyDescent="0.25">
      <c r="A19" s="143"/>
      <c r="B19" s="301" t="s">
        <v>25</v>
      </c>
      <c r="C19" s="301"/>
      <c r="D19" s="301"/>
      <c r="E19" s="301"/>
      <c r="F19" s="301"/>
      <c r="G19" s="301"/>
      <c r="H19" s="301"/>
      <c r="I19" s="302"/>
      <c r="J19" s="302"/>
      <c r="K19" s="302"/>
      <c r="L19" s="302"/>
      <c r="M19" s="302"/>
      <c r="N19" s="302"/>
      <c r="O19" s="302"/>
      <c r="P19" s="302"/>
      <c r="Q19" s="302"/>
      <c r="R19" s="302"/>
      <c r="S19" s="302"/>
      <c r="T19" s="302"/>
      <c r="U19" s="302"/>
      <c r="V19" s="302"/>
      <c r="W19" s="302"/>
      <c r="X19" s="302"/>
      <c r="Y19" s="302"/>
      <c r="Z19" s="147"/>
      <c r="AA19" s="146"/>
      <c r="AE19" s="158"/>
      <c r="AI19" s="158"/>
    </row>
    <row r="20" spans="1:40" ht="15.9" customHeight="1" x14ac:dyDescent="0.25">
      <c r="A20" s="143"/>
      <c r="B20" s="301" t="s">
        <v>26</v>
      </c>
      <c r="C20" s="301"/>
      <c r="D20" s="301"/>
      <c r="E20" s="301"/>
      <c r="F20" s="301"/>
      <c r="G20" s="301"/>
      <c r="H20" s="301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  <c r="T20" s="303"/>
      <c r="U20" s="303"/>
      <c r="V20" s="303"/>
      <c r="W20" s="303"/>
      <c r="X20" s="303"/>
      <c r="Y20" s="303"/>
      <c r="Z20" s="147"/>
      <c r="AA20" s="146"/>
      <c r="AE20" s="158"/>
      <c r="AI20" s="158"/>
    </row>
    <row r="21" spans="1:40" ht="7.5" customHeight="1" x14ac:dyDescent="0.25">
      <c r="A21" s="132"/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61"/>
      <c r="AA21" s="141"/>
      <c r="AE21" s="158"/>
      <c r="AI21" s="158"/>
    </row>
    <row r="22" spans="1:40" ht="5.25" customHeight="1" x14ac:dyDescent="0.25">
      <c r="F22" s="156"/>
      <c r="G22" s="156"/>
      <c r="H22" s="156"/>
      <c r="I22" s="156"/>
      <c r="J22" s="156"/>
      <c r="K22" s="156"/>
      <c r="L22" s="156"/>
      <c r="M22" s="156"/>
      <c r="T22" s="157"/>
      <c r="U22" s="157"/>
      <c r="AE22" s="158"/>
      <c r="AI22" s="158"/>
      <c r="AM22" s="142"/>
      <c r="AN22" s="142"/>
    </row>
    <row r="23" spans="1:40" ht="15.9" customHeight="1" x14ac:dyDescent="0.25">
      <c r="A23" s="162" t="s">
        <v>71</v>
      </c>
      <c r="B23" s="163" t="s">
        <v>27</v>
      </c>
      <c r="C23" s="163"/>
      <c r="D23" s="164"/>
      <c r="E23" s="164"/>
      <c r="F23" s="165"/>
      <c r="G23" s="165"/>
      <c r="H23" s="165"/>
      <c r="I23" s="165"/>
      <c r="J23" s="165"/>
      <c r="K23" s="165"/>
      <c r="L23" s="165"/>
      <c r="M23" s="165"/>
      <c r="N23" s="164"/>
      <c r="O23" s="164"/>
      <c r="P23" s="164"/>
      <c r="Q23" s="164"/>
      <c r="R23" s="164"/>
      <c r="S23" s="166"/>
      <c r="T23" s="166"/>
      <c r="U23" s="166"/>
      <c r="V23" s="166"/>
      <c r="W23" s="166"/>
      <c r="X23" s="166"/>
      <c r="Y23" s="166"/>
      <c r="Z23" s="167"/>
      <c r="AM23" s="168"/>
      <c r="AN23" s="169"/>
    </row>
    <row r="24" spans="1:40" ht="9" customHeight="1" x14ac:dyDescent="0.25">
      <c r="A24" s="149"/>
      <c r="Z24" s="170"/>
    </row>
    <row r="25" spans="1:40" ht="33.6" customHeight="1" x14ac:dyDescent="0.25">
      <c r="A25" s="149"/>
      <c r="Z25" s="170"/>
    </row>
    <row r="26" spans="1:40" ht="12.75" customHeight="1" x14ac:dyDescent="0.25">
      <c r="A26" s="149"/>
      <c r="Z26" s="170"/>
    </row>
    <row r="27" spans="1:40" ht="12.75" customHeight="1" x14ac:dyDescent="0.25">
      <c r="A27" s="149"/>
      <c r="Z27" s="170"/>
    </row>
    <row r="28" spans="1:40" ht="12.75" customHeight="1" x14ac:dyDescent="0.25">
      <c r="A28" s="149"/>
      <c r="Z28" s="170"/>
    </row>
    <row r="29" spans="1:40" ht="12.75" customHeight="1" x14ac:dyDescent="0.25">
      <c r="A29" s="149"/>
      <c r="Z29" s="170"/>
    </row>
    <row r="30" spans="1:40" ht="12.75" customHeight="1" x14ac:dyDescent="0.25">
      <c r="A30" s="149"/>
      <c r="Z30" s="170"/>
    </row>
    <row r="31" spans="1:40" ht="12.75" customHeight="1" x14ac:dyDescent="0.25">
      <c r="A31" s="149"/>
      <c r="Z31" s="170"/>
    </row>
    <row r="32" spans="1:40" ht="12.75" customHeight="1" x14ac:dyDescent="0.25">
      <c r="A32" s="149"/>
      <c r="Z32" s="170"/>
    </row>
    <row r="33" spans="1:26" ht="12.75" customHeight="1" x14ac:dyDescent="0.25">
      <c r="A33" s="149"/>
      <c r="Z33" s="170"/>
    </row>
    <row r="34" spans="1:26" ht="12.75" customHeight="1" x14ac:dyDescent="0.25">
      <c r="A34" s="149"/>
      <c r="Z34" s="170"/>
    </row>
    <row r="35" spans="1:26" ht="12.75" customHeight="1" x14ac:dyDescent="0.25">
      <c r="A35" s="149"/>
      <c r="Z35" s="170"/>
    </row>
    <row r="36" spans="1:26" ht="12.75" customHeight="1" x14ac:dyDescent="0.25">
      <c r="A36" s="149"/>
      <c r="Z36" s="170"/>
    </row>
    <row r="37" spans="1:26" ht="12.75" customHeight="1" x14ac:dyDescent="0.25">
      <c r="A37" s="149"/>
      <c r="Z37" s="170"/>
    </row>
    <row r="38" spans="1:26" ht="12.75" customHeight="1" x14ac:dyDescent="0.25">
      <c r="A38" s="149"/>
      <c r="Z38" s="170"/>
    </row>
    <row r="39" spans="1:26" ht="12.75" customHeight="1" x14ac:dyDescent="0.25">
      <c r="A39" s="149"/>
      <c r="Z39" s="170"/>
    </row>
    <row r="40" spans="1:26" ht="12.75" customHeight="1" x14ac:dyDescent="0.25">
      <c r="A40" s="149"/>
      <c r="Z40" s="170"/>
    </row>
    <row r="41" spans="1:26" ht="12.75" customHeight="1" x14ac:dyDescent="0.25">
      <c r="A41" s="149"/>
      <c r="Z41" s="170"/>
    </row>
    <row r="42" spans="1:26" ht="12.75" customHeight="1" x14ac:dyDescent="0.25">
      <c r="A42" s="149"/>
      <c r="Z42" s="170"/>
    </row>
    <row r="43" spans="1:26" ht="12.75" customHeight="1" x14ac:dyDescent="0.25">
      <c r="A43" s="149"/>
      <c r="Z43" s="170"/>
    </row>
    <row r="44" spans="1:26" ht="12.75" customHeight="1" x14ac:dyDescent="0.25">
      <c r="A44" s="149"/>
      <c r="Z44" s="170"/>
    </row>
    <row r="45" spans="1:26" ht="12.75" customHeight="1" x14ac:dyDescent="0.25">
      <c r="A45" s="149"/>
      <c r="Z45" s="170"/>
    </row>
    <row r="46" spans="1:26" ht="12.75" customHeight="1" x14ac:dyDescent="0.25">
      <c r="A46" s="149"/>
      <c r="Z46" s="170"/>
    </row>
    <row r="47" spans="1:26" ht="9.75" customHeight="1" x14ac:dyDescent="0.25">
      <c r="A47" s="149"/>
      <c r="Z47" s="170"/>
    </row>
    <row r="48" spans="1:26" ht="37.799999999999997" customHeight="1" thickBot="1" x14ac:dyDescent="0.3">
      <c r="A48" s="149"/>
      <c r="Z48" s="170"/>
    </row>
    <row r="49" spans="1:34" ht="9.75" customHeight="1" x14ac:dyDescent="0.25">
      <c r="A49" s="149"/>
      <c r="Z49" s="170"/>
      <c r="AD49" s="378" t="s">
        <v>28</v>
      </c>
      <c r="AE49" s="380">
        <v>2.6469999999999998</v>
      </c>
      <c r="AF49" s="353"/>
      <c r="AG49" s="359"/>
      <c r="AH49" s="171"/>
    </row>
    <row r="50" spans="1:34" ht="12.75" customHeight="1" thickBot="1" x14ac:dyDescent="0.3">
      <c r="A50" s="149"/>
      <c r="Z50" s="172"/>
      <c r="AD50" s="379"/>
      <c r="AE50" s="381"/>
      <c r="AF50" s="358"/>
      <c r="AG50" s="359"/>
    </row>
    <row r="51" spans="1:34" ht="18.75" customHeight="1" thickBot="1" x14ac:dyDescent="0.3">
      <c r="A51" s="149"/>
      <c r="E51" s="360" t="s">
        <v>29</v>
      </c>
      <c r="F51" s="361"/>
      <c r="G51" s="361"/>
      <c r="H51" s="361"/>
      <c r="I51" s="361"/>
      <c r="J51" s="361"/>
      <c r="K51" s="361"/>
      <c r="L51" s="361"/>
      <c r="M51" s="361"/>
      <c r="N51" s="361"/>
      <c r="O51" s="361"/>
      <c r="P51" s="361"/>
      <c r="Q51" s="361"/>
      <c r="R51" s="361"/>
      <c r="S51" s="361"/>
      <c r="T51" s="361"/>
      <c r="U51" s="362" t="s">
        <v>30</v>
      </c>
      <c r="V51" s="363"/>
      <c r="W51" s="364" t="s">
        <v>31</v>
      </c>
      <c r="X51" s="363"/>
      <c r="Y51" s="365" t="s">
        <v>32</v>
      </c>
      <c r="Z51" s="366"/>
      <c r="AA51" s="175"/>
      <c r="AB51" s="369" t="s">
        <v>33</v>
      </c>
      <c r="AC51" s="370"/>
      <c r="AD51" s="373" t="s">
        <v>34</v>
      </c>
      <c r="AE51" s="375" t="s">
        <v>35</v>
      </c>
      <c r="AF51" s="353"/>
      <c r="AG51" s="353"/>
      <c r="AH51" s="173"/>
    </row>
    <row r="52" spans="1:34" ht="24.9" customHeight="1" thickBot="1" x14ac:dyDescent="0.3">
      <c r="A52" s="176"/>
      <c r="B52" s="174" t="s">
        <v>36</v>
      </c>
      <c r="C52" s="354" t="s">
        <v>37</v>
      </c>
      <c r="D52" s="355"/>
      <c r="E52" s="177">
        <v>6.3E-2</v>
      </c>
      <c r="F52" s="177">
        <v>0.125</v>
      </c>
      <c r="G52" s="178">
        <v>0.25</v>
      </c>
      <c r="H52" s="178">
        <v>0.5</v>
      </c>
      <c r="I52" s="178">
        <v>1</v>
      </c>
      <c r="J52" s="178">
        <v>2</v>
      </c>
      <c r="K52" s="178">
        <v>4</v>
      </c>
      <c r="L52" s="178">
        <v>6.3</v>
      </c>
      <c r="M52" s="178">
        <v>8</v>
      </c>
      <c r="N52" s="178">
        <v>10</v>
      </c>
      <c r="O52" s="178">
        <v>12.5</v>
      </c>
      <c r="P52" s="178">
        <v>14</v>
      </c>
      <c r="Q52" s="179">
        <v>16</v>
      </c>
      <c r="R52" s="179">
        <v>20</v>
      </c>
      <c r="S52" s="178"/>
      <c r="T52" s="179"/>
      <c r="U52" s="310"/>
      <c r="V52" s="312"/>
      <c r="W52" s="311"/>
      <c r="X52" s="312"/>
      <c r="Y52" s="367"/>
      <c r="Z52" s="368"/>
      <c r="AA52" s="175"/>
      <c r="AB52" s="371"/>
      <c r="AC52" s="372"/>
      <c r="AD52" s="374"/>
      <c r="AE52" s="376"/>
      <c r="AF52" s="377"/>
      <c r="AG52" s="353"/>
    </row>
    <row r="53" spans="1:34" ht="24.9" customHeight="1" x14ac:dyDescent="0.25">
      <c r="A53" s="176"/>
      <c r="B53" s="180">
        <v>1</v>
      </c>
      <c r="C53" s="577"/>
      <c r="D53" s="572"/>
      <c r="E53" s="120">
        <v>6.5</v>
      </c>
      <c r="F53" s="121">
        <v>8.4</v>
      </c>
      <c r="G53" s="122">
        <v>11.1</v>
      </c>
      <c r="H53" s="122">
        <v>15</v>
      </c>
      <c r="I53" s="122">
        <v>20</v>
      </c>
      <c r="J53" s="122">
        <v>28.3</v>
      </c>
      <c r="K53" s="122">
        <v>41.5</v>
      </c>
      <c r="L53" s="122">
        <v>57</v>
      </c>
      <c r="M53" s="122">
        <v>74.099999999999994</v>
      </c>
      <c r="N53" s="122">
        <v>93.8</v>
      </c>
      <c r="O53" s="122">
        <v>100</v>
      </c>
      <c r="P53" s="122"/>
      <c r="Q53" s="122"/>
      <c r="R53" s="122"/>
      <c r="S53" s="123"/>
      <c r="T53" s="123"/>
      <c r="U53" s="349"/>
      <c r="V53" s="350"/>
      <c r="W53" s="351">
        <v>5.16</v>
      </c>
      <c r="X53" s="352"/>
      <c r="Y53" s="356">
        <f>IF(W53&lt;&gt;0,AE53,"")</f>
        <v>3.2676434742638936</v>
      </c>
      <c r="Z53" s="357"/>
      <c r="AA53" s="181"/>
      <c r="AB53" s="326">
        <f>(100*W53)/(100-W53)</f>
        <v>5.4407423028258117</v>
      </c>
      <c r="AC53" s="327"/>
      <c r="AD53" s="53">
        <f>(0.25*(100-O53)+2.3*(O53-H53)+12*(H53-E53)+150*(E53))/100</f>
        <v>12.725</v>
      </c>
      <c r="AE53" s="54">
        <f>(AB53*$AE$49)/(2.65*(AD53)^(1/5))</f>
        <v>3.2676434742638936</v>
      </c>
      <c r="AF53" s="156"/>
      <c r="AG53" s="182"/>
    </row>
    <row r="54" spans="1:34" ht="24.9" customHeight="1" x14ac:dyDescent="0.25">
      <c r="A54" s="176"/>
      <c r="B54" s="183">
        <v>2</v>
      </c>
      <c r="C54" s="563"/>
      <c r="D54" s="564"/>
      <c r="E54" s="125"/>
      <c r="F54" s="126"/>
      <c r="G54" s="127"/>
      <c r="H54" s="127"/>
      <c r="I54" s="127"/>
      <c r="J54" s="127"/>
      <c r="K54" s="127"/>
      <c r="L54" s="127"/>
      <c r="M54" s="127"/>
      <c r="N54" s="127"/>
      <c r="O54" s="127"/>
      <c r="P54" s="184"/>
      <c r="Q54" s="184"/>
      <c r="R54" s="184"/>
      <c r="S54" s="185"/>
      <c r="T54" s="185"/>
      <c r="U54" s="342"/>
      <c r="V54" s="343"/>
      <c r="W54" s="344"/>
      <c r="X54" s="345"/>
      <c r="Y54" s="346" t="str">
        <f>IF(W54&lt;&gt;0,AE54,"")</f>
        <v/>
      </c>
      <c r="Z54" s="347"/>
      <c r="AA54" s="181"/>
      <c r="AB54" s="326">
        <f>(100*W54)/(100-W54)</f>
        <v>0</v>
      </c>
      <c r="AC54" s="327"/>
      <c r="AD54" s="53">
        <f t="shared" ref="AD54:AD60" si="0">(0.25*(100-O54)+2.3*(O54-H54)+12*(H54-E54)+150*(E54))/100</f>
        <v>0.25</v>
      </c>
      <c r="AE54" s="54">
        <f t="shared" ref="AE54:AE60" si="1">(AB54*$AE$49)/(2.65*(AD54)^(1/5))</f>
        <v>0</v>
      </c>
      <c r="AF54" s="156"/>
      <c r="AG54" s="182"/>
    </row>
    <row r="55" spans="1:34" ht="24.9" customHeight="1" x14ac:dyDescent="0.25">
      <c r="A55" s="176"/>
      <c r="B55" s="183">
        <v>3</v>
      </c>
      <c r="C55" s="291"/>
      <c r="D55" s="348"/>
      <c r="E55" s="120"/>
      <c r="F55" s="121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3"/>
      <c r="T55" s="123"/>
      <c r="U55" s="349"/>
      <c r="V55" s="350"/>
      <c r="W55" s="351"/>
      <c r="X55" s="352"/>
      <c r="Y55" s="346" t="str">
        <f t="shared" ref="Y55:Y56" si="2">IF(W55&lt;&gt;0,AE55,"")</f>
        <v/>
      </c>
      <c r="Z55" s="347"/>
      <c r="AA55" s="181"/>
      <c r="AB55" s="326">
        <f>(100*W55)/(100-W55)</f>
        <v>0</v>
      </c>
      <c r="AC55" s="327"/>
      <c r="AD55" s="53">
        <f t="shared" si="0"/>
        <v>0.25</v>
      </c>
      <c r="AE55" s="54">
        <f t="shared" si="1"/>
        <v>0</v>
      </c>
      <c r="AF55" s="156"/>
      <c r="AG55" s="182"/>
    </row>
    <row r="56" spans="1:34" ht="24.9" customHeight="1" thickBot="1" x14ac:dyDescent="0.3">
      <c r="A56" s="176"/>
      <c r="B56" s="188">
        <v>4</v>
      </c>
      <c r="C56" s="293"/>
      <c r="D56" s="294"/>
      <c r="E56" s="189"/>
      <c r="F56" s="190"/>
      <c r="G56" s="190"/>
      <c r="H56" s="191"/>
      <c r="I56" s="191"/>
      <c r="J56" s="191"/>
      <c r="K56" s="191"/>
      <c r="L56" s="191"/>
      <c r="M56" s="191"/>
      <c r="N56" s="191"/>
      <c r="O56" s="191"/>
      <c r="P56" s="191"/>
      <c r="Q56" s="191"/>
      <c r="R56" s="191"/>
      <c r="S56" s="191"/>
      <c r="T56" s="192"/>
      <c r="U56" s="295"/>
      <c r="V56" s="296"/>
      <c r="W56" s="297"/>
      <c r="X56" s="298"/>
      <c r="Y56" s="299" t="str">
        <f t="shared" si="2"/>
        <v/>
      </c>
      <c r="Z56" s="300"/>
      <c r="AA56" s="181"/>
      <c r="AB56" s="326">
        <f>(100*W56)/(100-W56)</f>
        <v>0</v>
      </c>
      <c r="AC56" s="327"/>
      <c r="AD56" s="53">
        <f t="shared" si="0"/>
        <v>0.25</v>
      </c>
      <c r="AE56" s="54">
        <f t="shared" si="1"/>
        <v>0</v>
      </c>
      <c r="AF56" s="156"/>
      <c r="AG56" s="182"/>
    </row>
    <row r="57" spans="1:34" ht="10.5" customHeight="1" thickBot="1" x14ac:dyDescent="0.3">
      <c r="A57" s="176"/>
      <c r="B57" s="130"/>
      <c r="E57" s="193"/>
      <c r="F57" s="193"/>
      <c r="G57" s="193"/>
      <c r="H57" s="193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4"/>
      <c r="Z57" s="195"/>
      <c r="AB57" s="72"/>
      <c r="AC57" s="73"/>
      <c r="AD57" s="53"/>
      <c r="AE57" s="54"/>
      <c r="AF57" s="156"/>
      <c r="AG57" s="182"/>
    </row>
    <row r="58" spans="1:34" ht="24.75" hidden="1" customHeight="1" x14ac:dyDescent="0.25">
      <c r="A58" s="176"/>
      <c r="B58" s="337" t="s">
        <v>38</v>
      </c>
      <c r="C58" s="338"/>
      <c r="D58" s="339"/>
      <c r="E58" s="196"/>
      <c r="F58" s="196"/>
      <c r="G58" s="196"/>
      <c r="H58" s="196"/>
      <c r="I58" s="196"/>
      <c r="J58" s="196"/>
      <c r="K58" s="196"/>
      <c r="L58" s="196"/>
      <c r="M58" s="196">
        <v>10</v>
      </c>
      <c r="N58" s="196">
        <v>10</v>
      </c>
      <c r="O58" s="196"/>
      <c r="P58" s="196"/>
      <c r="Q58" s="196">
        <v>50</v>
      </c>
      <c r="R58" s="196"/>
      <c r="S58" s="196">
        <v>70</v>
      </c>
      <c r="T58" s="196"/>
      <c r="U58" s="196"/>
      <c r="V58" s="196"/>
      <c r="W58" s="196"/>
      <c r="X58" s="197"/>
      <c r="Y58" s="198">
        <v>4.5</v>
      </c>
      <c r="Z58" s="198"/>
      <c r="AA58" s="156"/>
      <c r="AB58" s="72"/>
      <c r="AC58" s="73"/>
      <c r="AD58" s="53">
        <f t="shared" si="0"/>
        <v>0.25</v>
      </c>
      <c r="AE58" s="54">
        <f t="shared" si="1"/>
        <v>0</v>
      </c>
      <c r="AF58" s="156"/>
      <c r="AG58" s="182"/>
    </row>
    <row r="59" spans="1:34" ht="18.75" customHeight="1" x14ac:dyDescent="0.25">
      <c r="A59" s="176"/>
      <c r="B59" s="317" t="s">
        <v>39</v>
      </c>
      <c r="C59" s="318"/>
      <c r="D59" s="319"/>
      <c r="E59" s="199">
        <f t="shared" ref="E59:T59" si="3">IF(E53&lt;&gt;0,AVERAGE(E53:E56),"")</f>
        <v>6.5</v>
      </c>
      <c r="F59" s="199">
        <f t="shared" si="3"/>
        <v>8.4</v>
      </c>
      <c r="G59" s="199">
        <f t="shared" si="3"/>
        <v>11.1</v>
      </c>
      <c r="H59" s="199">
        <f t="shared" si="3"/>
        <v>15</v>
      </c>
      <c r="I59" s="199">
        <f t="shared" si="3"/>
        <v>20</v>
      </c>
      <c r="J59" s="199">
        <f t="shared" si="3"/>
        <v>28.3</v>
      </c>
      <c r="K59" s="199">
        <f t="shared" si="3"/>
        <v>41.5</v>
      </c>
      <c r="L59" s="199">
        <f t="shared" si="3"/>
        <v>57</v>
      </c>
      <c r="M59" s="199">
        <f t="shared" si="3"/>
        <v>74.099999999999994</v>
      </c>
      <c r="N59" s="199">
        <f t="shared" si="3"/>
        <v>93.8</v>
      </c>
      <c r="O59" s="199">
        <f t="shared" si="3"/>
        <v>100</v>
      </c>
      <c r="P59" s="199" t="str">
        <f t="shared" si="3"/>
        <v/>
      </c>
      <c r="Q59" s="199" t="str">
        <f t="shared" si="3"/>
        <v/>
      </c>
      <c r="R59" s="199" t="str">
        <f t="shared" si="3"/>
        <v/>
      </c>
      <c r="S59" s="199" t="str">
        <f t="shared" si="3"/>
        <v/>
      </c>
      <c r="T59" s="200" t="str">
        <f t="shared" si="3"/>
        <v/>
      </c>
      <c r="U59" s="320" t="str">
        <f>IF(U53&lt;&gt;0,AVERAGE(U53:V56),"")</f>
        <v/>
      </c>
      <c r="V59" s="321"/>
      <c r="W59" s="322">
        <f>IF(W53&lt;&gt;0,AVERAGE(W53:X56),"")</f>
        <v>5.16</v>
      </c>
      <c r="X59" s="323"/>
      <c r="Y59" s="324">
        <f>IF(W53&lt;&gt;0,AVERAGE(Y53:Z56),"")</f>
        <v>3.2676434742638936</v>
      </c>
      <c r="Z59" s="325"/>
      <c r="AA59" s="182"/>
      <c r="AB59" s="326">
        <f>(100*W59)/(100-W59)</f>
        <v>5.4407423028258117</v>
      </c>
      <c r="AC59" s="327"/>
      <c r="AD59" s="53">
        <f t="shared" si="0"/>
        <v>12.725</v>
      </c>
      <c r="AE59" s="54">
        <f t="shared" si="1"/>
        <v>3.2676434742638936</v>
      </c>
      <c r="AF59" s="156"/>
      <c r="AG59" s="182"/>
    </row>
    <row r="60" spans="1:34" ht="21" customHeight="1" x14ac:dyDescent="0.25">
      <c r="A60" s="176"/>
      <c r="B60" s="328" t="s">
        <v>40</v>
      </c>
      <c r="C60" s="329"/>
      <c r="D60" s="330"/>
      <c r="E60" s="201">
        <v>6.5</v>
      </c>
      <c r="F60" s="201">
        <v>8</v>
      </c>
      <c r="G60" s="201">
        <v>11</v>
      </c>
      <c r="H60" s="201">
        <v>16</v>
      </c>
      <c r="I60" s="201">
        <v>21</v>
      </c>
      <c r="J60" s="201">
        <v>30</v>
      </c>
      <c r="K60" s="201">
        <v>44</v>
      </c>
      <c r="L60" s="201">
        <v>60</v>
      </c>
      <c r="M60" s="201">
        <v>76</v>
      </c>
      <c r="N60" s="201">
        <v>95</v>
      </c>
      <c r="O60" s="201">
        <v>100</v>
      </c>
      <c r="P60" s="201"/>
      <c r="Q60" s="202"/>
      <c r="R60" s="201"/>
      <c r="S60" s="201"/>
      <c r="T60" s="203"/>
      <c r="U60" s="331"/>
      <c r="V60" s="332"/>
      <c r="W60" s="333">
        <v>5.4</v>
      </c>
      <c r="X60" s="334"/>
      <c r="Y60" s="335">
        <f>AE60</f>
        <v>3.4230996041984052</v>
      </c>
      <c r="Z60" s="336"/>
      <c r="AA60" s="182"/>
      <c r="AB60" s="326">
        <f>(100*W60)/(100-W60)</f>
        <v>5.7082452431289648</v>
      </c>
      <c r="AC60" s="327"/>
      <c r="AD60" s="53">
        <f t="shared" si="0"/>
        <v>12.822000000000001</v>
      </c>
      <c r="AE60" s="54">
        <f t="shared" si="1"/>
        <v>3.4230996041984052</v>
      </c>
      <c r="AF60" s="156"/>
      <c r="AG60" s="182"/>
    </row>
    <row r="61" spans="1:34" ht="13.5" customHeight="1" x14ac:dyDescent="0.25">
      <c r="A61" s="176"/>
      <c r="B61" s="204"/>
      <c r="C61" s="205" t="s">
        <v>41</v>
      </c>
      <c r="D61" s="206"/>
      <c r="E61" s="186">
        <f>E60+2</f>
        <v>8.5</v>
      </c>
      <c r="F61" s="186"/>
      <c r="G61" s="186"/>
      <c r="H61" s="186"/>
      <c r="I61" s="186"/>
      <c r="J61" s="186">
        <f>J60+6</f>
        <v>36</v>
      </c>
      <c r="K61" s="186"/>
      <c r="L61" s="186">
        <f>L60+7</f>
        <v>67</v>
      </c>
      <c r="M61" s="186"/>
      <c r="N61" s="186"/>
      <c r="O61" s="186"/>
      <c r="P61" s="186"/>
      <c r="Q61" s="186"/>
      <c r="R61" s="186"/>
      <c r="S61" s="186"/>
      <c r="T61" s="187"/>
      <c r="U61" s="288"/>
      <c r="V61" s="289"/>
      <c r="W61" s="290">
        <f>W60+0.5</f>
        <v>5.9</v>
      </c>
      <c r="X61" s="289"/>
      <c r="Y61" s="291"/>
      <c r="Z61" s="292"/>
      <c r="AA61" s="207"/>
      <c r="AB61" s="88"/>
      <c r="AC61" s="89"/>
      <c r="AD61" s="306"/>
      <c r="AE61" s="308" t="s">
        <v>42</v>
      </c>
      <c r="AF61" s="156"/>
      <c r="AG61" s="182"/>
    </row>
    <row r="62" spans="1:34" ht="13.5" customHeight="1" thickBot="1" x14ac:dyDescent="0.3">
      <c r="A62" s="176"/>
      <c r="B62" s="310" t="s">
        <v>43</v>
      </c>
      <c r="C62" s="311"/>
      <c r="D62" s="312"/>
      <c r="E62" s="208">
        <f>E60-2</f>
        <v>4.5</v>
      </c>
      <c r="F62" s="208"/>
      <c r="G62" s="209"/>
      <c r="H62" s="209"/>
      <c r="I62" s="209"/>
      <c r="J62" s="208">
        <f>J60-6</f>
        <v>24</v>
      </c>
      <c r="K62" s="209"/>
      <c r="L62" s="208">
        <f>L60-7</f>
        <v>53</v>
      </c>
      <c r="M62" s="208"/>
      <c r="N62" s="209"/>
      <c r="O62" s="209"/>
      <c r="P62" s="209"/>
      <c r="Q62" s="208"/>
      <c r="R62" s="209"/>
      <c r="S62" s="209"/>
      <c r="T62" s="210"/>
      <c r="U62" s="313"/>
      <c r="V62" s="314"/>
      <c r="W62" s="315">
        <f>W60-0.5</f>
        <v>4.9000000000000004</v>
      </c>
      <c r="X62" s="314"/>
      <c r="Y62" s="293"/>
      <c r="Z62" s="316"/>
      <c r="AA62" s="211"/>
      <c r="AB62" s="94"/>
      <c r="AC62" s="95"/>
      <c r="AD62" s="307"/>
      <c r="AE62" s="309"/>
      <c r="AF62" s="156"/>
      <c r="AG62" s="182"/>
    </row>
    <row r="63" spans="1:34" ht="6.75" customHeight="1" x14ac:dyDescent="0.25">
      <c r="A63" s="151"/>
      <c r="B63" s="152"/>
      <c r="C63" s="153"/>
      <c r="D63" s="153"/>
      <c r="E63" s="153"/>
      <c r="F63" s="153"/>
      <c r="G63" s="153"/>
      <c r="H63" s="153"/>
      <c r="I63" s="153"/>
      <c r="J63" s="153"/>
      <c r="K63" s="153"/>
      <c r="L63" s="153"/>
      <c r="M63" s="153"/>
      <c r="N63" s="153"/>
      <c r="O63" s="153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212"/>
    </row>
    <row r="64" spans="1:34" ht="8.25" customHeight="1" x14ac:dyDescent="0.25"/>
    <row r="65" spans="1:30" ht="15.6" customHeight="1" x14ac:dyDescent="0.25">
      <c r="A65" s="213" t="s">
        <v>44</v>
      </c>
      <c r="B65" s="214" t="s">
        <v>45</v>
      </c>
      <c r="C65" s="215"/>
      <c r="D65" s="215"/>
      <c r="E65" s="215"/>
      <c r="F65" s="216"/>
      <c r="G65" s="216"/>
      <c r="H65" s="216"/>
      <c r="I65" s="138"/>
      <c r="J65" s="138"/>
      <c r="K65" s="138"/>
      <c r="L65" s="138"/>
      <c r="M65" s="138"/>
      <c r="N65" s="138"/>
      <c r="O65" s="138"/>
      <c r="P65" s="138"/>
      <c r="Q65" s="216"/>
      <c r="R65" s="138"/>
      <c r="S65" s="138"/>
      <c r="T65" s="138"/>
      <c r="U65" s="270"/>
      <c r="V65" s="270"/>
      <c r="W65" s="270"/>
      <c r="X65" s="270"/>
      <c r="Y65" s="270"/>
      <c r="Z65" s="271"/>
      <c r="AA65" s="217"/>
      <c r="AB65" s="218"/>
      <c r="AC65" s="218"/>
      <c r="AD65" s="219"/>
    </row>
    <row r="66" spans="1:30" ht="26.4" customHeight="1" x14ac:dyDescent="0.25">
      <c r="A66" s="272" t="s">
        <v>46</v>
      </c>
      <c r="B66" s="273"/>
      <c r="C66" s="273"/>
      <c r="D66" s="273"/>
      <c r="E66" s="273"/>
      <c r="F66" s="273"/>
      <c r="G66" s="273"/>
      <c r="H66" s="273"/>
      <c r="I66" s="273"/>
      <c r="J66" s="273"/>
      <c r="K66" s="273"/>
      <c r="L66" s="273"/>
      <c r="M66" s="273"/>
      <c r="N66" s="273"/>
      <c r="O66" s="273"/>
      <c r="P66" s="273"/>
      <c r="Q66" s="274"/>
      <c r="R66" s="261" t="s">
        <v>47</v>
      </c>
      <c r="S66" s="262"/>
      <c r="T66" s="263"/>
      <c r="U66" s="574" t="s">
        <v>55</v>
      </c>
      <c r="V66" s="575"/>
      <c r="W66" s="575"/>
      <c r="X66" s="575"/>
      <c r="Y66" s="575"/>
      <c r="Z66" s="576"/>
      <c r="AA66" s="160"/>
      <c r="AB66" s="220"/>
      <c r="AC66" s="220"/>
      <c r="AD66" s="219"/>
    </row>
    <row r="67" spans="1:30" ht="26.4" customHeight="1" x14ac:dyDescent="0.25">
      <c r="A67" s="279" t="s">
        <v>48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0"/>
      <c r="N67" s="280"/>
      <c r="O67" s="280"/>
      <c r="P67" s="280"/>
      <c r="Q67" s="281"/>
      <c r="R67" s="261" t="s">
        <v>49</v>
      </c>
      <c r="S67" s="262"/>
      <c r="T67" s="263"/>
      <c r="U67" s="282" t="s">
        <v>73</v>
      </c>
      <c r="V67" s="283"/>
      <c r="W67" s="283"/>
      <c r="X67" s="283"/>
      <c r="Y67" s="283"/>
      <c r="Z67" s="284"/>
      <c r="AA67" s="160"/>
      <c r="AB67" s="220"/>
      <c r="AC67" s="220"/>
      <c r="AD67" s="219"/>
    </row>
    <row r="68" spans="1:30" ht="15.6" customHeight="1" x14ac:dyDescent="0.25">
      <c r="A68" s="221" t="s">
        <v>50</v>
      </c>
      <c r="B68" s="222" t="s">
        <v>51</v>
      </c>
      <c r="C68" s="141"/>
      <c r="D68" s="141"/>
      <c r="E68" s="223"/>
      <c r="F68" s="223"/>
      <c r="G68" s="223"/>
      <c r="H68" s="223"/>
      <c r="I68" s="223"/>
      <c r="J68" s="223"/>
      <c r="K68" s="223"/>
      <c r="L68" s="223"/>
      <c r="M68" s="223"/>
      <c r="N68" s="223"/>
      <c r="O68" s="223"/>
      <c r="P68" s="223"/>
      <c r="Q68" s="224"/>
      <c r="R68" s="261"/>
      <c r="S68" s="262"/>
      <c r="T68" s="263"/>
      <c r="U68" s="285"/>
      <c r="V68" s="286"/>
      <c r="W68" s="286"/>
      <c r="X68" s="286"/>
      <c r="Y68" s="286"/>
      <c r="Z68" s="287"/>
      <c r="AA68" s="160"/>
      <c r="AB68" s="220"/>
      <c r="AC68" s="220"/>
      <c r="AD68" s="219"/>
    </row>
    <row r="69" spans="1:30" ht="15.6" customHeight="1" x14ac:dyDescent="0.25">
      <c r="A69" s="255"/>
      <c r="B69" s="256"/>
      <c r="C69" s="256"/>
      <c r="D69" s="256"/>
      <c r="E69" s="256"/>
      <c r="F69" s="256"/>
      <c r="G69" s="256"/>
      <c r="H69" s="256"/>
      <c r="I69" s="256"/>
      <c r="J69" s="256"/>
      <c r="K69" s="256"/>
      <c r="L69" s="256"/>
      <c r="M69" s="256"/>
      <c r="N69" s="256"/>
      <c r="O69" s="256"/>
      <c r="P69" s="256"/>
      <c r="Q69" s="257"/>
      <c r="R69" s="261" t="s">
        <v>52</v>
      </c>
      <c r="S69" s="262"/>
      <c r="T69" s="263"/>
      <c r="U69" s="225"/>
      <c r="V69" s="226"/>
      <c r="W69" s="226"/>
      <c r="X69" s="226"/>
      <c r="Y69" s="226"/>
      <c r="Z69" s="227"/>
      <c r="AA69" s="228"/>
      <c r="AB69" s="229"/>
      <c r="AC69" s="229"/>
      <c r="AD69" s="219"/>
    </row>
    <row r="70" spans="1:30" ht="15.6" customHeight="1" x14ac:dyDescent="0.25">
      <c r="A70" s="255"/>
      <c r="B70" s="256"/>
      <c r="C70" s="256"/>
      <c r="D70" s="256"/>
      <c r="E70" s="256"/>
      <c r="F70" s="256"/>
      <c r="G70" s="256"/>
      <c r="H70" s="256"/>
      <c r="I70" s="256"/>
      <c r="J70" s="256"/>
      <c r="K70" s="256"/>
      <c r="L70" s="256"/>
      <c r="M70" s="256"/>
      <c r="N70" s="256"/>
      <c r="O70" s="256"/>
      <c r="P70" s="256"/>
      <c r="Q70" s="257"/>
      <c r="R70" s="261"/>
      <c r="S70" s="262"/>
      <c r="T70" s="263"/>
      <c r="U70" s="230"/>
      <c r="V70" s="267"/>
      <c r="W70" s="267"/>
      <c r="X70" s="267"/>
      <c r="Y70" s="267"/>
      <c r="Z70" s="231"/>
      <c r="AA70" s="228"/>
      <c r="AB70" s="229"/>
      <c r="AC70" s="229"/>
      <c r="AD70" s="219"/>
    </row>
    <row r="71" spans="1:30" ht="15.6" customHeight="1" x14ac:dyDescent="0.25">
      <c r="A71" s="255"/>
      <c r="B71" s="256"/>
      <c r="C71" s="256"/>
      <c r="D71" s="256"/>
      <c r="E71" s="256"/>
      <c r="F71" s="256"/>
      <c r="G71" s="256"/>
      <c r="H71" s="256"/>
      <c r="I71" s="256"/>
      <c r="J71" s="256"/>
      <c r="K71" s="256"/>
      <c r="L71" s="256"/>
      <c r="M71" s="256"/>
      <c r="N71" s="256"/>
      <c r="O71" s="256"/>
      <c r="P71" s="256"/>
      <c r="Q71" s="257"/>
      <c r="R71" s="261"/>
      <c r="S71" s="262"/>
      <c r="T71" s="263"/>
      <c r="U71" s="230"/>
      <c r="V71" s="267"/>
      <c r="W71" s="267"/>
      <c r="X71" s="267"/>
      <c r="Y71" s="267"/>
      <c r="Z71" s="231"/>
      <c r="AA71" s="228"/>
      <c r="AB71" s="229"/>
      <c r="AC71" s="229"/>
      <c r="AD71" s="219"/>
    </row>
    <row r="72" spans="1:30" ht="15.6" customHeight="1" x14ac:dyDescent="0.25">
      <c r="A72" s="258"/>
      <c r="B72" s="259"/>
      <c r="C72" s="259"/>
      <c r="D72" s="259"/>
      <c r="E72" s="259"/>
      <c r="F72" s="259"/>
      <c r="G72" s="259"/>
      <c r="H72" s="259"/>
      <c r="I72" s="259"/>
      <c r="J72" s="259"/>
      <c r="K72" s="259"/>
      <c r="L72" s="259"/>
      <c r="M72" s="259"/>
      <c r="N72" s="259"/>
      <c r="O72" s="259"/>
      <c r="P72" s="259"/>
      <c r="Q72" s="260"/>
      <c r="R72" s="264"/>
      <c r="S72" s="265"/>
      <c r="T72" s="266"/>
      <c r="U72" s="232"/>
      <c r="V72" s="233"/>
      <c r="W72" s="233"/>
      <c r="X72" s="233"/>
      <c r="Y72" s="233"/>
      <c r="Z72" s="234"/>
      <c r="AA72" s="228"/>
      <c r="AB72" s="229"/>
      <c r="AC72" s="229"/>
      <c r="AD72" s="219"/>
    </row>
    <row r="73" spans="1:30" ht="12.75" customHeight="1" x14ac:dyDescent="0.25">
      <c r="U73" s="235"/>
      <c r="V73" s="235"/>
      <c r="W73" s="235"/>
      <c r="X73" s="235"/>
      <c r="Y73" s="235"/>
      <c r="Z73" s="235"/>
    </row>
  </sheetData>
  <mergeCells count="101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1:F11"/>
    <mergeCell ref="G11:L11"/>
    <mergeCell ref="M11:R11"/>
    <mergeCell ref="S11:Y11"/>
    <mergeCell ref="B12:F12"/>
    <mergeCell ref="G12:L12"/>
    <mergeCell ref="M12:R12"/>
    <mergeCell ref="S12:Y12"/>
    <mergeCell ref="AG51:AG52"/>
    <mergeCell ref="C52:D52"/>
    <mergeCell ref="B19:H19"/>
    <mergeCell ref="I19:Y19"/>
    <mergeCell ref="B20:H20"/>
    <mergeCell ref="I20:Y20"/>
    <mergeCell ref="AD49:AD50"/>
    <mergeCell ref="AE49:AE50"/>
    <mergeCell ref="B13:F13"/>
    <mergeCell ref="G13:L13"/>
    <mergeCell ref="M13:R13"/>
    <mergeCell ref="S13:Y13"/>
    <mergeCell ref="B14:F14"/>
    <mergeCell ref="G14:L14"/>
    <mergeCell ref="M14:R14"/>
    <mergeCell ref="S14:Y14"/>
    <mergeCell ref="C53:D53"/>
    <mergeCell ref="U53:V53"/>
    <mergeCell ref="W53:X53"/>
    <mergeCell ref="Y53:Z53"/>
    <mergeCell ref="AB53:AC53"/>
    <mergeCell ref="AF49:AF50"/>
    <mergeCell ref="AG49:AG50"/>
    <mergeCell ref="E51:T51"/>
    <mergeCell ref="U51:V52"/>
    <mergeCell ref="W51:X52"/>
    <mergeCell ref="Y51:Z52"/>
    <mergeCell ref="AB51:AC52"/>
    <mergeCell ref="AD51:AD52"/>
    <mergeCell ref="AE51:AE52"/>
    <mergeCell ref="AF51:AF52"/>
    <mergeCell ref="C56:D56"/>
    <mergeCell ref="U56:V56"/>
    <mergeCell ref="W56:X56"/>
    <mergeCell ref="Y56:Z56"/>
    <mergeCell ref="AB56:AC56"/>
    <mergeCell ref="B58:D58"/>
    <mergeCell ref="C54:D54"/>
    <mergeCell ref="U54:V54"/>
    <mergeCell ref="W54:X54"/>
    <mergeCell ref="Y54:Z54"/>
    <mergeCell ref="AB54:AC54"/>
    <mergeCell ref="C55:D55"/>
    <mergeCell ref="U55:V55"/>
    <mergeCell ref="W55:X55"/>
    <mergeCell ref="Y55:Z55"/>
    <mergeCell ref="AB55:AC55"/>
    <mergeCell ref="B59:D59"/>
    <mergeCell ref="U59:V59"/>
    <mergeCell ref="W59:X59"/>
    <mergeCell ref="Y59:Z59"/>
    <mergeCell ref="AB59:AC59"/>
    <mergeCell ref="B60:D60"/>
    <mergeCell ref="U60:V60"/>
    <mergeCell ref="W60:X60"/>
    <mergeCell ref="Y60:Z60"/>
    <mergeCell ref="AB60:AC60"/>
    <mergeCell ref="U61:V61"/>
    <mergeCell ref="W61:X61"/>
    <mergeCell ref="Y61:Z61"/>
    <mergeCell ref="AD61:AD62"/>
    <mergeCell ref="AE61:AE62"/>
    <mergeCell ref="B62:D62"/>
    <mergeCell ref="U62:V62"/>
    <mergeCell ref="W62:X62"/>
    <mergeCell ref="Y62:Z62"/>
    <mergeCell ref="A69:Q72"/>
    <mergeCell ref="R69:T72"/>
    <mergeCell ref="V70:Y71"/>
    <mergeCell ref="U65:Z65"/>
    <mergeCell ref="A66:Q66"/>
    <mergeCell ref="R66:T66"/>
    <mergeCell ref="U66:Z66"/>
    <mergeCell ref="A67:Q67"/>
    <mergeCell ref="R67:T68"/>
    <mergeCell ref="U67:Z68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975B0-47FB-442F-A8C2-B18DD5B76662}">
  <sheetPr>
    <pageSetUpPr fitToPage="1"/>
  </sheetPr>
  <dimension ref="A1:AN76"/>
  <sheetViews>
    <sheetView zoomScaleNormal="100" workbookViewId="0">
      <selection activeCell="O55" sqref="O55"/>
    </sheetView>
  </sheetViews>
  <sheetFormatPr baseColWidth="10" defaultColWidth="11.44140625" defaultRowHeight="12.75" customHeight="1" x14ac:dyDescent="0.25"/>
  <cols>
    <col min="1" max="2" width="5.109375" style="28" customWidth="1"/>
    <col min="3" max="27" width="5.109375" style="2" customWidth="1"/>
    <col min="28" max="41" width="11.44140625" style="2" customWidth="1"/>
    <col min="42" max="16384" width="11.44140625" style="2"/>
  </cols>
  <sheetData>
    <row r="1" spans="1:36" ht="12.75" customHeight="1" x14ac:dyDescent="0.25">
      <c r="A1" s="430"/>
      <c r="B1" s="431"/>
      <c r="C1" s="431"/>
      <c r="D1" s="431"/>
      <c r="E1" s="431"/>
      <c r="F1" s="432"/>
      <c r="G1" s="439" t="s">
        <v>0</v>
      </c>
      <c r="H1" s="440"/>
      <c r="I1" s="440"/>
      <c r="J1" s="440"/>
      <c r="K1" s="440"/>
      <c r="L1" s="440"/>
      <c r="M1" s="440"/>
      <c r="N1" s="440"/>
      <c r="O1" s="440"/>
      <c r="P1" s="440"/>
      <c r="Q1" s="440"/>
      <c r="R1" s="440"/>
      <c r="S1" s="440"/>
      <c r="T1" s="441"/>
      <c r="U1" s="405" t="s">
        <v>59</v>
      </c>
      <c r="V1" s="406"/>
      <c r="W1" s="406"/>
      <c r="X1" s="406"/>
      <c r="Y1" s="406"/>
      <c r="Z1" s="407"/>
      <c r="AA1" s="1"/>
    </row>
    <row r="2" spans="1:36" ht="12.75" customHeight="1" x14ac:dyDescent="0.25">
      <c r="A2" s="433"/>
      <c r="B2" s="434"/>
      <c r="C2" s="434"/>
      <c r="D2" s="434"/>
      <c r="E2" s="434"/>
      <c r="F2" s="435"/>
      <c r="G2" s="442" t="s">
        <v>1</v>
      </c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4"/>
      <c r="U2" s="408"/>
      <c r="V2" s="409"/>
      <c r="W2" s="409"/>
      <c r="X2" s="409"/>
      <c r="Y2" s="409"/>
      <c r="Z2" s="410"/>
      <c r="AA2" s="1"/>
    </row>
    <row r="3" spans="1:36" ht="12.75" customHeight="1" x14ac:dyDescent="0.25">
      <c r="A3" s="433"/>
      <c r="B3" s="434"/>
      <c r="C3" s="434"/>
      <c r="D3" s="434"/>
      <c r="E3" s="434"/>
      <c r="F3" s="435"/>
      <c r="G3" s="445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4"/>
      <c r="U3" s="408"/>
      <c r="V3" s="409"/>
      <c r="W3" s="409"/>
      <c r="X3" s="409"/>
      <c r="Y3" s="409"/>
      <c r="Z3" s="410"/>
      <c r="AA3" s="1"/>
    </row>
    <row r="4" spans="1:36" ht="12.75" customHeight="1" x14ac:dyDescent="0.25">
      <c r="A4" s="433"/>
      <c r="B4" s="434"/>
      <c r="C4" s="434"/>
      <c r="D4" s="434"/>
      <c r="E4" s="434"/>
      <c r="F4" s="435"/>
      <c r="G4" s="445"/>
      <c r="H4" s="443"/>
      <c r="I4" s="443"/>
      <c r="J4" s="443"/>
      <c r="K4" s="443"/>
      <c r="L4" s="443"/>
      <c r="M4" s="443"/>
      <c r="N4" s="443"/>
      <c r="O4" s="443"/>
      <c r="P4" s="443"/>
      <c r="Q4" s="443"/>
      <c r="R4" s="443"/>
      <c r="S4" s="443"/>
      <c r="T4" s="444"/>
      <c r="U4" s="408"/>
      <c r="V4" s="409"/>
      <c r="W4" s="409"/>
      <c r="X4" s="409"/>
      <c r="Y4" s="409"/>
      <c r="Z4" s="410"/>
      <c r="AA4" s="1"/>
    </row>
    <row r="5" spans="1:36" ht="12.75" customHeight="1" x14ac:dyDescent="0.25">
      <c r="A5" s="433"/>
      <c r="B5" s="434"/>
      <c r="C5" s="434"/>
      <c r="D5" s="434"/>
      <c r="E5" s="434"/>
      <c r="F5" s="435"/>
      <c r="G5" s="445" t="s">
        <v>2</v>
      </c>
      <c r="H5" s="443"/>
      <c r="I5" s="3" t="s">
        <v>3</v>
      </c>
      <c r="J5" s="446">
        <v>3</v>
      </c>
      <c r="K5" s="447"/>
      <c r="L5" s="448" t="s">
        <v>60</v>
      </c>
      <c r="M5" s="446"/>
      <c r="N5" s="446"/>
      <c r="O5" s="447"/>
      <c r="P5" s="449">
        <v>45742</v>
      </c>
      <c r="Q5" s="450"/>
      <c r="R5" s="450"/>
      <c r="S5" s="450"/>
      <c r="T5" s="451"/>
      <c r="U5" s="408"/>
      <c r="V5" s="409"/>
      <c r="W5" s="409"/>
      <c r="X5" s="409"/>
      <c r="Y5" s="409"/>
      <c r="Z5" s="410"/>
      <c r="AA5" s="1"/>
    </row>
    <row r="6" spans="1:36" ht="12.75" customHeight="1" x14ac:dyDescent="0.25">
      <c r="A6" s="436"/>
      <c r="B6" s="437"/>
      <c r="C6" s="437"/>
      <c r="D6" s="437"/>
      <c r="E6" s="437"/>
      <c r="F6" s="438"/>
      <c r="G6" s="4"/>
      <c r="H6" s="5"/>
      <c r="I6" s="5"/>
      <c r="J6" s="423" t="s">
        <v>4</v>
      </c>
      <c r="K6" s="423"/>
      <c r="L6" s="423" t="s">
        <v>5</v>
      </c>
      <c r="M6" s="423"/>
      <c r="N6" s="423"/>
      <c r="O6" s="423"/>
      <c r="P6" s="423" t="s">
        <v>6</v>
      </c>
      <c r="Q6" s="423"/>
      <c r="R6" s="423"/>
      <c r="S6" s="423"/>
      <c r="T6" s="424"/>
      <c r="U6" s="411"/>
      <c r="V6" s="412"/>
      <c r="W6" s="412"/>
      <c r="X6" s="412"/>
      <c r="Y6" s="412"/>
      <c r="Z6" s="413"/>
      <c r="AA6" s="1"/>
    </row>
    <row r="7" spans="1:36" ht="37.5" customHeight="1" x14ac:dyDescent="0.25">
      <c r="A7" s="425" t="s">
        <v>7</v>
      </c>
      <c r="B7" s="425"/>
      <c r="C7" s="425"/>
      <c r="D7" s="425"/>
      <c r="E7" s="425"/>
      <c r="F7" s="425"/>
      <c r="G7" s="426" t="s">
        <v>8</v>
      </c>
      <c r="H7" s="426"/>
      <c r="I7" s="426"/>
      <c r="J7" s="426"/>
      <c r="K7" s="426"/>
      <c r="L7" s="426"/>
      <c r="M7" s="426"/>
      <c r="N7" s="426"/>
      <c r="O7" s="426"/>
      <c r="P7" s="426"/>
      <c r="Q7" s="426"/>
      <c r="R7" s="426"/>
      <c r="S7" s="426"/>
      <c r="T7" s="426"/>
      <c r="U7" s="426"/>
      <c r="V7" s="426"/>
      <c r="W7" s="426"/>
      <c r="X7" s="426"/>
      <c r="Y7" s="426"/>
      <c r="Z7" s="426"/>
      <c r="AA7" s="6"/>
      <c r="AE7" s="7"/>
      <c r="AI7" s="7"/>
    </row>
    <row r="8" spans="1:36" ht="15.9" customHeight="1" x14ac:dyDescent="0.25">
      <c r="A8" s="8" t="s">
        <v>9</v>
      </c>
      <c r="B8" s="9" t="s">
        <v>10</v>
      </c>
      <c r="C8" s="10"/>
      <c r="D8" s="11"/>
      <c r="E8" s="11"/>
      <c r="F8" s="11"/>
      <c r="G8" s="11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2"/>
      <c r="AA8" s="13"/>
      <c r="AB8" s="14"/>
      <c r="AC8" s="14"/>
      <c r="AD8" s="14"/>
      <c r="AE8" s="7"/>
      <c r="AF8" s="14"/>
      <c r="AI8" s="7"/>
    </row>
    <row r="9" spans="1:36" ht="15.9" customHeight="1" x14ac:dyDescent="0.25">
      <c r="A9" s="15"/>
      <c r="B9" s="13"/>
      <c r="C9" s="13"/>
      <c r="D9" s="16"/>
      <c r="E9" s="16"/>
      <c r="F9" s="16"/>
      <c r="G9" s="16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7"/>
      <c r="AA9" s="13"/>
      <c r="AB9" s="14"/>
      <c r="AC9" s="14"/>
      <c r="AD9" s="14"/>
      <c r="AE9" s="7"/>
      <c r="AF9" s="14"/>
      <c r="AI9" s="7"/>
    </row>
    <row r="10" spans="1:36" ht="15.9" customHeight="1" x14ac:dyDescent="0.25">
      <c r="A10" s="15"/>
      <c r="B10" s="385" t="s">
        <v>11</v>
      </c>
      <c r="C10" s="385"/>
      <c r="D10" s="385"/>
      <c r="E10" s="385"/>
      <c r="F10" s="385"/>
      <c r="G10" s="384" t="s">
        <v>55</v>
      </c>
      <c r="H10" s="384"/>
      <c r="I10" s="384"/>
      <c r="J10" s="384"/>
      <c r="K10" s="384"/>
      <c r="L10" s="384"/>
      <c r="M10" s="385" t="s">
        <v>12</v>
      </c>
      <c r="N10" s="385"/>
      <c r="O10" s="385"/>
      <c r="P10" s="385"/>
      <c r="Q10" s="385"/>
      <c r="R10" s="385"/>
      <c r="S10" s="388" t="s">
        <v>13</v>
      </c>
      <c r="T10" s="388"/>
      <c r="U10" s="388"/>
      <c r="V10" s="388"/>
      <c r="W10" s="388"/>
      <c r="X10" s="388"/>
      <c r="Y10" s="388"/>
      <c r="Z10" s="18"/>
      <c r="AA10" s="19"/>
      <c r="AB10" s="14"/>
      <c r="AC10" s="14"/>
      <c r="AD10" s="14"/>
      <c r="AE10" s="385"/>
      <c r="AF10" s="385"/>
      <c r="AG10" s="385"/>
      <c r="AH10" s="385"/>
      <c r="AI10" s="385"/>
    </row>
    <row r="11" spans="1:36" ht="15.9" customHeight="1" x14ac:dyDescent="0.25">
      <c r="A11" s="15"/>
      <c r="B11" s="385" t="s">
        <v>14</v>
      </c>
      <c r="C11" s="385"/>
      <c r="D11" s="385"/>
      <c r="E11" s="385"/>
      <c r="F11" s="385"/>
      <c r="G11" s="384">
        <v>45742</v>
      </c>
      <c r="H11" s="384"/>
      <c r="I11" s="384"/>
      <c r="J11" s="384"/>
      <c r="K11" s="384"/>
      <c r="L11" s="384"/>
      <c r="M11" s="385" t="s">
        <v>15</v>
      </c>
      <c r="N11" s="385"/>
      <c r="O11" s="385"/>
      <c r="P11" s="385"/>
      <c r="Q11" s="385"/>
      <c r="R11" s="385"/>
      <c r="S11" s="562" t="s">
        <v>66</v>
      </c>
      <c r="T11" s="562"/>
      <c r="U11" s="562"/>
      <c r="V11" s="562"/>
      <c r="W11" s="562"/>
      <c r="X11" s="562"/>
      <c r="Y11" s="562"/>
      <c r="Z11" s="18"/>
      <c r="AA11" s="19"/>
      <c r="AB11" s="14"/>
      <c r="AC11" s="14"/>
      <c r="AD11" s="14"/>
      <c r="AE11" s="385"/>
      <c r="AF11" s="385"/>
      <c r="AG11" s="385"/>
      <c r="AH11" s="385"/>
      <c r="AI11" s="385"/>
    </row>
    <row r="12" spans="1:36" ht="15.9" customHeight="1" x14ac:dyDescent="0.25">
      <c r="A12" s="15"/>
      <c r="B12" s="385" t="s">
        <v>16</v>
      </c>
      <c r="C12" s="385"/>
      <c r="D12" s="385"/>
      <c r="E12" s="385"/>
      <c r="F12" s="385"/>
      <c r="G12" s="386">
        <v>45737</v>
      </c>
      <c r="H12" s="386"/>
      <c r="I12" s="386"/>
      <c r="J12" s="386"/>
      <c r="K12" s="386"/>
      <c r="L12" s="386"/>
      <c r="M12" s="387" t="s">
        <v>17</v>
      </c>
      <c r="N12" s="387"/>
      <c r="O12" s="387"/>
      <c r="P12" s="387"/>
      <c r="Q12" s="387"/>
      <c r="R12" s="387"/>
      <c r="S12" s="388">
        <v>61</v>
      </c>
      <c r="T12" s="388"/>
      <c r="U12" s="388"/>
      <c r="V12" s="388"/>
      <c r="W12" s="388"/>
      <c r="X12" s="388"/>
      <c r="Y12" s="388"/>
      <c r="Z12" s="18"/>
      <c r="AA12" s="19"/>
      <c r="AB12" s="14"/>
      <c r="AC12" s="14"/>
      <c r="AD12" s="14"/>
      <c r="AE12" s="7"/>
      <c r="AF12" s="14"/>
      <c r="AI12" s="7"/>
    </row>
    <row r="13" spans="1:36" ht="15.9" customHeight="1" x14ac:dyDescent="0.25">
      <c r="A13" s="15"/>
      <c r="B13" s="20" t="s">
        <v>18</v>
      </c>
      <c r="C13" s="20"/>
      <c r="D13" s="20"/>
      <c r="E13" s="20"/>
      <c r="F13" s="20"/>
      <c r="G13" s="386" t="s">
        <v>64</v>
      </c>
      <c r="H13" s="386"/>
      <c r="I13" s="386"/>
      <c r="J13" s="386"/>
      <c r="K13" s="386"/>
      <c r="L13" s="386"/>
      <c r="M13" s="385" t="s">
        <v>19</v>
      </c>
      <c r="N13" s="385"/>
      <c r="O13" s="385"/>
      <c r="P13" s="385"/>
      <c r="Q13" s="385"/>
      <c r="R13" s="385"/>
      <c r="S13" s="386" t="s">
        <v>67</v>
      </c>
      <c r="T13" s="386"/>
      <c r="U13" s="386"/>
      <c r="V13" s="386"/>
      <c r="W13" s="386"/>
      <c r="X13" s="386"/>
      <c r="Y13" s="386"/>
      <c r="Z13" s="18"/>
      <c r="AA13" s="19"/>
      <c r="AB13" s="14"/>
      <c r="AC13" s="14"/>
      <c r="AD13" s="14"/>
      <c r="AE13" s="385"/>
      <c r="AF13" s="385"/>
      <c r="AG13" s="385"/>
      <c r="AH13" s="385"/>
      <c r="AI13" s="385"/>
      <c r="AJ13" s="385"/>
    </row>
    <row r="14" spans="1:36" ht="15.9" customHeight="1" x14ac:dyDescent="0.25">
      <c r="A14" s="21"/>
      <c r="B14" s="385" t="s">
        <v>20</v>
      </c>
      <c r="C14" s="385"/>
      <c r="D14" s="385"/>
      <c r="E14" s="385"/>
      <c r="F14" s="385"/>
      <c r="G14" s="386" t="s">
        <v>65</v>
      </c>
      <c r="H14" s="386"/>
      <c r="I14" s="386"/>
      <c r="J14" s="386"/>
      <c r="K14" s="386"/>
      <c r="L14" s="386"/>
      <c r="M14" s="388" t="s">
        <v>21</v>
      </c>
      <c r="N14" s="388"/>
      <c r="O14" s="388"/>
      <c r="P14" s="388"/>
      <c r="Q14" s="388"/>
      <c r="R14" s="388"/>
      <c r="S14" s="388" t="s">
        <v>22</v>
      </c>
      <c r="T14" s="388"/>
      <c r="U14" s="388"/>
      <c r="V14" s="388"/>
      <c r="W14" s="388"/>
      <c r="X14" s="388"/>
      <c r="Y14" s="388"/>
      <c r="Z14" s="22"/>
      <c r="AA14" s="14"/>
      <c r="AB14" s="14"/>
      <c r="AC14" s="14"/>
      <c r="AD14" s="14"/>
      <c r="AE14" s="385"/>
      <c r="AF14" s="385"/>
      <c r="AG14" s="385"/>
      <c r="AH14" s="385"/>
      <c r="AI14" s="385"/>
      <c r="AJ14" s="385"/>
    </row>
    <row r="15" spans="1:36" ht="6" customHeight="1" x14ac:dyDescent="0.25">
      <c r="A15" s="23"/>
      <c r="B15" s="24"/>
      <c r="C15" s="25"/>
      <c r="D15" s="25"/>
      <c r="E15" s="25"/>
      <c r="F15" s="24"/>
      <c r="G15" s="24"/>
      <c r="H15" s="24"/>
      <c r="I15" s="24"/>
      <c r="J15" s="24"/>
      <c r="K15" s="24"/>
      <c r="L15" s="24"/>
      <c r="M15" s="24"/>
      <c r="N15" s="25"/>
      <c r="O15" s="25"/>
      <c r="P15" s="25"/>
      <c r="Q15" s="25"/>
      <c r="R15" s="25"/>
      <c r="S15" s="25"/>
      <c r="T15" s="26"/>
      <c r="U15" s="26"/>
      <c r="V15" s="25"/>
      <c r="W15" s="25"/>
      <c r="X15" s="25"/>
      <c r="Y15" s="25"/>
      <c r="Z15" s="27"/>
      <c r="AE15" s="385"/>
      <c r="AF15" s="385"/>
      <c r="AG15" s="385"/>
      <c r="AH15" s="385"/>
      <c r="AI15" s="385"/>
      <c r="AJ15" s="385"/>
    </row>
    <row r="16" spans="1:36" ht="6" customHeight="1" x14ac:dyDescent="0.25">
      <c r="F16" s="28"/>
      <c r="G16" s="28"/>
      <c r="H16" s="28"/>
      <c r="I16" s="28"/>
      <c r="J16" s="28"/>
      <c r="K16" s="28"/>
      <c r="L16" s="28"/>
      <c r="M16" s="28"/>
      <c r="T16" s="29"/>
      <c r="U16" s="29"/>
      <c r="AE16" s="385"/>
      <c r="AF16" s="385"/>
      <c r="AG16" s="385"/>
      <c r="AH16" s="385"/>
      <c r="AI16" s="385"/>
      <c r="AJ16" s="385"/>
    </row>
    <row r="17" spans="1:40" ht="15.9" customHeight="1" x14ac:dyDescent="0.25">
      <c r="A17" s="8" t="s">
        <v>23</v>
      </c>
      <c r="B17" s="9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2"/>
      <c r="AA17" s="13"/>
      <c r="AE17" s="30"/>
      <c r="AI17" s="30"/>
    </row>
    <row r="18" spans="1:40" ht="8.25" customHeight="1" x14ac:dyDescent="0.25">
      <c r="A18" s="15"/>
      <c r="B18" s="31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7"/>
      <c r="AA18" s="13"/>
      <c r="AE18" s="30"/>
      <c r="AI18" s="30"/>
    </row>
    <row r="19" spans="1:40" ht="15.9" customHeight="1" x14ac:dyDescent="0.25">
      <c r="A19" s="15"/>
      <c r="B19" s="385" t="s">
        <v>25</v>
      </c>
      <c r="C19" s="385"/>
      <c r="D19" s="385"/>
      <c r="E19" s="385"/>
      <c r="F19" s="385"/>
      <c r="G19" s="385"/>
      <c r="H19" s="385"/>
      <c r="I19" s="453"/>
      <c r="J19" s="453"/>
      <c r="K19" s="453"/>
      <c r="L19" s="453"/>
      <c r="M19" s="453"/>
      <c r="N19" s="453"/>
      <c r="O19" s="453"/>
      <c r="P19" s="453"/>
      <c r="Q19" s="453"/>
      <c r="R19" s="453"/>
      <c r="S19" s="453"/>
      <c r="T19" s="453"/>
      <c r="U19" s="453"/>
      <c r="V19" s="453"/>
      <c r="W19" s="453"/>
      <c r="X19" s="453"/>
      <c r="Y19" s="453"/>
      <c r="Z19" s="18"/>
      <c r="AA19" s="19"/>
      <c r="AE19" s="30"/>
      <c r="AI19" s="30"/>
    </row>
    <row r="20" spans="1:40" ht="15.9" customHeight="1" x14ac:dyDescent="0.25">
      <c r="A20" s="15"/>
      <c r="B20" s="385" t="s">
        <v>26</v>
      </c>
      <c r="C20" s="385"/>
      <c r="D20" s="385"/>
      <c r="E20" s="385"/>
      <c r="F20" s="385"/>
      <c r="G20" s="385"/>
      <c r="H20" s="385"/>
      <c r="I20" s="454"/>
      <c r="J20" s="454"/>
      <c r="K20" s="454"/>
      <c r="L20" s="454"/>
      <c r="M20" s="454"/>
      <c r="N20" s="454"/>
      <c r="O20" s="454"/>
      <c r="P20" s="454"/>
      <c r="Q20" s="454"/>
      <c r="R20" s="454"/>
      <c r="S20" s="454"/>
      <c r="T20" s="454"/>
      <c r="U20" s="454"/>
      <c r="V20" s="454"/>
      <c r="W20" s="454"/>
      <c r="X20" s="454"/>
      <c r="Y20" s="454"/>
      <c r="Z20" s="18"/>
      <c r="AA20" s="19"/>
      <c r="AE20" s="30"/>
      <c r="AI20" s="30"/>
    </row>
    <row r="21" spans="1:40" ht="7.5" customHeight="1" x14ac:dyDescent="0.2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32"/>
      <c r="AA21" s="13"/>
      <c r="AE21" s="30"/>
      <c r="AI21" s="30"/>
    </row>
    <row r="22" spans="1:40" ht="5.25" customHeight="1" x14ac:dyDescent="0.25">
      <c r="F22" s="28"/>
      <c r="G22" s="28"/>
      <c r="H22" s="28"/>
      <c r="I22" s="28"/>
      <c r="J22" s="28"/>
      <c r="K22" s="28"/>
      <c r="L22" s="28"/>
      <c r="M22" s="28"/>
      <c r="T22" s="29"/>
      <c r="U22" s="29"/>
      <c r="AE22" s="30"/>
      <c r="AI22" s="30"/>
      <c r="AM22" s="14"/>
      <c r="AN22" s="14"/>
    </row>
    <row r="23" spans="1:40" ht="15.9" customHeight="1" x14ac:dyDescent="0.25">
      <c r="A23" s="33" t="s">
        <v>23</v>
      </c>
      <c r="B23" s="34" t="s">
        <v>27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39"/>
      <c r="AN23" s="40"/>
    </row>
    <row r="24" spans="1:40" ht="9" customHeight="1" x14ac:dyDescent="0.25">
      <c r="A24" s="21"/>
      <c r="Z24" s="41"/>
    </row>
    <row r="25" spans="1:40" ht="9" customHeight="1" x14ac:dyDescent="0.25">
      <c r="A25" s="21"/>
      <c r="Z25" s="41"/>
    </row>
    <row r="26" spans="1:40" ht="9" customHeight="1" x14ac:dyDescent="0.25">
      <c r="A26" s="21"/>
      <c r="Z26" s="41"/>
    </row>
    <row r="27" spans="1:40" ht="12.75" customHeight="1" x14ac:dyDescent="0.25">
      <c r="A27" s="21"/>
      <c r="Z27" s="41"/>
    </row>
    <row r="28" spans="1:40" ht="12.75" customHeight="1" x14ac:dyDescent="0.25">
      <c r="A28" s="21"/>
      <c r="Z28" s="41"/>
    </row>
    <row r="29" spans="1:40" ht="12.75" customHeight="1" x14ac:dyDescent="0.25">
      <c r="A29" s="21"/>
      <c r="Z29" s="41"/>
    </row>
    <row r="30" spans="1:40" ht="12.75" customHeight="1" x14ac:dyDescent="0.25">
      <c r="A30" s="21"/>
      <c r="Z30" s="41"/>
    </row>
    <row r="31" spans="1:40" ht="12.75" customHeight="1" x14ac:dyDescent="0.25">
      <c r="A31" s="21"/>
      <c r="Z31" s="41"/>
    </row>
    <row r="32" spans="1:40" ht="12.75" customHeight="1" x14ac:dyDescent="0.25">
      <c r="A32" s="21"/>
      <c r="Z32" s="41"/>
    </row>
    <row r="33" spans="1:26" ht="12.75" customHeight="1" x14ac:dyDescent="0.25">
      <c r="A33" s="21"/>
      <c r="Z33" s="41"/>
    </row>
    <row r="34" spans="1:26" ht="12.75" customHeight="1" x14ac:dyDescent="0.25">
      <c r="A34" s="21"/>
      <c r="Z34" s="41"/>
    </row>
    <row r="35" spans="1:26" ht="12.75" customHeight="1" x14ac:dyDescent="0.25">
      <c r="A35" s="21"/>
      <c r="Z35" s="41"/>
    </row>
    <row r="36" spans="1:26" ht="12.75" customHeight="1" x14ac:dyDescent="0.25">
      <c r="A36" s="21"/>
      <c r="Z36" s="41"/>
    </row>
    <row r="37" spans="1:26" ht="12.75" customHeight="1" x14ac:dyDescent="0.25">
      <c r="A37" s="21"/>
      <c r="Z37" s="41"/>
    </row>
    <row r="38" spans="1:26" ht="12.75" customHeight="1" x14ac:dyDescent="0.25">
      <c r="A38" s="21"/>
      <c r="Z38" s="41"/>
    </row>
    <row r="39" spans="1:26" ht="12.75" customHeight="1" x14ac:dyDescent="0.25">
      <c r="A39" s="21"/>
      <c r="Z39" s="41"/>
    </row>
    <row r="40" spans="1:26" ht="12.75" customHeight="1" x14ac:dyDescent="0.25">
      <c r="A40" s="21"/>
      <c r="Z40" s="41"/>
    </row>
    <row r="41" spans="1:26" ht="12.75" customHeight="1" x14ac:dyDescent="0.25">
      <c r="A41" s="21"/>
      <c r="Z41" s="41"/>
    </row>
    <row r="42" spans="1:26" ht="12.75" customHeight="1" x14ac:dyDescent="0.25">
      <c r="A42" s="21"/>
      <c r="Z42" s="41"/>
    </row>
    <row r="43" spans="1:26" ht="12.75" customHeight="1" x14ac:dyDescent="0.25">
      <c r="A43" s="21"/>
      <c r="Z43" s="41"/>
    </row>
    <row r="44" spans="1:26" ht="12.75" customHeight="1" x14ac:dyDescent="0.25">
      <c r="A44" s="21"/>
      <c r="Z44" s="41"/>
    </row>
    <row r="45" spans="1:26" ht="12.75" customHeight="1" x14ac:dyDescent="0.25">
      <c r="A45" s="21"/>
      <c r="Z45" s="41"/>
    </row>
    <row r="46" spans="1:26" ht="12.75" customHeight="1" x14ac:dyDescent="0.25">
      <c r="A46" s="21"/>
      <c r="Z46" s="41"/>
    </row>
    <row r="47" spans="1:26" ht="12.75" customHeight="1" x14ac:dyDescent="0.25">
      <c r="A47" s="21"/>
      <c r="Z47" s="41"/>
    </row>
    <row r="48" spans="1:26" ht="12.75" customHeight="1" x14ac:dyDescent="0.25">
      <c r="A48" s="21"/>
      <c r="Z48" s="41"/>
    </row>
    <row r="49" spans="1:34" ht="12.75" customHeight="1" x14ac:dyDescent="0.25">
      <c r="A49" s="21"/>
      <c r="Z49" s="41"/>
    </row>
    <row r="50" spans="1:34" ht="9.75" customHeight="1" thickBot="1" x14ac:dyDescent="0.3">
      <c r="A50" s="21"/>
      <c r="Z50" s="41"/>
    </row>
    <row r="51" spans="1:34" ht="9.75" customHeight="1" x14ac:dyDescent="0.25">
      <c r="A51" s="21"/>
      <c r="Z51" s="41"/>
      <c r="AD51" s="378" t="s">
        <v>28</v>
      </c>
      <c r="AE51" s="380">
        <v>2.68</v>
      </c>
      <c r="AF51" s="455"/>
      <c r="AG51" s="457"/>
      <c r="AH51" s="42"/>
    </row>
    <row r="52" spans="1:34" ht="12.75" customHeight="1" thickBot="1" x14ac:dyDescent="0.3">
      <c r="A52" s="21"/>
      <c r="Z52" s="43"/>
      <c r="AD52" s="379"/>
      <c r="AE52" s="381"/>
      <c r="AF52" s="456"/>
      <c r="AG52" s="457"/>
    </row>
    <row r="53" spans="1:34" ht="18.75" customHeight="1" thickBot="1" x14ac:dyDescent="0.3">
      <c r="A53" s="21"/>
      <c r="E53" s="458" t="s">
        <v>29</v>
      </c>
      <c r="F53" s="459"/>
      <c r="G53" s="459"/>
      <c r="H53" s="459"/>
      <c r="I53" s="459"/>
      <c r="J53" s="459"/>
      <c r="K53" s="459"/>
      <c r="L53" s="459"/>
      <c r="M53" s="459"/>
      <c r="N53" s="459"/>
      <c r="O53" s="459"/>
      <c r="P53" s="459"/>
      <c r="Q53" s="459"/>
      <c r="R53" s="459"/>
      <c r="S53" s="459"/>
      <c r="T53" s="459"/>
      <c r="U53" s="460" t="s">
        <v>30</v>
      </c>
      <c r="V53" s="461"/>
      <c r="W53" s="464" t="s">
        <v>31</v>
      </c>
      <c r="X53" s="461"/>
      <c r="Y53" s="466" t="s">
        <v>32</v>
      </c>
      <c r="Z53" s="467"/>
      <c r="AA53" s="44"/>
      <c r="AB53" s="369" t="s">
        <v>33</v>
      </c>
      <c r="AC53" s="370"/>
      <c r="AD53" s="373" t="s">
        <v>34</v>
      </c>
      <c r="AE53" s="375" t="s">
        <v>35</v>
      </c>
      <c r="AF53" s="455"/>
      <c r="AG53" s="455"/>
      <c r="AH53" s="45"/>
    </row>
    <row r="54" spans="1:34" ht="24.9" customHeight="1" thickBot="1" x14ac:dyDescent="0.3">
      <c r="A54" s="46"/>
      <c r="B54" s="47" t="s">
        <v>36</v>
      </c>
      <c r="C54" s="471" t="s">
        <v>37</v>
      </c>
      <c r="D54" s="472"/>
      <c r="E54" s="48">
        <v>6.3E-2</v>
      </c>
      <c r="F54" s="48">
        <v>0.125</v>
      </c>
      <c r="G54" s="49">
        <v>0.25</v>
      </c>
      <c r="H54" s="49">
        <v>0.5</v>
      </c>
      <c r="I54" s="49">
        <v>1</v>
      </c>
      <c r="J54" s="49">
        <v>2</v>
      </c>
      <c r="K54" s="49">
        <v>4</v>
      </c>
      <c r="L54" s="49">
        <v>6.3</v>
      </c>
      <c r="M54" s="49">
        <v>8</v>
      </c>
      <c r="N54" s="49">
        <v>10</v>
      </c>
      <c r="O54" s="49">
        <v>12.5</v>
      </c>
      <c r="P54" s="49">
        <v>14</v>
      </c>
      <c r="Q54" s="50">
        <v>16</v>
      </c>
      <c r="R54" s="50">
        <v>20</v>
      </c>
      <c r="S54" s="49"/>
      <c r="T54" s="50"/>
      <c r="U54" s="462"/>
      <c r="V54" s="463"/>
      <c r="W54" s="465"/>
      <c r="X54" s="463"/>
      <c r="Y54" s="468"/>
      <c r="Z54" s="469"/>
      <c r="AA54" s="44"/>
      <c r="AB54" s="371"/>
      <c r="AC54" s="372"/>
      <c r="AD54" s="374"/>
      <c r="AE54" s="376"/>
      <c r="AF54" s="470"/>
      <c r="AG54" s="455"/>
    </row>
    <row r="55" spans="1:34" ht="24.9" customHeight="1" x14ac:dyDescent="0.25">
      <c r="A55" s="46"/>
      <c r="B55" s="51">
        <v>1</v>
      </c>
      <c r="C55" s="340"/>
      <c r="D55" s="341"/>
      <c r="E55" s="125">
        <v>8.5</v>
      </c>
      <c r="F55" s="126">
        <v>11.2</v>
      </c>
      <c r="G55" s="127">
        <v>15</v>
      </c>
      <c r="H55" s="127">
        <v>20</v>
      </c>
      <c r="I55" s="127">
        <v>26.7</v>
      </c>
      <c r="J55" s="127">
        <v>39.4</v>
      </c>
      <c r="K55" s="127">
        <v>61</v>
      </c>
      <c r="L55" s="127">
        <v>93.8</v>
      </c>
      <c r="M55" s="127">
        <v>99.2</v>
      </c>
      <c r="N55" s="127">
        <v>99.9</v>
      </c>
      <c r="O55" s="236">
        <v>100</v>
      </c>
      <c r="P55" s="127"/>
      <c r="Q55" s="127"/>
      <c r="R55" s="127"/>
      <c r="S55" s="128"/>
      <c r="T55" s="128"/>
      <c r="U55" s="342"/>
      <c r="V55" s="343"/>
      <c r="W55" s="344">
        <v>5.64</v>
      </c>
      <c r="X55" s="345"/>
      <c r="Y55" s="479">
        <f>IF(W55&lt;&gt;0,AE55,"")</f>
        <v>3.4731145597525757</v>
      </c>
      <c r="Z55" s="480"/>
      <c r="AA55" s="52"/>
      <c r="AB55" s="326">
        <f>(100*W55)/(100-W55)</f>
        <v>5.9771089444679948</v>
      </c>
      <c r="AC55" s="327"/>
      <c r="AD55" s="53">
        <f>(0.25*(100-O55)+2.3*(O55-H55)+12*(H55-E55)+150*(E55))/100</f>
        <v>15.97</v>
      </c>
      <c r="AE55" s="54">
        <f>(AB55*$AE$51)/(2.65*(AD55)^(1/5))</f>
        <v>3.4731145597525757</v>
      </c>
      <c r="AF55" s="28"/>
      <c r="AG55" s="55"/>
    </row>
    <row r="56" spans="1:34" ht="24.9" customHeight="1" x14ac:dyDescent="0.25">
      <c r="A56" s="46"/>
      <c r="B56" s="56">
        <v>2</v>
      </c>
      <c r="C56" s="571"/>
      <c r="D56" s="572"/>
      <c r="E56" s="120"/>
      <c r="F56" s="121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4"/>
      <c r="R56" s="122"/>
      <c r="S56" s="123"/>
      <c r="T56" s="123"/>
      <c r="U56" s="349"/>
      <c r="V56" s="350"/>
      <c r="W56" s="351"/>
      <c r="X56" s="352"/>
      <c r="Y56" s="498" t="str">
        <f>IF(W56&lt;&gt;0,AE56,"")</f>
        <v/>
      </c>
      <c r="Z56" s="499"/>
      <c r="AA56" s="52"/>
      <c r="AB56" s="326">
        <f>(100*W56)/(100-W56)</f>
        <v>0</v>
      </c>
      <c r="AC56" s="327"/>
      <c r="AD56" s="53">
        <f t="shared" ref="AD56:AD62" si="0">(0.25*(100-O56)+2.3*(O56-H56)+12*(H56-E56)+150*(E56))/100</f>
        <v>0.25</v>
      </c>
      <c r="AE56" s="54">
        <f t="shared" ref="AE56:AE62" si="1">(AB56*$AE$51)/(2.65*(AD56)^(1/5))</f>
        <v>0</v>
      </c>
      <c r="AF56" s="28"/>
      <c r="AG56" s="55"/>
    </row>
    <row r="57" spans="1:34" ht="24.9" customHeight="1" x14ac:dyDescent="0.25">
      <c r="A57" s="46"/>
      <c r="B57" s="56">
        <v>3</v>
      </c>
      <c r="C57" s="500"/>
      <c r="D57" s="501"/>
      <c r="E57" s="57"/>
      <c r="F57" s="58"/>
      <c r="G57" s="58"/>
      <c r="H57" s="59"/>
      <c r="I57" s="59"/>
      <c r="J57" s="59"/>
      <c r="K57" s="59"/>
      <c r="L57" s="59"/>
      <c r="M57" s="59"/>
      <c r="N57" s="59"/>
      <c r="O57" s="60"/>
      <c r="P57" s="59"/>
      <c r="Q57" s="60"/>
      <c r="R57" s="59"/>
      <c r="S57" s="59"/>
      <c r="T57" s="61"/>
      <c r="U57" s="502"/>
      <c r="V57" s="503"/>
      <c r="W57" s="504"/>
      <c r="X57" s="505"/>
      <c r="Y57" s="498" t="str">
        <f t="shared" ref="Y57:Y58" si="2">IF(W57&lt;&gt;0,AE57,"")</f>
        <v/>
      </c>
      <c r="Z57" s="499"/>
      <c r="AA57" s="52"/>
      <c r="AB57" s="326">
        <f>(100*W57)/(100-W57)</f>
        <v>0</v>
      </c>
      <c r="AC57" s="327"/>
      <c r="AD57" s="53">
        <f t="shared" si="0"/>
        <v>0.25</v>
      </c>
      <c r="AE57" s="54">
        <f t="shared" si="1"/>
        <v>0</v>
      </c>
      <c r="AF57" s="28"/>
      <c r="AG57" s="55"/>
    </row>
    <row r="58" spans="1:34" ht="24.9" customHeight="1" thickBot="1" x14ac:dyDescent="0.3">
      <c r="A58" s="46"/>
      <c r="B58" s="62">
        <v>4</v>
      </c>
      <c r="C58" s="481"/>
      <c r="D58" s="482"/>
      <c r="E58" s="63"/>
      <c r="F58" s="64"/>
      <c r="G58" s="64"/>
      <c r="H58" s="65"/>
      <c r="I58" s="65"/>
      <c r="J58" s="65"/>
      <c r="K58" s="65"/>
      <c r="L58" s="65"/>
      <c r="M58" s="65"/>
      <c r="N58" s="65"/>
      <c r="O58" s="66"/>
      <c r="P58" s="65"/>
      <c r="Q58" s="66"/>
      <c r="R58" s="65"/>
      <c r="S58" s="65"/>
      <c r="T58" s="67"/>
      <c r="U58" s="483"/>
      <c r="V58" s="484"/>
      <c r="W58" s="485"/>
      <c r="X58" s="486"/>
      <c r="Y58" s="487" t="str">
        <f t="shared" si="2"/>
        <v/>
      </c>
      <c r="Z58" s="488"/>
      <c r="AA58" s="52"/>
      <c r="AB58" s="326">
        <f>(100*W58)/(100-W58)</f>
        <v>0</v>
      </c>
      <c r="AC58" s="327"/>
      <c r="AD58" s="53">
        <f t="shared" si="0"/>
        <v>0.25</v>
      </c>
      <c r="AE58" s="54">
        <f t="shared" si="1"/>
        <v>0</v>
      </c>
      <c r="AF58" s="28"/>
      <c r="AG58" s="55"/>
    </row>
    <row r="59" spans="1:34" ht="10.5" customHeight="1" thickBot="1" x14ac:dyDescent="0.3">
      <c r="A59" s="46"/>
      <c r="B59" s="2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9"/>
      <c r="P59" s="68"/>
      <c r="Q59" s="69"/>
      <c r="R59" s="68"/>
      <c r="S59" s="68"/>
      <c r="T59" s="68"/>
      <c r="U59" s="68"/>
      <c r="V59" s="68"/>
      <c r="W59" s="70"/>
      <c r="Z59" s="71"/>
      <c r="AB59" s="72"/>
      <c r="AC59" s="73"/>
      <c r="AD59" s="53"/>
      <c r="AE59" s="54"/>
      <c r="AF59" s="28"/>
      <c r="AG59" s="55"/>
    </row>
    <row r="60" spans="1:34" ht="24.75" hidden="1" customHeight="1" x14ac:dyDescent="0.25">
      <c r="A60" s="46"/>
      <c r="B60" s="489" t="s">
        <v>38</v>
      </c>
      <c r="C60" s="490"/>
      <c r="D60" s="491"/>
      <c r="E60" s="74"/>
      <c r="F60" s="74"/>
      <c r="G60" s="74"/>
      <c r="H60" s="74"/>
      <c r="I60" s="74"/>
      <c r="J60" s="74"/>
      <c r="K60" s="74"/>
      <c r="L60" s="74"/>
      <c r="M60" s="74">
        <v>10</v>
      </c>
      <c r="N60" s="74">
        <v>10</v>
      </c>
      <c r="O60" s="75"/>
      <c r="P60" s="74"/>
      <c r="Q60" s="75">
        <v>50</v>
      </c>
      <c r="R60" s="74"/>
      <c r="S60" s="74">
        <v>70</v>
      </c>
      <c r="T60" s="74"/>
      <c r="U60" s="74"/>
      <c r="V60" s="74"/>
      <c r="W60" s="74"/>
      <c r="X60" s="76"/>
      <c r="Y60" s="77">
        <v>4.5</v>
      </c>
      <c r="Z60" s="77"/>
      <c r="AA60" s="28"/>
      <c r="AB60" s="72"/>
      <c r="AC60" s="73"/>
      <c r="AD60" s="53">
        <f t="shared" si="0"/>
        <v>0.25</v>
      </c>
      <c r="AE60" s="54">
        <f t="shared" si="1"/>
        <v>0</v>
      </c>
      <c r="AF60" s="28"/>
      <c r="AG60" s="55"/>
    </row>
    <row r="61" spans="1:34" ht="18.75" customHeight="1" x14ac:dyDescent="0.25">
      <c r="A61" s="46"/>
      <c r="B61" s="506" t="s">
        <v>39</v>
      </c>
      <c r="C61" s="507"/>
      <c r="D61" s="508"/>
      <c r="E61" s="78">
        <f>IF(E55&lt;&gt;0,AVERAGE(E55:E58),"")</f>
        <v>8.5</v>
      </c>
      <c r="F61" s="78">
        <f t="shared" ref="F61:L61" si="3">IF(F55&lt;&gt;0,AVERAGE(F55:F58),"")</f>
        <v>11.2</v>
      </c>
      <c r="G61" s="78">
        <f t="shared" si="3"/>
        <v>15</v>
      </c>
      <c r="H61" s="78">
        <f t="shared" si="3"/>
        <v>20</v>
      </c>
      <c r="I61" s="78">
        <f t="shared" si="3"/>
        <v>26.7</v>
      </c>
      <c r="J61" s="78">
        <f t="shared" si="3"/>
        <v>39.4</v>
      </c>
      <c r="K61" s="78">
        <f t="shared" si="3"/>
        <v>61</v>
      </c>
      <c r="L61" s="78">
        <f t="shared" si="3"/>
        <v>93.8</v>
      </c>
      <c r="M61" s="78">
        <f>IF(M55&lt;&gt;0,AVERAGE(M55:M58),"")</f>
        <v>99.2</v>
      </c>
      <c r="N61" s="78">
        <f>IF(N55&lt;&gt;0,AVERAGE(N55:N58),"")</f>
        <v>99.9</v>
      </c>
      <c r="O61" s="79">
        <f>IF(O55&lt;&gt;0,AVERAGE(O55:O58),"")</f>
        <v>100</v>
      </c>
      <c r="P61" s="79" t="str">
        <f t="shared" ref="P61:Q61" si="4">IF(P55&lt;&gt;0,AVERAGE(P55:P58),"")</f>
        <v/>
      </c>
      <c r="Q61" s="79" t="str">
        <f t="shared" si="4"/>
        <v/>
      </c>
      <c r="R61" s="78"/>
      <c r="S61" s="78" t="str">
        <f t="shared" ref="S61:T61" si="5">IF(S55&lt;&gt;0,AVERAGE(S55:S58),"")</f>
        <v/>
      </c>
      <c r="T61" s="80" t="str">
        <f t="shared" si="5"/>
        <v/>
      </c>
      <c r="U61" s="509" t="str">
        <f>IF(U55&lt;&gt;0,AVERAGE(U55:V58),"")</f>
        <v/>
      </c>
      <c r="V61" s="510"/>
      <c r="W61" s="511">
        <f>IF(W55&lt;&gt;0,AVERAGE(W55:X58),"")</f>
        <v>5.64</v>
      </c>
      <c r="X61" s="512"/>
      <c r="Y61" s="513">
        <f>IF(W55&lt;&gt;0,AVERAGE(Y55:Z58),"")</f>
        <v>3.4731145597525757</v>
      </c>
      <c r="Z61" s="514"/>
      <c r="AA61" s="55"/>
      <c r="AB61" s="326">
        <f>(100*W61)/(100-W61)</f>
        <v>5.9771089444679948</v>
      </c>
      <c r="AC61" s="327"/>
      <c r="AD61" s="53">
        <f t="shared" si="0"/>
        <v>15.97</v>
      </c>
      <c r="AE61" s="54">
        <f t="shared" si="1"/>
        <v>3.4731145597525757</v>
      </c>
      <c r="AF61" s="28"/>
      <c r="AG61" s="55"/>
    </row>
    <row r="62" spans="1:34" ht="21" customHeight="1" x14ac:dyDescent="0.25">
      <c r="A62" s="46"/>
      <c r="B62" s="515" t="s">
        <v>40</v>
      </c>
      <c r="C62" s="516"/>
      <c r="D62" s="517"/>
      <c r="E62" s="81">
        <v>7.9</v>
      </c>
      <c r="F62" s="81">
        <v>10</v>
      </c>
      <c r="G62" s="81">
        <v>14</v>
      </c>
      <c r="H62" s="81">
        <v>20</v>
      </c>
      <c r="I62" s="81">
        <v>27</v>
      </c>
      <c r="J62" s="81">
        <v>39</v>
      </c>
      <c r="K62" s="81">
        <v>60</v>
      </c>
      <c r="L62" s="81">
        <v>97</v>
      </c>
      <c r="M62" s="82">
        <v>100</v>
      </c>
      <c r="N62" s="81"/>
      <c r="O62" s="81"/>
      <c r="P62" s="81"/>
      <c r="Q62" s="82"/>
      <c r="R62" s="81"/>
      <c r="S62" s="81"/>
      <c r="T62" s="83"/>
      <c r="U62" s="518"/>
      <c r="V62" s="519"/>
      <c r="W62" s="520">
        <v>6</v>
      </c>
      <c r="X62" s="521"/>
      <c r="Y62" s="522">
        <f>AE62</f>
        <v>3.8593229098835211</v>
      </c>
      <c r="Z62" s="523"/>
      <c r="AA62" s="55"/>
      <c r="AB62" s="326">
        <f>(100*W62)/(100-W62)</f>
        <v>6.3829787234042552</v>
      </c>
      <c r="AC62" s="327"/>
      <c r="AD62" s="53">
        <f t="shared" si="0"/>
        <v>13.092000000000001</v>
      </c>
      <c r="AE62" s="54">
        <f t="shared" si="1"/>
        <v>3.8593229098835211</v>
      </c>
      <c r="AF62" s="28"/>
      <c r="AG62" s="55"/>
    </row>
    <row r="63" spans="1:34" ht="13.5" customHeight="1" x14ac:dyDescent="0.25">
      <c r="A63" s="46"/>
      <c r="B63" s="84"/>
      <c r="C63" s="85" t="s">
        <v>41</v>
      </c>
      <c r="D63" s="86"/>
      <c r="E63" s="59">
        <f>E62+2</f>
        <v>9.9</v>
      </c>
      <c r="F63" s="59"/>
      <c r="G63" s="59"/>
      <c r="H63" s="59"/>
      <c r="I63" s="59"/>
      <c r="J63" s="59">
        <f>J62+6</f>
        <v>45</v>
      </c>
      <c r="K63" s="59"/>
      <c r="L63" s="59">
        <v>100</v>
      </c>
      <c r="M63" s="59"/>
      <c r="N63" s="59"/>
      <c r="O63" s="59"/>
      <c r="P63" s="59"/>
      <c r="Q63" s="60"/>
      <c r="R63" s="59"/>
      <c r="S63" s="59"/>
      <c r="T63" s="61"/>
      <c r="U63" s="502"/>
      <c r="V63" s="503"/>
      <c r="W63" s="524">
        <f>W62+0.5</f>
        <v>6.5</v>
      </c>
      <c r="X63" s="503"/>
      <c r="Y63" s="500"/>
      <c r="Z63" s="525"/>
      <c r="AA63" s="87"/>
      <c r="AB63" s="88"/>
      <c r="AC63" s="89"/>
      <c r="AD63" s="306"/>
      <c r="AE63" s="308" t="s">
        <v>42</v>
      </c>
      <c r="AF63" s="28"/>
      <c r="AG63" s="55"/>
    </row>
    <row r="64" spans="1:34" ht="13.5" customHeight="1" thickBot="1" x14ac:dyDescent="0.3">
      <c r="A64" s="46"/>
      <c r="B64" s="462" t="s">
        <v>43</v>
      </c>
      <c r="C64" s="465"/>
      <c r="D64" s="463"/>
      <c r="E64" s="90">
        <f>E62-2</f>
        <v>5.9</v>
      </c>
      <c r="F64" s="90"/>
      <c r="G64" s="91"/>
      <c r="H64" s="91"/>
      <c r="I64" s="91"/>
      <c r="J64" s="90">
        <f>J62-6</f>
        <v>33</v>
      </c>
      <c r="K64" s="91"/>
      <c r="L64" s="90">
        <f>L62-7</f>
        <v>90</v>
      </c>
      <c r="M64" s="90"/>
      <c r="N64" s="91"/>
      <c r="O64" s="91"/>
      <c r="P64" s="91"/>
      <c r="Q64" s="90"/>
      <c r="R64" s="91"/>
      <c r="S64" s="91"/>
      <c r="T64" s="92"/>
      <c r="U64" s="526"/>
      <c r="V64" s="527"/>
      <c r="W64" s="528">
        <f>W62-0.5</f>
        <v>5.5</v>
      </c>
      <c r="X64" s="527"/>
      <c r="Y64" s="481"/>
      <c r="Z64" s="529"/>
      <c r="AA64" s="93"/>
      <c r="AB64" s="94"/>
      <c r="AC64" s="95"/>
      <c r="AD64" s="307"/>
      <c r="AE64" s="309"/>
      <c r="AF64" s="28"/>
      <c r="AG64" s="55"/>
    </row>
    <row r="65" spans="1:30" ht="6.75" customHeight="1" x14ac:dyDescent="0.25">
      <c r="A65" s="23"/>
      <c r="B65" s="24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96"/>
    </row>
    <row r="66" spans="1:30" ht="8.25" customHeight="1" x14ac:dyDescent="0.25"/>
    <row r="67" spans="1:30" ht="34.5" customHeight="1" x14ac:dyDescent="0.25">
      <c r="A67" s="97" t="s">
        <v>44</v>
      </c>
      <c r="B67" s="98" t="s">
        <v>45</v>
      </c>
      <c r="C67" s="99"/>
      <c r="D67" s="99"/>
      <c r="E67" s="99"/>
      <c r="F67" s="100"/>
      <c r="G67" s="100"/>
      <c r="H67" s="100"/>
      <c r="I67" s="10"/>
      <c r="J67" s="10"/>
      <c r="K67" s="10"/>
      <c r="L67" s="10"/>
      <c r="M67" s="10"/>
      <c r="N67" s="10"/>
      <c r="O67" s="10"/>
      <c r="P67" s="10"/>
      <c r="Q67" s="100"/>
      <c r="R67" s="10"/>
      <c r="S67" s="10"/>
      <c r="T67" s="10"/>
      <c r="U67" s="543"/>
      <c r="V67" s="543"/>
      <c r="W67" s="543"/>
      <c r="X67" s="543"/>
      <c r="Y67" s="543"/>
      <c r="Z67" s="544"/>
      <c r="AA67" s="101"/>
      <c r="AB67" s="102"/>
      <c r="AC67" s="102"/>
      <c r="AD67" s="103"/>
    </row>
    <row r="68" spans="1:30" ht="27" customHeight="1" x14ac:dyDescent="0.25">
      <c r="A68" s="545" t="s">
        <v>46</v>
      </c>
      <c r="B68" s="546"/>
      <c r="C68" s="546"/>
      <c r="D68" s="546"/>
      <c r="E68" s="546"/>
      <c r="F68" s="546"/>
      <c r="G68" s="546"/>
      <c r="H68" s="546"/>
      <c r="I68" s="546"/>
      <c r="J68" s="546"/>
      <c r="K68" s="546"/>
      <c r="L68" s="546"/>
      <c r="M68" s="546"/>
      <c r="N68" s="546"/>
      <c r="O68" s="546"/>
      <c r="P68" s="546"/>
      <c r="Q68" s="547"/>
      <c r="R68" s="536" t="s">
        <v>47</v>
      </c>
      <c r="S68" s="537"/>
      <c r="T68" s="538"/>
      <c r="U68" s="275" t="s">
        <v>57</v>
      </c>
      <c r="V68" s="276"/>
      <c r="W68" s="276"/>
      <c r="X68" s="277"/>
      <c r="Y68" s="277"/>
      <c r="Z68" s="278"/>
      <c r="AA68" s="104"/>
      <c r="AB68" s="105"/>
      <c r="AC68" s="105"/>
      <c r="AD68" s="103"/>
    </row>
    <row r="69" spans="1:30" ht="15.75" customHeight="1" x14ac:dyDescent="0.25">
      <c r="A69" s="548" t="s">
        <v>48</v>
      </c>
      <c r="B69" s="549"/>
      <c r="C69" s="549"/>
      <c r="D69" s="549"/>
      <c r="E69" s="549"/>
      <c r="F69" s="549"/>
      <c r="G69" s="549"/>
      <c r="H69" s="549"/>
      <c r="I69" s="549"/>
      <c r="J69" s="549"/>
      <c r="K69" s="549"/>
      <c r="L69" s="549"/>
      <c r="M69" s="549"/>
      <c r="N69" s="549"/>
      <c r="O69" s="549"/>
      <c r="P69" s="549"/>
      <c r="Q69" s="550"/>
      <c r="R69" s="536" t="s">
        <v>49</v>
      </c>
      <c r="S69" s="537"/>
      <c r="T69" s="538"/>
      <c r="U69" s="554" t="s">
        <v>58</v>
      </c>
      <c r="V69" s="555"/>
      <c r="W69" s="555"/>
      <c r="X69" s="555"/>
      <c r="Y69" s="555"/>
      <c r="Z69" s="556"/>
      <c r="AA69" s="104"/>
      <c r="AB69" s="105"/>
      <c r="AC69" s="105"/>
      <c r="AD69" s="103"/>
    </row>
    <row r="70" spans="1:30" ht="9" customHeight="1" x14ac:dyDescent="0.25">
      <c r="A70" s="548"/>
      <c r="B70" s="549"/>
      <c r="C70" s="549"/>
      <c r="D70" s="549"/>
      <c r="E70" s="549"/>
      <c r="F70" s="549"/>
      <c r="G70" s="549"/>
      <c r="H70" s="549"/>
      <c r="I70" s="549"/>
      <c r="J70" s="549"/>
      <c r="K70" s="549"/>
      <c r="L70" s="549"/>
      <c r="M70" s="549"/>
      <c r="N70" s="549"/>
      <c r="O70" s="549"/>
      <c r="P70" s="549"/>
      <c r="Q70" s="550"/>
      <c r="R70" s="536"/>
      <c r="S70" s="537"/>
      <c r="T70" s="538"/>
      <c r="U70" s="557"/>
      <c r="V70" s="454"/>
      <c r="W70" s="454"/>
      <c r="X70" s="454"/>
      <c r="Y70" s="454"/>
      <c r="Z70" s="558"/>
      <c r="AA70" s="104"/>
      <c r="AB70" s="105"/>
      <c r="AC70" s="105"/>
      <c r="AD70" s="103"/>
    </row>
    <row r="71" spans="1:30" ht="15.9" customHeight="1" x14ac:dyDescent="0.25">
      <c r="A71" s="551"/>
      <c r="B71" s="552"/>
      <c r="C71" s="552"/>
      <c r="D71" s="552"/>
      <c r="E71" s="552"/>
      <c r="F71" s="552"/>
      <c r="G71" s="552"/>
      <c r="H71" s="552"/>
      <c r="I71" s="552"/>
      <c r="J71" s="552"/>
      <c r="K71" s="552"/>
      <c r="L71" s="552"/>
      <c r="M71" s="552"/>
      <c r="N71" s="552"/>
      <c r="O71" s="552"/>
      <c r="P71" s="552"/>
      <c r="Q71" s="553"/>
      <c r="R71" s="536"/>
      <c r="S71" s="537"/>
      <c r="T71" s="538"/>
      <c r="U71" s="557"/>
      <c r="V71" s="454"/>
      <c r="W71" s="454"/>
      <c r="X71" s="454"/>
      <c r="Y71" s="454"/>
      <c r="Z71" s="558"/>
      <c r="AA71" s="104"/>
      <c r="AB71" s="105"/>
      <c r="AC71" s="105"/>
      <c r="AD71" s="103"/>
    </row>
    <row r="72" spans="1:30" ht="15.9" customHeight="1" x14ac:dyDescent="0.25">
      <c r="A72" s="106" t="s">
        <v>50</v>
      </c>
      <c r="B72" s="107" t="s">
        <v>51</v>
      </c>
      <c r="C72" s="13"/>
      <c r="D72" s="13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9"/>
      <c r="R72" s="536"/>
      <c r="S72" s="537"/>
      <c r="T72" s="538"/>
      <c r="U72" s="559"/>
      <c r="V72" s="560"/>
      <c r="W72" s="560"/>
      <c r="X72" s="560"/>
      <c r="Y72" s="560"/>
      <c r="Z72" s="561"/>
      <c r="AA72" s="104"/>
      <c r="AB72" s="105"/>
      <c r="AC72" s="105"/>
      <c r="AD72" s="103"/>
    </row>
    <row r="73" spans="1:30" ht="15.75" customHeight="1" x14ac:dyDescent="0.25">
      <c r="A73" s="530"/>
      <c r="B73" s="531"/>
      <c r="C73" s="531"/>
      <c r="D73" s="531"/>
      <c r="E73" s="531"/>
      <c r="F73" s="531"/>
      <c r="G73" s="531"/>
      <c r="H73" s="531"/>
      <c r="I73" s="531"/>
      <c r="J73" s="531"/>
      <c r="K73" s="531"/>
      <c r="L73" s="531"/>
      <c r="M73" s="531"/>
      <c r="N73" s="531"/>
      <c r="O73" s="531"/>
      <c r="P73" s="531"/>
      <c r="Q73" s="532"/>
      <c r="R73" s="536" t="s">
        <v>52</v>
      </c>
      <c r="S73" s="537"/>
      <c r="T73" s="538"/>
      <c r="U73" s="110"/>
      <c r="V73" s="111"/>
      <c r="W73" s="111"/>
      <c r="X73" s="111"/>
      <c r="Y73" s="111"/>
      <c r="Z73" s="112"/>
      <c r="AA73" s="113"/>
      <c r="AB73" s="114"/>
      <c r="AC73" s="114"/>
      <c r="AD73" s="103"/>
    </row>
    <row r="74" spans="1:30" ht="15.9" customHeight="1" x14ac:dyDescent="0.25">
      <c r="A74" s="530"/>
      <c r="B74" s="531"/>
      <c r="C74" s="531"/>
      <c r="D74" s="531"/>
      <c r="E74" s="531"/>
      <c r="F74" s="531"/>
      <c r="G74" s="531"/>
      <c r="H74" s="531"/>
      <c r="I74" s="531"/>
      <c r="J74" s="531"/>
      <c r="K74" s="531"/>
      <c r="L74" s="531"/>
      <c r="M74" s="531"/>
      <c r="N74" s="531"/>
      <c r="O74" s="531"/>
      <c r="P74" s="531"/>
      <c r="Q74" s="532"/>
      <c r="R74" s="536"/>
      <c r="S74" s="537"/>
      <c r="T74" s="538"/>
      <c r="U74" s="115"/>
      <c r="V74" s="542"/>
      <c r="W74" s="542"/>
      <c r="X74" s="542"/>
      <c r="Y74" s="542"/>
      <c r="Z74" s="116"/>
      <c r="AA74" s="113"/>
      <c r="AB74" s="114"/>
      <c r="AC74" s="114"/>
      <c r="AD74" s="103"/>
    </row>
    <row r="75" spans="1:30" ht="15.9" customHeight="1" x14ac:dyDescent="0.25">
      <c r="A75" s="530"/>
      <c r="B75" s="531"/>
      <c r="C75" s="531"/>
      <c r="D75" s="531"/>
      <c r="E75" s="531"/>
      <c r="F75" s="531"/>
      <c r="G75" s="531"/>
      <c r="H75" s="531"/>
      <c r="I75" s="531"/>
      <c r="J75" s="531"/>
      <c r="K75" s="531"/>
      <c r="L75" s="531"/>
      <c r="M75" s="531"/>
      <c r="N75" s="531"/>
      <c r="O75" s="531"/>
      <c r="P75" s="531"/>
      <c r="Q75" s="532"/>
      <c r="R75" s="536"/>
      <c r="S75" s="537"/>
      <c r="T75" s="538"/>
      <c r="U75" s="115"/>
      <c r="V75" s="542"/>
      <c r="W75" s="542"/>
      <c r="X75" s="542"/>
      <c r="Y75" s="542"/>
      <c r="Z75" s="116"/>
      <c r="AA75" s="113"/>
      <c r="AB75" s="114"/>
      <c r="AC75" s="114"/>
      <c r="AD75" s="103"/>
    </row>
    <row r="76" spans="1:30" ht="15.75" customHeight="1" x14ac:dyDescent="0.25">
      <c r="A76" s="533"/>
      <c r="B76" s="534"/>
      <c r="C76" s="534"/>
      <c r="D76" s="534"/>
      <c r="E76" s="534"/>
      <c r="F76" s="534"/>
      <c r="G76" s="534"/>
      <c r="H76" s="534"/>
      <c r="I76" s="534"/>
      <c r="J76" s="534"/>
      <c r="K76" s="534"/>
      <c r="L76" s="534"/>
      <c r="M76" s="534"/>
      <c r="N76" s="534"/>
      <c r="O76" s="534"/>
      <c r="P76" s="534"/>
      <c r="Q76" s="535"/>
      <c r="R76" s="539"/>
      <c r="S76" s="540"/>
      <c r="T76" s="541"/>
      <c r="U76" s="117"/>
      <c r="V76" s="118"/>
      <c r="W76" s="118"/>
      <c r="X76" s="118"/>
      <c r="Y76" s="118"/>
      <c r="Z76" s="119"/>
      <c r="AA76" s="113"/>
      <c r="AB76" s="114"/>
      <c r="AC76" s="114"/>
      <c r="AD76" s="103"/>
    </row>
  </sheetData>
  <mergeCells count="106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2:F12"/>
    <mergeCell ref="G12:L12"/>
    <mergeCell ref="M12:R12"/>
    <mergeCell ref="S12:Y12"/>
    <mergeCell ref="G13:L13"/>
    <mergeCell ref="M13:R13"/>
    <mergeCell ref="S13:Y13"/>
    <mergeCell ref="AE10:AI10"/>
    <mergeCell ref="B11:F11"/>
    <mergeCell ref="G11:L11"/>
    <mergeCell ref="M11:R11"/>
    <mergeCell ref="S11:Y11"/>
    <mergeCell ref="AE11:AI11"/>
    <mergeCell ref="AE15:AJ15"/>
    <mergeCell ref="AE16:AJ16"/>
    <mergeCell ref="B19:H19"/>
    <mergeCell ref="I19:Y19"/>
    <mergeCell ref="B20:H20"/>
    <mergeCell ref="I20:Y20"/>
    <mergeCell ref="AE13:AJ13"/>
    <mergeCell ref="B14:F14"/>
    <mergeCell ref="G14:L14"/>
    <mergeCell ref="M14:R14"/>
    <mergeCell ref="S14:Y14"/>
    <mergeCell ref="AE14:AJ14"/>
    <mergeCell ref="AD51:AD52"/>
    <mergeCell ref="AE51:AE52"/>
    <mergeCell ref="AF51:AF52"/>
    <mergeCell ref="AG51:AG52"/>
    <mergeCell ref="E53:T53"/>
    <mergeCell ref="U53:V54"/>
    <mergeCell ref="W53:X54"/>
    <mergeCell ref="Y53:Z54"/>
    <mergeCell ref="AB53:AC54"/>
    <mergeCell ref="AD53:AD54"/>
    <mergeCell ref="AE53:AE54"/>
    <mergeCell ref="AF53:AF54"/>
    <mergeCell ref="AG53:AG54"/>
    <mergeCell ref="C54:D54"/>
    <mergeCell ref="C55:D55"/>
    <mergeCell ref="U55:V55"/>
    <mergeCell ref="W55:X55"/>
    <mergeCell ref="Y55:Z55"/>
    <mergeCell ref="AB55:AC55"/>
    <mergeCell ref="C58:D58"/>
    <mergeCell ref="U58:V58"/>
    <mergeCell ref="W58:X58"/>
    <mergeCell ref="Y58:Z58"/>
    <mergeCell ref="AB58:AC58"/>
    <mergeCell ref="B60:D60"/>
    <mergeCell ref="C56:D56"/>
    <mergeCell ref="U56:V56"/>
    <mergeCell ref="W56:X56"/>
    <mergeCell ref="Y56:Z56"/>
    <mergeCell ref="AB56:AC56"/>
    <mergeCell ref="C57:D57"/>
    <mergeCell ref="U57:V57"/>
    <mergeCell ref="W57:X57"/>
    <mergeCell ref="Y57:Z57"/>
    <mergeCell ref="AB57:AC57"/>
    <mergeCell ref="B61:D61"/>
    <mergeCell ref="U61:V61"/>
    <mergeCell ref="W61:X61"/>
    <mergeCell ref="Y61:Z61"/>
    <mergeCell ref="AB61:AC61"/>
    <mergeCell ref="B62:D62"/>
    <mergeCell ref="U62:V62"/>
    <mergeCell ref="W62:X62"/>
    <mergeCell ref="Y62:Z62"/>
    <mergeCell ref="AB62:AC62"/>
    <mergeCell ref="U63:V63"/>
    <mergeCell ref="W63:X63"/>
    <mergeCell ref="Y63:Z63"/>
    <mergeCell ref="AD63:AD64"/>
    <mergeCell ref="AE63:AE64"/>
    <mergeCell ref="B64:D64"/>
    <mergeCell ref="U64:V64"/>
    <mergeCell ref="W64:X64"/>
    <mergeCell ref="Y64:Z64"/>
    <mergeCell ref="A73:Q76"/>
    <mergeCell ref="R73:T76"/>
    <mergeCell ref="V74:Y75"/>
    <mergeCell ref="U67:Z67"/>
    <mergeCell ref="A68:Q68"/>
    <mergeCell ref="R68:T68"/>
    <mergeCell ref="U68:Z68"/>
    <mergeCell ref="A69:Q71"/>
    <mergeCell ref="R69:T72"/>
    <mergeCell ref="U69:Z72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153C6-264A-473E-8C27-29DFEA18D5C6}">
  <sheetPr>
    <pageSetUpPr fitToPage="1"/>
  </sheetPr>
  <dimension ref="A1:AN76"/>
  <sheetViews>
    <sheetView topLeftCell="A6" zoomScaleNormal="100" workbookViewId="0">
      <selection activeCell="G13" sqref="G13:L13"/>
    </sheetView>
  </sheetViews>
  <sheetFormatPr baseColWidth="10" defaultColWidth="11.44140625" defaultRowHeight="12.75" customHeight="1" x14ac:dyDescent="0.25"/>
  <cols>
    <col min="1" max="2" width="5.109375" style="28" customWidth="1"/>
    <col min="3" max="27" width="5.109375" style="2" customWidth="1"/>
    <col min="28" max="41" width="11.44140625" style="2" customWidth="1"/>
    <col min="42" max="16384" width="11.44140625" style="2"/>
  </cols>
  <sheetData>
    <row r="1" spans="1:36" ht="12.75" customHeight="1" x14ac:dyDescent="0.25">
      <c r="A1" s="430"/>
      <c r="B1" s="431"/>
      <c r="C1" s="431"/>
      <c r="D1" s="431"/>
      <c r="E1" s="431"/>
      <c r="F1" s="432"/>
      <c r="G1" s="439" t="s">
        <v>0</v>
      </c>
      <c r="H1" s="440"/>
      <c r="I1" s="440"/>
      <c r="J1" s="440"/>
      <c r="K1" s="440"/>
      <c r="L1" s="440"/>
      <c r="M1" s="440"/>
      <c r="N1" s="440"/>
      <c r="O1" s="440"/>
      <c r="P1" s="440"/>
      <c r="Q1" s="440"/>
      <c r="R1" s="440"/>
      <c r="S1" s="440"/>
      <c r="T1" s="441"/>
      <c r="U1" s="405" t="s">
        <v>59</v>
      </c>
      <c r="V1" s="406"/>
      <c r="W1" s="406"/>
      <c r="X1" s="406"/>
      <c r="Y1" s="406"/>
      <c r="Z1" s="407"/>
      <c r="AA1" s="1"/>
    </row>
    <row r="2" spans="1:36" ht="12.75" customHeight="1" x14ac:dyDescent="0.25">
      <c r="A2" s="433"/>
      <c r="B2" s="434"/>
      <c r="C2" s="434"/>
      <c r="D2" s="434"/>
      <c r="E2" s="434"/>
      <c r="F2" s="435"/>
      <c r="G2" s="442" t="s">
        <v>1</v>
      </c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4"/>
      <c r="U2" s="408"/>
      <c r="V2" s="409"/>
      <c r="W2" s="409"/>
      <c r="X2" s="409"/>
      <c r="Y2" s="409"/>
      <c r="Z2" s="410"/>
      <c r="AA2" s="1"/>
    </row>
    <row r="3" spans="1:36" ht="12.75" customHeight="1" x14ac:dyDescent="0.25">
      <c r="A3" s="433"/>
      <c r="B3" s="434"/>
      <c r="C3" s="434"/>
      <c r="D3" s="434"/>
      <c r="E3" s="434"/>
      <c r="F3" s="435"/>
      <c r="G3" s="445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4"/>
      <c r="U3" s="408"/>
      <c r="V3" s="409"/>
      <c r="W3" s="409"/>
      <c r="X3" s="409"/>
      <c r="Y3" s="409"/>
      <c r="Z3" s="410"/>
      <c r="AA3" s="1"/>
    </row>
    <row r="4" spans="1:36" ht="12.75" customHeight="1" x14ac:dyDescent="0.25">
      <c r="A4" s="433"/>
      <c r="B4" s="434"/>
      <c r="C4" s="434"/>
      <c r="D4" s="434"/>
      <c r="E4" s="434"/>
      <c r="F4" s="435"/>
      <c r="G4" s="445"/>
      <c r="H4" s="443"/>
      <c r="I4" s="443"/>
      <c r="J4" s="443"/>
      <c r="K4" s="443"/>
      <c r="L4" s="443"/>
      <c r="M4" s="443"/>
      <c r="N4" s="443"/>
      <c r="O4" s="443"/>
      <c r="P4" s="443"/>
      <c r="Q4" s="443"/>
      <c r="R4" s="443"/>
      <c r="S4" s="443"/>
      <c r="T4" s="444"/>
      <c r="U4" s="408"/>
      <c r="V4" s="409"/>
      <c r="W4" s="409"/>
      <c r="X4" s="409"/>
      <c r="Y4" s="409"/>
      <c r="Z4" s="410"/>
      <c r="AA4" s="1"/>
    </row>
    <row r="5" spans="1:36" ht="12.75" customHeight="1" x14ac:dyDescent="0.25">
      <c r="A5" s="433"/>
      <c r="B5" s="434"/>
      <c r="C5" s="434"/>
      <c r="D5" s="434"/>
      <c r="E5" s="434"/>
      <c r="F5" s="435"/>
      <c r="G5" s="445" t="s">
        <v>2</v>
      </c>
      <c r="H5" s="443"/>
      <c r="I5" s="3" t="s">
        <v>3</v>
      </c>
      <c r="J5" s="446">
        <v>2</v>
      </c>
      <c r="K5" s="447"/>
      <c r="L5" s="448" t="s">
        <v>60</v>
      </c>
      <c r="M5" s="446"/>
      <c r="N5" s="446"/>
      <c r="O5" s="447"/>
      <c r="P5" s="449">
        <v>45742</v>
      </c>
      <c r="Q5" s="450"/>
      <c r="R5" s="450"/>
      <c r="S5" s="450"/>
      <c r="T5" s="451"/>
      <c r="U5" s="408"/>
      <c r="V5" s="409"/>
      <c r="W5" s="409"/>
      <c r="X5" s="409"/>
      <c r="Y5" s="409"/>
      <c r="Z5" s="410"/>
      <c r="AA5" s="1"/>
    </row>
    <row r="6" spans="1:36" ht="12.75" customHeight="1" x14ac:dyDescent="0.25">
      <c r="A6" s="436"/>
      <c r="B6" s="437"/>
      <c r="C6" s="437"/>
      <c r="D6" s="437"/>
      <c r="E6" s="437"/>
      <c r="F6" s="438"/>
      <c r="G6" s="4"/>
      <c r="H6" s="5"/>
      <c r="I6" s="5"/>
      <c r="J6" s="423" t="s">
        <v>4</v>
      </c>
      <c r="K6" s="423"/>
      <c r="L6" s="423" t="s">
        <v>5</v>
      </c>
      <c r="M6" s="423"/>
      <c r="N6" s="423"/>
      <c r="O6" s="423"/>
      <c r="P6" s="423" t="s">
        <v>6</v>
      </c>
      <c r="Q6" s="423"/>
      <c r="R6" s="423"/>
      <c r="S6" s="423"/>
      <c r="T6" s="424"/>
      <c r="U6" s="411"/>
      <c r="V6" s="412"/>
      <c r="W6" s="412"/>
      <c r="X6" s="412"/>
      <c r="Y6" s="412"/>
      <c r="Z6" s="413"/>
      <c r="AA6" s="1"/>
    </row>
    <row r="7" spans="1:36" ht="37.5" customHeight="1" x14ac:dyDescent="0.25">
      <c r="A7" s="425" t="s">
        <v>7</v>
      </c>
      <c r="B7" s="425"/>
      <c r="C7" s="425"/>
      <c r="D7" s="425"/>
      <c r="E7" s="425"/>
      <c r="F7" s="425"/>
      <c r="G7" s="426" t="s">
        <v>8</v>
      </c>
      <c r="H7" s="426"/>
      <c r="I7" s="426"/>
      <c r="J7" s="426"/>
      <c r="K7" s="426"/>
      <c r="L7" s="426"/>
      <c r="M7" s="426"/>
      <c r="N7" s="426"/>
      <c r="O7" s="426"/>
      <c r="P7" s="426"/>
      <c r="Q7" s="426"/>
      <c r="R7" s="426"/>
      <c r="S7" s="426"/>
      <c r="T7" s="426"/>
      <c r="U7" s="426"/>
      <c r="V7" s="426"/>
      <c r="W7" s="426"/>
      <c r="X7" s="426"/>
      <c r="Y7" s="426"/>
      <c r="Z7" s="426"/>
      <c r="AA7" s="6"/>
      <c r="AE7" s="7"/>
      <c r="AI7" s="7"/>
    </row>
    <row r="8" spans="1:36" ht="15.9" customHeight="1" x14ac:dyDescent="0.25">
      <c r="A8" s="8" t="s">
        <v>9</v>
      </c>
      <c r="B8" s="9" t="s">
        <v>10</v>
      </c>
      <c r="C8" s="10"/>
      <c r="D8" s="11"/>
      <c r="E8" s="11"/>
      <c r="F8" s="11"/>
      <c r="G8" s="11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2"/>
      <c r="AA8" s="13"/>
      <c r="AB8" s="14"/>
      <c r="AC8" s="14"/>
      <c r="AD8" s="14"/>
      <c r="AE8" s="7"/>
      <c r="AF8" s="14"/>
      <c r="AI8" s="7"/>
    </row>
    <row r="9" spans="1:36" ht="15.9" customHeight="1" x14ac:dyDescent="0.25">
      <c r="A9" s="15"/>
      <c r="B9" s="13"/>
      <c r="C9" s="13"/>
      <c r="D9" s="16"/>
      <c r="E9" s="16"/>
      <c r="F9" s="16"/>
      <c r="G9" s="16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7"/>
      <c r="AA9" s="13"/>
      <c r="AB9" s="14"/>
      <c r="AC9" s="14"/>
      <c r="AD9" s="14"/>
      <c r="AE9" s="7"/>
      <c r="AF9" s="14"/>
      <c r="AI9" s="7"/>
    </row>
    <row r="10" spans="1:36" ht="15.9" customHeight="1" x14ac:dyDescent="0.25">
      <c r="A10" s="15"/>
      <c r="B10" s="385" t="s">
        <v>11</v>
      </c>
      <c r="C10" s="385"/>
      <c r="D10" s="385"/>
      <c r="E10" s="385"/>
      <c r="F10" s="385"/>
      <c r="G10" s="384" t="s">
        <v>55</v>
      </c>
      <c r="H10" s="384"/>
      <c r="I10" s="384"/>
      <c r="J10" s="384"/>
      <c r="K10" s="384"/>
      <c r="L10" s="384"/>
      <c r="M10" s="385" t="s">
        <v>12</v>
      </c>
      <c r="N10" s="385"/>
      <c r="O10" s="385"/>
      <c r="P10" s="385"/>
      <c r="Q10" s="385"/>
      <c r="R10" s="385"/>
      <c r="S10" s="388" t="s">
        <v>13</v>
      </c>
      <c r="T10" s="388"/>
      <c r="U10" s="388"/>
      <c r="V10" s="388"/>
      <c r="W10" s="388"/>
      <c r="X10" s="388"/>
      <c r="Y10" s="388"/>
      <c r="Z10" s="18"/>
      <c r="AA10" s="19"/>
      <c r="AB10" s="14"/>
      <c r="AC10" s="14"/>
      <c r="AD10" s="14"/>
      <c r="AE10" s="385"/>
      <c r="AF10" s="385"/>
      <c r="AG10" s="385"/>
      <c r="AH10" s="385"/>
      <c r="AI10" s="385"/>
    </row>
    <row r="11" spans="1:36" ht="15.9" customHeight="1" x14ac:dyDescent="0.25">
      <c r="A11" s="15"/>
      <c r="B11" s="385" t="s">
        <v>14</v>
      </c>
      <c r="C11" s="385"/>
      <c r="D11" s="385"/>
      <c r="E11" s="385"/>
      <c r="F11" s="385"/>
      <c r="G11" s="384">
        <v>45742</v>
      </c>
      <c r="H11" s="384"/>
      <c r="I11" s="384"/>
      <c r="J11" s="384"/>
      <c r="K11" s="384"/>
      <c r="L11" s="384"/>
      <c r="M11" s="385" t="s">
        <v>15</v>
      </c>
      <c r="N11" s="385"/>
      <c r="O11" s="385"/>
      <c r="P11" s="385"/>
      <c r="Q11" s="385"/>
      <c r="R11" s="385"/>
      <c r="S11" s="562" t="s">
        <v>61</v>
      </c>
      <c r="T11" s="562"/>
      <c r="U11" s="562"/>
      <c r="V11" s="562"/>
      <c r="W11" s="562"/>
      <c r="X11" s="562"/>
      <c r="Y11" s="562"/>
      <c r="Z11" s="18"/>
      <c r="AA11" s="19"/>
      <c r="AB11" s="14"/>
      <c r="AC11" s="14"/>
      <c r="AD11" s="14"/>
      <c r="AE11" s="385"/>
      <c r="AF11" s="385"/>
      <c r="AG11" s="385"/>
      <c r="AH11" s="385"/>
      <c r="AI11" s="385"/>
    </row>
    <row r="12" spans="1:36" ht="15.9" customHeight="1" x14ac:dyDescent="0.25">
      <c r="A12" s="15"/>
      <c r="B12" s="385" t="s">
        <v>16</v>
      </c>
      <c r="C12" s="385"/>
      <c r="D12" s="385"/>
      <c r="E12" s="385"/>
      <c r="F12" s="385"/>
      <c r="G12" s="386">
        <v>45737</v>
      </c>
      <c r="H12" s="386"/>
      <c r="I12" s="386"/>
      <c r="J12" s="386"/>
      <c r="K12" s="386"/>
      <c r="L12" s="386"/>
      <c r="M12" s="387" t="s">
        <v>17</v>
      </c>
      <c r="N12" s="387"/>
      <c r="O12" s="387"/>
      <c r="P12" s="387"/>
      <c r="Q12" s="387"/>
      <c r="R12" s="387"/>
      <c r="S12" s="388">
        <v>157</v>
      </c>
      <c r="T12" s="388"/>
      <c r="U12" s="388"/>
      <c r="V12" s="388"/>
      <c r="W12" s="388"/>
      <c r="X12" s="388"/>
      <c r="Y12" s="388"/>
      <c r="Z12" s="18"/>
      <c r="AA12" s="19"/>
      <c r="AB12" s="14"/>
      <c r="AC12" s="14"/>
      <c r="AD12" s="14"/>
      <c r="AE12" s="7"/>
      <c r="AF12" s="14"/>
      <c r="AI12" s="7"/>
    </row>
    <row r="13" spans="1:36" ht="15.9" customHeight="1" x14ac:dyDescent="0.25">
      <c r="A13" s="15"/>
      <c r="B13" s="20" t="s">
        <v>18</v>
      </c>
      <c r="C13" s="20"/>
      <c r="D13" s="20"/>
      <c r="E13" s="20"/>
      <c r="F13" s="20"/>
      <c r="G13" s="386" t="s">
        <v>53</v>
      </c>
      <c r="H13" s="386"/>
      <c r="I13" s="386"/>
      <c r="J13" s="386"/>
      <c r="K13" s="386"/>
      <c r="L13" s="386"/>
      <c r="M13" s="385" t="s">
        <v>19</v>
      </c>
      <c r="N13" s="385"/>
      <c r="O13" s="385"/>
      <c r="P13" s="385"/>
      <c r="Q13" s="385"/>
      <c r="R13" s="385"/>
      <c r="S13" s="386" t="s">
        <v>56</v>
      </c>
      <c r="T13" s="386"/>
      <c r="U13" s="386"/>
      <c r="V13" s="386"/>
      <c r="W13" s="386"/>
      <c r="X13" s="386"/>
      <c r="Y13" s="386"/>
      <c r="Z13" s="18"/>
      <c r="AA13" s="19"/>
      <c r="AB13" s="14"/>
      <c r="AC13" s="14"/>
      <c r="AD13" s="14"/>
      <c r="AE13" s="385"/>
      <c r="AF13" s="385"/>
      <c r="AG13" s="385"/>
      <c r="AH13" s="385"/>
      <c r="AI13" s="385"/>
      <c r="AJ13" s="385"/>
    </row>
    <row r="14" spans="1:36" ht="15.9" customHeight="1" x14ac:dyDescent="0.25">
      <c r="A14" s="21"/>
      <c r="B14" s="385" t="s">
        <v>20</v>
      </c>
      <c r="C14" s="385"/>
      <c r="D14" s="385"/>
      <c r="E14" s="385"/>
      <c r="F14" s="385"/>
      <c r="G14" s="386" t="s">
        <v>54</v>
      </c>
      <c r="H14" s="386"/>
      <c r="I14" s="386"/>
      <c r="J14" s="386"/>
      <c r="K14" s="386"/>
      <c r="L14" s="386"/>
      <c r="M14" s="388" t="s">
        <v>21</v>
      </c>
      <c r="N14" s="388"/>
      <c r="O14" s="388"/>
      <c r="P14" s="388"/>
      <c r="Q14" s="388"/>
      <c r="R14" s="388"/>
      <c r="S14" s="388" t="s">
        <v>22</v>
      </c>
      <c r="T14" s="388"/>
      <c r="U14" s="388"/>
      <c r="V14" s="388"/>
      <c r="W14" s="388"/>
      <c r="X14" s="388"/>
      <c r="Y14" s="388"/>
      <c r="Z14" s="22"/>
      <c r="AA14" s="14"/>
      <c r="AB14" s="14"/>
      <c r="AC14" s="14"/>
      <c r="AD14" s="14"/>
      <c r="AE14" s="385"/>
      <c r="AF14" s="385"/>
      <c r="AG14" s="385"/>
      <c r="AH14" s="385"/>
      <c r="AI14" s="385"/>
      <c r="AJ14" s="385"/>
    </row>
    <row r="15" spans="1:36" ht="6" customHeight="1" x14ac:dyDescent="0.25">
      <c r="A15" s="23"/>
      <c r="B15" s="24"/>
      <c r="C15" s="25"/>
      <c r="D15" s="25"/>
      <c r="E15" s="25"/>
      <c r="F15" s="24"/>
      <c r="G15" s="24"/>
      <c r="H15" s="24"/>
      <c r="I15" s="24"/>
      <c r="J15" s="24"/>
      <c r="K15" s="24"/>
      <c r="L15" s="24"/>
      <c r="M15" s="24"/>
      <c r="N15" s="25"/>
      <c r="O15" s="25"/>
      <c r="P15" s="25"/>
      <c r="Q15" s="25"/>
      <c r="R15" s="25"/>
      <c r="S15" s="25"/>
      <c r="T15" s="26"/>
      <c r="U15" s="26"/>
      <c r="V15" s="25"/>
      <c r="W15" s="25"/>
      <c r="X15" s="25"/>
      <c r="Y15" s="25"/>
      <c r="Z15" s="27"/>
      <c r="AE15" s="385"/>
      <c r="AF15" s="385"/>
      <c r="AG15" s="385"/>
      <c r="AH15" s="385"/>
      <c r="AI15" s="385"/>
      <c r="AJ15" s="385"/>
    </row>
    <row r="16" spans="1:36" ht="6" customHeight="1" x14ac:dyDescent="0.25">
      <c r="F16" s="28"/>
      <c r="G16" s="28"/>
      <c r="H16" s="28"/>
      <c r="I16" s="28"/>
      <c r="J16" s="28"/>
      <c r="K16" s="28"/>
      <c r="L16" s="28"/>
      <c r="M16" s="28"/>
      <c r="T16" s="29"/>
      <c r="U16" s="29"/>
      <c r="AE16" s="385"/>
      <c r="AF16" s="385"/>
      <c r="AG16" s="385"/>
      <c r="AH16" s="385"/>
      <c r="AI16" s="385"/>
      <c r="AJ16" s="385"/>
    </row>
    <row r="17" spans="1:40" ht="15.9" customHeight="1" x14ac:dyDescent="0.25">
      <c r="A17" s="8" t="s">
        <v>23</v>
      </c>
      <c r="B17" s="9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2"/>
      <c r="AA17" s="13"/>
      <c r="AE17" s="30"/>
      <c r="AI17" s="30"/>
    </row>
    <row r="18" spans="1:40" ht="8.25" customHeight="1" x14ac:dyDescent="0.25">
      <c r="A18" s="15"/>
      <c r="B18" s="31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7"/>
      <c r="AA18" s="13"/>
      <c r="AE18" s="30"/>
      <c r="AI18" s="30"/>
    </row>
    <row r="19" spans="1:40" ht="15.9" customHeight="1" x14ac:dyDescent="0.25">
      <c r="A19" s="15"/>
      <c r="B19" s="385" t="s">
        <v>25</v>
      </c>
      <c r="C19" s="385"/>
      <c r="D19" s="385"/>
      <c r="E19" s="385"/>
      <c r="F19" s="385"/>
      <c r="G19" s="385"/>
      <c r="H19" s="385"/>
      <c r="I19" s="453"/>
      <c r="J19" s="453"/>
      <c r="K19" s="453"/>
      <c r="L19" s="453"/>
      <c r="M19" s="453"/>
      <c r="N19" s="453"/>
      <c r="O19" s="453"/>
      <c r="P19" s="453"/>
      <c r="Q19" s="453"/>
      <c r="R19" s="453"/>
      <c r="S19" s="453"/>
      <c r="T19" s="453"/>
      <c r="U19" s="453"/>
      <c r="V19" s="453"/>
      <c r="W19" s="453"/>
      <c r="X19" s="453"/>
      <c r="Y19" s="453"/>
      <c r="Z19" s="18"/>
      <c r="AA19" s="19"/>
      <c r="AE19" s="30"/>
      <c r="AI19" s="30"/>
    </row>
    <row r="20" spans="1:40" ht="15.9" customHeight="1" x14ac:dyDescent="0.25">
      <c r="A20" s="15"/>
      <c r="B20" s="385" t="s">
        <v>26</v>
      </c>
      <c r="C20" s="385"/>
      <c r="D20" s="385"/>
      <c r="E20" s="385"/>
      <c r="F20" s="385"/>
      <c r="G20" s="385"/>
      <c r="H20" s="385"/>
      <c r="I20" s="454"/>
      <c r="J20" s="454"/>
      <c r="K20" s="454"/>
      <c r="L20" s="454"/>
      <c r="M20" s="454"/>
      <c r="N20" s="454"/>
      <c r="O20" s="454"/>
      <c r="P20" s="454"/>
      <c r="Q20" s="454"/>
      <c r="R20" s="454"/>
      <c r="S20" s="454"/>
      <c r="T20" s="454"/>
      <c r="U20" s="454"/>
      <c r="V20" s="454"/>
      <c r="W20" s="454"/>
      <c r="X20" s="454"/>
      <c r="Y20" s="454"/>
      <c r="Z20" s="18"/>
      <c r="AA20" s="19"/>
      <c r="AE20" s="30"/>
      <c r="AI20" s="30"/>
    </row>
    <row r="21" spans="1:40" ht="7.5" customHeight="1" x14ac:dyDescent="0.2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32"/>
      <c r="AA21" s="13"/>
      <c r="AE21" s="30"/>
      <c r="AI21" s="30"/>
    </row>
    <row r="22" spans="1:40" ht="5.25" customHeight="1" x14ac:dyDescent="0.25">
      <c r="F22" s="28"/>
      <c r="G22" s="28"/>
      <c r="H22" s="28"/>
      <c r="I22" s="28"/>
      <c r="J22" s="28"/>
      <c r="K22" s="28"/>
      <c r="L22" s="28"/>
      <c r="M22" s="28"/>
      <c r="T22" s="29"/>
      <c r="U22" s="29"/>
      <c r="AE22" s="30"/>
      <c r="AI22" s="30"/>
      <c r="AM22" s="14"/>
      <c r="AN22" s="14"/>
    </row>
    <row r="23" spans="1:40" ht="15.9" customHeight="1" x14ac:dyDescent="0.25">
      <c r="A23" s="33" t="s">
        <v>23</v>
      </c>
      <c r="B23" s="34" t="s">
        <v>27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39"/>
      <c r="AN23" s="40"/>
    </row>
    <row r="24" spans="1:40" ht="9" customHeight="1" x14ac:dyDescent="0.25">
      <c r="A24" s="21"/>
      <c r="Z24" s="41"/>
    </row>
    <row r="25" spans="1:40" ht="9" customHeight="1" x14ac:dyDescent="0.25">
      <c r="A25" s="21"/>
      <c r="Z25" s="41"/>
    </row>
    <row r="26" spans="1:40" ht="9" customHeight="1" x14ac:dyDescent="0.25">
      <c r="A26" s="21"/>
      <c r="Z26" s="41"/>
    </row>
    <row r="27" spans="1:40" ht="12.75" customHeight="1" x14ac:dyDescent="0.25">
      <c r="A27" s="21"/>
      <c r="Z27" s="41"/>
    </row>
    <row r="28" spans="1:40" ht="12.75" customHeight="1" x14ac:dyDescent="0.25">
      <c r="A28" s="21"/>
      <c r="Z28" s="41"/>
    </row>
    <row r="29" spans="1:40" ht="12.75" customHeight="1" x14ac:dyDescent="0.25">
      <c r="A29" s="21"/>
      <c r="Z29" s="41"/>
    </row>
    <row r="30" spans="1:40" ht="12.75" customHeight="1" x14ac:dyDescent="0.25">
      <c r="A30" s="21"/>
      <c r="Z30" s="41"/>
    </row>
    <row r="31" spans="1:40" ht="12.75" customHeight="1" x14ac:dyDescent="0.25">
      <c r="A31" s="21"/>
      <c r="Z31" s="41"/>
    </row>
    <row r="32" spans="1:40" ht="12.75" customHeight="1" x14ac:dyDescent="0.25">
      <c r="A32" s="21"/>
      <c r="Z32" s="41"/>
    </row>
    <row r="33" spans="1:26" ht="12.75" customHeight="1" x14ac:dyDescent="0.25">
      <c r="A33" s="21"/>
      <c r="Z33" s="41"/>
    </row>
    <row r="34" spans="1:26" ht="12.75" customHeight="1" x14ac:dyDescent="0.25">
      <c r="A34" s="21"/>
      <c r="Z34" s="41"/>
    </row>
    <row r="35" spans="1:26" ht="12.75" customHeight="1" x14ac:dyDescent="0.25">
      <c r="A35" s="21"/>
      <c r="Z35" s="41"/>
    </row>
    <row r="36" spans="1:26" ht="12.75" customHeight="1" x14ac:dyDescent="0.25">
      <c r="A36" s="21"/>
      <c r="Z36" s="41"/>
    </row>
    <row r="37" spans="1:26" ht="12.75" customHeight="1" x14ac:dyDescent="0.25">
      <c r="A37" s="21"/>
      <c r="Z37" s="41"/>
    </row>
    <row r="38" spans="1:26" ht="12.75" customHeight="1" x14ac:dyDescent="0.25">
      <c r="A38" s="21"/>
      <c r="Z38" s="41"/>
    </row>
    <row r="39" spans="1:26" ht="12.75" customHeight="1" x14ac:dyDescent="0.25">
      <c r="A39" s="21"/>
      <c r="Z39" s="41"/>
    </row>
    <row r="40" spans="1:26" ht="12.75" customHeight="1" x14ac:dyDescent="0.25">
      <c r="A40" s="21"/>
      <c r="Z40" s="41"/>
    </row>
    <row r="41" spans="1:26" ht="12.75" customHeight="1" x14ac:dyDescent="0.25">
      <c r="A41" s="21"/>
      <c r="Z41" s="41"/>
    </row>
    <row r="42" spans="1:26" ht="12.75" customHeight="1" x14ac:dyDescent="0.25">
      <c r="A42" s="21"/>
      <c r="Z42" s="41"/>
    </row>
    <row r="43" spans="1:26" ht="12.75" customHeight="1" x14ac:dyDescent="0.25">
      <c r="A43" s="21"/>
      <c r="Z43" s="41"/>
    </row>
    <row r="44" spans="1:26" ht="12.75" customHeight="1" x14ac:dyDescent="0.25">
      <c r="A44" s="21"/>
      <c r="Z44" s="41"/>
    </row>
    <row r="45" spans="1:26" ht="12.75" customHeight="1" x14ac:dyDescent="0.25">
      <c r="A45" s="21"/>
      <c r="Z45" s="41"/>
    </row>
    <row r="46" spans="1:26" ht="12.75" customHeight="1" x14ac:dyDescent="0.25">
      <c r="A46" s="21"/>
      <c r="Z46" s="41"/>
    </row>
    <row r="47" spans="1:26" ht="12.75" customHeight="1" x14ac:dyDescent="0.25">
      <c r="A47" s="21"/>
      <c r="Z47" s="41"/>
    </row>
    <row r="48" spans="1:26" ht="12.75" customHeight="1" x14ac:dyDescent="0.25">
      <c r="A48" s="21"/>
      <c r="Z48" s="41"/>
    </row>
    <row r="49" spans="1:34" ht="12.75" customHeight="1" x14ac:dyDescent="0.25">
      <c r="A49" s="21"/>
      <c r="Z49" s="41"/>
    </row>
    <row r="50" spans="1:34" ht="9.75" customHeight="1" thickBot="1" x14ac:dyDescent="0.3">
      <c r="A50" s="21"/>
      <c r="Z50" s="41"/>
    </row>
    <row r="51" spans="1:34" ht="9.75" customHeight="1" x14ac:dyDescent="0.25">
      <c r="A51" s="21"/>
      <c r="Z51" s="41"/>
      <c r="AD51" s="378" t="s">
        <v>28</v>
      </c>
      <c r="AE51" s="380">
        <v>2.68</v>
      </c>
      <c r="AF51" s="455"/>
      <c r="AG51" s="457"/>
      <c r="AH51" s="42"/>
    </row>
    <row r="52" spans="1:34" ht="12.75" customHeight="1" thickBot="1" x14ac:dyDescent="0.3">
      <c r="A52" s="21"/>
      <c r="Z52" s="43"/>
      <c r="AD52" s="379"/>
      <c r="AE52" s="381"/>
      <c r="AF52" s="456"/>
      <c r="AG52" s="457"/>
    </row>
    <row r="53" spans="1:34" ht="18.75" customHeight="1" thickBot="1" x14ac:dyDescent="0.3">
      <c r="A53" s="21"/>
      <c r="E53" s="458" t="s">
        <v>29</v>
      </c>
      <c r="F53" s="459"/>
      <c r="G53" s="459"/>
      <c r="H53" s="459"/>
      <c r="I53" s="459"/>
      <c r="J53" s="459"/>
      <c r="K53" s="459"/>
      <c r="L53" s="459"/>
      <c r="M53" s="459"/>
      <c r="N53" s="459"/>
      <c r="O53" s="459"/>
      <c r="P53" s="459"/>
      <c r="Q53" s="459"/>
      <c r="R53" s="459"/>
      <c r="S53" s="459"/>
      <c r="T53" s="459"/>
      <c r="U53" s="460" t="s">
        <v>30</v>
      </c>
      <c r="V53" s="461"/>
      <c r="W53" s="464" t="s">
        <v>31</v>
      </c>
      <c r="X53" s="461"/>
      <c r="Y53" s="466" t="s">
        <v>32</v>
      </c>
      <c r="Z53" s="467"/>
      <c r="AA53" s="44"/>
      <c r="AB53" s="369" t="s">
        <v>33</v>
      </c>
      <c r="AC53" s="370"/>
      <c r="AD53" s="373" t="s">
        <v>34</v>
      </c>
      <c r="AE53" s="375" t="s">
        <v>35</v>
      </c>
      <c r="AF53" s="455"/>
      <c r="AG53" s="455"/>
      <c r="AH53" s="45"/>
    </row>
    <row r="54" spans="1:34" ht="24.9" customHeight="1" thickBot="1" x14ac:dyDescent="0.3">
      <c r="A54" s="46"/>
      <c r="B54" s="47" t="s">
        <v>36</v>
      </c>
      <c r="C54" s="471" t="s">
        <v>37</v>
      </c>
      <c r="D54" s="472"/>
      <c r="E54" s="48">
        <v>6.3E-2</v>
      </c>
      <c r="F54" s="48">
        <v>0.125</v>
      </c>
      <c r="G54" s="49">
        <v>0.25</v>
      </c>
      <c r="H54" s="49">
        <v>0.5</v>
      </c>
      <c r="I54" s="49">
        <v>1</v>
      </c>
      <c r="J54" s="49">
        <v>2</v>
      </c>
      <c r="K54" s="49">
        <v>4</v>
      </c>
      <c r="L54" s="49">
        <v>6.3</v>
      </c>
      <c r="M54" s="49">
        <v>8</v>
      </c>
      <c r="N54" s="49">
        <v>10</v>
      </c>
      <c r="O54" s="49">
        <v>12.5</v>
      </c>
      <c r="P54" s="49">
        <v>14</v>
      </c>
      <c r="Q54" s="50">
        <v>16</v>
      </c>
      <c r="R54" s="50">
        <v>20</v>
      </c>
      <c r="S54" s="49"/>
      <c r="T54" s="50"/>
      <c r="U54" s="462"/>
      <c r="V54" s="463"/>
      <c r="W54" s="465"/>
      <c r="X54" s="463"/>
      <c r="Y54" s="468"/>
      <c r="Z54" s="469"/>
      <c r="AA54" s="44"/>
      <c r="AB54" s="371"/>
      <c r="AC54" s="372"/>
      <c r="AD54" s="374"/>
      <c r="AE54" s="376"/>
      <c r="AF54" s="470"/>
      <c r="AG54" s="455"/>
    </row>
    <row r="55" spans="1:34" ht="24.9" customHeight="1" x14ac:dyDescent="0.25">
      <c r="A55" s="46"/>
      <c r="B55" s="51">
        <v>1</v>
      </c>
      <c r="C55" s="340" t="s">
        <v>62</v>
      </c>
      <c r="D55" s="341"/>
      <c r="E55" s="125">
        <v>6.7</v>
      </c>
      <c r="F55" s="126">
        <v>8.9</v>
      </c>
      <c r="G55" s="127">
        <v>12.1</v>
      </c>
      <c r="H55" s="127">
        <v>15.8</v>
      </c>
      <c r="I55" s="127">
        <v>20.6</v>
      </c>
      <c r="J55" s="127">
        <v>28</v>
      </c>
      <c r="K55" s="127">
        <v>41.5</v>
      </c>
      <c r="L55" s="127">
        <v>53.3</v>
      </c>
      <c r="M55" s="127">
        <v>64.3</v>
      </c>
      <c r="N55" s="127">
        <v>80</v>
      </c>
      <c r="O55" s="127">
        <v>88.4</v>
      </c>
      <c r="P55" s="127">
        <v>93.6</v>
      </c>
      <c r="Q55" s="127">
        <v>100</v>
      </c>
      <c r="R55" s="127"/>
      <c r="S55" s="128"/>
      <c r="T55" s="128"/>
      <c r="U55" s="342"/>
      <c r="V55" s="343"/>
      <c r="W55" s="344">
        <v>3.98</v>
      </c>
      <c r="X55" s="345"/>
      <c r="Y55" s="479">
        <f>IF(W55&lt;&gt;0,AE55,"")</f>
        <v>2.5158913049704532</v>
      </c>
      <c r="Z55" s="480"/>
      <c r="AA55" s="52"/>
      <c r="AB55" s="326">
        <f>(100*W55)/(100-W55)</f>
        <v>4.1449697979587592</v>
      </c>
      <c r="AC55" s="327"/>
      <c r="AD55" s="53">
        <f>(0.25*(100-O55)+2.3*(O55-H55)+12*(H55-E55)+150*(E55))/100</f>
        <v>12.8408</v>
      </c>
      <c r="AE55" s="54">
        <f>(AB55*$AE$51)/(2.65*(AD55)^(1/5))</f>
        <v>2.5158913049704532</v>
      </c>
      <c r="AF55" s="28"/>
      <c r="AG55" s="55"/>
    </row>
    <row r="56" spans="1:34" ht="24.9" customHeight="1" x14ac:dyDescent="0.25">
      <c r="A56" s="46"/>
      <c r="B56" s="56">
        <v>2</v>
      </c>
      <c r="C56" s="571"/>
      <c r="D56" s="572"/>
      <c r="E56" s="120"/>
      <c r="F56" s="121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4"/>
      <c r="R56" s="122"/>
      <c r="S56" s="123"/>
      <c r="T56" s="123"/>
      <c r="U56" s="349"/>
      <c r="V56" s="350"/>
      <c r="W56" s="351"/>
      <c r="X56" s="352"/>
      <c r="Y56" s="498" t="str">
        <f>IF(W56&lt;&gt;0,AE56,"")</f>
        <v/>
      </c>
      <c r="Z56" s="499"/>
      <c r="AA56" s="52"/>
      <c r="AB56" s="326">
        <f>(100*W56)/(100-W56)</f>
        <v>0</v>
      </c>
      <c r="AC56" s="327"/>
      <c r="AD56" s="53">
        <f t="shared" ref="AD56:AD62" si="0">(0.25*(100-O56)+2.3*(O56-H56)+12*(H56-E56)+150*(E56))/100</f>
        <v>0.25</v>
      </c>
      <c r="AE56" s="54">
        <f t="shared" ref="AE56:AE62" si="1">(AB56*$AE$51)/(2.65*(AD56)^(1/5))</f>
        <v>0</v>
      </c>
      <c r="AF56" s="28"/>
      <c r="AG56" s="55"/>
    </row>
    <row r="57" spans="1:34" ht="24.9" customHeight="1" x14ac:dyDescent="0.25">
      <c r="A57" s="46"/>
      <c r="B57" s="56">
        <v>3</v>
      </c>
      <c r="C57" s="500"/>
      <c r="D57" s="501"/>
      <c r="E57" s="57"/>
      <c r="F57" s="58"/>
      <c r="G57" s="58"/>
      <c r="H57" s="59"/>
      <c r="I57" s="59"/>
      <c r="J57" s="59"/>
      <c r="K57" s="59"/>
      <c r="L57" s="59"/>
      <c r="M57" s="59"/>
      <c r="N57" s="59"/>
      <c r="O57" s="60"/>
      <c r="P57" s="59"/>
      <c r="Q57" s="60"/>
      <c r="R57" s="59"/>
      <c r="S57" s="59"/>
      <c r="T57" s="61"/>
      <c r="U57" s="502"/>
      <c r="V57" s="503"/>
      <c r="W57" s="504"/>
      <c r="X57" s="505"/>
      <c r="Y57" s="498" t="str">
        <f t="shared" ref="Y57:Y58" si="2">IF(W57&lt;&gt;0,AE57,"")</f>
        <v/>
      </c>
      <c r="Z57" s="499"/>
      <c r="AA57" s="52"/>
      <c r="AB57" s="326">
        <f>(100*W57)/(100-W57)</f>
        <v>0</v>
      </c>
      <c r="AC57" s="327"/>
      <c r="AD57" s="53">
        <f t="shared" si="0"/>
        <v>0.25</v>
      </c>
      <c r="AE57" s="54">
        <f t="shared" si="1"/>
        <v>0</v>
      </c>
      <c r="AF57" s="28"/>
      <c r="AG57" s="55"/>
    </row>
    <row r="58" spans="1:34" ht="24.9" customHeight="1" thickBot="1" x14ac:dyDescent="0.3">
      <c r="A58" s="46"/>
      <c r="B58" s="62">
        <v>4</v>
      </c>
      <c r="C58" s="481"/>
      <c r="D58" s="482"/>
      <c r="E58" s="63"/>
      <c r="F58" s="64"/>
      <c r="G58" s="64"/>
      <c r="H58" s="65"/>
      <c r="I58" s="65"/>
      <c r="J58" s="65"/>
      <c r="K58" s="65"/>
      <c r="L58" s="65"/>
      <c r="M58" s="65"/>
      <c r="N58" s="65"/>
      <c r="O58" s="66"/>
      <c r="P58" s="65"/>
      <c r="Q58" s="66"/>
      <c r="R58" s="65"/>
      <c r="S58" s="65"/>
      <c r="T58" s="67"/>
      <c r="U58" s="483"/>
      <c r="V58" s="484"/>
      <c r="W58" s="485"/>
      <c r="X58" s="486"/>
      <c r="Y58" s="487" t="str">
        <f t="shared" si="2"/>
        <v/>
      </c>
      <c r="Z58" s="488"/>
      <c r="AA58" s="52"/>
      <c r="AB58" s="326">
        <f>(100*W58)/(100-W58)</f>
        <v>0</v>
      </c>
      <c r="AC58" s="327"/>
      <c r="AD58" s="53">
        <f t="shared" si="0"/>
        <v>0.25</v>
      </c>
      <c r="AE58" s="54">
        <f t="shared" si="1"/>
        <v>0</v>
      </c>
      <c r="AF58" s="28"/>
      <c r="AG58" s="55"/>
    </row>
    <row r="59" spans="1:34" ht="10.5" customHeight="1" thickBot="1" x14ac:dyDescent="0.3">
      <c r="A59" s="46"/>
      <c r="B59" s="2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9"/>
      <c r="P59" s="68"/>
      <c r="Q59" s="69"/>
      <c r="R59" s="68"/>
      <c r="S59" s="68"/>
      <c r="T59" s="68"/>
      <c r="U59" s="68"/>
      <c r="V59" s="68"/>
      <c r="W59" s="70"/>
      <c r="Z59" s="71"/>
      <c r="AB59" s="72"/>
      <c r="AC59" s="73"/>
      <c r="AD59" s="53"/>
      <c r="AE59" s="54"/>
      <c r="AF59" s="28"/>
      <c r="AG59" s="55"/>
    </row>
    <row r="60" spans="1:34" ht="24.75" hidden="1" customHeight="1" x14ac:dyDescent="0.25">
      <c r="A60" s="46"/>
      <c r="B60" s="489" t="s">
        <v>38</v>
      </c>
      <c r="C60" s="490"/>
      <c r="D60" s="491"/>
      <c r="E60" s="74"/>
      <c r="F60" s="74"/>
      <c r="G60" s="74"/>
      <c r="H60" s="74"/>
      <c r="I60" s="74"/>
      <c r="J60" s="74"/>
      <c r="K60" s="74"/>
      <c r="L60" s="74"/>
      <c r="M60" s="74">
        <v>10</v>
      </c>
      <c r="N60" s="74">
        <v>10</v>
      </c>
      <c r="O60" s="75"/>
      <c r="P60" s="74"/>
      <c r="Q60" s="75">
        <v>50</v>
      </c>
      <c r="R60" s="74"/>
      <c r="S60" s="74">
        <v>70</v>
      </c>
      <c r="T60" s="74"/>
      <c r="U60" s="74"/>
      <c r="V60" s="74"/>
      <c r="W60" s="74"/>
      <c r="X60" s="76"/>
      <c r="Y60" s="77">
        <v>4.5</v>
      </c>
      <c r="Z60" s="77"/>
      <c r="AA60" s="28"/>
      <c r="AB60" s="72"/>
      <c r="AC60" s="73"/>
      <c r="AD60" s="53">
        <f t="shared" si="0"/>
        <v>0.25</v>
      </c>
      <c r="AE60" s="54">
        <f t="shared" si="1"/>
        <v>0</v>
      </c>
      <c r="AF60" s="28"/>
      <c r="AG60" s="55"/>
    </row>
    <row r="61" spans="1:34" ht="18.75" customHeight="1" x14ac:dyDescent="0.25">
      <c r="A61" s="46"/>
      <c r="B61" s="506" t="s">
        <v>39</v>
      </c>
      <c r="C61" s="507"/>
      <c r="D61" s="508"/>
      <c r="E61" s="78">
        <f>IF(E55&lt;&gt;0,AVERAGE(E55:E58),"")</f>
        <v>6.7</v>
      </c>
      <c r="F61" s="78">
        <f t="shared" ref="F61:L61" si="3">IF(F55&lt;&gt;0,AVERAGE(F55:F58),"")</f>
        <v>8.9</v>
      </c>
      <c r="G61" s="78">
        <f t="shared" si="3"/>
        <v>12.1</v>
      </c>
      <c r="H61" s="78">
        <f t="shared" si="3"/>
        <v>15.8</v>
      </c>
      <c r="I61" s="78">
        <f t="shared" si="3"/>
        <v>20.6</v>
      </c>
      <c r="J61" s="78">
        <f t="shared" si="3"/>
        <v>28</v>
      </c>
      <c r="K61" s="78">
        <f t="shared" si="3"/>
        <v>41.5</v>
      </c>
      <c r="L61" s="78">
        <f t="shared" si="3"/>
        <v>53.3</v>
      </c>
      <c r="M61" s="78">
        <f>IF(M55&lt;&gt;0,AVERAGE(M55:M58),"")</f>
        <v>64.3</v>
      </c>
      <c r="N61" s="78">
        <f>IF(N55&lt;&gt;0,AVERAGE(N55:N58),"")</f>
        <v>80</v>
      </c>
      <c r="O61" s="79">
        <f>IF(O55&lt;&gt;0,AVERAGE(O55:O58),"")</f>
        <v>88.4</v>
      </c>
      <c r="P61" s="79">
        <f t="shared" ref="P61:Q61" si="4">IF(P55&lt;&gt;0,AVERAGE(P55:P58),"")</f>
        <v>93.6</v>
      </c>
      <c r="Q61" s="79">
        <f t="shared" si="4"/>
        <v>100</v>
      </c>
      <c r="R61" s="78"/>
      <c r="S61" s="78" t="str">
        <f t="shared" ref="S61:T61" si="5">IF(S55&lt;&gt;0,AVERAGE(S55:S58),"")</f>
        <v/>
      </c>
      <c r="T61" s="80" t="str">
        <f t="shared" si="5"/>
        <v/>
      </c>
      <c r="U61" s="509" t="str">
        <f>IF(U55&lt;&gt;0,AVERAGE(U55:V58),"")</f>
        <v/>
      </c>
      <c r="V61" s="510"/>
      <c r="W61" s="511">
        <f>IF(W55&lt;&gt;0,AVERAGE(W55:X58),"")</f>
        <v>3.98</v>
      </c>
      <c r="X61" s="512"/>
      <c r="Y61" s="513">
        <f>IF(W55&lt;&gt;0,AVERAGE(Y55:Z58),"")</f>
        <v>2.5158913049704532</v>
      </c>
      <c r="Z61" s="514"/>
      <c r="AA61" s="55"/>
      <c r="AB61" s="326">
        <f>(100*W61)/(100-W61)</f>
        <v>4.1449697979587592</v>
      </c>
      <c r="AC61" s="327"/>
      <c r="AD61" s="53">
        <f t="shared" si="0"/>
        <v>12.8408</v>
      </c>
      <c r="AE61" s="54">
        <f t="shared" si="1"/>
        <v>2.5158913049704532</v>
      </c>
      <c r="AF61" s="28"/>
      <c r="AG61" s="55"/>
    </row>
    <row r="62" spans="1:34" ht="21" customHeight="1" x14ac:dyDescent="0.25">
      <c r="A62" s="46"/>
      <c r="B62" s="515" t="s">
        <v>40</v>
      </c>
      <c r="C62" s="516"/>
      <c r="D62" s="517"/>
      <c r="E62" s="81">
        <v>6.5</v>
      </c>
      <c r="F62" s="81">
        <v>9</v>
      </c>
      <c r="G62" s="81">
        <v>12</v>
      </c>
      <c r="H62" s="81">
        <v>16</v>
      </c>
      <c r="I62" s="81">
        <v>22</v>
      </c>
      <c r="J62" s="81">
        <v>32</v>
      </c>
      <c r="K62" s="81">
        <v>47</v>
      </c>
      <c r="L62" s="81">
        <v>59</v>
      </c>
      <c r="M62" s="81">
        <v>65</v>
      </c>
      <c r="N62" s="81">
        <v>74</v>
      </c>
      <c r="O62" s="81">
        <v>90</v>
      </c>
      <c r="P62" s="81">
        <v>97</v>
      </c>
      <c r="Q62" s="82">
        <v>100</v>
      </c>
      <c r="R62" s="81"/>
      <c r="S62" s="81"/>
      <c r="T62" s="83"/>
      <c r="U62" s="518"/>
      <c r="V62" s="519"/>
      <c r="W62" s="520">
        <v>4.3</v>
      </c>
      <c r="X62" s="521"/>
      <c r="Y62" s="522">
        <f>AE62</f>
        <v>2.7368703035010422</v>
      </c>
      <c r="Z62" s="523"/>
      <c r="AA62" s="55"/>
      <c r="AB62" s="326">
        <f>(100*W62)/(100-W62)</f>
        <v>4.4932079414838038</v>
      </c>
      <c r="AC62" s="327"/>
      <c r="AD62" s="53">
        <f t="shared" si="0"/>
        <v>12.617000000000001</v>
      </c>
      <c r="AE62" s="54">
        <f t="shared" si="1"/>
        <v>2.7368703035010422</v>
      </c>
      <c r="AF62" s="28"/>
      <c r="AG62" s="55"/>
    </row>
    <row r="63" spans="1:34" ht="13.5" customHeight="1" x14ac:dyDescent="0.25">
      <c r="A63" s="46"/>
      <c r="B63" s="84"/>
      <c r="C63" s="85" t="s">
        <v>41</v>
      </c>
      <c r="D63" s="86"/>
      <c r="E63" s="59">
        <f>E62+2</f>
        <v>8.5</v>
      </c>
      <c r="F63" s="59"/>
      <c r="G63" s="59"/>
      <c r="H63" s="59"/>
      <c r="I63" s="59"/>
      <c r="J63" s="59">
        <f>J62+6</f>
        <v>38</v>
      </c>
      <c r="K63" s="59"/>
      <c r="L63" s="59">
        <f>L62+7</f>
        <v>66</v>
      </c>
      <c r="M63" s="59"/>
      <c r="N63" s="59"/>
      <c r="O63" s="59"/>
      <c r="P63" s="59"/>
      <c r="Q63" s="60"/>
      <c r="R63" s="59"/>
      <c r="S63" s="59"/>
      <c r="T63" s="61"/>
      <c r="U63" s="502"/>
      <c r="V63" s="503"/>
      <c r="W63" s="524">
        <f>W62+0.5</f>
        <v>4.8</v>
      </c>
      <c r="X63" s="503"/>
      <c r="Y63" s="500"/>
      <c r="Z63" s="525"/>
      <c r="AA63" s="87"/>
      <c r="AB63" s="88"/>
      <c r="AC63" s="89"/>
      <c r="AD63" s="306"/>
      <c r="AE63" s="308" t="s">
        <v>42</v>
      </c>
      <c r="AF63" s="28"/>
      <c r="AG63" s="55"/>
    </row>
    <row r="64" spans="1:34" ht="13.5" customHeight="1" thickBot="1" x14ac:dyDescent="0.3">
      <c r="A64" s="46"/>
      <c r="B64" s="462" t="s">
        <v>43</v>
      </c>
      <c r="C64" s="465"/>
      <c r="D64" s="463"/>
      <c r="E64" s="90">
        <f>E62-2</f>
        <v>4.5</v>
      </c>
      <c r="F64" s="90"/>
      <c r="G64" s="91"/>
      <c r="H64" s="91"/>
      <c r="I64" s="91"/>
      <c r="J64" s="90">
        <f>J62-6</f>
        <v>26</v>
      </c>
      <c r="K64" s="91"/>
      <c r="L64" s="90">
        <f>L62-7</f>
        <v>52</v>
      </c>
      <c r="M64" s="90"/>
      <c r="N64" s="91"/>
      <c r="O64" s="91"/>
      <c r="P64" s="91"/>
      <c r="Q64" s="90"/>
      <c r="R64" s="91"/>
      <c r="S64" s="91"/>
      <c r="T64" s="92"/>
      <c r="U64" s="526"/>
      <c r="V64" s="527"/>
      <c r="W64" s="528">
        <f>W62-0.5</f>
        <v>3.8</v>
      </c>
      <c r="X64" s="527"/>
      <c r="Y64" s="481"/>
      <c r="Z64" s="529"/>
      <c r="AA64" s="93"/>
      <c r="AB64" s="94"/>
      <c r="AC64" s="95"/>
      <c r="AD64" s="307"/>
      <c r="AE64" s="309"/>
      <c r="AF64" s="28"/>
      <c r="AG64" s="55"/>
    </row>
    <row r="65" spans="1:30" ht="6.75" customHeight="1" x14ac:dyDescent="0.25">
      <c r="A65" s="23"/>
      <c r="B65" s="24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96"/>
    </row>
    <row r="66" spans="1:30" ht="8.25" customHeight="1" x14ac:dyDescent="0.25"/>
    <row r="67" spans="1:30" ht="34.5" customHeight="1" x14ac:dyDescent="0.25">
      <c r="A67" s="97" t="s">
        <v>44</v>
      </c>
      <c r="B67" s="98" t="s">
        <v>45</v>
      </c>
      <c r="C67" s="99"/>
      <c r="D67" s="99"/>
      <c r="E67" s="99"/>
      <c r="F67" s="100"/>
      <c r="G67" s="100"/>
      <c r="H67" s="100"/>
      <c r="I67" s="10"/>
      <c r="J67" s="10"/>
      <c r="K67" s="10"/>
      <c r="L67" s="10"/>
      <c r="M67" s="10"/>
      <c r="N67" s="10"/>
      <c r="O67" s="10"/>
      <c r="P67" s="10"/>
      <c r="Q67" s="100"/>
      <c r="R67" s="10"/>
      <c r="S67" s="10"/>
      <c r="T67" s="10"/>
      <c r="U67" s="543"/>
      <c r="V67" s="543"/>
      <c r="W67" s="543"/>
      <c r="X67" s="543"/>
      <c r="Y67" s="543"/>
      <c r="Z67" s="544"/>
      <c r="AA67" s="101"/>
      <c r="AB67" s="102"/>
      <c r="AC67" s="102"/>
      <c r="AD67" s="103"/>
    </row>
    <row r="68" spans="1:30" ht="27" customHeight="1" x14ac:dyDescent="0.25">
      <c r="A68" s="545" t="s">
        <v>46</v>
      </c>
      <c r="B68" s="546"/>
      <c r="C68" s="546"/>
      <c r="D68" s="546"/>
      <c r="E68" s="546"/>
      <c r="F68" s="546"/>
      <c r="G68" s="546"/>
      <c r="H68" s="546"/>
      <c r="I68" s="546"/>
      <c r="J68" s="546"/>
      <c r="K68" s="546"/>
      <c r="L68" s="546"/>
      <c r="M68" s="546"/>
      <c r="N68" s="546"/>
      <c r="O68" s="546"/>
      <c r="P68" s="546"/>
      <c r="Q68" s="547"/>
      <c r="R68" s="536" t="s">
        <v>47</v>
      </c>
      <c r="S68" s="537"/>
      <c r="T68" s="538"/>
      <c r="U68" s="275" t="s">
        <v>57</v>
      </c>
      <c r="V68" s="276"/>
      <c r="W68" s="276"/>
      <c r="X68" s="277"/>
      <c r="Y68" s="277"/>
      <c r="Z68" s="278"/>
      <c r="AA68" s="104"/>
      <c r="AB68" s="105"/>
      <c r="AC68" s="105"/>
      <c r="AD68" s="103"/>
    </row>
    <row r="69" spans="1:30" ht="15.75" customHeight="1" x14ac:dyDescent="0.25">
      <c r="A69" s="548" t="s">
        <v>48</v>
      </c>
      <c r="B69" s="549"/>
      <c r="C69" s="549"/>
      <c r="D69" s="549"/>
      <c r="E69" s="549"/>
      <c r="F69" s="549"/>
      <c r="G69" s="549"/>
      <c r="H69" s="549"/>
      <c r="I69" s="549"/>
      <c r="J69" s="549"/>
      <c r="K69" s="549"/>
      <c r="L69" s="549"/>
      <c r="M69" s="549"/>
      <c r="N69" s="549"/>
      <c r="O69" s="549"/>
      <c r="P69" s="549"/>
      <c r="Q69" s="550"/>
      <c r="R69" s="536" t="s">
        <v>49</v>
      </c>
      <c r="S69" s="537"/>
      <c r="T69" s="538"/>
      <c r="U69" s="554" t="s">
        <v>58</v>
      </c>
      <c r="V69" s="555"/>
      <c r="W69" s="555"/>
      <c r="X69" s="555"/>
      <c r="Y69" s="555"/>
      <c r="Z69" s="556"/>
      <c r="AA69" s="104"/>
      <c r="AB69" s="105"/>
      <c r="AC69" s="105"/>
      <c r="AD69" s="103"/>
    </row>
    <row r="70" spans="1:30" ht="9" customHeight="1" x14ac:dyDescent="0.25">
      <c r="A70" s="548"/>
      <c r="B70" s="549"/>
      <c r="C70" s="549"/>
      <c r="D70" s="549"/>
      <c r="E70" s="549"/>
      <c r="F70" s="549"/>
      <c r="G70" s="549"/>
      <c r="H70" s="549"/>
      <c r="I70" s="549"/>
      <c r="J70" s="549"/>
      <c r="K70" s="549"/>
      <c r="L70" s="549"/>
      <c r="M70" s="549"/>
      <c r="N70" s="549"/>
      <c r="O70" s="549"/>
      <c r="P70" s="549"/>
      <c r="Q70" s="550"/>
      <c r="R70" s="536"/>
      <c r="S70" s="537"/>
      <c r="T70" s="538"/>
      <c r="U70" s="557"/>
      <c r="V70" s="454"/>
      <c r="W70" s="454"/>
      <c r="X70" s="454"/>
      <c r="Y70" s="454"/>
      <c r="Z70" s="558"/>
      <c r="AA70" s="104"/>
      <c r="AB70" s="105"/>
      <c r="AC70" s="105"/>
      <c r="AD70" s="103"/>
    </row>
    <row r="71" spans="1:30" ht="15.9" customHeight="1" x14ac:dyDescent="0.25">
      <c r="A71" s="551"/>
      <c r="B71" s="552"/>
      <c r="C71" s="552"/>
      <c r="D71" s="552"/>
      <c r="E71" s="552"/>
      <c r="F71" s="552"/>
      <c r="G71" s="552"/>
      <c r="H71" s="552"/>
      <c r="I71" s="552"/>
      <c r="J71" s="552"/>
      <c r="K71" s="552"/>
      <c r="L71" s="552"/>
      <c r="M71" s="552"/>
      <c r="N71" s="552"/>
      <c r="O71" s="552"/>
      <c r="P71" s="552"/>
      <c r="Q71" s="553"/>
      <c r="R71" s="536"/>
      <c r="S71" s="537"/>
      <c r="T71" s="538"/>
      <c r="U71" s="557"/>
      <c r="V71" s="454"/>
      <c r="W71" s="454"/>
      <c r="X71" s="454"/>
      <c r="Y71" s="454"/>
      <c r="Z71" s="558"/>
      <c r="AA71" s="104"/>
      <c r="AB71" s="105"/>
      <c r="AC71" s="105"/>
      <c r="AD71" s="103"/>
    </row>
    <row r="72" spans="1:30" ht="15.9" customHeight="1" x14ac:dyDescent="0.25">
      <c r="A72" s="106" t="s">
        <v>50</v>
      </c>
      <c r="B72" s="107" t="s">
        <v>51</v>
      </c>
      <c r="C72" s="13"/>
      <c r="D72" s="13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9"/>
      <c r="R72" s="536"/>
      <c r="S72" s="537"/>
      <c r="T72" s="538"/>
      <c r="U72" s="559"/>
      <c r="V72" s="560"/>
      <c r="W72" s="560"/>
      <c r="X72" s="560"/>
      <c r="Y72" s="560"/>
      <c r="Z72" s="561"/>
      <c r="AA72" s="104"/>
      <c r="AB72" s="105"/>
      <c r="AC72" s="105"/>
      <c r="AD72" s="103"/>
    </row>
    <row r="73" spans="1:30" ht="15.75" customHeight="1" x14ac:dyDescent="0.25">
      <c r="A73" s="530"/>
      <c r="B73" s="531"/>
      <c r="C73" s="531"/>
      <c r="D73" s="531"/>
      <c r="E73" s="531"/>
      <c r="F73" s="531"/>
      <c r="G73" s="531"/>
      <c r="H73" s="531"/>
      <c r="I73" s="531"/>
      <c r="J73" s="531"/>
      <c r="K73" s="531"/>
      <c r="L73" s="531"/>
      <c r="M73" s="531"/>
      <c r="N73" s="531"/>
      <c r="O73" s="531"/>
      <c r="P73" s="531"/>
      <c r="Q73" s="532"/>
      <c r="R73" s="536" t="s">
        <v>52</v>
      </c>
      <c r="S73" s="537"/>
      <c r="T73" s="538"/>
      <c r="U73" s="110"/>
      <c r="V73" s="111"/>
      <c r="W73" s="111"/>
      <c r="X73" s="111"/>
      <c r="Y73" s="111"/>
      <c r="Z73" s="112"/>
      <c r="AA73" s="113"/>
      <c r="AB73" s="114"/>
      <c r="AC73" s="114"/>
      <c r="AD73" s="103"/>
    </row>
    <row r="74" spans="1:30" ht="15.9" customHeight="1" x14ac:dyDescent="0.25">
      <c r="A74" s="530"/>
      <c r="B74" s="531"/>
      <c r="C74" s="531"/>
      <c r="D74" s="531"/>
      <c r="E74" s="531"/>
      <c r="F74" s="531"/>
      <c r="G74" s="531"/>
      <c r="H74" s="531"/>
      <c r="I74" s="531"/>
      <c r="J74" s="531"/>
      <c r="K74" s="531"/>
      <c r="L74" s="531"/>
      <c r="M74" s="531"/>
      <c r="N74" s="531"/>
      <c r="O74" s="531"/>
      <c r="P74" s="531"/>
      <c r="Q74" s="532"/>
      <c r="R74" s="536"/>
      <c r="S74" s="537"/>
      <c r="T74" s="538"/>
      <c r="U74" s="115"/>
      <c r="V74" s="542"/>
      <c r="W74" s="542"/>
      <c r="X74" s="542"/>
      <c r="Y74" s="542"/>
      <c r="Z74" s="116"/>
      <c r="AA74" s="113"/>
      <c r="AB74" s="114"/>
      <c r="AC74" s="114"/>
      <c r="AD74" s="103"/>
    </row>
    <row r="75" spans="1:30" ht="15.9" customHeight="1" x14ac:dyDescent="0.25">
      <c r="A75" s="530"/>
      <c r="B75" s="531"/>
      <c r="C75" s="531"/>
      <c r="D75" s="531"/>
      <c r="E75" s="531"/>
      <c r="F75" s="531"/>
      <c r="G75" s="531"/>
      <c r="H75" s="531"/>
      <c r="I75" s="531"/>
      <c r="J75" s="531"/>
      <c r="K75" s="531"/>
      <c r="L75" s="531"/>
      <c r="M75" s="531"/>
      <c r="N75" s="531"/>
      <c r="O75" s="531"/>
      <c r="P75" s="531"/>
      <c r="Q75" s="532"/>
      <c r="R75" s="536"/>
      <c r="S75" s="537"/>
      <c r="T75" s="538"/>
      <c r="U75" s="115"/>
      <c r="V75" s="542"/>
      <c r="W75" s="542"/>
      <c r="X75" s="542"/>
      <c r="Y75" s="542"/>
      <c r="Z75" s="116"/>
      <c r="AA75" s="113"/>
      <c r="AB75" s="114"/>
      <c r="AC75" s="114"/>
      <c r="AD75" s="103"/>
    </row>
    <row r="76" spans="1:30" ht="15.75" customHeight="1" x14ac:dyDescent="0.25">
      <c r="A76" s="533"/>
      <c r="B76" s="534"/>
      <c r="C76" s="534"/>
      <c r="D76" s="534"/>
      <c r="E76" s="534"/>
      <c r="F76" s="534"/>
      <c r="G76" s="534"/>
      <c r="H76" s="534"/>
      <c r="I76" s="534"/>
      <c r="J76" s="534"/>
      <c r="K76" s="534"/>
      <c r="L76" s="534"/>
      <c r="M76" s="534"/>
      <c r="N76" s="534"/>
      <c r="O76" s="534"/>
      <c r="P76" s="534"/>
      <c r="Q76" s="535"/>
      <c r="R76" s="539"/>
      <c r="S76" s="540"/>
      <c r="T76" s="541"/>
      <c r="U76" s="117"/>
      <c r="V76" s="118"/>
      <c r="W76" s="118"/>
      <c r="X76" s="118"/>
      <c r="Y76" s="118"/>
      <c r="Z76" s="119"/>
      <c r="AA76" s="113"/>
      <c r="AB76" s="114"/>
      <c r="AC76" s="114"/>
      <c r="AD76" s="103"/>
    </row>
  </sheetData>
  <mergeCells count="106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2:F12"/>
    <mergeCell ref="G12:L12"/>
    <mergeCell ref="M12:R12"/>
    <mergeCell ref="S12:Y12"/>
    <mergeCell ref="G13:L13"/>
    <mergeCell ref="M13:R13"/>
    <mergeCell ref="S13:Y13"/>
    <mergeCell ref="AE10:AI10"/>
    <mergeCell ref="B11:F11"/>
    <mergeCell ref="G11:L11"/>
    <mergeCell ref="M11:R11"/>
    <mergeCell ref="S11:Y11"/>
    <mergeCell ref="AE11:AI11"/>
    <mergeCell ref="AE15:AJ15"/>
    <mergeCell ref="AE16:AJ16"/>
    <mergeCell ref="B19:H19"/>
    <mergeCell ref="I19:Y19"/>
    <mergeCell ref="B20:H20"/>
    <mergeCell ref="I20:Y20"/>
    <mergeCell ref="AE13:AJ13"/>
    <mergeCell ref="B14:F14"/>
    <mergeCell ref="G14:L14"/>
    <mergeCell ref="M14:R14"/>
    <mergeCell ref="S14:Y14"/>
    <mergeCell ref="AE14:AJ14"/>
    <mergeCell ref="AD51:AD52"/>
    <mergeCell ref="AE51:AE52"/>
    <mergeCell ref="AF51:AF52"/>
    <mergeCell ref="AG51:AG52"/>
    <mergeCell ref="E53:T53"/>
    <mergeCell ref="U53:V54"/>
    <mergeCell ref="W53:X54"/>
    <mergeCell ref="Y53:Z54"/>
    <mergeCell ref="AB53:AC54"/>
    <mergeCell ref="AD53:AD54"/>
    <mergeCell ref="AE53:AE54"/>
    <mergeCell ref="AF53:AF54"/>
    <mergeCell ref="AG53:AG54"/>
    <mergeCell ref="C54:D54"/>
    <mergeCell ref="C55:D55"/>
    <mergeCell ref="U55:V55"/>
    <mergeCell ref="W55:X55"/>
    <mergeCell ref="Y55:Z55"/>
    <mergeCell ref="AB55:AC55"/>
    <mergeCell ref="C58:D58"/>
    <mergeCell ref="U58:V58"/>
    <mergeCell ref="W58:X58"/>
    <mergeCell ref="Y58:Z58"/>
    <mergeCell ref="AB58:AC58"/>
    <mergeCell ref="B60:D60"/>
    <mergeCell ref="C56:D56"/>
    <mergeCell ref="U56:V56"/>
    <mergeCell ref="W56:X56"/>
    <mergeCell ref="Y56:Z56"/>
    <mergeCell ref="AB56:AC56"/>
    <mergeCell ref="C57:D57"/>
    <mergeCell ref="U57:V57"/>
    <mergeCell ref="W57:X57"/>
    <mergeCell ref="Y57:Z57"/>
    <mergeCell ref="AB57:AC57"/>
    <mergeCell ref="B61:D61"/>
    <mergeCell ref="U61:V61"/>
    <mergeCell ref="W61:X61"/>
    <mergeCell ref="Y61:Z61"/>
    <mergeCell ref="AB61:AC61"/>
    <mergeCell ref="B62:D62"/>
    <mergeCell ref="U62:V62"/>
    <mergeCell ref="W62:X62"/>
    <mergeCell ref="Y62:Z62"/>
    <mergeCell ref="AB62:AC62"/>
    <mergeCell ref="U63:V63"/>
    <mergeCell ref="W63:X63"/>
    <mergeCell ref="Y63:Z63"/>
    <mergeCell ref="AD63:AD64"/>
    <mergeCell ref="AE63:AE64"/>
    <mergeCell ref="B64:D64"/>
    <mergeCell ref="U64:V64"/>
    <mergeCell ref="W64:X64"/>
    <mergeCell ref="Y64:Z64"/>
    <mergeCell ref="A73:Q76"/>
    <mergeCell ref="R73:T76"/>
    <mergeCell ref="V74:Y75"/>
    <mergeCell ref="U67:Z67"/>
    <mergeCell ref="A68:Q68"/>
    <mergeCell ref="R68:T68"/>
    <mergeCell ref="U68:Z68"/>
    <mergeCell ref="A69:Q71"/>
    <mergeCell ref="R69:T72"/>
    <mergeCell ref="U69:Z72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A98C4-EE78-4527-96E3-6099C2F37B3F}">
  <sheetPr>
    <pageSetUpPr fitToPage="1"/>
  </sheetPr>
  <dimension ref="A1:AN76"/>
  <sheetViews>
    <sheetView zoomScaleNormal="100" workbookViewId="0">
      <selection activeCell="E62" sqref="E62:X62"/>
    </sheetView>
  </sheetViews>
  <sheetFormatPr baseColWidth="10" defaultColWidth="11.44140625" defaultRowHeight="12.75" customHeight="1" x14ac:dyDescent="0.25"/>
  <cols>
    <col min="1" max="2" width="5.109375" style="28" customWidth="1"/>
    <col min="3" max="27" width="5.109375" style="2" customWidth="1"/>
    <col min="28" max="41" width="11.44140625" style="2" customWidth="1"/>
    <col min="42" max="16384" width="11.44140625" style="2"/>
  </cols>
  <sheetData>
    <row r="1" spans="1:36" ht="12.75" customHeight="1" x14ac:dyDescent="0.25">
      <c r="A1" s="430"/>
      <c r="B1" s="431"/>
      <c r="C1" s="431"/>
      <c r="D1" s="431"/>
      <c r="E1" s="431"/>
      <c r="F1" s="432"/>
      <c r="G1" s="439" t="s">
        <v>0</v>
      </c>
      <c r="H1" s="440"/>
      <c r="I1" s="440"/>
      <c r="J1" s="440"/>
      <c r="K1" s="440"/>
      <c r="L1" s="440"/>
      <c r="M1" s="440"/>
      <c r="N1" s="440"/>
      <c r="O1" s="440"/>
      <c r="P1" s="440"/>
      <c r="Q1" s="440"/>
      <c r="R1" s="440"/>
      <c r="S1" s="440"/>
      <c r="T1" s="441"/>
      <c r="U1" s="405" t="s">
        <v>59</v>
      </c>
      <c r="V1" s="406"/>
      <c r="W1" s="406"/>
      <c r="X1" s="406"/>
      <c r="Y1" s="406"/>
      <c r="Z1" s="407"/>
      <c r="AA1" s="1"/>
    </row>
    <row r="2" spans="1:36" ht="12.75" customHeight="1" x14ac:dyDescent="0.25">
      <c r="A2" s="433"/>
      <c r="B2" s="434"/>
      <c r="C2" s="434"/>
      <c r="D2" s="434"/>
      <c r="E2" s="434"/>
      <c r="F2" s="435"/>
      <c r="G2" s="442" t="s">
        <v>1</v>
      </c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4"/>
      <c r="U2" s="408"/>
      <c r="V2" s="409"/>
      <c r="W2" s="409"/>
      <c r="X2" s="409"/>
      <c r="Y2" s="409"/>
      <c r="Z2" s="410"/>
      <c r="AA2" s="1"/>
    </row>
    <row r="3" spans="1:36" ht="12.75" customHeight="1" x14ac:dyDescent="0.25">
      <c r="A3" s="433"/>
      <c r="B3" s="434"/>
      <c r="C3" s="434"/>
      <c r="D3" s="434"/>
      <c r="E3" s="434"/>
      <c r="F3" s="435"/>
      <c r="G3" s="445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4"/>
      <c r="U3" s="408"/>
      <c r="V3" s="409"/>
      <c r="W3" s="409"/>
      <c r="X3" s="409"/>
      <c r="Y3" s="409"/>
      <c r="Z3" s="410"/>
      <c r="AA3" s="1"/>
    </row>
    <row r="4" spans="1:36" ht="12.75" customHeight="1" x14ac:dyDescent="0.25">
      <c r="A4" s="433"/>
      <c r="B4" s="434"/>
      <c r="C4" s="434"/>
      <c r="D4" s="434"/>
      <c r="E4" s="434"/>
      <c r="F4" s="435"/>
      <c r="G4" s="445"/>
      <c r="H4" s="443"/>
      <c r="I4" s="443"/>
      <c r="J4" s="443"/>
      <c r="K4" s="443"/>
      <c r="L4" s="443"/>
      <c r="M4" s="443"/>
      <c r="N4" s="443"/>
      <c r="O4" s="443"/>
      <c r="P4" s="443"/>
      <c r="Q4" s="443"/>
      <c r="R4" s="443"/>
      <c r="S4" s="443"/>
      <c r="T4" s="444"/>
      <c r="U4" s="408"/>
      <c r="V4" s="409"/>
      <c r="W4" s="409"/>
      <c r="X4" s="409"/>
      <c r="Y4" s="409"/>
      <c r="Z4" s="410"/>
      <c r="AA4" s="1"/>
    </row>
    <row r="5" spans="1:36" ht="12.75" customHeight="1" x14ac:dyDescent="0.25">
      <c r="A5" s="433"/>
      <c r="B5" s="434"/>
      <c r="C5" s="434"/>
      <c r="D5" s="434"/>
      <c r="E5" s="434"/>
      <c r="F5" s="435"/>
      <c r="G5" s="445" t="s">
        <v>2</v>
      </c>
      <c r="H5" s="443"/>
      <c r="I5" s="3" t="s">
        <v>3</v>
      </c>
      <c r="J5" s="446">
        <v>1</v>
      </c>
      <c r="K5" s="447"/>
      <c r="L5" s="448" t="s">
        <v>60</v>
      </c>
      <c r="M5" s="446"/>
      <c r="N5" s="446"/>
      <c r="O5" s="447"/>
      <c r="P5" s="449">
        <v>45742</v>
      </c>
      <c r="Q5" s="450"/>
      <c r="R5" s="450"/>
      <c r="S5" s="450"/>
      <c r="T5" s="451"/>
      <c r="U5" s="408"/>
      <c r="V5" s="409"/>
      <c r="W5" s="409"/>
      <c r="X5" s="409"/>
      <c r="Y5" s="409"/>
      <c r="Z5" s="410"/>
      <c r="AA5" s="1"/>
    </row>
    <row r="6" spans="1:36" ht="12.75" customHeight="1" x14ac:dyDescent="0.25">
      <c r="A6" s="436"/>
      <c r="B6" s="437"/>
      <c r="C6" s="437"/>
      <c r="D6" s="437"/>
      <c r="E6" s="437"/>
      <c r="F6" s="438"/>
      <c r="G6" s="4"/>
      <c r="H6" s="5"/>
      <c r="I6" s="5"/>
      <c r="J6" s="423" t="s">
        <v>4</v>
      </c>
      <c r="K6" s="423"/>
      <c r="L6" s="423" t="s">
        <v>5</v>
      </c>
      <c r="M6" s="423"/>
      <c r="N6" s="423"/>
      <c r="O6" s="423"/>
      <c r="P6" s="423" t="s">
        <v>6</v>
      </c>
      <c r="Q6" s="423"/>
      <c r="R6" s="423"/>
      <c r="S6" s="423"/>
      <c r="T6" s="424"/>
      <c r="U6" s="411"/>
      <c r="V6" s="412"/>
      <c r="W6" s="412"/>
      <c r="X6" s="412"/>
      <c r="Y6" s="412"/>
      <c r="Z6" s="413"/>
      <c r="AA6" s="1"/>
    </row>
    <row r="7" spans="1:36" ht="37.5" customHeight="1" x14ac:dyDescent="0.25">
      <c r="A7" s="425" t="s">
        <v>7</v>
      </c>
      <c r="B7" s="425"/>
      <c r="C7" s="425"/>
      <c r="D7" s="425"/>
      <c r="E7" s="425"/>
      <c r="F7" s="425"/>
      <c r="G7" s="426" t="s">
        <v>8</v>
      </c>
      <c r="H7" s="426"/>
      <c r="I7" s="426"/>
      <c r="J7" s="426"/>
      <c r="K7" s="426"/>
      <c r="L7" s="426"/>
      <c r="M7" s="426"/>
      <c r="N7" s="426"/>
      <c r="O7" s="426"/>
      <c r="P7" s="426"/>
      <c r="Q7" s="426"/>
      <c r="R7" s="426"/>
      <c r="S7" s="426"/>
      <c r="T7" s="426"/>
      <c r="U7" s="426"/>
      <c r="V7" s="426"/>
      <c r="W7" s="426"/>
      <c r="X7" s="426"/>
      <c r="Y7" s="426"/>
      <c r="Z7" s="426"/>
      <c r="AA7" s="6"/>
      <c r="AE7" s="7"/>
      <c r="AI7" s="7"/>
    </row>
    <row r="8" spans="1:36" ht="15.9" customHeight="1" x14ac:dyDescent="0.25">
      <c r="A8" s="8" t="s">
        <v>9</v>
      </c>
      <c r="B8" s="9" t="s">
        <v>10</v>
      </c>
      <c r="C8" s="10"/>
      <c r="D8" s="11"/>
      <c r="E8" s="11"/>
      <c r="F8" s="11"/>
      <c r="G8" s="11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2"/>
      <c r="AA8" s="13"/>
      <c r="AB8" s="14"/>
      <c r="AC8" s="14"/>
      <c r="AD8" s="14"/>
      <c r="AE8" s="7"/>
      <c r="AF8" s="14"/>
      <c r="AI8" s="7"/>
    </row>
    <row r="9" spans="1:36" ht="15.9" customHeight="1" x14ac:dyDescent="0.25">
      <c r="A9" s="15"/>
      <c r="B9" s="13"/>
      <c r="C9" s="13"/>
      <c r="D9" s="16"/>
      <c r="E9" s="16"/>
      <c r="F9" s="16"/>
      <c r="G9" s="16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7"/>
      <c r="AA9" s="13"/>
      <c r="AB9" s="14"/>
      <c r="AC9" s="14"/>
      <c r="AD9" s="14"/>
      <c r="AE9" s="7"/>
      <c r="AF9" s="14"/>
      <c r="AI9" s="7"/>
    </row>
    <row r="10" spans="1:36" ht="15.9" customHeight="1" x14ac:dyDescent="0.25">
      <c r="A10" s="15"/>
      <c r="B10" s="385" t="s">
        <v>11</v>
      </c>
      <c r="C10" s="385"/>
      <c r="D10" s="385"/>
      <c r="E10" s="385"/>
      <c r="F10" s="385"/>
      <c r="G10" s="384" t="s">
        <v>55</v>
      </c>
      <c r="H10" s="384"/>
      <c r="I10" s="384"/>
      <c r="J10" s="384"/>
      <c r="K10" s="384"/>
      <c r="L10" s="384"/>
      <c r="M10" s="385" t="s">
        <v>12</v>
      </c>
      <c r="N10" s="385"/>
      <c r="O10" s="385"/>
      <c r="P10" s="385"/>
      <c r="Q10" s="385"/>
      <c r="R10" s="385"/>
      <c r="S10" s="388" t="s">
        <v>13</v>
      </c>
      <c r="T10" s="388"/>
      <c r="U10" s="388"/>
      <c r="V10" s="388"/>
      <c r="W10" s="388"/>
      <c r="X10" s="388"/>
      <c r="Y10" s="388"/>
      <c r="Z10" s="18"/>
      <c r="AA10" s="19"/>
      <c r="AB10" s="14"/>
      <c r="AC10" s="14"/>
      <c r="AD10" s="14"/>
      <c r="AE10" s="385"/>
      <c r="AF10" s="385"/>
      <c r="AG10" s="385"/>
      <c r="AH10" s="385"/>
      <c r="AI10" s="385"/>
    </row>
    <row r="11" spans="1:36" ht="15.9" customHeight="1" x14ac:dyDescent="0.25">
      <c r="A11" s="15"/>
      <c r="B11" s="385" t="s">
        <v>14</v>
      </c>
      <c r="C11" s="385"/>
      <c r="D11" s="385"/>
      <c r="E11" s="385"/>
      <c r="F11" s="385"/>
      <c r="G11" s="384">
        <v>45741</v>
      </c>
      <c r="H11" s="384"/>
      <c r="I11" s="384"/>
      <c r="J11" s="384"/>
      <c r="K11" s="384"/>
      <c r="L11" s="384"/>
      <c r="M11" s="385" t="s">
        <v>15</v>
      </c>
      <c r="N11" s="385"/>
      <c r="O11" s="385"/>
      <c r="P11" s="385"/>
      <c r="Q11" s="385"/>
      <c r="R11" s="385"/>
      <c r="S11" s="562" t="s">
        <v>63</v>
      </c>
      <c r="T11" s="562"/>
      <c r="U11" s="562"/>
      <c r="V11" s="562"/>
      <c r="W11" s="562"/>
      <c r="X11" s="562"/>
      <c r="Y11" s="562"/>
      <c r="Z11" s="18"/>
      <c r="AA11" s="19"/>
      <c r="AB11" s="14"/>
      <c r="AC11" s="14"/>
      <c r="AD11" s="14"/>
      <c r="AE11" s="385"/>
      <c r="AF11" s="385"/>
      <c r="AG11" s="385"/>
      <c r="AH11" s="385"/>
      <c r="AI11" s="385"/>
    </row>
    <row r="12" spans="1:36" ht="15.9" customHeight="1" x14ac:dyDescent="0.25">
      <c r="A12" s="15"/>
      <c r="B12" s="385" t="s">
        <v>16</v>
      </c>
      <c r="C12" s="385"/>
      <c r="D12" s="385"/>
      <c r="E12" s="385"/>
      <c r="F12" s="385"/>
      <c r="G12" s="386">
        <v>45722</v>
      </c>
      <c r="H12" s="386"/>
      <c r="I12" s="386"/>
      <c r="J12" s="386"/>
      <c r="K12" s="386"/>
      <c r="L12" s="386"/>
      <c r="M12" s="387" t="s">
        <v>17</v>
      </c>
      <c r="N12" s="387"/>
      <c r="O12" s="387"/>
      <c r="P12" s="387"/>
      <c r="Q12" s="387"/>
      <c r="R12" s="387"/>
      <c r="S12" s="388">
        <v>61</v>
      </c>
      <c r="T12" s="388"/>
      <c r="U12" s="388"/>
      <c r="V12" s="388"/>
      <c r="W12" s="388"/>
      <c r="X12" s="388"/>
      <c r="Y12" s="388"/>
      <c r="Z12" s="18"/>
      <c r="AA12" s="19"/>
      <c r="AB12" s="14"/>
      <c r="AC12" s="14"/>
      <c r="AD12" s="14"/>
      <c r="AE12" s="7"/>
      <c r="AF12" s="14"/>
      <c r="AI12" s="7"/>
    </row>
    <row r="13" spans="1:36" ht="15.9" customHeight="1" x14ac:dyDescent="0.25">
      <c r="A13" s="15"/>
      <c r="B13" s="20" t="s">
        <v>18</v>
      </c>
      <c r="C13" s="20"/>
      <c r="D13" s="20"/>
      <c r="E13" s="20"/>
      <c r="F13" s="20"/>
      <c r="G13" s="386" t="s">
        <v>64</v>
      </c>
      <c r="H13" s="386"/>
      <c r="I13" s="386"/>
      <c r="J13" s="386"/>
      <c r="K13" s="386"/>
      <c r="L13" s="386"/>
      <c r="M13" s="385" t="s">
        <v>19</v>
      </c>
      <c r="N13" s="385"/>
      <c r="O13" s="385"/>
      <c r="P13" s="385"/>
      <c r="Q13" s="385"/>
      <c r="R13" s="385"/>
      <c r="S13" s="386" t="s">
        <v>67</v>
      </c>
      <c r="T13" s="386"/>
      <c r="U13" s="386"/>
      <c r="V13" s="386"/>
      <c r="W13" s="386"/>
      <c r="X13" s="386"/>
      <c r="Y13" s="386"/>
      <c r="Z13" s="18"/>
      <c r="AA13" s="19"/>
      <c r="AB13" s="14"/>
      <c r="AC13" s="14"/>
      <c r="AD13" s="14"/>
      <c r="AE13" s="385"/>
      <c r="AF13" s="385"/>
      <c r="AG13" s="385"/>
      <c r="AH13" s="385"/>
      <c r="AI13" s="385"/>
      <c r="AJ13" s="385"/>
    </row>
    <row r="14" spans="1:36" ht="15.9" customHeight="1" x14ac:dyDescent="0.25">
      <c r="A14" s="21"/>
      <c r="B14" s="385" t="s">
        <v>20</v>
      </c>
      <c r="C14" s="385"/>
      <c r="D14" s="385"/>
      <c r="E14" s="385"/>
      <c r="F14" s="385"/>
      <c r="G14" s="386" t="s">
        <v>65</v>
      </c>
      <c r="H14" s="386"/>
      <c r="I14" s="386"/>
      <c r="J14" s="386"/>
      <c r="K14" s="386"/>
      <c r="L14" s="386"/>
      <c r="M14" s="388" t="s">
        <v>21</v>
      </c>
      <c r="N14" s="388"/>
      <c r="O14" s="388"/>
      <c r="P14" s="388"/>
      <c r="Q14" s="388"/>
      <c r="R14" s="388"/>
      <c r="S14" s="388" t="s">
        <v>22</v>
      </c>
      <c r="T14" s="388"/>
      <c r="U14" s="388"/>
      <c r="V14" s="388"/>
      <c r="W14" s="388"/>
      <c r="X14" s="388"/>
      <c r="Y14" s="388"/>
      <c r="Z14" s="22"/>
      <c r="AA14" s="14"/>
      <c r="AB14" s="14"/>
      <c r="AC14" s="14"/>
      <c r="AD14" s="14"/>
      <c r="AE14" s="385"/>
      <c r="AF14" s="385"/>
      <c r="AG14" s="385"/>
      <c r="AH14" s="385"/>
      <c r="AI14" s="385"/>
      <c r="AJ14" s="385"/>
    </row>
    <row r="15" spans="1:36" ht="6" customHeight="1" x14ac:dyDescent="0.25">
      <c r="A15" s="23"/>
      <c r="B15" s="24"/>
      <c r="C15" s="25"/>
      <c r="D15" s="25"/>
      <c r="E15" s="25"/>
      <c r="F15" s="24"/>
      <c r="G15" s="24"/>
      <c r="H15" s="24"/>
      <c r="I15" s="24"/>
      <c r="J15" s="24"/>
      <c r="K15" s="24"/>
      <c r="L15" s="24"/>
      <c r="M15" s="24"/>
      <c r="N15" s="25"/>
      <c r="O15" s="25"/>
      <c r="P15" s="25"/>
      <c r="Q15" s="25"/>
      <c r="R15" s="25"/>
      <c r="S15" s="25"/>
      <c r="T15" s="26"/>
      <c r="U15" s="26"/>
      <c r="V15" s="25"/>
      <c r="W15" s="25"/>
      <c r="X15" s="25"/>
      <c r="Y15" s="25"/>
      <c r="Z15" s="27"/>
      <c r="AE15" s="385"/>
      <c r="AF15" s="385"/>
      <c r="AG15" s="385"/>
      <c r="AH15" s="385"/>
      <c r="AI15" s="385"/>
      <c r="AJ15" s="385"/>
    </row>
    <row r="16" spans="1:36" ht="6" customHeight="1" x14ac:dyDescent="0.25">
      <c r="F16" s="28"/>
      <c r="G16" s="28"/>
      <c r="H16" s="28"/>
      <c r="I16" s="28"/>
      <c r="J16" s="28"/>
      <c r="K16" s="28"/>
      <c r="L16" s="28"/>
      <c r="M16" s="28"/>
      <c r="T16" s="29"/>
      <c r="U16" s="29"/>
      <c r="AE16" s="385"/>
      <c r="AF16" s="385"/>
      <c r="AG16" s="385"/>
      <c r="AH16" s="385"/>
      <c r="AI16" s="385"/>
      <c r="AJ16" s="385"/>
    </row>
    <row r="17" spans="1:40" ht="15.9" customHeight="1" x14ac:dyDescent="0.25">
      <c r="A17" s="8" t="s">
        <v>23</v>
      </c>
      <c r="B17" s="9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2"/>
      <c r="AA17" s="13"/>
      <c r="AE17" s="30"/>
      <c r="AI17" s="30"/>
    </row>
    <row r="18" spans="1:40" ht="8.25" customHeight="1" x14ac:dyDescent="0.25">
      <c r="A18" s="15"/>
      <c r="B18" s="31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7"/>
      <c r="AA18" s="13"/>
      <c r="AE18" s="30"/>
      <c r="AI18" s="30"/>
    </row>
    <row r="19" spans="1:40" ht="15.9" customHeight="1" x14ac:dyDescent="0.25">
      <c r="A19" s="15"/>
      <c r="B19" s="385" t="s">
        <v>25</v>
      </c>
      <c r="C19" s="385"/>
      <c r="D19" s="385"/>
      <c r="E19" s="385"/>
      <c r="F19" s="385"/>
      <c r="G19" s="385"/>
      <c r="H19" s="385"/>
      <c r="I19" s="453"/>
      <c r="J19" s="453"/>
      <c r="K19" s="453"/>
      <c r="L19" s="453"/>
      <c r="M19" s="453"/>
      <c r="N19" s="453"/>
      <c r="O19" s="453"/>
      <c r="P19" s="453"/>
      <c r="Q19" s="453"/>
      <c r="R19" s="453"/>
      <c r="S19" s="453"/>
      <c r="T19" s="453"/>
      <c r="U19" s="453"/>
      <c r="V19" s="453"/>
      <c r="W19" s="453"/>
      <c r="X19" s="453"/>
      <c r="Y19" s="453"/>
      <c r="Z19" s="18"/>
      <c r="AA19" s="19"/>
      <c r="AE19" s="30"/>
      <c r="AI19" s="30"/>
    </row>
    <row r="20" spans="1:40" ht="15.9" customHeight="1" x14ac:dyDescent="0.25">
      <c r="A20" s="15"/>
      <c r="B20" s="385" t="s">
        <v>26</v>
      </c>
      <c r="C20" s="385"/>
      <c r="D20" s="385"/>
      <c r="E20" s="385"/>
      <c r="F20" s="385"/>
      <c r="G20" s="385"/>
      <c r="H20" s="385"/>
      <c r="I20" s="454"/>
      <c r="J20" s="454"/>
      <c r="K20" s="454"/>
      <c r="L20" s="454"/>
      <c r="M20" s="454"/>
      <c r="N20" s="454"/>
      <c r="O20" s="454"/>
      <c r="P20" s="454"/>
      <c r="Q20" s="454"/>
      <c r="R20" s="454"/>
      <c r="S20" s="454"/>
      <c r="T20" s="454"/>
      <c r="U20" s="454"/>
      <c r="V20" s="454"/>
      <c r="W20" s="454"/>
      <c r="X20" s="454"/>
      <c r="Y20" s="454"/>
      <c r="Z20" s="18"/>
      <c r="AA20" s="19"/>
      <c r="AE20" s="30"/>
      <c r="AI20" s="30"/>
    </row>
    <row r="21" spans="1:40" ht="7.5" customHeight="1" x14ac:dyDescent="0.2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32"/>
      <c r="AA21" s="13"/>
      <c r="AE21" s="30"/>
      <c r="AI21" s="30"/>
    </row>
    <row r="22" spans="1:40" ht="5.25" customHeight="1" x14ac:dyDescent="0.25">
      <c r="F22" s="28"/>
      <c r="G22" s="28"/>
      <c r="H22" s="28"/>
      <c r="I22" s="28"/>
      <c r="J22" s="28"/>
      <c r="K22" s="28"/>
      <c r="L22" s="28"/>
      <c r="M22" s="28"/>
      <c r="T22" s="29"/>
      <c r="U22" s="29"/>
      <c r="AE22" s="30"/>
      <c r="AI22" s="30"/>
      <c r="AM22" s="14"/>
      <c r="AN22" s="14"/>
    </row>
    <row r="23" spans="1:40" ht="15.9" customHeight="1" x14ac:dyDescent="0.25">
      <c r="A23" s="33" t="s">
        <v>23</v>
      </c>
      <c r="B23" s="34" t="s">
        <v>27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39"/>
      <c r="AN23" s="40"/>
    </row>
    <row r="24" spans="1:40" ht="9" customHeight="1" x14ac:dyDescent="0.25">
      <c r="A24" s="21"/>
      <c r="Z24" s="41"/>
    </row>
    <row r="25" spans="1:40" ht="9" customHeight="1" x14ac:dyDescent="0.25">
      <c r="A25" s="21"/>
      <c r="Z25" s="41"/>
    </row>
    <row r="26" spans="1:40" ht="9" customHeight="1" x14ac:dyDescent="0.25">
      <c r="A26" s="21"/>
      <c r="Z26" s="41"/>
    </row>
    <row r="27" spans="1:40" ht="12.75" customHeight="1" x14ac:dyDescent="0.25">
      <c r="A27" s="21"/>
      <c r="Z27" s="41"/>
    </row>
    <row r="28" spans="1:40" ht="12.75" customHeight="1" x14ac:dyDescent="0.25">
      <c r="A28" s="21"/>
      <c r="Z28" s="41"/>
    </row>
    <row r="29" spans="1:40" ht="12.75" customHeight="1" x14ac:dyDescent="0.25">
      <c r="A29" s="21"/>
      <c r="Z29" s="41"/>
    </row>
    <row r="30" spans="1:40" ht="12.75" customHeight="1" x14ac:dyDescent="0.25">
      <c r="A30" s="21"/>
      <c r="Z30" s="41"/>
    </row>
    <row r="31" spans="1:40" ht="12.75" customHeight="1" x14ac:dyDescent="0.25">
      <c r="A31" s="21"/>
      <c r="Z31" s="41"/>
    </row>
    <row r="32" spans="1:40" ht="12.75" customHeight="1" x14ac:dyDescent="0.25">
      <c r="A32" s="21"/>
      <c r="Z32" s="41"/>
    </row>
    <row r="33" spans="1:26" ht="12.75" customHeight="1" x14ac:dyDescent="0.25">
      <c r="A33" s="21"/>
      <c r="Z33" s="41"/>
    </row>
    <row r="34" spans="1:26" ht="12.75" customHeight="1" x14ac:dyDescent="0.25">
      <c r="A34" s="21"/>
      <c r="Z34" s="41"/>
    </row>
    <row r="35" spans="1:26" ht="12.75" customHeight="1" x14ac:dyDescent="0.25">
      <c r="A35" s="21"/>
      <c r="Z35" s="41"/>
    </row>
    <row r="36" spans="1:26" ht="12.75" customHeight="1" x14ac:dyDescent="0.25">
      <c r="A36" s="21"/>
      <c r="Z36" s="41"/>
    </row>
    <row r="37" spans="1:26" ht="12.75" customHeight="1" x14ac:dyDescent="0.25">
      <c r="A37" s="21"/>
      <c r="Z37" s="41"/>
    </row>
    <row r="38" spans="1:26" ht="12.75" customHeight="1" x14ac:dyDescent="0.25">
      <c r="A38" s="21"/>
      <c r="Z38" s="41"/>
    </row>
    <row r="39" spans="1:26" ht="12.75" customHeight="1" x14ac:dyDescent="0.25">
      <c r="A39" s="21"/>
      <c r="Z39" s="41"/>
    </row>
    <row r="40" spans="1:26" ht="12.75" customHeight="1" x14ac:dyDescent="0.25">
      <c r="A40" s="21"/>
      <c r="Z40" s="41"/>
    </row>
    <row r="41" spans="1:26" ht="12.75" customHeight="1" x14ac:dyDescent="0.25">
      <c r="A41" s="21"/>
      <c r="Z41" s="41"/>
    </row>
    <row r="42" spans="1:26" ht="12.75" customHeight="1" x14ac:dyDescent="0.25">
      <c r="A42" s="21"/>
      <c r="Z42" s="41"/>
    </row>
    <row r="43" spans="1:26" ht="12.75" customHeight="1" x14ac:dyDescent="0.25">
      <c r="A43" s="21"/>
      <c r="Z43" s="41"/>
    </row>
    <row r="44" spans="1:26" ht="12.75" customHeight="1" x14ac:dyDescent="0.25">
      <c r="A44" s="21"/>
      <c r="Z44" s="41"/>
    </row>
    <row r="45" spans="1:26" ht="12.75" customHeight="1" x14ac:dyDescent="0.25">
      <c r="A45" s="21"/>
      <c r="Z45" s="41"/>
    </row>
    <row r="46" spans="1:26" ht="12.75" customHeight="1" x14ac:dyDescent="0.25">
      <c r="A46" s="21"/>
      <c r="Z46" s="41"/>
    </row>
    <row r="47" spans="1:26" ht="12.75" customHeight="1" x14ac:dyDescent="0.25">
      <c r="A47" s="21"/>
      <c r="Z47" s="41"/>
    </row>
    <row r="48" spans="1:26" ht="12.75" customHeight="1" x14ac:dyDescent="0.25">
      <c r="A48" s="21"/>
      <c r="Z48" s="41"/>
    </row>
    <row r="49" spans="1:34" ht="12.75" customHeight="1" x14ac:dyDescent="0.25">
      <c r="A49" s="21"/>
      <c r="Z49" s="41"/>
    </row>
    <row r="50" spans="1:34" ht="9.75" customHeight="1" thickBot="1" x14ac:dyDescent="0.3">
      <c r="A50" s="21"/>
      <c r="Z50" s="41"/>
    </row>
    <row r="51" spans="1:34" ht="9.75" customHeight="1" x14ac:dyDescent="0.25">
      <c r="A51" s="21"/>
      <c r="Z51" s="41"/>
      <c r="AD51" s="378" t="s">
        <v>28</v>
      </c>
      <c r="AE51" s="380">
        <v>2.6789999999999998</v>
      </c>
      <c r="AF51" s="455"/>
      <c r="AG51" s="457"/>
      <c r="AH51" s="42"/>
    </row>
    <row r="52" spans="1:34" ht="12.75" customHeight="1" thickBot="1" x14ac:dyDescent="0.3">
      <c r="A52" s="21"/>
      <c r="Z52" s="43"/>
      <c r="AD52" s="379"/>
      <c r="AE52" s="381"/>
      <c r="AF52" s="456"/>
      <c r="AG52" s="457"/>
    </row>
    <row r="53" spans="1:34" ht="18.75" customHeight="1" thickBot="1" x14ac:dyDescent="0.3">
      <c r="A53" s="21"/>
      <c r="E53" s="458" t="s">
        <v>29</v>
      </c>
      <c r="F53" s="459"/>
      <c r="G53" s="459"/>
      <c r="H53" s="459"/>
      <c r="I53" s="459"/>
      <c r="J53" s="459"/>
      <c r="K53" s="459"/>
      <c r="L53" s="459"/>
      <c r="M53" s="459"/>
      <c r="N53" s="459"/>
      <c r="O53" s="459"/>
      <c r="P53" s="459"/>
      <c r="Q53" s="459"/>
      <c r="R53" s="459"/>
      <c r="S53" s="459"/>
      <c r="T53" s="459"/>
      <c r="U53" s="460" t="s">
        <v>30</v>
      </c>
      <c r="V53" s="461"/>
      <c r="W53" s="464" t="s">
        <v>31</v>
      </c>
      <c r="X53" s="461"/>
      <c r="Y53" s="466" t="s">
        <v>32</v>
      </c>
      <c r="Z53" s="467"/>
      <c r="AA53" s="44"/>
      <c r="AB53" s="369" t="s">
        <v>33</v>
      </c>
      <c r="AC53" s="370"/>
      <c r="AD53" s="373" t="s">
        <v>34</v>
      </c>
      <c r="AE53" s="375" t="s">
        <v>35</v>
      </c>
      <c r="AF53" s="455"/>
      <c r="AG53" s="455"/>
      <c r="AH53" s="45"/>
    </row>
    <row r="54" spans="1:34" ht="24.9" customHeight="1" thickBot="1" x14ac:dyDescent="0.3">
      <c r="A54" s="46"/>
      <c r="B54" s="47" t="s">
        <v>36</v>
      </c>
      <c r="C54" s="471" t="s">
        <v>37</v>
      </c>
      <c r="D54" s="472"/>
      <c r="E54" s="48">
        <v>6.3E-2</v>
      </c>
      <c r="F54" s="48">
        <v>0.125</v>
      </c>
      <c r="G54" s="49">
        <v>0.25</v>
      </c>
      <c r="H54" s="49">
        <v>0.5</v>
      </c>
      <c r="I54" s="49">
        <v>1</v>
      </c>
      <c r="J54" s="49">
        <v>2</v>
      </c>
      <c r="K54" s="49">
        <v>4</v>
      </c>
      <c r="L54" s="49">
        <v>6.3</v>
      </c>
      <c r="M54" s="49">
        <v>8</v>
      </c>
      <c r="N54" s="49">
        <v>10</v>
      </c>
      <c r="O54" s="49">
        <v>12.5</v>
      </c>
      <c r="P54" s="49">
        <v>14</v>
      </c>
      <c r="Q54" s="50">
        <v>16</v>
      </c>
      <c r="R54" s="50">
        <v>20</v>
      </c>
      <c r="S54" s="49"/>
      <c r="T54" s="50"/>
      <c r="U54" s="462"/>
      <c r="V54" s="463"/>
      <c r="W54" s="465"/>
      <c r="X54" s="463"/>
      <c r="Y54" s="468"/>
      <c r="Z54" s="469"/>
      <c r="AA54" s="44"/>
      <c r="AB54" s="371"/>
      <c r="AC54" s="372"/>
      <c r="AD54" s="374"/>
      <c r="AE54" s="376"/>
      <c r="AF54" s="470"/>
      <c r="AG54" s="455"/>
    </row>
    <row r="55" spans="1:34" ht="24.9" customHeight="1" x14ac:dyDescent="0.25">
      <c r="A55" s="46"/>
      <c r="B55" s="51">
        <v>1</v>
      </c>
      <c r="C55" s="340"/>
      <c r="D55" s="341"/>
      <c r="E55" s="125">
        <v>8.5</v>
      </c>
      <c r="F55" s="126">
        <v>11.2</v>
      </c>
      <c r="G55" s="127">
        <v>15.2</v>
      </c>
      <c r="H55" s="127">
        <v>20</v>
      </c>
      <c r="I55" s="127">
        <v>26.7</v>
      </c>
      <c r="J55" s="127">
        <v>38.1</v>
      </c>
      <c r="K55" s="127">
        <v>58.4</v>
      </c>
      <c r="L55" s="127">
        <v>93.4</v>
      </c>
      <c r="M55" s="127">
        <v>99.2</v>
      </c>
      <c r="N55" s="127">
        <v>100</v>
      </c>
      <c r="O55" s="127"/>
      <c r="P55" s="127"/>
      <c r="Q55" s="127"/>
      <c r="R55" s="127"/>
      <c r="S55" s="128"/>
      <c r="T55" s="128"/>
      <c r="U55" s="342"/>
      <c r="V55" s="343"/>
      <c r="W55" s="344">
        <v>6.03</v>
      </c>
      <c r="X55" s="345"/>
      <c r="Y55" s="479">
        <f>IF(W55&lt;&gt;0,AE55,"")</f>
        <v>3.8311316668244495</v>
      </c>
      <c r="Z55" s="480"/>
      <c r="AA55" s="52"/>
      <c r="AB55" s="326">
        <f>(100*W55)/(100-W55)</f>
        <v>6.4169415770990739</v>
      </c>
      <c r="AC55" s="327"/>
      <c r="AD55" s="53">
        <f>(0.25*(100-O55)+2.3*(O55-H55)+12*(H55-E55)+150*(E55))/100</f>
        <v>13.92</v>
      </c>
      <c r="AE55" s="54">
        <f>(AB55*$AE$51)/(2.65*(AD55)^(1/5))</f>
        <v>3.8311316668244495</v>
      </c>
      <c r="AF55" s="28"/>
      <c r="AG55" s="55"/>
    </row>
    <row r="56" spans="1:34" ht="24.9" customHeight="1" x14ac:dyDescent="0.25">
      <c r="A56" s="46"/>
      <c r="B56" s="56">
        <v>2</v>
      </c>
      <c r="C56" s="571"/>
      <c r="D56" s="572"/>
      <c r="E56" s="120"/>
      <c r="F56" s="121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4"/>
      <c r="R56" s="122"/>
      <c r="S56" s="123"/>
      <c r="T56" s="123"/>
      <c r="U56" s="349"/>
      <c r="V56" s="350"/>
      <c r="W56" s="351"/>
      <c r="X56" s="352"/>
      <c r="Y56" s="498" t="str">
        <f>IF(W56&lt;&gt;0,AE56,"")</f>
        <v/>
      </c>
      <c r="Z56" s="499"/>
      <c r="AA56" s="52"/>
      <c r="AB56" s="326">
        <f>(100*W56)/(100-W56)</f>
        <v>0</v>
      </c>
      <c r="AC56" s="327"/>
      <c r="AD56" s="53">
        <f t="shared" ref="AD56:AD62" si="0">(0.25*(100-O56)+2.3*(O56-H56)+12*(H56-E56)+150*(E56))/100</f>
        <v>0.25</v>
      </c>
      <c r="AE56" s="54">
        <f t="shared" ref="AE56:AE62" si="1">(AB56*$AE$51)/(2.65*(AD56)^(1/5))</f>
        <v>0</v>
      </c>
      <c r="AF56" s="28"/>
      <c r="AG56" s="55"/>
    </row>
    <row r="57" spans="1:34" ht="24.9" customHeight="1" x14ac:dyDescent="0.25">
      <c r="A57" s="46"/>
      <c r="B57" s="56">
        <v>3</v>
      </c>
      <c r="C57" s="500"/>
      <c r="D57" s="501"/>
      <c r="E57" s="57"/>
      <c r="F57" s="58"/>
      <c r="G57" s="58"/>
      <c r="H57" s="59"/>
      <c r="I57" s="59"/>
      <c r="J57" s="59"/>
      <c r="K57" s="59"/>
      <c r="L57" s="59"/>
      <c r="M57" s="59"/>
      <c r="N57" s="59"/>
      <c r="O57" s="60"/>
      <c r="P57" s="59"/>
      <c r="Q57" s="60"/>
      <c r="R57" s="59"/>
      <c r="S57" s="59"/>
      <c r="T57" s="61"/>
      <c r="U57" s="502"/>
      <c r="V57" s="503"/>
      <c r="W57" s="504"/>
      <c r="X57" s="505"/>
      <c r="Y57" s="498" t="str">
        <f t="shared" ref="Y57:Y58" si="2">IF(W57&lt;&gt;0,AE57,"")</f>
        <v/>
      </c>
      <c r="Z57" s="499"/>
      <c r="AA57" s="52"/>
      <c r="AB57" s="326">
        <f>(100*W57)/(100-W57)</f>
        <v>0</v>
      </c>
      <c r="AC57" s="327"/>
      <c r="AD57" s="53">
        <f t="shared" si="0"/>
        <v>0.25</v>
      </c>
      <c r="AE57" s="54">
        <f t="shared" si="1"/>
        <v>0</v>
      </c>
      <c r="AF57" s="28"/>
      <c r="AG57" s="55"/>
    </row>
    <row r="58" spans="1:34" ht="24.9" customHeight="1" thickBot="1" x14ac:dyDescent="0.3">
      <c r="A58" s="46"/>
      <c r="B58" s="62">
        <v>4</v>
      </c>
      <c r="C58" s="481"/>
      <c r="D58" s="482"/>
      <c r="E58" s="63"/>
      <c r="F58" s="64"/>
      <c r="G58" s="64"/>
      <c r="H58" s="65"/>
      <c r="I58" s="65"/>
      <c r="J58" s="65"/>
      <c r="K58" s="65"/>
      <c r="L58" s="65"/>
      <c r="M58" s="65"/>
      <c r="N58" s="65"/>
      <c r="O58" s="66"/>
      <c r="P58" s="65"/>
      <c r="Q58" s="66"/>
      <c r="R58" s="65"/>
      <c r="S58" s="65"/>
      <c r="T58" s="67"/>
      <c r="U58" s="483"/>
      <c r="V58" s="484"/>
      <c r="W58" s="485"/>
      <c r="X58" s="486"/>
      <c r="Y58" s="487" t="str">
        <f t="shared" si="2"/>
        <v/>
      </c>
      <c r="Z58" s="488"/>
      <c r="AA58" s="52"/>
      <c r="AB58" s="326">
        <f>(100*W58)/(100-W58)</f>
        <v>0</v>
      </c>
      <c r="AC58" s="327"/>
      <c r="AD58" s="53">
        <f t="shared" si="0"/>
        <v>0.25</v>
      </c>
      <c r="AE58" s="54">
        <f t="shared" si="1"/>
        <v>0</v>
      </c>
      <c r="AF58" s="28"/>
      <c r="AG58" s="55"/>
    </row>
    <row r="59" spans="1:34" ht="10.5" customHeight="1" thickBot="1" x14ac:dyDescent="0.3">
      <c r="A59" s="46"/>
      <c r="B59" s="2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9"/>
      <c r="P59" s="68"/>
      <c r="Q59" s="69"/>
      <c r="R59" s="68"/>
      <c r="S59" s="68"/>
      <c r="T59" s="68"/>
      <c r="U59" s="68"/>
      <c r="V59" s="68"/>
      <c r="W59" s="70"/>
      <c r="Z59" s="71"/>
      <c r="AB59" s="72"/>
      <c r="AC59" s="73"/>
      <c r="AD59" s="53"/>
      <c r="AE59" s="54"/>
      <c r="AF59" s="28"/>
      <c r="AG59" s="55"/>
    </row>
    <row r="60" spans="1:34" ht="24.75" hidden="1" customHeight="1" x14ac:dyDescent="0.25">
      <c r="A60" s="46"/>
      <c r="B60" s="489" t="s">
        <v>38</v>
      </c>
      <c r="C60" s="490"/>
      <c r="D60" s="491"/>
      <c r="E60" s="74"/>
      <c r="F60" s="74"/>
      <c r="G60" s="74"/>
      <c r="H60" s="74"/>
      <c r="I60" s="74"/>
      <c r="J60" s="74"/>
      <c r="K60" s="74"/>
      <c r="L60" s="74"/>
      <c r="M60" s="74">
        <v>10</v>
      </c>
      <c r="N60" s="74">
        <v>10</v>
      </c>
      <c r="O60" s="75"/>
      <c r="P60" s="74"/>
      <c r="Q60" s="75">
        <v>50</v>
      </c>
      <c r="R60" s="74"/>
      <c r="S60" s="74">
        <v>70</v>
      </c>
      <c r="T60" s="74"/>
      <c r="U60" s="74"/>
      <c r="V60" s="74"/>
      <c r="W60" s="74"/>
      <c r="X60" s="76"/>
      <c r="Y60" s="77">
        <v>4.5</v>
      </c>
      <c r="Z60" s="77"/>
      <c r="AA60" s="28"/>
      <c r="AB60" s="72"/>
      <c r="AC60" s="73"/>
      <c r="AD60" s="53">
        <f t="shared" si="0"/>
        <v>0.25</v>
      </c>
      <c r="AE60" s="54">
        <f t="shared" si="1"/>
        <v>0</v>
      </c>
      <c r="AF60" s="28"/>
      <c r="AG60" s="55"/>
    </row>
    <row r="61" spans="1:34" ht="18.75" customHeight="1" x14ac:dyDescent="0.25">
      <c r="A61" s="46"/>
      <c r="B61" s="506" t="s">
        <v>39</v>
      </c>
      <c r="C61" s="507"/>
      <c r="D61" s="508"/>
      <c r="E61" s="78">
        <f>IF(E55&lt;&gt;0,AVERAGE(E55:E58),"")</f>
        <v>8.5</v>
      </c>
      <c r="F61" s="78">
        <f t="shared" ref="F61:L61" si="3">IF(F55&lt;&gt;0,AVERAGE(F55:F58),"")</f>
        <v>11.2</v>
      </c>
      <c r="G61" s="78">
        <f t="shared" si="3"/>
        <v>15.2</v>
      </c>
      <c r="H61" s="78">
        <f t="shared" si="3"/>
        <v>20</v>
      </c>
      <c r="I61" s="78">
        <f t="shared" si="3"/>
        <v>26.7</v>
      </c>
      <c r="J61" s="78">
        <f t="shared" si="3"/>
        <v>38.1</v>
      </c>
      <c r="K61" s="78">
        <f t="shared" si="3"/>
        <v>58.4</v>
      </c>
      <c r="L61" s="78">
        <f t="shared" si="3"/>
        <v>93.4</v>
      </c>
      <c r="M61" s="78">
        <f>IF(M55&lt;&gt;0,AVERAGE(M55:M58),"")</f>
        <v>99.2</v>
      </c>
      <c r="N61" s="78">
        <f>IF(N55&lt;&gt;0,AVERAGE(N55:N58),"")</f>
        <v>100</v>
      </c>
      <c r="O61" s="79" t="str">
        <f>IF(O55&lt;&gt;0,AVERAGE(O55:O58),"")</f>
        <v/>
      </c>
      <c r="P61" s="79" t="str">
        <f t="shared" ref="P61:Q61" si="4">IF(P55&lt;&gt;0,AVERAGE(P55:P58),"")</f>
        <v/>
      </c>
      <c r="Q61" s="79" t="str">
        <f t="shared" si="4"/>
        <v/>
      </c>
      <c r="R61" s="78"/>
      <c r="S61" s="78" t="str">
        <f t="shared" ref="S61:T61" si="5">IF(S55&lt;&gt;0,AVERAGE(S55:S58),"")</f>
        <v/>
      </c>
      <c r="T61" s="80" t="str">
        <f t="shared" si="5"/>
        <v/>
      </c>
      <c r="U61" s="509" t="str">
        <f>IF(U55&lt;&gt;0,AVERAGE(U55:V58),"")</f>
        <v/>
      </c>
      <c r="V61" s="510"/>
      <c r="W61" s="511">
        <f>IF(W55&lt;&gt;0,AVERAGE(W55:X58),"")</f>
        <v>6.03</v>
      </c>
      <c r="X61" s="512"/>
      <c r="Y61" s="513">
        <f>IF(W55&lt;&gt;0,AVERAGE(Y55:Z58),"")</f>
        <v>3.8311316668244495</v>
      </c>
      <c r="Z61" s="514"/>
      <c r="AA61" s="55"/>
      <c r="AB61" s="326">
        <f>(100*W61)/(100-W61)</f>
        <v>6.4169415770990739</v>
      </c>
      <c r="AC61" s="327"/>
      <c r="AD61" s="53" t="e">
        <f t="shared" si="0"/>
        <v>#VALUE!</v>
      </c>
      <c r="AE61" s="54" t="e">
        <f t="shared" si="1"/>
        <v>#VALUE!</v>
      </c>
      <c r="AF61" s="28"/>
      <c r="AG61" s="55"/>
    </row>
    <row r="62" spans="1:34" ht="21" customHeight="1" x14ac:dyDescent="0.25">
      <c r="A62" s="46"/>
      <c r="B62" s="515" t="s">
        <v>40</v>
      </c>
      <c r="C62" s="516"/>
      <c r="D62" s="517"/>
      <c r="E62" s="81">
        <v>7.9</v>
      </c>
      <c r="F62" s="81">
        <v>10</v>
      </c>
      <c r="G62" s="81">
        <v>14</v>
      </c>
      <c r="H62" s="81">
        <v>20</v>
      </c>
      <c r="I62" s="81">
        <v>27</v>
      </c>
      <c r="J62" s="81">
        <v>39</v>
      </c>
      <c r="K62" s="81">
        <v>60</v>
      </c>
      <c r="L62" s="81">
        <v>97</v>
      </c>
      <c r="M62" s="81">
        <v>100</v>
      </c>
      <c r="N62" s="81"/>
      <c r="O62" s="81"/>
      <c r="P62" s="81"/>
      <c r="Q62" s="82"/>
      <c r="R62" s="81"/>
      <c r="S62" s="81"/>
      <c r="T62" s="83"/>
      <c r="U62" s="518"/>
      <c r="V62" s="519"/>
      <c r="W62" s="520">
        <v>6</v>
      </c>
      <c r="X62" s="521"/>
      <c r="Y62" s="522">
        <f>AE62</f>
        <v>3.8578828640216232</v>
      </c>
      <c r="Z62" s="523"/>
      <c r="AA62" s="55"/>
      <c r="AB62" s="326">
        <f>(100*W62)/(100-W62)</f>
        <v>6.3829787234042552</v>
      </c>
      <c r="AC62" s="327"/>
      <c r="AD62" s="53">
        <f t="shared" si="0"/>
        <v>13.092000000000001</v>
      </c>
      <c r="AE62" s="54">
        <f t="shared" si="1"/>
        <v>3.8578828640216232</v>
      </c>
      <c r="AF62" s="28"/>
      <c r="AG62" s="55"/>
    </row>
    <row r="63" spans="1:34" ht="13.5" customHeight="1" x14ac:dyDescent="0.25">
      <c r="A63" s="46"/>
      <c r="B63" s="84"/>
      <c r="C63" s="85" t="s">
        <v>41</v>
      </c>
      <c r="D63" s="86"/>
      <c r="E63" s="59">
        <f>E62+2</f>
        <v>9.9</v>
      </c>
      <c r="F63" s="59"/>
      <c r="G63" s="59"/>
      <c r="H63" s="59"/>
      <c r="I63" s="59"/>
      <c r="J63" s="59">
        <f>J62+6</f>
        <v>45</v>
      </c>
      <c r="K63" s="59"/>
      <c r="L63" s="59">
        <v>100</v>
      </c>
      <c r="M63" s="59"/>
      <c r="N63" s="59"/>
      <c r="O63" s="59"/>
      <c r="P63" s="59"/>
      <c r="Q63" s="60"/>
      <c r="R63" s="59"/>
      <c r="S63" s="59"/>
      <c r="T63" s="61"/>
      <c r="U63" s="502"/>
      <c r="V63" s="503"/>
      <c r="W63" s="524">
        <f>W62+0.5</f>
        <v>6.5</v>
      </c>
      <c r="X63" s="503"/>
      <c r="Y63" s="500"/>
      <c r="Z63" s="525"/>
      <c r="AA63" s="87"/>
      <c r="AB63" s="88"/>
      <c r="AC63" s="89"/>
      <c r="AD63" s="306"/>
      <c r="AE63" s="308" t="s">
        <v>42</v>
      </c>
      <c r="AF63" s="28"/>
      <c r="AG63" s="55"/>
    </row>
    <row r="64" spans="1:34" ht="13.5" customHeight="1" thickBot="1" x14ac:dyDescent="0.3">
      <c r="A64" s="46"/>
      <c r="B64" s="462" t="s">
        <v>43</v>
      </c>
      <c r="C64" s="465"/>
      <c r="D64" s="463"/>
      <c r="E64" s="90">
        <f>E62-2</f>
        <v>5.9</v>
      </c>
      <c r="F64" s="90"/>
      <c r="G64" s="91"/>
      <c r="H64" s="91"/>
      <c r="I64" s="91"/>
      <c r="J64" s="90">
        <f>J62-6</f>
        <v>33</v>
      </c>
      <c r="K64" s="91"/>
      <c r="L64" s="90">
        <f>L62-7</f>
        <v>90</v>
      </c>
      <c r="M64" s="90"/>
      <c r="N64" s="91"/>
      <c r="O64" s="91"/>
      <c r="P64" s="91"/>
      <c r="Q64" s="90"/>
      <c r="R64" s="91"/>
      <c r="S64" s="91"/>
      <c r="T64" s="92"/>
      <c r="U64" s="526"/>
      <c r="V64" s="527"/>
      <c r="W64" s="528">
        <f>W62-0.5</f>
        <v>5.5</v>
      </c>
      <c r="X64" s="527"/>
      <c r="Y64" s="481"/>
      <c r="Z64" s="529"/>
      <c r="AA64" s="93"/>
      <c r="AB64" s="94"/>
      <c r="AC64" s="95"/>
      <c r="AD64" s="307"/>
      <c r="AE64" s="309"/>
      <c r="AF64" s="28"/>
      <c r="AG64" s="55"/>
    </row>
    <row r="65" spans="1:30" ht="6.75" customHeight="1" x14ac:dyDescent="0.25">
      <c r="A65" s="23"/>
      <c r="B65" s="24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96"/>
    </row>
    <row r="66" spans="1:30" ht="8.25" customHeight="1" x14ac:dyDescent="0.25"/>
    <row r="67" spans="1:30" ht="34.5" customHeight="1" x14ac:dyDescent="0.25">
      <c r="A67" s="97" t="s">
        <v>44</v>
      </c>
      <c r="B67" s="98" t="s">
        <v>45</v>
      </c>
      <c r="C67" s="99"/>
      <c r="D67" s="99"/>
      <c r="E67" s="99"/>
      <c r="F67" s="100"/>
      <c r="G67" s="100"/>
      <c r="H67" s="100"/>
      <c r="I67" s="10"/>
      <c r="J67" s="10"/>
      <c r="K67" s="10"/>
      <c r="L67" s="10"/>
      <c r="M67" s="10"/>
      <c r="N67" s="10"/>
      <c r="O67" s="10"/>
      <c r="P67" s="10"/>
      <c r="Q67" s="100"/>
      <c r="R67" s="10"/>
      <c r="S67" s="10"/>
      <c r="T67" s="10"/>
      <c r="U67" s="543"/>
      <c r="V67" s="543"/>
      <c r="W67" s="543"/>
      <c r="X67" s="543"/>
      <c r="Y67" s="543"/>
      <c r="Z67" s="544"/>
      <c r="AA67" s="101"/>
      <c r="AB67" s="102"/>
      <c r="AC67" s="102"/>
      <c r="AD67" s="103"/>
    </row>
    <row r="68" spans="1:30" ht="27" customHeight="1" x14ac:dyDescent="0.25">
      <c r="A68" s="545" t="s">
        <v>46</v>
      </c>
      <c r="B68" s="546"/>
      <c r="C68" s="546"/>
      <c r="D68" s="546"/>
      <c r="E68" s="546"/>
      <c r="F68" s="546"/>
      <c r="G68" s="546"/>
      <c r="H68" s="546"/>
      <c r="I68" s="546"/>
      <c r="J68" s="546"/>
      <c r="K68" s="546"/>
      <c r="L68" s="546"/>
      <c r="M68" s="546"/>
      <c r="N68" s="546"/>
      <c r="O68" s="546"/>
      <c r="P68" s="546"/>
      <c r="Q68" s="547"/>
      <c r="R68" s="536" t="s">
        <v>47</v>
      </c>
      <c r="S68" s="537"/>
      <c r="T68" s="538"/>
      <c r="U68" s="275" t="s">
        <v>57</v>
      </c>
      <c r="V68" s="276"/>
      <c r="W68" s="276"/>
      <c r="X68" s="277"/>
      <c r="Y68" s="277"/>
      <c r="Z68" s="278"/>
      <c r="AA68" s="104"/>
      <c r="AB68" s="105"/>
      <c r="AC68" s="105"/>
      <c r="AD68" s="103"/>
    </row>
    <row r="69" spans="1:30" ht="15.75" customHeight="1" x14ac:dyDescent="0.25">
      <c r="A69" s="548" t="s">
        <v>48</v>
      </c>
      <c r="B69" s="549"/>
      <c r="C69" s="549"/>
      <c r="D69" s="549"/>
      <c r="E69" s="549"/>
      <c r="F69" s="549"/>
      <c r="G69" s="549"/>
      <c r="H69" s="549"/>
      <c r="I69" s="549"/>
      <c r="J69" s="549"/>
      <c r="K69" s="549"/>
      <c r="L69" s="549"/>
      <c r="M69" s="549"/>
      <c r="N69" s="549"/>
      <c r="O69" s="549"/>
      <c r="P69" s="549"/>
      <c r="Q69" s="550"/>
      <c r="R69" s="536" t="s">
        <v>49</v>
      </c>
      <c r="S69" s="537"/>
      <c r="T69" s="538"/>
      <c r="U69" s="554" t="s">
        <v>58</v>
      </c>
      <c r="V69" s="555"/>
      <c r="W69" s="555"/>
      <c r="X69" s="555"/>
      <c r="Y69" s="555"/>
      <c r="Z69" s="556"/>
      <c r="AA69" s="104"/>
      <c r="AB69" s="105"/>
      <c r="AC69" s="105"/>
      <c r="AD69" s="103"/>
    </row>
    <row r="70" spans="1:30" ht="9" customHeight="1" x14ac:dyDescent="0.25">
      <c r="A70" s="548"/>
      <c r="B70" s="549"/>
      <c r="C70" s="549"/>
      <c r="D70" s="549"/>
      <c r="E70" s="549"/>
      <c r="F70" s="549"/>
      <c r="G70" s="549"/>
      <c r="H70" s="549"/>
      <c r="I70" s="549"/>
      <c r="J70" s="549"/>
      <c r="K70" s="549"/>
      <c r="L70" s="549"/>
      <c r="M70" s="549"/>
      <c r="N70" s="549"/>
      <c r="O70" s="549"/>
      <c r="P70" s="549"/>
      <c r="Q70" s="550"/>
      <c r="R70" s="536"/>
      <c r="S70" s="537"/>
      <c r="T70" s="538"/>
      <c r="U70" s="557"/>
      <c r="V70" s="454"/>
      <c r="W70" s="454"/>
      <c r="X70" s="454"/>
      <c r="Y70" s="454"/>
      <c r="Z70" s="558"/>
      <c r="AA70" s="104"/>
      <c r="AB70" s="105"/>
      <c r="AC70" s="105"/>
      <c r="AD70" s="103"/>
    </row>
    <row r="71" spans="1:30" ht="15.9" customHeight="1" x14ac:dyDescent="0.25">
      <c r="A71" s="551"/>
      <c r="B71" s="552"/>
      <c r="C71" s="552"/>
      <c r="D71" s="552"/>
      <c r="E71" s="552"/>
      <c r="F71" s="552"/>
      <c r="G71" s="552"/>
      <c r="H71" s="552"/>
      <c r="I71" s="552"/>
      <c r="J71" s="552"/>
      <c r="K71" s="552"/>
      <c r="L71" s="552"/>
      <c r="M71" s="552"/>
      <c r="N71" s="552"/>
      <c r="O71" s="552"/>
      <c r="P71" s="552"/>
      <c r="Q71" s="553"/>
      <c r="R71" s="536"/>
      <c r="S71" s="537"/>
      <c r="T71" s="538"/>
      <c r="U71" s="557"/>
      <c r="V71" s="454"/>
      <c r="W71" s="454"/>
      <c r="X71" s="454"/>
      <c r="Y71" s="454"/>
      <c r="Z71" s="558"/>
      <c r="AA71" s="104"/>
      <c r="AB71" s="105"/>
      <c r="AC71" s="105"/>
      <c r="AD71" s="103"/>
    </row>
    <row r="72" spans="1:30" ht="15.9" customHeight="1" x14ac:dyDescent="0.25">
      <c r="A72" s="106" t="s">
        <v>50</v>
      </c>
      <c r="B72" s="107" t="s">
        <v>51</v>
      </c>
      <c r="C72" s="13"/>
      <c r="D72" s="13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9"/>
      <c r="R72" s="536"/>
      <c r="S72" s="537"/>
      <c r="T72" s="538"/>
      <c r="U72" s="559"/>
      <c r="V72" s="560"/>
      <c r="W72" s="560"/>
      <c r="X72" s="560"/>
      <c r="Y72" s="560"/>
      <c r="Z72" s="561"/>
      <c r="AA72" s="104"/>
      <c r="AB72" s="105"/>
      <c r="AC72" s="105"/>
      <c r="AD72" s="103"/>
    </row>
    <row r="73" spans="1:30" ht="15.75" customHeight="1" x14ac:dyDescent="0.25">
      <c r="A73" s="530"/>
      <c r="B73" s="531"/>
      <c r="C73" s="531"/>
      <c r="D73" s="531"/>
      <c r="E73" s="531"/>
      <c r="F73" s="531"/>
      <c r="G73" s="531"/>
      <c r="H73" s="531"/>
      <c r="I73" s="531"/>
      <c r="J73" s="531"/>
      <c r="K73" s="531"/>
      <c r="L73" s="531"/>
      <c r="M73" s="531"/>
      <c r="N73" s="531"/>
      <c r="O73" s="531"/>
      <c r="P73" s="531"/>
      <c r="Q73" s="532"/>
      <c r="R73" s="536" t="s">
        <v>52</v>
      </c>
      <c r="S73" s="537"/>
      <c r="T73" s="538"/>
      <c r="U73" s="110"/>
      <c r="V73" s="111"/>
      <c r="W73" s="111"/>
      <c r="X73" s="111"/>
      <c r="Y73" s="111"/>
      <c r="Z73" s="112"/>
      <c r="AA73" s="113"/>
      <c r="AB73" s="114"/>
      <c r="AC73" s="114"/>
      <c r="AD73" s="103"/>
    </row>
    <row r="74" spans="1:30" ht="15.9" customHeight="1" x14ac:dyDescent="0.25">
      <c r="A74" s="530"/>
      <c r="B74" s="531"/>
      <c r="C74" s="531"/>
      <c r="D74" s="531"/>
      <c r="E74" s="531"/>
      <c r="F74" s="531"/>
      <c r="G74" s="531"/>
      <c r="H74" s="531"/>
      <c r="I74" s="531"/>
      <c r="J74" s="531"/>
      <c r="K74" s="531"/>
      <c r="L74" s="531"/>
      <c r="M74" s="531"/>
      <c r="N74" s="531"/>
      <c r="O74" s="531"/>
      <c r="P74" s="531"/>
      <c r="Q74" s="532"/>
      <c r="R74" s="536"/>
      <c r="S74" s="537"/>
      <c r="T74" s="538"/>
      <c r="U74" s="115"/>
      <c r="V74" s="542"/>
      <c r="W74" s="542"/>
      <c r="X74" s="542"/>
      <c r="Y74" s="542"/>
      <c r="Z74" s="116"/>
      <c r="AA74" s="113"/>
      <c r="AB74" s="114"/>
      <c r="AC74" s="114"/>
      <c r="AD74" s="103"/>
    </row>
    <row r="75" spans="1:30" ht="15.9" customHeight="1" x14ac:dyDescent="0.25">
      <c r="A75" s="530"/>
      <c r="B75" s="531"/>
      <c r="C75" s="531"/>
      <c r="D75" s="531"/>
      <c r="E75" s="531"/>
      <c r="F75" s="531"/>
      <c r="G75" s="531"/>
      <c r="H75" s="531"/>
      <c r="I75" s="531"/>
      <c r="J75" s="531"/>
      <c r="K75" s="531"/>
      <c r="L75" s="531"/>
      <c r="M75" s="531"/>
      <c r="N75" s="531"/>
      <c r="O75" s="531"/>
      <c r="P75" s="531"/>
      <c r="Q75" s="532"/>
      <c r="R75" s="536"/>
      <c r="S75" s="537"/>
      <c r="T75" s="538"/>
      <c r="U75" s="115"/>
      <c r="V75" s="542"/>
      <c r="W75" s="542"/>
      <c r="X75" s="542"/>
      <c r="Y75" s="542"/>
      <c r="Z75" s="116"/>
      <c r="AA75" s="113"/>
      <c r="AB75" s="114"/>
      <c r="AC75" s="114"/>
      <c r="AD75" s="103"/>
    </row>
    <row r="76" spans="1:30" ht="15.75" customHeight="1" x14ac:dyDescent="0.25">
      <c r="A76" s="533"/>
      <c r="B76" s="534"/>
      <c r="C76" s="534"/>
      <c r="D76" s="534"/>
      <c r="E76" s="534"/>
      <c r="F76" s="534"/>
      <c r="G76" s="534"/>
      <c r="H76" s="534"/>
      <c r="I76" s="534"/>
      <c r="J76" s="534"/>
      <c r="K76" s="534"/>
      <c r="L76" s="534"/>
      <c r="M76" s="534"/>
      <c r="N76" s="534"/>
      <c r="O76" s="534"/>
      <c r="P76" s="534"/>
      <c r="Q76" s="535"/>
      <c r="R76" s="539"/>
      <c r="S76" s="540"/>
      <c r="T76" s="541"/>
      <c r="U76" s="117"/>
      <c r="V76" s="118"/>
      <c r="W76" s="118"/>
      <c r="X76" s="118"/>
      <c r="Y76" s="118"/>
      <c r="Z76" s="119"/>
      <c r="AA76" s="113"/>
      <c r="AB76" s="114"/>
      <c r="AC76" s="114"/>
      <c r="AD76" s="103"/>
    </row>
  </sheetData>
  <mergeCells count="106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2:F12"/>
    <mergeCell ref="G12:L12"/>
    <mergeCell ref="M12:R12"/>
    <mergeCell ref="S12:Y12"/>
    <mergeCell ref="G13:L13"/>
    <mergeCell ref="M13:R13"/>
    <mergeCell ref="S13:Y13"/>
    <mergeCell ref="AE10:AI10"/>
    <mergeCell ref="B11:F11"/>
    <mergeCell ref="G11:L11"/>
    <mergeCell ref="M11:R11"/>
    <mergeCell ref="S11:Y11"/>
    <mergeCell ref="AE11:AI11"/>
    <mergeCell ref="AE15:AJ15"/>
    <mergeCell ref="AE16:AJ16"/>
    <mergeCell ref="B19:H19"/>
    <mergeCell ref="I19:Y19"/>
    <mergeCell ref="B20:H20"/>
    <mergeCell ref="I20:Y20"/>
    <mergeCell ref="AE13:AJ13"/>
    <mergeCell ref="B14:F14"/>
    <mergeCell ref="G14:L14"/>
    <mergeCell ref="M14:R14"/>
    <mergeCell ref="S14:Y14"/>
    <mergeCell ref="AE14:AJ14"/>
    <mergeCell ref="AD51:AD52"/>
    <mergeCell ref="AE51:AE52"/>
    <mergeCell ref="AF51:AF52"/>
    <mergeCell ref="AG51:AG52"/>
    <mergeCell ref="E53:T53"/>
    <mergeCell ref="U53:V54"/>
    <mergeCell ref="W53:X54"/>
    <mergeCell ref="Y53:Z54"/>
    <mergeCell ref="AB53:AC54"/>
    <mergeCell ref="AD53:AD54"/>
    <mergeCell ref="AE53:AE54"/>
    <mergeCell ref="AF53:AF54"/>
    <mergeCell ref="AG53:AG54"/>
    <mergeCell ref="C54:D54"/>
    <mergeCell ref="C55:D55"/>
    <mergeCell ref="U55:V55"/>
    <mergeCell ref="W55:X55"/>
    <mergeCell ref="Y55:Z55"/>
    <mergeCell ref="AB55:AC55"/>
    <mergeCell ref="C58:D58"/>
    <mergeCell ref="U58:V58"/>
    <mergeCell ref="W58:X58"/>
    <mergeCell ref="Y58:Z58"/>
    <mergeCell ref="AB58:AC58"/>
    <mergeCell ref="B60:D60"/>
    <mergeCell ref="C56:D56"/>
    <mergeCell ref="U56:V56"/>
    <mergeCell ref="W56:X56"/>
    <mergeCell ref="Y56:Z56"/>
    <mergeCell ref="AB56:AC56"/>
    <mergeCell ref="C57:D57"/>
    <mergeCell ref="U57:V57"/>
    <mergeCell ref="W57:X57"/>
    <mergeCell ref="Y57:Z57"/>
    <mergeCell ref="AB57:AC57"/>
    <mergeCell ref="B61:D61"/>
    <mergeCell ref="U61:V61"/>
    <mergeCell ref="W61:X61"/>
    <mergeCell ref="Y61:Z61"/>
    <mergeCell ref="AB61:AC61"/>
    <mergeCell ref="B62:D62"/>
    <mergeCell ref="U62:V62"/>
    <mergeCell ref="W62:X62"/>
    <mergeCell ref="Y62:Z62"/>
    <mergeCell ref="AB62:AC62"/>
    <mergeCell ref="U63:V63"/>
    <mergeCell ref="W63:X63"/>
    <mergeCell ref="Y63:Z63"/>
    <mergeCell ref="AD63:AD64"/>
    <mergeCell ref="AE63:AE64"/>
    <mergeCell ref="B64:D64"/>
    <mergeCell ref="U64:V64"/>
    <mergeCell ref="W64:X64"/>
    <mergeCell ref="Y64:Z64"/>
    <mergeCell ref="A73:Q76"/>
    <mergeCell ref="R73:T76"/>
    <mergeCell ref="V74:Y75"/>
    <mergeCell ref="U67:Z67"/>
    <mergeCell ref="A68:Q68"/>
    <mergeCell ref="R68:T68"/>
    <mergeCell ref="U68:Z68"/>
    <mergeCell ref="A69:Q71"/>
    <mergeCell ref="R69:T72"/>
    <mergeCell ref="U69:Z72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17</vt:i4>
      </vt:variant>
      <vt:variant>
        <vt:lpstr>Plages nommées</vt:lpstr>
      </vt:variant>
      <vt:variant>
        <vt:i4>17</vt:i4>
      </vt:variant>
    </vt:vector>
  </HeadingPairs>
  <TitlesOfParts>
    <vt:vector size="34" baseType="lpstr">
      <vt:lpstr>291025 BB 61 Mas Rillier Pi Cy</vt:lpstr>
      <vt:lpstr>15_161025 BBSG Mas Rillier Nati</vt:lpstr>
      <vt:lpstr>14_151025 GB Nations Croix (c)</vt:lpstr>
      <vt:lpstr>14_151025 GB Nations Croix</vt:lpstr>
      <vt:lpstr>13_141025 GB Mas Rillier (c)</vt:lpstr>
      <vt:lpstr>13_141025 GB Mas Rillier</vt:lpstr>
      <vt:lpstr>250825 BB 0-6 Ampère</vt:lpstr>
      <vt:lpstr>250825 BBSG Ampère</vt:lpstr>
      <vt:lpstr>250825 GB Ampère</vt:lpstr>
      <vt:lpstr>130625 BBSG Mas Rillier</vt:lpstr>
      <vt:lpstr>130625 GB Mas Rillier</vt:lpstr>
      <vt:lpstr>120625 BBdr Mas rillier</vt:lpstr>
      <vt:lpstr>120625 BB Mas rillier</vt:lpstr>
      <vt:lpstr>210325 BBSG Brosset</vt:lpstr>
      <vt:lpstr>210325 BB Brosset</vt:lpstr>
      <vt:lpstr>210325 GB Brosset</vt:lpstr>
      <vt:lpstr>060325 BB</vt:lpstr>
      <vt:lpstr>'060325 BB'!Zone_d_impression</vt:lpstr>
      <vt:lpstr>'120625 BB Mas rillier'!Zone_d_impression</vt:lpstr>
      <vt:lpstr>'120625 BBdr Mas rillier'!Zone_d_impression</vt:lpstr>
      <vt:lpstr>'13_141025 GB Mas Rillier'!Zone_d_impression</vt:lpstr>
      <vt:lpstr>'13_141025 GB Mas Rillier (c)'!Zone_d_impression</vt:lpstr>
      <vt:lpstr>'130625 BBSG Mas Rillier'!Zone_d_impression</vt:lpstr>
      <vt:lpstr>'130625 GB Mas Rillier'!Zone_d_impression</vt:lpstr>
      <vt:lpstr>'14_151025 GB Nations Croix'!Zone_d_impression</vt:lpstr>
      <vt:lpstr>'14_151025 GB Nations Croix (c)'!Zone_d_impression</vt:lpstr>
      <vt:lpstr>'15_161025 BBSG Mas Rillier Nati'!Zone_d_impression</vt:lpstr>
      <vt:lpstr>'210325 BB Brosset'!Zone_d_impression</vt:lpstr>
      <vt:lpstr>'210325 BBSG Brosset'!Zone_d_impression</vt:lpstr>
      <vt:lpstr>'210325 GB Brosset'!Zone_d_impression</vt:lpstr>
      <vt:lpstr>'250825 BB 0-6 Ampère'!Zone_d_impression</vt:lpstr>
      <vt:lpstr>'250825 BBSG Ampère'!Zone_d_impression</vt:lpstr>
      <vt:lpstr>'250825 GB Ampère'!Zone_d_impression</vt:lpstr>
      <vt:lpstr>'291025 BB 61 Mas Rillier Pi Cy'!Zone_d_impression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Frédéric MONTET</dc:creator>
  <cp:lastModifiedBy>Frédéric MONTET</cp:lastModifiedBy>
  <cp:lastPrinted>2025-10-29T13:50:40Z</cp:lastPrinted>
  <dcterms:created xsi:type="dcterms:W3CDTF">2023-12-08T06:38:51Z</dcterms:created>
  <dcterms:modified xsi:type="dcterms:W3CDTF">2025-10-29T13:50:45Z</dcterms:modified>
</cp:coreProperties>
</file>