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ge1-my.sharepoint.com/personal/fmontet_groupe-nge_fr/Documents/Bureau/"/>
    </mc:Choice>
  </mc:AlternateContent>
  <xr:revisionPtr revIDLastSave="208" documentId="8_{52E264F7-2F31-4051-B388-B5CC376FEE83}" xr6:coauthVersionLast="47" xr6:coauthVersionMax="47" xr10:uidLastSave="{D30D9D5B-700C-463B-9F4C-98D2FEC3A2B2}"/>
  <bookViews>
    <workbookView xWindow="28680" yWindow="-120" windowWidth="29040" windowHeight="15720" xr2:uid="{00000000-000D-0000-FFFF-FFFF00000000}"/>
  </bookViews>
  <sheets>
    <sheet name="Plan d'expérience" sheetId="3" r:id="rId1"/>
    <sheet name="Données Matériau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3" l="1"/>
  <c r="Q26" i="3" l="1"/>
  <c r="Q21" i="3"/>
  <c r="Q18" i="3"/>
  <c r="Q15" i="3"/>
  <c r="Q12" i="3"/>
  <c r="Q9" i="3"/>
  <c r="Q6" i="3"/>
  <c r="D26" i="3"/>
  <c r="E26" i="3" s="1"/>
  <c r="D23" i="3"/>
  <c r="J23" i="3" s="1"/>
  <c r="D21" i="3"/>
  <c r="I21" i="3" s="1"/>
  <c r="D20" i="3"/>
  <c r="E20" i="3" s="1"/>
  <c r="G20" i="3" s="1"/>
  <c r="D18" i="3"/>
  <c r="J18" i="3" s="1"/>
  <c r="D17" i="3"/>
  <c r="E17" i="3" s="1"/>
  <c r="G17" i="3" s="1"/>
  <c r="D15" i="3"/>
  <c r="E15" i="3" s="1"/>
  <c r="G15" i="3" s="1"/>
  <c r="D14" i="3"/>
  <c r="J14" i="3" s="1"/>
  <c r="D12" i="3"/>
  <c r="J12" i="3" s="1"/>
  <c r="D11" i="3"/>
  <c r="J11" i="3" s="1"/>
  <c r="D9" i="3"/>
  <c r="J9" i="3" s="1"/>
  <c r="D8" i="3"/>
  <c r="J8" i="3" s="1"/>
  <c r="D6" i="3"/>
  <c r="J6" i="3" s="1"/>
  <c r="D5" i="3"/>
  <c r="E5" i="3" s="1"/>
  <c r="G5" i="3" s="1"/>
  <c r="E23" i="3" l="1"/>
  <c r="G23" i="3" s="1"/>
  <c r="J17" i="3"/>
  <c r="I15" i="3"/>
  <c r="J15" i="3"/>
  <c r="J5" i="3"/>
  <c r="J21" i="3"/>
  <c r="I20" i="3"/>
  <c r="J20" i="3"/>
  <c r="I17" i="3"/>
  <c r="I12" i="3"/>
  <c r="E12" i="3"/>
  <c r="G12" i="3" s="1"/>
  <c r="I5" i="3"/>
  <c r="E8" i="3"/>
  <c r="G8" i="3" s="1"/>
  <c r="I8" i="3"/>
  <c r="E18" i="3"/>
  <c r="G18" i="3" s="1"/>
  <c r="I23" i="3"/>
  <c r="E14" i="3"/>
  <c r="G14" i="3" s="1"/>
  <c r="I18" i="3"/>
  <c r="E9" i="3"/>
  <c r="G9" i="3" s="1"/>
  <c r="I14" i="3"/>
  <c r="I9" i="3"/>
  <c r="E11" i="3"/>
  <c r="G11" i="3" s="1"/>
  <c r="E6" i="3"/>
  <c r="G6" i="3" s="1"/>
  <c r="I11" i="3"/>
  <c r="E21" i="3"/>
  <c r="G21" i="3" s="1"/>
  <c r="I6" i="3"/>
  <c r="B6" i="1"/>
  <c r="B3" i="1"/>
  <c r="B4" i="1" l="1"/>
  <c r="B8" i="1" l="1"/>
</calcChain>
</file>

<file path=xl/sharedStrings.xml><?xml version="1.0" encoding="utf-8"?>
<sst xmlns="http://schemas.openxmlformats.org/spreadsheetml/2006/main" count="54" uniqueCount="52">
  <si>
    <t>Teneur en eau optimale (%)</t>
  </si>
  <si>
    <t>masse humide (kg)</t>
  </si>
  <si>
    <t>Masse H2O (kg)</t>
  </si>
  <si>
    <t>Volume d'eau (L)</t>
  </si>
  <si>
    <t>Concentration urée (mol/L)</t>
  </si>
  <si>
    <t>Masse Urée (g)</t>
  </si>
  <si>
    <t>Concentration CaCl2 (mol/L)</t>
  </si>
  <si>
    <t>Masse CaCl2 (g)</t>
  </si>
  <si>
    <t xml:space="preserve">Nomenclature </t>
  </si>
  <si>
    <t>Masse humide (kg)</t>
  </si>
  <si>
    <t>Masse eau (kg)</t>
  </si>
  <si>
    <t>Masse sèche (kg)</t>
  </si>
  <si>
    <t xml:space="preserve">Préparation sol </t>
  </si>
  <si>
    <t>masse soja (g)</t>
  </si>
  <si>
    <t>m(urée) (g)</t>
  </si>
  <si>
    <t>Quantités réactifs</t>
  </si>
  <si>
    <t xml:space="preserve">IPI - 2 min </t>
  </si>
  <si>
    <t xml:space="preserve">IPI - 4 min </t>
  </si>
  <si>
    <t>CBRi - 4 min</t>
  </si>
  <si>
    <t xml:space="preserve">CBRi - 2 min </t>
  </si>
  <si>
    <t>CBRi / IPI</t>
  </si>
  <si>
    <t>Etude de la portance</t>
  </si>
  <si>
    <t xml:space="preserve">Insensibilité à l'eau </t>
  </si>
  <si>
    <t>t = 24 h</t>
  </si>
  <si>
    <t xml:space="preserve">t = 48 h </t>
  </si>
  <si>
    <t>Teneur en eau 
OPN (%)</t>
  </si>
  <si>
    <t>% massique soja
par rapport m(sèche)</t>
  </si>
  <si>
    <r>
      <t>[urée] = [CaCl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] (mol/L)</t>
    </r>
  </si>
  <si>
    <r>
      <t>m(CaCl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) (g)</t>
    </r>
  </si>
  <si>
    <t>RC 24h</t>
  </si>
  <si>
    <t>RC 48h</t>
  </si>
  <si>
    <t>Résistance 
à la compression</t>
  </si>
  <si>
    <t>EICP-1-A</t>
  </si>
  <si>
    <t>EICP-1-B</t>
  </si>
  <si>
    <t>EICP-2-A</t>
  </si>
  <si>
    <t>EICP-2-B</t>
  </si>
  <si>
    <t>EICP-3-A</t>
  </si>
  <si>
    <t>EICP-3-B</t>
  </si>
  <si>
    <t>EICP-4-A</t>
  </si>
  <si>
    <t>EICP-4-B</t>
  </si>
  <si>
    <t>EICP-5-A</t>
  </si>
  <si>
    <t>EICP-5-B</t>
  </si>
  <si>
    <t>EICP-6-A</t>
  </si>
  <si>
    <t>EICP-6-B</t>
  </si>
  <si>
    <t>EICP-NT-A</t>
  </si>
  <si>
    <t>EICP-TCL-B</t>
  </si>
  <si>
    <t>2% CAO</t>
  </si>
  <si>
    <t>W% avant IPI</t>
  </si>
  <si>
    <t>W% après IPI</t>
  </si>
  <si>
    <t>W% après CBRi</t>
  </si>
  <si>
    <t>Mesure gonflement à 4j</t>
  </si>
  <si>
    <t>Pour les points au naturel et à 2% de chaux(2 dernières lignes), on a tapé les IPI tout de suite (pas de 24h ou 48h)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</si>
</sst>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8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/>
    <xf numFmtId="0" fontId="0" fillId="0" borderId="9" xfId="0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26" xfId="0" applyBorder="1"/>
    <xf numFmtId="0" fontId="0" fillId="2" borderId="2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2" fillId="7" borderId="9" xfId="0" applyNumberFormat="1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6" xfId="0" applyFill="1" applyBorder="1"/>
    <xf numFmtId="0" fontId="0" fillId="7" borderId="1" xfId="0" applyFill="1" applyBorder="1"/>
    <xf numFmtId="0" fontId="1" fillId="8" borderId="15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8" borderId="9" xfId="0" applyNumberForma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2" fontId="7" fillId="8" borderId="9" xfId="0" applyNumberFormat="1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2" fontId="2" fillId="8" borderId="9" xfId="0" applyNumberFormat="1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2" fontId="2" fillId="0" borderId="39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5" fillId="9" borderId="3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2" fontId="7" fillId="0" borderId="38" xfId="0" applyNumberFormat="1" applyFont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2" fontId="7" fillId="0" borderId="39" xfId="0" applyNumberFormat="1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40" xfId="0" applyBorder="1"/>
    <xf numFmtId="0" fontId="0" fillId="8" borderId="43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0" borderId="43" xfId="0" applyBorder="1"/>
    <xf numFmtId="0" fontId="0" fillId="7" borderId="43" xfId="0" applyFill="1" applyBorder="1"/>
    <xf numFmtId="0" fontId="0" fillId="0" borderId="6" xfId="0" applyBorder="1"/>
    <xf numFmtId="0" fontId="0" fillId="0" borderId="0" xfId="0" applyBorder="1"/>
    <xf numFmtId="0" fontId="0" fillId="0" borderId="44" xfId="0" applyBorder="1"/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45" xfId="0" applyBorder="1"/>
    <xf numFmtId="0" fontId="0" fillId="0" borderId="46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3" xfId="0" applyBorder="1"/>
    <xf numFmtId="0" fontId="0" fillId="0" borderId="49" xfId="0" applyBorder="1"/>
    <xf numFmtId="0" fontId="0" fillId="0" borderId="50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60C4-73E8-4A1F-9A18-15B441D5CE1C}">
  <dimension ref="A1:W32"/>
  <sheetViews>
    <sheetView tabSelected="1" zoomScale="70" zoomScaleNormal="70" workbookViewId="0">
      <selection activeCell="I39" sqref="I39"/>
    </sheetView>
  </sheetViews>
  <sheetFormatPr baseColWidth="10" defaultRowHeight="14.4" x14ac:dyDescent="0.3"/>
  <cols>
    <col min="1" max="1" width="15.6640625" customWidth="1"/>
    <col min="2" max="2" width="14.21875" customWidth="1"/>
    <col min="3" max="3" width="12.109375" customWidth="1"/>
    <col min="4" max="4" width="11.44140625" customWidth="1"/>
    <col min="5" max="5" width="12.5546875" customWidth="1"/>
    <col min="6" max="6" width="14.77734375" customWidth="1"/>
    <col min="7" max="7" width="12.6640625" bestFit="1" customWidth="1"/>
    <col min="8" max="8" width="13.77734375" customWidth="1"/>
    <col min="9" max="9" width="10.44140625" customWidth="1"/>
    <col min="10" max="10" width="9.77734375" customWidth="1"/>
    <col min="23" max="23" width="20.88671875" customWidth="1"/>
  </cols>
  <sheetData>
    <row r="1" spans="1:23" ht="15" thickBot="1" x14ac:dyDescent="0.35">
      <c r="K1" s="82" t="s">
        <v>21</v>
      </c>
      <c r="L1" s="83"/>
      <c r="M1" s="83"/>
      <c r="N1" s="84"/>
      <c r="O1" s="85" t="s">
        <v>22</v>
      </c>
      <c r="P1" s="86"/>
      <c r="Q1" s="87"/>
      <c r="R1" s="91" t="s">
        <v>31</v>
      </c>
      <c r="S1" s="111"/>
      <c r="T1" s="114" t="s">
        <v>47</v>
      </c>
      <c r="U1" s="114" t="s">
        <v>48</v>
      </c>
      <c r="V1" s="129" t="s">
        <v>49</v>
      </c>
      <c r="W1" s="125" t="s">
        <v>50</v>
      </c>
    </row>
    <row r="2" spans="1:23" ht="25.05" customHeight="1" thickBot="1" x14ac:dyDescent="0.35">
      <c r="A2" s="5"/>
      <c r="B2" s="93" t="s">
        <v>12</v>
      </c>
      <c r="C2" s="94"/>
      <c r="D2" s="94"/>
      <c r="E2" s="95"/>
      <c r="F2" s="96" t="s">
        <v>15</v>
      </c>
      <c r="G2" s="97"/>
      <c r="H2" s="97"/>
      <c r="I2" s="97"/>
      <c r="J2" s="98"/>
      <c r="K2" s="99" t="s">
        <v>23</v>
      </c>
      <c r="L2" s="100"/>
      <c r="M2" s="101" t="s">
        <v>24</v>
      </c>
      <c r="N2" s="102"/>
      <c r="O2" s="88"/>
      <c r="P2" s="89"/>
      <c r="Q2" s="90"/>
      <c r="R2" s="92"/>
      <c r="S2" s="112"/>
      <c r="T2" s="115"/>
      <c r="U2" s="115"/>
      <c r="V2" s="130"/>
      <c r="W2" s="126"/>
    </row>
    <row r="3" spans="1:23" ht="29.4" customHeight="1" thickBot="1" x14ac:dyDescent="0.35">
      <c r="A3" s="13" t="s">
        <v>8</v>
      </c>
      <c r="B3" s="14" t="s">
        <v>25</v>
      </c>
      <c r="C3" s="48" t="s">
        <v>9</v>
      </c>
      <c r="D3" s="49" t="s">
        <v>10</v>
      </c>
      <c r="E3" s="50" t="s">
        <v>11</v>
      </c>
      <c r="F3" s="15" t="s">
        <v>26</v>
      </c>
      <c r="G3" s="51" t="s">
        <v>13</v>
      </c>
      <c r="H3" s="51" t="s">
        <v>27</v>
      </c>
      <c r="I3" s="51" t="s">
        <v>14</v>
      </c>
      <c r="J3" s="52" t="s">
        <v>28</v>
      </c>
      <c r="K3" s="18" t="s">
        <v>16</v>
      </c>
      <c r="L3" s="19" t="s">
        <v>17</v>
      </c>
      <c r="M3" s="19" t="s">
        <v>16</v>
      </c>
      <c r="N3" s="20" t="s">
        <v>17</v>
      </c>
      <c r="O3" s="21" t="s">
        <v>19</v>
      </c>
      <c r="P3" s="22" t="s">
        <v>18</v>
      </c>
      <c r="Q3" s="23" t="s">
        <v>20</v>
      </c>
      <c r="R3" s="26" t="s">
        <v>29</v>
      </c>
      <c r="S3" s="113" t="s">
        <v>30</v>
      </c>
      <c r="T3" s="116"/>
      <c r="U3" s="116"/>
      <c r="V3" s="131"/>
      <c r="W3" s="127"/>
    </row>
    <row r="4" spans="1:23" ht="0.6" customHeight="1" x14ac:dyDescent="0.3">
      <c r="A4" s="34"/>
      <c r="B4" s="35"/>
      <c r="C4" s="36"/>
      <c r="D4" s="37"/>
      <c r="E4" s="38"/>
      <c r="F4" s="39"/>
      <c r="G4" s="40"/>
      <c r="H4" s="36"/>
      <c r="I4" s="40"/>
      <c r="J4" s="41"/>
      <c r="K4" s="42"/>
      <c r="L4" s="43"/>
      <c r="M4" s="43"/>
      <c r="N4" s="44"/>
      <c r="O4" s="42"/>
      <c r="P4" s="43"/>
      <c r="Q4" s="45"/>
      <c r="R4" s="42"/>
      <c r="S4" s="117"/>
      <c r="T4" s="122"/>
      <c r="U4" s="123"/>
      <c r="V4" s="132"/>
      <c r="W4" s="124"/>
    </row>
    <row r="5" spans="1:23" ht="24.45" customHeight="1" x14ac:dyDescent="0.3">
      <c r="A5" s="24" t="s">
        <v>32</v>
      </c>
      <c r="B5" s="46">
        <v>16.2</v>
      </c>
      <c r="C5" s="47">
        <v>6.8369999999999997</v>
      </c>
      <c r="D5" s="8">
        <f t="shared" ref="D5:D18" si="0" xml:space="preserve"> C5 * (1 - (1/(1+(B5/100))))</f>
        <v>0.95317900172117032</v>
      </c>
      <c r="E5" s="9">
        <f>C5-D5</f>
        <v>5.8838209982788294</v>
      </c>
      <c r="F5" s="11">
        <v>0.25</v>
      </c>
      <c r="G5" s="16">
        <f>((F5*E5)/100)*1000</f>
        <v>14.709552495697075</v>
      </c>
      <c r="H5" s="10">
        <v>0.5</v>
      </c>
      <c r="I5" s="16">
        <f xml:space="preserve"> 60 *H5 *D5</f>
        <v>28.595370051635108</v>
      </c>
      <c r="J5" s="17">
        <f xml:space="preserve"> 111 *H5 *D5</f>
        <v>52.901434595524954</v>
      </c>
      <c r="K5" s="4">
        <v>14</v>
      </c>
      <c r="L5" s="3">
        <v>11</v>
      </c>
      <c r="M5" s="3">
        <v>21</v>
      </c>
      <c r="N5" s="6">
        <v>19</v>
      </c>
      <c r="O5" s="27"/>
      <c r="P5" s="28"/>
      <c r="Q5" s="29"/>
      <c r="R5" s="4"/>
      <c r="S5" s="118"/>
      <c r="T5" s="4">
        <v>13.6</v>
      </c>
      <c r="U5" s="3">
        <v>13</v>
      </c>
      <c r="V5" s="3"/>
      <c r="W5" s="128"/>
    </row>
    <row r="6" spans="1:23" ht="24.45" customHeight="1" x14ac:dyDescent="0.3">
      <c r="A6" s="24" t="s">
        <v>33</v>
      </c>
      <c r="B6" s="46">
        <v>16.2</v>
      </c>
      <c r="C6" s="47">
        <v>5.8540000000000001</v>
      </c>
      <c r="D6" s="8">
        <f t="shared" si="0"/>
        <v>0.8161342512908778</v>
      </c>
      <c r="E6" s="9">
        <f>C6-D6</f>
        <v>5.0378657487091223</v>
      </c>
      <c r="F6" s="11">
        <v>0.25</v>
      </c>
      <c r="G6" s="16">
        <f>((F6*E6)/100)*1000</f>
        <v>12.594664371772806</v>
      </c>
      <c r="H6" s="10">
        <v>0.5</v>
      </c>
      <c r="I6" s="16">
        <f xml:space="preserve"> 60 *H6 *D6</f>
        <v>24.484027538726334</v>
      </c>
      <c r="J6" s="17">
        <f xml:space="preserve"> 111 *H6 *D6</f>
        <v>45.295450946643719</v>
      </c>
      <c r="K6" s="27"/>
      <c r="L6" s="28"/>
      <c r="M6" s="28"/>
      <c r="N6" s="30"/>
      <c r="O6" s="4">
        <v>4</v>
      </c>
      <c r="P6" s="3">
        <v>5</v>
      </c>
      <c r="Q6" s="7">
        <f>P6/N5</f>
        <v>0.26315789473684209</v>
      </c>
      <c r="R6" s="27"/>
      <c r="S6" s="119"/>
      <c r="T6" s="4">
        <v>14.1</v>
      </c>
      <c r="U6" s="3"/>
      <c r="V6" s="3">
        <v>21.5</v>
      </c>
      <c r="W6" s="128">
        <v>3.15</v>
      </c>
    </row>
    <row r="7" spans="1:23" ht="0.6" customHeight="1" x14ac:dyDescent="0.3">
      <c r="A7" s="34"/>
      <c r="B7" s="35"/>
      <c r="C7" s="36"/>
      <c r="D7" s="37"/>
      <c r="E7" s="38"/>
      <c r="F7" s="39"/>
      <c r="G7" s="40"/>
      <c r="H7" s="36"/>
      <c r="I7" s="40"/>
      <c r="J7" s="41"/>
      <c r="K7" s="42"/>
      <c r="L7" s="43"/>
      <c r="M7" s="43"/>
      <c r="N7" s="44"/>
      <c r="O7" s="42"/>
      <c r="P7" s="43"/>
      <c r="Q7" s="45"/>
      <c r="R7" s="42"/>
      <c r="S7" s="117"/>
      <c r="T7" s="4"/>
      <c r="U7" s="3"/>
      <c r="V7" s="3"/>
      <c r="W7" s="128"/>
    </row>
    <row r="8" spans="1:23" ht="24.45" customHeight="1" x14ac:dyDescent="0.3">
      <c r="A8" s="24" t="s">
        <v>34</v>
      </c>
      <c r="B8" s="46">
        <v>16.2</v>
      </c>
      <c r="C8" s="47">
        <v>6.835</v>
      </c>
      <c r="D8" s="8">
        <f t="shared" si="0"/>
        <v>0.95290017211703948</v>
      </c>
      <c r="E8" s="9">
        <f t="shared" ref="E8:E18" si="1">C8-D8</f>
        <v>5.8820998278829606</v>
      </c>
      <c r="F8" s="11">
        <v>0.5</v>
      </c>
      <c r="G8" s="16">
        <f t="shared" ref="G8:G18" si="2">((F8*E8)/100)*1000</f>
        <v>29.410499139414803</v>
      </c>
      <c r="H8" s="10">
        <v>0.5</v>
      </c>
      <c r="I8" s="16">
        <f xml:space="preserve"> 60 *H8 *D8</f>
        <v>28.587005163511183</v>
      </c>
      <c r="J8" s="17">
        <f xml:space="preserve"> 111 *H8 *D8</f>
        <v>52.885959552495692</v>
      </c>
      <c r="K8" s="4">
        <v>11</v>
      </c>
      <c r="L8" s="3">
        <v>11</v>
      </c>
      <c r="M8" s="3">
        <v>20</v>
      </c>
      <c r="N8" s="6">
        <v>18</v>
      </c>
      <c r="O8" s="27"/>
      <c r="P8" s="28"/>
      <c r="Q8" s="29"/>
      <c r="R8" s="4"/>
      <c r="S8" s="118"/>
      <c r="T8" s="4">
        <v>14</v>
      </c>
      <c r="U8" s="3">
        <v>13.4</v>
      </c>
      <c r="V8" s="3"/>
      <c r="W8" s="128"/>
    </row>
    <row r="9" spans="1:23" ht="24.45" customHeight="1" x14ac:dyDescent="0.3">
      <c r="A9" s="24" t="s">
        <v>35</v>
      </c>
      <c r="B9" s="46">
        <v>16.2</v>
      </c>
      <c r="C9" s="47">
        <v>5.8550000000000004</v>
      </c>
      <c r="D9" s="8">
        <f t="shared" si="0"/>
        <v>0.81627366609294316</v>
      </c>
      <c r="E9" s="9">
        <f t="shared" si="1"/>
        <v>5.0387263339070572</v>
      </c>
      <c r="F9" s="11">
        <v>0.5</v>
      </c>
      <c r="G9" s="16">
        <f t="shared" si="2"/>
        <v>25.193631669535286</v>
      </c>
      <c r="H9" s="10">
        <v>0.5</v>
      </c>
      <c r="I9" s="16">
        <f xml:space="preserve"> 60 *H9 *D9</f>
        <v>24.488209982788295</v>
      </c>
      <c r="J9" s="17">
        <f xml:space="preserve"> 111 *H9 *D9</f>
        <v>45.303188468158346</v>
      </c>
      <c r="K9" s="27"/>
      <c r="L9" s="28"/>
      <c r="M9" s="28"/>
      <c r="N9" s="30"/>
      <c r="O9" s="4">
        <v>5</v>
      </c>
      <c r="P9" s="3">
        <v>4</v>
      </c>
      <c r="Q9" s="7">
        <f>P9/N8</f>
        <v>0.22222222222222221</v>
      </c>
      <c r="R9" s="27"/>
      <c r="S9" s="119"/>
      <c r="T9" s="4">
        <v>14.6</v>
      </c>
      <c r="U9" s="3"/>
      <c r="V9" s="3">
        <v>20.9</v>
      </c>
      <c r="W9" s="128">
        <v>2.27</v>
      </c>
    </row>
    <row r="10" spans="1:23" ht="0.6" customHeight="1" x14ac:dyDescent="0.3">
      <c r="A10" s="34"/>
      <c r="B10" s="35"/>
      <c r="C10" s="36"/>
      <c r="D10" s="37"/>
      <c r="E10" s="38"/>
      <c r="F10" s="39"/>
      <c r="G10" s="40"/>
      <c r="H10" s="36"/>
      <c r="I10" s="40"/>
      <c r="J10" s="41"/>
      <c r="K10" s="42"/>
      <c r="L10" s="43"/>
      <c r="M10" s="43"/>
      <c r="N10" s="44"/>
      <c r="O10" s="42"/>
      <c r="P10" s="43"/>
      <c r="Q10" s="45"/>
      <c r="R10" s="42"/>
      <c r="S10" s="117"/>
      <c r="T10" s="4"/>
      <c r="U10" s="3"/>
      <c r="V10" s="3"/>
      <c r="W10" s="128"/>
    </row>
    <row r="11" spans="1:23" ht="24.45" customHeight="1" x14ac:dyDescent="0.3">
      <c r="A11" s="24" t="s">
        <v>36</v>
      </c>
      <c r="B11" s="46">
        <v>16.2</v>
      </c>
      <c r="C11" s="47">
        <v>6.8369999999999997</v>
      </c>
      <c r="D11" s="8">
        <f t="shared" si="0"/>
        <v>0.95317900172117032</v>
      </c>
      <c r="E11" s="9">
        <f t="shared" si="1"/>
        <v>5.8838209982788294</v>
      </c>
      <c r="F11" s="11">
        <v>0.75</v>
      </c>
      <c r="G11" s="16">
        <f t="shared" si="2"/>
        <v>44.128657487091225</v>
      </c>
      <c r="H11" s="10">
        <v>0.5</v>
      </c>
      <c r="I11" s="16">
        <f t="shared" ref="I11:I18" si="3" xml:space="preserve"> 60 *H11 *D11</f>
        <v>28.595370051635108</v>
      </c>
      <c r="J11" s="17">
        <f t="shared" ref="J11:J18" si="4" xml:space="preserve"> 111 *H11 *D11</f>
        <v>52.901434595524954</v>
      </c>
      <c r="K11" s="4">
        <v>18</v>
      </c>
      <c r="L11" s="3">
        <v>16</v>
      </c>
      <c r="M11" s="3">
        <v>22</v>
      </c>
      <c r="N11" s="6">
        <v>21</v>
      </c>
      <c r="O11" s="27"/>
      <c r="P11" s="28"/>
      <c r="Q11" s="29"/>
      <c r="R11" s="4"/>
      <c r="S11" s="118"/>
      <c r="T11" s="4">
        <v>14</v>
      </c>
      <c r="U11" s="3">
        <v>13.6</v>
      </c>
      <c r="V11" s="3"/>
      <c r="W11" s="128"/>
    </row>
    <row r="12" spans="1:23" ht="24.45" customHeight="1" x14ac:dyDescent="0.3">
      <c r="A12" s="24" t="s">
        <v>37</v>
      </c>
      <c r="B12" s="46">
        <v>16.2</v>
      </c>
      <c r="C12" s="47">
        <v>5.8559999999999999</v>
      </c>
      <c r="D12" s="8">
        <f t="shared" si="0"/>
        <v>0.81641308089500852</v>
      </c>
      <c r="E12" s="9">
        <f t="shared" si="1"/>
        <v>5.0395869191049911</v>
      </c>
      <c r="F12" s="11">
        <v>0.75</v>
      </c>
      <c r="G12" s="16">
        <f t="shared" si="2"/>
        <v>37.796901893287433</v>
      </c>
      <c r="H12" s="10">
        <v>0.5</v>
      </c>
      <c r="I12" s="16">
        <f t="shared" si="3"/>
        <v>24.492392426850255</v>
      </c>
      <c r="J12" s="17">
        <f t="shared" si="4"/>
        <v>45.310925989672974</v>
      </c>
      <c r="K12" s="27"/>
      <c r="L12" s="28"/>
      <c r="M12" s="28"/>
      <c r="N12" s="30"/>
      <c r="O12" s="4">
        <v>9</v>
      </c>
      <c r="P12" s="3">
        <v>8</v>
      </c>
      <c r="Q12" s="7">
        <f>P12/N11</f>
        <v>0.38095238095238093</v>
      </c>
      <c r="R12" s="27"/>
      <c r="S12" s="119"/>
      <c r="T12" s="4">
        <v>15.1</v>
      </c>
      <c r="U12" s="3"/>
      <c r="V12" s="3">
        <v>20.9</v>
      </c>
      <c r="W12" s="128">
        <v>1.58</v>
      </c>
    </row>
    <row r="13" spans="1:23" ht="0.6" customHeight="1" x14ac:dyDescent="0.3">
      <c r="A13" s="34"/>
      <c r="B13" s="35"/>
      <c r="C13" s="36"/>
      <c r="D13" s="37"/>
      <c r="E13" s="38"/>
      <c r="F13" s="39"/>
      <c r="G13" s="40"/>
      <c r="H13" s="36"/>
      <c r="I13" s="40"/>
      <c r="J13" s="41"/>
      <c r="K13" s="42"/>
      <c r="L13" s="43"/>
      <c r="M13" s="43"/>
      <c r="N13" s="44"/>
      <c r="O13" s="42"/>
      <c r="P13" s="43"/>
      <c r="Q13" s="45"/>
      <c r="R13" s="42"/>
      <c r="S13" s="117"/>
      <c r="T13" s="4"/>
      <c r="U13" s="3"/>
      <c r="V13" s="3"/>
      <c r="W13" s="128"/>
    </row>
    <row r="14" spans="1:23" ht="24.45" customHeight="1" x14ac:dyDescent="0.3">
      <c r="A14" s="24" t="s">
        <v>38</v>
      </c>
      <c r="B14" s="46">
        <v>16.2</v>
      </c>
      <c r="C14" s="47">
        <v>6.8460000000000001</v>
      </c>
      <c r="D14" s="8">
        <f t="shared" si="0"/>
        <v>0.95443373493975903</v>
      </c>
      <c r="E14" s="9">
        <f t="shared" si="1"/>
        <v>5.8915662650602414</v>
      </c>
      <c r="F14" s="11">
        <v>1</v>
      </c>
      <c r="G14" s="16">
        <f t="shared" si="2"/>
        <v>58.915662650602414</v>
      </c>
      <c r="H14" s="10">
        <v>0.5</v>
      </c>
      <c r="I14" s="16">
        <f t="shared" si="3"/>
        <v>28.633012048192771</v>
      </c>
      <c r="J14" s="17">
        <f t="shared" si="4"/>
        <v>52.971072289156623</v>
      </c>
      <c r="K14" s="4">
        <v>20</v>
      </c>
      <c r="L14" s="3">
        <v>19</v>
      </c>
      <c r="M14" s="3">
        <v>16</v>
      </c>
      <c r="N14" s="6">
        <v>16</v>
      </c>
      <c r="O14" s="27"/>
      <c r="P14" s="28"/>
      <c r="Q14" s="29"/>
      <c r="R14" s="4"/>
      <c r="S14" s="118"/>
      <c r="T14" s="4">
        <v>15.4</v>
      </c>
      <c r="U14" s="3">
        <v>14.7</v>
      </c>
      <c r="V14" s="3"/>
      <c r="W14" s="128"/>
    </row>
    <row r="15" spans="1:23" ht="24.45" customHeight="1" x14ac:dyDescent="0.3">
      <c r="A15" s="24" t="s">
        <v>39</v>
      </c>
      <c r="B15" s="46">
        <v>16.2</v>
      </c>
      <c r="C15" s="47">
        <v>5.8650000000000002</v>
      </c>
      <c r="D15" s="8">
        <f t="shared" si="0"/>
        <v>0.81766781411359724</v>
      </c>
      <c r="E15" s="9">
        <f t="shared" si="1"/>
        <v>5.0473321858864031</v>
      </c>
      <c r="F15" s="11">
        <v>1</v>
      </c>
      <c r="G15" s="16">
        <f t="shared" si="2"/>
        <v>50.473321858864033</v>
      </c>
      <c r="H15" s="10">
        <v>0.5</v>
      </c>
      <c r="I15" s="16">
        <f t="shared" si="3"/>
        <v>24.530034423407916</v>
      </c>
      <c r="J15" s="17">
        <f t="shared" si="4"/>
        <v>45.380563683304644</v>
      </c>
      <c r="K15" s="27"/>
      <c r="L15" s="28"/>
      <c r="M15" s="28"/>
      <c r="N15" s="30"/>
      <c r="O15" s="4">
        <v>12</v>
      </c>
      <c r="P15" s="3">
        <v>11</v>
      </c>
      <c r="Q15" s="7">
        <f>P15/N14</f>
        <v>0.6875</v>
      </c>
      <c r="R15" s="27"/>
      <c r="S15" s="119"/>
      <c r="T15" s="4">
        <v>15.5</v>
      </c>
      <c r="U15" s="3"/>
      <c r="V15" s="3">
        <v>20.5</v>
      </c>
      <c r="W15" s="128">
        <v>0.97</v>
      </c>
    </row>
    <row r="16" spans="1:23" ht="0.6" customHeight="1" x14ac:dyDescent="0.3">
      <c r="A16" s="34"/>
      <c r="B16" s="35"/>
      <c r="C16" s="36"/>
      <c r="D16" s="37"/>
      <c r="E16" s="38"/>
      <c r="F16" s="39"/>
      <c r="G16" s="40"/>
      <c r="H16" s="36"/>
      <c r="I16" s="40"/>
      <c r="J16" s="41"/>
      <c r="K16" s="42"/>
      <c r="L16" s="43"/>
      <c r="M16" s="43"/>
      <c r="N16" s="44"/>
      <c r="O16" s="42"/>
      <c r="P16" s="43"/>
      <c r="Q16" s="45"/>
      <c r="R16" s="42"/>
      <c r="S16" s="117"/>
      <c r="T16" s="4"/>
      <c r="U16" s="3"/>
      <c r="V16" s="3"/>
      <c r="W16" s="128"/>
    </row>
    <row r="17" spans="1:23" ht="24" customHeight="1" x14ac:dyDescent="0.3">
      <c r="A17" s="24" t="s">
        <v>40</v>
      </c>
      <c r="B17" s="46">
        <v>16.2</v>
      </c>
      <c r="C17" s="47">
        <v>6.8460000000000001</v>
      </c>
      <c r="D17" s="8">
        <f t="shared" si="0"/>
        <v>0.95443373493975903</v>
      </c>
      <c r="E17" s="9">
        <f t="shared" si="1"/>
        <v>5.8915662650602414</v>
      </c>
      <c r="F17" s="11">
        <v>0.5</v>
      </c>
      <c r="G17" s="16">
        <f t="shared" si="2"/>
        <v>29.457831325301207</v>
      </c>
      <c r="H17" s="10">
        <v>0.75</v>
      </c>
      <c r="I17" s="16">
        <f t="shared" si="3"/>
        <v>42.949518072289159</v>
      </c>
      <c r="J17" s="17">
        <f t="shared" si="4"/>
        <v>79.456608433734942</v>
      </c>
      <c r="K17" s="12">
        <v>16</v>
      </c>
      <c r="L17" s="3">
        <v>15</v>
      </c>
      <c r="M17" s="3">
        <v>18</v>
      </c>
      <c r="N17" s="6">
        <v>17</v>
      </c>
      <c r="O17" s="31"/>
      <c r="P17" s="28"/>
      <c r="Q17" s="29"/>
      <c r="R17" s="12"/>
      <c r="S17" s="118"/>
      <c r="T17" s="4">
        <v>14.8</v>
      </c>
      <c r="U17" s="3">
        <v>14.6</v>
      </c>
      <c r="V17" s="3"/>
      <c r="W17" s="128"/>
    </row>
    <row r="18" spans="1:23" ht="24" customHeight="1" x14ac:dyDescent="0.3">
      <c r="A18" s="24" t="s">
        <v>41</v>
      </c>
      <c r="B18" s="46">
        <v>16.2</v>
      </c>
      <c r="C18" s="47">
        <v>5.8650000000000002</v>
      </c>
      <c r="D18" s="8">
        <f t="shared" si="0"/>
        <v>0.81766781411359724</v>
      </c>
      <c r="E18" s="9">
        <f t="shared" si="1"/>
        <v>5.0473321858864031</v>
      </c>
      <c r="F18" s="11">
        <v>0.5</v>
      </c>
      <c r="G18" s="16">
        <f t="shared" si="2"/>
        <v>25.236660929432016</v>
      </c>
      <c r="H18" s="10">
        <v>0.75</v>
      </c>
      <c r="I18" s="16">
        <f t="shared" si="3"/>
        <v>36.795051635111875</v>
      </c>
      <c r="J18" s="17">
        <f t="shared" si="4"/>
        <v>68.070845524956965</v>
      </c>
      <c r="K18" s="31"/>
      <c r="L18" s="28"/>
      <c r="M18" s="28"/>
      <c r="N18" s="30"/>
      <c r="O18" s="12">
        <v>10</v>
      </c>
      <c r="P18" s="3">
        <v>9</v>
      </c>
      <c r="Q18" s="7">
        <f>P18/N17</f>
        <v>0.52941176470588236</v>
      </c>
      <c r="R18" s="31"/>
      <c r="S18" s="119"/>
      <c r="T18" s="4">
        <v>16</v>
      </c>
      <c r="U18" s="3"/>
      <c r="V18" s="3">
        <v>19.8</v>
      </c>
      <c r="W18" s="128">
        <v>0.89</v>
      </c>
    </row>
    <row r="19" spans="1:23" ht="0.6" customHeight="1" x14ac:dyDescent="0.3">
      <c r="A19" s="34"/>
      <c r="B19" s="35"/>
      <c r="C19" s="36"/>
      <c r="D19" s="37"/>
      <c r="E19" s="38"/>
      <c r="F19" s="39"/>
      <c r="G19" s="40"/>
      <c r="H19" s="36"/>
      <c r="I19" s="40"/>
      <c r="J19" s="41"/>
      <c r="K19" s="42"/>
      <c r="L19" s="43"/>
      <c r="M19" s="43"/>
      <c r="N19" s="44"/>
      <c r="O19" s="42"/>
      <c r="P19" s="43"/>
      <c r="Q19" s="45"/>
      <c r="R19" s="42"/>
      <c r="S19" s="117"/>
      <c r="T19" s="4"/>
      <c r="U19" s="3"/>
      <c r="V19" s="3"/>
      <c r="W19" s="128"/>
    </row>
    <row r="20" spans="1:23" ht="24.45" customHeight="1" x14ac:dyDescent="0.3">
      <c r="A20" s="24" t="s">
        <v>42</v>
      </c>
      <c r="B20" s="46">
        <v>16.2</v>
      </c>
      <c r="C20" s="53">
        <v>6.87</v>
      </c>
      <c r="D20" s="8">
        <f t="shared" ref="D20:D23" si="5" xml:space="preserve"> C20 * (1 - (1/(1+(B20/100))))</f>
        <v>0.95777969018932874</v>
      </c>
      <c r="E20" s="9">
        <f t="shared" ref="E20:E21" si="6">C20-D20</f>
        <v>5.9122203098106709</v>
      </c>
      <c r="F20" s="11">
        <v>0.5</v>
      </c>
      <c r="G20" s="16">
        <f t="shared" ref="G20:G21" si="7">((F20*E20)/100)*1000</f>
        <v>29.561101549053355</v>
      </c>
      <c r="H20" s="10">
        <v>1</v>
      </c>
      <c r="I20" s="16">
        <f t="shared" ref="I20:I21" si="8" xml:space="preserve"> 60 *H20 *D20</f>
        <v>57.466781411359726</v>
      </c>
      <c r="J20" s="17">
        <f t="shared" ref="J20:J21" si="9" xml:space="preserve"> 111 *H20 *D20</f>
        <v>106.31354561101548</v>
      </c>
      <c r="K20" s="12">
        <v>12</v>
      </c>
      <c r="L20" s="3">
        <v>11</v>
      </c>
      <c r="M20" s="3">
        <v>10</v>
      </c>
      <c r="N20" s="6">
        <v>14</v>
      </c>
      <c r="O20" s="32"/>
      <c r="P20" s="33"/>
      <c r="Q20" s="29"/>
      <c r="R20" s="25"/>
      <c r="S20" s="120"/>
      <c r="T20" s="4">
        <v>15.5</v>
      </c>
      <c r="U20" s="3">
        <v>16.2</v>
      </c>
      <c r="V20" s="3"/>
      <c r="W20" s="128"/>
    </row>
    <row r="21" spans="1:23" ht="24.45" customHeight="1" x14ac:dyDescent="0.3">
      <c r="A21" s="24" t="s">
        <v>43</v>
      </c>
      <c r="B21" s="46">
        <v>16.2</v>
      </c>
      <c r="C21" s="53">
        <v>5.8890000000000002</v>
      </c>
      <c r="D21" s="8">
        <f t="shared" si="5"/>
        <v>0.82101376936316695</v>
      </c>
      <c r="E21" s="9">
        <f t="shared" si="6"/>
        <v>5.0679862306368335</v>
      </c>
      <c r="F21" s="11">
        <v>0.5</v>
      </c>
      <c r="G21" s="16">
        <f t="shared" si="7"/>
        <v>25.339931153184168</v>
      </c>
      <c r="H21" s="10">
        <v>1</v>
      </c>
      <c r="I21" s="16">
        <f t="shared" si="8"/>
        <v>49.260826161790014</v>
      </c>
      <c r="J21" s="17">
        <f t="shared" si="9"/>
        <v>91.132528399311525</v>
      </c>
      <c r="K21" s="31"/>
      <c r="L21" s="28"/>
      <c r="M21" s="28"/>
      <c r="N21" s="30"/>
      <c r="O21" s="12">
        <v>14</v>
      </c>
      <c r="P21" s="3">
        <v>12</v>
      </c>
      <c r="Q21" s="7">
        <f>P21/N20</f>
        <v>0.8571428571428571</v>
      </c>
      <c r="R21" s="32"/>
      <c r="S21" s="121"/>
      <c r="T21" s="4">
        <v>16.2</v>
      </c>
      <c r="U21" s="3"/>
      <c r="V21" s="3">
        <v>18</v>
      </c>
      <c r="W21" s="128">
        <v>0.63</v>
      </c>
    </row>
    <row r="22" spans="1:23" ht="0.6" customHeight="1" x14ac:dyDescent="0.3">
      <c r="A22" s="34"/>
      <c r="B22" s="35"/>
      <c r="C22" s="36"/>
      <c r="D22" s="37"/>
      <c r="E22" s="38"/>
      <c r="F22" s="39"/>
      <c r="G22" s="40"/>
      <c r="H22" s="36"/>
      <c r="I22" s="40"/>
      <c r="J22" s="41"/>
      <c r="K22" s="42"/>
      <c r="L22" s="43"/>
      <c r="M22" s="43"/>
      <c r="N22" s="44"/>
      <c r="O22" s="42"/>
      <c r="P22" s="43"/>
      <c r="Q22" s="45"/>
      <c r="R22" s="42"/>
      <c r="S22" s="117"/>
      <c r="T22" s="4"/>
      <c r="U22" s="3"/>
      <c r="V22" s="3"/>
      <c r="W22" s="128"/>
    </row>
    <row r="23" spans="1:23" ht="24.45" customHeight="1" x14ac:dyDescent="0.3">
      <c r="A23" s="66" t="s">
        <v>44</v>
      </c>
      <c r="B23" s="68">
        <v>16.2</v>
      </c>
      <c r="C23" s="70">
        <v>5.8890000000000002</v>
      </c>
      <c r="D23" s="72">
        <f t="shared" si="5"/>
        <v>0.82101376936316695</v>
      </c>
      <c r="E23" s="74">
        <f>C23-D23</f>
        <v>5.0679862306368335</v>
      </c>
      <c r="F23" s="103">
        <v>0</v>
      </c>
      <c r="G23" s="105">
        <f>((F23*E23)/100)*1000</f>
        <v>0</v>
      </c>
      <c r="H23" s="107">
        <v>0</v>
      </c>
      <c r="I23" s="105">
        <f xml:space="preserve"> 60 *H23 *D23</f>
        <v>0</v>
      </c>
      <c r="J23" s="109">
        <f xml:space="preserve"> 111 *H23 *D23</f>
        <v>0</v>
      </c>
      <c r="K23" s="54">
        <v>16</v>
      </c>
      <c r="L23" s="56">
        <v>16</v>
      </c>
      <c r="M23" s="56"/>
      <c r="N23" s="58"/>
      <c r="O23" s="60">
        <v>2</v>
      </c>
      <c r="P23" s="62">
        <v>2</v>
      </c>
      <c r="Q23" s="64">
        <f>P23/L23</f>
        <v>0.125</v>
      </c>
      <c r="R23" s="4"/>
      <c r="S23" s="118"/>
      <c r="T23" s="54">
        <v>16.3</v>
      </c>
      <c r="U23" s="56"/>
      <c r="V23" s="56">
        <v>20.399999999999999</v>
      </c>
      <c r="W23" s="58">
        <v>0.16</v>
      </c>
    </row>
    <row r="24" spans="1:23" ht="24.45" customHeight="1" x14ac:dyDescent="0.3">
      <c r="A24" s="67"/>
      <c r="B24" s="69"/>
      <c r="C24" s="71"/>
      <c r="D24" s="73"/>
      <c r="E24" s="75"/>
      <c r="F24" s="104"/>
      <c r="G24" s="106"/>
      <c r="H24" s="108"/>
      <c r="I24" s="106"/>
      <c r="J24" s="110"/>
      <c r="K24" s="55"/>
      <c r="L24" s="57"/>
      <c r="M24" s="57"/>
      <c r="N24" s="59"/>
      <c r="O24" s="61"/>
      <c r="P24" s="63"/>
      <c r="Q24" s="65"/>
      <c r="R24" s="27"/>
      <c r="S24" s="119"/>
      <c r="T24" s="55"/>
      <c r="U24" s="57"/>
      <c r="V24" s="57"/>
      <c r="W24" s="59"/>
    </row>
    <row r="25" spans="1:23" ht="0.6" customHeight="1" x14ac:dyDescent="0.3">
      <c r="A25" s="34"/>
      <c r="B25" s="35"/>
      <c r="C25" s="36"/>
      <c r="D25" s="37"/>
      <c r="E25" s="38"/>
      <c r="F25" s="39"/>
      <c r="G25" s="40"/>
      <c r="H25" s="36"/>
      <c r="I25" s="40"/>
      <c r="J25" s="41"/>
      <c r="K25" s="42"/>
      <c r="L25" s="43"/>
      <c r="M25" s="43"/>
      <c r="N25" s="44"/>
      <c r="O25" s="42"/>
      <c r="P25" s="43"/>
      <c r="Q25" s="45"/>
      <c r="R25" s="42"/>
      <c r="S25" s="117"/>
      <c r="T25" s="4"/>
      <c r="U25" s="3"/>
      <c r="V25" s="3"/>
      <c r="W25" s="128"/>
    </row>
    <row r="26" spans="1:23" ht="24.45" customHeight="1" x14ac:dyDescent="0.3">
      <c r="A26" s="66" t="s">
        <v>45</v>
      </c>
      <c r="B26" s="68">
        <v>16.2</v>
      </c>
      <c r="C26" s="70">
        <v>5.8559999999999999</v>
      </c>
      <c r="D26" s="72">
        <f>C26 * ( 1 - (1/(1+(B26/100))))</f>
        <v>0.81641308089500852</v>
      </c>
      <c r="E26" s="74">
        <f>C26-D26</f>
        <v>5.0395869191049911</v>
      </c>
      <c r="F26" s="76" t="s">
        <v>46</v>
      </c>
      <c r="G26" s="77"/>
      <c r="H26" s="77"/>
      <c r="I26" s="77"/>
      <c r="J26" s="78"/>
      <c r="K26" s="54">
        <v>26</v>
      </c>
      <c r="L26" s="56">
        <v>23</v>
      </c>
      <c r="M26" s="56"/>
      <c r="N26" s="58"/>
      <c r="O26" s="60">
        <v>19</v>
      </c>
      <c r="P26" s="62">
        <v>21</v>
      </c>
      <c r="Q26" s="64">
        <f>P26/L26</f>
        <v>0.91304347826086951</v>
      </c>
      <c r="R26" s="4"/>
      <c r="S26" s="118"/>
      <c r="T26" s="54">
        <v>13.6</v>
      </c>
      <c r="U26" s="56"/>
      <c r="V26" s="56">
        <v>22.6</v>
      </c>
      <c r="W26" s="58">
        <v>1.54</v>
      </c>
    </row>
    <row r="27" spans="1:23" ht="24.45" customHeight="1" thickBot="1" x14ac:dyDescent="0.35">
      <c r="A27" s="67"/>
      <c r="B27" s="69"/>
      <c r="C27" s="71"/>
      <c r="D27" s="73"/>
      <c r="E27" s="75"/>
      <c r="F27" s="79"/>
      <c r="G27" s="80"/>
      <c r="H27" s="80"/>
      <c r="I27" s="80"/>
      <c r="J27" s="81"/>
      <c r="K27" s="55"/>
      <c r="L27" s="57"/>
      <c r="M27" s="57"/>
      <c r="N27" s="59"/>
      <c r="O27" s="61"/>
      <c r="P27" s="63"/>
      <c r="Q27" s="65"/>
      <c r="R27" s="27"/>
      <c r="S27" s="119"/>
      <c r="T27" s="135"/>
      <c r="U27" s="133"/>
      <c r="V27" s="133"/>
      <c r="W27" s="136"/>
    </row>
    <row r="29" spans="1:23" ht="14.4" customHeight="1" x14ac:dyDescent="0.3">
      <c r="F29" s="134" t="s">
        <v>51</v>
      </c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</row>
    <row r="30" spans="1:23" ht="14.4" customHeight="1" x14ac:dyDescent="0.3"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</row>
    <row r="31" spans="1:23" ht="14.4" customHeight="1" x14ac:dyDescent="0.3"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</row>
    <row r="32" spans="1:23" ht="14.4" customHeight="1" x14ac:dyDescent="0.3"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</row>
  </sheetData>
  <mergeCells count="50">
    <mergeCell ref="T23:T24"/>
    <mergeCell ref="U23:U24"/>
    <mergeCell ref="V23:V24"/>
    <mergeCell ref="W23:W24"/>
    <mergeCell ref="F29:S32"/>
    <mergeCell ref="T1:T2"/>
    <mergeCell ref="U1:U2"/>
    <mergeCell ref="V1:V2"/>
    <mergeCell ref="W1:W2"/>
    <mergeCell ref="V26:V27"/>
    <mergeCell ref="T26:T27"/>
    <mergeCell ref="U26:U27"/>
    <mergeCell ref="W26:W27"/>
    <mergeCell ref="F26:J27"/>
    <mergeCell ref="K1:N1"/>
    <mergeCell ref="O1:Q2"/>
    <mergeCell ref="R1:S2"/>
    <mergeCell ref="B2:E2"/>
    <mergeCell ref="F2:J2"/>
    <mergeCell ref="K2:L2"/>
    <mergeCell ref="M2:N2"/>
    <mergeCell ref="F23:F24"/>
    <mergeCell ref="G23:G24"/>
    <mergeCell ref="H23:H24"/>
    <mergeCell ref="I23:I24"/>
    <mergeCell ref="J23:J24"/>
    <mergeCell ref="K23:K24"/>
    <mergeCell ref="L23:L24"/>
    <mergeCell ref="M23:M24"/>
    <mergeCell ref="A26:A27"/>
    <mergeCell ref="B26:B27"/>
    <mergeCell ref="C26:C27"/>
    <mergeCell ref="D26:D27"/>
    <mergeCell ref="E26:E27"/>
    <mergeCell ref="A23:A24"/>
    <mergeCell ref="B23:B24"/>
    <mergeCell ref="C23:C24"/>
    <mergeCell ref="D23:D24"/>
    <mergeCell ref="E23:E24"/>
    <mergeCell ref="P26:P27"/>
    <mergeCell ref="Q26:Q27"/>
    <mergeCell ref="N23:N24"/>
    <mergeCell ref="O23:O24"/>
    <mergeCell ref="P23:P24"/>
    <mergeCell ref="Q23:Q24"/>
    <mergeCell ref="K26:K27"/>
    <mergeCell ref="L26:L27"/>
    <mergeCell ref="M26:M27"/>
    <mergeCell ref="N26:N27"/>
    <mergeCell ref="O26:O27"/>
  </mergeCells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G8" sqref="G8"/>
    </sheetView>
  </sheetViews>
  <sheetFormatPr baseColWidth="10" defaultColWidth="8.77734375" defaultRowHeight="14.4" x14ac:dyDescent="0.3"/>
  <cols>
    <col min="1" max="1" width="24.44140625" bestFit="1" customWidth="1"/>
    <col min="2" max="2" width="11.77734375" bestFit="1" customWidth="1"/>
  </cols>
  <sheetData>
    <row r="1" spans="1:2" x14ac:dyDescent="0.3">
      <c r="A1" s="1" t="s">
        <v>0</v>
      </c>
      <c r="B1" s="1">
        <v>12</v>
      </c>
    </row>
    <row r="2" spans="1:2" x14ac:dyDescent="0.3">
      <c r="A2" s="1" t="s">
        <v>1</v>
      </c>
      <c r="B2" s="1">
        <v>6</v>
      </c>
    </row>
    <row r="3" spans="1:2" x14ac:dyDescent="0.3">
      <c r="A3" s="1" t="s">
        <v>2</v>
      </c>
      <c r="B3" s="2">
        <f xml:space="preserve"> B2 * (1 - (1/(1+(B1/100))))</f>
        <v>0.64285714285714324</v>
      </c>
    </row>
    <row r="4" spans="1:2" x14ac:dyDescent="0.3">
      <c r="A4" s="1" t="s">
        <v>3</v>
      </c>
      <c r="B4" s="2">
        <f xml:space="preserve"> B3</f>
        <v>0.64285714285714324</v>
      </c>
    </row>
    <row r="5" spans="1:2" x14ac:dyDescent="0.3">
      <c r="A5" s="1" t="s">
        <v>4</v>
      </c>
      <c r="B5" s="1">
        <v>1</v>
      </c>
    </row>
    <row r="6" spans="1:2" x14ac:dyDescent="0.3">
      <c r="A6" s="1" t="s">
        <v>5</v>
      </c>
      <c r="B6" s="1">
        <f>B5 *B4 * 60</f>
        <v>38.571428571428598</v>
      </c>
    </row>
    <row r="7" spans="1:2" x14ac:dyDescent="0.3">
      <c r="A7" s="1" t="s">
        <v>6</v>
      </c>
      <c r="B7" s="1">
        <v>1</v>
      </c>
    </row>
    <row r="8" spans="1:2" x14ac:dyDescent="0.3">
      <c r="A8" s="1" t="s">
        <v>7</v>
      </c>
      <c r="B8" s="1">
        <f xml:space="preserve"> 111 * B7 *B4</f>
        <v>71.357142857142904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EAB41BAAA54447A63D8A2607DE488D" ma:contentTypeVersion="19" ma:contentTypeDescription="Crée un document." ma:contentTypeScope="" ma:versionID="a36b6bdf74f1e8c6ecfa6a869f387da1">
  <xsd:schema xmlns:xsd="http://www.w3.org/2001/XMLSchema" xmlns:xs="http://www.w3.org/2001/XMLSchema" xmlns:p="http://schemas.microsoft.com/office/2006/metadata/properties" xmlns:ns2="33921485-91f9-47c4-b67f-c73abf6c189f" xmlns:ns3="15c14c2d-aa5f-4be6-90a5-eedcdceddc5c" targetNamespace="http://schemas.microsoft.com/office/2006/metadata/properties" ma:root="true" ma:fieldsID="f58f9396a9a187ed45644217ee6a8e27" ns2:_="" ns3:_="">
    <xsd:import namespace="33921485-91f9-47c4-b67f-c73abf6c189f"/>
    <xsd:import namespace="15c14c2d-aa5f-4be6-90a5-eedcdceddc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Int_x00e9_gr_x00e9__x00e0_lamap_x003f_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21485-91f9-47c4-b67f-c73abf6c1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Int_x00e9_gr_x00e9__x00e0_lamap_x003f_" ma:index="20" nillable="true" ma:displayName="Intégré au SP-IRD ?" ma:default="0" ma:format="Dropdown" ma:internalName="Int_x00e9_gr_x00e9__x00e0_lamap_x003f_">
      <xsd:simpleType>
        <xsd:restriction base="dms:Boolean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2de30655-58d6-405c-b76f-318c55c6c9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14c2d-aa5f-4be6-90a5-eedcdceddc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d2c2bd5-3fd8-4eb3-b44e-03652190548f}" ma:internalName="TaxCatchAll" ma:showField="CatchAllData" ma:web="15c14c2d-aa5f-4be6-90a5-eedcdceddc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t_x00e9_gr_x00e9__x00e0_lamap_x003f_ xmlns="33921485-91f9-47c4-b67f-c73abf6c189f">false</Int_x00e9_gr_x00e9__x00e0_lamap_x003f_>
    <TaxCatchAll xmlns="15c14c2d-aa5f-4be6-90a5-eedcdceddc5c" xsi:nil="true"/>
    <lcf76f155ced4ddcb4097134ff3c332f xmlns="33921485-91f9-47c4-b67f-c73abf6c18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35F269-8BD1-4514-8F33-80B9E9299F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EEB7E6-2F30-4082-B98A-8F20DD4D8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921485-91f9-47c4-b67f-c73abf6c189f"/>
    <ds:schemaRef ds:uri="15c14c2d-aa5f-4be6-90a5-eedcdceddc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6CC8F-80C5-440E-B6EC-1F4D63D80B22}">
  <ds:schemaRefs>
    <ds:schemaRef ds:uri="http://schemas.microsoft.com/office/2006/metadata/properties"/>
    <ds:schemaRef ds:uri="http://schemas.microsoft.com/office/infopath/2007/PartnerControls"/>
    <ds:schemaRef ds:uri="33921485-91f9-47c4-b67f-c73abf6c189f"/>
    <ds:schemaRef ds:uri="15c14c2d-aa5f-4be6-90a5-eedcdceddc5c"/>
  </ds:schemaRefs>
</ds:datastoreItem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 d'expérience</vt:lpstr>
      <vt:lpstr>Données Matériau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BISCAY Nicolas</dc:creator>
  <cp:lastModifiedBy>Frédéric MONTET</cp:lastModifiedBy>
  <cp:lastPrinted>2025-07-08T08:20:14Z</cp:lastPrinted>
  <dcterms:created xsi:type="dcterms:W3CDTF">2015-06-05T18:17:20Z</dcterms:created>
  <dcterms:modified xsi:type="dcterms:W3CDTF">2025-07-18T08:18:12Z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0x01010082EAB41BAAA54447A63D8A2607DE488D</vt:lpwstr>
  </property>
  <property fmtid="{D5CDD505-2E9C-101B-9397-08002B2CF9AE}" pid="3" name="MediaServiceImageTags">
    <vt:lpwstr/>
  </property>
</Properties>
</file>