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01\RAP99A  La Balme Les Grottes - Biomérieux TWINS Lot 1\Essais de Laboratoire\Portances\"/>
    </mc:Choice>
  </mc:AlternateContent>
  <xr:revisionPtr revIDLastSave="0" documentId="13_ncr:1_{071AD536-872B-41BA-A9EC-C34B3018421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60226 FdF Sprinkler" sheetId="17" r:id="rId1"/>
    <sheet name="260226 CdF Production" sheetId="16" r:id="rId2"/>
    <sheet name="260226 CdF Wharehouse" sheetId="15" r:id="rId3"/>
    <sheet name="25_260226 Purge" sheetId="14" r:id="rId4"/>
    <sheet name="260226 CdF Voirie PL (c)" sheetId="19" r:id="rId5"/>
    <sheet name="260226 CdF Voirie PL" sheetId="13" r:id="rId6"/>
    <sheet name="250226 CdF Utilities" sheetId="12" r:id="rId7"/>
    <sheet name="250226 CdF Labo" sheetId="11" r:id="rId8"/>
    <sheet name="250226 CdF Dr Piste (c)" sheetId="18" r:id="rId9"/>
    <sheet name="250226 CdF Dr Piste" sheetId="10" r:id="rId10"/>
    <sheet name="210126 CDF PF base vie" sheetId="9" r:id="rId11"/>
    <sheet name="210126 Arase PF Bât" sheetId="8" r:id="rId12"/>
    <sheet name="120126 CdF PF Base vie" sheetId="7" r:id="rId13"/>
    <sheet name="120626 CDF PF Bât." sheetId="6" r:id="rId14"/>
    <sheet name="120126 Arase chemin" sheetId="5" r:id="rId15"/>
    <sheet name="120126 FDF Bassin" sheetId="4" r:id="rId16"/>
    <sheet name="161225 AT PF Bât." sheetId="3" r:id="rId17"/>
    <sheet name="161225 CdF PF Base vie" sheetId="2" r:id="rId18"/>
    <sheet name="021225 AT PF Bat." sheetId="1" r:id="rId19"/>
  </sheets>
  <definedNames>
    <definedName name="_xlnm.Print_Area" localSheetId="18">'021225 AT PF Bat.'!$A$1:$Z$69</definedName>
    <definedName name="_xlnm.Print_Area" localSheetId="14">'120126 Arase chemin'!$A$1:$Z$63</definedName>
    <definedName name="_xlnm.Print_Area" localSheetId="12">'120126 CdF PF Base vie'!$A$1:$Z$71</definedName>
    <definedName name="_xlnm.Print_Area" localSheetId="15">'120126 FDF Bassin'!$A$1:$Z$62</definedName>
    <definedName name="_xlnm.Print_Area" localSheetId="13">'120626 CDF PF Bât.'!$A$1:$Z$63</definedName>
    <definedName name="_xlnm.Print_Area" localSheetId="16">'161225 AT PF Bât.'!$A$1:$Z$69</definedName>
    <definedName name="_xlnm.Print_Area" localSheetId="17">'161225 CdF PF Base vie'!$A$1:$Z$70</definedName>
    <definedName name="_xlnm.Print_Area" localSheetId="11">'210126 Arase PF Bât'!$A$1:$Z$61</definedName>
    <definedName name="_xlnm.Print_Area" localSheetId="10">'210126 CDF PF base vie'!$A$1:$Z$61</definedName>
    <definedName name="_xlnm.Print_Area" localSheetId="3">'25_260226 Purge'!$A$1:$Z$69</definedName>
    <definedName name="_xlnm.Print_Area" localSheetId="9">'250226 CdF Dr Piste'!$A$1:$Z$70</definedName>
    <definedName name="_xlnm.Print_Area" localSheetId="8">'250226 CdF Dr Piste (c)'!$A$1:$Z$70</definedName>
    <definedName name="_xlnm.Print_Area" localSheetId="7">'250226 CdF Labo'!$A$1:$Z$69</definedName>
    <definedName name="_xlnm.Print_Area" localSheetId="6">'250226 CdF Utilities'!$A$1:$Z$69</definedName>
    <definedName name="_xlnm.Print_Area" localSheetId="1">'260226 CdF Production'!$A$1:$Z$69</definedName>
    <definedName name="_xlnm.Print_Area" localSheetId="5">'260226 CdF Voirie PL'!$A$1:$Z$69</definedName>
    <definedName name="_xlnm.Print_Area" localSheetId="4">'260226 CdF Voirie PL (c)'!$A$1:$Z$69</definedName>
    <definedName name="_xlnm.Print_Area" localSheetId="2">'260226 CdF Wharehouse'!$A$1:$Z$69</definedName>
    <definedName name="_xlnm.Print_Area" localSheetId="0">'260226 FdF Sprinkler'!$A$1:$Z$69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7" i="19" l="1"/>
  <c r="K57" i="19"/>
  <c r="H57" i="19"/>
  <c r="N56" i="19"/>
  <c r="K56" i="19"/>
  <c r="H56" i="19"/>
  <c r="N55" i="19"/>
  <c r="K55" i="19"/>
  <c r="H55" i="19"/>
  <c r="K58" i="18"/>
  <c r="H58" i="18"/>
  <c r="K57" i="18"/>
  <c r="H57" i="18"/>
  <c r="K56" i="18"/>
  <c r="H56" i="18"/>
  <c r="N32" i="18"/>
  <c r="N58" i="18" s="1"/>
  <c r="N56" i="18" l="1"/>
  <c r="N57" i="18"/>
  <c r="N30" i="15" l="1"/>
  <c r="N29" i="15"/>
  <c r="N32" i="10"/>
  <c r="N57" i="17"/>
  <c r="N56" i="17"/>
  <c r="H57" i="17"/>
  <c r="H56" i="17"/>
  <c r="K57" i="17"/>
  <c r="K56" i="17"/>
  <c r="N55" i="17"/>
  <c r="K55" i="17"/>
  <c r="H55" i="17"/>
  <c r="H55" i="16"/>
  <c r="K55" i="16"/>
  <c r="N55" i="16"/>
  <c r="H56" i="16"/>
  <c r="K56" i="16"/>
  <c r="N56" i="16"/>
  <c r="H57" i="16"/>
  <c r="K57" i="16"/>
  <c r="N57" i="16"/>
  <c r="H55" i="15" l="1"/>
  <c r="K55" i="15"/>
  <c r="N55" i="15"/>
  <c r="H56" i="15"/>
  <c r="K56" i="15"/>
  <c r="N56" i="15"/>
  <c r="H57" i="15"/>
  <c r="K57" i="15"/>
  <c r="N57" i="15"/>
  <c r="H55" i="14"/>
  <c r="K55" i="14"/>
  <c r="N55" i="14"/>
  <c r="H56" i="14"/>
  <c r="K56" i="14"/>
  <c r="N56" i="14"/>
  <c r="H57" i="14"/>
  <c r="K57" i="14"/>
  <c r="N57" i="14"/>
  <c r="H55" i="13"/>
  <c r="K55" i="13"/>
  <c r="N55" i="13"/>
  <c r="H56" i="13"/>
  <c r="K56" i="13"/>
  <c r="N56" i="13"/>
  <c r="H57" i="13"/>
  <c r="K57" i="13"/>
  <c r="N57" i="13"/>
  <c r="H55" i="12"/>
  <c r="K55" i="12"/>
  <c r="N55" i="12"/>
  <c r="H56" i="12"/>
  <c r="K56" i="12"/>
  <c r="N56" i="12"/>
  <c r="H57" i="12"/>
  <c r="K57" i="12"/>
  <c r="N57" i="12"/>
  <c r="H55" i="11"/>
  <c r="K55" i="11"/>
  <c r="N55" i="11"/>
  <c r="H56" i="11"/>
  <c r="K56" i="11"/>
  <c r="N56" i="11"/>
  <c r="H57" i="11"/>
  <c r="K57" i="11"/>
  <c r="N57" i="11"/>
  <c r="H56" i="10" l="1"/>
  <c r="K56" i="10"/>
  <c r="N56" i="10"/>
  <c r="H57" i="10"/>
  <c r="K57" i="10"/>
  <c r="N57" i="10"/>
  <c r="H58" i="10"/>
  <c r="K58" i="10"/>
  <c r="N58" i="10"/>
  <c r="H49" i="9"/>
  <c r="H48" i="9"/>
  <c r="H47" i="9"/>
  <c r="H47" i="8"/>
  <c r="H48" i="8"/>
  <c r="H49" i="8"/>
  <c r="H59" i="7"/>
  <c r="H58" i="7"/>
  <c r="H57" i="7"/>
  <c r="H51" i="6"/>
  <c r="H50" i="6"/>
  <c r="H49" i="6"/>
  <c r="H51" i="5"/>
  <c r="H50" i="5"/>
  <c r="H49" i="5"/>
  <c r="H48" i="4"/>
  <c r="H49" i="4"/>
  <c r="H50" i="4"/>
  <c r="H55" i="3"/>
  <c r="H56" i="3"/>
  <c r="H57" i="3"/>
  <c r="H56" i="2"/>
  <c r="H57" i="2"/>
  <c r="H58" i="2"/>
  <c r="H57" i="1"/>
  <c r="H56" i="1"/>
  <c r="H55" i="1"/>
</calcChain>
</file>

<file path=xl/sharedStrings.xml><?xml version="1.0" encoding="utf-8"?>
<sst xmlns="http://schemas.openxmlformats.org/spreadsheetml/2006/main" count="1085" uniqueCount="118">
  <si>
    <t>COMPTE RENDU D'ESSAIS</t>
  </si>
  <si>
    <t>PORTANCES DES PLATES-FORMES DYNAPLAQUE 
(NF P 94-117-2 d'octobre 2004)</t>
  </si>
  <si>
    <t>PLD N°</t>
  </si>
  <si>
    <t>RA P99A</t>
  </si>
  <si>
    <t>02/12/2025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</si>
  <si>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</si>
  <si>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</si>
  <si>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</si>
  <si>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</si>
  <si>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</si>
  <si>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</si>
  <si>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</si>
  <si>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</si>
  <si>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</si>
  <si>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</si>
  <si>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sablo limoneuse</t>
  </si>
  <si>
    <t>Date de(s) essai(s) :</t>
  </si>
  <si>
    <t>Météo :</t>
  </si>
  <si>
    <t>Couvert</t>
  </si>
  <si>
    <t>Partie de l'ouvrage :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</si>
  <si>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</si>
  <si>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</si>
  <si>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</si>
  <si>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</si>
  <si>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</si>
  <si>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</si>
  <si>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</si>
  <si>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</si>
  <si>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</si>
  <si>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</si>
  <si>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</si>
  <si>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</si>
  <si>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</si>
  <si>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</si>
  <si>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</si>
  <si>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</si>
  <si>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</si>
  <si>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100.00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</si>
  <si>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</si>
  <si>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</si>
  <si>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</si>
  <si>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</si>
  <si>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</si>
  <si>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</si>
  <si>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</si>
  <si>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</si>
  <si>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</si>
  <si>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</si>
  <si>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</si>
  <si>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</si>
  <si>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</si>
  <si>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La Balme Les Grottes Biomérieux
Twins Lot 1</t>
  </si>
  <si>
    <t>AT - PF Batiment</t>
  </si>
  <si>
    <t>Pour information</t>
  </si>
  <si>
    <t xml:space="preserve"> 48.39</t>
  </si>
  <si>
    <t>PF Base vie</t>
  </si>
  <si>
    <t>16/12/2025</t>
  </si>
  <si>
    <t>GDNT 0/80</t>
  </si>
  <si>
    <t xml:space="preserve"> 95.45</t>
  </si>
  <si>
    <t>PF Bâtiment- AT</t>
  </si>
  <si>
    <t>Grave limoneuse</t>
  </si>
  <si>
    <t>Un point en dessous de l'objectif, pouvant être amener à s'améliorer.</t>
  </si>
  <si>
    <t>Technicien de laboratoire</t>
  </si>
  <si>
    <t>F. MONTET</t>
  </si>
  <si>
    <t>&lt;20</t>
  </si>
  <si>
    <t>Oui</t>
  </si>
  <si>
    <t>Beau</t>
  </si>
  <si>
    <t>12/01/2026</t>
  </si>
  <si>
    <t>F. Montet</t>
  </si>
  <si>
    <t>Grave</t>
  </si>
  <si>
    <t>Fond de forme bassin</t>
  </si>
  <si>
    <t>Arase chemin</t>
  </si>
  <si>
    <t xml:space="preserve">Limon graveleux </t>
  </si>
  <si>
    <t>Pour Information</t>
  </si>
  <si>
    <t>CDF PF Bâtiment</t>
  </si>
  <si>
    <t>0/80</t>
  </si>
  <si>
    <t>CdF PF Base vie</t>
  </si>
  <si>
    <t>Arase</t>
  </si>
  <si>
    <t>21/01/2026</t>
  </si>
  <si>
    <t>Matériaux du site</t>
  </si>
  <si>
    <t>Niveau arase</t>
  </si>
  <si>
    <t>Niveau arase + 15cm</t>
  </si>
  <si>
    <t>Niveau arase - 30cm</t>
  </si>
  <si>
    <t>Reprise des points non conforme sur rapport N°7.</t>
  </si>
  <si>
    <t>EV2 / EV1</t>
  </si>
  <si>
    <t>Module EV1</t>
  </si>
  <si>
    <t>25/02/2026</t>
  </si>
  <si>
    <t>Grave drainante 0/20</t>
  </si>
  <si>
    <t>PLW12 N°</t>
  </si>
  <si>
    <t xml:space="preserve">PORTANCES DES PLATES-FORMES  </t>
  </si>
  <si>
    <t>Matériau non cohésif. Aucune pérennité de la piste lors de la construction des bâtiments.
Les points 5 et 6 sont non conformes en portances.</t>
  </si>
  <si>
    <t>Grave concassée 0/80</t>
  </si>
  <si>
    <t>PORTANCES DES PLATES-FORMES  
( NF P 94-117-1 et NF P 94-117-3 )</t>
  </si>
  <si>
    <t>26/02/2026</t>
  </si>
  <si>
    <t>RAP99A</t>
  </si>
  <si>
    <t>Côte CdF -0,5m</t>
  </si>
  <si>
    <t>Côte AT -0,30m</t>
  </si>
  <si>
    <t>Fond de forme drainant</t>
  </si>
  <si>
    <t>en CdF</t>
  </si>
  <si>
    <t>Purge</t>
  </si>
  <si>
    <t>Drainant 40/80 + grave concassée 0/80</t>
  </si>
  <si>
    <t>4eme ligne</t>
  </si>
  <si>
    <t>3eme ligne</t>
  </si>
  <si>
    <t>2nde ligne</t>
  </si>
  <si>
    <t>1ere ligne</t>
  </si>
  <si>
    <t>FdF - PF Réservoir Sprinkler</t>
  </si>
  <si>
    <t>CdF - Voirie VL drainante</t>
  </si>
  <si>
    <t>CdF - PF "Laboratories"</t>
  </si>
  <si>
    <t>CdF - PF "Utilities"</t>
  </si>
  <si>
    <t>CdF - Voirie PL</t>
  </si>
  <si>
    <t>Les points 1 et 4 sont non conformes en portances.</t>
  </si>
  <si>
    <t>25-26/02/2026</t>
  </si>
  <si>
    <t>Non conforme</t>
  </si>
  <si>
    <t>PORTANCES DES PLATES-FORMES</t>
  </si>
  <si>
    <t>Portances conformes.</t>
  </si>
  <si>
    <t>CdF - Bât. "Production"</t>
  </si>
  <si>
    <t>CdF - Bât. "Wharehouse"</t>
  </si>
  <si>
    <t>Matériau non cohésif. Aucune pérennité de la piste lors de la construction des bâtiments.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</si>
</sst>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506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5" fillId="0" borderId="0" xfId="1"/>
    <xf numFmtId="0" fontId="16" fillId="0" borderId="0" xfId="1" applyFont="1" applyAlignment="1" applyProtection="1">
      <alignment vertical="center"/>
      <protection hidden="1"/>
    </xf>
    <xf numFmtId="0" fontId="16" fillId="0" borderId="0" xfId="1" applyFont="1" applyAlignment="1" applyProtection="1">
      <alignment horizontal="center" vertical="center"/>
      <protection hidden="1"/>
    </xf>
    <xf numFmtId="0" fontId="16" fillId="0" borderId="0" xfId="1" applyFont="1" applyProtection="1">
      <protection hidden="1"/>
    </xf>
    <xf numFmtId="0" fontId="12" fillId="0" borderId="4" xfId="1" applyFont="1" applyBorder="1" applyAlignment="1" applyProtection="1">
      <alignment vertical="center"/>
      <protection locked="0"/>
    </xf>
    <xf numFmtId="0" fontId="17" fillId="0" borderId="4" xfId="1" applyFont="1" applyBorder="1" applyAlignment="1" applyProtection="1">
      <alignment vertical="center"/>
      <protection hidden="1"/>
    </xf>
    <xf numFmtId="0" fontId="12" fillId="0" borderId="4" xfId="1" applyFont="1" applyBorder="1" applyAlignment="1" applyProtection="1">
      <alignment vertical="center" wrapText="1"/>
      <protection locked="0"/>
    </xf>
    <xf numFmtId="0" fontId="16" fillId="0" borderId="8" xfId="1" applyFont="1" applyBorder="1" applyAlignment="1" applyProtection="1">
      <alignment vertical="center" wrapText="1"/>
      <protection locked="0"/>
    </xf>
    <xf numFmtId="0" fontId="16" fillId="0" borderId="2" xfId="1" applyFont="1" applyBorder="1" applyAlignment="1" applyProtection="1">
      <alignment vertical="center" wrapText="1"/>
      <protection locked="0"/>
    </xf>
    <xf numFmtId="0" fontId="16" fillId="0" borderId="1" xfId="1" applyFont="1" applyBorder="1" applyAlignment="1" applyProtection="1">
      <alignment vertical="center" wrapText="1"/>
      <protection locked="0"/>
    </xf>
    <xf numFmtId="0" fontId="16" fillId="0" borderId="7" xfId="1" applyFont="1" applyBorder="1" applyAlignment="1" applyProtection="1">
      <alignment vertical="center" wrapText="1"/>
      <protection locked="0"/>
    </xf>
    <xf numFmtId="0" fontId="16" fillId="0" borderId="6" xfId="1" applyFont="1" applyBorder="1" applyAlignment="1" applyProtection="1">
      <alignment vertical="center" wrapText="1"/>
      <protection locked="0"/>
    </xf>
    <xf numFmtId="0" fontId="16" fillId="0" borderId="5" xfId="1" applyFont="1" applyBorder="1" applyAlignment="1" applyProtection="1">
      <alignment vertical="center" wrapText="1"/>
      <protection locked="0"/>
    </xf>
    <xf numFmtId="0" fontId="16" fillId="0" borderId="4" xfId="1" applyFont="1" applyBorder="1" applyAlignment="1" applyProtection="1">
      <alignment vertical="center" wrapText="1"/>
      <protection locked="0"/>
    </xf>
    <xf numFmtId="0" fontId="16" fillId="0" borderId="3" xfId="1" applyFont="1" applyBorder="1" applyAlignment="1" applyProtection="1">
      <alignment vertical="center" wrapText="1"/>
      <protection locked="0"/>
    </xf>
    <xf numFmtId="0" fontId="18" fillId="0" borderId="7" xfId="1" applyFont="1" applyBorder="1" applyAlignment="1" applyProtection="1">
      <alignment vertical="center"/>
      <protection hidden="1"/>
    </xf>
    <xf numFmtId="0" fontId="18" fillId="0" borderId="0" xfId="1" applyFont="1" applyAlignment="1" applyProtection="1">
      <alignment vertical="center"/>
      <protection hidden="1"/>
    </xf>
    <xf numFmtId="0" fontId="19" fillId="0" borderId="0" xfId="1" applyFont="1" applyAlignment="1" applyProtection="1">
      <alignment vertical="center"/>
      <protection hidden="1"/>
    </xf>
    <xf numFmtId="0" fontId="13" fillId="0" borderId="6" xfId="1" applyFont="1" applyBorder="1" applyAlignment="1" applyProtection="1">
      <alignment horizontal="center" vertical="center"/>
      <protection hidden="1"/>
    </xf>
    <xf numFmtId="0" fontId="16" fillId="0" borderId="10" xfId="1" applyFont="1" applyBorder="1" applyAlignment="1" applyProtection="1">
      <alignment horizontal="center" vertical="center" wrapText="1"/>
      <protection hidden="1"/>
    </xf>
    <xf numFmtId="0" fontId="16" fillId="0" borderId="9" xfId="1" applyFont="1" applyBorder="1" applyAlignment="1" applyProtection="1">
      <alignment horizontal="center" vertical="center" wrapText="1"/>
      <protection hidden="1"/>
    </xf>
    <xf numFmtId="0" fontId="17" fillId="0" borderId="9" xfId="1" applyFont="1" applyBorder="1" applyAlignment="1" applyProtection="1">
      <alignment horizontal="center" vertical="center" wrapText="1"/>
      <protection hidden="1"/>
    </xf>
    <xf numFmtId="0" fontId="17" fillId="0" borderId="4" xfId="1" applyFont="1" applyBorder="1" applyAlignment="1" applyProtection="1">
      <alignment horizontal="center" vertical="center" wrapText="1"/>
      <protection hidden="1"/>
    </xf>
    <xf numFmtId="0" fontId="16" fillId="0" borderId="4" xfId="1" applyFont="1" applyBorder="1" applyAlignment="1" applyProtection="1">
      <alignment vertical="center"/>
      <protection hidden="1"/>
    </xf>
    <xf numFmtId="0" fontId="16" fillId="0" borderId="13" xfId="1" applyFont="1" applyBorder="1" applyAlignment="1" applyProtection="1">
      <alignment vertical="center"/>
      <protection hidden="1"/>
    </xf>
    <xf numFmtId="0" fontId="20" fillId="0" borderId="13" xfId="1" applyFont="1" applyBorder="1" applyAlignment="1" applyProtection="1">
      <alignment vertical="center"/>
      <protection hidden="1"/>
    </xf>
    <xf numFmtId="0" fontId="19" fillId="0" borderId="4" xfId="1" applyFont="1" applyBorder="1" applyAlignment="1" applyProtection="1">
      <alignment vertical="center"/>
      <protection hidden="1"/>
    </xf>
    <xf numFmtId="0" fontId="13" fillId="0" borderId="3" xfId="1" applyFont="1" applyBorder="1" applyAlignment="1" applyProtection="1">
      <alignment vertical="center"/>
      <protection hidden="1"/>
    </xf>
    <xf numFmtId="0" fontId="21" fillId="0" borderId="0" xfId="1" applyFont="1" applyAlignment="1" applyProtection="1">
      <alignment vertical="center"/>
      <protection hidden="1"/>
    </xf>
    <xf numFmtId="0" fontId="21" fillId="0" borderId="0" xfId="1" applyFont="1" applyAlignment="1" applyProtection="1">
      <alignment horizontal="center" vertical="center"/>
      <protection hidden="1"/>
    </xf>
    <xf numFmtId="0" fontId="16" fillId="0" borderId="8" xfId="1" applyFont="1" applyBorder="1" applyAlignment="1" applyProtection="1">
      <alignment vertical="center"/>
      <protection hidden="1"/>
    </xf>
    <xf numFmtId="0" fontId="16" fillId="0" borderId="2" xfId="1" applyFont="1" applyBorder="1" applyAlignment="1" applyProtection="1">
      <alignment vertical="center"/>
      <protection hidden="1"/>
    </xf>
    <xf numFmtId="0" fontId="21" fillId="0" borderId="1" xfId="1" applyFont="1" applyBorder="1" applyAlignment="1" applyProtection="1">
      <alignment vertical="center"/>
      <protection hidden="1"/>
    </xf>
    <xf numFmtId="0" fontId="21" fillId="0" borderId="1" xfId="1" applyFont="1" applyBorder="1" applyAlignment="1" applyProtection="1">
      <alignment horizontal="center" vertical="center"/>
      <protection hidden="1"/>
    </xf>
    <xf numFmtId="0" fontId="16" fillId="0" borderId="7" xfId="1" applyFont="1" applyBorder="1" applyAlignment="1" applyProtection="1">
      <alignment vertical="center"/>
      <protection hidden="1"/>
    </xf>
    <xf numFmtId="0" fontId="16" fillId="0" borderId="6" xfId="1" applyFont="1" applyBorder="1" applyAlignment="1" applyProtection="1">
      <alignment horizontal="center" vertical="center"/>
      <protection hidden="1"/>
    </xf>
    <xf numFmtId="0" fontId="12" fillId="0" borderId="10" xfId="1" applyFont="1" applyBorder="1"/>
    <xf numFmtId="0" fontId="12" fillId="0" borderId="9" xfId="1" applyFont="1" applyBorder="1"/>
    <xf numFmtId="0" fontId="22" fillId="0" borderId="12" xfId="1" applyFont="1" applyBorder="1" applyAlignment="1">
      <alignment horizontal="center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4" xfId="1" applyFont="1" applyBorder="1" applyAlignment="1" applyProtection="1">
      <alignment horizontal="center"/>
      <protection locked="0"/>
    </xf>
    <xf numFmtId="2" fontId="12" fillId="0" borderId="14" xfId="1" applyNumberFormat="1" applyFont="1" applyBorder="1" applyAlignment="1">
      <alignment horizontal="center"/>
    </xf>
    <xf numFmtId="164" fontId="12" fillId="0" borderId="14" xfId="1" applyNumberFormat="1" applyFont="1" applyBorder="1" applyAlignment="1">
      <alignment horizontal="center" wrapText="1"/>
    </xf>
    <xf numFmtId="164" fontId="12" fillId="0" borderId="10" xfId="1" applyNumberFormat="1" applyFont="1" applyBorder="1" applyAlignment="1">
      <alignment horizontal="center"/>
    </xf>
    <xf numFmtId="164" fontId="12" fillId="0" borderId="9" xfId="1" applyNumberFormat="1" applyFont="1" applyBorder="1" applyAlignment="1">
      <alignment horizontal="center"/>
    </xf>
    <xf numFmtId="164" fontId="12" fillId="0" borderId="14" xfId="1" applyNumberFormat="1" applyFont="1" applyBorder="1" applyAlignment="1">
      <alignment horizontal="center"/>
    </xf>
    <xf numFmtId="0" fontId="22" fillId="0" borderId="15" xfId="1" applyFont="1" applyBorder="1" applyAlignment="1">
      <alignment horizontal="center"/>
    </xf>
    <xf numFmtId="0" fontId="22" fillId="0" borderId="11" xfId="1" applyFont="1" applyBorder="1" applyAlignment="1">
      <alignment horizontal="center"/>
    </xf>
    <xf numFmtId="0" fontId="12" fillId="0" borderId="4" xfId="1" applyFont="1" applyBorder="1"/>
    <xf numFmtId="0" fontId="16" fillId="0" borderId="6" xfId="1" applyFont="1" applyBorder="1" applyAlignment="1" applyProtection="1">
      <alignment vertical="center"/>
      <protection hidden="1"/>
    </xf>
    <xf numFmtId="0" fontId="16" fillId="0" borderId="5" xfId="1" applyFont="1" applyBorder="1" applyAlignment="1" applyProtection="1">
      <alignment vertical="center"/>
      <protection hidden="1"/>
    </xf>
    <xf numFmtId="0" fontId="20" fillId="0" borderId="4" xfId="1" applyFont="1" applyBorder="1" applyAlignment="1" applyProtection="1">
      <alignment vertical="center"/>
      <protection hidden="1"/>
    </xf>
    <xf numFmtId="0" fontId="20" fillId="0" borderId="4" xfId="1" applyFont="1" applyBorder="1" applyAlignment="1" applyProtection="1">
      <alignment horizontal="center" vertical="center"/>
      <protection hidden="1"/>
    </xf>
    <xf numFmtId="0" fontId="19" fillId="0" borderId="3" xfId="1" applyFont="1" applyBorder="1" applyAlignment="1" applyProtection="1">
      <alignment vertical="center"/>
      <protection hidden="1"/>
    </xf>
    <xf numFmtId="0" fontId="13" fillId="0" borderId="3" xfId="1" applyFont="1" applyBorder="1" applyAlignment="1" applyProtection="1">
      <alignment horizontal="center" vertical="center"/>
      <protection hidden="1"/>
    </xf>
    <xf numFmtId="0" fontId="16" fillId="0" borderId="4" xfId="1" applyFont="1" applyBorder="1" applyAlignment="1" applyProtection="1">
      <alignment horizontal="left" vertical="center"/>
      <protection hidden="1"/>
    </xf>
    <xf numFmtId="0" fontId="16" fillId="0" borderId="4" xfId="1" applyFont="1" applyBorder="1" applyAlignment="1" applyProtection="1">
      <alignment horizontal="center" vertical="center"/>
      <protection hidden="1"/>
    </xf>
    <xf numFmtId="0" fontId="16" fillId="0" borderId="3" xfId="1" applyFont="1" applyBorder="1" applyAlignment="1" applyProtection="1">
      <alignment vertical="center"/>
      <protection hidden="1"/>
    </xf>
    <xf numFmtId="0" fontId="16" fillId="0" borderId="8" xfId="1" applyFont="1" applyBorder="1" applyProtection="1">
      <protection hidden="1"/>
    </xf>
    <xf numFmtId="0" fontId="16" fillId="0" borderId="2" xfId="1" applyFont="1" applyBorder="1" applyProtection="1">
      <protection hidden="1"/>
    </xf>
    <xf numFmtId="0" fontId="16" fillId="0" borderId="1" xfId="1" applyFont="1" applyBorder="1" applyProtection="1">
      <protection hidden="1"/>
    </xf>
    <xf numFmtId="0" fontId="18" fillId="0" borderId="7" xfId="1" applyFont="1" applyBorder="1" applyAlignment="1" applyProtection="1">
      <alignment horizontal="left"/>
      <protection hidden="1"/>
    </xf>
    <xf numFmtId="0" fontId="12" fillId="0" borderId="0" xfId="1" applyFont="1" applyAlignment="1" applyProtection="1">
      <alignment horizontal="left"/>
      <protection locked="0"/>
    </xf>
    <xf numFmtId="0" fontId="16" fillId="0" borderId="6" xfId="1" applyFont="1" applyBorder="1" applyProtection="1">
      <protection hidden="1"/>
    </xf>
    <xf numFmtId="0" fontId="16" fillId="0" borderId="7" xfId="1" applyFont="1" applyBorder="1" applyProtection="1">
      <protection hidden="1"/>
    </xf>
    <xf numFmtId="0" fontId="13" fillId="0" borderId="0" xfId="1" applyFont="1" applyProtection="1">
      <protection hidden="1"/>
    </xf>
    <xf numFmtId="0" fontId="16" fillId="0" borderId="5" xfId="1" applyFont="1" applyBorder="1" applyProtection="1">
      <protection hidden="1"/>
    </xf>
    <xf numFmtId="0" fontId="16" fillId="0" borderId="4" xfId="1" applyFont="1" applyBorder="1" applyProtection="1">
      <protection hidden="1"/>
    </xf>
    <xf numFmtId="0" fontId="19" fillId="0" borderId="4" xfId="1" applyFont="1" applyBorder="1" applyProtection="1">
      <protection hidden="1"/>
    </xf>
    <xf numFmtId="14" fontId="22" fillId="0" borderId="0" xfId="1" applyNumberFormat="1" applyFont="1" applyAlignment="1" applyProtection="1">
      <alignment horizontal="center"/>
      <protection hidden="1"/>
    </xf>
    <xf numFmtId="0" fontId="17" fillId="0" borderId="0" xfId="1" applyFont="1" applyAlignment="1" applyProtection="1">
      <alignment horizontal="right"/>
      <protection hidden="1"/>
    </xf>
    <xf numFmtId="0" fontId="19" fillId="0" borderId="0" xfId="1" applyFont="1" applyAlignment="1" applyProtection="1">
      <alignment horizontal="right"/>
      <protection hidden="1"/>
    </xf>
    <xf numFmtId="0" fontId="16" fillId="0" borderId="2" xfId="1" applyFont="1" applyBorder="1" applyAlignment="1" applyProtection="1">
      <alignment horizontal="left" vertical="center"/>
      <protection hidden="1"/>
    </xf>
    <xf numFmtId="0" fontId="16" fillId="0" borderId="2" xfId="1" applyFont="1" applyBorder="1" applyAlignment="1" applyProtection="1">
      <alignment horizontal="center" vertical="center"/>
      <protection hidden="1"/>
    </xf>
    <xf numFmtId="0" fontId="16" fillId="0" borderId="1" xfId="1" applyFont="1" applyBorder="1" applyAlignment="1" applyProtection="1">
      <alignment horizontal="center" vertical="center"/>
      <protection hidden="1"/>
    </xf>
    <xf numFmtId="0" fontId="18" fillId="0" borderId="7" xfId="1" applyFont="1" applyBorder="1" applyAlignment="1" applyProtection="1">
      <alignment horizontal="left" vertical="center"/>
      <protection hidden="1"/>
    </xf>
    <xf numFmtId="0" fontId="16" fillId="0" borderId="1" xfId="1" applyFont="1" applyBorder="1" applyAlignment="1" applyProtection="1">
      <alignment vertical="center"/>
      <protection hidden="1"/>
    </xf>
    <xf numFmtId="0" fontId="22" fillId="0" borderId="37" xfId="1" applyFont="1" applyBorder="1" applyAlignment="1">
      <alignment horizontal="center"/>
    </xf>
    <xf numFmtId="0" fontId="22" fillId="0" borderId="41" xfId="1" applyFont="1" applyBorder="1" applyAlignment="1">
      <alignment horizontal="center"/>
    </xf>
    <xf numFmtId="0" fontId="1" fillId="0" borderId="4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6" fillId="0" borderId="37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4" fillId="0" borderId="3" xfId="1" applyFont="1" applyBorder="1" applyAlignment="1" applyProtection="1">
      <alignment horizontal="center" vertical="center" wrapText="1"/>
      <protection locked="0"/>
    </xf>
    <xf numFmtId="0" fontId="14" fillId="0" borderId="4" xfId="1" applyFont="1" applyBorder="1" applyAlignment="1" applyProtection="1">
      <alignment horizontal="center" vertical="center" wrapText="1"/>
      <protection locked="0"/>
    </xf>
    <xf numFmtId="0" fontId="14" fillId="0" borderId="5" xfId="1" applyFont="1" applyBorder="1" applyAlignment="1" applyProtection="1">
      <alignment horizontal="center" vertical="center" wrapText="1"/>
      <protection locked="0"/>
    </xf>
    <xf numFmtId="0" fontId="14" fillId="0" borderId="6" xfId="1" applyFont="1" applyBorder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14" fillId="0" borderId="7" xfId="1" applyFont="1" applyBorder="1" applyAlignment="1" applyProtection="1">
      <alignment horizontal="center" vertical="center" wrapText="1"/>
      <protection locked="0"/>
    </xf>
    <xf numFmtId="0" fontId="14" fillId="0" borderId="1" xfId="1" applyFont="1" applyBorder="1" applyAlignment="1" applyProtection="1">
      <alignment horizontal="center" vertical="center" wrapText="1"/>
      <protection locked="0"/>
    </xf>
    <xf numFmtId="0" fontId="14" fillId="0" borderId="2" xfId="1" applyFont="1" applyBorder="1" applyAlignment="1" applyProtection="1">
      <alignment horizontal="center" vertical="center" wrapText="1"/>
      <protection locked="0"/>
    </xf>
    <xf numFmtId="0" fontId="14" fillId="0" borderId="8" xfId="1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4" xfId="0" applyFont="1" applyBorder="1" applyAlignment="1">
      <alignment horizontal="center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" xfId="0" applyFont="1" applyBorder="1"/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164" fontId="7" fillId="0" borderId="14" xfId="0" applyNumberFormat="1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2" fontId="7" fillId="0" borderId="14" xfId="0" applyNumberFormat="1" applyFont="1" applyBorder="1" applyAlignment="1">
      <alignment horizontal="center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36" xfId="0" applyFont="1" applyBorder="1" applyAlignment="1" applyProtection="1">
      <alignment horizontal="center"/>
      <protection locked="0"/>
    </xf>
    <xf numFmtId="164" fontId="7" fillId="0" borderId="31" xfId="0" applyNumberFormat="1" applyFont="1" applyBorder="1" applyAlignment="1">
      <alignment horizontal="center"/>
    </xf>
    <xf numFmtId="164" fontId="7" fillId="0" borderId="20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4" fontId="7" fillId="0" borderId="30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164" fontId="7" fillId="0" borderId="36" xfId="0" applyNumberFormat="1" applyFont="1" applyBorder="1" applyAlignment="1">
      <alignment horizontal="center"/>
    </xf>
    <xf numFmtId="2" fontId="7" fillId="0" borderId="30" xfId="0" applyNumberFormat="1" applyFont="1" applyBorder="1" applyAlignment="1">
      <alignment horizontal="center"/>
    </xf>
    <xf numFmtId="2" fontId="7" fillId="0" borderId="17" xfId="0" applyNumberFormat="1" applyFont="1" applyBorder="1" applyAlignment="1">
      <alignment horizontal="center"/>
    </xf>
    <xf numFmtId="2" fontId="7" fillId="0" borderId="36" xfId="0" applyNumberFormat="1" applyFont="1" applyBorder="1" applyAlignment="1">
      <alignment horizontal="center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7" fillId="0" borderId="20" xfId="0" applyFont="1" applyBorder="1"/>
    <xf numFmtId="0" fontId="7" fillId="0" borderId="21" xfId="0" applyFont="1" applyBorder="1"/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left" vertical="center" wrapText="1"/>
      <protection locked="0"/>
    </xf>
    <xf numFmtId="0" fontId="12" fillId="0" borderId="0" xfId="1" applyFont="1" applyAlignment="1" applyProtection="1">
      <alignment horizontal="left" vertical="center" wrapText="1"/>
      <protection locked="0"/>
    </xf>
    <xf numFmtId="0" fontId="12" fillId="0" borderId="7" xfId="1" applyFont="1" applyBorder="1" applyAlignment="1" applyProtection="1">
      <alignment horizontal="left" vertical="center" wrapText="1"/>
      <protection locked="0"/>
    </xf>
    <xf numFmtId="0" fontId="12" fillId="0" borderId="1" xfId="1" applyFont="1" applyBorder="1" applyAlignment="1" applyProtection="1">
      <alignment horizontal="left" vertical="center" wrapText="1"/>
      <protection locked="0"/>
    </xf>
    <xf numFmtId="0" fontId="12" fillId="0" borderId="2" xfId="1" applyFont="1" applyBorder="1" applyAlignment="1" applyProtection="1">
      <alignment horizontal="left" vertical="center" wrapText="1"/>
      <protection locked="0"/>
    </xf>
    <xf numFmtId="0" fontId="12" fillId="0" borderId="8" xfId="1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center" vertical="center" wrapText="1"/>
      <protection locked="0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12" fillId="0" borderId="14" xfId="1" applyFont="1" applyBorder="1" applyAlignment="1" applyProtection="1">
      <alignment horizontal="center" vertical="center" wrapText="1"/>
      <protection locked="0"/>
    </xf>
    <xf numFmtId="0" fontId="12" fillId="0" borderId="9" xfId="1" applyFont="1" applyBorder="1" applyAlignment="1" applyProtection="1">
      <alignment horizontal="center" vertical="center" wrapText="1"/>
      <protection locked="0"/>
    </xf>
    <xf numFmtId="0" fontId="16" fillId="0" borderId="9" xfId="1" applyFont="1" applyBorder="1" applyAlignment="1" applyProtection="1">
      <alignment horizontal="center" vertical="center" wrapText="1"/>
      <protection locked="0"/>
    </xf>
    <xf numFmtId="0" fontId="16" fillId="0" borderId="10" xfId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2" fillId="0" borderId="3" xfId="1" applyFont="1" applyBorder="1" applyAlignment="1" applyProtection="1">
      <alignment horizontal="center" vertical="center" wrapText="1"/>
      <protection locked="0"/>
    </xf>
    <xf numFmtId="0" fontId="12" fillId="0" borderId="4" xfId="1" applyFont="1" applyBorder="1" applyAlignment="1" applyProtection="1">
      <alignment horizontal="center" vertical="center" wrapText="1"/>
      <protection locked="0"/>
    </xf>
    <xf numFmtId="0" fontId="16" fillId="0" borderId="4" xfId="1" applyFont="1" applyBorder="1" applyAlignment="1" applyProtection="1">
      <alignment horizontal="center" vertical="center" wrapText="1"/>
      <protection locked="0"/>
    </xf>
    <xf numFmtId="0" fontId="16" fillId="0" borderId="5" xfId="1" applyFont="1" applyBorder="1" applyAlignment="1" applyProtection="1">
      <alignment horizontal="center" vertical="center" wrapText="1"/>
      <protection locked="0"/>
    </xf>
    <xf numFmtId="0" fontId="12" fillId="0" borderId="6" xfId="1" applyFont="1" applyBorder="1" applyAlignment="1" applyProtection="1">
      <alignment horizontal="center" vertical="center" wrapText="1"/>
      <protection locked="0"/>
    </xf>
    <xf numFmtId="0" fontId="16" fillId="0" borderId="0" xfId="1" applyFont="1" applyAlignment="1" applyProtection="1">
      <alignment horizontal="center" vertical="center" wrapText="1"/>
      <protection locked="0"/>
    </xf>
    <xf numFmtId="0" fontId="16" fillId="0" borderId="7" xfId="1" applyFont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 applyProtection="1">
      <alignment horizontal="center" vertical="center" wrapText="1"/>
      <protection locked="0"/>
    </xf>
    <xf numFmtId="0" fontId="12" fillId="0" borderId="2" xfId="1" applyFont="1" applyBorder="1" applyAlignment="1" applyProtection="1">
      <alignment horizontal="center" vertical="center" wrapText="1"/>
      <protection locked="0"/>
    </xf>
    <xf numFmtId="0" fontId="16" fillId="0" borderId="2" xfId="1" applyFont="1" applyBorder="1" applyAlignment="1" applyProtection="1">
      <alignment horizontal="center" vertical="center" wrapText="1"/>
      <protection locked="0"/>
    </xf>
    <xf numFmtId="0" fontId="16" fillId="0" borderId="8" xfId="1" applyFont="1" applyBorder="1" applyAlignment="1" applyProtection="1">
      <alignment horizontal="center" vertical="center" wrapText="1"/>
      <protection locked="0"/>
    </xf>
    <xf numFmtId="14" fontId="12" fillId="0" borderId="0" xfId="0" applyNumberFormat="1" applyFont="1" applyAlignment="1" applyProtection="1">
      <alignment horizontal="left" vertical="center"/>
      <protection locked="0"/>
    </xf>
    <xf numFmtId="0" fontId="7" fillId="0" borderId="40" xfId="0" applyFont="1" applyBorder="1" applyAlignment="1" applyProtection="1">
      <alignment horizontal="center"/>
      <protection locked="0"/>
    </xf>
    <xf numFmtId="0" fontId="7" fillId="0" borderId="39" xfId="0" applyFont="1" applyBorder="1" applyAlignment="1" applyProtection="1">
      <alignment horizontal="center"/>
      <protection locked="0"/>
    </xf>
    <xf numFmtId="0" fontId="7" fillId="0" borderId="38" xfId="0" applyFont="1" applyBorder="1" applyAlignment="1" applyProtection="1">
      <alignment horizontal="center"/>
      <protection locked="0"/>
    </xf>
    <xf numFmtId="0" fontId="14" fillId="0" borderId="6" xfId="1" applyFont="1" applyBorder="1" applyAlignment="1" applyProtection="1">
      <alignment horizontal="center" vertical="center" wrapText="1"/>
      <protection hidden="1"/>
    </xf>
    <xf numFmtId="0" fontId="14" fillId="0" borderId="0" xfId="1" applyFont="1" applyAlignment="1" applyProtection="1">
      <alignment horizontal="center" vertical="center" wrapText="1"/>
      <protection hidden="1"/>
    </xf>
    <xf numFmtId="0" fontId="14" fillId="0" borderId="7" xfId="1" applyFont="1" applyBorder="1" applyAlignment="1" applyProtection="1">
      <alignment horizontal="center" vertical="center" wrapText="1"/>
      <protection hidden="1"/>
    </xf>
    <xf numFmtId="0" fontId="7" fillId="0" borderId="30" xfId="0" applyFont="1" applyBorder="1" applyAlignment="1" applyProtection="1">
      <alignment horizontal="center"/>
      <protection locked="0"/>
    </xf>
    <xf numFmtId="164" fontId="6" fillId="0" borderId="20" xfId="0" applyNumberFormat="1" applyFont="1" applyBorder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164" fontId="7" fillId="0" borderId="40" xfId="0" applyNumberFormat="1" applyFont="1" applyBorder="1" applyAlignment="1">
      <alignment horizontal="center"/>
    </xf>
    <xf numFmtId="164" fontId="7" fillId="0" borderId="39" xfId="0" applyNumberFormat="1" applyFont="1" applyBorder="1" applyAlignment="1">
      <alignment horizontal="center"/>
    </xf>
    <xf numFmtId="164" fontId="7" fillId="0" borderId="38" xfId="0" applyNumberFormat="1" applyFont="1" applyBorder="1" applyAlignment="1">
      <alignment horizontal="center"/>
    </xf>
    <xf numFmtId="2" fontId="7" fillId="0" borderId="40" xfId="0" applyNumberFormat="1" applyFont="1" applyBorder="1" applyAlignment="1">
      <alignment horizontal="center"/>
    </xf>
    <xf numFmtId="2" fontId="7" fillId="0" borderId="39" xfId="0" applyNumberFormat="1" applyFont="1" applyBorder="1" applyAlignment="1">
      <alignment horizontal="center"/>
    </xf>
    <xf numFmtId="2" fontId="7" fillId="0" borderId="38" xfId="0" applyNumberFormat="1" applyFont="1" applyBorder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12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13" fillId="0" borderId="6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 wrapText="1"/>
      <protection hidden="1"/>
    </xf>
    <xf numFmtId="0" fontId="14" fillId="0" borderId="7" xfId="0" applyFont="1" applyBorder="1" applyAlignment="1" applyProtection="1">
      <alignment horizontal="center" vertical="center" wrapText="1"/>
      <protection hidden="1"/>
    </xf>
    <xf numFmtId="164" fontId="22" fillId="0" borderId="14" xfId="1" applyNumberFormat="1" applyFont="1" applyBorder="1" applyAlignment="1">
      <alignment horizontal="center" vertical="center"/>
    </xf>
    <xf numFmtId="0" fontId="12" fillId="0" borderId="9" xfId="1" applyFont="1" applyBorder="1"/>
    <xf numFmtId="0" fontId="12" fillId="0" borderId="10" xfId="1" applyFont="1" applyBorder="1"/>
    <xf numFmtId="164" fontId="22" fillId="0" borderId="31" xfId="1" applyNumberFormat="1" applyFont="1" applyBorder="1" applyAlignment="1">
      <alignment horizontal="center" vertical="center"/>
    </xf>
    <xf numFmtId="0" fontId="12" fillId="0" borderId="20" xfId="1" applyFont="1" applyBorder="1"/>
    <xf numFmtId="0" fontId="12" fillId="0" borderId="21" xfId="1" applyFont="1" applyBorder="1"/>
    <xf numFmtId="0" fontId="21" fillId="0" borderId="3" xfId="1" applyFont="1" applyBorder="1" applyAlignment="1" applyProtection="1">
      <alignment horizontal="center" vertical="center"/>
      <protection hidden="1"/>
    </xf>
    <xf numFmtId="0" fontId="21" fillId="0" borderId="4" xfId="1" applyFont="1" applyBorder="1" applyAlignment="1" applyProtection="1">
      <alignment horizontal="center" vertical="center"/>
      <protection hidden="1"/>
    </xf>
    <xf numFmtId="0" fontId="21" fillId="0" borderId="5" xfId="1" applyFont="1" applyBorder="1" applyAlignment="1" applyProtection="1">
      <alignment horizontal="center" vertical="center"/>
      <protection hidden="1"/>
    </xf>
    <xf numFmtId="0" fontId="12" fillId="0" borderId="0" xfId="1" applyFont="1" applyAlignment="1" applyProtection="1">
      <alignment horizontal="left" vertical="center"/>
      <protection hidden="1"/>
    </xf>
    <xf numFmtId="0" fontId="12" fillId="0" borderId="0" xfId="1" applyFont="1" applyAlignment="1" applyProtection="1">
      <alignment horizontal="left" vertical="center"/>
      <protection locked="0"/>
    </xf>
    <xf numFmtId="0" fontId="17" fillId="0" borderId="6" xfId="1" applyFont="1" applyBorder="1" applyAlignment="1" applyProtection="1">
      <alignment horizontal="center" vertical="center"/>
      <protection hidden="1"/>
    </xf>
    <xf numFmtId="0" fontId="17" fillId="0" borderId="0" xfId="1" applyFont="1" applyAlignment="1" applyProtection="1">
      <alignment horizontal="center" vertical="center"/>
      <protection hidden="1"/>
    </xf>
    <xf numFmtId="0" fontId="17" fillId="0" borderId="7" xfId="1" applyFont="1" applyBorder="1" applyAlignment="1" applyProtection="1">
      <alignment horizontal="center" vertical="center"/>
      <protection hidden="1"/>
    </xf>
    <xf numFmtId="0" fontId="17" fillId="0" borderId="1" xfId="1" applyFont="1" applyBorder="1" applyAlignment="1" applyProtection="1">
      <alignment horizontal="center" vertical="center"/>
      <protection hidden="1"/>
    </xf>
    <xf numFmtId="0" fontId="17" fillId="0" borderId="2" xfId="1" applyFont="1" applyBorder="1" applyAlignment="1" applyProtection="1">
      <alignment horizontal="center" vertical="center"/>
      <protection hidden="1"/>
    </xf>
    <xf numFmtId="0" fontId="17" fillId="0" borderId="8" xfId="1" applyFont="1" applyBorder="1" applyAlignment="1" applyProtection="1">
      <alignment horizontal="center" vertical="center"/>
      <protection hidden="1"/>
    </xf>
    <xf numFmtId="0" fontId="12" fillId="0" borderId="31" xfId="1" applyFont="1" applyBorder="1" applyAlignment="1" applyProtection="1">
      <alignment horizontal="center"/>
      <protection locked="0"/>
    </xf>
    <xf numFmtId="0" fontId="12" fillId="0" borderId="20" xfId="1" applyFont="1" applyBorder="1" applyAlignment="1" applyProtection="1">
      <alignment horizontal="center"/>
      <protection locked="0"/>
    </xf>
    <xf numFmtId="0" fontId="12" fillId="0" borderId="21" xfId="1" applyFont="1" applyBorder="1" applyAlignment="1" applyProtection="1">
      <alignment horizontal="center"/>
      <protection locked="0"/>
    </xf>
    <xf numFmtId="164" fontId="12" fillId="0" borderId="31" xfId="1" applyNumberFormat="1" applyFont="1" applyBorder="1" applyAlignment="1">
      <alignment horizontal="center"/>
    </xf>
    <xf numFmtId="164" fontId="12" fillId="0" borderId="20" xfId="1" applyNumberFormat="1" applyFont="1" applyBorder="1" applyAlignment="1">
      <alignment horizontal="center"/>
    </xf>
    <xf numFmtId="164" fontId="12" fillId="0" borderId="21" xfId="1" applyNumberFormat="1" applyFont="1" applyBorder="1" applyAlignment="1">
      <alignment horizontal="center"/>
    </xf>
    <xf numFmtId="2" fontId="12" fillId="0" borderId="31" xfId="1" applyNumberFormat="1" applyFont="1" applyBorder="1" applyAlignment="1">
      <alignment horizontal="center"/>
    </xf>
    <xf numFmtId="2" fontId="12" fillId="0" borderId="20" xfId="1" applyNumberFormat="1" applyFont="1" applyBorder="1" applyAlignment="1">
      <alignment horizontal="center"/>
    </xf>
    <xf numFmtId="2" fontId="12" fillId="0" borderId="21" xfId="1" applyNumberFormat="1" applyFont="1" applyBorder="1" applyAlignment="1">
      <alignment horizontal="center"/>
    </xf>
    <xf numFmtId="164" fontId="22" fillId="0" borderId="1" xfId="1" applyNumberFormat="1" applyFont="1" applyBorder="1" applyAlignment="1">
      <alignment horizontal="center" vertical="center"/>
    </xf>
    <xf numFmtId="0" fontId="12" fillId="0" borderId="2" xfId="1" applyFont="1" applyBorder="1"/>
    <xf numFmtId="0" fontId="12" fillId="0" borderId="8" xfId="1" applyFont="1" applyBorder="1"/>
    <xf numFmtId="0" fontId="22" fillId="0" borderId="22" xfId="1" applyFont="1" applyBorder="1" applyAlignment="1">
      <alignment horizontal="center" vertical="center"/>
    </xf>
    <xf numFmtId="0" fontId="22" fillId="0" borderId="23" xfId="1" applyFont="1" applyBorder="1" applyAlignment="1">
      <alignment horizontal="center" vertical="center"/>
    </xf>
    <xf numFmtId="0" fontId="22" fillId="0" borderId="24" xfId="1" applyFont="1" applyBorder="1" applyAlignment="1">
      <alignment horizontal="center" vertical="center"/>
    </xf>
    <xf numFmtId="0" fontId="12" fillId="0" borderId="14" xfId="1" applyFont="1" applyBorder="1" applyAlignment="1" applyProtection="1">
      <alignment horizontal="center"/>
      <protection locked="0"/>
    </xf>
    <xf numFmtId="0" fontId="12" fillId="0" borderId="9" xfId="1" applyFont="1" applyBorder="1" applyAlignment="1" applyProtection="1">
      <alignment horizontal="center"/>
      <protection locked="0"/>
    </xf>
    <xf numFmtId="0" fontId="12" fillId="0" borderId="10" xfId="1" applyFont="1" applyBorder="1" applyAlignment="1" applyProtection="1">
      <alignment horizontal="center"/>
      <protection locked="0"/>
    </xf>
    <xf numFmtId="0" fontId="12" fillId="0" borderId="25" xfId="1" applyFont="1" applyBorder="1" applyAlignment="1" applyProtection="1">
      <alignment horizontal="center" vertical="center" wrapText="1"/>
      <protection locked="0"/>
    </xf>
    <xf numFmtId="0" fontId="12" fillId="0" borderId="26" xfId="1" applyFont="1" applyBorder="1" applyAlignment="1" applyProtection="1">
      <alignment horizontal="center" vertical="center" wrapText="1"/>
      <protection locked="0"/>
    </xf>
    <xf numFmtId="0" fontId="12" fillId="0" borderId="27" xfId="1" applyFont="1" applyBorder="1" applyAlignment="1" applyProtection="1">
      <alignment horizontal="center" vertical="center" wrapText="1"/>
      <protection locked="0"/>
    </xf>
    <xf numFmtId="0" fontId="12" fillId="0" borderId="17" xfId="1" applyFont="1" applyBorder="1" applyAlignment="1" applyProtection="1">
      <alignment horizontal="center" vertical="center" wrapText="1"/>
      <protection locked="0"/>
    </xf>
    <xf numFmtId="0" fontId="12" fillId="0" borderId="28" xfId="1" applyFont="1" applyBorder="1" applyAlignment="1" applyProtection="1">
      <alignment horizontal="center" vertical="center" wrapText="1"/>
      <protection locked="0"/>
    </xf>
    <xf numFmtId="0" fontId="12" fillId="0" borderId="29" xfId="1" applyFont="1" applyBorder="1" applyAlignment="1" applyProtection="1">
      <alignment horizontal="center" vertical="center"/>
      <protection locked="0"/>
    </xf>
    <xf numFmtId="0" fontId="12" fillId="0" borderId="25" xfId="1" applyFont="1" applyBorder="1" applyAlignment="1" applyProtection="1">
      <alignment horizontal="center" vertical="center"/>
      <protection locked="0"/>
    </xf>
    <xf numFmtId="0" fontId="12" fillId="0" borderId="6" xfId="1" applyFont="1" applyBorder="1" applyAlignment="1" applyProtection="1">
      <alignment horizontal="center" vertical="center"/>
      <protection locked="0"/>
    </xf>
    <xf numFmtId="0" fontId="12" fillId="0" borderId="0" xfId="1" applyFont="1" applyAlignment="1" applyProtection="1">
      <alignment horizontal="center" vertical="center"/>
      <protection locked="0"/>
    </xf>
    <xf numFmtId="0" fontId="12" fillId="0" borderId="30" xfId="1" applyFont="1" applyBorder="1" applyAlignment="1" applyProtection="1">
      <alignment horizontal="center" vertical="center"/>
      <protection locked="0"/>
    </xf>
    <xf numFmtId="0" fontId="12" fillId="0" borderId="17" xfId="1" applyFont="1" applyBorder="1" applyAlignment="1" applyProtection="1">
      <alignment horizontal="center" vertical="center"/>
      <protection locked="0"/>
    </xf>
    <xf numFmtId="0" fontId="2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13" fillId="0" borderId="9" xfId="1" applyFont="1" applyBorder="1" applyAlignment="1" applyProtection="1">
      <alignment horizontal="center" vertical="center"/>
      <protection hidden="1"/>
    </xf>
    <xf numFmtId="0" fontId="18" fillId="0" borderId="9" xfId="1" applyFont="1" applyBorder="1" applyAlignment="1" applyProtection="1">
      <alignment horizontal="center" vertical="center"/>
      <protection hidden="1"/>
    </xf>
    <xf numFmtId="14" fontId="12" fillId="0" borderId="0" xfId="1" applyNumberFormat="1" applyFont="1" applyAlignment="1" applyProtection="1">
      <alignment horizontal="left" vertical="center"/>
      <protection locked="0"/>
    </xf>
    <xf numFmtId="0" fontId="22" fillId="0" borderId="0" xfId="1" applyFont="1" applyAlignment="1" applyProtection="1">
      <alignment horizontal="center" vertical="center"/>
      <protection hidden="1"/>
    </xf>
    <xf numFmtId="0" fontId="22" fillId="0" borderId="7" xfId="1" applyFont="1" applyBorder="1" applyAlignment="1" applyProtection="1">
      <alignment horizontal="center" vertical="center"/>
      <protection hidden="1"/>
    </xf>
    <xf numFmtId="0" fontId="23" fillId="0" borderId="2" xfId="1" applyFont="1" applyBorder="1" applyAlignment="1" applyProtection="1">
      <alignment horizontal="center" vertical="center"/>
      <protection hidden="1"/>
    </xf>
    <xf numFmtId="0" fontId="22" fillId="0" borderId="6" xfId="1" applyFont="1" applyBorder="1" applyAlignment="1" applyProtection="1">
      <alignment horizontal="center" vertical="center"/>
      <protection locked="0"/>
    </xf>
    <xf numFmtId="0" fontId="22" fillId="0" borderId="0" xfId="1" applyFont="1" applyAlignment="1" applyProtection="1">
      <alignment horizontal="center" vertical="center"/>
      <protection locked="0"/>
    </xf>
    <xf numFmtId="0" fontId="22" fillId="0" borderId="7" xfId="1" applyFont="1" applyBorder="1" applyAlignment="1" applyProtection="1">
      <alignment horizontal="center" vertical="center"/>
      <protection locked="0"/>
    </xf>
    <xf numFmtId="14" fontId="22" fillId="0" borderId="6" xfId="1" applyNumberFormat="1" applyFont="1" applyBorder="1" applyAlignment="1" applyProtection="1">
      <alignment horizontal="center" vertical="center"/>
      <protection locked="0"/>
    </xf>
    <xf numFmtId="14" fontId="22" fillId="0" borderId="0" xfId="1" applyNumberFormat="1" applyFont="1" applyAlignment="1" applyProtection="1">
      <alignment horizontal="center" vertical="center"/>
      <protection locked="0"/>
    </xf>
    <xf numFmtId="14" fontId="22" fillId="0" borderId="7" xfId="1" applyNumberFormat="1" applyFont="1" applyBorder="1" applyAlignment="1" applyProtection="1">
      <alignment horizontal="center" vertical="center"/>
      <protection locked="0"/>
    </xf>
    <xf numFmtId="0" fontId="23" fillId="0" borderId="8" xfId="1" applyFont="1" applyBorder="1" applyAlignment="1" applyProtection="1">
      <alignment horizontal="center" vertical="center"/>
      <protection hidden="1"/>
    </xf>
    <xf numFmtId="0" fontId="16" fillId="0" borderId="3" xfId="1" applyFont="1" applyBorder="1" applyAlignment="1" applyProtection="1">
      <alignment horizontal="center" vertical="center" wrapText="1"/>
      <protection hidden="1"/>
    </xf>
    <xf numFmtId="0" fontId="16" fillId="0" borderId="4" xfId="1" applyFont="1" applyBorder="1" applyAlignment="1" applyProtection="1">
      <alignment horizontal="center" vertical="center" wrapText="1"/>
      <protection hidden="1"/>
    </xf>
    <xf numFmtId="0" fontId="16" fillId="0" borderId="5" xfId="1" applyFont="1" applyBorder="1" applyAlignment="1" applyProtection="1">
      <alignment horizontal="center" vertical="center" wrapText="1"/>
      <protection hidden="1"/>
    </xf>
    <xf numFmtId="0" fontId="16" fillId="0" borderId="6" xfId="1" applyFont="1" applyBorder="1" applyAlignment="1" applyProtection="1">
      <alignment horizontal="center" vertical="center" wrapText="1"/>
      <protection hidden="1"/>
    </xf>
    <xf numFmtId="0" fontId="16" fillId="0" borderId="0" xfId="1" applyFont="1" applyAlignment="1" applyProtection="1">
      <alignment horizontal="center" vertical="center" wrapText="1"/>
      <protection hidden="1"/>
    </xf>
    <xf numFmtId="0" fontId="16" fillId="0" borderId="7" xfId="1" applyFont="1" applyBorder="1" applyAlignment="1" applyProtection="1">
      <alignment horizontal="center" vertical="center" wrapText="1"/>
      <protection hidden="1"/>
    </xf>
    <xf numFmtId="0" fontId="16" fillId="0" borderId="1" xfId="1" applyFont="1" applyBorder="1" applyAlignment="1" applyProtection="1">
      <alignment horizontal="center" vertical="center" wrapText="1"/>
      <protection hidden="1"/>
    </xf>
    <xf numFmtId="0" fontId="16" fillId="0" borderId="2" xfId="1" applyFont="1" applyBorder="1" applyAlignment="1" applyProtection="1">
      <alignment horizontal="center" vertical="center" wrapText="1"/>
      <protection hidden="1"/>
    </xf>
    <xf numFmtId="0" fontId="16" fillId="0" borderId="8" xfId="1" applyFont="1" applyBorder="1" applyAlignment="1" applyProtection="1">
      <alignment horizontal="center" vertical="center" wrapText="1"/>
      <protection hidden="1"/>
    </xf>
    <xf numFmtId="0" fontId="12" fillId="0" borderId="4" xfId="1" applyFont="1" applyBorder="1" applyAlignment="1">
      <alignment horizontal="center"/>
    </xf>
    <xf numFmtId="2" fontId="12" fillId="0" borderId="14" xfId="1" applyNumberFormat="1" applyFont="1" applyBorder="1" applyAlignment="1">
      <alignment horizontal="center"/>
    </xf>
    <xf numFmtId="0" fontId="22" fillId="0" borderId="3" xfId="1" applyFont="1" applyBorder="1" applyAlignment="1">
      <alignment horizontal="center" vertical="center"/>
    </xf>
    <xf numFmtId="0" fontId="12" fillId="0" borderId="4" xfId="1" applyFont="1" applyBorder="1"/>
    <xf numFmtId="0" fontId="12" fillId="0" borderId="5" xfId="1" applyFont="1" applyBorder="1"/>
    <xf numFmtId="0" fontId="12" fillId="0" borderId="1" xfId="1" applyFont="1" applyBorder="1"/>
    <xf numFmtId="0" fontId="12" fillId="0" borderId="0" xfId="1" applyFont="1" applyAlignment="1" applyProtection="1">
      <alignment horizontal="center"/>
      <protection locked="0"/>
    </xf>
    <xf numFmtId="0" fontId="22" fillId="0" borderId="6" xfId="1" applyFont="1" applyBorder="1" applyAlignment="1" applyProtection="1">
      <alignment horizontal="center" vertical="center" wrapText="1"/>
      <protection hidden="1"/>
    </xf>
    <xf numFmtId="0" fontId="22" fillId="0" borderId="0" xfId="1" applyFont="1" applyAlignment="1" applyProtection="1">
      <alignment horizontal="center" vertical="center" wrapText="1"/>
      <protection hidden="1"/>
    </xf>
    <xf numFmtId="0" fontId="12" fillId="0" borderId="0" xfId="1" applyFont="1" applyAlignment="1" applyProtection="1">
      <alignment horizontal="left"/>
      <protection locked="0"/>
    </xf>
    <xf numFmtId="164" fontId="12" fillId="0" borderId="14" xfId="1" applyNumberFormat="1" applyFont="1" applyBorder="1" applyAlignment="1">
      <alignment horizontal="center"/>
    </xf>
    <xf numFmtId="164" fontId="12" fillId="0" borderId="9" xfId="1" applyNumberFormat="1" applyFont="1" applyBorder="1" applyAlignment="1">
      <alignment horizontal="center"/>
    </xf>
    <xf numFmtId="164" fontId="12" fillId="0" borderId="10" xfId="1" applyNumberFormat="1" applyFont="1" applyBorder="1" applyAlignment="1">
      <alignment horizontal="center"/>
    </xf>
    <xf numFmtId="164" fontId="12" fillId="0" borderId="14" xfId="1" applyNumberFormat="1" applyFont="1" applyBorder="1" applyAlignment="1">
      <alignment horizontal="center" wrapText="1"/>
    </xf>
    <xf numFmtId="0" fontId="12" fillId="0" borderId="0" xfId="1" applyFont="1" applyAlignment="1" applyProtection="1">
      <alignment horizontal="left"/>
      <protection hidden="1"/>
    </xf>
    <xf numFmtId="0" fontId="12" fillId="0" borderId="15" xfId="1" applyFont="1" applyBorder="1" applyAlignment="1" applyProtection="1">
      <alignment horizontal="center" vertical="center"/>
      <protection hidden="1"/>
    </xf>
    <xf numFmtId="0" fontId="12" fillId="0" borderId="16" xfId="1" applyFont="1" applyBorder="1" applyAlignment="1" applyProtection="1">
      <alignment horizontal="center" vertical="center"/>
      <protection hidden="1"/>
    </xf>
    <xf numFmtId="0" fontId="22" fillId="0" borderId="1" xfId="1" applyFont="1" applyBorder="1" applyAlignment="1">
      <alignment horizontal="center" vertical="center"/>
    </xf>
    <xf numFmtId="0" fontId="13" fillId="0" borderId="33" xfId="1" applyFont="1" applyBorder="1" applyAlignment="1" applyProtection="1">
      <alignment horizontal="center" vertical="center"/>
      <protection hidden="1"/>
    </xf>
    <xf numFmtId="0" fontId="13" fillId="0" borderId="34" xfId="1" applyFont="1" applyBorder="1" applyAlignment="1" applyProtection="1">
      <alignment horizontal="center" vertical="center"/>
      <protection hidden="1"/>
    </xf>
    <xf numFmtId="0" fontId="13" fillId="0" borderId="35" xfId="1" applyFont="1" applyBorder="1" applyAlignment="1" applyProtection="1">
      <alignment horizontal="center" vertical="center"/>
      <protection hidden="1"/>
    </xf>
    <xf numFmtId="0" fontId="22" fillId="0" borderId="18" xfId="1" applyFont="1" applyBorder="1" applyAlignment="1">
      <alignment horizontal="center" vertical="center"/>
    </xf>
    <xf numFmtId="0" fontId="22" fillId="0" borderId="9" xfId="1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19" xfId="1" applyFont="1" applyBorder="1" applyAlignment="1">
      <alignment horizontal="center" vertical="center"/>
    </xf>
    <xf numFmtId="0" fontId="22" fillId="0" borderId="20" xfId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13" fillId="0" borderId="6" xfId="1" applyFont="1" applyBorder="1" applyAlignment="1" applyProtection="1">
      <alignment horizontal="center" vertical="center"/>
      <protection hidden="1"/>
    </xf>
    <xf numFmtId="0" fontId="13" fillId="0" borderId="0" xfId="1" applyFont="1" applyAlignment="1" applyProtection="1">
      <alignment horizontal="center" vertical="center"/>
      <protection hidden="1"/>
    </xf>
    <xf numFmtId="0" fontId="13" fillId="0" borderId="7" xfId="1" applyFont="1" applyBorder="1" applyAlignment="1" applyProtection="1">
      <alignment horizontal="center" vertical="center"/>
      <protection hidden="1"/>
    </xf>
    <xf numFmtId="0" fontId="13" fillId="0" borderId="1" xfId="1" applyFont="1" applyBorder="1" applyAlignment="1" applyProtection="1">
      <alignment horizontal="center" vertical="center"/>
      <protection hidden="1"/>
    </xf>
    <xf numFmtId="0" fontId="13" fillId="0" borderId="2" xfId="1" applyFont="1" applyBorder="1" applyAlignment="1" applyProtection="1">
      <alignment horizontal="center" vertical="center"/>
      <protection hidden="1"/>
    </xf>
    <xf numFmtId="0" fontId="13" fillId="0" borderId="8" xfId="1" applyFont="1" applyBorder="1" applyAlignment="1" applyProtection="1">
      <alignment horizontal="center" vertical="center"/>
      <protection hidden="1"/>
    </xf>
    <xf numFmtId="0" fontId="12" fillId="0" borderId="30" xfId="1" applyFont="1" applyBorder="1" applyAlignment="1" applyProtection="1">
      <alignment horizontal="center"/>
      <protection locked="0"/>
    </xf>
    <xf numFmtId="0" fontId="12" fillId="0" borderId="17" xfId="1" applyFont="1" applyBorder="1" applyAlignment="1" applyProtection="1">
      <alignment horizontal="center"/>
      <protection locked="0"/>
    </xf>
    <xf numFmtId="0" fontId="12" fillId="0" borderId="36" xfId="1" applyFont="1" applyBorder="1" applyAlignment="1" applyProtection="1">
      <alignment horizontal="center"/>
      <protection locked="0"/>
    </xf>
    <xf numFmtId="164" fontId="12" fillId="0" borderId="30" xfId="1" applyNumberFormat="1" applyFont="1" applyBorder="1" applyAlignment="1">
      <alignment horizontal="center"/>
    </xf>
    <xf numFmtId="164" fontId="12" fillId="0" borderId="17" xfId="1" applyNumberFormat="1" applyFont="1" applyBorder="1" applyAlignment="1">
      <alignment horizontal="center"/>
    </xf>
    <xf numFmtId="164" fontId="12" fillId="0" borderId="36" xfId="1" applyNumberFormat="1" applyFont="1" applyBorder="1" applyAlignment="1">
      <alignment horizontal="center"/>
    </xf>
    <xf numFmtId="2" fontId="12" fillId="0" borderId="30" xfId="1" applyNumberFormat="1" applyFont="1" applyBorder="1" applyAlignment="1">
      <alignment horizontal="center"/>
    </xf>
    <xf numFmtId="2" fontId="12" fillId="0" borderId="17" xfId="1" applyNumberFormat="1" applyFont="1" applyBorder="1" applyAlignment="1">
      <alignment horizontal="center"/>
    </xf>
    <xf numFmtId="2" fontId="12" fillId="0" borderId="36" xfId="1" applyNumberFormat="1" applyFont="1" applyBorder="1" applyAlignment="1">
      <alignment horizontal="center"/>
    </xf>
    <xf numFmtId="0" fontId="12" fillId="0" borderId="40" xfId="1" applyFont="1" applyBorder="1" applyAlignment="1" applyProtection="1">
      <alignment horizontal="center"/>
      <protection locked="0"/>
    </xf>
    <xf numFmtId="0" fontId="12" fillId="0" borderId="39" xfId="1" applyFont="1" applyBorder="1" applyAlignment="1" applyProtection="1">
      <alignment horizontal="center"/>
      <protection locked="0"/>
    </xf>
    <xf numFmtId="0" fontId="12" fillId="0" borderId="38" xfId="1" applyFont="1" applyBorder="1" applyAlignment="1" applyProtection="1">
      <alignment horizontal="center"/>
      <protection locked="0"/>
    </xf>
    <xf numFmtId="164" fontId="12" fillId="0" borderId="40" xfId="1" applyNumberFormat="1" applyFont="1" applyBorder="1" applyAlignment="1">
      <alignment horizontal="center"/>
    </xf>
    <xf numFmtId="164" fontId="12" fillId="0" borderId="39" xfId="1" applyNumberFormat="1" applyFont="1" applyBorder="1" applyAlignment="1">
      <alignment horizontal="center"/>
    </xf>
    <xf numFmtId="164" fontId="12" fillId="0" borderId="38" xfId="1" applyNumberFormat="1" applyFont="1" applyBorder="1" applyAlignment="1">
      <alignment horizontal="center"/>
    </xf>
    <xf numFmtId="2" fontId="12" fillId="0" borderId="40" xfId="1" applyNumberFormat="1" applyFont="1" applyBorder="1" applyAlignment="1">
      <alignment horizontal="center"/>
    </xf>
    <xf numFmtId="2" fontId="12" fillId="0" borderId="39" xfId="1" applyNumberFormat="1" applyFont="1" applyBorder="1" applyAlignment="1">
      <alignment horizontal="center"/>
    </xf>
    <xf numFmtId="2" fontId="12" fillId="0" borderId="38" xfId="1" applyNumberFormat="1" applyFont="1" applyBorder="1" applyAlignment="1">
      <alignment horizontal="center"/>
    </xf>
    <xf numFmtId="2" fontId="12" fillId="0" borderId="9" xfId="1" applyNumberFormat="1" applyFont="1" applyBorder="1" applyAlignment="1">
      <alignment horizontal="center"/>
    </xf>
    <xf numFmtId="2" fontId="12" fillId="0" borderId="10" xfId="1" applyNumberFormat="1" applyFont="1" applyBorder="1" applyAlignment="1">
      <alignment horizontal="center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32" xfId="0" applyNumberFormat="1" applyFont="1" applyBorder="1" applyAlignment="1">
      <alignment horizontal="center" vertical="top"/>
    </xf>
    <xf numFmtId="0" fontId="7" fillId="0" borderId="23" xfId="0" applyFont="1" applyBorder="1" applyAlignment="1">
      <alignment vertical="top"/>
    </xf>
    <xf numFmtId="0" fontId="7" fillId="0" borderId="24" xfId="0" applyFont="1" applyBorder="1" applyAlignment="1">
      <alignment vertical="top"/>
    </xf>
    <xf numFmtId="164" fontId="7" fillId="0" borderId="30" xfId="0" applyNumberFormat="1" applyFont="1" applyBorder="1" applyAlignment="1">
      <alignment horizontal="center" vertical="center"/>
    </xf>
    <xf numFmtId="164" fontId="7" fillId="0" borderId="17" xfId="0" applyNumberFormat="1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0" fontId="12" fillId="0" borderId="0" xfId="0" applyFont="1" applyAlignment="1" applyProtection="1">
      <alignment horizontal="left" vertical="center"/>
      <protection locked="0"/>
    </xf>
    <xf numFmtId="164" fontId="7" fillId="0" borderId="31" xfId="0" applyNumberFormat="1" applyFont="1" applyBorder="1" applyAlignment="1">
      <alignment horizontal="center"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" xfId="1" xr:uid="{13E345BF-0AD8-4FB9-8B46-3987CD142EE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FBB2B5F2-DA0C-45A2-AD35-726373875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4873E7E2-E7A2-4016-9EB2-C14B0E01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4098906"/>
          <a:ext cx="1689456" cy="6629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6CA969F-1BB7-46A6-90F1-1DAF291D1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1CCDFA49-91F6-4160-8EAA-8DF4F963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2331"/>
          <a:ext cx="1689456" cy="6629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BEF0664-2B16-4257-8E23-DA9F398E1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3DDB790D-79F2-4A5A-B3C2-1D64AF96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2331"/>
          <a:ext cx="1689456" cy="6629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DD3E0DB-AD0F-4C49-AA97-90953C3AF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FB324D08-E646-4C05-A029-7C262577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7593331"/>
          <a:ext cx="1689456" cy="6629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30AAC13-EE36-4309-9229-91BDCE56A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E6D376A0-DC79-4392-87F4-1C624D833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4098906"/>
          <a:ext cx="1689456" cy="662940"/>
        </a:xfrm>
        <a:prstGeom prst="rect">
          <a:avLst/>
        </a:prstGeom>
      </xdr:spPr>
    </xdr:pic>
    <xdr:clientData/>
  </xdr:oneCellAnchor>
  <xdr:twoCellAnchor>
    <xdr:from>
      <xdr:col>0</xdr:col>
      <xdr:colOff>76200</xdr:colOff>
      <xdr:row>64</xdr:row>
      <xdr:rowOff>47625</xdr:rowOff>
    </xdr:from>
    <xdr:to>
      <xdr:col>16</xdr:col>
      <xdr:colOff>314325</xdr:colOff>
      <xdr:row>67</xdr:row>
      <xdr:rowOff>161925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DD8E3045-0E7E-2C9E-C61C-0D91F2DB4056}"/>
            </a:ext>
          </a:extLst>
        </xdr:cNvPr>
        <xdr:cNvSpPr txBox="1"/>
      </xdr:nvSpPr>
      <xdr:spPr>
        <a:xfrm>
          <a:off x="76200" y="14097000"/>
          <a:ext cx="5876925" cy="71437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>
              <a:solidFill>
                <a:srgbClr val="FF0000"/>
              </a:solidFill>
            </a:rPr>
            <a:t>Modifié à la demande de Simon WEHRLIN</a:t>
          </a:r>
        </a:p>
        <a:p>
          <a:pPr algn="ctr"/>
          <a:r>
            <a:rPr lang="fr-FR" sz="1100">
              <a:solidFill>
                <a:srgbClr val="FF0000"/>
              </a:solidFill>
            </a:rPr>
            <a:t>27/02/2026 - mail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70CE4177-0A43-480E-BC67-03E6B54B4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95B90B2A-9F01-4822-9343-08F2F843C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2331"/>
          <a:ext cx="1689456" cy="6629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078A8A0-D749-4E58-8A0F-25A020B6A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C2E3F4F7-5149-4FDE-B285-2745B8424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2331"/>
          <a:ext cx="1689456" cy="66294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09576C1-DEE9-4EF9-8DDC-A1FDBE68F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87463F03-E5AE-4CC7-B8A3-045D3820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2331"/>
          <a:ext cx="1689456" cy="66294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B92A251-D8C9-442F-8067-6D289B92A9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65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70EBB833-F258-4020-9A85-5459AB90A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4346556"/>
          <a:ext cx="1689456" cy="662940"/>
        </a:xfrm>
        <a:prstGeom prst="rect">
          <a:avLst/>
        </a:prstGeom>
      </xdr:spPr>
    </xdr:pic>
    <xdr:clientData/>
  </xdr:oneCellAnchor>
  <xdr:twoCellAnchor>
    <xdr:from>
      <xdr:col>0</xdr:col>
      <xdr:colOff>85725</xdr:colOff>
      <xdr:row>69</xdr:row>
      <xdr:rowOff>85725</xdr:rowOff>
    </xdr:from>
    <xdr:to>
      <xdr:col>16</xdr:col>
      <xdr:colOff>329565</xdr:colOff>
      <xdr:row>73</xdr:row>
      <xdr:rowOff>123825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84A08BD0-D020-48AD-991D-C603987022E4}"/>
            </a:ext>
          </a:extLst>
        </xdr:cNvPr>
        <xdr:cNvSpPr txBox="1"/>
      </xdr:nvSpPr>
      <xdr:spPr>
        <a:xfrm>
          <a:off x="85725" y="15182850"/>
          <a:ext cx="5882640" cy="71437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>
              <a:solidFill>
                <a:srgbClr val="FF0000"/>
              </a:solidFill>
            </a:rPr>
            <a:t>Modifié à la demande de Simon WEHRLIN</a:t>
          </a:r>
        </a:p>
        <a:p>
          <a:pPr algn="ctr"/>
          <a:r>
            <a:rPr lang="fr-FR" sz="1100">
              <a:solidFill>
                <a:srgbClr val="FF0000"/>
              </a:solidFill>
            </a:rPr>
            <a:t>27/02/2026 - mail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919B61B-CB86-4F05-B087-D3B676EB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65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ED51E22A-B269-4CB0-87F0-4AEA3A80E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2331"/>
          <a:ext cx="1689456" cy="66294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F5AC05B-E26A-46F8-83BC-AFC164C6D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A3E3AD97-49BD-4CC7-977A-118E33580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DD7884F-5610-43B7-B88C-EE140ADAA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00961B6-82C4-4E4D-B990-452D79AE0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9F2AEB2-9380-4DB4-B896-ED9CC11C5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7EDE021-D2BB-42FA-9801-63977E69C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DB3201E-226F-48F1-B694-4021EFBE1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0B52D1C9-D8D4-4592-B9C8-50EBAAB42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040" y="14337031"/>
          <a:ext cx="1689456" cy="66294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4C4E78C-71DD-45D3-8AF2-8730FE1AD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65</xdr:row>
      <xdr:rowOff>47626</xdr:rowOff>
    </xdr:from>
    <xdr:ext cx="1689456" cy="662940"/>
    <xdr:pic>
      <xdr:nvPicPr>
        <xdr:cNvPr id="3" name="Image 2">
          <a:extLst>
            <a:ext uri="{FF2B5EF4-FFF2-40B4-BE49-F238E27FC236}">
              <a16:creationId xmlns:a16="http://schemas.microsoft.com/office/drawing/2014/main" id="{386338C5-3019-4BF1-A5D0-E923E9446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365231"/>
          <a:ext cx="1689456" cy="66294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171450</xdr:colOff>
      <xdr:row>64</xdr:row>
      <xdr:rowOff>76201</xdr:rowOff>
    </xdr:from>
    <xdr:to>
      <xdr:col>25</xdr:col>
      <xdr:colOff>102591</xdr:colOff>
      <xdr:row>67</xdr:row>
      <xdr:rowOff>140971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8BC5CB6-D497-4A25-4A32-EF3F61E99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4116051"/>
          <a:ext cx="1693266" cy="664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F38A-2489-4D1C-8C6F-7FBA4C6236FB}">
  <sheetPr>
    <pageSetUpPr fitToPage="1"/>
  </sheetPr>
  <dimension ref="A1:AA76"/>
  <sheetViews>
    <sheetView tabSelected="1" workbookViewId="0">
      <selection activeCell="AB18" sqref="AB18:AB22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167"/>
      <c r="B2" s="168"/>
      <c r="C2" s="168"/>
      <c r="D2" s="168"/>
      <c r="E2" s="168"/>
      <c r="F2" s="169"/>
      <c r="G2" s="185" t="s">
        <v>113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88</v>
      </c>
      <c r="H5" s="190"/>
      <c r="I5" s="191">
        <v>17</v>
      </c>
      <c r="J5" s="191"/>
      <c r="K5" s="192"/>
      <c r="L5" s="193" t="s">
        <v>94</v>
      </c>
      <c r="M5" s="194"/>
      <c r="N5" s="194"/>
      <c r="O5" s="195"/>
      <c r="P5" s="196" t="s">
        <v>93</v>
      </c>
      <c r="Q5" s="197"/>
      <c r="R5" s="197"/>
      <c r="S5" s="197"/>
      <c r="T5" s="198"/>
      <c r="U5" s="179"/>
      <c r="V5" s="180"/>
      <c r="W5" s="180"/>
      <c r="X5" s="180"/>
      <c r="Y5" s="180"/>
      <c r="Z5" s="18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182"/>
      <c r="V6" s="183"/>
      <c r="W6" s="183"/>
      <c r="X6" s="183"/>
      <c r="Y6" s="183"/>
      <c r="Z6" s="18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91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93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105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7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7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70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7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7" ht="12.75" customHeight="1" x14ac:dyDescent="0.25">
      <c r="B20" s="154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15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7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7" ht="12.75" customHeight="1" x14ac:dyDescent="0.25">
      <c r="A22" s="9"/>
      <c r="B22" s="39"/>
      <c r="Z22" s="11"/>
    </row>
    <row r="23" spans="1:27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85</v>
      </c>
      <c r="I23" s="199"/>
      <c r="J23" s="200"/>
      <c r="K23" s="212" t="s">
        <v>33</v>
      </c>
      <c r="L23" s="213"/>
      <c r="M23" s="214"/>
      <c r="N23" s="212" t="s">
        <v>84</v>
      </c>
      <c r="O23" s="213"/>
      <c r="P23" s="214"/>
      <c r="Q23" s="199" t="s">
        <v>34</v>
      </c>
      <c r="R23" s="199"/>
      <c r="S23" s="199"/>
      <c r="T23" s="199"/>
      <c r="U23" s="199"/>
      <c r="V23" s="200"/>
      <c r="Z23" s="11"/>
    </row>
    <row r="24" spans="1:27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1"/>
      <c r="J24" s="202"/>
      <c r="K24" s="203" t="s">
        <v>35</v>
      </c>
      <c r="L24" s="204"/>
      <c r="M24" s="205"/>
      <c r="N24" s="215"/>
      <c r="O24" s="204"/>
      <c r="P24" s="205"/>
      <c r="Q24" s="201"/>
      <c r="R24" s="201"/>
      <c r="S24" s="201"/>
      <c r="T24" s="201"/>
      <c r="U24" s="201"/>
      <c r="V24" s="202"/>
      <c r="Z24" s="11"/>
    </row>
    <row r="25" spans="1:27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219">
        <v>31.25</v>
      </c>
      <c r="I25" s="220"/>
      <c r="J25" s="221"/>
      <c r="K25" s="222">
        <v>132.30000000000001</v>
      </c>
      <c r="L25" s="223"/>
      <c r="M25" s="224"/>
      <c r="N25" s="225">
        <v>4.24</v>
      </c>
      <c r="O25" s="223"/>
      <c r="P25" s="224"/>
      <c r="Q25" s="216"/>
      <c r="R25" s="217"/>
      <c r="S25" s="217"/>
      <c r="T25" s="217"/>
      <c r="U25" s="217"/>
      <c r="V25" s="218"/>
      <c r="Z25" s="11"/>
    </row>
    <row r="26" spans="1:27" s="73" customFormat="1" ht="19.5" customHeight="1" x14ac:dyDescent="0.25">
      <c r="A26" s="108"/>
      <c r="B26" s="120"/>
      <c r="C26" s="114"/>
      <c r="D26" s="113"/>
      <c r="E26" s="113"/>
      <c r="F26" s="113"/>
      <c r="G26" s="112"/>
      <c r="H26" s="119"/>
      <c r="I26" s="118"/>
      <c r="J26" s="117"/>
      <c r="K26" s="116"/>
      <c r="L26" s="110"/>
      <c r="M26" s="109"/>
      <c r="N26" s="115"/>
      <c r="O26" s="110"/>
      <c r="P26" s="109"/>
      <c r="Q26" s="114"/>
      <c r="R26" s="113"/>
      <c r="S26" s="113"/>
      <c r="T26" s="113"/>
      <c r="U26" s="113"/>
      <c r="V26" s="112"/>
      <c r="W26" s="74"/>
      <c r="X26" s="74"/>
      <c r="Y26" s="74"/>
      <c r="Z26" s="107"/>
      <c r="AA26" s="74"/>
    </row>
    <row r="27" spans="1:27" s="73" customFormat="1" ht="19.5" customHeight="1" x14ac:dyDescent="0.25">
      <c r="A27" s="108"/>
      <c r="B27" s="120"/>
      <c r="C27" s="114"/>
      <c r="D27" s="113"/>
      <c r="E27" s="113"/>
      <c r="F27" s="113"/>
      <c r="G27" s="112"/>
      <c r="H27" s="119"/>
      <c r="I27" s="118"/>
      <c r="J27" s="117"/>
      <c r="K27" s="116"/>
      <c r="L27" s="110"/>
      <c r="M27" s="109"/>
      <c r="N27" s="115"/>
      <c r="O27" s="110"/>
      <c r="P27" s="109"/>
      <c r="Q27" s="114"/>
      <c r="R27" s="113"/>
      <c r="S27" s="113"/>
      <c r="T27" s="113"/>
      <c r="U27" s="113"/>
      <c r="V27" s="112"/>
      <c r="W27" s="74"/>
      <c r="X27" s="74"/>
      <c r="Y27" s="74"/>
      <c r="Z27" s="107"/>
      <c r="AA27" s="74"/>
    </row>
    <row r="28" spans="1:27" s="73" customFormat="1" ht="19.5" customHeight="1" x14ac:dyDescent="0.25">
      <c r="A28" s="108"/>
      <c r="B28" s="120"/>
      <c r="C28" s="114"/>
      <c r="D28" s="113"/>
      <c r="E28" s="113"/>
      <c r="F28" s="113"/>
      <c r="G28" s="112"/>
      <c r="H28" s="119"/>
      <c r="I28" s="118"/>
      <c r="J28" s="117"/>
      <c r="K28" s="116"/>
      <c r="L28" s="110"/>
      <c r="M28" s="109"/>
      <c r="N28" s="115"/>
      <c r="O28" s="110"/>
      <c r="P28" s="109"/>
      <c r="Q28" s="114"/>
      <c r="R28" s="113"/>
      <c r="S28" s="113"/>
      <c r="T28" s="113"/>
      <c r="U28" s="113"/>
      <c r="V28" s="112"/>
      <c r="W28" s="74"/>
      <c r="X28" s="74"/>
      <c r="Y28" s="74"/>
      <c r="Z28" s="107"/>
      <c r="AA28" s="74"/>
    </row>
    <row r="29" spans="1:27" s="73" customFormat="1" ht="19.5" customHeight="1" x14ac:dyDescent="0.25">
      <c r="A29" s="108"/>
      <c r="B29" s="120"/>
      <c r="C29" s="114"/>
      <c r="D29" s="113"/>
      <c r="E29" s="113"/>
      <c r="F29" s="113"/>
      <c r="G29" s="112"/>
      <c r="H29" s="119"/>
      <c r="I29" s="118"/>
      <c r="J29" s="117"/>
      <c r="K29" s="116"/>
      <c r="L29" s="110"/>
      <c r="M29" s="109"/>
      <c r="N29" s="115"/>
      <c r="O29" s="110"/>
      <c r="P29" s="109"/>
      <c r="Q29" s="114"/>
      <c r="R29" s="113"/>
      <c r="S29" s="113"/>
      <c r="T29" s="113"/>
      <c r="U29" s="113"/>
      <c r="V29" s="112"/>
      <c r="W29" s="74"/>
      <c r="X29" s="74"/>
      <c r="Y29" s="74"/>
      <c r="Z29" s="107"/>
      <c r="AA29" s="74"/>
    </row>
    <row r="30" spans="1:27" s="73" customFormat="1" ht="19.5" customHeight="1" x14ac:dyDescent="0.25">
      <c r="A30" s="108"/>
      <c r="B30" s="120"/>
      <c r="C30" s="114"/>
      <c r="D30" s="113"/>
      <c r="E30" s="113"/>
      <c r="F30" s="113"/>
      <c r="G30" s="112"/>
      <c r="H30" s="119"/>
      <c r="I30" s="118"/>
      <c r="J30" s="117"/>
      <c r="K30" s="116"/>
      <c r="L30" s="110"/>
      <c r="M30" s="109"/>
      <c r="N30" s="115"/>
      <c r="O30" s="110"/>
      <c r="P30" s="109"/>
      <c r="Q30" s="114"/>
      <c r="R30" s="113"/>
      <c r="S30" s="113"/>
      <c r="T30" s="113"/>
      <c r="U30" s="113"/>
      <c r="V30" s="112"/>
      <c r="W30" s="74"/>
      <c r="X30" s="74"/>
      <c r="Y30" s="74"/>
      <c r="Z30" s="107"/>
      <c r="AA30" s="74"/>
    </row>
    <row r="31" spans="1:27" s="73" customFormat="1" ht="19.5" customHeight="1" x14ac:dyDescent="0.25">
      <c r="A31" s="108"/>
      <c r="B31" s="120"/>
      <c r="C31" s="114"/>
      <c r="D31" s="113"/>
      <c r="E31" s="113"/>
      <c r="F31" s="113"/>
      <c r="G31" s="112"/>
      <c r="H31" s="119"/>
      <c r="I31" s="118"/>
      <c r="J31" s="117"/>
      <c r="K31" s="116"/>
      <c r="L31" s="110"/>
      <c r="M31" s="109"/>
      <c r="N31" s="115"/>
      <c r="O31" s="110"/>
      <c r="P31" s="109"/>
      <c r="Q31" s="114"/>
      <c r="R31" s="113"/>
      <c r="S31" s="113"/>
      <c r="T31" s="113"/>
      <c r="U31" s="113"/>
      <c r="V31" s="112"/>
      <c r="W31" s="74"/>
      <c r="X31" s="74"/>
      <c r="Y31" s="74"/>
      <c r="Z31" s="107"/>
      <c r="AA31" s="74"/>
    </row>
    <row r="32" spans="1:27" s="73" customFormat="1" ht="19.5" customHeight="1" x14ac:dyDescent="0.25">
      <c r="A32" s="108"/>
      <c r="B32" s="120"/>
      <c r="C32" s="114"/>
      <c r="D32" s="113"/>
      <c r="E32" s="113"/>
      <c r="F32" s="113"/>
      <c r="G32" s="112"/>
      <c r="H32" s="119"/>
      <c r="I32" s="118"/>
      <c r="J32" s="117"/>
      <c r="K32" s="116"/>
      <c r="L32" s="110"/>
      <c r="M32" s="109"/>
      <c r="N32" s="115"/>
      <c r="O32" s="110"/>
      <c r="P32" s="109"/>
      <c r="Q32" s="114"/>
      <c r="R32" s="113"/>
      <c r="S32" s="113"/>
      <c r="T32" s="113"/>
      <c r="U32" s="113"/>
      <c r="V32" s="112"/>
      <c r="W32" s="74"/>
      <c r="X32" s="74"/>
      <c r="Y32" s="74"/>
      <c r="Z32" s="107"/>
      <c r="AA32" s="74"/>
    </row>
    <row r="33" spans="1:27" s="73" customFormat="1" ht="19.5" customHeight="1" x14ac:dyDescent="0.25">
      <c r="A33" s="108"/>
      <c r="B33" s="120"/>
      <c r="C33" s="114"/>
      <c r="D33" s="113"/>
      <c r="E33" s="113"/>
      <c r="F33" s="113"/>
      <c r="G33" s="112"/>
      <c r="H33" s="119"/>
      <c r="I33" s="118"/>
      <c r="J33" s="117"/>
      <c r="K33" s="116"/>
      <c r="L33" s="110"/>
      <c r="M33" s="109"/>
      <c r="N33" s="115"/>
      <c r="O33" s="110"/>
      <c r="P33" s="109"/>
      <c r="Q33" s="114"/>
      <c r="R33" s="113"/>
      <c r="S33" s="113"/>
      <c r="T33" s="113"/>
      <c r="U33" s="113"/>
      <c r="V33" s="112"/>
      <c r="W33" s="74"/>
      <c r="X33" s="74"/>
      <c r="Y33" s="74"/>
      <c r="Z33" s="107"/>
      <c r="AA33" s="74"/>
    </row>
    <row r="34" spans="1:27" s="73" customFormat="1" ht="19.5" customHeight="1" x14ac:dyDescent="0.25">
      <c r="A34" s="108"/>
      <c r="B34" s="120"/>
      <c r="C34" s="114"/>
      <c r="D34" s="113"/>
      <c r="E34" s="113"/>
      <c r="F34" s="113"/>
      <c r="G34" s="112"/>
      <c r="H34" s="119"/>
      <c r="I34" s="118"/>
      <c r="J34" s="117"/>
      <c r="K34" s="116"/>
      <c r="L34" s="110"/>
      <c r="M34" s="109"/>
      <c r="N34" s="115"/>
      <c r="O34" s="110"/>
      <c r="P34" s="109"/>
      <c r="Q34" s="114"/>
      <c r="R34" s="113"/>
      <c r="S34" s="113"/>
      <c r="T34" s="113"/>
      <c r="U34" s="113"/>
      <c r="V34" s="112"/>
      <c r="W34" s="74"/>
      <c r="X34" s="74"/>
      <c r="Y34" s="74"/>
      <c r="Z34" s="107"/>
      <c r="AA34" s="74"/>
    </row>
    <row r="35" spans="1:27" s="73" customFormat="1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W35" s="74"/>
      <c r="X35" s="74"/>
      <c r="Y35" s="74"/>
      <c r="Z35" s="107"/>
      <c r="AA35" s="74"/>
    </row>
    <row r="36" spans="1:27" s="73" customFormat="1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W36" s="74"/>
      <c r="X36" s="74"/>
      <c r="Y36" s="74"/>
      <c r="Z36" s="107"/>
      <c r="AA36" s="74"/>
    </row>
    <row r="37" spans="1:27" s="73" customFormat="1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W37" s="74"/>
      <c r="X37" s="74"/>
      <c r="Y37" s="74"/>
      <c r="Z37" s="107"/>
      <c r="AA37" s="74"/>
    </row>
    <row r="38" spans="1:27" s="73" customFormat="1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W38" s="74"/>
      <c r="X38" s="74"/>
      <c r="Y38" s="74"/>
      <c r="Z38" s="107"/>
      <c r="AA38" s="74"/>
    </row>
    <row r="39" spans="1:27" s="73" customFormat="1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W39" s="74"/>
      <c r="X39" s="74"/>
      <c r="Y39" s="74"/>
      <c r="Z39" s="107"/>
      <c r="AA39" s="74"/>
    </row>
    <row r="40" spans="1:27" s="73" customFormat="1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W40" s="74"/>
      <c r="X40" s="74"/>
      <c r="Y40" s="74"/>
      <c r="Z40" s="107"/>
      <c r="AA40" s="74"/>
    </row>
    <row r="41" spans="1:27" s="73" customFormat="1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W41" s="74"/>
      <c r="X41" s="74"/>
      <c r="Y41" s="74"/>
      <c r="Z41" s="107"/>
      <c r="AA41" s="74"/>
    </row>
    <row r="42" spans="1:27" s="73" customFormat="1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W42" s="74"/>
      <c r="X42" s="74"/>
      <c r="Y42" s="74"/>
      <c r="Z42" s="107"/>
      <c r="AA42" s="74"/>
    </row>
    <row r="43" spans="1:27" s="73" customFormat="1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W43" s="74"/>
      <c r="X43" s="74"/>
      <c r="Y43" s="74"/>
      <c r="Z43" s="107"/>
      <c r="AA43" s="74"/>
    </row>
    <row r="44" spans="1:27" s="73" customFormat="1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W44" s="74"/>
      <c r="X44" s="74"/>
      <c r="Y44" s="74"/>
      <c r="Z44" s="107"/>
      <c r="AA44" s="74"/>
    </row>
    <row r="45" spans="1:27" s="73" customFormat="1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W45" s="74"/>
      <c r="X45" s="74"/>
      <c r="Y45" s="74"/>
      <c r="Z45" s="107"/>
      <c r="AA45" s="74"/>
    </row>
    <row r="46" spans="1:27" s="73" customFormat="1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W46" s="74"/>
      <c r="X46" s="74"/>
      <c r="Y46" s="74"/>
      <c r="Z46" s="107"/>
      <c r="AA46" s="74"/>
    </row>
    <row r="47" spans="1:27" s="73" customFormat="1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W47" s="74"/>
      <c r="X47" s="74"/>
      <c r="Y47" s="74"/>
      <c r="Z47" s="107"/>
      <c r="AA47" s="74"/>
    </row>
    <row r="48" spans="1:27" s="73" customFormat="1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W48" s="74"/>
      <c r="X48" s="74"/>
      <c r="Y48" s="74"/>
      <c r="Z48" s="107"/>
      <c r="AA48" s="74"/>
    </row>
    <row r="49" spans="1:27" s="73" customFormat="1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W49" s="74"/>
      <c r="X49" s="74"/>
      <c r="Y49" s="74"/>
      <c r="Z49" s="107"/>
      <c r="AA49" s="74"/>
    </row>
    <row r="50" spans="1:27" s="73" customFormat="1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W50" s="74"/>
      <c r="X50" s="74"/>
      <c r="Y50" s="74"/>
      <c r="Z50" s="107"/>
      <c r="AA50" s="74"/>
    </row>
    <row r="51" spans="1:27" s="73" customFormat="1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W51" s="74"/>
      <c r="X51" s="74"/>
      <c r="Y51" s="74"/>
      <c r="Z51" s="107"/>
      <c r="AA51" s="74"/>
    </row>
    <row r="52" spans="1:27" s="73" customFormat="1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W52" s="74"/>
      <c r="X52" s="74"/>
      <c r="Y52" s="74"/>
      <c r="Z52" s="107"/>
      <c r="AA52" s="74"/>
    </row>
    <row r="53" spans="1:27" s="73" customFormat="1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W53" s="74"/>
      <c r="X53" s="74"/>
      <c r="Y53" s="74"/>
      <c r="Z53" s="107"/>
      <c r="AA53" s="74"/>
    </row>
    <row r="54" spans="1:27" ht="19.5" customHeight="1" thickBot="1" x14ac:dyDescent="0.3">
      <c r="A54" s="9"/>
      <c r="B54" s="46"/>
      <c r="C54" s="226"/>
      <c r="D54" s="226"/>
      <c r="E54" s="226"/>
      <c r="F54" s="226"/>
      <c r="G54" s="227"/>
      <c r="H54" s="228"/>
      <c r="I54" s="229"/>
      <c r="J54" s="230"/>
      <c r="K54" s="231"/>
      <c r="L54" s="232"/>
      <c r="M54" s="233"/>
      <c r="N54" s="234"/>
      <c r="O54" s="235"/>
      <c r="P54" s="236"/>
      <c r="Q54" s="237"/>
      <c r="R54" s="238"/>
      <c r="S54" s="238"/>
      <c r="T54" s="238"/>
      <c r="U54" s="238"/>
      <c r="V54" s="239"/>
      <c r="Z54" s="11"/>
    </row>
    <row r="55" spans="1:27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259">
        <f>AVERAGE(H25:J54)</f>
        <v>31.25</v>
      </c>
      <c r="I55" s="204"/>
      <c r="J55" s="205"/>
      <c r="K55" s="249">
        <f>AVERAGE(K25:M54)</f>
        <v>132.30000000000001</v>
      </c>
      <c r="L55" s="223"/>
      <c r="M55" s="224"/>
      <c r="N55" s="249">
        <f>AVERAGE(N25:P54)</f>
        <v>4.24</v>
      </c>
      <c r="O55" s="223"/>
      <c r="P55" s="224"/>
      <c r="Q55" s="260">
        <v>100</v>
      </c>
      <c r="R55" s="261"/>
      <c r="S55" s="240" t="s">
        <v>38</v>
      </c>
      <c r="T55" s="240"/>
      <c r="U55" s="240"/>
      <c r="V55" s="241"/>
      <c r="Z55" s="11"/>
    </row>
    <row r="56" spans="1:27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IF(H25&lt;&gt;"",MIN(H25:J54),"")</f>
        <v>31.25</v>
      </c>
      <c r="I56" s="223"/>
      <c r="J56" s="224"/>
      <c r="K56" s="249">
        <f>IF(COUNTIF(K25:M54,"*&lt;20*"),"&lt;20",MIN(K25:M54))</f>
        <v>132.30000000000001</v>
      </c>
      <c r="L56" s="223"/>
      <c r="M56" s="224"/>
      <c r="N56" s="249">
        <f>IF(N25&lt;&gt;"",MIN(N25:P54),"")</f>
        <v>4.24</v>
      </c>
      <c r="O56" s="223"/>
      <c r="P56" s="224"/>
      <c r="Q56" s="262"/>
      <c r="R56" s="263"/>
      <c r="S56" s="242"/>
      <c r="T56" s="242"/>
      <c r="U56" s="242"/>
      <c r="V56" s="243"/>
      <c r="Z56" s="11"/>
    </row>
    <row r="57" spans="1:27" ht="15.7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IF(H25&lt;&gt;"",MAX(H25:J54),"")</f>
        <v>31.25</v>
      </c>
      <c r="I57" s="254"/>
      <c r="J57" s="255"/>
      <c r="K57" s="253">
        <f>IF(COUNTIF(K25:M54,"*&gt;250*"),"&gt;250",MAX(K25:M54))</f>
        <v>132.30000000000001</v>
      </c>
      <c r="L57" s="254"/>
      <c r="M57" s="255"/>
      <c r="N57" s="253">
        <f>IF(N25&lt;&gt;"",MAX(N25:P54),"")</f>
        <v>4.24</v>
      </c>
      <c r="O57" s="254"/>
      <c r="P57" s="255"/>
      <c r="Q57" s="264"/>
      <c r="R57" s="265"/>
      <c r="S57" s="244"/>
      <c r="T57" s="244"/>
      <c r="U57" s="244"/>
      <c r="V57" s="245"/>
      <c r="Z57" s="11"/>
    </row>
    <row r="58" spans="1:27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7" ht="12.75" customHeight="1" x14ac:dyDescent="0.25">
      <c r="A59" s="36"/>
      <c r="B59" s="37"/>
    </row>
    <row r="60" spans="1:27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7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282" t="s">
        <v>13</v>
      </c>
      <c r="V61" s="283"/>
      <c r="W61" s="283"/>
      <c r="X61" s="284"/>
      <c r="Y61" s="284"/>
      <c r="Z61" s="285"/>
    </row>
    <row r="62" spans="1:27" s="17" customFormat="1" ht="15.6" customHeight="1" x14ac:dyDescent="0.25">
      <c r="A62" s="286" t="s">
        <v>53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292" t="s">
        <v>47</v>
      </c>
      <c r="V62" s="293"/>
      <c r="W62" s="293"/>
      <c r="X62" s="294"/>
      <c r="Y62" s="294"/>
      <c r="Z62" s="295"/>
    </row>
    <row r="63" spans="1:27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296"/>
      <c r="V63" s="278"/>
      <c r="W63" s="278"/>
      <c r="X63" s="297"/>
      <c r="Y63" s="297"/>
      <c r="Z63" s="298"/>
    </row>
    <row r="64" spans="1:27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299"/>
      <c r="V64" s="300"/>
      <c r="W64" s="300"/>
      <c r="X64" s="301"/>
      <c r="Y64" s="301"/>
      <c r="Z64" s="302"/>
    </row>
    <row r="65" spans="1:26" s="17" customFormat="1" ht="15.6" customHeight="1" x14ac:dyDescent="0.25">
      <c r="A65" s="266"/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8"/>
      <c r="R65" s="272" t="s">
        <v>50</v>
      </c>
      <c r="S65" s="273"/>
      <c r="T65" s="274"/>
      <c r="U65" s="87"/>
      <c r="V65" s="86"/>
      <c r="W65" s="86"/>
      <c r="X65" s="86"/>
      <c r="Y65" s="86"/>
      <c r="Z65" s="85"/>
    </row>
    <row r="66" spans="1:26" s="17" customFormat="1" ht="15.6" customHeight="1" x14ac:dyDescent="0.25">
      <c r="A66" s="266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272"/>
      <c r="S66" s="273"/>
      <c r="T66" s="274"/>
      <c r="U66" s="84"/>
      <c r="V66" s="278"/>
      <c r="W66" s="278"/>
      <c r="X66" s="278"/>
      <c r="Y66" s="278"/>
      <c r="Z66" s="83"/>
    </row>
    <row r="67" spans="1:26" s="17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272"/>
      <c r="S67" s="273"/>
      <c r="T67" s="274"/>
      <c r="U67" s="84"/>
      <c r="V67" s="278"/>
      <c r="W67" s="278"/>
      <c r="X67" s="278"/>
      <c r="Y67" s="278"/>
      <c r="Z67" s="83"/>
    </row>
    <row r="68" spans="1:26" s="17" customFormat="1" ht="15.6" customHeight="1" x14ac:dyDescent="0.25">
      <c r="A68" s="269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275"/>
      <c r="S68" s="276"/>
      <c r="T68" s="277"/>
      <c r="U68" s="82"/>
      <c r="V68" s="81"/>
      <c r="W68" s="81"/>
      <c r="X68" s="81"/>
      <c r="Y68" s="81"/>
      <c r="Z68" s="8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s="1" customFormat="1" ht="12.75" customHeight="1" x14ac:dyDescent="0.25"/>
    <row r="72" spans="1:26" s="1" customFormat="1" ht="12.75" customHeight="1" x14ac:dyDescent="0.25"/>
    <row r="73" spans="1:26" s="1" customFormat="1" ht="12.75" customHeight="1" x14ac:dyDescent="0.25"/>
    <row r="74" spans="1:26" s="1" customFormat="1" ht="12.75" customHeight="1" x14ac:dyDescent="0.25"/>
    <row r="75" spans="1:26" s="1" customFormat="1" ht="12.75" customHeight="1" x14ac:dyDescent="0.25"/>
    <row r="76" spans="1:26" s="1" customFormat="1" ht="12.75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mergeCells count="71"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  <mergeCell ref="S55:V57"/>
    <mergeCell ref="B56:G56"/>
    <mergeCell ref="H56:J56"/>
    <mergeCell ref="K56:M56"/>
    <mergeCell ref="N56:P56"/>
    <mergeCell ref="B57:G57"/>
    <mergeCell ref="H57:J57"/>
    <mergeCell ref="K57:M57"/>
    <mergeCell ref="N57:P57"/>
    <mergeCell ref="B55:G55"/>
    <mergeCell ref="H55:J55"/>
    <mergeCell ref="K55:M55"/>
    <mergeCell ref="N55:P55"/>
    <mergeCell ref="Q55:R57"/>
    <mergeCell ref="Q25:V25"/>
    <mergeCell ref="C54:G54"/>
    <mergeCell ref="H54:J54"/>
    <mergeCell ref="K54:M54"/>
    <mergeCell ref="N54:P54"/>
    <mergeCell ref="Q54:V54"/>
    <mergeCell ref="N23:P24"/>
    <mergeCell ref="C25:G25"/>
    <mergeCell ref="H25:J25"/>
    <mergeCell ref="K25:M25"/>
    <mergeCell ref="N25:P25"/>
    <mergeCell ref="B12:G12"/>
    <mergeCell ref="H12:M12"/>
    <mergeCell ref="N12:R12"/>
    <mergeCell ref="S12:Y12"/>
    <mergeCell ref="Q23:V24"/>
    <mergeCell ref="H24:J24"/>
    <mergeCell ref="K24:M24"/>
    <mergeCell ref="B17:H17"/>
    <mergeCell ref="I17:Y17"/>
    <mergeCell ref="B18:H18"/>
    <mergeCell ref="I18:J18"/>
    <mergeCell ref="J21:P21"/>
    <mergeCell ref="B23:B24"/>
    <mergeCell ref="C23:G24"/>
    <mergeCell ref="H23:J23"/>
    <mergeCell ref="K23:M23"/>
    <mergeCell ref="I6:K6"/>
    <mergeCell ref="B11:G11"/>
    <mergeCell ref="H11:M11"/>
    <mergeCell ref="N11:R11"/>
    <mergeCell ref="S11:Y11"/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D7FD-83D6-4D91-BF7E-388B0393118C}">
  <sheetPr>
    <pageSetUpPr fitToPage="1"/>
  </sheetPr>
  <dimension ref="A1:AA76"/>
  <sheetViews>
    <sheetView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92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179"/>
      <c r="V2" s="180"/>
      <c r="W2" s="180"/>
      <c r="X2" s="180"/>
      <c r="Y2" s="180"/>
      <c r="Z2" s="18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179"/>
      <c r="V3" s="180"/>
      <c r="W3" s="180"/>
      <c r="X3" s="180"/>
      <c r="Y3" s="180"/>
      <c r="Z3" s="18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179"/>
      <c r="V4" s="180"/>
      <c r="W4" s="180"/>
      <c r="X4" s="180"/>
      <c r="Y4" s="180"/>
      <c r="Z4" s="18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88</v>
      </c>
      <c r="H5" s="190"/>
      <c r="I5" s="191">
        <v>16</v>
      </c>
      <c r="J5" s="191"/>
      <c r="K5" s="192"/>
      <c r="L5" s="193" t="s">
        <v>94</v>
      </c>
      <c r="M5" s="194"/>
      <c r="N5" s="194"/>
      <c r="O5" s="195"/>
      <c r="P5" s="196" t="s">
        <v>93</v>
      </c>
      <c r="Q5" s="197"/>
      <c r="R5" s="197"/>
      <c r="S5" s="197"/>
      <c r="T5" s="198"/>
      <c r="U5" s="179"/>
      <c r="V5" s="180"/>
      <c r="W5" s="180"/>
      <c r="X5" s="180"/>
      <c r="Y5" s="180"/>
      <c r="Z5" s="18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182"/>
      <c r="V6" s="183"/>
      <c r="W6" s="183"/>
      <c r="X6" s="183"/>
      <c r="Y6" s="183"/>
      <c r="Z6" s="18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91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93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303" t="s">
        <v>115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70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B20" s="154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15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85</v>
      </c>
      <c r="I23" s="199"/>
      <c r="J23" s="200"/>
      <c r="K23" s="212" t="s">
        <v>33</v>
      </c>
      <c r="L23" s="213"/>
      <c r="M23" s="214"/>
      <c r="N23" s="212" t="s">
        <v>84</v>
      </c>
      <c r="O23" s="213"/>
      <c r="P23" s="214"/>
      <c r="Q23" s="199" t="s">
        <v>34</v>
      </c>
      <c r="R23" s="199"/>
      <c r="S23" s="199"/>
      <c r="T23" s="199"/>
      <c r="U23" s="199"/>
      <c r="V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1"/>
      <c r="J24" s="202"/>
      <c r="K24" s="203" t="s">
        <v>35</v>
      </c>
      <c r="L24" s="204"/>
      <c r="M24" s="205"/>
      <c r="N24" s="215"/>
      <c r="O24" s="204"/>
      <c r="P24" s="205"/>
      <c r="Q24" s="201"/>
      <c r="R24" s="201"/>
      <c r="S24" s="201"/>
      <c r="T24" s="201"/>
      <c r="U24" s="201"/>
      <c r="V24" s="202"/>
      <c r="Z24" s="11"/>
    </row>
    <row r="25" spans="1:26" ht="19.5" customHeight="1" x14ac:dyDescent="0.25">
      <c r="A25" s="9"/>
      <c r="B25" s="45">
        <v>1</v>
      </c>
      <c r="C25" s="216" t="s">
        <v>104</v>
      </c>
      <c r="D25" s="217"/>
      <c r="E25" s="217"/>
      <c r="F25" s="217"/>
      <c r="G25" s="218"/>
      <c r="H25" s="219">
        <v>43.6</v>
      </c>
      <c r="I25" s="220"/>
      <c r="J25" s="221"/>
      <c r="K25" s="222">
        <v>140.6</v>
      </c>
      <c r="L25" s="223"/>
      <c r="M25" s="224"/>
      <c r="N25" s="225">
        <v>3.23</v>
      </c>
      <c r="O25" s="223"/>
      <c r="P25" s="224"/>
      <c r="Q25" s="216"/>
      <c r="R25" s="217"/>
      <c r="S25" s="217"/>
      <c r="T25" s="217"/>
      <c r="U25" s="217"/>
      <c r="V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219">
        <v>35.159999999999997</v>
      </c>
      <c r="I26" s="220"/>
      <c r="J26" s="221"/>
      <c r="K26" s="222">
        <v>104.7</v>
      </c>
      <c r="L26" s="223"/>
      <c r="M26" s="224"/>
      <c r="N26" s="225">
        <v>2.98</v>
      </c>
      <c r="O26" s="223"/>
      <c r="P26" s="224"/>
      <c r="Q26" s="216"/>
      <c r="R26" s="217"/>
      <c r="S26" s="217"/>
      <c r="T26" s="217"/>
      <c r="U26" s="217"/>
      <c r="V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219">
        <v>51.61</v>
      </c>
      <c r="I27" s="220"/>
      <c r="J27" s="221"/>
      <c r="K27" s="222">
        <v>104.7</v>
      </c>
      <c r="L27" s="223"/>
      <c r="M27" s="224"/>
      <c r="N27" s="225">
        <v>2.0299999999999998</v>
      </c>
      <c r="O27" s="223"/>
      <c r="P27" s="224"/>
      <c r="Q27" s="216"/>
      <c r="R27" s="217"/>
      <c r="S27" s="217"/>
      <c r="T27" s="217"/>
      <c r="U27" s="217"/>
      <c r="V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219">
        <v>55.69</v>
      </c>
      <c r="I28" s="220"/>
      <c r="J28" s="221"/>
      <c r="K28" s="222">
        <v>100</v>
      </c>
      <c r="L28" s="223"/>
      <c r="M28" s="224"/>
      <c r="N28" s="225">
        <v>1.8</v>
      </c>
      <c r="O28" s="223"/>
      <c r="P28" s="224"/>
      <c r="Q28" s="216"/>
      <c r="R28" s="217"/>
      <c r="S28" s="217"/>
      <c r="T28" s="217"/>
      <c r="U28" s="217"/>
      <c r="V28" s="218"/>
      <c r="Z28" s="11"/>
    </row>
    <row r="29" spans="1:26" ht="19.5" customHeight="1" x14ac:dyDescent="0.25">
      <c r="A29" s="9"/>
      <c r="B29" s="45">
        <v>5</v>
      </c>
      <c r="C29" s="216" t="s">
        <v>103</v>
      </c>
      <c r="D29" s="217"/>
      <c r="E29" s="217"/>
      <c r="F29" s="217"/>
      <c r="G29" s="218"/>
      <c r="H29" s="219">
        <v>57.4</v>
      </c>
      <c r="I29" s="220"/>
      <c r="J29" s="221"/>
      <c r="K29" s="222">
        <v>180</v>
      </c>
      <c r="L29" s="223"/>
      <c r="M29" s="224"/>
      <c r="N29" s="225">
        <v>3.14</v>
      </c>
      <c r="O29" s="223"/>
      <c r="P29" s="224"/>
      <c r="Q29" s="216"/>
      <c r="R29" s="217"/>
      <c r="S29" s="217"/>
      <c r="T29" s="217"/>
      <c r="U29" s="217"/>
      <c r="V29" s="218"/>
      <c r="Z29" s="11"/>
    </row>
    <row r="30" spans="1:26" ht="19.5" customHeight="1" x14ac:dyDescent="0.25">
      <c r="A30" s="9"/>
      <c r="B30" s="45">
        <v>6</v>
      </c>
      <c r="C30" s="216"/>
      <c r="D30" s="217"/>
      <c r="E30" s="217"/>
      <c r="F30" s="217"/>
      <c r="G30" s="218"/>
      <c r="H30" s="219">
        <v>81.52</v>
      </c>
      <c r="I30" s="220"/>
      <c r="J30" s="221"/>
      <c r="K30" s="222">
        <v>140.6</v>
      </c>
      <c r="L30" s="223"/>
      <c r="M30" s="224"/>
      <c r="N30" s="225">
        <v>1.73</v>
      </c>
      <c r="O30" s="223"/>
      <c r="P30" s="224"/>
      <c r="Q30" s="216"/>
      <c r="R30" s="217"/>
      <c r="S30" s="217"/>
      <c r="T30" s="217"/>
      <c r="U30" s="217"/>
      <c r="V30" s="218"/>
      <c r="Z30" s="11"/>
    </row>
    <row r="31" spans="1:26" ht="19.5" customHeight="1" x14ac:dyDescent="0.25">
      <c r="A31" s="9"/>
      <c r="B31" s="45">
        <v>7</v>
      </c>
      <c r="C31" s="216"/>
      <c r="D31" s="217"/>
      <c r="E31" s="217"/>
      <c r="F31" s="217"/>
      <c r="G31" s="218"/>
      <c r="H31" s="219">
        <v>42.61</v>
      </c>
      <c r="I31" s="220"/>
      <c r="J31" s="221"/>
      <c r="K31" s="222">
        <v>104.7</v>
      </c>
      <c r="L31" s="223"/>
      <c r="M31" s="224"/>
      <c r="N31" s="225">
        <v>2.46</v>
      </c>
      <c r="O31" s="223"/>
      <c r="P31" s="224"/>
      <c r="Q31" s="216"/>
      <c r="R31" s="217"/>
      <c r="S31" s="217"/>
      <c r="T31" s="217"/>
      <c r="U31" s="217"/>
      <c r="V31" s="218"/>
      <c r="Z31" s="11"/>
    </row>
    <row r="32" spans="1:26" ht="19.5" customHeight="1" x14ac:dyDescent="0.25">
      <c r="A32" s="9"/>
      <c r="B32" s="45">
        <v>8</v>
      </c>
      <c r="C32" s="216" t="s">
        <v>102</v>
      </c>
      <c r="D32" s="217"/>
      <c r="E32" s="217"/>
      <c r="F32" s="217"/>
      <c r="G32" s="218"/>
      <c r="H32" s="219">
        <v>51.61</v>
      </c>
      <c r="I32" s="220"/>
      <c r="J32" s="221"/>
      <c r="K32" s="222">
        <v>150</v>
      </c>
      <c r="L32" s="223"/>
      <c r="M32" s="224"/>
      <c r="N32" s="225">
        <v>2.91</v>
      </c>
      <c r="O32" s="223"/>
      <c r="P32" s="224"/>
      <c r="Q32" s="216"/>
      <c r="R32" s="217"/>
      <c r="S32" s="217"/>
      <c r="T32" s="217"/>
      <c r="U32" s="217"/>
      <c r="V32" s="218"/>
      <c r="Z32" s="11"/>
    </row>
    <row r="33" spans="1:27" ht="19.5" customHeight="1" x14ac:dyDescent="0.25">
      <c r="A33" s="9"/>
      <c r="B33" s="45">
        <v>9</v>
      </c>
      <c r="C33" s="216"/>
      <c r="D33" s="217"/>
      <c r="E33" s="217"/>
      <c r="F33" s="217"/>
      <c r="G33" s="218"/>
      <c r="H33" s="219">
        <v>56.82</v>
      </c>
      <c r="I33" s="220"/>
      <c r="J33" s="221"/>
      <c r="K33" s="222">
        <v>145.19999999999999</v>
      </c>
      <c r="L33" s="223"/>
      <c r="M33" s="224"/>
      <c r="N33" s="225">
        <v>2.5499999999999998</v>
      </c>
      <c r="O33" s="223"/>
      <c r="P33" s="224"/>
      <c r="Q33" s="216"/>
      <c r="R33" s="217"/>
      <c r="S33" s="217"/>
      <c r="T33" s="217"/>
      <c r="U33" s="217"/>
      <c r="V33" s="218"/>
      <c r="Z33" s="11"/>
    </row>
    <row r="34" spans="1:27" ht="19.5" customHeight="1" x14ac:dyDescent="0.25">
      <c r="A34" s="9"/>
      <c r="B34" s="45">
        <v>10</v>
      </c>
      <c r="C34" s="216"/>
      <c r="D34" s="217"/>
      <c r="E34" s="217"/>
      <c r="F34" s="217"/>
      <c r="G34" s="218"/>
      <c r="H34" s="219">
        <v>140.63</v>
      </c>
      <c r="I34" s="220"/>
      <c r="J34" s="221"/>
      <c r="K34" s="222">
        <v>236.8</v>
      </c>
      <c r="L34" s="223"/>
      <c r="M34" s="224"/>
      <c r="N34" s="225">
        <v>1.68</v>
      </c>
      <c r="O34" s="223"/>
      <c r="P34" s="224"/>
      <c r="Q34" s="216"/>
      <c r="R34" s="217"/>
      <c r="S34" s="217"/>
      <c r="T34" s="217"/>
      <c r="U34" s="217"/>
      <c r="V34" s="218"/>
      <c r="Z34" s="11"/>
    </row>
    <row r="35" spans="1:27" ht="19.5" customHeight="1" x14ac:dyDescent="0.25">
      <c r="A35" s="9"/>
      <c r="B35" s="45">
        <v>11</v>
      </c>
      <c r="C35" s="216" t="s">
        <v>101</v>
      </c>
      <c r="D35" s="217"/>
      <c r="E35" s="217"/>
      <c r="F35" s="217"/>
      <c r="G35" s="218"/>
      <c r="H35" s="219">
        <v>58.59</v>
      </c>
      <c r="I35" s="220"/>
      <c r="J35" s="221"/>
      <c r="K35" s="222">
        <v>160.69999999999999</v>
      </c>
      <c r="L35" s="223"/>
      <c r="M35" s="224"/>
      <c r="N35" s="225">
        <v>2.74</v>
      </c>
      <c r="O35" s="223"/>
      <c r="P35" s="224"/>
      <c r="Q35" s="216"/>
      <c r="R35" s="217"/>
      <c r="S35" s="217"/>
      <c r="T35" s="217"/>
      <c r="U35" s="217"/>
      <c r="V35" s="218"/>
      <c r="Z35" s="11"/>
    </row>
    <row r="36" spans="1:27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219">
        <v>71.2</v>
      </c>
      <c r="I36" s="220"/>
      <c r="J36" s="221"/>
      <c r="K36" s="222">
        <v>187.5</v>
      </c>
      <c r="L36" s="223"/>
      <c r="M36" s="224"/>
      <c r="N36" s="225">
        <v>2.63</v>
      </c>
      <c r="O36" s="223"/>
      <c r="P36" s="224"/>
      <c r="Q36" s="216"/>
      <c r="R36" s="217"/>
      <c r="S36" s="217"/>
      <c r="T36" s="217"/>
      <c r="U36" s="217"/>
      <c r="V36" s="218"/>
      <c r="Z36" s="11"/>
    </row>
    <row r="37" spans="1:27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219">
        <v>40.18</v>
      </c>
      <c r="I37" s="220"/>
      <c r="J37" s="221"/>
      <c r="K37" s="222">
        <v>155.19999999999999</v>
      </c>
      <c r="L37" s="223"/>
      <c r="M37" s="224"/>
      <c r="N37" s="225">
        <v>3.86</v>
      </c>
      <c r="O37" s="223"/>
      <c r="P37" s="224"/>
      <c r="Q37" s="216"/>
      <c r="R37" s="217"/>
      <c r="S37" s="217"/>
      <c r="T37" s="217"/>
      <c r="U37" s="217"/>
      <c r="V37" s="218"/>
      <c r="Z37" s="11"/>
    </row>
    <row r="38" spans="1:27" ht="19.5" customHeight="1" x14ac:dyDescent="0.25">
      <c r="A38" s="9"/>
      <c r="B38" s="45">
        <v>14</v>
      </c>
      <c r="C38" s="216"/>
      <c r="D38" s="217"/>
      <c r="E38" s="217"/>
      <c r="F38" s="217"/>
      <c r="G38" s="218"/>
      <c r="H38" s="219">
        <v>59.84</v>
      </c>
      <c r="I38" s="220"/>
      <c r="J38" s="221"/>
      <c r="K38" s="222">
        <v>132.30000000000001</v>
      </c>
      <c r="L38" s="223"/>
      <c r="M38" s="224"/>
      <c r="N38" s="225">
        <v>2.21</v>
      </c>
      <c r="O38" s="223"/>
      <c r="P38" s="224"/>
      <c r="Q38" s="216"/>
      <c r="R38" s="217"/>
      <c r="S38" s="217"/>
      <c r="T38" s="217"/>
      <c r="U38" s="217"/>
      <c r="V38" s="218"/>
      <c r="Z38" s="11"/>
    </row>
    <row r="39" spans="1:27" ht="19.5" customHeight="1" x14ac:dyDescent="0.25">
      <c r="A39" s="9"/>
      <c r="B39" s="45"/>
      <c r="C39" s="216"/>
      <c r="D39" s="217"/>
      <c r="E39" s="217"/>
      <c r="F39" s="217"/>
      <c r="G39" s="218"/>
      <c r="H39" s="219"/>
      <c r="I39" s="220"/>
      <c r="J39" s="221"/>
      <c r="K39" s="222"/>
      <c r="L39" s="223"/>
      <c r="M39" s="224"/>
      <c r="N39" s="225"/>
      <c r="O39" s="223"/>
      <c r="P39" s="224"/>
      <c r="Q39" s="216"/>
      <c r="R39" s="217"/>
      <c r="S39" s="217"/>
      <c r="T39" s="217"/>
      <c r="U39" s="217"/>
      <c r="V39" s="218"/>
      <c r="Z39" s="11"/>
    </row>
    <row r="40" spans="1:27" s="73" customFormat="1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W40" s="74"/>
      <c r="X40" s="74"/>
      <c r="Y40" s="74"/>
      <c r="Z40" s="107"/>
      <c r="AA40" s="74"/>
    </row>
    <row r="41" spans="1:27" s="73" customFormat="1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W41" s="74"/>
      <c r="X41" s="74"/>
      <c r="Y41" s="74"/>
      <c r="Z41" s="107"/>
      <c r="AA41" s="74"/>
    </row>
    <row r="42" spans="1:27" s="73" customFormat="1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W42" s="74"/>
      <c r="X42" s="74"/>
      <c r="Y42" s="74"/>
      <c r="Z42" s="107"/>
      <c r="AA42" s="74"/>
    </row>
    <row r="43" spans="1:27" s="73" customFormat="1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W43" s="74"/>
      <c r="X43" s="74"/>
      <c r="Y43" s="74"/>
      <c r="Z43" s="107"/>
      <c r="AA43" s="74"/>
    </row>
    <row r="44" spans="1:27" s="73" customFormat="1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W44" s="74"/>
      <c r="X44" s="74"/>
      <c r="Y44" s="74"/>
      <c r="Z44" s="107"/>
      <c r="AA44" s="74"/>
    </row>
    <row r="45" spans="1:27" s="73" customFormat="1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W45" s="74"/>
      <c r="X45" s="74"/>
      <c r="Y45" s="74"/>
      <c r="Z45" s="107"/>
      <c r="AA45" s="74"/>
    </row>
    <row r="46" spans="1:27" s="73" customFormat="1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W46" s="74"/>
      <c r="X46" s="74"/>
      <c r="Y46" s="74"/>
      <c r="Z46" s="107"/>
      <c r="AA46" s="74"/>
    </row>
    <row r="47" spans="1:27" s="73" customFormat="1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W47" s="74"/>
      <c r="X47" s="74"/>
      <c r="Y47" s="74"/>
      <c r="Z47" s="107"/>
      <c r="AA47" s="74"/>
    </row>
    <row r="48" spans="1:27" s="73" customFormat="1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W48" s="74"/>
      <c r="X48" s="74"/>
      <c r="Y48" s="74"/>
      <c r="Z48" s="107"/>
      <c r="AA48" s="74"/>
    </row>
    <row r="49" spans="1:27" s="73" customFormat="1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W49" s="74"/>
      <c r="X49" s="74"/>
      <c r="Y49" s="74"/>
      <c r="Z49" s="107"/>
      <c r="AA49" s="74"/>
    </row>
    <row r="50" spans="1:27" s="73" customFormat="1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W50" s="74"/>
      <c r="X50" s="74"/>
      <c r="Y50" s="74"/>
      <c r="Z50" s="107"/>
      <c r="AA50" s="74"/>
    </row>
    <row r="51" spans="1:27" s="73" customFormat="1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W51" s="74"/>
      <c r="X51" s="74"/>
      <c r="Y51" s="74"/>
      <c r="Z51" s="107"/>
      <c r="AA51" s="74"/>
    </row>
    <row r="52" spans="1:27" s="73" customFormat="1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W52" s="74"/>
      <c r="X52" s="74"/>
      <c r="Y52" s="74"/>
      <c r="Z52" s="107"/>
      <c r="AA52" s="74"/>
    </row>
    <row r="53" spans="1:27" s="73" customFormat="1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W53" s="74"/>
      <c r="X53" s="74"/>
      <c r="Y53" s="74"/>
      <c r="Z53" s="107"/>
      <c r="AA53" s="74"/>
    </row>
    <row r="54" spans="1:27" ht="19.5" customHeight="1" thickBot="1" x14ac:dyDescent="0.3">
      <c r="A54" s="9"/>
      <c r="B54" s="46"/>
      <c r="C54" s="226"/>
      <c r="D54" s="226"/>
      <c r="E54" s="226"/>
      <c r="F54" s="226"/>
      <c r="G54" s="227"/>
      <c r="H54" s="228"/>
      <c r="I54" s="229"/>
      <c r="J54" s="230"/>
      <c r="K54" s="231"/>
      <c r="L54" s="232"/>
      <c r="M54" s="233"/>
      <c r="N54" s="234"/>
      <c r="O54" s="235"/>
      <c r="P54" s="236"/>
      <c r="Q54" s="237"/>
      <c r="R54" s="238"/>
      <c r="S54" s="238"/>
      <c r="T54" s="238"/>
      <c r="U54" s="238"/>
      <c r="V54" s="239"/>
      <c r="Z54" s="11"/>
    </row>
    <row r="55" spans="1:27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259">
        <f>AVERAGE(H25:J54)</f>
        <v>60.461428571428584</v>
      </c>
      <c r="I55" s="204"/>
      <c r="J55" s="205"/>
      <c r="K55" s="249">
        <f>AVERAGE(K25:M54)</f>
        <v>145.92857142857144</v>
      </c>
      <c r="L55" s="223"/>
      <c r="M55" s="224"/>
      <c r="N55" s="249">
        <f>AVERAGE(N25:P54)</f>
        <v>2.5678571428571431</v>
      </c>
      <c r="O55" s="223"/>
      <c r="P55" s="224"/>
      <c r="Q55" s="260">
        <v>100</v>
      </c>
      <c r="R55" s="261"/>
      <c r="S55" s="240" t="s">
        <v>38</v>
      </c>
      <c r="T55" s="240"/>
      <c r="U55" s="240"/>
      <c r="V55" s="241"/>
      <c r="Z55" s="11"/>
    </row>
    <row r="56" spans="1:27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IF(H25&lt;&gt;"",MIN(H25:J54),"")</f>
        <v>35.159999999999997</v>
      </c>
      <c r="I56" s="223"/>
      <c r="J56" s="224"/>
      <c r="K56" s="249">
        <f>IF(COUNTIF(K25:M54,"*&lt;20*"),"&lt;20",MIN(K25:M54))</f>
        <v>100</v>
      </c>
      <c r="L56" s="223"/>
      <c r="M56" s="224"/>
      <c r="N56" s="249">
        <f>IF(N25&lt;&gt;"",MIN(N25:P54),"")</f>
        <v>1.68</v>
      </c>
      <c r="O56" s="223"/>
      <c r="P56" s="224"/>
      <c r="Q56" s="262"/>
      <c r="R56" s="263"/>
      <c r="S56" s="242"/>
      <c r="T56" s="242"/>
      <c r="U56" s="242"/>
      <c r="V56" s="243"/>
      <c r="Z56" s="11"/>
    </row>
    <row r="57" spans="1:27" ht="15.7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IF(H25&lt;&gt;"",MAX(H25:J54),"")</f>
        <v>140.63</v>
      </c>
      <c r="I57" s="254"/>
      <c r="J57" s="255"/>
      <c r="K57" s="253">
        <f>IF(COUNTIF(K25:M54,"*&gt;250*"),"&gt;250",MAX(K25:M54))</f>
        <v>236.8</v>
      </c>
      <c r="L57" s="254"/>
      <c r="M57" s="255"/>
      <c r="N57" s="253">
        <f>IF(N25&lt;&gt;"",MAX(N25:P54),"")</f>
        <v>3.86</v>
      </c>
      <c r="O57" s="254"/>
      <c r="P57" s="255"/>
      <c r="Q57" s="264"/>
      <c r="R57" s="265"/>
      <c r="S57" s="244"/>
      <c r="T57" s="244"/>
      <c r="U57" s="244"/>
      <c r="V57" s="245"/>
      <c r="Z57" s="11"/>
    </row>
    <row r="58" spans="1:27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7" ht="12.75" customHeight="1" x14ac:dyDescent="0.25">
      <c r="A59" s="36"/>
      <c r="B59" s="37"/>
    </row>
    <row r="60" spans="1:27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7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282" t="s">
        <v>13</v>
      </c>
      <c r="V61" s="283"/>
      <c r="W61" s="283"/>
      <c r="X61" s="284"/>
      <c r="Y61" s="284"/>
      <c r="Z61" s="285"/>
    </row>
    <row r="62" spans="1:27" s="17" customFormat="1" ht="15.6" customHeight="1" x14ac:dyDescent="0.25">
      <c r="A62" s="286" t="s">
        <v>53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292" t="s">
        <v>47</v>
      </c>
      <c r="V62" s="293"/>
      <c r="W62" s="293"/>
      <c r="X62" s="294"/>
      <c r="Y62" s="294"/>
      <c r="Z62" s="295"/>
    </row>
    <row r="63" spans="1:27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296"/>
      <c r="V63" s="278"/>
      <c r="W63" s="278"/>
      <c r="X63" s="297"/>
      <c r="Y63" s="297"/>
      <c r="Z63" s="298"/>
    </row>
    <row r="64" spans="1:27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299"/>
      <c r="V64" s="300"/>
      <c r="W64" s="300"/>
      <c r="X64" s="301"/>
      <c r="Y64" s="301"/>
      <c r="Z64" s="302"/>
    </row>
    <row r="65" spans="1:26" s="17" customFormat="1" ht="15.6" customHeight="1" x14ac:dyDescent="0.25">
      <c r="A65" s="266" t="s">
        <v>114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8"/>
      <c r="R65" s="272" t="s">
        <v>50</v>
      </c>
      <c r="S65" s="273"/>
      <c r="T65" s="274"/>
      <c r="U65" s="87"/>
      <c r="V65" s="86"/>
      <c r="W65" s="86"/>
      <c r="X65" s="86"/>
      <c r="Y65" s="86"/>
      <c r="Z65" s="85"/>
    </row>
    <row r="66" spans="1:26" s="17" customFormat="1" ht="15.6" customHeight="1" x14ac:dyDescent="0.25">
      <c r="A66" s="266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272"/>
      <c r="S66" s="273"/>
      <c r="T66" s="274"/>
      <c r="U66" s="84"/>
      <c r="V66" s="278"/>
      <c r="W66" s="278"/>
      <c r="X66" s="278"/>
      <c r="Y66" s="278"/>
      <c r="Z66" s="83"/>
    </row>
    <row r="67" spans="1:26" s="17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272"/>
      <c r="S67" s="273"/>
      <c r="T67" s="274"/>
      <c r="U67" s="84"/>
      <c r="V67" s="278"/>
      <c r="W67" s="278"/>
      <c r="X67" s="278"/>
      <c r="Y67" s="278"/>
      <c r="Z67" s="83"/>
    </row>
    <row r="68" spans="1:26" s="17" customFormat="1" ht="15.6" customHeight="1" x14ac:dyDescent="0.25">
      <c r="A68" s="269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275"/>
      <c r="S68" s="276"/>
      <c r="T68" s="277"/>
      <c r="U68" s="82"/>
      <c r="V68" s="81"/>
      <c r="W68" s="81"/>
      <c r="X68" s="81"/>
      <c r="Y68" s="81"/>
      <c r="Z68" s="8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41">
    <mergeCell ref="B56:G56"/>
    <mergeCell ref="B57:G57"/>
    <mergeCell ref="Q54:V54"/>
    <mergeCell ref="K57:M57"/>
    <mergeCell ref="K55:M55"/>
    <mergeCell ref="K56:M56"/>
    <mergeCell ref="N55:P55"/>
    <mergeCell ref="N56:P56"/>
    <mergeCell ref="N57:P57"/>
    <mergeCell ref="G1:T1"/>
    <mergeCell ref="B10:G10"/>
    <mergeCell ref="S10:Y10"/>
    <mergeCell ref="A65:Q68"/>
    <mergeCell ref="R65:T68"/>
    <mergeCell ref="V66:Y67"/>
    <mergeCell ref="C54:G54"/>
    <mergeCell ref="H54:J54"/>
    <mergeCell ref="K54:M54"/>
    <mergeCell ref="N54:P54"/>
    <mergeCell ref="H57:J57"/>
    <mergeCell ref="H56:J56"/>
    <mergeCell ref="H55:J55"/>
    <mergeCell ref="B55:G55"/>
    <mergeCell ref="U1:Z6"/>
    <mergeCell ref="Q25:V25"/>
    <mergeCell ref="S55:V57"/>
    <mergeCell ref="Q55:R57"/>
    <mergeCell ref="S12:Y12"/>
    <mergeCell ref="Q23:V24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J21:P21"/>
    <mergeCell ref="N25:P25"/>
    <mergeCell ref="N23:P24"/>
    <mergeCell ref="I18:J18"/>
    <mergeCell ref="N10:R10"/>
    <mergeCell ref="G2:T4"/>
    <mergeCell ref="G5:H5"/>
    <mergeCell ref="I17:Y17"/>
    <mergeCell ref="S11:Y11"/>
    <mergeCell ref="H25:J25"/>
    <mergeCell ref="K25:M25"/>
    <mergeCell ref="B18:H18"/>
    <mergeCell ref="B23:B24"/>
    <mergeCell ref="C23:G24"/>
    <mergeCell ref="C25:G25"/>
    <mergeCell ref="H24:J24"/>
    <mergeCell ref="K24:M24"/>
    <mergeCell ref="H23:J23"/>
    <mergeCell ref="K23:M23"/>
    <mergeCell ref="B17:H17"/>
    <mergeCell ref="B12:G12"/>
    <mergeCell ref="B11:G11"/>
    <mergeCell ref="N12:R12"/>
    <mergeCell ref="H12:M12"/>
    <mergeCell ref="H11:M11"/>
    <mergeCell ref="N11:R11"/>
    <mergeCell ref="A61:Q61"/>
    <mergeCell ref="R61:T61"/>
    <mergeCell ref="C26:G26"/>
    <mergeCell ref="H26:J26"/>
    <mergeCell ref="K26:M26"/>
    <mergeCell ref="N26:P26"/>
    <mergeCell ref="Q26:V26"/>
    <mergeCell ref="C30:G30"/>
    <mergeCell ref="H30:J30"/>
    <mergeCell ref="K30:M30"/>
    <mergeCell ref="N30:P30"/>
    <mergeCell ref="Q30:V30"/>
    <mergeCell ref="C33:G33"/>
    <mergeCell ref="H33:J33"/>
    <mergeCell ref="K33:M33"/>
    <mergeCell ref="N33:P33"/>
    <mergeCell ref="U61:Z61"/>
    <mergeCell ref="A62:Q63"/>
    <mergeCell ref="R62:T64"/>
    <mergeCell ref="U62:Z64"/>
    <mergeCell ref="C27:G27"/>
    <mergeCell ref="H27:J27"/>
    <mergeCell ref="K27:M27"/>
    <mergeCell ref="N27:P27"/>
    <mergeCell ref="Q27:V27"/>
    <mergeCell ref="C29:G29"/>
    <mergeCell ref="H29:J29"/>
    <mergeCell ref="K29:M29"/>
    <mergeCell ref="N29:P29"/>
    <mergeCell ref="Q29:V29"/>
    <mergeCell ref="C28:G28"/>
    <mergeCell ref="H28:J28"/>
    <mergeCell ref="K28:M28"/>
    <mergeCell ref="N28:P28"/>
    <mergeCell ref="Q28:V28"/>
    <mergeCell ref="C31:G31"/>
    <mergeCell ref="H31:J31"/>
    <mergeCell ref="K31:M31"/>
    <mergeCell ref="N31:P31"/>
    <mergeCell ref="Q31:V31"/>
    <mergeCell ref="Q33:V33"/>
    <mergeCell ref="C32:G32"/>
    <mergeCell ref="H32:J32"/>
    <mergeCell ref="K32:M32"/>
    <mergeCell ref="N32:P32"/>
    <mergeCell ref="Q32:V32"/>
    <mergeCell ref="C35:G35"/>
    <mergeCell ref="H35:J35"/>
    <mergeCell ref="K35:M35"/>
    <mergeCell ref="N35:P35"/>
    <mergeCell ref="Q35:V35"/>
    <mergeCell ref="C34:G34"/>
    <mergeCell ref="H34:J34"/>
    <mergeCell ref="K34:M34"/>
    <mergeCell ref="N34:P34"/>
    <mergeCell ref="Q34:V34"/>
    <mergeCell ref="C37:G37"/>
    <mergeCell ref="H37:J37"/>
    <mergeCell ref="K37:M37"/>
    <mergeCell ref="N37:P37"/>
    <mergeCell ref="Q37:V37"/>
    <mergeCell ref="C36:G36"/>
    <mergeCell ref="H36:J36"/>
    <mergeCell ref="K36:M36"/>
    <mergeCell ref="N36:P36"/>
    <mergeCell ref="Q36:V36"/>
    <mergeCell ref="C39:G39"/>
    <mergeCell ref="H39:J39"/>
    <mergeCell ref="K39:M39"/>
    <mergeCell ref="N39:P39"/>
    <mergeCell ref="Q39:V39"/>
    <mergeCell ref="C38:G38"/>
    <mergeCell ref="H38:J38"/>
    <mergeCell ref="K38:M38"/>
    <mergeCell ref="N38:P38"/>
    <mergeCell ref="Q38:V3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ED2D1-1517-4253-9A06-D3713E432EF6}">
  <sheetPr>
    <pageSetUpPr fitToPage="1"/>
  </sheetPr>
  <dimension ref="A1:AA76"/>
  <sheetViews>
    <sheetView workbookViewId="0">
      <selection activeCell="N16" sqref="N1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167"/>
      <c r="B2" s="168"/>
      <c r="C2" s="168"/>
      <c r="D2" s="168"/>
      <c r="E2" s="168"/>
      <c r="F2" s="169"/>
      <c r="G2" s="307" t="s">
        <v>89</v>
      </c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9"/>
      <c r="U2" s="179"/>
      <c r="V2" s="180"/>
      <c r="W2" s="180"/>
      <c r="X2" s="180"/>
      <c r="Y2" s="180"/>
      <c r="Z2" s="181"/>
    </row>
    <row r="3" spans="1:26" ht="12.75" customHeight="1" x14ac:dyDescent="0.25">
      <c r="A3" s="167"/>
      <c r="B3" s="168"/>
      <c r="C3" s="168"/>
      <c r="D3" s="168"/>
      <c r="E3" s="168"/>
      <c r="F3" s="169"/>
      <c r="G3" s="307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9"/>
      <c r="U3" s="179"/>
      <c r="V3" s="180"/>
      <c r="W3" s="180"/>
      <c r="X3" s="180"/>
      <c r="Y3" s="180"/>
      <c r="Z3" s="181"/>
    </row>
    <row r="4" spans="1:26" ht="12.75" customHeight="1" x14ac:dyDescent="0.25">
      <c r="A4" s="167"/>
      <c r="B4" s="168"/>
      <c r="C4" s="168"/>
      <c r="D4" s="168"/>
      <c r="E4" s="168"/>
      <c r="F4" s="169"/>
      <c r="G4" s="307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9"/>
      <c r="U4" s="179"/>
      <c r="V4" s="180"/>
      <c r="W4" s="180"/>
      <c r="X4" s="180"/>
      <c r="Y4" s="180"/>
      <c r="Z4" s="18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88</v>
      </c>
      <c r="H5" s="190"/>
      <c r="I5" s="191">
        <v>15</v>
      </c>
      <c r="J5" s="191"/>
      <c r="K5" s="192"/>
      <c r="L5" s="193" t="s">
        <v>3</v>
      </c>
      <c r="M5" s="194"/>
      <c r="N5" s="194"/>
      <c r="O5" s="195"/>
      <c r="P5" s="196" t="s">
        <v>86</v>
      </c>
      <c r="Q5" s="197"/>
      <c r="R5" s="197"/>
      <c r="S5" s="197"/>
      <c r="T5" s="198"/>
      <c r="U5" s="179"/>
      <c r="V5" s="180"/>
      <c r="W5" s="180"/>
      <c r="X5" s="180"/>
      <c r="Y5" s="180"/>
      <c r="Z5" s="18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182"/>
      <c r="V6" s="183"/>
      <c r="W6" s="183"/>
      <c r="X6" s="183"/>
      <c r="Y6" s="183"/>
      <c r="Z6" s="18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91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86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303" t="s">
        <v>116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7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7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70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7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7" ht="12.75" customHeight="1" x14ac:dyDescent="0.25">
      <c r="B20" s="154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15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7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7" ht="12.75" customHeight="1" x14ac:dyDescent="0.25">
      <c r="A22" s="9"/>
      <c r="B22" s="39"/>
      <c r="Z22" s="11"/>
    </row>
    <row r="23" spans="1:27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85</v>
      </c>
      <c r="I23" s="199"/>
      <c r="J23" s="200"/>
      <c r="K23" s="212" t="s">
        <v>33</v>
      </c>
      <c r="L23" s="213"/>
      <c r="M23" s="214"/>
      <c r="N23" s="212" t="s">
        <v>84</v>
      </c>
      <c r="O23" s="213"/>
      <c r="P23" s="214"/>
      <c r="Q23" s="199" t="s">
        <v>34</v>
      </c>
      <c r="R23" s="199"/>
      <c r="S23" s="199"/>
      <c r="T23" s="199"/>
      <c r="U23" s="199"/>
      <c r="V23" s="200"/>
      <c r="Z23" s="11"/>
    </row>
    <row r="24" spans="1:27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1"/>
      <c r="J24" s="202"/>
      <c r="K24" s="203" t="s">
        <v>35</v>
      </c>
      <c r="L24" s="204"/>
      <c r="M24" s="205"/>
      <c r="N24" s="215"/>
      <c r="O24" s="204"/>
      <c r="P24" s="205"/>
      <c r="Q24" s="201"/>
      <c r="R24" s="201"/>
      <c r="S24" s="201"/>
      <c r="T24" s="201"/>
      <c r="U24" s="201"/>
      <c r="V24" s="202"/>
      <c r="Z24" s="11"/>
    </row>
    <row r="25" spans="1:27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219">
        <v>62.5</v>
      </c>
      <c r="I25" s="220"/>
      <c r="J25" s="221"/>
      <c r="K25" s="222">
        <v>71.400000000000006</v>
      </c>
      <c r="L25" s="223"/>
      <c r="M25" s="224"/>
      <c r="N25" s="225">
        <v>1.1399999999999999</v>
      </c>
      <c r="O25" s="223"/>
      <c r="P25" s="224"/>
      <c r="Q25" s="216"/>
      <c r="R25" s="217"/>
      <c r="S25" s="217"/>
      <c r="T25" s="217"/>
      <c r="U25" s="217"/>
      <c r="V25" s="218"/>
      <c r="Z25" s="11"/>
    </row>
    <row r="26" spans="1:27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219">
        <v>63.2</v>
      </c>
      <c r="I26" s="220"/>
      <c r="J26" s="221"/>
      <c r="K26" s="222">
        <v>136.4</v>
      </c>
      <c r="L26" s="223"/>
      <c r="M26" s="224"/>
      <c r="N26" s="225">
        <v>2.16</v>
      </c>
      <c r="O26" s="223"/>
      <c r="P26" s="224"/>
      <c r="Q26" s="216"/>
      <c r="R26" s="217"/>
      <c r="S26" s="217"/>
      <c r="T26" s="217"/>
      <c r="U26" s="217"/>
      <c r="V26" s="218"/>
      <c r="Z26" s="11"/>
    </row>
    <row r="27" spans="1:27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219">
        <v>42.94</v>
      </c>
      <c r="I27" s="220"/>
      <c r="J27" s="221"/>
      <c r="K27" s="222">
        <v>118.4</v>
      </c>
      <c r="L27" s="223"/>
      <c r="M27" s="224"/>
      <c r="N27" s="225">
        <v>2.76</v>
      </c>
      <c r="O27" s="223"/>
      <c r="P27" s="224"/>
      <c r="Q27" s="216"/>
      <c r="R27" s="217"/>
      <c r="S27" s="217"/>
      <c r="T27" s="217"/>
      <c r="U27" s="217"/>
      <c r="V27" s="218"/>
      <c r="Z27" s="11"/>
    </row>
    <row r="28" spans="1:27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219">
        <v>61.81</v>
      </c>
      <c r="I28" s="220"/>
      <c r="J28" s="221"/>
      <c r="K28" s="222">
        <v>107.1</v>
      </c>
      <c r="L28" s="223"/>
      <c r="M28" s="224"/>
      <c r="N28" s="225">
        <v>1.73</v>
      </c>
      <c r="O28" s="223"/>
      <c r="P28" s="224"/>
      <c r="Q28" s="216"/>
      <c r="R28" s="217"/>
      <c r="S28" s="217"/>
      <c r="T28" s="217"/>
      <c r="U28" s="217"/>
      <c r="V28" s="218"/>
      <c r="Z28" s="11"/>
    </row>
    <row r="29" spans="1:27" s="73" customFormat="1" ht="19.5" customHeight="1" x14ac:dyDescent="0.25">
      <c r="A29" s="108"/>
      <c r="B29" s="45">
        <v>5</v>
      </c>
      <c r="C29" s="114"/>
      <c r="D29" s="113"/>
      <c r="E29" s="113"/>
      <c r="F29" s="113"/>
      <c r="G29" s="112"/>
      <c r="H29" s="219">
        <v>46.5</v>
      </c>
      <c r="I29" s="220"/>
      <c r="J29" s="221"/>
      <c r="K29" s="222">
        <v>97.8</v>
      </c>
      <c r="L29" s="223"/>
      <c r="M29" s="224"/>
      <c r="N29" s="225">
        <f>K29/H29</f>
        <v>2.1032258064516127</v>
      </c>
      <c r="O29" s="223"/>
      <c r="P29" s="224"/>
      <c r="Q29" s="114"/>
      <c r="R29" s="113"/>
      <c r="S29" s="113"/>
      <c r="T29" s="113"/>
      <c r="U29" s="113"/>
      <c r="V29" s="112"/>
      <c r="W29" s="74"/>
      <c r="X29" s="74"/>
      <c r="Y29" s="74"/>
      <c r="Z29" s="107"/>
      <c r="AA29" s="74"/>
    </row>
    <row r="30" spans="1:27" s="73" customFormat="1" ht="19.5" customHeight="1" x14ac:dyDescent="0.25">
      <c r="A30" s="108"/>
      <c r="B30" s="45">
        <v>6</v>
      </c>
      <c r="C30" s="114"/>
      <c r="D30" s="113"/>
      <c r="E30" s="113"/>
      <c r="F30" s="113"/>
      <c r="G30" s="112"/>
      <c r="H30" s="219">
        <v>56.8</v>
      </c>
      <c r="I30" s="220"/>
      <c r="J30" s="221"/>
      <c r="K30" s="222">
        <v>109.8</v>
      </c>
      <c r="L30" s="223"/>
      <c r="M30" s="224"/>
      <c r="N30" s="225">
        <f>K30/H30</f>
        <v>1.9330985915492958</v>
      </c>
      <c r="O30" s="223"/>
      <c r="P30" s="224"/>
      <c r="Q30" s="114"/>
      <c r="R30" s="113"/>
      <c r="S30" s="113"/>
      <c r="T30" s="113"/>
      <c r="U30" s="113"/>
      <c r="V30" s="112"/>
      <c r="W30" s="74"/>
      <c r="X30" s="74"/>
      <c r="Y30" s="74"/>
      <c r="Z30" s="107"/>
      <c r="AA30" s="74"/>
    </row>
    <row r="31" spans="1:27" s="73" customFormat="1" ht="19.5" customHeight="1" x14ac:dyDescent="0.25">
      <c r="A31" s="108"/>
      <c r="B31" s="120"/>
      <c r="C31" s="114"/>
      <c r="D31" s="113"/>
      <c r="E31" s="113"/>
      <c r="F31" s="113"/>
      <c r="G31" s="112"/>
      <c r="H31" s="119"/>
      <c r="I31" s="118"/>
      <c r="J31" s="117"/>
      <c r="K31" s="116"/>
      <c r="L31" s="110"/>
      <c r="M31" s="109"/>
      <c r="N31" s="115"/>
      <c r="O31" s="110"/>
      <c r="P31" s="109"/>
      <c r="Q31" s="114"/>
      <c r="R31" s="113"/>
      <c r="S31" s="113"/>
      <c r="T31" s="113"/>
      <c r="U31" s="113"/>
      <c r="V31" s="112"/>
      <c r="W31" s="74"/>
      <c r="X31" s="74"/>
      <c r="Y31" s="74"/>
      <c r="Z31" s="107"/>
      <c r="AA31" s="74"/>
    </row>
    <row r="32" spans="1:27" s="73" customFormat="1" ht="19.5" customHeight="1" x14ac:dyDescent="0.25">
      <c r="A32" s="108"/>
      <c r="B32" s="120"/>
      <c r="C32" s="114"/>
      <c r="D32" s="113"/>
      <c r="E32" s="113"/>
      <c r="F32" s="113"/>
      <c r="G32" s="112"/>
      <c r="H32" s="119"/>
      <c r="I32" s="118"/>
      <c r="J32" s="117"/>
      <c r="K32" s="116"/>
      <c r="L32" s="110"/>
      <c r="M32" s="109"/>
      <c r="N32" s="115"/>
      <c r="O32" s="110"/>
      <c r="P32" s="109"/>
      <c r="Q32" s="114"/>
      <c r="R32" s="113"/>
      <c r="S32" s="113"/>
      <c r="T32" s="113"/>
      <c r="U32" s="113"/>
      <c r="V32" s="112"/>
      <c r="W32" s="74"/>
      <c r="X32" s="74"/>
      <c r="Y32" s="74"/>
      <c r="Z32" s="107"/>
      <c r="AA32" s="74"/>
    </row>
    <row r="33" spans="1:27" s="73" customFormat="1" ht="19.5" customHeight="1" x14ac:dyDescent="0.25">
      <c r="A33" s="108"/>
      <c r="B33" s="120"/>
      <c r="C33" s="114"/>
      <c r="D33" s="113"/>
      <c r="E33" s="113"/>
      <c r="F33" s="113"/>
      <c r="G33" s="112"/>
      <c r="H33" s="119"/>
      <c r="I33" s="118"/>
      <c r="J33" s="117"/>
      <c r="K33" s="116"/>
      <c r="L33" s="110"/>
      <c r="M33" s="109"/>
      <c r="N33" s="115"/>
      <c r="O33" s="110"/>
      <c r="P33" s="109"/>
      <c r="Q33" s="114"/>
      <c r="R33" s="113"/>
      <c r="S33" s="113"/>
      <c r="T33" s="113"/>
      <c r="U33" s="113"/>
      <c r="V33" s="112"/>
      <c r="W33" s="74"/>
      <c r="X33" s="74"/>
      <c r="Y33" s="74"/>
      <c r="Z33" s="107"/>
      <c r="AA33" s="74"/>
    </row>
    <row r="34" spans="1:27" s="73" customFormat="1" ht="19.5" customHeight="1" x14ac:dyDescent="0.25">
      <c r="A34" s="108"/>
      <c r="B34" s="120"/>
      <c r="C34" s="114"/>
      <c r="D34" s="113"/>
      <c r="E34" s="113"/>
      <c r="F34" s="113"/>
      <c r="G34" s="112"/>
      <c r="H34" s="119"/>
      <c r="I34" s="118"/>
      <c r="J34" s="117"/>
      <c r="K34" s="116"/>
      <c r="L34" s="110"/>
      <c r="M34" s="109"/>
      <c r="N34" s="115"/>
      <c r="O34" s="110"/>
      <c r="P34" s="109"/>
      <c r="Q34" s="114"/>
      <c r="R34" s="113"/>
      <c r="S34" s="113"/>
      <c r="T34" s="113"/>
      <c r="U34" s="113"/>
      <c r="V34" s="112"/>
      <c r="W34" s="74"/>
      <c r="X34" s="74"/>
      <c r="Y34" s="74"/>
      <c r="Z34" s="107"/>
      <c r="AA34" s="74"/>
    </row>
    <row r="35" spans="1:27" s="73" customFormat="1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W35" s="74"/>
      <c r="X35" s="74"/>
      <c r="Y35" s="74"/>
      <c r="Z35" s="107"/>
      <c r="AA35" s="74"/>
    </row>
    <row r="36" spans="1:27" s="73" customFormat="1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W36" s="74"/>
      <c r="X36" s="74"/>
      <c r="Y36" s="74"/>
      <c r="Z36" s="107"/>
      <c r="AA36" s="74"/>
    </row>
    <row r="37" spans="1:27" s="73" customFormat="1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W37" s="74"/>
      <c r="X37" s="74"/>
      <c r="Y37" s="74"/>
      <c r="Z37" s="107"/>
      <c r="AA37" s="74"/>
    </row>
    <row r="38" spans="1:27" s="73" customFormat="1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W38" s="74"/>
      <c r="X38" s="74"/>
      <c r="Y38" s="74"/>
      <c r="Z38" s="107"/>
      <c r="AA38" s="74"/>
    </row>
    <row r="39" spans="1:27" s="73" customFormat="1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W39" s="74"/>
      <c r="X39" s="74"/>
      <c r="Y39" s="74"/>
      <c r="Z39" s="107"/>
      <c r="AA39" s="74"/>
    </row>
    <row r="40" spans="1:27" s="73" customFormat="1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W40" s="74"/>
      <c r="X40" s="74"/>
      <c r="Y40" s="74"/>
      <c r="Z40" s="107"/>
      <c r="AA40" s="74"/>
    </row>
    <row r="41" spans="1:27" s="73" customFormat="1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W41" s="74"/>
      <c r="X41" s="74"/>
      <c r="Y41" s="74"/>
      <c r="Z41" s="107"/>
      <c r="AA41" s="74"/>
    </row>
    <row r="42" spans="1:27" s="73" customFormat="1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W42" s="74"/>
      <c r="X42" s="74"/>
      <c r="Y42" s="74"/>
      <c r="Z42" s="107"/>
      <c r="AA42" s="74"/>
    </row>
    <row r="43" spans="1:27" s="73" customFormat="1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W43" s="74"/>
      <c r="X43" s="74"/>
      <c r="Y43" s="74"/>
      <c r="Z43" s="107"/>
      <c r="AA43" s="74"/>
    </row>
    <row r="44" spans="1:27" s="73" customFormat="1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W44" s="74"/>
      <c r="X44" s="74"/>
      <c r="Y44" s="74"/>
      <c r="Z44" s="107"/>
      <c r="AA44" s="74"/>
    </row>
    <row r="45" spans="1:27" s="73" customFormat="1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W45" s="74"/>
      <c r="X45" s="74"/>
      <c r="Y45" s="74"/>
      <c r="Z45" s="107"/>
      <c r="AA45" s="74"/>
    </row>
    <row r="46" spans="1:27" s="73" customFormat="1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W46" s="74"/>
      <c r="X46" s="74"/>
      <c r="Y46" s="74"/>
      <c r="Z46" s="107"/>
      <c r="AA46" s="74"/>
    </row>
    <row r="47" spans="1:27" s="73" customFormat="1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W47" s="74"/>
      <c r="X47" s="74"/>
      <c r="Y47" s="74"/>
      <c r="Z47" s="107"/>
      <c r="AA47" s="74"/>
    </row>
    <row r="48" spans="1:27" s="73" customFormat="1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W48" s="74"/>
      <c r="X48" s="74"/>
      <c r="Y48" s="74"/>
      <c r="Z48" s="107"/>
      <c r="AA48" s="74"/>
    </row>
    <row r="49" spans="1:27" s="73" customFormat="1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W49" s="74"/>
      <c r="X49" s="74"/>
      <c r="Y49" s="74"/>
      <c r="Z49" s="107"/>
      <c r="AA49" s="74"/>
    </row>
    <row r="50" spans="1:27" s="73" customFormat="1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W50" s="74"/>
      <c r="X50" s="74"/>
      <c r="Y50" s="74"/>
      <c r="Z50" s="107"/>
      <c r="AA50" s="74"/>
    </row>
    <row r="51" spans="1:27" s="73" customFormat="1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W51" s="74"/>
      <c r="X51" s="74"/>
      <c r="Y51" s="74"/>
      <c r="Z51" s="107"/>
      <c r="AA51" s="74"/>
    </row>
    <row r="52" spans="1:27" s="73" customFormat="1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W52" s="74"/>
      <c r="X52" s="74"/>
      <c r="Y52" s="74"/>
      <c r="Z52" s="107"/>
      <c r="AA52" s="74"/>
    </row>
    <row r="53" spans="1:27" ht="19.5" customHeight="1" x14ac:dyDescent="0.25">
      <c r="A53" s="9"/>
      <c r="B53" s="156"/>
      <c r="C53" s="304"/>
      <c r="D53" s="305"/>
      <c r="E53" s="305"/>
      <c r="F53" s="305"/>
      <c r="G53" s="306"/>
      <c r="H53" s="318"/>
      <c r="I53" s="319"/>
      <c r="J53" s="320"/>
      <c r="K53" s="318"/>
      <c r="L53" s="319"/>
      <c r="M53" s="320"/>
      <c r="N53" s="321"/>
      <c r="O53" s="322"/>
      <c r="P53" s="323"/>
      <c r="Q53" s="304"/>
      <c r="R53" s="305"/>
      <c r="S53" s="305"/>
      <c r="T53" s="305"/>
      <c r="U53" s="305"/>
      <c r="V53" s="306"/>
      <c r="Z53" s="11"/>
    </row>
    <row r="54" spans="1:27" ht="19.5" customHeight="1" thickBot="1" x14ac:dyDescent="0.3">
      <c r="A54" s="9"/>
      <c r="B54" s="155"/>
      <c r="C54" s="310"/>
      <c r="D54" s="226"/>
      <c r="E54" s="226"/>
      <c r="F54" s="226"/>
      <c r="G54" s="227"/>
      <c r="H54" s="231"/>
      <c r="I54" s="232"/>
      <c r="J54" s="233"/>
      <c r="K54" s="231"/>
      <c r="L54" s="232"/>
      <c r="M54" s="233"/>
      <c r="N54" s="234"/>
      <c r="O54" s="235"/>
      <c r="P54" s="236"/>
      <c r="Q54" s="310"/>
      <c r="R54" s="226"/>
      <c r="S54" s="226"/>
      <c r="T54" s="226"/>
      <c r="U54" s="226"/>
      <c r="V54" s="227"/>
      <c r="Z54" s="11"/>
    </row>
    <row r="55" spans="1:27" ht="19.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315">
        <f>AVERAGE(H25:J54)</f>
        <v>55.625</v>
      </c>
      <c r="I55" s="316"/>
      <c r="J55" s="317"/>
      <c r="K55" s="315">
        <f>AVERAGE(K25:M54)</f>
        <v>106.81666666666666</v>
      </c>
      <c r="L55" s="316"/>
      <c r="M55" s="317"/>
      <c r="N55" s="315">
        <f>AVERAGE(N25:P54)</f>
        <v>1.9710540663334848</v>
      </c>
      <c r="O55" s="316"/>
      <c r="P55" s="317"/>
      <c r="Q55" s="260">
        <v>100</v>
      </c>
      <c r="R55" s="261"/>
      <c r="S55" s="240" t="s">
        <v>38</v>
      </c>
      <c r="T55" s="240"/>
      <c r="U55" s="240"/>
      <c r="V55" s="241"/>
      <c r="Z55" s="11"/>
    </row>
    <row r="56" spans="1:27" ht="19.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IF(H25&lt;&gt;"",MIN(H25:J54),"")</f>
        <v>42.94</v>
      </c>
      <c r="I56" s="313"/>
      <c r="J56" s="314"/>
      <c r="K56" s="249">
        <f>IF(COUNTIF(K25:M54,"*&lt;20*"),"&lt;20",MIN(K25:M54))</f>
        <v>71.400000000000006</v>
      </c>
      <c r="L56" s="313"/>
      <c r="M56" s="314"/>
      <c r="N56" s="249">
        <f>IF(N25&lt;&gt;"",MIN(N25:P54),"")</f>
        <v>1.1399999999999999</v>
      </c>
      <c r="O56" s="313"/>
      <c r="P56" s="314"/>
      <c r="Q56" s="262"/>
      <c r="R56" s="263"/>
      <c r="S56" s="242"/>
      <c r="T56" s="242"/>
      <c r="U56" s="242"/>
      <c r="V56" s="243"/>
      <c r="Z56" s="11"/>
    </row>
    <row r="57" spans="1:27" ht="19.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IF(H25&lt;&gt;"",MAX(H25:J54),"")</f>
        <v>63.2</v>
      </c>
      <c r="I57" s="311"/>
      <c r="J57" s="312"/>
      <c r="K57" s="253">
        <f>IF(COUNTIF(K25:M54,"*&gt;250*"),"&gt;250",MAX(K25:M54))</f>
        <v>136.4</v>
      </c>
      <c r="L57" s="311"/>
      <c r="M57" s="312"/>
      <c r="N57" s="253">
        <f>IF(N25&lt;&gt;"",MAX(N25:P54),"")</f>
        <v>2.76</v>
      </c>
      <c r="O57" s="311"/>
      <c r="P57" s="312"/>
      <c r="Q57" s="264"/>
      <c r="R57" s="265"/>
      <c r="S57" s="244"/>
      <c r="T57" s="244"/>
      <c r="U57" s="244"/>
      <c r="V57" s="245"/>
      <c r="Z57" s="11"/>
    </row>
    <row r="58" spans="1:27" ht="19.5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7" ht="19.5" customHeight="1" x14ac:dyDescent="0.25">
      <c r="A59" s="36"/>
      <c r="B59" s="37"/>
    </row>
    <row r="60" spans="1:27" s="17" customFormat="1" ht="19.5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7" s="17" customFormat="1" ht="28.2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282" t="s">
        <v>13</v>
      </c>
      <c r="V61" s="283"/>
      <c r="W61" s="283"/>
      <c r="X61" s="284"/>
      <c r="Y61" s="284"/>
      <c r="Z61" s="285"/>
    </row>
    <row r="62" spans="1:27" s="17" customFormat="1" ht="15.6" customHeight="1" x14ac:dyDescent="0.25">
      <c r="A62" s="286" t="s">
        <v>53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292" t="s">
        <v>47</v>
      </c>
      <c r="V62" s="293"/>
      <c r="W62" s="293"/>
      <c r="X62" s="294"/>
      <c r="Y62" s="294"/>
      <c r="Z62" s="295"/>
    </row>
    <row r="63" spans="1:27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296"/>
      <c r="V63" s="278"/>
      <c r="W63" s="278"/>
      <c r="X63" s="297"/>
      <c r="Y63" s="297"/>
      <c r="Z63" s="298"/>
    </row>
    <row r="64" spans="1:27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299"/>
      <c r="V64" s="300"/>
      <c r="W64" s="300"/>
      <c r="X64" s="301"/>
      <c r="Y64" s="301"/>
      <c r="Z64" s="302"/>
    </row>
    <row r="65" spans="1:26" s="17" customFormat="1" ht="15.6" customHeight="1" x14ac:dyDescent="0.25">
      <c r="A65" s="266" t="s">
        <v>114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8"/>
      <c r="R65" s="272" t="s">
        <v>50</v>
      </c>
      <c r="S65" s="273"/>
      <c r="T65" s="274"/>
      <c r="U65" s="87"/>
      <c r="V65" s="86"/>
      <c r="W65" s="86"/>
      <c r="X65" s="86"/>
      <c r="Y65" s="86"/>
      <c r="Z65" s="85"/>
    </row>
    <row r="66" spans="1:26" s="17" customFormat="1" ht="15.6" customHeight="1" x14ac:dyDescent="0.25">
      <c r="A66" s="266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272"/>
      <c r="S66" s="273"/>
      <c r="T66" s="274"/>
      <c r="U66" s="84"/>
      <c r="V66" s="278"/>
      <c r="W66" s="278"/>
      <c r="X66" s="278"/>
      <c r="Y66" s="278"/>
      <c r="Z66" s="83"/>
    </row>
    <row r="67" spans="1:26" s="17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272"/>
      <c r="S67" s="273"/>
      <c r="T67" s="274"/>
      <c r="U67" s="84"/>
      <c r="V67" s="278"/>
      <c r="W67" s="278"/>
      <c r="X67" s="278"/>
      <c r="Y67" s="278"/>
      <c r="Z67" s="83"/>
    </row>
    <row r="68" spans="1:26" s="17" customFormat="1" ht="15.6" customHeight="1" x14ac:dyDescent="0.25">
      <c r="A68" s="269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275"/>
      <c r="S68" s="276"/>
      <c r="T68" s="277"/>
      <c r="U68" s="82"/>
      <c r="V68" s="81"/>
      <c r="W68" s="81"/>
      <c r="X68" s="81"/>
      <c r="Y68" s="81"/>
      <c r="Z68" s="80"/>
    </row>
    <row r="69" spans="1:26" s="17" customFormat="1" ht="19.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9.5" customHeight="1" x14ac:dyDescent="0.25">
      <c r="A71" s="1"/>
    </row>
    <row r="72" spans="1:26" ht="19.5" customHeight="1" x14ac:dyDescent="0.25">
      <c r="A72" s="1"/>
    </row>
    <row r="73" spans="1:26" ht="19.5" customHeight="1" x14ac:dyDescent="0.25">
      <c r="A73" s="1"/>
    </row>
    <row r="74" spans="1:26" ht="19.5" customHeight="1" x14ac:dyDescent="0.25">
      <c r="A74" s="1"/>
    </row>
    <row r="75" spans="1:26" ht="19.5" customHeight="1" x14ac:dyDescent="0.25">
      <c r="A75" s="1"/>
    </row>
    <row r="76" spans="1:26" ht="19.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7">
    <mergeCell ref="B56:G56"/>
    <mergeCell ref="B57:G57"/>
    <mergeCell ref="H29:J29"/>
    <mergeCell ref="K29:M29"/>
    <mergeCell ref="N29:P29"/>
    <mergeCell ref="H30:J30"/>
    <mergeCell ref="K30:M30"/>
    <mergeCell ref="N30:P30"/>
    <mergeCell ref="C53:G53"/>
    <mergeCell ref="H53:J53"/>
    <mergeCell ref="K53:M53"/>
    <mergeCell ref="N53:P53"/>
    <mergeCell ref="Q54:V54"/>
    <mergeCell ref="K57:M57"/>
    <mergeCell ref="K55:M55"/>
    <mergeCell ref="K56:M56"/>
    <mergeCell ref="N55:P55"/>
    <mergeCell ref="N56:P56"/>
    <mergeCell ref="N57:P57"/>
    <mergeCell ref="S55:V57"/>
    <mergeCell ref="Q55:R57"/>
    <mergeCell ref="G1:T1"/>
    <mergeCell ref="B10:G10"/>
    <mergeCell ref="S10:Y10"/>
    <mergeCell ref="A65:Q68"/>
    <mergeCell ref="R65:T68"/>
    <mergeCell ref="V66:Y67"/>
    <mergeCell ref="C54:G54"/>
    <mergeCell ref="H54:J54"/>
    <mergeCell ref="K54:M54"/>
    <mergeCell ref="N54:P54"/>
    <mergeCell ref="H57:J57"/>
    <mergeCell ref="H56:J56"/>
    <mergeCell ref="H55:J55"/>
    <mergeCell ref="B55:G55"/>
    <mergeCell ref="U1:Z6"/>
    <mergeCell ref="Q25:V25"/>
    <mergeCell ref="S12:Y12"/>
    <mergeCell ref="Q23:V24"/>
    <mergeCell ref="A7:F7"/>
    <mergeCell ref="G7:Z7"/>
    <mergeCell ref="H10:M10"/>
    <mergeCell ref="H24:J24"/>
    <mergeCell ref="K24:M24"/>
    <mergeCell ref="H23:J23"/>
    <mergeCell ref="K23:M23"/>
    <mergeCell ref="B17:H17"/>
    <mergeCell ref="B12:G12"/>
    <mergeCell ref="B11:G11"/>
    <mergeCell ref="N12:R12"/>
    <mergeCell ref="H12:M12"/>
    <mergeCell ref="H11:M11"/>
    <mergeCell ref="N11:R11"/>
    <mergeCell ref="I5:K5"/>
    <mergeCell ref="I6:K6"/>
    <mergeCell ref="L5:O5"/>
    <mergeCell ref="P5:T5"/>
    <mergeCell ref="L6:O6"/>
    <mergeCell ref="P6:T6"/>
    <mergeCell ref="A1:F6"/>
    <mergeCell ref="J21:P21"/>
    <mergeCell ref="N25:P25"/>
    <mergeCell ref="N23:P24"/>
    <mergeCell ref="I18:J18"/>
    <mergeCell ref="N10:R10"/>
    <mergeCell ref="G2:T4"/>
    <mergeCell ref="G5:H5"/>
    <mergeCell ref="I17:Y17"/>
    <mergeCell ref="S11:Y11"/>
    <mergeCell ref="H25:J25"/>
    <mergeCell ref="K25:M25"/>
    <mergeCell ref="B18:H18"/>
    <mergeCell ref="B23:B24"/>
    <mergeCell ref="C23:G24"/>
    <mergeCell ref="C25:G25"/>
    <mergeCell ref="A61:Q61"/>
    <mergeCell ref="R61:T61"/>
    <mergeCell ref="U61:Z61"/>
    <mergeCell ref="A62:Q63"/>
    <mergeCell ref="R62:T64"/>
    <mergeCell ref="U62:Z64"/>
    <mergeCell ref="C27:G27"/>
    <mergeCell ref="H27:J27"/>
    <mergeCell ref="K27:M27"/>
    <mergeCell ref="N27:P27"/>
    <mergeCell ref="Q27:V27"/>
    <mergeCell ref="C26:G26"/>
    <mergeCell ref="H26:J26"/>
    <mergeCell ref="K26:M26"/>
    <mergeCell ref="N26:P26"/>
    <mergeCell ref="Q26:V26"/>
    <mergeCell ref="Q53:V53"/>
    <mergeCell ref="C28:G28"/>
    <mergeCell ref="H28:J28"/>
    <mergeCell ref="K28:M28"/>
    <mergeCell ref="N28:P28"/>
    <mergeCell ref="Q28:V28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077-6405-408B-8726-C7C35A855BAB}">
  <sheetPr>
    <pageSetUpPr fitToPage="1"/>
  </sheetPr>
  <dimension ref="A1:AA76"/>
  <sheetViews>
    <sheetView workbookViewId="0">
      <selection activeCell="A65" sqref="A65:Q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167"/>
      <c r="B2" s="168"/>
      <c r="C2" s="168"/>
      <c r="D2" s="168"/>
      <c r="E2" s="168"/>
      <c r="F2" s="169"/>
      <c r="G2" s="307" t="s">
        <v>89</v>
      </c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9"/>
      <c r="U2" s="179"/>
      <c r="V2" s="180"/>
      <c r="W2" s="180"/>
      <c r="X2" s="180"/>
      <c r="Y2" s="180"/>
      <c r="Z2" s="181"/>
    </row>
    <row r="3" spans="1:26" ht="12.75" customHeight="1" x14ac:dyDescent="0.25">
      <c r="A3" s="167"/>
      <c r="B3" s="168"/>
      <c r="C3" s="168"/>
      <c r="D3" s="168"/>
      <c r="E3" s="168"/>
      <c r="F3" s="169"/>
      <c r="G3" s="307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9"/>
      <c r="U3" s="179"/>
      <c r="V3" s="180"/>
      <c r="W3" s="180"/>
      <c r="X3" s="180"/>
      <c r="Y3" s="180"/>
      <c r="Z3" s="181"/>
    </row>
    <row r="4" spans="1:26" ht="12.75" customHeight="1" x14ac:dyDescent="0.25">
      <c r="A4" s="167"/>
      <c r="B4" s="168"/>
      <c r="C4" s="168"/>
      <c r="D4" s="168"/>
      <c r="E4" s="168"/>
      <c r="F4" s="169"/>
      <c r="G4" s="307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9"/>
      <c r="U4" s="179"/>
      <c r="V4" s="180"/>
      <c r="W4" s="180"/>
      <c r="X4" s="180"/>
      <c r="Y4" s="180"/>
      <c r="Z4" s="18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88</v>
      </c>
      <c r="H5" s="190"/>
      <c r="I5" s="191">
        <v>14</v>
      </c>
      <c r="J5" s="191"/>
      <c r="K5" s="192"/>
      <c r="L5" s="193" t="s">
        <v>3</v>
      </c>
      <c r="M5" s="194"/>
      <c r="N5" s="194"/>
      <c r="O5" s="195"/>
      <c r="P5" s="196" t="s">
        <v>86</v>
      </c>
      <c r="Q5" s="197"/>
      <c r="R5" s="197"/>
      <c r="S5" s="197"/>
      <c r="T5" s="198"/>
      <c r="U5" s="179"/>
      <c r="V5" s="180"/>
      <c r="W5" s="180"/>
      <c r="X5" s="180"/>
      <c r="Y5" s="180"/>
      <c r="Z5" s="18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182"/>
      <c r="V6" s="183"/>
      <c r="W6" s="183"/>
      <c r="X6" s="183"/>
      <c r="Y6" s="183"/>
      <c r="Z6" s="18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100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303" t="s">
        <v>111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99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21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70</v>
      </c>
      <c r="L18" s="27" t="s">
        <v>27</v>
      </c>
      <c r="M18" s="27"/>
      <c r="N18" s="27" t="s">
        <v>98</v>
      </c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B20" s="154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15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85</v>
      </c>
      <c r="I23" s="199"/>
      <c r="J23" s="200"/>
      <c r="K23" s="212" t="s">
        <v>33</v>
      </c>
      <c r="L23" s="213"/>
      <c r="M23" s="214"/>
      <c r="N23" s="212" t="s">
        <v>84</v>
      </c>
      <c r="O23" s="213"/>
      <c r="P23" s="214"/>
      <c r="Q23" s="199" t="s">
        <v>34</v>
      </c>
      <c r="R23" s="199"/>
      <c r="S23" s="199"/>
      <c r="T23" s="199"/>
      <c r="U23" s="199"/>
      <c r="V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1"/>
      <c r="J24" s="202"/>
      <c r="K24" s="203" t="s">
        <v>35</v>
      </c>
      <c r="L24" s="204"/>
      <c r="M24" s="205"/>
      <c r="N24" s="215"/>
      <c r="O24" s="204"/>
      <c r="P24" s="205"/>
      <c r="Q24" s="201"/>
      <c r="R24" s="201"/>
      <c r="S24" s="201"/>
      <c r="T24" s="201"/>
      <c r="U24" s="201"/>
      <c r="V24" s="202"/>
      <c r="Z24" s="11"/>
    </row>
    <row r="25" spans="1:26" ht="19.5" customHeight="1" x14ac:dyDescent="0.25">
      <c r="A25" s="9"/>
      <c r="B25" s="45">
        <v>1</v>
      </c>
      <c r="C25" s="324" t="s">
        <v>97</v>
      </c>
      <c r="D25" s="325"/>
      <c r="E25" s="325"/>
      <c r="F25" s="325"/>
      <c r="G25" s="326"/>
      <c r="H25" s="219">
        <v>60.48</v>
      </c>
      <c r="I25" s="220"/>
      <c r="J25" s="221"/>
      <c r="K25" s="222">
        <v>118.4</v>
      </c>
      <c r="L25" s="223"/>
      <c r="M25" s="224"/>
      <c r="N25" s="225">
        <v>1.96</v>
      </c>
      <c r="O25" s="223"/>
      <c r="P25" s="224"/>
      <c r="Q25" s="216"/>
      <c r="R25" s="217"/>
      <c r="S25" s="217"/>
      <c r="T25" s="217"/>
      <c r="U25" s="217"/>
      <c r="V25" s="218"/>
      <c r="Z25" s="11"/>
    </row>
    <row r="26" spans="1:26" ht="19.5" customHeight="1" x14ac:dyDescent="0.25">
      <c r="A26" s="9"/>
      <c r="B26" s="45">
        <v>2</v>
      </c>
      <c r="C26" s="328"/>
      <c r="D26" s="329"/>
      <c r="E26" s="329"/>
      <c r="F26" s="329"/>
      <c r="G26" s="330"/>
      <c r="H26" s="219">
        <v>10.3</v>
      </c>
      <c r="I26" s="220"/>
      <c r="J26" s="221"/>
      <c r="K26" s="222">
        <v>23.8</v>
      </c>
      <c r="L26" s="223"/>
      <c r="M26" s="224"/>
      <c r="N26" s="225">
        <v>2.31</v>
      </c>
      <c r="O26" s="223"/>
      <c r="P26" s="224"/>
      <c r="Q26" s="216"/>
      <c r="R26" s="217"/>
      <c r="S26" s="217"/>
      <c r="T26" s="217"/>
      <c r="U26" s="217"/>
      <c r="V26" s="218"/>
      <c r="Z26" s="11"/>
    </row>
    <row r="27" spans="1:26" ht="19.5" customHeight="1" x14ac:dyDescent="0.25">
      <c r="A27" s="9"/>
      <c r="B27" s="45">
        <v>3</v>
      </c>
      <c r="C27" s="324" t="s">
        <v>96</v>
      </c>
      <c r="D27" s="325"/>
      <c r="E27" s="325"/>
      <c r="F27" s="325"/>
      <c r="G27" s="326"/>
      <c r="H27" s="219">
        <v>26.04</v>
      </c>
      <c r="I27" s="220"/>
      <c r="J27" s="221"/>
      <c r="K27" s="222">
        <v>115.4</v>
      </c>
      <c r="L27" s="223"/>
      <c r="M27" s="224"/>
      <c r="N27" s="225">
        <v>4.43</v>
      </c>
      <c r="O27" s="223"/>
      <c r="P27" s="224"/>
      <c r="Q27" s="216"/>
      <c r="R27" s="217"/>
      <c r="S27" s="217"/>
      <c r="T27" s="217"/>
      <c r="U27" s="217"/>
      <c r="V27" s="218"/>
      <c r="Z27" s="11"/>
    </row>
    <row r="28" spans="1:26" ht="19.5" customHeight="1" x14ac:dyDescent="0.25">
      <c r="A28" s="9"/>
      <c r="B28" s="45">
        <v>4</v>
      </c>
      <c r="C28" s="262"/>
      <c r="D28" s="263"/>
      <c r="E28" s="263"/>
      <c r="F28" s="263"/>
      <c r="G28" s="327"/>
      <c r="H28" s="219">
        <v>38.270000000000003</v>
      </c>
      <c r="I28" s="220"/>
      <c r="J28" s="221"/>
      <c r="K28" s="222">
        <v>112.5</v>
      </c>
      <c r="L28" s="223"/>
      <c r="M28" s="224"/>
      <c r="N28" s="225">
        <v>2.94</v>
      </c>
      <c r="O28" s="223"/>
      <c r="P28" s="224"/>
      <c r="Q28" s="216"/>
      <c r="R28" s="217"/>
      <c r="S28" s="217"/>
      <c r="T28" s="217"/>
      <c r="U28" s="217"/>
      <c r="V28" s="218"/>
      <c r="Z28" s="11"/>
    </row>
    <row r="29" spans="1:26" ht="19.5" customHeight="1" x14ac:dyDescent="0.25">
      <c r="A29" s="9"/>
      <c r="B29" s="45">
        <v>5</v>
      </c>
      <c r="C29" s="328"/>
      <c r="D29" s="329"/>
      <c r="E29" s="329"/>
      <c r="F29" s="329"/>
      <c r="G29" s="330"/>
      <c r="H29" s="219">
        <v>36.29</v>
      </c>
      <c r="I29" s="220"/>
      <c r="J29" s="221"/>
      <c r="K29" s="222">
        <v>107.1</v>
      </c>
      <c r="L29" s="223"/>
      <c r="M29" s="224"/>
      <c r="N29" s="225">
        <v>2.95</v>
      </c>
      <c r="O29" s="223"/>
      <c r="P29" s="224"/>
      <c r="Q29" s="216"/>
      <c r="R29" s="217"/>
      <c r="S29" s="217"/>
      <c r="T29" s="217"/>
      <c r="U29" s="217"/>
      <c r="V29" s="218"/>
      <c r="Z29" s="11"/>
    </row>
    <row r="30" spans="1:26" ht="19.5" customHeight="1" x14ac:dyDescent="0.25">
      <c r="A30" s="9"/>
      <c r="B30" s="45">
        <v>6</v>
      </c>
      <c r="C30" s="324" t="s">
        <v>95</v>
      </c>
      <c r="D30" s="325"/>
      <c r="E30" s="325"/>
      <c r="F30" s="325"/>
      <c r="G30" s="326"/>
      <c r="H30" s="219">
        <v>27.31</v>
      </c>
      <c r="I30" s="220"/>
      <c r="J30" s="221"/>
      <c r="K30" s="222">
        <v>118.4</v>
      </c>
      <c r="L30" s="223"/>
      <c r="M30" s="224"/>
      <c r="N30" s="225">
        <v>4.34</v>
      </c>
      <c r="O30" s="223"/>
      <c r="P30" s="224"/>
      <c r="Q30" s="216"/>
      <c r="R30" s="217"/>
      <c r="S30" s="217"/>
      <c r="T30" s="217"/>
      <c r="U30" s="217"/>
      <c r="V30" s="218"/>
      <c r="Z30" s="11"/>
    </row>
    <row r="31" spans="1:26" ht="19.5" customHeight="1" x14ac:dyDescent="0.25">
      <c r="A31" s="9"/>
      <c r="B31" s="45">
        <v>7</v>
      </c>
      <c r="C31" s="262"/>
      <c r="D31" s="263"/>
      <c r="E31" s="263"/>
      <c r="F31" s="263"/>
      <c r="G31" s="327"/>
      <c r="H31" s="219">
        <v>35.6</v>
      </c>
      <c r="I31" s="220"/>
      <c r="J31" s="221"/>
      <c r="K31" s="222">
        <v>121.6</v>
      </c>
      <c r="L31" s="223"/>
      <c r="M31" s="224"/>
      <c r="N31" s="225">
        <v>3.42</v>
      </c>
      <c r="O31" s="223"/>
      <c r="P31" s="224"/>
      <c r="Q31" s="216"/>
      <c r="R31" s="217"/>
      <c r="S31" s="217"/>
      <c r="T31" s="217"/>
      <c r="U31" s="217"/>
      <c r="V31" s="218"/>
      <c r="Z31" s="11"/>
    </row>
    <row r="32" spans="1:26" ht="19.5" customHeight="1" x14ac:dyDescent="0.25">
      <c r="A32" s="9"/>
      <c r="B32" s="45">
        <v>8</v>
      </c>
      <c r="C32" s="262"/>
      <c r="D32" s="263"/>
      <c r="E32" s="263"/>
      <c r="F32" s="263"/>
      <c r="G32" s="327"/>
      <c r="H32" s="219">
        <v>25.22</v>
      </c>
      <c r="I32" s="220"/>
      <c r="J32" s="221"/>
      <c r="K32" s="222">
        <v>100</v>
      </c>
      <c r="L32" s="223"/>
      <c r="M32" s="224"/>
      <c r="N32" s="225">
        <v>3.97</v>
      </c>
      <c r="O32" s="223"/>
      <c r="P32" s="224"/>
      <c r="Q32" s="216"/>
      <c r="R32" s="217"/>
      <c r="S32" s="217"/>
      <c r="T32" s="217"/>
      <c r="U32" s="217"/>
      <c r="V32" s="218"/>
      <c r="Z32" s="11"/>
    </row>
    <row r="33" spans="1:27" ht="19.5" customHeight="1" x14ac:dyDescent="0.25">
      <c r="A33" s="9"/>
      <c r="B33" s="45">
        <v>9</v>
      </c>
      <c r="C33" s="328"/>
      <c r="D33" s="329"/>
      <c r="E33" s="329"/>
      <c r="F33" s="329"/>
      <c r="G33" s="330"/>
      <c r="H33" s="219">
        <v>28.27</v>
      </c>
      <c r="I33" s="220"/>
      <c r="J33" s="221"/>
      <c r="K33" s="222">
        <v>102.3</v>
      </c>
      <c r="L33" s="223"/>
      <c r="M33" s="224"/>
      <c r="N33" s="225">
        <v>3.62</v>
      </c>
      <c r="O33" s="223"/>
      <c r="P33" s="224"/>
      <c r="Q33" s="216"/>
      <c r="R33" s="217"/>
      <c r="S33" s="217"/>
      <c r="T33" s="217"/>
      <c r="U33" s="217"/>
      <c r="V33" s="218"/>
      <c r="Z33" s="11"/>
    </row>
    <row r="34" spans="1:27" s="73" customFormat="1" ht="19.5" customHeight="1" x14ac:dyDescent="0.25">
      <c r="A34" s="108"/>
      <c r="B34" s="120"/>
      <c r="C34" s="114"/>
      <c r="D34" s="113"/>
      <c r="E34" s="113"/>
      <c r="F34" s="113"/>
      <c r="G34" s="112"/>
      <c r="H34" s="119"/>
      <c r="I34" s="118"/>
      <c r="J34" s="117"/>
      <c r="K34" s="116"/>
      <c r="L34" s="110"/>
      <c r="M34" s="109"/>
      <c r="N34" s="115"/>
      <c r="O34" s="110"/>
      <c r="P34" s="109"/>
      <c r="Q34" s="114"/>
      <c r="R34" s="113"/>
      <c r="S34" s="113"/>
      <c r="T34" s="113"/>
      <c r="U34" s="113"/>
      <c r="V34" s="112"/>
      <c r="W34" s="74"/>
      <c r="X34" s="74"/>
      <c r="Y34" s="74"/>
      <c r="Z34" s="107"/>
      <c r="AA34" s="74"/>
    </row>
    <row r="35" spans="1:27" s="73" customFormat="1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W35" s="74"/>
      <c r="X35" s="74"/>
      <c r="Y35" s="74"/>
      <c r="Z35" s="107"/>
      <c r="AA35" s="74"/>
    </row>
    <row r="36" spans="1:27" s="73" customFormat="1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W36" s="74"/>
      <c r="X36" s="74"/>
      <c r="Y36" s="74"/>
      <c r="Z36" s="107"/>
      <c r="AA36" s="74"/>
    </row>
    <row r="37" spans="1:27" s="73" customFormat="1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W37" s="74"/>
      <c r="X37" s="74"/>
      <c r="Y37" s="74"/>
      <c r="Z37" s="107"/>
      <c r="AA37" s="74"/>
    </row>
    <row r="38" spans="1:27" s="73" customFormat="1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W38" s="74"/>
      <c r="X38" s="74"/>
      <c r="Y38" s="74"/>
      <c r="Z38" s="107"/>
      <c r="AA38" s="74"/>
    </row>
    <row r="39" spans="1:27" s="73" customFormat="1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W39" s="74"/>
      <c r="X39" s="74"/>
      <c r="Y39" s="74"/>
      <c r="Z39" s="107"/>
      <c r="AA39" s="74"/>
    </row>
    <row r="40" spans="1:27" s="73" customFormat="1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W40" s="74"/>
      <c r="X40" s="74"/>
      <c r="Y40" s="74"/>
      <c r="Z40" s="107"/>
      <c r="AA40" s="74"/>
    </row>
    <row r="41" spans="1:27" s="73" customFormat="1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W41" s="74"/>
      <c r="X41" s="74"/>
      <c r="Y41" s="74"/>
      <c r="Z41" s="107"/>
      <c r="AA41" s="74"/>
    </row>
    <row r="42" spans="1:27" s="73" customFormat="1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W42" s="74"/>
      <c r="X42" s="74"/>
      <c r="Y42" s="74"/>
      <c r="Z42" s="107"/>
      <c r="AA42" s="74"/>
    </row>
    <row r="43" spans="1:27" s="73" customFormat="1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W43" s="74"/>
      <c r="X43" s="74"/>
      <c r="Y43" s="74"/>
      <c r="Z43" s="107"/>
      <c r="AA43" s="74"/>
    </row>
    <row r="44" spans="1:27" s="73" customFormat="1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W44" s="74"/>
      <c r="X44" s="74"/>
      <c r="Y44" s="74"/>
      <c r="Z44" s="107"/>
      <c r="AA44" s="74"/>
    </row>
    <row r="45" spans="1:27" s="73" customFormat="1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W45" s="74"/>
      <c r="X45" s="74"/>
      <c r="Y45" s="74"/>
      <c r="Z45" s="107"/>
      <c r="AA45" s="74"/>
    </row>
    <row r="46" spans="1:27" s="73" customFormat="1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W46" s="74"/>
      <c r="X46" s="74"/>
      <c r="Y46" s="74"/>
      <c r="Z46" s="107"/>
      <c r="AA46" s="74"/>
    </row>
    <row r="47" spans="1:27" s="73" customFormat="1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W47" s="74"/>
      <c r="X47" s="74"/>
      <c r="Y47" s="74"/>
      <c r="Z47" s="107"/>
      <c r="AA47" s="74"/>
    </row>
    <row r="48" spans="1:27" s="73" customFormat="1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W48" s="74"/>
      <c r="X48" s="74"/>
      <c r="Y48" s="74"/>
      <c r="Z48" s="107"/>
      <c r="AA48" s="74"/>
    </row>
    <row r="49" spans="1:27" s="73" customFormat="1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W49" s="74"/>
      <c r="X49" s="74"/>
      <c r="Y49" s="74"/>
      <c r="Z49" s="107"/>
      <c r="AA49" s="74"/>
    </row>
    <row r="50" spans="1:27" s="73" customFormat="1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W50" s="74"/>
      <c r="X50" s="74"/>
      <c r="Y50" s="74"/>
      <c r="Z50" s="107"/>
      <c r="AA50" s="74"/>
    </row>
    <row r="51" spans="1:27" s="73" customFormat="1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W51" s="74"/>
      <c r="X51" s="74"/>
      <c r="Y51" s="74"/>
      <c r="Z51" s="107"/>
      <c r="AA51" s="74"/>
    </row>
    <row r="52" spans="1:27" s="73" customFormat="1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W52" s="74"/>
      <c r="X52" s="74"/>
      <c r="Y52" s="74"/>
      <c r="Z52" s="107"/>
      <c r="AA52" s="74"/>
    </row>
    <row r="53" spans="1:27" s="73" customFormat="1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W53" s="74"/>
      <c r="X53" s="74"/>
      <c r="Y53" s="74"/>
      <c r="Z53" s="107"/>
      <c r="AA53" s="74"/>
    </row>
    <row r="54" spans="1:27" ht="19.5" customHeight="1" thickBot="1" x14ac:dyDescent="0.3">
      <c r="A54" s="9"/>
      <c r="B54" s="46"/>
      <c r="C54" s="226"/>
      <c r="D54" s="226"/>
      <c r="E54" s="226"/>
      <c r="F54" s="226"/>
      <c r="G54" s="227"/>
      <c r="H54" s="228"/>
      <c r="I54" s="229"/>
      <c r="J54" s="230"/>
      <c r="K54" s="231"/>
      <c r="L54" s="232"/>
      <c r="M54" s="233"/>
      <c r="N54" s="234"/>
      <c r="O54" s="235"/>
      <c r="P54" s="236"/>
      <c r="Q54" s="237"/>
      <c r="R54" s="238"/>
      <c r="S54" s="238"/>
      <c r="T54" s="238"/>
      <c r="U54" s="238"/>
      <c r="V54" s="239"/>
      <c r="Z54" s="11"/>
    </row>
    <row r="55" spans="1:27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259">
        <f>AVERAGE(H25:J54)</f>
        <v>31.975555555555552</v>
      </c>
      <c r="I55" s="204"/>
      <c r="J55" s="205"/>
      <c r="K55" s="249">
        <f>AVERAGE(K25:M54)</f>
        <v>102.16666666666667</v>
      </c>
      <c r="L55" s="223"/>
      <c r="M55" s="224"/>
      <c r="N55" s="249">
        <f>AVERAGE(N25:P54)</f>
        <v>3.3266666666666667</v>
      </c>
      <c r="O55" s="223"/>
      <c r="P55" s="224"/>
      <c r="Q55" s="260">
        <v>100</v>
      </c>
      <c r="R55" s="261"/>
      <c r="S55" s="240" t="s">
        <v>38</v>
      </c>
      <c r="T55" s="240"/>
      <c r="U55" s="240"/>
      <c r="V55" s="241"/>
      <c r="Z55" s="11"/>
    </row>
    <row r="56" spans="1:27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IF(H25&lt;&gt;"",MIN(H25:J54),"")</f>
        <v>10.3</v>
      </c>
      <c r="I56" s="223"/>
      <c r="J56" s="224"/>
      <c r="K56" s="249">
        <f>IF(COUNTIF(K25:M54,"*&lt;20*"),"&lt;20",MIN(K25:M54))</f>
        <v>23.8</v>
      </c>
      <c r="L56" s="223"/>
      <c r="M56" s="224"/>
      <c r="N56" s="249">
        <f>IF(N25&lt;&gt;"",MIN(N25:P54),"")</f>
        <v>1.96</v>
      </c>
      <c r="O56" s="223"/>
      <c r="P56" s="224"/>
      <c r="Q56" s="262"/>
      <c r="R56" s="263"/>
      <c r="S56" s="242"/>
      <c r="T56" s="242"/>
      <c r="U56" s="242"/>
      <c r="V56" s="243"/>
      <c r="Z56" s="11"/>
    </row>
    <row r="57" spans="1:27" ht="15.7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IF(H25&lt;&gt;"",MAX(H25:J54),"")</f>
        <v>60.48</v>
      </c>
      <c r="I57" s="254"/>
      <c r="J57" s="255"/>
      <c r="K57" s="253">
        <f>IF(COUNTIF(K25:M54,"*&gt;250*"),"&gt;250",MAX(K25:M54))</f>
        <v>121.6</v>
      </c>
      <c r="L57" s="254"/>
      <c r="M57" s="255"/>
      <c r="N57" s="253">
        <f>IF(N25&lt;&gt;"",MAX(N25:P54),"")</f>
        <v>4.43</v>
      </c>
      <c r="O57" s="254"/>
      <c r="P57" s="255"/>
      <c r="Q57" s="264"/>
      <c r="R57" s="265"/>
      <c r="S57" s="244"/>
      <c r="T57" s="244"/>
      <c r="U57" s="244"/>
      <c r="V57" s="245"/>
      <c r="Z57" s="11"/>
    </row>
    <row r="58" spans="1:27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7" ht="12.75" customHeight="1" x14ac:dyDescent="0.25">
      <c r="A59" s="36"/>
      <c r="B59" s="37"/>
    </row>
    <row r="60" spans="1:27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7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282" t="s">
        <v>13</v>
      </c>
      <c r="V61" s="283"/>
      <c r="W61" s="283"/>
      <c r="X61" s="284"/>
      <c r="Y61" s="284"/>
      <c r="Z61" s="285"/>
    </row>
    <row r="62" spans="1:27" s="17" customFormat="1" ht="15.6" customHeight="1" x14ac:dyDescent="0.25">
      <c r="A62" s="286" t="s">
        <v>53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292" t="s">
        <v>47</v>
      </c>
      <c r="V62" s="293"/>
      <c r="W62" s="293"/>
      <c r="X62" s="294"/>
      <c r="Y62" s="294"/>
      <c r="Z62" s="295"/>
    </row>
    <row r="63" spans="1:27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296"/>
      <c r="V63" s="278"/>
      <c r="W63" s="278"/>
      <c r="X63" s="297"/>
      <c r="Y63" s="297"/>
      <c r="Z63" s="298"/>
    </row>
    <row r="64" spans="1:27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299"/>
      <c r="V64" s="300"/>
      <c r="W64" s="300"/>
      <c r="X64" s="301"/>
      <c r="Y64" s="301"/>
      <c r="Z64" s="302"/>
    </row>
    <row r="65" spans="1:26" s="17" customFormat="1" ht="15.6" customHeight="1" x14ac:dyDescent="0.25">
      <c r="A65" s="266" t="s">
        <v>114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8"/>
      <c r="R65" s="272" t="s">
        <v>50</v>
      </c>
      <c r="S65" s="273"/>
      <c r="T65" s="274"/>
      <c r="U65" s="87"/>
      <c r="V65" s="86"/>
      <c r="W65" s="86"/>
      <c r="X65" s="86"/>
      <c r="Y65" s="86"/>
      <c r="Z65" s="85"/>
    </row>
    <row r="66" spans="1:26" s="17" customFormat="1" ht="15.6" customHeight="1" x14ac:dyDescent="0.25">
      <c r="A66" s="266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272"/>
      <c r="S66" s="273"/>
      <c r="T66" s="274"/>
      <c r="U66" s="84"/>
      <c r="V66" s="278"/>
      <c r="W66" s="278"/>
      <c r="X66" s="278"/>
      <c r="Y66" s="278"/>
      <c r="Z66" s="83"/>
    </row>
    <row r="67" spans="1:26" s="17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272"/>
      <c r="S67" s="273"/>
      <c r="T67" s="274"/>
      <c r="U67" s="84"/>
      <c r="V67" s="278"/>
      <c r="W67" s="278"/>
      <c r="X67" s="278"/>
      <c r="Y67" s="278"/>
      <c r="Z67" s="83"/>
    </row>
    <row r="68" spans="1:26" s="17" customFormat="1" ht="15.6" customHeight="1" x14ac:dyDescent="0.25">
      <c r="A68" s="269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275"/>
      <c r="S68" s="276"/>
      <c r="T68" s="277"/>
      <c r="U68" s="82"/>
      <c r="V68" s="81"/>
      <c r="W68" s="81"/>
      <c r="X68" s="81"/>
      <c r="Y68" s="81"/>
      <c r="Z68" s="8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05">
    <mergeCell ref="N57:P57"/>
    <mergeCell ref="B56:G56"/>
    <mergeCell ref="B57:G57"/>
    <mergeCell ref="A65:Q68"/>
    <mergeCell ref="R65:T68"/>
    <mergeCell ref="V66:Y67"/>
    <mergeCell ref="C54:G54"/>
    <mergeCell ref="H54:J54"/>
    <mergeCell ref="K54:M54"/>
    <mergeCell ref="N54:P54"/>
    <mergeCell ref="Q54:V54"/>
    <mergeCell ref="K57:M57"/>
    <mergeCell ref="K55:M55"/>
    <mergeCell ref="Q25:V25"/>
    <mergeCell ref="S55:V57"/>
    <mergeCell ref="Q55:R57"/>
    <mergeCell ref="S12:Y12"/>
    <mergeCell ref="Q23:V24"/>
    <mergeCell ref="I17:Y17"/>
    <mergeCell ref="S11:Y11"/>
    <mergeCell ref="G1:T1"/>
    <mergeCell ref="B10:G10"/>
    <mergeCell ref="L6:O6"/>
    <mergeCell ref="P6:T6"/>
    <mergeCell ref="H57:J57"/>
    <mergeCell ref="H56:J56"/>
    <mergeCell ref="H55:J55"/>
    <mergeCell ref="B55:G55"/>
    <mergeCell ref="A1:F6"/>
    <mergeCell ref="S10:Y10"/>
    <mergeCell ref="K56:M56"/>
    <mergeCell ref="N55:P55"/>
    <mergeCell ref="N10:R10"/>
    <mergeCell ref="G2:T4"/>
    <mergeCell ref="G5:H5"/>
    <mergeCell ref="A7:F7"/>
    <mergeCell ref="N56:P56"/>
    <mergeCell ref="G7:Z7"/>
    <mergeCell ref="H10:M10"/>
    <mergeCell ref="I5:K5"/>
    <mergeCell ref="I6:K6"/>
    <mergeCell ref="L5:O5"/>
    <mergeCell ref="P5:T5"/>
    <mergeCell ref="B18:H18"/>
    <mergeCell ref="B23:B24"/>
    <mergeCell ref="C23:G24"/>
    <mergeCell ref="H24:J24"/>
    <mergeCell ref="K24:M24"/>
    <mergeCell ref="H23:J23"/>
    <mergeCell ref="K23:M23"/>
    <mergeCell ref="J21:P21"/>
    <mergeCell ref="N23:P24"/>
    <mergeCell ref="I18:J18"/>
    <mergeCell ref="B17:H17"/>
    <mergeCell ref="B12:G12"/>
    <mergeCell ref="B11:G11"/>
    <mergeCell ref="N12:R12"/>
    <mergeCell ref="H12:M12"/>
    <mergeCell ref="H11:M11"/>
    <mergeCell ref="N11:R11"/>
    <mergeCell ref="U1:Z6"/>
    <mergeCell ref="C25:G26"/>
    <mergeCell ref="A61:Q61"/>
    <mergeCell ref="R61:T61"/>
    <mergeCell ref="U61:Z61"/>
    <mergeCell ref="A62:Q63"/>
    <mergeCell ref="R62:T64"/>
    <mergeCell ref="U62:Z64"/>
    <mergeCell ref="H25:J25"/>
    <mergeCell ref="K25:M25"/>
    <mergeCell ref="N25:P25"/>
    <mergeCell ref="K27:M27"/>
    <mergeCell ref="N27:P27"/>
    <mergeCell ref="Q27:V27"/>
    <mergeCell ref="H26:J26"/>
    <mergeCell ref="K26:M26"/>
    <mergeCell ref="N26:P26"/>
    <mergeCell ref="Q26:V26"/>
    <mergeCell ref="H29:J29"/>
    <mergeCell ref="K29:M29"/>
    <mergeCell ref="N29:P29"/>
    <mergeCell ref="Q29:V29"/>
    <mergeCell ref="C27:G29"/>
    <mergeCell ref="H28:J28"/>
    <mergeCell ref="K28:M28"/>
    <mergeCell ref="N28:P28"/>
    <mergeCell ref="Q28:V28"/>
    <mergeCell ref="H27:J27"/>
    <mergeCell ref="K31:M31"/>
    <mergeCell ref="N31:P31"/>
    <mergeCell ref="Q31:V31"/>
    <mergeCell ref="H30:J30"/>
    <mergeCell ref="K30:M30"/>
    <mergeCell ref="N30:P30"/>
    <mergeCell ref="Q30:V30"/>
    <mergeCell ref="H33:J33"/>
    <mergeCell ref="K33:M33"/>
    <mergeCell ref="N33:P33"/>
    <mergeCell ref="Q33:V33"/>
    <mergeCell ref="C30:G33"/>
    <mergeCell ref="H32:J32"/>
    <mergeCell ref="K32:M32"/>
    <mergeCell ref="N32:P32"/>
    <mergeCell ref="Q32:V32"/>
    <mergeCell ref="H31:J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AEDA-5CAE-402A-B1C8-7D674C782E8B}">
  <sheetPr>
    <pageSetUpPr fitToPage="1"/>
  </sheetPr>
  <dimension ref="A1:AA76"/>
  <sheetViews>
    <sheetView topLeftCell="A40" workbookViewId="0">
      <selection activeCell="AE56" sqref="AE5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167"/>
      <c r="B2" s="168"/>
      <c r="C2" s="168"/>
      <c r="D2" s="168"/>
      <c r="E2" s="168"/>
      <c r="F2" s="169"/>
      <c r="G2" s="185" t="s">
        <v>92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40"/>
      <c r="U2" s="179"/>
      <c r="V2" s="180"/>
      <c r="W2" s="180"/>
      <c r="X2" s="180"/>
      <c r="Y2" s="180"/>
      <c r="Z2" s="181"/>
    </row>
    <row r="3" spans="1:26" ht="12.75" customHeight="1" x14ac:dyDescent="0.25">
      <c r="A3" s="167"/>
      <c r="B3" s="168"/>
      <c r="C3" s="168"/>
      <c r="D3" s="168"/>
      <c r="E3" s="168"/>
      <c r="F3" s="169"/>
      <c r="G3" s="185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40"/>
      <c r="U3" s="179"/>
      <c r="V3" s="180"/>
      <c r="W3" s="180"/>
      <c r="X3" s="180"/>
      <c r="Y3" s="180"/>
      <c r="Z3" s="181"/>
    </row>
    <row r="4" spans="1:26" ht="12.75" customHeight="1" x14ac:dyDescent="0.25">
      <c r="A4" s="167"/>
      <c r="B4" s="168"/>
      <c r="C4" s="168"/>
      <c r="D4" s="168"/>
      <c r="E4" s="168"/>
      <c r="F4" s="169"/>
      <c r="G4" s="185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40"/>
      <c r="U4" s="179"/>
      <c r="V4" s="180"/>
      <c r="W4" s="180"/>
      <c r="X4" s="180"/>
      <c r="Y4" s="180"/>
      <c r="Z4" s="18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88</v>
      </c>
      <c r="H5" s="190"/>
      <c r="I5" s="191">
        <v>13</v>
      </c>
      <c r="J5" s="191"/>
      <c r="K5" s="192"/>
      <c r="L5" s="193" t="s">
        <v>94</v>
      </c>
      <c r="M5" s="194"/>
      <c r="N5" s="194"/>
      <c r="O5" s="195"/>
      <c r="P5" s="196" t="s">
        <v>93</v>
      </c>
      <c r="Q5" s="197"/>
      <c r="R5" s="197"/>
      <c r="S5" s="197"/>
      <c r="T5" s="198"/>
      <c r="U5" s="179"/>
      <c r="V5" s="180"/>
      <c r="W5" s="180"/>
      <c r="X5" s="180"/>
      <c r="Y5" s="180"/>
      <c r="Z5" s="18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182"/>
      <c r="V6" s="183"/>
      <c r="W6" s="183"/>
      <c r="X6" s="183"/>
      <c r="Y6" s="183"/>
      <c r="Z6" s="18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91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93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303" t="s">
        <v>109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7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7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80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7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7" ht="12.75" customHeight="1" x14ac:dyDescent="0.25">
      <c r="B20" s="154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15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7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7" ht="12.75" customHeight="1" x14ac:dyDescent="0.25">
      <c r="A22" s="9"/>
      <c r="B22" s="39"/>
      <c r="Z22" s="11"/>
    </row>
    <row r="23" spans="1:27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85</v>
      </c>
      <c r="I23" s="199"/>
      <c r="J23" s="200"/>
      <c r="K23" s="212" t="s">
        <v>33</v>
      </c>
      <c r="L23" s="213"/>
      <c r="M23" s="214"/>
      <c r="N23" s="212" t="s">
        <v>84</v>
      </c>
      <c r="O23" s="213"/>
      <c r="P23" s="214"/>
      <c r="Q23" s="199" t="s">
        <v>34</v>
      </c>
      <c r="R23" s="199"/>
      <c r="S23" s="199"/>
      <c r="T23" s="199"/>
      <c r="U23" s="199"/>
      <c r="V23" s="200"/>
      <c r="Z23" s="11"/>
    </row>
    <row r="24" spans="1:27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1"/>
      <c r="J24" s="202"/>
      <c r="K24" s="203" t="s">
        <v>35</v>
      </c>
      <c r="L24" s="204"/>
      <c r="M24" s="205"/>
      <c r="N24" s="215"/>
      <c r="O24" s="204"/>
      <c r="P24" s="205"/>
      <c r="Q24" s="201"/>
      <c r="R24" s="201"/>
      <c r="S24" s="201"/>
      <c r="T24" s="201"/>
      <c r="U24" s="201"/>
      <c r="V24" s="202"/>
      <c r="Z24" s="11"/>
    </row>
    <row r="25" spans="1:27" ht="19.2" customHeight="1" x14ac:dyDescent="0.25">
      <c r="A25" s="9"/>
      <c r="B25" s="45">
        <v>1</v>
      </c>
      <c r="C25" s="216"/>
      <c r="D25" s="217"/>
      <c r="E25" s="217"/>
      <c r="F25" s="217"/>
      <c r="G25" s="218"/>
      <c r="H25" s="219">
        <v>38.799999999999997</v>
      </c>
      <c r="I25" s="220"/>
      <c r="J25" s="221"/>
      <c r="K25" s="222">
        <v>83.3</v>
      </c>
      <c r="L25" s="223"/>
      <c r="M25" s="224"/>
      <c r="N25" s="225">
        <v>2.15</v>
      </c>
      <c r="O25" s="223"/>
      <c r="P25" s="224"/>
      <c r="Q25" s="216"/>
      <c r="R25" s="217"/>
      <c r="S25" s="217"/>
      <c r="T25" s="217"/>
      <c r="U25" s="217"/>
      <c r="V25" s="218"/>
      <c r="Z25" s="11"/>
    </row>
    <row r="26" spans="1:27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219">
        <v>43.6</v>
      </c>
      <c r="I26" s="220"/>
      <c r="J26" s="221"/>
      <c r="K26" s="222">
        <v>115.4</v>
      </c>
      <c r="L26" s="223"/>
      <c r="M26" s="224"/>
      <c r="N26" s="225">
        <v>2.65</v>
      </c>
      <c r="O26" s="223"/>
      <c r="P26" s="224"/>
      <c r="Q26" s="216"/>
      <c r="R26" s="217"/>
      <c r="S26" s="217"/>
      <c r="T26" s="217"/>
      <c r="U26" s="217"/>
      <c r="V26" s="218"/>
      <c r="Z26" s="11"/>
    </row>
    <row r="27" spans="1:27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219">
        <v>27.99</v>
      </c>
      <c r="I27" s="220"/>
      <c r="J27" s="221"/>
      <c r="K27" s="222">
        <v>84.9</v>
      </c>
      <c r="L27" s="223"/>
      <c r="M27" s="224"/>
      <c r="N27" s="225">
        <v>3.03</v>
      </c>
      <c r="O27" s="223"/>
      <c r="P27" s="224"/>
      <c r="Q27" s="216"/>
      <c r="R27" s="217"/>
      <c r="S27" s="217"/>
      <c r="T27" s="217"/>
      <c r="U27" s="217"/>
      <c r="V27" s="218"/>
      <c r="Z27" s="11"/>
    </row>
    <row r="28" spans="1:27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219">
        <v>36.299999999999997</v>
      </c>
      <c r="I28" s="220"/>
      <c r="J28" s="221"/>
      <c r="K28" s="222">
        <v>80.400000000000006</v>
      </c>
      <c r="L28" s="223"/>
      <c r="M28" s="224"/>
      <c r="N28" s="225">
        <v>2.21</v>
      </c>
      <c r="O28" s="223"/>
      <c r="P28" s="224"/>
      <c r="Q28" s="216"/>
      <c r="R28" s="217"/>
      <c r="S28" s="217"/>
      <c r="T28" s="217"/>
      <c r="U28" s="217"/>
      <c r="V28" s="218"/>
      <c r="Z28" s="11"/>
    </row>
    <row r="29" spans="1:27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219">
        <v>59.84</v>
      </c>
      <c r="I29" s="220"/>
      <c r="J29" s="221"/>
      <c r="K29" s="222">
        <v>145.19999999999999</v>
      </c>
      <c r="L29" s="223"/>
      <c r="M29" s="224"/>
      <c r="N29" s="225">
        <v>2.4300000000000002</v>
      </c>
      <c r="O29" s="223"/>
      <c r="P29" s="224"/>
      <c r="Q29" s="216"/>
      <c r="R29" s="217"/>
      <c r="S29" s="217"/>
      <c r="T29" s="217"/>
      <c r="U29" s="217"/>
      <c r="V29" s="218"/>
      <c r="Z29" s="11"/>
    </row>
    <row r="30" spans="1:27" s="73" customFormat="1" ht="19.5" customHeight="1" x14ac:dyDescent="0.25">
      <c r="A30" s="108"/>
      <c r="B30" s="120"/>
      <c r="C30" s="114"/>
      <c r="D30" s="113"/>
      <c r="E30" s="113"/>
      <c r="F30" s="113"/>
      <c r="G30" s="112"/>
      <c r="H30" s="119"/>
      <c r="I30" s="118"/>
      <c r="J30" s="117"/>
      <c r="K30" s="116"/>
      <c r="L30" s="110"/>
      <c r="M30" s="109"/>
      <c r="N30" s="115"/>
      <c r="O30" s="110"/>
      <c r="P30" s="109"/>
      <c r="Q30" s="114"/>
      <c r="R30" s="113"/>
      <c r="S30" s="113"/>
      <c r="T30" s="113"/>
      <c r="U30" s="113"/>
      <c r="V30" s="112"/>
      <c r="W30" s="74"/>
      <c r="X30" s="74"/>
      <c r="Y30" s="74"/>
      <c r="Z30" s="107"/>
      <c r="AA30" s="74"/>
    </row>
    <row r="31" spans="1:27" s="73" customFormat="1" ht="19.5" customHeight="1" x14ac:dyDescent="0.25">
      <c r="A31" s="108"/>
      <c r="B31" s="120"/>
      <c r="C31" s="114"/>
      <c r="D31" s="113"/>
      <c r="E31" s="113"/>
      <c r="F31" s="113"/>
      <c r="G31" s="112"/>
      <c r="H31" s="119"/>
      <c r="I31" s="118"/>
      <c r="J31" s="117"/>
      <c r="K31" s="116"/>
      <c r="L31" s="110"/>
      <c r="M31" s="109"/>
      <c r="N31" s="115"/>
      <c r="O31" s="110"/>
      <c r="P31" s="109"/>
      <c r="Q31" s="114"/>
      <c r="R31" s="113"/>
      <c r="S31" s="113"/>
      <c r="T31" s="113"/>
      <c r="U31" s="113"/>
      <c r="V31" s="112"/>
      <c r="W31" s="74"/>
      <c r="X31" s="74"/>
      <c r="Y31" s="74"/>
      <c r="Z31" s="107"/>
      <c r="AA31" s="74"/>
    </row>
    <row r="32" spans="1:27" s="73" customFormat="1" ht="19.5" customHeight="1" x14ac:dyDescent="0.25">
      <c r="A32" s="108"/>
      <c r="B32" s="120"/>
      <c r="C32" s="114"/>
      <c r="D32" s="113"/>
      <c r="E32" s="113"/>
      <c r="F32" s="113"/>
      <c r="G32" s="112"/>
      <c r="H32" s="119"/>
      <c r="I32" s="118"/>
      <c r="J32" s="117"/>
      <c r="K32" s="116"/>
      <c r="L32" s="110"/>
      <c r="M32" s="109"/>
      <c r="N32" s="115"/>
      <c r="O32" s="110"/>
      <c r="P32" s="109"/>
      <c r="Q32" s="114"/>
      <c r="R32" s="113"/>
      <c r="S32" s="113"/>
      <c r="T32" s="113"/>
      <c r="U32" s="113"/>
      <c r="V32" s="112"/>
      <c r="W32" s="74"/>
      <c r="X32" s="74"/>
      <c r="Y32" s="74"/>
      <c r="Z32" s="107"/>
      <c r="AA32" s="74"/>
    </row>
    <row r="33" spans="1:27" s="73" customFormat="1" ht="19.5" customHeight="1" x14ac:dyDescent="0.25">
      <c r="A33" s="108"/>
      <c r="B33" s="120"/>
      <c r="C33" s="114"/>
      <c r="D33" s="113"/>
      <c r="E33" s="113"/>
      <c r="F33" s="113"/>
      <c r="G33" s="112"/>
      <c r="H33" s="119"/>
      <c r="I33" s="118"/>
      <c r="J33" s="117"/>
      <c r="K33" s="116"/>
      <c r="L33" s="110"/>
      <c r="M33" s="109"/>
      <c r="N33" s="115"/>
      <c r="O33" s="110"/>
      <c r="P33" s="109"/>
      <c r="Q33" s="114"/>
      <c r="R33" s="113"/>
      <c r="S33" s="113"/>
      <c r="T33" s="113"/>
      <c r="U33" s="113"/>
      <c r="V33" s="112"/>
      <c r="W33" s="74"/>
      <c r="X33" s="74"/>
      <c r="Y33" s="74"/>
      <c r="Z33" s="107"/>
      <c r="AA33" s="74"/>
    </row>
    <row r="34" spans="1:27" s="73" customFormat="1" ht="19.5" customHeight="1" x14ac:dyDescent="0.25">
      <c r="A34" s="108"/>
      <c r="B34" s="120"/>
      <c r="C34" s="114"/>
      <c r="D34" s="113"/>
      <c r="E34" s="113"/>
      <c r="F34" s="113"/>
      <c r="G34" s="112"/>
      <c r="H34" s="119"/>
      <c r="I34" s="118"/>
      <c r="J34" s="117"/>
      <c r="K34" s="116"/>
      <c r="L34" s="110"/>
      <c r="M34" s="109"/>
      <c r="N34" s="115"/>
      <c r="O34" s="110"/>
      <c r="P34" s="109"/>
      <c r="Q34" s="114"/>
      <c r="R34" s="113"/>
      <c r="S34" s="113"/>
      <c r="T34" s="113"/>
      <c r="U34" s="113"/>
      <c r="V34" s="112"/>
      <c r="W34" s="74"/>
      <c r="X34" s="74"/>
      <c r="Y34" s="74"/>
      <c r="Z34" s="107"/>
      <c r="AA34" s="74"/>
    </row>
    <row r="35" spans="1:27" s="73" customFormat="1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W35" s="74"/>
      <c r="X35" s="74"/>
      <c r="Y35" s="74"/>
      <c r="Z35" s="107"/>
      <c r="AA35" s="74"/>
    </row>
    <row r="36" spans="1:27" s="73" customFormat="1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W36" s="74"/>
      <c r="X36" s="74"/>
      <c r="Y36" s="74"/>
      <c r="Z36" s="107"/>
      <c r="AA36" s="74"/>
    </row>
    <row r="37" spans="1:27" s="73" customFormat="1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W37" s="74"/>
      <c r="X37" s="74"/>
      <c r="Y37" s="74"/>
      <c r="Z37" s="107"/>
      <c r="AA37" s="74"/>
    </row>
    <row r="38" spans="1:27" s="73" customFormat="1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W38" s="74"/>
      <c r="X38" s="74"/>
      <c r="Y38" s="74"/>
      <c r="Z38" s="107"/>
      <c r="AA38" s="74"/>
    </row>
    <row r="39" spans="1:27" s="73" customFormat="1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W39" s="74"/>
      <c r="X39" s="74"/>
      <c r="Y39" s="74"/>
      <c r="Z39" s="107"/>
      <c r="AA39" s="74"/>
    </row>
    <row r="40" spans="1:27" s="73" customFormat="1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W40" s="74"/>
      <c r="X40" s="74"/>
      <c r="Y40" s="74"/>
      <c r="Z40" s="107"/>
      <c r="AA40" s="74"/>
    </row>
    <row r="41" spans="1:27" s="73" customFormat="1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W41" s="74"/>
      <c r="X41" s="74"/>
      <c r="Y41" s="74"/>
      <c r="Z41" s="107"/>
      <c r="AA41" s="74"/>
    </row>
    <row r="42" spans="1:27" s="73" customFormat="1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W42" s="74"/>
      <c r="X42" s="74"/>
      <c r="Y42" s="74"/>
      <c r="Z42" s="107"/>
      <c r="AA42" s="74"/>
    </row>
    <row r="43" spans="1:27" s="73" customFormat="1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W43" s="74"/>
      <c r="X43" s="74"/>
      <c r="Y43" s="74"/>
      <c r="Z43" s="107"/>
      <c r="AA43" s="74"/>
    </row>
    <row r="44" spans="1:27" s="73" customFormat="1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W44" s="74"/>
      <c r="X44" s="74"/>
      <c r="Y44" s="74"/>
      <c r="Z44" s="107"/>
      <c r="AA44" s="74"/>
    </row>
    <row r="45" spans="1:27" s="73" customFormat="1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W45" s="74"/>
      <c r="X45" s="74"/>
      <c r="Y45" s="74"/>
      <c r="Z45" s="107"/>
      <c r="AA45" s="74"/>
    </row>
    <row r="46" spans="1:27" s="73" customFormat="1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W46" s="74"/>
      <c r="X46" s="74"/>
      <c r="Y46" s="74"/>
      <c r="Z46" s="107"/>
      <c r="AA46" s="74"/>
    </row>
    <row r="47" spans="1:27" s="73" customFormat="1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W47" s="74"/>
      <c r="X47" s="74"/>
      <c r="Y47" s="74"/>
      <c r="Z47" s="107"/>
      <c r="AA47" s="74"/>
    </row>
    <row r="48" spans="1:27" s="73" customFormat="1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W48" s="74"/>
      <c r="X48" s="74"/>
      <c r="Y48" s="74"/>
      <c r="Z48" s="107"/>
      <c r="AA48" s="74"/>
    </row>
    <row r="49" spans="1:27" s="73" customFormat="1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W49" s="74"/>
      <c r="X49" s="74"/>
      <c r="Y49" s="74"/>
      <c r="Z49" s="107"/>
      <c r="AA49" s="74"/>
    </row>
    <row r="50" spans="1:27" s="73" customFormat="1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W50" s="74"/>
      <c r="X50" s="74"/>
      <c r="Y50" s="74"/>
      <c r="Z50" s="107"/>
      <c r="AA50" s="74"/>
    </row>
    <row r="51" spans="1:27" s="73" customFormat="1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W51" s="74"/>
      <c r="X51" s="74"/>
      <c r="Y51" s="74"/>
      <c r="Z51" s="107"/>
      <c r="AA51" s="74"/>
    </row>
    <row r="52" spans="1:27" s="73" customFormat="1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W52" s="74"/>
      <c r="X52" s="74"/>
      <c r="Y52" s="74"/>
      <c r="Z52" s="107"/>
      <c r="AA52" s="74"/>
    </row>
    <row r="53" spans="1:27" s="73" customFormat="1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W53" s="74"/>
      <c r="X53" s="74"/>
      <c r="Y53" s="74"/>
      <c r="Z53" s="107"/>
      <c r="AA53" s="74"/>
    </row>
    <row r="54" spans="1:27" ht="19.5" customHeight="1" thickBot="1" x14ac:dyDescent="0.3">
      <c r="A54" s="9"/>
      <c r="B54" s="46"/>
      <c r="C54" s="226"/>
      <c r="D54" s="226"/>
      <c r="E54" s="226"/>
      <c r="F54" s="226"/>
      <c r="G54" s="227"/>
      <c r="H54" s="228"/>
      <c r="I54" s="229"/>
      <c r="J54" s="230"/>
      <c r="K54" s="231"/>
      <c r="L54" s="232"/>
      <c r="M54" s="233"/>
      <c r="N54" s="234"/>
      <c r="O54" s="235"/>
      <c r="P54" s="236"/>
      <c r="Q54" s="237"/>
      <c r="R54" s="238"/>
      <c r="S54" s="238"/>
      <c r="T54" s="238"/>
      <c r="U54" s="238"/>
      <c r="V54" s="239"/>
      <c r="Z54" s="11"/>
    </row>
    <row r="55" spans="1:27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259">
        <f>AVERAGE(H25:J54)</f>
        <v>41.305999999999997</v>
      </c>
      <c r="I55" s="204"/>
      <c r="J55" s="205"/>
      <c r="K55" s="249">
        <f>AVERAGE(K25:M54)</f>
        <v>101.84</v>
      </c>
      <c r="L55" s="223"/>
      <c r="M55" s="224"/>
      <c r="N55" s="249">
        <f>AVERAGE(N25:P54)</f>
        <v>2.4939999999999998</v>
      </c>
      <c r="O55" s="223"/>
      <c r="P55" s="224"/>
      <c r="Q55" s="260">
        <v>60</v>
      </c>
      <c r="R55" s="261"/>
      <c r="S55" s="240" t="s">
        <v>38</v>
      </c>
      <c r="T55" s="240"/>
      <c r="U55" s="240"/>
      <c r="V55" s="241"/>
      <c r="Z55" s="11"/>
    </row>
    <row r="56" spans="1:27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IF(H25&lt;&gt;"",MIN(H25:J54),"")</f>
        <v>27.99</v>
      </c>
      <c r="I56" s="223"/>
      <c r="J56" s="224"/>
      <c r="K56" s="249">
        <f>IF(COUNTIF(K25:M54,"*&lt;20*"),"&lt;20",MIN(K25:M54))</f>
        <v>80.400000000000006</v>
      </c>
      <c r="L56" s="223"/>
      <c r="M56" s="224"/>
      <c r="N56" s="249">
        <f>IF(N25&lt;&gt;"",MIN(N25:P54),"")</f>
        <v>2.15</v>
      </c>
      <c r="O56" s="223"/>
      <c r="P56" s="224"/>
      <c r="Q56" s="262"/>
      <c r="R56" s="263"/>
      <c r="S56" s="242"/>
      <c r="T56" s="242"/>
      <c r="U56" s="242"/>
      <c r="V56" s="243"/>
      <c r="Z56" s="11"/>
    </row>
    <row r="57" spans="1:27" ht="15.7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IF(H25&lt;&gt;"",MAX(H25:J54),"")</f>
        <v>59.84</v>
      </c>
      <c r="I57" s="254"/>
      <c r="J57" s="255"/>
      <c r="K57" s="253">
        <f>IF(COUNTIF(K25:M54,"*&gt;250*"),"&gt;250",MAX(K25:M54))</f>
        <v>145.19999999999999</v>
      </c>
      <c r="L57" s="254"/>
      <c r="M57" s="255"/>
      <c r="N57" s="253">
        <f>IF(N25&lt;&gt;"",MAX(N25:P54),"")</f>
        <v>3.03</v>
      </c>
      <c r="O57" s="254"/>
      <c r="P57" s="255"/>
      <c r="Q57" s="264"/>
      <c r="R57" s="265"/>
      <c r="S57" s="244"/>
      <c r="T57" s="244"/>
      <c r="U57" s="244"/>
      <c r="V57" s="245"/>
      <c r="Z57" s="11"/>
    </row>
    <row r="58" spans="1:27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7" ht="12.75" customHeight="1" x14ac:dyDescent="0.25">
      <c r="A59" s="36"/>
      <c r="B59" s="37"/>
    </row>
    <row r="60" spans="1:27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7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282" t="s">
        <v>13</v>
      </c>
      <c r="V61" s="283"/>
      <c r="W61" s="283"/>
      <c r="X61" s="284"/>
      <c r="Y61" s="284"/>
      <c r="Z61" s="285"/>
    </row>
    <row r="62" spans="1:27" s="17" customFormat="1" ht="15.6" customHeight="1" x14ac:dyDescent="0.25">
      <c r="A62" s="286" t="s">
        <v>45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292" t="s">
        <v>47</v>
      </c>
      <c r="V62" s="293"/>
      <c r="W62" s="293"/>
      <c r="X62" s="294"/>
      <c r="Y62" s="294"/>
      <c r="Z62" s="295"/>
    </row>
    <row r="63" spans="1:27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296"/>
      <c r="V63" s="278"/>
      <c r="W63" s="278"/>
      <c r="X63" s="297"/>
      <c r="Y63" s="297"/>
      <c r="Z63" s="298"/>
    </row>
    <row r="64" spans="1:27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299"/>
      <c r="V64" s="300"/>
      <c r="W64" s="300"/>
      <c r="X64" s="301"/>
      <c r="Y64" s="301"/>
      <c r="Z64" s="302"/>
    </row>
    <row r="65" spans="1:26" s="17" customFormat="1" ht="15.6" customHeight="1" x14ac:dyDescent="0.25">
      <c r="A65" s="331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3"/>
      <c r="R65" s="272" t="s">
        <v>50</v>
      </c>
      <c r="S65" s="273"/>
      <c r="T65" s="274"/>
      <c r="U65" s="87"/>
      <c r="V65" s="86"/>
      <c r="W65" s="86"/>
      <c r="X65" s="86"/>
      <c r="Y65" s="86"/>
      <c r="Z65" s="85"/>
    </row>
    <row r="66" spans="1:26" s="17" customFormat="1" ht="15.6" customHeight="1" x14ac:dyDescent="0.25">
      <c r="A66" s="334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3"/>
      <c r="R66" s="272"/>
      <c r="S66" s="273"/>
      <c r="T66" s="274"/>
      <c r="U66" s="84"/>
      <c r="V66" s="278"/>
      <c r="W66" s="278"/>
      <c r="X66" s="278"/>
      <c r="Y66" s="278"/>
      <c r="Z66" s="83"/>
    </row>
    <row r="67" spans="1:26" s="17" customFormat="1" ht="15.6" customHeight="1" x14ac:dyDescent="0.25">
      <c r="A67" s="334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3"/>
      <c r="R67" s="272"/>
      <c r="S67" s="273"/>
      <c r="T67" s="274"/>
      <c r="U67" s="84"/>
      <c r="V67" s="278"/>
      <c r="W67" s="278"/>
      <c r="X67" s="278"/>
      <c r="Y67" s="278"/>
      <c r="Z67" s="83"/>
    </row>
    <row r="68" spans="1:26" s="17" customFormat="1" ht="15.6" customHeight="1" x14ac:dyDescent="0.25">
      <c r="A68" s="335"/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7"/>
      <c r="R68" s="275"/>
      <c r="S68" s="276"/>
      <c r="T68" s="277"/>
      <c r="U68" s="82"/>
      <c r="V68" s="81"/>
      <c r="W68" s="81"/>
      <c r="X68" s="81"/>
      <c r="Y68" s="81"/>
      <c r="Z68" s="8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L6:O6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B11:G11"/>
    <mergeCell ref="H11:M11"/>
    <mergeCell ref="N11:R11"/>
    <mergeCell ref="S11:Y11"/>
    <mergeCell ref="B12:G12"/>
    <mergeCell ref="H12:M12"/>
    <mergeCell ref="N12:R12"/>
    <mergeCell ref="S12:Y12"/>
    <mergeCell ref="B23:B24"/>
    <mergeCell ref="C23:G24"/>
    <mergeCell ref="H23:J23"/>
    <mergeCell ref="K23:M23"/>
    <mergeCell ref="N23:P24"/>
    <mergeCell ref="B17:H17"/>
    <mergeCell ref="I17:Y17"/>
    <mergeCell ref="B18:H18"/>
    <mergeCell ref="I18:J18"/>
    <mergeCell ref="J21:P21"/>
    <mergeCell ref="Q23:V24"/>
    <mergeCell ref="H24:J24"/>
    <mergeCell ref="K24:M24"/>
    <mergeCell ref="C25:G25"/>
    <mergeCell ref="H25:J25"/>
    <mergeCell ref="K25:M25"/>
    <mergeCell ref="N25:P25"/>
    <mergeCell ref="Q25:V25"/>
    <mergeCell ref="C27:G27"/>
    <mergeCell ref="H27:J27"/>
    <mergeCell ref="K27:M27"/>
    <mergeCell ref="N27:P27"/>
    <mergeCell ref="Q27:V27"/>
    <mergeCell ref="C26:G26"/>
    <mergeCell ref="H26:J26"/>
    <mergeCell ref="K26:M26"/>
    <mergeCell ref="N26:P26"/>
    <mergeCell ref="Q26:V26"/>
    <mergeCell ref="C29:G29"/>
    <mergeCell ref="H29:J29"/>
    <mergeCell ref="K29:M29"/>
    <mergeCell ref="N29:P29"/>
    <mergeCell ref="Q29:V29"/>
    <mergeCell ref="C28:G28"/>
    <mergeCell ref="H28:J28"/>
    <mergeCell ref="K28:M28"/>
    <mergeCell ref="N28:P28"/>
    <mergeCell ref="Q28:V28"/>
    <mergeCell ref="C54:G54"/>
    <mergeCell ref="H54:J54"/>
    <mergeCell ref="K54:M54"/>
    <mergeCell ref="N54:P54"/>
    <mergeCell ref="Q54:V54"/>
    <mergeCell ref="S55:V57"/>
    <mergeCell ref="B56:G56"/>
    <mergeCell ref="H56:J56"/>
    <mergeCell ref="K56:M56"/>
    <mergeCell ref="N56:P56"/>
    <mergeCell ref="B57:G57"/>
    <mergeCell ref="H57:J57"/>
    <mergeCell ref="K57:M57"/>
    <mergeCell ref="N57:P57"/>
    <mergeCell ref="B55:G55"/>
    <mergeCell ref="H55:J55"/>
    <mergeCell ref="K55:M55"/>
    <mergeCell ref="N55:P55"/>
    <mergeCell ref="Q55:R57"/>
    <mergeCell ref="A65:Q68"/>
    <mergeCell ref="R65:T68"/>
    <mergeCell ref="V66:Y67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1F6AB-B9A0-4726-9652-C96244D5C41C}">
  <sheetPr>
    <pageSetUpPr fitToPage="1"/>
  </sheetPr>
  <dimension ref="A1:AA76"/>
  <sheetViews>
    <sheetView workbookViewId="0">
      <selection activeCell="AB67" sqref="AB6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167"/>
      <c r="B2" s="168"/>
      <c r="C2" s="168"/>
      <c r="D2" s="168"/>
      <c r="E2" s="168"/>
      <c r="F2" s="169"/>
      <c r="G2" s="185" t="s">
        <v>92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40"/>
      <c r="U2" s="179"/>
      <c r="V2" s="180"/>
      <c r="W2" s="180"/>
      <c r="X2" s="180"/>
      <c r="Y2" s="180"/>
      <c r="Z2" s="181"/>
    </row>
    <row r="3" spans="1:26" ht="12.75" customHeight="1" x14ac:dyDescent="0.25">
      <c r="A3" s="167"/>
      <c r="B3" s="168"/>
      <c r="C3" s="168"/>
      <c r="D3" s="168"/>
      <c r="E3" s="168"/>
      <c r="F3" s="169"/>
      <c r="G3" s="185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40"/>
      <c r="U3" s="179"/>
      <c r="V3" s="180"/>
      <c r="W3" s="180"/>
      <c r="X3" s="180"/>
      <c r="Y3" s="180"/>
      <c r="Z3" s="181"/>
    </row>
    <row r="4" spans="1:26" ht="12.75" customHeight="1" x14ac:dyDescent="0.25">
      <c r="A4" s="167"/>
      <c r="B4" s="168"/>
      <c r="C4" s="168"/>
      <c r="D4" s="168"/>
      <c r="E4" s="168"/>
      <c r="F4" s="169"/>
      <c r="G4" s="185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40"/>
      <c r="U4" s="179"/>
      <c r="V4" s="180"/>
      <c r="W4" s="180"/>
      <c r="X4" s="180"/>
      <c r="Y4" s="180"/>
      <c r="Z4" s="18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88</v>
      </c>
      <c r="H5" s="190"/>
      <c r="I5" s="191">
        <v>13</v>
      </c>
      <c r="J5" s="191"/>
      <c r="K5" s="192"/>
      <c r="L5" s="193" t="s">
        <v>94</v>
      </c>
      <c r="M5" s="194"/>
      <c r="N5" s="194"/>
      <c r="O5" s="195"/>
      <c r="P5" s="196" t="s">
        <v>93</v>
      </c>
      <c r="Q5" s="197"/>
      <c r="R5" s="197"/>
      <c r="S5" s="197"/>
      <c r="T5" s="198"/>
      <c r="U5" s="179"/>
      <c r="V5" s="180"/>
      <c r="W5" s="180"/>
      <c r="X5" s="180"/>
      <c r="Y5" s="180"/>
      <c r="Z5" s="18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182"/>
      <c r="V6" s="183"/>
      <c r="W6" s="183"/>
      <c r="X6" s="183"/>
      <c r="Y6" s="183"/>
      <c r="Z6" s="18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91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93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303" t="s">
        <v>109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6.2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7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7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80</v>
      </c>
      <c r="L18" s="27" t="s">
        <v>27</v>
      </c>
      <c r="M18" s="27"/>
      <c r="N18" s="27"/>
      <c r="O18" s="27"/>
      <c r="P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7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7" ht="12.75" customHeight="1" x14ac:dyDescent="0.25">
      <c r="B20" s="154"/>
      <c r="C20" s="6"/>
      <c r="D20" s="7"/>
      <c r="E20" s="7"/>
      <c r="F20" s="7"/>
      <c r="G20" s="7"/>
      <c r="H20" s="6"/>
      <c r="I20" s="6"/>
      <c r="J20" s="6"/>
      <c r="K20" s="6"/>
      <c r="L20" s="6"/>
      <c r="M20" s="6"/>
      <c r="N20" s="153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8"/>
    </row>
    <row r="21" spans="1:27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7" ht="12.75" customHeight="1" x14ac:dyDescent="0.25">
      <c r="A22" s="9"/>
      <c r="B22" s="39"/>
      <c r="Z22" s="11"/>
    </row>
    <row r="23" spans="1:27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85</v>
      </c>
      <c r="I23" s="199"/>
      <c r="J23" s="200"/>
      <c r="K23" s="212" t="s">
        <v>33</v>
      </c>
      <c r="L23" s="213"/>
      <c r="M23" s="214"/>
      <c r="N23" s="212" t="s">
        <v>84</v>
      </c>
      <c r="O23" s="213"/>
      <c r="P23" s="214"/>
      <c r="Q23" s="199" t="s">
        <v>34</v>
      </c>
      <c r="R23" s="199"/>
      <c r="S23" s="199"/>
      <c r="T23" s="199"/>
      <c r="U23" s="199"/>
      <c r="V23" s="200"/>
      <c r="Z23" s="11"/>
    </row>
    <row r="24" spans="1:27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1"/>
      <c r="J24" s="202"/>
      <c r="K24" s="203" t="s">
        <v>35</v>
      </c>
      <c r="L24" s="204"/>
      <c r="M24" s="205"/>
      <c r="N24" s="215"/>
      <c r="O24" s="204"/>
      <c r="P24" s="205"/>
      <c r="Q24" s="201"/>
      <c r="R24" s="201"/>
      <c r="S24" s="201"/>
      <c r="T24" s="201"/>
      <c r="U24" s="201"/>
      <c r="V24" s="202"/>
      <c r="Z24" s="11"/>
    </row>
    <row r="25" spans="1:27" ht="19.2" customHeight="1" x14ac:dyDescent="0.25">
      <c r="A25" s="9"/>
      <c r="B25" s="45">
        <v>1</v>
      </c>
      <c r="C25" s="216"/>
      <c r="D25" s="217"/>
      <c r="E25" s="217"/>
      <c r="F25" s="217"/>
      <c r="G25" s="218"/>
      <c r="H25" s="219">
        <v>46.11</v>
      </c>
      <c r="I25" s="220"/>
      <c r="J25" s="221"/>
      <c r="K25" s="222">
        <v>67.2</v>
      </c>
      <c r="L25" s="223"/>
      <c r="M25" s="224"/>
      <c r="N25" s="225">
        <v>1.46</v>
      </c>
      <c r="O25" s="223"/>
      <c r="P25" s="224"/>
      <c r="Q25" s="216"/>
      <c r="R25" s="217"/>
      <c r="S25" s="217"/>
      <c r="T25" s="217"/>
      <c r="U25" s="217"/>
      <c r="V25" s="218"/>
      <c r="Z25" s="11"/>
    </row>
    <row r="26" spans="1:27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219">
        <v>43.6</v>
      </c>
      <c r="I26" s="220"/>
      <c r="J26" s="221"/>
      <c r="K26" s="222">
        <v>115.4</v>
      </c>
      <c r="L26" s="223"/>
      <c r="M26" s="224"/>
      <c r="N26" s="225">
        <v>2.65</v>
      </c>
      <c r="O26" s="223"/>
      <c r="P26" s="224"/>
      <c r="Q26" s="216"/>
      <c r="R26" s="217"/>
      <c r="S26" s="217"/>
      <c r="T26" s="217"/>
      <c r="U26" s="217"/>
      <c r="V26" s="218"/>
      <c r="Z26" s="11"/>
    </row>
    <row r="27" spans="1:27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219">
        <v>27.99</v>
      </c>
      <c r="I27" s="220"/>
      <c r="J27" s="221"/>
      <c r="K27" s="222">
        <v>84.9</v>
      </c>
      <c r="L27" s="223"/>
      <c r="M27" s="224"/>
      <c r="N27" s="225">
        <v>3.03</v>
      </c>
      <c r="O27" s="223"/>
      <c r="P27" s="224"/>
      <c r="Q27" s="216"/>
      <c r="R27" s="217"/>
      <c r="S27" s="217"/>
      <c r="T27" s="217"/>
      <c r="U27" s="217"/>
      <c r="V27" s="218"/>
      <c r="Z27" s="11"/>
    </row>
    <row r="28" spans="1:27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219">
        <v>38.79</v>
      </c>
      <c r="I28" s="220"/>
      <c r="J28" s="221"/>
      <c r="K28" s="222">
        <v>63.4</v>
      </c>
      <c r="L28" s="223"/>
      <c r="M28" s="224"/>
      <c r="N28" s="225">
        <v>1.63</v>
      </c>
      <c r="O28" s="223"/>
      <c r="P28" s="224"/>
      <c r="Q28" s="216"/>
      <c r="R28" s="217"/>
      <c r="S28" s="217"/>
      <c r="T28" s="217"/>
      <c r="U28" s="217"/>
      <c r="V28" s="218"/>
      <c r="Z28" s="11"/>
    </row>
    <row r="29" spans="1:27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219">
        <v>59.84</v>
      </c>
      <c r="I29" s="220"/>
      <c r="J29" s="221"/>
      <c r="K29" s="222">
        <v>145.19999999999999</v>
      </c>
      <c r="L29" s="223"/>
      <c r="M29" s="224"/>
      <c r="N29" s="225">
        <v>2.4300000000000002</v>
      </c>
      <c r="O29" s="223"/>
      <c r="P29" s="224"/>
      <c r="Q29" s="216"/>
      <c r="R29" s="217"/>
      <c r="S29" s="217"/>
      <c r="T29" s="217"/>
      <c r="U29" s="217"/>
      <c r="V29" s="218"/>
      <c r="Z29" s="11"/>
    </row>
    <row r="30" spans="1:27" s="73" customFormat="1" ht="19.5" customHeight="1" x14ac:dyDescent="0.25">
      <c r="A30" s="108"/>
      <c r="B30" s="120"/>
      <c r="C30" s="114"/>
      <c r="D30" s="113"/>
      <c r="E30" s="113"/>
      <c r="F30" s="113"/>
      <c r="G30" s="112"/>
      <c r="H30" s="119"/>
      <c r="I30" s="118"/>
      <c r="J30" s="117"/>
      <c r="K30" s="116"/>
      <c r="L30" s="110"/>
      <c r="M30" s="109"/>
      <c r="N30" s="115"/>
      <c r="O30" s="110"/>
      <c r="P30" s="109"/>
      <c r="Q30" s="114"/>
      <c r="R30" s="113"/>
      <c r="S30" s="113"/>
      <c r="T30" s="113"/>
      <c r="U30" s="113"/>
      <c r="V30" s="112"/>
      <c r="W30" s="74"/>
      <c r="X30" s="74"/>
      <c r="Y30" s="74"/>
      <c r="Z30" s="107"/>
      <c r="AA30" s="74"/>
    </row>
    <row r="31" spans="1:27" s="73" customFormat="1" ht="19.5" customHeight="1" x14ac:dyDescent="0.25">
      <c r="A31" s="108"/>
      <c r="B31" s="120"/>
      <c r="C31" s="114"/>
      <c r="D31" s="113"/>
      <c r="E31" s="113"/>
      <c r="F31" s="113"/>
      <c r="G31" s="112"/>
      <c r="H31" s="119"/>
      <c r="I31" s="118"/>
      <c r="J31" s="117"/>
      <c r="K31" s="116"/>
      <c r="L31" s="110"/>
      <c r="M31" s="109"/>
      <c r="N31" s="115"/>
      <c r="O31" s="110"/>
      <c r="P31" s="109"/>
      <c r="Q31" s="114"/>
      <c r="R31" s="113"/>
      <c r="S31" s="113"/>
      <c r="T31" s="113"/>
      <c r="U31" s="113"/>
      <c r="V31" s="112"/>
      <c r="W31" s="74"/>
      <c r="X31" s="74"/>
      <c r="Y31" s="74"/>
      <c r="Z31" s="107"/>
      <c r="AA31" s="74"/>
    </row>
    <row r="32" spans="1:27" s="73" customFormat="1" ht="19.5" customHeight="1" x14ac:dyDescent="0.25">
      <c r="A32" s="108"/>
      <c r="B32" s="120"/>
      <c r="C32" s="114"/>
      <c r="D32" s="113"/>
      <c r="E32" s="113"/>
      <c r="F32" s="113"/>
      <c r="G32" s="112"/>
      <c r="H32" s="119"/>
      <c r="I32" s="118"/>
      <c r="J32" s="117"/>
      <c r="K32" s="116"/>
      <c r="L32" s="110"/>
      <c r="M32" s="109"/>
      <c r="N32" s="115"/>
      <c r="O32" s="110"/>
      <c r="P32" s="109"/>
      <c r="Q32" s="114"/>
      <c r="R32" s="113"/>
      <c r="S32" s="113"/>
      <c r="T32" s="113"/>
      <c r="U32" s="113"/>
      <c r="V32" s="112"/>
      <c r="W32" s="74"/>
      <c r="X32" s="74"/>
      <c r="Y32" s="74"/>
      <c r="Z32" s="107"/>
      <c r="AA32" s="74"/>
    </row>
    <row r="33" spans="1:27" s="73" customFormat="1" ht="19.5" customHeight="1" x14ac:dyDescent="0.25">
      <c r="A33" s="108"/>
      <c r="B33" s="120"/>
      <c r="C33" s="114"/>
      <c r="D33" s="113"/>
      <c r="E33" s="113"/>
      <c r="F33" s="113"/>
      <c r="G33" s="112"/>
      <c r="H33" s="119"/>
      <c r="I33" s="118"/>
      <c r="J33" s="117"/>
      <c r="K33" s="116"/>
      <c r="L33" s="110"/>
      <c r="M33" s="109"/>
      <c r="N33" s="115"/>
      <c r="O33" s="110"/>
      <c r="P33" s="109"/>
      <c r="Q33" s="114"/>
      <c r="R33" s="113"/>
      <c r="S33" s="113"/>
      <c r="T33" s="113"/>
      <c r="U33" s="113"/>
      <c r="V33" s="112"/>
      <c r="W33" s="74"/>
      <c r="X33" s="74"/>
      <c r="Y33" s="74"/>
      <c r="Z33" s="107"/>
      <c r="AA33" s="74"/>
    </row>
    <row r="34" spans="1:27" s="73" customFormat="1" ht="19.5" customHeight="1" x14ac:dyDescent="0.25">
      <c r="A34" s="108"/>
      <c r="B34" s="120"/>
      <c r="C34" s="114"/>
      <c r="D34" s="113"/>
      <c r="E34" s="113"/>
      <c r="F34" s="113"/>
      <c r="G34" s="112"/>
      <c r="H34" s="119"/>
      <c r="I34" s="118"/>
      <c r="J34" s="117"/>
      <c r="K34" s="116"/>
      <c r="L34" s="110"/>
      <c r="M34" s="109"/>
      <c r="N34" s="115"/>
      <c r="O34" s="110"/>
      <c r="P34" s="109"/>
      <c r="Q34" s="114"/>
      <c r="R34" s="113"/>
      <c r="S34" s="113"/>
      <c r="T34" s="113"/>
      <c r="U34" s="113"/>
      <c r="V34" s="112"/>
      <c r="W34" s="74"/>
      <c r="X34" s="74"/>
      <c r="Y34" s="74"/>
      <c r="Z34" s="107"/>
      <c r="AA34" s="74"/>
    </row>
    <row r="35" spans="1:27" s="73" customFormat="1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W35" s="74"/>
      <c r="X35" s="74"/>
      <c r="Y35" s="74"/>
      <c r="Z35" s="107"/>
      <c r="AA35" s="74"/>
    </row>
    <row r="36" spans="1:27" s="73" customFormat="1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W36" s="74"/>
      <c r="X36" s="74"/>
      <c r="Y36" s="74"/>
      <c r="Z36" s="107"/>
      <c r="AA36" s="74"/>
    </row>
    <row r="37" spans="1:27" s="73" customFormat="1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W37" s="74"/>
      <c r="X37" s="74"/>
      <c r="Y37" s="74"/>
      <c r="Z37" s="107"/>
      <c r="AA37" s="74"/>
    </row>
    <row r="38" spans="1:27" s="73" customFormat="1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W38" s="74"/>
      <c r="X38" s="74"/>
      <c r="Y38" s="74"/>
      <c r="Z38" s="107"/>
      <c r="AA38" s="74"/>
    </row>
    <row r="39" spans="1:27" s="73" customFormat="1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W39" s="74"/>
      <c r="X39" s="74"/>
      <c r="Y39" s="74"/>
      <c r="Z39" s="107"/>
      <c r="AA39" s="74"/>
    </row>
    <row r="40" spans="1:27" s="73" customFormat="1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W40" s="74"/>
      <c r="X40" s="74"/>
      <c r="Y40" s="74"/>
      <c r="Z40" s="107"/>
      <c r="AA40" s="74"/>
    </row>
    <row r="41" spans="1:27" s="73" customFormat="1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W41" s="74"/>
      <c r="X41" s="74"/>
      <c r="Y41" s="74"/>
      <c r="Z41" s="107"/>
      <c r="AA41" s="74"/>
    </row>
    <row r="42" spans="1:27" s="73" customFormat="1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W42" s="74"/>
      <c r="X42" s="74"/>
      <c r="Y42" s="74"/>
      <c r="Z42" s="107"/>
      <c r="AA42" s="74"/>
    </row>
    <row r="43" spans="1:27" s="73" customFormat="1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W43" s="74"/>
      <c r="X43" s="74"/>
      <c r="Y43" s="74"/>
      <c r="Z43" s="107"/>
      <c r="AA43" s="74"/>
    </row>
    <row r="44" spans="1:27" s="73" customFormat="1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W44" s="74"/>
      <c r="X44" s="74"/>
      <c r="Y44" s="74"/>
      <c r="Z44" s="107"/>
      <c r="AA44" s="74"/>
    </row>
    <row r="45" spans="1:27" s="73" customFormat="1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W45" s="74"/>
      <c r="X45" s="74"/>
      <c r="Y45" s="74"/>
      <c r="Z45" s="107"/>
      <c r="AA45" s="74"/>
    </row>
    <row r="46" spans="1:27" s="73" customFormat="1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W46" s="74"/>
      <c r="X46" s="74"/>
      <c r="Y46" s="74"/>
      <c r="Z46" s="107"/>
      <c r="AA46" s="74"/>
    </row>
    <row r="47" spans="1:27" s="73" customFormat="1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W47" s="74"/>
      <c r="X47" s="74"/>
      <c r="Y47" s="74"/>
      <c r="Z47" s="107"/>
      <c r="AA47" s="74"/>
    </row>
    <row r="48" spans="1:27" s="73" customFormat="1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W48" s="74"/>
      <c r="X48" s="74"/>
      <c r="Y48" s="74"/>
      <c r="Z48" s="107"/>
      <c r="AA48" s="74"/>
    </row>
    <row r="49" spans="1:27" s="73" customFormat="1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W49" s="74"/>
      <c r="X49" s="74"/>
      <c r="Y49" s="74"/>
      <c r="Z49" s="107"/>
      <c r="AA49" s="74"/>
    </row>
    <row r="50" spans="1:27" s="73" customFormat="1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W50" s="74"/>
      <c r="X50" s="74"/>
      <c r="Y50" s="74"/>
      <c r="Z50" s="107"/>
      <c r="AA50" s="74"/>
    </row>
    <row r="51" spans="1:27" s="73" customFormat="1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W51" s="74"/>
      <c r="X51" s="74"/>
      <c r="Y51" s="74"/>
      <c r="Z51" s="107"/>
      <c r="AA51" s="74"/>
    </row>
    <row r="52" spans="1:27" s="73" customFormat="1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W52" s="74"/>
      <c r="X52" s="74"/>
      <c r="Y52" s="74"/>
      <c r="Z52" s="107"/>
      <c r="AA52" s="74"/>
    </row>
    <row r="53" spans="1:27" s="73" customFormat="1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W53" s="74"/>
      <c r="X53" s="74"/>
      <c r="Y53" s="74"/>
      <c r="Z53" s="107"/>
      <c r="AA53" s="74"/>
    </row>
    <row r="54" spans="1:27" ht="19.5" customHeight="1" thickBot="1" x14ac:dyDescent="0.3">
      <c r="A54" s="9"/>
      <c r="B54" s="46"/>
      <c r="C54" s="226"/>
      <c r="D54" s="226"/>
      <c r="E54" s="226"/>
      <c r="F54" s="226"/>
      <c r="G54" s="227"/>
      <c r="H54" s="228"/>
      <c r="I54" s="229"/>
      <c r="J54" s="230"/>
      <c r="K54" s="231"/>
      <c r="L54" s="232"/>
      <c r="M54" s="233"/>
      <c r="N54" s="234"/>
      <c r="O54" s="235"/>
      <c r="P54" s="236"/>
      <c r="Q54" s="237"/>
      <c r="R54" s="238"/>
      <c r="S54" s="238"/>
      <c r="T54" s="238"/>
      <c r="U54" s="238"/>
      <c r="V54" s="239"/>
      <c r="Z54" s="11"/>
    </row>
    <row r="55" spans="1:27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259">
        <f>AVERAGE(H25:J54)</f>
        <v>43.266000000000005</v>
      </c>
      <c r="I55" s="204"/>
      <c r="J55" s="205"/>
      <c r="K55" s="249">
        <f>AVERAGE(K25:M54)</f>
        <v>95.22</v>
      </c>
      <c r="L55" s="223"/>
      <c r="M55" s="224"/>
      <c r="N55" s="249">
        <f>AVERAGE(N25:P54)</f>
        <v>2.2399999999999998</v>
      </c>
      <c r="O55" s="223"/>
      <c r="P55" s="224"/>
      <c r="Q55" s="260">
        <v>60</v>
      </c>
      <c r="R55" s="261"/>
      <c r="S55" s="240" t="s">
        <v>38</v>
      </c>
      <c r="T55" s="240"/>
      <c r="U55" s="240"/>
      <c r="V55" s="241"/>
      <c r="Z55" s="11"/>
    </row>
    <row r="56" spans="1:27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IF(H25&lt;&gt;"",MIN(H25:J54),"")</f>
        <v>27.99</v>
      </c>
      <c r="I56" s="223"/>
      <c r="J56" s="224"/>
      <c r="K56" s="249">
        <f>IF(COUNTIF(K25:M54,"*&lt;20*"),"&lt;20",MIN(K25:M54))</f>
        <v>63.4</v>
      </c>
      <c r="L56" s="223"/>
      <c r="M56" s="224"/>
      <c r="N56" s="249">
        <f>IF(N25&lt;&gt;"",MIN(N25:P54),"")</f>
        <v>1.46</v>
      </c>
      <c r="O56" s="223"/>
      <c r="P56" s="224"/>
      <c r="Q56" s="262"/>
      <c r="R56" s="263"/>
      <c r="S56" s="242"/>
      <c r="T56" s="242"/>
      <c r="U56" s="242"/>
      <c r="V56" s="243"/>
      <c r="Z56" s="11"/>
    </row>
    <row r="57" spans="1:27" ht="15.7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IF(H25&lt;&gt;"",MAX(H25:J54),"")</f>
        <v>59.84</v>
      </c>
      <c r="I57" s="254"/>
      <c r="J57" s="255"/>
      <c r="K57" s="253">
        <f>IF(COUNTIF(K25:M54,"*&gt;250*"),"&gt;250",MAX(K25:M54))</f>
        <v>145.19999999999999</v>
      </c>
      <c r="L57" s="254"/>
      <c r="M57" s="255"/>
      <c r="N57" s="253">
        <f>IF(N25&lt;&gt;"",MAX(N25:P54),"")</f>
        <v>3.03</v>
      </c>
      <c r="O57" s="254"/>
      <c r="P57" s="255"/>
      <c r="Q57" s="264"/>
      <c r="R57" s="265"/>
      <c r="S57" s="244"/>
      <c r="T57" s="244"/>
      <c r="U57" s="244"/>
      <c r="V57" s="245"/>
      <c r="Z57" s="11"/>
    </row>
    <row r="58" spans="1:27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7" ht="12.75" customHeight="1" x14ac:dyDescent="0.25">
      <c r="A59" s="36"/>
      <c r="B59" s="37"/>
    </row>
    <row r="60" spans="1:27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7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282" t="s">
        <v>13</v>
      </c>
      <c r="V61" s="283"/>
      <c r="W61" s="283"/>
      <c r="X61" s="284"/>
      <c r="Y61" s="284"/>
      <c r="Z61" s="285"/>
    </row>
    <row r="62" spans="1:27" s="17" customFormat="1" ht="15.6" customHeight="1" x14ac:dyDescent="0.25">
      <c r="A62" s="338" t="s">
        <v>112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292" t="s">
        <v>47</v>
      </c>
      <c r="V62" s="293"/>
      <c r="W62" s="293"/>
      <c r="X62" s="294"/>
      <c r="Y62" s="294"/>
      <c r="Z62" s="295"/>
    </row>
    <row r="63" spans="1:27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296"/>
      <c r="V63" s="278"/>
      <c r="W63" s="278"/>
      <c r="X63" s="297"/>
      <c r="Y63" s="297"/>
      <c r="Z63" s="298"/>
    </row>
    <row r="64" spans="1:27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299"/>
      <c r="V64" s="300"/>
      <c r="W64" s="300"/>
      <c r="X64" s="301"/>
      <c r="Y64" s="301"/>
      <c r="Z64" s="302"/>
    </row>
    <row r="65" spans="1:26" s="17" customFormat="1" ht="15.6" customHeight="1" x14ac:dyDescent="0.25">
      <c r="A65" s="331" t="s">
        <v>110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3"/>
      <c r="R65" s="272" t="s">
        <v>50</v>
      </c>
      <c r="S65" s="273"/>
      <c r="T65" s="274"/>
      <c r="U65" s="87"/>
      <c r="V65" s="86"/>
      <c r="W65" s="86"/>
      <c r="X65" s="86"/>
      <c r="Y65" s="86"/>
      <c r="Z65" s="85"/>
    </row>
    <row r="66" spans="1:26" s="17" customFormat="1" ht="15.6" customHeight="1" x14ac:dyDescent="0.25">
      <c r="A66" s="334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3"/>
      <c r="R66" s="272"/>
      <c r="S66" s="273"/>
      <c r="T66" s="274"/>
      <c r="U66" s="84"/>
      <c r="V66" s="278"/>
      <c r="W66" s="278"/>
      <c r="X66" s="278"/>
      <c r="Y66" s="278"/>
      <c r="Z66" s="83"/>
    </row>
    <row r="67" spans="1:26" s="17" customFormat="1" ht="15.6" customHeight="1" x14ac:dyDescent="0.25">
      <c r="A67" s="334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3"/>
      <c r="R67" s="272"/>
      <c r="S67" s="273"/>
      <c r="T67" s="274"/>
      <c r="U67" s="84"/>
      <c r="V67" s="278"/>
      <c r="W67" s="278"/>
      <c r="X67" s="278"/>
      <c r="Y67" s="278"/>
      <c r="Z67" s="83"/>
    </row>
    <row r="68" spans="1:26" s="17" customFormat="1" ht="15.6" customHeight="1" x14ac:dyDescent="0.25">
      <c r="A68" s="335"/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7"/>
      <c r="R68" s="275"/>
      <c r="S68" s="276"/>
      <c r="T68" s="277"/>
      <c r="U68" s="82"/>
      <c r="V68" s="81"/>
      <c r="W68" s="81"/>
      <c r="X68" s="81"/>
      <c r="Y68" s="81"/>
      <c r="Z68" s="80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91">
    <mergeCell ref="B56:G56"/>
    <mergeCell ref="B57:G57"/>
    <mergeCell ref="Q54:V54"/>
    <mergeCell ref="K57:M57"/>
    <mergeCell ref="K55:M55"/>
    <mergeCell ref="K56:M56"/>
    <mergeCell ref="N55:P55"/>
    <mergeCell ref="N56:P56"/>
    <mergeCell ref="N57:P57"/>
    <mergeCell ref="S55:V57"/>
    <mergeCell ref="Q55:R57"/>
    <mergeCell ref="G1:T1"/>
    <mergeCell ref="B10:G10"/>
    <mergeCell ref="S10:Y10"/>
    <mergeCell ref="A65:Q68"/>
    <mergeCell ref="R65:T68"/>
    <mergeCell ref="V66:Y67"/>
    <mergeCell ref="C54:G54"/>
    <mergeCell ref="H54:J54"/>
    <mergeCell ref="K54:M54"/>
    <mergeCell ref="N54:P54"/>
    <mergeCell ref="H57:J57"/>
    <mergeCell ref="H56:J56"/>
    <mergeCell ref="H55:J55"/>
    <mergeCell ref="B55:G55"/>
    <mergeCell ref="U1:Z6"/>
    <mergeCell ref="Q25:V25"/>
    <mergeCell ref="S12:Y12"/>
    <mergeCell ref="Q23:V24"/>
    <mergeCell ref="A7:F7"/>
    <mergeCell ref="G7:Z7"/>
    <mergeCell ref="H10:M10"/>
    <mergeCell ref="H24:J24"/>
    <mergeCell ref="K24:M24"/>
    <mergeCell ref="H23:J23"/>
    <mergeCell ref="K23:M23"/>
    <mergeCell ref="B17:H17"/>
    <mergeCell ref="B12:G12"/>
    <mergeCell ref="B11:G11"/>
    <mergeCell ref="N12:R12"/>
    <mergeCell ref="H12:M12"/>
    <mergeCell ref="H11:M11"/>
    <mergeCell ref="N11:R11"/>
    <mergeCell ref="I5:K5"/>
    <mergeCell ref="I6:K6"/>
    <mergeCell ref="L5:O5"/>
    <mergeCell ref="P5:T5"/>
    <mergeCell ref="L6:O6"/>
    <mergeCell ref="P6:T6"/>
    <mergeCell ref="A1:F6"/>
    <mergeCell ref="J21:P21"/>
    <mergeCell ref="N25:P25"/>
    <mergeCell ref="N23:P24"/>
    <mergeCell ref="I18:J18"/>
    <mergeCell ref="N10:R10"/>
    <mergeCell ref="G2:T4"/>
    <mergeCell ref="G5:H5"/>
    <mergeCell ref="I17:Y17"/>
    <mergeCell ref="S11:Y11"/>
    <mergeCell ref="H25:J25"/>
    <mergeCell ref="K25:M25"/>
    <mergeCell ref="B18:H18"/>
    <mergeCell ref="B23:B24"/>
    <mergeCell ref="C23:G24"/>
    <mergeCell ref="C25:G25"/>
    <mergeCell ref="A61:Q61"/>
    <mergeCell ref="R61:T61"/>
    <mergeCell ref="U61:Z61"/>
    <mergeCell ref="A62:Q63"/>
    <mergeCell ref="R62:T64"/>
    <mergeCell ref="U62:Z64"/>
    <mergeCell ref="C27:G27"/>
    <mergeCell ref="H27:J27"/>
    <mergeCell ref="K27:M27"/>
    <mergeCell ref="N27:P27"/>
    <mergeCell ref="Q27:V27"/>
    <mergeCell ref="C26:G26"/>
    <mergeCell ref="H26:J26"/>
    <mergeCell ref="K26:M26"/>
    <mergeCell ref="N26:P26"/>
    <mergeCell ref="Q26:V26"/>
    <mergeCell ref="C29:G29"/>
    <mergeCell ref="H29:J29"/>
    <mergeCell ref="K29:M29"/>
    <mergeCell ref="N29:P29"/>
    <mergeCell ref="Q29:V29"/>
    <mergeCell ref="C28:G28"/>
    <mergeCell ref="H28:J28"/>
    <mergeCell ref="K28:M28"/>
    <mergeCell ref="N28:P28"/>
    <mergeCell ref="Q28:V28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DA7AB-04A8-4A59-B8CE-FCF9779E12E7}">
  <sheetPr>
    <pageSetUpPr fitToPage="1"/>
  </sheetPr>
  <dimension ref="A1:AA76"/>
  <sheetViews>
    <sheetView workbookViewId="0">
      <selection activeCell="A65" sqref="A65:Q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404"/>
      <c r="B1" s="405"/>
      <c r="C1" s="405"/>
      <c r="D1" s="405"/>
      <c r="E1" s="405"/>
      <c r="F1" s="406"/>
      <c r="G1" s="347" t="s">
        <v>0</v>
      </c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9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407"/>
      <c r="B2" s="408"/>
      <c r="C2" s="408"/>
      <c r="D2" s="408"/>
      <c r="E2" s="408"/>
      <c r="F2" s="409"/>
      <c r="G2" s="307" t="s">
        <v>89</v>
      </c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9"/>
      <c r="U2" s="179"/>
      <c r="V2" s="180"/>
      <c r="W2" s="180"/>
      <c r="X2" s="180"/>
      <c r="Y2" s="180"/>
      <c r="Z2" s="181"/>
    </row>
    <row r="3" spans="1:26" ht="12.75" customHeight="1" x14ac:dyDescent="0.25">
      <c r="A3" s="407"/>
      <c r="B3" s="408"/>
      <c r="C3" s="408"/>
      <c r="D3" s="408"/>
      <c r="E3" s="408"/>
      <c r="F3" s="409"/>
      <c r="G3" s="307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9"/>
      <c r="U3" s="179"/>
      <c r="V3" s="180"/>
      <c r="W3" s="180"/>
      <c r="X3" s="180"/>
      <c r="Y3" s="180"/>
      <c r="Z3" s="181"/>
    </row>
    <row r="4" spans="1:26" ht="12.75" customHeight="1" x14ac:dyDescent="0.25">
      <c r="A4" s="407"/>
      <c r="B4" s="408"/>
      <c r="C4" s="408"/>
      <c r="D4" s="408"/>
      <c r="E4" s="408"/>
      <c r="F4" s="409"/>
      <c r="G4" s="307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9"/>
      <c r="U4" s="179"/>
      <c r="V4" s="180"/>
      <c r="W4" s="180"/>
      <c r="X4" s="180"/>
      <c r="Y4" s="180"/>
      <c r="Z4" s="181"/>
    </row>
    <row r="5" spans="1:26" ht="12.75" customHeight="1" x14ac:dyDescent="0.25">
      <c r="A5" s="407"/>
      <c r="B5" s="408"/>
      <c r="C5" s="408"/>
      <c r="D5" s="408"/>
      <c r="E5" s="408"/>
      <c r="F5" s="409"/>
      <c r="G5" s="420" t="s">
        <v>88</v>
      </c>
      <c r="H5" s="421"/>
      <c r="I5" s="394">
        <v>12</v>
      </c>
      <c r="J5" s="394"/>
      <c r="K5" s="395"/>
      <c r="L5" s="397" t="s">
        <v>3</v>
      </c>
      <c r="M5" s="398"/>
      <c r="N5" s="398"/>
      <c r="O5" s="399"/>
      <c r="P5" s="400" t="s">
        <v>86</v>
      </c>
      <c r="Q5" s="401"/>
      <c r="R5" s="401"/>
      <c r="S5" s="401"/>
      <c r="T5" s="402"/>
      <c r="U5" s="179"/>
      <c r="V5" s="180"/>
      <c r="W5" s="180"/>
      <c r="X5" s="180"/>
      <c r="Y5" s="180"/>
      <c r="Z5" s="181"/>
    </row>
    <row r="6" spans="1:26" ht="12.75" customHeight="1" x14ac:dyDescent="0.25">
      <c r="A6" s="410"/>
      <c r="B6" s="411"/>
      <c r="C6" s="411"/>
      <c r="D6" s="411"/>
      <c r="E6" s="411"/>
      <c r="F6" s="412"/>
      <c r="G6" s="150"/>
      <c r="H6" s="104"/>
      <c r="I6" s="396" t="s">
        <v>5</v>
      </c>
      <c r="J6" s="396"/>
      <c r="K6" s="396"/>
      <c r="L6" s="396" t="s">
        <v>6</v>
      </c>
      <c r="M6" s="396"/>
      <c r="N6" s="396"/>
      <c r="O6" s="396"/>
      <c r="P6" s="396" t="s">
        <v>7</v>
      </c>
      <c r="Q6" s="396"/>
      <c r="R6" s="396"/>
      <c r="S6" s="396"/>
      <c r="T6" s="403"/>
      <c r="U6" s="182"/>
      <c r="V6" s="183"/>
      <c r="W6" s="183"/>
      <c r="X6" s="183"/>
      <c r="Y6" s="183"/>
      <c r="Z6" s="184"/>
    </row>
    <row r="7" spans="1:26" ht="36.6" customHeight="1" x14ac:dyDescent="0.25">
      <c r="A7" s="391" t="s">
        <v>8</v>
      </c>
      <c r="B7" s="391"/>
      <c r="C7" s="391"/>
      <c r="D7" s="391"/>
      <c r="E7" s="391"/>
      <c r="F7" s="391"/>
      <c r="G7" s="392" t="s">
        <v>9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</row>
    <row r="8" spans="1:26" ht="15.9" customHeight="1" x14ac:dyDescent="0.25">
      <c r="A8" s="128" t="s">
        <v>10</v>
      </c>
      <c r="B8" s="99" t="s">
        <v>11</v>
      </c>
      <c r="C8" s="96"/>
      <c r="D8" s="130"/>
      <c r="E8" s="130"/>
      <c r="F8" s="130"/>
      <c r="G8" s="130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50" t="s">
        <v>12</v>
      </c>
      <c r="C10" s="350"/>
      <c r="D10" s="350"/>
      <c r="E10" s="350"/>
      <c r="F10" s="350"/>
      <c r="G10" s="350"/>
      <c r="H10" s="393" t="s">
        <v>13</v>
      </c>
      <c r="I10" s="393"/>
      <c r="J10" s="393"/>
      <c r="K10" s="393"/>
      <c r="L10" s="393"/>
      <c r="M10" s="393"/>
      <c r="N10" s="350" t="s">
        <v>14</v>
      </c>
      <c r="O10" s="350"/>
      <c r="P10" s="350"/>
      <c r="Q10" s="350"/>
      <c r="R10" s="350"/>
      <c r="S10" s="351" t="s">
        <v>91</v>
      </c>
      <c r="T10" s="351"/>
      <c r="U10" s="351"/>
      <c r="V10" s="351"/>
      <c r="W10" s="351"/>
      <c r="X10" s="351"/>
      <c r="Y10" s="351"/>
      <c r="Z10" s="149"/>
    </row>
    <row r="11" spans="1:26" ht="15.9" customHeight="1" x14ac:dyDescent="0.25">
      <c r="A11" s="108"/>
      <c r="B11" s="350" t="s">
        <v>16</v>
      </c>
      <c r="C11" s="350"/>
      <c r="D11" s="350"/>
      <c r="E11" s="350"/>
      <c r="F11" s="350"/>
      <c r="G11" s="350"/>
      <c r="H11" s="393" t="s">
        <v>86</v>
      </c>
      <c r="I11" s="393"/>
      <c r="J11" s="393"/>
      <c r="K11" s="393"/>
      <c r="L11" s="393"/>
      <c r="M11" s="393"/>
      <c r="N11" s="350" t="s">
        <v>17</v>
      </c>
      <c r="O11" s="350"/>
      <c r="P11" s="350"/>
      <c r="Q11" s="350"/>
      <c r="R11" s="350"/>
      <c r="S11" s="351" t="s">
        <v>66</v>
      </c>
      <c r="T11" s="351"/>
      <c r="U11" s="351"/>
      <c r="V11" s="351"/>
      <c r="W11" s="351"/>
      <c r="X11" s="351"/>
      <c r="Y11" s="351"/>
      <c r="Z11" s="149"/>
    </row>
    <row r="12" spans="1:26" ht="15.9" customHeight="1" x14ac:dyDescent="0.25">
      <c r="A12" s="108"/>
      <c r="B12" s="350" t="s">
        <v>19</v>
      </c>
      <c r="C12" s="350"/>
      <c r="D12" s="350"/>
      <c r="E12" s="350"/>
      <c r="F12" s="350"/>
      <c r="G12" s="350"/>
      <c r="H12" s="393" t="s">
        <v>108</v>
      </c>
      <c r="I12" s="393"/>
      <c r="J12" s="393"/>
      <c r="K12" s="393"/>
      <c r="L12" s="393"/>
      <c r="M12" s="393"/>
      <c r="N12" s="350" t="s">
        <v>20</v>
      </c>
      <c r="O12" s="350"/>
      <c r="P12" s="350"/>
      <c r="Q12" s="350"/>
      <c r="R12" s="350"/>
      <c r="S12" s="351" t="s">
        <v>21</v>
      </c>
      <c r="T12" s="351"/>
      <c r="U12" s="351"/>
      <c r="V12" s="351"/>
      <c r="W12" s="351"/>
      <c r="X12" s="351"/>
      <c r="Y12" s="351"/>
      <c r="Z12" s="149"/>
    </row>
    <row r="13" spans="1:26" ht="8.25" customHeight="1" x14ac:dyDescent="0.25">
      <c r="A13" s="148"/>
      <c r="B13" s="104"/>
      <c r="C13" s="104"/>
      <c r="D13" s="147"/>
      <c r="E13" s="147"/>
      <c r="F13" s="147"/>
      <c r="G13" s="147"/>
      <c r="H13" s="104"/>
      <c r="I13" s="104"/>
      <c r="J13" s="104"/>
      <c r="K13" s="104"/>
      <c r="L13" s="104"/>
      <c r="M13" s="104"/>
      <c r="N13" s="146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4"/>
      <c r="C14" s="144"/>
      <c r="K14" s="145"/>
      <c r="L14" s="144"/>
      <c r="M14" s="143"/>
    </row>
    <row r="15" spans="1:26" s="76" customFormat="1" ht="16.2" customHeight="1" x14ac:dyDescent="0.25">
      <c r="A15" s="128" t="s">
        <v>22</v>
      </c>
      <c r="B15" s="142" t="s">
        <v>23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0"/>
    </row>
    <row r="16" spans="1:26" s="76" customFormat="1" ht="15" customHeight="1" x14ac:dyDescent="0.25">
      <c r="A16" s="137"/>
      <c r="B16" s="139"/>
      <c r="Z16" s="138"/>
    </row>
    <row r="17" spans="1:26" s="76" customFormat="1" ht="15" customHeight="1" x14ac:dyDescent="0.25">
      <c r="A17" s="137"/>
      <c r="B17" s="427" t="s">
        <v>24</v>
      </c>
      <c r="C17" s="427"/>
      <c r="D17" s="427"/>
      <c r="E17" s="427"/>
      <c r="F17" s="427"/>
      <c r="G17" s="427"/>
      <c r="H17" s="427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135"/>
    </row>
    <row r="18" spans="1:26" s="76" customFormat="1" ht="15" customHeight="1" x14ac:dyDescent="0.25">
      <c r="A18" s="137"/>
      <c r="B18" s="427" t="s">
        <v>25</v>
      </c>
      <c r="C18" s="427"/>
      <c r="D18" s="427"/>
      <c r="E18" s="427"/>
      <c r="F18" s="427"/>
      <c r="G18" s="427"/>
      <c r="H18" s="427"/>
      <c r="I18" s="419" t="s">
        <v>26</v>
      </c>
      <c r="J18" s="419"/>
      <c r="K18" s="136">
        <v>70</v>
      </c>
      <c r="L18" s="136" t="s">
        <v>27</v>
      </c>
      <c r="M18" s="136"/>
      <c r="N18" s="136"/>
      <c r="O18" s="136"/>
      <c r="P18" s="136"/>
      <c r="R18" s="136"/>
      <c r="S18" s="136"/>
      <c r="T18" s="136"/>
      <c r="U18" s="136"/>
      <c r="V18" s="136"/>
      <c r="W18" s="136"/>
      <c r="X18" s="136"/>
      <c r="Y18" s="136"/>
      <c r="Z18" s="135"/>
    </row>
    <row r="19" spans="1:26" s="76" customFormat="1" ht="13.2" customHeight="1" x14ac:dyDescent="0.25">
      <c r="A19" s="134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2"/>
    </row>
    <row r="20" spans="1:26" ht="12.75" customHeight="1" x14ac:dyDescent="0.25">
      <c r="B20" s="131"/>
      <c r="C20" s="96"/>
      <c r="D20" s="130"/>
      <c r="E20" s="130"/>
      <c r="F20" s="130"/>
      <c r="G20" s="130"/>
      <c r="H20" s="96"/>
      <c r="I20" s="96"/>
      <c r="J20" s="96"/>
      <c r="K20" s="96"/>
      <c r="L20" s="96"/>
      <c r="M20" s="96"/>
      <c r="N20" s="129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24"/>
    </row>
    <row r="21" spans="1:26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413" t="s">
        <v>30</v>
      </c>
      <c r="K21" s="413"/>
      <c r="L21" s="413"/>
      <c r="M21" s="413"/>
      <c r="N21" s="413"/>
      <c r="O21" s="413"/>
      <c r="P21" s="413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428" t="s">
        <v>31</v>
      </c>
      <c r="C23" s="387" t="s">
        <v>32</v>
      </c>
      <c r="D23" s="387"/>
      <c r="E23" s="387"/>
      <c r="F23" s="387"/>
      <c r="G23" s="388"/>
      <c r="H23" s="415" t="s">
        <v>85</v>
      </c>
      <c r="I23" s="387"/>
      <c r="J23" s="388"/>
      <c r="K23" s="415" t="s">
        <v>33</v>
      </c>
      <c r="L23" s="416"/>
      <c r="M23" s="417"/>
      <c r="N23" s="415" t="s">
        <v>84</v>
      </c>
      <c r="O23" s="416"/>
      <c r="P23" s="417"/>
      <c r="Q23" s="387" t="s">
        <v>34</v>
      </c>
      <c r="R23" s="387"/>
      <c r="S23" s="387"/>
      <c r="T23" s="387"/>
      <c r="U23" s="387"/>
      <c r="V23" s="388"/>
      <c r="Z23" s="107"/>
    </row>
    <row r="24" spans="1:26" ht="15.75" customHeight="1" x14ac:dyDescent="0.25">
      <c r="A24" s="108"/>
      <c r="B24" s="429"/>
      <c r="C24" s="389"/>
      <c r="D24" s="389"/>
      <c r="E24" s="389"/>
      <c r="F24" s="389"/>
      <c r="G24" s="390"/>
      <c r="H24" s="430" t="s">
        <v>35</v>
      </c>
      <c r="I24" s="389"/>
      <c r="J24" s="390"/>
      <c r="K24" s="430" t="s">
        <v>35</v>
      </c>
      <c r="L24" s="368"/>
      <c r="M24" s="369"/>
      <c r="N24" s="418"/>
      <c r="O24" s="368"/>
      <c r="P24" s="369"/>
      <c r="Q24" s="389"/>
      <c r="R24" s="389"/>
      <c r="S24" s="389"/>
      <c r="T24" s="389"/>
      <c r="U24" s="389"/>
      <c r="V24" s="390"/>
      <c r="Z24" s="107"/>
    </row>
    <row r="25" spans="1:26" ht="19.5" customHeight="1" x14ac:dyDescent="0.25">
      <c r="A25" s="108"/>
      <c r="B25" s="121">
        <v>1</v>
      </c>
      <c r="C25" s="373"/>
      <c r="D25" s="374"/>
      <c r="E25" s="374"/>
      <c r="F25" s="374"/>
      <c r="G25" s="375"/>
      <c r="H25" s="423">
        <v>47.27</v>
      </c>
      <c r="I25" s="424"/>
      <c r="J25" s="425"/>
      <c r="K25" s="426">
        <v>115.4</v>
      </c>
      <c r="L25" s="342"/>
      <c r="M25" s="343"/>
      <c r="N25" s="414">
        <v>2.44</v>
      </c>
      <c r="O25" s="342"/>
      <c r="P25" s="343"/>
      <c r="Q25" s="373"/>
      <c r="R25" s="374"/>
      <c r="S25" s="374"/>
      <c r="T25" s="374"/>
      <c r="U25" s="374"/>
      <c r="V25" s="375"/>
      <c r="Z25" s="107"/>
    </row>
    <row r="26" spans="1:26" ht="19.5" customHeight="1" x14ac:dyDescent="0.25">
      <c r="A26" s="108"/>
      <c r="B26" s="121">
        <v>2</v>
      </c>
      <c r="C26" s="373"/>
      <c r="D26" s="374"/>
      <c r="E26" s="374"/>
      <c r="F26" s="374"/>
      <c r="G26" s="375"/>
      <c r="H26" s="423">
        <v>50.22</v>
      </c>
      <c r="I26" s="424"/>
      <c r="J26" s="425"/>
      <c r="K26" s="426">
        <v>93.8</v>
      </c>
      <c r="L26" s="342"/>
      <c r="M26" s="343"/>
      <c r="N26" s="414">
        <v>1.87</v>
      </c>
      <c r="O26" s="342"/>
      <c r="P26" s="343"/>
      <c r="Q26" s="373"/>
      <c r="R26" s="374"/>
      <c r="S26" s="374"/>
      <c r="T26" s="374"/>
      <c r="U26" s="374"/>
      <c r="V26" s="375"/>
      <c r="Z26" s="107"/>
    </row>
    <row r="27" spans="1:26" ht="19.5" customHeight="1" x14ac:dyDescent="0.25">
      <c r="A27" s="108"/>
      <c r="B27" s="121">
        <v>3</v>
      </c>
      <c r="C27" s="373"/>
      <c r="D27" s="374"/>
      <c r="E27" s="374"/>
      <c r="F27" s="374"/>
      <c r="G27" s="375"/>
      <c r="H27" s="423">
        <v>53.07</v>
      </c>
      <c r="I27" s="424"/>
      <c r="J27" s="425"/>
      <c r="K27" s="426">
        <v>121.6</v>
      </c>
      <c r="L27" s="342"/>
      <c r="M27" s="343"/>
      <c r="N27" s="414">
        <v>2.29</v>
      </c>
      <c r="O27" s="342"/>
      <c r="P27" s="343"/>
      <c r="Q27" s="373"/>
      <c r="R27" s="374"/>
      <c r="S27" s="374"/>
      <c r="T27" s="374"/>
      <c r="U27" s="374"/>
      <c r="V27" s="375"/>
      <c r="Z27" s="107"/>
    </row>
    <row r="28" spans="1:26" ht="19.5" customHeight="1" x14ac:dyDescent="0.25">
      <c r="A28" s="108"/>
      <c r="B28" s="121">
        <v>4</v>
      </c>
      <c r="C28" s="373"/>
      <c r="D28" s="374"/>
      <c r="E28" s="374"/>
      <c r="F28" s="374"/>
      <c r="G28" s="375"/>
      <c r="H28" s="423">
        <v>82.72</v>
      </c>
      <c r="I28" s="424"/>
      <c r="J28" s="425"/>
      <c r="K28" s="426">
        <v>145.19999999999999</v>
      </c>
      <c r="L28" s="342"/>
      <c r="M28" s="343"/>
      <c r="N28" s="414">
        <v>1.75</v>
      </c>
      <c r="O28" s="342"/>
      <c r="P28" s="343"/>
      <c r="Q28" s="373"/>
      <c r="R28" s="374"/>
      <c r="S28" s="374"/>
      <c r="T28" s="374"/>
      <c r="U28" s="374"/>
      <c r="V28" s="375"/>
      <c r="Z28" s="107"/>
    </row>
    <row r="29" spans="1:26" ht="19.5" customHeight="1" x14ac:dyDescent="0.25">
      <c r="A29" s="108"/>
      <c r="B29" s="121">
        <v>5</v>
      </c>
      <c r="C29" s="373"/>
      <c r="D29" s="374"/>
      <c r="E29" s="374"/>
      <c r="F29" s="374"/>
      <c r="G29" s="375"/>
      <c r="H29" s="423">
        <v>40.76</v>
      </c>
      <c r="I29" s="424"/>
      <c r="J29" s="425"/>
      <c r="K29" s="426">
        <v>104.7</v>
      </c>
      <c r="L29" s="342"/>
      <c r="M29" s="343"/>
      <c r="N29" s="414">
        <v>2.57</v>
      </c>
      <c r="O29" s="342"/>
      <c r="P29" s="343"/>
      <c r="Q29" s="373"/>
      <c r="R29" s="374"/>
      <c r="S29" s="374"/>
      <c r="T29" s="374"/>
      <c r="U29" s="374"/>
      <c r="V29" s="375"/>
      <c r="Z29" s="107"/>
    </row>
    <row r="30" spans="1:26" ht="19.5" customHeight="1" x14ac:dyDescent="0.25">
      <c r="A30" s="108"/>
      <c r="B30" s="121">
        <v>6</v>
      </c>
      <c r="C30" s="373"/>
      <c r="D30" s="374"/>
      <c r="E30" s="374"/>
      <c r="F30" s="374"/>
      <c r="G30" s="375"/>
      <c r="H30" s="423">
        <v>41.06</v>
      </c>
      <c r="I30" s="424"/>
      <c r="J30" s="425"/>
      <c r="K30" s="426">
        <v>104.7</v>
      </c>
      <c r="L30" s="342"/>
      <c r="M30" s="343"/>
      <c r="N30" s="414">
        <v>2.5499999999999998</v>
      </c>
      <c r="O30" s="342"/>
      <c r="P30" s="343"/>
      <c r="Q30" s="373"/>
      <c r="R30" s="374"/>
      <c r="S30" s="374"/>
      <c r="T30" s="374"/>
      <c r="U30" s="374"/>
      <c r="V30" s="375"/>
      <c r="Z30" s="107"/>
    </row>
    <row r="31" spans="1:26" ht="19.5" customHeight="1" x14ac:dyDescent="0.25">
      <c r="A31" s="108"/>
      <c r="B31" s="121">
        <v>7</v>
      </c>
      <c r="C31" s="373"/>
      <c r="D31" s="374"/>
      <c r="E31" s="374"/>
      <c r="F31" s="374"/>
      <c r="G31" s="375"/>
      <c r="H31" s="423">
        <v>68.599999999999994</v>
      </c>
      <c r="I31" s="424"/>
      <c r="J31" s="425"/>
      <c r="K31" s="426">
        <v>118.4</v>
      </c>
      <c r="L31" s="342"/>
      <c r="M31" s="343"/>
      <c r="N31" s="414">
        <v>1.73</v>
      </c>
      <c r="O31" s="342"/>
      <c r="P31" s="343"/>
      <c r="Q31" s="373"/>
      <c r="R31" s="374"/>
      <c r="S31" s="374"/>
      <c r="T31" s="374"/>
      <c r="U31" s="374"/>
      <c r="V31" s="375"/>
      <c r="Z31" s="107"/>
    </row>
    <row r="32" spans="1:26" ht="19.5" customHeight="1" x14ac:dyDescent="0.25">
      <c r="A32" s="108"/>
      <c r="B32" s="120"/>
      <c r="C32" s="114"/>
      <c r="D32" s="113"/>
      <c r="E32" s="113"/>
      <c r="F32" s="113"/>
      <c r="G32" s="112"/>
      <c r="H32" s="119"/>
      <c r="I32" s="118"/>
      <c r="J32" s="117"/>
      <c r="K32" s="116"/>
      <c r="L32" s="110"/>
      <c r="M32" s="109"/>
      <c r="N32" s="115"/>
      <c r="O32" s="110"/>
      <c r="P32" s="109"/>
      <c r="Q32" s="114"/>
      <c r="R32" s="113"/>
      <c r="S32" s="113"/>
      <c r="T32" s="113"/>
      <c r="U32" s="113"/>
      <c r="V32" s="112"/>
      <c r="Z32" s="107"/>
    </row>
    <row r="33" spans="1:26" ht="19.5" customHeight="1" x14ac:dyDescent="0.25">
      <c r="A33" s="108"/>
      <c r="B33" s="120"/>
      <c r="C33" s="114"/>
      <c r="D33" s="113"/>
      <c r="E33" s="113"/>
      <c r="F33" s="113"/>
      <c r="G33" s="112"/>
      <c r="H33" s="119"/>
      <c r="I33" s="118"/>
      <c r="J33" s="117"/>
      <c r="K33" s="116"/>
      <c r="L33" s="110"/>
      <c r="M33" s="109"/>
      <c r="N33" s="115"/>
      <c r="O33" s="110"/>
      <c r="P33" s="109"/>
      <c r="Q33" s="114"/>
      <c r="R33" s="113"/>
      <c r="S33" s="113"/>
      <c r="T33" s="113"/>
      <c r="U33" s="113"/>
      <c r="V33" s="112"/>
      <c r="Z33" s="107"/>
    </row>
    <row r="34" spans="1:26" ht="19.5" customHeight="1" x14ac:dyDescent="0.25">
      <c r="A34" s="108"/>
      <c r="B34" s="120"/>
      <c r="C34" s="114"/>
      <c r="D34" s="113"/>
      <c r="E34" s="113"/>
      <c r="F34" s="113"/>
      <c r="G34" s="112"/>
      <c r="H34" s="119"/>
      <c r="I34" s="118"/>
      <c r="J34" s="117"/>
      <c r="K34" s="116"/>
      <c r="L34" s="110"/>
      <c r="M34" s="109"/>
      <c r="N34" s="115"/>
      <c r="O34" s="110"/>
      <c r="P34" s="109"/>
      <c r="Q34" s="114"/>
      <c r="R34" s="113"/>
      <c r="S34" s="113"/>
      <c r="T34" s="113"/>
      <c r="U34" s="113"/>
      <c r="V34" s="112"/>
      <c r="Z34" s="107"/>
    </row>
    <row r="35" spans="1:26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Z35" s="107"/>
    </row>
    <row r="36" spans="1:26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Z36" s="107"/>
    </row>
    <row r="37" spans="1:26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Z37" s="107"/>
    </row>
    <row r="38" spans="1:26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Z38" s="107"/>
    </row>
    <row r="39" spans="1:26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Z39" s="107"/>
    </row>
    <row r="40" spans="1:26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Z40" s="107"/>
    </row>
    <row r="41" spans="1:26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Z41" s="107"/>
    </row>
    <row r="42" spans="1:26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Z42" s="107"/>
    </row>
    <row r="43" spans="1:26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Z43" s="107"/>
    </row>
    <row r="44" spans="1:26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Z44" s="107"/>
    </row>
    <row r="45" spans="1:26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Z45" s="107"/>
    </row>
    <row r="46" spans="1:26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Z46" s="107"/>
    </row>
    <row r="47" spans="1:26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Z47" s="107"/>
    </row>
    <row r="48" spans="1:26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Z48" s="107"/>
    </row>
    <row r="49" spans="1:26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Z49" s="107"/>
    </row>
    <row r="50" spans="1:26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Z50" s="107"/>
    </row>
    <row r="51" spans="1:26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Z51" s="107"/>
    </row>
    <row r="52" spans="1:26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Z52" s="107"/>
    </row>
    <row r="53" spans="1:26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Z53" s="107"/>
    </row>
    <row r="54" spans="1:26" ht="19.5" customHeight="1" thickBot="1" x14ac:dyDescent="0.3">
      <c r="A54" s="108"/>
      <c r="B54" s="111"/>
      <c r="C54" s="358"/>
      <c r="D54" s="359"/>
      <c r="E54" s="359"/>
      <c r="F54" s="359"/>
      <c r="G54" s="360"/>
      <c r="H54" s="361"/>
      <c r="I54" s="362"/>
      <c r="J54" s="363"/>
      <c r="K54" s="361"/>
      <c r="L54" s="362"/>
      <c r="M54" s="363"/>
      <c r="N54" s="364"/>
      <c r="O54" s="365"/>
      <c r="P54" s="366"/>
      <c r="Q54" s="358"/>
      <c r="R54" s="359"/>
      <c r="S54" s="359"/>
      <c r="T54" s="359"/>
      <c r="U54" s="359"/>
      <c r="V54" s="360"/>
      <c r="Z54" s="107"/>
    </row>
    <row r="55" spans="1:26" ht="15.75" customHeight="1" x14ac:dyDescent="0.25">
      <c r="A55" s="108"/>
      <c r="B55" s="370" t="s">
        <v>36</v>
      </c>
      <c r="C55" s="371"/>
      <c r="D55" s="371"/>
      <c r="E55" s="371"/>
      <c r="F55" s="371"/>
      <c r="G55" s="372"/>
      <c r="H55" s="367">
        <f>AVERAGE(H25:J54)</f>
        <v>54.814285714285724</v>
      </c>
      <c r="I55" s="368"/>
      <c r="J55" s="369"/>
      <c r="K55" s="341">
        <f>AVERAGE(K25:M54)</f>
        <v>114.82857142857142</v>
      </c>
      <c r="L55" s="342"/>
      <c r="M55" s="343"/>
      <c r="N55" s="341">
        <f>AVERAGE(N25:P54)</f>
        <v>2.1714285714285717</v>
      </c>
      <c r="O55" s="342"/>
      <c r="P55" s="343"/>
      <c r="Q55" s="381">
        <v>100</v>
      </c>
      <c r="R55" s="382"/>
      <c r="S55" s="376" t="s">
        <v>38</v>
      </c>
      <c r="T55" s="376"/>
      <c r="U55" s="376"/>
      <c r="V55" s="377"/>
      <c r="Z55" s="107"/>
    </row>
    <row r="56" spans="1:26" ht="15.75" customHeight="1" x14ac:dyDescent="0.25">
      <c r="A56" s="108"/>
      <c r="B56" s="434" t="s">
        <v>39</v>
      </c>
      <c r="C56" s="435"/>
      <c r="D56" s="435"/>
      <c r="E56" s="435"/>
      <c r="F56" s="435"/>
      <c r="G56" s="436"/>
      <c r="H56" s="341">
        <f>IF(H25&lt;&gt;"",MIN(H25:J54),"")</f>
        <v>40.76</v>
      </c>
      <c r="I56" s="342"/>
      <c r="J56" s="343"/>
      <c r="K56" s="341">
        <f>IF(COUNTIF(K25:M54,"*&lt;20*"),"&lt;20",MIN(K25:M54))</f>
        <v>93.8</v>
      </c>
      <c r="L56" s="342"/>
      <c r="M56" s="343"/>
      <c r="N56" s="341">
        <f>IF(N25&lt;&gt;"",MIN(N25:P54),"")</f>
        <v>1.73</v>
      </c>
      <c r="O56" s="342"/>
      <c r="P56" s="343"/>
      <c r="Q56" s="383"/>
      <c r="R56" s="384"/>
      <c r="S56" s="278"/>
      <c r="T56" s="278"/>
      <c r="U56" s="278"/>
      <c r="V56" s="378"/>
      <c r="Z56" s="107"/>
    </row>
    <row r="57" spans="1:26" ht="15.75" customHeight="1" thickBot="1" x14ac:dyDescent="0.3">
      <c r="A57" s="108"/>
      <c r="B57" s="437" t="s">
        <v>40</v>
      </c>
      <c r="C57" s="438"/>
      <c r="D57" s="438"/>
      <c r="E57" s="438"/>
      <c r="F57" s="438"/>
      <c r="G57" s="439"/>
      <c r="H57" s="344">
        <f>IF(H25&lt;&gt;"",MAX(H25:J54),"")</f>
        <v>82.72</v>
      </c>
      <c r="I57" s="345"/>
      <c r="J57" s="346"/>
      <c r="K57" s="344">
        <f>IF(COUNTIF(K25:M54,"*&gt;250*"),"&gt;250",MAX(K25:M54))</f>
        <v>145.19999999999999</v>
      </c>
      <c r="L57" s="345"/>
      <c r="M57" s="346"/>
      <c r="N57" s="344">
        <f>IF(N25&lt;&gt;"",MAX(N25:P54),"")</f>
        <v>2.57</v>
      </c>
      <c r="O57" s="345"/>
      <c r="P57" s="346"/>
      <c r="Q57" s="385"/>
      <c r="R57" s="386"/>
      <c r="S57" s="379"/>
      <c r="T57" s="379"/>
      <c r="U57" s="379"/>
      <c r="V57" s="380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41</v>
      </c>
      <c r="B60" s="99" t="s">
        <v>42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2" customHeight="1" x14ac:dyDescent="0.25">
      <c r="A61" s="431" t="s">
        <v>43</v>
      </c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3"/>
      <c r="R61" s="352" t="s">
        <v>44</v>
      </c>
      <c r="S61" s="353"/>
      <c r="T61" s="354"/>
      <c r="U61" s="282" t="s">
        <v>13</v>
      </c>
      <c r="V61" s="283"/>
      <c r="W61" s="283"/>
      <c r="X61" s="284"/>
      <c r="Y61" s="284"/>
      <c r="Z61" s="285"/>
    </row>
    <row r="62" spans="1:26" s="76" customFormat="1" ht="15.6" customHeight="1" x14ac:dyDescent="0.25">
      <c r="A62" s="440" t="s">
        <v>53</v>
      </c>
      <c r="B62" s="441"/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2"/>
      <c r="R62" s="352" t="s">
        <v>46</v>
      </c>
      <c r="S62" s="353"/>
      <c r="T62" s="354"/>
      <c r="U62" s="292" t="s">
        <v>47</v>
      </c>
      <c r="V62" s="293"/>
      <c r="W62" s="293"/>
      <c r="X62" s="294"/>
      <c r="Y62" s="294"/>
      <c r="Z62" s="295"/>
    </row>
    <row r="63" spans="1:26" s="76" customFormat="1" ht="15.6" customHeight="1" x14ac:dyDescent="0.25">
      <c r="A63" s="443"/>
      <c r="B63" s="444"/>
      <c r="C63" s="444"/>
      <c r="D63" s="444"/>
      <c r="E63" s="444"/>
      <c r="F63" s="444"/>
      <c r="G63" s="444"/>
      <c r="H63" s="444"/>
      <c r="I63" s="444"/>
      <c r="J63" s="444"/>
      <c r="K63" s="444"/>
      <c r="L63" s="444"/>
      <c r="M63" s="444"/>
      <c r="N63" s="444"/>
      <c r="O63" s="444"/>
      <c r="P63" s="444"/>
      <c r="Q63" s="445"/>
      <c r="R63" s="352"/>
      <c r="S63" s="353"/>
      <c r="T63" s="354"/>
      <c r="U63" s="296"/>
      <c r="V63" s="278"/>
      <c r="W63" s="278"/>
      <c r="X63" s="297"/>
      <c r="Y63" s="297"/>
      <c r="Z63" s="298"/>
    </row>
    <row r="64" spans="1:26" s="76" customFormat="1" ht="15.6" customHeight="1" x14ac:dyDescent="0.25">
      <c r="A64" s="91" t="s">
        <v>48</v>
      </c>
      <c r="B64" s="90" t="s">
        <v>49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352"/>
      <c r="S64" s="353"/>
      <c r="T64" s="354"/>
      <c r="U64" s="299"/>
      <c r="V64" s="300"/>
      <c r="W64" s="300"/>
      <c r="X64" s="301"/>
      <c r="Y64" s="301"/>
      <c r="Z64" s="302"/>
    </row>
    <row r="65" spans="1:26" s="76" customFormat="1" ht="15.6" customHeight="1" x14ac:dyDescent="0.25">
      <c r="A65" s="266" t="s">
        <v>114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8"/>
      <c r="R65" s="352" t="s">
        <v>50</v>
      </c>
      <c r="S65" s="353"/>
      <c r="T65" s="354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66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352"/>
      <c r="S66" s="353"/>
      <c r="T66" s="354"/>
      <c r="U66" s="84"/>
      <c r="V66" s="278"/>
      <c r="W66" s="278"/>
      <c r="X66" s="278"/>
      <c r="Y66" s="278"/>
      <c r="Z66" s="83"/>
    </row>
    <row r="67" spans="1:26" s="76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352"/>
      <c r="S67" s="353"/>
      <c r="T67" s="354"/>
      <c r="U67" s="84"/>
      <c r="V67" s="278"/>
      <c r="W67" s="278"/>
      <c r="X67" s="278"/>
      <c r="Y67" s="278"/>
      <c r="Z67" s="83"/>
    </row>
    <row r="68" spans="1:26" s="76" customFormat="1" ht="15.6" customHeight="1" x14ac:dyDescent="0.25">
      <c r="A68" s="269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355"/>
      <c r="S68" s="356"/>
      <c r="T68" s="357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A62:Q63"/>
    <mergeCell ref="R62:T64"/>
    <mergeCell ref="U62:Z64"/>
    <mergeCell ref="C27:G27"/>
    <mergeCell ref="H27:J27"/>
    <mergeCell ref="K27:M27"/>
    <mergeCell ref="N27:P27"/>
    <mergeCell ref="Q27:V27"/>
    <mergeCell ref="C29:G29"/>
    <mergeCell ref="H29:J29"/>
    <mergeCell ref="K29:M29"/>
    <mergeCell ref="N29:P29"/>
    <mergeCell ref="Q29:V29"/>
    <mergeCell ref="C28:G28"/>
    <mergeCell ref="H28:J28"/>
    <mergeCell ref="K28:M28"/>
    <mergeCell ref="N28:P28"/>
    <mergeCell ref="Q28:V28"/>
    <mergeCell ref="C31:G31"/>
    <mergeCell ref="H31:J31"/>
    <mergeCell ref="K31:M31"/>
    <mergeCell ref="N31:P31"/>
    <mergeCell ref="Q31:V31"/>
    <mergeCell ref="A61:Q61"/>
    <mergeCell ref="R61:T61"/>
    <mergeCell ref="C26:G26"/>
    <mergeCell ref="H26:J26"/>
    <mergeCell ref="K26:M26"/>
    <mergeCell ref="N26:P26"/>
    <mergeCell ref="Q26:V26"/>
    <mergeCell ref="C30:G30"/>
    <mergeCell ref="H30:J30"/>
    <mergeCell ref="K30:M30"/>
    <mergeCell ref="N30:P30"/>
    <mergeCell ref="Q30:V30"/>
    <mergeCell ref="B56:G56"/>
    <mergeCell ref="B57:G57"/>
    <mergeCell ref="Q54:V54"/>
    <mergeCell ref="K57:M57"/>
    <mergeCell ref="U61:Z61"/>
    <mergeCell ref="N25:P25"/>
    <mergeCell ref="N23:P24"/>
    <mergeCell ref="I18:J18"/>
    <mergeCell ref="N10:R10"/>
    <mergeCell ref="G2:T4"/>
    <mergeCell ref="G5:H5"/>
    <mergeCell ref="I17:Y17"/>
    <mergeCell ref="S11:Y11"/>
    <mergeCell ref="H25:J25"/>
    <mergeCell ref="K25:M25"/>
    <mergeCell ref="B18:H18"/>
    <mergeCell ref="B23:B24"/>
    <mergeCell ref="C23:G24"/>
    <mergeCell ref="C25:G25"/>
    <mergeCell ref="H24:J24"/>
    <mergeCell ref="K24:M24"/>
    <mergeCell ref="H23:J23"/>
    <mergeCell ref="K23:M23"/>
    <mergeCell ref="B17:H17"/>
    <mergeCell ref="B12:G12"/>
    <mergeCell ref="B11:G11"/>
    <mergeCell ref="N12:R12"/>
    <mergeCell ref="H12:M12"/>
    <mergeCell ref="H11:M11"/>
    <mergeCell ref="Q23:V24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J21:P21"/>
    <mergeCell ref="N11:R11"/>
    <mergeCell ref="K55:M55"/>
    <mergeCell ref="K56:M56"/>
    <mergeCell ref="N55:P55"/>
    <mergeCell ref="N56:P56"/>
    <mergeCell ref="N57:P57"/>
    <mergeCell ref="G1:T1"/>
    <mergeCell ref="B10:G10"/>
    <mergeCell ref="S10:Y10"/>
    <mergeCell ref="A65:Q68"/>
    <mergeCell ref="R65:T68"/>
    <mergeCell ref="V66:Y67"/>
    <mergeCell ref="C54:G54"/>
    <mergeCell ref="H54:J54"/>
    <mergeCell ref="K54:M54"/>
    <mergeCell ref="N54:P54"/>
    <mergeCell ref="H57:J57"/>
    <mergeCell ref="H56:J56"/>
    <mergeCell ref="H55:J55"/>
    <mergeCell ref="B55:G55"/>
    <mergeCell ref="U1:Z6"/>
    <mergeCell ref="Q25:V25"/>
    <mergeCell ref="S55:V57"/>
    <mergeCell ref="Q55:R57"/>
    <mergeCell ref="S12:Y12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7188-5E19-4EB1-B0C7-3AB1474C8A0E}">
  <sheetPr codeName="Feuil11">
    <pageSetUpPr fitToPage="1"/>
  </sheetPr>
  <dimension ref="A1:AA76"/>
  <sheetViews>
    <sheetView workbookViewId="0">
      <selection activeCell="A65" sqref="A65:Q68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404"/>
      <c r="B1" s="405"/>
      <c r="C1" s="405"/>
      <c r="D1" s="405"/>
      <c r="E1" s="405"/>
      <c r="F1" s="406"/>
      <c r="G1" s="347" t="s">
        <v>0</v>
      </c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9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407"/>
      <c r="B2" s="408"/>
      <c r="C2" s="408"/>
      <c r="D2" s="408"/>
      <c r="E2" s="408"/>
      <c r="F2" s="409"/>
      <c r="G2" s="307" t="s">
        <v>89</v>
      </c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9"/>
      <c r="U2" s="179"/>
      <c r="V2" s="180"/>
      <c r="W2" s="180"/>
      <c r="X2" s="180"/>
      <c r="Y2" s="180"/>
      <c r="Z2" s="181"/>
    </row>
    <row r="3" spans="1:26" ht="12.75" customHeight="1" x14ac:dyDescent="0.25">
      <c r="A3" s="407"/>
      <c r="B3" s="408"/>
      <c r="C3" s="408"/>
      <c r="D3" s="408"/>
      <c r="E3" s="408"/>
      <c r="F3" s="409"/>
      <c r="G3" s="307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9"/>
      <c r="U3" s="179"/>
      <c r="V3" s="180"/>
      <c r="W3" s="180"/>
      <c r="X3" s="180"/>
      <c r="Y3" s="180"/>
      <c r="Z3" s="181"/>
    </row>
    <row r="4" spans="1:26" ht="12.75" customHeight="1" x14ac:dyDescent="0.25">
      <c r="A4" s="407"/>
      <c r="B4" s="408"/>
      <c r="C4" s="408"/>
      <c r="D4" s="408"/>
      <c r="E4" s="408"/>
      <c r="F4" s="409"/>
      <c r="G4" s="307"/>
      <c r="H4" s="308"/>
      <c r="I4" s="308"/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9"/>
      <c r="U4" s="179"/>
      <c r="V4" s="180"/>
      <c r="W4" s="180"/>
      <c r="X4" s="180"/>
      <c r="Y4" s="180"/>
      <c r="Z4" s="181"/>
    </row>
    <row r="5" spans="1:26" ht="12.75" customHeight="1" x14ac:dyDescent="0.25">
      <c r="A5" s="407"/>
      <c r="B5" s="408"/>
      <c r="C5" s="408"/>
      <c r="D5" s="408"/>
      <c r="E5" s="408"/>
      <c r="F5" s="409"/>
      <c r="G5" s="420" t="s">
        <v>88</v>
      </c>
      <c r="H5" s="421"/>
      <c r="I5" s="394">
        <v>11</v>
      </c>
      <c r="J5" s="394"/>
      <c r="K5" s="395"/>
      <c r="L5" s="397" t="s">
        <v>3</v>
      </c>
      <c r="M5" s="398"/>
      <c r="N5" s="398"/>
      <c r="O5" s="399"/>
      <c r="P5" s="400" t="s">
        <v>86</v>
      </c>
      <c r="Q5" s="401"/>
      <c r="R5" s="401"/>
      <c r="S5" s="401"/>
      <c r="T5" s="402"/>
      <c r="U5" s="179"/>
      <c r="V5" s="180"/>
      <c r="W5" s="180"/>
      <c r="X5" s="180"/>
      <c r="Y5" s="180"/>
      <c r="Z5" s="181"/>
    </row>
    <row r="6" spans="1:26" ht="12.75" customHeight="1" x14ac:dyDescent="0.25">
      <c r="A6" s="410"/>
      <c r="B6" s="411"/>
      <c r="C6" s="411"/>
      <c r="D6" s="411"/>
      <c r="E6" s="411"/>
      <c r="F6" s="412"/>
      <c r="G6" s="150"/>
      <c r="H6" s="104"/>
      <c r="I6" s="396" t="s">
        <v>5</v>
      </c>
      <c r="J6" s="396"/>
      <c r="K6" s="396"/>
      <c r="L6" s="396" t="s">
        <v>6</v>
      </c>
      <c r="M6" s="396"/>
      <c r="N6" s="396"/>
      <c r="O6" s="396"/>
      <c r="P6" s="396" t="s">
        <v>7</v>
      </c>
      <c r="Q6" s="396"/>
      <c r="R6" s="396"/>
      <c r="S6" s="396"/>
      <c r="T6" s="403"/>
      <c r="U6" s="182"/>
      <c r="V6" s="183"/>
      <c r="W6" s="183"/>
      <c r="X6" s="183"/>
      <c r="Y6" s="183"/>
      <c r="Z6" s="184"/>
    </row>
    <row r="7" spans="1:26" ht="36.6" customHeight="1" x14ac:dyDescent="0.25">
      <c r="A7" s="391" t="s">
        <v>8</v>
      </c>
      <c r="B7" s="391"/>
      <c r="C7" s="391"/>
      <c r="D7" s="391"/>
      <c r="E7" s="391"/>
      <c r="F7" s="391"/>
      <c r="G7" s="392" t="s">
        <v>9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</row>
    <row r="8" spans="1:26" ht="15.9" customHeight="1" x14ac:dyDescent="0.25">
      <c r="A8" s="128" t="s">
        <v>10</v>
      </c>
      <c r="B8" s="99" t="s">
        <v>11</v>
      </c>
      <c r="C8" s="96"/>
      <c r="D8" s="130"/>
      <c r="E8" s="130"/>
      <c r="F8" s="130"/>
      <c r="G8" s="130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50" t="s">
        <v>12</v>
      </c>
      <c r="C10" s="350"/>
      <c r="D10" s="350"/>
      <c r="E10" s="350"/>
      <c r="F10" s="350"/>
      <c r="G10" s="350"/>
      <c r="H10" s="393" t="s">
        <v>13</v>
      </c>
      <c r="I10" s="393"/>
      <c r="J10" s="393"/>
      <c r="K10" s="393"/>
      <c r="L10" s="393"/>
      <c r="M10" s="393"/>
      <c r="N10" s="350" t="s">
        <v>14</v>
      </c>
      <c r="O10" s="350"/>
      <c r="P10" s="350"/>
      <c r="Q10" s="350"/>
      <c r="R10" s="350"/>
      <c r="S10" s="351" t="s">
        <v>91</v>
      </c>
      <c r="T10" s="351"/>
      <c r="U10" s="351"/>
      <c r="V10" s="351"/>
      <c r="W10" s="351"/>
      <c r="X10" s="351"/>
      <c r="Y10" s="351"/>
      <c r="Z10" s="149"/>
    </row>
    <row r="11" spans="1:26" ht="15.9" customHeight="1" x14ac:dyDescent="0.25">
      <c r="A11" s="108"/>
      <c r="B11" s="350" t="s">
        <v>16</v>
      </c>
      <c r="C11" s="350"/>
      <c r="D11" s="350"/>
      <c r="E11" s="350"/>
      <c r="F11" s="350"/>
      <c r="G11" s="350"/>
      <c r="H11" s="393" t="s">
        <v>86</v>
      </c>
      <c r="I11" s="393"/>
      <c r="J11" s="393"/>
      <c r="K11" s="393"/>
      <c r="L11" s="393"/>
      <c r="M11" s="393"/>
      <c r="N11" s="350" t="s">
        <v>17</v>
      </c>
      <c r="O11" s="350"/>
      <c r="P11" s="350"/>
      <c r="Q11" s="350"/>
      <c r="R11" s="350"/>
      <c r="S11" s="351" t="s">
        <v>66</v>
      </c>
      <c r="T11" s="351"/>
      <c r="U11" s="351"/>
      <c r="V11" s="351"/>
      <c r="W11" s="351"/>
      <c r="X11" s="351"/>
      <c r="Y11" s="351"/>
      <c r="Z11" s="149"/>
    </row>
    <row r="12" spans="1:26" ht="15.9" customHeight="1" x14ac:dyDescent="0.25">
      <c r="A12" s="108"/>
      <c r="B12" s="350" t="s">
        <v>19</v>
      </c>
      <c r="C12" s="350"/>
      <c r="D12" s="350"/>
      <c r="E12" s="350"/>
      <c r="F12" s="350"/>
      <c r="G12" s="350"/>
      <c r="H12" s="393" t="s">
        <v>107</v>
      </c>
      <c r="I12" s="393"/>
      <c r="J12" s="393"/>
      <c r="K12" s="393"/>
      <c r="L12" s="393"/>
      <c r="M12" s="393"/>
      <c r="N12" s="350" t="s">
        <v>20</v>
      </c>
      <c r="O12" s="350"/>
      <c r="P12" s="350"/>
      <c r="Q12" s="350"/>
      <c r="R12" s="350"/>
      <c r="S12" s="351" t="s">
        <v>65</v>
      </c>
      <c r="T12" s="351"/>
      <c r="U12" s="351"/>
      <c r="V12" s="351"/>
      <c r="W12" s="351"/>
      <c r="X12" s="351"/>
      <c r="Y12" s="351"/>
      <c r="Z12" s="149"/>
    </row>
    <row r="13" spans="1:26" ht="8.25" customHeight="1" x14ac:dyDescent="0.25">
      <c r="A13" s="148"/>
      <c r="B13" s="104"/>
      <c r="C13" s="104"/>
      <c r="D13" s="147"/>
      <c r="E13" s="147"/>
      <c r="F13" s="147"/>
      <c r="G13" s="147"/>
      <c r="H13" s="104"/>
      <c r="I13" s="104"/>
      <c r="J13" s="104"/>
      <c r="K13" s="104"/>
      <c r="L13" s="104"/>
      <c r="M13" s="104"/>
      <c r="N13" s="146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4"/>
      <c r="C14" s="144"/>
      <c r="K14" s="145"/>
      <c r="L14" s="144"/>
      <c r="M14" s="143"/>
    </row>
    <row r="15" spans="1:26" s="76" customFormat="1" ht="16.2" customHeight="1" x14ac:dyDescent="0.25">
      <c r="A15" s="128" t="s">
        <v>22</v>
      </c>
      <c r="B15" s="142" t="s">
        <v>23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0"/>
    </row>
    <row r="16" spans="1:26" s="76" customFormat="1" ht="15" customHeight="1" x14ac:dyDescent="0.25">
      <c r="A16" s="137"/>
      <c r="B16" s="139"/>
      <c r="Z16" s="138"/>
    </row>
    <row r="17" spans="1:26" s="76" customFormat="1" ht="15" customHeight="1" x14ac:dyDescent="0.25">
      <c r="A17" s="137"/>
      <c r="B17" s="427" t="s">
        <v>24</v>
      </c>
      <c r="C17" s="427"/>
      <c r="D17" s="427"/>
      <c r="E17" s="427"/>
      <c r="F17" s="427"/>
      <c r="G17" s="427"/>
      <c r="H17" s="427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135"/>
    </row>
    <row r="18" spans="1:26" s="76" customFormat="1" ht="15" customHeight="1" x14ac:dyDescent="0.25">
      <c r="A18" s="137"/>
      <c r="B18" s="427" t="s">
        <v>25</v>
      </c>
      <c r="C18" s="427"/>
      <c r="D18" s="427"/>
      <c r="E18" s="427"/>
      <c r="F18" s="427"/>
      <c r="G18" s="427"/>
      <c r="H18" s="427"/>
      <c r="I18" s="419" t="s">
        <v>26</v>
      </c>
      <c r="J18" s="419"/>
      <c r="K18" s="136">
        <v>50</v>
      </c>
      <c r="L18" s="136" t="s">
        <v>27</v>
      </c>
      <c r="M18" s="136"/>
      <c r="N18" s="136"/>
      <c r="O18" s="136"/>
      <c r="P18" s="136"/>
      <c r="R18" s="136"/>
      <c r="S18" s="136"/>
      <c r="T18" s="136"/>
      <c r="U18" s="136"/>
      <c r="V18" s="136"/>
      <c r="W18" s="136"/>
      <c r="X18" s="136"/>
      <c r="Y18" s="136"/>
      <c r="Z18" s="135"/>
    </row>
    <row r="19" spans="1:26" s="76" customFormat="1" ht="13.2" customHeight="1" x14ac:dyDescent="0.25">
      <c r="A19" s="134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2"/>
    </row>
    <row r="20" spans="1:26" ht="12.75" customHeight="1" x14ac:dyDescent="0.25">
      <c r="B20" s="131"/>
      <c r="C20" s="96"/>
      <c r="D20" s="130"/>
      <c r="E20" s="130"/>
      <c r="F20" s="130"/>
      <c r="G20" s="130"/>
      <c r="H20" s="96"/>
      <c r="I20" s="96"/>
      <c r="J20" s="96"/>
      <c r="K20" s="96"/>
      <c r="L20" s="96"/>
      <c r="M20" s="96"/>
      <c r="N20" s="129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24"/>
    </row>
    <row r="21" spans="1:26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413" t="s">
        <v>30</v>
      </c>
      <c r="K21" s="413"/>
      <c r="L21" s="413"/>
      <c r="M21" s="413"/>
      <c r="N21" s="413"/>
      <c r="O21" s="413"/>
      <c r="P21" s="413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428" t="s">
        <v>31</v>
      </c>
      <c r="C23" s="387" t="s">
        <v>32</v>
      </c>
      <c r="D23" s="387"/>
      <c r="E23" s="387"/>
      <c r="F23" s="387"/>
      <c r="G23" s="388"/>
      <c r="H23" s="415" t="s">
        <v>85</v>
      </c>
      <c r="I23" s="387"/>
      <c r="J23" s="388"/>
      <c r="K23" s="415" t="s">
        <v>33</v>
      </c>
      <c r="L23" s="416"/>
      <c r="M23" s="417"/>
      <c r="N23" s="415" t="s">
        <v>84</v>
      </c>
      <c r="O23" s="416"/>
      <c r="P23" s="417"/>
      <c r="Q23" s="387" t="s">
        <v>34</v>
      </c>
      <c r="R23" s="387"/>
      <c r="S23" s="387"/>
      <c r="T23" s="387"/>
      <c r="U23" s="387"/>
      <c r="V23" s="388"/>
      <c r="Z23" s="107"/>
    </row>
    <row r="24" spans="1:26" ht="15.75" customHeight="1" x14ac:dyDescent="0.25">
      <c r="A24" s="108"/>
      <c r="B24" s="429"/>
      <c r="C24" s="389"/>
      <c r="D24" s="389"/>
      <c r="E24" s="389"/>
      <c r="F24" s="389"/>
      <c r="G24" s="390"/>
      <c r="H24" s="430" t="s">
        <v>35</v>
      </c>
      <c r="I24" s="389"/>
      <c r="J24" s="390"/>
      <c r="K24" s="430" t="s">
        <v>35</v>
      </c>
      <c r="L24" s="368"/>
      <c r="M24" s="369"/>
      <c r="N24" s="418"/>
      <c r="O24" s="368"/>
      <c r="P24" s="369"/>
      <c r="Q24" s="389"/>
      <c r="R24" s="389"/>
      <c r="S24" s="389"/>
      <c r="T24" s="389"/>
      <c r="U24" s="389"/>
      <c r="V24" s="390"/>
      <c r="Z24" s="107"/>
    </row>
    <row r="25" spans="1:26" ht="19.5" customHeight="1" x14ac:dyDescent="0.25">
      <c r="A25" s="108"/>
      <c r="B25" s="121">
        <v>1</v>
      </c>
      <c r="C25" s="373"/>
      <c r="D25" s="374"/>
      <c r="E25" s="374"/>
      <c r="F25" s="374"/>
      <c r="G25" s="375"/>
      <c r="H25" s="423">
        <v>45.73</v>
      </c>
      <c r="I25" s="424"/>
      <c r="J25" s="425"/>
      <c r="K25" s="426">
        <v>132.30000000000001</v>
      </c>
      <c r="L25" s="342"/>
      <c r="M25" s="343"/>
      <c r="N25" s="414">
        <v>2.89</v>
      </c>
      <c r="O25" s="342"/>
      <c r="P25" s="343"/>
      <c r="Q25" s="373"/>
      <c r="R25" s="374"/>
      <c r="S25" s="374"/>
      <c r="T25" s="374"/>
      <c r="U25" s="374"/>
      <c r="V25" s="375"/>
      <c r="Z25" s="107"/>
    </row>
    <row r="26" spans="1:26" ht="19.5" customHeight="1" x14ac:dyDescent="0.25">
      <c r="A26" s="108"/>
      <c r="B26" s="121">
        <v>2</v>
      </c>
      <c r="C26" s="373"/>
      <c r="D26" s="374"/>
      <c r="E26" s="374"/>
      <c r="F26" s="374"/>
      <c r="G26" s="375"/>
      <c r="H26" s="423">
        <v>62.5</v>
      </c>
      <c r="I26" s="424"/>
      <c r="J26" s="425"/>
      <c r="K26" s="426">
        <v>140.6</v>
      </c>
      <c r="L26" s="342"/>
      <c r="M26" s="343"/>
      <c r="N26" s="414">
        <v>2.25</v>
      </c>
      <c r="O26" s="342"/>
      <c r="P26" s="343"/>
      <c r="Q26" s="373"/>
      <c r="R26" s="374"/>
      <c r="S26" s="374"/>
      <c r="T26" s="374"/>
      <c r="U26" s="374"/>
      <c r="V26" s="375"/>
      <c r="Z26" s="107"/>
    </row>
    <row r="27" spans="1:26" ht="19.5" customHeight="1" x14ac:dyDescent="0.25">
      <c r="A27" s="108"/>
      <c r="B27" s="121">
        <v>3</v>
      </c>
      <c r="C27" s="373"/>
      <c r="D27" s="374"/>
      <c r="E27" s="374"/>
      <c r="F27" s="374"/>
      <c r="G27" s="375"/>
      <c r="H27" s="423">
        <v>39.89</v>
      </c>
      <c r="I27" s="424"/>
      <c r="J27" s="425"/>
      <c r="K27" s="426">
        <v>140.6</v>
      </c>
      <c r="L27" s="342"/>
      <c r="M27" s="343"/>
      <c r="N27" s="414">
        <v>3.53</v>
      </c>
      <c r="O27" s="342"/>
      <c r="P27" s="343"/>
      <c r="Q27" s="373"/>
      <c r="R27" s="374"/>
      <c r="S27" s="374"/>
      <c r="T27" s="374"/>
      <c r="U27" s="374"/>
      <c r="V27" s="375"/>
      <c r="Z27" s="107"/>
    </row>
    <row r="28" spans="1:26" ht="19.5" customHeight="1" x14ac:dyDescent="0.25">
      <c r="A28" s="108"/>
      <c r="B28" s="121">
        <v>4</v>
      </c>
      <c r="C28" s="373"/>
      <c r="D28" s="374"/>
      <c r="E28" s="374"/>
      <c r="F28" s="374"/>
      <c r="G28" s="375"/>
      <c r="H28" s="423">
        <v>53.57</v>
      </c>
      <c r="I28" s="424"/>
      <c r="J28" s="425"/>
      <c r="K28" s="426">
        <v>109.8</v>
      </c>
      <c r="L28" s="342"/>
      <c r="M28" s="343"/>
      <c r="N28" s="414">
        <v>2.0499999999999998</v>
      </c>
      <c r="O28" s="342"/>
      <c r="P28" s="343"/>
      <c r="Q28" s="373"/>
      <c r="R28" s="374"/>
      <c r="S28" s="374"/>
      <c r="T28" s="374"/>
      <c r="U28" s="374"/>
      <c r="V28" s="375"/>
      <c r="Z28" s="107"/>
    </row>
    <row r="29" spans="1:26" ht="19.5" customHeight="1" x14ac:dyDescent="0.25">
      <c r="A29" s="108"/>
      <c r="B29" s="121">
        <v>5</v>
      </c>
      <c r="C29" s="373"/>
      <c r="D29" s="374"/>
      <c r="E29" s="374"/>
      <c r="F29" s="374"/>
      <c r="G29" s="375"/>
      <c r="H29" s="423">
        <v>66.959999999999994</v>
      </c>
      <c r="I29" s="424"/>
      <c r="J29" s="425"/>
      <c r="K29" s="426">
        <v>118.4</v>
      </c>
      <c r="L29" s="342"/>
      <c r="M29" s="343"/>
      <c r="N29" s="414">
        <v>1.77</v>
      </c>
      <c r="O29" s="342"/>
      <c r="P29" s="343"/>
      <c r="Q29" s="373"/>
      <c r="R29" s="374"/>
      <c r="S29" s="374"/>
      <c r="T29" s="374"/>
      <c r="U29" s="374"/>
      <c r="V29" s="375"/>
      <c r="Z29" s="107"/>
    </row>
    <row r="30" spans="1:26" ht="19.5" customHeight="1" x14ac:dyDescent="0.25">
      <c r="A30" s="108"/>
      <c r="B30" s="121">
        <v>6</v>
      </c>
      <c r="C30" s="373"/>
      <c r="D30" s="374"/>
      <c r="E30" s="374"/>
      <c r="F30" s="374"/>
      <c r="G30" s="375"/>
      <c r="H30" s="423">
        <v>43.27</v>
      </c>
      <c r="I30" s="424"/>
      <c r="J30" s="425"/>
      <c r="K30" s="426">
        <v>109.8</v>
      </c>
      <c r="L30" s="342"/>
      <c r="M30" s="343"/>
      <c r="N30" s="414">
        <v>2.54</v>
      </c>
      <c r="O30" s="342"/>
      <c r="P30" s="343"/>
      <c r="Q30" s="373"/>
      <c r="R30" s="374"/>
      <c r="S30" s="374"/>
      <c r="T30" s="374"/>
      <c r="U30" s="374"/>
      <c r="V30" s="375"/>
      <c r="Z30" s="107"/>
    </row>
    <row r="31" spans="1:26" ht="19.5" customHeight="1" x14ac:dyDescent="0.25">
      <c r="A31" s="108"/>
      <c r="B31" s="121">
        <v>7</v>
      </c>
      <c r="C31" s="373"/>
      <c r="D31" s="374"/>
      <c r="E31" s="374"/>
      <c r="F31" s="374"/>
      <c r="G31" s="375"/>
      <c r="H31" s="423">
        <v>48.91</v>
      </c>
      <c r="I31" s="424"/>
      <c r="J31" s="425"/>
      <c r="K31" s="426">
        <v>125</v>
      </c>
      <c r="L31" s="342"/>
      <c r="M31" s="343"/>
      <c r="N31" s="414">
        <v>2.56</v>
      </c>
      <c r="O31" s="342"/>
      <c r="P31" s="343"/>
      <c r="Q31" s="373"/>
      <c r="R31" s="374"/>
      <c r="S31" s="374"/>
      <c r="T31" s="374"/>
      <c r="U31" s="374"/>
      <c r="V31" s="375"/>
      <c r="Z31" s="107"/>
    </row>
    <row r="32" spans="1:26" ht="19.5" customHeight="1" x14ac:dyDescent="0.25">
      <c r="A32" s="108"/>
      <c r="B32" s="121">
        <v>8</v>
      </c>
      <c r="C32" s="373"/>
      <c r="D32" s="374"/>
      <c r="E32" s="374"/>
      <c r="F32" s="374"/>
      <c r="G32" s="375"/>
      <c r="H32" s="423">
        <v>46.11</v>
      </c>
      <c r="I32" s="424"/>
      <c r="J32" s="425"/>
      <c r="K32" s="426">
        <v>132.30000000000001</v>
      </c>
      <c r="L32" s="342"/>
      <c r="M32" s="343"/>
      <c r="N32" s="414">
        <v>2.87</v>
      </c>
      <c r="O32" s="342"/>
      <c r="P32" s="343"/>
      <c r="Q32" s="373"/>
      <c r="R32" s="374"/>
      <c r="S32" s="374"/>
      <c r="T32" s="374"/>
      <c r="U32" s="374"/>
      <c r="V32" s="375"/>
      <c r="Z32" s="107"/>
    </row>
    <row r="33" spans="1:26" ht="19.5" customHeight="1" x14ac:dyDescent="0.25">
      <c r="A33" s="108"/>
      <c r="B33" s="121">
        <v>9</v>
      </c>
      <c r="C33" s="373"/>
      <c r="D33" s="374"/>
      <c r="E33" s="374"/>
      <c r="F33" s="374"/>
      <c r="G33" s="375"/>
      <c r="H33" s="423">
        <v>78.13</v>
      </c>
      <c r="I33" s="424"/>
      <c r="J33" s="425"/>
      <c r="K33" s="426">
        <v>125</v>
      </c>
      <c r="L33" s="342"/>
      <c r="M33" s="343"/>
      <c r="N33" s="414">
        <v>1.6</v>
      </c>
      <c r="O33" s="342"/>
      <c r="P33" s="343"/>
      <c r="Q33" s="373"/>
      <c r="R33" s="374"/>
      <c r="S33" s="374"/>
      <c r="T33" s="374"/>
      <c r="U33" s="374"/>
      <c r="V33" s="375"/>
      <c r="Z33" s="107"/>
    </row>
    <row r="34" spans="1:26" ht="19.5" customHeight="1" x14ac:dyDescent="0.25">
      <c r="A34" s="108"/>
      <c r="B34" s="121">
        <v>10</v>
      </c>
      <c r="C34" s="373"/>
      <c r="D34" s="374"/>
      <c r="E34" s="374"/>
      <c r="F34" s="374"/>
      <c r="G34" s="375"/>
      <c r="H34" s="423">
        <v>57.99</v>
      </c>
      <c r="I34" s="424"/>
      <c r="J34" s="425"/>
      <c r="K34" s="426">
        <v>125</v>
      </c>
      <c r="L34" s="342"/>
      <c r="M34" s="343"/>
      <c r="N34" s="414">
        <v>2.16</v>
      </c>
      <c r="O34" s="342"/>
      <c r="P34" s="343"/>
      <c r="Q34" s="373"/>
      <c r="R34" s="374"/>
      <c r="S34" s="374"/>
      <c r="T34" s="374"/>
      <c r="U34" s="374"/>
      <c r="V34" s="375"/>
      <c r="Z34" s="107"/>
    </row>
    <row r="35" spans="1:26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Z35" s="107"/>
    </row>
    <row r="36" spans="1:26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Z36" s="107"/>
    </row>
    <row r="37" spans="1:26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Z37" s="107"/>
    </row>
    <row r="38" spans="1:26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Z38" s="107"/>
    </row>
    <row r="39" spans="1:26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Z39" s="107"/>
    </row>
    <row r="40" spans="1:26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Z40" s="107"/>
    </row>
    <row r="41" spans="1:26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Z41" s="107"/>
    </row>
    <row r="42" spans="1:26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Z42" s="107"/>
    </row>
    <row r="43" spans="1:26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Z43" s="107"/>
    </row>
    <row r="44" spans="1:26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Z44" s="107"/>
    </row>
    <row r="45" spans="1:26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Z45" s="107"/>
    </row>
    <row r="46" spans="1:26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Z46" s="107"/>
    </row>
    <row r="47" spans="1:26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Z47" s="107"/>
    </row>
    <row r="48" spans="1:26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Z48" s="107"/>
    </row>
    <row r="49" spans="1:26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Z49" s="107"/>
    </row>
    <row r="50" spans="1:26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Z50" s="107"/>
    </row>
    <row r="51" spans="1:26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Z51" s="107"/>
    </row>
    <row r="52" spans="1:26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Z52" s="107"/>
    </row>
    <row r="53" spans="1:26" ht="19.5" customHeight="1" x14ac:dyDescent="0.25">
      <c r="A53" s="108"/>
      <c r="B53" s="152"/>
      <c r="C53" s="455"/>
      <c r="D53" s="456"/>
      <c r="E53" s="456"/>
      <c r="F53" s="456"/>
      <c r="G53" s="457"/>
      <c r="H53" s="458"/>
      <c r="I53" s="459"/>
      <c r="J53" s="460"/>
      <c r="K53" s="458"/>
      <c r="L53" s="459"/>
      <c r="M53" s="460"/>
      <c r="N53" s="461"/>
      <c r="O53" s="462"/>
      <c r="P53" s="463"/>
      <c r="Q53" s="455"/>
      <c r="R53" s="456"/>
      <c r="S53" s="456"/>
      <c r="T53" s="456"/>
      <c r="U53" s="456"/>
      <c r="V53" s="457"/>
      <c r="Z53" s="107"/>
    </row>
    <row r="54" spans="1:26" ht="19.5" customHeight="1" thickBot="1" x14ac:dyDescent="0.3">
      <c r="A54" s="108"/>
      <c r="B54" s="151"/>
      <c r="C54" s="447"/>
      <c r="D54" s="447"/>
      <c r="E54" s="447"/>
      <c r="F54" s="447"/>
      <c r="G54" s="448"/>
      <c r="H54" s="449"/>
      <c r="I54" s="450"/>
      <c r="J54" s="451"/>
      <c r="K54" s="449"/>
      <c r="L54" s="450"/>
      <c r="M54" s="451"/>
      <c r="N54" s="452"/>
      <c r="O54" s="453"/>
      <c r="P54" s="454"/>
      <c r="Q54" s="446"/>
      <c r="R54" s="447"/>
      <c r="S54" s="447"/>
      <c r="T54" s="447"/>
      <c r="U54" s="447"/>
      <c r="V54" s="448"/>
      <c r="Z54" s="107"/>
    </row>
    <row r="55" spans="1:26" ht="15.75" customHeight="1" x14ac:dyDescent="0.25">
      <c r="A55" s="108"/>
      <c r="B55" s="370" t="s">
        <v>36</v>
      </c>
      <c r="C55" s="371"/>
      <c r="D55" s="371"/>
      <c r="E55" s="371"/>
      <c r="F55" s="371"/>
      <c r="G55" s="372"/>
      <c r="H55" s="367">
        <f>AVERAGE(H25:J54)</f>
        <v>54.305999999999997</v>
      </c>
      <c r="I55" s="368"/>
      <c r="J55" s="369"/>
      <c r="K55" s="341">
        <f>AVERAGE(K25:M54)</f>
        <v>125.88</v>
      </c>
      <c r="L55" s="342"/>
      <c r="M55" s="343"/>
      <c r="N55" s="341">
        <f>AVERAGE(N25:P54)</f>
        <v>2.4219999999999997</v>
      </c>
      <c r="O55" s="342"/>
      <c r="P55" s="343"/>
      <c r="Q55" s="381">
        <v>100</v>
      </c>
      <c r="R55" s="382"/>
      <c r="S55" s="376" t="s">
        <v>38</v>
      </c>
      <c r="T55" s="376"/>
      <c r="U55" s="376"/>
      <c r="V55" s="377"/>
      <c r="Z55" s="107"/>
    </row>
    <row r="56" spans="1:26" ht="15.75" customHeight="1" x14ac:dyDescent="0.25">
      <c r="A56" s="108"/>
      <c r="B56" s="434" t="s">
        <v>39</v>
      </c>
      <c r="C56" s="435"/>
      <c r="D56" s="435"/>
      <c r="E56" s="435"/>
      <c r="F56" s="435"/>
      <c r="G56" s="436"/>
      <c r="H56" s="341">
        <f>IF(H25&lt;&gt;"",MIN(H25:J54),"")</f>
        <v>39.89</v>
      </c>
      <c r="I56" s="342"/>
      <c r="J56" s="343"/>
      <c r="K56" s="341">
        <f>IF(COUNTIF(K25:M54,"*&lt;20*"),"&lt;20",MIN(K25:M54))</f>
        <v>109.8</v>
      </c>
      <c r="L56" s="342"/>
      <c r="M56" s="343"/>
      <c r="N56" s="341">
        <f>IF(N25&lt;&gt;"",MIN(N25:P54),"")</f>
        <v>1.6</v>
      </c>
      <c r="O56" s="342"/>
      <c r="P56" s="343"/>
      <c r="Q56" s="383"/>
      <c r="R56" s="384"/>
      <c r="S56" s="278"/>
      <c r="T56" s="278"/>
      <c r="U56" s="278"/>
      <c r="V56" s="378"/>
      <c r="Z56" s="107"/>
    </row>
    <row r="57" spans="1:26" ht="15.75" customHeight="1" thickBot="1" x14ac:dyDescent="0.3">
      <c r="A57" s="108"/>
      <c r="B57" s="437" t="s">
        <v>40</v>
      </c>
      <c r="C57" s="438"/>
      <c r="D57" s="438"/>
      <c r="E57" s="438"/>
      <c r="F57" s="438"/>
      <c r="G57" s="439"/>
      <c r="H57" s="344">
        <f>IF(H25&lt;&gt;"",MAX(H25:J54),"")</f>
        <v>78.13</v>
      </c>
      <c r="I57" s="345"/>
      <c r="J57" s="346"/>
      <c r="K57" s="344">
        <f>IF(COUNTIF(K25:M54,"*&gt;250*"),"&gt;250",MAX(K25:M54))</f>
        <v>140.6</v>
      </c>
      <c r="L57" s="345"/>
      <c r="M57" s="346"/>
      <c r="N57" s="344">
        <f>IF(N25&lt;&gt;"",MAX(N25:P54),"")</f>
        <v>3.53</v>
      </c>
      <c r="O57" s="345"/>
      <c r="P57" s="346"/>
      <c r="Q57" s="385"/>
      <c r="R57" s="386"/>
      <c r="S57" s="379"/>
      <c r="T57" s="379"/>
      <c r="U57" s="379"/>
      <c r="V57" s="380"/>
      <c r="Z57" s="107"/>
    </row>
    <row r="58" spans="1:26" ht="15.9" customHeight="1" x14ac:dyDescent="0.25">
      <c r="A58" s="106"/>
      <c r="B58" s="105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3"/>
    </row>
    <row r="59" spans="1:26" ht="12.75" customHeight="1" x14ac:dyDescent="0.25">
      <c r="A59" s="102"/>
      <c r="B59" s="101"/>
    </row>
    <row r="60" spans="1:26" s="76" customFormat="1" ht="15.6" customHeight="1" x14ac:dyDescent="0.25">
      <c r="A60" s="100" t="s">
        <v>41</v>
      </c>
      <c r="B60" s="99" t="s">
        <v>42</v>
      </c>
      <c r="C60" s="98"/>
      <c r="D60" s="98"/>
      <c r="E60" s="98"/>
      <c r="F60" s="97"/>
      <c r="G60" s="97"/>
      <c r="H60" s="97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5"/>
      <c r="V60" s="94"/>
      <c r="W60" s="94"/>
      <c r="X60" s="93"/>
      <c r="Y60" s="93"/>
      <c r="Z60" s="92"/>
    </row>
    <row r="61" spans="1:26" s="76" customFormat="1" ht="28.5" customHeight="1" x14ac:dyDescent="0.25">
      <c r="A61" s="431" t="s">
        <v>43</v>
      </c>
      <c r="B61" s="432"/>
      <c r="C61" s="432"/>
      <c r="D61" s="432"/>
      <c r="E61" s="432"/>
      <c r="F61" s="432"/>
      <c r="G61" s="432"/>
      <c r="H61" s="432"/>
      <c r="I61" s="432"/>
      <c r="J61" s="432"/>
      <c r="K61" s="432"/>
      <c r="L61" s="432"/>
      <c r="M61" s="432"/>
      <c r="N61" s="432"/>
      <c r="O61" s="432"/>
      <c r="P61" s="432"/>
      <c r="Q61" s="433"/>
      <c r="R61" s="352" t="s">
        <v>44</v>
      </c>
      <c r="S61" s="353"/>
      <c r="T61" s="354"/>
      <c r="U61" s="282" t="s">
        <v>13</v>
      </c>
      <c r="V61" s="283"/>
      <c r="W61" s="283"/>
      <c r="X61" s="284"/>
      <c r="Y61" s="284"/>
      <c r="Z61" s="285"/>
    </row>
    <row r="62" spans="1:26" s="76" customFormat="1" ht="15.6" customHeight="1" x14ac:dyDescent="0.25">
      <c r="A62" s="440" t="s">
        <v>53</v>
      </c>
      <c r="B62" s="441"/>
      <c r="C62" s="441"/>
      <c r="D62" s="441"/>
      <c r="E62" s="441"/>
      <c r="F62" s="441"/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2"/>
      <c r="R62" s="352" t="s">
        <v>46</v>
      </c>
      <c r="S62" s="353"/>
      <c r="T62" s="354"/>
      <c r="U62" s="292" t="s">
        <v>47</v>
      </c>
      <c r="V62" s="293"/>
      <c r="W62" s="293"/>
      <c r="X62" s="294"/>
      <c r="Y62" s="294"/>
      <c r="Z62" s="295"/>
    </row>
    <row r="63" spans="1:26" s="76" customFormat="1" ht="15.6" customHeight="1" x14ac:dyDescent="0.25">
      <c r="A63" s="443"/>
      <c r="B63" s="444"/>
      <c r="C63" s="444"/>
      <c r="D63" s="444"/>
      <c r="E63" s="444"/>
      <c r="F63" s="444"/>
      <c r="G63" s="444"/>
      <c r="H63" s="444"/>
      <c r="I63" s="444"/>
      <c r="J63" s="444"/>
      <c r="K63" s="444"/>
      <c r="L63" s="444"/>
      <c r="M63" s="444"/>
      <c r="N63" s="444"/>
      <c r="O63" s="444"/>
      <c r="P63" s="444"/>
      <c r="Q63" s="445"/>
      <c r="R63" s="352"/>
      <c r="S63" s="353"/>
      <c r="T63" s="354"/>
      <c r="U63" s="296"/>
      <c r="V63" s="278"/>
      <c r="W63" s="278"/>
      <c r="X63" s="297"/>
      <c r="Y63" s="297"/>
      <c r="Z63" s="298"/>
    </row>
    <row r="64" spans="1:26" s="76" customFormat="1" ht="15.6" customHeight="1" x14ac:dyDescent="0.25">
      <c r="A64" s="91" t="s">
        <v>48</v>
      </c>
      <c r="B64" s="90" t="s">
        <v>49</v>
      </c>
      <c r="C64" s="74"/>
      <c r="D64" s="74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8"/>
      <c r="R64" s="352"/>
      <c r="S64" s="353"/>
      <c r="T64" s="354"/>
      <c r="U64" s="299"/>
      <c r="V64" s="300"/>
      <c r="W64" s="300"/>
      <c r="X64" s="301"/>
      <c r="Y64" s="301"/>
      <c r="Z64" s="302"/>
    </row>
    <row r="65" spans="1:26" s="76" customFormat="1" ht="15.6" customHeight="1" x14ac:dyDescent="0.25">
      <c r="A65" s="266" t="s">
        <v>114</v>
      </c>
      <c r="B65" s="267"/>
      <c r="C65" s="267"/>
      <c r="D65" s="267"/>
      <c r="E65" s="267"/>
      <c r="F65" s="267"/>
      <c r="G65" s="267"/>
      <c r="H65" s="267"/>
      <c r="I65" s="267"/>
      <c r="J65" s="267"/>
      <c r="K65" s="267"/>
      <c r="L65" s="267"/>
      <c r="M65" s="267"/>
      <c r="N65" s="267"/>
      <c r="O65" s="267"/>
      <c r="P65" s="267"/>
      <c r="Q65" s="268"/>
      <c r="R65" s="352" t="s">
        <v>50</v>
      </c>
      <c r="S65" s="353"/>
      <c r="T65" s="354"/>
      <c r="U65" s="87"/>
      <c r="V65" s="86"/>
      <c r="W65" s="86"/>
      <c r="X65" s="86"/>
      <c r="Y65" s="86"/>
      <c r="Z65" s="85"/>
    </row>
    <row r="66" spans="1:26" s="76" customFormat="1" ht="15.6" customHeight="1" x14ac:dyDescent="0.25">
      <c r="A66" s="266"/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352"/>
      <c r="S66" s="353"/>
      <c r="T66" s="354"/>
      <c r="U66" s="84"/>
      <c r="V66" s="278"/>
      <c r="W66" s="278"/>
      <c r="X66" s="278"/>
      <c r="Y66" s="278"/>
      <c r="Z66" s="83"/>
    </row>
    <row r="67" spans="1:26" s="76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352"/>
      <c r="S67" s="353"/>
      <c r="T67" s="354"/>
      <c r="U67" s="84"/>
      <c r="V67" s="278"/>
      <c r="W67" s="278"/>
      <c r="X67" s="278"/>
      <c r="Y67" s="278"/>
      <c r="Z67" s="83"/>
    </row>
    <row r="68" spans="1:26" s="76" customFormat="1" ht="15.6" customHeight="1" x14ac:dyDescent="0.25">
      <c r="A68" s="269"/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1"/>
      <c r="R68" s="355"/>
      <c r="S68" s="356"/>
      <c r="T68" s="357"/>
      <c r="U68" s="82"/>
      <c r="V68" s="81"/>
      <c r="W68" s="81"/>
      <c r="X68" s="81"/>
      <c r="Y68" s="81"/>
      <c r="Z68" s="80"/>
    </row>
    <row r="69" spans="1:26" s="76" customFormat="1" ht="15" customHeight="1" x14ac:dyDescent="0.25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8"/>
      <c r="S69" s="78"/>
      <c r="T69" s="78"/>
      <c r="U69" s="77"/>
      <c r="V69" s="77"/>
      <c r="W69" s="77"/>
      <c r="X69" s="77"/>
      <c r="Y69" s="77"/>
      <c r="Z69" s="77"/>
    </row>
    <row r="71" spans="1:26" ht="12.75" customHeight="1" x14ac:dyDescent="0.25">
      <c r="A71" s="74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Q33:V33"/>
    <mergeCell ref="C32:G32"/>
    <mergeCell ref="H32:J32"/>
    <mergeCell ref="K32:M32"/>
    <mergeCell ref="N32:P32"/>
    <mergeCell ref="Q32:V32"/>
    <mergeCell ref="C53:G53"/>
    <mergeCell ref="H53:J53"/>
    <mergeCell ref="K53:M53"/>
    <mergeCell ref="N53:P53"/>
    <mergeCell ref="Q53:V53"/>
    <mergeCell ref="C34:G34"/>
    <mergeCell ref="H34:J34"/>
    <mergeCell ref="K34:M34"/>
    <mergeCell ref="N34:P34"/>
    <mergeCell ref="Q34:V34"/>
    <mergeCell ref="U61:Z61"/>
    <mergeCell ref="A62:Q63"/>
    <mergeCell ref="R62:T64"/>
    <mergeCell ref="U62:Z64"/>
    <mergeCell ref="C27:G27"/>
    <mergeCell ref="H27:J27"/>
    <mergeCell ref="K27:M27"/>
    <mergeCell ref="N27:P27"/>
    <mergeCell ref="Q27:V27"/>
    <mergeCell ref="C29:G29"/>
    <mergeCell ref="H29:J29"/>
    <mergeCell ref="K29:M29"/>
    <mergeCell ref="N29:P29"/>
    <mergeCell ref="Q29:V29"/>
    <mergeCell ref="C28:G28"/>
    <mergeCell ref="H28:J28"/>
    <mergeCell ref="K28:M28"/>
    <mergeCell ref="N28:P28"/>
    <mergeCell ref="Q28:V28"/>
    <mergeCell ref="C31:G31"/>
    <mergeCell ref="H31:J31"/>
    <mergeCell ref="K31:M31"/>
    <mergeCell ref="N31:P31"/>
    <mergeCell ref="Q31:V31"/>
    <mergeCell ref="K23:M23"/>
    <mergeCell ref="B17:H17"/>
    <mergeCell ref="B12:G12"/>
    <mergeCell ref="B11:G11"/>
    <mergeCell ref="N12:R12"/>
    <mergeCell ref="H12:M12"/>
    <mergeCell ref="H11:M11"/>
    <mergeCell ref="N11:R11"/>
    <mergeCell ref="A61:Q61"/>
    <mergeCell ref="R61:T61"/>
    <mergeCell ref="C26:G26"/>
    <mergeCell ref="H26:J26"/>
    <mergeCell ref="K26:M26"/>
    <mergeCell ref="N26:P26"/>
    <mergeCell ref="Q26:V26"/>
    <mergeCell ref="C30:G30"/>
    <mergeCell ref="H30:J30"/>
    <mergeCell ref="K30:M30"/>
    <mergeCell ref="N30:P30"/>
    <mergeCell ref="Q30:V30"/>
    <mergeCell ref="C33:G33"/>
    <mergeCell ref="H33:J33"/>
    <mergeCell ref="K33:M33"/>
    <mergeCell ref="N33:P33"/>
    <mergeCell ref="I6:K6"/>
    <mergeCell ref="L5:O5"/>
    <mergeCell ref="P5:T5"/>
    <mergeCell ref="L6:O6"/>
    <mergeCell ref="P6:T6"/>
    <mergeCell ref="A1:F6"/>
    <mergeCell ref="J21:P21"/>
    <mergeCell ref="N25:P25"/>
    <mergeCell ref="N23:P24"/>
    <mergeCell ref="I18:J18"/>
    <mergeCell ref="N10:R10"/>
    <mergeCell ref="G2:T4"/>
    <mergeCell ref="G5:H5"/>
    <mergeCell ref="I17:Y17"/>
    <mergeCell ref="S11:Y11"/>
    <mergeCell ref="H25:J25"/>
    <mergeCell ref="K25:M25"/>
    <mergeCell ref="B18:H18"/>
    <mergeCell ref="B23:B24"/>
    <mergeCell ref="C23:G24"/>
    <mergeCell ref="C25:G25"/>
    <mergeCell ref="H24:J24"/>
    <mergeCell ref="K24:M24"/>
    <mergeCell ref="H23:J23"/>
    <mergeCell ref="G1:T1"/>
    <mergeCell ref="B10:G10"/>
    <mergeCell ref="S10:Y10"/>
    <mergeCell ref="A65:Q68"/>
    <mergeCell ref="R65:T68"/>
    <mergeCell ref="V66:Y67"/>
    <mergeCell ref="C54:G54"/>
    <mergeCell ref="H54:J54"/>
    <mergeCell ref="K54:M54"/>
    <mergeCell ref="N54:P54"/>
    <mergeCell ref="H57:J57"/>
    <mergeCell ref="H56:J56"/>
    <mergeCell ref="H55:J55"/>
    <mergeCell ref="B55:G55"/>
    <mergeCell ref="U1:Z6"/>
    <mergeCell ref="Q25:V25"/>
    <mergeCell ref="S55:V57"/>
    <mergeCell ref="Q55:R57"/>
    <mergeCell ref="S12:Y12"/>
    <mergeCell ref="Q23:V24"/>
    <mergeCell ref="A7:F7"/>
    <mergeCell ref="G7:Z7"/>
    <mergeCell ref="H10:M10"/>
    <mergeCell ref="I5:K5"/>
    <mergeCell ref="B56:G56"/>
    <mergeCell ref="B57:G57"/>
    <mergeCell ref="Q54:V54"/>
    <mergeCell ref="K57:M57"/>
    <mergeCell ref="K55:M55"/>
    <mergeCell ref="K56:M56"/>
    <mergeCell ref="N55:P55"/>
    <mergeCell ref="N56:P56"/>
    <mergeCell ref="N57:P57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8629-7A6C-4053-934F-E57A682270B2}">
  <sheetPr>
    <pageSetUpPr fitToPage="1"/>
  </sheetPr>
  <dimension ref="A1:AA77"/>
  <sheetViews>
    <sheetView workbookViewId="0">
      <selection activeCell="AE55" sqref="AE55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404"/>
      <c r="B1" s="405"/>
      <c r="C1" s="405"/>
      <c r="D1" s="405"/>
      <c r="E1" s="405"/>
      <c r="F1" s="406"/>
      <c r="G1" s="347" t="s">
        <v>0</v>
      </c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9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407"/>
      <c r="B2" s="408"/>
      <c r="C2" s="408"/>
      <c r="D2" s="408"/>
      <c r="E2" s="408"/>
      <c r="F2" s="409"/>
      <c r="G2" s="185" t="s">
        <v>92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40"/>
      <c r="U2" s="179"/>
      <c r="V2" s="180"/>
      <c r="W2" s="180"/>
      <c r="X2" s="180"/>
      <c r="Y2" s="180"/>
      <c r="Z2" s="181"/>
    </row>
    <row r="3" spans="1:26" ht="12.75" customHeight="1" x14ac:dyDescent="0.25">
      <c r="A3" s="407"/>
      <c r="B3" s="408"/>
      <c r="C3" s="408"/>
      <c r="D3" s="408"/>
      <c r="E3" s="408"/>
      <c r="F3" s="409"/>
      <c r="G3" s="185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40"/>
      <c r="U3" s="179"/>
      <c r="V3" s="180"/>
      <c r="W3" s="180"/>
      <c r="X3" s="180"/>
      <c r="Y3" s="180"/>
      <c r="Z3" s="181"/>
    </row>
    <row r="4" spans="1:26" ht="12.75" customHeight="1" x14ac:dyDescent="0.25">
      <c r="A4" s="407"/>
      <c r="B4" s="408"/>
      <c r="C4" s="408"/>
      <c r="D4" s="408"/>
      <c r="E4" s="408"/>
      <c r="F4" s="409"/>
      <c r="G4" s="185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40"/>
      <c r="U4" s="179"/>
      <c r="V4" s="180"/>
      <c r="W4" s="180"/>
      <c r="X4" s="180"/>
      <c r="Y4" s="180"/>
      <c r="Z4" s="181"/>
    </row>
    <row r="5" spans="1:26" ht="12.75" customHeight="1" x14ac:dyDescent="0.25">
      <c r="A5" s="407"/>
      <c r="B5" s="408"/>
      <c r="C5" s="408"/>
      <c r="D5" s="408"/>
      <c r="E5" s="408"/>
      <c r="F5" s="409"/>
      <c r="G5" s="420" t="s">
        <v>88</v>
      </c>
      <c r="H5" s="421"/>
      <c r="I5" s="394">
        <v>10</v>
      </c>
      <c r="J5" s="394"/>
      <c r="K5" s="395"/>
      <c r="L5" s="397" t="s">
        <v>3</v>
      </c>
      <c r="M5" s="398"/>
      <c r="N5" s="398"/>
      <c r="O5" s="399"/>
      <c r="P5" s="400" t="s">
        <v>86</v>
      </c>
      <c r="Q5" s="401"/>
      <c r="R5" s="401"/>
      <c r="S5" s="401"/>
      <c r="T5" s="402"/>
      <c r="U5" s="179"/>
      <c r="V5" s="180"/>
      <c r="W5" s="180"/>
      <c r="X5" s="180"/>
      <c r="Y5" s="180"/>
      <c r="Z5" s="181"/>
    </row>
    <row r="6" spans="1:26" ht="12.75" customHeight="1" x14ac:dyDescent="0.25">
      <c r="A6" s="410"/>
      <c r="B6" s="411"/>
      <c r="C6" s="411"/>
      <c r="D6" s="411"/>
      <c r="E6" s="411"/>
      <c r="F6" s="412"/>
      <c r="G6" s="150"/>
      <c r="H6" s="104"/>
      <c r="I6" s="396" t="s">
        <v>5</v>
      </c>
      <c r="J6" s="396"/>
      <c r="K6" s="396"/>
      <c r="L6" s="396" t="s">
        <v>6</v>
      </c>
      <c r="M6" s="396"/>
      <c r="N6" s="396"/>
      <c r="O6" s="396"/>
      <c r="P6" s="396" t="s">
        <v>7</v>
      </c>
      <c r="Q6" s="396"/>
      <c r="R6" s="396"/>
      <c r="S6" s="396"/>
      <c r="T6" s="403"/>
      <c r="U6" s="182"/>
      <c r="V6" s="183"/>
      <c r="W6" s="183"/>
      <c r="X6" s="183"/>
      <c r="Y6" s="183"/>
      <c r="Z6" s="184"/>
    </row>
    <row r="7" spans="1:26" ht="36.6" customHeight="1" x14ac:dyDescent="0.25">
      <c r="A7" s="391" t="s">
        <v>8</v>
      </c>
      <c r="B7" s="391"/>
      <c r="C7" s="391"/>
      <c r="D7" s="391"/>
      <c r="E7" s="391"/>
      <c r="F7" s="391"/>
      <c r="G7" s="392" t="s">
        <v>9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</row>
    <row r="8" spans="1:26" ht="15.9" customHeight="1" x14ac:dyDescent="0.25">
      <c r="A8" s="128" t="s">
        <v>10</v>
      </c>
      <c r="B8" s="99" t="s">
        <v>11</v>
      </c>
      <c r="C8" s="96"/>
      <c r="D8" s="130"/>
      <c r="E8" s="130"/>
      <c r="F8" s="130"/>
      <c r="G8" s="130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50" t="s">
        <v>12</v>
      </c>
      <c r="C10" s="350"/>
      <c r="D10" s="350"/>
      <c r="E10" s="350"/>
      <c r="F10" s="350"/>
      <c r="G10" s="350"/>
      <c r="H10" s="393" t="s">
        <v>13</v>
      </c>
      <c r="I10" s="393"/>
      <c r="J10" s="393"/>
      <c r="K10" s="393"/>
      <c r="L10" s="393"/>
      <c r="M10" s="393"/>
      <c r="N10" s="350" t="s">
        <v>14</v>
      </c>
      <c r="O10" s="350"/>
      <c r="P10" s="350"/>
      <c r="Q10" s="350"/>
      <c r="R10" s="350"/>
      <c r="S10" s="351" t="s">
        <v>87</v>
      </c>
      <c r="T10" s="351"/>
      <c r="U10" s="351"/>
      <c r="V10" s="351"/>
      <c r="W10" s="351"/>
      <c r="X10" s="351"/>
      <c r="Y10" s="351"/>
      <c r="Z10" s="149"/>
    </row>
    <row r="11" spans="1:26" ht="15.9" customHeight="1" x14ac:dyDescent="0.25">
      <c r="A11" s="108"/>
      <c r="B11" s="350" t="s">
        <v>16</v>
      </c>
      <c r="C11" s="350"/>
      <c r="D11" s="350"/>
      <c r="E11" s="350"/>
      <c r="F11" s="350"/>
      <c r="G11" s="350"/>
      <c r="H11" s="393" t="s">
        <v>86</v>
      </c>
      <c r="I11" s="393"/>
      <c r="J11" s="393"/>
      <c r="K11" s="393"/>
      <c r="L11" s="393"/>
      <c r="M11" s="393"/>
      <c r="N11" s="350" t="s">
        <v>17</v>
      </c>
      <c r="O11" s="350"/>
      <c r="P11" s="350"/>
      <c r="Q11" s="350"/>
      <c r="R11" s="350"/>
      <c r="S11" s="351" t="s">
        <v>66</v>
      </c>
      <c r="T11" s="351"/>
      <c r="U11" s="351"/>
      <c r="V11" s="351"/>
      <c r="W11" s="351"/>
      <c r="X11" s="351"/>
      <c r="Y11" s="351"/>
      <c r="Z11" s="149"/>
    </row>
    <row r="12" spans="1:26" ht="15.9" customHeight="1" x14ac:dyDescent="0.25">
      <c r="A12" s="108"/>
      <c r="B12" s="350" t="s">
        <v>19</v>
      </c>
      <c r="C12" s="350"/>
      <c r="D12" s="350"/>
      <c r="E12" s="350"/>
      <c r="F12" s="350"/>
      <c r="G12" s="350"/>
      <c r="H12" s="393" t="s">
        <v>106</v>
      </c>
      <c r="I12" s="393"/>
      <c r="J12" s="393"/>
      <c r="K12" s="393"/>
      <c r="L12" s="393"/>
      <c r="M12" s="393"/>
      <c r="N12" s="350" t="s">
        <v>20</v>
      </c>
      <c r="O12" s="350"/>
      <c r="P12" s="350"/>
      <c r="Q12" s="350"/>
      <c r="R12" s="350"/>
      <c r="S12" s="351" t="s">
        <v>65</v>
      </c>
      <c r="T12" s="351"/>
      <c r="U12" s="351"/>
      <c r="V12" s="351"/>
      <c r="W12" s="351"/>
      <c r="X12" s="351"/>
      <c r="Y12" s="351"/>
      <c r="Z12" s="149"/>
    </row>
    <row r="13" spans="1:26" ht="8.25" customHeight="1" x14ac:dyDescent="0.25">
      <c r="A13" s="148"/>
      <c r="B13" s="104"/>
      <c r="C13" s="104"/>
      <c r="D13" s="147"/>
      <c r="E13" s="147"/>
      <c r="F13" s="147"/>
      <c r="G13" s="147"/>
      <c r="H13" s="104"/>
      <c r="I13" s="104"/>
      <c r="J13" s="104"/>
      <c r="K13" s="104"/>
      <c r="L13" s="104"/>
      <c r="M13" s="104"/>
      <c r="N13" s="146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4"/>
      <c r="C14" s="144"/>
      <c r="K14" s="145"/>
      <c r="L14" s="144"/>
      <c r="M14" s="143"/>
    </row>
    <row r="15" spans="1:26" s="76" customFormat="1" ht="16.2" customHeight="1" x14ac:dyDescent="0.25">
      <c r="A15" s="128" t="s">
        <v>22</v>
      </c>
      <c r="B15" s="142" t="s">
        <v>23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0"/>
    </row>
    <row r="16" spans="1:26" s="76" customFormat="1" ht="15" customHeight="1" x14ac:dyDescent="0.25">
      <c r="A16" s="137"/>
      <c r="B16" s="139"/>
      <c r="Z16" s="138"/>
    </row>
    <row r="17" spans="1:26" s="76" customFormat="1" ht="15" customHeight="1" x14ac:dyDescent="0.25">
      <c r="A17" s="137"/>
      <c r="B17" s="427" t="s">
        <v>24</v>
      </c>
      <c r="C17" s="427"/>
      <c r="D17" s="427"/>
      <c r="E17" s="427"/>
      <c r="F17" s="427"/>
      <c r="G17" s="427"/>
      <c r="H17" s="427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135"/>
    </row>
    <row r="18" spans="1:26" s="76" customFormat="1" ht="15" customHeight="1" x14ac:dyDescent="0.25">
      <c r="A18" s="137"/>
      <c r="B18" s="427" t="s">
        <v>25</v>
      </c>
      <c r="C18" s="427"/>
      <c r="D18" s="427"/>
      <c r="E18" s="427"/>
      <c r="F18" s="427"/>
      <c r="G18" s="427"/>
      <c r="H18" s="427"/>
      <c r="I18" s="419" t="s">
        <v>26</v>
      </c>
      <c r="J18" s="419"/>
      <c r="K18" s="136">
        <v>50</v>
      </c>
      <c r="L18" s="136" t="s">
        <v>27</v>
      </c>
      <c r="M18" s="136"/>
      <c r="N18" s="136"/>
      <c r="O18" s="136"/>
      <c r="P18" s="136"/>
      <c r="R18" s="136"/>
      <c r="S18" s="136"/>
      <c r="T18" s="136"/>
      <c r="U18" s="136"/>
      <c r="V18" s="136"/>
      <c r="W18" s="136"/>
      <c r="X18" s="136"/>
      <c r="Y18" s="136"/>
      <c r="Z18" s="135"/>
    </row>
    <row r="19" spans="1:26" s="76" customFormat="1" ht="13.2" customHeight="1" x14ac:dyDescent="0.25">
      <c r="A19" s="134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2"/>
    </row>
    <row r="20" spans="1:26" ht="12.75" customHeight="1" x14ac:dyDescent="0.25">
      <c r="B20" s="131"/>
      <c r="C20" s="96"/>
      <c r="D20" s="130"/>
      <c r="E20" s="130"/>
      <c r="F20" s="130"/>
      <c r="G20" s="130"/>
      <c r="H20" s="96"/>
      <c r="I20" s="96"/>
      <c r="J20" s="96"/>
      <c r="K20" s="96"/>
      <c r="L20" s="96"/>
      <c r="M20" s="96"/>
      <c r="N20" s="129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24"/>
    </row>
    <row r="21" spans="1:26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413" t="s">
        <v>30</v>
      </c>
      <c r="K21" s="413"/>
      <c r="L21" s="413"/>
      <c r="M21" s="413"/>
      <c r="N21" s="413"/>
      <c r="O21" s="413"/>
      <c r="P21" s="413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428" t="s">
        <v>31</v>
      </c>
      <c r="C23" s="387" t="s">
        <v>32</v>
      </c>
      <c r="D23" s="387"/>
      <c r="E23" s="387"/>
      <c r="F23" s="387"/>
      <c r="G23" s="388"/>
      <c r="H23" s="415" t="s">
        <v>85</v>
      </c>
      <c r="I23" s="387"/>
      <c r="J23" s="388"/>
      <c r="K23" s="415" t="s">
        <v>33</v>
      </c>
      <c r="L23" s="416"/>
      <c r="M23" s="417"/>
      <c r="N23" s="415" t="s">
        <v>84</v>
      </c>
      <c r="O23" s="416"/>
      <c r="P23" s="417"/>
      <c r="Q23" s="387" t="s">
        <v>34</v>
      </c>
      <c r="R23" s="387"/>
      <c r="S23" s="387"/>
      <c r="T23" s="387"/>
      <c r="U23" s="387"/>
      <c r="V23" s="388"/>
      <c r="Z23" s="107"/>
    </row>
    <row r="24" spans="1:26" ht="15.75" customHeight="1" x14ac:dyDescent="0.25">
      <c r="A24" s="108"/>
      <c r="B24" s="429"/>
      <c r="C24" s="389"/>
      <c r="D24" s="389"/>
      <c r="E24" s="389"/>
      <c r="F24" s="389"/>
      <c r="G24" s="390"/>
      <c r="H24" s="430" t="s">
        <v>35</v>
      </c>
      <c r="I24" s="389"/>
      <c r="J24" s="390"/>
      <c r="K24" s="430" t="s">
        <v>35</v>
      </c>
      <c r="L24" s="368"/>
      <c r="M24" s="369"/>
      <c r="N24" s="418"/>
      <c r="O24" s="368"/>
      <c r="P24" s="369"/>
      <c r="Q24" s="389"/>
      <c r="R24" s="389"/>
      <c r="S24" s="389"/>
      <c r="T24" s="389"/>
      <c r="U24" s="389"/>
      <c r="V24" s="390"/>
      <c r="Z24" s="107"/>
    </row>
    <row r="25" spans="1:26" ht="19.5" customHeight="1" x14ac:dyDescent="0.25">
      <c r="A25" s="108"/>
      <c r="B25" s="121">
        <v>1</v>
      </c>
      <c r="C25" s="373"/>
      <c r="D25" s="374"/>
      <c r="E25" s="374"/>
      <c r="F25" s="374"/>
      <c r="G25" s="375"/>
      <c r="H25" s="423">
        <v>41.36</v>
      </c>
      <c r="I25" s="424"/>
      <c r="J25" s="425"/>
      <c r="K25" s="426">
        <v>65.2</v>
      </c>
      <c r="L25" s="342"/>
      <c r="M25" s="343"/>
      <c r="N25" s="414">
        <v>1.58</v>
      </c>
      <c r="O25" s="342"/>
      <c r="P25" s="343"/>
      <c r="Q25" s="373"/>
      <c r="R25" s="374"/>
      <c r="S25" s="374"/>
      <c r="T25" s="374"/>
      <c r="U25" s="374"/>
      <c r="V25" s="375"/>
      <c r="Z25" s="107"/>
    </row>
    <row r="26" spans="1:26" ht="19.5" customHeight="1" x14ac:dyDescent="0.25">
      <c r="A26" s="108"/>
      <c r="B26" s="121">
        <v>2</v>
      </c>
      <c r="C26" s="373"/>
      <c r="D26" s="374"/>
      <c r="E26" s="374"/>
      <c r="F26" s="374"/>
      <c r="G26" s="375"/>
      <c r="H26" s="423">
        <v>31.25</v>
      </c>
      <c r="I26" s="424"/>
      <c r="J26" s="425"/>
      <c r="K26" s="426">
        <v>58.4</v>
      </c>
      <c r="L26" s="342"/>
      <c r="M26" s="343"/>
      <c r="N26" s="414">
        <v>1.87</v>
      </c>
      <c r="O26" s="342"/>
      <c r="P26" s="343"/>
      <c r="Q26" s="373"/>
      <c r="R26" s="374"/>
      <c r="S26" s="374"/>
      <c r="T26" s="374"/>
      <c r="U26" s="374"/>
      <c r="V26" s="375"/>
      <c r="Z26" s="107"/>
    </row>
    <row r="27" spans="1:26" ht="19.5" customHeight="1" x14ac:dyDescent="0.25">
      <c r="A27" s="108"/>
      <c r="B27" s="121">
        <v>3</v>
      </c>
      <c r="C27" s="373"/>
      <c r="D27" s="374"/>
      <c r="E27" s="374"/>
      <c r="F27" s="374"/>
      <c r="G27" s="375"/>
      <c r="H27" s="423">
        <v>31.25</v>
      </c>
      <c r="I27" s="424"/>
      <c r="J27" s="425"/>
      <c r="K27" s="426">
        <v>73.8</v>
      </c>
      <c r="L27" s="342"/>
      <c r="M27" s="343"/>
      <c r="N27" s="414">
        <v>2.36</v>
      </c>
      <c r="O27" s="342"/>
      <c r="P27" s="343"/>
      <c r="Q27" s="373"/>
      <c r="R27" s="374"/>
      <c r="S27" s="374"/>
      <c r="T27" s="374"/>
      <c r="U27" s="374"/>
      <c r="V27" s="375"/>
      <c r="Z27" s="107"/>
    </row>
    <row r="28" spans="1:26" ht="19.5" customHeight="1" x14ac:dyDescent="0.25">
      <c r="A28" s="108"/>
      <c r="B28" s="121">
        <v>4</v>
      </c>
      <c r="C28" s="373"/>
      <c r="D28" s="374"/>
      <c r="E28" s="374"/>
      <c r="F28" s="374"/>
      <c r="G28" s="375"/>
      <c r="H28" s="423">
        <v>23.63</v>
      </c>
      <c r="I28" s="424"/>
      <c r="J28" s="425"/>
      <c r="K28" s="426">
        <v>51.1</v>
      </c>
      <c r="L28" s="342"/>
      <c r="M28" s="343"/>
      <c r="N28" s="414">
        <v>2.16</v>
      </c>
      <c r="O28" s="342"/>
      <c r="P28" s="343"/>
      <c r="Q28" s="373"/>
      <c r="R28" s="374"/>
      <c r="S28" s="374"/>
      <c r="T28" s="374"/>
      <c r="U28" s="374"/>
      <c r="V28" s="375"/>
      <c r="Z28" s="107"/>
    </row>
    <row r="29" spans="1:26" ht="19.5" customHeight="1" x14ac:dyDescent="0.25">
      <c r="A29" s="108"/>
      <c r="B29" s="121">
        <v>5</v>
      </c>
      <c r="C29" s="373"/>
      <c r="D29" s="374"/>
      <c r="E29" s="374"/>
      <c r="F29" s="374"/>
      <c r="G29" s="375"/>
      <c r="H29" s="423">
        <v>21.55</v>
      </c>
      <c r="I29" s="424"/>
      <c r="J29" s="425"/>
      <c r="K29" s="426">
        <v>52.3</v>
      </c>
      <c r="L29" s="342"/>
      <c r="M29" s="343"/>
      <c r="N29" s="414">
        <v>2.42</v>
      </c>
      <c r="O29" s="342"/>
      <c r="P29" s="343"/>
      <c r="Q29" s="373"/>
      <c r="R29" s="374"/>
      <c r="S29" s="374"/>
      <c r="T29" s="374"/>
      <c r="U29" s="374"/>
      <c r="V29" s="375"/>
      <c r="Z29" s="107"/>
    </row>
    <row r="30" spans="1:26" ht="19.5" customHeight="1" x14ac:dyDescent="0.25">
      <c r="A30" s="108"/>
      <c r="B30" s="121">
        <v>6</v>
      </c>
      <c r="C30" s="373"/>
      <c r="D30" s="374"/>
      <c r="E30" s="374"/>
      <c r="F30" s="374"/>
      <c r="G30" s="375"/>
      <c r="H30" s="423">
        <v>21.8</v>
      </c>
      <c r="I30" s="424"/>
      <c r="J30" s="425"/>
      <c r="K30" s="426">
        <v>51.7</v>
      </c>
      <c r="L30" s="342"/>
      <c r="M30" s="343"/>
      <c r="N30" s="414">
        <v>2.37</v>
      </c>
      <c r="O30" s="342"/>
      <c r="P30" s="343"/>
      <c r="Q30" s="373"/>
      <c r="R30" s="374"/>
      <c r="S30" s="374"/>
      <c r="T30" s="374"/>
      <c r="U30" s="374"/>
      <c r="V30" s="375"/>
      <c r="Z30" s="107"/>
    </row>
    <row r="31" spans="1:26" ht="19.5" customHeight="1" x14ac:dyDescent="0.25">
      <c r="A31" s="108"/>
      <c r="B31" s="121">
        <v>7</v>
      </c>
      <c r="C31" s="373"/>
      <c r="D31" s="374"/>
      <c r="E31" s="374"/>
      <c r="F31" s="374"/>
      <c r="G31" s="375"/>
      <c r="H31" s="423">
        <v>37.5</v>
      </c>
      <c r="I31" s="424"/>
      <c r="J31" s="425"/>
      <c r="K31" s="426">
        <v>57.7</v>
      </c>
      <c r="L31" s="342"/>
      <c r="M31" s="343"/>
      <c r="N31" s="414">
        <v>1.54</v>
      </c>
      <c r="O31" s="342"/>
      <c r="P31" s="343"/>
      <c r="Q31" s="373"/>
      <c r="R31" s="374"/>
      <c r="S31" s="374"/>
      <c r="T31" s="374"/>
      <c r="U31" s="374"/>
      <c r="V31" s="375"/>
      <c r="Z31" s="107"/>
    </row>
    <row r="32" spans="1:26" ht="19.5" customHeight="1" x14ac:dyDescent="0.25">
      <c r="A32" s="108"/>
      <c r="B32" s="121">
        <v>8</v>
      </c>
      <c r="C32" s="114"/>
      <c r="D32" s="113"/>
      <c r="E32" s="113"/>
      <c r="F32" s="113"/>
      <c r="G32" s="112"/>
      <c r="H32" s="423">
        <v>34.1</v>
      </c>
      <c r="I32" s="424"/>
      <c r="J32" s="425"/>
      <c r="K32" s="423">
        <v>54.9</v>
      </c>
      <c r="L32" s="424"/>
      <c r="M32" s="425"/>
      <c r="N32" s="414">
        <f>K32/H32</f>
        <v>1.6099706744868034</v>
      </c>
      <c r="O32" s="464"/>
      <c r="P32" s="465"/>
      <c r="Q32" s="114"/>
      <c r="R32" s="113"/>
      <c r="S32" s="113"/>
      <c r="T32" s="113"/>
      <c r="U32" s="113"/>
      <c r="V32" s="112"/>
      <c r="Z32" s="107"/>
    </row>
    <row r="33" spans="1:26" ht="19.5" customHeight="1" x14ac:dyDescent="0.25">
      <c r="A33" s="108"/>
      <c r="B33" s="121">
        <v>9</v>
      </c>
      <c r="C33" s="373"/>
      <c r="D33" s="374"/>
      <c r="E33" s="374"/>
      <c r="F33" s="374"/>
      <c r="G33" s="375"/>
      <c r="H33" s="423">
        <v>30.57</v>
      </c>
      <c r="I33" s="424"/>
      <c r="J33" s="425"/>
      <c r="K33" s="426">
        <v>57</v>
      </c>
      <c r="L33" s="342"/>
      <c r="M33" s="343"/>
      <c r="N33" s="414">
        <v>1.86</v>
      </c>
      <c r="O33" s="342"/>
      <c r="P33" s="343"/>
      <c r="Q33" s="373"/>
      <c r="R33" s="374"/>
      <c r="S33" s="374"/>
      <c r="T33" s="374"/>
      <c r="U33" s="374"/>
      <c r="V33" s="375"/>
      <c r="Z33" s="107"/>
    </row>
    <row r="34" spans="1:26" ht="19.5" customHeight="1" x14ac:dyDescent="0.25">
      <c r="A34" s="108"/>
      <c r="B34" s="121">
        <v>10</v>
      </c>
      <c r="C34" s="373"/>
      <c r="D34" s="374"/>
      <c r="E34" s="374"/>
      <c r="F34" s="374"/>
      <c r="G34" s="375"/>
      <c r="H34" s="423">
        <v>21.23</v>
      </c>
      <c r="I34" s="424"/>
      <c r="J34" s="425"/>
      <c r="K34" s="426">
        <v>52.9</v>
      </c>
      <c r="L34" s="342"/>
      <c r="M34" s="343"/>
      <c r="N34" s="414">
        <v>2.4900000000000002</v>
      </c>
      <c r="O34" s="342"/>
      <c r="P34" s="343"/>
      <c r="Q34" s="373"/>
      <c r="R34" s="374"/>
      <c r="S34" s="374"/>
      <c r="T34" s="374"/>
      <c r="U34" s="374"/>
      <c r="V34" s="375"/>
      <c r="Z34" s="107"/>
    </row>
    <row r="35" spans="1:26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Z35" s="107"/>
    </row>
    <row r="36" spans="1:26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Z36" s="107"/>
    </row>
    <row r="37" spans="1:26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Z37" s="107"/>
    </row>
    <row r="38" spans="1:26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Z38" s="107"/>
    </row>
    <row r="39" spans="1:26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Z39" s="107"/>
    </row>
    <row r="40" spans="1:26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Z40" s="107"/>
    </row>
    <row r="41" spans="1:26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Z41" s="107"/>
    </row>
    <row r="42" spans="1:26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Z42" s="107"/>
    </row>
    <row r="43" spans="1:26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Z43" s="107"/>
    </row>
    <row r="44" spans="1:26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Z44" s="107"/>
    </row>
    <row r="45" spans="1:26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Z45" s="107"/>
    </row>
    <row r="46" spans="1:26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Z46" s="107"/>
    </row>
    <row r="47" spans="1:26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Z47" s="107"/>
    </row>
    <row r="48" spans="1:26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Z48" s="107"/>
    </row>
    <row r="49" spans="1:26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Z49" s="107"/>
    </row>
    <row r="50" spans="1:26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Z50" s="107"/>
    </row>
    <row r="51" spans="1:26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Z51" s="107"/>
    </row>
    <row r="52" spans="1:26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Z52" s="107"/>
    </row>
    <row r="53" spans="1:26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Z53" s="107"/>
    </row>
    <row r="54" spans="1:26" ht="19.5" customHeight="1" x14ac:dyDescent="0.25">
      <c r="A54" s="108"/>
      <c r="B54" s="120"/>
      <c r="C54" s="114"/>
      <c r="D54" s="113"/>
      <c r="E54" s="113"/>
      <c r="F54" s="113"/>
      <c r="G54" s="112"/>
      <c r="H54" s="119"/>
      <c r="I54" s="118"/>
      <c r="J54" s="117"/>
      <c r="K54" s="116"/>
      <c r="L54" s="110"/>
      <c r="M54" s="109"/>
      <c r="N54" s="115"/>
      <c r="O54" s="110"/>
      <c r="P54" s="109"/>
      <c r="Q54" s="114"/>
      <c r="R54" s="113"/>
      <c r="S54" s="113"/>
      <c r="T54" s="113"/>
      <c r="U54" s="113"/>
      <c r="V54" s="112"/>
      <c r="Z54" s="107"/>
    </row>
    <row r="55" spans="1:26" ht="19.5" customHeight="1" thickBot="1" x14ac:dyDescent="0.3">
      <c r="A55" s="108"/>
      <c r="B55" s="111"/>
      <c r="C55" s="358"/>
      <c r="D55" s="359"/>
      <c r="E55" s="359"/>
      <c r="F55" s="359"/>
      <c r="G55" s="360"/>
      <c r="H55" s="361"/>
      <c r="I55" s="362"/>
      <c r="J55" s="363"/>
      <c r="K55" s="361"/>
      <c r="L55" s="362"/>
      <c r="M55" s="363"/>
      <c r="N55" s="364"/>
      <c r="O55" s="365"/>
      <c r="P55" s="366"/>
      <c r="Q55" s="358"/>
      <c r="R55" s="359"/>
      <c r="S55" s="359"/>
      <c r="T55" s="359"/>
      <c r="U55" s="359"/>
      <c r="V55" s="360"/>
      <c r="Z55" s="107"/>
    </row>
    <row r="56" spans="1:26" ht="15.75" customHeight="1" x14ac:dyDescent="0.25">
      <c r="A56" s="108"/>
      <c r="B56" s="370" t="s">
        <v>36</v>
      </c>
      <c r="C56" s="371"/>
      <c r="D56" s="371"/>
      <c r="E56" s="371"/>
      <c r="F56" s="371"/>
      <c r="G56" s="372"/>
      <c r="H56" s="367">
        <f>AVERAGE(H25:J55)</f>
        <v>29.423999999999999</v>
      </c>
      <c r="I56" s="368"/>
      <c r="J56" s="369"/>
      <c r="K56" s="341">
        <f>AVERAGE(K25:M55)</f>
        <v>57.499999999999986</v>
      </c>
      <c r="L56" s="342"/>
      <c r="M56" s="343"/>
      <c r="N56" s="341">
        <f>AVERAGE(N25:P55)</f>
        <v>2.0259970674486802</v>
      </c>
      <c r="O56" s="342"/>
      <c r="P56" s="343"/>
      <c r="Q56" s="381">
        <v>77.8</v>
      </c>
      <c r="R56" s="382"/>
      <c r="S56" s="376" t="s">
        <v>38</v>
      </c>
      <c r="T56" s="376"/>
      <c r="U56" s="376"/>
      <c r="V56" s="377"/>
      <c r="Z56" s="107"/>
    </row>
    <row r="57" spans="1:26" ht="15.75" customHeight="1" x14ac:dyDescent="0.25">
      <c r="A57" s="108"/>
      <c r="B57" s="434" t="s">
        <v>39</v>
      </c>
      <c r="C57" s="435"/>
      <c r="D57" s="435"/>
      <c r="E57" s="435"/>
      <c r="F57" s="435"/>
      <c r="G57" s="436"/>
      <c r="H57" s="341">
        <f>IF(H25&lt;&gt;"",MIN(H25:J55),"")</f>
        <v>21.23</v>
      </c>
      <c r="I57" s="342"/>
      <c r="J57" s="343"/>
      <c r="K57" s="341">
        <f>IF(COUNTIF(K25:M55,"*&lt;20*"),"&lt;20",MIN(K25:M55))</f>
        <v>51.1</v>
      </c>
      <c r="L57" s="342"/>
      <c r="M57" s="343"/>
      <c r="N57" s="341">
        <f>IF(N25&lt;&gt;"",MIN(N25:P55),"")</f>
        <v>1.54</v>
      </c>
      <c r="O57" s="342"/>
      <c r="P57" s="343"/>
      <c r="Q57" s="383"/>
      <c r="R57" s="384"/>
      <c r="S57" s="278"/>
      <c r="T57" s="278"/>
      <c r="U57" s="278"/>
      <c r="V57" s="378"/>
      <c r="Z57" s="107"/>
    </row>
    <row r="58" spans="1:26" ht="15.75" customHeight="1" thickBot="1" x14ac:dyDescent="0.3">
      <c r="A58" s="108"/>
      <c r="B58" s="437" t="s">
        <v>40</v>
      </c>
      <c r="C58" s="438"/>
      <c r="D58" s="438"/>
      <c r="E58" s="438"/>
      <c r="F58" s="438"/>
      <c r="G58" s="439"/>
      <c r="H58" s="344">
        <f>IF(H25&lt;&gt;"",MAX(H25:J55),"")</f>
        <v>41.36</v>
      </c>
      <c r="I58" s="345"/>
      <c r="J58" s="346"/>
      <c r="K58" s="344">
        <f>IF(COUNTIF(K25:M55,"*&gt;250*"),"&gt;250",MAX(K25:M55))</f>
        <v>73.8</v>
      </c>
      <c r="L58" s="345"/>
      <c r="M58" s="346"/>
      <c r="N58" s="344">
        <f>IF(N25&lt;&gt;"",MAX(N25:P55),"")</f>
        <v>2.4900000000000002</v>
      </c>
      <c r="O58" s="345"/>
      <c r="P58" s="346"/>
      <c r="Q58" s="385"/>
      <c r="R58" s="386"/>
      <c r="S58" s="379"/>
      <c r="T58" s="379"/>
      <c r="U58" s="379"/>
      <c r="V58" s="380"/>
      <c r="Z58" s="107"/>
    </row>
    <row r="59" spans="1:26" ht="15.9" customHeight="1" x14ac:dyDescent="0.25">
      <c r="A59" s="106"/>
      <c r="B59" s="105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3"/>
    </row>
    <row r="60" spans="1:26" ht="12.75" customHeight="1" x14ac:dyDescent="0.25">
      <c r="A60" s="102"/>
      <c r="B60" s="101"/>
    </row>
    <row r="61" spans="1:26" s="76" customFormat="1" ht="15.6" customHeight="1" x14ac:dyDescent="0.25">
      <c r="A61" s="100" t="s">
        <v>41</v>
      </c>
      <c r="B61" s="99" t="s">
        <v>42</v>
      </c>
      <c r="C61" s="98"/>
      <c r="D61" s="98"/>
      <c r="E61" s="98"/>
      <c r="F61" s="97"/>
      <c r="G61" s="97"/>
      <c r="H61" s="97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5"/>
      <c r="V61" s="94"/>
      <c r="W61" s="94"/>
      <c r="X61" s="93"/>
      <c r="Y61" s="93"/>
      <c r="Z61" s="92"/>
    </row>
    <row r="62" spans="1:26" s="76" customFormat="1" ht="28.5" customHeight="1" x14ac:dyDescent="0.25">
      <c r="A62" s="431" t="s">
        <v>43</v>
      </c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3"/>
      <c r="R62" s="352" t="s">
        <v>44</v>
      </c>
      <c r="S62" s="353"/>
      <c r="T62" s="354"/>
      <c r="U62" s="282" t="s">
        <v>13</v>
      </c>
      <c r="V62" s="283"/>
      <c r="W62" s="283"/>
      <c r="X62" s="284"/>
      <c r="Y62" s="284"/>
      <c r="Z62" s="285"/>
    </row>
    <row r="63" spans="1:26" s="76" customFormat="1" ht="15.6" customHeight="1" x14ac:dyDescent="0.25">
      <c r="A63" s="505" t="s">
        <v>45</v>
      </c>
      <c r="B63" s="441"/>
      <c r="C63" s="441"/>
      <c r="D63" s="441"/>
      <c r="E63" s="441"/>
      <c r="F63" s="441"/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2"/>
      <c r="R63" s="352" t="s">
        <v>46</v>
      </c>
      <c r="S63" s="353"/>
      <c r="T63" s="354"/>
      <c r="U63" s="292" t="s">
        <v>47</v>
      </c>
      <c r="V63" s="293"/>
      <c r="W63" s="293"/>
      <c r="X63" s="294"/>
      <c r="Y63" s="294"/>
      <c r="Z63" s="295"/>
    </row>
    <row r="64" spans="1:26" s="76" customFormat="1" ht="15.6" customHeight="1" x14ac:dyDescent="0.25">
      <c r="A64" s="443"/>
      <c r="B64" s="444"/>
      <c r="C64" s="444"/>
      <c r="D64" s="444"/>
      <c r="E64" s="444"/>
      <c r="F64" s="444"/>
      <c r="G64" s="444"/>
      <c r="H64" s="444"/>
      <c r="I64" s="444"/>
      <c r="J64" s="444"/>
      <c r="K64" s="444"/>
      <c r="L64" s="444"/>
      <c r="M64" s="444"/>
      <c r="N64" s="444"/>
      <c r="O64" s="444"/>
      <c r="P64" s="444"/>
      <c r="Q64" s="445"/>
      <c r="R64" s="352"/>
      <c r="S64" s="353"/>
      <c r="T64" s="354"/>
      <c r="U64" s="296"/>
      <c r="V64" s="278"/>
      <c r="W64" s="278"/>
      <c r="X64" s="297"/>
      <c r="Y64" s="297"/>
      <c r="Z64" s="298"/>
    </row>
    <row r="65" spans="1:26" s="76" customFormat="1" ht="15.6" customHeight="1" x14ac:dyDescent="0.25">
      <c r="A65" s="91" t="s">
        <v>48</v>
      </c>
      <c r="B65" s="90" t="s">
        <v>49</v>
      </c>
      <c r="C65" s="74"/>
      <c r="D65" s="74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8"/>
      <c r="R65" s="352"/>
      <c r="S65" s="353"/>
      <c r="T65" s="354"/>
      <c r="U65" s="299"/>
      <c r="V65" s="300"/>
      <c r="W65" s="300"/>
      <c r="X65" s="301"/>
      <c r="Y65" s="301"/>
      <c r="Z65" s="302"/>
    </row>
    <row r="66" spans="1:26" s="76" customFormat="1" ht="15.6" customHeight="1" x14ac:dyDescent="0.25">
      <c r="A66" s="266" t="s">
        <v>117</v>
      </c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352" t="s">
        <v>50</v>
      </c>
      <c r="S66" s="353"/>
      <c r="T66" s="354"/>
      <c r="U66" s="87"/>
      <c r="V66" s="86"/>
      <c r="W66" s="86"/>
      <c r="X66" s="86"/>
      <c r="Y66" s="86"/>
      <c r="Z66" s="85"/>
    </row>
    <row r="67" spans="1:26" s="76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352"/>
      <c r="S67" s="353"/>
      <c r="T67" s="354"/>
      <c r="U67" s="84"/>
      <c r="V67" s="278"/>
      <c r="W67" s="278"/>
      <c r="X67" s="278"/>
      <c r="Y67" s="278"/>
      <c r="Z67" s="83"/>
    </row>
    <row r="68" spans="1:26" s="76" customFormat="1" ht="15.6" customHeight="1" x14ac:dyDescent="0.25">
      <c r="A68" s="266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8"/>
      <c r="R68" s="352"/>
      <c r="S68" s="353"/>
      <c r="T68" s="354"/>
      <c r="U68" s="84"/>
      <c r="V68" s="278"/>
      <c r="W68" s="278"/>
      <c r="X68" s="278"/>
      <c r="Y68" s="278"/>
      <c r="Z68" s="83"/>
    </row>
    <row r="69" spans="1:26" s="76" customFormat="1" ht="15.6" customHeight="1" x14ac:dyDescent="0.25">
      <c r="A69" s="269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1"/>
      <c r="R69" s="355"/>
      <c r="S69" s="356"/>
      <c r="T69" s="357"/>
      <c r="U69" s="82"/>
      <c r="V69" s="81"/>
      <c r="W69" s="81"/>
      <c r="X69" s="81"/>
      <c r="Y69" s="81"/>
      <c r="Z69" s="80"/>
    </row>
    <row r="70" spans="1:26" s="76" customFormat="1" ht="1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8"/>
      <c r="S70" s="78"/>
      <c r="T70" s="78"/>
      <c r="U70" s="77"/>
      <c r="V70" s="77"/>
      <c r="W70" s="77"/>
      <c r="X70" s="77"/>
      <c r="Y70" s="77"/>
      <c r="Z70" s="77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  <row r="77" spans="1:26" ht="12.75" customHeight="1" x14ac:dyDescent="0.25">
      <c r="A77" s="74"/>
    </row>
  </sheetData>
  <sheetProtection formatCells="0" formatColumns="0" formatRows="0" insertColumns="0" insertRows="0" insertHyperlinks="0" deleteColumns="0" deleteRows="0" selectLockedCells="1" sort="0" autoFilter="0" pivotTables="0"/>
  <mergeCells count="114">
    <mergeCell ref="L6:O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Q23:V24"/>
    <mergeCell ref="H24:J24"/>
    <mergeCell ref="K24:M24"/>
    <mergeCell ref="C25:G25"/>
    <mergeCell ref="H25:J25"/>
    <mergeCell ref="K25:M25"/>
    <mergeCell ref="N25:P25"/>
    <mergeCell ref="Q25:V25"/>
    <mergeCell ref="B17:H17"/>
    <mergeCell ref="I17:Y17"/>
    <mergeCell ref="B18:H18"/>
    <mergeCell ref="I18:J18"/>
    <mergeCell ref="J21:P21"/>
    <mergeCell ref="B23:B24"/>
    <mergeCell ref="C23:G24"/>
    <mergeCell ref="H23:J23"/>
    <mergeCell ref="K23:M23"/>
    <mergeCell ref="N23:P24"/>
    <mergeCell ref="C26:G26"/>
    <mergeCell ref="H26:J26"/>
    <mergeCell ref="K26:M26"/>
    <mergeCell ref="N26:P26"/>
    <mergeCell ref="Q26:V26"/>
    <mergeCell ref="C27:G27"/>
    <mergeCell ref="H27:J27"/>
    <mergeCell ref="K27:M27"/>
    <mergeCell ref="N27:P27"/>
    <mergeCell ref="Q27:V27"/>
    <mergeCell ref="C28:G28"/>
    <mergeCell ref="H28:J28"/>
    <mergeCell ref="K28:M28"/>
    <mergeCell ref="N28:P28"/>
    <mergeCell ref="Q28:V28"/>
    <mergeCell ref="C29:G29"/>
    <mergeCell ref="H29:J29"/>
    <mergeCell ref="K29:M29"/>
    <mergeCell ref="N29:P29"/>
    <mergeCell ref="Q29:V29"/>
    <mergeCell ref="C30:G30"/>
    <mergeCell ref="H30:J30"/>
    <mergeCell ref="K30:M30"/>
    <mergeCell ref="N30:P30"/>
    <mergeCell ref="Q30:V30"/>
    <mergeCell ref="C31:G31"/>
    <mergeCell ref="H31:J31"/>
    <mergeCell ref="K31:M31"/>
    <mergeCell ref="N31:P31"/>
    <mergeCell ref="Q31:V31"/>
    <mergeCell ref="Q33:V33"/>
    <mergeCell ref="C34:G34"/>
    <mergeCell ref="H34:J34"/>
    <mergeCell ref="K34:M34"/>
    <mergeCell ref="N34:P34"/>
    <mergeCell ref="Q34:V34"/>
    <mergeCell ref="H32:J32"/>
    <mergeCell ref="K32:M32"/>
    <mergeCell ref="N32:P32"/>
    <mergeCell ref="C33:G33"/>
    <mergeCell ref="H33:J33"/>
    <mergeCell ref="K33:M33"/>
    <mergeCell ref="N33:P33"/>
    <mergeCell ref="C55:G55"/>
    <mergeCell ref="H55:J55"/>
    <mergeCell ref="K55:M55"/>
    <mergeCell ref="N55:P55"/>
    <mergeCell ref="Q55:V55"/>
    <mergeCell ref="B56:G56"/>
    <mergeCell ref="H56:J56"/>
    <mergeCell ref="K56:M56"/>
    <mergeCell ref="N56:P56"/>
    <mergeCell ref="Q56:R58"/>
    <mergeCell ref="S56:V58"/>
    <mergeCell ref="B57:G57"/>
    <mergeCell ref="H57:J57"/>
    <mergeCell ref="K57:M57"/>
    <mergeCell ref="N57:P57"/>
    <mergeCell ref="B58:G58"/>
    <mergeCell ref="H58:J58"/>
    <mergeCell ref="K58:M58"/>
    <mergeCell ref="N58:P58"/>
    <mergeCell ref="A66:Q69"/>
    <mergeCell ref="R66:T69"/>
    <mergeCell ref="V67:Y68"/>
    <mergeCell ref="A62:Q62"/>
    <mergeCell ref="R62:T62"/>
    <mergeCell ref="U62:Z62"/>
    <mergeCell ref="A63:Q64"/>
    <mergeCell ref="R63:T65"/>
    <mergeCell ref="U63:Z65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F5832-319D-4A8E-A93D-193B99966333}">
  <sheetPr codeName="Feuil1">
    <pageSetUpPr fitToPage="1"/>
  </sheetPr>
  <dimension ref="A1:AA77"/>
  <sheetViews>
    <sheetView topLeftCell="A14" workbookViewId="0">
      <selection activeCell="AA27" sqref="AA27"/>
    </sheetView>
  </sheetViews>
  <sheetFormatPr baseColWidth="10" defaultColWidth="11.44140625" defaultRowHeight="12.75" customHeight="1" x14ac:dyDescent="0.25"/>
  <cols>
    <col min="1" max="1" width="5.109375" style="75" customWidth="1"/>
    <col min="2" max="26" width="5.109375" style="74" customWidth="1"/>
    <col min="27" max="27" width="11.44140625" style="74"/>
    <col min="28" max="16384" width="11.44140625" style="73"/>
  </cols>
  <sheetData>
    <row r="1" spans="1:26" ht="12.75" customHeight="1" x14ac:dyDescent="0.25">
      <c r="A1" s="404"/>
      <c r="B1" s="405"/>
      <c r="C1" s="405"/>
      <c r="D1" s="405"/>
      <c r="E1" s="405"/>
      <c r="F1" s="406"/>
      <c r="G1" s="347" t="s">
        <v>0</v>
      </c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9"/>
      <c r="U1" s="176" t="s">
        <v>51</v>
      </c>
      <c r="V1" s="177"/>
      <c r="W1" s="177"/>
      <c r="X1" s="177"/>
      <c r="Y1" s="177"/>
      <c r="Z1" s="178"/>
    </row>
    <row r="2" spans="1:26" ht="12.75" customHeight="1" x14ac:dyDescent="0.25">
      <c r="A2" s="407"/>
      <c r="B2" s="408"/>
      <c r="C2" s="408"/>
      <c r="D2" s="408"/>
      <c r="E2" s="408"/>
      <c r="F2" s="409"/>
      <c r="G2" s="185" t="s">
        <v>92</v>
      </c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40"/>
      <c r="U2" s="179"/>
      <c r="V2" s="180"/>
      <c r="W2" s="180"/>
      <c r="X2" s="180"/>
      <c r="Y2" s="180"/>
      <c r="Z2" s="181"/>
    </row>
    <row r="3" spans="1:26" ht="12.75" customHeight="1" x14ac:dyDescent="0.25">
      <c r="A3" s="407"/>
      <c r="B3" s="408"/>
      <c r="C3" s="408"/>
      <c r="D3" s="408"/>
      <c r="E3" s="408"/>
      <c r="F3" s="409"/>
      <c r="G3" s="185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40"/>
      <c r="U3" s="179"/>
      <c r="V3" s="180"/>
      <c r="W3" s="180"/>
      <c r="X3" s="180"/>
      <c r="Y3" s="180"/>
      <c r="Z3" s="181"/>
    </row>
    <row r="4" spans="1:26" ht="12.75" customHeight="1" x14ac:dyDescent="0.25">
      <c r="A4" s="407"/>
      <c r="B4" s="408"/>
      <c r="C4" s="408"/>
      <c r="D4" s="408"/>
      <c r="E4" s="408"/>
      <c r="F4" s="409"/>
      <c r="G4" s="185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40"/>
      <c r="U4" s="179"/>
      <c r="V4" s="180"/>
      <c r="W4" s="180"/>
      <c r="X4" s="180"/>
      <c r="Y4" s="180"/>
      <c r="Z4" s="181"/>
    </row>
    <row r="5" spans="1:26" ht="12.75" customHeight="1" x14ac:dyDescent="0.25">
      <c r="A5" s="407"/>
      <c r="B5" s="408"/>
      <c r="C5" s="408"/>
      <c r="D5" s="408"/>
      <c r="E5" s="408"/>
      <c r="F5" s="409"/>
      <c r="G5" s="420" t="s">
        <v>88</v>
      </c>
      <c r="H5" s="421"/>
      <c r="I5" s="394">
        <v>10</v>
      </c>
      <c r="J5" s="394"/>
      <c r="K5" s="395"/>
      <c r="L5" s="397" t="s">
        <v>3</v>
      </c>
      <c r="M5" s="398"/>
      <c r="N5" s="398"/>
      <c r="O5" s="399"/>
      <c r="P5" s="400" t="s">
        <v>86</v>
      </c>
      <c r="Q5" s="401"/>
      <c r="R5" s="401"/>
      <c r="S5" s="401"/>
      <c r="T5" s="402"/>
      <c r="U5" s="179"/>
      <c r="V5" s="180"/>
      <c r="W5" s="180"/>
      <c r="X5" s="180"/>
      <c r="Y5" s="180"/>
      <c r="Z5" s="181"/>
    </row>
    <row r="6" spans="1:26" ht="12.75" customHeight="1" x14ac:dyDescent="0.25">
      <c r="A6" s="410"/>
      <c r="B6" s="411"/>
      <c r="C6" s="411"/>
      <c r="D6" s="411"/>
      <c r="E6" s="411"/>
      <c r="F6" s="412"/>
      <c r="G6" s="150"/>
      <c r="H6" s="104"/>
      <c r="I6" s="396" t="s">
        <v>5</v>
      </c>
      <c r="J6" s="396"/>
      <c r="K6" s="396"/>
      <c r="L6" s="396" t="s">
        <v>6</v>
      </c>
      <c r="M6" s="396"/>
      <c r="N6" s="396"/>
      <c r="O6" s="396"/>
      <c r="P6" s="396" t="s">
        <v>7</v>
      </c>
      <c r="Q6" s="396"/>
      <c r="R6" s="396"/>
      <c r="S6" s="396"/>
      <c r="T6" s="403"/>
      <c r="U6" s="182"/>
      <c r="V6" s="183"/>
      <c r="W6" s="183"/>
      <c r="X6" s="183"/>
      <c r="Y6" s="183"/>
      <c r="Z6" s="184"/>
    </row>
    <row r="7" spans="1:26" ht="36.6" customHeight="1" x14ac:dyDescent="0.25">
      <c r="A7" s="391" t="s">
        <v>8</v>
      </c>
      <c r="B7" s="391"/>
      <c r="C7" s="391"/>
      <c r="D7" s="391"/>
      <c r="E7" s="391"/>
      <c r="F7" s="391"/>
      <c r="G7" s="392" t="s">
        <v>9</v>
      </c>
      <c r="H7" s="392"/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</row>
    <row r="8" spans="1:26" ht="15.9" customHeight="1" x14ac:dyDescent="0.25">
      <c r="A8" s="128" t="s">
        <v>10</v>
      </c>
      <c r="B8" s="99" t="s">
        <v>11</v>
      </c>
      <c r="C8" s="96"/>
      <c r="D8" s="130"/>
      <c r="E8" s="130"/>
      <c r="F8" s="130"/>
      <c r="G8" s="130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124"/>
    </row>
    <row r="9" spans="1:26" ht="8.25" customHeight="1" x14ac:dyDescent="0.25">
      <c r="A9" s="108"/>
      <c r="D9" s="75"/>
      <c r="E9" s="75"/>
      <c r="F9" s="75"/>
      <c r="G9" s="75"/>
      <c r="Z9" s="107"/>
    </row>
    <row r="10" spans="1:26" ht="15.9" customHeight="1" x14ac:dyDescent="0.25">
      <c r="A10" s="108"/>
      <c r="B10" s="350" t="s">
        <v>12</v>
      </c>
      <c r="C10" s="350"/>
      <c r="D10" s="350"/>
      <c r="E10" s="350"/>
      <c r="F10" s="350"/>
      <c r="G10" s="350"/>
      <c r="H10" s="393" t="s">
        <v>13</v>
      </c>
      <c r="I10" s="393"/>
      <c r="J10" s="393"/>
      <c r="K10" s="393"/>
      <c r="L10" s="393"/>
      <c r="M10" s="393"/>
      <c r="N10" s="350" t="s">
        <v>14</v>
      </c>
      <c r="O10" s="350"/>
      <c r="P10" s="350"/>
      <c r="Q10" s="350"/>
      <c r="R10" s="350"/>
      <c r="S10" s="351" t="s">
        <v>87</v>
      </c>
      <c r="T10" s="351"/>
      <c r="U10" s="351"/>
      <c r="V10" s="351"/>
      <c r="W10" s="351"/>
      <c r="X10" s="351"/>
      <c r="Y10" s="351"/>
      <c r="Z10" s="149"/>
    </row>
    <row r="11" spans="1:26" ht="15.9" customHeight="1" x14ac:dyDescent="0.25">
      <c r="A11" s="108"/>
      <c r="B11" s="350" t="s">
        <v>16</v>
      </c>
      <c r="C11" s="350"/>
      <c r="D11" s="350"/>
      <c r="E11" s="350"/>
      <c r="F11" s="350"/>
      <c r="G11" s="350"/>
      <c r="H11" s="393" t="s">
        <v>86</v>
      </c>
      <c r="I11" s="393"/>
      <c r="J11" s="393"/>
      <c r="K11" s="393"/>
      <c r="L11" s="393"/>
      <c r="M11" s="393"/>
      <c r="N11" s="350" t="s">
        <v>17</v>
      </c>
      <c r="O11" s="350"/>
      <c r="P11" s="350"/>
      <c r="Q11" s="350"/>
      <c r="R11" s="350"/>
      <c r="S11" s="351" t="s">
        <v>66</v>
      </c>
      <c r="T11" s="351"/>
      <c r="U11" s="351"/>
      <c r="V11" s="351"/>
      <c r="W11" s="351"/>
      <c r="X11" s="351"/>
      <c r="Y11" s="351"/>
      <c r="Z11" s="149"/>
    </row>
    <row r="12" spans="1:26" ht="15.9" customHeight="1" x14ac:dyDescent="0.25">
      <c r="A12" s="108"/>
      <c r="B12" s="350" t="s">
        <v>19</v>
      </c>
      <c r="C12" s="350"/>
      <c r="D12" s="350"/>
      <c r="E12" s="350"/>
      <c r="F12" s="350"/>
      <c r="G12" s="350"/>
      <c r="H12" s="393" t="s">
        <v>106</v>
      </c>
      <c r="I12" s="393"/>
      <c r="J12" s="393"/>
      <c r="K12" s="393"/>
      <c r="L12" s="393"/>
      <c r="M12" s="393"/>
      <c r="N12" s="350" t="s">
        <v>20</v>
      </c>
      <c r="O12" s="350"/>
      <c r="P12" s="350"/>
      <c r="Q12" s="350"/>
      <c r="R12" s="350"/>
      <c r="S12" s="351" t="s">
        <v>65</v>
      </c>
      <c r="T12" s="351"/>
      <c r="U12" s="351"/>
      <c r="V12" s="351"/>
      <c r="W12" s="351"/>
      <c r="X12" s="351"/>
      <c r="Y12" s="351"/>
      <c r="Z12" s="149"/>
    </row>
    <row r="13" spans="1:26" ht="8.25" customHeight="1" x14ac:dyDescent="0.25">
      <c r="A13" s="148"/>
      <c r="B13" s="104"/>
      <c r="C13" s="104"/>
      <c r="D13" s="147"/>
      <c r="E13" s="147"/>
      <c r="F13" s="147"/>
      <c r="G13" s="147"/>
      <c r="H13" s="104"/>
      <c r="I13" s="104"/>
      <c r="J13" s="104"/>
      <c r="K13" s="104"/>
      <c r="L13" s="104"/>
      <c r="M13" s="104"/>
      <c r="N13" s="146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3"/>
    </row>
    <row r="14" spans="1:26" s="76" customFormat="1" ht="15" customHeight="1" x14ac:dyDescent="0.25">
      <c r="B14" s="144"/>
      <c r="C14" s="144"/>
      <c r="K14" s="145"/>
      <c r="L14" s="144"/>
      <c r="M14" s="143"/>
    </row>
    <row r="15" spans="1:26" s="76" customFormat="1" ht="16.2" customHeight="1" x14ac:dyDescent="0.25">
      <c r="A15" s="128" t="s">
        <v>22</v>
      </c>
      <c r="B15" s="142" t="s">
        <v>23</v>
      </c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0"/>
    </row>
    <row r="16" spans="1:26" s="76" customFormat="1" ht="15" customHeight="1" x14ac:dyDescent="0.25">
      <c r="A16" s="137"/>
      <c r="B16" s="139"/>
      <c r="Z16" s="138"/>
    </row>
    <row r="17" spans="1:26" s="76" customFormat="1" ht="15" customHeight="1" x14ac:dyDescent="0.25">
      <c r="A17" s="137"/>
      <c r="B17" s="427" t="s">
        <v>24</v>
      </c>
      <c r="C17" s="427"/>
      <c r="D17" s="427"/>
      <c r="E17" s="427"/>
      <c r="F17" s="427"/>
      <c r="G17" s="427"/>
      <c r="H17" s="427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135"/>
    </row>
    <row r="18" spans="1:26" s="76" customFormat="1" ht="15" customHeight="1" x14ac:dyDescent="0.25">
      <c r="A18" s="137"/>
      <c r="B18" s="427" t="s">
        <v>25</v>
      </c>
      <c r="C18" s="427"/>
      <c r="D18" s="427"/>
      <c r="E18" s="427"/>
      <c r="F18" s="427"/>
      <c r="G18" s="427"/>
      <c r="H18" s="427"/>
      <c r="I18" s="419" t="s">
        <v>26</v>
      </c>
      <c r="J18" s="419"/>
      <c r="K18" s="136">
        <v>50</v>
      </c>
      <c r="L18" s="136" t="s">
        <v>27</v>
      </c>
      <c r="M18" s="136"/>
      <c r="N18" s="136"/>
      <c r="O18" s="136"/>
      <c r="P18" s="136"/>
      <c r="R18" s="136"/>
      <c r="S18" s="136"/>
      <c r="T18" s="136"/>
      <c r="U18" s="136"/>
      <c r="V18" s="136"/>
      <c r="W18" s="136"/>
      <c r="X18" s="136"/>
      <c r="Y18" s="136"/>
      <c r="Z18" s="135"/>
    </row>
    <row r="19" spans="1:26" s="76" customFormat="1" ht="13.2" customHeight="1" x14ac:dyDescent="0.25">
      <c r="A19" s="134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2"/>
    </row>
    <row r="20" spans="1:26" ht="12.75" customHeight="1" x14ac:dyDescent="0.25">
      <c r="B20" s="131"/>
      <c r="C20" s="96"/>
      <c r="D20" s="130"/>
      <c r="E20" s="130"/>
      <c r="F20" s="130"/>
      <c r="G20" s="130"/>
      <c r="H20" s="96"/>
      <c r="I20" s="96"/>
      <c r="J20" s="96"/>
      <c r="K20" s="96"/>
      <c r="L20" s="96"/>
      <c r="M20" s="96"/>
      <c r="N20" s="129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124"/>
    </row>
    <row r="21" spans="1:26" ht="15.9" customHeight="1" x14ac:dyDescent="0.25">
      <c r="A21" s="128" t="s">
        <v>28</v>
      </c>
      <c r="B21" s="127" t="s">
        <v>29</v>
      </c>
      <c r="C21" s="125"/>
      <c r="D21" s="126"/>
      <c r="E21" s="126"/>
      <c r="F21" s="126"/>
      <c r="G21" s="126"/>
      <c r="H21" s="125"/>
      <c r="I21" s="125"/>
      <c r="J21" s="413" t="s">
        <v>30</v>
      </c>
      <c r="K21" s="413"/>
      <c r="L21" s="413"/>
      <c r="M21" s="413"/>
      <c r="N21" s="413"/>
      <c r="O21" s="413"/>
      <c r="P21" s="413"/>
      <c r="Q21" s="122">
        <v>600</v>
      </c>
      <c r="R21" s="96"/>
      <c r="S21" s="96"/>
      <c r="T21" s="96"/>
      <c r="U21" s="96"/>
      <c r="V21" s="96"/>
      <c r="W21" s="96"/>
      <c r="X21" s="96"/>
      <c r="Y21" s="96"/>
      <c r="Z21" s="124"/>
    </row>
    <row r="22" spans="1:26" ht="12.75" customHeight="1" x14ac:dyDescent="0.25">
      <c r="A22" s="108"/>
      <c r="B22" s="123"/>
      <c r="Z22" s="107"/>
    </row>
    <row r="23" spans="1:26" ht="15.75" customHeight="1" x14ac:dyDescent="0.25">
      <c r="A23" s="108"/>
      <c r="B23" s="428" t="s">
        <v>31</v>
      </c>
      <c r="C23" s="387" t="s">
        <v>32</v>
      </c>
      <c r="D23" s="387"/>
      <c r="E23" s="387"/>
      <c r="F23" s="387"/>
      <c r="G23" s="388"/>
      <c r="H23" s="415" t="s">
        <v>85</v>
      </c>
      <c r="I23" s="387"/>
      <c r="J23" s="388"/>
      <c r="K23" s="415" t="s">
        <v>33</v>
      </c>
      <c r="L23" s="416"/>
      <c r="M23" s="417"/>
      <c r="N23" s="415" t="s">
        <v>84</v>
      </c>
      <c r="O23" s="416"/>
      <c r="P23" s="417"/>
      <c r="Q23" s="387" t="s">
        <v>34</v>
      </c>
      <c r="R23" s="387"/>
      <c r="S23" s="387"/>
      <c r="T23" s="387"/>
      <c r="U23" s="387"/>
      <c r="V23" s="388"/>
      <c r="Z23" s="107"/>
    </row>
    <row r="24" spans="1:26" ht="15.75" customHeight="1" x14ac:dyDescent="0.25">
      <c r="A24" s="108"/>
      <c r="B24" s="429"/>
      <c r="C24" s="389"/>
      <c r="D24" s="389"/>
      <c r="E24" s="389"/>
      <c r="F24" s="389"/>
      <c r="G24" s="390"/>
      <c r="H24" s="430" t="s">
        <v>35</v>
      </c>
      <c r="I24" s="389"/>
      <c r="J24" s="390"/>
      <c r="K24" s="430" t="s">
        <v>35</v>
      </c>
      <c r="L24" s="368"/>
      <c r="M24" s="369"/>
      <c r="N24" s="418"/>
      <c r="O24" s="368"/>
      <c r="P24" s="369"/>
      <c r="Q24" s="389"/>
      <c r="R24" s="389"/>
      <c r="S24" s="389"/>
      <c r="T24" s="389"/>
      <c r="U24" s="389"/>
      <c r="V24" s="390"/>
      <c r="Z24" s="107"/>
    </row>
    <row r="25" spans="1:26" ht="19.5" customHeight="1" x14ac:dyDescent="0.25">
      <c r="A25" s="108"/>
      <c r="B25" s="121">
        <v>1</v>
      </c>
      <c r="C25" s="373"/>
      <c r="D25" s="374"/>
      <c r="E25" s="374"/>
      <c r="F25" s="374"/>
      <c r="G25" s="375"/>
      <c r="H25" s="423">
        <v>41.36</v>
      </c>
      <c r="I25" s="424"/>
      <c r="J25" s="425"/>
      <c r="K25" s="426">
        <v>65.2</v>
      </c>
      <c r="L25" s="342"/>
      <c r="M25" s="343"/>
      <c r="N25" s="414">
        <v>1.58</v>
      </c>
      <c r="O25" s="342"/>
      <c r="P25" s="343"/>
      <c r="Q25" s="373"/>
      <c r="R25" s="374"/>
      <c r="S25" s="374"/>
      <c r="T25" s="374"/>
      <c r="U25" s="374"/>
      <c r="V25" s="375"/>
      <c r="Z25" s="107"/>
    </row>
    <row r="26" spans="1:26" ht="19.5" customHeight="1" x14ac:dyDescent="0.25">
      <c r="A26" s="108"/>
      <c r="B26" s="121">
        <v>2</v>
      </c>
      <c r="C26" s="373"/>
      <c r="D26" s="374"/>
      <c r="E26" s="374"/>
      <c r="F26" s="374"/>
      <c r="G26" s="375"/>
      <c r="H26" s="423">
        <v>31.25</v>
      </c>
      <c r="I26" s="424"/>
      <c r="J26" s="425"/>
      <c r="K26" s="426">
        <v>58.4</v>
      </c>
      <c r="L26" s="342"/>
      <c r="M26" s="343"/>
      <c r="N26" s="414">
        <v>1.87</v>
      </c>
      <c r="O26" s="342"/>
      <c r="P26" s="343"/>
      <c r="Q26" s="373"/>
      <c r="R26" s="374"/>
      <c r="S26" s="374"/>
      <c r="T26" s="374"/>
      <c r="U26" s="374"/>
      <c r="V26" s="375"/>
      <c r="Z26" s="107"/>
    </row>
    <row r="27" spans="1:26" ht="19.5" customHeight="1" x14ac:dyDescent="0.25">
      <c r="A27" s="108"/>
      <c r="B27" s="121">
        <v>3</v>
      </c>
      <c r="C27" s="373"/>
      <c r="D27" s="374"/>
      <c r="E27" s="374"/>
      <c r="F27" s="374"/>
      <c r="G27" s="375"/>
      <c r="H27" s="423">
        <v>31.25</v>
      </c>
      <c r="I27" s="424"/>
      <c r="J27" s="425"/>
      <c r="K27" s="426">
        <v>73.8</v>
      </c>
      <c r="L27" s="342"/>
      <c r="M27" s="343"/>
      <c r="N27" s="414">
        <v>2.36</v>
      </c>
      <c r="O27" s="342"/>
      <c r="P27" s="343"/>
      <c r="Q27" s="373"/>
      <c r="R27" s="374"/>
      <c r="S27" s="374"/>
      <c r="T27" s="374"/>
      <c r="U27" s="374"/>
      <c r="V27" s="375"/>
      <c r="Z27" s="107"/>
    </row>
    <row r="28" spans="1:26" ht="19.5" customHeight="1" x14ac:dyDescent="0.25">
      <c r="A28" s="108"/>
      <c r="B28" s="121">
        <v>4</v>
      </c>
      <c r="C28" s="373"/>
      <c r="D28" s="374"/>
      <c r="E28" s="374"/>
      <c r="F28" s="374"/>
      <c r="G28" s="375"/>
      <c r="H28" s="423">
        <v>23.63</v>
      </c>
      <c r="I28" s="424"/>
      <c r="J28" s="425"/>
      <c r="K28" s="426">
        <v>51.1</v>
      </c>
      <c r="L28" s="342"/>
      <c r="M28" s="343"/>
      <c r="N28" s="414">
        <v>2.16</v>
      </c>
      <c r="O28" s="342"/>
      <c r="P28" s="343"/>
      <c r="Q28" s="373"/>
      <c r="R28" s="374"/>
      <c r="S28" s="374"/>
      <c r="T28" s="374"/>
      <c r="U28" s="374"/>
      <c r="V28" s="375"/>
      <c r="Z28" s="107"/>
    </row>
    <row r="29" spans="1:26" ht="19.5" customHeight="1" x14ac:dyDescent="0.25">
      <c r="A29" s="108"/>
      <c r="B29" s="121">
        <v>5</v>
      </c>
      <c r="C29" s="373"/>
      <c r="D29" s="374"/>
      <c r="E29" s="374"/>
      <c r="F29" s="374"/>
      <c r="G29" s="375"/>
      <c r="H29" s="423">
        <v>21.55</v>
      </c>
      <c r="I29" s="424"/>
      <c r="J29" s="425"/>
      <c r="K29" s="426">
        <v>41.3</v>
      </c>
      <c r="L29" s="342"/>
      <c r="M29" s="343"/>
      <c r="N29" s="414">
        <v>1.92</v>
      </c>
      <c r="O29" s="342"/>
      <c r="P29" s="343"/>
      <c r="Q29" s="373"/>
      <c r="R29" s="374"/>
      <c r="S29" s="374"/>
      <c r="T29" s="374"/>
      <c r="U29" s="374"/>
      <c r="V29" s="375"/>
      <c r="Z29" s="107"/>
    </row>
    <row r="30" spans="1:26" ht="19.5" customHeight="1" x14ac:dyDescent="0.25">
      <c r="A30" s="108"/>
      <c r="B30" s="121">
        <v>6</v>
      </c>
      <c r="C30" s="373"/>
      <c r="D30" s="374"/>
      <c r="E30" s="374"/>
      <c r="F30" s="374"/>
      <c r="G30" s="375"/>
      <c r="H30" s="423">
        <v>20.6</v>
      </c>
      <c r="I30" s="424"/>
      <c r="J30" s="425"/>
      <c r="K30" s="426">
        <v>39.799999999999997</v>
      </c>
      <c r="L30" s="342"/>
      <c r="M30" s="343"/>
      <c r="N30" s="414">
        <v>1.93</v>
      </c>
      <c r="O30" s="342"/>
      <c r="P30" s="343"/>
      <c r="Q30" s="373"/>
      <c r="R30" s="374"/>
      <c r="S30" s="374"/>
      <c r="T30" s="374"/>
      <c r="U30" s="374"/>
      <c r="V30" s="375"/>
      <c r="Z30" s="107"/>
    </row>
    <row r="31" spans="1:26" ht="19.5" customHeight="1" x14ac:dyDescent="0.25">
      <c r="A31" s="108"/>
      <c r="B31" s="121">
        <v>7</v>
      </c>
      <c r="C31" s="373"/>
      <c r="D31" s="374"/>
      <c r="E31" s="374"/>
      <c r="F31" s="374"/>
      <c r="G31" s="375"/>
      <c r="H31" s="423">
        <v>37.5</v>
      </c>
      <c r="I31" s="424"/>
      <c r="J31" s="425"/>
      <c r="K31" s="426">
        <v>57.7</v>
      </c>
      <c r="L31" s="342"/>
      <c r="M31" s="343"/>
      <c r="N31" s="414">
        <v>1.54</v>
      </c>
      <c r="O31" s="342"/>
      <c r="P31" s="343"/>
      <c r="Q31" s="373"/>
      <c r="R31" s="374"/>
      <c r="S31" s="374"/>
      <c r="T31" s="374"/>
      <c r="U31" s="374"/>
      <c r="V31" s="375"/>
      <c r="Z31" s="107"/>
    </row>
    <row r="32" spans="1:26" ht="19.5" customHeight="1" x14ac:dyDescent="0.25">
      <c r="A32" s="108"/>
      <c r="B32" s="121">
        <v>8</v>
      </c>
      <c r="C32" s="114"/>
      <c r="D32" s="113"/>
      <c r="E32" s="113"/>
      <c r="F32" s="113"/>
      <c r="G32" s="112"/>
      <c r="H32" s="423">
        <v>34.1</v>
      </c>
      <c r="I32" s="424"/>
      <c r="J32" s="425"/>
      <c r="K32" s="423">
        <v>54.9</v>
      </c>
      <c r="L32" s="424"/>
      <c r="M32" s="425"/>
      <c r="N32" s="414">
        <f>K32/H32</f>
        <v>1.6099706744868034</v>
      </c>
      <c r="O32" s="464"/>
      <c r="P32" s="465"/>
      <c r="Q32" s="114"/>
      <c r="R32" s="113"/>
      <c r="S32" s="113"/>
      <c r="T32" s="113"/>
      <c r="U32" s="113"/>
      <c r="V32" s="112"/>
      <c r="Z32" s="107"/>
    </row>
    <row r="33" spans="1:26" ht="19.5" customHeight="1" x14ac:dyDescent="0.25">
      <c r="A33" s="108"/>
      <c r="B33" s="121">
        <v>9</v>
      </c>
      <c r="C33" s="373"/>
      <c r="D33" s="374"/>
      <c r="E33" s="374"/>
      <c r="F33" s="374"/>
      <c r="G33" s="375"/>
      <c r="H33" s="423">
        <v>30.57</v>
      </c>
      <c r="I33" s="424"/>
      <c r="J33" s="425"/>
      <c r="K33" s="426">
        <v>57</v>
      </c>
      <c r="L33" s="342"/>
      <c r="M33" s="343"/>
      <c r="N33" s="414">
        <v>1.86</v>
      </c>
      <c r="O33" s="342"/>
      <c r="P33" s="343"/>
      <c r="Q33" s="373"/>
      <c r="R33" s="374"/>
      <c r="S33" s="374"/>
      <c r="T33" s="374"/>
      <c r="U33" s="374"/>
      <c r="V33" s="375"/>
      <c r="Z33" s="107"/>
    </row>
    <row r="34" spans="1:26" ht="19.5" customHeight="1" x14ac:dyDescent="0.25">
      <c r="A34" s="108"/>
      <c r="B34" s="121">
        <v>10</v>
      </c>
      <c r="C34" s="373"/>
      <c r="D34" s="374"/>
      <c r="E34" s="374"/>
      <c r="F34" s="374"/>
      <c r="G34" s="375"/>
      <c r="H34" s="423">
        <v>21.23</v>
      </c>
      <c r="I34" s="424"/>
      <c r="J34" s="425"/>
      <c r="K34" s="426">
        <v>52.9</v>
      </c>
      <c r="L34" s="342"/>
      <c r="M34" s="343"/>
      <c r="N34" s="414">
        <v>2.4900000000000002</v>
      </c>
      <c r="O34" s="342"/>
      <c r="P34" s="343"/>
      <c r="Q34" s="373"/>
      <c r="R34" s="374"/>
      <c r="S34" s="374"/>
      <c r="T34" s="374"/>
      <c r="U34" s="374"/>
      <c r="V34" s="375"/>
      <c r="Z34" s="107"/>
    </row>
    <row r="35" spans="1:26" ht="19.5" customHeight="1" x14ac:dyDescent="0.25">
      <c r="A35" s="108"/>
      <c r="B35" s="120"/>
      <c r="C35" s="114"/>
      <c r="D35" s="113"/>
      <c r="E35" s="113"/>
      <c r="F35" s="113"/>
      <c r="G35" s="112"/>
      <c r="H35" s="119"/>
      <c r="I35" s="118"/>
      <c r="J35" s="117"/>
      <c r="K35" s="116"/>
      <c r="L35" s="110"/>
      <c r="M35" s="109"/>
      <c r="N35" s="115"/>
      <c r="O35" s="110"/>
      <c r="P35" s="109"/>
      <c r="Q35" s="114"/>
      <c r="R35" s="113"/>
      <c r="S35" s="113"/>
      <c r="T35" s="113"/>
      <c r="U35" s="113"/>
      <c r="V35" s="112"/>
      <c r="Z35" s="107"/>
    </row>
    <row r="36" spans="1:26" ht="19.5" customHeight="1" x14ac:dyDescent="0.25">
      <c r="A36" s="108"/>
      <c r="B36" s="120"/>
      <c r="C36" s="114"/>
      <c r="D36" s="113"/>
      <c r="E36" s="113"/>
      <c r="F36" s="113"/>
      <c r="G36" s="112"/>
      <c r="H36" s="119"/>
      <c r="I36" s="118"/>
      <c r="J36" s="117"/>
      <c r="K36" s="116"/>
      <c r="L36" s="110"/>
      <c r="M36" s="109"/>
      <c r="N36" s="115"/>
      <c r="O36" s="110"/>
      <c r="P36" s="109"/>
      <c r="Q36" s="114"/>
      <c r="R36" s="113"/>
      <c r="S36" s="113"/>
      <c r="T36" s="113"/>
      <c r="U36" s="113"/>
      <c r="V36" s="112"/>
      <c r="Z36" s="107"/>
    </row>
    <row r="37" spans="1:26" ht="19.5" customHeight="1" x14ac:dyDescent="0.25">
      <c r="A37" s="108"/>
      <c r="B37" s="120"/>
      <c r="C37" s="114"/>
      <c r="D37" s="113"/>
      <c r="E37" s="113"/>
      <c r="F37" s="113"/>
      <c r="G37" s="112"/>
      <c r="H37" s="119"/>
      <c r="I37" s="118"/>
      <c r="J37" s="117"/>
      <c r="K37" s="116"/>
      <c r="L37" s="110"/>
      <c r="M37" s="109"/>
      <c r="N37" s="115"/>
      <c r="O37" s="110"/>
      <c r="P37" s="109"/>
      <c r="Q37" s="114"/>
      <c r="R37" s="113"/>
      <c r="S37" s="113"/>
      <c r="T37" s="113"/>
      <c r="U37" s="113"/>
      <c r="V37" s="112"/>
      <c r="Z37" s="107"/>
    </row>
    <row r="38" spans="1:26" ht="19.5" customHeight="1" x14ac:dyDescent="0.25">
      <c r="A38" s="108"/>
      <c r="B38" s="120"/>
      <c r="C38" s="114"/>
      <c r="D38" s="113"/>
      <c r="E38" s="113"/>
      <c r="F38" s="113"/>
      <c r="G38" s="112"/>
      <c r="H38" s="119"/>
      <c r="I38" s="118"/>
      <c r="J38" s="117"/>
      <c r="K38" s="116"/>
      <c r="L38" s="110"/>
      <c r="M38" s="109"/>
      <c r="N38" s="115"/>
      <c r="O38" s="110"/>
      <c r="P38" s="109"/>
      <c r="Q38" s="114"/>
      <c r="R38" s="113"/>
      <c r="S38" s="113"/>
      <c r="T38" s="113"/>
      <c r="U38" s="113"/>
      <c r="V38" s="112"/>
      <c r="Z38" s="107"/>
    </row>
    <row r="39" spans="1:26" ht="19.5" customHeight="1" x14ac:dyDescent="0.25">
      <c r="A39" s="108"/>
      <c r="B39" s="120"/>
      <c r="C39" s="114"/>
      <c r="D39" s="113"/>
      <c r="E39" s="113"/>
      <c r="F39" s="113"/>
      <c r="G39" s="112"/>
      <c r="H39" s="119"/>
      <c r="I39" s="118"/>
      <c r="J39" s="117"/>
      <c r="K39" s="116"/>
      <c r="L39" s="110"/>
      <c r="M39" s="109"/>
      <c r="N39" s="115"/>
      <c r="O39" s="110"/>
      <c r="P39" s="109"/>
      <c r="Q39" s="114"/>
      <c r="R39" s="113"/>
      <c r="S39" s="113"/>
      <c r="T39" s="113"/>
      <c r="U39" s="113"/>
      <c r="V39" s="112"/>
      <c r="Z39" s="107"/>
    </row>
    <row r="40" spans="1:26" ht="19.5" customHeight="1" x14ac:dyDescent="0.25">
      <c r="A40" s="108"/>
      <c r="B40" s="120"/>
      <c r="C40" s="114"/>
      <c r="D40" s="113"/>
      <c r="E40" s="113"/>
      <c r="F40" s="113"/>
      <c r="G40" s="112"/>
      <c r="H40" s="119"/>
      <c r="I40" s="118"/>
      <c r="J40" s="117"/>
      <c r="K40" s="116"/>
      <c r="L40" s="110"/>
      <c r="M40" s="109"/>
      <c r="N40" s="115"/>
      <c r="O40" s="110"/>
      <c r="P40" s="109"/>
      <c r="Q40" s="114"/>
      <c r="R40" s="113"/>
      <c r="S40" s="113"/>
      <c r="T40" s="113"/>
      <c r="U40" s="113"/>
      <c r="V40" s="112"/>
      <c r="Z40" s="107"/>
    </row>
    <row r="41" spans="1:26" ht="19.5" customHeight="1" x14ac:dyDescent="0.25">
      <c r="A41" s="108"/>
      <c r="B41" s="120"/>
      <c r="C41" s="114"/>
      <c r="D41" s="113"/>
      <c r="E41" s="113"/>
      <c r="F41" s="113"/>
      <c r="G41" s="112"/>
      <c r="H41" s="119"/>
      <c r="I41" s="118"/>
      <c r="J41" s="117"/>
      <c r="K41" s="116"/>
      <c r="L41" s="110"/>
      <c r="M41" s="109"/>
      <c r="N41" s="115"/>
      <c r="O41" s="110"/>
      <c r="P41" s="109"/>
      <c r="Q41" s="114"/>
      <c r="R41" s="113"/>
      <c r="S41" s="113"/>
      <c r="T41" s="113"/>
      <c r="U41" s="113"/>
      <c r="V41" s="112"/>
      <c r="Z41" s="107"/>
    </row>
    <row r="42" spans="1:26" ht="19.5" customHeight="1" x14ac:dyDescent="0.25">
      <c r="A42" s="108"/>
      <c r="B42" s="120"/>
      <c r="C42" s="114"/>
      <c r="D42" s="113"/>
      <c r="E42" s="113"/>
      <c r="F42" s="113"/>
      <c r="G42" s="112"/>
      <c r="H42" s="119"/>
      <c r="I42" s="118"/>
      <c r="J42" s="117"/>
      <c r="K42" s="116"/>
      <c r="L42" s="110"/>
      <c r="M42" s="109"/>
      <c r="N42" s="115"/>
      <c r="O42" s="110"/>
      <c r="P42" s="109"/>
      <c r="Q42" s="114"/>
      <c r="R42" s="113"/>
      <c r="S42" s="113"/>
      <c r="T42" s="113"/>
      <c r="U42" s="113"/>
      <c r="V42" s="112"/>
      <c r="Z42" s="107"/>
    </row>
    <row r="43" spans="1:26" ht="19.5" customHeight="1" x14ac:dyDescent="0.25">
      <c r="A43" s="108"/>
      <c r="B43" s="120"/>
      <c r="C43" s="114"/>
      <c r="D43" s="113"/>
      <c r="E43" s="113"/>
      <c r="F43" s="113"/>
      <c r="G43" s="112"/>
      <c r="H43" s="119"/>
      <c r="I43" s="118"/>
      <c r="J43" s="117"/>
      <c r="K43" s="116"/>
      <c r="L43" s="110"/>
      <c r="M43" s="109"/>
      <c r="N43" s="115"/>
      <c r="O43" s="110"/>
      <c r="P43" s="109"/>
      <c r="Q43" s="114"/>
      <c r="R43" s="113"/>
      <c r="S43" s="113"/>
      <c r="T43" s="113"/>
      <c r="U43" s="113"/>
      <c r="V43" s="112"/>
      <c r="Z43" s="107"/>
    </row>
    <row r="44" spans="1:26" ht="19.5" customHeight="1" x14ac:dyDescent="0.25">
      <c r="A44" s="108"/>
      <c r="B44" s="120"/>
      <c r="C44" s="114"/>
      <c r="D44" s="113"/>
      <c r="E44" s="113"/>
      <c r="F44" s="113"/>
      <c r="G44" s="112"/>
      <c r="H44" s="119"/>
      <c r="I44" s="118"/>
      <c r="J44" s="117"/>
      <c r="K44" s="116"/>
      <c r="L44" s="110"/>
      <c r="M44" s="109"/>
      <c r="N44" s="115"/>
      <c r="O44" s="110"/>
      <c r="P44" s="109"/>
      <c r="Q44" s="114"/>
      <c r="R44" s="113"/>
      <c r="S44" s="113"/>
      <c r="T44" s="113"/>
      <c r="U44" s="113"/>
      <c r="V44" s="112"/>
      <c r="Z44" s="107"/>
    </row>
    <row r="45" spans="1:26" ht="19.5" customHeight="1" x14ac:dyDescent="0.25">
      <c r="A45" s="108"/>
      <c r="B45" s="120"/>
      <c r="C45" s="114"/>
      <c r="D45" s="113"/>
      <c r="E45" s="113"/>
      <c r="F45" s="113"/>
      <c r="G45" s="112"/>
      <c r="H45" s="119"/>
      <c r="I45" s="118"/>
      <c r="J45" s="117"/>
      <c r="K45" s="116"/>
      <c r="L45" s="110"/>
      <c r="M45" s="109"/>
      <c r="N45" s="115"/>
      <c r="O45" s="110"/>
      <c r="P45" s="109"/>
      <c r="Q45" s="114"/>
      <c r="R45" s="113"/>
      <c r="S45" s="113"/>
      <c r="T45" s="113"/>
      <c r="U45" s="113"/>
      <c r="V45" s="112"/>
      <c r="Z45" s="107"/>
    </row>
    <row r="46" spans="1:26" ht="19.5" customHeight="1" x14ac:dyDescent="0.25">
      <c r="A46" s="108"/>
      <c r="B46" s="120"/>
      <c r="C46" s="114"/>
      <c r="D46" s="113"/>
      <c r="E46" s="113"/>
      <c r="F46" s="113"/>
      <c r="G46" s="112"/>
      <c r="H46" s="119"/>
      <c r="I46" s="118"/>
      <c r="J46" s="117"/>
      <c r="K46" s="116"/>
      <c r="L46" s="110"/>
      <c r="M46" s="109"/>
      <c r="N46" s="115"/>
      <c r="O46" s="110"/>
      <c r="P46" s="109"/>
      <c r="Q46" s="114"/>
      <c r="R46" s="113"/>
      <c r="S46" s="113"/>
      <c r="T46" s="113"/>
      <c r="U46" s="113"/>
      <c r="V46" s="112"/>
      <c r="Z46" s="107"/>
    </row>
    <row r="47" spans="1:26" ht="19.5" customHeight="1" x14ac:dyDescent="0.25">
      <c r="A47" s="108"/>
      <c r="B47" s="120"/>
      <c r="C47" s="114"/>
      <c r="D47" s="113"/>
      <c r="E47" s="113"/>
      <c r="F47" s="113"/>
      <c r="G47" s="112"/>
      <c r="H47" s="119"/>
      <c r="I47" s="118"/>
      <c r="J47" s="117"/>
      <c r="K47" s="116"/>
      <c r="L47" s="110"/>
      <c r="M47" s="109"/>
      <c r="N47" s="115"/>
      <c r="O47" s="110"/>
      <c r="P47" s="109"/>
      <c r="Q47" s="114"/>
      <c r="R47" s="113"/>
      <c r="S47" s="113"/>
      <c r="T47" s="113"/>
      <c r="U47" s="113"/>
      <c r="V47" s="112"/>
      <c r="Z47" s="107"/>
    </row>
    <row r="48" spans="1:26" ht="19.5" customHeight="1" x14ac:dyDescent="0.25">
      <c r="A48" s="108"/>
      <c r="B48" s="120"/>
      <c r="C48" s="114"/>
      <c r="D48" s="113"/>
      <c r="E48" s="113"/>
      <c r="F48" s="113"/>
      <c r="G48" s="112"/>
      <c r="H48" s="119"/>
      <c r="I48" s="118"/>
      <c r="J48" s="117"/>
      <c r="K48" s="116"/>
      <c r="L48" s="110"/>
      <c r="M48" s="109"/>
      <c r="N48" s="115"/>
      <c r="O48" s="110"/>
      <c r="P48" s="109"/>
      <c r="Q48" s="114"/>
      <c r="R48" s="113"/>
      <c r="S48" s="113"/>
      <c r="T48" s="113"/>
      <c r="U48" s="113"/>
      <c r="V48" s="112"/>
      <c r="Z48" s="107"/>
    </row>
    <row r="49" spans="1:26" ht="19.5" customHeight="1" x14ac:dyDescent="0.25">
      <c r="A49" s="108"/>
      <c r="B49" s="120"/>
      <c r="C49" s="114"/>
      <c r="D49" s="113"/>
      <c r="E49" s="113"/>
      <c r="F49" s="113"/>
      <c r="G49" s="112"/>
      <c r="H49" s="119"/>
      <c r="I49" s="118"/>
      <c r="J49" s="117"/>
      <c r="K49" s="116"/>
      <c r="L49" s="110"/>
      <c r="M49" s="109"/>
      <c r="N49" s="115"/>
      <c r="O49" s="110"/>
      <c r="P49" s="109"/>
      <c r="Q49" s="114"/>
      <c r="R49" s="113"/>
      <c r="S49" s="113"/>
      <c r="T49" s="113"/>
      <c r="U49" s="113"/>
      <c r="V49" s="112"/>
      <c r="Z49" s="107"/>
    </row>
    <row r="50" spans="1:26" ht="19.5" customHeight="1" x14ac:dyDescent="0.25">
      <c r="A50" s="108"/>
      <c r="B50" s="120"/>
      <c r="C50" s="114"/>
      <c r="D50" s="113"/>
      <c r="E50" s="113"/>
      <c r="F50" s="113"/>
      <c r="G50" s="112"/>
      <c r="H50" s="119"/>
      <c r="I50" s="118"/>
      <c r="J50" s="117"/>
      <c r="K50" s="116"/>
      <c r="L50" s="110"/>
      <c r="M50" s="109"/>
      <c r="N50" s="115"/>
      <c r="O50" s="110"/>
      <c r="P50" s="109"/>
      <c r="Q50" s="114"/>
      <c r="R50" s="113"/>
      <c r="S50" s="113"/>
      <c r="T50" s="113"/>
      <c r="U50" s="113"/>
      <c r="V50" s="112"/>
      <c r="Z50" s="107"/>
    </row>
    <row r="51" spans="1:26" ht="19.5" customHeight="1" x14ac:dyDescent="0.25">
      <c r="A51" s="108"/>
      <c r="B51" s="120"/>
      <c r="C51" s="114"/>
      <c r="D51" s="113"/>
      <c r="E51" s="113"/>
      <c r="F51" s="113"/>
      <c r="G51" s="112"/>
      <c r="H51" s="119"/>
      <c r="I51" s="118"/>
      <c r="J51" s="117"/>
      <c r="K51" s="116"/>
      <c r="L51" s="110"/>
      <c r="M51" s="109"/>
      <c r="N51" s="115"/>
      <c r="O51" s="110"/>
      <c r="P51" s="109"/>
      <c r="Q51" s="114"/>
      <c r="R51" s="113"/>
      <c r="S51" s="113"/>
      <c r="T51" s="113"/>
      <c r="U51" s="113"/>
      <c r="V51" s="112"/>
      <c r="Z51" s="107"/>
    </row>
    <row r="52" spans="1:26" ht="19.5" customHeight="1" x14ac:dyDescent="0.25">
      <c r="A52" s="108"/>
      <c r="B52" s="120"/>
      <c r="C52" s="114"/>
      <c r="D52" s="113"/>
      <c r="E52" s="113"/>
      <c r="F52" s="113"/>
      <c r="G52" s="112"/>
      <c r="H52" s="119"/>
      <c r="I52" s="118"/>
      <c r="J52" s="117"/>
      <c r="K52" s="116"/>
      <c r="L52" s="110"/>
      <c r="M52" s="109"/>
      <c r="N52" s="115"/>
      <c r="O52" s="110"/>
      <c r="P52" s="109"/>
      <c r="Q52" s="114"/>
      <c r="R52" s="113"/>
      <c r="S52" s="113"/>
      <c r="T52" s="113"/>
      <c r="U52" s="113"/>
      <c r="V52" s="112"/>
      <c r="Z52" s="107"/>
    </row>
    <row r="53" spans="1:26" ht="19.5" customHeight="1" x14ac:dyDescent="0.25">
      <c r="A53" s="108"/>
      <c r="B53" s="120"/>
      <c r="C53" s="114"/>
      <c r="D53" s="113"/>
      <c r="E53" s="113"/>
      <c r="F53" s="113"/>
      <c r="G53" s="112"/>
      <c r="H53" s="119"/>
      <c r="I53" s="118"/>
      <c r="J53" s="117"/>
      <c r="K53" s="116"/>
      <c r="L53" s="110"/>
      <c r="M53" s="109"/>
      <c r="N53" s="115"/>
      <c r="O53" s="110"/>
      <c r="P53" s="109"/>
      <c r="Q53" s="114"/>
      <c r="R53" s="113"/>
      <c r="S53" s="113"/>
      <c r="T53" s="113"/>
      <c r="U53" s="113"/>
      <c r="V53" s="112"/>
      <c r="Z53" s="107"/>
    </row>
    <row r="54" spans="1:26" ht="19.5" customHeight="1" x14ac:dyDescent="0.25">
      <c r="A54" s="108"/>
      <c r="B54" s="120"/>
      <c r="C54" s="114"/>
      <c r="D54" s="113"/>
      <c r="E54" s="113"/>
      <c r="F54" s="113"/>
      <c r="G54" s="112"/>
      <c r="H54" s="119"/>
      <c r="I54" s="118"/>
      <c r="J54" s="117"/>
      <c r="K54" s="116"/>
      <c r="L54" s="110"/>
      <c r="M54" s="109"/>
      <c r="N54" s="115"/>
      <c r="O54" s="110"/>
      <c r="P54" s="109"/>
      <c r="Q54" s="114"/>
      <c r="R54" s="113"/>
      <c r="S54" s="113"/>
      <c r="T54" s="113"/>
      <c r="U54" s="113"/>
      <c r="V54" s="112"/>
      <c r="Z54" s="107"/>
    </row>
    <row r="55" spans="1:26" ht="19.5" customHeight="1" thickBot="1" x14ac:dyDescent="0.3">
      <c r="A55" s="108"/>
      <c r="B55" s="111"/>
      <c r="C55" s="358"/>
      <c r="D55" s="359"/>
      <c r="E55" s="359"/>
      <c r="F55" s="359"/>
      <c r="G55" s="360"/>
      <c r="H55" s="361"/>
      <c r="I55" s="362"/>
      <c r="J55" s="363"/>
      <c r="K55" s="361"/>
      <c r="L55" s="362"/>
      <c r="M55" s="363"/>
      <c r="N55" s="364"/>
      <c r="O55" s="365"/>
      <c r="P55" s="366"/>
      <c r="Q55" s="358"/>
      <c r="R55" s="359"/>
      <c r="S55" s="359"/>
      <c r="T55" s="359"/>
      <c r="U55" s="359"/>
      <c r="V55" s="360"/>
      <c r="Z55" s="107"/>
    </row>
    <row r="56" spans="1:26" ht="15.75" customHeight="1" x14ac:dyDescent="0.25">
      <c r="A56" s="108"/>
      <c r="B56" s="370" t="s">
        <v>36</v>
      </c>
      <c r="C56" s="371"/>
      <c r="D56" s="371"/>
      <c r="E56" s="371"/>
      <c r="F56" s="371"/>
      <c r="G56" s="372"/>
      <c r="H56" s="367">
        <f>AVERAGE(H25:J55)</f>
        <v>29.304000000000002</v>
      </c>
      <c r="I56" s="368"/>
      <c r="J56" s="369"/>
      <c r="K56" s="341">
        <f>AVERAGE(K25:M55)</f>
        <v>55.209999999999994</v>
      </c>
      <c r="L56" s="342"/>
      <c r="M56" s="343"/>
      <c r="N56" s="341">
        <f>AVERAGE(N25:P55)</f>
        <v>1.9319970674486804</v>
      </c>
      <c r="O56" s="342"/>
      <c r="P56" s="343"/>
      <c r="Q56" s="381">
        <v>77.8</v>
      </c>
      <c r="R56" s="382"/>
      <c r="S56" s="376" t="s">
        <v>38</v>
      </c>
      <c r="T56" s="376"/>
      <c r="U56" s="376"/>
      <c r="V56" s="377"/>
      <c r="Z56" s="107"/>
    </row>
    <row r="57" spans="1:26" ht="15.75" customHeight="1" x14ac:dyDescent="0.25">
      <c r="A57" s="108"/>
      <c r="B57" s="434" t="s">
        <v>39</v>
      </c>
      <c r="C57" s="435"/>
      <c r="D57" s="435"/>
      <c r="E57" s="435"/>
      <c r="F57" s="435"/>
      <c r="G57" s="436"/>
      <c r="H57" s="341">
        <f>IF(H25&lt;&gt;"",MIN(H25:J55),"")</f>
        <v>20.6</v>
      </c>
      <c r="I57" s="342"/>
      <c r="J57" s="343"/>
      <c r="K57" s="341">
        <f>IF(COUNTIF(K25:M55,"*&lt;20*"),"&lt;20",MIN(K25:M55))</f>
        <v>39.799999999999997</v>
      </c>
      <c r="L57" s="342"/>
      <c r="M57" s="343"/>
      <c r="N57" s="341">
        <f>IF(N25&lt;&gt;"",MIN(N25:P55),"")</f>
        <v>1.54</v>
      </c>
      <c r="O57" s="342"/>
      <c r="P57" s="343"/>
      <c r="Q57" s="383"/>
      <c r="R57" s="384"/>
      <c r="S57" s="278"/>
      <c r="T57" s="278"/>
      <c r="U57" s="278"/>
      <c r="V57" s="378"/>
      <c r="Z57" s="107"/>
    </row>
    <row r="58" spans="1:26" ht="15.75" customHeight="1" thickBot="1" x14ac:dyDescent="0.3">
      <c r="A58" s="108"/>
      <c r="B58" s="437" t="s">
        <v>40</v>
      </c>
      <c r="C58" s="438"/>
      <c r="D58" s="438"/>
      <c r="E58" s="438"/>
      <c r="F58" s="438"/>
      <c r="G58" s="439"/>
      <c r="H58" s="344">
        <f>IF(H25&lt;&gt;"",MAX(H25:J55),"")</f>
        <v>41.36</v>
      </c>
      <c r="I58" s="345"/>
      <c r="J58" s="346"/>
      <c r="K58" s="344">
        <f>IF(COUNTIF(K25:M55,"*&gt;250*"),"&gt;250",MAX(K25:M55))</f>
        <v>73.8</v>
      </c>
      <c r="L58" s="345"/>
      <c r="M58" s="346"/>
      <c r="N58" s="344">
        <f>IF(N25&lt;&gt;"",MAX(N25:P55),"")</f>
        <v>2.4900000000000002</v>
      </c>
      <c r="O58" s="345"/>
      <c r="P58" s="346"/>
      <c r="Q58" s="385"/>
      <c r="R58" s="386"/>
      <c r="S58" s="379"/>
      <c r="T58" s="379"/>
      <c r="U58" s="379"/>
      <c r="V58" s="380"/>
      <c r="Z58" s="107"/>
    </row>
    <row r="59" spans="1:26" ht="15.9" customHeight="1" x14ac:dyDescent="0.25">
      <c r="A59" s="106"/>
      <c r="B59" s="105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3"/>
    </row>
    <row r="60" spans="1:26" ht="12.75" customHeight="1" x14ac:dyDescent="0.25">
      <c r="A60" s="102"/>
      <c r="B60" s="101"/>
    </row>
    <row r="61" spans="1:26" s="76" customFormat="1" ht="15.6" customHeight="1" x14ac:dyDescent="0.25">
      <c r="A61" s="100" t="s">
        <v>41</v>
      </c>
      <c r="B61" s="99" t="s">
        <v>42</v>
      </c>
      <c r="C61" s="98"/>
      <c r="D61" s="98"/>
      <c r="E61" s="98"/>
      <c r="F61" s="97"/>
      <c r="G61" s="97"/>
      <c r="H61" s="97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5"/>
      <c r="V61" s="94"/>
      <c r="W61" s="94"/>
      <c r="X61" s="93"/>
      <c r="Y61" s="93"/>
      <c r="Z61" s="92"/>
    </row>
    <row r="62" spans="1:26" s="76" customFormat="1" ht="28.5" customHeight="1" x14ac:dyDescent="0.25">
      <c r="A62" s="431" t="s">
        <v>43</v>
      </c>
      <c r="B62" s="432"/>
      <c r="C62" s="432"/>
      <c r="D62" s="432"/>
      <c r="E62" s="432"/>
      <c r="F62" s="432"/>
      <c r="G62" s="432"/>
      <c r="H62" s="432"/>
      <c r="I62" s="432"/>
      <c r="J62" s="432"/>
      <c r="K62" s="432"/>
      <c r="L62" s="432"/>
      <c r="M62" s="432"/>
      <c r="N62" s="432"/>
      <c r="O62" s="432"/>
      <c r="P62" s="432"/>
      <c r="Q62" s="433"/>
      <c r="R62" s="352" t="s">
        <v>44</v>
      </c>
      <c r="S62" s="353"/>
      <c r="T62" s="354"/>
      <c r="U62" s="282" t="s">
        <v>13</v>
      </c>
      <c r="V62" s="283"/>
      <c r="W62" s="283"/>
      <c r="X62" s="284"/>
      <c r="Y62" s="284"/>
      <c r="Z62" s="285"/>
    </row>
    <row r="63" spans="1:26" s="76" customFormat="1" ht="15.6" customHeight="1" x14ac:dyDescent="0.25">
      <c r="A63" s="440" t="s">
        <v>112</v>
      </c>
      <c r="B63" s="441"/>
      <c r="C63" s="441"/>
      <c r="D63" s="441"/>
      <c r="E63" s="441"/>
      <c r="F63" s="441"/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2"/>
      <c r="R63" s="352" t="s">
        <v>46</v>
      </c>
      <c r="S63" s="353"/>
      <c r="T63" s="354"/>
      <c r="U63" s="292" t="s">
        <v>47</v>
      </c>
      <c r="V63" s="293"/>
      <c r="W63" s="293"/>
      <c r="X63" s="294"/>
      <c r="Y63" s="294"/>
      <c r="Z63" s="295"/>
    </row>
    <row r="64" spans="1:26" s="76" customFormat="1" ht="15.6" customHeight="1" x14ac:dyDescent="0.25">
      <c r="A64" s="443"/>
      <c r="B64" s="444"/>
      <c r="C64" s="444"/>
      <c r="D64" s="444"/>
      <c r="E64" s="444"/>
      <c r="F64" s="444"/>
      <c r="G64" s="444"/>
      <c r="H64" s="444"/>
      <c r="I64" s="444"/>
      <c r="J64" s="444"/>
      <c r="K64" s="444"/>
      <c r="L64" s="444"/>
      <c r="M64" s="444"/>
      <c r="N64" s="444"/>
      <c r="O64" s="444"/>
      <c r="P64" s="444"/>
      <c r="Q64" s="445"/>
      <c r="R64" s="352"/>
      <c r="S64" s="353"/>
      <c r="T64" s="354"/>
      <c r="U64" s="296"/>
      <c r="V64" s="278"/>
      <c r="W64" s="278"/>
      <c r="X64" s="297"/>
      <c r="Y64" s="297"/>
      <c r="Z64" s="298"/>
    </row>
    <row r="65" spans="1:26" s="76" customFormat="1" ht="15.6" customHeight="1" x14ac:dyDescent="0.25">
      <c r="A65" s="91" t="s">
        <v>48</v>
      </c>
      <c r="B65" s="90" t="s">
        <v>49</v>
      </c>
      <c r="C65" s="74"/>
      <c r="D65" s="74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8"/>
      <c r="R65" s="352"/>
      <c r="S65" s="353"/>
      <c r="T65" s="354"/>
      <c r="U65" s="299"/>
      <c r="V65" s="300"/>
      <c r="W65" s="300"/>
      <c r="X65" s="301"/>
      <c r="Y65" s="301"/>
      <c r="Z65" s="302"/>
    </row>
    <row r="66" spans="1:26" s="76" customFormat="1" ht="15.6" customHeight="1" x14ac:dyDescent="0.25">
      <c r="A66" s="266" t="s">
        <v>90</v>
      </c>
      <c r="B66" s="267"/>
      <c r="C66" s="267"/>
      <c r="D66" s="267"/>
      <c r="E66" s="267"/>
      <c r="F66" s="267"/>
      <c r="G66" s="267"/>
      <c r="H66" s="267"/>
      <c r="I66" s="267"/>
      <c r="J66" s="267"/>
      <c r="K66" s="267"/>
      <c r="L66" s="267"/>
      <c r="M66" s="267"/>
      <c r="N66" s="267"/>
      <c r="O66" s="267"/>
      <c r="P66" s="267"/>
      <c r="Q66" s="268"/>
      <c r="R66" s="352" t="s">
        <v>50</v>
      </c>
      <c r="S66" s="353"/>
      <c r="T66" s="354"/>
      <c r="U66" s="87"/>
      <c r="V66" s="86"/>
      <c r="W66" s="86"/>
      <c r="X66" s="86"/>
      <c r="Y66" s="86"/>
      <c r="Z66" s="85"/>
    </row>
    <row r="67" spans="1:26" s="76" customFormat="1" ht="15.6" customHeight="1" x14ac:dyDescent="0.25">
      <c r="A67" s="266"/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67"/>
      <c r="N67" s="267"/>
      <c r="O67" s="267"/>
      <c r="P67" s="267"/>
      <c r="Q67" s="268"/>
      <c r="R67" s="352"/>
      <c r="S67" s="353"/>
      <c r="T67" s="354"/>
      <c r="U67" s="84"/>
      <c r="V67" s="278"/>
      <c r="W67" s="278"/>
      <c r="X67" s="278"/>
      <c r="Y67" s="278"/>
      <c r="Z67" s="83"/>
    </row>
    <row r="68" spans="1:26" s="76" customFormat="1" ht="15.6" customHeight="1" x14ac:dyDescent="0.25">
      <c r="A68" s="266"/>
      <c r="B68" s="267"/>
      <c r="C68" s="267"/>
      <c r="D68" s="267"/>
      <c r="E68" s="267"/>
      <c r="F68" s="267"/>
      <c r="G68" s="267"/>
      <c r="H68" s="267"/>
      <c r="I68" s="267"/>
      <c r="J68" s="267"/>
      <c r="K68" s="267"/>
      <c r="L68" s="267"/>
      <c r="M68" s="267"/>
      <c r="N68" s="267"/>
      <c r="O68" s="267"/>
      <c r="P68" s="267"/>
      <c r="Q68" s="268"/>
      <c r="R68" s="352"/>
      <c r="S68" s="353"/>
      <c r="T68" s="354"/>
      <c r="U68" s="84"/>
      <c r="V68" s="278"/>
      <c r="W68" s="278"/>
      <c r="X68" s="278"/>
      <c r="Y68" s="278"/>
      <c r="Z68" s="83"/>
    </row>
    <row r="69" spans="1:26" s="76" customFormat="1" ht="15.6" customHeight="1" x14ac:dyDescent="0.25">
      <c r="A69" s="269"/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1"/>
      <c r="R69" s="355"/>
      <c r="S69" s="356"/>
      <c r="T69" s="357"/>
      <c r="U69" s="82"/>
      <c r="V69" s="81"/>
      <c r="W69" s="81"/>
      <c r="X69" s="81"/>
      <c r="Y69" s="81"/>
      <c r="Z69" s="80"/>
    </row>
    <row r="70" spans="1:26" s="76" customFormat="1" ht="15" customHeight="1" x14ac:dyDescent="0.25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8"/>
      <c r="S70" s="78"/>
      <c r="T70" s="78"/>
      <c r="U70" s="77"/>
      <c r="V70" s="77"/>
      <c r="W70" s="77"/>
      <c r="X70" s="77"/>
      <c r="Y70" s="77"/>
      <c r="Z70" s="77"/>
    </row>
    <row r="72" spans="1:26" ht="12.75" customHeight="1" x14ac:dyDescent="0.25">
      <c r="A72" s="74"/>
    </row>
    <row r="73" spans="1:26" ht="12.75" customHeight="1" x14ac:dyDescent="0.25">
      <c r="A73" s="74"/>
    </row>
    <row r="74" spans="1:26" ht="12.75" customHeight="1" x14ac:dyDescent="0.25">
      <c r="A74" s="74"/>
    </row>
    <row r="75" spans="1:26" ht="12.75" customHeight="1" x14ac:dyDescent="0.25">
      <c r="A75" s="74"/>
    </row>
    <row r="76" spans="1:26" ht="12.75" customHeight="1" x14ac:dyDescent="0.25">
      <c r="A76" s="74"/>
    </row>
    <row r="77" spans="1:26" ht="12.75" customHeight="1" x14ac:dyDescent="0.25">
      <c r="A77" s="74"/>
    </row>
  </sheetData>
  <sheetProtection formatCells="0" formatColumns="0" formatRows="0" insertColumns="0" insertRows="0" insertHyperlinks="0" deleteColumns="0" deleteRows="0" selectLockedCells="1" sort="0" autoFilter="0" pivotTables="0"/>
  <mergeCells count="114">
    <mergeCell ref="Q34:V34"/>
    <mergeCell ref="C33:G33"/>
    <mergeCell ref="H33:J33"/>
    <mergeCell ref="K33:M33"/>
    <mergeCell ref="N33:P33"/>
    <mergeCell ref="Q33:V33"/>
    <mergeCell ref="H32:J32"/>
    <mergeCell ref="K32:M32"/>
    <mergeCell ref="N32:P32"/>
    <mergeCell ref="U62:Z62"/>
    <mergeCell ref="A63:Q64"/>
    <mergeCell ref="R63:T65"/>
    <mergeCell ref="U63:Z65"/>
    <mergeCell ref="C27:G27"/>
    <mergeCell ref="H27:J27"/>
    <mergeCell ref="K27:M27"/>
    <mergeCell ref="N27:P27"/>
    <mergeCell ref="Q27:V27"/>
    <mergeCell ref="C29:G29"/>
    <mergeCell ref="H29:J29"/>
    <mergeCell ref="K29:M29"/>
    <mergeCell ref="N29:P29"/>
    <mergeCell ref="Q29:V29"/>
    <mergeCell ref="C28:G28"/>
    <mergeCell ref="H28:J28"/>
    <mergeCell ref="K28:M28"/>
    <mergeCell ref="N28:P28"/>
    <mergeCell ref="Q28:V28"/>
    <mergeCell ref="C31:G31"/>
    <mergeCell ref="H31:J31"/>
    <mergeCell ref="K31:M31"/>
    <mergeCell ref="N31:P31"/>
    <mergeCell ref="Q31:V31"/>
    <mergeCell ref="K23:M23"/>
    <mergeCell ref="B17:H17"/>
    <mergeCell ref="B12:G12"/>
    <mergeCell ref="B11:G11"/>
    <mergeCell ref="N12:R12"/>
    <mergeCell ref="H12:M12"/>
    <mergeCell ref="H11:M11"/>
    <mergeCell ref="N11:R11"/>
    <mergeCell ref="A62:Q62"/>
    <mergeCell ref="R62:T62"/>
    <mergeCell ref="C26:G26"/>
    <mergeCell ref="H26:J26"/>
    <mergeCell ref="K26:M26"/>
    <mergeCell ref="N26:P26"/>
    <mergeCell ref="Q26:V26"/>
    <mergeCell ref="C30:G30"/>
    <mergeCell ref="H30:J30"/>
    <mergeCell ref="K30:M30"/>
    <mergeCell ref="N30:P30"/>
    <mergeCell ref="Q30:V30"/>
    <mergeCell ref="C34:G34"/>
    <mergeCell ref="H34:J34"/>
    <mergeCell ref="K34:M34"/>
    <mergeCell ref="N34:P34"/>
    <mergeCell ref="I6:K6"/>
    <mergeCell ref="L5:O5"/>
    <mergeCell ref="P5:T5"/>
    <mergeCell ref="L6:O6"/>
    <mergeCell ref="P6:T6"/>
    <mergeCell ref="A1:F6"/>
    <mergeCell ref="J21:P21"/>
    <mergeCell ref="N25:P25"/>
    <mergeCell ref="N23:P24"/>
    <mergeCell ref="I18:J18"/>
    <mergeCell ref="N10:R10"/>
    <mergeCell ref="G2:T4"/>
    <mergeCell ref="G5:H5"/>
    <mergeCell ref="I17:Y17"/>
    <mergeCell ref="S11:Y11"/>
    <mergeCell ref="H25:J25"/>
    <mergeCell ref="K25:M25"/>
    <mergeCell ref="B18:H18"/>
    <mergeCell ref="B23:B24"/>
    <mergeCell ref="C23:G24"/>
    <mergeCell ref="C25:G25"/>
    <mergeCell ref="H24:J24"/>
    <mergeCell ref="K24:M24"/>
    <mergeCell ref="H23:J23"/>
    <mergeCell ref="G1:T1"/>
    <mergeCell ref="B10:G10"/>
    <mergeCell ref="S10:Y10"/>
    <mergeCell ref="A66:Q69"/>
    <mergeCell ref="R66:T69"/>
    <mergeCell ref="V67:Y68"/>
    <mergeCell ref="C55:G55"/>
    <mergeCell ref="H55:J55"/>
    <mergeCell ref="K55:M55"/>
    <mergeCell ref="N55:P55"/>
    <mergeCell ref="H58:J58"/>
    <mergeCell ref="H57:J57"/>
    <mergeCell ref="H56:J56"/>
    <mergeCell ref="B56:G56"/>
    <mergeCell ref="U1:Z6"/>
    <mergeCell ref="Q25:V25"/>
    <mergeCell ref="S56:V58"/>
    <mergeCell ref="Q56:R58"/>
    <mergeCell ref="S12:Y12"/>
    <mergeCell ref="Q23:V24"/>
    <mergeCell ref="A7:F7"/>
    <mergeCell ref="G7:Z7"/>
    <mergeCell ref="H10:M10"/>
    <mergeCell ref="I5:K5"/>
    <mergeCell ref="B57:G57"/>
    <mergeCell ref="B58:G58"/>
    <mergeCell ref="Q55:V55"/>
    <mergeCell ref="K58:M58"/>
    <mergeCell ref="K56:M56"/>
    <mergeCell ref="K57:M57"/>
    <mergeCell ref="N56:P56"/>
    <mergeCell ref="N57:P57"/>
    <mergeCell ref="N58:P58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F1E2-D105-4E20-AA12-E0066E7D25BD}">
  <sheetPr codeName="Feuil2">
    <pageSetUpPr fitToPage="1"/>
  </sheetPr>
  <dimension ref="A1:AA6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9</v>
      </c>
      <c r="J5" s="191"/>
      <c r="K5" s="192"/>
      <c r="L5" s="193" t="s">
        <v>3</v>
      </c>
      <c r="M5" s="194"/>
      <c r="N5" s="194"/>
      <c r="O5" s="195"/>
      <c r="P5" s="196" t="s">
        <v>78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68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79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78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77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60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50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26</v>
      </c>
      <c r="C27" s="216"/>
      <c r="D27" s="217"/>
      <c r="E27" s="217"/>
      <c r="F27" s="217"/>
      <c r="G27" s="218"/>
      <c r="H27" s="475">
        <v>51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/>
      <c r="C28" s="216"/>
      <c r="D28" s="217"/>
      <c r="E28" s="217"/>
      <c r="F28" s="217"/>
      <c r="G28" s="218"/>
      <c r="H28" s="475"/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/>
      <c r="C29" s="216"/>
      <c r="D29" s="217"/>
      <c r="E29" s="217"/>
      <c r="F29" s="217"/>
      <c r="G29" s="218"/>
      <c r="H29" s="475"/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/>
      <c r="C30" s="216"/>
      <c r="D30" s="217"/>
      <c r="E30" s="217"/>
      <c r="F30" s="217"/>
      <c r="G30" s="218"/>
      <c r="H30" s="475"/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/>
      <c r="C31" s="216"/>
      <c r="D31" s="217"/>
      <c r="E31" s="217"/>
      <c r="F31" s="217"/>
      <c r="G31" s="218"/>
      <c r="H31" s="475"/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/>
      <c r="C32" s="216"/>
      <c r="D32" s="217"/>
      <c r="E32" s="217"/>
      <c r="F32" s="217"/>
      <c r="G32" s="218"/>
      <c r="H32" s="475"/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/>
      <c r="C33" s="216"/>
      <c r="D33" s="217"/>
      <c r="E33" s="217"/>
      <c r="F33" s="217"/>
      <c r="G33" s="218"/>
      <c r="H33" s="475"/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/>
      <c r="C34" s="216"/>
      <c r="D34" s="217"/>
      <c r="E34" s="217"/>
      <c r="F34" s="217"/>
      <c r="G34" s="218"/>
      <c r="H34" s="475"/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/>
      <c r="C35" s="216"/>
      <c r="D35" s="217"/>
      <c r="E35" s="217"/>
      <c r="F35" s="217"/>
      <c r="G35" s="218"/>
      <c r="H35" s="475"/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/>
      <c r="C36" s="216"/>
      <c r="D36" s="217"/>
      <c r="E36" s="217"/>
      <c r="F36" s="217"/>
      <c r="G36" s="218"/>
      <c r="H36" s="475"/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/>
      <c r="C37" s="216"/>
      <c r="D37" s="217"/>
      <c r="E37" s="217"/>
      <c r="F37" s="217"/>
      <c r="G37" s="218"/>
      <c r="H37" s="475"/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/>
      <c r="C38" s="216"/>
      <c r="D38" s="217"/>
      <c r="E38" s="217"/>
      <c r="F38" s="217"/>
      <c r="G38" s="218"/>
      <c r="H38" s="475"/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/>
      <c r="C39" s="216"/>
      <c r="D39" s="217"/>
      <c r="E39" s="217"/>
      <c r="F39" s="217"/>
      <c r="G39" s="218"/>
      <c r="H39" s="475"/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/>
      <c r="C40" s="216"/>
      <c r="D40" s="217"/>
      <c r="E40" s="217"/>
      <c r="F40" s="217"/>
      <c r="G40" s="218"/>
      <c r="H40" s="475"/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/>
      <c r="C41" s="216"/>
      <c r="D41" s="217"/>
      <c r="E41" s="217"/>
      <c r="F41" s="217"/>
      <c r="G41" s="218"/>
      <c r="H41" s="475"/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/>
      <c r="C42" s="216"/>
      <c r="D42" s="217"/>
      <c r="E42" s="217"/>
      <c r="F42" s="217"/>
      <c r="G42" s="218"/>
      <c r="H42" s="475"/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/>
      <c r="C43" s="216"/>
      <c r="D43" s="217"/>
      <c r="E43" s="217"/>
      <c r="F43" s="217"/>
      <c r="G43" s="218"/>
      <c r="H43" s="475"/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/>
      <c r="C44" s="216"/>
      <c r="D44" s="217"/>
      <c r="E44" s="217"/>
      <c r="F44" s="217"/>
      <c r="G44" s="218"/>
      <c r="H44" s="475"/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/>
      <c r="C45" s="216"/>
      <c r="D45" s="217"/>
      <c r="E45" s="217"/>
      <c r="F45" s="217"/>
      <c r="G45" s="218"/>
      <c r="H45" s="475"/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thickBot="1" x14ac:dyDescent="0.3">
      <c r="A46" s="9"/>
      <c r="B46" s="46"/>
      <c r="C46" s="226"/>
      <c r="D46" s="226"/>
      <c r="E46" s="226"/>
      <c r="F46" s="226"/>
      <c r="G46" s="227"/>
      <c r="H46" s="496"/>
      <c r="I46" s="497"/>
      <c r="J46" s="498"/>
      <c r="K46" s="310"/>
      <c r="L46" s="226"/>
      <c r="M46" s="226"/>
      <c r="N46" s="226"/>
      <c r="O46" s="226"/>
      <c r="P46" s="227"/>
      <c r="Z46" s="11"/>
    </row>
    <row r="47" spans="1:26" ht="15.75" customHeight="1" x14ac:dyDescent="0.25">
      <c r="A47" s="9"/>
      <c r="B47" s="256" t="s">
        <v>36</v>
      </c>
      <c r="C47" s="257"/>
      <c r="D47" s="257"/>
      <c r="E47" s="257"/>
      <c r="F47" s="257"/>
      <c r="G47" s="258"/>
      <c r="H47" s="493">
        <f>AVERAGE(H25:J46)</f>
        <v>53.666666666666664</v>
      </c>
      <c r="I47" s="494"/>
      <c r="J47" s="495"/>
      <c r="K47" s="260">
        <v>100</v>
      </c>
      <c r="L47" s="261"/>
      <c r="M47" s="240" t="s">
        <v>38</v>
      </c>
      <c r="N47" s="240"/>
      <c r="O47" s="240"/>
      <c r="P47" s="241"/>
      <c r="Z47" s="11"/>
    </row>
    <row r="48" spans="1:26" ht="15.75" customHeight="1" x14ac:dyDescent="0.25">
      <c r="A48" s="9"/>
      <c r="B48" s="246" t="s">
        <v>39</v>
      </c>
      <c r="C48" s="247"/>
      <c r="D48" s="247"/>
      <c r="E48" s="247"/>
      <c r="F48" s="247"/>
      <c r="G48" s="248"/>
      <c r="H48" s="249">
        <f>IF(COUNTIF(H25:J46,"*&lt;20*"),"&lt;20",MIN(H25:J46))</f>
        <v>50</v>
      </c>
      <c r="I48" s="223"/>
      <c r="J48" s="224"/>
      <c r="K48" s="262"/>
      <c r="L48" s="263"/>
      <c r="M48" s="242"/>
      <c r="N48" s="242"/>
      <c r="O48" s="242"/>
      <c r="P48" s="243"/>
      <c r="Z48" s="11"/>
    </row>
    <row r="49" spans="1:26" ht="15.75" customHeight="1" thickBot="1" x14ac:dyDescent="0.3">
      <c r="A49" s="9"/>
      <c r="B49" s="250" t="s">
        <v>40</v>
      </c>
      <c r="C49" s="251"/>
      <c r="D49" s="251"/>
      <c r="E49" s="251"/>
      <c r="F49" s="251"/>
      <c r="G49" s="252"/>
      <c r="H49" s="253">
        <f>IF(COUNTIF(H25:J46,"*&gt;250*"),"&gt;250",MAX(H25:J46))</f>
        <v>60</v>
      </c>
      <c r="I49" s="254"/>
      <c r="J49" s="255"/>
      <c r="K49" s="264"/>
      <c r="L49" s="265"/>
      <c r="M49" s="244"/>
      <c r="N49" s="244"/>
      <c r="O49" s="244"/>
      <c r="P49" s="245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41</v>
      </c>
      <c r="B52" s="5" t="s">
        <v>42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279" t="s">
        <v>43</v>
      </c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1"/>
      <c r="R53" s="272" t="s">
        <v>44</v>
      </c>
      <c r="S53" s="273"/>
      <c r="T53" s="274"/>
      <c r="U53" s="478" t="s">
        <v>63</v>
      </c>
      <c r="V53" s="479"/>
      <c r="W53" s="479"/>
      <c r="X53" s="480"/>
      <c r="Y53" s="480"/>
      <c r="Z53" s="481"/>
    </row>
    <row r="54" spans="1:26" s="17" customFormat="1" ht="15.6" customHeight="1" x14ac:dyDescent="0.25">
      <c r="A54" s="286" t="s">
        <v>45</v>
      </c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8"/>
      <c r="R54" s="272" t="s">
        <v>46</v>
      </c>
      <c r="S54" s="273"/>
      <c r="T54" s="274"/>
      <c r="U54" s="482" t="s">
        <v>62</v>
      </c>
      <c r="V54" s="483"/>
      <c r="W54" s="483"/>
      <c r="X54" s="484"/>
      <c r="Y54" s="484"/>
      <c r="Z54" s="485"/>
    </row>
    <row r="55" spans="1:26" s="17" customFormat="1" ht="15.6" customHeight="1" x14ac:dyDescent="0.25">
      <c r="A55" s="289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1"/>
      <c r="R55" s="272"/>
      <c r="S55" s="273"/>
      <c r="T55" s="274"/>
      <c r="U55" s="486"/>
      <c r="V55" s="242"/>
      <c r="W55" s="242"/>
      <c r="X55" s="487"/>
      <c r="Y55" s="487"/>
      <c r="Z55" s="488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272"/>
      <c r="S56" s="273"/>
      <c r="T56" s="274"/>
      <c r="U56" s="489"/>
      <c r="V56" s="490"/>
      <c r="W56" s="490"/>
      <c r="X56" s="491"/>
      <c r="Y56" s="491"/>
      <c r="Z56" s="492"/>
    </row>
    <row r="57" spans="1:26" s="17" customFormat="1" ht="15.6" customHeight="1" x14ac:dyDescent="0.25">
      <c r="A57" s="334" t="s">
        <v>83</v>
      </c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3"/>
      <c r="R57" s="272" t="s">
        <v>50</v>
      </c>
      <c r="S57" s="273"/>
      <c r="T57" s="274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334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3"/>
      <c r="R58" s="272"/>
      <c r="S58" s="273"/>
      <c r="T58" s="274"/>
      <c r="U58" s="61"/>
      <c r="V58" s="242"/>
      <c r="W58" s="242"/>
      <c r="X58" s="242"/>
      <c r="Y58" s="242"/>
      <c r="Z58" s="62"/>
    </row>
    <row r="59" spans="1:26" s="17" customFormat="1" ht="15.6" customHeight="1" x14ac:dyDescent="0.25">
      <c r="A59" s="334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72"/>
      <c r="S59" s="273"/>
      <c r="T59" s="274"/>
      <c r="U59" s="61"/>
      <c r="V59" s="242"/>
      <c r="W59" s="242"/>
      <c r="X59" s="242"/>
      <c r="Y59" s="242"/>
      <c r="Z59" s="62"/>
    </row>
    <row r="60" spans="1:26" s="17" customFormat="1" ht="15.6" customHeight="1" x14ac:dyDescent="0.25">
      <c r="A60" s="335"/>
      <c r="B60" s="336"/>
      <c r="C60" s="336"/>
      <c r="D60" s="336"/>
      <c r="E60" s="336"/>
      <c r="F60" s="336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7"/>
      <c r="R60" s="275"/>
      <c r="S60" s="276"/>
      <c r="T60" s="277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H39:J39"/>
    <mergeCell ref="K39:P39"/>
    <mergeCell ref="C40:G40"/>
    <mergeCell ref="H40:J40"/>
    <mergeCell ref="K40:P40"/>
    <mergeCell ref="C41:G41"/>
    <mergeCell ref="H41:J41"/>
    <mergeCell ref="K41:P41"/>
    <mergeCell ref="A57:Q60"/>
    <mergeCell ref="H45:J45"/>
    <mergeCell ref="K45:P45"/>
    <mergeCell ref="C46:G46"/>
    <mergeCell ref="H46:J46"/>
    <mergeCell ref="K46:P46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  <mergeCell ref="R57:T60"/>
    <mergeCell ref="V58:Y59"/>
    <mergeCell ref="C37:G37"/>
    <mergeCell ref="H37:J37"/>
    <mergeCell ref="K37:P37"/>
    <mergeCell ref="C38:G38"/>
    <mergeCell ref="H38:J38"/>
    <mergeCell ref="K38:P38"/>
    <mergeCell ref="C39:G39"/>
    <mergeCell ref="A53:Q53"/>
    <mergeCell ref="R53:T53"/>
    <mergeCell ref="U53:Z53"/>
    <mergeCell ref="A54:Q55"/>
    <mergeCell ref="R54:T56"/>
    <mergeCell ref="U54:Z56"/>
    <mergeCell ref="B47:G47"/>
    <mergeCell ref="H47:J47"/>
    <mergeCell ref="K47:L49"/>
    <mergeCell ref="M47:P49"/>
    <mergeCell ref="B48:G48"/>
    <mergeCell ref="H48:J48"/>
    <mergeCell ref="B49:G49"/>
    <mergeCell ref="H49:J49"/>
    <mergeCell ref="C45:G45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CE388-10A3-4D76-B59C-446FEADB793D}">
  <sheetPr codeName="Feuil3">
    <pageSetUpPr fitToPage="1"/>
  </sheetPr>
  <dimension ref="A1:AA68"/>
  <sheetViews>
    <sheetView workbookViewId="0">
      <selection activeCell="V47" sqref="V4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8</v>
      </c>
      <c r="J5" s="191"/>
      <c r="K5" s="192"/>
      <c r="L5" s="193" t="s">
        <v>3</v>
      </c>
      <c r="M5" s="194"/>
      <c r="N5" s="194"/>
      <c r="O5" s="195"/>
      <c r="P5" s="196" t="s">
        <v>78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68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79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78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77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30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324" t="s">
        <v>81</v>
      </c>
      <c r="D25" s="325"/>
      <c r="E25" s="325"/>
      <c r="F25" s="325"/>
      <c r="G25" s="326"/>
      <c r="H25" s="475">
        <v>67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328"/>
      <c r="D26" s="329"/>
      <c r="E26" s="329"/>
      <c r="F26" s="329"/>
      <c r="G26" s="330"/>
      <c r="H26" s="475">
        <v>133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324" t="s">
        <v>80</v>
      </c>
      <c r="D27" s="325"/>
      <c r="E27" s="325"/>
      <c r="F27" s="325"/>
      <c r="G27" s="326"/>
      <c r="H27" s="475">
        <v>111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62"/>
      <c r="D28" s="263"/>
      <c r="E28" s="263"/>
      <c r="F28" s="263"/>
      <c r="G28" s="327"/>
      <c r="H28" s="475">
        <v>133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>
        <v>5</v>
      </c>
      <c r="C29" s="262"/>
      <c r="D29" s="263"/>
      <c r="E29" s="263"/>
      <c r="F29" s="263"/>
      <c r="G29" s="327"/>
      <c r="H29" s="475">
        <v>84</v>
      </c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>
        <v>6</v>
      </c>
      <c r="C30" s="328"/>
      <c r="D30" s="329"/>
      <c r="E30" s="329"/>
      <c r="F30" s="329"/>
      <c r="G30" s="330"/>
      <c r="H30" s="475">
        <v>97</v>
      </c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>
        <v>7</v>
      </c>
      <c r="C31" s="324" t="s">
        <v>82</v>
      </c>
      <c r="D31" s="325"/>
      <c r="E31" s="325"/>
      <c r="F31" s="325"/>
      <c r="G31" s="326"/>
      <c r="H31" s="475" t="s">
        <v>64</v>
      </c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>
        <v>8</v>
      </c>
      <c r="C32" s="262"/>
      <c r="D32" s="263"/>
      <c r="E32" s="263"/>
      <c r="F32" s="263"/>
      <c r="G32" s="327"/>
      <c r="H32" s="475">
        <v>94</v>
      </c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>
        <v>9</v>
      </c>
      <c r="C33" s="262"/>
      <c r="D33" s="263"/>
      <c r="E33" s="263"/>
      <c r="F33" s="263"/>
      <c r="G33" s="327"/>
      <c r="H33" s="475" t="s">
        <v>64</v>
      </c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>
        <v>10</v>
      </c>
      <c r="C34" s="328"/>
      <c r="D34" s="329"/>
      <c r="E34" s="329"/>
      <c r="F34" s="329"/>
      <c r="G34" s="330"/>
      <c r="H34" s="475">
        <v>90</v>
      </c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475"/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475"/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475"/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72"/>
      <c r="C38" s="216"/>
      <c r="D38" s="217"/>
      <c r="E38" s="217"/>
      <c r="F38" s="217"/>
      <c r="G38" s="218"/>
      <c r="H38" s="475"/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72"/>
      <c r="C39" s="216"/>
      <c r="D39" s="217"/>
      <c r="E39" s="217"/>
      <c r="F39" s="217"/>
      <c r="G39" s="218"/>
      <c r="H39" s="475"/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72"/>
      <c r="C40" s="216"/>
      <c r="D40" s="217"/>
      <c r="E40" s="217"/>
      <c r="F40" s="217"/>
      <c r="G40" s="218"/>
      <c r="H40" s="475"/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72"/>
      <c r="C41" s="216"/>
      <c r="D41" s="217"/>
      <c r="E41" s="217"/>
      <c r="F41" s="217"/>
      <c r="G41" s="218"/>
      <c r="H41" s="475"/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72"/>
      <c r="C42" s="216"/>
      <c r="D42" s="217"/>
      <c r="E42" s="217"/>
      <c r="F42" s="217"/>
      <c r="G42" s="218"/>
      <c r="H42" s="475"/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72"/>
      <c r="C43" s="216"/>
      <c r="D43" s="217"/>
      <c r="E43" s="217"/>
      <c r="F43" s="217"/>
      <c r="G43" s="218"/>
      <c r="H43" s="475"/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72"/>
      <c r="C44" s="216"/>
      <c r="D44" s="217"/>
      <c r="E44" s="217"/>
      <c r="F44" s="217"/>
      <c r="G44" s="218"/>
      <c r="H44" s="475"/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72"/>
      <c r="C45" s="216"/>
      <c r="D45" s="217"/>
      <c r="E45" s="217"/>
      <c r="F45" s="217"/>
      <c r="G45" s="218"/>
      <c r="H45" s="475"/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thickBot="1" x14ac:dyDescent="0.3">
      <c r="A46" s="9"/>
      <c r="B46" s="46"/>
      <c r="C46" s="226"/>
      <c r="D46" s="226"/>
      <c r="E46" s="226"/>
      <c r="F46" s="226"/>
      <c r="G46" s="227"/>
      <c r="H46" s="496"/>
      <c r="I46" s="497"/>
      <c r="J46" s="498"/>
      <c r="K46" s="310"/>
      <c r="L46" s="226"/>
      <c r="M46" s="226"/>
      <c r="N46" s="226"/>
      <c r="O46" s="226"/>
      <c r="P46" s="227"/>
      <c r="Z46" s="11"/>
    </row>
    <row r="47" spans="1:26" ht="15.75" customHeight="1" x14ac:dyDescent="0.25">
      <c r="A47" s="9"/>
      <c r="B47" s="256" t="s">
        <v>36</v>
      </c>
      <c r="C47" s="257"/>
      <c r="D47" s="257"/>
      <c r="E47" s="257"/>
      <c r="F47" s="257"/>
      <c r="G47" s="258"/>
      <c r="H47" s="493">
        <f>AVERAGE(H25:J46)</f>
        <v>101.125</v>
      </c>
      <c r="I47" s="494"/>
      <c r="J47" s="495"/>
      <c r="K47" s="260">
        <v>80</v>
      </c>
      <c r="L47" s="261"/>
      <c r="M47" s="240" t="s">
        <v>38</v>
      </c>
      <c r="N47" s="240"/>
      <c r="O47" s="240"/>
      <c r="P47" s="241"/>
      <c r="Z47" s="11"/>
    </row>
    <row r="48" spans="1:26" ht="15.75" customHeight="1" x14ac:dyDescent="0.25">
      <c r="A48" s="9"/>
      <c r="B48" s="246" t="s">
        <v>39</v>
      </c>
      <c r="C48" s="247"/>
      <c r="D48" s="247"/>
      <c r="E48" s="247"/>
      <c r="F48" s="247"/>
      <c r="G48" s="248"/>
      <c r="H48" s="249" t="str">
        <f>IF(COUNTIF(H25:J46,"*&lt;20*"),"&lt;20",MIN(H25:J46))</f>
        <v>&lt;20</v>
      </c>
      <c r="I48" s="223"/>
      <c r="J48" s="224"/>
      <c r="K48" s="262"/>
      <c r="L48" s="263"/>
      <c r="M48" s="242"/>
      <c r="N48" s="242"/>
      <c r="O48" s="242"/>
      <c r="P48" s="243"/>
      <c r="Z48" s="11"/>
    </row>
    <row r="49" spans="1:26" ht="15.75" customHeight="1" thickBot="1" x14ac:dyDescent="0.3">
      <c r="A49" s="9"/>
      <c r="B49" s="250" t="s">
        <v>40</v>
      </c>
      <c r="C49" s="251"/>
      <c r="D49" s="251"/>
      <c r="E49" s="251"/>
      <c r="F49" s="251"/>
      <c r="G49" s="252"/>
      <c r="H49" s="253">
        <f>IF(COUNTIF(H25:J46,"*&gt;250*"),"&gt;250",MAX(H25:J46))</f>
        <v>133</v>
      </c>
      <c r="I49" s="254"/>
      <c r="J49" s="255"/>
      <c r="K49" s="264"/>
      <c r="L49" s="265"/>
      <c r="M49" s="244"/>
      <c r="N49" s="244"/>
      <c r="O49" s="244"/>
      <c r="P49" s="245"/>
      <c r="Z49" s="11"/>
    </row>
    <row r="50" spans="1:26" ht="15.9" customHeight="1" x14ac:dyDescent="0.25">
      <c r="A50" s="35"/>
      <c r="B50" s="40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48" t="s">
        <v>41</v>
      </c>
      <c r="B52" s="5" t="s">
        <v>42</v>
      </c>
      <c r="C52" s="49"/>
      <c r="D52" s="49"/>
      <c r="E52" s="49"/>
      <c r="F52" s="50"/>
      <c r="G52" s="50"/>
      <c r="H52" s="50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51"/>
      <c r="V52" s="52"/>
      <c r="W52" s="52"/>
      <c r="X52" s="42"/>
      <c r="Y52" s="42"/>
      <c r="Z52" s="43"/>
    </row>
    <row r="53" spans="1:26" s="17" customFormat="1" ht="28.5" customHeight="1" x14ac:dyDescent="0.25">
      <c r="A53" s="279" t="s">
        <v>43</v>
      </c>
      <c r="B53" s="280"/>
      <c r="C53" s="280"/>
      <c r="D53" s="280"/>
      <c r="E53" s="280"/>
      <c r="F53" s="280"/>
      <c r="G53" s="280"/>
      <c r="H53" s="280"/>
      <c r="I53" s="280"/>
      <c r="J53" s="280"/>
      <c r="K53" s="280"/>
      <c r="L53" s="280"/>
      <c r="M53" s="280"/>
      <c r="N53" s="280"/>
      <c r="O53" s="280"/>
      <c r="P53" s="280"/>
      <c r="Q53" s="281"/>
      <c r="R53" s="272" t="s">
        <v>44</v>
      </c>
      <c r="S53" s="273"/>
      <c r="T53" s="274"/>
      <c r="U53" s="478" t="s">
        <v>63</v>
      </c>
      <c r="V53" s="479"/>
      <c r="W53" s="479"/>
      <c r="X53" s="480"/>
      <c r="Y53" s="480"/>
      <c r="Z53" s="481"/>
    </row>
    <row r="54" spans="1:26" s="17" customFormat="1" ht="15.6" customHeight="1" x14ac:dyDescent="0.25">
      <c r="A54" s="286" t="s">
        <v>53</v>
      </c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8"/>
      <c r="R54" s="272" t="s">
        <v>46</v>
      </c>
      <c r="S54" s="273"/>
      <c r="T54" s="274"/>
      <c r="U54" s="482" t="s">
        <v>62</v>
      </c>
      <c r="V54" s="483"/>
      <c r="W54" s="483"/>
      <c r="X54" s="484"/>
      <c r="Y54" s="484"/>
      <c r="Z54" s="485"/>
    </row>
    <row r="55" spans="1:26" s="17" customFormat="1" ht="15.6" customHeight="1" x14ac:dyDescent="0.25">
      <c r="A55" s="289"/>
      <c r="B55" s="290"/>
      <c r="C55" s="290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1"/>
      <c r="R55" s="272"/>
      <c r="S55" s="273"/>
      <c r="T55" s="274"/>
      <c r="U55" s="486"/>
      <c r="V55" s="242"/>
      <c r="W55" s="242"/>
      <c r="X55" s="487"/>
      <c r="Y55" s="487"/>
      <c r="Z55" s="488"/>
    </row>
    <row r="56" spans="1:26" s="17" customFormat="1" ht="15.6" customHeight="1" x14ac:dyDescent="0.25">
      <c r="A56" s="55" t="s">
        <v>48</v>
      </c>
      <c r="B56" s="56" t="s">
        <v>49</v>
      </c>
      <c r="C56" s="1"/>
      <c r="D56" s="1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7"/>
      <c r="R56" s="272"/>
      <c r="S56" s="273"/>
      <c r="T56" s="274"/>
      <c r="U56" s="489"/>
      <c r="V56" s="490"/>
      <c r="W56" s="490"/>
      <c r="X56" s="491"/>
      <c r="Y56" s="491"/>
      <c r="Z56" s="492"/>
    </row>
    <row r="57" spans="1:26" s="17" customFormat="1" ht="15.6" customHeight="1" x14ac:dyDescent="0.25">
      <c r="A57" s="334"/>
      <c r="B57" s="332"/>
      <c r="C57" s="332"/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3"/>
      <c r="R57" s="272" t="s">
        <v>50</v>
      </c>
      <c r="S57" s="273"/>
      <c r="T57" s="274"/>
      <c r="U57" s="58"/>
      <c r="V57" s="59"/>
      <c r="W57" s="59"/>
      <c r="X57" s="59"/>
      <c r="Y57" s="59"/>
      <c r="Z57" s="60"/>
    </row>
    <row r="58" spans="1:26" s="17" customFormat="1" ht="15.6" customHeight="1" x14ac:dyDescent="0.25">
      <c r="A58" s="334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3"/>
      <c r="R58" s="272"/>
      <c r="S58" s="273"/>
      <c r="T58" s="274"/>
      <c r="U58" s="61"/>
      <c r="V58" s="242"/>
      <c r="W58" s="242"/>
      <c r="X58" s="242"/>
      <c r="Y58" s="242"/>
      <c r="Z58" s="62"/>
    </row>
    <row r="59" spans="1:26" s="17" customFormat="1" ht="15.6" customHeight="1" x14ac:dyDescent="0.25">
      <c r="A59" s="334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72"/>
      <c r="S59" s="273"/>
      <c r="T59" s="274"/>
      <c r="U59" s="61"/>
      <c r="V59" s="242"/>
      <c r="W59" s="242"/>
      <c r="X59" s="242"/>
      <c r="Y59" s="242"/>
      <c r="Z59" s="62"/>
    </row>
    <row r="60" spans="1:26" s="17" customFormat="1" ht="15.6" customHeight="1" x14ac:dyDescent="0.25">
      <c r="A60" s="335"/>
      <c r="B60" s="336"/>
      <c r="C60" s="336"/>
      <c r="D60" s="336"/>
      <c r="E60" s="336"/>
      <c r="F60" s="336"/>
      <c r="G60" s="336"/>
      <c r="H60" s="336"/>
      <c r="I60" s="336"/>
      <c r="J60" s="336"/>
      <c r="K60" s="336"/>
      <c r="L60" s="336"/>
      <c r="M60" s="336"/>
      <c r="N60" s="336"/>
      <c r="O60" s="336"/>
      <c r="P60" s="336"/>
      <c r="Q60" s="337"/>
      <c r="R60" s="275"/>
      <c r="S60" s="276"/>
      <c r="T60" s="277"/>
      <c r="U60" s="63"/>
      <c r="V60" s="64"/>
      <c r="W60" s="64"/>
      <c r="X60" s="64"/>
      <c r="Y60" s="64"/>
      <c r="Z60" s="65"/>
    </row>
    <row r="61" spans="1:26" s="17" customFormat="1" ht="15" customHeight="1" x14ac:dyDescent="0.25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54"/>
      <c r="S61" s="54"/>
      <c r="T61" s="54"/>
      <c r="U61" s="41"/>
      <c r="V61" s="41"/>
      <c r="W61" s="41"/>
      <c r="X61" s="41"/>
      <c r="Y61" s="41"/>
      <c r="Z61" s="4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1">
    <mergeCell ref="P6:T6"/>
    <mergeCell ref="A1:F6"/>
    <mergeCell ref="G1:T1"/>
    <mergeCell ref="C45:G45"/>
    <mergeCell ref="H45:J45"/>
    <mergeCell ref="K45:P45"/>
    <mergeCell ref="C31:G34"/>
    <mergeCell ref="C27:G30"/>
    <mergeCell ref="C25:G26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39:G39"/>
    <mergeCell ref="H39:J39"/>
    <mergeCell ref="K39:P39"/>
    <mergeCell ref="B10:G10"/>
    <mergeCell ref="S10:Y10"/>
    <mergeCell ref="N10:R10"/>
    <mergeCell ref="G2:T4"/>
    <mergeCell ref="G5:H5"/>
    <mergeCell ref="A7:F7"/>
    <mergeCell ref="G7:Z7"/>
    <mergeCell ref="H10:M10"/>
    <mergeCell ref="H26:J26"/>
    <mergeCell ref="K26:P26"/>
    <mergeCell ref="B17:H17"/>
    <mergeCell ref="B12:G12"/>
    <mergeCell ref="B11:G11"/>
    <mergeCell ref="U1:Z6"/>
    <mergeCell ref="K25:P25"/>
    <mergeCell ref="S12:Y12"/>
    <mergeCell ref="K23:P24"/>
    <mergeCell ref="I17:Y17"/>
    <mergeCell ref="S11:Y11"/>
    <mergeCell ref="I5:K5"/>
    <mergeCell ref="I6:K6"/>
    <mergeCell ref="L5:O5"/>
    <mergeCell ref="P5:T5"/>
    <mergeCell ref="L6:O6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H33:J33"/>
    <mergeCell ref="K33:P33"/>
    <mergeCell ref="H34:J34"/>
    <mergeCell ref="K34:P34"/>
    <mergeCell ref="C35:G35"/>
    <mergeCell ref="H35:J35"/>
    <mergeCell ref="K35:P35"/>
    <mergeCell ref="C36:G36"/>
    <mergeCell ref="C38:G38"/>
    <mergeCell ref="H38:J38"/>
    <mergeCell ref="V58:Y59"/>
    <mergeCell ref="I18:J18"/>
    <mergeCell ref="H25:J25"/>
    <mergeCell ref="H24:J24"/>
    <mergeCell ref="H23:J23"/>
    <mergeCell ref="B18:H18"/>
    <mergeCell ref="B23:B24"/>
    <mergeCell ref="C23:G24"/>
    <mergeCell ref="J21:P21"/>
    <mergeCell ref="H28:J28"/>
    <mergeCell ref="K28:P28"/>
    <mergeCell ref="H29:J29"/>
    <mergeCell ref="K29:P29"/>
    <mergeCell ref="H30:J30"/>
    <mergeCell ref="K30:P30"/>
    <mergeCell ref="H31:J31"/>
    <mergeCell ref="K31:P31"/>
    <mergeCell ref="H32:J32"/>
    <mergeCell ref="K32:P32"/>
    <mergeCell ref="H27:J27"/>
    <mergeCell ref="K27:P27"/>
    <mergeCell ref="K38:P38"/>
    <mergeCell ref="M47:P49"/>
    <mergeCell ref="K47:L49"/>
    <mergeCell ref="H36:J36"/>
    <mergeCell ref="K36:P36"/>
    <mergeCell ref="C37:G37"/>
    <mergeCell ref="H37:J37"/>
    <mergeCell ref="K37:P37"/>
    <mergeCell ref="U53:Z53"/>
    <mergeCell ref="U54:Z56"/>
    <mergeCell ref="H49:J49"/>
    <mergeCell ref="H47:J47"/>
    <mergeCell ref="H48:J48"/>
    <mergeCell ref="H46:J46"/>
    <mergeCell ref="K46:P46"/>
    <mergeCell ref="C40:G40"/>
    <mergeCell ref="H40:J40"/>
    <mergeCell ref="K40:P4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E286-5010-477D-92B0-B796AA54AF3D}">
  <sheetPr codeName="Feuil4">
    <pageSetUpPr fitToPage="1"/>
  </sheetPr>
  <dimension ref="A1:AA78"/>
  <sheetViews>
    <sheetView topLeftCell="A8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7</v>
      </c>
      <c r="J5" s="191"/>
      <c r="K5" s="192"/>
      <c r="L5" s="193" t="s">
        <v>3</v>
      </c>
      <c r="M5" s="194"/>
      <c r="N5" s="194"/>
      <c r="O5" s="195"/>
      <c r="P5" s="196" t="s">
        <v>67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68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75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67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76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47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48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475">
        <v>57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475">
        <v>71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475">
        <v>51</v>
      </c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>
        <v>6</v>
      </c>
      <c r="C30" s="216"/>
      <c r="D30" s="217"/>
      <c r="E30" s="217"/>
      <c r="F30" s="217"/>
      <c r="G30" s="218"/>
      <c r="H30" s="475">
        <v>53</v>
      </c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>
        <v>7</v>
      </c>
      <c r="C31" s="216"/>
      <c r="D31" s="217"/>
      <c r="E31" s="217"/>
      <c r="F31" s="217"/>
      <c r="G31" s="218"/>
      <c r="H31" s="475">
        <v>104</v>
      </c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>
        <v>8</v>
      </c>
      <c r="C32" s="216"/>
      <c r="D32" s="217"/>
      <c r="E32" s="217"/>
      <c r="F32" s="217"/>
      <c r="G32" s="218"/>
      <c r="H32" s="475">
        <v>66</v>
      </c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>
        <v>9</v>
      </c>
      <c r="C33" s="216"/>
      <c r="D33" s="217"/>
      <c r="E33" s="217"/>
      <c r="F33" s="217"/>
      <c r="G33" s="218"/>
      <c r="H33" s="475">
        <v>54</v>
      </c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>
        <v>10</v>
      </c>
      <c r="C34" s="216"/>
      <c r="D34" s="217"/>
      <c r="E34" s="217"/>
      <c r="F34" s="217"/>
      <c r="G34" s="218"/>
      <c r="H34" s="475">
        <v>65</v>
      </c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475">
        <v>69</v>
      </c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475">
        <v>57</v>
      </c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475">
        <v>52</v>
      </c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>
        <v>14</v>
      </c>
      <c r="C38" s="216"/>
      <c r="D38" s="217"/>
      <c r="E38" s="217"/>
      <c r="F38" s="217"/>
      <c r="G38" s="218"/>
      <c r="H38" s="475">
        <v>58</v>
      </c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>
        <v>15</v>
      </c>
      <c r="C39" s="216"/>
      <c r="D39" s="217"/>
      <c r="E39" s="217"/>
      <c r="F39" s="217"/>
      <c r="G39" s="218"/>
      <c r="H39" s="475">
        <v>62</v>
      </c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>
        <v>16</v>
      </c>
      <c r="C40" s="216"/>
      <c r="D40" s="217"/>
      <c r="E40" s="217"/>
      <c r="F40" s="217"/>
      <c r="G40" s="218"/>
      <c r="H40" s="475">
        <v>52</v>
      </c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>
        <v>17</v>
      </c>
      <c r="C41" s="216"/>
      <c r="D41" s="217"/>
      <c r="E41" s="217"/>
      <c r="F41" s="217"/>
      <c r="G41" s="218"/>
      <c r="H41" s="475">
        <v>65</v>
      </c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>
        <v>18</v>
      </c>
      <c r="C42" s="216"/>
      <c r="D42" s="217"/>
      <c r="E42" s="217"/>
      <c r="F42" s="217"/>
      <c r="G42" s="218"/>
      <c r="H42" s="475">
        <v>65</v>
      </c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>
        <v>19</v>
      </c>
      <c r="C43" s="216"/>
      <c r="D43" s="217"/>
      <c r="E43" s="217"/>
      <c r="F43" s="217"/>
      <c r="G43" s="218"/>
      <c r="H43" s="475">
        <v>53</v>
      </c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>
        <v>20</v>
      </c>
      <c r="C44" s="216"/>
      <c r="D44" s="217"/>
      <c r="E44" s="217"/>
      <c r="F44" s="217"/>
      <c r="G44" s="218"/>
      <c r="H44" s="475">
        <v>66</v>
      </c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>
        <v>21</v>
      </c>
      <c r="C45" s="216"/>
      <c r="D45" s="217"/>
      <c r="E45" s="217"/>
      <c r="F45" s="217"/>
      <c r="G45" s="218"/>
      <c r="H45" s="475">
        <v>52</v>
      </c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>
        <v>22</v>
      </c>
      <c r="C46" s="216"/>
      <c r="D46" s="217"/>
      <c r="E46" s="217"/>
      <c r="F46" s="217"/>
      <c r="G46" s="218"/>
      <c r="H46" s="475">
        <v>62</v>
      </c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x14ac:dyDescent="0.25">
      <c r="A47" s="9"/>
      <c r="B47" s="45">
        <v>23</v>
      </c>
      <c r="C47" s="216"/>
      <c r="D47" s="217"/>
      <c r="E47" s="217"/>
      <c r="F47" s="217"/>
      <c r="G47" s="218"/>
      <c r="H47" s="475">
        <v>58</v>
      </c>
      <c r="I47" s="476"/>
      <c r="J47" s="477"/>
      <c r="K47" s="216"/>
      <c r="L47" s="217"/>
      <c r="M47" s="217"/>
      <c r="N47" s="217"/>
      <c r="O47" s="217"/>
      <c r="P47" s="218"/>
      <c r="Z47" s="11"/>
    </row>
    <row r="48" spans="1:26" ht="19.5" customHeight="1" x14ac:dyDescent="0.25">
      <c r="A48" s="9"/>
      <c r="B48" s="45">
        <v>24</v>
      </c>
      <c r="C48" s="216"/>
      <c r="D48" s="217"/>
      <c r="E48" s="217"/>
      <c r="F48" s="217"/>
      <c r="G48" s="218"/>
      <c r="H48" s="475">
        <v>51</v>
      </c>
      <c r="I48" s="476"/>
      <c r="J48" s="477"/>
      <c r="K48" s="216"/>
      <c r="L48" s="217"/>
      <c r="M48" s="217"/>
      <c r="N48" s="217"/>
      <c r="O48" s="217"/>
      <c r="P48" s="218"/>
      <c r="Z48" s="11"/>
    </row>
    <row r="49" spans="1:26" ht="19.5" customHeight="1" x14ac:dyDescent="0.25">
      <c r="A49" s="9"/>
      <c r="B49" s="45">
        <v>25</v>
      </c>
      <c r="C49" s="216"/>
      <c r="D49" s="217"/>
      <c r="E49" s="217"/>
      <c r="F49" s="217"/>
      <c r="G49" s="218"/>
      <c r="H49" s="475">
        <v>52</v>
      </c>
      <c r="I49" s="476"/>
      <c r="J49" s="477"/>
      <c r="K49" s="216"/>
      <c r="L49" s="217"/>
      <c r="M49" s="217"/>
      <c r="N49" s="217"/>
      <c r="O49" s="217"/>
      <c r="P49" s="218"/>
      <c r="Z49" s="11"/>
    </row>
    <row r="50" spans="1:26" ht="19.5" customHeight="1" x14ac:dyDescent="0.25">
      <c r="A50" s="9"/>
      <c r="B50" s="45">
        <v>26</v>
      </c>
      <c r="C50" s="216"/>
      <c r="D50" s="217"/>
      <c r="E50" s="217"/>
      <c r="F50" s="217"/>
      <c r="G50" s="218"/>
      <c r="H50" s="475">
        <v>49</v>
      </c>
      <c r="I50" s="476"/>
      <c r="J50" s="477"/>
      <c r="K50" s="216"/>
      <c r="L50" s="217"/>
      <c r="M50" s="217"/>
      <c r="N50" s="217"/>
      <c r="O50" s="217"/>
      <c r="P50" s="218"/>
      <c r="Z50" s="11"/>
    </row>
    <row r="51" spans="1:26" ht="19.5" customHeight="1" x14ac:dyDescent="0.25">
      <c r="A51" s="9"/>
      <c r="B51" s="45">
        <v>27</v>
      </c>
      <c r="C51" s="216"/>
      <c r="D51" s="217"/>
      <c r="E51" s="217"/>
      <c r="F51" s="217"/>
      <c r="G51" s="218"/>
      <c r="H51" s="475">
        <v>50</v>
      </c>
      <c r="I51" s="476"/>
      <c r="J51" s="477"/>
      <c r="K51" s="216"/>
      <c r="L51" s="217"/>
      <c r="M51" s="217"/>
      <c r="N51" s="217"/>
      <c r="O51" s="217"/>
      <c r="P51" s="218"/>
      <c r="Z51" s="11"/>
    </row>
    <row r="52" spans="1:26" ht="19.5" customHeight="1" x14ac:dyDescent="0.25">
      <c r="A52" s="9"/>
      <c r="B52" s="45">
        <v>28</v>
      </c>
      <c r="C52" s="216"/>
      <c r="D52" s="217"/>
      <c r="E52" s="217"/>
      <c r="F52" s="217"/>
      <c r="G52" s="218"/>
      <c r="H52" s="475">
        <v>50</v>
      </c>
      <c r="I52" s="476"/>
      <c r="J52" s="477"/>
      <c r="K52" s="216"/>
      <c r="L52" s="217"/>
      <c r="M52" s="217"/>
      <c r="N52" s="217"/>
      <c r="O52" s="217"/>
      <c r="P52" s="218"/>
      <c r="Z52" s="11"/>
    </row>
    <row r="53" spans="1:26" ht="19.5" customHeight="1" x14ac:dyDescent="0.25">
      <c r="A53" s="9"/>
      <c r="B53" s="45">
        <v>29</v>
      </c>
      <c r="C53" s="216"/>
      <c r="D53" s="217"/>
      <c r="E53" s="217"/>
      <c r="F53" s="217"/>
      <c r="G53" s="218"/>
      <c r="H53" s="475">
        <v>86</v>
      </c>
      <c r="I53" s="476"/>
      <c r="J53" s="477"/>
      <c r="K53" s="216"/>
      <c r="L53" s="217"/>
      <c r="M53" s="217"/>
      <c r="N53" s="217"/>
      <c r="O53" s="217"/>
      <c r="P53" s="218"/>
      <c r="Z53" s="11"/>
    </row>
    <row r="54" spans="1:26" ht="19.5" customHeight="1" x14ac:dyDescent="0.25">
      <c r="A54" s="9"/>
      <c r="B54" s="45">
        <v>30</v>
      </c>
      <c r="C54" s="216"/>
      <c r="D54" s="217"/>
      <c r="E54" s="217"/>
      <c r="F54" s="217"/>
      <c r="G54" s="218"/>
      <c r="H54" s="475">
        <v>69</v>
      </c>
      <c r="I54" s="476"/>
      <c r="J54" s="477"/>
      <c r="K54" s="216"/>
      <c r="L54" s="217"/>
      <c r="M54" s="217"/>
      <c r="N54" s="217"/>
      <c r="O54" s="217"/>
      <c r="P54" s="218"/>
      <c r="Z54" s="11"/>
    </row>
    <row r="55" spans="1:26" ht="19.5" customHeight="1" x14ac:dyDescent="0.25">
      <c r="A55" s="9"/>
      <c r="B55" s="45">
        <v>31</v>
      </c>
      <c r="C55" s="216"/>
      <c r="D55" s="217"/>
      <c r="E55" s="217"/>
      <c r="F55" s="217"/>
      <c r="G55" s="218"/>
      <c r="H55" s="475">
        <v>67</v>
      </c>
      <c r="I55" s="476"/>
      <c r="J55" s="477"/>
      <c r="K55" s="216"/>
      <c r="L55" s="217"/>
      <c r="M55" s="217"/>
      <c r="N55" s="217"/>
      <c r="O55" s="217"/>
      <c r="P55" s="218"/>
      <c r="Z55" s="11"/>
    </row>
    <row r="56" spans="1:26" ht="19.5" customHeight="1" thickBot="1" x14ac:dyDescent="0.3">
      <c r="A56" s="9"/>
      <c r="B56" s="46"/>
      <c r="C56" s="226"/>
      <c r="D56" s="226"/>
      <c r="E56" s="226"/>
      <c r="F56" s="226"/>
      <c r="G56" s="227"/>
      <c r="H56" s="496"/>
      <c r="I56" s="497"/>
      <c r="J56" s="498"/>
      <c r="K56" s="310"/>
      <c r="L56" s="226"/>
      <c r="M56" s="226"/>
      <c r="N56" s="226"/>
      <c r="O56" s="226"/>
      <c r="P56" s="227"/>
      <c r="Z56" s="11"/>
    </row>
    <row r="57" spans="1:26" ht="15.75" customHeight="1" x14ac:dyDescent="0.25">
      <c r="A57" s="9"/>
      <c r="B57" s="256" t="s">
        <v>36</v>
      </c>
      <c r="C57" s="257"/>
      <c r="D57" s="257"/>
      <c r="E57" s="257"/>
      <c r="F57" s="257"/>
      <c r="G57" s="258"/>
      <c r="H57" s="493">
        <f>AVERAGE(H25:J56)</f>
        <v>60.032258064516128</v>
      </c>
      <c r="I57" s="494"/>
      <c r="J57" s="495"/>
      <c r="K57" s="260">
        <v>90.32</v>
      </c>
      <c r="L57" s="261"/>
      <c r="M57" s="240" t="s">
        <v>38</v>
      </c>
      <c r="N57" s="240"/>
      <c r="O57" s="240"/>
      <c r="P57" s="241"/>
      <c r="Z57" s="11"/>
    </row>
    <row r="58" spans="1:26" ht="15.75" customHeight="1" x14ac:dyDescent="0.25">
      <c r="A58" s="9"/>
      <c r="B58" s="246" t="s">
        <v>39</v>
      </c>
      <c r="C58" s="247"/>
      <c r="D58" s="247"/>
      <c r="E58" s="247"/>
      <c r="F58" s="247"/>
      <c r="G58" s="248"/>
      <c r="H58" s="249">
        <f>IF(COUNTIF(H25:J56,"*&lt;20*"),"&lt;20",MIN(H25:J56))</f>
        <v>47</v>
      </c>
      <c r="I58" s="223"/>
      <c r="J58" s="224"/>
      <c r="K58" s="262"/>
      <c r="L58" s="263"/>
      <c r="M58" s="242"/>
      <c r="N58" s="242"/>
      <c r="O58" s="242"/>
      <c r="P58" s="243"/>
      <c r="Z58" s="11"/>
    </row>
    <row r="59" spans="1:26" ht="15.75" customHeight="1" thickBot="1" x14ac:dyDescent="0.3">
      <c r="A59" s="9"/>
      <c r="B59" s="250" t="s">
        <v>40</v>
      </c>
      <c r="C59" s="251"/>
      <c r="D59" s="251"/>
      <c r="E59" s="251"/>
      <c r="F59" s="251"/>
      <c r="G59" s="252"/>
      <c r="H59" s="253">
        <f>IF(COUNTIF(H25:J56,"*&gt;250*"),"&gt;250",MAX(H25:J56))</f>
        <v>104</v>
      </c>
      <c r="I59" s="254"/>
      <c r="J59" s="255"/>
      <c r="K59" s="264"/>
      <c r="L59" s="265"/>
      <c r="M59" s="244"/>
      <c r="N59" s="244"/>
      <c r="O59" s="244"/>
      <c r="P59" s="245"/>
      <c r="Z59" s="11"/>
    </row>
    <row r="60" spans="1:26" ht="15.9" customHeight="1" x14ac:dyDescent="0.25">
      <c r="A60" s="35"/>
      <c r="B60" s="40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6"/>
    </row>
    <row r="61" spans="1:26" ht="12.75" customHeight="1" x14ac:dyDescent="0.25">
      <c r="A61" s="36"/>
      <c r="B61" s="37"/>
    </row>
    <row r="62" spans="1:26" s="17" customFormat="1" ht="15.6" customHeight="1" x14ac:dyDescent="0.25">
      <c r="A62" s="48" t="s">
        <v>41</v>
      </c>
      <c r="B62" s="5" t="s">
        <v>42</v>
      </c>
      <c r="C62" s="49"/>
      <c r="D62" s="49"/>
      <c r="E62" s="49"/>
      <c r="F62" s="50"/>
      <c r="G62" s="50"/>
      <c r="H62" s="50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51"/>
      <c r="V62" s="52"/>
      <c r="W62" s="52"/>
      <c r="X62" s="42"/>
      <c r="Y62" s="42"/>
      <c r="Z62" s="43"/>
    </row>
    <row r="63" spans="1:26" s="17" customFormat="1" ht="28.5" customHeight="1" x14ac:dyDescent="0.25">
      <c r="A63" s="279" t="s">
        <v>43</v>
      </c>
      <c r="B63" s="280"/>
      <c r="C63" s="280"/>
      <c r="D63" s="280"/>
      <c r="E63" s="280"/>
      <c r="F63" s="280"/>
      <c r="G63" s="280"/>
      <c r="H63" s="280"/>
      <c r="I63" s="280"/>
      <c r="J63" s="280"/>
      <c r="K63" s="280"/>
      <c r="L63" s="280"/>
      <c r="M63" s="280"/>
      <c r="N63" s="280"/>
      <c r="O63" s="280"/>
      <c r="P63" s="280"/>
      <c r="Q63" s="281"/>
      <c r="R63" s="272" t="s">
        <v>44</v>
      </c>
      <c r="S63" s="273"/>
      <c r="T63" s="274"/>
      <c r="U63" s="478" t="s">
        <v>63</v>
      </c>
      <c r="V63" s="479"/>
      <c r="W63" s="479"/>
      <c r="X63" s="480"/>
      <c r="Y63" s="480"/>
      <c r="Z63" s="481"/>
    </row>
    <row r="64" spans="1:26" s="17" customFormat="1" ht="15.6" customHeight="1" x14ac:dyDescent="0.25">
      <c r="A64" s="286" t="s">
        <v>73</v>
      </c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8"/>
      <c r="R64" s="272" t="s">
        <v>46</v>
      </c>
      <c r="S64" s="273"/>
      <c r="T64" s="274"/>
      <c r="U64" s="482" t="s">
        <v>62</v>
      </c>
      <c r="V64" s="483"/>
      <c r="W64" s="483"/>
      <c r="X64" s="484"/>
      <c r="Y64" s="484"/>
      <c r="Z64" s="485"/>
    </row>
    <row r="65" spans="1:26" s="17" customFormat="1" ht="15.6" customHeight="1" x14ac:dyDescent="0.25">
      <c r="A65" s="289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1"/>
      <c r="R65" s="272"/>
      <c r="S65" s="273"/>
      <c r="T65" s="274"/>
      <c r="U65" s="486"/>
      <c r="V65" s="242"/>
      <c r="W65" s="242"/>
      <c r="X65" s="487"/>
      <c r="Y65" s="487"/>
      <c r="Z65" s="488"/>
    </row>
    <row r="66" spans="1:26" s="17" customFormat="1" ht="15.6" customHeight="1" x14ac:dyDescent="0.25">
      <c r="A66" s="55" t="s">
        <v>48</v>
      </c>
      <c r="B66" s="56" t="s">
        <v>49</v>
      </c>
      <c r="C66" s="1"/>
      <c r="D66" s="1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7"/>
      <c r="R66" s="272"/>
      <c r="S66" s="273"/>
      <c r="T66" s="274"/>
      <c r="U66" s="489"/>
      <c r="V66" s="490"/>
      <c r="W66" s="490"/>
      <c r="X66" s="491"/>
      <c r="Y66" s="491"/>
      <c r="Z66" s="492"/>
    </row>
    <row r="67" spans="1:26" s="17" customFormat="1" ht="15.6" customHeight="1" x14ac:dyDescent="0.25">
      <c r="A67" s="334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3"/>
      <c r="R67" s="272" t="s">
        <v>50</v>
      </c>
      <c r="S67" s="273"/>
      <c r="T67" s="274"/>
      <c r="U67" s="58"/>
      <c r="V67" s="59"/>
      <c r="W67" s="59"/>
      <c r="X67" s="59"/>
      <c r="Y67" s="59"/>
      <c r="Z67" s="60"/>
    </row>
    <row r="68" spans="1:26" s="17" customFormat="1" ht="15.6" customHeight="1" x14ac:dyDescent="0.25">
      <c r="A68" s="334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3"/>
      <c r="R68" s="272"/>
      <c r="S68" s="273"/>
      <c r="T68" s="274"/>
      <c r="U68" s="61"/>
      <c r="V68" s="242"/>
      <c r="W68" s="242"/>
      <c r="X68" s="242"/>
      <c r="Y68" s="242"/>
      <c r="Z68" s="62"/>
    </row>
    <row r="69" spans="1:26" s="17" customFormat="1" ht="15.6" customHeight="1" x14ac:dyDescent="0.25">
      <c r="A69" s="334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3"/>
      <c r="R69" s="272"/>
      <c r="S69" s="273"/>
      <c r="T69" s="274"/>
      <c r="U69" s="61"/>
      <c r="V69" s="242"/>
      <c r="W69" s="242"/>
      <c r="X69" s="242"/>
      <c r="Y69" s="242"/>
      <c r="Z69" s="62"/>
    </row>
    <row r="70" spans="1:26" s="17" customFormat="1" ht="15.6" customHeight="1" x14ac:dyDescent="0.25">
      <c r="A70" s="335"/>
      <c r="B70" s="336"/>
      <c r="C70" s="336"/>
      <c r="D70" s="336"/>
      <c r="E70" s="336"/>
      <c r="F70" s="336"/>
      <c r="G70" s="336"/>
      <c r="H70" s="336"/>
      <c r="I70" s="336"/>
      <c r="J70" s="336"/>
      <c r="K70" s="336"/>
      <c r="L70" s="336"/>
      <c r="M70" s="336"/>
      <c r="N70" s="336"/>
      <c r="O70" s="336"/>
      <c r="P70" s="336"/>
      <c r="Q70" s="337"/>
      <c r="R70" s="275"/>
      <c r="S70" s="276"/>
      <c r="T70" s="277"/>
      <c r="U70" s="63"/>
      <c r="V70" s="64"/>
      <c r="W70" s="64"/>
      <c r="X70" s="64"/>
      <c r="Y70" s="64"/>
      <c r="Z70" s="65"/>
    </row>
    <row r="71" spans="1:26" s="17" customFormat="1" ht="15" customHeight="1" x14ac:dyDescent="0.25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54"/>
      <c r="S71" s="54"/>
      <c r="T71" s="54"/>
      <c r="U71" s="41"/>
      <c r="V71" s="41"/>
      <c r="W71" s="41"/>
      <c r="X71" s="41"/>
      <c r="Y71" s="41"/>
      <c r="Z71" s="4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  <row r="78" spans="1:26" ht="12.75" customHeight="1" x14ac:dyDescent="0.25">
      <c r="A78" s="1"/>
    </row>
  </sheetData>
  <sheetProtection formatCells="0" formatColumns="0" formatRows="0" insertColumns="0" insertRows="0" insertHyperlinks="0" deleteColumns="0" deleteRows="0" selectLockedCells="1" sort="0" autoFilter="0" pivotTables="0"/>
  <mergeCells count="148">
    <mergeCell ref="L6:O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C26:G26"/>
    <mergeCell ref="H26:J26"/>
    <mergeCell ref="K26:P26"/>
    <mergeCell ref="C27:G27"/>
    <mergeCell ref="H27:J27"/>
    <mergeCell ref="K27:P27"/>
    <mergeCell ref="C25:G25"/>
    <mergeCell ref="H25:J25"/>
    <mergeCell ref="K25:P25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29:P29"/>
    <mergeCell ref="C34:G34"/>
    <mergeCell ref="H34:J34"/>
    <mergeCell ref="K34:P34"/>
    <mergeCell ref="C35:G35"/>
    <mergeCell ref="H35:J35"/>
    <mergeCell ref="K35:P35"/>
    <mergeCell ref="C32:G32"/>
    <mergeCell ref="H32:J32"/>
    <mergeCell ref="K32:P32"/>
    <mergeCell ref="C33:G33"/>
    <mergeCell ref="H33:J33"/>
    <mergeCell ref="K33:P33"/>
    <mergeCell ref="C38:G38"/>
    <mergeCell ref="H38:J38"/>
    <mergeCell ref="K38:P38"/>
    <mergeCell ref="C39:G39"/>
    <mergeCell ref="H39:J39"/>
    <mergeCell ref="K39:P39"/>
    <mergeCell ref="C36:G36"/>
    <mergeCell ref="H36:J36"/>
    <mergeCell ref="K36:P36"/>
    <mergeCell ref="C37:G37"/>
    <mergeCell ref="H37:J37"/>
    <mergeCell ref="K37:P37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46:G46"/>
    <mergeCell ref="H46:J46"/>
    <mergeCell ref="K46:P46"/>
    <mergeCell ref="C47:G47"/>
    <mergeCell ref="H47:J47"/>
    <mergeCell ref="K47:P47"/>
    <mergeCell ref="C44:G44"/>
    <mergeCell ref="H44:J44"/>
    <mergeCell ref="K44:P44"/>
    <mergeCell ref="C45:G45"/>
    <mergeCell ref="H45:J45"/>
    <mergeCell ref="K45:P45"/>
    <mergeCell ref="C50:G50"/>
    <mergeCell ref="H50:J50"/>
    <mergeCell ref="K50:P50"/>
    <mergeCell ref="C51:G51"/>
    <mergeCell ref="H51:J51"/>
    <mergeCell ref="K51:P51"/>
    <mergeCell ref="C48:G48"/>
    <mergeCell ref="H48:J48"/>
    <mergeCell ref="K48:P48"/>
    <mergeCell ref="C49:G49"/>
    <mergeCell ref="H49:J49"/>
    <mergeCell ref="K49:P49"/>
    <mergeCell ref="C54:G54"/>
    <mergeCell ref="H54:J54"/>
    <mergeCell ref="K54:P54"/>
    <mergeCell ref="C55:G55"/>
    <mergeCell ref="H55:J55"/>
    <mergeCell ref="K55:P55"/>
    <mergeCell ref="C52:G52"/>
    <mergeCell ref="H52:J52"/>
    <mergeCell ref="K52:P52"/>
    <mergeCell ref="C53:G53"/>
    <mergeCell ref="H53:J53"/>
    <mergeCell ref="K53:P53"/>
    <mergeCell ref="C56:G56"/>
    <mergeCell ref="H56:J56"/>
    <mergeCell ref="K56:P56"/>
    <mergeCell ref="B57:G57"/>
    <mergeCell ref="H57:J57"/>
    <mergeCell ref="K57:L59"/>
    <mergeCell ref="M57:P59"/>
    <mergeCell ref="B58:G58"/>
    <mergeCell ref="H58:J58"/>
    <mergeCell ref="B59:G59"/>
    <mergeCell ref="A67:Q70"/>
    <mergeCell ref="R67:T70"/>
    <mergeCell ref="V68:Y69"/>
    <mergeCell ref="H59:J59"/>
    <mergeCell ref="A63:Q63"/>
    <mergeCell ref="R63:T63"/>
    <mergeCell ref="U63:Z63"/>
    <mergeCell ref="A64:Q65"/>
    <mergeCell ref="R64:T66"/>
    <mergeCell ref="U64:Z66"/>
  </mergeCells>
  <printOptions horizontalCentered="1"/>
  <pageMargins left="0.39370078740157" right="0.39370078740157" top="0.39370078740157" bottom="0.39370078740157" header="0" footer="0.19685039370078999"/>
  <pageSetup paperSize="9" scale="68" orientation="portrait" r:id="rId1"/>
  <headerFooter alignWithMargins="0">
    <oddFooter>&amp;RDG-Q / CRE PLW12 du 06/04/2011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1935F-3075-462C-BB47-5F0520961374}">
  <sheetPr codeName="Feuil5">
    <pageSetUpPr fitToPage="1"/>
  </sheetPr>
  <dimension ref="A1:AA70"/>
  <sheetViews>
    <sheetView topLeftCell="A40" workbookViewId="0">
      <selection activeCell="A56" sqref="A56:Q5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6</v>
      </c>
      <c r="J5" s="191"/>
      <c r="K5" s="192"/>
      <c r="L5" s="193" t="s">
        <v>3</v>
      </c>
      <c r="M5" s="194"/>
      <c r="N5" s="194"/>
      <c r="O5" s="195"/>
      <c r="P5" s="196" t="s">
        <v>67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68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75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67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74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70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81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108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475">
        <v>95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475">
        <v>86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475">
        <v>125</v>
      </c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>
        <v>6</v>
      </c>
      <c r="C30" s="216"/>
      <c r="D30" s="217"/>
      <c r="E30" s="217"/>
      <c r="F30" s="217"/>
      <c r="G30" s="218"/>
      <c r="H30" s="475">
        <v>93</v>
      </c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>
        <v>7</v>
      </c>
      <c r="C31" s="216"/>
      <c r="D31" s="217"/>
      <c r="E31" s="217"/>
      <c r="F31" s="217"/>
      <c r="G31" s="218"/>
      <c r="H31" s="475">
        <v>116</v>
      </c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>
        <v>8</v>
      </c>
      <c r="C32" s="216"/>
      <c r="D32" s="217"/>
      <c r="E32" s="217"/>
      <c r="F32" s="217"/>
      <c r="G32" s="218"/>
      <c r="H32" s="475">
        <v>109</v>
      </c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>
        <v>9</v>
      </c>
      <c r="C33" s="216"/>
      <c r="D33" s="217"/>
      <c r="E33" s="217"/>
      <c r="F33" s="217"/>
      <c r="G33" s="218"/>
      <c r="H33" s="475">
        <v>116</v>
      </c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>
        <v>10</v>
      </c>
      <c r="C34" s="216"/>
      <c r="D34" s="217"/>
      <c r="E34" s="217"/>
      <c r="F34" s="217"/>
      <c r="G34" s="218"/>
      <c r="H34" s="475">
        <v>104</v>
      </c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475">
        <v>80</v>
      </c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475">
        <v>84</v>
      </c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475">
        <v>84</v>
      </c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>
        <v>14</v>
      </c>
      <c r="C38" s="216"/>
      <c r="D38" s="217"/>
      <c r="E38" s="217"/>
      <c r="F38" s="217"/>
      <c r="G38" s="218"/>
      <c r="H38" s="475">
        <v>89</v>
      </c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>
        <v>15</v>
      </c>
      <c r="C39" s="216"/>
      <c r="D39" s="217"/>
      <c r="E39" s="217"/>
      <c r="F39" s="217"/>
      <c r="G39" s="218"/>
      <c r="H39" s="475">
        <v>72</v>
      </c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>
        <v>16</v>
      </c>
      <c r="C40" s="216"/>
      <c r="D40" s="217"/>
      <c r="E40" s="217"/>
      <c r="F40" s="217"/>
      <c r="G40" s="218"/>
      <c r="H40" s="475">
        <v>75</v>
      </c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>
        <v>17</v>
      </c>
      <c r="C41" s="216"/>
      <c r="D41" s="217"/>
      <c r="E41" s="217"/>
      <c r="F41" s="217"/>
      <c r="G41" s="218"/>
      <c r="H41" s="475">
        <v>93</v>
      </c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>
        <v>18</v>
      </c>
      <c r="C42" s="216"/>
      <c r="D42" s="217"/>
      <c r="E42" s="217"/>
      <c r="F42" s="217"/>
      <c r="G42" s="218"/>
      <c r="H42" s="475">
        <v>85</v>
      </c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>
        <v>19</v>
      </c>
      <c r="C43" s="216"/>
      <c r="D43" s="217"/>
      <c r="E43" s="217"/>
      <c r="F43" s="217"/>
      <c r="G43" s="218"/>
      <c r="H43" s="475">
        <v>85</v>
      </c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>
        <v>20</v>
      </c>
      <c r="C44" s="216"/>
      <c r="D44" s="217"/>
      <c r="E44" s="217"/>
      <c r="F44" s="217"/>
      <c r="G44" s="218"/>
      <c r="H44" s="475">
        <v>75</v>
      </c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>
        <v>21</v>
      </c>
      <c r="C45" s="216"/>
      <c r="D45" s="217"/>
      <c r="E45" s="217"/>
      <c r="F45" s="217"/>
      <c r="G45" s="218"/>
      <c r="H45" s="475">
        <v>75</v>
      </c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>
        <v>22</v>
      </c>
      <c r="C46" s="216"/>
      <c r="D46" s="217"/>
      <c r="E46" s="217"/>
      <c r="F46" s="217"/>
      <c r="G46" s="218"/>
      <c r="H46" s="475">
        <v>89</v>
      </c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x14ac:dyDescent="0.25">
      <c r="A47" s="9"/>
      <c r="B47" s="45">
        <v>23</v>
      </c>
      <c r="C47" s="216"/>
      <c r="D47" s="217"/>
      <c r="E47" s="217"/>
      <c r="F47" s="217"/>
      <c r="G47" s="218"/>
      <c r="H47" s="475">
        <v>89</v>
      </c>
      <c r="I47" s="476"/>
      <c r="J47" s="477"/>
      <c r="K47" s="216"/>
      <c r="L47" s="217"/>
      <c r="M47" s="217"/>
      <c r="N47" s="217"/>
      <c r="O47" s="217"/>
      <c r="P47" s="218"/>
      <c r="Z47" s="11"/>
    </row>
    <row r="48" spans="1:26" ht="19.5" customHeight="1" thickBot="1" x14ac:dyDescent="0.3">
      <c r="A48" s="9"/>
      <c r="B48" s="46"/>
      <c r="C48" s="226"/>
      <c r="D48" s="226"/>
      <c r="E48" s="226"/>
      <c r="F48" s="226"/>
      <c r="G48" s="227"/>
      <c r="H48" s="496"/>
      <c r="I48" s="497"/>
      <c r="J48" s="498"/>
      <c r="K48" s="310"/>
      <c r="L48" s="226"/>
      <c r="M48" s="226"/>
      <c r="N48" s="226"/>
      <c r="O48" s="226"/>
      <c r="P48" s="227"/>
      <c r="Z48" s="11"/>
    </row>
    <row r="49" spans="1:26" ht="15.75" customHeight="1" x14ac:dyDescent="0.25">
      <c r="A49" s="9"/>
      <c r="B49" s="256" t="s">
        <v>36</v>
      </c>
      <c r="C49" s="257"/>
      <c r="D49" s="257"/>
      <c r="E49" s="257"/>
      <c r="F49" s="257"/>
      <c r="G49" s="258"/>
      <c r="H49" s="493">
        <f>AVERAGE(H25:J48)</f>
        <v>91.652173913043484</v>
      </c>
      <c r="I49" s="494"/>
      <c r="J49" s="495"/>
      <c r="K49" s="260">
        <v>100</v>
      </c>
      <c r="L49" s="261"/>
      <c r="M49" s="240" t="s">
        <v>38</v>
      </c>
      <c r="N49" s="240"/>
      <c r="O49" s="240"/>
      <c r="P49" s="241"/>
      <c r="Z49" s="11"/>
    </row>
    <row r="50" spans="1:26" ht="15.75" customHeight="1" x14ac:dyDescent="0.25">
      <c r="A50" s="9"/>
      <c r="B50" s="246" t="s">
        <v>39</v>
      </c>
      <c r="C50" s="247"/>
      <c r="D50" s="247"/>
      <c r="E50" s="247"/>
      <c r="F50" s="247"/>
      <c r="G50" s="248"/>
      <c r="H50" s="249">
        <f>IF(COUNTIF(H25:J48,"*&lt;20*"),"&lt;20",MIN(H25:J48))</f>
        <v>72</v>
      </c>
      <c r="I50" s="223"/>
      <c r="J50" s="224"/>
      <c r="K50" s="262"/>
      <c r="L50" s="263"/>
      <c r="M50" s="242"/>
      <c r="N50" s="242"/>
      <c r="O50" s="242"/>
      <c r="P50" s="243"/>
      <c r="Z50" s="11"/>
    </row>
    <row r="51" spans="1:26" ht="15.75" customHeight="1" thickBot="1" x14ac:dyDescent="0.3">
      <c r="A51" s="9"/>
      <c r="B51" s="250" t="s">
        <v>40</v>
      </c>
      <c r="C51" s="251"/>
      <c r="D51" s="251"/>
      <c r="E51" s="251"/>
      <c r="F51" s="251"/>
      <c r="G51" s="252"/>
      <c r="H51" s="253">
        <f>IF(COUNTIF(H25:J48,"*&gt;250*"),"&gt;250",MAX(H25:J48))</f>
        <v>125</v>
      </c>
      <c r="I51" s="254"/>
      <c r="J51" s="255"/>
      <c r="K51" s="264"/>
      <c r="L51" s="265"/>
      <c r="M51" s="244"/>
      <c r="N51" s="244"/>
      <c r="O51" s="244"/>
      <c r="P51" s="245"/>
      <c r="Z51" s="11"/>
    </row>
    <row r="52" spans="1:26" ht="15.9" customHeight="1" x14ac:dyDescent="0.25">
      <c r="A52" s="35"/>
      <c r="B52" s="4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6"/>
    </row>
    <row r="53" spans="1:26" ht="12.75" customHeight="1" x14ac:dyDescent="0.25">
      <c r="A53" s="36"/>
      <c r="B53" s="37"/>
    </row>
    <row r="54" spans="1:26" s="17" customFormat="1" ht="15.6" customHeight="1" x14ac:dyDescent="0.25">
      <c r="A54" s="48" t="s">
        <v>41</v>
      </c>
      <c r="B54" s="5" t="s">
        <v>42</v>
      </c>
      <c r="C54" s="49"/>
      <c r="D54" s="49"/>
      <c r="E54" s="49"/>
      <c r="F54" s="50"/>
      <c r="G54" s="50"/>
      <c r="H54" s="5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1"/>
      <c r="V54" s="52"/>
      <c r="W54" s="52"/>
      <c r="X54" s="42"/>
      <c r="Y54" s="42"/>
      <c r="Z54" s="43"/>
    </row>
    <row r="55" spans="1:26" s="17" customFormat="1" ht="28.5" customHeight="1" x14ac:dyDescent="0.25">
      <c r="A55" s="279" t="s">
        <v>43</v>
      </c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1"/>
      <c r="R55" s="272" t="s">
        <v>44</v>
      </c>
      <c r="S55" s="273"/>
      <c r="T55" s="274"/>
      <c r="U55" s="478" t="s">
        <v>63</v>
      </c>
      <c r="V55" s="479"/>
      <c r="W55" s="479"/>
      <c r="X55" s="480"/>
      <c r="Y55" s="480"/>
      <c r="Z55" s="481"/>
    </row>
    <row r="56" spans="1:26" s="17" customFormat="1" ht="15.6" customHeight="1" x14ac:dyDescent="0.25">
      <c r="A56" s="286" t="s">
        <v>45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8"/>
      <c r="R56" s="272" t="s">
        <v>46</v>
      </c>
      <c r="S56" s="273"/>
      <c r="T56" s="274"/>
      <c r="U56" s="482" t="s">
        <v>62</v>
      </c>
      <c r="V56" s="483"/>
      <c r="W56" s="483"/>
      <c r="X56" s="484"/>
      <c r="Y56" s="484"/>
      <c r="Z56" s="485"/>
    </row>
    <row r="57" spans="1:26" s="17" customFormat="1" ht="15.6" customHeight="1" x14ac:dyDescent="0.25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1"/>
      <c r="R57" s="272"/>
      <c r="S57" s="273"/>
      <c r="T57" s="274"/>
      <c r="U57" s="486"/>
      <c r="V57" s="242"/>
      <c r="W57" s="242"/>
      <c r="X57" s="487"/>
      <c r="Y57" s="487"/>
      <c r="Z57" s="488"/>
    </row>
    <row r="58" spans="1:26" s="17" customFormat="1" ht="15.6" customHeight="1" x14ac:dyDescent="0.25">
      <c r="A58" s="55" t="s">
        <v>48</v>
      </c>
      <c r="B58" s="56" t="s">
        <v>49</v>
      </c>
      <c r="C58" s="1"/>
      <c r="D58" s="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7"/>
      <c r="R58" s="272"/>
      <c r="S58" s="273"/>
      <c r="T58" s="274"/>
      <c r="U58" s="489"/>
      <c r="V58" s="490"/>
      <c r="W58" s="490"/>
      <c r="X58" s="491"/>
      <c r="Y58" s="491"/>
      <c r="Z58" s="492"/>
    </row>
    <row r="59" spans="1:26" s="17" customFormat="1" ht="15.6" customHeight="1" x14ac:dyDescent="0.25">
      <c r="A59" s="334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72" t="s">
        <v>50</v>
      </c>
      <c r="S59" s="273"/>
      <c r="T59" s="274"/>
      <c r="U59" s="58"/>
      <c r="V59" s="59"/>
      <c r="W59" s="59"/>
      <c r="X59" s="59"/>
      <c r="Y59" s="59"/>
      <c r="Z59" s="60"/>
    </row>
    <row r="60" spans="1:26" s="17" customFormat="1" ht="15.6" customHeight="1" x14ac:dyDescent="0.25">
      <c r="A60" s="334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72"/>
      <c r="S60" s="273"/>
      <c r="T60" s="274"/>
      <c r="U60" s="61"/>
      <c r="V60" s="242"/>
      <c r="W60" s="242"/>
      <c r="X60" s="242"/>
      <c r="Y60" s="242"/>
      <c r="Z60" s="62"/>
    </row>
    <row r="61" spans="1:26" s="17" customFormat="1" ht="15.6" customHeight="1" x14ac:dyDescent="0.25">
      <c r="A61" s="334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72"/>
      <c r="S61" s="273"/>
      <c r="T61" s="274"/>
      <c r="U61" s="61"/>
      <c r="V61" s="242"/>
      <c r="W61" s="242"/>
      <c r="X61" s="242"/>
      <c r="Y61" s="242"/>
      <c r="Z61" s="62"/>
    </row>
    <row r="62" spans="1:26" s="17" customFormat="1" ht="15.6" customHeight="1" x14ac:dyDescent="0.25">
      <c r="A62" s="335"/>
      <c r="B62" s="336"/>
      <c r="C62" s="336"/>
      <c r="D62" s="336"/>
      <c r="E62" s="336"/>
      <c r="F62" s="336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7"/>
      <c r="R62" s="275"/>
      <c r="S62" s="276"/>
      <c r="T62" s="277"/>
      <c r="U62" s="63"/>
      <c r="V62" s="64"/>
      <c r="W62" s="64"/>
      <c r="X62" s="64"/>
      <c r="Y62" s="64"/>
      <c r="Z62" s="65"/>
    </row>
    <row r="63" spans="1:26" s="17" customFormat="1" ht="15" customHeight="1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54"/>
      <c r="S63" s="54"/>
      <c r="T63" s="54"/>
      <c r="U63" s="41"/>
      <c r="V63" s="41"/>
      <c r="W63" s="41"/>
      <c r="X63" s="41"/>
      <c r="Y63" s="41"/>
      <c r="Z63" s="4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  <row r="70" spans="1:1" ht="12.75" customHeight="1" x14ac:dyDescent="0.25">
      <c r="A70" s="1"/>
    </row>
  </sheetData>
  <sheetProtection formatCells="0" formatColumns="0" formatRows="0" insertColumns="0" insertRows="0" insertHyperlinks="0" deleteColumns="0" deleteRows="0" selectLockedCells="1" sort="0" autoFilter="0" pivotTables="0"/>
  <mergeCells count="124">
    <mergeCell ref="L6:O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47:G47"/>
    <mergeCell ref="H47:J47"/>
    <mergeCell ref="K47:P47"/>
    <mergeCell ref="C45:G45"/>
    <mergeCell ref="H45:J45"/>
    <mergeCell ref="K45:P45"/>
    <mergeCell ref="C46:G46"/>
    <mergeCell ref="H46:J46"/>
    <mergeCell ref="K46:P46"/>
    <mergeCell ref="C48:G48"/>
    <mergeCell ref="H48:J48"/>
    <mergeCell ref="K48:P48"/>
    <mergeCell ref="B49:G49"/>
    <mergeCell ref="H49:J49"/>
    <mergeCell ref="K49:L51"/>
    <mergeCell ref="M49:P51"/>
    <mergeCell ref="B50:G50"/>
    <mergeCell ref="H50:J50"/>
    <mergeCell ref="B51:G51"/>
    <mergeCell ref="A59:Q62"/>
    <mergeCell ref="R59:T62"/>
    <mergeCell ref="V60:Y61"/>
    <mergeCell ref="H51:J51"/>
    <mergeCell ref="A55:Q55"/>
    <mergeCell ref="R55:T55"/>
    <mergeCell ref="U55:Z55"/>
    <mergeCell ref="A56:Q57"/>
    <mergeCell ref="R56:T58"/>
    <mergeCell ref="U56:Z5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5AC25-019D-4B7D-BC21-473FEC74B143}">
  <sheetPr codeName="Feuil6">
    <pageSetUpPr fitToPage="1"/>
  </sheetPr>
  <dimension ref="A1:AA70"/>
  <sheetViews>
    <sheetView topLeftCell="A46" workbookViewId="0">
      <selection activeCell="A56" sqref="A56:Q5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5</v>
      </c>
      <c r="J5" s="191"/>
      <c r="K5" s="192"/>
      <c r="L5" s="193" t="s">
        <v>3</v>
      </c>
      <c r="M5" s="194"/>
      <c r="N5" s="194"/>
      <c r="O5" s="195"/>
      <c r="P5" s="196" t="s">
        <v>67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68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72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67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71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30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 t="s">
        <v>64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 t="s">
        <v>64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475">
        <v>24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475" t="s">
        <v>64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/>
      <c r="C29" s="216"/>
      <c r="D29" s="217"/>
      <c r="E29" s="217"/>
      <c r="F29" s="217"/>
      <c r="G29" s="218"/>
      <c r="H29" s="475"/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/>
      <c r="C30" s="216"/>
      <c r="D30" s="217"/>
      <c r="E30" s="217"/>
      <c r="F30" s="217"/>
      <c r="G30" s="218"/>
      <c r="H30" s="475"/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/>
      <c r="C31" s="216"/>
      <c r="D31" s="217"/>
      <c r="E31" s="217"/>
      <c r="F31" s="217"/>
      <c r="G31" s="218"/>
      <c r="H31" s="475"/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/>
      <c r="C32" s="216"/>
      <c r="D32" s="217"/>
      <c r="E32" s="217"/>
      <c r="F32" s="217"/>
      <c r="G32" s="218"/>
      <c r="H32" s="475"/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/>
      <c r="C33" s="216"/>
      <c r="D33" s="217"/>
      <c r="E33" s="217"/>
      <c r="F33" s="217"/>
      <c r="G33" s="218"/>
      <c r="H33" s="475"/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/>
      <c r="C34" s="216"/>
      <c r="D34" s="217"/>
      <c r="E34" s="217"/>
      <c r="F34" s="217"/>
      <c r="G34" s="218"/>
      <c r="H34" s="475"/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/>
      <c r="C35" s="216"/>
      <c r="D35" s="217"/>
      <c r="E35" s="217"/>
      <c r="F35" s="217"/>
      <c r="G35" s="218"/>
      <c r="H35" s="475"/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/>
      <c r="C36" s="216"/>
      <c r="D36" s="217"/>
      <c r="E36" s="217"/>
      <c r="F36" s="217"/>
      <c r="G36" s="218"/>
      <c r="H36" s="475"/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/>
      <c r="C37" s="216"/>
      <c r="D37" s="217"/>
      <c r="E37" s="217"/>
      <c r="F37" s="217"/>
      <c r="G37" s="218"/>
      <c r="H37" s="475"/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/>
      <c r="C38" s="216"/>
      <c r="D38" s="217"/>
      <c r="E38" s="217"/>
      <c r="F38" s="217"/>
      <c r="G38" s="218"/>
      <c r="H38" s="475"/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/>
      <c r="C39" s="216"/>
      <c r="D39" s="217"/>
      <c r="E39" s="217"/>
      <c r="F39" s="217"/>
      <c r="G39" s="218"/>
      <c r="H39" s="475"/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/>
      <c r="C40" s="216"/>
      <c r="D40" s="217"/>
      <c r="E40" s="217"/>
      <c r="F40" s="217"/>
      <c r="G40" s="218"/>
      <c r="H40" s="475"/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/>
      <c r="C41" s="216"/>
      <c r="D41" s="217"/>
      <c r="E41" s="217"/>
      <c r="F41" s="217"/>
      <c r="G41" s="218"/>
      <c r="H41" s="475"/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/>
      <c r="C42" s="216"/>
      <c r="D42" s="217"/>
      <c r="E42" s="217"/>
      <c r="F42" s="217"/>
      <c r="G42" s="218"/>
      <c r="H42" s="475"/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/>
      <c r="C43" s="216"/>
      <c r="D43" s="217"/>
      <c r="E43" s="217"/>
      <c r="F43" s="217"/>
      <c r="G43" s="218"/>
      <c r="H43" s="475"/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/>
      <c r="C44" s="216"/>
      <c r="D44" s="217"/>
      <c r="E44" s="217"/>
      <c r="F44" s="217"/>
      <c r="G44" s="218"/>
      <c r="H44" s="475"/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/>
      <c r="C45" s="216"/>
      <c r="D45" s="217"/>
      <c r="E45" s="217"/>
      <c r="F45" s="217"/>
      <c r="G45" s="218"/>
      <c r="H45" s="475"/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/>
      <c r="C46" s="216"/>
      <c r="D46" s="217"/>
      <c r="E46" s="217"/>
      <c r="F46" s="217"/>
      <c r="G46" s="218"/>
      <c r="H46" s="475"/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x14ac:dyDescent="0.25">
      <c r="A47" s="9"/>
      <c r="B47" s="45"/>
      <c r="C47" s="216"/>
      <c r="D47" s="217"/>
      <c r="E47" s="217"/>
      <c r="F47" s="217"/>
      <c r="G47" s="218"/>
      <c r="H47" s="475"/>
      <c r="I47" s="476"/>
      <c r="J47" s="477"/>
      <c r="K47" s="216"/>
      <c r="L47" s="217"/>
      <c r="M47" s="217"/>
      <c r="N47" s="217"/>
      <c r="O47" s="217"/>
      <c r="P47" s="218"/>
      <c r="Z47" s="11"/>
    </row>
    <row r="48" spans="1:26" ht="19.5" customHeight="1" thickBot="1" x14ac:dyDescent="0.3">
      <c r="A48" s="9"/>
      <c r="B48" s="46"/>
      <c r="C48" s="226"/>
      <c r="D48" s="226"/>
      <c r="E48" s="226"/>
      <c r="F48" s="226"/>
      <c r="G48" s="227"/>
      <c r="H48" s="496"/>
      <c r="I48" s="497"/>
      <c r="J48" s="498"/>
      <c r="K48" s="310"/>
      <c r="L48" s="226"/>
      <c r="M48" s="226"/>
      <c r="N48" s="226"/>
      <c r="O48" s="226"/>
      <c r="P48" s="227"/>
      <c r="Z48" s="11"/>
    </row>
    <row r="49" spans="1:26" ht="15.75" customHeight="1" x14ac:dyDescent="0.25">
      <c r="A49" s="9"/>
      <c r="B49" s="256" t="s">
        <v>36</v>
      </c>
      <c r="C49" s="257"/>
      <c r="D49" s="257"/>
      <c r="E49" s="257"/>
      <c r="F49" s="257"/>
      <c r="G49" s="258"/>
      <c r="H49" s="493">
        <f>AVERAGE(H25:J48)</f>
        <v>24</v>
      </c>
      <c r="I49" s="494"/>
      <c r="J49" s="495"/>
      <c r="K49" s="260">
        <v>0</v>
      </c>
      <c r="L49" s="261"/>
      <c r="M49" s="240" t="s">
        <v>38</v>
      </c>
      <c r="N49" s="240"/>
      <c r="O49" s="240"/>
      <c r="P49" s="241"/>
      <c r="Z49" s="11"/>
    </row>
    <row r="50" spans="1:26" ht="15.75" customHeight="1" x14ac:dyDescent="0.25">
      <c r="A50" s="9"/>
      <c r="B50" s="246" t="s">
        <v>39</v>
      </c>
      <c r="C50" s="247"/>
      <c r="D50" s="247"/>
      <c r="E50" s="247"/>
      <c r="F50" s="247"/>
      <c r="G50" s="248"/>
      <c r="H50" s="249" t="str">
        <f>IF(COUNTIF(H25:J48,"*&lt;20*"),"&lt;20",MIN(H25:J48))</f>
        <v>&lt;20</v>
      </c>
      <c r="I50" s="223"/>
      <c r="J50" s="224"/>
      <c r="K50" s="262"/>
      <c r="L50" s="263"/>
      <c r="M50" s="242"/>
      <c r="N50" s="242"/>
      <c r="O50" s="242"/>
      <c r="P50" s="243"/>
      <c r="Z50" s="11"/>
    </row>
    <row r="51" spans="1:26" ht="15.75" customHeight="1" thickBot="1" x14ac:dyDescent="0.3">
      <c r="A51" s="9"/>
      <c r="B51" s="250" t="s">
        <v>40</v>
      </c>
      <c r="C51" s="251"/>
      <c r="D51" s="251"/>
      <c r="E51" s="251"/>
      <c r="F51" s="251"/>
      <c r="G51" s="252"/>
      <c r="H51" s="253">
        <f>IF(COUNTIF(H25:J48,"*&gt;250*"),"&gt;250",MAX(H25:J48))</f>
        <v>24</v>
      </c>
      <c r="I51" s="254"/>
      <c r="J51" s="255"/>
      <c r="K51" s="264"/>
      <c r="L51" s="265"/>
      <c r="M51" s="244"/>
      <c r="N51" s="244"/>
      <c r="O51" s="244"/>
      <c r="P51" s="245"/>
      <c r="Z51" s="11"/>
    </row>
    <row r="52" spans="1:26" ht="15.9" customHeight="1" x14ac:dyDescent="0.25">
      <c r="A52" s="35"/>
      <c r="B52" s="40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16"/>
    </row>
    <row r="53" spans="1:26" ht="12.75" customHeight="1" x14ac:dyDescent="0.25">
      <c r="A53" s="36"/>
      <c r="B53" s="37"/>
    </row>
    <row r="54" spans="1:26" s="17" customFormat="1" ht="15.6" customHeight="1" x14ac:dyDescent="0.25">
      <c r="A54" s="48" t="s">
        <v>41</v>
      </c>
      <c r="B54" s="5" t="s">
        <v>42</v>
      </c>
      <c r="C54" s="49"/>
      <c r="D54" s="49"/>
      <c r="E54" s="49"/>
      <c r="F54" s="50"/>
      <c r="G54" s="50"/>
      <c r="H54" s="50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51"/>
      <c r="V54" s="52"/>
      <c r="W54" s="52"/>
      <c r="X54" s="42"/>
      <c r="Y54" s="42"/>
      <c r="Z54" s="43"/>
    </row>
    <row r="55" spans="1:26" s="17" customFormat="1" ht="28.5" customHeight="1" x14ac:dyDescent="0.25">
      <c r="A55" s="279" t="s">
        <v>43</v>
      </c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0"/>
      <c r="P55" s="280"/>
      <c r="Q55" s="281"/>
      <c r="R55" s="272" t="s">
        <v>44</v>
      </c>
      <c r="S55" s="273"/>
      <c r="T55" s="274"/>
      <c r="U55" s="478" t="s">
        <v>63</v>
      </c>
      <c r="V55" s="479"/>
      <c r="W55" s="479"/>
      <c r="X55" s="480"/>
      <c r="Y55" s="480"/>
      <c r="Z55" s="481"/>
    </row>
    <row r="56" spans="1:26" s="17" customFormat="1" ht="15.6" customHeight="1" x14ac:dyDescent="0.25">
      <c r="A56" s="286" t="s">
        <v>73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8"/>
      <c r="R56" s="272" t="s">
        <v>46</v>
      </c>
      <c r="S56" s="273"/>
      <c r="T56" s="274"/>
      <c r="U56" s="482" t="s">
        <v>62</v>
      </c>
      <c r="V56" s="483"/>
      <c r="W56" s="483"/>
      <c r="X56" s="484"/>
      <c r="Y56" s="484"/>
      <c r="Z56" s="485"/>
    </row>
    <row r="57" spans="1:26" s="17" customFormat="1" ht="15.6" customHeight="1" x14ac:dyDescent="0.25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1"/>
      <c r="R57" s="272"/>
      <c r="S57" s="273"/>
      <c r="T57" s="274"/>
      <c r="U57" s="486"/>
      <c r="V57" s="242"/>
      <c r="W57" s="242"/>
      <c r="X57" s="487"/>
      <c r="Y57" s="487"/>
      <c r="Z57" s="488"/>
    </row>
    <row r="58" spans="1:26" s="17" customFormat="1" ht="15.6" customHeight="1" x14ac:dyDescent="0.25">
      <c r="A58" s="55" t="s">
        <v>48</v>
      </c>
      <c r="B58" s="56" t="s">
        <v>49</v>
      </c>
      <c r="C58" s="1"/>
      <c r="D58" s="1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7"/>
      <c r="R58" s="272"/>
      <c r="S58" s="273"/>
      <c r="T58" s="274"/>
      <c r="U58" s="489"/>
      <c r="V58" s="490"/>
      <c r="W58" s="490"/>
      <c r="X58" s="491"/>
      <c r="Y58" s="491"/>
      <c r="Z58" s="492"/>
    </row>
    <row r="59" spans="1:26" s="17" customFormat="1" ht="15.6" customHeight="1" x14ac:dyDescent="0.25">
      <c r="A59" s="334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72" t="s">
        <v>50</v>
      </c>
      <c r="S59" s="273"/>
      <c r="T59" s="274"/>
      <c r="U59" s="58"/>
      <c r="V59" s="59"/>
      <c r="W59" s="59"/>
      <c r="X59" s="59"/>
      <c r="Y59" s="59"/>
      <c r="Z59" s="60"/>
    </row>
    <row r="60" spans="1:26" s="17" customFormat="1" ht="15.6" customHeight="1" x14ac:dyDescent="0.25">
      <c r="A60" s="334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72"/>
      <c r="S60" s="273"/>
      <c r="T60" s="274"/>
      <c r="U60" s="61"/>
      <c r="V60" s="242"/>
      <c r="W60" s="242"/>
      <c r="X60" s="242"/>
      <c r="Y60" s="242"/>
      <c r="Z60" s="62"/>
    </row>
    <row r="61" spans="1:26" s="17" customFormat="1" ht="15.6" customHeight="1" x14ac:dyDescent="0.25">
      <c r="A61" s="334"/>
      <c r="B61" s="332"/>
      <c r="C61" s="332"/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3"/>
      <c r="R61" s="272"/>
      <c r="S61" s="273"/>
      <c r="T61" s="274"/>
      <c r="U61" s="61"/>
      <c r="V61" s="242"/>
      <c r="W61" s="242"/>
      <c r="X61" s="242"/>
      <c r="Y61" s="242"/>
      <c r="Z61" s="62"/>
    </row>
    <row r="62" spans="1:26" s="17" customFormat="1" ht="15.6" customHeight="1" x14ac:dyDescent="0.25">
      <c r="A62" s="335"/>
      <c r="B62" s="336"/>
      <c r="C62" s="336"/>
      <c r="D62" s="336"/>
      <c r="E62" s="336"/>
      <c r="F62" s="336"/>
      <c r="G62" s="336"/>
      <c r="H62" s="336"/>
      <c r="I62" s="336"/>
      <c r="J62" s="336"/>
      <c r="K62" s="336"/>
      <c r="L62" s="336"/>
      <c r="M62" s="336"/>
      <c r="N62" s="336"/>
      <c r="O62" s="336"/>
      <c r="P62" s="336"/>
      <c r="Q62" s="337"/>
      <c r="R62" s="275"/>
      <c r="S62" s="276"/>
      <c r="T62" s="277"/>
      <c r="U62" s="63"/>
      <c r="V62" s="64"/>
      <c r="W62" s="64"/>
      <c r="X62" s="64"/>
      <c r="Y62" s="64"/>
      <c r="Z62" s="65"/>
    </row>
    <row r="63" spans="1:26" s="17" customFormat="1" ht="15" customHeight="1" x14ac:dyDescent="0.25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54"/>
      <c r="S63" s="54"/>
      <c r="T63" s="54"/>
      <c r="U63" s="41"/>
      <c r="V63" s="41"/>
      <c r="W63" s="41"/>
      <c r="X63" s="41"/>
      <c r="Y63" s="41"/>
      <c r="Z63" s="4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  <row r="70" spans="1:1" ht="12.75" customHeight="1" x14ac:dyDescent="0.25">
      <c r="A70" s="1"/>
    </row>
  </sheetData>
  <sheetProtection formatCells="0" formatColumns="0" formatRows="0" insertColumns="0" insertRows="0" insertHyperlinks="0" deleteColumns="0" deleteRows="0" selectLockedCells="1" sort="0" autoFilter="0" pivotTables="0"/>
  <mergeCells count="124">
    <mergeCell ref="L6:O6"/>
    <mergeCell ref="B17:H17"/>
    <mergeCell ref="I17:Y17"/>
    <mergeCell ref="B18:H18"/>
    <mergeCell ref="I18:J18"/>
    <mergeCell ref="J21:P21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C27:G27"/>
    <mergeCell ref="H27:J27"/>
    <mergeCell ref="K27:P27"/>
    <mergeCell ref="C28:G28"/>
    <mergeCell ref="H28:J28"/>
    <mergeCell ref="K28:P28"/>
    <mergeCell ref="C25:G25"/>
    <mergeCell ref="H25:J25"/>
    <mergeCell ref="K25:P25"/>
    <mergeCell ref="C26:G26"/>
    <mergeCell ref="H26:J26"/>
    <mergeCell ref="K26:P26"/>
    <mergeCell ref="C31:G31"/>
    <mergeCell ref="H31:J31"/>
    <mergeCell ref="K31:P31"/>
    <mergeCell ref="C32:G32"/>
    <mergeCell ref="H32:J32"/>
    <mergeCell ref="K32:P32"/>
    <mergeCell ref="C29:G29"/>
    <mergeCell ref="H29:J29"/>
    <mergeCell ref="K29:P29"/>
    <mergeCell ref="C30:G30"/>
    <mergeCell ref="H30:J30"/>
    <mergeCell ref="K30:P30"/>
    <mergeCell ref="C35:G35"/>
    <mergeCell ref="H35:J35"/>
    <mergeCell ref="K35:P35"/>
    <mergeCell ref="C36:G36"/>
    <mergeCell ref="H36:J36"/>
    <mergeCell ref="K36:P36"/>
    <mergeCell ref="C33:G33"/>
    <mergeCell ref="H33:J33"/>
    <mergeCell ref="K33:P33"/>
    <mergeCell ref="C34:G34"/>
    <mergeCell ref="H34:J34"/>
    <mergeCell ref="K34:P34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C47:G47"/>
    <mergeCell ref="H47:J47"/>
    <mergeCell ref="K47:P47"/>
    <mergeCell ref="C45:G45"/>
    <mergeCell ref="H45:J45"/>
    <mergeCell ref="K45:P45"/>
    <mergeCell ref="C46:G46"/>
    <mergeCell ref="H46:J46"/>
    <mergeCell ref="K46:P46"/>
    <mergeCell ref="C48:G48"/>
    <mergeCell ref="H48:J48"/>
    <mergeCell ref="K48:P48"/>
    <mergeCell ref="B49:G49"/>
    <mergeCell ref="H49:J49"/>
    <mergeCell ref="K49:L51"/>
    <mergeCell ref="M49:P51"/>
    <mergeCell ref="B50:G50"/>
    <mergeCell ref="H50:J50"/>
    <mergeCell ref="B51:G51"/>
    <mergeCell ref="A59:Q62"/>
    <mergeCell ref="R59:T62"/>
    <mergeCell ref="V60:Y61"/>
    <mergeCell ref="H51:J51"/>
    <mergeCell ref="A55:Q55"/>
    <mergeCell ref="R55:T55"/>
    <mergeCell ref="U55:Z55"/>
    <mergeCell ref="A56:Q57"/>
    <mergeCell ref="R56:T58"/>
    <mergeCell ref="U56:Z58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CC97E-B93B-4004-8143-478C8DE4F7C7}">
  <sheetPr codeName="Feuil7">
    <pageSetUpPr fitToPage="1"/>
  </sheetPr>
  <dimension ref="A1:AA69"/>
  <sheetViews>
    <sheetView topLeftCell="A44" workbookViewId="0">
      <selection activeCell="U26" sqref="U2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4</v>
      </c>
      <c r="J5" s="191"/>
      <c r="K5" s="192"/>
      <c r="L5" s="193" t="s">
        <v>3</v>
      </c>
      <c r="M5" s="194"/>
      <c r="N5" s="194"/>
      <c r="O5" s="195"/>
      <c r="P5" s="196" t="s">
        <v>67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68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69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67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66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70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65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40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44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55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/>
      <c r="C27" s="216"/>
      <c r="D27" s="217"/>
      <c r="E27" s="217"/>
      <c r="F27" s="217"/>
      <c r="G27" s="218"/>
      <c r="H27" s="475"/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/>
      <c r="C28" s="216"/>
      <c r="D28" s="217"/>
      <c r="E28" s="217"/>
      <c r="F28" s="217"/>
      <c r="G28" s="218"/>
      <c r="H28" s="475"/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/>
      <c r="C29" s="216"/>
      <c r="D29" s="217"/>
      <c r="E29" s="217"/>
      <c r="F29" s="217"/>
      <c r="G29" s="218"/>
      <c r="H29" s="475"/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/>
      <c r="C30" s="216"/>
      <c r="D30" s="217"/>
      <c r="E30" s="217"/>
      <c r="F30" s="217"/>
      <c r="G30" s="218"/>
      <c r="H30" s="475"/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/>
      <c r="C31" s="216"/>
      <c r="D31" s="217"/>
      <c r="E31" s="217"/>
      <c r="F31" s="217"/>
      <c r="G31" s="218"/>
      <c r="H31" s="475"/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/>
      <c r="C32" s="216"/>
      <c r="D32" s="217"/>
      <c r="E32" s="217"/>
      <c r="F32" s="217"/>
      <c r="G32" s="218"/>
      <c r="H32" s="475"/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/>
      <c r="C33" s="216"/>
      <c r="D33" s="217"/>
      <c r="E33" s="217"/>
      <c r="F33" s="217"/>
      <c r="G33" s="218"/>
      <c r="H33" s="475"/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/>
      <c r="C34" s="216"/>
      <c r="D34" s="217"/>
      <c r="E34" s="217"/>
      <c r="F34" s="217"/>
      <c r="G34" s="218"/>
      <c r="H34" s="475"/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/>
      <c r="C35" s="216"/>
      <c r="D35" s="217"/>
      <c r="E35" s="217"/>
      <c r="F35" s="217"/>
      <c r="G35" s="218"/>
      <c r="H35" s="475"/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/>
      <c r="C36" s="216"/>
      <c r="D36" s="217"/>
      <c r="E36" s="217"/>
      <c r="F36" s="217"/>
      <c r="G36" s="218"/>
      <c r="H36" s="475"/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/>
      <c r="C37" s="216"/>
      <c r="D37" s="217"/>
      <c r="E37" s="217"/>
      <c r="F37" s="217"/>
      <c r="G37" s="218"/>
      <c r="H37" s="475"/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/>
      <c r="C38" s="216"/>
      <c r="D38" s="217"/>
      <c r="E38" s="217"/>
      <c r="F38" s="217"/>
      <c r="G38" s="218"/>
      <c r="H38" s="475"/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/>
      <c r="C39" s="216"/>
      <c r="D39" s="217"/>
      <c r="E39" s="217"/>
      <c r="F39" s="217"/>
      <c r="G39" s="218"/>
      <c r="H39" s="475"/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/>
      <c r="C40" s="216"/>
      <c r="D40" s="217"/>
      <c r="E40" s="217"/>
      <c r="F40" s="217"/>
      <c r="G40" s="218"/>
      <c r="H40" s="475"/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/>
      <c r="C41" s="216"/>
      <c r="D41" s="217"/>
      <c r="E41" s="217"/>
      <c r="F41" s="217"/>
      <c r="G41" s="218"/>
      <c r="H41" s="475"/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/>
      <c r="C42" s="216"/>
      <c r="D42" s="217"/>
      <c r="E42" s="217"/>
      <c r="F42" s="217"/>
      <c r="G42" s="218"/>
      <c r="H42" s="475"/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/>
      <c r="C43" s="216"/>
      <c r="D43" s="217"/>
      <c r="E43" s="217"/>
      <c r="F43" s="217"/>
      <c r="G43" s="218"/>
      <c r="H43" s="475"/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/>
      <c r="C44" s="216"/>
      <c r="D44" s="217"/>
      <c r="E44" s="217"/>
      <c r="F44" s="217"/>
      <c r="G44" s="218"/>
      <c r="H44" s="475"/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/>
      <c r="C45" s="216"/>
      <c r="D45" s="217"/>
      <c r="E45" s="217"/>
      <c r="F45" s="217"/>
      <c r="G45" s="218"/>
      <c r="H45" s="475"/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/>
      <c r="C46" s="216"/>
      <c r="D46" s="217"/>
      <c r="E46" s="217"/>
      <c r="F46" s="217"/>
      <c r="G46" s="218"/>
      <c r="H46" s="475"/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thickBot="1" x14ac:dyDescent="0.3">
      <c r="A47" s="9"/>
      <c r="B47" s="46"/>
      <c r="C47" s="226"/>
      <c r="D47" s="226"/>
      <c r="E47" s="226"/>
      <c r="F47" s="226"/>
      <c r="G47" s="227"/>
      <c r="H47" s="496"/>
      <c r="I47" s="497"/>
      <c r="J47" s="498"/>
      <c r="K47" s="310"/>
      <c r="L47" s="226"/>
      <c r="M47" s="226"/>
      <c r="N47" s="226"/>
      <c r="O47" s="226"/>
      <c r="P47" s="227"/>
      <c r="Z47" s="11"/>
    </row>
    <row r="48" spans="1:26" ht="15.75" customHeight="1" x14ac:dyDescent="0.25">
      <c r="A48" s="9"/>
      <c r="B48" s="256" t="s">
        <v>36</v>
      </c>
      <c r="C48" s="257"/>
      <c r="D48" s="257"/>
      <c r="E48" s="257"/>
      <c r="F48" s="257"/>
      <c r="G48" s="258"/>
      <c r="H48" s="493">
        <f>AVERAGE(H25:J47)</f>
        <v>49.5</v>
      </c>
      <c r="I48" s="494"/>
      <c r="J48" s="495"/>
      <c r="K48" s="260">
        <v>100</v>
      </c>
      <c r="L48" s="261"/>
      <c r="M48" s="240" t="s">
        <v>38</v>
      </c>
      <c r="N48" s="240"/>
      <c r="O48" s="240"/>
      <c r="P48" s="241"/>
      <c r="Z48" s="11"/>
    </row>
    <row r="49" spans="1:26" ht="15.75" customHeight="1" x14ac:dyDescent="0.25">
      <c r="A49" s="9"/>
      <c r="B49" s="246" t="s">
        <v>39</v>
      </c>
      <c r="C49" s="247"/>
      <c r="D49" s="247"/>
      <c r="E49" s="247"/>
      <c r="F49" s="247"/>
      <c r="G49" s="248"/>
      <c r="H49" s="249">
        <f>IF(COUNTIF(H25:J47,"*&lt;20*"),"&lt;20",MIN(H25:J47))</f>
        <v>44</v>
      </c>
      <c r="I49" s="223"/>
      <c r="J49" s="224"/>
      <c r="K49" s="262"/>
      <c r="L49" s="263"/>
      <c r="M49" s="242"/>
      <c r="N49" s="242"/>
      <c r="O49" s="242"/>
      <c r="P49" s="243"/>
      <c r="Z49" s="11"/>
    </row>
    <row r="50" spans="1:26" ht="15.75" customHeight="1" thickBot="1" x14ac:dyDescent="0.3">
      <c r="A50" s="9"/>
      <c r="B50" s="250" t="s">
        <v>40</v>
      </c>
      <c r="C50" s="251"/>
      <c r="D50" s="251"/>
      <c r="E50" s="251"/>
      <c r="F50" s="251"/>
      <c r="G50" s="252"/>
      <c r="H50" s="253">
        <f>IF(COUNTIF(H25:J47,"*&gt;250*"),"&gt;250",MAX(H25:J47))</f>
        <v>55</v>
      </c>
      <c r="I50" s="254"/>
      <c r="J50" s="255"/>
      <c r="K50" s="264"/>
      <c r="L50" s="265"/>
      <c r="M50" s="244"/>
      <c r="N50" s="244"/>
      <c r="O50" s="244"/>
      <c r="P50" s="245"/>
      <c r="Z50" s="11"/>
    </row>
    <row r="51" spans="1:26" ht="15.9" customHeight="1" x14ac:dyDescent="0.25">
      <c r="A51" s="35"/>
      <c r="B51" s="40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16"/>
    </row>
    <row r="52" spans="1:26" ht="12.75" customHeight="1" x14ac:dyDescent="0.25">
      <c r="A52" s="36"/>
      <c r="B52" s="37"/>
    </row>
    <row r="53" spans="1:26" s="17" customFormat="1" ht="15.6" customHeight="1" x14ac:dyDescent="0.25">
      <c r="A53" s="48" t="s">
        <v>41</v>
      </c>
      <c r="B53" s="5" t="s">
        <v>42</v>
      </c>
      <c r="C53" s="49"/>
      <c r="D53" s="49"/>
      <c r="E53" s="49"/>
      <c r="F53" s="50"/>
      <c r="G53" s="50"/>
      <c r="H53" s="50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51"/>
      <c r="V53" s="52"/>
      <c r="W53" s="52"/>
      <c r="X53" s="42"/>
      <c r="Y53" s="42"/>
      <c r="Z53" s="43"/>
    </row>
    <row r="54" spans="1:26" s="17" customFormat="1" ht="28.5" customHeight="1" x14ac:dyDescent="0.25">
      <c r="A54" s="279" t="s">
        <v>43</v>
      </c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0"/>
      <c r="P54" s="280"/>
      <c r="Q54" s="281"/>
      <c r="R54" s="272" t="s">
        <v>44</v>
      </c>
      <c r="S54" s="273"/>
      <c r="T54" s="274"/>
      <c r="U54" s="478" t="s">
        <v>63</v>
      </c>
      <c r="V54" s="479"/>
      <c r="W54" s="479"/>
      <c r="X54" s="480"/>
      <c r="Y54" s="480"/>
      <c r="Z54" s="481"/>
    </row>
    <row r="55" spans="1:26" s="17" customFormat="1" ht="15.6" customHeight="1" x14ac:dyDescent="0.25">
      <c r="A55" s="286" t="s">
        <v>45</v>
      </c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8"/>
      <c r="R55" s="272" t="s">
        <v>46</v>
      </c>
      <c r="S55" s="273"/>
      <c r="T55" s="274"/>
      <c r="U55" s="482" t="s">
        <v>62</v>
      </c>
      <c r="V55" s="483"/>
      <c r="W55" s="483"/>
      <c r="X55" s="484"/>
      <c r="Y55" s="484"/>
      <c r="Z55" s="485"/>
    </row>
    <row r="56" spans="1:26" s="17" customFormat="1" ht="15.6" customHeight="1" x14ac:dyDescent="0.25">
      <c r="A56" s="289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1"/>
      <c r="R56" s="272"/>
      <c r="S56" s="273"/>
      <c r="T56" s="274"/>
      <c r="U56" s="486"/>
      <c r="V56" s="242"/>
      <c r="W56" s="242"/>
      <c r="X56" s="487"/>
      <c r="Y56" s="487"/>
      <c r="Z56" s="488"/>
    </row>
    <row r="57" spans="1:26" s="17" customFormat="1" ht="15.6" customHeight="1" x14ac:dyDescent="0.25">
      <c r="A57" s="55" t="s">
        <v>48</v>
      </c>
      <c r="B57" s="56" t="s">
        <v>49</v>
      </c>
      <c r="C57" s="1"/>
      <c r="D57" s="1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7"/>
      <c r="R57" s="272"/>
      <c r="S57" s="273"/>
      <c r="T57" s="274"/>
      <c r="U57" s="489"/>
      <c r="V57" s="490"/>
      <c r="W57" s="490"/>
      <c r="X57" s="491"/>
      <c r="Y57" s="491"/>
      <c r="Z57" s="492"/>
    </row>
    <row r="58" spans="1:26" s="17" customFormat="1" ht="15.6" customHeight="1" x14ac:dyDescent="0.25">
      <c r="A58" s="334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3"/>
      <c r="R58" s="272" t="s">
        <v>50</v>
      </c>
      <c r="S58" s="273"/>
      <c r="T58" s="274"/>
      <c r="U58" s="58"/>
      <c r="V58" s="59"/>
      <c r="W58" s="59"/>
      <c r="X58" s="59"/>
      <c r="Y58" s="59"/>
      <c r="Z58" s="60"/>
    </row>
    <row r="59" spans="1:26" s="17" customFormat="1" ht="15.6" customHeight="1" x14ac:dyDescent="0.25">
      <c r="A59" s="334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3"/>
      <c r="R59" s="272"/>
      <c r="S59" s="273"/>
      <c r="T59" s="274"/>
      <c r="U59" s="61"/>
      <c r="V59" s="242"/>
      <c r="W59" s="242"/>
      <c r="X59" s="242"/>
      <c r="Y59" s="242"/>
      <c r="Z59" s="62"/>
    </row>
    <row r="60" spans="1:26" s="17" customFormat="1" ht="15.6" customHeight="1" x14ac:dyDescent="0.25">
      <c r="A60" s="334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3"/>
      <c r="R60" s="272"/>
      <c r="S60" s="273"/>
      <c r="T60" s="274"/>
      <c r="U60" s="61"/>
      <c r="V60" s="242"/>
      <c r="W60" s="242"/>
      <c r="X60" s="242"/>
      <c r="Y60" s="242"/>
      <c r="Z60" s="62"/>
    </row>
    <row r="61" spans="1:26" s="17" customFormat="1" ht="15.6" customHeight="1" x14ac:dyDescent="0.25">
      <c r="A61" s="335"/>
      <c r="B61" s="336"/>
      <c r="C61" s="336"/>
      <c r="D61" s="336"/>
      <c r="E61" s="336"/>
      <c r="F61" s="336"/>
      <c r="G61" s="336"/>
      <c r="H61" s="336"/>
      <c r="I61" s="336"/>
      <c r="J61" s="336"/>
      <c r="K61" s="336"/>
      <c r="L61" s="336"/>
      <c r="M61" s="336"/>
      <c r="N61" s="336"/>
      <c r="O61" s="336"/>
      <c r="P61" s="336"/>
      <c r="Q61" s="337"/>
      <c r="R61" s="275"/>
      <c r="S61" s="276"/>
      <c r="T61" s="277"/>
      <c r="U61" s="63"/>
      <c r="V61" s="64"/>
      <c r="W61" s="64"/>
      <c r="X61" s="64"/>
      <c r="Y61" s="64"/>
      <c r="Z61" s="65"/>
    </row>
    <row r="62" spans="1:26" s="17" customFormat="1" ht="15" customHeight="1" x14ac:dyDescent="0.25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54"/>
      <c r="S62" s="54"/>
      <c r="T62" s="54"/>
      <c r="U62" s="41"/>
      <c r="V62" s="41"/>
      <c r="W62" s="41"/>
      <c r="X62" s="41"/>
      <c r="Y62" s="41"/>
      <c r="Z62" s="4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  <row r="69" spans="1:1" ht="12.75" customHeight="1" x14ac:dyDescent="0.25">
      <c r="A69" s="1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26:G26"/>
    <mergeCell ref="H26:J26"/>
    <mergeCell ref="K26:P26"/>
    <mergeCell ref="C27:G27"/>
    <mergeCell ref="H27:J27"/>
    <mergeCell ref="K27:P27"/>
    <mergeCell ref="C28:G28"/>
    <mergeCell ref="H28:J28"/>
    <mergeCell ref="K28:P28"/>
    <mergeCell ref="I18:J18"/>
    <mergeCell ref="H24:J24"/>
    <mergeCell ref="H23:J23"/>
    <mergeCell ref="B18:H18"/>
    <mergeCell ref="B23:B24"/>
    <mergeCell ref="C23:G24"/>
    <mergeCell ref="J21:P21"/>
    <mergeCell ref="C25:G25"/>
    <mergeCell ref="H25:J25"/>
    <mergeCell ref="K25:P25"/>
    <mergeCell ref="G5:H5"/>
    <mergeCell ref="A7:F7"/>
    <mergeCell ref="G7:Z7"/>
    <mergeCell ref="H10:M10"/>
    <mergeCell ref="N12:R12"/>
    <mergeCell ref="H12:M12"/>
    <mergeCell ref="H11:M11"/>
    <mergeCell ref="N11:R11"/>
    <mergeCell ref="A58:Q61"/>
    <mergeCell ref="R58:T61"/>
    <mergeCell ref="A54:Q54"/>
    <mergeCell ref="R54:T54"/>
    <mergeCell ref="A55:Q56"/>
    <mergeCell ref="R55:T57"/>
    <mergeCell ref="C47:G47"/>
    <mergeCell ref="B49:G49"/>
    <mergeCell ref="B50:G50"/>
    <mergeCell ref="B48:G48"/>
    <mergeCell ref="U54:Z54"/>
    <mergeCell ref="U55:Z57"/>
    <mergeCell ref="H50:J50"/>
    <mergeCell ref="H48:J48"/>
    <mergeCell ref="H49:J49"/>
    <mergeCell ref="V59:Y60"/>
    <mergeCell ref="B17:H17"/>
    <mergeCell ref="B12:G12"/>
    <mergeCell ref="B11:G11"/>
    <mergeCell ref="U1:Z6"/>
    <mergeCell ref="M48:P50"/>
    <mergeCell ref="K48:L50"/>
    <mergeCell ref="S12:Y12"/>
    <mergeCell ref="K23:P24"/>
    <mergeCell ref="I17:Y17"/>
    <mergeCell ref="S11:Y11"/>
    <mergeCell ref="H47:J47"/>
    <mergeCell ref="K47:P47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B861-0CDB-46AC-B7C1-906E3808F7E8}">
  <sheetPr codeName="Feuil8">
    <pageSetUpPr fitToPage="1"/>
  </sheetPr>
  <dimension ref="A1:AA76"/>
  <sheetViews>
    <sheetView topLeftCell="A45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3</v>
      </c>
      <c r="J5" s="191"/>
      <c r="K5" s="192"/>
      <c r="L5" s="193" t="s">
        <v>3</v>
      </c>
      <c r="M5" s="194"/>
      <c r="N5" s="194"/>
      <c r="O5" s="195"/>
      <c r="P5" s="196" t="s">
        <v>56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60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56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499" t="s">
        <v>18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59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21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30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163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166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475">
        <v>112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475">
        <v>45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475">
        <v>95</v>
      </c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>
        <v>6</v>
      </c>
      <c r="C30" s="216"/>
      <c r="D30" s="217"/>
      <c r="E30" s="217"/>
      <c r="F30" s="217"/>
      <c r="G30" s="218"/>
      <c r="H30" s="475">
        <v>26</v>
      </c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>
        <v>7</v>
      </c>
      <c r="C31" s="216"/>
      <c r="D31" s="217"/>
      <c r="E31" s="217"/>
      <c r="F31" s="217"/>
      <c r="G31" s="218"/>
      <c r="H31" s="475">
        <v>127</v>
      </c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>
        <v>8</v>
      </c>
      <c r="C32" s="216"/>
      <c r="D32" s="217"/>
      <c r="E32" s="217"/>
      <c r="F32" s="217"/>
      <c r="G32" s="218"/>
      <c r="H32" s="475">
        <v>123</v>
      </c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>
        <v>9</v>
      </c>
      <c r="C33" s="216"/>
      <c r="D33" s="217"/>
      <c r="E33" s="217"/>
      <c r="F33" s="217"/>
      <c r="G33" s="218"/>
      <c r="H33" s="475">
        <v>131</v>
      </c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>
        <v>10</v>
      </c>
      <c r="C34" s="216"/>
      <c r="D34" s="217"/>
      <c r="E34" s="217"/>
      <c r="F34" s="217"/>
      <c r="G34" s="218"/>
      <c r="H34" s="475">
        <v>128</v>
      </c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475">
        <v>34</v>
      </c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475">
        <v>86</v>
      </c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475">
        <v>64</v>
      </c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>
        <v>14</v>
      </c>
      <c r="C38" s="216"/>
      <c r="D38" s="217"/>
      <c r="E38" s="217"/>
      <c r="F38" s="217"/>
      <c r="G38" s="218"/>
      <c r="H38" s="475">
        <v>80</v>
      </c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>
        <v>15</v>
      </c>
      <c r="C39" s="216"/>
      <c r="D39" s="217"/>
      <c r="E39" s="217"/>
      <c r="F39" s="217"/>
      <c r="G39" s="218"/>
      <c r="H39" s="475">
        <v>139</v>
      </c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>
        <v>16</v>
      </c>
      <c r="C40" s="216"/>
      <c r="D40" s="217"/>
      <c r="E40" s="217"/>
      <c r="F40" s="217"/>
      <c r="G40" s="218"/>
      <c r="H40" s="475">
        <v>153</v>
      </c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>
        <v>17</v>
      </c>
      <c r="C41" s="216"/>
      <c r="D41" s="217"/>
      <c r="E41" s="217"/>
      <c r="F41" s="217"/>
      <c r="G41" s="218"/>
      <c r="H41" s="475">
        <v>89</v>
      </c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>
        <v>18</v>
      </c>
      <c r="C42" s="216"/>
      <c r="D42" s="217"/>
      <c r="E42" s="217"/>
      <c r="F42" s="217"/>
      <c r="G42" s="218"/>
      <c r="H42" s="475">
        <v>105</v>
      </c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>
        <v>19</v>
      </c>
      <c r="C43" s="216"/>
      <c r="D43" s="217"/>
      <c r="E43" s="217"/>
      <c r="F43" s="217"/>
      <c r="G43" s="218"/>
      <c r="H43" s="475">
        <v>92</v>
      </c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>
        <v>20</v>
      </c>
      <c r="C44" s="216"/>
      <c r="D44" s="217"/>
      <c r="E44" s="217"/>
      <c r="F44" s="217"/>
      <c r="G44" s="218"/>
      <c r="H44" s="475">
        <v>101</v>
      </c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>
        <v>21</v>
      </c>
      <c r="C45" s="216"/>
      <c r="D45" s="217"/>
      <c r="E45" s="217"/>
      <c r="F45" s="217"/>
      <c r="G45" s="218"/>
      <c r="H45" s="475">
        <v>134</v>
      </c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>
        <v>22</v>
      </c>
      <c r="C46" s="216"/>
      <c r="D46" s="217"/>
      <c r="E46" s="217"/>
      <c r="F46" s="217"/>
      <c r="G46" s="218"/>
      <c r="H46" s="475">
        <v>96</v>
      </c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thickBot="1" x14ac:dyDescent="0.3">
      <c r="A54" s="9"/>
      <c r="B54" s="46"/>
      <c r="C54" s="237"/>
      <c r="D54" s="238"/>
      <c r="E54" s="238"/>
      <c r="F54" s="238"/>
      <c r="G54" s="239"/>
      <c r="H54" s="500"/>
      <c r="I54" s="501"/>
      <c r="J54" s="502"/>
      <c r="K54" s="237"/>
      <c r="L54" s="238"/>
      <c r="M54" s="238"/>
      <c r="N54" s="238"/>
      <c r="O54" s="238"/>
      <c r="P54" s="239"/>
      <c r="Z54" s="11"/>
    </row>
    <row r="55" spans="1:26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493">
        <f>AVERAGE(H25:J54)</f>
        <v>104.04545454545455</v>
      </c>
      <c r="I55" s="494"/>
      <c r="J55" s="495"/>
      <c r="K55" s="260" t="s">
        <v>58</v>
      </c>
      <c r="L55" s="261"/>
      <c r="M55" s="240" t="s">
        <v>38</v>
      </c>
      <c r="N55" s="240"/>
      <c r="O55" s="240"/>
      <c r="P55" s="241"/>
      <c r="Z55" s="11"/>
    </row>
    <row r="56" spans="1:26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IF(COUNTIF(H25:J54,"*&lt;20*"),"&lt;20",MIN(H25:J54))</f>
        <v>26</v>
      </c>
      <c r="I56" s="223"/>
      <c r="J56" s="224"/>
      <c r="K56" s="262"/>
      <c r="L56" s="263"/>
      <c r="M56" s="242"/>
      <c r="N56" s="242"/>
      <c r="O56" s="242"/>
      <c r="P56" s="243"/>
      <c r="Z56" s="11"/>
    </row>
    <row r="57" spans="1:26" ht="15.75" customHeight="1" thickBot="1" x14ac:dyDescent="0.3">
      <c r="A57" s="9"/>
      <c r="B57" s="250" t="s">
        <v>40</v>
      </c>
      <c r="C57" s="251"/>
      <c r="D57" s="251"/>
      <c r="E57" s="251"/>
      <c r="F57" s="251"/>
      <c r="G57" s="252"/>
      <c r="H57" s="253">
        <f>IF(COUNTIF(H25:J54,"*&gt;250*"),"&gt;250",MAX(H25:J54))</f>
        <v>166</v>
      </c>
      <c r="I57" s="254"/>
      <c r="J57" s="255"/>
      <c r="K57" s="264"/>
      <c r="L57" s="265"/>
      <c r="M57" s="244"/>
      <c r="N57" s="244"/>
      <c r="O57" s="244"/>
      <c r="P57" s="245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478" t="s">
        <v>13</v>
      </c>
      <c r="V61" s="479"/>
      <c r="W61" s="479"/>
      <c r="X61" s="480"/>
      <c r="Y61" s="480"/>
      <c r="Z61" s="481"/>
    </row>
    <row r="62" spans="1:26" s="17" customFormat="1" ht="15.6" customHeight="1" x14ac:dyDescent="0.25">
      <c r="A62" s="338" t="s">
        <v>45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482" t="s">
        <v>47</v>
      </c>
      <c r="V62" s="483"/>
      <c r="W62" s="483"/>
      <c r="X62" s="484"/>
      <c r="Y62" s="484"/>
      <c r="Z62" s="485"/>
    </row>
    <row r="63" spans="1:26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486"/>
      <c r="V63" s="242"/>
      <c r="W63" s="242"/>
      <c r="X63" s="487"/>
      <c r="Y63" s="487"/>
      <c r="Z63" s="488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489"/>
      <c r="V64" s="490"/>
      <c r="W64" s="490"/>
      <c r="X64" s="491"/>
      <c r="Y64" s="491"/>
      <c r="Z64" s="492"/>
    </row>
    <row r="65" spans="1:26" s="17" customFormat="1" ht="15.6" customHeight="1" x14ac:dyDescent="0.25">
      <c r="A65" s="331" t="s">
        <v>61</v>
      </c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3"/>
      <c r="R65" s="272" t="s">
        <v>50</v>
      </c>
      <c r="S65" s="273"/>
      <c r="T65" s="27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334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3"/>
      <c r="R66" s="272"/>
      <c r="S66" s="273"/>
      <c r="T66" s="274"/>
      <c r="U66" s="61"/>
      <c r="V66" s="242"/>
      <c r="W66" s="242"/>
      <c r="X66" s="242"/>
      <c r="Y66" s="242"/>
      <c r="Z66" s="62"/>
    </row>
    <row r="67" spans="1:26" s="17" customFormat="1" ht="15.6" customHeight="1" x14ac:dyDescent="0.25">
      <c r="A67" s="334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3"/>
      <c r="R67" s="272"/>
      <c r="S67" s="273"/>
      <c r="T67" s="274"/>
      <c r="U67" s="61"/>
      <c r="V67" s="242"/>
      <c r="W67" s="242"/>
      <c r="X67" s="242"/>
      <c r="Y67" s="242"/>
      <c r="Z67" s="62"/>
    </row>
    <row r="68" spans="1:26" s="17" customFormat="1" ht="15.6" customHeight="1" x14ac:dyDescent="0.25">
      <c r="A68" s="335"/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7"/>
      <c r="R68" s="275"/>
      <c r="S68" s="276"/>
      <c r="T68" s="27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B17:H17"/>
    <mergeCell ref="B12:G12"/>
    <mergeCell ref="B11:G11"/>
    <mergeCell ref="K25:P25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S12:Y12"/>
    <mergeCell ref="K23:P24"/>
    <mergeCell ref="I17:Y17"/>
    <mergeCell ref="S11:Y11"/>
    <mergeCell ref="A65:Q68"/>
    <mergeCell ref="R65:T68"/>
    <mergeCell ref="A61:Q61"/>
    <mergeCell ref="R61:T61"/>
    <mergeCell ref="A62:Q63"/>
    <mergeCell ref="R62:T64"/>
    <mergeCell ref="C54:G54"/>
    <mergeCell ref="B56:G56"/>
    <mergeCell ref="B57:G57"/>
    <mergeCell ref="B55:G55"/>
    <mergeCell ref="M55:P57"/>
    <mergeCell ref="K55:L57"/>
    <mergeCell ref="H54:J54"/>
    <mergeCell ref="K54:P54"/>
    <mergeCell ref="U61:Z61"/>
    <mergeCell ref="U62:Z64"/>
    <mergeCell ref="H57:J57"/>
    <mergeCell ref="H55:J55"/>
    <mergeCell ref="H56:J56"/>
    <mergeCell ref="V66:Y6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DE80-D479-495E-ACA1-0C0DC5469321}">
  <sheetPr codeName="Feuil9">
    <pageSetUpPr fitToPage="1"/>
  </sheetPr>
  <dimension ref="A1:AA77"/>
  <sheetViews>
    <sheetView workbookViewId="0">
      <selection activeCell="U27" sqref="U27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503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2</v>
      </c>
      <c r="J5" s="191"/>
      <c r="K5" s="192"/>
      <c r="L5" s="193" t="s">
        <v>3</v>
      </c>
      <c r="M5" s="194"/>
      <c r="N5" s="194"/>
      <c r="O5" s="195"/>
      <c r="P5" s="196" t="s">
        <v>56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57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56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18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55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21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44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47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475">
        <v>43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475">
        <v>46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475">
        <v>45</v>
      </c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>
        <v>6</v>
      </c>
      <c r="C30" s="216"/>
      <c r="D30" s="217"/>
      <c r="E30" s="217"/>
      <c r="F30" s="217"/>
      <c r="G30" s="218"/>
      <c r="H30" s="475">
        <v>43</v>
      </c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>
        <v>7</v>
      </c>
      <c r="C31" s="216"/>
      <c r="D31" s="217"/>
      <c r="E31" s="217"/>
      <c r="F31" s="217"/>
      <c r="G31" s="218"/>
      <c r="H31" s="475">
        <v>54</v>
      </c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>
        <v>8</v>
      </c>
      <c r="C32" s="216"/>
      <c r="D32" s="217"/>
      <c r="E32" s="217"/>
      <c r="F32" s="217"/>
      <c r="G32" s="218"/>
      <c r="H32" s="475">
        <v>38</v>
      </c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>
        <v>9</v>
      </c>
      <c r="C33" s="216"/>
      <c r="D33" s="217"/>
      <c r="E33" s="217"/>
      <c r="F33" s="217"/>
      <c r="G33" s="218"/>
      <c r="H33" s="475">
        <v>42</v>
      </c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>
        <v>10</v>
      </c>
      <c r="C34" s="216"/>
      <c r="D34" s="217"/>
      <c r="E34" s="217"/>
      <c r="F34" s="217"/>
      <c r="G34" s="218"/>
      <c r="H34" s="475">
        <v>37</v>
      </c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475">
        <v>38</v>
      </c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475">
        <v>56</v>
      </c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475">
        <v>60</v>
      </c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>
        <v>14</v>
      </c>
      <c r="C38" s="216"/>
      <c r="D38" s="217"/>
      <c r="E38" s="217"/>
      <c r="F38" s="217"/>
      <c r="G38" s="218"/>
      <c r="H38" s="475">
        <v>48</v>
      </c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>
        <v>15</v>
      </c>
      <c r="C39" s="216"/>
      <c r="D39" s="217"/>
      <c r="E39" s="217"/>
      <c r="F39" s="217"/>
      <c r="G39" s="218"/>
      <c r="H39" s="475">
        <v>57</v>
      </c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>
        <v>16</v>
      </c>
      <c r="C40" s="216"/>
      <c r="D40" s="217"/>
      <c r="E40" s="217"/>
      <c r="F40" s="217"/>
      <c r="G40" s="218"/>
      <c r="H40" s="475">
        <v>61</v>
      </c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>
        <v>17</v>
      </c>
      <c r="C41" s="216"/>
      <c r="D41" s="217"/>
      <c r="E41" s="217"/>
      <c r="F41" s="217"/>
      <c r="G41" s="218"/>
      <c r="H41" s="475">
        <v>47</v>
      </c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>
        <v>18</v>
      </c>
      <c r="C42" s="216"/>
      <c r="D42" s="217"/>
      <c r="E42" s="217"/>
      <c r="F42" s="217"/>
      <c r="G42" s="218"/>
      <c r="H42" s="475">
        <v>65</v>
      </c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>
        <v>19</v>
      </c>
      <c r="C43" s="216"/>
      <c r="D43" s="217"/>
      <c r="E43" s="217"/>
      <c r="F43" s="217"/>
      <c r="G43" s="218"/>
      <c r="H43" s="475">
        <v>63</v>
      </c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>
        <v>20</v>
      </c>
      <c r="C44" s="216"/>
      <c r="D44" s="217"/>
      <c r="E44" s="217"/>
      <c r="F44" s="217"/>
      <c r="G44" s="218"/>
      <c r="H44" s="475">
        <v>53</v>
      </c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>
        <v>21</v>
      </c>
      <c r="C45" s="216"/>
      <c r="D45" s="217"/>
      <c r="E45" s="217"/>
      <c r="F45" s="217"/>
      <c r="G45" s="218"/>
      <c r="H45" s="475">
        <v>42</v>
      </c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>
        <v>22</v>
      </c>
      <c r="C46" s="216"/>
      <c r="D46" s="217"/>
      <c r="E46" s="217"/>
      <c r="F46" s="217"/>
      <c r="G46" s="218"/>
      <c r="H46" s="475">
        <v>58</v>
      </c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x14ac:dyDescent="0.25">
      <c r="A47" s="9"/>
      <c r="B47" s="45">
        <v>23</v>
      </c>
      <c r="C47" s="216"/>
      <c r="D47" s="217"/>
      <c r="E47" s="217"/>
      <c r="F47" s="217"/>
      <c r="G47" s="218"/>
      <c r="H47" s="475">
        <v>48</v>
      </c>
      <c r="I47" s="476"/>
      <c r="J47" s="477"/>
      <c r="K47" s="216"/>
      <c r="L47" s="217"/>
      <c r="M47" s="217"/>
      <c r="N47" s="217"/>
      <c r="O47" s="217"/>
      <c r="P47" s="218"/>
      <c r="Z47" s="11"/>
    </row>
    <row r="48" spans="1:26" ht="19.5" customHeight="1" x14ac:dyDescent="0.25">
      <c r="A48" s="9"/>
      <c r="B48" s="45">
        <v>24</v>
      </c>
      <c r="C48" s="216"/>
      <c r="D48" s="217"/>
      <c r="E48" s="217"/>
      <c r="F48" s="217"/>
      <c r="G48" s="218"/>
      <c r="H48" s="475">
        <v>40</v>
      </c>
      <c r="I48" s="476"/>
      <c r="J48" s="477"/>
      <c r="K48" s="216"/>
      <c r="L48" s="217"/>
      <c r="M48" s="217"/>
      <c r="N48" s="217"/>
      <c r="O48" s="217"/>
      <c r="P48" s="218"/>
      <c r="Z48" s="11"/>
    </row>
    <row r="49" spans="1:26" ht="19.5" customHeight="1" x14ac:dyDescent="0.25">
      <c r="A49" s="9"/>
      <c r="B49" s="45">
        <v>25</v>
      </c>
      <c r="C49" s="216"/>
      <c r="D49" s="217"/>
      <c r="E49" s="217"/>
      <c r="F49" s="217"/>
      <c r="G49" s="218"/>
      <c r="H49" s="475">
        <v>93</v>
      </c>
      <c r="I49" s="476"/>
      <c r="J49" s="477"/>
      <c r="K49" s="216"/>
      <c r="L49" s="217"/>
      <c r="M49" s="217"/>
      <c r="N49" s="217"/>
      <c r="O49" s="217"/>
      <c r="P49" s="218"/>
      <c r="Z49" s="11"/>
    </row>
    <row r="50" spans="1:26" ht="19.5" customHeight="1" x14ac:dyDescent="0.25">
      <c r="A50" s="9"/>
      <c r="B50" s="45">
        <v>26</v>
      </c>
      <c r="C50" s="216"/>
      <c r="D50" s="217"/>
      <c r="E50" s="217"/>
      <c r="F50" s="217"/>
      <c r="G50" s="218"/>
      <c r="H50" s="475">
        <v>58</v>
      </c>
      <c r="I50" s="476"/>
      <c r="J50" s="477"/>
      <c r="K50" s="216"/>
      <c r="L50" s="217"/>
      <c r="M50" s="217"/>
      <c r="N50" s="217"/>
      <c r="O50" s="217"/>
      <c r="P50" s="218"/>
      <c r="Z50" s="11"/>
    </row>
    <row r="51" spans="1:26" ht="19.5" customHeight="1" x14ac:dyDescent="0.25">
      <c r="A51" s="9"/>
      <c r="B51" s="45">
        <v>27</v>
      </c>
      <c r="C51" s="216"/>
      <c r="D51" s="217"/>
      <c r="E51" s="217"/>
      <c r="F51" s="217"/>
      <c r="G51" s="218"/>
      <c r="H51" s="475">
        <v>49</v>
      </c>
      <c r="I51" s="476"/>
      <c r="J51" s="477"/>
      <c r="K51" s="216"/>
      <c r="L51" s="217"/>
      <c r="M51" s="217"/>
      <c r="N51" s="217"/>
      <c r="O51" s="217"/>
      <c r="P51" s="218"/>
      <c r="Z51" s="11"/>
    </row>
    <row r="52" spans="1:26" ht="19.5" customHeight="1" x14ac:dyDescent="0.25">
      <c r="A52" s="9"/>
      <c r="B52" s="45">
        <v>28</v>
      </c>
      <c r="C52" s="216"/>
      <c r="D52" s="217"/>
      <c r="E52" s="217"/>
      <c r="F52" s="217"/>
      <c r="G52" s="218"/>
      <c r="H52" s="475">
        <v>62</v>
      </c>
      <c r="I52" s="476"/>
      <c r="J52" s="477"/>
      <c r="K52" s="216"/>
      <c r="L52" s="217"/>
      <c r="M52" s="217"/>
      <c r="N52" s="217"/>
      <c r="O52" s="217"/>
      <c r="P52" s="218"/>
      <c r="Z52" s="11"/>
    </row>
    <row r="53" spans="1:26" ht="19.5" customHeight="1" x14ac:dyDescent="0.25">
      <c r="A53" s="9"/>
      <c r="B53" s="45">
        <v>29</v>
      </c>
      <c r="C53" s="216"/>
      <c r="D53" s="217"/>
      <c r="E53" s="217"/>
      <c r="F53" s="217"/>
      <c r="G53" s="218"/>
      <c r="H53" s="475">
        <v>65</v>
      </c>
      <c r="I53" s="476"/>
      <c r="J53" s="477"/>
      <c r="K53" s="216"/>
      <c r="L53" s="217"/>
      <c r="M53" s="217"/>
      <c r="N53" s="217"/>
      <c r="O53" s="217"/>
      <c r="P53" s="218"/>
      <c r="Z53" s="11"/>
    </row>
    <row r="54" spans="1:26" ht="19.5" customHeight="1" x14ac:dyDescent="0.25">
      <c r="A54" s="9"/>
      <c r="B54" s="45">
        <v>30</v>
      </c>
      <c r="C54" s="216"/>
      <c r="D54" s="217"/>
      <c r="E54" s="217"/>
      <c r="F54" s="217"/>
      <c r="G54" s="218"/>
      <c r="H54" s="475">
        <v>51</v>
      </c>
      <c r="I54" s="476"/>
      <c r="J54" s="477"/>
      <c r="K54" s="216"/>
      <c r="L54" s="217"/>
      <c r="M54" s="217"/>
      <c r="N54" s="217"/>
      <c r="O54" s="217"/>
      <c r="P54" s="218"/>
      <c r="Z54" s="11"/>
    </row>
    <row r="55" spans="1:26" ht="19.5" customHeight="1" thickBot="1" x14ac:dyDescent="0.3">
      <c r="A55" s="9"/>
      <c r="B55" s="45">
        <v>31</v>
      </c>
      <c r="C55" s="216"/>
      <c r="D55" s="217"/>
      <c r="E55" s="217"/>
      <c r="F55" s="217"/>
      <c r="G55" s="218"/>
      <c r="H55" s="475">
        <v>58</v>
      </c>
      <c r="I55" s="476"/>
      <c r="J55" s="477"/>
      <c r="K55" s="216"/>
      <c r="L55" s="217"/>
      <c r="M55" s="217"/>
      <c r="N55" s="217"/>
      <c r="O55" s="217"/>
      <c r="P55" s="218"/>
      <c r="Z55" s="11"/>
    </row>
    <row r="56" spans="1:26" ht="15.75" customHeight="1" x14ac:dyDescent="0.25">
      <c r="A56" s="9"/>
      <c r="B56" s="256" t="s">
        <v>36</v>
      </c>
      <c r="C56" s="257"/>
      <c r="D56" s="257"/>
      <c r="E56" s="257"/>
      <c r="F56" s="257"/>
      <c r="G56" s="258"/>
      <c r="H56" s="493">
        <f>AVERAGE(H25:J55)</f>
        <v>51.967741935483872</v>
      </c>
      <c r="I56" s="494"/>
      <c r="J56" s="495"/>
      <c r="K56" s="260" t="s">
        <v>54</v>
      </c>
      <c r="L56" s="261"/>
      <c r="M56" s="240" t="s">
        <v>38</v>
      </c>
      <c r="N56" s="240"/>
      <c r="O56" s="240"/>
      <c r="P56" s="241"/>
      <c r="Z56" s="11"/>
    </row>
    <row r="57" spans="1:26" ht="15.75" customHeight="1" x14ac:dyDescent="0.25">
      <c r="A57" s="9"/>
      <c r="B57" s="246" t="s">
        <v>39</v>
      </c>
      <c r="C57" s="247"/>
      <c r="D57" s="247"/>
      <c r="E57" s="247"/>
      <c r="F57" s="247"/>
      <c r="G57" s="248"/>
      <c r="H57" s="249">
        <f>IF(COUNTIF(H25:J55,"*&lt;20*"),"&lt;20",MIN(H25:J55))</f>
        <v>37</v>
      </c>
      <c r="I57" s="223"/>
      <c r="J57" s="224"/>
      <c r="K57" s="262"/>
      <c r="L57" s="263"/>
      <c r="M57" s="242"/>
      <c r="N57" s="242"/>
      <c r="O57" s="242"/>
      <c r="P57" s="243"/>
      <c r="Z57" s="11"/>
    </row>
    <row r="58" spans="1:26" ht="15.75" customHeight="1" thickBot="1" x14ac:dyDescent="0.3">
      <c r="A58" s="9"/>
      <c r="B58" s="250" t="s">
        <v>40</v>
      </c>
      <c r="C58" s="251"/>
      <c r="D58" s="251"/>
      <c r="E58" s="251"/>
      <c r="F58" s="251"/>
      <c r="G58" s="252"/>
      <c r="H58" s="253">
        <f>IF(COUNTIF(H25:J55,"*&gt;250*"),"&gt;250",MAX(H25:J55))</f>
        <v>93</v>
      </c>
      <c r="I58" s="254"/>
      <c r="J58" s="255"/>
      <c r="K58" s="264"/>
      <c r="L58" s="265"/>
      <c r="M58" s="244"/>
      <c r="N58" s="244"/>
      <c r="O58" s="244"/>
      <c r="P58" s="245"/>
      <c r="Z58" s="11"/>
    </row>
    <row r="59" spans="1:26" ht="15.9" customHeight="1" x14ac:dyDescent="0.25">
      <c r="A59" s="35"/>
      <c r="B59" s="40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16"/>
    </row>
    <row r="60" spans="1:26" ht="12.75" customHeight="1" x14ac:dyDescent="0.25">
      <c r="A60" s="36"/>
      <c r="B60" s="37"/>
    </row>
    <row r="61" spans="1:26" s="17" customFormat="1" ht="15.6" customHeight="1" x14ac:dyDescent="0.25">
      <c r="A61" s="48" t="s">
        <v>41</v>
      </c>
      <c r="B61" s="5" t="s">
        <v>42</v>
      </c>
      <c r="C61" s="49"/>
      <c r="D61" s="49"/>
      <c r="E61" s="49"/>
      <c r="F61" s="50"/>
      <c r="G61" s="50"/>
      <c r="H61" s="50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51"/>
      <c r="V61" s="52"/>
      <c r="W61" s="52"/>
      <c r="X61" s="42"/>
      <c r="Y61" s="42"/>
      <c r="Z61" s="43"/>
    </row>
    <row r="62" spans="1:26" s="17" customFormat="1" ht="28.5" customHeight="1" x14ac:dyDescent="0.25">
      <c r="A62" s="279" t="s">
        <v>43</v>
      </c>
      <c r="B62" s="280"/>
      <c r="C62" s="280"/>
      <c r="D62" s="280"/>
      <c r="E62" s="280"/>
      <c r="F62" s="280"/>
      <c r="G62" s="280"/>
      <c r="H62" s="280"/>
      <c r="I62" s="280"/>
      <c r="J62" s="280"/>
      <c r="K62" s="280"/>
      <c r="L62" s="280"/>
      <c r="M62" s="280"/>
      <c r="N62" s="280"/>
      <c r="O62" s="280"/>
      <c r="P62" s="280"/>
      <c r="Q62" s="281"/>
      <c r="R62" s="272" t="s">
        <v>44</v>
      </c>
      <c r="S62" s="273"/>
      <c r="T62" s="274"/>
      <c r="U62" s="478" t="s">
        <v>13</v>
      </c>
      <c r="V62" s="479"/>
      <c r="W62" s="479"/>
      <c r="X62" s="480"/>
      <c r="Y62" s="480"/>
      <c r="Z62" s="481"/>
    </row>
    <row r="63" spans="1:26" s="17" customFormat="1" ht="15.6" customHeight="1" x14ac:dyDescent="0.25">
      <c r="A63" s="286" t="s">
        <v>53</v>
      </c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8"/>
      <c r="R63" s="272" t="s">
        <v>46</v>
      </c>
      <c r="S63" s="273"/>
      <c r="T63" s="274"/>
      <c r="U63" s="482" t="s">
        <v>47</v>
      </c>
      <c r="V63" s="483"/>
      <c r="W63" s="483"/>
      <c r="X63" s="484"/>
      <c r="Y63" s="484"/>
      <c r="Z63" s="485"/>
    </row>
    <row r="64" spans="1:26" s="17" customFormat="1" ht="15.6" customHeight="1" x14ac:dyDescent="0.25">
      <c r="A64" s="289"/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1"/>
      <c r="R64" s="272"/>
      <c r="S64" s="273"/>
      <c r="T64" s="274"/>
      <c r="U64" s="486"/>
      <c r="V64" s="242"/>
      <c r="W64" s="242"/>
      <c r="X64" s="487"/>
      <c r="Y64" s="487"/>
      <c r="Z64" s="488"/>
    </row>
    <row r="65" spans="1:26" s="17" customFormat="1" ht="15.6" customHeight="1" x14ac:dyDescent="0.25">
      <c r="A65" s="55" t="s">
        <v>48</v>
      </c>
      <c r="B65" s="56" t="s">
        <v>49</v>
      </c>
      <c r="C65" s="1"/>
      <c r="D65" s="1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7"/>
      <c r="R65" s="272"/>
      <c r="S65" s="273"/>
      <c r="T65" s="274"/>
      <c r="U65" s="489"/>
      <c r="V65" s="490"/>
      <c r="W65" s="490"/>
      <c r="X65" s="491"/>
      <c r="Y65" s="491"/>
      <c r="Z65" s="492"/>
    </row>
    <row r="66" spans="1:26" s="17" customFormat="1" ht="15.6" customHeight="1" x14ac:dyDescent="0.25">
      <c r="A66" s="334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3"/>
      <c r="R66" s="272" t="s">
        <v>50</v>
      </c>
      <c r="S66" s="273"/>
      <c r="T66" s="274"/>
      <c r="U66" s="58"/>
      <c r="V66" s="59"/>
      <c r="W66" s="59"/>
      <c r="X66" s="59"/>
      <c r="Y66" s="59"/>
      <c r="Z66" s="60"/>
    </row>
    <row r="67" spans="1:26" s="17" customFormat="1" ht="15.6" customHeight="1" x14ac:dyDescent="0.25">
      <c r="A67" s="334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3"/>
      <c r="R67" s="272"/>
      <c r="S67" s="273"/>
      <c r="T67" s="274"/>
      <c r="U67" s="61"/>
      <c r="V67" s="242"/>
      <c r="W67" s="242"/>
      <c r="X67" s="242"/>
      <c r="Y67" s="242"/>
      <c r="Z67" s="62"/>
    </row>
    <row r="68" spans="1:26" s="17" customFormat="1" ht="15.6" customHeight="1" x14ac:dyDescent="0.25">
      <c r="A68" s="334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3"/>
      <c r="R68" s="272"/>
      <c r="S68" s="273"/>
      <c r="T68" s="274"/>
      <c r="U68" s="61"/>
      <c r="V68" s="242"/>
      <c r="W68" s="242"/>
      <c r="X68" s="242"/>
      <c r="Y68" s="242"/>
      <c r="Z68" s="62"/>
    </row>
    <row r="69" spans="1:26" s="17" customFormat="1" ht="15.6" customHeight="1" x14ac:dyDescent="0.25">
      <c r="A69" s="335"/>
      <c r="B69" s="336"/>
      <c r="C69" s="336"/>
      <c r="D69" s="336"/>
      <c r="E69" s="336"/>
      <c r="F69" s="336"/>
      <c r="G69" s="336"/>
      <c r="H69" s="336"/>
      <c r="I69" s="336"/>
      <c r="J69" s="336"/>
      <c r="K69" s="336"/>
      <c r="L69" s="336"/>
      <c r="M69" s="336"/>
      <c r="N69" s="336"/>
      <c r="O69" s="336"/>
      <c r="P69" s="336"/>
      <c r="Q69" s="337"/>
      <c r="R69" s="275"/>
      <c r="S69" s="276"/>
      <c r="T69" s="277"/>
      <c r="U69" s="63"/>
      <c r="V69" s="64"/>
      <c r="W69" s="64"/>
      <c r="X69" s="64"/>
      <c r="Y69" s="64"/>
      <c r="Z69" s="65"/>
    </row>
    <row r="70" spans="1:26" s="17" customFormat="1" ht="15" customHeight="1" x14ac:dyDescent="0.25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54"/>
      <c r="S70" s="54"/>
      <c r="T70" s="54"/>
      <c r="U70" s="41"/>
      <c r="V70" s="41"/>
      <c r="W70" s="41"/>
      <c r="X70" s="41"/>
      <c r="Y70" s="41"/>
      <c r="Z70" s="4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</sheetData>
  <sheetProtection formatCells="0" formatColumns="0" formatRows="0" insertColumns="0" insertRows="0" insertHyperlinks="0" deleteColumns="0" deleteRows="0" selectLockedCells="1" sort="0" autoFilter="0" pivotTables="0"/>
  <mergeCells count="145">
    <mergeCell ref="A1:F6"/>
    <mergeCell ref="G1:T1"/>
    <mergeCell ref="B10:G10"/>
    <mergeCell ref="S10:Y10"/>
    <mergeCell ref="N10:R10"/>
    <mergeCell ref="G2:T4"/>
    <mergeCell ref="G5:H5"/>
    <mergeCell ref="U1:Z6"/>
    <mergeCell ref="K25:P25"/>
    <mergeCell ref="A7:F7"/>
    <mergeCell ref="B17:H17"/>
    <mergeCell ref="B12:G12"/>
    <mergeCell ref="B11:G11"/>
    <mergeCell ref="S12:Y12"/>
    <mergeCell ref="I5:K5"/>
    <mergeCell ref="I6:K6"/>
    <mergeCell ref="L5:O5"/>
    <mergeCell ref="P5:T5"/>
    <mergeCell ref="L6:O6"/>
    <mergeCell ref="P6:T6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K23:P24"/>
    <mergeCell ref="I17:Y17"/>
    <mergeCell ref="S11:Y11"/>
    <mergeCell ref="A66:Q69"/>
    <mergeCell ref="R66:T69"/>
    <mergeCell ref="A62:Q62"/>
    <mergeCell ref="R62:T62"/>
    <mergeCell ref="A63:Q64"/>
    <mergeCell ref="R63:T65"/>
    <mergeCell ref="B57:G57"/>
    <mergeCell ref="B58:G58"/>
    <mergeCell ref="B56:G56"/>
    <mergeCell ref="M56:P58"/>
    <mergeCell ref="K56:L58"/>
    <mergeCell ref="U62:Z62"/>
    <mergeCell ref="U63:Z65"/>
    <mergeCell ref="H58:J58"/>
    <mergeCell ref="H56:J56"/>
    <mergeCell ref="H57:J57"/>
    <mergeCell ref="V67:Y6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  <mergeCell ref="C44:G44"/>
    <mergeCell ref="H44:J44"/>
    <mergeCell ref="K44:P44"/>
    <mergeCell ref="C45:G45"/>
    <mergeCell ref="H45:J45"/>
    <mergeCell ref="K45:P45"/>
    <mergeCell ref="C46:G46"/>
    <mergeCell ref="H46:J46"/>
    <mergeCell ref="K46:P46"/>
    <mergeCell ref="C47:G47"/>
    <mergeCell ref="H47:J47"/>
    <mergeCell ref="K47:P47"/>
    <mergeCell ref="C48:G48"/>
    <mergeCell ref="H48:J48"/>
    <mergeCell ref="K48:P48"/>
    <mergeCell ref="C49:G49"/>
    <mergeCell ref="H49:J49"/>
    <mergeCell ref="K49:P49"/>
    <mergeCell ref="C50:G50"/>
    <mergeCell ref="H50:J50"/>
    <mergeCell ref="K50:P50"/>
    <mergeCell ref="C51:G51"/>
    <mergeCell ref="H51:J51"/>
    <mergeCell ref="K51:P51"/>
    <mergeCell ref="C55:G55"/>
    <mergeCell ref="H55:J55"/>
    <mergeCell ref="K55:P55"/>
    <mergeCell ref="C52:G52"/>
    <mergeCell ref="H52:J52"/>
    <mergeCell ref="K52:P52"/>
    <mergeCell ref="C53:G53"/>
    <mergeCell ref="H53:J53"/>
    <mergeCell ref="K53:P53"/>
    <mergeCell ref="C54:G54"/>
    <mergeCell ref="H54:J54"/>
    <mergeCell ref="K54:P54"/>
  </mergeCells>
  <printOptions horizontalCentered="1"/>
  <pageMargins left="0.39370078740157" right="0.39370078740157" top="0.39370078740157" bottom="0.39370078740157" header="0" footer="0.19685039370078999"/>
  <pageSetup paperSize="9" scale="69" orientation="portrait" r:id="rId1"/>
  <headerFooter alignWithMargins="0">
    <oddFooter>&amp;RDG-Q / CRE PLW12 du 06/04/2011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0"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64"/>
      <c r="B1" s="165"/>
      <c r="C1" s="165"/>
      <c r="D1" s="165"/>
      <c r="E1" s="165"/>
      <c r="F1" s="166"/>
      <c r="G1" s="173" t="s">
        <v>0</v>
      </c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5"/>
      <c r="U1" s="466" t="s">
        <v>51</v>
      </c>
      <c r="V1" s="467"/>
      <c r="W1" s="467"/>
      <c r="X1" s="467"/>
      <c r="Y1" s="467"/>
      <c r="Z1" s="468"/>
    </row>
    <row r="2" spans="1:26" ht="12.75" customHeight="1" x14ac:dyDescent="0.25">
      <c r="A2" s="167"/>
      <c r="B2" s="168"/>
      <c r="C2" s="168"/>
      <c r="D2" s="168"/>
      <c r="E2" s="168"/>
      <c r="F2" s="169"/>
      <c r="G2" s="188" t="s">
        <v>1</v>
      </c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7"/>
      <c r="U2" s="469"/>
      <c r="V2" s="470"/>
      <c r="W2" s="470"/>
      <c r="X2" s="470"/>
      <c r="Y2" s="470"/>
      <c r="Z2" s="471"/>
    </row>
    <row r="3" spans="1:26" ht="12.75" customHeight="1" x14ac:dyDescent="0.25">
      <c r="A3" s="167"/>
      <c r="B3" s="168"/>
      <c r="C3" s="168"/>
      <c r="D3" s="168"/>
      <c r="E3" s="168"/>
      <c r="F3" s="169"/>
      <c r="G3" s="188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7"/>
      <c r="U3" s="469"/>
      <c r="V3" s="470"/>
      <c r="W3" s="470"/>
      <c r="X3" s="470"/>
      <c r="Y3" s="470"/>
      <c r="Z3" s="471"/>
    </row>
    <row r="4" spans="1:26" ht="12.75" customHeight="1" x14ac:dyDescent="0.25">
      <c r="A4" s="167"/>
      <c r="B4" s="168"/>
      <c r="C4" s="168"/>
      <c r="D4" s="168"/>
      <c r="E4" s="168"/>
      <c r="F4" s="169"/>
      <c r="G4" s="188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7"/>
      <c r="U4" s="469"/>
      <c r="V4" s="470"/>
      <c r="W4" s="470"/>
      <c r="X4" s="470"/>
      <c r="Y4" s="470"/>
      <c r="Z4" s="471"/>
    </row>
    <row r="5" spans="1:26" ht="12.75" customHeight="1" x14ac:dyDescent="0.25">
      <c r="A5" s="167"/>
      <c r="B5" s="168"/>
      <c r="C5" s="168"/>
      <c r="D5" s="168"/>
      <c r="E5" s="168"/>
      <c r="F5" s="169"/>
      <c r="G5" s="189" t="s">
        <v>2</v>
      </c>
      <c r="H5" s="190"/>
      <c r="I5" s="191">
        <v>1</v>
      </c>
      <c r="J5" s="191"/>
      <c r="K5" s="192"/>
      <c r="L5" s="193" t="s">
        <v>3</v>
      </c>
      <c r="M5" s="194"/>
      <c r="N5" s="194"/>
      <c r="O5" s="195"/>
      <c r="P5" s="196" t="s">
        <v>4</v>
      </c>
      <c r="Q5" s="197"/>
      <c r="R5" s="197"/>
      <c r="S5" s="197"/>
      <c r="T5" s="198"/>
      <c r="U5" s="469"/>
      <c r="V5" s="470"/>
      <c r="W5" s="470"/>
      <c r="X5" s="470"/>
      <c r="Y5" s="470"/>
      <c r="Z5" s="471"/>
    </row>
    <row r="6" spans="1:26" ht="12.75" customHeight="1" x14ac:dyDescent="0.25">
      <c r="A6" s="170"/>
      <c r="B6" s="171"/>
      <c r="C6" s="171"/>
      <c r="D6" s="171"/>
      <c r="E6" s="171"/>
      <c r="F6" s="172"/>
      <c r="G6" s="2"/>
      <c r="H6" s="3"/>
      <c r="I6" s="157" t="s">
        <v>5</v>
      </c>
      <c r="J6" s="157"/>
      <c r="K6" s="157"/>
      <c r="L6" s="157" t="s">
        <v>6</v>
      </c>
      <c r="M6" s="157"/>
      <c r="N6" s="157"/>
      <c r="O6" s="157"/>
      <c r="P6" s="157" t="s">
        <v>7</v>
      </c>
      <c r="Q6" s="157"/>
      <c r="R6" s="157"/>
      <c r="S6" s="157"/>
      <c r="T6" s="158"/>
      <c r="U6" s="472"/>
      <c r="V6" s="473"/>
      <c r="W6" s="473"/>
      <c r="X6" s="473"/>
      <c r="Y6" s="473"/>
      <c r="Z6" s="474"/>
    </row>
    <row r="7" spans="1:26" ht="36.6" customHeight="1" x14ac:dyDescent="0.25">
      <c r="A7" s="159" t="s">
        <v>8</v>
      </c>
      <c r="B7" s="159"/>
      <c r="C7" s="159"/>
      <c r="D7" s="159"/>
      <c r="E7" s="159"/>
      <c r="F7" s="159"/>
      <c r="G7" s="160" t="s">
        <v>9</v>
      </c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61" t="s">
        <v>12</v>
      </c>
      <c r="C10" s="161"/>
      <c r="D10" s="161"/>
      <c r="E10" s="161"/>
      <c r="F10" s="161"/>
      <c r="G10" s="161"/>
      <c r="H10" s="162" t="s">
        <v>13</v>
      </c>
      <c r="I10" s="162"/>
      <c r="J10" s="162"/>
      <c r="K10" s="162"/>
      <c r="L10" s="162"/>
      <c r="M10" s="162"/>
      <c r="N10" s="161" t="s">
        <v>14</v>
      </c>
      <c r="O10" s="161"/>
      <c r="P10" s="161"/>
      <c r="Q10" s="161"/>
      <c r="R10" s="161"/>
      <c r="S10" s="163" t="s">
        <v>15</v>
      </c>
      <c r="T10" s="163"/>
      <c r="U10" s="163"/>
      <c r="V10" s="163"/>
      <c r="W10" s="163"/>
      <c r="X10" s="163"/>
      <c r="Y10" s="163"/>
      <c r="Z10" s="12"/>
    </row>
    <row r="11" spans="1:26" ht="15.9" customHeight="1" x14ac:dyDescent="0.25">
      <c r="A11" s="9"/>
      <c r="B11" s="161" t="s">
        <v>16</v>
      </c>
      <c r="C11" s="161"/>
      <c r="D11" s="161"/>
      <c r="E11" s="161"/>
      <c r="F11" s="161"/>
      <c r="G11" s="161"/>
      <c r="H11" s="162" t="s">
        <v>4</v>
      </c>
      <c r="I11" s="162"/>
      <c r="J11" s="162"/>
      <c r="K11" s="162"/>
      <c r="L11" s="162"/>
      <c r="M11" s="162"/>
      <c r="N11" s="161" t="s">
        <v>17</v>
      </c>
      <c r="O11" s="161"/>
      <c r="P11" s="161"/>
      <c r="Q11" s="161"/>
      <c r="R11" s="161"/>
      <c r="S11" s="163" t="s">
        <v>18</v>
      </c>
      <c r="T11" s="163"/>
      <c r="U11" s="163"/>
      <c r="V11" s="163"/>
      <c r="W11" s="163"/>
      <c r="X11" s="163"/>
      <c r="Y11" s="163"/>
      <c r="Z11" s="12"/>
    </row>
    <row r="12" spans="1:26" ht="15.9" customHeight="1" x14ac:dyDescent="0.25">
      <c r="A12" s="9"/>
      <c r="B12" s="161" t="s">
        <v>19</v>
      </c>
      <c r="C12" s="161"/>
      <c r="D12" s="161"/>
      <c r="E12" s="161"/>
      <c r="F12" s="161"/>
      <c r="G12" s="161"/>
      <c r="H12" s="162" t="s">
        <v>52</v>
      </c>
      <c r="I12" s="162"/>
      <c r="J12" s="162"/>
      <c r="K12" s="162"/>
      <c r="L12" s="162"/>
      <c r="M12" s="162"/>
      <c r="N12" s="161" t="s">
        <v>20</v>
      </c>
      <c r="O12" s="161"/>
      <c r="P12" s="161"/>
      <c r="Q12" s="161"/>
      <c r="R12" s="161"/>
      <c r="S12" s="163" t="s">
        <v>21</v>
      </c>
      <c r="T12" s="163"/>
      <c r="U12" s="163"/>
      <c r="V12" s="163"/>
      <c r="W12" s="163"/>
      <c r="X12" s="163"/>
      <c r="Y12" s="16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206" t="s">
        <v>24</v>
      </c>
      <c r="C17" s="206"/>
      <c r="D17" s="206"/>
      <c r="E17" s="206"/>
      <c r="F17" s="206"/>
      <c r="G17" s="206"/>
      <c r="H17" s="206"/>
      <c r="I17" s="207"/>
      <c r="J17" s="207"/>
      <c r="K17" s="207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8"/>
    </row>
    <row r="18" spans="1:26" s="17" customFormat="1" ht="15" customHeight="1" x14ac:dyDescent="0.25">
      <c r="A18" s="24"/>
      <c r="B18" s="206" t="s">
        <v>25</v>
      </c>
      <c r="C18" s="206"/>
      <c r="D18" s="206"/>
      <c r="E18" s="206"/>
      <c r="F18" s="206"/>
      <c r="G18" s="206"/>
      <c r="H18" s="206"/>
      <c r="I18" s="208" t="s">
        <v>26</v>
      </c>
      <c r="J18" s="208"/>
      <c r="K18" s="27">
        <v>30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209" t="s">
        <v>30</v>
      </c>
      <c r="K21" s="209"/>
      <c r="L21" s="209"/>
      <c r="M21" s="209"/>
      <c r="N21" s="209"/>
      <c r="O21" s="209"/>
      <c r="P21" s="209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210" t="s">
        <v>31</v>
      </c>
      <c r="C23" s="199" t="s">
        <v>32</v>
      </c>
      <c r="D23" s="199"/>
      <c r="E23" s="199"/>
      <c r="F23" s="199"/>
      <c r="G23" s="200"/>
      <c r="H23" s="212" t="s">
        <v>33</v>
      </c>
      <c r="I23" s="213"/>
      <c r="J23" s="214"/>
      <c r="K23" s="199" t="s">
        <v>34</v>
      </c>
      <c r="L23" s="199"/>
      <c r="M23" s="199"/>
      <c r="N23" s="199"/>
      <c r="O23" s="199"/>
      <c r="P23" s="200"/>
      <c r="Z23" s="11"/>
    </row>
    <row r="24" spans="1:26" ht="15.75" customHeight="1" x14ac:dyDescent="0.25">
      <c r="A24" s="9"/>
      <c r="B24" s="211"/>
      <c r="C24" s="201"/>
      <c r="D24" s="201"/>
      <c r="E24" s="201"/>
      <c r="F24" s="201"/>
      <c r="G24" s="202"/>
      <c r="H24" s="203" t="s">
        <v>35</v>
      </c>
      <c r="I24" s="204"/>
      <c r="J24" s="205"/>
      <c r="K24" s="201"/>
      <c r="L24" s="201"/>
      <c r="M24" s="201"/>
      <c r="N24" s="201"/>
      <c r="O24" s="201"/>
      <c r="P24" s="202"/>
      <c r="Z24" s="11"/>
    </row>
    <row r="25" spans="1:26" ht="19.5" customHeight="1" x14ac:dyDescent="0.25">
      <c r="A25" s="9"/>
      <c r="B25" s="45">
        <v>1</v>
      </c>
      <c r="C25" s="216"/>
      <c r="D25" s="217"/>
      <c r="E25" s="217"/>
      <c r="F25" s="217"/>
      <c r="G25" s="218"/>
      <c r="H25" s="475">
        <v>142</v>
      </c>
      <c r="I25" s="476"/>
      <c r="J25" s="477"/>
      <c r="K25" s="216"/>
      <c r="L25" s="217"/>
      <c r="M25" s="217"/>
      <c r="N25" s="217"/>
      <c r="O25" s="217"/>
      <c r="P25" s="218"/>
      <c r="Z25" s="11"/>
    </row>
    <row r="26" spans="1:26" ht="19.5" customHeight="1" x14ac:dyDescent="0.25">
      <c r="A26" s="9"/>
      <c r="B26" s="45">
        <v>2</v>
      </c>
      <c r="C26" s="216"/>
      <c r="D26" s="217"/>
      <c r="E26" s="217"/>
      <c r="F26" s="217"/>
      <c r="G26" s="218"/>
      <c r="H26" s="475">
        <v>104</v>
      </c>
      <c r="I26" s="476"/>
      <c r="J26" s="477"/>
      <c r="K26" s="216"/>
      <c r="L26" s="217"/>
      <c r="M26" s="217"/>
      <c r="N26" s="217"/>
      <c r="O26" s="217"/>
      <c r="P26" s="218"/>
      <c r="Z26" s="11"/>
    </row>
    <row r="27" spans="1:26" ht="19.5" customHeight="1" x14ac:dyDescent="0.25">
      <c r="A27" s="9"/>
      <c r="B27" s="45">
        <v>3</v>
      </c>
      <c r="C27" s="216"/>
      <c r="D27" s="217"/>
      <c r="E27" s="217"/>
      <c r="F27" s="217"/>
      <c r="G27" s="218"/>
      <c r="H27" s="475">
        <v>69</v>
      </c>
      <c r="I27" s="476"/>
      <c r="J27" s="477"/>
      <c r="K27" s="216"/>
      <c r="L27" s="217"/>
      <c r="M27" s="217"/>
      <c r="N27" s="217"/>
      <c r="O27" s="217"/>
      <c r="P27" s="218"/>
      <c r="Z27" s="11"/>
    </row>
    <row r="28" spans="1:26" ht="19.5" customHeight="1" x14ac:dyDescent="0.25">
      <c r="A28" s="9"/>
      <c r="B28" s="45">
        <v>4</v>
      </c>
      <c r="C28" s="216"/>
      <c r="D28" s="217"/>
      <c r="E28" s="217"/>
      <c r="F28" s="217"/>
      <c r="G28" s="218"/>
      <c r="H28" s="475">
        <v>102</v>
      </c>
      <c r="I28" s="476"/>
      <c r="J28" s="477"/>
      <c r="K28" s="216"/>
      <c r="L28" s="217"/>
      <c r="M28" s="217"/>
      <c r="N28" s="217"/>
      <c r="O28" s="217"/>
      <c r="P28" s="218"/>
      <c r="Z28" s="11"/>
    </row>
    <row r="29" spans="1:26" ht="19.5" customHeight="1" x14ac:dyDescent="0.25">
      <c r="A29" s="9"/>
      <c r="B29" s="45">
        <v>5</v>
      </c>
      <c r="C29" s="216"/>
      <c r="D29" s="217"/>
      <c r="E29" s="217"/>
      <c r="F29" s="217"/>
      <c r="G29" s="218"/>
      <c r="H29" s="475">
        <v>76</v>
      </c>
      <c r="I29" s="476"/>
      <c r="J29" s="477"/>
      <c r="K29" s="216"/>
      <c r="L29" s="217"/>
      <c r="M29" s="217"/>
      <c r="N29" s="217"/>
      <c r="O29" s="217"/>
      <c r="P29" s="218"/>
      <c r="Z29" s="11"/>
    </row>
    <row r="30" spans="1:26" ht="19.5" customHeight="1" x14ac:dyDescent="0.25">
      <c r="A30" s="9"/>
      <c r="B30" s="45">
        <v>6</v>
      </c>
      <c r="C30" s="216"/>
      <c r="D30" s="217"/>
      <c r="E30" s="217"/>
      <c r="F30" s="217"/>
      <c r="G30" s="218"/>
      <c r="H30" s="475">
        <v>115</v>
      </c>
      <c r="I30" s="476"/>
      <c r="J30" s="477"/>
      <c r="K30" s="216"/>
      <c r="L30" s="217"/>
      <c r="M30" s="217"/>
      <c r="N30" s="217"/>
      <c r="O30" s="217"/>
      <c r="P30" s="218"/>
      <c r="Z30" s="11"/>
    </row>
    <row r="31" spans="1:26" ht="19.5" customHeight="1" x14ac:dyDescent="0.25">
      <c r="A31" s="9"/>
      <c r="B31" s="45">
        <v>7</v>
      </c>
      <c r="C31" s="216"/>
      <c r="D31" s="217"/>
      <c r="E31" s="217"/>
      <c r="F31" s="217"/>
      <c r="G31" s="218"/>
      <c r="H31" s="475">
        <v>56</v>
      </c>
      <c r="I31" s="476"/>
      <c r="J31" s="477"/>
      <c r="K31" s="216"/>
      <c r="L31" s="217"/>
      <c r="M31" s="217"/>
      <c r="N31" s="217"/>
      <c r="O31" s="217"/>
      <c r="P31" s="218"/>
      <c r="Z31" s="11"/>
    </row>
    <row r="32" spans="1:26" ht="19.5" customHeight="1" x14ac:dyDescent="0.25">
      <c r="A32" s="9"/>
      <c r="B32" s="45">
        <v>8</v>
      </c>
      <c r="C32" s="216"/>
      <c r="D32" s="217"/>
      <c r="E32" s="217"/>
      <c r="F32" s="217"/>
      <c r="G32" s="218"/>
      <c r="H32" s="475">
        <v>113</v>
      </c>
      <c r="I32" s="476"/>
      <c r="J32" s="477"/>
      <c r="K32" s="216"/>
      <c r="L32" s="217"/>
      <c r="M32" s="217"/>
      <c r="N32" s="217"/>
      <c r="O32" s="217"/>
      <c r="P32" s="218"/>
      <c r="Z32" s="11"/>
    </row>
    <row r="33" spans="1:26" ht="19.5" customHeight="1" x14ac:dyDescent="0.25">
      <c r="A33" s="9"/>
      <c r="B33" s="45">
        <v>9</v>
      </c>
      <c r="C33" s="216"/>
      <c r="D33" s="217"/>
      <c r="E33" s="217"/>
      <c r="F33" s="217"/>
      <c r="G33" s="218"/>
      <c r="H33" s="475">
        <v>148</v>
      </c>
      <c r="I33" s="476"/>
      <c r="J33" s="477"/>
      <c r="K33" s="216"/>
      <c r="L33" s="217"/>
      <c r="M33" s="217"/>
      <c r="N33" s="217"/>
      <c r="O33" s="217"/>
      <c r="P33" s="218"/>
      <c r="Z33" s="11"/>
    </row>
    <row r="34" spans="1:26" ht="19.5" customHeight="1" x14ac:dyDescent="0.25">
      <c r="A34" s="9"/>
      <c r="B34" s="45">
        <v>10</v>
      </c>
      <c r="C34" s="216"/>
      <c r="D34" s="217"/>
      <c r="E34" s="217"/>
      <c r="F34" s="217"/>
      <c r="G34" s="218"/>
      <c r="H34" s="475">
        <v>128</v>
      </c>
      <c r="I34" s="476"/>
      <c r="J34" s="477"/>
      <c r="K34" s="216"/>
      <c r="L34" s="217"/>
      <c r="M34" s="217"/>
      <c r="N34" s="217"/>
      <c r="O34" s="217"/>
      <c r="P34" s="218"/>
      <c r="Z34" s="11"/>
    </row>
    <row r="35" spans="1:26" ht="19.5" customHeight="1" x14ac:dyDescent="0.25">
      <c r="A35" s="9"/>
      <c r="B35" s="45">
        <v>11</v>
      </c>
      <c r="C35" s="216"/>
      <c r="D35" s="217"/>
      <c r="E35" s="217"/>
      <c r="F35" s="217"/>
      <c r="G35" s="218"/>
      <c r="H35" s="475">
        <v>52</v>
      </c>
      <c r="I35" s="476"/>
      <c r="J35" s="477"/>
      <c r="K35" s="216"/>
      <c r="L35" s="217"/>
      <c r="M35" s="217"/>
      <c r="N35" s="217"/>
      <c r="O35" s="217"/>
      <c r="P35" s="218"/>
      <c r="Z35" s="11"/>
    </row>
    <row r="36" spans="1:26" ht="19.5" customHeight="1" x14ac:dyDescent="0.25">
      <c r="A36" s="9"/>
      <c r="B36" s="45">
        <v>12</v>
      </c>
      <c r="C36" s="216"/>
      <c r="D36" s="217"/>
      <c r="E36" s="217"/>
      <c r="F36" s="217"/>
      <c r="G36" s="218"/>
      <c r="H36" s="475">
        <v>89</v>
      </c>
      <c r="I36" s="476"/>
      <c r="J36" s="477"/>
      <c r="K36" s="216"/>
      <c r="L36" s="217"/>
      <c r="M36" s="217"/>
      <c r="N36" s="217"/>
      <c r="O36" s="217"/>
      <c r="P36" s="218"/>
      <c r="Z36" s="11"/>
    </row>
    <row r="37" spans="1:26" ht="19.5" customHeight="1" x14ac:dyDescent="0.25">
      <c r="A37" s="9"/>
      <c r="B37" s="45">
        <v>13</v>
      </c>
      <c r="C37" s="216"/>
      <c r="D37" s="217"/>
      <c r="E37" s="217"/>
      <c r="F37" s="217"/>
      <c r="G37" s="218"/>
      <c r="H37" s="475">
        <v>41</v>
      </c>
      <c r="I37" s="476"/>
      <c r="J37" s="477"/>
      <c r="K37" s="216"/>
      <c r="L37" s="217"/>
      <c r="M37" s="217"/>
      <c r="N37" s="217"/>
      <c r="O37" s="217"/>
      <c r="P37" s="218"/>
      <c r="Z37" s="11"/>
    </row>
    <row r="38" spans="1:26" ht="19.5" customHeight="1" x14ac:dyDescent="0.25">
      <c r="A38" s="9"/>
      <c r="B38" s="45">
        <v>14</v>
      </c>
      <c r="C38" s="216"/>
      <c r="D38" s="217"/>
      <c r="E38" s="217"/>
      <c r="F38" s="217"/>
      <c r="G38" s="218"/>
      <c r="H38" s="475">
        <v>65</v>
      </c>
      <c r="I38" s="476"/>
      <c r="J38" s="477"/>
      <c r="K38" s="216"/>
      <c r="L38" s="217"/>
      <c r="M38" s="217"/>
      <c r="N38" s="217"/>
      <c r="O38" s="217"/>
      <c r="P38" s="218"/>
      <c r="Z38" s="11"/>
    </row>
    <row r="39" spans="1:26" ht="19.5" customHeight="1" x14ac:dyDescent="0.25">
      <c r="A39" s="9"/>
      <c r="B39" s="45">
        <v>15</v>
      </c>
      <c r="C39" s="216"/>
      <c r="D39" s="217"/>
      <c r="E39" s="217"/>
      <c r="F39" s="217"/>
      <c r="G39" s="218"/>
      <c r="H39" s="475">
        <v>147</v>
      </c>
      <c r="I39" s="476"/>
      <c r="J39" s="477"/>
      <c r="K39" s="216"/>
      <c r="L39" s="217"/>
      <c r="M39" s="217"/>
      <c r="N39" s="217"/>
      <c r="O39" s="217"/>
      <c r="P39" s="218"/>
      <c r="Z39" s="11"/>
    </row>
    <row r="40" spans="1:26" ht="19.5" customHeight="1" x14ac:dyDescent="0.25">
      <c r="A40" s="9"/>
      <c r="B40" s="45">
        <v>16</v>
      </c>
      <c r="C40" s="216"/>
      <c r="D40" s="217"/>
      <c r="E40" s="217"/>
      <c r="F40" s="217"/>
      <c r="G40" s="218"/>
      <c r="H40" s="475">
        <v>137</v>
      </c>
      <c r="I40" s="476"/>
      <c r="J40" s="477"/>
      <c r="K40" s="216"/>
      <c r="L40" s="217"/>
      <c r="M40" s="217"/>
      <c r="N40" s="217"/>
      <c r="O40" s="217"/>
      <c r="P40" s="218"/>
      <c r="Z40" s="11"/>
    </row>
    <row r="41" spans="1:26" ht="19.5" customHeight="1" x14ac:dyDescent="0.25">
      <c r="A41" s="9"/>
      <c r="B41" s="45">
        <v>17</v>
      </c>
      <c r="C41" s="216"/>
      <c r="D41" s="217"/>
      <c r="E41" s="217"/>
      <c r="F41" s="217"/>
      <c r="G41" s="218"/>
      <c r="H41" s="475">
        <v>163</v>
      </c>
      <c r="I41" s="476"/>
      <c r="J41" s="477"/>
      <c r="K41" s="216"/>
      <c r="L41" s="217"/>
      <c r="M41" s="217"/>
      <c r="N41" s="217"/>
      <c r="O41" s="217"/>
      <c r="P41" s="218"/>
      <c r="Z41" s="11"/>
    </row>
    <row r="42" spans="1:26" ht="19.5" customHeight="1" x14ac:dyDescent="0.25">
      <c r="A42" s="9"/>
      <c r="B42" s="45">
        <v>18</v>
      </c>
      <c r="C42" s="216"/>
      <c r="D42" s="217"/>
      <c r="E42" s="217"/>
      <c r="F42" s="217"/>
      <c r="G42" s="218"/>
      <c r="H42" s="475">
        <v>112</v>
      </c>
      <c r="I42" s="476"/>
      <c r="J42" s="477"/>
      <c r="K42" s="216"/>
      <c r="L42" s="217"/>
      <c r="M42" s="217"/>
      <c r="N42" s="217"/>
      <c r="O42" s="217"/>
      <c r="P42" s="218"/>
      <c r="Z42" s="11"/>
    </row>
    <row r="43" spans="1:26" ht="19.5" customHeight="1" x14ac:dyDescent="0.25">
      <c r="A43" s="9"/>
      <c r="B43" s="45">
        <v>19</v>
      </c>
      <c r="C43" s="216"/>
      <c r="D43" s="217"/>
      <c r="E43" s="217"/>
      <c r="F43" s="217"/>
      <c r="G43" s="218"/>
      <c r="H43" s="475">
        <v>134</v>
      </c>
      <c r="I43" s="476"/>
      <c r="J43" s="477"/>
      <c r="K43" s="216"/>
      <c r="L43" s="217"/>
      <c r="M43" s="217"/>
      <c r="N43" s="217"/>
      <c r="O43" s="217"/>
      <c r="P43" s="218"/>
      <c r="Z43" s="11"/>
    </row>
    <row r="44" spans="1:26" ht="19.5" customHeight="1" x14ac:dyDescent="0.25">
      <c r="A44" s="9"/>
      <c r="B44" s="45">
        <v>20</v>
      </c>
      <c r="C44" s="216"/>
      <c r="D44" s="217"/>
      <c r="E44" s="217"/>
      <c r="F44" s="217"/>
      <c r="G44" s="218"/>
      <c r="H44" s="475">
        <v>132</v>
      </c>
      <c r="I44" s="476"/>
      <c r="J44" s="477"/>
      <c r="K44" s="216"/>
      <c r="L44" s="217"/>
      <c r="M44" s="217"/>
      <c r="N44" s="217"/>
      <c r="O44" s="217"/>
      <c r="P44" s="218"/>
      <c r="Z44" s="11"/>
    </row>
    <row r="45" spans="1:26" ht="19.5" customHeight="1" x14ac:dyDescent="0.25">
      <c r="A45" s="9"/>
      <c r="B45" s="45">
        <v>21</v>
      </c>
      <c r="C45" s="216"/>
      <c r="D45" s="217"/>
      <c r="E45" s="217"/>
      <c r="F45" s="217"/>
      <c r="G45" s="218"/>
      <c r="H45" s="475">
        <v>94</v>
      </c>
      <c r="I45" s="476"/>
      <c r="J45" s="477"/>
      <c r="K45" s="216"/>
      <c r="L45" s="217"/>
      <c r="M45" s="217"/>
      <c r="N45" s="217"/>
      <c r="O45" s="217"/>
      <c r="P45" s="218"/>
      <c r="Z45" s="11"/>
    </row>
    <row r="46" spans="1:26" ht="19.5" customHeight="1" x14ac:dyDescent="0.25">
      <c r="A46" s="9"/>
      <c r="B46" s="45">
        <v>22</v>
      </c>
      <c r="C46" s="216"/>
      <c r="D46" s="217"/>
      <c r="E46" s="217"/>
      <c r="F46" s="217"/>
      <c r="G46" s="218"/>
      <c r="H46" s="475">
        <v>120</v>
      </c>
      <c r="I46" s="476"/>
      <c r="J46" s="477"/>
      <c r="K46" s="216"/>
      <c r="L46" s="217"/>
      <c r="M46" s="217"/>
      <c r="N46" s="217"/>
      <c r="O46" s="217"/>
      <c r="P46" s="218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237"/>
      <c r="D54" s="238"/>
      <c r="E54" s="238"/>
      <c r="F54" s="238"/>
      <c r="G54" s="239"/>
      <c r="H54" s="500"/>
      <c r="I54" s="501"/>
      <c r="J54" s="502"/>
      <c r="K54" s="237"/>
      <c r="L54" s="238"/>
      <c r="M54" s="238"/>
      <c r="N54" s="238"/>
      <c r="O54" s="238"/>
      <c r="P54" s="239"/>
      <c r="Z54" s="11"/>
    </row>
    <row r="55" spans="1:26" ht="15.75" customHeight="1" x14ac:dyDescent="0.25">
      <c r="A55" s="9"/>
      <c r="B55" s="256" t="s">
        <v>36</v>
      </c>
      <c r="C55" s="257"/>
      <c r="D55" s="257"/>
      <c r="E55" s="257"/>
      <c r="F55" s="257"/>
      <c r="G55" s="258"/>
      <c r="H55" s="493">
        <f>AVERAGE(H25:J54)</f>
        <v>106.31818181818181</v>
      </c>
      <c r="I55" s="494"/>
      <c r="J55" s="495"/>
      <c r="K55" s="260" t="s">
        <v>37</v>
      </c>
      <c r="L55" s="261"/>
      <c r="M55" s="240" t="s">
        <v>38</v>
      </c>
      <c r="N55" s="240"/>
      <c r="O55" s="240"/>
      <c r="P55" s="241"/>
      <c r="Z55" s="11"/>
    </row>
    <row r="56" spans="1:26" ht="15.75" customHeight="1" x14ac:dyDescent="0.25">
      <c r="A56" s="9"/>
      <c r="B56" s="246" t="s">
        <v>39</v>
      </c>
      <c r="C56" s="247"/>
      <c r="D56" s="247"/>
      <c r="E56" s="247"/>
      <c r="F56" s="247"/>
      <c r="G56" s="248"/>
      <c r="H56" s="249">
        <f>IF(COUNTIF(H25:J54,"*&lt;20*"),"&lt;20",MIN(H25:J54))</f>
        <v>41</v>
      </c>
      <c r="I56" s="223"/>
      <c r="J56" s="224"/>
      <c r="K56" s="262"/>
      <c r="L56" s="263"/>
      <c r="M56" s="242"/>
      <c r="N56" s="242"/>
      <c r="O56" s="242"/>
      <c r="P56" s="243"/>
      <c r="Z56" s="11"/>
    </row>
    <row r="57" spans="1:26" ht="15.75" customHeight="1" x14ac:dyDescent="0.25">
      <c r="A57" s="9"/>
      <c r="B57" s="250" t="s">
        <v>40</v>
      </c>
      <c r="C57" s="251"/>
      <c r="D57" s="251"/>
      <c r="E57" s="251"/>
      <c r="F57" s="251"/>
      <c r="G57" s="252"/>
      <c r="H57" s="253">
        <f>IF(COUNTIF(H25:J54,"*&gt;250*"),"&gt;250",MAX(H25:J54))</f>
        <v>163</v>
      </c>
      <c r="I57" s="254"/>
      <c r="J57" s="255"/>
      <c r="K57" s="264"/>
      <c r="L57" s="265"/>
      <c r="M57" s="244"/>
      <c r="N57" s="244"/>
      <c r="O57" s="244"/>
      <c r="P57" s="245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279" t="s">
        <v>43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1"/>
      <c r="R61" s="272" t="s">
        <v>44</v>
      </c>
      <c r="S61" s="273"/>
      <c r="T61" s="274"/>
      <c r="U61" s="504" t="s">
        <v>13</v>
      </c>
      <c r="V61" s="479"/>
      <c r="W61" s="479"/>
      <c r="X61" s="480"/>
      <c r="Y61" s="480"/>
      <c r="Z61" s="481"/>
    </row>
    <row r="62" spans="1:26" s="17" customFormat="1" ht="15.6" customHeight="1" x14ac:dyDescent="0.25">
      <c r="A62" s="286" t="s">
        <v>45</v>
      </c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8"/>
      <c r="R62" s="272" t="s">
        <v>46</v>
      </c>
      <c r="S62" s="273"/>
      <c r="T62" s="274"/>
      <c r="U62" s="482" t="s">
        <v>47</v>
      </c>
      <c r="V62" s="483"/>
      <c r="W62" s="483"/>
      <c r="X62" s="484"/>
      <c r="Y62" s="484"/>
      <c r="Z62" s="485"/>
    </row>
    <row r="63" spans="1:26" s="17" customFormat="1" ht="15.6" customHeight="1" x14ac:dyDescent="0.25">
      <c r="A63" s="289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1"/>
      <c r="R63" s="272"/>
      <c r="S63" s="273"/>
      <c r="T63" s="274"/>
      <c r="U63" s="486"/>
      <c r="V63" s="242"/>
      <c r="W63" s="242"/>
      <c r="X63" s="487"/>
      <c r="Y63" s="487"/>
      <c r="Z63" s="488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272"/>
      <c r="S64" s="273"/>
      <c r="T64" s="274"/>
      <c r="U64" s="489"/>
      <c r="V64" s="490"/>
      <c r="W64" s="490"/>
      <c r="X64" s="491"/>
      <c r="Y64" s="491"/>
      <c r="Z64" s="492"/>
    </row>
    <row r="65" spans="1:26" s="17" customFormat="1" ht="15.6" customHeight="1" x14ac:dyDescent="0.25">
      <c r="A65" s="334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3"/>
      <c r="R65" s="272" t="s">
        <v>50</v>
      </c>
      <c r="S65" s="273"/>
      <c r="T65" s="27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334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3"/>
      <c r="R66" s="272"/>
      <c r="S66" s="273"/>
      <c r="T66" s="274"/>
      <c r="U66" s="61"/>
      <c r="V66" s="242"/>
      <c r="W66" s="242"/>
      <c r="X66" s="242"/>
      <c r="Y66" s="242"/>
      <c r="Z66" s="62"/>
    </row>
    <row r="67" spans="1:26" s="17" customFormat="1" ht="15.6" customHeight="1" x14ac:dyDescent="0.25">
      <c r="A67" s="334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3"/>
      <c r="R67" s="272"/>
      <c r="S67" s="273"/>
      <c r="T67" s="274"/>
      <c r="U67" s="61"/>
      <c r="V67" s="242"/>
      <c r="W67" s="242"/>
      <c r="X67" s="242"/>
      <c r="Y67" s="242"/>
      <c r="Z67" s="62"/>
    </row>
    <row r="68" spans="1:26" s="17" customFormat="1" ht="15.6" customHeight="1" x14ac:dyDescent="0.25">
      <c r="A68" s="335"/>
      <c r="B68" s="336"/>
      <c r="C68" s="336"/>
      <c r="D68" s="336"/>
      <c r="E68" s="336"/>
      <c r="F68" s="336"/>
      <c r="G68" s="336"/>
      <c r="H68" s="336"/>
      <c r="I68" s="336"/>
      <c r="J68" s="336"/>
      <c r="K68" s="336"/>
      <c r="L68" s="336"/>
      <c r="M68" s="336"/>
      <c r="N68" s="336"/>
      <c r="O68" s="336"/>
      <c r="P68" s="336"/>
      <c r="Q68" s="337"/>
      <c r="R68" s="275"/>
      <c r="S68" s="276"/>
      <c r="T68" s="27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121">
    <mergeCell ref="B17:H17"/>
    <mergeCell ref="B12:G12"/>
    <mergeCell ref="B11:G11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B57:G57"/>
    <mergeCell ref="C34:G34"/>
    <mergeCell ref="C35:G35"/>
    <mergeCell ref="C32:G32"/>
    <mergeCell ref="C33:G33"/>
    <mergeCell ref="C38:G38"/>
    <mergeCell ref="K38:P38"/>
    <mergeCell ref="C39:G39"/>
    <mergeCell ref="H39:J39"/>
    <mergeCell ref="K39:P39"/>
    <mergeCell ref="C36:G36"/>
    <mergeCell ref="H36:J36"/>
    <mergeCell ref="K25:P25"/>
    <mergeCell ref="M55:P57"/>
    <mergeCell ref="K55:L57"/>
    <mergeCell ref="S12:Y12"/>
    <mergeCell ref="K23:P24"/>
    <mergeCell ref="I17:Y17"/>
    <mergeCell ref="S11:Y11"/>
    <mergeCell ref="H54:J54"/>
    <mergeCell ref="V66:Y67"/>
    <mergeCell ref="I18:J18"/>
    <mergeCell ref="H25:J25"/>
    <mergeCell ref="U61:Z61"/>
    <mergeCell ref="U62:Z64"/>
    <mergeCell ref="H57:J57"/>
    <mergeCell ref="K29:P29"/>
    <mergeCell ref="H34:J34"/>
    <mergeCell ref="K34:P34"/>
    <mergeCell ref="H35:J35"/>
    <mergeCell ref="K35:P35"/>
    <mergeCell ref="H32:J32"/>
    <mergeCell ref="K32:P32"/>
    <mergeCell ref="H33:J33"/>
    <mergeCell ref="K33:P33"/>
    <mergeCell ref="H38:J38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5:G55"/>
    <mergeCell ref="K54:P54"/>
    <mergeCell ref="H55:J55"/>
    <mergeCell ref="H56:J56"/>
    <mergeCell ref="C30:G30"/>
    <mergeCell ref="H30:J30"/>
    <mergeCell ref="K30:P30"/>
    <mergeCell ref="C31:G31"/>
    <mergeCell ref="H31:J31"/>
    <mergeCell ref="K31:P31"/>
    <mergeCell ref="C28:G28"/>
    <mergeCell ref="H28:J28"/>
    <mergeCell ref="K28:P28"/>
    <mergeCell ref="C29:G29"/>
    <mergeCell ref="H29:J29"/>
    <mergeCell ref="K36:P36"/>
    <mergeCell ref="C37:G37"/>
    <mergeCell ref="H37:J37"/>
    <mergeCell ref="K37:P37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46:G46"/>
    <mergeCell ref="H46:J46"/>
    <mergeCell ref="K46:P46"/>
    <mergeCell ref="C44:G44"/>
    <mergeCell ref="H44:J44"/>
    <mergeCell ref="K44:P44"/>
    <mergeCell ref="C45:G45"/>
    <mergeCell ref="H45:J45"/>
    <mergeCell ref="K45:P45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Plages nommées</vt:lpstr>
      </vt:variant>
      <vt:variant>
        <vt:i4>19</vt:i4>
      </vt:variant>
    </vt:vector>
  </HeadingPairs>
  <TitlesOfParts>
    <vt:vector size="38" baseType="lpstr">
      <vt:lpstr>260226 FdF Sprinkler</vt:lpstr>
      <vt:lpstr>260226 CdF Production</vt:lpstr>
      <vt:lpstr>260226 CdF Wharehouse</vt:lpstr>
      <vt:lpstr>25_260226 Purge</vt:lpstr>
      <vt:lpstr>260226 CdF Voirie PL (c)</vt:lpstr>
      <vt:lpstr>260226 CdF Voirie PL</vt:lpstr>
      <vt:lpstr>250226 CdF Utilities</vt:lpstr>
      <vt:lpstr>250226 CdF Labo</vt:lpstr>
      <vt:lpstr>250226 CdF Dr Piste (c)</vt:lpstr>
      <vt:lpstr>250226 CdF Dr Piste</vt:lpstr>
      <vt:lpstr>210126 CDF PF base vie</vt:lpstr>
      <vt:lpstr>210126 Arase PF Bât</vt:lpstr>
      <vt:lpstr>120126 CdF PF Base vie</vt:lpstr>
      <vt:lpstr>120626 CDF PF Bât.</vt:lpstr>
      <vt:lpstr>120126 Arase chemin</vt:lpstr>
      <vt:lpstr>120126 FDF Bassin</vt:lpstr>
      <vt:lpstr>161225 AT PF Bât.</vt:lpstr>
      <vt:lpstr>161225 CdF PF Base vie</vt:lpstr>
      <vt:lpstr>021225 AT PF Bat.</vt:lpstr>
      <vt:lpstr>'021225 AT PF Bat.'!Zone_d_impression</vt:lpstr>
      <vt:lpstr>'120126 Arase chemin'!Zone_d_impression</vt:lpstr>
      <vt:lpstr>'120126 CdF PF Base vie'!Zone_d_impression</vt:lpstr>
      <vt:lpstr>'120126 FDF Bassin'!Zone_d_impression</vt:lpstr>
      <vt:lpstr>'120626 CDF PF Bât.'!Zone_d_impression</vt:lpstr>
      <vt:lpstr>'161225 AT PF Bât.'!Zone_d_impression</vt:lpstr>
      <vt:lpstr>'161225 CdF PF Base vie'!Zone_d_impression</vt:lpstr>
      <vt:lpstr>'210126 Arase PF Bât'!Zone_d_impression</vt:lpstr>
      <vt:lpstr>'210126 CDF PF base vie'!Zone_d_impression</vt:lpstr>
      <vt:lpstr>'25_260226 Purge'!Zone_d_impression</vt:lpstr>
      <vt:lpstr>'250226 CdF Dr Piste'!Zone_d_impression</vt:lpstr>
      <vt:lpstr>'250226 CdF Dr Piste (c)'!Zone_d_impression</vt:lpstr>
      <vt:lpstr>'250226 CdF Labo'!Zone_d_impression</vt:lpstr>
      <vt:lpstr>'250226 CdF Utilities'!Zone_d_impression</vt:lpstr>
      <vt:lpstr>'260226 CdF Production'!Zone_d_impression</vt:lpstr>
      <vt:lpstr>'260226 CdF Voirie PL'!Zone_d_impression</vt:lpstr>
      <vt:lpstr>'260226 CdF Voirie PL (c)'!Zone_d_impression</vt:lpstr>
      <vt:lpstr>'260226 CdF Wharehouse'!Zone_d_impression</vt:lpstr>
      <vt:lpstr>'260226 FdF Sprinkler'!Zone_d_impression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2026-03-03T22:30:03Z</cp:lastPrinted>
  <dcterms:created xsi:type="dcterms:W3CDTF">2004-11-13T18:13:05Z</dcterms:created>
  <dcterms:modified xsi:type="dcterms:W3CDTF">2026-03-03T22:31:21Z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